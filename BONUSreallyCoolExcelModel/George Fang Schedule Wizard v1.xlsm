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15" yWindow="45" windowWidth="10200" windowHeight="9405"/>
  </bookViews>
  <sheets>
    <sheet name="Schedule" sheetId="2" r:id="rId1"/>
    <sheet name="One" sheetId="5" state="hidden" r:id="rId2"/>
    <sheet name="Two" sheetId="6" state="hidden" r:id="rId3"/>
    <sheet name="Three" sheetId="7" state="hidden" r:id="rId4"/>
    <sheet name="Four" sheetId="8" state="hidden" r:id="rId5"/>
    <sheet name="Five" sheetId="9" state="hidden" r:id="rId6"/>
    <sheet name="Six" sheetId="10" state="hidden" r:id="rId7"/>
    <sheet name="Seven" sheetId="11" state="hidden" r:id="rId8"/>
    <sheet name="Eight" sheetId="12" state="hidden" r:id="rId9"/>
  </sheets>
  <externalReferences>
    <externalReference r:id="rId10"/>
  </externalReferences>
  <definedNames>
    <definedName name="Courses" comment="=OFFSET(Sheet3!$E$2,0,0,MATCH(&quot;*&quot;,Sheet3!$E:$E,-1)-2,1)">OFFSET(#REF!,0,0,COUNT(#REF!),1)</definedName>
    <definedName name="Courses1" comment="=OFFSET(Sheet3!$E$2,0,0,MATCH(&quot;*&quot;,Sheet3!$E:$E,-1)-2,1)" localSheetId="8">OFFSET(Eight!$F$2,0,0,COUNT(Eight!$F:$F),1)</definedName>
    <definedName name="Courses1" comment="=OFFSET(Sheet3!$E$2,0,0,MATCH(&quot;*&quot;,Sheet3!$E:$E,-1)-2,1)" localSheetId="5">OFFSET(Five!$F$2,0,0,COUNT(Five!$F:$F),1)</definedName>
    <definedName name="Courses1" comment="=OFFSET(Sheet3!$E$2,0,0,MATCH(&quot;*&quot;,Sheet3!$E:$E,-1)-2,1)" localSheetId="4">OFFSET(Four!$F$2,0,0,COUNT(Four!$F:$F),1)</definedName>
    <definedName name="Courses1" comment="=OFFSET(Sheet3!$E$2,0,0,MATCH(&quot;*&quot;,Sheet3!$E:$E,-1)-2,1)" localSheetId="1">OFFSET(One!$F$2,0,0,COUNT(One!$F:$F),1)</definedName>
    <definedName name="Courses1" comment="=OFFSET(Sheet3!$E$2,0,0,MATCH(&quot;*&quot;,Sheet3!$E:$E,-1)-2,1)" localSheetId="7">OFFSET(Seven!$F$2,0,0,COUNT(Seven!$F:$F),1)</definedName>
    <definedName name="Courses1" comment="=OFFSET(Sheet3!$E$2,0,0,MATCH(&quot;*&quot;,Sheet3!$E:$E,-1)-2,1)" localSheetId="6">OFFSET(Six!$F$2,0,0,COUNT(Six!$F:$F),1)</definedName>
    <definedName name="Courses1" comment="=OFFSET(Sheet3!$E$2,0,0,MATCH(&quot;*&quot;,Sheet3!$E:$E,-1)-2,1)" localSheetId="3">OFFSET(Three!$F$2,0,0,COUNT(Three!$F:$F),1)</definedName>
    <definedName name="Courses1" comment="=OFFSET(Sheet3!$E$2,0,0,MATCH(&quot;*&quot;,Sheet3!$E:$E,-1)-2,1)" localSheetId="2">OFFSET(Two!$F$2,0,0,COUNT(Two!$F:$F),1)</definedName>
    <definedName name="Departments">#REF!</definedName>
    <definedName name="Departments1" localSheetId="8">Eight!$B$3:$B$100</definedName>
    <definedName name="Departments1" localSheetId="5">Five!$B$3:$B$100</definedName>
    <definedName name="Departments1" localSheetId="4">Four!$B$3:$B$100</definedName>
    <definedName name="Departments1" localSheetId="1">One!$B$3:$B$100</definedName>
    <definedName name="Departments1" localSheetId="7">Seven!$B$3:$B$100</definedName>
    <definedName name="Departments1" localSheetId="6">Six!$B$3:$B$100</definedName>
    <definedName name="Departments1" localSheetId="3">Three!$B$3:$B$100</definedName>
    <definedName name="Departments1" localSheetId="2">Two!$B$3:$B$100</definedName>
    <definedName name="Subject" comment="=OFFSET(Sheet3!$E$2,0,0,COUNT(Sheet3!$E$2:$E$200),1)">OFFSET(#REF!,0,0,MATCH("*",#REF!,-1)-2,1)</definedName>
    <definedName name="Subject1" comment="=OFFSET(Sheet3!$E$2,0,0,COUNT(Sheet3!$E$2:$E$200),1)" localSheetId="8">OFFSET(Eight!$E$2,0,0,MATCH("*",Eight!$E:$E,-1)-2,1)</definedName>
    <definedName name="Subject1" comment="=OFFSET(Sheet3!$E$2,0,0,COUNT(Sheet3!$E$2:$E$200),1)" localSheetId="5">OFFSET(Five!$E$2,0,0,MATCH("*",Five!$E:$E,-1)-2,1)</definedName>
    <definedName name="Subject1" comment="=OFFSET(Sheet3!$E$2,0,0,COUNT(Sheet3!$E$2:$E$200),1)" localSheetId="4">OFFSET(Four!$E$2,0,0,MATCH("*",Four!$E:$E,-1)-2,1)</definedName>
    <definedName name="Subject1" comment="=OFFSET(Sheet3!$E$2,0,0,COUNT(Sheet3!$E$2:$E$200),1)" localSheetId="1">OFFSET(One!$E$2,0,0,MATCH("*",One!$E:$E,-1)-2,1)</definedName>
    <definedName name="Subject1" comment="=OFFSET(Sheet3!$E$2,0,0,COUNT(Sheet3!$E$2:$E$200),1)" localSheetId="7">OFFSET(Seven!$E$2,0,0,MATCH("*",Seven!$E:$E,-1)-2,1)</definedName>
    <definedName name="Subject1" comment="=OFFSET(Sheet3!$E$2,0,0,COUNT(Sheet3!$E$2:$E$200),1)" localSheetId="6">OFFSET(Six!$E$2,0,0,MATCH("*",Six!$E:$E,-1)-2,1)</definedName>
    <definedName name="Subject1" comment="=OFFSET(Sheet3!$E$2,0,0,COUNT(Sheet3!$E$2:$E$200),1)" localSheetId="3">OFFSET(Three!$E$2,0,0,MATCH("*",Three!$E:$E,-1)-2,1)</definedName>
    <definedName name="Subject1" comment="=OFFSET(Sheet3!$E$2,0,0,COUNT(Sheet3!$E$2:$E$200),1)" localSheetId="2">OFFSET(Two!$E$2,0,0,MATCH("*",Two!$E:$E,-1)-2,1)</definedName>
    <definedName name="Teachers">OFFSET(#REF!,0,0,MATCH("*",#REF!,-1)-2,1)</definedName>
    <definedName name="Teachers1" localSheetId="8">OFFSET(Eight!$H$2,0,0,MATCH("*",Eight!$H:$H,-1)-2,1)</definedName>
    <definedName name="Teachers1" localSheetId="5">OFFSET(Five!$H$2,0,0,MATCH("*",Five!$H:$H,-1)-2,1)</definedName>
    <definedName name="Teachers1" localSheetId="4">OFFSET(Four!$H$2,0,0,MATCH("*",Four!$H:$H,-1)-2,1)</definedName>
    <definedName name="Teachers1" localSheetId="1">OFFSET(One!$H$2,0,0,MATCH("*",One!$H:$H,-1)-2,1)</definedName>
    <definedName name="Teachers1" localSheetId="7">OFFSET(Seven!$H$2,0,0,MATCH("*",Seven!$H:$H,-1)-2,1)</definedName>
    <definedName name="Teachers1" localSheetId="6">OFFSET(Six!$H$2,0,0,MATCH("*",Six!$H:$H,-1)-2,1)</definedName>
    <definedName name="Teachers1" localSheetId="3">OFFSET(Three!$H$2,0,0,MATCH("*",Three!$H:$H,-1)-2,1)</definedName>
    <definedName name="Teachers1" localSheetId="2">OFFSET(Two!$H$2,0,0,MATCH("*",Two!$H:$H,-1)-2,1)</definedName>
  </definedNames>
  <calcPr calcId="145621"/>
</workbook>
</file>

<file path=xl/calcChain.xml><?xml version="1.0" encoding="utf-8"?>
<calcChain xmlns="http://schemas.openxmlformats.org/spreadsheetml/2006/main">
  <c r="A10" i="12" l="1"/>
  <c r="A8" i="12"/>
  <c r="A6" i="12"/>
  <c r="A3" i="12"/>
  <c r="C3" i="12" s="1"/>
  <c r="A10" i="11"/>
  <c r="A8" i="11"/>
  <c r="A6" i="11"/>
  <c r="A3" i="11"/>
  <c r="C3" i="11" s="1"/>
  <c r="E3" i="11" s="1"/>
  <c r="A10" i="10"/>
  <c r="A8" i="10"/>
  <c r="A6" i="10"/>
  <c r="A3" i="10"/>
  <c r="A10" i="9"/>
  <c r="A8" i="9"/>
  <c r="A6" i="9"/>
  <c r="A3" i="9"/>
  <c r="A10" i="8"/>
  <c r="A8" i="8"/>
  <c r="A3" i="8"/>
  <c r="C3" i="8" s="1"/>
  <c r="A6" i="8"/>
  <c r="A10" i="7"/>
  <c r="A8" i="7"/>
  <c r="A6" i="7"/>
  <c r="A3" i="7"/>
  <c r="C3" i="7" s="1"/>
  <c r="A10" i="6"/>
  <c r="A8" i="6"/>
  <c r="A3" i="6"/>
  <c r="A6" i="6"/>
  <c r="A8" i="5"/>
  <c r="A6" i="5"/>
  <c r="A3" i="5"/>
  <c r="C3" i="5" s="1"/>
  <c r="E3" i="5" s="1"/>
  <c r="E3" i="12" l="1"/>
  <c r="D3" i="12"/>
  <c r="C4" i="12" s="1"/>
  <c r="D3" i="11"/>
  <c r="C4" i="11" s="1"/>
  <c r="C3" i="10"/>
  <c r="C3" i="9"/>
  <c r="E3" i="8"/>
  <c r="D3" i="8"/>
  <c r="C4" i="8" s="1"/>
  <c r="E3" i="7"/>
  <c r="D3" i="7"/>
  <c r="C4" i="7" s="1"/>
  <c r="C3" i="6"/>
  <c r="D3" i="5"/>
  <c r="C4" i="5" s="1"/>
  <c r="E4" i="12" l="1"/>
  <c r="D4" i="12"/>
  <c r="C5" i="12" s="1"/>
  <c r="E4" i="11"/>
  <c r="D4" i="11"/>
  <c r="C5" i="11" s="1"/>
  <c r="E3" i="10"/>
  <c r="D3" i="10"/>
  <c r="C4" i="10" s="1"/>
  <c r="E3" i="9"/>
  <c r="D3" i="9"/>
  <c r="C4" i="9" s="1"/>
  <c r="E4" i="8"/>
  <c r="D4" i="8"/>
  <c r="C5" i="8" s="1"/>
  <c r="E4" i="7"/>
  <c r="D4" i="7"/>
  <c r="C5" i="7" s="1"/>
  <c r="E3" i="6"/>
  <c r="D3" i="6"/>
  <c r="C4" i="6" s="1"/>
  <c r="E4" i="5"/>
  <c r="D4" i="5"/>
  <c r="C5" i="5" s="1"/>
  <c r="E5" i="12" l="1"/>
  <c r="D5" i="12"/>
  <c r="C6" i="12" s="1"/>
  <c r="E5" i="11"/>
  <c r="D5" i="11"/>
  <c r="C6" i="11" s="1"/>
  <c r="E4" i="10"/>
  <c r="D4" i="10"/>
  <c r="C5" i="10" s="1"/>
  <c r="E4" i="9"/>
  <c r="D4" i="9"/>
  <c r="C5" i="9" s="1"/>
  <c r="E5" i="8"/>
  <c r="D5" i="8"/>
  <c r="C6" i="8" s="1"/>
  <c r="E5" i="7"/>
  <c r="D5" i="7"/>
  <c r="C6" i="7" s="1"/>
  <c r="E4" i="6"/>
  <c r="D4" i="6"/>
  <c r="C5" i="6" s="1"/>
  <c r="E5" i="5"/>
  <c r="D5" i="5"/>
  <c r="C6" i="5" s="1"/>
  <c r="E6" i="12" l="1"/>
  <c r="D6" i="12"/>
  <c r="C7" i="12" s="1"/>
  <c r="E6" i="11"/>
  <c r="D6" i="11"/>
  <c r="C7" i="11" s="1"/>
  <c r="E5" i="10"/>
  <c r="D5" i="10"/>
  <c r="C6" i="10" s="1"/>
  <c r="E5" i="9"/>
  <c r="D5" i="9"/>
  <c r="C6" i="9" s="1"/>
  <c r="E6" i="8"/>
  <c r="D6" i="8"/>
  <c r="C7" i="8" s="1"/>
  <c r="E6" i="7"/>
  <c r="D6" i="7"/>
  <c r="C7" i="7" s="1"/>
  <c r="E5" i="6"/>
  <c r="D5" i="6"/>
  <c r="C6" i="6" s="1"/>
  <c r="E6" i="5"/>
  <c r="D6" i="5"/>
  <c r="C7" i="5" s="1"/>
  <c r="E7" i="12" l="1"/>
  <c r="D7" i="12"/>
  <c r="C8" i="12" s="1"/>
  <c r="E7" i="11"/>
  <c r="D7" i="11"/>
  <c r="C8" i="11" s="1"/>
  <c r="E6" i="10"/>
  <c r="D6" i="10"/>
  <c r="C7" i="10" s="1"/>
  <c r="E6" i="9"/>
  <c r="D6" i="9"/>
  <c r="C7" i="9" s="1"/>
  <c r="E7" i="8"/>
  <c r="D7" i="8"/>
  <c r="C8" i="8" s="1"/>
  <c r="E7" i="7"/>
  <c r="D7" i="7"/>
  <c r="C8" i="7" s="1"/>
  <c r="E6" i="6"/>
  <c r="D6" i="6"/>
  <c r="C7" i="6" s="1"/>
  <c r="E7" i="5"/>
  <c r="D7" i="5"/>
  <c r="C8" i="5" s="1"/>
  <c r="E8" i="12" l="1"/>
  <c r="D8" i="12"/>
  <c r="C9" i="12" s="1"/>
  <c r="E8" i="11"/>
  <c r="D8" i="11"/>
  <c r="C9" i="11" s="1"/>
  <c r="E7" i="10"/>
  <c r="D7" i="10"/>
  <c r="C8" i="10" s="1"/>
  <c r="E7" i="9"/>
  <c r="D7" i="9"/>
  <c r="C8" i="9" s="1"/>
  <c r="E8" i="8"/>
  <c r="D8" i="8"/>
  <c r="C9" i="8" s="1"/>
  <c r="E8" i="7"/>
  <c r="D8" i="7"/>
  <c r="C9" i="7" s="1"/>
  <c r="E7" i="6"/>
  <c r="D7" i="6"/>
  <c r="C8" i="6" s="1"/>
  <c r="E8" i="5"/>
  <c r="D8" i="5"/>
  <c r="C9" i="5" s="1"/>
  <c r="E9" i="12" l="1"/>
  <c r="D9" i="12"/>
  <c r="C10" i="12" s="1"/>
  <c r="E9" i="11"/>
  <c r="D9" i="11"/>
  <c r="C10" i="11" s="1"/>
  <c r="E8" i="10"/>
  <c r="D8" i="10"/>
  <c r="C9" i="10" s="1"/>
  <c r="E8" i="9"/>
  <c r="D8" i="9"/>
  <c r="C9" i="9" s="1"/>
  <c r="E9" i="8"/>
  <c r="D9" i="8"/>
  <c r="C10" i="8" s="1"/>
  <c r="E9" i="7"/>
  <c r="D9" i="7"/>
  <c r="C10" i="7" s="1"/>
  <c r="E8" i="6"/>
  <c r="D8" i="6"/>
  <c r="C9" i="6" s="1"/>
  <c r="E9" i="5"/>
  <c r="D9" i="5"/>
  <c r="C10" i="5" s="1"/>
  <c r="E10" i="12" l="1"/>
  <c r="D10" i="12"/>
  <c r="C11" i="12" s="1"/>
  <c r="E10" i="11"/>
  <c r="D10" i="11"/>
  <c r="C11" i="11" s="1"/>
  <c r="E9" i="10"/>
  <c r="D9" i="10"/>
  <c r="C10" i="10" s="1"/>
  <c r="E9" i="9"/>
  <c r="D9" i="9"/>
  <c r="C10" i="9" s="1"/>
  <c r="E10" i="8"/>
  <c r="D10" i="8"/>
  <c r="C11" i="8" s="1"/>
  <c r="E10" i="7"/>
  <c r="D10" i="7"/>
  <c r="C11" i="7" s="1"/>
  <c r="E9" i="6"/>
  <c r="D9" i="6"/>
  <c r="C10" i="6" s="1"/>
  <c r="E10" i="5"/>
  <c r="D10" i="5"/>
  <c r="C11" i="5" s="1"/>
  <c r="E11" i="12" l="1"/>
  <c r="D11" i="12"/>
  <c r="C12" i="12" s="1"/>
  <c r="E11" i="11"/>
  <c r="D11" i="11"/>
  <c r="C12" i="11" s="1"/>
  <c r="E10" i="10"/>
  <c r="D10" i="10"/>
  <c r="C11" i="10" s="1"/>
  <c r="E10" i="9"/>
  <c r="D10" i="9"/>
  <c r="C11" i="9" s="1"/>
  <c r="E11" i="8"/>
  <c r="D11" i="8"/>
  <c r="C12" i="8" s="1"/>
  <c r="E11" i="7"/>
  <c r="D11" i="7"/>
  <c r="C12" i="7" s="1"/>
  <c r="E10" i="6"/>
  <c r="D10" i="6"/>
  <c r="C11" i="6" s="1"/>
  <c r="E11" i="5"/>
  <c r="D11" i="5"/>
  <c r="C12" i="5" s="1"/>
  <c r="E12" i="12" l="1"/>
  <c r="D12" i="12"/>
  <c r="C13" i="12" s="1"/>
  <c r="E12" i="11"/>
  <c r="D12" i="11"/>
  <c r="C13" i="11" s="1"/>
  <c r="E11" i="10"/>
  <c r="D11" i="10"/>
  <c r="C12" i="10" s="1"/>
  <c r="E11" i="9"/>
  <c r="D11" i="9"/>
  <c r="C12" i="9" s="1"/>
  <c r="E12" i="8"/>
  <c r="D12" i="8"/>
  <c r="C13" i="8" s="1"/>
  <c r="E12" i="7"/>
  <c r="D12" i="7"/>
  <c r="C13" i="7" s="1"/>
  <c r="E11" i="6"/>
  <c r="D11" i="6"/>
  <c r="C12" i="6" s="1"/>
  <c r="E12" i="5"/>
  <c r="D12" i="5"/>
  <c r="C13" i="5" s="1"/>
  <c r="E13" i="12" l="1"/>
  <c r="D13" i="12"/>
  <c r="C14" i="12" s="1"/>
  <c r="E13" i="11"/>
  <c r="D13" i="11"/>
  <c r="C14" i="11" s="1"/>
  <c r="E12" i="10"/>
  <c r="D12" i="10"/>
  <c r="C13" i="10" s="1"/>
  <c r="E12" i="9"/>
  <c r="D12" i="9"/>
  <c r="C13" i="9" s="1"/>
  <c r="E13" i="8"/>
  <c r="D13" i="8"/>
  <c r="C14" i="8" s="1"/>
  <c r="E13" i="7"/>
  <c r="D13" i="7"/>
  <c r="C14" i="7" s="1"/>
  <c r="E12" i="6"/>
  <c r="D12" i="6"/>
  <c r="C13" i="6" s="1"/>
  <c r="E13" i="5"/>
  <c r="D13" i="5"/>
  <c r="C14" i="5" s="1"/>
  <c r="E14" i="12" l="1"/>
  <c r="D14" i="12"/>
  <c r="C15" i="12" s="1"/>
  <c r="E14" i="11"/>
  <c r="D14" i="11"/>
  <c r="C15" i="11" s="1"/>
  <c r="E13" i="10"/>
  <c r="D13" i="10"/>
  <c r="C14" i="10" s="1"/>
  <c r="E13" i="9"/>
  <c r="D13" i="9"/>
  <c r="C14" i="9" s="1"/>
  <c r="E14" i="8"/>
  <c r="D14" i="8"/>
  <c r="C15" i="8" s="1"/>
  <c r="E14" i="7"/>
  <c r="D14" i="7"/>
  <c r="C15" i="7" s="1"/>
  <c r="E13" i="6"/>
  <c r="D13" i="6"/>
  <c r="C14" i="6" s="1"/>
  <c r="E14" i="5"/>
  <c r="D14" i="5"/>
  <c r="C15" i="5" s="1"/>
  <c r="E15" i="12" l="1"/>
  <c r="D15" i="12"/>
  <c r="C16" i="12" s="1"/>
  <c r="E15" i="11"/>
  <c r="D15" i="11"/>
  <c r="C16" i="11" s="1"/>
  <c r="E14" i="10"/>
  <c r="D14" i="10"/>
  <c r="C15" i="10" s="1"/>
  <c r="E14" i="9"/>
  <c r="D14" i="9"/>
  <c r="C15" i="9" s="1"/>
  <c r="E15" i="8"/>
  <c r="D15" i="8"/>
  <c r="C16" i="8" s="1"/>
  <c r="E15" i="7"/>
  <c r="D15" i="7"/>
  <c r="C16" i="7" s="1"/>
  <c r="E14" i="6"/>
  <c r="D14" i="6"/>
  <c r="C15" i="6" s="1"/>
  <c r="E15" i="5"/>
  <c r="D15" i="5"/>
  <c r="C16" i="5" s="1"/>
  <c r="E16" i="12" l="1"/>
  <c r="D16" i="12"/>
  <c r="C17" i="12" s="1"/>
  <c r="E16" i="11"/>
  <c r="D16" i="11"/>
  <c r="C17" i="11" s="1"/>
  <c r="E15" i="10"/>
  <c r="D15" i="10"/>
  <c r="C16" i="10" s="1"/>
  <c r="E15" i="9"/>
  <c r="D15" i="9"/>
  <c r="C16" i="9" s="1"/>
  <c r="E16" i="8"/>
  <c r="D16" i="8"/>
  <c r="C17" i="8" s="1"/>
  <c r="E16" i="7"/>
  <c r="D16" i="7"/>
  <c r="C17" i="7" s="1"/>
  <c r="E15" i="6"/>
  <c r="D15" i="6"/>
  <c r="C16" i="6" s="1"/>
  <c r="E16" i="5"/>
  <c r="D16" i="5"/>
  <c r="C17" i="5" s="1"/>
  <c r="E17" i="12" l="1"/>
  <c r="D17" i="12"/>
  <c r="C18" i="12" s="1"/>
  <c r="E17" i="11"/>
  <c r="D17" i="11"/>
  <c r="C18" i="11" s="1"/>
  <c r="E16" i="10"/>
  <c r="D16" i="10"/>
  <c r="C17" i="10" s="1"/>
  <c r="E16" i="9"/>
  <c r="D16" i="9"/>
  <c r="C17" i="9" s="1"/>
  <c r="E17" i="8"/>
  <c r="D17" i="8"/>
  <c r="C18" i="8" s="1"/>
  <c r="E17" i="7"/>
  <c r="D17" i="7"/>
  <c r="C18" i="7" s="1"/>
  <c r="E16" i="6"/>
  <c r="D16" i="6"/>
  <c r="C17" i="6" s="1"/>
  <c r="E17" i="5"/>
  <c r="D17" i="5"/>
  <c r="C18" i="5" s="1"/>
  <c r="E18" i="12" l="1"/>
  <c r="D18" i="12"/>
  <c r="C19" i="12" s="1"/>
  <c r="E18" i="11"/>
  <c r="D18" i="11"/>
  <c r="C19" i="11" s="1"/>
  <c r="E17" i="10"/>
  <c r="D17" i="10"/>
  <c r="C18" i="10" s="1"/>
  <c r="E17" i="9"/>
  <c r="D17" i="9"/>
  <c r="C18" i="9" s="1"/>
  <c r="E18" i="8"/>
  <c r="D18" i="8"/>
  <c r="C19" i="8" s="1"/>
  <c r="E18" i="7"/>
  <c r="D18" i="7"/>
  <c r="C19" i="7" s="1"/>
  <c r="E17" i="6"/>
  <c r="D17" i="6"/>
  <c r="C18" i="6" s="1"/>
  <c r="E18" i="5"/>
  <c r="D18" i="5"/>
  <c r="C19" i="5" s="1"/>
  <c r="E19" i="12" l="1"/>
  <c r="D19" i="12"/>
  <c r="C20" i="12" s="1"/>
  <c r="E19" i="11"/>
  <c r="D19" i="11"/>
  <c r="C20" i="11" s="1"/>
  <c r="E18" i="10"/>
  <c r="D18" i="10"/>
  <c r="C19" i="10" s="1"/>
  <c r="E18" i="9"/>
  <c r="D18" i="9"/>
  <c r="C19" i="9" s="1"/>
  <c r="E19" i="8"/>
  <c r="D19" i="8"/>
  <c r="C20" i="8" s="1"/>
  <c r="E19" i="7"/>
  <c r="D19" i="7"/>
  <c r="C20" i="7" s="1"/>
  <c r="E18" i="6"/>
  <c r="D18" i="6"/>
  <c r="C19" i="6" s="1"/>
  <c r="E19" i="5"/>
  <c r="D19" i="5"/>
  <c r="C20" i="5" s="1"/>
  <c r="E20" i="12" l="1"/>
  <c r="D20" i="12"/>
  <c r="C21" i="12" s="1"/>
  <c r="E20" i="11"/>
  <c r="D20" i="11"/>
  <c r="C21" i="11" s="1"/>
  <c r="E19" i="10"/>
  <c r="D19" i="10"/>
  <c r="C20" i="10" s="1"/>
  <c r="E19" i="9"/>
  <c r="D19" i="9"/>
  <c r="C20" i="9" s="1"/>
  <c r="E20" i="8"/>
  <c r="D20" i="8"/>
  <c r="C21" i="8" s="1"/>
  <c r="E20" i="7"/>
  <c r="D20" i="7"/>
  <c r="C21" i="7" s="1"/>
  <c r="E19" i="6"/>
  <c r="D19" i="6"/>
  <c r="C20" i="6" s="1"/>
  <c r="E20" i="5"/>
  <c r="D20" i="5"/>
  <c r="C21" i="5" s="1"/>
  <c r="E21" i="12" l="1"/>
  <c r="D21" i="12"/>
  <c r="C22" i="12" s="1"/>
  <c r="E21" i="11"/>
  <c r="C22" i="11"/>
  <c r="D21" i="11"/>
  <c r="E20" i="10"/>
  <c r="D20" i="10"/>
  <c r="C21" i="10" s="1"/>
  <c r="E20" i="9"/>
  <c r="D20" i="9"/>
  <c r="C21" i="9" s="1"/>
  <c r="C22" i="8"/>
  <c r="E21" i="8"/>
  <c r="D21" i="8"/>
  <c r="C22" i="7"/>
  <c r="E21" i="7"/>
  <c r="D21" i="7"/>
  <c r="E20" i="6"/>
  <c r="D20" i="6"/>
  <c r="C21" i="6" s="1"/>
  <c r="E21" i="5"/>
  <c r="C22" i="5"/>
  <c r="D21" i="5"/>
  <c r="E22" i="12" l="1"/>
  <c r="D22" i="12"/>
  <c r="C23" i="12" s="1"/>
  <c r="E22" i="11"/>
  <c r="D22" i="11"/>
  <c r="C23" i="11" s="1"/>
  <c r="C22" i="10"/>
  <c r="E21" i="10"/>
  <c r="D21" i="10"/>
  <c r="E21" i="9"/>
  <c r="C22" i="9"/>
  <c r="D21" i="9"/>
  <c r="C23" i="8"/>
  <c r="E22" i="8"/>
  <c r="D22" i="8"/>
  <c r="C23" i="7"/>
  <c r="E22" i="7"/>
  <c r="D22" i="7"/>
  <c r="E21" i="6"/>
  <c r="C22" i="6"/>
  <c r="D21" i="6"/>
  <c r="C23" i="5"/>
  <c r="E22" i="5"/>
  <c r="D22" i="5"/>
  <c r="E23" i="12" l="1"/>
  <c r="C24" i="12"/>
  <c r="D23" i="12"/>
  <c r="E23" i="11"/>
  <c r="D23" i="11"/>
  <c r="C24" i="11" s="1"/>
  <c r="C23" i="10"/>
  <c r="E22" i="10"/>
  <c r="D22" i="10"/>
  <c r="E22" i="9"/>
  <c r="C23" i="9"/>
  <c r="D22" i="9"/>
  <c r="E23" i="8"/>
  <c r="C24" i="8"/>
  <c r="D23" i="8"/>
  <c r="E23" i="7"/>
  <c r="C24" i="7"/>
  <c r="D23" i="7"/>
  <c r="C23" i="6"/>
  <c r="E22" i="6"/>
  <c r="D22" i="6"/>
  <c r="C24" i="5"/>
  <c r="E23" i="5"/>
  <c r="D23" i="5"/>
  <c r="C25" i="12" l="1"/>
  <c r="E24" i="12"/>
  <c r="C25" i="11"/>
  <c r="E24" i="11"/>
  <c r="E23" i="10"/>
  <c r="C24" i="10"/>
  <c r="D23" i="10"/>
  <c r="C24" i="9"/>
  <c r="E23" i="9"/>
  <c r="D23" i="9"/>
  <c r="C25" i="8"/>
  <c r="E24" i="8"/>
  <c r="C25" i="7"/>
  <c r="E24" i="7"/>
  <c r="C24" i="6"/>
  <c r="E23" i="6"/>
  <c r="D23" i="6"/>
  <c r="C25" i="5"/>
  <c r="E24" i="5"/>
  <c r="C26" i="12" l="1"/>
  <c r="E25" i="12"/>
  <c r="E25" i="11"/>
  <c r="C26" i="11"/>
  <c r="C25" i="10"/>
  <c r="E24" i="10"/>
  <c r="E24" i="9"/>
  <c r="C25" i="9"/>
  <c r="C26" i="8"/>
  <c r="E25" i="8"/>
  <c r="C26" i="7"/>
  <c r="E25" i="7"/>
  <c r="C25" i="6"/>
  <c r="E24" i="6"/>
  <c r="C26" i="5"/>
  <c r="E25" i="5"/>
  <c r="C27" i="12" l="1"/>
  <c r="E26" i="12"/>
  <c r="C27" i="11"/>
  <c r="E26" i="11"/>
  <c r="C26" i="10"/>
  <c r="E25" i="10"/>
  <c r="E25" i="9"/>
  <c r="C26" i="9"/>
  <c r="C27" i="8"/>
  <c r="E26" i="8"/>
  <c r="C27" i="7"/>
  <c r="E26" i="7"/>
  <c r="E25" i="6"/>
  <c r="C26" i="6"/>
  <c r="C27" i="5"/>
  <c r="E26" i="5"/>
  <c r="C28" i="12" l="1"/>
  <c r="E27" i="12"/>
  <c r="C28" i="11"/>
  <c r="E27" i="11"/>
  <c r="E26" i="10"/>
  <c r="C27" i="10"/>
  <c r="C27" i="9"/>
  <c r="E26" i="9"/>
  <c r="C28" i="8"/>
  <c r="E27" i="8"/>
  <c r="C28" i="7"/>
  <c r="E27" i="7"/>
  <c r="C27" i="6"/>
  <c r="E26" i="6"/>
  <c r="C28" i="5"/>
  <c r="E27" i="5"/>
  <c r="C29" i="12" l="1"/>
  <c r="E28" i="12"/>
  <c r="C29" i="11"/>
  <c r="E28" i="11"/>
  <c r="C28" i="10"/>
  <c r="E27" i="10"/>
  <c r="C28" i="9"/>
  <c r="E27" i="9"/>
  <c r="C29" i="8"/>
  <c r="E28" i="8"/>
  <c r="C29" i="7"/>
  <c r="E28" i="7"/>
  <c r="C28" i="6"/>
  <c r="E27" i="6"/>
  <c r="C29" i="5"/>
  <c r="E28" i="5"/>
  <c r="C30" i="12" l="1"/>
  <c r="E29" i="12"/>
  <c r="C30" i="11"/>
  <c r="E29" i="11"/>
  <c r="C29" i="10"/>
  <c r="E28" i="10"/>
  <c r="C29" i="9"/>
  <c r="E28" i="9"/>
  <c r="C30" i="8"/>
  <c r="E29" i="8"/>
  <c r="C30" i="7"/>
  <c r="E29" i="7"/>
  <c r="C29" i="6"/>
  <c r="E28" i="6"/>
  <c r="C30" i="5"/>
  <c r="E29" i="5"/>
  <c r="C31" i="12" l="1"/>
  <c r="E30" i="12"/>
  <c r="C31" i="11"/>
  <c r="E30" i="11"/>
  <c r="C30" i="10"/>
  <c r="E29" i="10"/>
  <c r="E29" i="9"/>
  <c r="C30" i="9"/>
  <c r="C31" i="8"/>
  <c r="E30" i="8"/>
  <c r="C31" i="7"/>
  <c r="E30" i="7"/>
  <c r="C30" i="6"/>
  <c r="E29" i="6"/>
  <c r="C31" i="5"/>
  <c r="E30" i="5"/>
  <c r="C32" i="12" l="1"/>
  <c r="E31" i="12"/>
  <c r="E31" i="11"/>
  <c r="C32" i="11"/>
  <c r="E30" i="10"/>
  <c r="C31" i="10"/>
  <c r="C31" i="9"/>
  <c r="E30" i="9"/>
  <c r="C32" i="8"/>
  <c r="E31" i="8"/>
  <c r="C32" i="7"/>
  <c r="E31" i="7"/>
  <c r="C31" i="6"/>
  <c r="E30" i="6"/>
  <c r="C32" i="5"/>
  <c r="E31" i="5"/>
  <c r="C33" i="12" l="1"/>
  <c r="E32" i="12"/>
  <c r="C33" i="11"/>
  <c r="E32" i="11"/>
  <c r="C32" i="10"/>
  <c r="E31" i="10"/>
  <c r="C32" i="9"/>
  <c r="E31" i="9"/>
  <c r="C33" i="8"/>
  <c r="E32" i="8"/>
  <c r="C33" i="7"/>
  <c r="E32" i="7"/>
  <c r="C32" i="6"/>
  <c r="E31" i="6"/>
  <c r="C33" i="5"/>
  <c r="E32" i="5"/>
  <c r="C34" i="12" l="1"/>
  <c r="E33" i="12"/>
  <c r="C34" i="11"/>
  <c r="E33" i="11"/>
  <c r="C33" i="10"/>
  <c r="E32" i="10"/>
  <c r="C33" i="9"/>
  <c r="E32" i="9"/>
  <c r="C34" i="8"/>
  <c r="E33" i="8"/>
  <c r="C34" i="7"/>
  <c r="E33" i="7"/>
  <c r="C33" i="6"/>
  <c r="E32" i="6"/>
  <c r="C34" i="5"/>
  <c r="E33" i="5"/>
  <c r="C35" i="12" l="1"/>
  <c r="E34" i="12"/>
  <c r="C35" i="11"/>
  <c r="E34" i="11"/>
  <c r="C34" i="10"/>
  <c r="E33" i="10"/>
  <c r="E33" i="9"/>
  <c r="C34" i="9"/>
  <c r="C35" i="8"/>
  <c r="E34" i="8"/>
  <c r="C35" i="7"/>
  <c r="E34" i="7"/>
  <c r="C34" i="6"/>
  <c r="E33" i="6"/>
  <c r="E34" i="5"/>
  <c r="C35" i="5"/>
  <c r="C36" i="12" l="1"/>
  <c r="E35" i="12"/>
  <c r="E35" i="11"/>
  <c r="C36" i="11"/>
  <c r="E34" i="10"/>
  <c r="C35" i="10"/>
  <c r="C35" i="9"/>
  <c r="E34" i="9"/>
  <c r="C36" i="8"/>
  <c r="E35" i="8"/>
  <c r="C36" i="7"/>
  <c r="E35" i="7"/>
  <c r="C35" i="6"/>
  <c r="E34" i="6"/>
  <c r="C36" i="5"/>
  <c r="E35" i="5"/>
  <c r="C37" i="12" l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E36" i="12"/>
  <c r="A5" i="12" s="1"/>
  <c r="C37" i="1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E36" i="11"/>
  <c r="A5" i="11" s="1"/>
  <c r="C36" i="10"/>
  <c r="E35" i="10"/>
  <c r="C36" i="9"/>
  <c r="E35" i="9"/>
  <c r="C37" i="8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E36" i="8"/>
  <c r="A5" i="8" s="1"/>
  <c r="C37" i="7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E36" i="7"/>
  <c r="A5" i="7" s="1"/>
  <c r="C36" i="6"/>
  <c r="E35" i="6"/>
  <c r="C37" i="5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E36" i="5"/>
  <c r="A5" i="5" s="1"/>
  <c r="A28" i="5" s="1"/>
  <c r="H3" i="5" s="1"/>
  <c r="H3" i="8" l="1"/>
  <c r="A14" i="8"/>
  <c r="G8" i="2" s="1"/>
  <c r="F3" i="8"/>
  <c r="G3" i="8" s="1"/>
  <c r="F4" i="8" s="1"/>
  <c r="G4" i="8" s="1"/>
  <c r="F5" i="8" s="1"/>
  <c r="G5" i="8" s="1"/>
  <c r="F6" i="8" s="1"/>
  <c r="G6" i="8" s="1"/>
  <c r="F7" i="8" s="1"/>
  <c r="G7" i="8" s="1"/>
  <c r="F8" i="8" s="1"/>
  <c r="G8" i="8" s="1"/>
  <c r="F9" i="8" s="1"/>
  <c r="G9" i="8" s="1"/>
  <c r="F10" i="8" s="1"/>
  <c r="G10" i="8" s="1"/>
  <c r="F11" i="8" s="1"/>
  <c r="G11" i="8" s="1"/>
  <c r="F12" i="8" s="1"/>
  <c r="G12" i="8" s="1"/>
  <c r="F13" i="8" s="1"/>
  <c r="G13" i="8" s="1"/>
  <c r="F14" i="8" s="1"/>
  <c r="G14" i="8" s="1"/>
  <c r="F15" i="8" s="1"/>
  <c r="G15" i="8" s="1"/>
  <c r="F16" i="8" s="1"/>
  <c r="G16" i="8" s="1"/>
  <c r="F17" i="8" s="1"/>
  <c r="G17" i="8" s="1"/>
  <c r="F18" i="8" s="1"/>
  <c r="G18" i="8" s="1"/>
  <c r="F19" i="8" s="1"/>
  <c r="G19" i="8" s="1"/>
  <c r="F20" i="8" s="1"/>
  <c r="G20" i="8" s="1"/>
  <c r="F21" i="8" s="1"/>
  <c r="G21" i="8" s="1"/>
  <c r="F22" i="8" s="1"/>
  <c r="G22" i="8" s="1"/>
  <c r="F23" i="8" s="1"/>
  <c r="G23" i="8" s="1"/>
  <c r="F24" i="8" s="1"/>
  <c r="G24" i="8" s="1"/>
  <c r="F25" i="8" s="1"/>
  <c r="G25" i="8" s="1"/>
  <c r="F26" i="8" s="1"/>
  <c r="G26" i="8" s="1"/>
  <c r="F27" i="8" s="1"/>
  <c r="G27" i="8" s="1"/>
  <c r="F28" i="8" s="1"/>
  <c r="G28" i="8" s="1"/>
  <c r="F29" i="8" s="1"/>
  <c r="G29" i="8" s="1"/>
  <c r="F30" i="8" s="1"/>
  <c r="G30" i="8" s="1"/>
  <c r="F31" i="8" s="1"/>
  <c r="G31" i="8" s="1"/>
  <c r="F32" i="8" s="1"/>
  <c r="G32" i="8" s="1"/>
  <c r="F33" i="8" s="1"/>
  <c r="G33" i="8" s="1"/>
  <c r="F34" i="8" s="1"/>
  <c r="G34" i="8" s="1"/>
  <c r="F35" i="8" s="1"/>
  <c r="G35" i="8" s="1"/>
  <c r="F36" i="8" s="1"/>
  <c r="G36" i="8" s="1"/>
  <c r="F37" i="8" s="1"/>
  <c r="G37" i="8" s="1"/>
  <c r="F38" i="8" s="1"/>
  <c r="G38" i="8" s="1"/>
  <c r="F39" i="8" s="1"/>
  <c r="G39" i="8" s="1"/>
  <c r="F40" i="8" s="1"/>
  <c r="G40" i="8" s="1"/>
  <c r="F41" i="8" s="1"/>
  <c r="G41" i="8" s="1"/>
  <c r="F42" i="8" s="1"/>
  <c r="G42" i="8" s="1"/>
  <c r="F43" i="8" s="1"/>
  <c r="G43" i="8" s="1"/>
  <c r="F44" i="8" s="1"/>
  <c r="G44" i="8" s="1"/>
  <c r="F45" i="8" s="1"/>
  <c r="G45" i="8" s="1"/>
  <c r="F46" i="8" s="1"/>
  <c r="G46" i="8" s="1"/>
  <c r="F47" i="8" s="1"/>
  <c r="G47" i="8" s="1"/>
  <c r="F48" i="8" s="1"/>
  <c r="G48" i="8" s="1"/>
  <c r="F49" i="8" s="1"/>
  <c r="G49" i="8" s="1"/>
  <c r="F50" i="8" s="1"/>
  <c r="G50" i="8" s="1"/>
  <c r="F51" i="8" s="1"/>
  <c r="G51" i="8" s="1"/>
  <c r="F52" i="8" s="1"/>
  <c r="G52" i="8" s="1"/>
  <c r="F53" i="8" s="1"/>
  <c r="G53" i="8" s="1"/>
  <c r="F54" i="8" s="1"/>
  <c r="G54" i="8" s="1"/>
  <c r="F55" i="8" s="1"/>
  <c r="G55" i="8" s="1"/>
  <c r="F56" i="8" s="1"/>
  <c r="G56" i="8" s="1"/>
  <c r="F57" i="8" s="1"/>
  <c r="G57" i="8" s="1"/>
  <c r="F58" i="8" s="1"/>
  <c r="G58" i="8" s="1"/>
  <c r="F59" i="8" s="1"/>
  <c r="G59" i="8" s="1"/>
  <c r="F60" i="8" s="1"/>
  <c r="G60" i="8" s="1"/>
  <c r="F61" i="8" s="1"/>
  <c r="G61" i="8" s="1"/>
  <c r="F62" i="8" s="1"/>
  <c r="G62" i="8" s="1"/>
  <c r="F63" i="8" s="1"/>
  <c r="G63" i="8" s="1"/>
  <c r="F64" i="8" s="1"/>
  <c r="G64" i="8" s="1"/>
  <c r="F65" i="8" s="1"/>
  <c r="G65" i="8" s="1"/>
  <c r="F66" i="8" s="1"/>
  <c r="G66" i="8" s="1"/>
  <c r="F67" i="8" s="1"/>
  <c r="G67" i="8" s="1"/>
  <c r="F68" i="8" s="1"/>
  <c r="G68" i="8" s="1"/>
  <c r="F69" i="8" s="1"/>
  <c r="G69" i="8" s="1"/>
  <c r="F70" i="8" s="1"/>
  <c r="G70" i="8" s="1"/>
  <c r="F71" i="8" s="1"/>
  <c r="G71" i="8" s="1"/>
  <c r="F72" i="8" s="1"/>
  <c r="G72" i="8" s="1"/>
  <c r="F73" i="8" s="1"/>
  <c r="G73" i="8" s="1"/>
  <c r="F74" i="8" s="1"/>
  <c r="G74" i="8" s="1"/>
  <c r="F75" i="8" s="1"/>
  <c r="G75" i="8" s="1"/>
  <c r="F76" i="8" s="1"/>
  <c r="G76" i="8" s="1"/>
  <c r="F77" i="8" s="1"/>
  <c r="G77" i="8" s="1"/>
  <c r="F78" i="8" s="1"/>
  <c r="G78" i="8" s="1"/>
  <c r="F79" i="8" s="1"/>
  <c r="G79" i="8" s="1"/>
  <c r="F80" i="8" s="1"/>
  <c r="G80" i="8" s="1"/>
  <c r="F81" i="8" s="1"/>
  <c r="G81" i="8" s="1"/>
  <c r="F82" i="8" s="1"/>
  <c r="G82" i="8" s="1"/>
  <c r="F83" i="8" s="1"/>
  <c r="G83" i="8" s="1"/>
  <c r="F84" i="8" s="1"/>
  <c r="G84" i="8" s="1"/>
  <c r="F85" i="8" s="1"/>
  <c r="G85" i="8" s="1"/>
  <c r="F86" i="8" s="1"/>
  <c r="G86" i="8" s="1"/>
  <c r="F87" i="8" s="1"/>
  <c r="G87" i="8" s="1"/>
  <c r="F88" i="8" s="1"/>
  <c r="G88" i="8" s="1"/>
  <c r="F89" i="8" s="1"/>
  <c r="G89" i="8" s="1"/>
  <c r="F90" i="8" s="1"/>
  <c r="G90" i="8" s="1"/>
  <c r="F91" i="8" s="1"/>
  <c r="G91" i="8" s="1"/>
  <c r="F92" i="8" s="1"/>
  <c r="G92" i="8" s="1"/>
  <c r="F93" i="8" s="1"/>
  <c r="G93" i="8" s="1"/>
  <c r="F94" i="8" s="1"/>
  <c r="G94" i="8" s="1"/>
  <c r="F95" i="8" s="1"/>
  <c r="G95" i="8" s="1"/>
  <c r="F96" i="8" s="1"/>
  <c r="G96" i="8" s="1"/>
  <c r="A12" i="8"/>
  <c r="H3" i="12"/>
  <c r="F3" i="12"/>
  <c r="G3" i="12" s="1"/>
  <c r="F4" i="12" s="1"/>
  <c r="G4" i="12" s="1"/>
  <c r="F5" i="12" s="1"/>
  <c r="G5" i="12" s="1"/>
  <c r="F6" i="12" s="1"/>
  <c r="G6" i="12" s="1"/>
  <c r="F7" i="12" s="1"/>
  <c r="G7" i="12" s="1"/>
  <c r="F8" i="12" s="1"/>
  <c r="G8" i="12" s="1"/>
  <c r="F9" i="12" s="1"/>
  <c r="G9" i="12" s="1"/>
  <c r="F10" i="12" s="1"/>
  <c r="G10" i="12" s="1"/>
  <c r="F11" i="12" s="1"/>
  <c r="G11" i="12" s="1"/>
  <c r="F12" i="12" s="1"/>
  <c r="G12" i="12" s="1"/>
  <c r="F13" i="12" s="1"/>
  <c r="G13" i="12" s="1"/>
  <c r="F14" i="12" s="1"/>
  <c r="G14" i="12" s="1"/>
  <c r="F15" i="12" s="1"/>
  <c r="G15" i="12" s="1"/>
  <c r="F16" i="12" s="1"/>
  <c r="G16" i="12" s="1"/>
  <c r="F17" i="12" s="1"/>
  <c r="G17" i="12" s="1"/>
  <c r="F18" i="12" s="1"/>
  <c r="G18" i="12" s="1"/>
  <c r="F19" i="12" s="1"/>
  <c r="G19" i="12" s="1"/>
  <c r="F20" i="12" s="1"/>
  <c r="G20" i="12" s="1"/>
  <c r="F21" i="12" s="1"/>
  <c r="G21" i="12" s="1"/>
  <c r="F22" i="12" s="1"/>
  <c r="G22" i="12" s="1"/>
  <c r="F23" i="12" s="1"/>
  <c r="G23" i="12" s="1"/>
  <c r="F24" i="12" s="1"/>
  <c r="G24" i="12" s="1"/>
  <c r="F25" i="12" s="1"/>
  <c r="G25" i="12" s="1"/>
  <c r="F26" i="12" s="1"/>
  <c r="G26" i="12" s="1"/>
  <c r="F27" i="12" s="1"/>
  <c r="G27" i="12" s="1"/>
  <c r="F28" i="12" s="1"/>
  <c r="G28" i="12" s="1"/>
  <c r="F29" i="12" s="1"/>
  <c r="G29" i="12" s="1"/>
  <c r="F30" i="12" s="1"/>
  <c r="G30" i="12" s="1"/>
  <c r="F31" i="12" s="1"/>
  <c r="G31" i="12" s="1"/>
  <c r="F32" i="12" s="1"/>
  <c r="G32" i="12" s="1"/>
  <c r="F33" i="12" s="1"/>
  <c r="G33" i="12" s="1"/>
  <c r="F34" i="12" s="1"/>
  <c r="G34" i="12" s="1"/>
  <c r="F35" i="12" s="1"/>
  <c r="G35" i="12" s="1"/>
  <c r="F36" i="12" s="1"/>
  <c r="G36" i="12" s="1"/>
  <c r="F37" i="12" s="1"/>
  <c r="G37" i="12" s="1"/>
  <c r="F38" i="12" s="1"/>
  <c r="G38" i="12" s="1"/>
  <c r="F39" i="12" s="1"/>
  <c r="G39" i="12" s="1"/>
  <c r="F40" i="12" s="1"/>
  <c r="G40" i="12" s="1"/>
  <c r="F41" i="12" s="1"/>
  <c r="G41" i="12" s="1"/>
  <c r="F42" i="12" s="1"/>
  <c r="G42" i="12" s="1"/>
  <c r="F43" i="12" s="1"/>
  <c r="G43" i="12" s="1"/>
  <c r="F44" i="12" s="1"/>
  <c r="G44" i="12" s="1"/>
  <c r="F45" i="12" s="1"/>
  <c r="G45" i="12" s="1"/>
  <c r="F46" i="12" s="1"/>
  <c r="G46" i="12" s="1"/>
  <c r="F47" i="12" s="1"/>
  <c r="G47" i="12" s="1"/>
  <c r="F48" i="12" s="1"/>
  <c r="G48" i="12" s="1"/>
  <c r="F49" i="12" s="1"/>
  <c r="G49" i="12" s="1"/>
  <c r="F50" i="12" s="1"/>
  <c r="G50" i="12" s="1"/>
  <c r="F51" i="12" s="1"/>
  <c r="G51" i="12" s="1"/>
  <c r="F52" i="12" s="1"/>
  <c r="G52" i="12" s="1"/>
  <c r="F53" i="12" s="1"/>
  <c r="G53" i="12" s="1"/>
  <c r="F54" i="12" s="1"/>
  <c r="G54" i="12" s="1"/>
  <c r="F55" i="12" s="1"/>
  <c r="G55" i="12" s="1"/>
  <c r="F56" i="12" s="1"/>
  <c r="G56" i="12" s="1"/>
  <c r="F57" i="12" s="1"/>
  <c r="G57" i="12" s="1"/>
  <c r="F58" i="12" s="1"/>
  <c r="G58" i="12" s="1"/>
  <c r="F59" i="12" s="1"/>
  <c r="G59" i="12" s="1"/>
  <c r="F60" i="12" s="1"/>
  <c r="G60" i="12" s="1"/>
  <c r="F61" i="12" s="1"/>
  <c r="G61" i="12" s="1"/>
  <c r="F62" i="12" s="1"/>
  <c r="G62" i="12" s="1"/>
  <c r="F63" i="12" s="1"/>
  <c r="G63" i="12" s="1"/>
  <c r="F64" i="12" s="1"/>
  <c r="G64" i="12" s="1"/>
  <c r="F65" i="12" s="1"/>
  <c r="G65" i="12" s="1"/>
  <c r="F66" i="12" s="1"/>
  <c r="G66" i="12" s="1"/>
  <c r="F67" i="12" s="1"/>
  <c r="G67" i="12" s="1"/>
  <c r="F68" i="12" s="1"/>
  <c r="G68" i="12" s="1"/>
  <c r="F69" i="12" s="1"/>
  <c r="G69" i="12" s="1"/>
  <c r="F70" i="12" s="1"/>
  <c r="G70" i="12" s="1"/>
  <c r="F71" i="12" s="1"/>
  <c r="G71" i="12" s="1"/>
  <c r="F72" i="12" s="1"/>
  <c r="G72" i="12" s="1"/>
  <c r="F73" i="12" s="1"/>
  <c r="G73" i="12" s="1"/>
  <c r="F74" i="12" s="1"/>
  <c r="G74" i="12" s="1"/>
  <c r="F75" i="12" s="1"/>
  <c r="G75" i="12" s="1"/>
  <c r="F76" i="12" s="1"/>
  <c r="G76" i="12" s="1"/>
  <c r="F77" i="12" s="1"/>
  <c r="G77" i="12" s="1"/>
  <c r="F78" i="12" s="1"/>
  <c r="G78" i="12" s="1"/>
  <c r="F79" i="12" s="1"/>
  <c r="G79" i="12" s="1"/>
  <c r="F80" i="12" s="1"/>
  <c r="G80" i="12" s="1"/>
  <c r="F81" i="12" s="1"/>
  <c r="G81" i="12" s="1"/>
  <c r="F82" i="12" s="1"/>
  <c r="G82" i="12" s="1"/>
  <c r="F83" i="12" s="1"/>
  <c r="G83" i="12" s="1"/>
  <c r="F84" i="12" s="1"/>
  <c r="G84" i="12" s="1"/>
  <c r="F85" i="12" s="1"/>
  <c r="G85" i="12" s="1"/>
  <c r="F86" i="12" s="1"/>
  <c r="G86" i="12" s="1"/>
  <c r="F87" i="12" s="1"/>
  <c r="G87" i="12" s="1"/>
  <c r="F88" i="12" s="1"/>
  <c r="G88" i="12" s="1"/>
  <c r="F89" i="12" s="1"/>
  <c r="G89" i="12" s="1"/>
  <c r="F90" i="12" s="1"/>
  <c r="G90" i="12" s="1"/>
  <c r="F91" i="12" s="1"/>
  <c r="G91" i="12" s="1"/>
  <c r="F92" i="12" s="1"/>
  <c r="G92" i="12" s="1"/>
  <c r="F93" i="12" s="1"/>
  <c r="G93" i="12" s="1"/>
  <c r="F94" i="12" s="1"/>
  <c r="G94" i="12" s="1"/>
  <c r="F95" i="12" s="1"/>
  <c r="G95" i="12" s="1"/>
  <c r="F96" i="12" s="1"/>
  <c r="G96" i="12" s="1"/>
  <c r="A12" i="12"/>
  <c r="F12" i="2" s="1"/>
  <c r="A14" i="12"/>
  <c r="G12" i="2" s="1"/>
  <c r="H3" i="11"/>
  <c r="F3" i="11"/>
  <c r="G3" i="11" s="1"/>
  <c r="F4" i="11" s="1"/>
  <c r="G4" i="11" s="1"/>
  <c r="F5" i="11" s="1"/>
  <c r="G5" i="11" s="1"/>
  <c r="F6" i="11" s="1"/>
  <c r="G6" i="11" s="1"/>
  <c r="F7" i="11" s="1"/>
  <c r="G7" i="11" s="1"/>
  <c r="F8" i="11" s="1"/>
  <c r="G8" i="11" s="1"/>
  <c r="F9" i="11" s="1"/>
  <c r="G9" i="11" s="1"/>
  <c r="F10" i="11" s="1"/>
  <c r="G10" i="11" s="1"/>
  <c r="F11" i="11" s="1"/>
  <c r="G11" i="11" s="1"/>
  <c r="F12" i="11" s="1"/>
  <c r="G12" i="11" s="1"/>
  <c r="F13" i="11" s="1"/>
  <c r="G13" i="11" s="1"/>
  <c r="F14" i="11" s="1"/>
  <c r="G14" i="11" s="1"/>
  <c r="F15" i="11" s="1"/>
  <c r="G15" i="11" s="1"/>
  <c r="F16" i="11" s="1"/>
  <c r="G16" i="11" s="1"/>
  <c r="F17" i="11" s="1"/>
  <c r="G17" i="11" s="1"/>
  <c r="F18" i="11" s="1"/>
  <c r="G18" i="11" s="1"/>
  <c r="F19" i="11" s="1"/>
  <c r="G19" i="11" s="1"/>
  <c r="F20" i="11" s="1"/>
  <c r="G20" i="11" s="1"/>
  <c r="F21" i="11" s="1"/>
  <c r="G21" i="11" s="1"/>
  <c r="F22" i="11" s="1"/>
  <c r="G22" i="11" s="1"/>
  <c r="F23" i="11" s="1"/>
  <c r="G23" i="11" s="1"/>
  <c r="F24" i="11" s="1"/>
  <c r="G24" i="11" s="1"/>
  <c r="F25" i="11" s="1"/>
  <c r="G25" i="11" s="1"/>
  <c r="F26" i="11" s="1"/>
  <c r="G26" i="11" s="1"/>
  <c r="F27" i="11" s="1"/>
  <c r="G27" i="11" s="1"/>
  <c r="F28" i="11" s="1"/>
  <c r="G28" i="11" s="1"/>
  <c r="F29" i="11" s="1"/>
  <c r="G29" i="11" s="1"/>
  <c r="F30" i="11" s="1"/>
  <c r="G30" i="11" s="1"/>
  <c r="F31" i="11" s="1"/>
  <c r="G31" i="11" s="1"/>
  <c r="F32" i="11" s="1"/>
  <c r="G32" i="11" s="1"/>
  <c r="F33" i="11" s="1"/>
  <c r="G33" i="11" s="1"/>
  <c r="F34" i="11" s="1"/>
  <c r="G34" i="11" s="1"/>
  <c r="F35" i="11" s="1"/>
  <c r="G35" i="11" s="1"/>
  <c r="F36" i="11" s="1"/>
  <c r="G36" i="11" s="1"/>
  <c r="F37" i="11" s="1"/>
  <c r="G37" i="11" s="1"/>
  <c r="F38" i="11" s="1"/>
  <c r="G38" i="11" s="1"/>
  <c r="F39" i="11" s="1"/>
  <c r="G39" i="11" s="1"/>
  <c r="F40" i="11" s="1"/>
  <c r="G40" i="11" s="1"/>
  <c r="F41" i="11" s="1"/>
  <c r="G41" i="11" s="1"/>
  <c r="F42" i="11" s="1"/>
  <c r="G42" i="11" s="1"/>
  <c r="F43" i="11" s="1"/>
  <c r="G43" i="11" s="1"/>
  <c r="F44" i="11" s="1"/>
  <c r="G44" i="11" s="1"/>
  <c r="F45" i="11" s="1"/>
  <c r="G45" i="11" s="1"/>
  <c r="F46" i="11" s="1"/>
  <c r="G46" i="11" s="1"/>
  <c r="F47" i="11" s="1"/>
  <c r="G47" i="11" s="1"/>
  <c r="F48" i="11" s="1"/>
  <c r="G48" i="11" s="1"/>
  <c r="F49" i="11" s="1"/>
  <c r="G49" i="11" s="1"/>
  <c r="F50" i="11" s="1"/>
  <c r="G50" i="11" s="1"/>
  <c r="F51" i="11" s="1"/>
  <c r="G51" i="11" s="1"/>
  <c r="F52" i="11" s="1"/>
  <c r="G52" i="11" s="1"/>
  <c r="F53" i="11" s="1"/>
  <c r="G53" i="11" s="1"/>
  <c r="F54" i="11" s="1"/>
  <c r="G54" i="11" s="1"/>
  <c r="F55" i="11" s="1"/>
  <c r="G55" i="11" s="1"/>
  <c r="F56" i="11" s="1"/>
  <c r="G56" i="11" s="1"/>
  <c r="F57" i="11" s="1"/>
  <c r="G57" i="11" s="1"/>
  <c r="F58" i="11" s="1"/>
  <c r="G58" i="11" s="1"/>
  <c r="F59" i="11" s="1"/>
  <c r="G59" i="11" s="1"/>
  <c r="F60" i="11" s="1"/>
  <c r="G60" i="11" s="1"/>
  <c r="F61" i="11" s="1"/>
  <c r="G61" i="11" s="1"/>
  <c r="F62" i="11" s="1"/>
  <c r="G62" i="11" s="1"/>
  <c r="F63" i="11" s="1"/>
  <c r="G63" i="11" s="1"/>
  <c r="F64" i="11" s="1"/>
  <c r="G64" i="11" s="1"/>
  <c r="F65" i="11" s="1"/>
  <c r="G65" i="11" s="1"/>
  <c r="F66" i="11" s="1"/>
  <c r="G66" i="11" s="1"/>
  <c r="F67" i="11" s="1"/>
  <c r="G67" i="11" s="1"/>
  <c r="F68" i="11" s="1"/>
  <c r="G68" i="11" s="1"/>
  <c r="F69" i="11" s="1"/>
  <c r="G69" i="11" s="1"/>
  <c r="F70" i="11" s="1"/>
  <c r="G70" i="11" s="1"/>
  <c r="F71" i="11" s="1"/>
  <c r="G71" i="11" s="1"/>
  <c r="F72" i="11" s="1"/>
  <c r="G72" i="11" s="1"/>
  <c r="F73" i="11" s="1"/>
  <c r="G73" i="11" s="1"/>
  <c r="F74" i="11" s="1"/>
  <c r="G74" i="11" s="1"/>
  <c r="F75" i="11" s="1"/>
  <c r="G75" i="11" s="1"/>
  <c r="F76" i="11" s="1"/>
  <c r="G76" i="11" s="1"/>
  <c r="F77" i="11" s="1"/>
  <c r="G77" i="11" s="1"/>
  <c r="F78" i="11" s="1"/>
  <c r="G78" i="11" s="1"/>
  <c r="F79" i="11" s="1"/>
  <c r="G79" i="11" s="1"/>
  <c r="F80" i="11" s="1"/>
  <c r="G80" i="11" s="1"/>
  <c r="F81" i="11" s="1"/>
  <c r="G81" i="11" s="1"/>
  <c r="F82" i="11" s="1"/>
  <c r="G82" i="11" s="1"/>
  <c r="F83" i="11" s="1"/>
  <c r="G83" i="11" s="1"/>
  <c r="F84" i="11" s="1"/>
  <c r="G84" i="11" s="1"/>
  <c r="F85" i="11" s="1"/>
  <c r="G85" i="11" s="1"/>
  <c r="F86" i="11" s="1"/>
  <c r="G86" i="11" s="1"/>
  <c r="F87" i="11" s="1"/>
  <c r="G87" i="11" s="1"/>
  <c r="F88" i="11" s="1"/>
  <c r="G88" i="11" s="1"/>
  <c r="F89" i="11" s="1"/>
  <c r="G89" i="11" s="1"/>
  <c r="F90" i="11" s="1"/>
  <c r="G90" i="11" s="1"/>
  <c r="F91" i="11" s="1"/>
  <c r="G91" i="11" s="1"/>
  <c r="F92" i="11" s="1"/>
  <c r="G92" i="11" s="1"/>
  <c r="F93" i="11" s="1"/>
  <c r="G93" i="11" s="1"/>
  <c r="F94" i="11" s="1"/>
  <c r="G94" i="11" s="1"/>
  <c r="F95" i="11" s="1"/>
  <c r="G95" i="11" s="1"/>
  <c r="F96" i="11" s="1"/>
  <c r="G96" i="11" s="1"/>
  <c r="A14" i="11"/>
  <c r="G11" i="2" s="1"/>
  <c r="A12" i="11"/>
  <c r="F11" i="2" s="1"/>
  <c r="C37" i="10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E36" i="10"/>
  <c r="A5" i="10" s="1"/>
  <c r="E36" i="9"/>
  <c r="A5" i="9" s="1"/>
  <c r="C37" i="9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H3" i="7"/>
  <c r="F3" i="7"/>
  <c r="G3" i="7" s="1"/>
  <c r="F4" i="7" s="1"/>
  <c r="G4" i="7" s="1"/>
  <c r="F5" i="7" s="1"/>
  <c r="G5" i="7" s="1"/>
  <c r="F6" i="7" s="1"/>
  <c r="G6" i="7" s="1"/>
  <c r="F7" i="7" s="1"/>
  <c r="G7" i="7" s="1"/>
  <c r="F8" i="7" s="1"/>
  <c r="G8" i="7" s="1"/>
  <c r="F9" i="7" s="1"/>
  <c r="G9" i="7" s="1"/>
  <c r="F10" i="7" s="1"/>
  <c r="G10" i="7" s="1"/>
  <c r="F11" i="7" s="1"/>
  <c r="G11" i="7" s="1"/>
  <c r="F12" i="7" s="1"/>
  <c r="G12" i="7" s="1"/>
  <c r="F13" i="7" s="1"/>
  <c r="G13" i="7" s="1"/>
  <c r="F14" i="7" s="1"/>
  <c r="G14" i="7" s="1"/>
  <c r="F15" i="7" s="1"/>
  <c r="G15" i="7" s="1"/>
  <c r="F16" i="7" s="1"/>
  <c r="G16" i="7" s="1"/>
  <c r="F17" i="7" s="1"/>
  <c r="G17" i="7" s="1"/>
  <c r="F18" i="7" s="1"/>
  <c r="G18" i="7" s="1"/>
  <c r="F19" i="7" s="1"/>
  <c r="G19" i="7" s="1"/>
  <c r="F20" i="7" s="1"/>
  <c r="G20" i="7" s="1"/>
  <c r="F21" i="7" s="1"/>
  <c r="G21" i="7" s="1"/>
  <c r="F22" i="7" s="1"/>
  <c r="G22" i="7" s="1"/>
  <c r="F23" i="7" s="1"/>
  <c r="G23" i="7" s="1"/>
  <c r="F24" i="7" s="1"/>
  <c r="G24" i="7" s="1"/>
  <c r="F25" i="7" s="1"/>
  <c r="G25" i="7" s="1"/>
  <c r="F26" i="7" s="1"/>
  <c r="G26" i="7" s="1"/>
  <c r="F27" i="7" s="1"/>
  <c r="G27" i="7" s="1"/>
  <c r="F28" i="7" s="1"/>
  <c r="G28" i="7" s="1"/>
  <c r="F29" i="7" s="1"/>
  <c r="G29" i="7" s="1"/>
  <c r="F30" i="7" s="1"/>
  <c r="G30" i="7" s="1"/>
  <c r="F31" i="7" s="1"/>
  <c r="G31" i="7" s="1"/>
  <c r="F32" i="7" s="1"/>
  <c r="G32" i="7" s="1"/>
  <c r="F33" i="7" s="1"/>
  <c r="G33" i="7" s="1"/>
  <c r="F34" i="7" s="1"/>
  <c r="G34" i="7" s="1"/>
  <c r="F35" i="7" s="1"/>
  <c r="G35" i="7" s="1"/>
  <c r="F36" i="7" s="1"/>
  <c r="G36" i="7" s="1"/>
  <c r="F37" i="7" s="1"/>
  <c r="G37" i="7" s="1"/>
  <c r="F38" i="7" s="1"/>
  <c r="G38" i="7" s="1"/>
  <c r="F39" i="7" s="1"/>
  <c r="G39" i="7" s="1"/>
  <c r="F40" i="7" s="1"/>
  <c r="G40" i="7" s="1"/>
  <c r="F41" i="7" s="1"/>
  <c r="G41" i="7" s="1"/>
  <c r="F42" i="7" s="1"/>
  <c r="G42" i="7" s="1"/>
  <c r="F43" i="7" s="1"/>
  <c r="G43" i="7" s="1"/>
  <c r="F44" i="7" s="1"/>
  <c r="G44" i="7" s="1"/>
  <c r="F45" i="7" s="1"/>
  <c r="G45" i="7" s="1"/>
  <c r="F46" i="7" s="1"/>
  <c r="G46" i="7" s="1"/>
  <c r="F47" i="7" s="1"/>
  <c r="G47" i="7" s="1"/>
  <c r="F48" i="7" s="1"/>
  <c r="G48" i="7" s="1"/>
  <c r="F49" i="7" s="1"/>
  <c r="G49" i="7" s="1"/>
  <c r="F50" i="7" s="1"/>
  <c r="G50" i="7" s="1"/>
  <c r="F51" i="7" s="1"/>
  <c r="G51" i="7" s="1"/>
  <c r="F52" i="7" s="1"/>
  <c r="G52" i="7" s="1"/>
  <c r="F53" i="7" s="1"/>
  <c r="G53" i="7" s="1"/>
  <c r="F54" i="7" s="1"/>
  <c r="G54" i="7" s="1"/>
  <c r="F55" i="7" s="1"/>
  <c r="G55" i="7" s="1"/>
  <c r="F56" i="7" s="1"/>
  <c r="G56" i="7" s="1"/>
  <c r="F57" i="7" s="1"/>
  <c r="G57" i="7" s="1"/>
  <c r="F58" i="7" s="1"/>
  <c r="G58" i="7" s="1"/>
  <c r="F59" i="7" s="1"/>
  <c r="G59" i="7" s="1"/>
  <c r="F60" i="7" s="1"/>
  <c r="G60" i="7" s="1"/>
  <c r="F61" i="7" s="1"/>
  <c r="G61" i="7" s="1"/>
  <c r="F62" i="7" s="1"/>
  <c r="G62" i="7" s="1"/>
  <c r="F63" i="7" s="1"/>
  <c r="G63" i="7" s="1"/>
  <c r="F64" i="7" s="1"/>
  <c r="G64" i="7" s="1"/>
  <c r="F65" i="7" s="1"/>
  <c r="G65" i="7" s="1"/>
  <c r="F66" i="7" s="1"/>
  <c r="G66" i="7" s="1"/>
  <c r="F67" i="7" s="1"/>
  <c r="G67" i="7" s="1"/>
  <c r="F68" i="7" s="1"/>
  <c r="G68" i="7" s="1"/>
  <c r="F69" i="7" s="1"/>
  <c r="G69" i="7" s="1"/>
  <c r="F70" i="7" s="1"/>
  <c r="G70" i="7" s="1"/>
  <c r="F71" i="7" s="1"/>
  <c r="G71" i="7" s="1"/>
  <c r="F72" i="7" s="1"/>
  <c r="G72" i="7" s="1"/>
  <c r="F73" i="7" s="1"/>
  <c r="G73" i="7" s="1"/>
  <c r="F74" i="7" s="1"/>
  <c r="G74" i="7" s="1"/>
  <c r="F75" i="7" s="1"/>
  <c r="G75" i="7" s="1"/>
  <c r="F76" i="7" s="1"/>
  <c r="G76" i="7" s="1"/>
  <c r="F77" i="7" s="1"/>
  <c r="G77" i="7" s="1"/>
  <c r="F78" i="7" s="1"/>
  <c r="G78" i="7" s="1"/>
  <c r="F79" i="7" s="1"/>
  <c r="G79" i="7" s="1"/>
  <c r="F80" i="7" s="1"/>
  <c r="G80" i="7" s="1"/>
  <c r="F81" i="7" s="1"/>
  <c r="G81" i="7" s="1"/>
  <c r="F82" i="7" s="1"/>
  <c r="G82" i="7" s="1"/>
  <c r="F83" i="7" s="1"/>
  <c r="G83" i="7" s="1"/>
  <c r="F84" i="7" s="1"/>
  <c r="G84" i="7" s="1"/>
  <c r="F85" i="7" s="1"/>
  <c r="G85" i="7" s="1"/>
  <c r="F86" i="7" s="1"/>
  <c r="G86" i="7" s="1"/>
  <c r="F87" i="7" s="1"/>
  <c r="G87" i="7" s="1"/>
  <c r="F88" i="7" s="1"/>
  <c r="G88" i="7" s="1"/>
  <c r="F89" i="7" s="1"/>
  <c r="G89" i="7" s="1"/>
  <c r="F90" i="7" s="1"/>
  <c r="G90" i="7" s="1"/>
  <c r="F91" i="7" s="1"/>
  <c r="G91" i="7" s="1"/>
  <c r="F92" i="7" s="1"/>
  <c r="G92" i="7" s="1"/>
  <c r="F93" i="7" s="1"/>
  <c r="G93" i="7" s="1"/>
  <c r="F94" i="7" s="1"/>
  <c r="G94" i="7" s="1"/>
  <c r="F95" i="7" s="1"/>
  <c r="G95" i="7" s="1"/>
  <c r="F96" i="7" s="1"/>
  <c r="G96" i="7" s="1"/>
  <c r="A12" i="7"/>
  <c r="F7" i="2" s="1"/>
  <c r="A14" i="7"/>
  <c r="G7" i="2" s="1"/>
  <c r="C37" i="6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E36" i="6"/>
  <c r="A5" i="6" s="1"/>
  <c r="A10" i="5"/>
  <c r="A14" i="5" s="1"/>
  <c r="G5" i="2" s="1"/>
  <c r="F3" i="5"/>
  <c r="G3" i="5" s="1"/>
  <c r="F4" i="5" s="1"/>
  <c r="G4" i="5" s="1"/>
  <c r="F5" i="5" s="1"/>
  <c r="G5" i="5" s="1"/>
  <c r="F6" i="5" s="1"/>
  <c r="G6" i="5" s="1"/>
  <c r="F7" i="5" s="1"/>
  <c r="G7" i="5" s="1"/>
  <c r="F8" i="5" s="1"/>
  <c r="G8" i="5" s="1"/>
  <c r="F9" i="5" s="1"/>
  <c r="G9" i="5" s="1"/>
  <c r="F10" i="5" s="1"/>
  <c r="G10" i="5" s="1"/>
  <c r="F11" i="5" s="1"/>
  <c r="G11" i="5" s="1"/>
  <c r="F12" i="5" s="1"/>
  <c r="G12" i="5" s="1"/>
  <c r="F13" i="5" s="1"/>
  <c r="G13" i="5" s="1"/>
  <c r="F14" i="5" s="1"/>
  <c r="G14" i="5" s="1"/>
  <c r="F15" i="5" s="1"/>
  <c r="G15" i="5" s="1"/>
  <c r="F16" i="5" s="1"/>
  <c r="G16" i="5" s="1"/>
  <c r="F17" i="5" s="1"/>
  <c r="G17" i="5" s="1"/>
  <c r="F18" i="5" s="1"/>
  <c r="G18" i="5" s="1"/>
  <c r="F19" i="5" s="1"/>
  <c r="G19" i="5" s="1"/>
  <c r="F20" i="5" s="1"/>
  <c r="G20" i="5" s="1"/>
  <c r="F21" i="5" s="1"/>
  <c r="G21" i="5" s="1"/>
  <c r="F22" i="5" s="1"/>
  <c r="G22" i="5" s="1"/>
  <c r="F23" i="5" s="1"/>
  <c r="G23" i="5" s="1"/>
  <c r="F24" i="5" s="1"/>
  <c r="G24" i="5" s="1"/>
  <c r="F25" i="5" s="1"/>
  <c r="G25" i="5" s="1"/>
  <c r="F26" i="5" s="1"/>
  <c r="G26" i="5" s="1"/>
  <c r="F27" i="5" s="1"/>
  <c r="G27" i="5" s="1"/>
  <c r="F28" i="5" s="1"/>
  <c r="G28" i="5" s="1"/>
  <c r="F29" i="5" s="1"/>
  <c r="G29" i="5" s="1"/>
  <c r="F30" i="5" s="1"/>
  <c r="G30" i="5" s="1"/>
  <c r="F31" i="5" s="1"/>
  <c r="G31" i="5" s="1"/>
  <c r="F32" i="5" s="1"/>
  <c r="G32" i="5" s="1"/>
  <c r="F33" i="5" s="1"/>
  <c r="G33" i="5" s="1"/>
  <c r="F34" i="5" s="1"/>
  <c r="G34" i="5" s="1"/>
  <c r="F35" i="5" s="1"/>
  <c r="G35" i="5" s="1"/>
  <c r="F36" i="5" s="1"/>
  <c r="G36" i="5" s="1"/>
  <c r="F37" i="5" s="1"/>
  <c r="G37" i="5" s="1"/>
  <c r="F38" i="5" s="1"/>
  <c r="G38" i="5" s="1"/>
  <c r="F39" i="5" s="1"/>
  <c r="G39" i="5" s="1"/>
  <c r="F40" i="5" s="1"/>
  <c r="G40" i="5" s="1"/>
  <c r="F41" i="5" s="1"/>
  <c r="G41" i="5" s="1"/>
  <c r="F42" i="5" s="1"/>
  <c r="G42" i="5" s="1"/>
  <c r="F43" i="5" s="1"/>
  <c r="G43" i="5" s="1"/>
  <c r="F44" i="5" s="1"/>
  <c r="G44" i="5" s="1"/>
  <c r="F45" i="5" s="1"/>
  <c r="G45" i="5" s="1"/>
  <c r="F46" i="5" s="1"/>
  <c r="G46" i="5" s="1"/>
  <c r="F47" i="5" s="1"/>
  <c r="G47" i="5" s="1"/>
  <c r="F48" i="5" s="1"/>
  <c r="G48" i="5" s="1"/>
  <c r="F49" i="5" s="1"/>
  <c r="G49" i="5" s="1"/>
  <c r="F50" i="5" s="1"/>
  <c r="G50" i="5" s="1"/>
  <c r="F51" i="5" s="1"/>
  <c r="G51" i="5" s="1"/>
  <c r="F52" i="5" s="1"/>
  <c r="G52" i="5" s="1"/>
  <c r="F53" i="5" s="1"/>
  <c r="G53" i="5" s="1"/>
  <c r="F54" i="5" s="1"/>
  <c r="G54" i="5" s="1"/>
  <c r="F55" i="5" s="1"/>
  <c r="G55" i="5" s="1"/>
  <c r="F56" i="5" s="1"/>
  <c r="G56" i="5" s="1"/>
  <c r="F57" i="5" s="1"/>
  <c r="G57" i="5" s="1"/>
  <c r="F58" i="5" s="1"/>
  <c r="G58" i="5" s="1"/>
  <c r="F59" i="5" s="1"/>
  <c r="G59" i="5" s="1"/>
  <c r="F60" i="5" s="1"/>
  <c r="G60" i="5" s="1"/>
  <c r="F61" i="5" s="1"/>
  <c r="G61" i="5" s="1"/>
  <c r="F62" i="5" s="1"/>
  <c r="G62" i="5" s="1"/>
  <c r="F63" i="5" s="1"/>
  <c r="G63" i="5" s="1"/>
  <c r="F64" i="5" s="1"/>
  <c r="G64" i="5" s="1"/>
  <c r="F65" i="5" s="1"/>
  <c r="G65" i="5" s="1"/>
  <c r="F66" i="5" s="1"/>
  <c r="G66" i="5" s="1"/>
  <c r="F67" i="5" s="1"/>
  <c r="G67" i="5" s="1"/>
  <c r="F68" i="5" s="1"/>
  <c r="G68" i="5" s="1"/>
  <c r="F69" i="5" s="1"/>
  <c r="G69" i="5" s="1"/>
  <c r="F70" i="5" s="1"/>
  <c r="G70" i="5" s="1"/>
  <c r="F71" i="5" s="1"/>
  <c r="G71" i="5" s="1"/>
  <c r="F72" i="5" s="1"/>
  <c r="G72" i="5" s="1"/>
  <c r="F73" i="5" s="1"/>
  <c r="G73" i="5" s="1"/>
  <c r="F74" i="5" s="1"/>
  <c r="G74" i="5" s="1"/>
  <c r="F75" i="5" s="1"/>
  <c r="G75" i="5" s="1"/>
  <c r="F76" i="5" s="1"/>
  <c r="G76" i="5" s="1"/>
  <c r="F77" i="5" s="1"/>
  <c r="G77" i="5" s="1"/>
  <c r="F78" i="5" s="1"/>
  <c r="G78" i="5" s="1"/>
  <c r="F79" i="5" s="1"/>
  <c r="G79" i="5" s="1"/>
  <c r="F80" i="5" s="1"/>
  <c r="G80" i="5" s="1"/>
  <c r="F81" i="5" s="1"/>
  <c r="G81" i="5" s="1"/>
  <c r="F82" i="5" s="1"/>
  <c r="G82" i="5" s="1"/>
  <c r="F83" i="5" s="1"/>
  <c r="G83" i="5" s="1"/>
  <c r="F84" i="5" s="1"/>
  <c r="G84" i="5" s="1"/>
  <c r="F85" i="5" s="1"/>
  <c r="G85" i="5" s="1"/>
  <c r="F86" i="5" s="1"/>
  <c r="G86" i="5" s="1"/>
  <c r="F87" i="5" s="1"/>
  <c r="G87" i="5" s="1"/>
  <c r="F88" i="5" s="1"/>
  <c r="G88" i="5" s="1"/>
  <c r="F89" i="5" s="1"/>
  <c r="G89" i="5" s="1"/>
  <c r="F90" i="5" s="1"/>
  <c r="G90" i="5" s="1"/>
  <c r="F91" i="5" s="1"/>
  <c r="G91" i="5" s="1"/>
  <c r="F92" i="5" s="1"/>
  <c r="G92" i="5" s="1"/>
  <c r="F93" i="5" s="1"/>
  <c r="G93" i="5" s="1"/>
  <c r="F94" i="5" s="1"/>
  <c r="G94" i="5" s="1"/>
  <c r="F95" i="5" s="1"/>
  <c r="G95" i="5" s="1"/>
  <c r="F96" i="5" s="1"/>
  <c r="G96" i="5" s="1"/>
  <c r="F8" i="2" l="1"/>
  <c r="A26" i="8"/>
  <c r="J3" i="8"/>
  <c r="I3" i="8"/>
  <c r="H4" i="8" s="1"/>
  <c r="K3" i="8"/>
  <c r="L3" i="8" s="1"/>
  <c r="F3" i="9"/>
  <c r="G3" i="9" s="1"/>
  <c r="F4" i="9" s="1"/>
  <c r="G4" i="9" s="1"/>
  <c r="F5" i="9" s="1"/>
  <c r="G5" i="9" s="1"/>
  <c r="F6" i="9" s="1"/>
  <c r="G6" i="9" s="1"/>
  <c r="F7" i="9" s="1"/>
  <c r="G7" i="9" s="1"/>
  <c r="F8" i="9" s="1"/>
  <c r="G8" i="9" s="1"/>
  <c r="F9" i="9" s="1"/>
  <c r="G9" i="9" s="1"/>
  <c r="F10" i="9" s="1"/>
  <c r="G10" i="9" s="1"/>
  <c r="F11" i="9" s="1"/>
  <c r="G11" i="9" s="1"/>
  <c r="F12" i="9" s="1"/>
  <c r="G12" i="9" s="1"/>
  <c r="F13" i="9" s="1"/>
  <c r="G13" i="9" s="1"/>
  <c r="F14" i="9" s="1"/>
  <c r="G14" i="9" s="1"/>
  <c r="F15" i="9" s="1"/>
  <c r="G15" i="9" s="1"/>
  <c r="F16" i="9" s="1"/>
  <c r="G16" i="9" s="1"/>
  <c r="F17" i="9" s="1"/>
  <c r="G17" i="9" s="1"/>
  <c r="F18" i="9" s="1"/>
  <c r="G18" i="9" s="1"/>
  <c r="F19" i="9" s="1"/>
  <c r="G19" i="9" s="1"/>
  <c r="F20" i="9" s="1"/>
  <c r="G20" i="9" s="1"/>
  <c r="F21" i="9" s="1"/>
  <c r="G21" i="9" s="1"/>
  <c r="F22" i="9" s="1"/>
  <c r="G22" i="9" s="1"/>
  <c r="F23" i="9" s="1"/>
  <c r="G23" i="9" s="1"/>
  <c r="F24" i="9" s="1"/>
  <c r="G24" i="9" s="1"/>
  <c r="F25" i="9" s="1"/>
  <c r="G25" i="9" s="1"/>
  <c r="F26" i="9" s="1"/>
  <c r="G26" i="9" s="1"/>
  <c r="F27" i="9" s="1"/>
  <c r="G27" i="9" s="1"/>
  <c r="F28" i="9" s="1"/>
  <c r="G28" i="9" s="1"/>
  <c r="F29" i="9" s="1"/>
  <c r="G29" i="9" s="1"/>
  <c r="F30" i="9" s="1"/>
  <c r="G30" i="9" s="1"/>
  <c r="F31" i="9" s="1"/>
  <c r="G31" i="9" s="1"/>
  <c r="F32" i="9" s="1"/>
  <c r="G32" i="9" s="1"/>
  <c r="F33" i="9" s="1"/>
  <c r="G33" i="9" s="1"/>
  <c r="F34" i="9" s="1"/>
  <c r="G34" i="9" s="1"/>
  <c r="F35" i="9" s="1"/>
  <c r="G35" i="9" s="1"/>
  <c r="F36" i="9" s="1"/>
  <c r="G36" i="9" s="1"/>
  <c r="F37" i="9" s="1"/>
  <c r="G37" i="9" s="1"/>
  <c r="F38" i="9" s="1"/>
  <c r="G38" i="9" s="1"/>
  <c r="F39" i="9" s="1"/>
  <c r="G39" i="9" s="1"/>
  <c r="F40" i="9" s="1"/>
  <c r="G40" i="9" s="1"/>
  <c r="F41" i="9" s="1"/>
  <c r="G41" i="9" s="1"/>
  <c r="F42" i="9" s="1"/>
  <c r="G42" i="9" s="1"/>
  <c r="F43" i="9" s="1"/>
  <c r="G43" i="9" s="1"/>
  <c r="F44" i="9" s="1"/>
  <c r="G44" i="9" s="1"/>
  <c r="F45" i="9" s="1"/>
  <c r="G45" i="9" s="1"/>
  <c r="F46" i="9" s="1"/>
  <c r="G46" i="9" s="1"/>
  <c r="F47" i="9" s="1"/>
  <c r="G47" i="9" s="1"/>
  <c r="F48" i="9" s="1"/>
  <c r="G48" i="9" s="1"/>
  <c r="F49" i="9" s="1"/>
  <c r="G49" i="9" s="1"/>
  <c r="F50" i="9" s="1"/>
  <c r="G50" i="9" s="1"/>
  <c r="F51" i="9" s="1"/>
  <c r="G51" i="9" s="1"/>
  <c r="F52" i="9" s="1"/>
  <c r="G52" i="9" s="1"/>
  <c r="F53" i="9" s="1"/>
  <c r="G53" i="9" s="1"/>
  <c r="F54" i="9" s="1"/>
  <c r="G54" i="9" s="1"/>
  <c r="F55" i="9" s="1"/>
  <c r="G55" i="9" s="1"/>
  <c r="F56" i="9" s="1"/>
  <c r="G56" i="9" s="1"/>
  <c r="F57" i="9" s="1"/>
  <c r="G57" i="9" s="1"/>
  <c r="F58" i="9" s="1"/>
  <c r="G58" i="9" s="1"/>
  <c r="F59" i="9" s="1"/>
  <c r="G59" i="9" s="1"/>
  <c r="F60" i="9" s="1"/>
  <c r="G60" i="9" s="1"/>
  <c r="F61" i="9" s="1"/>
  <c r="G61" i="9" s="1"/>
  <c r="F62" i="9" s="1"/>
  <c r="G62" i="9" s="1"/>
  <c r="F63" i="9" s="1"/>
  <c r="G63" i="9" s="1"/>
  <c r="F64" i="9" s="1"/>
  <c r="G64" i="9" s="1"/>
  <c r="F65" i="9" s="1"/>
  <c r="G65" i="9" s="1"/>
  <c r="F66" i="9" s="1"/>
  <c r="G66" i="9" s="1"/>
  <c r="F67" i="9" s="1"/>
  <c r="G67" i="9" s="1"/>
  <c r="F68" i="9" s="1"/>
  <c r="G68" i="9" s="1"/>
  <c r="F69" i="9" s="1"/>
  <c r="G69" i="9" s="1"/>
  <c r="F70" i="9" s="1"/>
  <c r="G70" i="9" s="1"/>
  <c r="F71" i="9" s="1"/>
  <c r="G71" i="9" s="1"/>
  <c r="F72" i="9" s="1"/>
  <c r="G72" i="9" s="1"/>
  <c r="F73" i="9" s="1"/>
  <c r="G73" i="9" s="1"/>
  <c r="F74" i="9" s="1"/>
  <c r="G74" i="9" s="1"/>
  <c r="F75" i="9" s="1"/>
  <c r="G75" i="9" s="1"/>
  <c r="F76" i="9" s="1"/>
  <c r="G76" i="9" s="1"/>
  <c r="F77" i="9" s="1"/>
  <c r="G77" i="9" s="1"/>
  <c r="F78" i="9" s="1"/>
  <c r="G78" i="9" s="1"/>
  <c r="F79" i="9" s="1"/>
  <c r="G79" i="9" s="1"/>
  <c r="F80" i="9" s="1"/>
  <c r="G80" i="9" s="1"/>
  <c r="F81" i="9" s="1"/>
  <c r="G81" i="9" s="1"/>
  <c r="F82" i="9" s="1"/>
  <c r="G82" i="9" s="1"/>
  <c r="F83" i="9" s="1"/>
  <c r="G83" i="9" s="1"/>
  <c r="F84" i="9" s="1"/>
  <c r="G84" i="9" s="1"/>
  <c r="F85" i="9" s="1"/>
  <c r="G85" i="9" s="1"/>
  <c r="F86" i="9" s="1"/>
  <c r="G86" i="9" s="1"/>
  <c r="F87" i="9" s="1"/>
  <c r="G87" i="9" s="1"/>
  <c r="F88" i="9" s="1"/>
  <c r="G88" i="9" s="1"/>
  <c r="F89" i="9" s="1"/>
  <c r="G89" i="9" s="1"/>
  <c r="F90" i="9" s="1"/>
  <c r="G90" i="9" s="1"/>
  <c r="F91" i="9" s="1"/>
  <c r="G91" i="9" s="1"/>
  <c r="F92" i="9" s="1"/>
  <c r="G92" i="9" s="1"/>
  <c r="F93" i="9" s="1"/>
  <c r="G93" i="9" s="1"/>
  <c r="F94" i="9" s="1"/>
  <c r="G94" i="9" s="1"/>
  <c r="F95" i="9" s="1"/>
  <c r="G95" i="9" s="1"/>
  <c r="F96" i="9" s="1"/>
  <c r="G96" i="9" s="1"/>
  <c r="A14" i="9"/>
  <c r="G9" i="2" s="1"/>
  <c r="A12" i="9"/>
  <c r="H3" i="9"/>
  <c r="H3" i="6"/>
  <c r="F3" i="6"/>
  <c r="G3" i="6" s="1"/>
  <c r="F4" i="6" s="1"/>
  <c r="G4" i="6" s="1"/>
  <c r="F5" i="6" s="1"/>
  <c r="G5" i="6" s="1"/>
  <c r="F6" i="6" s="1"/>
  <c r="G6" i="6" s="1"/>
  <c r="F7" i="6" s="1"/>
  <c r="G7" i="6" s="1"/>
  <c r="F8" i="6" s="1"/>
  <c r="G8" i="6" s="1"/>
  <c r="F9" i="6" s="1"/>
  <c r="G9" i="6" s="1"/>
  <c r="F10" i="6" s="1"/>
  <c r="G10" i="6" s="1"/>
  <c r="F11" i="6" s="1"/>
  <c r="G11" i="6" s="1"/>
  <c r="F12" i="6" s="1"/>
  <c r="G12" i="6" s="1"/>
  <c r="F13" i="6" s="1"/>
  <c r="G13" i="6" s="1"/>
  <c r="F14" i="6" s="1"/>
  <c r="G14" i="6" s="1"/>
  <c r="F15" i="6" s="1"/>
  <c r="G15" i="6" s="1"/>
  <c r="F16" i="6" s="1"/>
  <c r="G16" i="6" s="1"/>
  <c r="F17" i="6" s="1"/>
  <c r="G17" i="6" s="1"/>
  <c r="F18" i="6" s="1"/>
  <c r="G18" i="6" s="1"/>
  <c r="F19" i="6" s="1"/>
  <c r="G19" i="6" s="1"/>
  <c r="F20" i="6" s="1"/>
  <c r="G20" i="6" s="1"/>
  <c r="F21" i="6" s="1"/>
  <c r="G21" i="6" s="1"/>
  <c r="F22" i="6" s="1"/>
  <c r="G22" i="6" s="1"/>
  <c r="F23" i="6" s="1"/>
  <c r="G23" i="6" s="1"/>
  <c r="F24" i="6" s="1"/>
  <c r="G24" i="6" s="1"/>
  <c r="F25" i="6" s="1"/>
  <c r="G25" i="6" s="1"/>
  <c r="F26" i="6" s="1"/>
  <c r="G26" i="6" s="1"/>
  <c r="F27" i="6" s="1"/>
  <c r="G27" i="6" s="1"/>
  <c r="F28" i="6" s="1"/>
  <c r="G28" i="6" s="1"/>
  <c r="F29" i="6" s="1"/>
  <c r="G29" i="6" s="1"/>
  <c r="F30" i="6" s="1"/>
  <c r="G30" i="6" s="1"/>
  <c r="F31" i="6" s="1"/>
  <c r="G31" i="6" s="1"/>
  <c r="F32" i="6" s="1"/>
  <c r="G32" i="6" s="1"/>
  <c r="F33" i="6" s="1"/>
  <c r="G33" i="6" s="1"/>
  <c r="F34" i="6" s="1"/>
  <c r="G34" i="6" s="1"/>
  <c r="F35" i="6" s="1"/>
  <c r="G35" i="6" s="1"/>
  <c r="F36" i="6" s="1"/>
  <c r="G36" i="6" s="1"/>
  <c r="F37" i="6" s="1"/>
  <c r="G37" i="6" s="1"/>
  <c r="F38" i="6" s="1"/>
  <c r="G38" i="6" s="1"/>
  <c r="F39" i="6" s="1"/>
  <c r="G39" i="6" s="1"/>
  <c r="F40" i="6" s="1"/>
  <c r="G40" i="6" s="1"/>
  <c r="F41" i="6" s="1"/>
  <c r="G41" i="6" s="1"/>
  <c r="F42" i="6" s="1"/>
  <c r="G42" i="6" s="1"/>
  <c r="F43" i="6" s="1"/>
  <c r="G43" i="6" s="1"/>
  <c r="F44" i="6" s="1"/>
  <c r="G44" i="6" s="1"/>
  <c r="F45" i="6" s="1"/>
  <c r="G45" i="6" s="1"/>
  <c r="F46" i="6" s="1"/>
  <c r="G46" i="6" s="1"/>
  <c r="F47" i="6" s="1"/>
  <c r="G47" i="6" s="1"/>
  <c r="F48" i="6" s="1"/>
  <c r="G48" i="6" s="1"/>
  <c r="F49" i="6" s="1"/>
  <c r="G49" i="6" s="1"/>
  <c r="F50" i="6" s="1"/>
  <c r="G50" i="6" s="1"/>
  <c r="F51" i="6" s="1"/>
  <c r="G51" i="6" s="1"/>
  <c r="F52" i="6" s="1"/>
  <c r="G52" i="6" s="1"/>
  <c r="F53" i="6" s="1"/>
  <c r="G53" i="6" s="1"/>
  <c r="F54" i="6" s="1"/>
  <c r="G54" i="6" s="1"/>
  <c r="F55" i="6" s="1"/>
  <c r="G55" i="6" s="1"/>
  <c r="F56" i="6" s="1"/>
  <c r="G56" i="6" s="1"/>
  <c r="F57" i="6" s="1"/>
  <c r="G57" i="6" s="1"/>
  <c r="F58" i="6" s="1"/>
  <c r="G58" i="6" s="1"/>
  <c r="F59" i="6" s="1"/>
  <c r="G59" i="6" s="1"/>
  <c r="F60" i="6" s="1"/>
  <c r="G60" i="6" s="1"/>
  <c r="F61" i="6" s="1"/>
  <c r="G61" i="6" s="1"/>
  <c r="F62" i="6" s="1"/>
  <c r="G62" i="6" s="1"/>
  <c r="F63" i="6" s="1"/>
  <c r="G63" i="6" s="1"/>
  <c r="F64" i="6" s="1"/>
  <c r="G64" i="6" s="1"/>
  <c r="F65" i="6" s="1"/>
  <c r="G65" i="6" s="1"/>
  <c r="F66" i="6" s="1"/>
  <c r="G66" i="6" s="1"/>
  <c r="F67" i="6" s="1"/>
  <c r="G67" i="6" s="1"/>
  <c r="F68" i="6" s="1"/>
  <c r="G68" i="6" s="1"/>
  <c r="F69" i="6" s="1"/>
  <c r="G69" i="6" s="1"/>
  <c r="F70" i="6" s="1"/>
  <c r="G70" i="6" s="1"/>
  <c r="F71" i="6" s="1"/>
  <c r="G71" i="6" s="1"/>
  <c r="F72" i="6" s="1"/>
  <c r="G72" i="6" s="1"/>
  <c r="F73" i="6" s="1"/>
  <c r="G73" i="6" s="1"/>
  <c r="F74" i="6" s="1"/>
  <c r="G74" i="6" s="1"/>
  <c r="F75" i="6" s="1"/>
  <c r="G75" i="6" s="1"/>
  <c r="F76" i="6" s="1"/>
  <c r="G76" i="6" s="1"/>
  <c r="F77" i="6" s="1"/>
  <c r="G77" i="6" s="1"/>
  <c r="F78" i="6" s="1"/>
  <c r="G78" i="6" s="1"/>
  <c r="F79" i="6" s="1"/>
  <c r="G79" i="6" s="1"/>
  <c r="F80" i="6" s="1"/>
  <c r="G80" i="6" s="1"/>
  <c r="F81" i="6" s="1"/>
  <c r="G81" i="6" s="1"/>
  <c r="F82" i="6" s="1"/>
  <c r="G82" i="6" s="1"/>
  <c r="F83" i="6" s="1"/>
  <c r="G83" i="6" s="1"/>
  <c r="F84" i="6" s="1"/>
  <c r="G84" i="6" s="1"/>
  <c r="F85" i="6" s="1"/>
  <c r="G85" i="6" s="1"/>
  <c r="F86" i="6" s="1"/>
  <c r="G86" i="6" s="1"/>
  <c r="F87" i="6" s="1"/>
  <c r="G87" i="6" s="1"/>
  <c r="F88" i="6" s="1"/>
  <c r="G88" i="6" s="1"/>
  <c r="F89" i="6" s="1"/>
  <c r="G89" i="6" s="1"/>
  <c r="F90" i="6" s="1"/>
  <c r="G90" i="6" s="1"/>
  <c r="F91" i="6" s="1"/>
  <c r="G91" i="6" s="1"/>
  <c r="F92" i="6" s="1"/>
  <c r="G92" i="6" s="1"/>
  <c r="F93" i="6" s="1"/>
  <c r="G93" i="6" s="1"/>
  <c r="F94" i="6" s="1"/>
  <c r="G94" i="6" s="1"/>
  <c r="F95" i="6" s="1"/>
  <c r="G95" i="6" s="1"/>
  <c r="F96" i="6" s="1"/>
  <c r="G96" i="6" s="1"/>
  <c r="A14" i="6"/>
  <c r="G6" i="2" s="1"/>
  <c r="A12" i="6"/>
  <c r="F3" i="10"/>
  <c r="G3" i="10" s="1"/>
  <c r="F4" i="10" s="1"/>
  <c r="G4" i="10" s="1"/>
  <c r="F5" i="10" s="1"/>
  <c r="G5" i="10" s="1"/>
  <c r="F6" i="10" s="1"/>
  <c r="G6" i="10" s="1"/>
  <c r="F7" i="10" s="1"/>
  <c r="G7" i="10" s="1"/>
  <c r="F8" i="10" s="1"/>
  <c r="G8" i="10" s="1"/>
  <c r="F9" i="10" s="1"/>
  <c r="G9" i="10" s="1"/>
  <c r="F10" i="10" s="1"/>
  <c r="G10" i="10" s="1"/>
  <c r="F11" i="10" s="1"/>
  <c r="G11" i="10" s="1"/>
  <c r="F12" i="10" s="1"/>
  <c r="G12" i="10" s="1"/>
  <c r="F13" i="10" s="1"/>
  <c r="G13" i="10" s="1"/>
  <c r="F14" i="10" s="1"/>
  <c r="G14" i="10" s="1"/>
  <c r="F15" i="10" s="1"/>
  <c r="G15" i="10" s="1"/>
  <c r="F16" i="10" s="1"/>
  <c r="G16" i="10" s="1"/>
  <c r="F17" i="10" s="1"/>
  <c r="G17" i="10" s="1"/>
  <c r="F18" i="10" s="1"/>
  <c r="G18" i="10" s="1"/>
  <c r="F19" i="10" s="1"/>
  <c r="G19" i="10" s="1"/>
  <c r="F20" i="10" s="1"/>
  <c r="G20" i="10" s="1"/>
  <c r="F21" i="10" s="1"/>
  <c r="G21" i="10" s="1"/>
  <c r="F22" i="10" s="1"/>
  <c r="G22" i="10" s="1"/>
  <c r="F23" i="10" s="1"/>
  <c r="G23" i="10" s="1"/>
  <c r="F24" i="10" s="1"/>
  <c r="G24" i="10" s="1"/>
  <c r="F25" i="10" s="1"/>
  <c r="G25" i="10" s="1"/>
  <c r="F26" i="10" s="1"/>
  <c r="G26" i="10" s="1"/>
  <c r="F27" i="10" s="1"/>
  <c r="G27" i="10" s="1"/>
  <c r="F28" i="10" s="1"/>
  <c r="G28" i="10" s="1"/>
  <c r="F29" i="10" s="1"/>
  <c r="G29" i="10" s="1"/>
  <c r="F30" i="10" s="1"/>
  <c r="G30" i="10" s="1"/>
  <c r="F31" i="10" s="1"/>
  <c r="G31" i="10" s="1"/>
  <c r="F32" i="10" s="1"/>
  <c r="G32" i="10" s="1"/>
  <c r="F33" i="10" s="1"/>
  <c r="G33" i="10" s="1"/>
  <c r="F34" i="10" s="1"/>
  <c r="G34" i="10" s="1"/>
  <c r="F35" i="10" s="1"/>
  <c r="G35" i="10" s="1"/>
  <c r="F36" i="10" s="1"/>
  <c r="G36" i="10" s="1"/>
  <c r="F37" i="10" s="1"/>
  <c r="G37" i="10" s="1"/>
  <c r="F38" i="10" s="1"/>
  <c r="G38" i="10" s="1"/>
  <c r="F39" i="10" s="1"/>
  <c r="G39" i="10" s="1"/>
  <c r="F40" i="10" s="1"/>
  <c r="G40" i="10" s="1"/>
  <c r="F41" i="10" s="1"/>
  <c r="G41" i="10" s="1"/>
  <c r="F42" i="10" s="1"/>
  <c r="G42" i="10" s="1"/>
  <c r="F43" i="10" s="1"/>
  <c r="G43" i="10" s="1"/>
  <c r="F44" i="10" s="1"/>
  <c r="G44" i="10" s="1"/>
  <c r="F45" i="10" s="1"/>
  <c r="G45" i="10" s="1"/>
  <c r="F46" i="10" s="1"/>
  <c r="G46" i="10" s="1"/>
  <c r="F47" i="10" s="1"/>
  <c r="G47" i="10" s="1"/>
  <c r="F48" i="10" s="1"/>
  <c r="G48" i="10" s="1"/>
  <c r="F49" i="10" s="1"/>
  <c r="G49" i="10" s="1"/>
  <c r="F50" i="10" s="1"/>
  <c r="G50" i="10" s="1"/>
  <c r="F51" i="10" s="1"/>
  <c r="G51" i="10" s="1"/>
  <c r="F52" i="10" s="1"/>
  <c r="G52" i="10" s="1"/>
  <c r="F53" i="10" s="1"/>
  <c r="G53" i="10" s="1"/>
  <c r="F54" i="10" s="1"/>
  <c r="G54" i="10" s="1"/>
  <c r="F55" i="10" s="1"/>
  <c r="G55" i="10" s="1"/>
  <c r="F56" i="10" s="1"/>
  <c r="G56" i="10" s="1"/>
  <c r="F57" i="10" s="1"/>
  <c r="G57" i="10" s="1"/>
  <c r="F58" i="10" s="1"/>
  <c r="G58" i="10" s="1"/>
  <c r="F59" i="10" s="1"/>
  <c r="G59" i="10" s="1"/>
  <c r="F60" i="10" s="1"/>
  <c r="G60" i="10" s="1"/>
  <c r="F61" i="10" s="1"/>
  <c r="G61" i="10" s="1"/>
  <c r="F62" i="10" s="1"/>
  <c r="G62" i="10" s="1"/>
  <c r="F63" i="10" s="1"/>
  <c r="G63" i="10" s="1"/>
  <c r="F64" i="10" s="1"/>
  <c r="G64" i="10" s="1"/>
  <c r="F65" i="10" s="1"/>
  <c r="G65" i="10" s="1"/>
  <c r="F66" i="10" s="1"/>
  <c r="G66" i="10" s="1"/>
  <c r="F67" i="10" s="1"/>
  <c r="G67" i="10" s="1"/>
  <c r="F68" i="10" s="1"/>
  <c r="G68" i="10" s="1"/>
  <c r="F69" i="10" s="1"/>
  <c r="G69" i="10" s="1"/>
  <c r="F70" i="10" s="1"/>
  <c r="G70" i="10" s="1"/>
  <c r="F71" i="10" s="1"/>
  <c r="G71" i="10" s="1"/>
  <c r="F72" i="10" s="1"/>
  <c r="G72" i="10" s="1"/>
  <c r="F73" i="10" s="1"/>
  <c r="G73" i="10" s="1"/>
  <c r="F74" i="10" s="1"/>
  <c r="G74" i="10" s="1"/>
  <c r="F75" i="10" s="1"/>
  <c r="G75" i="10" s="1"/>
  <c r="F76" i="10" s="1"/>
  <c r="G76" i="10" s="1"/>
  <c r="F77" i="10" s="1"/>
  <c r="G77" i="10" s="1"/>
  <c r="F78" i="10" s="1"/>
  <c r="G78" i="10" s="1"/>
  <c r="F79" i="10" s="1"/>
  <c r="G79" i="10" s="1"/>
  <c r="F80" i="10" s="1"/>
  <c r="G80" i="10" s="1"/>
  <c r="F81" i="10" s="1"/>
  <c r="G81" i="10" s="1"/>
  <c r="F82" i="10" s="1"/>
  <c r="G82" i="10" s="1"/>
  <c r="F83" i="10" s="1"/>
  <c r="G83" i="10" s="1"/>
  <c r="F84" i="10" s="1"/>
  <c r="G84" i="10" s="1"/>
  <c r="F85" i="10" s="1"/>
  <c r="G85" i="10" s="1"/>
  <c r="F86" i="10" s="1"/>
  <c r="G86" i="10" s="1"/>
  <c r="F87" i="10" s="1"/>
  <c r="G87" i="10" s="1"/>
  <c r="F88" i="10" s="1"/>
  <c r="G88" i="10" s="1"/>
  <c r="F89" i="10" s="1"/>
  <c r="G89" i="10" s="1"/>
  <c r="F90" i="10" s="1"/>
  <c r="G90" i="10" s="1"/>
  <c r="F91" i="10" s="1"/>
  <c r="G91" i="10" s="1"/>
  <c r="F92" i="10" s="1"/>
  <c r="G92" i="10" s="1"/>
  <c r="F93" i="10" s="1"/>
  <c r="G93" i="10" s="1"/>
  <c r="F94" i="10" s="1"/>
  <c r="G94" i="10" s="1"/>
  <c r="F95" i="10" s="1"/>
  <c r="G95" i="10" s="1"/>
  <c r="F96" i="10" s="1"/>
  <c r="G96" i="10" s="1"/>
  <c r="A12" i="10"/>
  <c r="F10" i="2" s="1"/>
  <c r="H3" i="10"/>
  <c r="A14" i="10"/>
  <c r="G10" i="2" s="1"/>
  <c r="A26" i="12"/>
  <c r="J3" i="12"/>
  <c r="K3" i="12"/>
  <c r="I3" i="12"/>
  <c r="H4" i="12" s="1"/>
  <c r="A26" i="11"/>
  <c r="K3" i="11"/>
  <c r="I3" i="11"/>
  <c r="H4" i="11" s="1"/>
  <c r="J3" i="11"/>
  <c r="A12" i="5"/>
  <c r="F5" i="2" s="1"/>
  <c r="A26" i="7"/>
  <c r="J3" i="7"/>
  <c r="K3" i="7"/>
  <c r="I3" i="7"/>
  <c r="H4" i="7" s="1"/>
  <c r="I3" i="5"/>
  <c r="H4" i="5" s="1"/>
  <c r="K3" i="5"/>
  <c r="J3" i="5"/>
  <c r="K4" i="8" l="1"/>
  <c r="J4" i="8"/>
  <c r="I4" i="8"/>
  <c r="H5" i="8" s="1"/>
  <c r="K3" i="9"/>
  <c r="J3" i="9"/>
  <c r="I3" i="9"/>
  <c r="H4" i="9" s="1"/>
  <c r="F9" i="2"/>
  <c r="A26" i="9"/>
  <c r="F6" i="2"/>
  <c r="A26" i="6"/>
  <c r="J3" i="6"/>
  <c r="K3" i="6"/>
  <c r="I3" i="6"/>
  <c r="H4" i="6" s="1"/>
  <c r="L3" i="12"/>
  <c r="L3" i="7"/>
  <c r="I3" i="10"/>
  <c r="H4" i="10" s="1"/>
  <c r="K3" i="10"/>
  <c r="J3" i="10"/>
  <c r="A26" i="10"/>
  <c r="K4" i="12"/>
  <c r="I4" i="12"/>
  <c r="H5" i="12" s="1"/>
  <c r="J4" i="12"/>
  <c r="L3" i="11"/>
  <c r="J4" i="11"/>
  <c r="K4" i="11"/>
  <c r="I4" i="11"/>
  <c r="H5" i="11" s="1"/>
  <c r="A26" i="5"/>
  <c r="K4" i="7"/>
  <c r="I4" i="7"/>
  <c r="H5" i="7" s="1"/>
  <c r="J4" i="7"/>
  <c r="L3" i="5"/>
  <c r="K4" i="5"/>
  <c r="J4" i="5"/>
  <c r="I4" i="5"/>
  <c r="H5" i="5" s="1"/>
  <c r="L4" i="8" l="1"/>
  <c r="L3" i="9"/>
  <c r="J5" i="8"/>
  <c r="I5" i="8"/>
  <c r="H6" i="8" s="1"/>
  <c r="K5" i="8"/>
  <c r="L3" i="6"/>
  <c r="K4" i="9"/>
  <c r="I4" i="9"/>
  <c r="H5" i="9" s="1"/>
  <c r="J4" i="9"/>
  <c r="I4" i="6"/>
  <c r="H5" i="6" s="1"/>
  <c r="J4" i="6"/>
  <c r="K4" i="6"/>
  <c r="L3" i="10"/>
  <c r="I4" i="10"/>
  <c r="H5" i="10" s="1"/>
  <c r="K4" i="10"/>
  <c r="J4" i="10"/>
  <c r="L4" i="11"/>
  <c r="L4" i="12"/>
  <c r="J5" i="12"/>
  <c r="K5" i="12"/>
  <c r="I5" i="12"/>
  <c r="H6" i="12" s="1"/>
  <c r="K5" i="11"/>
  <c r="I5" i="11"/>
  <c r="H6" i="11" s="1"/>
  <c r="J5" i="11"/>
  <c r="J5" i="7"/>
  <c r="K5" i="7"/>
  <c r="I5" i="7"/>
  <c r="H6" i="7" s="1"/>
  <c r="L4" i="7"/>
  <c r="L4" i="5"/>
  <c r="K5" i="5"/>
  <c r="J5" i="5"/>
  <c r="I5" i="5"/>
  <c r="H6" i="5" s="1"/>
  <c r="L5" i="8" l="1"/>
  <c r="L4" i="6"/>
  <c r="K6" i="8"/>
  <c r="J6" i="8"/>
  <c r="I6" i="8"/>
  <c r="H7" i="8" s="1"/>
  <c r="K5" i="9"/>
  <c r="J5" i="9"/>
  <c r="I5" i="9"/>
  <c r="H6" i="9" s="1"/>
  <c r="L4" i="9"/>
  <c r="I5" i="6"/>
  <c r="H6" i="6" s="1"/>
  <c r="J5" i="6"/>
  <c r="K5" i="6"/>
  <c r="L5" i="6" s="1"/>
  <c r="L4" i="10"/>
  <c r="L5" i="12"/>
  <c r="I5" i="10"/>
  <c r="H6" i="10" s="1"/>
  <c r="J5" i="10"/>
  <c r="K5" i="10"/>
  <c r="K6" i="12"/>
  <c r="I6" i="12"/>
  <c r="H7" i="12" s="1"/>
  <c r="J6" i="12"/>
  <c r="J6" i="11"/>
  <c r="K6" i="11"/>
  <c r="I6" i="11"/>
  <c r="H7" i="11" s="1"/>
  <c r="L5" i="11"/>
  <c r="L5" i="7"/>
  <c r="K6" i="7"/>
  <c r="I6" i="7"/>
  <c r="H7" i="7" s="1"/>
  <c r="J6" i="7"/>
  <c r="L5" i="5"/>
  <c r="J6" i="5"/>
  <c r="I6" i="5"/>
  <c r="H7" i="5" s="1"/>
  <c r="K6" i="5"/>
  <c r="L6" i="5" s="1"/>
  <c r="L6" i="8" l="1"/>
  <c r="K7" i="8"/>
  <c r="J7" i="8"/>
  <c r="I7" i="8"/>
  <c r="H8" i="8" s="1"/>
  <c r="L5" i="9"/>
  <c r="K6" i="9"/>
  <c r="I6" i="9"/>
  <c r="H7" i="9" s="1"/>
  <c r="J6" i="9"/>
  <c r="L6" i="11"/>
  <c r="M6" i="11" s="1"/>
  <c r="J6" i="6"/>
  <c r="K6" i="6"/>
  <c r="I6" i="6"/>
  <c r="H7" i="6" s="1"/>
  <c r="L5" i="10"/>
  <c r="I6" i="10"/>
  <c r="H7" i="10" s="1"/>
  <c r="K6" i="10"/>
  <c r="J6" i="10"/>
  <c r="L6" i="12"/>
  <c r="K7" i="12"/>
  <c r="I7" i="12"/>
  <c r="H8" i="12" s="1"/>
  <c r="J7" i="12"/>
  <c r="J7" i="11"/>
  <c r="K7" i="11"/>
  <c r="I7" i="11"/>
  <c r="H8" i="11" s="1"/>
  <c r="L6" i="7"/>
  <c r="K7" i="7"/>
  <c r="I7" i="7"/>
  <c r="H8" i="7" s="1"/>
  <c r="J7" i="7"/>
  <c r="J7" i="5"/>
  <c r="I7" i="5"/>
  <c r="H8" i="5" s="1"/>
  <c r="K7" i="5"/>
  <c r="L7" i="5" l="1"/>
  <c r="L7" i="8"/>
  <c r="J8" i="8"/>
  <c r="I8" i="8"/>
  <c r="H9" i="8" s="1"/>
  <c r="K8" i="8"/>
  <c r="J7" i="9"/>
  <c r="K7" i="9"/>
  <c r="I7" i="9"/>
  <c r="H8" i="9" s="1"/>
  <c r="L6" i="9"/>
  <c r="L6" i="6"/>
  <c r="I7" i="6"/>
  <c r="H8" i="6" s="1"/>
  <c r="J7" i="6"/>
  <c r="K7" i="6"/>
  <c r="L6" i="10"/>
  <c r="J7" i="10"/>
  <c r="I7" i="10"/>
  <c r="H8" i="10" s="1"/>
  <c r="K7" i="10"/>
  <c r="L7" i="11"/>
  <c r="M7" i="11" s="1"/>
  <c r="L7" i="12"/>
  <c r="J8" i="12"/>
  <c r="K8" i="12"/>
  <c r="I8" i="12"/>
  <c r="H9" i="12" s="1"/>
  <c r="K8" i="11"/>
  <c r="I8" i="11"/>
  <c r="H9" i="11" s="1"/>
  <c r="J8" i="11"/>
  <c r="L7" i="7"/>
  <c r="J8" i="7"/>
  <c r="K8" i="7"/>
  <c r="I8" i="7"/>
  <c r="H9" i="7" s="1"/>
  <c r="K8" i="5"/>
  <c r="J8" i="5"/>
  <c r="I8" i="5"/>
  <c r="H9" i="5" s="1"/>
  <c r="L7" i="10" l="1"/>
  <c r="L8" i="8"/>
  <c r="L7" i="6"/>
  <c r="L7" i="9"/>
  <c r="J9" i="8"/>
  <c r="I9" i="8"/>
  <c r="H10" i="8" s="1"/>
  <c r="K9" i="8"/>
  <c r="J8" i="9"/>
  <c r="I8" i="9"/>
  <c r="H9" i="9" s="1"/>
  <c r="K8" i="9"/>
  <c r="K8" i="6"/>
  <c r="J8" i="6"/>
  <c r="I8" i="6"/>
  <c r="H9" i="6" s="1"/>
  <c r="L8" i="12"/>
  <c r="I8" i="10"/>
  <c r="H9" i="10" s="1"/>
  <c r="K8" i="10"/>
  <c r="J8" i="10"/>
  <c r="J9" i="12"/>
  <c r="K9" i="12"/>
  <c r="I9" i="12"/>
  <c r="H10" i="12" s="1"/>
  <c r="K9" i="11"/>
  <c r="I9" i="11"/>
  <c r="H10" i="11" s="1"/>
  <c r="J9" i="11"/>
  <c r="L8" i="11"/>
  <c r="L8" i="7"/>
  <c r="J9" i="7"/>
  <c r="K9" i="7"/>
  <c r="I9" i="7"/>
  <c r="H10" i="7" s="1"/>
  <c r="L8" i="5"/>
  <c r="K9" i="5"/>
  <c r="J9" i="5"/>
  <c r="I9" i="5"/>
  <c r="H10" i="5" s="1"/>
  <c r="L9" i="8" l="1"/>
  <c r="L8" i="9"/>
  <c r="J10" i="8"/>
  <c r="K10" i="8"/>
  <c r="I10" i="8"/>
  <c r="H11" i="8" s="1"/>
  <c r="I9" i="9"/>
  <c r="H10" i="9" s="1"/>
  <c r="K9" i="9"/>
  <c r="J9" i="9"/>
  <c r="L8" i="6"/>
  <c r="I9" i="6"/>
  <c r="H10" i="6" s="1"/>
  <c r="K9" i="6"/>
  <c r="J9" i="6"/>
  <c r="L8" i="10"/>
  <c r="L9" i="12"/>
  <c r="K9" i="10"/>
  <c r="J9" i="10"/>
  <c r="I9" i="10"/>
  <c r="H10" i="10" s="1"/>
  <c r="K10" i="12"/>
  <c r="J10" i="12"/>
  <c r="I10" i="12"/>
  <c r="H11" i="12" s="1"/>
  <c r="M8" i="11"/>
  <c r="J10" i="11"/>
  <c r="K10" i="11"/>
  <c r="I10" i="11"/>
  <c r="H11" i="11" s="1"/>
  <c r="L9" i="11"/>
  <c r="M9" i="11" s="1"/>
  <c r="L9" i="7"/>
  <c r="K10" i="7"/>
  <c r="J10" i="7"/>
  <c r="I10" i="7"/>
  <c r="H11" i="7" s="1"/>
  <c r="L9" i="5"/>
  <c r="J10" i="5"/>
  <c r="I10" i="5"/>
  <c r="H11" i="5" s="1"/>
  <c r="K10" i="5"/>
  <c r="L10" i="5" s="1"/>
  <c r="L10" i="8" l="1"/>
  <c r="K11" i="8"/>
  <c r="I11" i="8"/>
  <c r="H12" i="8" s="1"/>
  <c r="J11" i="8"/>
  <c r="L9" i="9"/>
  <c r="J10" i="9"/>
  <c r="K10" i="9"/>
  <c r="I10" i="9"/>
  <c r="H11" i="9" s="1"/>
  <c r="L9" i="6"/>
  <c r="J10" i="6"/>
  <c r="K10" i="6"/>
  <c r="I10" i="6"/>
  <c r="H11" i="6" s="1"/>
  <c r="L10" i="12"/>
  <c r="L9" i="10"/>
  <c r="J10" i="10"/>
  <c r="I10" i="10"/>
  <c r="H11" i="10" s="1"/>
  <c r="K10" i="10"/>
  <c r="K11" i="12"/>
  <c r="J11" i="12"/>
  <c r="I11" i="12"/>
  <c r="H12" i="12" s="1"/>
  <c r="L10" i="11"/>
  <c r="M10" i="11" s="1"/>
  <c r="J11" i="11"/>
  <c r="K11" i="11"/>
  <c r="I11" i="11"/>
  <c r="H12" i="11" s="1"/>
  <c r="L10" i="7"/>
  <c r="K11" i="7"/>
  <c r="J11" i="7"/>
  <c r="I11" i="7"/>
  <c r="H12" i="7" s="1"/>
  <c r="J11" i="5"/>
  <c r="I11" i="5"/>
  <c r="H12" i="5" s="1"/>
  <c r="K11" i="5"/>
  <c r="L11" i="5" s="1"/>
  <c r="L10" i="10" l="1"/>
  <c r="L11" i="8"/>
  <c r="J12" i="8"/>
  <c r="I12" i="8"/>
  <c r="H13" i="8" s="1"/>
  <c r="K12" i="8"/>
  <c r="L10" i="9"/>
  <c r="J11" i="9"/>
  <c r="K11" i="9"/>
  <c r="I11" i="9"/>
  <c r="H12" i="9" s="1"/>
  <c r="L11" i="12"/>
  <c r="L10" i="6"/>
  <c r="I11" i="6"/>
  <c r="H12" i="6" s="1"/>
  <c r="J11" i="6"/>
  <c r="K11" i="6"/>
  <c r="J11" i="10"/>
  <c r="I11" i="10"/>
  <c r="H12" i="10" s="1"/>
  <c r="K11" i="10"/>
  <c r="L11" i="10" s="1"/>
  <c r="L11" i="11"/>
  <c r="M11" i="11" s="1"/>
  <c r="J12" i="12"/>
  <c r="K12" i="12"/>
  <c r="I12" i="12"/>
  <c r="H13" i="12" s="1"/>
  <c r="K12" i="11"/>
  <c r="J12" i="11"/>
  <c r="I12" i="11"/>
  <c r="H13" i="11" s="1"/>
  <c r="L11" i="7"/>
  <c r="J12" i="7"/>
  <c r="K12" i="7"/>
  <c r="I12" i="7"/>
  <c r="H13" i="7" s="1"/>
  <c r="K12" i="5"/>
  <c r="I12" i="5"/>
  <c r="H13" i="5" s="1"/>
  <c r="J12" i="5"/>
  <c r="L12" i="8" l="1"/>
  <c r="J13" i="8"/>
  <c r="I13" i="8"/>
  <c r="H14" i="8" s="1"/>
  <c r="K13" i="8"/>
  <c r="L11" i="9"/>
  <c r="K12" i="9"/>
  <c r="J12" i="9"/>
  <c r="I12" i="9"/>
  <c r="H13" i="9" s="1"/>
  <c r="L11" i="6"/>
  <c r="I12" i="6"/>
  <c r="H13" i="6" s="1"/>
  <c r="K12" i="6"/>
  <c r="J12" i="6"/>
  <c r="K12" i="10"/>
  <c r="I12" i="10"/>
  <c r="H13" i="10" s="1"/>
  <c r="J12" i="10"/>
  <c r="L12" i="12"/>
  <c r="L12" i="11"/>
  <c r="M12" i="11" s="1"/>
  <c r="L12" i="7"/>
  <c r="J13" i="12"/>
  <c r="K13" i="12"/>
  <c r="I13" i="12"/>
  <c r="H14" i="12" s="1"/>
  <c r="K13" i="11"/>
  <c r="J13" i="11"/>
  <c r="I13" i="11"/>
  <c r="H14" i="11" s="1"/>
  <c r="J13" i="7"/>
  <c r="K13" i="7"/>
  <c r="I13" i="7"/>
  <c r="H14" i="7" s="1"/>
  <c r="L12" i="5"/>
  <c r="K13" i="5"/>
  <c r="I13" i="5"/>
  <c r="H14" i="5" s="1"/>
  <c r="J13" i="5"/>
  <c r="L13" i="8" l="1"/>
  <c r="L12" i="9"/>
  <c r="K14" i="8"/>
  <c r="I14" i="8"/>
  <c r="H15" i="8" s="1"/>
  <c r="J14" i="8"/>
  <c r="K13" i="9"/>
  <c r="J13" i="9"/>
  <c r="I13" i="9"/>
  <c r="H14" i="9" s="1"/>
  <c r="L12" i="6"/>
  <c r="I13" i="6"/>
  <c r="H14" i="6" s="1"/>
  <c r="K13" i="6"/>
  <c r="J13" i="6"/>
  <c r="L13" i="12"/>
  <c r="L13" i="11"/>
  <c r="M13" i="11" s="1"/>
  <c r="J13" i="10"/>
  <c r="I13" i="10"/>
  <c r="H14" i="10" s="1"/>
  <c r="K13" i="10"/>
  <c r="L13" i="7"/>
  <c r="L12" i="10"/>
  <c r="K14" i="12"/>
  <c r="J14" i="12"/>
  <c r="I14" i="12"/>
  <c r="H15" i="12" s="1"/>
  <c r="J14" i="11"/>
  <c r="K14" i="11"/>
  <c r="I14" i="11"/>
  <c r="H15" i="11" s="1"/>
  <c r="K14" i="7"/>
  <c r="J14" i="7"/>
  <c r="I14" i="7"/>
  <c r="H15" i="7" s="1"/>
  <c r="L13" i="5"/>
  <c r="J14" i="5"/>
  <c r="I14" i="5"/>
  <c r="H15" i="5" s="1"/>
  <c r="K14" i="5"/>
  <c r="L14" i="5" s="1"/>
  <c r="L13" i="10" l="1"/>
  <c r="L14" i="8"/>
  <c r="K15" i="8"/>
  <c r="I15" i="8"/>
  <c r="H16" i="8" s="1"/>
  <c r="J15" i="8"/>
  <c r="L13" i="9"/>
  <c r="K14" i="9"/>
  <c r="I14" i="9"/>
  <c r="H15" i="9" s="1"/>
  <c r="J14" i="9"/>
  <c r="J14" i="6"/>
  <c r="K14" i="6"/>
  <c r="I14" i="6"/>
  <c r="H15" i="6" s="1"/>
  <c r="L14" i="12"/>
  <c r="L13" i="6"/>
  <c r="K14" i="10"/>
  <c r="I14" i="10"/>
  <c r="H15" i="10" s="1"/>
  <c r="J14" i="10"/>
  <c r="K15" i="12"/>
  <c r="J15" i="12"/>
  <c r="I15" i="12"/>
  <c r="H16" i="12" s="1"/>
  <c r="L14" i="11"/>
  <c r="M14" i="11" s="1"/>
  <c r="J15" i="11"/>
  <c r="K15" i="11"/>
  <c r="I15" i="11"/>
  <c r="H16" i="11" s="1"/>
  <c r="L14" i="7"/>
  <c r="K15" i="7"/>
  <c r="J15" i="7"/>
  <c r="I15" i="7"/>
  <c r="H16" i="7" s="1"/>
  <c r="J15" i="5"/>
  <c r="I15" i="5"/>
  <c r="H16" i="5" s="1"/>
  <c r="K15" i="5"/>
  <c r="L15" i="5" l="1"/>
  <c r="L15" i="8"/>
  <c r="J16" i="8"/>
  <c r="I16" i="8"/>
  <c r="H17" i="8" s="1"/>
  <c r="K16" i="8"/>
  <c r="J15" i="9"/>
  <c r="K15" i="9"/>
  <c r="I15" i="9"/>
  <c r="H16" i="9" s="1"/>
  <c r="L14" i="9"/>
  <c r="L14" i="6"/>
  <c r="M14" i="6" s="1"/>
  <c r="I15" i="6"/>
  <c r="H16" i="6" s="1"/>
  <c r="J15" i="6"/>
  <c r="K15" i="6"/>
  <c r="L15" i="12"/>
  <c r="K15" i="10"/>
  <c r="I15" i="10"/>
  <c r="H16" i="10" s="1"/>
  <c r="J15" i="10"/>
  <c r="L14" i="10"/>
  <c r="L15" i="11"/>
  <c r="M15" i="11" s="1"/>
  <c r="J16" i="12"/>
  <c r="K16" i="12"/>
  <c r="I16" i="12"/>
  <c r="H17" i="12" s="1"/>
  <c r="K16" i="11"/>
  <c r="J16" i="11"/>
  <c r="I16" i="11"/>
  <c r="H17" i="11" s="1"/>
  <c r="L15" i="7"/>
  <c r="J16" i="7"/>
  <c r="K16" i="7"/>
  <c r="I16" i="7"/>
  <c r="H17" i="7" s="1"/>
  <c r="K16" i="5"/>
  <c r="I16" i="5"/>
  <c r="H17" i="5" s="1"/>
  <c r="J16" i="5"/>
  <c r="L16" i="8" l="1"/>
  <c r="L15" i="9"/>
  <c r="J17" i="8"/>
  <c r="I17" i="8"/>
  <c r="H18" i="8" s="1"/>
  <c r="K17" i="8"/>
  <c r="K16" i="9"/>
  <c r="J16" i="9"/>
  <c r="I16" i="9"/>
  <c r="H17" i="9" s="1"/>
  <c r="L15" i="6"/>
  <c r="M15" i="6" s="1"/>
  <c r="K16" i="6"/>
  <c r="J16" i="6"/>
  <c r="I16" i="6"/>
  <c r="H17" i="6" s="1"/>
  <c r="L16" i="7"/>
  <c r="L15" i="10"/>
  <c r="L16" i="12"/>
  <c r="M16" i="12" s="1"/>
  <c r="K16" i="10"/>
  <c r="J16" i="10"/>
  <c r="I16" i="10"/>
  <c r="H17" i="10" s="1"/>
  <c r="J17" i="12"/>
  <c r="K17" i="12"/>
  <c r="I17" i="12"/>
  <c r="H18" i="12" s="1"/>
  <c r="L16" i="11"/>
  <c r="M16" i="11" s="1"/>
  <c r="K17" i="11"/>
  <c r="J17" i="11"/>
  <c r="I17" i="11"/>
  <c r="H18" i="11" s="1"/>
  <c r="J17" i="7"/>
  <c r="K17" i="7"/>
  <c r="I17" i="7"/>
  <c r="H18" i="7" s="1"/>
  <c r="L16" i="5"/>
  <c r="K17" i="5"/>
  <c r="I17" i="5"/>
  <c r="H18" i="5" s="1"/>
  <c r="J17" i="5"/>
  <c r="L17" i="8" l="1"/>
  <c r="L16" i="9"/>
  <c r="M16" i="9" s="1"/>
  <c r="K18" i="8"/>
  <c r="I18" i="8"/>
  <c r="H19" i="8" s="1"/>
  <c r="J18" i="8"/>
  <c r="J17" i="9"/>
  <c r="I17" i="9"/>
  <c r="H18" i="9" s="1"/>
  <c r="K17" i="9"/>
  <c r="L16" i="6"/>
  <c r="M16" i="6" s="1"/>
  <c r="K17" i="6"/>
  <c r="J17" i="6"/>
  <c r="I17" i="6"/>
  <c r="H18" i="6" s="1"/>
  <c r="L17" i="12"/>
  <c r="M17" i="12" s="1"/>
  <c r="K17" i="10"/>
  <c r="J17" i="10"/>
  <c r="I17" i="10"/>
  <c r="H18" i="10" s="1"/>
  <c r="L16" i="10"/>
  <c r="L17" i="11"/>
  <c r="M17" i="11" s="1"/>
  <c r="K18" i="12"/>
  <c r="J18" i="12"/>
  <c r="I18" i="12"/>
  <c r="H19" i="12" s="1"/>
  <c r="J18" i="11"/>
  <c r="K18" i="11"/>
  <c r="I18" i="11"/>
  <c r="H19" i="11" s="1"/>
  <c r="L17" i="7"/>
  <c r="K18" i="7"/>
  <c r="J18" i="7"/>
  <c r="I18" i="7"/>
  <c r="H19" i="7" s="1"/>
  <c r="L17" i="5"/>
  <c r="J18" i="5"/>
  <c r="I18" i="5"/>
  <c r="H19" i="5" s="1"/>
  <c r="K18" i="5"/>
  <c r="L18" i="5" l="1"/>
  <c r="L17" i="9"/>
  <c r="M17" i="9" s="1"/>
  <c r="L18" i="8"/>
  <c r="K19" i="8"/>
  <c r="I19" i="8"/>
  <c r="H20" i="8" s="1"/>
  <c r="J19" i="8"/>
  <c r="L18" i="12"/>
  <c r="M18" i="12" s="1"/>
  <c r="J18" i="9"/>
  <c r="K18" i="9"/>
  <c r="L18" i="9" s="1"/>
  <c r="M18" i="9" s="1"/>
  <c r="I18" i="9"/>
  <c r="H19" i="9" s="1"/>
  <c r="L17" i="6"/>
  <c r="M17" i="6" s="1"/>
  <c r="L17" i="10"/>
  <c r="I18" i="6"/>
  <c r="H19" i="6" s="1"/>
  <c r="J18" i="6"/>
  <c r="K18" i="6"/>
  <c r="J18" i="10"/>
  <c r="K18" i="10"/>
  <c r="I18" i="10"/>
  <c r="H19" i="10" s="1"/>
  <c r="L18" i="11"/>
  <c r="M18" i="11" s="1"/>
  <c r="K19" i="12"/>
  <c r="J19" i="12"/>
  <c r="I19" i="12"/>
  <c r="H20" i="12" s="1"/>
  <c r="J19" i="11"/>
  <c r="K19" i="11"/>
  <c r="I19" i="11"/>
  <c r="H20" i="11" s="1"/>
  <c r="L18" i="7"/>
  <c r="K19" i="7"/>
  <c r="J19" i="7"/>
  <c r="I19" i="7"/>
  <c r="H20" i="7" s="1"/>
  <c r="K19" i="5"/>
  <c r="J19" i="5"/>
  <c r="I19" i="5"/>
  <c r="H20" i="5" s="1"/>
  <c r="L18" i="6" l="1"/>
  <c r="M18" i="6" s="1"/>
  <c r="L19" i="8"/>
  <c r="K20" i="8"/>
  <c r="J20" i="8"/>
  <c r="I20" i="8"/>
  <c r="H21" i="8" s="1"/>
  <c r="J19" i="9"/>
  <c r="K19" i="9"/>
  <c r="L19" i="9" s="1"/>
  <c r="M19" i="9" s="1"/>
  <c r="I19" i="9"/>
  <c r="H20" i="9" s="1"/>
  <c r="L18" i="10"/>
  <c r="J19" i="6"/>
  <c r="K19" i="6"/>
  <c r="I19" i="6"/>
  <c r="H20" i="6" s="1"/>
  <c r="L19" i="12"/>
  <c r="M19" i="12" s="1"/>
  <c r="K19" i="10"/>
  <c r="I19" i="10"/>
  <c r="H20" i="10" s="1"/>
  <c r="J19" i="10"/>
  <c r="J20" i="12"/>
  <c r="K20" i="12"/>
  <c r="I20" i="12"/>
  <c r="H21" i="12" s="1"/>
  <c r="L19" i="11"/>
  <c r="M19" i="11" s="1"/>
  <c r="K20" i="11"/>
  <c r="J20" i="11"/>
  <c r="I20" i="11"/>
  <c r="H21" i="11" s="1"/>
  <c r="L19" i="7"/>
  <c r="J20" i="7"/>
  <c r="K20" i="7"/>
  <c r="I20" i="7"/>
  <c r="H21" i="7" s="1"/>
  <c r="L19" i="5"/>
  <c r="J20" i="5"/>
  <c r="K20" i="5"/>
  <c r="I20" i="5"/>
  <c r="H21" i="5" s="1"/>
  <c r="L20" i="8" l="1"/>
  <c r="J21" i="8"/>
  <c r="I21" i="8"/>
  <c r="H22" i="8" s="1"/>
  <c r="K21" i="8"/>
  <c r="L21" i="8" s="1"/>
  <c r="L19" i="6"/>
  <c r="M19" i="6" s="1"/>
  <c r="K20" i="9"/>
  <c r="J20" i="9"/>
  <c r="I20" i="9"/>
  <c r="H21" i="9" s="1"/>
  <c r="K20" i="6"/>
  <c r="J20" i="6"/>
  <c r="I20" i="6"/>
  <c r="H21" i="6" s="1"/>
  <c r="J20" i="10"/>
  <c r="I20" i="10"/>
  <c r="H21" i="10" s="1"/>
  <c r="K20" i="10"/>
  <c r="L19" i="10"/>
  <c r="L20" i="12"/>
  <c r="M20" i="12" s="1"/>
  <c r="L20" i="11"/>
  <c r="M20" i="11" s="1"/>
  <c r="J21" i="12"/>
  <c r="K21" i="12"/>
  <c r="I21" i="12"/>
  <c r="H22" i="12" s="1"/>
  <c r="K21" i="11"/>
  <c r="J21" i="11"/>
  <c r="I21" i="11"/>
  <c r="H22" i="11" s="1"/>
  <c r="L20" i="7"/>
  <c r="J21" i="7"/>
  <c r="K21" i="7"/>
  <c r="I21" i="7"/>
  <c r="H22" i="7" s="1"/>
  <c r="L20" i="5"/>
  <c r="K21" i="5"/>
  <c r="I21" i="5"/>
  <c r="H22" i="5" s="1"/>
  <c r="J21" i="5"/>
  <c r="L20" i="10" l="1"/>
  <c r="L20" i="9"/>
  <c r="M20" i="9" s="1"/>
  <c r="J22" i="8"/>
  <c r="K22" i="8"/>
  <c r="L22" i="8" s="1"/>
  <c r="I22" i="8"/>
  <c r="H23" i="8" s="1"/>
  <c r="I21" i="9"/>
  <c r="H22" i="9" s="1"/>
  <c r="K21" i="9"/>
  <c r="J21" i="9"/>
  <c r="L21" i="12"/>
  <c r="M21" i="12" s="1"/>
  <c r="K21" i="6"/>
  <c r="J21" i="6"/>
  <c r="I21" i="6"/>
  <c r="H22" i="6" s="1"/>
  <c r="L20" i="6"/>
  <c r="M20" i="6" s="1"/>
  <c r="L21" i="7"/>
  <c r="K21" i="10"/>
  <c r="J21" i="10"/>
  <c r="I21" i="10"/>
  <c r="H22" i="10" s="1"/>
  <c r="L21" i="11"/>
  <c r="M21" i="11" s="1"/>
  <c r="K22" i="12"/>
  <c r="J22" i="12"/>
  <c r="I22" i="12"/>
  <c r="H23" i="12" s="1"/>
  <c r="J22" i="11"/>
  <c r="K22" i="11"/>
  <c r="I22" i="11"/>
  <c r="H23" i="11" s="1"/>
  <c r="K22" i="7"/>
  <c r="J22" i="7"/>
  <c r="I22" i="7"/>
  <c r="H23" i="7" s="1"/>
  <c r="L21" i="5"/>
  <c r="K22" i="5"/>
  <c r="J22" i="5"/>
  <c r="I22" i="5"/>
  <c r="H23" i="5" s="1"/>
  <c r="K23" i="8" l="1"/>
  <c r="L23" i="8" s="1"/>
  <c r="J23" i="8"/>
  <c r="I23" i="8"/>
  <c r="H24" i="8" s="1"/>
  <c r="L21" i="9"/>
  <c r="M21" i="9" s="1"/>
  <c r="J22" i="9"/>
  <c r="K22" i="9"/>
  <c r="I22" i="9"/>
  <c r="H23" i="9" s="1"/>
  <c r="L21" i="10"/>
  <c r="L21" i="6"/>
  <c r="M21" i="6" s="1"/>
  <c r="K22" i="6"/>
  <c r="I22" i="6"/>
  <c r="H23" i="6" s="1"/>
  <c r="J22" i="6"/>
  <c r="L22" i="12"/>
  <c r="M22" i="12" s="1"/>
  <c r="J22" i="10"/>
  <c r="K22" i="10"/>
  <c r="L22" i="10" s="1"/>
  <c r="I22" i="10"/>
  <c r="H23" i="10" s="1"/>
  <c r="L22" i="11"/>
  <c r="M22" i="11" s="1"/>
  <c r="K23" i="12"/>
  <c r="J23" i="12"/>
  <c r="I23" i="12"/>
  <c r="H24" i="12" s="1"/>
  <c r="J23" i="11"/>
  <c r="K23" i="11"/>
  <c r="I23" i="11"/>
  <c r="H24" i="11" s="1"/>
  <c r="L22" i="7"/>
  <c r="K23" i="7"/>
  <c r="J23" i="7"/>
  <c r="I23" i="7"/>
  <c r="H24" i="7" s="1"/>
  <c r="L22" i="5"/>
  <c r="K23" i="5"/>
  <c r="J23" i="5"/>
  <c r="I23" i="5"/>
  <c r="H24" i="5" s="1"/>
  <c r="L22" i="9" l="1"/>
  <c r="M22" i="9" s="1"/>
  <c r="K24" i="8"/>
  <c r="I24" i="8"/>
  <c r="H25" i="8" s="1"/>
  <c r="J24" i="8"/>
  <c r="J23" i="9"/>
  <c r="K23" i="9"/>
  <c r="I23" i="9"/>
  <c r="H24" i="9" s="1"/>
  <c r="J23" i="6"/>
  <c r="K23" i="6"/>
  <c r="I23" i="6"/>
  <c r="H24" i="6" s="1"/>
  <c r="L22" i="6"/>
  <c r="M22" i="6" s="1"/>
  <c r="K23" i="10"/>
  <c r="I23" i="10"/>
  <c r="H24" i="10" s="1"/>
  <c r="J23" i="10"/>
  <c r="K24" i="12"/>
  <c r="J24" i="12"/>
  <c r="I24" i="12"/>
  <c r="H25" i="12" s="1"/>
  <c r="L23" i="12"/>
  <c r="M23" i="12" s="1"/>
  <c r="L23" i="11"/>
  <c r="M23" i="11" s="1"/>
  <c r="J24" i="11"/>
  <c r="K24" i="11"/>
  <c r="I24" i="11"/>
  <c r="H25" i="11" s="1"/>
  <c r="L23" i="7"/>
  <c r="K24" i="7"/>
  <c r="J24" i="7"/>
  <c r="I24" i="7"/>
  <c r="H25" i="7" s="1"/>
  <c r="L23" i="5"/>
  <c r="J24" i="5"/>
  <c r="I24" i="5"/>
  <c r="H25" i="5" s="1"/>
  <c r="K24" i="5"/>
  <c r="L24" i="5" s="1"/>
  <c r="L23" i="9" l="1"/>
  <c r="M23" i="9" s="1"/>
  <c r="L24" i="8"/>
  <c r="K25" i="8"/>
  <c r="J25" i="8"/>
  <c r="I25" i="8"/>
  <c r="H26" i="8" s="1"/>
  <c r="J24" i="9"/>
  <c r="K24" i="9"/>
  <c r="I24" i="9"/>
  <c r="H25" i="9" s="1"/>
  <c r="L23" i="6"/>
  <c r="M23" i="6" s="1"/>
  <c r="I24" i="6"/>
  <c r="H25" i="6" s="1"/>
  <c r="J24" i="6"/>
  <c r="K24" i="6"/>
  <c r="L24" i="6" s="1"/>
  <c r="M24" i="6" s="1"/>
  <c r="L24" i="7"/>
  <c r="L23" i="10"/>
  <c r="J24" i="10"/>
  <c r="K24" i="10"/>
  <c r="I24" i="10"/>
  <c r="H25" i="10" s="1"/>
  <c r="L24" i="11"/>
  <c r="M24" i="11" s="1"/>
  <c r="J25" i="12"/>
  <c r="K25" i="12"/>
  <c r="I25" i="12"/>
  <c r="H26" i="12" s="1"/>
  <c r="L24" i="12"/>
  <c r="M24" i="12" s="1"/>
  <c r="K25" i="11"/>
  <c r="J25" i="11"/>
  <c r="I25" i="11"/>
  <c r="H26" i="11" s="1"/>
  <c r="J25" i="7"/>
  <c r="K25" i="7"/>
  <c r="I25" i="7"/>
  <c r="H26" i="7" s="1"/>
  <c r="K25" i="5"/>
  <c r="I25" i="5"/>
  <c r="H26" i="5" s="1"/>
  <c r="J25" i="5"/>
  <c r="L24" i="9" l="1"/>
  <c r="M24" i="9" s="1"/>
  <c r="L25" i="8"/>
  <c r="M25" i="8" s="1"/>
  <c r="J26" i="8"/>
  <c r="I26" i="8"/>
  <c r="H27" i="8" s="1"/>
  <c r="K26" i="8"/>
  <c r="L25" i="11"/>
  <c r="M25" i="11" s="1"/>
  <c r="K25" i="9"/>
  <c r="J25" i="9"/>
  <c r="I25" i="9"/>
  <c r="H26" i="9" s="1"/>
  <c r="J25" i="6"/>
  <c r="I25" i="6"/>
  <c r="H26" i="6" s="1"/>
  <c r="K25" i="6"/>
  <c r="L25" i="6" s="1"/>
  <c r="M25" i="6" s="1"/>
  <c r="L24" i="10"/>
  <c r="K25" i="10"/>
  <c r="J25" i="10"/>
  <c r="I25" i="10"/>
  <c r="H26" i="10" s="1"/>
  <c r="L25" i="12"/>
  <c r="M25" i="12" s="1"/>
  <c r="J26" i="12"/>
  <c r="K26" i="12"/>
  <c r="I26" i="12"/>
  <c r="H27" i="12" s="1"/>
  <c r="K26" i="11"/>
  <c r="J26" i="11"/>
  <c r="I26" i="11"/>
  <c r="H27" i="11" s="1"/>
  <c r="L25" i="7"/>
  <c r="J26" i="7"/>
  <c r="K26" i="7"/>
  <c r="I26" i="7"/>
  <c r="H27" i="7" s="1"/>
  <c r="L25" i="5"/>
  <c r="J26" i="5"/>
  <c r="I26" i="5"/>
  <c r="H27" i="5" s="1"/>
  <c r="K26" i="5"/>
  <c r="L26" i="5" s="1"/>
  <c r="L26" i="8" l="1"/>
  <c r="M26" i="8" s="1"/>
  <c r="L25" i="9"/>
  <c r="M25" i="9" s="1"/>
  <c r="J27" i="8"/>
  <c r="K27" i="8"/>
  <c r="L27" i="8" s="1"/>
  <c r="M27" i="8" s="1"/>
  <c r="I27" i="8"/>
  <c r="H28" i="8" s="1"/>
  <c r="K26" i="9"/>
  <c r="J26" i="9"/>
  <c r="I26" i="9"/>
  <c r="H27" i="9" s="1"/>
  <c r="K26" i="6"/>
  <c r="J26" i="6"/>
  <c r="I26" i="6"/>
  <c r="H27" i="6" s="1"/>
  <c r="L25" i="10"/>
  <c r="L26" i="12"/>
  <c r="M26" i="12" s="1"/>
  <c r="J26" i="10"/>
  <c r="I26" i="10"/>
  <c r="H27" i="10" s="1"/>
  <c r="K26" i="10"/>
  <c r="L26" i="10" s="1"/>
  <c r="L26" i="11"/>
  <c r="M26" i="11" s="1"/>
  <c r="K27" i="12"/>
  <c r="J27" i="12"/>
  <c r="I27" i="12"/>
  <c r="H28" i="12" s="1"/>
  <c r="J27" i="11"/>
  <c r="K27" i="11"/>
  <c r="I27" i="11"/>
  <c r="H28" i="11" s="1"/>
  <c r="L26" i="7"/>
  <c r="K27" i="7"/>
  <c r="J27" i="7"/>
  <c r="I27" i="7"/>
  <c r="H28" i="7" s="1"/>
  <c r="K27" i="5"/>
  <c r="I27" i="5"/>
  <c r="H28" i="5" s="1"/>
  <c r="J27" i="5"/>
  <c r="L26" i="9" l="1"/>
  <c r="M26" i="9" s="1"/>
  <c r="J28" i="8"/>
  <c r="I28" i="8"/>
  <c r="H29" i="8" s="1"/>
  <c r="K28" i="8"/>
  <c r="K27" i="9"/>
  <c r="I27" i="9"/>
  <c r="H28" i="9" s="1"/>
  <c r="J27" i="9"/>
  <c r="L26" i="6"/>
  <c r="M26" i="6" s="1"/>
  <c r="J27" i="6"/>
  <c r="K27" i="6"/>
  <c r="I27" i="6"/>
  <c r="H28" i="6" s="1"/>
  <c r="J27" i="10"/>
  <c r="K27" i="10"/>
  <c r="I27" i="10"/>
  <c r="H28" i="10" s="1"/>
  <c r="L27" i="12"/>
  <c r="M27" i="12" s="1"/>
  <c r="J28" i="12"/>
  <c r="K28" i="12"/>
  <c r="I28" i="12"/>
  <c r="H29" i="12" s="1"/>
  <c r="K28" i="11"/>
  <c r="J28" i="11"/>
  <c r="I28" i="11"/>
  <c r="H29" i="11" s="1"/>
  <c r="L27" i="11"/>
  <c r="M27" i="11" s="1"/>
  <c r="L27" i="7"/>
  <c r="J28" i="7"/>
  <c r="K28" i="7"/>
  <c r="I28" i="7"/>
  <c r="H29" i="7" s="1"/>
  <c r="L27" i="5"/>
  <c r="J28" i="5"/>
  <c r="K28" i="5"/>
  <c r="I28" i="5"/>
  <c r="H29" i="5" s="1"/>
  <c r="L28" i="8" l="1"/>
  <c r="M28" i="8" s="1"/>
  <c r="K29" i="8"/>
  <c r="I29" i="8"/>
  <c r="H30" i="8" s="1"/>
  <c r="J29" i="8"/>
  <c r="J28" i="9"/>
  <c r="I28" i="9"/>
  <c r="H29" i="9" s="1"/>
  <c r="K28" i="9"/>
  <c r="L27" i="9"/>
  <c r="M27" i="9" s="1"/>
  <c r="L27" i="6"/>
  <c r="M27" i="6" s="1"/>
  <c r="K28" i="6"/>
  <c r="J28" i="6"/>
  <c r="I28" i="6"/>
  <c r="H29" i="6" s="1"/>
  <c r="L27" i="10"/>
  <c r="K28" i="10"/>
  <c r="J28" i="10"/>
  <c r="I28" i="10"/>
  <c r="H29" i="10" s="1"/>
  <c r="L28" i="12"/>
  <c r="M28" i="12" s="1"/>
  <c r="K29" i="12"/>
  <c r="J29" i="12"/>
  <c r="I29" i="12"/>
  <c r="H30" i="12" s="1"/>
  <c r="J29" i="11"/>
  <c r="K29" i="11"/>
  <c r="I29" i="11"/>
  <c r="H30" i="11" s="1"/>
  <c r="L28" i="11"/>
  <c r="M28" i="11" s="1"/>
  <c r="L28" i="7"/>
  <c r="K29" i="7"/>
  <c r="J29" i="7"/>
  <c r="I29" i="7"/>
  <c r="H30" i="7" s="1"/>
  <c r="L28" i="5"/>
  <c r="K29" i="5"/>
  <c r="I29" i="5"/>
  <c r="H30" i="5" s="1"/>
  <c r="J29" i="5"/>
  <c r="L28" i="9" l="1"/>
  <c r="M28" i="9" s="1"/>
  <c r="L29" i="8"/>
  <c r="J30" i="8"/>
  <c r="I30" i="8"/>
  <c r="H31" i="8" s="1"/>
  <c r="K30" i="8"/>
  <c r="L30" i="8" s="1"/>
  <c r="M30" i="8" s="1"/>
  <c r="I29" i="9"/>
  <c r="H30" i="9" s="1"/>
  <c r="J29" i="9"/>
  <c r="K29" i="9"/>
  <c r="L29" i="9" s="1"/>
  <c r="M29" i="9" s="1"/>
  <c r="L28" i="6"/>
  <c r="M28" i="6" s="1"/>
  <c r="K29" i="6"/>
  <c r="I29" i="6"/>
  <c r="H30" i="6" s="1"/>
  <c r="J29" i="6"/>
  <c r="L28" i="10"/>
  <c r="L29" i="11"/>
  <c r="M29" i="11" s="1"/>
  <c r="L29" i="12"/>
  <c r="M29" i="12" s="1"/>
  <c r="K29" i="10"/>
  <c r="I29" i="10"/>
  <c r="H30" i="10" s="1"/>
  <c r="J29" i="10"/>
  <c r="J30" i="12"/>
  <c r="K30" i="12"/>
  <c r="I30" i="12"/>
  <c r="H31" i="12" s="1"/>
  <c r="K30" i="11"/>
  <c r="J30" i="11"/>
  <c r="I30" i="11"/>
  <c r="H31" i="11" s="1"/>
  <c r="L29" i="7"/>
  <c r="J30" i="7"/>
  <c r="K30" i="7"/>
  <c r="I30" i="7"/>
  <c r="H31" i="7" s="1"/>
  <c r="L29" i="5"/>
  <c r="J30" i="5"/>
  <c r="I30" i="5"/>
  <c r="H31" i="5" s="1"/>
  <c r="K30" i="5"/>
  <c r="M29" i="8" l="1"/>
  <c r="J31" i="8"/>
  <c r="K31" i="8"/>
  <c r="I31" i="8"/>
  <c r="H32" i="8" s="1"/>
  <c r="K30" i="9"/>
  <c r="J30" i="9"/>
  <c r="I30" i="9"/>
  <c r="H31" i="9" s="1"/>
  <c r="L30" i="5"/>
  <c r="L29" i="6"/>
  <c r="M29" i="6" s="1"/>
  <c r="I30" i="6"/>
  <c r="H31" i="6" s="1"/>
  <c r="K30" i="6"/>
  <c r="J30" i="6"/>
  <c r="L30" i="7"/>
  <c r="M30" i="7" s="1"/>
  <c r="L30" i="12"/>
  <c r="M30" i="12" s="1"/>
  <c r="L29" i="10"/>
  <c r="J30" i="10"/>
  <c r="I30" i="10"/>
  <c r="H31" i="10" s="1"/>
  <c r="K30" i="10"/>
  <c r="L30" i="11"/>
  <c r="M30" i="11" s="1"/>
  <c r="K31" i="12"/>
  <c r="J31" i="12"/>
  <c r="I31" i="12"/>
  <c r="H32" i="12" s="1"/>
  <c r="J31" i="11"/>
  <c r="K31" i="11"/>
  <c r="I31" i="11"/>
  <c r="H32" i="11" s="1"/>
  <c r="K31" i="7"/>
  <c r="J31" i="7"/>
  <c r="I31" i="7"/>
  <c r="H32" i="7" s="1"/>
  <c r="J31" i="5"/>
  <c r="K31" i="5"/>
  <c r="I31" i="5"/>
  <c r="H32" i="5" s="1"/>
  <c r="L30" i="10" l="1"/>
  <c r="L31" i="8"/>
  <c r="M31" i="8" s="1"/>
  <c r="L30" i="9"/>
  <c r="M30" i="9" s="1"/>
  <c r="J32" i="8"/>
  <c r="I32" i="8"/>
  <c r="H33" i="8" s="1"/>
  <c r="K32" i="8"/>
  <c r="K31" i="9"/>
  <c r="I31" i="9"/>
  <c r="H32" i="9" s="1"/>
  <c r="J31" i="9"/>
  <c r="L30" i="6"/>
  <c r="M30" i="6" s="1"/>
  <c r="J31" i="6"/>
  <c r="K31" i="6"/>
  <c r="I31" i="6"/>
  <c r="H32" i="6" s="1"/>
  <c r="L31" i="11"/>
  <c r="M31" i="11" s="1"/>
  <c r="L31" i="12"/>
  <c r="M31" i="12" s="1"/>
  <c r="J31" i="10"/>
  <c r="K31" i="10"/>
  <c r="I31" i="10"/>
  <c r="H32" i="10" s="1"/>
  <c r="J32" i="12"/>
  <c r="K32" i="12"/>
  <c r="I32" i="12"/>
  <c r="H33" i="12" s="1"/>
  <c r="K32" i="11"/>
  <c r="J32" i="11"/>
  <c r="I32" i="11"/>
  <c r="H33" i="11" s="1"/>
  <c r="L31" i="7"/>
  <c r="M31" i="7" s="1"/>
  <c r="J32" i="7"/>
  <c r="K32" i="7"/>
  <c r="I32" i="7"/>
  <c r="H33" i="7" s="1"/>
  <c r="L31" i="5"/>
  <c r="J32" i="5"/>
  <c r="I32" i="5"/>
  <c r="H33" i="5" s="1"/>
  <c r="K32" i="5"/>
  <c r="L32" i="5" s="1"/>
  <c r="L32" i="8" l="1"/>
  <c r="M32" i="8" s="1"/>
  <c r="J33" i="8"/>
  <c r="K33" i="8"/>
  <c r="L33" i="8" s="1"/>
  <c r="M33" i="8" s="1"/>
  <c r="I33" i="8"/>
  <c r="H34" i="8" s="1"/>
  <c r="K32" i="9"/>
  <c r="J32" i="9"/>
  <c r="I32" i="9"/>
  <c r="H33" i="9" s="1"/>
  <c r="L31" i="9"/>
  <c r="M31" i="9" s="1"/>
  <c r="K32" i="6"/>
  <c r="J32" i="6"/>
  <c r="I32" i="6"/>
  <c r="H33" i="6" s="1"/>
  <c r="L31" i="6"/>
  <c r="M31" i="6" s="1"/>
  <c r="L31" i="10"/>
  <c r="K32" i="10"/>
  <c r="J32" i="10"/>
  <c r="I32" i="10"/>
  <c r="H33" i="10" s="1"/>
  <c r="L32" i="12"/>
  <c r="M32" i="12" s="1"/>
  <c r="L32" i="11"/>
  <c r="M32" i="11" s="1"/>
  <c r="K33" i="12"/>
  <c r="J33" i="12"/>
  <c r="I33" i="12"/>
  <c r="H34" i="12" s="1"/>
  <c r="J33" i="11"/>
  <c r="K33" i="11"/>
  <c r="I33" i="11"/>
  <c r="H34" i="11" s="1"/>
  <c r="L32" i="7"/>
  <c r="M32" i="7" s="1"/>
  <c r="K33" i="7"/>
  <c r="J33" i="7"/>
  <c r="I33" i="7"/>
  <c r="H34" i="7" s="1"/>
  <c r="K33" i="5"/>
  <c r="I33" i="5"/>
  <c r="H34" i="5" s="1"/>
  <c r="J33" i="5"/>
  <c r="J34" i="8" l="1"/>
  <c r="I34" i="8"/>
  <c r="H35" i="8" s="1"/>
  <c r="K34" i="8"/>
  <c r="L32" i="9"/>
  <c r="M32" i="9" s="1"/>
  <c r="L32" i="10"/>
  <c r="J33" i="9"/>
  <c r="K33" i="9"/>
  <c r="I33" i="9"/>
  <c r="H34" i="9" s="1"/>
  <c r="J33" i="6"/>
  <c r="K33" i="6"/>
  <c r="I33" i="6"/>
  <c r="H34" i="6" s="1"/>
  <c r="L32" i="6"/>
  <c r="M32" i="6" s="1"/>
  <c r="J33" i="10"/>
  <c r="K33" i="10"/>
  <c r="I33" i="10"/>
  <c r="H34" i="10" s="1"/>
  <c r="L33" i="11"/>
  <c r="M33" i="11" s="1"/>
  <c r="L33" i="12"/>
  <c r="M33" i="12" s="1"/>
  <c r="J34" i="12"/>
  <c r="K34" i="12"/>
  <c r="I34" i="12"/>
  <c r="H35" i="12" s="1"/>
  <c r="K34" i="11"/>
  <c r="J34" i="11"/>
  <c r="I34" i="11"/>
  <c r="H35" i="11" s="1"/>
  <c r="L33" i="7"/>
  <c r="M33" i="7" s="1"/>
  <c r="J34" i="7"/>
  <c r="K34" i="7"/>
  <c r="I34" i="7"/>
  <c r="H35" i="7" s="1"/>
  <c r="K34" i="5"/>
  <c r="J34" i="5"/>
  <c r="I34" i="5"/>
  <c r="H35" i="5" s="1"/>
  <c r="L33" i="5"/>
  <c r="L34" i="8" l="1"/>
  <c r="M34" i="8" s="1"/>
  <c r="J35" i="8"/>
  <c r="K35" i="8"/>
  <c r="I35" i="8"/>
  <c r="H36" i="8" s="1"/>
  <c r="L33" i="9"/>
  <c r="M33" i="9" s="1"/>
  <c r="I34" i="9"/>
  <c r="H35" i="9" s="1"/>
  <c r="J34" i="9"/>
  <c r="K34" i="9"/>
  <c r="L34" i="9" s="1"/>
  <c r="M34" i="9" s="1"/>
  <c r="L33" i="6"/>
  <c r="M33" i="6" s="1"/>
  <c r="I34" i="6"/>
  <c r="H35" i="6" s="1"/>
  <c r="K34" i="6"/>
  <c r="J34" i="6"/>
  <c r="L33" i="10"/>
  <c r="K34" i="10"/>
  <c r="J34" i="10"/>
  <c r="I34" i="10"/>
  <c r="H35" i="10" s="1"/>
  <c r="L34" i="12"/>
  <c r="M34" i="12" s="1"/>
  <c r="L34" i="11"/>
  <c r="M34" i="11" s="1"/>
  <c r="K35" i="12"/>
  <c r="J35" i="12"/>
  <c r="I35" i="12"/>
  <c r="H36" i="12" s="1"/>
  <c r="J35" i="11"/>
  <c r="K35" i="11"/>
  <c r="I35" i="11"/>
  <c r="H36" i="11" s="1"/>
  <c r="L34" i="7"/>
  <c r="M34" i="7" s="1"/>
  <c r="K35" i="7"/>
  <c r="J35" i="7"/>
  <c r="I35" i="7"/>
  <c r="H36" i="7" s="1"/>
  <c r="L34" i="5"/>
  <c r="K35" i="5"/>
  <c r="I35" i="5"/>
  <c r="H36" i="5" s="1"/>
  <c r="J35" i="5"/>
  <c r="L35" i="8" l="1"/>
  <c r="M35" i="8" s="1"/>
  <c r="J36" i="8"/>
  <c r="I36" i="8"/>
  <c r="H37" i="8" s="1"/>
  <c r="K36" i="8"/>
  <c r="J35" i="9"/>
  <c r="I35" i="9"/>
  <c r="H36" i="9" s="1"/>
  <c r="K35" i="9"/>
  <c r="L35" i="9" s="1"/>
  <c r="M35" i="9" s="1"/>
  <c r="L34" i="6"/>
  <c r="M34" i="6" s="1"/>
  <c r="J35" i="6"/>
  <c r="K35" i="6"/>
  <c r="I35" i="6"/>
  <c r="H36" i="6" s="1"/>
  <c r="L35" i="12"/>
  <c r="M35" i="12" s="1"/>
  <c r="K35" i="10"/>
  <c r="I35" i="10"/>
  <c r="H36" i="10" s="1"/>
  <c r="J35" i="10"/>
  <c r="L34" i="10"/>
  <c r="J36" i="12"/>
  <c r="K36" i="12"/>
  <c r="I36" i="12"/>
  <c r="H37" i="12" s="1"/>
  <c r="L35" i="11"/>
  <c r="M35" i="11" s="1"/>
  <c r="K36" i="11"/>
  <c r="J36" i="11"/>
  <c r="I36" i="11"/>
  <c r="H37" i="11" s="1"/>
  <c r="L35" i="7"/>
  <c r="M35" i="7" s="1"/>
  <c r="J36" i="7"/>
  <c r="K36" i="7"/>
  <c r="I36" i="7"/>
  <c r="H37" i="7" s="1"/>
  <c r="J36" i="5"/>
  <c r="I36" i="5"/>
  <c r="H37" i="5" s="1"/>
  <c r="K36" i="5"/>
  <c r="L36" i="5" s="1"/>
  <c r="L35" i="5"/>
  <c r="L36" i="8" l="1"/>
  <c r="M36" i="8" s="1"/>
  <c r="K37" i="8"/>
  <c r="J37" i="8"/>
  <c r="I37" i="8"/>
  <c r="H38" i="8" s="1"/>
  <c r="L35" i="6"/>
  <c r="M35" i="6" s="1"/>
  <c r="J36" i="9"/>
  <c r="K36" i="9"/>
  <c r="I36" i="9"/>
  <c r="H37" i="9" s="1"/>
  <c r="K36" i="6"/>
  <c r="J36" i="6"/>
  <c r="I36" i="6"/>
  <c r="H37" i="6" s="1"/>
  <c r="L36" i="12"/>
  <c r="M36" i="12" s="1"/>
  <c r="J36" i="10"/>
  <c r="I36" i="10"/>
  <c r="H37" i="10" s="1"/>
  <c r="K36" i="10"/>
  <c r="L36" i="10" s="1"/>
  <c r="L35" i="10"/>
  <c r="L36" i="11"/>
  <c r="M36" i="11" s="1"/>
  <c r="J37" i="12"/>
  <c r="K37" i="12"/>
  <c r="I37" i="12"/>
  <c r="H38" i="12" s="1"/>
  <c r="K37" i="11"/>
  <c r="J37" i="11"/>
  <c r="I37" i="11"/>
  <c r="H38" i="11" s="1"/>
  <c r="L36" i="7"/>
  <c r="M36" i="7" s="1"/>
  <c r="J37" i="7"/>
  <c r="K37" i="7"/>
  <c r="I37" i="7"/>
  <c r="H38" i="7" s="1"/>
  <c r="K37" i="5"/>
  <c r="J37" i="5"/>
  <c r="I37" i="5"/>
  <c r="H38" i="5" s="1"/>
  <c r="L37" i="8" l="1"/>
  <c r="M37" i="8" s="1"/>
  <c r="K38" i="8"/>
  <c r="L38" i="8" s="1"/>
  <c r="M38" i="8" s="1"/>
  <c r="J38" i="8"/>
  <c r="I38" i="8"/>
  <c r="H39" i="8" s="1"/>
  <c r="L36" i="9"/>
  <c r="M36" i="9" s="1"/>
  <c r="J37" i="9"/>
  <c r="K37" i="9"/>
  <c r="I37" i="9"/>
  <c r="H38" i="9" s="1"/>
  <c r="L36" i="6"/>
  <c r="M36" i="6" s="1"/>
  <c r="K37" i="6"/>
  <c r="J37" i="6"/>
  <c r="I37" i="6"/>
  <c r="H38" i="6" s="1"/>
  <c r="L37" i="12"/>
  <c r="M37" i="12" s="1"/>
  <c r="J37" i="10"/>
  <c r="I37" i="10"/>
  <c r="H38" i="10" s="1"/>
  <c r="K37" i="10"/>
  <c r="L37" i="10" s="1"/>
  <c r="J38" i="12"/>
  <c r="K38" i="12"/>
  <c r="I38" i="12"/>
  <c r="H39" i="12" s="1"/>
  <c r="L37" i="11"/>
  <c r="M37" i="11" s="1"/>
  <c r="K38" i="11"/>
  <c r="J38" i="11"/>
  <c r="I38" i="11"/>
  <c r="H39" i="11" s="1"/>
  <c r="L37" i="7"/>
  <c r="M37" i="7" s="1"/>
  <c r="J38" i="7"/>
  <c r="K38" i="7"/>
  <c r="I38" i="7"/>
  <c r="H39" i="7" s="1"/>
  <c r="L37" i="5"/>
  <c r="K38" i="5"/>
  <c r="J38" i="5"/>
  <c r="I38" i="5"/>
  <c r="H39" i="5" s="1"/>
  <c r="K39" i="8" l="1"/>
  <c r="J39" i="8"/>
  <c r="I39" i="8"/>
  <c r="H40" i="8" s="1"/>
  <c r="L37" i="9"/>
  <c r="M37" i="9" s="1"/>
  <c r="J38" i="9"/>
  <c r="K38" i="9"/>
  <c r="I38" i="9"/>
  <c r="H39" i="9" s="1"/>
  <c r="L37" i="6"/>
  <c r="M37" i="6" s="1"/>
  <c r="I38" i="6"/>
  <c r="H39" i="6" s="1"/>
  <c r="K38" i="6"/>
  <c r="J38" i="6"/>
  <c r="L38" i="12"/>
  <c r="M38" i="12" s="1"/>
  <c r="K38" i="10"/>
  <c r="J38" i="10"/>
  <c r="I38" i="10"/>
  <c r="H39" i="10" s="1"/>
  <c r="L38" i="11"/>
  <c r="M38" i="11" s="1"/>
  <c r="J39" i="12"/>
  <c r="K39" i="12"/>
  <c r="I39" i="12"/>
  <c r="H40" i="12" s="1"/>
  <c r="K39" i="11"/>
  <c r="J39" i="11"/>
  <c r="I39" i="11"/>
  <c r="H40" i="11" s="1"/>
  <c r="L38" i="7"/>
  <c r="M38" i="7" s="1"/>
  <c r="J39" i="7"/>
  <c r="K39" i="7"/>
  <c r="I39" i="7"/>
  <c r="H40" i="7" s="1"/>
  <c r="L38" i="5"/>
  <c r="J39" i="5"/>
  <c r="I39" i="5"/>
  <c r="H40" i="5" s="1"/>
  <c r="K39" i="5"/>
  <c r="L39" i="5" s="1"/>
  <c r="L39" i="8" l="1"/>
  <c r="M39" i="8" s="1"/>
  <c r="L38" i="9"/>
  <c r="M38" i="9" s="1"/>
  <c r="J40" i="8"/>
  <c r="I40" i="8"/>
  <c r="H41" i="8" s="1"/>
  <c r="K40" i="8"/>
  <c r="J39" i="9"/>
  <c r="K39" i="9"/>
  <c r="I39" i="9"/>
  <c r="H40" i="9" s="1"/>
  <c r="L38" i="6"/>
  <c r="M38" i="6" s="1"/>
  <c r="K39" i="6"/>
  <c r="J39" i="6"/>
  <c r="I39" i="6"/>
  <c r="H40" i="6" s="1"/>
  <c r="L38" i="10"/>
  <c r="K39" i="10"/>
  <c r="J39" i="10"/>
  <c r="I39" i="10"/>
  <c r="H40" i="10" s="1"/>
  <c r="L39" i="12"/>
  <c r="M39" i="12" s="1"/>
  <c r="L39" i="11"/>
  <c r="M39" i="11" s="1"/>
  <c r="J40" i="12"/>
  <c r="K40" i="12"/>
  <c r="I40" i="12"/>
  <c r="H41" i="12" s="1"/>
  <c r="K40" i="11"/>
  <c r="J40" i="11"/>
  <c r="I40" i="11"/>
  <c r="H41" i="11" s="1"/>
  <c r="L39" i="7"/>
  <c r="M39" i="7" s="1"/>
  <c r="J40" i="7"/>
  <c r="K40" i="7"/>
  <c r="I40" i="7"/>
  <c r="H41" i="7" s="1"/>
  <c r="J40" i="5"/>
  <c r="I40" i="5"/>
  <c r="H41" i="5" s="1"/>
  <c r="K40" i="5"/>
  <c r="L40" i="8" l="1"/>
  <c r="M40" i="8" s="1"/>
  <c r="L40" i="5"/>
  <c r="L39" i="9"/>
  <c r="M39" i="9" s="1"/>
  <c r="J41" i="8"/>
  <c r="I41" i="8"/>
  <c r="H42" i="8" s="1"/>
  <c r="K41" i="8"/>
  <c r="I40" i="9"/>
  <c r="H41" i="9" s="1"/>
  <c r="J40" i="9"/>
  <c r="K40" i="9"/>
  <c r="L40" i="9" s="1"/>
  <c r="M40" i="9" s="1"/>
  <c r="L39" i="6"/>
  <c r="M39" i="6" s="1"/>
  <c r="J40" i="6"/>
  <c r="I40" i="6"/>
  <c r="H41" i="6" s="1"/>
  <c r="K40" i="6"/>
  <c r="L39" i="10"/>
  <c r="L40" i="12"/>
  <c r="M40" i="12" s="1"/>
  <c r="J40" i="10"/>
  <c r="I40" i="10"/>
  <c r="H41" i="10" s="1"/>
  <c r="K40" i="10"/>
  <c r="L40" i="11"/>
  <c r="M40" i="11" s="1"/>
  <c r="J41" i="12"/>
  <c r="K41" i="12"/>
  <c r="I41" i="12"/>
  <c r="H42" i="12" s="1"/>
  <c r="K41" i="11"/>
  <c r="J41" i="11"/>
  <c r="I41" i="11"/>
  <c r="H42" i="11" s="1"/>
  <c r="L40" i="7"/>
  <c r="M40" i="7" s="1"/>
  <c r="J41" i="7"/>
  <c r="K41" i="7"/>
  <c r="I41" i="7"/>
  <c r="H42" i="7" s="1"/>
  <c r="K41" i="5"/>
  <c r="J41" i="5"/>
  <c r="I41" i="5"/>
  <c r="H42" i="5" s="1"/>
  <c r="L41" i="8" l="1"/>
  <c r="M41" i="8" s="1"/>
  <c r="L40" i="6"/>
  <c r="M40" i="6" s="1"/>
  <c r="L40" i="10"/>
  <c r="K42" i="8"/>
  <c r="J42" i="8"/>
  <c r="I42" i="8"/>
  <c r="H43" i="8" s="1"/>
  <c r="K41" i="9"/>
  <c r="I41" i="9"/>
  <c r="H42" i="9" s="1"/>
  <c r="J41" i="9"/>
  <c r="K41" i="6"/>
  <c r="J41" i="6"/>
  <c r="I41" i="6"/>
  <c r="H42" i="6" s="1"/>
  <c r="J41" i="10"/>
  <c r="I41" i="10"/>
  <c r="H42" i="10" s="1"/>
  <c r="K41" i="10"/>
  <c r="L41" i="12"/>
  <c r="M41" i="12" s="1"/>
  <c r="L41" i="11"/>
  <c r="M41" i="11" s="1"/>
  <c r="J42" i="12"/>
  <c r="K42" i="12"/>
  <c r="I42" i="12"/>
  <c r="H43" i="12" s="1"/>
  <c r="K42" i="11"/>
  <c r="J42" i="11"/>
  <c r="I42" i="11"/>
  <c r="H43" i="11" s="1"/>
  <c r="L41" i="7"/>
  <c r="M41" i="7" s="1"/>
  <c r="J42" i="7"/>
  <c r="K42" i="7"/>
  <c r="I42" i="7"/>
  <c r="H43" i="7" s="1"/>
  <c r="L41" i="5"/>
  <c r="K42" i="5"/>
  <c r="J42" i="5"/>
  <c r="I42" i="5"/>
  <c r="H43" i="5" s="1"/>
  <c r="L41" i="10" l="1"/>
  <c r="L42" i="8"/>
  <c r="M42" i="8" s="1"/>
  <c r="J43" i="8"/>
  <c r="I43" i="8"/>
  <c r="H44" i="8" s="1"/>
  <c r="K43" i="8"/>
  <c r="J42" i="9"/>
  <c r="K42" i="9"/>
  <c r="I42" i="9"/>
  <c r="H43" i="9" s="1"/>
  <c r="L41" i="9"/>
  <c r="M41" i="9" s="1"/>
  <c r="I42" i="6"/>
  <c r="H43" i="6" s="1"/>
  <c r="K42" i="6"/>
  <c r="J42" i="6"/>
  <c r="L41" i="6"/>
  <c r="M41" i="6" s="1"/>
  <c r="L42" i="12"/>
  <c r="M42" i="12" s="1"/>
  <c r="J42" i="10"/>
  <c r="I42" i="10"/>
  <c r="H43" i="10" s="1"/>
  <c r="K42" i="10"/>
  <c r="L42" i="11"/>
  <c r="M42" i="11" s="1"/>
  <c r="J43" i="12"/>
  <c r="K43" i="12"/>
  <c r="I43" i="12"/>
  <c r="H44" i="12" s="1"/>
  <c r="K43" i="11"/>
  <c r="J43" i="11"/>
  <c r="I43" i="11"/>
  <c r="H44" i="11" s="1"/>
  <c r="L42" i="7"/>
  <c r="M42" i="7" s="1"/>
  <c r="J43" i="7"/>
  <c r="K43" i="7"/>
  <c r="I43" i="7"/>
  <c r="H44" i="7" s="1"/>
  <c r="L42" i="5"/>
  <c r="K43" i="5"/>
  <c r="J43" i="5"/>
  <c r="I43" i="5"/>
  <c r="H44" i="5" s="1"/>
  <c r="L43" i="8" l="1"/>
  <c r="M43" i="8" s="1"/>
  <c r="L42" i="10"/>
  <c r="K44" i="8"/>
  <c r="J44" i="8"/>
  <c r="I44" i="8"/>
  <c r="H45" i="8" s="1"/>
  <c r="L42" i="9"/>
  <c r="M42" i="9" s="1"/>
  <c r="J43" i="9"/>
  <c r="K43" i="9"/>
  <c r="I43" i="9"/>
  <c r="H44" i="9" s="1"/>
  <c r="L42" i="6"/>
  <c r="M42" i="6" s="1"/>
  <c r="K43" i="6"/>
  <c r="J43" i="6"/>
  <c r="I43" i="6"/>
  <c r="H44" i="6" s="1"/>
  <c r="L43" i="12"/>
  <c r="M43" i="12" s="1"/>
  <c r="J43" i="10"/>
  <c r="I43" i="10"/>
  <c r="H44" i="10" s="1"/>
  <c r="K43" i="10"/>
  <c r="L43" i="11"/>
  <c r="M43" i="11" s="1"/>
  <c r="J44" i="12"/>
  <c r="K44" i="12"/>
  <c r="I44" i="12"/>
  <c r="H45" i="12" s="1"/>
  <c r="J44" i="11"/>
  <c r="K44" i="11"/>
  <c r="I44" i="11"/>
  <c r="H45" i="11" s="1"/>
  <c r="L43" i="7"/>
  <c r="M43" i="7" s="1"/>
  <c r="J44" i="7"/>
  <c r="K44" i="7"/>
  <c r="I44" i="7"/>
  <c r="H45" i="7" s="1"/>
  <c r="L43" i="5"/>
  <c r="K44" i="5"/>
  <c r="J44" i="5"/>
  <c r="I44" i="5"/>
  <c r="H45" i="5" s="1"/>
  <c r="L43" i="6" l="1"/>
  <c r="M43" i="6" s="1"/>
  <c r="L44" i="8"/>
  <c r="M44" i="8" s="1"/>
  <c r="J45" i="8"/>
  <c r="I45" i="8"/>
  <c r="H46" i="8" s="1"/>
  <c r="K45" i="8"/>
  <c r="L43" i="9"/>
  <c r="M43" i="9" s="1"/>
  <c r="J44" i="9"/>
  <c r="K44" i="9"/>
  <c r="L44" i="9" s="1"/>
  <c r="M44" i="9" s="1"/>
  <c r="I44" i="9"/>
  <c r="H45" i="9" s="1"/>
  <c r="L43" i="10"/>
  <c r="K44" i="6"/>
  <c r="J44" i="6"/>
  <c r="I44" i="6"/>
  <c r="H45" i="6" s="1"/>
  <c r="L44" i="11"/>
  <c r="M44" i="11" s="1"/>
  <c r="L44" i="12"/>
  <c r="M44" i="12" s="1"/>
  <c r="K44" i="10"/>
  <c r="J44" i="10"/>
  <c r="I44" i="10"/>
  <c r="H45" i="10" s="1"/>
  <c r="J45" i="12"/>
  <c r="K45" i="12"/>
  <c r="I45" i="12"/>
  <c r="H46" i="12" s="1"/>
  <c r="J45" i="11"/>
  <c r="K45" i="11"/>
  <c r="I45" i="11"/>
  <c r="H46" i="11" s="1"/>
  <c r="L44" i="7"/>
  <c r="M44" i="7" s="1"/>
  <c r="J45" i="7"/>
  <c r="K45" i="7"/>
  <c r="I45" i="7"/>
  <c r="H46" i="7" s="1"/>
  <c r="L44" i="5"/>
  <c r="J45" i="5"/>
  <c r="I45" i="5"/>
  <c r="H46" i="5" s="1"/>
  <c r="K45" i="5"/>
  <c r="L45" i="8" l="1"/>
  <c r="M45" i="8" s="1"/>
  <c r="J46" i="8"/>
  <c r="I46" i="8"/>
  <c r="H47" i="8" s="1"/>
  <c r="K46" i="8"/>
  <c r="I45" i="9"/>
  <c r="H46" i="9" s="1"/>
  <c r="J45" i="9"/>
  <c r="K45" i="9"/>
  <c r="L45" i="9" s="1"/>
  <c r="M45" i="9" s="1"/>
  <c r="L44" i="6"/>
  <c r="M44" i="6" s="1"/>
  <c r="K45" i="6"/>
  <c r="J45" i="6"/>
  <c r="I45" i="6"/>
  <c r="H46" i="6" s="1"/>
  <c r="L44" i="10"/>
  <c r="J45" i="10"/>
  <c r="I45" i="10"/>
  <c r="H46" i="10" s="1"/>
  <c r="K45" i="10"/>
  <c r="L45" i="10" s="1"/>
  <c r="L45" i="12"/>
  <c r="M45" i="12" s="1"/>
  <c r="J46" i="12"/>
  <c r="K46" i="12"/>
  <c r="I46" i="12"/>
  <c r="H47" i="12" s="1"/>
  <c r="L45" i="11"/>
  <c r="M45" i="11" s="1"/>
  <c r="J46" i="11"/>
  <c r="K46" i="11"/>
  <c r="I46" i="11"/>
  <c r="H47" i="11" s="1"/>
  <c r="L45" i="5"/>
  <c r="J46" i="7"/>
  <c r="K46" i="7"/>
  <c r="I46" i="7"/>
  <c r="H47" i="7" s="1"/>
  <c r="L45" i="7"/>
  <c r="M45" i="7" s="1"/>
  <c r="K46" i="5"/>
  <c r="J46" i="5"/>
  <c r="I46" i="5"/>
  <c r="H47" i="5" s="1"/>
  <c r="L46" i="8" l="1"/>
  <c r="M46" i="8" s="1"/>
  <c r="J47" i="8"/>
  <c r="I47" i="8"/>
  <c r="H48" i="8" s="1"/>
  <c r="K47" i="8"/>
  <c r="L47" i="8" s="1"/>
  <c r="M47" i="8" s="1"/>
  <c r="J46" i="9"/>
  <c r="K46" i="9"/>
  <c r="I46" i="9"/>
  <c r="H47" i="9" s="1"/>
  <c r="L45" i="6"/>
  <c r="M45" i="6" s="1"/>
  <c r="I46" i="6"/>
  <c r="H47" i="6" s="1"/>
  <c r="K46" i="6"/>
  <c r="J46" i="6"/>
  <c r="L46" i="12"/>
  <c r="M46" i="12" s="1"/>
  <c r="J46" i="10"/>
  <c r="I46" i="10"/>
  <c r="H47" i="10" s="1"/>
  <c r="K46" i="10"/>
  <c r="L46" i="10" s="1"/>
  <c r="L46" i="7"/>
  <c r="M46" i="7" s="1"/>
  <c r="L46" i="11"/>
  <c r="M46" i="11" s="1"/>
  <c r="J47" i="12"/>
  <c r="K47" i="12"/>
  <c r="I47" i="12"/>
  <c r="H48" i="12" s="1"/>
  <c r="J47" i="11"/>
  <c r="K47" i="11"/>
  <c r="I47" i="11"/>
  <c r="H48" i="11" s="1"/>
  <c r="J47" i="7"/>
  <c r="K47" i="7"/>
  <c r="I47" i="7"/>
  <c r="H48" i="7" s="1"/>
  <c r="L46" i="5"/>
  <c r="J47" i="5"/>
  <c r="I47" i="5"/>
  <c r="H48" i="5" s="1"/>
  <c r="K47" i="5"/>
  <c r="L47" i="5" s="1"/>
  <c r="J48" i="8" l="1"/>
  <c r="I48" i="8"/>
  <c r="H49" i="8" s="1"/>
  <c r="K48" i="8"/>
  <c r="L48" i="8" s="1"/>
  <c r="M48" i="8" s="1"/>
  <c r="L46" i="9"/>
  <c r="M46" i="9" s="1"/>
  <c r="K47" i="9"/>
  <c r="I47" i="9"/>
  <c r="H48" i="9" s="1"/>
  <c r="J47" i="9"/>
  <c r="L46" i="6"/>
  <c r="M46" i="6" s="1"/>
  <c r="K47" i="6"/>
  <c r="J47" i="6"/>
  <c r="I47" i="6"/>
  <c r="H48" i="6" s="1"/>
  <c r="J47" i="10"/>
  <c r="I47" i="10"/>
  <c r="H48" i="10" s="1"/>
  <c r="K47" i="10"/>
  <c r="L47" i="10" s="1"/>
  <c r="J48" i="12"/>
  <c r="K48" i="12"/>
  <c r="I48" i="12"/>
  <c r="H49" i="12" s="1"/>
  <c r="L47" i="11"/>
  <c r="M47" i="11" s="1"/>
  <c r="L47" i="12"/>
  <c r="M47" i="12" s="1"/>
  <c r="J48" i="11"/>
  <c r="K48" i="11"/>
  <c r="I48" i="11"/>
  <c r="H49" i="11" s="1"/>
  <c r="L47" i="7"/>
  <c r="M47" i="7" s="1"/>
  <c r="J48" i="7"/>
  <c r="K48" i="7"/>
  <c r="I48" i="7"/>
  <c r="H49" i="7" s="1"/>
  <c r="J48" i="5"/>
  <c r="I48" i="5"/>
  <c r="H49" i="5" s="1"/>
  <c r="K48" i="5"/>
  <c r="L48" i="5" s="1"/>
  <c r="K49" i="8" l="1"/>
  <c r="J49" i="8"/>
  <c r="I49" i="8"/>
  <c r="H50" i="8" s="1"/>
  <c r="J48" i="9"/>
  <c r="K48" i="9"/>
  <c r="I48" i="9"/>
  <c r="H49" i="9" s="1"/>
  <c r="L47" i="9"/>
  <c r="M47" i="9" s="1"/>
  <c r="L47" i="6"/>
  <c r="M47" i="6" s="1"/>
  <c r="J48" i="6"/>
  <c r="I48" i="6"/>
  <c r="H49" i="6" s="1"/>
  <c r="K48" i="6"/>
  <c r="L48" i="6" s="1"/>
  <c r="M48" i="6" s="1"/>
  <c r="L48" i="12"/>
  <c r="M48" i="12" s="1"/>
  <c r="J48" i="10"/>
  <c r="I48" i="10"/>
  <c r="H49" i="10" s="1"/>
  <c r="K48" i="10"/>
  <c r="L48" i="10" s="1"/>
  <c r="L48" i="11"/>
  <c r="M48" i="11" s="1"/>
  <c r="J49" i="12"/>
  <c r="K49" i="12"/>
  <c r="I49" i="12"/>
  <c r="H50" i="12" s="1"/>
  <c r="J49" i="11"/>
  <c r="K49" i="11"/>
  <c r="I49" i="11"/>
  <c r="H50" i="11" s="1"/>
  <c r="L48" i="7"/>
  <c r="M48" i="7" s="1"/>
  <c r="J49" i="7"/>
  <c r="K49" i="7"/>
  <c r="I49" i="7"/>
  <c r="H50" i="7" s="1"/>
  <c r="K49" i="5"/>
  <c r="J49" i="5"/>
  <c r="I49" i="5"/>
  <c r="H50" i="5" s="1"/>
  <c r="L49" i="8" l="1"/>
  <c r="M49" i="8" s="1"/>
  <c r="L48" i="9"/>
  <c r="M48" i="9" s="1"/>
  <c r="K50" i="8"/>
  <c r="J50" i="8"/>
  <c r="I50" i="8"/>
  <c r="H51" i="8" s="1"/>
  <c r="J49" i="9"/>
  <c r="K49" i="9"/>
  <c r="I49" i="9"/>
  <c r="H50" i="9" s="1"/>
  <c r="L49" i="11"/>
  <c r="M49" i="11" s="1"/>
  <c r="I49" i="6"/>
  <c r="H50" i="6" s="1"/>
  <c r="K49" i="6"/>
  <c r="J49" i="6"/>
  <c r="K49" i="10"/>
  <c r="J49" i="10"/>
  <c r="I49" i="10"/>
  <c r="H50" i="10" s="1"/>
  <c r="L49" i="12"/>
  <c r="M49" i="12" s="1"/>
  <c r="J50" i="12"/>
  <c r="K50" i="12"/>
  <c r="I50" i="12"/>
  <c r="H51" i="12" s="1"/>
  <c r="J50" i="11"/>
  <c r="K50" i="11"/>
  <c r="I50" i="11"/>
  <c r="H51" i="11" s="1"/>
  <c r="L49" i="7"/>
  <c r="M49" i="7" s="1"/>
  <c r="J50" i="7"/>
  <c r="K50" i="7"/>
  <c r="I50" i="7"/>
  <c r="H51" i="7" s="1"/>
  <c r="L49" i="5"/>
  <c r="J50" i="5"/>
  <c r="I50" i="5"/>
  <c r="H51" i="5" s="1"/>
  <c r="K50" i="5"/>
  <c r="L50" i="8" l="1"/>
  <c r="M50" i="8" s="1"/>
  <c r="L49" i="9"/>
  <c r="M49" i="9" s="1"/>
  <c r="J51" i="8"/>
  <c r="I51" i="8"/>
  <c r="H52" i="8" s="1"/>
  <c r="K51" i="8"/>
  <c r="K50" i="9"/>
  <c r="I50" i="9"/>
  <c r="H51" i="9" s="1"/>
  <c r="J50" i="9"/>
  <c r="L50" i="5"/>
  <c r="L50" i="7"/>
  <c r="M50" i="7" s="1"/>
  <c r="L50" i="11"/>
  <c r="M50" i="11" s="1"/>
  <c r="L49" i="6"/>
  <c r="M49" i="6" s="1"/>
  <c r="K50" i="6"/>
  <c r="J50" i="6"/>
  <c r="I50" i="6"/>
  <c r="H51" i="6" s="1"/>
  <c r="J50" i="10"/>
  <c r="I50" i="10"/>
  <c r="H51" i="10" s="1"/>
  <c r="K50" i="10"/>
  <c r="L49" i="10"/>
  <c r="L50" i="12"/>
  <c r="M50" i="12" s="1"/>
  <c r="J51" i="12"/>
  <c r="K51" i="12"/>
  <c r="I51" i="12"/>
  <c r="H52" i="12" s="1"/>
  <c r="J51" i="11"/>
  <c r="K51" i="11"/>
  <c r="I51" i="11"/>
  <c r="H52" i="11" s="1"/>
  <c r="J51" i="7"/>
  <c r="K51" i="7"/>
  <c r="I51" i="7"/>
  <c r="H52" i="7" s="1"/>
  <c r="J51" i="5"/>
  <c r="I51" i="5"/>
  <c r="H52" i="5" s="1"/>
  <c r="K51" i="5"/>
  <c r="L51" i="8" l="1"/>
  <c r="M51" i="8" s="1"/>
  <c r="L50" i="10"/>
  <c r="L51" i="5"/>
  <c r="K52" i="8"/>
  <c r="J52" i="8"/>
  <c r="I52" i="8"/>
  <c r="H53" i="8" s="1"/>
  <c r="K51" i="9"/>
  <c r="I51" i="9"/>
  <c r="H52" i="9" s="1"/>
  <c r="J51" i="9"/>
  <c r="L51" i="12"/>
  <c r="M51" i="12" s="1"/>
  <c r="L50" i="9"/>
  <c r="M50" i="9" s="1"/>
  <c r="L50" i="6"/>
  <c r="M50" i="6" s="1"/>
  <c r="J51" i="6"/>
  <c r="I51" i="6"/>
  <c r="H52" i="6" s="1"/>
  <c r="K51" i="6"/>
  <c r="K51" i="10"/>
  <c r="J51" i="10"/>
  <c r="I51" i="10"/>
  <c r="H52" i="10" s="1"/>
  <c r="L51" i="11"/>
  <c r="M51" i="11" s="1"/>
  <c r="J52" i="12"/>
  <c r="K52" i="12"/>
  <c r="I52" i="12"/>
  <c r="H53" i="12" s="1"/>
  <c r="J52" i="11"/>
  <c r="K52" i="11"/>
  <c r="I52" i="11"/>
  <c r="H53" i="11" s="1"/>
  <c r="L51" i="7"/>
  <c r="M51" i="7" s="1"/>
  <c r="J52" i="7"/>
  <c r="K52" i="7"/>
  <c r="I52" i="7"/>
  <c r="H53" i="7" s="1"/>
  <c r="J52" i="5"/>
  <c r="I52" i="5"/>
  <c r="H53" i="5" s="1"/>
  <c r="K52" i="5"/>
  <c r="L52" i="8" l="1"/>
  <c r="M52" i="8" s="1"/>
  <c r="L52" i="5"/>
  <c r="L51" i="6"/>
  <c r="M51" i="6" s="1"/>
  <c r="J53" i="8"/>
  <c r="I53" i="8"/>
  <c r="H54" i="8" s="1"/>
  <c r="K53" i="8"/>
  <c r="J52" i="9"/>
  <c r="K52" i="9"/>
  <c r="I52" i="9"/>
  <c r="H53" i="9" s="1"/>
  <c r="L51" i="9"/>
  <c r="M51" i="9" s="1"/>
  <c r="I52" i="6"/>
  <c r="H53" i="6" s="1"/>
  <c r="K52" i="6"/>
  <c r="J52" i="6"/>
  <c r="L52" i="12"/>
  <c r="M52" i="12" s="1"/>
  <c r="L51" i="10"/>
  <c r="L52" i="7"/>
  <c r="M52" i="7" s="1"/>
  <c r="J52" i="10"/>
  <c r="I52" i="10"/>
  <c r="H53" i="10" s="1"/>
  <c r="K52" i="10"/>
  <c r="L52" i="11"/>
  <c r="M52" i="11" s="1"/>
  <c r="J53" i="12"/>
  <c r="K53" i="12"/>
  <c r="I53" i="12"/>
  <c r="H54" i="12" s="1"/>
  <c r="J53" i="11"/>
  <c r="K53" i="11"/>
  <c r="I53" i="11"/>
  <c r="H54" i="11" s="1"/>
  <c r="J53" i="7"/>
  <c r="K53" i="7"/>
  <c r="I53" i="7"/>
  <c r="H54" i="7" s="1"/>
  <c r="J53" i="5"/>
  <c r="I53" i="5"/>
  <c r="H54" i="5" s="1"/>
  <c r="K53" i="5"/>
  <c r="L53" i="8" l="1"/>
  <c r="M53" i="8" s="1"/>
  <c r="L53" i="5"/>
  <c r="L52" i="10"/>
  <c r="J54" i="8"/>
  <c r="I54" i="8"/>
  <c r="H55" i="8" s="1"/>
  <c r="K54" i="8"/>
  <c r="L54" i="8" s="1"/>
  <c r="M54" i="8" s="1"/>
  <c r="L52" i="9"/>
  <c r="M52" i="9" s="1"/>
  <c r="J53" i="9"/>
  <c r="K53" i="9"/>
  <c r="I53" i="9"/>
  <c r="H54" i="9" s="1"/>
  <c r="L52" i="6"/>
  <c r="M52" i="6" s="1"/>
  <c r="K53" i="6"/>
  <c r="J53" i="6"/>
  <c r="I53" i="6"/>
  <c r="H54" i="6" s="1"/>
  <c r="K53" i="10"/>
  <c r="J53" i="10"/>
  <c r="I53" i="10"/>
  <c r="H54" i="10" s="1"/>
  <c r="L53" i="12"/>
  <c r="M53" i="12" s="1"/>
  <c r="J54" i="12"/>
  <c r="K54" i="12"/>
  <c r="I54" i="12"/>
  <c r="H55" i="12" s="1"/>
  <c r="L53" i="11"/>
  <c r="M53" i="11" s="1"/>
  <c r="J54" i="11"/>
  <c r="K54" i="11"/>
  <c r="I54" i="11"/>
  <c r="H55" i="11" s="1"/>
  <c r="L53" i="7"/>
  <c r="M53" i="7" s="1"/>
  <c r="J54" i="7"/>
  <c r="K54" i="7"/>
  <c r="I54" i="7"/>
  <c r="H55" i="7" s="1"/>
  <c r="K54" i="5"/>
  <c r="J54" i="5"/>
  <c r="I54" i="5"/>
  <c r="H55" i="5" s="1"/>
  <c r="K55" i="8" l="1"/>
  <c r="I55" i="8"/>
  <c r="H56" i="8" s="1"/>
  <c r="J55" i="8"/>
  <c r="L53" i="9"/>
  <c r="M53" i="9" s="1"/>
  <c r="I54" i="9"/>
  <c r="H55" i="9" s="1"/>
  <c r="J54" i="9"/>
  <c r="K54" i="9"/>
  <c r="L53" i="6"/>
  <c r="M53" i="6" s="1"/>
  <c r="J54" i="6"/>
  <c r="I54" i="6"/>
  <c r="H55" i="6" s="1"/>
  <c r="K54" i="6"/>
  <c r="L53" i="10"/>
  <c r="K54" i="10"/>
  <c r="J54" i="10"/>
  <c r="I54" i="10"/>
  <c r="H55" i="10" s="1"/>
  <c r="L54" i="7"/>
  <c r="M54" i="7" s="1"/>
  <c r="L54" i="11"/>
  <c r="M54" i="11" s="1"/>
  <c r="L54" i="12"/>
  <c r="M54" i="12" s="1"/>
  <c r="K55" i="12"/>
  <c r="J55" i="12"/>
  <c r="I55" i="12"/>
  <c r="H56" i="12" s="1"/>
  <c r="K55" i="11"/>
  <c r="J55" i="11"/>
  <c r="I55" i="11"/>
  <c r="H56" i="11" s="1"/>
  <c r="K55" i="7"/>
  <c r="J55" i="7"/>
  <c r="I55" i="7"/>
  <c r="H56" i="7" s="1"/>
  <c r="L54" i="5"/>
  <c r="K55" i="5"/>
  <c r="I55" i="5"/>
  <c r="H56" i="5" s="1"/>
  <c r="J55" i="5"/>
  <c r="L54" i="6" l="1"/>
  <c r="M54" i="6" s="1"/>
  <c r="L54" i="9"/>
  <c r="M54" i="9" s="1"/>
  <c r="J56" i="8"/>
  <c r="I56" i="8"/>
  <c r="H57" i="8" s="1"/>
  <c r="K56" i="8"/>
  <c r="L55" i="8"/>
  <c r="M55" i="8" s="1"/>
  <c r="I55" i="9"/>
  <c r="H56" i="9" s="1"/>
  <c r="K55" i="9"/>
  <c r="J55" i="9"/>
  <c r="K55" i="6"/>
  <c r="I55" i="6"/>
  <c r="H56" i="6" s="1"/>
  <c r="J55" i="6"/>
  <c r="L54" i="10"/>
  <c r="L55" i="11"/>
  <c r="M55" i="11" s="1"/>
  <c r="K55" i="10"/>
  <c r="I55" i="10"/>
  <c r="H56" i="10" s="1"/>
  <c r="J55" i="10"/>
  <c r="L55" i="12"/>
  <c r="M55" i="12" s="1"/>
  <c r="J56" i="12"/>
  <c r="K56" i="12"/>
  <c r="I56" i="12"/>
  <c r="H57" i="12" s="1"/>
  <c r="J56" i="11"/>
  <c r="K56" i="11"/>
  <c r="I56" i="11"/>
  <c r="H57" i="11" s="1"/>
  <c r="L55" i="7"/>
  <c r="M55" i="7" s="1"/>
  <c r="J56" i="7"/>
  <c r="K56" i="7"/>
  <c r="I56" i="7"/>
  <c r="H57" i="7" s="1"/>
  <c r="J56" i="5"/>
  <c r="I56" i="5"/>
  <c r="H57" i="5" s="1"/>
  <c r="K56" i="5"/>
  <c r="L56" i="5" s="1"/>
  <c r="L55" i="5"/>
  <c r="L56" i="8" l="1"/>
  <c r="M56" i="8" s="1"/>
  <c r="K57" i="8"/>
  <c r="I57" i="8"/>
  <c r="H58" i="8" s="1"/>
  <c r="J57" i="8"/>
  <c r="L55" i="9"/>
  <c r="M55" i="9" s="1"/>
  <c r="J56" i="9"/>
  <c r="K56" i="9"/>
  <c r="L56" i="9" s="1"/>
  <c r="M56" i="9" s="1"/>
  <c r="I56" i="9"/>
  <c r="H57" i="9" s="1"/>
  <c r="I56" i="6"/>
  <c r="H57" i="6" s="1"/>
  <c r="K56" i="6"/>
  <c r="J56" i="6"/>
  <c r="L55" i="6"/>
  <c r="M55" i="6" s="1"/>
  <c r="K56" i="10"/>
  <c r="J56" i="10"/>
  <c r="I56" i="10"/>
  <c r="H57" i="10" s="1"/>
  <c r="L56" i="11"/>
  <c r="M56" i="11" s="1"/>
  <c r="L55" i="10"/>
  <c r="L56" i="12"/>
  <c r="M56" i="12" s="1"/>
  <c r="K57" i="12"/>
  <c r="J57" i="12"/>
  <c r="I57" i="12"/>
  <c r="H58" i="12" s="1"/>
  <c r="K57" i="11"/>
  <c r="J57" i="11"/>
  <c r="I57" i="11"/>
  <c r="H58" i="11" s="1"/>
  <c r="L56" i="7"/>
  <c r="M56" i="7" s="1"/>
  <c r="K57" i="7"/>
  <c r="J57" i="7"/>
  <c r="I57" i="7"/>
  <c r="H58" i="7" s="1"/>
  <c r="K57" i="5"/>
  <c r="I57" i="5"/>
  <c r="H58" i="5" s="1"/>
  <c r="J57" i="5"/>
  <c r="J58" i="8" l="1"/>
  <c r="I58" i="8"/>
  <c r="H59" i="8" s="1"/>
  <c r="K58" i="8"/>
  <c r="L58" i="8" s="1"/>
  <c r="M58" i="8" s="1"/>
  <c r="L57" i="8"/>
  <c r="M57" i="8" s="1"/>
  <c r="K57" i="9"/>
  <c r="J57" i="9"/>
  <c r="I57" i="9"/>
  <c r="H58" i="9" s="1"/>
  <c r="L56" i="6"/>
  <c r="M56" i="6" s="1"/>
  <c r="J57" i="6"/>
  <c r="K57" i="6"/>
  <c r="I57" i="6"/>
  <c r="H58" i="6" s="1"/>
  <c r="L56" i="10"/>
  <c r="L57" i="12"/>
  <c r="M57" i="12" s="1"/>
  <c r="L57" i="11"/>
  <c r="M57" i="11" s="1"/>
  <c r="J57" i="10"/>
  <c r="K57" i="10"/>
  <c r="I57" i="10"/>
  <c r="H58" i="10" s="1"/>
  <c r="J58" i="12"/>
  <c r="K58" i="12"/>
  <c r="I58" i="12"/>
  <c r="H59" i="12" s="1"/>
  <c r="J58" i="11"/>
  <c r="K58" i="11"/>
  <c r="I58" i="11"/>
  <c r="H59" i="11" s="1"/>
  <c r="L57" i="7"/>
  <c r="M57" i="7" s="1"/>
  <c r="J58" i="7"/>
  <c r="K58" i="7"/>
  <c r="I58" i="7"/>
  <c r="H59" i="7" s="1"/>
  <c r="K58" i="5"/>
  <c r="J58" i="5"/>
  <c r="I58" i="5"/>
  <c r="H59" i="5" s="1"/>
  <c r="L57" i="5"/>
  <c r="J59" i="8" l="1"/>
  <c r="K59" i="8"/>
  <c r="L59" i="8" s="1"/>
  <c r="M59" i="8" s="1"/>
  <c r="I59" i="8"/>
  <c r="H60" i="8" s="1"/>
  <c r="L57" i="9"/>
  <c r="M57" i="9" s="1"/>
  <c r="J58" i="9"/>
  <c r="K58" i="9"/>
  <c r="I58" i="9"/>
  <c r="H59" i="9" s="1"/>
  <c r="L57" i="6"/>
  <c r="M57" i="6" s="1"/>
  <c r="K58" i="6"/>
  <c r="J58" i="6"/>
  <c r="I58" i="6"/>
  <c r="H59" i="6" s="1"/>
  <c r="K58" i="10"/>
  <c r="J58" i="10"/>
  <c r="I58" i="10"/>
  <c r="H59" i="10" s="1"/>
  <c r="L58" i="12"/>
  <c r="M58" i="12" s="1"/>
  <c r="L57" i="10"/>
  <c r="L58" i="7"/>
  <c r="M58" i="7" s="1"/>
  <c r="L58" i="11"/>
  <c r="M58" i="11" s="1"/>
  <c r="K59" i="12"/>
  <c r="J59" i="12"/>
  <c r="I59" i="12"/>
  <c r="H60" i="12" s="1"/>
  <c r="K59" i="11"/>
  <c r="J59" i="11"/>
  <c r="I59" i="11"/>
  <c r="H60" i="11" s="1"/>
  <c r="K59" i="7"/>
  <c r="J59" i="7"/>
  <c r="I59" i="7"/>
  <c r="H60" i="7" s="1"/>
  <c r="L58" i="5"/>
  <c r="J59" i="5"/>
  <c r="K59" i="5"/>
  <c r="I59" i="5"/>
  <c r="H60" i="5" s="1"/>
  <c r="L58" i="9" l="1"/>
  <c r="M58" i="9" s="1"/>
  <c r="K60" i="8"/>
  <c r="L60" i="8" s="1"/>
  <c r="M60" i="8" s="1"/>
  <c r="J60" i="8"/>
  <c r="I60" i="8"/>
  <c r="H61" i="8" s="1"/>
  <c r="K59" i="9"/>
  <c r="J59" i="9"/>
  <c r="I59" i="9"/>
  <c r="H60" i="9" s="1"/>
  <c r="L58" i="6"/>
  <c r="M58" i="6" s="1"/>
  <c r="K59" i="6"/>
  <c r="I59" i="6"/>
  <c r="H60" i="6" s="1"/>
  <c r="J59" i="6"/>
  <c r="L58" i="10"/>
  <c r="L59" i="11"/>
  <c r="M59" i="11" s="1"/>
  <c r="K59" i="10"/>
  <c r="I59" i="10"/>
  <c r="H60" i="10" s="1"/>
  <c r="J59" i="10"/>
  <c r="L59" i="12"/>
  <c r="M59" i="12" s="1"/>
  <c r="J60" i="12"/>
  <c r="K60" i="12"/>
  <c r="I60" i="12"/>
  <c r="H61" i="12" s="1"/>
  <c r="J60" i="11"/>
  <c r="K60" i="11"/>
  <c r="I60" i="11"/>
  <c r="H61" i="11" s="1"/>
  <c r="L59" i="7"/>
  <c r="M59" i="7" s="1"/>
  <c r="J60" i="7"/>
  <c r="K60" i="7"/>
  <c r="I60" i="7"/>
  <c r="H61" i="7" s="1"/>
  <c r="L59" i="5"/>
  <c r="J60" i="5"/>
  <c r="I60" i="5"/>
  <c r="H61" i="5" s="1"/>
  <c r="K60" i="5"/>
  <c r="L60" i="5" s="1"/>
  <c r="K61" i="8" l="1"/>
  <c r="I61" i="8"/>
  <c r="H62" i="8" s="1"/>
  <c r="J61" i="8"/>
  <c r="L59" i="9"/>
  <c r="M59" i="9" s="1"/>
  <c r="J60" i="9"/>
  <c r="K60" i="9"/>
  <c r="L60" i="9" s="1"/>
  <c r="M60" i="9" s="1"/>
  <c r="I60" i="9"/>
  <c r="H61" i="9" s="1"/>
  <c r="K60" i="6"/>
  <c r="J60" i="6"/>
  <c r="I60" i="6"/>
  <c r="H61" i="6" s="1"/>
  <c r="L59" i="6"/>
  <c r="M59" i="6" s="1"/>
  <c r="J60" i="10"/>
  <c r="I60" i="10"/>
  <c r="H61" i="10" s="1"/>
  <c r="K60" i="10"/>
  <c r="L60" i="10" s="1"/>
  <c r="L59" i="10"/>
  <c r="L60" i="12"/>
  <c r="M60" i="12" s="1"/>
  <c r="L60" i="11"/>
  <c r="M60" i="11" s="1"/>
  <c r="K61" i="12"/>
  <c r="J61" i="12"/>
  <c r="I61" i="12"/>
  <c r="H62" i="12" s="1"/>
  <c r="K61" i="11"/>
  <c r="J61" i="11"/>
  <c r="I61" i="11"/>
  <c r="H62" i="11" s="1"/>
  <c r="L60" i="7"/>
  <c r="M60" i="7" s="1"/>
  <c r="K61" i="7"/>
  <c r="J61" i="7"/>
  <c r="I61" i="7"/>
  <c r="H62" i="7" s="1"/>
  <c r="J61" i="5"/>
  <c r="K61" i="5"/>
  <c r="I61" i="5"/>
  <c r="H62" i="5" s="1"/>
  <c r="K62" i="8" l="1"/>
  <c r="L62" i="8" s="1"/>
  <c r="M62" i="8" s="1"/>
  <c r="J62" i="8"/>
  <c r="I62" i="8"/>
  <c r="H63" i="8" s="1"/>
  <c r="L61" i="8"/>
  <c r="M61" i="8" s="1"/>
  <c r="K61" i="9"/>
  <c r="J61" i="9"/>
  <c r="I61" i="9"/>
  <c r="H62" i="9" s="1"/>
  <c r="I61" i="6"/>
  <c r="H62" i="6" s="1"/>
  <c r="J61" i="6"/>
  <c r="K61" i="6"/>
  <c r="L60" i="6"/>
  <c r="M60" i="6" s="1"/>
  <c r="L61" i="11"/>
  <c r="M61" i="11" s="1"/>
  <c r="K61" i="10"/>
  <c r="I61" i="10"/>
  <c r="H62" i="10" s="1"/>
  <c r="J61" i="10"/>
  <c r="L61" i="12"/>
  <c r="M61" i="12" s="1"/>
  <c r="J62" i="12"/>
  <c r="K62" i="12"/>
  <c r="I62" i="12"/>
  <c r="H63" i="12" s="1"/>
  <c r="J62" i="11"/>
  <c r="K62" i="11"/>
  <c r="I62" i="11"/>
  <c r="H63" i="11" s="1"/>
  <c r="L61" i="7"/>
  <c r="M61" i="7" s="1"/>
  <c r="J62" i="7"/>
  <c r="K62" i="7"/>
  <c r="I62" i="7"/>
  <c r="H63" i="7" s="1"/>
  <c r="L61" i="5"/>
  <c r="K62" i="5"/>
  <c r="J62" i="5"/>
  <c r="I62" i="5"/>
  <c r="H63" i="5" s="1"/>
  <c r="L61" i="9" l="1"/>
  <c r="M61" i="9" s="1"/>
  <c r="K63" i="8"/>
  <c r="I63" i="8"/>
  <c r="H64" i="8" s="1"/>
  <c r="J63" i="8"/>
  <c r="I62" i="9"/>
  <c r="H63" i="9" s="1"/>
  <c r="J62" i="9"/>
  <c r="K62" i="9"/>
  <c r="L62" i="9" s="1"/>
  <c r="M62" i="9" s="1"/>
  <c r="L61" i="6"/>
  <c r="M61" i="6" s="1"/>
  <c r="K62" i="6"/>
  <c r="J62" i="6"/>
  <c r="I62" i="6"/>
  <c r="H63" i="6" s="1"/>
  <c r="J62" i="10"/>
  <c r="I62" i="10"/>
  <c r="H63" i="10" s="1"/>
  <c r="K62" i="10"/>
  <c r="L62" i="12"/>
  <c r="M62" i="12" s="1"/>
  <c r="L61" i="10"/>
  <c r="L62" i="11"/>
  <c r="M62" i="11" s="1"/>
  <c r="K63" i="12"/>
  <c r="J63" i="12"/>
  <c r="I63" i="12"/>
  <c r="H64" i="12" s="1"/>
  <c r="K63" i="11"/>
  <c r="J63" i="11"/>
  <c r="I63" i="11"/>
  <c r="H64" i="11" s="1"/>
  <c r="L62" i="7"/>
  <c r="M62" i="7" s="1"/>
  <c r="K63" i="7"/>
  <c r="J63" i="7"/>
  <c r="I63" i="7"/>
  <c r="H64" i="7" s="1"/>
  <c r="L62" i="5"/>
  <c r="K63" i="5"/>
  <c r="I63" i="5"/>
  <c r="H64" i="5" s="1"/>
  <c r="J63" i="5"/>
  <c r="L62" i="10" l="1"/>
  <c r="K64" i="8"/>
  <c r="J64" i="8"/>
  <c r="I64" i="8"/>
  <c r="H65" i="8" s="1"/>
  <c r="L63" i="8"/>
  <c r="M63" i="8" s="1"/>
  <c r="I63" i="9"/>
  <c r="H64" i="9" s="1"/>
  <c r="K63" i="9"/>
  <c r="J63" i="9"/>
  <c r="L62" i="6"/>
  <c r="M62" i="6" s="1"/>
  <c r="K63" i="6"/>
  <c r="I63" i="6"/>
  <c r="H64" i="6" s="1"/>
  <c r="J63" i="6"/>
  <c r="K63" i="10"/>
  <c r="I63" i="10"/>
  <c r="H64" i="10" s="1"/>
  <c r="J63" i="10"/>
  <c r="L63" i="12"/>
  <c r="M63" i="12" s="1"/>
  <c r="L63" i="11"/>
  <c r="M63" i="11" s="1"/>
  <c r="J64" i="12"/>
  <c r="K64" i="12"/>
  <c r="I64" i="12"/>
  <c r="H65" i="12" s="1"/>
  <c r="K64" i="11"/>
  <c r="J64" i="11"/>
  <c r="I64" i="11"/>
  <c r="H65" i="11" s="1"/>
  <c r="L63" i="7"/>
  <c r="M63" i="7" s="1"/>
  <c r="J64" i="7"/>
  <c r="K64" i="7"/>
  <c r="I64" i="7"/>
  <c r="H65" i="7" s="1"/>
  <c r="K64" i="5"/>
  <c r="J64" i="5"/>
  <c r="I64" i="5"/>
  <c r="H65" i="5" s="1"/>
  <c r="L63" i="5"/>
  <c r="L64" i="8" l="1"/>
  <c r="M64" i="8" s="1"/>
  <c r="K65" i="8"/>
  <c r="I65" i="8"/>
  <c r="H66" i="8" s="1"/>
  <c r="J65" i="8"/>
  <c r="L63" i="9"/>
  <c r="M63" i="9" s="1"/>
  <c r="J64" i="9"/>
  <c r="K64" i="9"/>
  <c r="I64" i="9"/>
  <c r="H65" i="9" s="1"/>
  <c r="J64" i="6"/>
  <c r="I64" i="6"/>
  <c r="H65" i="6" s="1"/>
  <c r="K64" i="6"/>
  <c r="L64" i="6" s="1"/>
  <c r="M64" i="6" s="1"/>
  <c r="L63" i="6"/>
  <c r="M63" i="6" s="1"/>
  <c r="K64" i="10"/>
  <c r="J64" i="10"/>
  <c r="I64" i="10"/>
  <c r="H65" i="10" s="1"/>
  <c r="L63" i="10"/>
  <c r="L64" i="12"/>
  <c r="M64" i="12" s="1"/>
  <c r="K65" i="12"/>
  <c r="J65" i="12"/>
  <c r="I65" i="12"/>
  <c r="H66" i="12" s="1"/>
  <c r="L64" i="11"/>
  <c r="M64" i="11" s="1"/>
  <c r="J65" i="11"/>
  <c r="K65" i="11"/>
  <c r="I65" i="11"/>
  <c r="H66" i="11" s="1"/>
  <c r="L64" i="7"/>
  <c r="M64" i="7" s="1"/>
  <c r="K65" i="7"/>
  <c r="J65" i="7"/>
  <c r="I65" i="7"/>
  <c r="H66" i="7" s="1"/>
  <c r="L64" i="5"/>
  <c r="K65" i="5"/>
  <c r="I65" i="5"/>
  <c r="H66" i="5" s="1"/>
  <c r="J65" i="5"/>
  <c r="K66" i="8" l="1"/>
  <c r="J66" i="8"/>
  <c r="I66" i="8"/>
  <c r="H67" i="8" s="1"/>
  <c r="L65" i="8"/>
  <c r="M65" i="8" s="1"/>
  <c r="J65" i="9"/>
  <c r="I65" i="9"/>
  <c r="H66" i="9" s="1"/>
  <c r="K65" i="9"/>
  <c r="L65" i="9" s="1"/>
  <c r="M65" i="9" s="1"/>
  <c r="L64" i="9"/>
  <c r="M64" i="9" s="1"/>
  <c r="K65" i="6"/>
  <c r="I65" i="6"/>
  <c r="H66" i="6" s="1"/>
  <c r="J65" i="6"/>
  <c r="L64" i="10"/>
  <c r="K65" i="10"/>
  <c r="I65" i="10"/>
  <c r="H66" i="10" s="1"/>
  <c r="J65" i="10"/>
  <c r="L65" i="12"/>
  <c r="M65" i="12" s="1"/>
  <c r="L65" i="11"/>
  <c r="M65" i="11" s="1"/>
  <c r="J66" i="12"/>
  <c r="K66" i="12"/>
  <c r="I66" i="12"/>
  <c r="H67" i="12" s="1"/>
  <c r="K66" i="11"/>
  <c r="J66" i="11"/>
  <c r="I66" i="11"/>
  <c r="H67" i="11" s="1"/>
  <c r="L65" i="7"/>
  <c r="M65" i="7" s="1"/>
  <c r="J66" i="7"/>
  <c r="K66" i="7"/>
  <c r="I66" i="7"/>
  <c r="H67" i="7" s="1"/>
  <c r="K66" i="5"/>
  <c r="J66" i="5"/>
  <c r="I66" i="5"/>
  <c r="H67" i="5" s="1"/>
  <c r="L65" i="5"/>
  <c r="L66" i="8" l="1"/>
  <c r="M66" i="8" s="1"/>
  <c r="J67" i="8"/>
  <c r="K67" i="8"/>
  <c r="I67" i="8"/>
  <c r="H68" i="8" s="1"/>
  <c r="K66" i="9"/>
  <c r="I66" i="9"/>
  <c r="H67" i="9" s="1"/>
  <c r="J66" i="9"/>
  <c r="I66" i="6"/>
  <c r="H67" i="6" s="1"/>
  <c r="K66" i="6"/>
  <c r="J66" i="6"/>
  <c r="L65" i="6"/>
  <c r="M65" i="6" s="1"/>
  <c r="L66" i="7"/>
  <c r="M66" i="7" s="1"/>
  <c r="L66" i="12"/>
  <c r="M66" i="12" s="1"/>
  <c r="K66" i="10"/>
  <c r="J66" i="10"/>
  <c r="I66" i="10"/>
  <c r="H67" i="10" s="1"/>
  <c r="L65" i="10"/>
  <c r="K67" i="12"/>
  <c r="J67" i="12"/>
  <c r="I67" i="12"/>
  <c r="H68" i="12" s="1"/>
  <c r="L66" i="11"/>
  <c r="M66" i="11" s="1"/>
  <c r="J67" i="11"/>
  <c r="K67" i="11"/>
  <c r="I67" i="11"/>
  <c r="H68" i="11" s="1"/>
  <c r="K67" i="7"/>
  <c r="J67" i="7"/>
  <c r="I67" i="7"/>
  <c r="H68" i="7" s="1"/>
  <c r="L66" i="5"/>
  <c r="J67" i="5"/>
  <c r="K67" i="5"/>
  <c r="I67" i="5"/>
  <c r="H68" i="5" s="1"/>
  <c r="L67" i="8" l="1"/>
  <c r="M67" i="8" s="1"/>
  <c r="J68" i="8"/>
  <c r="I68" i="8"/>
  <c r="H69" i="8" s="1"/>
  <c r="K68" i="8"/>
  <c r="K67" i="9"/>
  <c r="J67" i="9"/>
  <c r="I67" i="9"/>
  <c r="H68" i="9" s="1"/>
  <c r="L66" i="9"/>
  <c r="M66" i="9" s="1"/>
  <c r="L66" i="6"/>
  <c r="M66" i="6" s="1"/>
  <c r="K67" i="6"/>
  <c r="I67" i="6"/>
  <c r="H68" i="6" s="1"/>
  <c r="J67" i="6"/>
  <c r="L66" i="10"/>
  <c r="L67" i="12"/>
  <c r="M67" i="12" s="1"/>
  <c r="J67" i="10"/>
  <c r="K67" i="10"/>
  <c r="I67" i="10"/>
  <c r="H68" i="10" s="1"/>
  <c r="L67" i="11"/>
  <c r="M67" i="11" s="1"/>
  <c r="J68" i="12"/>
  <c r="K68" i="12"/>
  <c r="I68" i="12"/>
  <c r="H69" i="12" s="1"/>
  <c r="K68" i="11"/>
  <c r="J68" i="11"/>
  <c r="I68" i="11"/>
  <c r="H69" i="11" s="1"/>
  <c r="L67" i="7"/>
  <c r="M67" i="7" s="1"/>
  <c r="J68" i="7"/>
  <c r="K68" i="7"/>
  <c r="I68" i="7"/>
  <c r="H69" i="7" s="1"/>
  <c r="L67" i="5"/>
  <c r="K68" i="5"/>
  <c r="J68" i="5"/>
  <c r="I68" i="5"/>
  <c r="H69" i="5" s="1"/>
  <c r="L68" i="8" l="1"/>
  <c r="M68" i="8" s="1"/>
  <c r="L67" i="9"/>
  <c r="M67" i="9" s="1"/>
  <c r="K69" i="8"/>
  <c r="I69" i="8"/>
  <c r="H70" i="8" s="1"/>
  <c r="J69" i="8"/>
  <c r="K68" i="9"/>
  <c r="I68" i="9"/>
  <c r="H69" i="9" s="1"/>
  <c r="J68" i="9"/>
  <c r="L67" i="6"/>
  <c r="M67" i="6" s="1"/>
  <c r="I68" i="6"/>
  <c r="H69" i="6" s="1"/>
  <c r="K68" i="6"/>
  <c r="J68" i="6"/>
  <c r="J68" i="10"/>
  <c r="I68" i="10"/>
  <c r="H69" i="10" s="1"/>
  <c r="K68" i="10"/>
  <c r="L68" i="10" s="1"/>
  <c r="L68" i="12"/>
  <c r="M68" i="12" s="1"/>
  <c r="L67" i="10"/>
  <c r="L68" i="11"/>
  <c r="M68" i="11" s="1"/>
  <c r="K69" i="12"/>
  <c r="J69" i="12"/>
  <c r="I69" i="12"/>
  <c r="H70" i="12" s="1"/>
  <c r="J69" i="11"/>
  <c r="K69" i="11"/>
  <c r="I69" i="11"/>
  <c r="H70" i="11" s="1"/>
  <c r="L68" i="7"/>
  <c r="M68" i="7" s="1"/>
  <c r="K69" i="7"/>
  <c r="J69" i="7"/>
  <c r="I69" i="7"/>
  <c r="H70" i="7" s="1"/>
  <c r="L68" i="5"/>
  <c r="J69" i="5"/>
  <c r="K69" i="5"/>
  <c r="I69" i="5"/>
  <c r="H70" i="5" s="1"/>
  <c r="K70" i="8" l="1"/>
  <c r="J70" i="8"/>
  <c r="I70" i="8"/>
  <c r="H71" i="8" s="1"/>
  <c r="L69" i="8"/>
  <c r="M69" i="8" s="1"/>
  <c r="I69" i="9"/>
  <c r="H70" i="9" s="1"/>
  <c r="K69" i="9"/>
  <c r="J69" i="9"/>
  <c r="L68" i="9"/>
  <c r="M68" i="9" s="1"/>
  <c r="J69" i="6"/>
  <c r="K69" i="6"/>
  <c r="I69" i="6"/>
  <c r="H70" i="6" s="1"/>
  <c r="L68" i="6"/>
  <c r="M68" i="6" s="1"/>
  <c r="L69" i="11"/>
  <c r="M69" i="11" s="1"/>
  <c r="L69" i="12"/>
  <c r="M69" i="12" s="1"/>
  <c r="J69" i="10"/>
  <c r="K69" i="10"/>
  <c r="I69" i="10"/>
  <c r="H70" i="10" s="1"/>
  <c r="J70" i="12"/>
  <c r="K70" i="12"/>
  <c r="I70" i="12"/>
  <c r="H71" i="12" s="1"/>
  <c r="K70" i="11"/>
  <c r="J70" i="11"/>
  <c r="I70" i="11"/>
  <c r="H71" i="11" s="1"/>
  <c r="L69" i="7"/>
  <c r="M69" i="7" s="1"/>
  <c r="J70" i="7"/>
  <c r="K70" i="7"/>
  <c r="I70" i="7"/>
  <c r="H71" i="7" s="1"/>
  <c r="L69" i="5"/>
  <c r="K70" i="5"/>
  <c r="J70" i="5"/>
  <c r="I70" i="5"/>
  <c r="H71" i="5" s="1"/>
  <c r="L70" i="8" l="1"/>
  <c r="M70" i="8" s="1"/>
  <c r="J71" i="8"/>
  <c r="K71" i="8"/>
  <c r="I71" i="8"/>
  <c r="H72" i="8" s="1"/>
  <c r="L69" i="6"/>
  <c r="M69" i="6" s="1"/>
  <c r="L69" i="9"/>
  <c r="M69" i="9" s="1"/>
  <c r="K70" i="9"/>
  <c r="I70" i="9"/>
  <c r="H71" i="9" s="1"/>
  <c r="J70" i="9"/>
  <c r="I70" i="6"/>
  <c r="H71" i="6" s="1"/>
  <c r="K70" i="6"/>
  <c r="J70" i="6"/>
  <c r="L70" i="7"/>
  <c r="M70" i="7" s="1"/>
  <c r="L69" i="10"/>
  <c r="K70" i="10"/>
  <c r="J70" i="10"/>
  <c r="I70" i="10"/>
  <c r="H71" i="10" s="1"/>
  <c r="L70" i="12"/>
  <c r="M70" i="12" s="1"/>
  <c r="K71" i="12"/>
  <c r="J71" i="12"/>
  <c r="I71" i="12"/>
  <c r="H72" i="12" s="1"/>
  <c r="L70" i="11"/>
  <c r="M70" i="11" s="1"/>
  <c r="J71" i="11"/>
  <c r="K71" i="11"/>
  <c r="I71" i="11"/>
  <c r="H72" i="11" s="1"/>
  <c r="K71" i="7"/>
  <c r="J71" i="7"/>
  <c r="I71" i="7"/>
  <c r="H72" i="7" s="1"/>
  <c r="L70" i="5"/>
  <c r="J71" i="5"/>
  <c r="K71" i="5"/>
  <c r="I71" i="5"/>
  <c r="H72" i="5" s="1"/>
  <c r="L71" i="8" l="1"/>
  <c r="M71" i="8" s="1"/>
  <c r="K72" i="8"/>
  <c r="J72" i="8"/>
  <c r="I72" i="8"/>
  <c r="H73" i="8" s="1"/>
  <c r="J71" i="9"/>
  <c r="I71" i="9"/>
  <c r="H72" i="9" s="1"/>
  <c r="K71" i="9"/>
  <c r="L71" i="9" s="1"/>
  <c r="M71" i="9" s="1"/>
  <c r="L70" i="9"/>
  <c r="M70" i="9" s="1"/>
  <c r="L71" i="12"/>
  <c r="M71" i="12" s="1"/>
  <c r="L70" i="10"/>
  <c r="L70" i="6"/>
  <c r="M70" i="6" s="1"/>
  <c r="K71" i="6"/>
  <c r="I71" i="6"/>
  <c r="H72" i="6" s="1"/>
  <c r="J71" i="6"/>
  <c r="J71" i="10"/>
  <c r="K71" i="10"/>
  <c r="I71" i="10"/>
  <c r="H72" i="10" s="1"/>
  <c r="J72" i="12"/>
  <c r="K72" i="12"/>
  <c r="I72" i="12"/>
  <c r="H73" i="12" s="1"/>
  <c r="L71" i="11"/>
  <c r="M71" i="11" s="1"/>
  <c r="K72" i="11"/>
  <c r="J72" i="11"/>
  <c r="I72" i="11"/>
  <c r="H73" i="11" s="1"/>
  <c r="L71" i="7"/>
  <c r="M71" i="7" s="1"/>
  <c r="J72" i="7"/>
  <c r="K72" i="7"/>
  <c r="I72" i="7"/>
  <c r="H73" i="7" s="1"/>
  <c r="L71" i="5"/>
  <c r="J72" i="5"/>
  <c r="I72" i="5"/>
  <c r="H73" i="5" s="1"/>
  <c r="K72" i="5"/>
  <c r="L72" i="5" s="1"/>
  <c r="L72" i="8" l="1"/>
  <c r="M72" i="8" s="1"/>
  <c r="J73" i="8"/>
  <c r="K73" i="8"/>
  <c r="I73" i="8"/>
  <c r="H74" i="8" s="1"/>
  <c r="I72" i="9"/>
  <c r="H73" i="9" s="1"/>
  <c r="J72" i="9"/>
  <c r="K72" i="9"/>
  <c r="K72" i="6"/>
  <c r="J72" i="6"/>
  <c r="I72" i="6"/>
  <c r="H73" i="6" s="1"/>
  <c r="L71" i="6"/>
  <c r="M71" i="6" s="1"/>
  <c r="L71" i="10"/>
  <c r="L72" i="12"/>
  <c r="M72" i="12" s="1"/>
  <c r="J72" i="10"/>
  <c r="I72" i="10"/>
  <c r="H73" i="10" s="1"/>
  <c r="K72" i="10"/>
  <c r="L72" i="11"/>
  <c r="M72" i="11" s="1"/>
  <c r="K73" i="12"/>
  <c r="J73" i="12"/>
  <c r="I73" i="12"/>
  <c r="H74" i="12" s="1"/>
  <c r="J73" i="11"/>
  <c r="K73" i="11"/>
  <c r="I73" i="11"/>
  <c r="H74" i="11" s="1"/>
  <c r="L72" i="7"/>
  <c r="M72" i="7" s="1"/>
  <c r="K73" i="7"/>
  <c r="J73" i="7"/>
  <c r="I73" i="7"/>
  <c r="H74" i="7" s="1"/>
  <c r="K73" i="5"/>
  <c r="I73" i="5"/>
  <c r="H74" i="5" s="1"/>
  <c r="J73" i="5"/>
  <c r="L73" i="8" l="1"/>
  <c r="M73" i="8" s="1"/>
  <c r="L72" i="10"/>
  <c r="L72" i="9"/>
  <c r="M72" i="9" s="1"/>
  <c r="K74" i="8"/>
  <c r="J74" i="8"/>
  <c r="I74" i="8"/>
  <c r="H75" i="8" s="1"/>
  <c r="K73" i="9"/>
  <c r="J73" i="9"/>
  <c r="I73" i="9"/>
  <c r="H74" i="9" s="1"/>
  <c r="L72" i="6"/>
  <c r="M72" i="6" s="1"/>
  <c r="K73" i="6"/>
  <c r="I73" i="6"/>
  <c r="H74" i="6" s="1"/>
  <c r="J73" i="6"/>
  <c r="J73" i="10"/>
  <c r="K73" i="10"/>
  <c r="I73" i="10"/>
  <c r="H74" i="10" s="1"/>
  <c r="L73" i="11"/>
  <c r="M73" i="11" s="1"/>
  <c r="L73" i="12"/>
  <c r="M73" i="12" s="1"/>
  <c r="J74" i="12"/>
  <c r="K74" i="12"/>
  <c r="L74" i="12" s="1"/>
  <c r="M74" i="12" s="1"/>
  <c r="I74" i="12"/>
  <c r="H75" i="12" s="1"/>
  <c r="K74" i="11"/>
  <c r="J74" i="11"/>
  <c r="I74" i="11"/>
  <c r="H75" i="11" s="1"/>
  <c r="L73" i="7"/>
  <c r="M73" i="7" s="1"/>
  <c r="J74" i="7"/>
  <c r="K74" i="7"/>
  <c r="I74" i="7"/>
  <c r="H75" i="7" s="1"/>
  <c r="J74" i="5"/>
  <c r="I74" i="5"/>
  <c r="H75" i="5" s="1"/>
  <c r="K74" i="5"/>
  <c r="L73" i="5"/>
  <c r="L74" i="5" l="1"/>
  <c r="L74" i="8"/>
  <c r="M74" i="8" s="1"/>
  <c r="J75" i="8"/>
  <c r="K75" i="8"/>
  <c r="I75" i="8"/>
  <c r="H76" i="8" s="1"/>
  <c r="L73" i="9"/>
  <c r="M73" i="9" s="1"/>
  <c r="K74" i="9"/>
  <c r="I74" i="9"/>
  <c r="H75" i="9" s="1"/>
  <c r="J74" i="9"/>
  <c r="L74" i="7"/>
  <c r="M74" i="7" s="1"/>
  <c r="K74" i="6"/>
  <c r="J74" i="6"/>
  <c r="I74" i="6"/>
  <c r="H75" i="6" s="1"/>
  <c r="L73" i="6"/>
  <c r="M73" i="6" s="1"/>
  <c r="L73" i="10"/>
  <c r="K74" i="10"/>
  <c r="J74" i="10"/>
  <c r="I74" i="10"/>
  <c r="H75" i="10" s="1"/>
  <c r="L74" i="11"/>
  <c r="M74" i="11" s="1"/>
  <c r="K75" i="12"/>
  <c r="J75" i="12"/>
  <c r="I75" i="12"/>
  <c r="H76" i="12" s="1"/>
  <c r="J75" i="11"/>
  <c r="K75" i="11"/>
  <c r="I75" i="11"/>
  <c r="H76" i="11" s="1"/>
  <c r="K75" i="7"/>
  <c r="J75" i="7"/>
  <c r="I75" i="7"/>
  <c r="H76" i="7" s="1"/>
  <c r="J75" i="5"/>
  <c r="K75" i="5"/>
  <c r="I75" i="5"/>
  <c r="H76" i="5" s="1"/>
  <c r="L75" i="8" l="1"/>
  <c r="M75" i="8" s="1"/>
  <c r="J76" i="8"/>
  <c r="I76" i="8"/>
  <c r="H77" i="8" s="1"/>
  <c r="K76" i="8"/>
  <c r="L76" i="8" s="1"/>
  <c r="M76" i="8" s="1"/>
  <c r="I75" i="9"/>
  <c r="H76" i="9" s="1"/>
  <c r="K75" i="9"/>
  <c r="J75" i="9"/>
  <c r="L74" i="9"/>
  <c r="M74" i="9" s="1"/>
  <c r="L75" i="11"/>
  <c r="M75" i="11" s="1"/>
  <c r="L75" i="12"/>
  <c r="M75" i="12" s="1"/>
  <c r="L74" i="10"/>
  <c r="L74" i="6"/>
  <c r="M74" i="6" s="1"/>
  <c r="J75" i="6"/>
  <c r="K75" i="6"/>
  <c r="I75" i="6"/>
  <c r="H76" i="6" s="1"/>
  <c r="K75" i="10"/>
  <c r="I75" i="10"/>
  <c r="H76" i="10" s="1"/>
  <c r="J75" i="10"/>
  <c r="J76" i="12"/>
  <c r="K76" i="12"/>
  <c r="I76" i="12"/>
  <c r="H77" i="12" s="1"/>
  <c r="K76" i="11"/>
  <c r="J76" i="11"/>
  <c r="I76" i="11"/>
  <c r="H77" i="11" s="1"/>
  <c r="L75" i="7"/>
  <c r="M75" i="7" s="1"/>
  <c r="J76" i="7"/>
  <c r="K76" i="7"/>
  <c r="I76" i="7"/>
  <c r="H77" i="7" s="1"/>
  <c r="L75" i="5"/>
  <c r="K76" i="5"/>
  <c r="J76" i="5"/>
  <c r="I76" i="5"/>
  <c r="H77" i="5" s="1"/>
  <c r="J77" i="8" l="1"/>
  <c r="K77" i="8"/>
  <c r="I77" i="8"/>
  <c r="H78" i="8" s="1"/>
  <c r="L75" i="9"/>
  <c r="M75" i="9" s="1"/>
  <c r="J76" i="9"/>
  <c r="K76" i="9"/>
  <c r="I76" i="9"/>
  <c r="H77" i="9" s="1"/>
  <c r="L75" i="6"/>
  <c r="M75" i="6" s="1"/>
  <c r="K76" i="6"/>
  <c r="J76" i="6"/>
  <c r="I76" i="6"/>
  <c r="H77" i="6" s="1"/>
  <c r="L76" i="12"/>
  <c r="M76" i="12" s="1"/>
  <c r="J76" i="10"/>
  <c r="I76" i="10"/>
  <c r="H77" i="10" s="1"/>
  <c r="K76" i="10"/>
  <c r="L76" i="10" s="1"/>
  <c r="L75" i="10"/>
  <c r="L76" i="11"/>
  <c r="M76" i="11" s="1"/>
  <c r="K77" i="12"/>
  <c r="J77" i="12"/>
  <c r="I77" i="12"/>
  <c r="H78" i="12" s="1"/>
  <c r="J77" i="11"/>
  <c r="K77" i="11"/>
  <c r="I77" i="11"/>
  <c r="H78" i="11" s="1"/>
  <c r="L76" i="7"/>
  <c r="M76" i="7" s="1"/>
  <c r="K77" i="7"/>
  <c r="J77" i="7"/>
  <c r="I77" i="7"/>
  <c r="H78" i="7" s="1"/>
  <c r="L76" i="5"/>
  <c r="J77" i="5"/>
  <c r="K77" i="5"/>
  <c r="I77" i="5"/>
  <c r="H78" i="5" s="1"/>
  <c r="L77" i="8" l="1"/>
  <c r="M77" i="8" s="1"/>
  <c r="K78" i="8"/>
  <c r="J78" i="8"/>
  <c r="I78" i="8"/>
  <c r="H79" i="8" s="1"/>
  <c r="L76" i="9"/>
  <c r="M76" i="9" s="1"/>
  <c r="J77" i="9"/>
  <c r="I77" i="9"/>
  <c r="H78" i="9" s="1"/>
  <c r="K77" i="9"/>
  <c r="L77" i="9" s="1"/>
  <c r="M77" i="9" s="1"/>
  <c r="L76" i="6"/>
  <c r="M76" i="6" s="1"/>
  <c r="J77" i="6"/>
  <c r="K77" i="6"/>
  <c r="I77" i="6"/>
  <c r="H78" i="6" s="1"/>
  <c r="L77" i="12"/>
  <c r="M77" i="12" s="1"/>
  <c r="K77" i="10"/>
  <c r="I77" i="10"/>
  <c r="H78" i="10" s="1"/>
  <c r="J77" i="10"/>
  <c r="J78" i="12"/>
  <c r="K78" i="12"/>
  <c r="I78" i="12"/>
  <c r="H79" i="12" s="1"/>
  <c r="L77" i="11"/>
  <c r="M77" i="11" s="1"/>
  <c r="K78" i="11"/>
  <c r="J78" i="11"/>
  <c r="I78" i="11"/>
  <c r="H79" i="11" s="1"/>
  <c r="L77" i="7"/>
  <c r="M77" i="7" s="1"/>
  <c r="J78" i="7"/>
  <c r="K78" i="7"/>
  <c r="I78" i="7"/>
  <c r="H79" i="7" s="1"/>
  <c r="L77" i="5"/>
  <c r="K78" i="5"/>
  <c r="J78" i="5"/>
  <c r="I78" i="5"/>
  <c r="H79" i="5" s="1"/>
  <c r="L78" i="8" l="1"/>
  <c r="M78" i="8" s="1"/>
  <c r="K79" i="8"/>
  <c r="I79" i="8"/>
  <c r="H80" i="8" s="1"/>
  <c r="J79" i="8"/>
  <c r="J78" i="9"/>
  <c r="K78" i="9"/>
  <c r="I78" i="9"/>
  <c r="H79" i="9" s="1"/>
  <c r="L77" i="6"/>
  <c r="M77" i="6" s="1"/>
  <c r="K78" i="6"/>
  <c r="J78" i="6"/>
  <c r="I78" i="6"/>
  <c r="H79" i="6" s="1"/>
  <c r="L77" i="10"/>
  <c r="K78" i="10"/>
  <c r="J78" i="10"/>
  <c r="I78" i="10"/>
  <c r="H79" i="10" s="1"/>
  <c r="L78" i="12"/>
  <c r="M78" i="12" s="1"/>
  <c r="K79" i="12"/>
  <c r="J79" i="12"/>
  <c r="I79" i="12"/>
  <c r="H80" i="12" s="1"/>
  <c r="L78" i="11"/>
  <c r="M78" i="11" s="1"/>
  <c r="L78" i="7"/>
  <c r="M78" i="7" s="1"/>
  <c r="J79" i="11"/>
  <c r="K79" i="11"/>
  <c r="I79" i="11"/>
  <c r="H80" i="11" s="1"/>
  <c r="K79" i="7"/>
  <c r="J79" i="7"/>
  <c r="I79" i="7"/>
  <c r="H80" i="7" s="1"/>
  <c r="L78" i="5"/>
  <c r="J79" i="5"/>
  <c r="K79" i="5"/>
  <c r="I79" i="5"/>
  <c r="H80" i="5" s="1"/>
  <c r="K80" i="8" l="1"/>
  <c r="J80" i="8"/>
  <c r="I80" i="8"/>
  <c r="H81" i="8" s="1"/>
  <c r="L78" i="9"/>
  <c r="M78" i="9" s="1"/>
  <c r="L79" i="8"/>
  <c r="M79" i="8" s="1"/>
  <c r="K79" i="9"/>
  <c r="J79" i="9"/>
  <c r="I79" i="9"/>
  <c r="H80" i="9" s="1"/>
  <c r="L78" i="6"/>
  <c r="M78" i="6" s="1"/>
  <c r="I79" i="6"/>
  <c r="H80" i="6" s="1"/>
  <c r="J79" i="6"/>
  <c r="K79" i="6"/>
  <c r="L79" i="12"/>
  <c r="M79" i="12" s="1"/>
  <c r="J79" i="10"/>
  <c r="K79" i="10"/>
  <c r="I79" i="10"/>
  <c r="H80" i="10" s="1"/>
  <c r="L78" i="10"/>
  <c r="J80" i="12"/>
  <c r="K80" i="12"/>
  <c r="I80" i="12"/>
  <c r="H81" i="12" s="1"/>
  <c r="L79" i="11"/>
  <c r="M79" i="11" s="1"/>
  <c r="K80" i="11"/>
  <c r="J80" i="11"/>
  <c r="I80" i="11"/>
  <c r="H81" i="11" s="1"/>
  <c r="L79" i="7"/>
  <c r="M79" i="7" s="1"/>
  <c r="J80" i="7"/>
  <c r="K80" i="7"/>
  <c r="I80" i="7"/>
  <c r="H81" i="7" s="1"/>
  <c r="L79" i="5"/>
  <c r="J80" i="5"/>
  <c r="I80" i="5"/>
  <c r="H81" i="5" s="1"/>
  <c r="K80" i="5"/>
  <c r="L80" i="5" s="1"/>
  <c r="L79" i="6" l="1"/>
  <c r="M79" i="6" s="1"/>
  <c r="L80" i="8"/>
  <c r="M80" i="8" s="1"/>
  <c r="L79" i="9"/>
  <c r="M79" i="9" s="1"/>
  <c r="J81" i="8"/>
  <c r="K81" i="8"/>
  <c r="I81" i="8"/>
  <c r="H82" i="8" s="1"/>
  <c r="J80" i="9"/>
  <c r="K80" i="9"/>
  <c r="I80" i="9"/>
  <c r="H81" i="9" s="1"/>
  <c r="I80" i="6"/>
  <c r="H81" i="6" s="1"/>
  <c r="K80" i="6"/>
  <c r="J80" i="6"/>
  <c r="L80" i="12"/>
  <c r="M80" i="12" s="1"/>
  <c r="L79" i="10"/>
  <c r="J80" i="10"/>
  <c r="I80" i="10"/>
  <c r="H81" i="10" s="1"/>
  <c r="K80" i="10"/>
  <c r="L80" i="10" s="1"/>
  <c r="L80" i="11"/>
  <c r="M80" i="11" s="1"/>
  <c r="K81" i="12"/>
  <c r="J81" i="12"/>
  <c r="I81" i="12"/>
  <c r="H82" i="12" s="1"/>
  <c r="J81" i="11"/>
  <c r="K81" i="11"/>
  <c r="I81" i="11"/>
  <c r="H82" i="11" s="1"/>
  <c r="L80" i="7"/>
  <c r="M80" i="7" s="1"/>
  <c r="K81" i="7"/>
  <c r="J81" i="7"/>
  <c r="I81" i="7"/>
  <c r="H82" i="7" s="1"/>
  <c r="J81" i="5"/>
  <c r="K81" i="5"/>
  <c r="I81" i="5"/>
  <c r="H82" i="5" s="1"/>
  <c r="L81" i="8" l="1"/>
  <c r="M81" i="8" s="1"/>
  <c r="K82" i="8"/>
  <c r="J82" i="8"/>
  <c r="I82" i="8"/>
  <c r="H83" i="8" s="1"/>
  <c r="L80" i="9"/>
  <c r="M80" i="9" s="1"/>
  <c r="I81" i="9"/>
  <c r="H82" i="9" s="1"/>
  <c r="K81" i="9"/>
  <c r="J81" i="9"/>
  <c r="L80" i="6"/>
  <c r="M80" i="6" s="1"/>
  <c r="J81" i="6"/>
  <c r="K81" i="6"/>
  <c r="I81" i="6"/>
  <c r="H82" i="6" s="1"/>
  <c r="L81" i="11"/>
  <c r="M81" i="11" s="1"/>
  <c r="L81" i="12"/>
  <c r="M81" i="12" s="1"/>
  <c r="J81" i="10"/>
  <c r="K81" i="10"/>
  <c r="I81" i="10"/>
  <c r="H82" i="10" s="1"/>
  <c r="J82" i="12"/>
  <c r="K82" i="12"/>
  <c r="I82" i="12"/>
  <c r="H83" i="12" s="1"/>
  <c r="K82" i="11"/>
  <c r="J82" i="11"/>
  <c r="I82" i="11"/>
  <c r="H83" i="11" s="1"/>
  <c r="L81" i="7"/>
  <c r="M81" i="7" s="1"/>
  <c r="J82" i="7"/>
  <c r="K82" i="7"/>
  <c r="I82" i="7"/>
  <c r="H83" i="7" s="1"/>
  <c r="L81" i="5"/>
  <c r="K82" i="5"/>
  <c r="J82" i="5"/>
  <c r="I82" i="5"/>
  <c r="H83" i="5" s="1"/>
  <c r="L82" i="8" l="1"/>
  <c r="M82" i="8" s="1"/>
  <c r="K83" i="8"/>
  <c r="I83" i="8"/>
  <c r="H84" i="8" s="1"/>
  <c r="J83" i="8"/>
  <c r="L81" i="9"/>
  <c r="M81" i="9" s="1"/>
  <c r="I82" i="9"/>
  <c r="H83" i="9" s="1"/>
  <c r="J82" i="9"/>
  <c r="K82" i="9"/>
  <c r="L81" i="6"/>
  <c r="M81" i="6" s="1"/>
  <c r="J82" i="6"/>
  <c r="I82" i="6"/>
  <c r="H83" i="6" s="1"/>
  <c r="K82" i="6"/>
  <c r="L81" i="10"/>
  <c r="L82" i="12"/>
  <c r="M82" i="12" s="1"/>
  <c r="J82" i="10"/>
  <c r="I82" i="10"/>
  <c r="H83" i="10" s="1"/>
  <c r="K82" i="10"/>
  <c r="L82" i="11"/>
  <c r="M82" i="11" s="1"/>
  <c r="K83" i="12"/>
  <c r="J83" i="12"/>
  <c r="I83" i="12"/>
  <c r="H84" i="12" s="1"/>
  <c r="J83" i="11"/>
  <c r="K83" i="11"/>
  <c r="I83" i="11"/>
  <c r="H84" i="11" s="1"/>
  <c r="L82" i="7"/>
  <c r="M82" i="7" s="1"/>
  <c r="K83" i="7"/>
  <c r="J83" i="7"/>
  <c r="I83" i="7"/>
  <c r="H84" i="7" s="1"/>
  <c r="L82" i="5"/>
  <c r="J83" i="5"/>
  <c r="K83" i="5"/>
  <c r="I83" i="5"/>
  <c r="H84" i="5" s="1"/>
  <c r="L82" i="10" l="1"/>
  <c r="L82" i="6"/>
  <c r="M82" i="6" s="1"/>
  <c r="L82" i="9"/>
  <c r="M82" i="9" s="1"/>
  <c r="J84" i="8"/>
  <c r="I84" i="8"/>
  <c r="H85" i="8" s="1"/>
  <c r="K84" i="8"/>
  <c r="L83" i="8"/>
  <c r="M83" i="8" s="1"/>
  <c r="I83" i="9"/>
  <c r="H84" i="9" s="1"/>
  <c r="K83" i="9"/>
  <c r="J83" i="9"/>
  <c r="K83" i="6"/>
  <c r="I83" i="6"/>
  <c r="H84" i="6" s="1"/>
  <c r="J83" i="6"/>
  <c r="J83" i="10"/>
  <c r="K83" i="10"/>
  <c r="I83" i="10"/>
  <c r="H84" i="10" s="1"/>
  <c r="L83" i="12"/>
  <c r="M83" i="12" s="1"/>
  <c r="L83" i="11"/>
  <c r="M83" i="11" s="1"/>
  <c r="J84" i="12"/>
  <c r="K84" i="12"/>
  <c r="I84" i="12"/>
  <c r="H85" i="12" s="1"/>
  <c r="K84" i="11"/>
  <c r="J84" i="11"/>
  <c r="I84" i="11"/>
  <c r="H85" i="11" s="1"/>
  <c r="L83" i="7"/>
  <c r="M83" i="7" s="1"/>
  <c r="J84" i="7"/>
  <c r="K84" i="7"/>
  <c r="I84" i="7"/>
  <c r="H85" i="7" s="1"/>
  <c r="L83" i="5"/>
  <c r="J84" i="5"/>
  <c r="I84" i="5"/>
  <c r="H85" i="5" s="1"/>
  <c r="K84" i="5"/>
  <c r="L84" i="5" s="1"/>
  <c r="L84" i="8" l="1"/>
  <c r="M84" i="8" s="1"/>
  <c r="K85" i="8"/>
  <c r="I85" i="8"/>
  <c r="H86" i="8" s="1"/>
  <c r="J85" i="8"/>
  <c r="L83" i="10"/>
  <c r="L83" i="9"/>
  <c r="M83" i="9" s="1"/>
  <c r="J84" i="9"/>
  <c r="K84" i="9"/>
  <c r="I84" i="9"/>
  <c r="H85" i="9" s="1"/>
  <c r="K84" i="6"/>
  <c r="J84" i="6"/>
  <c r="I84" i="6"/>
  <c r="H85" i="6" s="1"/>
  <c r="L83" i="6"/>
  <c r="M83" i="6" s="1"/>
  <c r="L84" i="12"/>
  <c r="M84" i="12" s="1"/>
  <c r="J84" i="10"/>
  <c r="I84" i="10"/>
  <c r="H85" i="10" s="1"/>
  <c r="K84" i="10"/>
  <c r="K85" i="12"/>
  <c r="J85" i="12"/>
  <c r="I85" i="12"/>
  <c r="H86" i="12" s="1"/>
  <c r="L84" i="11"/>
  <c r="M84" i="11" s="1"/>
  <c r="J85" i="11"/>
  <c r="K85" i="11"/>
  <c r="I85" i="11"/>
  <c r="H86" i="11" s="1"/>
  <c r="L84" i="7"/>
  <c r="M84" i="7" s="1"/>
  <c r="K85" i="7"/>
  <c r="J85" i="7"/>
  <c r="I85" i="7"/>
  <c r="H86" i="7" s="1"/>
  <c r="J85" i="5"/>
  <c r="K85" i="5"/>
  <c r="I85" i="5"/>
  <c r="H86" i="5" s="1"/>
  <c r="L84" i="10" l="1"/>
  <c r="J86" i="8"/>
  <c r="I86" i="8"/>
  <c r="H87" i="8" s="1"/>
  <c r="K86" i="8"/>
  <c r="L84" i="9"/>
  <c r="M84" i="9" s="1"/>
  <c r="L85" i="8"/>
  <c r="M85" i="8" s="1"/>
  <c r="K85" i="9"/>
  <c r="J85" i="9"/>
  <c r="I85" i="9"/>
  <c r="H86" i="9" s="1"/>
  <c r="L85" i="12"/>
  <c r="M85" i="12" s="1"/>
  <c r="J85" i="6"/>
  <c r="K85" i="6"/>
  <c r="I85" i="6"/>
  <c r="H86" i="6" s="1"/>
  <c r="L84" i="6"/>
  <c r="M84" i="6" s="1"/>
  <c r="K85" i="10"/>
  <c r="I85" i="10"/>
  <c r="H86" i="10" s="1"/>
  <c r="J85" i="10"/>
  <c r="L85" i="11"/>
  <c r="M85" i="11" s="1"/>
  <c r="J86" i="12"/>
  <c r="K86" i="12"/>
  <c r="I86" i="12"/>
  <c r="H87" i="12" s="1"/>
  <c r="K86" i="11"/>
  <c r="J86" i="11"/>
  <c r="I86" i="11"/>
  <c r="H87" i="11" s="1"/>
  <c r="L85" i="7"/>
  <c r="M85" i="7" s="1"/>
  <c r="J86" i="7"/>
  <c r="K86" i="7"/>
  <c r="I86" i="7"/>
  <c r="H87" i="7" s="1"/>
  <c r="L85" i="5"/>
  <c r="J86" i="5"/>
  <c r="I86" i="5"/>
  <c r="H87" i="5" s="1"/>
  <c r="K86" i="5"/>
  <c r="L86" i="5" s="1"/>
  <c r="L85" i="9" l="1"/>
  <c r="M85" i="9" s="1"/>
  <c r="L86" i="8"/>
  <c r="M86" i="8" s="1"/>
  <c r="K87" i="8"/>
  <c r="I87" i="8"/>
  <c r="H88" i="8" s="1"/>
  <c r="J87" i="8"/>
  <c r="J86" i="9"/>
  <c r="K86" i="9"/>
  <c r="I86" i="9"/>
  <c r="H87" i="9" s="1"/>
  <c r="L85" i="6"/>
  <c r="M85" i="6" s="1"/>
  <c r="K86" i="6"/>
  <c r="J86" i="6"/>
  <c r="I86" i="6"/>
  <c r="H87" i="6" s="1"/>
  <c r="K86" i="10"/>
  <c r="J86" i="10"/>
  <c r="I86" i="10"/>
  <c r="H87" i="10" s="1"/>
  <c r="L85" i="10"/>
  <c r="L86" i="11"/>
  <c r="M86" i="11" s="1"/>
  <c r="L86" i="7"/>
  <c r="M86" i="7" s="1"/>
  <c r="L86" i="12"/>
  <c r="M86" i="12" s="1"/>
  <c r="K87" i="12"/>
  <c r="J87" i="12"/>
  <c r="I87" i="12"/>
  <c r="H88" i="12" s="1"/>
  <c r="J87" i="11"/>
  <c r="K87" i="11"/>
  <c r="L87" i="11" s="1"/>
  <c r="M87" i="11" s="1"/>
  <c r="I87" i="11"/>
  <c r="H88" i="11" s="1"/>
  <c r="K87" i="7"/>
  <c r="J87" i="7"/>
  <c r="I87" i="7"/>
  <c r="H88" i="7" s="1"/>
  <c r="J87" i="5"/>
  <c r="K87" i="5"/>
  <c r="I87" i="5"/>
  <c r="H88" i="5" s="1"/>
  <c r="K88" i="8" l="1"/>
  <c r="J88" i="8"/>
  <c r="I88" i="8"/>
  <c r="H89" i="8" s="1"/>
  <c r="L86" i="9"/>
  <c r="M86" i="9" s="1"/>
  <c r="L87" i="8"/>
  <c r="M87" i="8" s="1"/>
  <c r="L87" i="12"/>
  <c r="M87" i="12" s="1"/>
  <c r="J87" i="9"/>
  <c r="I87" i="9"/>
  <c r="H88" i="9" s="1"/>
  <c r="K87" i="9"/>
  <c r="L86" i="6"/>
  <c r="M86" i="6" s="1"/>
  <c r="L86" i="10"/>
  <c r="K87" i="6"/>
  <c r="I87" i="6"/>
  <c r="H88" i="6" s="1"/>
  <c r="J87" i="6"/>
  <c r="K87" i="10"/>
  <c r="I87" i="10"/>
  <c r="H88" i="10" s="1"/>
  <c r="J87" i="10"/>
  <c r="J88" i="12"/>
  <c r="K88" i="12"/>
  <c r="I88" i="12"/>
  <c r="H89" i="12" s="1"/>
  <c r="K88" i="11"/>
  <c r="J88" i="11"/>
  <c r="I88" i="11"/>
  <c r="H89" i="11" s="1"/>
  <c r="L87" i="7"/>
  <c r="M87" i="7" s="1"/>
  <c r="J88" i="7"/>
  <c r="K88" i="7"/>
  <c r="I88" i="7"/>
  <c r="H89" i="7" s="1"/>
  <c r="L87" i="5"/>
  <c r="J88" i="5"/>
  <c r="I88" i="5"/>
  <c r="H89" i="5" s="1"/>
  <c r="K88" i="5"/>
  <c r="L87" i="9" l="1"/>
  <c r="M87" i="9" s="1"/>
  <c r="L88" i="8"/>
  <c r="M88" i="8" s="1"/>
  <c r="K89" i="8"/>
  <c r="I89" i="8"/>
  <c r="H90" i="8" s="1"/>
  <c r="J89" i="8"/>
  <c r="I88" i="9"/>
  <c r="H89" i="9" s="1"/>
  <c r="J88" i="9"/>
  <c r="K88" i="9"/>
  <c r="L88" i="5"/>
  <c r="L87" i="6"/>
  <c r="M87" i="6" s="1"/>
  <c r="K88" i="6"/>
  <c r="J88" i="6"/>
  <c r="I88" i="6"/>
  <c r="H89" i="6" s="1"/>
  <c r="K88" i="10"/>
  <c r="J88" i="10"/>
  <c r="I88" i="10"/>
  <c r="H89" i="10" s="1"/>
  <c r="L87" i="10"/>
  <c r="K89" i="12"/>
  <c r="J89" i="12"/>
  <c r="I89" i="12"/>
  <c r="H90" i="12" s="1"/>
  <c r="L88" i="12"/>
  <c r="M88" i="12" s="1"/>
  <c r="L88" i="11"/>
  <c r="M88" i="11" s="1"/>
  <c r="J89" i="11"/>
  <c r="K89" i="11"/>
  <c r="I89" i="11"/>
  <c r="H90" i="11" s="1"/>
  <c r="L88" i="7"/>
  <c r="M88" i="7" s="1"/>
  <c r="K89" i="7"/>
  <c r="J89" i="7"/>
  <c r="I89" i="7"/>
  <c r="H90" i="7" s="1"/>
  <c r="K89" i="5"/>
  <c r="I89" i="5"/>
  <c r="H90" i="5" s="1"/>
  <c r="J89" i="5"/>
  <c r="L88" i="9" l="1"/>
  <c r="M88" i="9" s="1"/>
  <c r="J90" i="8"/>
  <c r="I90" i="8"/>
  <c r="H91" i="8" s="1"/>
  <c r="K90" i="8"/>
  <c r="L89" i="8"/>
  <c r="M89" i="8" s="1"/>
  <c r="K89" i="9"/>
  <c r="J89" i="9"/>
  <c r="I89" i="9"/>
  <c r="H90" i="9" s="1"/>
  <c r="L88" i="6"/>
  <c r="M88" i="6" s="1"/>
  <c r="K89" i="6"/>
  <c r="I89" i="6"/>
  <c r="H90" i="6" s="1"/>
  <c r="J89" i="6"/>
  <c r="L88" i="10"/>
  <c r="L89" i="12"/>
  <c r="M89" i="12" s="1"/>
  <c r="K89" i="10"/>
  <c r="I89" i="10"/>
  <c r="H90" i="10" s="1"/>
  <c r="J89" i="10"/>
  <c r="L89" i="11"/>
  <c r="M89" i="11" s="1"/>
  <c r="J90" i="12"/>
  <c r="K90" i="12"/>
  <c r="I90" i="12"/>
  <c r="H91" i="12" s="1"/>
  <c r="K90" i="11"/>
  <c r="J90" i="11"/>
  <c r="I90" i="11"/>
  <c r="H91" i="11" s="1"/>
  <c r="L89" i="7"/>
  <c r="M89" i="7" s="1"/>
  <c r="J90" i="7"/>
  <c r="K90" i="7"/>
  <c r="I90" i="7"/>
  <c r="H91" i="7" s="1"/>
  <c r="J90" i="5"/>
  <c r="I90" i="5"/>
  <c r="H91" i="5" s="1"/>
  <c r="K90" i="5"/>
  <c r="L90" i="5" s="1"/>
  <c r="L89" i="5"/>
  <c r="L90" i="8" l="1"/>
  <c r="M90" i="8" s="1"/>
  <c r="K91" i="8"/>
  <c r="I91" i="8"/>
  <c r="H92" i="8" s="1"/>
  <c r="J91" i="8"/>
  <c r="L89" i="9"/>
  <c r="M89" i="9" s="1"/>
  <c r="J90" i="9"/>
  <c r="K90" i="9"/>
  <c r="L90" i="9" s="1"/>
  <c r="M90" i="9" s="1"/>
  <c r="I90" i="9"/>
  <c r="H91" i="9" s="1"/>
  <c r="K90" i="6"/>
  <c r="J90" i="6"/>
  <c r="I90" i="6"/>
  <c r="H91" i="6" s="1"/>
  <c r="L89" i="6"/>
  <c r="M89" i="6" s="1"/>
  <c r="L89" i="10"/>
  <c r="L90" i="12"/>
  <c r="M90" i="12" s="1"/>
  <c r="K90" i="10"/>
  <c r="J90" i="10"/>
  <c r="I90" i="10"/>
  <c r="H91" i="10" s="1"/>
  <c r="L90" i="11"/>
  <c r="M90" i="11" s="1"/>
  <c r="K91" i="12"/>
  <c r="J91" i="12"/>
  <c r="I91" i="12"/>
  <c r="H92" i="12" s="1"/>
  <c r="J91" i="11"/>
  <c r="K91" i="11"/>
  <c r="I91" i="11"/>
  <c r="H92" i="11" s="1"/>
  <c r="L90" i="7"/>
  <c r="M90" i="7" s="1"/>
  <c r="K91" i="7"/>
  <c r="J91" i="7"/>
  <c r="I91" i="7"/>
  <c r="H92" i="7" s="1"/>
  <c r="J91" i="5"/>
  <c r="K91" i="5"/>
  <c r="I91" i="5"/>
  <c r="H92" i="5" s="1"/>
  <c r="J92" i="8" l="1"/>
  <c r="I92" i="8"/>
  <c r="H93" i="8" s="1"/>
  <c r="K92" i="8"/>
  <c r="L91" i="8"/>
  <c r="M91" i="8" s="1"/>
  <c r="K91" i="9"/>
  <c r="J91" i="9"/>
  <c r="I91" i="9"/>
  <c r="H92" i="9" s="1"/>
  <c r="L90" i="6"/>
  <c r="M90" i="6" s="1"/>
  <c r="J91" i="6"/>
  <c r="K91" i="6"/>
  <c r="I91" i="6"/>
  <c r="H92" i="6" s="1"/>
  <c r="L91" i="12"/>
  <c r="M91" i="12" s="1"/>
  <c r="K91" i="10"/>
  <c r="I91" i="10"/>
  <c r="H92" i="10" s="1"/>
  <c r="J91" i="10"/>
  <c r="L90" i="10"/>
  <c r="L91" i="11"/>
  <c r="M91" i="11" s="1"/>
  <c r="J92" i="12"/>
  <c r="K92" i="12"/>
  <c r="I92" i="12"/>
  <c r="H93" i="12" s="1"/>
  <c r="K92" i="11"/>
  <c r="J92" i="11"/>
  <c r="I92" i="11"/>
  <c r="H93" i="11" s="1"/>
  <c r="L91" i="7"/>
  <c r="M91" i="7" s="1"/>
  <c r="J92" i="7"/>
  <c r="K92" i="7"/>
  <c r="I92" i="7"/>
  <c r="H93" i="7" s="1"/>
  <c r="L91" i="5"/>
  <c r="K92" i="5"/>
  <c r="J92" i="5"/>
  <c r="I92" i="5"/>
  <c r="H93" i="5" s="1"/>
  <c r="L92" i="8" l="1"/>
  <c r="M92" i="8" s="1"/>
  <c r="J93" i="8"/>
  <c r="K93" i="8"/>
  <c r="L93" i="8" s="1"/>
  <c r="M93" i="8" s="1"/>
  <c r="I93" i="8"/>
  <c r="H94" i="8" s="1"/>
  <c r="L91" i="9"/>
  <c r="M91" i="9" s="1"/>
  <c r="L91" i="6"/>
  <c r="M91" i="6" s="1"/>
  <c r="K92" i="9"/>
  <c r="I92" i="9"/>
  <c r="H93" i="9" s="1"/>
  <c r="J92" i="9"/>
  <c r="I92" i="6"/>
  <c r="H93" i="6" s="1"/>
  <c r="K92" i="6"/>
  <c r="J92" i="6"/>
  <c r="K92" i="10"/>
  <c r="J92" i="10"/>
  <c r="I92" i="10"/>
  <c r="H93" i="10" s="1"/>
  <c r="L91" i="10"/>
  <c r="L92" i="12"/>
  <c r="M92" i="12" s="1"/>
  <c r="L92" i="11"/>
  <c r="M92" i="11" s="1"/>
  <c r="K93" i="12"/>
  <c r="J93" i="12"/>
  <c r="I93" i="12"/>
  <c r="H94" i="12" s="1"/>
  <c r="J93" i="11"/>
  <c r="K93" i="11"/>
  <c r="I93" i="11"/>
  <c r="H94" i="11" s="1"/>
  <c r="L92" i="7"/>
  <c r="M92" i="7" s="1"/>
  <c r="K93" i="7"/>
  <c r="J93" i="7"/>
  <c r="I93" i="7"/>
  <c r="H94" i="7" s="1"/>
  <c r="L92" i="5"/>
  <c r="J93" i="5"/>
  <c r="K93" i="5"/>
  <c r="I93" i="5"/>
  <c r="H94" i="5" s="1"/>
  <c r="J94" i="8" l="1"/>
  <c r="I94" i="8"/>
  <c r="H95" i="8" s="1"/>
  <c r="K94" i="8"/>
  <c r="L94" i="8" s="1"/>
  <c r="M94" i="8" s="1"/>
  <c r="L92" i="9"/>
  <c r="M92" i="9" s="1"/>
  <c r="K93" i="9"/>
  <c r="J93" i="9"/>
  <c r="I93" i="9"/>
  <c r="H94" i="9" s="1"/>
  <c r="L92" i="10"/>
  <c r="L92" i="6"/>
  <c r="M92" i="6" s="1"/>
  <c r="J93" i="6"/>
  <c r="K93" i="6"/>
  <c r="I93" i="6"/>
  <c r="H94" i="6" s="1"/>
  <c r="L93" i="12"/>
  <c r="M93" i="12" s="1"/>
  <c r="J93" i="10"/>
  <c r="K93" i="10"/>
  <c r="I93" i="10"/>
  <c r="H94" i="10" s="1"/>
  <c r="L93" i="11"/>
  <c r="M93" i="11" s="1"/>
  <c r="J94" i="12"/>
  <c r="K94" i="12"/>
  <c r="I94" i="12"/>
  <c r="H95" i="12" s="1"/>
  <c r="K94" i="11"/>
  <c r="J94" i="11"/>
  <c r="I94" i="11"/>
  <c r="H95" i="11" s="1"/>
  <c r="L93" i="7"/>
  <c r="M93" i="7" s="1"/>
  <c r="J94" i="7"/>
  <c r="K94" i="7"/>
  <c r="L94" i="7" s="1"/>
  <c r="M94" i="7" s="1"/>
  <c r="I94" i="7"/>
  <c r="H95" i="7" s="1"/>
  <c r="L93" i="5"/>
  <c r="K94" i="5"/>
  <c r="J94" i="5"/>
  <c r="I94" i="5"/>
  <c r="H95" i="5" s="1"/>
  <c r="K95" i="8" l="1"/>
  <c r="I95" i="8"/>
  <c r="H96" i="8" s="1"/>
  <c r="J95" i="8"/>
  <c r="L93" i="9"/>
  <c r="M93" i="9" s="1"/>
  <c r="I94" i="9"/>
  <c r="H95" i="9" s="1"/>
  <c r="J94" i="9"/>
  <c r="K94" i="9"/>
  <c r="L93" i="6"/>
  <c r="M93" i="6" s="1"/>
  <c r="I94" i="6"/>
  <c r="H95" i="6" s="1"/>
  <c r="K94" i="6"/>
  <c r="J94" i="6"/>
  <c r="L93" i="10"/>
  <c r="K94" i="10"/>
  <c r="J94" i="10"/>
  <c r="I94" i="10"/>
  <c r="H95" i="10" s="1"/>
  <c r="L94" i="11"/>
  <c r="M94" i="11" s="1"/>
  <c r="L94" i="12"/>
  <c r="M94" i="12" s="1"/>
  <c r="K95" i="12"/>
  <c r="J95" i="12"/>
  <c r="I95" i="12"/>
  <c r="H96" i="12" s="1"/>
  <c r="J95" i="11"/>
  <c r="K95" i="11"/>
  <c r="I95" i="11"/>
  <c r="H96" i="11" s="1"/>
  <c r="K95" i="7"/>
  <c r="J95" i="7"/>
  <c r="I95" i="7"/>
  <c r="H96" i="7" s="1"/>
  <c r="L94" i="5"/>
  <c r="J95" i="5"/>
  <c r="K95" i="5"/>
  <c r="I95" i="5"/>
  <c r="H96" i="5" s="1"/>
  <c r="L94" i="9" l="1"/>
  <c r="M94" i="9" s="1"/>
  <c r="K96" i="8"/>
  <c r="L96" i="8" s="1"/>
  <c r="M96" i="8" s="1"/>
  <c r="J96" i="8"/>
  <c r="I96" i="8"/>
  <c r="H97" i="8" s="1"/>
  <c r="L95" i="8"/>
  <c r="M95" i="8" s="1"/>
  <c r="L95" i="12"/>
  <c r="M95" i="12" s="1"/>
  <c r="I95" i="9"/>
  <c r="H96" i="9" s="1"/>
  <c r="K95" i="9"/>
  <c r="J95" i="9"/>
  <c r="L94" i="6"/>
  <c r="M94" i="6" s="1"/>
  <c r="J95" i="6"/>
  <c r="K95" i="6"/>
  <c r="I95" i="6"/>
  <c r="H96" i="6" s="1"/>
  <c r="L94" i="10"/>
  <c r="K95" i="10"/>
  <c r="I95" i="10"/>
  <c r="H96" i="10" s="1"/>
  <c r="J95" i="10"/>
  <c r="L95" i="11"/>
  <c r="M95" i="11" s="1"/>
  <c r="J96" i="12"/>
  <c r="K96" i="12"/>
  <c r="I96" i="12"/>
  <c r="H97" i="12" s="1"/>
  <c r="K96" i="11"/>
  <c r="J96" i="11"/>
  <c r="I96" i="11"/>
  <c r="H97" i="11" s="1"/>
  <c r="L95" i="7"/>
  <c r="M95" i="7" s="1"/>
  <c r="J96" i="7"/>
  <c r="K96" i="7"/>
  <c r="I96" i="7"/>
  <c r="H97" i="7" s="1"/>
  <c r="L95" i="5"/>
  <c r="J96" i="5"/>
  <c r="I96" i="5"/>
  <c r="H97" i="5" s="1"/>
  <c r="K96" i="5"/>
  <c r="L96" i="5" s="1"/>
  <c r="J97" i="8" l="1"/>
  <c r="K97" i="8"/>
  <c r="I97" i="8"/>
  <c r="H98" i="8" s="1"/>
  <c r="I96" i="9"/>
  <c r="H97" i="9" s="1"/>
  <c r="J96" i="9"/>
  <c r="K96" i="9"/>
  <c r="L95" i="9"/>
  <c r="M95" i="9" s="1"/>
  <c r="K96" i="6"/>
  <c r="J96" i="6"/>
  <c r="I96" i="6"/>
  <c r="H97" i="6" s="1"/>
  <c r="L95" i="6"/>
  <c r="M95" i="6" s="1"/>
  <c r="L95" i="10"/>
  <c r="K96" i="10"/>
  <c r="J96" i="10"/>
  <c r="I96" i="10"/>
  <c r="H97" i="10" s="1"/>
  <c r="K97" i="12"/>
  <c r="J97" i="12"/>
  <c r="I97" i="12"/>
  <c r="H98" i="12" s="1"/>
  <c r="L96" i="11"/>
  <c r="M96" i="11" s="1"/>
  <c r="L96" i="12"/>
  <c r="M96" i="12" s="1"/>
  <c r="J97" i="11"/>
  <c r="K97" i="11"/>
  <c r="I97" i="11"/>
  <c r="H98" i="11" s="1"/>
  <c r="L96" i="7"/>
  <c r="M96" i="7" s="1"/>
  <c r="K97" i="7"/>
  <c r="J97" i="7"/>
  <c r="I97" i="7"/>
  <c r="H98" i="7" s="1"/>
  <c r="J97" i="5"/>
  <c r="K97" i="5"/>
  <c r="I97" i="5"/>
  <c r="H98" i="5" s="1"/>
  <c r="L97" i="8" l="1"/>
  <c r="M97" i="8" s="1"/>
  <c r="L96" i="9"/>
  <c r="M96" i="9" s="1"/>
  <c r="K98" i="8"/>
  <c r="J98" i="8"/>
  <c r="I98" i="8"/>
  <c r="H99" i="8" s="1"/>
  <c r="L96" i="10"/>
  <c r="K97" i="9"/>
  <c r="J97" i="9"/>
  <c r="I97" i="9"/>
  <c r="H98" i="9" s="1"/>
  <c r="K97" i="6"/>
  <c r="I97" i="6"/>
  <c r="H98" i="6" s="1"/>
  <c r="J97" i="6"/>
  <c r="L96" i="6"/>
  <c r="M96" i="6" s="1"/>
  <c r="L97" i="11"/>
  <c r="M97" i="11" s="1"/>
  <c r="L97" i="12"/>
  <c r="M97" i="12" s="1"/>
  <c r="J97" i="10"/>
  <c r="K97" i="10"/>
  <c r="I97" i="10"/>
  <c r="H98" i="10" s="1"/>
  <c r="K98" i="12"/>
  <c r="J98" i="12"/>
  <c r="I98" i="12"/>
  <c r="H99" i="12" s="1"/>
  <c r="K98" i="11"/>
  <c r="J98" i="11"/>
  <c r="I98" i="11"/>
  <c r="H99" i="11" s="1"/>
  <c r="L97" i="7"/>
  <c r="M97" i="7" s="1"/>
  <c r="J98" i="7"/>
  <c r="K98" i="7"/>
  <c r="I98" i="7"/>
  <c r="H99" i="7" s="1"/>
  <c r="L97" i="5"/>
  <c r="J98" i="5"/>
  <c r="I98" i="5"/>
  <c r="H99" i="5" s="1"/>
  <c r="K98" i="5"/>
  <c r="L98" i="5" l="1"/>
  <c r="L98" i="7"/>
  <c r="M98" i="7" s="1"/>
  <c r="L97" i="9"/>
  <c r="M97" i="9" s="1"/>
  <c r="L98" i="8"/>
  <c r="M98" i="8" s="1"/>
  <c r="J99" i="8"/>
  <c r="K99" i="8"/>
  <c r="I99" i="8"/>
  <c r="H100" i="8" s="1"/>
  <c r="I98" i="9"/>
  <c r="H99" i="9" s="1"/>
  <c r="J98" i="9"/>
  <c r="K98" i="9"/>
  <c r="L98" i="12"/>
  <c r="M98" i="12" s="1"/>
  <c r="J98" i="6"/>
  <c r="K98" i="6"/>
  <c r="I98" i="6"/>
  <c r="H99" i="6" s="1"/>
  <c r="L97" i="6"/>
  <c r="M97" i="6" s="1"/>
  <c r="L97" i="10"/>
  <c r="J98" i="10"/>
  <c r="I98" i="10"/>
  <c r="H99" i="10" s="1"/>
  <c r="K98" i="10"/>
  <c r="L98" i="10" s="1"/>
  <c r="J99" i="12"/>
  <c r="K99" i="12"/>
  <c r="I99" i="12"/>
  <c r="H100" i="12" s="1"/>
  <c r="L98" i="11"/>
  <c r="M98" i="11" s="1"/>
  <c r="J99" i="11"/>
  <c r="K99" i="11"/>
  <c r="I99" i="11"/>
  <c r="H100" i="11" s="1"/>
  <c r="K99" i="7"/>
  <c r="J99" i="7"/>
  <c r="I99" i="7"/>
  <c r="H100" i="7" s="1"/>
  <c r="K99" i="5"/>
  <c r="I99" i="5"/>
  <c r="H100" i="5" s="1"/>
  <c r="J99" i="5"/>
  <c r="L99" i="8" l="1"/>
  <c r="M99" i="8" s="1"/>
  <c r="L98" i="9"/>
  <c r="M98" i="9" s="1"/>
  <c r="K100" i="8"/>
  <c r="J100" i="8"/>
  <c r="I100" i="8"/>
  <c r="H101" i="8" s="1"/>
  <c r="J99" i="9"/>
  <c r="I99" i="9"/>
  <c r="H100" i="9" s="1"/>
  <c r="K99" i="9"/>
  <c r="L98" i="6"/>
  <c r="M98" i="6" s="1"/>
  <c r="K99" i="6"/>
  <c r="J99" i="6"/>
  <c r="I99" i="6"/>
  <c r="H100" i="6" s="1"/>
  <c r="J99" i="10"/>
  <c r="K99" i="10"/>
  <c r="I99" i="10"/>
  <c r="H100" i="10" s="1"/>
  <c r="L99" i="12"/>
  <c r="M99" i="12" s="1"/>
  <c r="L99" i="11"/>
  <c r="M99" i="11" s="1"/>
  <c r="K100" i="12"/>
  <c r="J100" i="12"/>
  <c r="I100" i="12"/>
  <c r="H101" i="12" s="1"/>
  <c r="K100" i="11"/>
  <c r="J100" i="11"/>
  <c r="I100" i="11"/>
  <c r="H101" i="11" s="1"/>
  <c r="L99" i="7"/>
  <c r="M99" i="7" s="1"/>
  <c r="J100" i="7"/>
  <c r="K100" i="7"/>
  <c r="I100" i="7"/>
  <c r="H101" i="7" s="1"/>
  <c r="K100" i="5"/>
  <c r="J100" i="5"/>
  <c r="I100" i="5"/>
  <c r="H101" i="5" s="1"/>
  <c r="L99" i="5"/>
  <c r="L99" i="9" l="1"/>
  <c r="M99" i="9" s="1"/>
  <c r="L100" i="8"/>
  <c r="M100" i="8" s="1"/>
  <c r="J101" i="8"/>
  <c r="K101" i="8"/>
  <c r="I101" i="8"/>
  <c r="H102" i="8" s="1"/>
  <c r="L100" i="7"/>
  <c r="M100" i="7" s="1"/>
  <c r="J100" i="9"/>
  <c r="K100" i="9"/>
  <c r="I100" i="9"/>
  <c r="H101" i="9" s="1"/>
  <c r="L99" i="6"/>
  <c r="M99" i="6" s="1"/>
  <c r="K100" i="6"/>
  <c r="I100" i="6"/>
  <c r="H101" i="6" s="1"/>
  <c r="J100" i="6"/>
  <c r="L99" i="10"/>
  <c r="L100" i="12"/>
  <c r="M100" i="12" s="1"/>
  <c r="J100" i="10"/>
  <c r="I100" i="10"/>
  <c r="H101" i="10" s="1"/>
  <c r="K100" i="10"/>
  <c r="J101" i="12"/>
  <c r="K101" i="12"/>
  <c r="I101" i="12"/>
  <c r="H102" i="12" s="1"/>
  <c r="L100" i="11"/>
  <c r="M100" i="11" s="1"/>
  <c r="J101" i="11"/>
  <c r="K101" i="11"/>
  <c r="I101" i="11"/>
  <c r="H102" i="11" s="1"/>
  <c r="K101" i="7"/>
  <c r="J101" i="7"/>
  <c r="I101" i="7"/>
  <c r="H102" i="7" s="1"/>
  <c r="J101" i="5"/>
  <c r="K101" i="5"/>
  <c r="I101" i="5"/>
  <c r="H102" i="5" s="1"/>
  <c r="L100" i="5"/>
  <c r="L100" i="10" l="1"/>
  <c r="L101" i="8"/>
  <c r="M101" i="8" s="1"/>
  <c r="J102" i="8"/>
  <c r="I102" i="8"/>
  <c r="H103" i="8" s="1"/>
  <c r="K102" i="8"/>
  <c r="L100" i="9"/>
  <c r="M100" i="9" s="1"/>
  <c r="J101" i="9"/>
  <c r="I101" i="9"/>
  <c r="H102" i="9" s="1"/>
  <c r="K101" i="9"/>
  <c r="K101" i="6"/>
  <c r="J101" i="6"/>
  <c r="I101" i="6"/>
  <c r="H102" i="6" s="1"/>
  <c r="L100" i="6"/>
  <c r="M100" i="6" s="1"/>
  <c r="L101" i="12"/>
  <c r="M101" i="12" s="1"/>
  <c r="J101" i="10"/>
  <c r="K101" i="10"/>
  <c r="I101" i="10"/>
  <c r="H102" i="10" s="1"/>
  <c r="K102" i="12"/>
  <c r="J102" i="12"/>
  <c r="I102" i="12"/>
  <c r="H103" i="12" s="1"/>
  <c r="L101" i="11"/>
  <c r="M101" i="11" s="1"/>
  <c r="K102" i="11"/>
  <c r="J102" i="11"/>
  <c r="I102" i="11"/>
  <c r="H103" i="11" s="1"/>
  <c r="L101" i="7"/>
  <c r="M101" i="7" s="1"/>
  <c r="J102" i="7"/>
  <c r="K102" i="7"/>
  <c r="I102" i="7"/>
  <c r="H103" i="7" s="1"/>
  <c r="L101" i="5"/>
  <c r="K102" i="5"/>
  <c r="J102" i="5"/>
  <c r="I102" i="5"/>
  <c r="H103" i="5" s="1"/>
  <c r="L102" i="8" l="1"/>
  <c r="M102" i="8" s="1"/>
  <c r="L101" i="9"/>
  <c r="M101" i="9" s="1"/>
  <c r="K103" i="8"/>
  <c r="I103" i="8"/>
  <c r="H104" i="8" s="1"/>
  <c r="J103" i="8"/>
  <c r="J102" i="9"/>
  <c r="K102" i="9"/>
  <c r="I102" i="9"/>
  <c r="H103" i="9" s="1"/>
  <c r="L101" i="6"/>
  <c r="M101" i="6" s="1"/>
  <c r="J102" i="6"/>
  <c r="K102" i="6"/>
  <c r="I102" i="6"/>
  <c r="H103" i="6" s="1"/>
  <c r="L101" i="10"/>
  <c r="K102" i="10"/>
  <c r="J102" i="10"/>
  <c r="I102" i="10"/>
  <c r="H103" i="10" s="1"/>
  <c r="L102" i="11"/>
  <c r="M102" i="11" s="1"/>
  <c r="L102" i="12"/>
  <c r="M102" i="12" s="1"/>
  <c r="K103" i="12"/>
  <c r="J103" i="12"/>
  <c r="I103" i="12"/>
  <c r="H104" i="12" s="1"/>
  <c r="J103" i="11"/>
  <c r="K103" i="11"/>
  <c r="I103" i="11"/>
  <c r="H104" i="11" s="1"/>
  <c r="L102" i="7"/>
  <c r="M102" i="7" s="1"/>
  <c r="K103" i="7"/>
  <c r="J103" i="7"/>
  <c r="I103" i="7"/>
  <c r="H104" i="7" s="1"/>
  <c r="L102" i="5"/>
  <c r="K103" i="5"/>
  <c r="I103" i="5"/>
  <c r="H104" i="5" s="1"/>
  <c r="J103" i="5"/>
  <c r="K104" i="8" l="1"/>
  <c r="J104" i="8"/>
  <c r="I104" i="8"/>
  <c r="H105" i="8" s="1"/>
  <c r="L102" i="9"/>
  <c r="M102" i="9" s="1"/>
  <c r="L103" i="8"/>
  <c r="M103" i="8" s="1"/>
  <c r="I103" i="9"/>
  <c r="H104" i="9" s="1"/>
  <c r="K103" i="9"/>
  <c r="J103" i="9"/>
  <c r="L102" i="6"/>
  <c r="M102" i="6" s="1"/>
  <c r="K103" i="6"/>
  <c r="J103" i="6"/>
  <c r="I103" i="6"/>
  <c r="H104" i="6" s="1"/>
  <c r="J103" i="10"/>
  <c r="K103" i="10"/>
  <c r="I103" i="10"/>
  <c r="H104" i="10" s="1"/>
  <c r="L102" i="10"/>
  <c r="L103" i="11"/>
  <c r="M103" i="11" s="1"/>
  <c r="J104" i="12"/>
  <c r="K104" i="12"/>
  <c r="I104" i="12"/>
  <c r="H105" i="12" s="1"/>
  <c r="L103" i="12"/>
  <c r="M103" i="12" s="1"/>
  <c r="K104" i="11"/>
  <c r="J104" i="11"/>
  <c r="I104" i="11"/>
  <c r="H105" i="11" s="1"/>
  <c r="L103" i="7"/>
  <c r="M103" i="7" s="1"/>
  <c r="J104" i="7"/>
  <c r="K104" i="7"/>
  <c r="I104" i="7"/>
  <c r="H105" i="7" s="1"/>
  <c r="J104" i="5"/>
  <c r="I104" i="5"/>
  <c r="H105" i="5" s="1"/>
  <c r="K104" i="5"/>
  <c r="L104" i="5" s="1"/>
  <c r="L103" i="5"/>
  <c r="L104" i="8" l="1"/>
  <c r="M104" i="8" s="1"/>
  <c r="K105" i="8"/>
  <c r="I105" i="8"/>
  <c r="H106" i="8" s="1"/>
  <c r="J105" i="8"/>
  <c r="L103" i="9"/>
  <c r="M103" i="9" s="1"/>
  <c r="J104" i="9"/>
  <c r="K104" i="9"/>
  <c r="L104" i="9" s="1"/>
  <c r="M104" i="9" s="1"/>
  <c r="I104" i="9"/>
  <c r="H105" i="9" s="1"/>
  <c r="L103" i="6"/>
  <c r="M103" i="6" s="1"/>
  <c r="K104" i="6"/>
  <c r="I104" i="6"/>
  <c r="H105" i="6" s="1"/>
  <c r="J104" i="6"/>
  <c r="L104" i="11"/>
  <c r="M104" i="11" s="1"/>
  <c r="L103" i="10"/>
  <c r="L104" i="12"/>
  <c r="M104" i="12" s="1"/>
  <c r="J104" i="10"/>
  <c r="I104" i="10"/>
  <c r="H105" i="10" s="1"/>
  <c r="K104" i="10"/>
  <c r="K105" i="12"/>
  <c r="J105" i="12"/>
  <c r="I105" i="12"/>
  <c r="H106" i="12" s="1"/>
  <c r="J105" i="11"/>
  <c r="K105" i="11"/>
  <c r="L105" i="11" s="1"/>
  <c r="M105" i="11" s="1"/>
  <c r="I105" i="11"/>
  <c r="H106" i="11" s="1"/>
  <c r="L104" i="7"/>
  <c r="M104" i="7" s="1"/>
  <c r="K105" i="7"/>
  <c r="J105" i="7"/>
  <c r="I105" i="7"/>
  <c r="H106" i="7" s="1"/>
  <c r="J105" i="5"/>
  <c r="K105" i="5"/>
  <c r="I105" i="5"/>
  <c r="H106" i="5" s="1"/>
  <c r="L104" i="10" l="1"/>
  <c r="K106" i="8"/>
  <c r="L106" i="8" s="1"/>
  <c r="M106" i="8" s="1"/>
  <c r="J106" i="8"/>
  <c r="I106" i="8"/>
  <c r="H107" i="8" s="1"/>
  <c r="L105" i="8"/>
  <c r="M105" i="8" s="1"/>
  <c r="I105" i="9"/>
  <c r="H106" i="9" s="1"/>
  <c r="K105" i="9"/>
  <c r="J105" i="9"/>
  <c r="K105" i="6"/>
  <c r="J105" i="6"/>
  <c r="I105" i="6"/>
  <c r="H106" i="6" s="1"/>
  <c r="L104" i="6"/>
  <c r="M104" i="6" s="1"/>
  <c r="L105" i="12"/>
  <c r="M105" i="12" s="1"/>
  <c r="K105" i="10"/>
  <c r="I105" i="10"/>
  <c r="H106" i="10" s="1"/>
  <c r="J105" i="10"/>
  <c r="J106" i="12"/>
  <c r="K106" i="12"/>
  <c r="I106" i="12"/>
  <c r="H107" i="12" s="1"/>
  <c r="K106" i="11"/>
  <c r="J106" i="11"/>
  <c r="I106" i="11"/>
  <c r="H107" i="11" s="1"/>
  <c r="L105" i="7"/>
  <c r="M105" i="7" s="1"/>
  <c r="J106" i="7"/>
  <c r="K106" i="7"/>
  <c r="I106" i="7"/>
  <c r="H107" i="7" s="1"/>
  <c r="L105" i="5"/>
  <c r="M105" i="5" s="1"/>
  <c r="J106" i="5"/>
  <c r="I106" i="5"/>
  <c r="H107" i="5" s="1"/>
  <c r="K106" i="5"/>
  <c r="L106" i="5" s="1"/>
  <c r="M106" i="5" s="1"/>
  <c r="K107" i="8" l="1"/>
  <c r="I107" i="8"/>
  <c r="H108" i="8" s="1"/>
  <c r="J107" i="8"/>
  <c r="L105" i="9"/>
  <c r="M105" i="9" s="1"/>
  <c r="J106" i="9"/>
  <c r="K106" i="9"/>
  <c r="L106" i="9" s="1"/>
  <c r="M106" i="9" s="1"/>
  <c r="I106" i="9"/>
  <c r="H107" i="9" s="1"/>
  <c r="J106" i="6"/>
  <c r="K106" i="6"/>
  <c r="I106" i="6"/>
  <c r="H107" i="6" s="1"/>
  <c r="L105" i="6"/>
  <c r="M105" i="6" s="1"/>
  <c r="L106" i="7"/>
  <c r="M106" i="7" s="1"/>
  <c r="K106" i="10"/>
  <c r="J106" i="10"/>
  <c r="I106" i="10"/>
  <c r="H107" i="10" s="1"/>
  <c r="L106" i="12"/>
  <c r="M106" i="12" s="1"/>
  <c r="L105" i="10"/>
  <c r="L106" i="11"/>
  <c r="M106" i="11" s="1"/>
  <c r="K107" i="12"/>
  <c r="J107" i="12"/>
  <c r="I107" i="12"/>
  <c r="H108" i="12" s="1"/>
  <c r="J107" i="11"/>
  <c r="K107" i="11"/>
  <c r="I107" i="11"/>
  <c r="H108" i="11" s="1"/>
  <c r="K107" i="7"/>
  <c r="J107" i="7"/>
  <c r="I107" i="7"/>
  <c r="H108" i="7" s="1"/>
  <c r="J107" i="5"/>
  <c r="K107" i="5"/>
  <c r="I107" i="5"/>
  <c r="H108" i="5" s="1"/>
  <c r="J108" i="8" l="1"/>
  <c r="I108" i="8"/>
  <c r="H109" i="8" s="1"/>
  <c r="K108" i="8"/>
  <c r="L108" i="8" s="1"/>
  <c r="M108" i="8" s="1"/>
  <c r="L107" i="8"/>
  <c r="M107" i="8" s="1"/>
  <c r="J107" i="9"/>
  <c r="I107" i="9"/>
  <c r="H108" i="9" s="1"/>
  <c r="K107" i="9"/>
  <c r="M105" i="10"/>
  <c r="L106" i="6"/>
  <c r="M106" i="6" s="1"/>
  <c r="J107" i="6"/>
  <c r="I107" i="6"/>
  <c r="H108" i="6" s="1"/>
  <c r="K107" i="6"/>
  <c r="L107" i="11"/>
  <c r="M107" i="11" s="1"/>
  <c r="L106" i="10"/>
  <c r="M106" i="10" s="1"/>
  <c r="L107" i="12"/>
  <c r="M107" i="12" s="1"/>
  <c r="K107" i="10"/>
  <c r="I107" i="10"/>
  <c r="H108" i="10" s="1"/>
  <c r="J107" i="10"/>
  <c r="J108" i="12"/>
  <c r="K108" i="12"/>
  <c r="I108" i="12"/>
  <c r="H109" i="12" s="1"/>
  <c r="K108" i="11"/>
  <c r="J108" i="11"/>
  <c r="I108" i="11"/>
  <c r="H109" i="11" s="1"/>
  <c r="L107" i="7"/>
  <c r="M107" i="7" s="1"/>
  <c r="J108" i="7"/>
  <c r="K108" i="7"/>
  <c r="I108" i="7"/>
  <c r="H109" i="7" s="1"/>
  <c r="L107" i="5"/>
  <c r="M107" i="5" s="1"/>
  <c r="J108" i="5"/>
  <c r="I108" i="5"/>
  <c r="H109" i="5" s="1"/>
  <c r="K108" i="5"/>
  <c r="L108" i="5" l="1"/>
  <c r="M108" i="5" s="1"/>
  <c r="L107" i="9"/>
  <c r="M107" i="9" s="1"/>
  <c r="L107" i="6"/>
  <c r="M107" i="6" s="1"/>
  <c r="J109" i="8"/>
  <c r="K109" i="8"/>
  <c r="I109" i="8"/>
  <c r="H110" i="8" s="1"/>
  <c r="J108" i="9"/>
  <c r="K108" i="9"/>
  <c r="I108" i="9"/>
  <c r="H109" i="9" s="1"/>
  <c r="K108" i="6"/>
  <c r="I108" i="6"/>
  <c r="H109" i="6" s="1"/>
  <c r="J108" i="6"/>
  <c r="L108" i="12"/>
  <c r="M108" i="12" s="1"/>
  <c r="L107" i="10"/>
  <c r="M107" i="10" s="1"/>
  <c r="J108" i="10"/>
  <c r="I108" i="10"/>
  <c r="H109" i="10" s="1"/>
  <c r="K108" i="10"/>
  <c r="L108" i="7"/>
  <c r="M108" i="7" s="1"/>
  <c r="L108" i="11"/>
  <c r="M108" i="11" s="1"/>
  <c r="K109" i="12"/>
  <c r="J109" i="12"/>
  <c r="I109" i="12"/>
  <c r="H110" i="12" s="1"/>
  <c r="K109" i="11"/>
  <c r="J109" i="11"/>
  <c r="I109" i="11"/>
  <c r="H110" i="11" s="1"/>
  <c r="K109" i="7"/>
  <c r="J109" i="7"/>
  <c r="I109" i="7"/>
  <c r="H110" i="7" s="1"/>
  <c r="J109" i="5"/>
  <c r="K109" i="5"/>
  <c r="I109" i="5"/>
  <c r="H110" i="5" s="1"/>
  <c r="L108" i="10" l="1"/>
  <c r="M108" i="10" s="1"/>
  <c r="L109" i="8"/>
  <c r="M109" i="8" s="1"/>
  <c r="J110" i="8"/>
  <c r="I110" i="8"/>
  <c r="H111" i="8" s="1"/>
  <c r="K110" i="8"/>
  <c r="L108" i="9"/>
  <c r="M108" i="9" s="1"/>
  <c r="J109" i="9"/>
  <c r="I109" i="9"/>
  <c r="H110" i="9" s="1"/>
  <c r="K109" i="9"/>
  <c r="L109" i="9" s="1"/>
  <c r="M109" i="9" s="1"/>
  <c r="J109" i="6"/>
  <c r="I109" i="6"/>
  <c r="H110" i="6" s="1"/>
  <c r="K109" i="6"/>
  <c r="L109" i="6" s="1"/>
  <c r="M109" i="6" s="1"/>
  <c r="L108" i="6"/>
  <c r="M108" i="6" s="1"/>
  <c r="J109" i="10"/>
  <c r="K109" i="10"/>
  <c r="I109" i="10"/>
  <c r="H110" i="10" s="1"/>
  <c r="L109" i="12"/>
  <c r="M109" i="12" s="1"/>
  <c r="L109" i="11"/>
  <c r="M109" i="11" s="1"/>
  <c r="J110" i="12"/>
  <c r="K110" i="12"/>
  <c r="I110" i="12"/>
  <c r="H111" i="12" s="1"/>
  <c r="J110" i="11"/>
  <c r="K110" i="11"/>
  <c r="I110" i="11"/>
  <c r="H111" i="11" s="1"/>
  <c r="L109" i="7"/>
  <c r="M109" i="7" s="1"/>
  <c r="J110" i="7"/>
  <c r="K110" i="7"/>
  <c r="I110" i="7"/>
  <c r="H111" i="7" s="1"/>
  <c r="L109" i="5"/>
  <c r="M109" i="5" s="1"/>
  <c r="K110" i="5"/>
  <c r="J110" i="5"/>
  <c r="I110" i="5"/>
  <c r="H111" i="5" s="1"/>
  <c r="L110" i="8" l="1"/>
  <c r="M110" i="8" s="1"/>
  <c r="K111" i="8"/>
  <c r="I111" i="8"/>
  <c r="H112" i="8" s="1"/>
  <c r="J111" i="8"/>
  <c r="K110" i="9"/>
  <c r="I110" i="9"/>
  <c r="H111" i="9" s="1"/>
  <c r="J110" i="9"/>
  <c r="L109" i="10"/>
  <c r="J110" i="6"/>
  <c r="K110" i="6"/>
  <c r="I110" i="6"/>
  <c r="H111" i="6" s="1"/>
  <c r="K110" i="10"/>
  <c r="J110" i="10"/>
  <c r="I110" i="10"/>
  <c r="H111" i="10" s="1"/>
  <c r="L110" i="12"/>
  <c r="M110" i="12" s="1"/>
  <c r="L110" i="11"/>
  <c r="M110" i="11" s="1"/>
  <c r="K111" i="12"/>
  <c r="J111" i="12"/>
  <c r="I111" i="12"/>
  <c r="H112" i="12" s="1"/>
  <c r="K111" i="11"/>
  <c r="J111" i="11"/>
  <c r="I111" i="11"/>
  <c r="H112" i="11" s="1"/>
  <c r="L110" i="7"/>
  <c r="M110" i="7" s="1"/>
  <c r="K111" i="7"/>
  <c r="J111" i="7"/>
  <c r="I111" i="7"/>
  <c r="H112" i="7" s="1"/>
  <c r="L110" i="5"/>
  <c r="M110" i="5" s="1"/>
  <c r="K111" i="5"/>
  <c r="I111" i="5"/>
  <c r="H112" i="5" s="1"/>
  <c r="J111" i="5"/>
  <c r="J112" i="8" l="1"/>
  <c r="I112" i="8"/>
  <c r="H113" i="8" s="1"/>
  <c r="K112" i="8"/>
  <c r="L112" i="8" s="1"/>
  <c r="M112" i="8" s="1"/>
  <c r="L111" i="8"/>
  <c r="M111" i="8" s="1"/>
  <c r="K111" i="9"/>
  <c r="J111" i="9"/>
  <c r="I111" i="9"/>
  <c r="H112" i="9" s="1"/>
  <c r="L110" i="9"/>
  <c r="M110" i="9" s="1"/>
  <c r="M109" i="10"/>
  <c r="L110" i="6"/>
  <c r="M110" i="6" s="1"/>
  <c r="I111" i="6"/>
  <c r="H112" i="6" s="1"/>
  <c r="K111" i="6"/>
  <c r="J111" i="6"/>
  <c r="L111" i="12"/>
  <c r="M111" i="12" s="1"/>
  <c r="K111" i="10"/>
  <c r="I111" i="10"/>
  <c r="H112" i="10" s="1"/>
  <c r="J111" i="10"/>
  <c r="L110" i="10"/>
  <c r="M110" i="10" s="1"/>
  <c r="L111" i="11"/>
  <c r="M111" i="11" s="1"/>
  <c r="J112" i="12"/>
  <c r="K112" i="12"/>
  <c r="I112" i="12"/>
  <c r="H113" i="12" s="1"/>
  <c r="J112" i="11"/>
  <c r="K112" i="11"/>
  <c r="I112" i="11"/>
  <c r="H113" i="11" s="1"/>
  <c r="L111" i="7"/>
  <c r="M111" i="7" s="1"/>
  <c r="J112" i="7"/>
  <c r="K112" i="7"/>
  <c r="I112" i="7"/>
  <c r="H113" i="7" s="1"/>
  <c r="J112" i="5"/>
  <c r="I112" i="5"/>
  <c r="H113" i="5" s="1"/>
  <c r="K112" i="5"/>
  <c r="L111" i="5"/>
  <c r="M111" i="5" s="1"/>
  <c r="L112" i="5" l="1"/>
  <c r="M112" i="5" s="1"/>
  <c r="K113" i="8"/>
  <c r="I113" i="8"/>
  <c r="H114" i="8" s="1"/>
  <c r="J113" i="8"/>
  <c r="L111" i="9"/>
  <c r="M111" i="9" s="1"/>
  <c r="I112" i="9"/>
  <c r="H113" i="9" s="1"/>
  <c r="J112" i="9"/>
  <c r="K112" i="9"/>
  <c r="L111" i="6"/>
  <c r="M111" i="6" s="1"/>
  <c r="K112" i="6"/>
  <c r="I112" i="6"/>
  <c r="H113" i="6" s="1"/>
  <c r="J112" i="6"/>
  <c r="L112" i="12"/>
  <c r="M112" i="12" s="1"/>
  <c r="L111" i="10"/>
  <c r="M111" i="10" s="1"/>
  <c r="J112" i="10"/>
  <c r="I112" i="10"/>
  <c r="H113" i="10" s="1"/>
  <c r="K112" i="10"/>
  <c r="L112" i="11"/>
  <c r="M112" i="11" s="1"/>
  <c r="K113" i="12"/>
  <c r="J113" i="12"/>
  <c r="I113" i="12"/>
  <c r="H114" i="12" s="1"/>
  <c r="K113" i="11"/>
  <c r="J113" i="11"/>
  <c r="I113" i="11"/>
  <c r="H114" i="11" s="1"/>
  <c r="L112" i="7"/>
  <c r="M112" i="7" s="1"/>
  <c r="K113" i="7"/>
  <c r="J113" i="7"/>
  <c r="I113" i="7"/>
  <c r="H114" i="7" s="1"/>
  <c r="K113" i="5"/>
  <c r="I113" i="5"/>
  <c r="H114" i="5" s="1"/>
  <c r="J113" i="5"/>
  <c r="L112" i="10" l="1"/>
  <c r="M112" i="10" s="1"/>
  <c r="L112" i="9"/>
  <c r="M112" i="9" s="1"/>
  <c r="J114" i="8"/>
  <c r="I114" i="8"/>
  <c r="H115" i="8" s="1"/>
  <c r="K114" i="8"/>
  <c r="L113" i="8"/>
  <c r="M113" i="8" s="1"/>
  <c r="J113" i="9"/>
  <c r="I113" i="9"/>
  <c r="H114" i="9" s="1"/>
  <c r="K113" i="9"/>
  <c r="L112" i="6"/>
  <c r="M112" i="6" s="1"/>
  <c r="K113" i="6"/>
  <c r="J113" i="6"/>
  <c r="I113" i="6"/>
  <c r="H114" i="6" s="1"/>
  <c r="L113" i="12"/>
  <c r="M113" i="12" s="1"/>
  <c r="L113" i="11"/>
  <c r="M113" i="11" s="1"/>
  <c r="J113" i="10"/>
  <c r="K113" i="10"/>
  <c r="I113" i="10"/>
  <c r="H114" i="10" s="1"/>
  <c r="J114" i="12"/>
  <c r="K114" i="12"/>
  <c r="I114" i="12"/>
  <c r="H115" i="12" s="1"/>
  <c r="J114" i="11"/>
  <c r="K114" i="11"/>
  <c r="I114" i="11"/>
  <c r="H115" i="11" s="1"/>
  <c r="L113" i="7"/>
  <c r="M113" i="7" s="1"/>
  <c r="J114" i="7"/>
  <c r="K114" i="7"/>
  <c r="I114" i="7"/>
  <c r="H115" i="7" s="1"/>
  <c r="J114" i="5"/>
  <c r="I114" i="5"/>
  <c r="H115" i="5" s="1"/>
  <c r="K114" i="5"/>
  <c r="L113" i="5"/>
  <c r="M113" i="5" s="1"/>
  <c r="L113" i="9" l="1"/>
  <c r="M113" i="9" s="1"/>
  <c r="L114" i="8"/>
  <c r="M114" i="8" s="1"/>
  <c r="L114" i="5"/>
  <c r="M114" i="5" s="1"/>
  <c r="K115" i="8"/>
  <c r="I115" i="8"/>
  <c r="H116" i="8" s="1"/>
  <c r="J115" i="8"/>
  <c r="K114" i="9"/>
  <c r="I114" i="9"/>
  <c r="H115" i="9" s="1"/>
  <c r="J114" i="9"/>
  <c r="L113" i="10"/>
  <c r="M113" i="10" s="1"/>
  <c r="L113" i="6"/>
  <c r="M113" i="6" s="1"/>
  <c r="J114" i="6"/>
  <c r="K114" i="6"/>
  <c r="I114" i="6"/>
  <c r="H115" i="6" s="1"/>
  <c r="L114" i="12"/>
  <c r="M114" i="12" s="1"/>
  <c r="J114" i="10"/>
  <c r="I114" i="10"/>
  <c r="H115" i="10" s="1"/>
  <c r="K114" i="10"/>
  <c r="L114" i="11"/>
  <c r="M114" i="11" s="1"/>
  <c r="K115" i="12"/>
  <c r="J115" i="12"/>
  <c r="I115" i="12"/>
  <c r="H116" i="12" s="1"/>
  <c r="K115" i="11"/>
  <c r="J115" i="11"/>
  <c r="I115" i="11"/>
  <c r="H116" i="11" s="1"/>
  <c r="L114" i="7"/>
  <c r="M114" i="7" s="1"/>
  <c r="M6" i="9"/>
  <c r="M7" i="9"/>
  <c r="M5" i="9"/>
  <c r="M10" i="9"/>
  <c r="M8" i="9"/>
  <c r="M9" i="9"/>
  <c r="M11" i="9"/>
  <c r="M12" i="9"/>
  <c r="M14" i="9"/>
  <c r="M13" i="9"/>
  <c r="M15" i="9"/>
  <c r="K115" i="7"/>
  <c r="J115" i="7"/>
  <c r="I115" i="7"/>
  <c r="H116" i="7" s="1"/>
  <c r="J115" i="5"/>
  <c r="K115" i="5"/>
  <c r="I115" i="5"/>
  <c r="H116" i="5" s="1"/>
  <c r="L114" i="10" l="1"/>
  <c r="M114" i="10" s="1"/>
  <c r="K116" i="8"/>
  <c r="J116" i="8"/>
  <c r="I116" i="8"/>
  <c r="H117" i="8" s="1"/>
  <c r="L115" i="8"/>
  <c r="I115" i="9"/>
  <c r="H116" i="9" s="1"/>
  <c r="K115" i="9"/>
  <c r="J115" i="9"/>
  <c r="L114" i="9"/>
  <c r="M114" i="9" s="1"/>
  <c r="L114" i="6"/>
  <c r="M114" i="6" s="1"/>
  <c r="J115" i="6"/>
  <c r="I115" i="6"/>
  <c r="H116" i="6" s="1"/>
  <c r="K115" i="6"/>
  <c r="L115" i="12"/>
  <c r="M115" i="12" s="1"/>
  <c r="K115" i="10"/>
  <c r="I115" i="10"/>
  <c r="H116" i="10" s="1"/>
  <c r="J115" i="10"/>
  <c r="L115" i="11"/>
  <c r="M115" i="11" s="1"/>
  <c r="J116" i="12"/>
  <c r="K116" i="12"/>
  <c r="I116" i="12"/>
  <c r="H117" i="12" s="1"/>
  <c r="J116" i="11"/>
  <c r="K116" i="11"/>
  <c r="I116" i="11"/>
  <c r="H117" i="11" s="1"/>
  <c r="L115" i="7"/>
  <c r="M115" i="7" s="1"/>
  <c r="J116" i="7"/>
  <c r="K116" i="7"/>
  <c r="I116" i="7"/>
  <c r="H117" i="7" s="1"/>
  <c r="M10" i="6"/>
  <c r="M11" i="6"/>
  <c r="M13" i="6"/>
  <c r="M12" i="6"/>
  <c r="L115" i="5"/>
  <c r="M115" i="5" s="1"/>
  <c r="K116" i="5"/>
  <c r="J116" i="5"/>
  <c r="I116" i="5"/>
  <c r="H117" i="5" s="1"/>
  <c r="L116" i="8" l="1"/>
  <c r="M116" i="8" s="1"/>
  <c r="L115" i="6"/>
  <c r="M115" i="6" s="1"/>
  <c r="M115" i="8"/>
  <c r="K117" i="8"/>
  <c r="I117" i="8"/>
  <c r="H118" i="8" s="1"/>
  <c r="J117" i="8"/>
  <c r="L115" i="9"/>
  <c r="M115" i="9" s="1"/>
  <c r="I116" i="9"/>
  <c r="H117" i="9" s="1"/>
  <c r="J116" i="9"/>
  <c r="K116" i="9"/>
  <c r="J116" i="6"/>
  <c r="K116" i="6"/>
  <c r="I116" i="6"/>
  <c r="H117" i="6" s="1"/>
  <c r="L116" i="12"/>
  <c r="M116" i="12" s="1"/>
  <c r="L115" i="10"/>
  <c r="M115" i="10" s="1"/>
  <c r="K116" i="10"/>
  <c r="J116" i="10"/>
  <c r="I116" i="10"/>
  <c r="H117" i="10" s="1"/>
  <c r="L116" i="11"/>
  <c r="M116" i="11" s="1"/>
  <c r="K117" i="12"/>
  <c r="J117" i="12"/>
  <c r="I117" i="12"/>
  <c r="H118" i="12" s="1"/>
  <c r="K117" i="11"/>
  <c r="J117" i="11"/>
  <c r="I117" i="11"/>
  <c r="H118" i="11" s="1"/>
  <c r="L116" i="7"/>
  <c r="M116" i="7" s="1"/>
  <c r="K117" i="7"/>
  <c r="J117" i="7"/>
  <c r="I117" i="7"/>
  <c r="H118" i="7" s="1"/>
  <c r="L116" i="5"/>
  <c r="M116" i="5" s="1"/>
  <c r="J117" i="5"/>
  <c r="K117" i="5"/>
  <c r="I117" i="5"/>
  <c r="H118" i="5" s="1"/>
  <c r="L116" i="9" l="1"/>
  <c r="M116" i="9" s="1"/>
  <c r="K118" i="8"/>
  <c r="J118" i="8"/>
  <c r="I118" i="8"/>
  <c r="H119" i="8" s="1"/>
  <c r="L117" i="8"/>
  <c r="K117" i="9"/>
  <c r="J117" i="9"/>
  <c r="I117" i="9"/>
  <c r="H118" i="9" s="1"/>
  <c r="L116" i="6"/>
  <c r="M116" i="6" s="1"/>
  <c r="J117" i="6"/>
  <c r="I117" i="6"/>
  <c r="H118" i="6" s="1"/>
  <c r="K117" i="6"/>
  <c r="L117" i="6" s="1"/>
  <c r="M117" i="6" s="1"/>
  <c r="L117" i="12"/>
  <c r="M117" i="12" s="1"/>
  <c r="L116" i="10"/>
  <c r="M116" i="10" s="1"/>
  <c r="J117" i="10"/>
  <c r="K117" i="10"/>
  <c r="I117" i="10"/>
  <c r="H118" i="10" s="1"/>
  <c r="M4" i="9"/>
  <c r="L117" i="11"/>
  <c r="M117" i="11" s="1"/>
  <c r="J118" i="12"/>
  <c r="K118" i="12"/>
  <c r="I118" i="12"/>
  <c r="H119" i="12" s="1"/>
  <c r="J118" i="11"/>
  <c r="K118" i="11"/>
  <c r="I118" i="11"/>
  <c r="H119" i="11" s="1"/>
  <c r="L117" i="7"/>
  <c r="M117" i="7" s="1"/>
  <c r="J118" i="7"/>
  <c r="K118" i="7"/>
  <c r="I118" i="7"/>
  <c r="H119" i="7" s="1"/>
  <c r="L117" i="5"/>
  <c r="M117" i="5" s="1"/>
  <c r="K118" i="5"/>
  <c r="J118" i="5"/>
  <c r="I118" i="5"/>
  <c r="H119" i="5" s="1"/>
  <c r="L117" i="9" l="1"/>
  <c r="M117" i="9" s="1"/>
  <c r="L118" i="8"/>
  <c r="M118" i="8" s="1"/>
  <c r="M117" i="8"/>
  <c r="J119" i="8"/>
  <c r="K119" i="8"/>
  <c r="I119" i="8"/>
  <c r="H120" i="8" s="1"/>
  <c r="I118" i="9"/>
  <c r="H119" i="9" s="1"/>
  <c r="J118" i="9"/>
  <c r="K118" i="9"/>
  <c r="J118" i="6"/>
  <c r="K118" i="6"/>
  <c r="I118" i="6"/>
  <c r="H119" i="6" s="1"/>
  <c r="L117" i="10"/>
  <c r="M117" i="10" s="1"/>
  <c r="J118" i="10"/>
  <c r="I118" i="10"/>
  <c r="H119" i="10" s="1"/>
  <c r="K118" i="10"/>
  <c r="L118" i="12"/>
  <c r="M118" i="12" s="1"/>
  <c r="K119" i="12"/>
  <c r="J119" i="12"/>
  <c r="I119" i="12"/>
  <c r="H120" i="12" s="1"/>
  <c r="L118" i="11"/>
  <c r="M118" i="11" s="1"/>
  <c r="K119" i="11"/>
  <c r="J119" i="11"/>
  <c r="I119" i="11"/>
  <c r="H120" i="11" s="1"/>
  <c r="L118" i="7"/>
  <c r="M118" i="7" s="1"/>
  <c r="K119" i="7"/>
  <c r="J119" i="7"/>
  <c r="I119" i="7"/>
  <c r="H120" i="7" s="1"/>
  <c r="L118" i="5"/>
  <c r="K119" i="5"/>
  <c r="I119" i="5"/>
  <c r="H120" i="5" s="1"/>
  <c r="J119" i="5"/>
  <c r="M118" i="5" l="1"/>
  <c r="L119" i="8"/>
  <c r="M119" i="8" s="1"/>
  <c r="L118" i="9"/>
  <c r="J120" i="8"/>
  <c r="I120" i="8"/>
  <c r="H121" i="8" s="1"/>
  <c r="K120" i="8"/>
  <c r="K119" i="9"/>
  <c r="J119" i="9"/>
  <c r="I119" i="9"/>
  <c r="H120" i="9" s="1"/>
  <c r="L118" i="6"/>
  <c r="M118" i="6" s="1"/>
  <c r="J119" i="6"/>
  <c r="I119" i="6"/>
  <c r="H120" i="6" s="1"/>
  <c r="K119" i="6"/>
  <c r="L119" i="6" s="1"/>
  <c r="M119" i="6" s="1"/>
  <c r="L118" i="10"/>
  <c r="M118" i="10" s="1"/>
  <c r="L119" i="12"/>
  <c r="M119" i="12" s="1"/>
  <c r="K119" i="10"/>
  <c r="I119" i="10"/>
  <c r="H120" i="10" s="1"/>
  <c r="J119" i="10"/>
  <c r="L119" i="11"/>
  <c r="M119" i="11" s="1"/>
  <c r="J120" i="12"/>
  <c r="K120" i="12"/>
  <c r="I120" i="12"/>
  <c r="H121" i="12" s="1"/>
  <c r="J120" i="11"/>
  <c r="K120" i="11"/>
  <c r="I120" i="11"/>
  <c r="H121" i="11" s="1"/>
  <c r="L119" i="7"/>
  <c r="M119" i="7" s="1"/>
  <c r="J120" i="7"/>
  <c r="K120" i="7"/>
  <c r="I120" i="7"/>
  <c r="H121" i="7" s="1"/>
  <c r="K120" i="5"/>
  <c r="J120" i="5"/>
  <c r="I120" i="5"/>
  <c r="H121" i="5" s="1"/>
  <c r="L119" i="5"/>
  <c r="L120" i="8" l="1"/>
  <c r="M120" i="8" s="1"/>
  <c r="M118" i="9"/>
  <c r="J121" i="8"/>
  <c r="K121" i="8"/>
  <c r="I121" i="8"/>
  <c r="H122" i="8" s="1"/>
  <c r="J120" i="9"/>
  <c r="K120" i="9"/>
  <c r="I120" i="9"/>
  <c r="H121" i="9" s="1"/>
  <c r="L119" i="9"/>
  <c r="M119" i="9" s="1"/>
  <c r="K120" i="6"/>
  <c r="I120" i="6"/>
  <c r="H121" i="6" s="1"/>
  <c r="J120" i="6"/>
  <c r="K120" i="10"/>
  <c r="J120" i="10"/>
  <c r="I120" i="10"/>
  <c r="H121" i="10" s="1"/>
  <c r="L119" i="10"/>
  <c r="L120" i="12"/>
  <c r="M120" i="12" s="1"/>
  <c r="K121" i="12"/>
  <c r="J121" i="12"/>
  <c r="I121" i="12"/>
  <c r="H122" i="12" s="1"/>
  <c r="L120" i="11"/>
  <c r="M120" i="11" s="1"/>
  <c r="K121" i="11"/>
  <c r="J121" i="11"/>
  <c r="I121" i="11"/>
  <c r="H122" i="11" s="1"/>
  <c r="L120" i="7"/>
  <c r="M120" i="7" s="1"/>
  <c r="K121" i="7"/>
  <c r="J121" i="7"/>
  <c r="I121" i="7"/>
  <c r="H122" i="7" s="1"/>
  <c r="L120" i="5"/>
  <c r="M120" i="5" s="1"/>
  <c r="M119" i="5"/>
  <c r="K121" i="5"/>
  <c r="I121" i="5"/>
  <c r="H122" i="5" s="1"/>
  <c r="J121" i="5"/>
  <c r="L120" i="9" l="1"/>
  <c r="M120" i="9" s="1"/>
  <c r="L121" i="8"/>
  <c r="M121" i="8" s="1"/>
  <c r="K122" i="8"/>
  <c r="J122" i="8"/>
  <c r="I122" i="8"/>
  <c r="H123" i="8" s="1"/>
  <c r="I121" i="9"/>
  <c r="H122" i="9" s="1"/>
  <c r="K121" i="9"/>
  <c r="J121" i="9"/>
  <c r="K121" i="6"/>
  <c r="J121" i="6"/>
  <c r="I121" i="6"/>
  <c r="H122" i="6" s="1"/>
  <c r="L120" i="6"/>
  <c r="L120" i="10"/>
  <c r="M120" i="10" s="1"/>
  <c r="L121" i="12"/>
  <c r="M121" i="12" s="1"/>
  <c r="M119" i="10"/>
  <c r="J121" i="10"/>
  <c r="K121" i="10"/>
  <c r="L121" i="10" s="1"/>
  <c r="M121" i="10" s="1"/>
  <c r="I121" i="10"/>
  <c r="H122" i="10" s="1"/>
  <c r="L121" i="11"/>
  <c r="M121" i="11" s="1"/>
  <c r="J122" i="12"/>
  <c r="K122" i="12"/>
  <c r="I122" i="12"/>
  <c r="H123" i="12" s="1"/>
  <c r="J122" i="11"/>
  <c r="K122" i="11"/>
  <c r="I122" i="11"/>
  <c r="H123" i="11" s="1"/>
  <c r="L121" i="7"/>
  <c r="M121" i="7" s="1"/>
  <c r="J122" i="7"/>
  <c r="K122" i="7"/>
  <c r="I122" i="7"/>
  <c r="H123" i="7" s="1"/>
  <c r="J122" i="5"/>
  <c r="I122" i="5"/>
  <c r="H123" i="5" s="1"/>
  <c r="K122" i="5"/>
  <c r="L121" i="5"/>
  <c r="L122" i="5" l="1"/>
  <c r="M122" i="5" s="1"/>
  <c r="L122" i="8"/>
  <c r="M122" i="8" s="1"/>
  <c r="J123" i="8"/>
  <c r="K123" i="8"/>
  <c r="I123" i="8"/>
  <c r="H124" i="8" s="1"/>
  <c r="L121" i="6"/>
  <c r="M121" i="6" s="1"/>
  <c r="L121" i="9"/>
  <c r="I122" i="9"/>
  <c r="H123" i="9" s="1"/>
  <c r="J122" i="9"/>
  <c r="K122" i="9"/>
  <c r="M120" i="6"/>
  <c r="J122" i="6"/>
  <c r="K122" i="6"/>
  <c r="I122" i="6"/>
  <c r="H123" i="6" s="1"/>
  <c r="L122" i="12"/>
  <c r="M122" i="12" s="1"/>
  <c r="K122" i="10"/>
  <c r="J122" i="10"/>
  <c r="I122" i="10"/>
  <c r="H123" i="10" s="1"/>
  <c r="K123" i="12"/>
  <c r="J123" i="12"/>
  <c r="I123" i="12"/>
  <c r="H124" i="12" s="1"/>
  <c r="L122" i="11"/>
  <c r="M122" i="11" s="1"/>
  <c r="K123" i="11"/>
  <c r="J123" i="11"/>
  <c r="I123" i="11"/>
  <c r="H124" i="11" s="1"/>
  <c r="L122" i="7"/>
  <c r="M122" i="7" s="1"/>
  <c r="K123" i="7"/>
  <c r="J123" i="7"/>
  <c r="I123" i="7"/>
  <c r="H124" i="7" s="1"/>
  <c r="M121" i="5"/>
  <c r="K123" i="5"/>
  <c r="I123" i="5"/>
  <c r="H124" i="5" s="1"/>
  <c r="J123" i="5"/>
  <c r="L123" i="8" l="1"/>
  <c r="M123" i="8" s="1"/>
  <c r="M121" i="9"/>
  <c r="L122" i="9"/>
  <c r="M122" i="9" s="1"/>
  <c r="K124" i="8"/>
  <c r="J124" i="8"/>
  <c r="I124" i="8"/>
  <c r="H125" i="8" s="1"/>
  <c r="L122" i="6"/>
  <c r="M122" i="6" s="1"/>
  <c r="J123" i="9"/>
  <c r="K123" i="9"/>
  <c r="I123" i="9"/>
  <c r="H124" i="9" s="1"/>
  <c r="K123" i="6"/>
  <c r="J123" i="6"/>
  <c r="I123" i="6"/>
  <c r="H124" i="6" s="1"/>
  <c r="L122" i="10"/>
  <c r="M122" i="10" s="1"/>
  <c r="L123" i="12"/>
  <c r="M123" i="12" s="1"/>
  <c r="K123" i="10"/>
  <c r="I123" i="10"/>
  <c r="H124" i="10" s="1"/>
  <c r="J123" i="10"/>
  <c r="J124" i="12"/>
  <c r="K124" i="12"/>
  <c r="I124" i="12"/>
  <c r="H125" i="12" s="1"/>
  <c r="L123" i="11"/>
  <c r="M123" i="11" s="1"/>
  <c r="J124" i="11"/>
  <c r="K124" i="11"/>
  <c r="I124" i="11"/>
  <c r="H125" i="11" s="1"/>
  <c r="L123" i="7"/>
  <c r="M123" i="7" s="1"/>
  <c r="J124" i="7"/>
  <c r="K124" i="7"/>
  <c r="I124" i="7"/>
  <c r="H125" i="7" s="1"/>
  <c r="K124" i="5"/>
  <c r="J124" i="5"/>
  <c r="I124" i="5"/>
  <c r="H125" i="5" s="1"/>
  <c r="L123" i="5"/>
  <c r="L124" i="8" l="1"/>
  <c r="M124" i="8" s="1"/>
  <c r="J125" i="8"/>
  <c r="K125" i="8"/>
  <c r="L125" i="8" s="1"/>
  <c r="M125" i="8" s="1"/>
  <c r="I125" i="8"/>
  <c r="H126" i="8" s="1"/>
  <c r="L123" i="9"/>
  <c r="M123" i="9" s="1"/>
  <c r="K124" i="9"/>
  <c r="J124" i="9"/>
  <c r="I124" i="9"/>
  <c r="H125" i="9" s="1"/>
  <c r="L123" i="6"/>
  <c r="M123" i="6" s="1"/>
  <c r="J124" i="6"/>
  <c r="K124" i="6"/>
  <c r="I124" i="6"/>
  <c r="H125" i="6" s="1"/>
  <c r="L123" i="10"/>
  <c r="J124" i="10"/>
  <c r="I124" i="10"/>
  <c r="H125" i="10" s="1"/>
  <c r="K124" i="10"/>
  <c r="L124" i="10" s="1"/>
  <c r="M124" i="10" s="1"/>
  <c r="L124" i="11"/>
  <c r="M124" i="11" s="1"/>
  <c r="L124" i="12"/>
  <c r="M124" i="12" s="1"/>
  <c r="K125" i="12"/>
  <c r="J125" i="12"/>
  <c r="I125" i="12"/>
  <c r="H126" i="12" s="1"/>
  <c r="K125" i="11"/>
  <c r="J125" i="11"/>
  <c r="I125" i="11"/>
  <c r="H126" i="11" s="1"/>
  <c r="L124" i="7"/>
  <c r="M124" i="7" s="1"/>
  <c r="K125" i="7"/>
  <c r="J125" i="7"/>
  <c r="I125" i="7"/>
  <c r="H126" i="7" s="1"/>
  <c r="L124" i="5"/>
  <c r="M124" i="5" s="1"/>
  <c r="M123" i="5"/>
  <c r="J125" i="5"/>
  <c r="K125" i="5"/>
  <c r="I125" i="5"/>
  <c r="H126" i="5" s="1"/>
  <c r="L124" i="9" l="1"/>
  <c r="M124" i="9" s="1"/>
  <c r="J126" i="8"/>
  <c r="I126" i="8"/>
  <c r="H127" i="8" s="1"/>
  <c r="K126" i="8"/>
  <c r="L126" i="8" s="1"/>
  <c r="M126" i="8" s="1"/>
  <c r="J125" i="9"/>
  <c r="K125" i="9"/>
  <c r="I125" i="9"/>
  <c r="H126" i="9" s="1"/>
  <c r="L124" i="6"/>
  <c r="K125" i="6"/>
  <c r="J125" i="6"/>
  <c r="I125" i="6"/>
  <c r="H126" i="6" s="1"/>
  <c r="J125" i="10"/>
  <c r="K125" i="10"/>
  <c r="I125" i="10"/>
  <c r="H126" i="10" s="1"/>
  <c r="M123" i="10"/>
  <c r="L125" i="12"/>
  <c r="M125" i="12" s="1"/>
  <c r="J126" i="12"/>
  <c r="K126" i="12"/>
  <c r="I126" i="12"/>
  <c r="H127" i="12" s="1"/>
  <c r="L125" i="11"/>
  <c r="M125" i="11" s="1"/>
  <c r="J126" i="11"/>
  <c r="K126" i="11"/>
  <c r="I126" i="11"/>
  <c r="H127" i="11" s="1"/>
  <c r="L125" i="7"/>
  <c r="M125" i="7" s="1"/>
  <c r="J126" i="7"/>
  <c r="K126" i="7"/>
  <c r="I126" i="7"/>
  <c r="H127" i="7" s="1"/>
  <c r="L125" i="5"/>
  <c r="M125" i="5" s="1"/>
  <c r="J126" i="5"/>
  <c r="I126" i="5"/>
  <c r="H127" i="5" s="1"/>
  <c r="K126" i="5"/>
  <c r="L126" i="5" s="1"/>
  <c r="M126" i="5" s="1"/>
  <c r="J127" i="8" l="1"/>
  <c r="K127" i="8"/>
  <c r="L127" i="8" s="1"/>
  <c r="M127" i="8" s="1"/>
  <c r="I127" i="8"/>
  <c r="H128" i="8" s="1"/>
  <c r="L125" i="9"/>
  <c r="M125" i="9" s="1"/>
  <c r="I126" i="9"/>
  <c r="H127" i="9" s="1"/>
  <c r="K126" i="9"/>
  <c r="J126" i="9"/>
  <c r="L125" i="6"/>
  <c r="M125" i="6" s="1"/>
  <c r="M124" i="6"/>
  <c r="J126" i="6"/>
  <c r="K126" i="6"/>
  <c r="I126" i="6"/>
  <c r="H127" i="6" s="1"/>
  <c r="L125" i="10"/>
  <c r="M125" i="10" s="1"/>
  <c r="L126" i="12"/>
  <c r="M126" i="12" s="1"/>
  <c r="J126" i="10"/>
  <c r="I126" i="10"/>
  <c r="H127" i="10" s="1"/>
  <c r="K126" i="10"/>
  <c r="L126" i="11"/>
  <c r="M126" i="11" s="1"/>
  <c r="K127" i="12"/>
  <c r="J127" i="12"/>
  <c r="I127" i="12"/>
  <c r="H128" i="12" s="1"/>
  <c r="K127" i="11"/>
  <c r="J127" i="11"/>
  <c r="I127" i="11"/>
  <c r="H128" i="11" s="1"/>
  <c r="L126" i="7"/>
  <c r="M126" i="7" s="1"/>
  <c r="K127" i="7"/>
  <c r="J127" i="7"/>
  <c r="I127" i="7"/>
  <c r="H128" i="7" s="1"/>
  <c r="K127" i="5"/>
  <c r="I127" i="5"/>
  <c r="H128" i="5" s="1"/>
  <c r="J127" i="5"/>
  <c r="L126" i="10" l="1"/>
  <c r="M126" i="10" s="1"/>
  <c r="J128" i="8"/>
  <c r="I128" i="8"/>
  <c r="H129" i="8" s="1"/>
  <c r="K128" i="8"/>
  <c r="L126" i="9"/>
  <c r="M126" i="9" s="1"/>
  <c r="I127" i="9"/>
  <c r="H128" i="9" s="1"/>
  <c r="J127" i="9"/>
  <c r="K127" i="9"/>
  <c r="L126" i="6"/>
  <c r="M126" i="6" s="1"/>
  <c r="I127" i="6"/>
  <c r="H128" i="6" s="1"/>
  <c r="K127" i="6"/>
  <c r="J127" i="6"/>
  <c r="L127" i="12"/>
  <c r="M127" i="12" s="1"/>
  <c r="J127" i="10"/>
  <c r="K127" i="10"/>
  <c r="I127" i="10"/>
  <c r="H128" i="10" s="1"/>
  <c r="J128" i="12"/>
  <c r="K128" i="12"/>
  <c r="I128" i="12"/>
  <c r="H129" i="12" s="1"/>
  <c r="L127" i="11"/>
  <c r="M127" i="11" s="1"/>
  <c r="J128" i="11"/>
  <c r="K128" i="11"/>
  <c r="I128" i="11"/>
  <c r="H129" i="11" s="1"/>
  <c r="J128" i="7"/>
  <c r="K128" i="7"/>
  <c r="I128" i="7"/>
  <c r="H129" i="7" s="1"/>
  <c r="L127" i="7"/>
  <c r="M127" i="7" s="1"/>
  <c r="L127" i="5"/>
  <c r="M127" i="5" s="1"/>
  <c r="K128" i="5"/>
  <c r="J128" i="5"/>
  <c r="I128" i="5"/>
  <c r="H129" i="5" s="1"/>
  <c r="L128" i="8" l="1"/>
  <c r="M128" i="8" s="1"/>
  <c r="L127" i="9"/>
  <c r="M127" i="9" s="1"/>
  <c r="J129" i="8"/>
  <c r="K129" i="8"/>
  <c r="I129" i="8"/>
  <c r="H130" i="8" s="1"/>
  <c r="K128" i="9"/>
  <c r="J128" i="9"/>
  <c r="I128" i="9"/>
  <c r="H129" i="9" s="1"/>
  <c r="I128" i="6"/>
  <c r="H129" i="6" s="1"/>
  <c r="J128" i="6"/>
  <c r="K128" i="6"/>
  <c r="L127" i="6"/>
  <c r="M127" i="6" s="1"/>
  <c r="L128" i="12"/>
  <c r="M128" i="12" s="1"/>
  <c r="L127" i="10"/>
  <c r="M127" i="10" s="1"/>
  <c r="J128" i="10"/>
  <c r="I128" i="10"/>
  <c r="H129" i="10" s="1"/>
  <c r="K128" i="10"/>
  <c r="L128" i="10" s="1"/>
  <c r="M128" i="10" s="1"/>
  <c r="L128" i="11"/>
  <c r="M128" i="11" s="1"/>
  <c r="K129" i="12"/>
  <c r="J129" i="12"/>
  <c r="I129" i="12"/>
  <c r="H130" i="12" s="1"/>
  <c r="L128" i="7"/>
  <c r="M128" i="7" s="1"/>
  <c r="K129" i="11"/>
  <c r="J129" i="11"/>
  <c r="I129" i="11"/>
  <c r="H130" i="11" s="1"/>
  <c r="K129" i="7"/>
  <c r="J129" i="7"/>
  <c r="I129" i="7"/>
  <c r="H130" i="7" s="1"/>
  <c r="L128" i="5"/>
  <c r="M128" i="5" s="1"/>
  <c r="J129" i="5"/>
  <c r="K129" i="5"/>
  <c r="I129" i="5"/>
  <c r="H130" i="5" s="1"/>
  <c r="L129" i="8" l="1"/>
  <c r="M129" i="8" s="1"/>
  <c r="J130" i="8"/>
  <c r="I130" i="8"/>
  <c r="H131" i="8" s="1"/>
  <c r="K130" i="8"/>
  <c r="L130" i="8" s="1"/>
  <c r="M130" i="8" s="1"/>
  <c r="L128" i="6"/>
  <c r="M128" i="6" s="1"/>
  <c r="L128" i="9"/>
  <c r="M128" i="9" s="1"/>
  <c r="I129" i="9"/>
  <c r="H130" i="9" s="1"/>
  <c r="J129" i="9"/>
  <c r="K129" i="9"/>
  <c r="K129" i="6"/>
  <c r="J129" i="6"/>
  <c r="I129" i="6"/>
  <c r="H130" i="6" s="1"/>
  <c r="L129" i="11"/>
  <c r="M129" i="11" s="1"/>
  <c r="K129" i="10"/>
  <c r="I129" i="10"/>
  <c r="H130" i="10" s="1"/>
  <c r="J129" i="10"/>
  <c r="L129" i="12"/>
  <c r="M129" i="12" s="1"/>
  <c r="J130" i="12"/>
  <c r="K130" i="12"/>
  <c r="I130" i="12"/>
  <c r="H131" i="12" s="1"/>
  <c r="L129" i="7"/>
  <c r="M129" i="7" s="1"/>
  <c r="J130" i="11"/>
  <c r="K130" i="11"/>
  <c r="I130" i="11"/>
  <c r="H131" i="11" s="1"/>
  <c r="J130" i="7"/>
  <c r="K130" i="7"/>
  <c r="I130" i="7"/>
  <c r="H131" i="7" s="1"/>
  <c r="L129" i="5"/>
  <c r="M129" i="5" s="1"/>
  <c r="J130" i="5"/>
  <c r="I130" i="5"/>
  <c r="H131" i="5" s="1"/>
  <c r="K130" i="5"/>
  <c r="L130" i="5" l="1"/>
  <c r="M130" i="5" s="1"/>
  <c r="L129" i="9"/>
  <c r="M129" i="9" s="1"/>
  <c r="J131" i="8"/>
  <c r="K131" i="8"/>
  <c r="I131" i="8"/>
  <c r="H132" i="8" s="1"/>
  <c r="L129" i="6"/>
  <c r="M129" i="6" s="1"/>
  <c r="K130" i="9"/>
  <c r="J130" i="9"/>
  <c r="I130" i="9"/>
  <c r="H131" i="9" s="1"/>
  <c r="L130" i="12"/>
  <c r="M130" i="12" s="1"/>
  <c r="K130" i="6"/>
  <c r="I130" i="6"/>
  <c r="H131" i="6" s="1"/>
  <c r="J130" i="6"/>
  <c r="J130" i="10"/>
  <c r="I130" i="10"/>
  <c r="H131" i="10" s="1"/>
  <c r="K130" i="10"/>
  <c r="L130" i="10" s="1"/>
  <c r="M130" i="10" s="1"/>
  <c r="L129" i="10"/>
  <c r="M129" i="10" s="1"/>
  <c r="L130" i="11"/>
  <c r="M130" i="11" s="1"/>
  <c r="K131" i="12"/>
  <c r="J131" i="12"/>
  <c r="I131" i="12"/>
  <c r="H132" i="12" s="1"/>
  <c r="K131" i="11"/>
  <c r="J131" i="11"/>
  <c r="I131" i="11"/>
  <c r="H132" i="11" s="1"/>
  <c r="L130" i="7"/>
  <c r="M130" i="7" s="1"/>
  <c r="K131" i="7"/>
  <c r="J131" i="7"/>
  <c r="I131" i="7"/>
  <c r="H132" i="7" s="1"/>
  <c r="K131" i="5"/>
  <c r="I131" i="5"/>
  <c r="H132" i="5" s="1"/>
  <c r="J131" i="5"/>
  <c r="L130" i="9" l="1"/>
  <c r="M130" i="9" s="1"/>
  <c r="L131" i="8"/>
  <c r="M131" i="8" s="1"/>
  <c r="K132" i="8"/>
  <c r="J132" i="8"/>
  <c r="I132" i="8"/>
  <c r="H133" i="8" s="1"/>
  <c r="K131" i="9"/>
  <c r="I131" i="9"/>
  <c r="H132" i="9" s="1"/>
  <c r="J131" i="9"/>
  <c r="L130" i="6"/>
  <c r="M130" i="6" s="1"/>
  <c r="K131" i="6"/>
  <c r="J131" i="6"/>
  <c r="I131" i="6"/>
  <c r="H132" i="6" s="1"/>
  <c r="K131" i="10"/>
  <c r="I131" i="10"/>
  <c r="H132" i="10" s="1"/>
  <c r="J131" i="10"/>
  <c r="L131" i="12"/>
  <c r="M131" i="12" s="1"/>
  <c r="J132" i="12"/>
  <c r="K132" i="12"/>
  <c r="I132" i="12"/>
  <c r="H133" i="12" s="1"/>
  <c r="L131" i="11"/>
  <c r="M131" i="11" s="1"/>
  <c r="J132" i="11"/>
  <c r="K132" i="11"/>
  <c r="I132" i="11"/>
  <c r="H133" i="11" s="1"/>
  <c r="L131" i="7"/>
  <c r="M131" i="7" s="1"/>
  <c r="J132" i="7"/>
  <c r="K132" i="7"/>
  <c r="I132" i="7"/>
  <c r="H133" i="7" s="1"/>
  <c r="J132" i="5"/>
  <c r="I132" i="5"/>
  <c r="H133" i="5" s="1"/>
  <c r="K132" i="5"/>
  <c r="L132" i="5" s="1"/>
  <c r="M132" i="5" s="1"/>
  <c r="L131" i="5"/>
  <c r="M131" i="5" s="1"/>
  <c r="L132" i="8" l="1"/>
  <c r="M132" i="8" s="1"/>
  <c r="K133" i="8"/>
  <c r="I133" i="8"/>
  <c r="H134" i="8" s="1"/>
  <c r="J133" i="8"/>
  <c r="K132" i="9"/>
  <c r="J132" i="9"/>
  <c r="I132" i="9"/>
  <c r="H133" i="9" s="1"/>
  <c r="L131" i="9"/>
  <c r="M131" i="9" s="1"/>
  <c r="L131" i="6"/>
  <c r="M131" i="6" s="1"/>
  <c r="K132" i="6"/>
  <c r="I132" i="6"/>
  <c r="H133" i="6" s="1"/>
  <c r="J132" i="6"/>
  <c r="L132" i="12"/>
  <c r="M132" i="12" s="1"/>
  <c r="J132" i="10"/>
  <c r="I132" i="10"/>
  <c r="H133" i="10" s="1"/>
  <c r="K132" i="10"/>
  <c r="L131" i="10"/>
  <c r="M131" i="10" s="1"/>
  <c r="L132" i="11"/>
  <c r="M132" i="11" s="1"/>
  <c r="K133" i="12"/>
  <c r="J133" i="12"/>
  <c r="I133" i="12"/>
  <c r="H134" i="12" s="1"/>
  <c r="K133" i="11"/>
  <c r="J133" i="11"/>
  <c r="I133" i="11"/>
  <c r="H134" i="11" s="1"/>
  <c r="L132" i="7"/>
  <c r="M132" i="7" s="1"/>
  <c r="K133" i="7"/>
  <c r="J133" i="7"/>
  <c r="I133" i="7"/>
  <c r="H134" i="7" s="1"/>
  <c r="K133" i="5"/>
  <c r="I133" i="5"/>
  <c r="H134" i="5" s="1"/>
  <c r="J133" i="5"/>
  <c r="L132" i="10" l="1"/>
  <c r="M132" i="10" s="1"/>
  <c r="L132" i="9"/>
  <c r="M132" i="9" s="1"/>
  <c r="J134" i="8"/>
  <c r="I134" i="8"/>
  <c r="H135" i="8" s="1"/>
  <c r="K134" i="8"/>
  <c r="L133" i="8"/>
  <c r="M133" i="8" s="1"/>
  <c r="K133" i="9"/>
  <c r="I133" i="9"/>
  <c r="H134" i="9" s="1"/>
  <c r="J133" i="9"/>
  <c r="K133" i="6"/>
  <c r="J133" i="6"/>
  <c r="I133" i="6"/>
  <c r="H134" i="6" s="1"/>
  <c r="L132" i="6"/>
  <c r="M132" i="6" s="1"/>
  <c r="K133" i="10"/>
  <c r="I133" i="10"/>
  <c r="H134" i="10" s="1"/>
  <c r="J133" i="10"/>
  <c r="L133" i="12"/>
  <c r="M133" i="12" s="1"/>
  <c r="J134" i="12"/>
  <c r="K134" i="12"/>
  <c r="I134" i="12"/>
  <c r="H135" i="12" s="1"/>
  <c r="L133" i="11"/>
  <c r="M133" i="11" s="1"/>
  <c r="J134" i="11"/>
  <c r="K134" i="11"/>
  <c r="I134" i="11"/>
  <c r="H135" i="11" s="1"/>
  <c r="L133" i="7"/>
  <c r="M133" i="7" s="1"/>
  <c r="J134" i="7"/>
  <c r="K134" i="7"/>
  <c r="I134" i="7"/>
  <c r="H135" i="7" s="1"/>
  <c r="J134" i="5"/>
  <c r="I134" i="5"/>
  <c r="H135" i="5" s="1"/>
  <c r="K134" i="5"/>
  <c r="L134" i="5" s="1"/>
  <c r="M134" i="5" s="1"/>
  <c r="L133" i="5"/>
  <c r="M133" i="5" s="1"/>
  <c r="L134" i="8" l="1"/>
  <c r="M134" i="8" s="1"/>
  <c r="L133" i="6"/>
  <c r="M133" i="6" s="1"/>
  <c r="K135" i="8"/>
  <c r="I135" i="8"/>
  <c r="H136" i="8" s="1"/>
  <c r="J135" i="8"/>
  <c r="K134" i="9"/>
  <c r="J134" i="9"/>
  <c r="I134" i="9"/>
  <c r="H135" i="9" s="1"/>
  <c r="L133" i="9"/>
  <c r="M133" i="9" s="1"/>
  <c r="J134" i="6"/>
  <c r="K134" i="6"/>
  <c r="I134" i="6"/>
  <c r="H135" i="6" s="1"/>
  <c r="K134" i="10"/>
  <c r="J134" i="10"/>
  <c r="I134" i="10"/>
  <c r="H135" i="10" s="1"/>
  <c r="L133" i="10"/>
  <c r="M133" i="10" s="1"/>
  <c r="L134" i="12"/>
  <c r="M134" i="12" s="1"/>
  <c r="L134" i="11"/>
  <c r="M134" i="11" s="1"/>
  <c r="K135" i="12"/>
  <c r="J135" i="12"/>
  <c r="I135" i="12"/>
  <c r="H136" i="12" s="1"/>
  <c r="K135" i="11"/>
  <c r="J135" i="11"/>
  <c r="I135" i="11"/>
  <c r="H136" i="11" s="1"/>
  <c r="L134" i="7"/>
  <c r="M134" i="7" s="1"/>
  <c r="K135" i="7"/>
  <c r="J135" i="7"/>
  <c r="I135" i="7"/>
  <c r="H136" i="7" s="1"/>
  <c r="J135" i="5"/>
  <c r="K135" i="5"/>
  <c r="I135" i="5"/>
  <c r="H136" i="5" s="1"/>
  <c r="L134" i="9" l="1"/>
  <c r="M134" i="9" s="1"/>
  <c r="K136" i="8"/>
  <c r="J136" i="8"/>
  <c r="I136" i="8"/>
  <c r="H137" i="8" s="1"/>
  <c r="L135" i="8"/>
  <c r="M135" i="8" s="1"/>
  <c r="J135" i="9"/>
  <c r="K135" i="9"/>
  <c r="I135" i="9"/>
  <c r="H136" i="9" s="1"/>
  <c r="L134" i="6"/>
  <c r="M134" i="6" s="1"/>
  <c r="L135" i="12"/>
  <c r="M135" i="12" s="1"/>
  <c r="J135" i="6"/>
  <c r="I135" i="6"/>
  <c r="H136" i="6" s="1"/>
  <c r="K135" i="6"/>
  <c r="L135" i="5"/>
  <c r="M135" i="5" s="1"/>
  <c r="L134" i="10"/>
  <c r="M134" i="10" s="1"/>
  <c r="J135" i="10"/>
  <c r="K135" i="10"/>
  <c r="I135" i="10"/>
  <c r="H136" i="10" s="1"/>
  <c r="J136" i="12"/>
  <c r="K136" i="12"/>
  <c r="I136" i="12"/>
  <c r="H137" i="12" s="1"/>
  <c r="L135" i="11"/>
  <c r="M135" i="11" s="1"/>
  <c r="J136" i="11"/>
  <c r="K136" i="11"/>
  <c r="I136" i="11"/>
  <c r="H137" i="11" s="1"/>
  <c r="L135" i="7"/>
  <c r="M135" i="7" s="1"/>
  <c r="J136" i="7"/>
  <c r="K136" i="7"/>
  <c r="I136" i="7"/>
  <c r="H137" i="7" s="1"/>
  <c r="J136" i="5"/>
  <c r="I136" i="5"/>
  <c r="H137" i="5" s="1"/>
  <c r="K136" i="5"/>
  <c r="L136" i="5" l="1"/>
  <c r="M136" i="5" s="1"/>
  <c r="L136" i="8"/>
  <c r="M136" i="8" s="1"/>
  <c r="L135" i="6"/>
  <c r="M135" i="6" s="1"/>
  <c r="L135" i="9"/>
  <c r="M135" i="9" s="1"/>
  <c r="J137" i="8"/>
  <c r="K137" i="8"/>
  <c r="I137" i="8"/>
  <c r="H138" i="8" s="1"/>
  <c r="K136" i="9"/>
  <c r="J136" i="9"/>
  <c r="I136" i="9"/>
  <c r="H137" i="9" s="1"/>
  <c r="L136" i="12"/>
  <c r="M136" i="12" s="1"/>
  <c r="K136" i="6"/>
  <c r="I136" i="6"/>
  <c r="H137" i="6" s="1"/>
  <c r="J136" i="6"/>
  <c r="L135" i="10"/>
  <c r="M135" i="10" s="1"/>
  <c r="K136" i="10"/>
  <c r="J136" i="10"/>
  <c r="I136" i="10"/>
  <c r="H137" i="10" s="1"/>
  <c r="L136" i="11"/>
  <c r="M136" i="11" s="1"/>
  <c r="K137" i="12"/>
  <c r="J137" i="12"/>
  <c r="I137" i="12"/>
  <c r="H138" i="12" s="1"/>
  <c r="K137" i="11"/>
  <c r="J137" i="11"/>
  <c r="I137" i="11"/>
  <c r="H138" i="11" s="1"/>
  <c r="L136" i="7"/>
  <c r="M136" i="7" s="1"/>
  <c r="K137" i="7"/>
  <c r="J137" i="7"/>
  <c r="I137" i="7"/>
  <c r="H138" i="7" s="1"/>
  <c r="J137" i="5"/>
  <c r="K137" i="5"/>
  <c r="I137" i="5"/>
  <c r="H138" i="5" s="1"/>
  <c r="L137" i="8" l="1"/>
  <c r="M137" i="8" s="1"/>
  <c r="J138" i="8"/>
  <c r="I138" i="8"/>
  <c r="H139" i="8" s="1"/>
  <c r="K138" i="8"/>
  <c r="J137" i="9"/>
  <c r="K137" i="9"/>
  <c r="I137" i="9"/>
  <c r="H138" i="9" s="1"/>
  <c r="L136" i="9"/>
  <c r="M136" i="9" s="1"/>
  <c r="K137" i="6"/>
  <c r="J137" i="6"/>
  <c r="I137" i="6"/>
  <c r="H138" i="6" s="1"/>
  <c r="L136" i="10"/>
  <c r="M136" i="10" s="1"/>
  <c r="L136" i="6"/>
  <c r="M136" i="6" s="1"/>
  <c r="L137" i="7"/>
  <c r="M137" i="7" s="1"/>
  <c r="J137" i="10"/>
  <c r="K137" i="10"/>
  <c r="I137" i="10"/>
  <c r="H138" i="10" s="1"/>
  <c r="J138" i="12"/>
  <c r="K138" i="12"/>
  <c r="I138" i="12"/>
  <c r="H139" i="12" s="1"/>
  <c r="L137" i="12"/>
  <c r="M137" i="12" s="1"/>
  <c r="L137" i="11"/>
  <c r="M137" i="11" s="1"/>
  <c r="J138" i="11"/>
  <c r="K138" i="11"/>
  <c r="I138" i="11"/>
  <c r="H139" i="11" s="1"/>
  <c r="J138" i="7"/>
  <c r="K138" i="7"/>
  <c r="I138" i="7"/>
  <c r="H139" i="7" s="1"/>
  <c r="L137" i="5"/>
  <c r="M137" i="5" s="1"/>
  <c r="J138" i="5"/>
  <c r="I138" i="5"/>
  <c r="H139" i="5" s="1"/>
  <c r="K138" i="5"/>
  <c r="L138" i="5" s="1"/>
  <c r="M138" i="5" s="1"/>
  <c r="L138" i="8" l="1"/>
  <c r="M138" i="8" s="1"/>
  <c r="J139" i="8"/>
  <c r="K139" i="8"/>
  <c r="I139" i="8"/>
  <c r="H140" i="8" s="1"/>
  <c r="L137" i="9"/>
  <c r="M137" i="9" s="1"/>
  <c r="J138" i="9"/>
  <c r="I138" i="9"/>
  <c r="H139" i="9" s="1"/>
  <c r="K138" i="9"/>
  <c r="L138" i="9" s="1"/>
  <c r="M138" i="9" s="1"/>
  <c r="L137" i="6"/>
  <c r="M137" i="6" s="1"/>
  <c r="J138" i="6"/>
  <c r="K138" i="6"/>
  <c r="I138" i="6"/>
  <c r="H139" i="6" s="1"/>
  <c r="L138" i="12"/>
  <c r="M138" i="12" s="1"/>
  <c r="L137" i="10"/>
  <c r="M137" i="10" s="1"/>
  <c r="J138" i="10"/>
  <c r="I138" i="10"/>
  <c r="H139" i="10" s="1"/>
  <c r="K138" i="10"/>
  <c r="L138" i="11"/>
  <c r="M138" i="11" s="1"/>
  <c r="K139" i="12"/>
  <c r="J139" i="12"/>
  <c r="I139" i="12"/>
  <c r="H140" i="12" s="1"/>
  <c r="L138" i="7"/>
  <c r="M138" i="7" s="1"/>
  <c r="K139" i="11"/>
  <c r="J139" i="11"/>
  <c r="I139" i="11"/>
  <c r="H140" i="11" s="1"/>
  <c r="K139" i="7"/>
  <c r="J139" i="7"/>
  <c r="I139" i="7"/>
  <c r="H140" i="7" s="1"/>
  <c r="K139" i="5"/>
  <c r="I139" i="5"/>
  <c r="H140" i="5" s="1"/>
  <c r="J139" i="5"/>
  <c r="L138" i="10" l="1"/>
  <c r="M138" i="10" s="1"/>
  <c r="L138" i="6"/>
  <c r="M138" i="6" s="1"/>
  <c r="L139" i="8"/>
  <c r="M139" i="8" s="1"/>
  <c r="K140" i="8"/>
  <c r="J140" i="8"/>
  <c r="I140" i="8"/>
  <c r="H141" i="8" s="1"/>
  <c r="K139" i="9"/>
  <c r="I139" i="9"/>
  <c r="H140" i="9" s="1"/>
  <c r="J139" i="9"/>
  <c r="I139" i="6"/>
  <c r="H140" i="6" s="1"/>
  <c r="K139" i="6"/>
  <c r="J139" i="6"/>
  <c r="K139" i="10"/>
  <c r="I139" i="10"/>
  <c r="H140" i="10" s="1"/>
  <c r="J139" i="10"/>
  <c r="L139" i="12"/>
  <c r="M139" i="12" s="1"/>
  <c r="J140" i="12"/>
  <c r="K140" i="12"/>
  <c r="I140" i="12"/>
  <c r="H141" i="12" s="1"/>
  <c r="J140" i="11"/>
  <c r="K140" i="11"/>
  <c r="I140" i="11"/>
  <c r="H141" i="11" s="1"/>
  <c r="L139" i="11"/>
  <c r="M139" i="11" s="1"/>
  <c r="L139" i="7"/>
  <c r="M139" i="7" s="1"/>
  <c r="J140" i="7"/>
  <c r="K140" i="7"/>
  <c r="I140" i="7"/>
  <c r="H141" i="7" s="1"/>
  <c r="K140" i="5"/>
  <c r="J140" i="5"/>
  <c r="I140" i="5"/>
  <c r="H141" i="5" s="1"/>
  <c r="L139" i="5"/>
  <c r="M139" i="5" s="1"/>
  <c r="L140" i="8" l="1"/>
  <c r="M140" i="8" s="1"/>
  <c r="K141" i="8"/>
  <c r="I141" i="8"/>
  <c r="H142" i="8" s="1"/>
  <c r="J141" i="8"/>
  <c r="J140" i="9"/>
  <c r="I140" i="9"/>
  <c r="H141" i="9" s="1"/>
  <c r="K140" i="9"/>
  <c r="L140" i="9" s="1"/>
  <c r="M140" i="9" s="1"/>
  <c r="L139" i="9"/>
  <c r="M139" i="9" s="1"/>
  <c r="L139" i="6"/>
  <c r="M139" i="6" s="1"/>
  <c r="J140" i="6"/>
  <c r="K140" i="6"/>
  <c r="I140" i="6"/>
  <c r="H141" i="6" s="1"/>
  <c r="L140" i="12"/>
  <c r="M140" i="12" s="1"/>
  <c r="K140" i="10"/>
  <c r="J140" i="10"/>
  <c r="I140" i="10"/>
  <c r="H141" i="10" s="1"/>
  <c r="L139" i="10"/>
  <c r="M139" i="10" s="1"/>
  <c r="L140" i="11"/>
  <c r="M140" i="11" s="1"/>
  <c r="K141" i="12"/>
  <c r="J141" i="12"/>
  <c r="I141" i="12"/>
  <c r="H142" i="12" s="1"/>
  <c r="K141" i="11"/>
  <c r="J141" i="11"/>
  <c r="I141" i="11"/>
  <c r="H142" i="11" s="1"/>
  <c r="L140" i="7"/>
  <c r="M140" i="7" s="1"/>
  <c r="K141" i="7"/>
  <c r="J141" i="7"/>
  <c r="I141" i="7"/>
  <c r="H142" i="7" s="1"/>
  <c r="L140" i="5"/>
  <c r="M140" i="5" s="1"/>
  <c r="K141" i="5"/>
  <c r="I141" i="5"/>
  <c r="H142" i="5" s="1"/>
  <c r="J141" i="5"/>
  <c r="K142" i="8" l="1"/>
  <c r="J142" i="8"/>
  <c r="I142" i="8"/>
  <c r="H143" i="8" s="1"/>
  <c r="L141" i="8"/>
  <c r="M141" i="8" s="1"/>
  <c r="I141" i="9"/>
  <c r="H142" i="9" s="1"/>
  <c r="J141" i="9"/>
  <c r="K141" i="9"/>
  <c r="L141" i="9" s="1"/>
  <c r="M141" i="9" s="1"/>
  <c r="L140" i="6"/>
  <c r="M140" i="6" s="1"/>
  <c r="I141" i="6"/>
  <c r="H142" i="6" s="1"/>
  <c r="K141" i="6"/>
  <c r="J141" i="6"/>
  <c r="L140" i="10"/>
  <c r="M140" i="10" s="1"/>
  <c r="L141" i="12"/>
  <c r="M141" i="12" s="1"/>
  <c r="K141" i="10"/>
  <c r="I141" i="10"/>
  <c r="H142" i="10" s="1"/>
  <c r="J141" i="10"/>
  <c r="L141" i="11"/>
  <c r="M141" i="11" s="1"/>
  <c r="J142" i="12"/>
  <c r="K142" i="12"/>
  <c r="I142" i="12"/>
  <c r="H143" i="12" s="1"/>
  <c r="J142" i="11"/>
  <c r="K142" i="11"/>
  <c r="I142" i="11"/>
  <c r="H143" i="11" s="1"/>
  <c r="L141" i="7"/>
  <c r="M141" i="7" s="1"/>
  <c r="J142" i="7"/>
  <c r="K142" i="7"/>
  <c r="I142" i="7"/>
  <c r="H143" i="7" s="1"/>
  <c r="J142" i="5"/>
  <c r="I142" i="5"/>
  <c r="H143" i="5" s="1"/>
  <c r="K142" i="5"/>
  <c r="L141" i="5"/>
  <c r="M141" i="5" s="1"/>
  <c r="L142" i="8" l="1"/>
  <c r="M142" i="8" s="1"/>
  <c r="L142" i="5"/>
  <c r="M142" i="5" s="1"/>
  <c r="J143" i="8"/>
  <c r="K143" i="8"/>
  <c r="I143" i="8"/>
  <c r="H144" i="8" s="1"/>
  <c r="K142" i="9"/>
  <c r="J142" i="9"/>
  <c r="I142" i="9"/>
  <c r="H143" i="9" s="1"/>
  <c r="L141" i="6"/>
  <c r="M141" i="6" s="1"/>
  <c r="K142" i="6"/>
  <c r="I142" i="6"/>
  <c r="H143" i="6" s="1"/>
  <c r="J142" i="6"/>
  <c r="L142" i="12"/>
  <c r="M142" i="12" s="1"/>
  <c r="L141" i="10"/>
  <c r="M141" i="10" s="1"/>
  <c r="K142" i="10"/>
  <c r="J142" i="10"/>
  <c r="I142" i="10"/>
  <c r="H143" i="10" s="1"/>
  <c r="K143" i="12"/>
  <c r="J143" i="12"/>
  <c r="I143" i="12"/>
  <c r="H144" i="12" s="1"/>
  <c r="L142" i="11"/>
  <c r="M142" i="11" s="1"/>
  <c r="K143" i="11"/>
  <c r="J143" i="11"/>
  <c r="I143" i="11"/>
  <c r="H144" i="11" s="1"/>
  <c r="L142" i="7"/>
  <c r="M142" i="7" s="1"/>
  <c r="K143" i="7"/>
  <c r="J143" i="7"/>
  <c r="I143" i="7"/>
  <c r="H144" i="7" s="1"/>
  <c r="K143" i="5"/>
  <c r="I143" i="5"/>
  <c r="H144" i="5" s="1"/>
  <c r="J143" i="5"/>
  <c r="L143" i="8" l="1"/>
  <c r="M143" i="8" s="1"/>
  <c r="L142" i="9"/>
  <c r="M142" i="9" s="1"/>
  <c r="J144" i="8"/>
  <c r="I144" i="8"/>
  <c r="H145" i="8" s="1"/>
  <c r="K144" i="8"/>
  <c r="L144" i="8" s="1"/>
  <c r="M144" i="8" s="1"/>
  <c r="L142" i="10"/>
  <c r="M142" i="10" s="1"/>
  <c r="I143" i="9"/>
  <c r="H144" i="9" s="1"/>
  <c r="J143" i="9"/>
  <c r="K143" i="9"/>
  <c r="L142" i="6"/>
  <c r="M142" i="6" s="1"/>
  <c r="K143" i="6"/>
  <c r="J143" i="6"/>
  <c r="I143" i="6"/>
  <c r="H144" i="6" s="1"/>
  <c r="J143" i="10"/>
  <c r="K143" i="10"/>
  <c r="I143" i="10"/>
  <c r="H144" i="10" s="1"/>
  <c r="L143" i="12"/>
  <c r="M143" i="12" s="1"/>
  <c r="L143" i="11"/>
  <c r="M143" i="11" s="1"/>
  <c r="J144" i="12"/>
  <c r="K144" i="12"/>
  <c r="I144" i="12"/>
  <c r="H145" i="12" s="1"/>
  <c r="J144" i="11"/>
  <c r="K144" i="11"/>
  <c r="I144" i="11"/>
  <c r="H145" i="11" s="1"/>
  <c r="L143" i="7"/>
  <c r="M143" i="7" s="1"/>
  <c r="J144" i="7"/>
  <c r="K144" i="7"/>
  <c r="I144" i="7"/>
  <c r="H145" i="7" s="1"/>
  <c r="J144" i="5"/>
  <c r="I144" i="5"/>
  <c r="H145" i="5" s="1"/>
  <c r="K144" i="5"/>
  <c r="L143" i="5"/>
  <c r="M143" i="5" s="1"/>
  <c r="L144" i="5" l="1"/>
  <c r="M144" i="5" s="1"/>
  <c r="L143" i="9"/>
  <c r="M143" i="9" s="1"/>
  <c r="K145" i="8"/>
  <c r="I145" i="8"/>
  <c r="H146" i="8" s="1"/>
  <c r="J145" i="8"/>
  <c r="K144" i="9"/>
  <c r="J144" i="9"/>
  <c r="I144" i="9"/>
  <c r="H145" i="9" s="1"/>
  <c r="L143" i="6"/>
  <c r="M143" i="6" s="1"/>
  <c r="J144" i="6"/>
  <c r="K144" i="6"/>
  <c r="I144" i="6"/>
  <c r="H145" i="6" s="1"/>
  <c r="L143" i="10"/>
  <c r="M143" i="10" s="1"/>
  <c r="J144" i="10"/>
  <c r="I144" i="10"/>
  <c r="H145" i="10" s="1"/>
  <c r="K144" i="10"/>
  <c r="L144" i="10" s="1"/>
  <c r="M144" i="10" s="1"/>
  <c r="L144" i="12"/>
  <c r="M144" i="12" s="1"/>
  <c r="K145" i="12"/>
  <c r="J145" i="12"/>
  <c r="I145" i="12"/>
  <c r="H146" i="12" s="1"/>
  <c r="L144" i="11"/>
  <c r="M144" i="11" s="1"/>
  <c r="L144" i="7"/>
  <c r="M144" i="7" s="1"/>
  <c r="K145" i="11"/>
  <c r="J145" i="11"/>
  <c r="I145" i="11"/>
  <c r="H146" i="11" s="1"/>
  <c r="K145" i="7"/>
  <c r="J145" i="7"/>
  <c r="I145" i="7"/>
  <c r="H146" i="7" s="1"/>
  <c r="J145" i="5"/>
  <c r="K145" i="5"/>
  <c r="I145" i="5"/>
  <c r="H146" i="5" s="1"/>
  <c r="L144" i="9" l="1"/>
  <c r="M144" i="9" s="1"/>
  <c r="J146" i="8"/>
  <c r="I146" i="8"/>
  <c r="K146" i="8"/>
  <c r="L145" i="8"/>
  <c r="M145" i="8" s="1"/>
  <c r="J145" i="9"/>
  <c r="K145" i="9"/>
  <c r="I145" i="9"/>
  <c r="H146" i="9" s="1"/>
  <c r="L144" i="6"/>
  <c r="M144" i="6" s="1"/>
  <c r="J145" i="6"/>
  <c r="I145" i="6"/>
  <c r="H146" i="6" s="1"/>
  <c r="K145" i="6"/>
  <c r="L145" i="6" s="1"/>
  <c r="M145" i="6" s="1"/>
  <c r="J145" i="10"/>
  <c r="K145" i="10"/>
  <c r="I145" i="10"/>
  <c r="H146" i="10" s="1"/>
  <c r="L145" i="12"/>
  <c r="M145" i="12" s="1"/>
  <c r="L145" i="11"/>
  <c r="M145" i="11" s="1"/>
  <c r="J146" i="12"/>
  <c r="K146" i="12"/>
  <c r="I146" i="12"/>
  <c r="J146" i="11"/>
  <c r="K146" i="11"/>
  <c r="I146" i="11"/>
  <c r="L145" i="7"/>
  <c r="M145" i="7" s="1"/>
  <c r="J146" i="7"/>
  <c r="K146" i="7"/>
  <c r="I146" i="7"/>
  <c r="L145" i="5"/>
  <c r="M145" i="5" s="1"/>
  <c r="J146" i="5"/>
  <c r="I146" i="5"/>
  <c r="K146" i="5"/>
  <c r="L146" i="5" s="1"/>
  <c r="L146" i="8" l="1"/>
  <c r="M146" i="8" s="1"/>
  <c r="M41" i="5"/>
  <c r="M31" i="5"/>
  <c r="M81" i="5"/>
  <c r="M93" i="5"/>
  <c r="M32" i="5"/>
  <c r="M40" i="5"/>
  <c r="M51" i="5"/>
  <c r="M64" i="5"/>
  <c r="M76" i="5"/>
  <c r="M86" i="5"/>
  <c r="M98" i="5"/>
  <c r="M74" i="5"/>
  <c r="M85" i="5"/>
  <c r="M95" i="5"/>
  <c r="M35" i="5"/>
  <c r="M46" i="5"/>
  <c r="M53" i="5"/>
  <c r="M65" i="5"/>
  <c r="M77" i="5"/>
  <c r="M90" i="5"/>
  <c r="M100" i="5"/>
  <c r="M33" i="5"/>
  <c r="M47" i="5"/>
  <c r="M58" i="5"/>
  <c r="M68" i="5"/>
  <c r="M80" i="5"/>
  <c r="M89" i="5"/>
  <c r="M102" i="5"/>
  <c r="M39" i="5"/>
  <c r="M49" i="5"/>
  <c r="M57" i="5"/>
  <c r="M70" i="5"/>
  <c r="M79" i="5"/>
  <c r="M91" i="5"/>
  <c r="M104" i="5"/>
  <c r="M38" i="5"/>
  <c r="M52" i="5"/>
  <c r="M62" i="5"/>
  <c r="M71" i="5"/>
  <c r="M48" i="5"/>
  <c r="M61" i="5"/>
  <c r="M73" i="5"/>
  <c r="M83" i="5"/>
  <c r="M96" i="5"/>
  <c r="M30" i="5"/>
  <c r="M42" i="5"/>
  <c r="M54" i="5"/>
  <c r="M66" i="5"/>
  <c r="M44" i="5"/>
  <c r="M56" i="5"/>
  <c r="M63" i="5"/>
  <c r="M75" i="5"/>
  <c r="M88" i="5"/>
  <c r="M97" i="5"/>
  <c r="M34" i="5"/>
  <c r="M43" i="5"/>
  <c r="M55" i="5"/>
  <c r="M69" i="5"/>
  <c r="M78" i="5"/>
  <c r="M87" i="5"/>
  <c r="M99" i="5"/>
  <c r="M36" i="5"/>
  <c r="M45" i="5"/>
  <c r="M60" i="5"/>
  <c r="M67" i="5"/>
  <c r="M82" i="5"/>
  <c r="M92" i="5"/>
  <c r="M101" i="5"/>
  <c r="M37" i="5"/>
  <c r="M50" i="5"/>
  <c r="M59" i="5"/>
  <c r="M72" i="5"/>
  <c r="M84" i="5"/>
  <c r="M94" i="5"/>
  <c r="M103" i="5"/>
  <c r="M16" i="8"/>
  <c r="M17" i="8"/>
  <c r="M19" i="8"/>
  <c r="M18" i="8"/>
  <c r="M20" i="8"/>
  <c r="M21" i="8"/>
  <c r="M22" i="8"/>
  <c r="M23" i="8"/>
  <c r="M24" i="8"/>
  <c r="M10" i="8"/>
  <c r="M4" i="8"/>
  <c r="M11" i="8"/>
  <c r="M15" i="8"/>
  <c r="M8" i="8"/>
  <c r="M9" i="8"/>
  <c r="M7" i="8"/>
  <c r="M12" i="8"/>
  <c r="M6" i="8"/>
  <c r="M13" i="8"/>
  <c r="M3" i="8"/>
  <c r="M14" i="8"/>
  <c r="M5" i="8"/>
  <c r="L145" i="9"/>
  <c r="M145" i="9" s="1"/>
  <c r="K146" i="9"/>
  <c r="J146" i="9"/>
  <c r="I146" i="9"/>
  <c r="L146" i="12"/>
  <c r="K146" i="6"/>
  <c r="I146" i="6"/>
  <c r="J146" i="6"/>
  <c r="L145" i="10"/>
  <c r="M145" i="10" s="1"/>
  <c r="J146" i="10"/>
  <c r="I146" i="10"/>
  <c r="K146" i="10"/>
  <c r="L146" i="10" s="1"/>
  <c r="M5" i="12"/>
  <c r="M7" i="12"/>
  <c r="M6" i="12"/>
  <c r="M8" i="12"/>
  <c r="M10" i="12"/>
  <c r="M9" i="12"/>
  <c r="M11" i="12"/>
  <c r="M13" i="12"/>
  <c r="M12" i="12"/>
  <c r="M14" i="12"/>
  <c r="M15" i="12"/>
  <c r="L146" i="11"/>
  <c r="M4" i="11" s="1"/>
  <c r="M146" i="12"/>
  <c r="M3" i="12"/>
  <c r="M4" i="12"/>
  <c r="M146" i="11"/>
  <c r="M3" i="11"/>
  <c r="M5" i="11"/>
  <c r="L146" i="7"/>
  <c r="M146" i="5"/>
  <c r="M9" i="5"/>
  <c r="M19" i="5"/>
  <c r="M27" i="5"/>
  <c r="M10" i="5"/>
  <c r="M17" i="5"/>
  <c r="M5" i="5"/>
  <c r="M18" i="5"/>
  <c r="M23" i="5"/>
  <c r="M3" i="5"/>
  <c r="M20" i="5"/>
  <c r="M25" i="5"/>
  <c r="M11" i="5"/>
  <c r="M24" i="5"/>
  <c r="M29" i="5"/>
  <c r="M12" i="5"/>
  <c r="M21" i="5"/>
  <c r="M8" i="5"/>
  <c r="M15" i="5"/>
  <c r="M26" i="5"/>
  <c r="M7" i="5"/>
  <c r="M16" i="5"/>
  <c r="M4" i="5"/>
  <c r="M14" i="5"/>
  <c r="M22" i="5"/>
  <c r="M6" i="5"/>
  <c r="M13" i="5"/>
  <c r="M28" i="5"/>
  <c r="N66" i="8" l="1"/>
  <c r="N18" i="8"/>
  <c r="N34" i="8"/>
  <c r="N114" i="8"/>
  <c r="N50" i="8"/>
  <c r="N138" i="8"/>
  <c r="N106" i="8"/>
  <c r="N74" i="8"/>
  <c r="N42" i="8"/>
  <c r="N9" i="8"/>
  <c r="N134" i="8"/>
  <c r="N118" i="8"/>
  <c r="N102" i="8"/>
  <c r="N86" i="8"/>
  <c r="N70" i="8"/>
  <c r="N54" i="8"/>
  <c r="N38" i="8"/>
  <c r="N22" i="8"/>
  <c r="N3" i="8"/>
  <c r="N140" i="8"/>
  <c r="N132" i="8"/>
  <c r="N124" i="8"/>
  <c r="N116" i="8"/>
  <c r="N108" i="8"/>
  <c r="N100" i="8"/>
  <c r="N92" i="8"/>
  <c r="N84" i="8"/>
  <c r="N76" i="8"/>
  <c r="N68" i="8"/>
  <c r="N60" i="8"/>
  <c r="N52" i="8"/>
  <c r="N44" i="8"/>
  <c r="N36" i="8"/>
  <c r="N28" i="8"/>
  <c r="N19" i="8"/>
  <c r="N12" i="8"/>
  <c r="N5" i="8"/>
  <c r="N145" i="8"/>
  <c r="N141" i="8"/>
  <c r="N137" i="8"/>
  <c r="N133" i="8"/>
  <c r="N129" i="8"/>
  <c r="N125" i="8"/>
  <c r="N121" i="8"/>
  <c r="N117" i="8"/>
  <c r="N113" i="8"/>
  <c r="N109" i="8"/>
  <c r="N105" i="8"/>
  <c r="N101" i="8"/>
  <c r="N97" i="8"/>
  <c r="N93" i="8"/>
  <c r="N89" i="8"/>
  <c r="N85" i="8"/>
  <c r="N81" i="8"/>
  <c r="N77" i="8"/>
  <c r="N73" i="8"/>
  <c r="N69" i="8"/>
  <c r="N65" i="8"/>
  <c r="N61" i="8"/>
  <c r="N57" i="8"/>
  <c r="N53" i="8"/>
  <c r="N49" i="8"/>
  <c r="N45" i="8"/>
  <c r="N41" i="8"/>
  <c r="N37" i="8"/>
  <c r="N33" i="8"/>
  <c r="N29" i="8"/>
  <c r="N25" i="8"/>
  <c r="N21" i="8"/>
  <c r="N17" i="8"/>
  <c r="N13" i="8"/>
  <c r="N10" i="8"/>
  <c r="N4" i="8"/>
  <c r="N130" i="8"/>
  <c r="N98" i="8"/>
  <c r="N146" i="8"/>
  <c r="N82" i="8"/>
  <c r="N6" i="8"/>
  <c r="N122" i="8"/>
  <c r="N90" i="8"/>
  <c r="N58" i="8"/>
  <c r="N26" i="8"/>
  <c r="N142" i="8"/>
  <c r="N126" i="8"/>
  <c r="N110" i="8"/>
  <c r="N94" i="8"/>
  <c r="N78" i="8"/>
  <c r="N62" i="8"/>
  <c r="N46" i="8"/>
  <c r="N30" i="8"/>
  <c r="N14" i="8"/>
  <c r="N144" i="8"/>
  <c r="N136" i="8"/>
  <c r="N128" i="8"/>
  <c r="N120" i="8"/>
  <c r="N112" i="8"/>
  <c r="N104" i="8"/>
  <c r="N96" i="8"/>
  <c r="N88" i="8"/>
  <c r="N80" i="8"/>
  <c r="N72" i="8"/>
  <c r="N64" i="8"/>
  <c r="N56" i="8"/>
  <c r="N48" i="8"/>
  <c r="N40" i="8"/>
  <c r="N32" i="8"/>
  <c r="N24" i="8"/>
  <c r="N16" i="8"/>
  <c r="N8" i="8"/>
  <c r="N143" i="8"/>
  <c r="N139" i="8"/>
  <c r="N135" i="8"/>
  <c r="N131" i="8"/>
  <c r="N127" i="8"/>
  <c r="N123" i="8"/>
  <c r="N119" i="8"/>
  <c r="N115" i="8"/>
  <c r="N111" i="8"/>
  <c r="N107" i="8"/>
  <c r="N103" i="8"/>
  <c r="N99" i="8"/>
  <c r="N95" i="8"/>
  <c r="N91" i="8"/>
  <c r="N87" i="8"/>
  <c r="N83" i="8"/>
  <c r="N79" i="8"/>
  <c r="N75" i="8"/>
  <c r="N71" i="8"/>
  <c r="N67" i="8"/>
  <c r="N63" i="8"/>
  <c r="N59" i="8"/>
  <c r="N55" i="8"/>
  <c r="N51" i="8"/>
  <c r="N47" i="8"/>
  <c r="N43" i="8"/>
  <c r="N39" i="8"/>
  <c r="N35" i="8"/>
  <c r="N31" i="8"/>
  <c r="N27" i="8"/>
  <c r="N23" i="8"/>
  <c r="N20" i="8"/>
  <c r="N15" i="8"/>
  <c r="N11" i="8"/>
  <c r="N7" i="8"/>
  <c r="L146" i="9"/>
  <c r="M7" i="10"/>
  <c r="M6" i="10"/>
  <c r="M10" i="10"/>
  <c r="M8" i="10"/>
  <c r="M9" i="10"/>
  <c r="M11" i="10"/>
  <c r="M13" i="10"/>
  <c r="M12" i="10"/>
  <c r="M15" i="10"/>
  <c r="M14" i="10"/>
  <c r="M16" i="10"/>
  <c r="M17" i="10"/>
  <c r="M18" i="10"/>
  <c r="M20" i="10"/>
  <c r="M19" i="10"/>
  <c r="M22" i="10"/>
  <c r="M21" i="10"/>
  <c r="M24" i="10"/>
  <c r="M23" i="10"/>
  <c r="M25" i="10"/>
  <c r="M26" i="10"/>
  <c r="M27" i="10"/>
  <c r="M28" i="10"/>
  <c r="M29" i="10"/>
  <c r="M30" i="10"/>
  <c r="M32" i="10"/>
  <c r="M31" i="10"/>
  <c r="M33" i="10"/>
  <c r="M34" i="10"/>
  <c r="M35" i="10"/>
  <c r="M36" i="10"/>
  <c r="M37" i="10"/>
  <c r="M39" i="10"/>
  <c r="M41" i="10"/>
  <c r="M40" i="10"/>
  <c r="M38" i="10"/>
  <c r="M42" i="10"/>
  <c r="M45" i="10"/>
  <c r="M44" i="10"/>
  <c r="M43" i="10"/>
  <c r="M46" i="10"/>
  <c r="M47" i="10"/>
  <c r="M48" i="10"/>
  <c r="M50" i="10"/>
  <c r="M52" i="10"/>
  <c r="M49" i="10"/>
  <c r="M51" i="10"/>
  <c r="M55" i="10"/>
  <c r="M54" i="10"/>
  <c r="M53" i="10"/>
  <c r="M56" i="10"/>
  <c r="M57" i="10"/>
  <c r="M58" i="10"/>
  <c r="M59" i="10"/>
  <c r="M60" i="10"/>
  <c r="M62" i="10"/>
  <c r="M61" i="10"/>
  <c r="M64" i="10"/>
  <c r="M63" i="10"/>
  <c r="M65" i="10"/>
  <c r="M68" i="10"/>
  <c r="M66" i="10"/>
  <c r="M67" i="10"/>
  <c r="M70" i="10"/>
  <c r="M69" i="10"/>
  <c r="M71" i="10"/>
  <c r="M72" i="10"/>
  <c r="M74" i="10"/>
  <c r="M73" i="10"/>
  <c r="M75" i="10"/>
  <c r="M76" i="10"/>
  <c r="M78" i="10"/>
  <c r="M77" i="10"/>
  <c r="M80" i="10"/>
  <c r="M79" i="10"/>
  <c r="M81" i="10"/>
  <c r="M82" i="10"/>
  <c r="M83" i="10"/>
  <c r="M84" i="10"/>
  <c r="M86" i="10"/>
  <c r="M87" i="10"/>
  <c r="M85" i="10"/>
  <c r="M88" i="10"/>
  <c r="M90" i="10"/>
  <c r="M89" i="10"/>
  <c r="M91" i="10"/>
  <c r="M92" i="10"/>
  <c r="M93" i="10"/>
  <c r="M94" i="10"/>
  <c r="M96" i="10"/>
  <c r="M95" i="10"/>
  <c r="M98" i="10"/>
  <c r="M100" i="10"/>
  <c r="M97" i="10"/>
  <c r="M99" i="10"/>
  <c r="M102" i="10"/>
  <c r="M101" i="10"/>
  <c r="M103" i="10"/>
  <c r="M104" i="10"/>
  <c r="M146" i="7"/>
  <c r="M5" i="7"/>
  <c r="M4" i="7"/>
  <c r="M7" i="7"/>
  <c r="M6" i="7"/>
  <c r="M9" i="7"/>
  <c r="M8" i="7"/>
  <c r="M10" i="7"/>
  <c r="M12" i="7"/>
  <c r="M11" i="7"/>
  <c r="M13" i="7"/>
  <c r="M14" i="7"/>
  <c r="M15" i="7"/>
  <c r="M16" i="7"/>
  <c r="M17" i="7"/>
  <c r="M18" i="7"/>
  <c r="M19" i="7"/>
  <c r="M20" i="7"/>
  <c r="M22" i="7"/>
  <c r="M21" i="7"/>
  <c r="M23" i="7"/>
  <c r="M24" i="7"/>
  <c r="M25" i="7"/>
  <c r="M26" i="7"/>
  <c r="M27" i="7"/>
  <c r="M28" i="7"/>
  <c r="M29" i="7"/>
  <c r="L146" i="6"/>
  <c r="M5" i="10"/>
  <c r="M146" i="10"/>
  <c r="M3" i="10"/>
  <c r="M4" i="10"/>
  <c r="M3" i="7"/>
  <c r="N4" i="12"/>
  <c r="N146" i="12"/>
  <c r="N3" i="12"/>
  <c r="N5" i="12"/>
  <c r="N8" i="12"/>
  <c r="N6" i="12"/>
  <c r="N7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8" i="12"/>
  <c r="N47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4" i="12"/>
  <c r="N103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5" i="11"/>
  <c r="N4" i="11"/>
  <c r="N3" i="11"/>
  <c r="N6" i="11"/>
  <c r="N7" i="11"/>
  <c r="N8" i="11"/>
  <c r="N10" i="11"/>
  <c r="N9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04" i="5"/>
  <c r="N121" i="5"/>
  <c r="N3" i="5"/>
  <c r="N94" i="5"/>
  <c r="N31" i="5"/>
  <c r="N32" i="5"/>
  <c r="N18" i="5"/>
  <c r="N130" i="5"/>
  <c r="N91" i="5"/>
  <c r="N27" i="5"/>
  <c r="N100" i="5"/>
  <c r="N10" i="5"/>
  <c r="N116" i="5"/>
  <c r="N72" i="5"/>
  <c r="N89" i="5"/>
  <c r="N87" i="5"/>
  <c r="N66" i="5"/>
  <c r="N123" i="5"/>
  <c r="N135" i="5"/>
  <c r="N144" i="5"/>
  <c r="N131" i="5"/>
  <c r="N61" i="5"/>
  <c r="N15" i="5"/>
  <c r="N62" i="5"/>
  <c r="N137" i="5"/>
  <c r="N107" i="5"/>
  <c r="N59" i="5"/>
  <c r="N33" i="5"/>
  <c r="N136" i="5"/>
  <c r="N8" i="5"/>
  <c r="N134" i="5"/>
  <c r="N60" i="5"/>
  <c r="N105" i="5"/>
  <c r="N44" i="5"/>
  <c r="N12" i="5"/>
  <c r="N41" i="5"/>
  <c r="N70" i="5"/>
  <c r="N99" i="5"/>
  <c r="N23" i="5"/>
  <c r="N140" i="5"/>
  <c r="N86" i="5"/>
  <c r="N56" i="5"/>
  <c r="N125" i="5"/>
  <c r="N138" i="5"/>
  <c r="N7" i="5"/>
  <c r="N25" i="5"/>
  <c r="N68" i="5"/>
  <c r="N97" i="5"/>
  <c r="N48" i="5"/>
  <c r="N54" i="5"/>
  <c r="N112" i="5"/>
  <c r="N141" i="5"/>
  <c r="N53" i="5"/>
  <c r="N119" i="5"/>
  <c r="N126" i="5"/>
  <c r="N36" i="5"/>
  <c r="N65" i="5"/>
  <c r="N98" i="5"/>
  <c r="N24" i="5"/>
  <c r="N79" i="5"/>
  <c r="N47" i="5"/>
  <c r="N80" i="5"/>
  <c r="N16" i="5"/>
  <c r="N93" i="5"/>
  <c r="N50" i="5"/>
  <c r="N34" i="5"/>
  <c r="N92" i="5"/>
  <c r="N71" i="5"/>
  <c r="N101" i="5"/>
  <c r="N57" i="5"/>
  <c r="N58" i="5"/>
  <c r="N108" i="5"/>
  <c r="N139" i="5"/>
  <c r="N64" i="5"/>
  <c r="N109" i="5"/>
  <c r="N106" i="5"/>
  <c r="N13" i="5"/>
  <c r="N63" i="5"/>
  <c r="N96" i="5"/>
  <c r="N73" i="5"/>
  <c r="N74" i="5"/>
  <c r="N5" i="5"/>
  <c r="N30" i="5"/>
  <c r="N122" i="5"/>
  <c r="N82" i="5"/>
  <c r="N52" i="5"/>
  <c r="N17" i="5"/>
  <c r="N77" i="5"/>
  <c r="N142" i="5"/>
  <c r="N29" i="5"/>
  <c r="N28" i="5"/>
  <c r="N117" i="5"/>
  <c r="N102" i="5"/>
  <c r="N132" i="5"/>
  <c r="N35" i="5"/>
  <c r="N11" i="5"/>
  <c r="N78" i="5"/>
  <c r="N49" i="5"/>
  <c r="N114" i="5"/>
  <c r="N113" i="5"/>
  <c r="N45" i="5"/>
  <c r="N143" i="5"/>
  <c r="N88" i="5"/>
  <c r="N133" i="5"/>
  <c r="N21" i="5"/>
  <c r="N67" i="5"/>
  <c r="N81" i="5"/>
  <c r="N9" i="5"/>
  <c r="N83" i="5"/>
  <c r="N90" i="5"/>
  <c r="N95" i="5"/>
  <c r="N39" i="5"/>
  <c r="N38" i="5"/>
  <c r="N14" i="5"/>
  <c r="N22" i="5"/>
  <c r="N128" i="5"/>
  <c r="N19" i="5"/>
  <c r="N124" i="5"/>
  <c r="N40" i="5"/>
  <c r="N26" i="5"/>
  <c r="N85" i="5"/>
  <c r="N55" i="5"/>
  <c r="N146" i="5"/>
  <c r="N75" i="5"/>
  <c r="N42" i="5"/>
  <c r="N20" i="5"/>
  <c r="N6" i="5"/>
  <c r="N129" i="5"/>
  <c r="N37" i="5"/>
  <c r="N127" i="5"/>
  <c r="N4" i="5"/>
  <c r="N76" i="5"/>
  <c r="N46" i="5"/>
  <c r="N118" i="5"/>
  <c r="N115" i="5"/>
  <c r="N84" i="5"/>
  <c r="N145" i="5"/>
  <c r="N51" i="5"/>
  <c r="N120" i="5"/>
  <c r="N110" i="5"/>
  <c r="N43" i="5"/>
  <c r="N111" i="5"/>
  <c r="N103" i="5"/>
  <c r="N69" i="5"/>
  <c r="N66" i="7" l="1"/>
  <c r="N130" i="7"/>
  <c r="N18" i="7"/>
  <c r="N82" i="7"/>
  <c r="N114" i="7"/>
  <c r="N50" i="7"/>
  <c r="N98" i="7"/>
  <c r="N34" i="7"/>
  <c r="N21" i="7"/>
  <c r="N3" i="7"/>
  <c r="N142" i="7"/>
  <c r="N126" i="7"/>
  <c r="N110" i="7"/>
  <c r="N94" i="7"/>
  <c r="N78" i="7"/>
  <c r="N62" i="7"/>
  <c r="N45" i="7"/>
  <c r="N30" i="7"/>
  <c r="N14" i="7"/>
  <c r="N138" i="7"/>
  <c r="N122" i="7"/>
  <c r="N106" i="7"/>
  <c r="N90" i="7"/>
  <c r="N74" i="7"/>
  <c r="N58" i="7"/>
  <c r="N42" i="7"/>
  <c r="N26" i="7"/>
  <c r="N10" i="7"/>
  <c r="N134" i="7"/>
  <c r="N118" i="7"/>
  <c r="N102" i="7"/>
  <c r="N86" i="7"/>
  <c r="N70" i="7"/>
  <c r="N54" i="7"/>
  <c r="N38" i="7"/>
  <c r="N22" i="7"/>
  <c r="N8" i="7"/>
  <c r="N145" i="7"/>
  <c r="N141" i="7"/>
  <c r="N137" i="7"/>
  <c r="N133" i="7"/>
  <c r="N129" i="7"/>
  <c r="N125" i="7"/>
  <c r="N121" i="7"/>
  <c r="N117" i="7"/>
  <c r="N113" i="7"/>
  <c r="N109" i="7"/>
  <c r="N105" i="7"/>
  <c r="N101" i="7"/>
  <c r="N97" i="7"/>
  <c r="N93" i="7"/>
  <c r="N89" i="7"/>
  <c r="N85" i="7"/>
  <c r="N81" i="7"/>
  <c r="N77" i="7"/>
  <c r="N73" i="7"/>
  <c r="N69" i="7"/>
  <c r="N65" i="7"/>
  <c r="N60" i="7"/>
  <c r="N57" i="7"/>
  <c r="N53" i="7"/>
  <c r="N49" i="7"/>
  <c r="N46" i="7"/>
  <c r="N41" i="7"/>
  <c r="N37" i="7"/>
  <c r="N33" i="7"/>
  <c r="N29" i="7"/>
  <c r="N25" i="7"/>
  <c r="N17" i="7"/>
  <c r="N13" i="7"/>
  <c r="N9" i="7"/>
  <c r="N4" i="7"/>
  <c r="N140" i="7"/>
  <c r="N132" i="7"/>
  <c r="N124" i="7"/>
  <c r="N112" i="7"/>
  <c r="N104" i="7"/>
  <c r="N96" i="7"/>
  <c r="N88" i="7"/>
  <c r="N80" i="7"/>
  <c r="N72" i="7"/>
  <c r="N61" i="7"/>
  <c r="N52" i="7"/>
  <c r="N44" i="7"/>
  <c r="N36" i="7"/>
  <c r="N32" i="7"/>
  <c r="N28" i="7"/>
  <c r="N20" i="7"/>
  <c r="N16" i="7"/>
  <c r="N12" i="7"/>
  <c r="N7" i="7"/>
  <c r="N5" i="7"/>
  <c r="N144" i="7"/>
  <c r="N136" i="7"/>
  <c r="N128" i="7"/>
  <c r="N120" i="7"/>
  <c r="N116" i="7"/>
  <c r="N108" i="7"/>
  <c r="N100" i="7"/>
  <c r="N92" i="7"/>
  <c r="N84" i="7"/>
  <c r="N76" i="7"/>
  <c r="N68" i="7"/>
  <c r="N64" i="7"/>
  <c r="N56" i="7"/>
  <c r="N48" i="7"/>
  <c r="N40" i="7"/>
  <c r="N24" i="7"/>
  <c r="N146" i="7"/>
  <c r="N143" i="7"/>
  <c r="N139" i="7"/>
  <c r="N135" i="7"/>
  <c r="N131" i="7"/>
  <c r="N127" i="7"/>
  <c r="N123" i="7"/>
  <c r="N119" i="7"/>
  <c r="N115" i="7"/>
  <c r="N111" i="7"/>
  <c r="N107" i="7"/>
  <c r="N103" i="7"/>
  <c r="N99" i="7"/>
  <c r="N95" i="7"/>
  <c r="N91" i="7"/>
  <c r="N87" i="7"/>
  <c r="N83" i="7"/>
  <c r="N79" i="7"/>
  <c r="N75" i="7"/>
  <c r="N71" i="7"/>
  <c r="N67" i="7"/>
  <c r="N63" i="7"/>
  <c r="N59" i="7"/>
  <c r="N55" i="7"/>
  <c r="N51" i="7"/>
  <c r="N47" i="7"/>
  <c r="N43" i="7"/>
  <c r="N39" i="7"/>
  <c r="N35" i="7"/>
  <c r="N31" i="7"/>
  <c r="N27" i="7"/>
  <c r="N23" i="7"/>
  <c r="N19" i="7"/>
  <c r="N15" i="7"/>
  <c r="N11" i="7"/>
  <c r="N6" i="7"/>
  <c r="M146" i="9"/>
  <c r="M3" i="9"/>
  <c r="A24" i="8"/>
  <c r="A22" i="8"/>
  <c r="I8" i="2" s="1"/>
  <c r="O3" i="8"/>
  <c r="A20" i="8"/>
  <c r="A18" i="8"/>
  <c r="A16" i="8"/>
  <c r="H8" i="2" s="1"/>
  <c r="M146" i="6"/>
  <c r="M7" i="6"/>
  <c r="M8" i="6"/>
  <c r="M4" i="6"/>
  <c r="M9" i="6"/>
  <c r="M5" i="6"/>
  <c r="M6" i="6"/>
  <c r="M3" i="6"/>
  <c r="N35" i="10"/>
  <c r="N37" i="10"/>
  <c r="N39" i="10"/>
  <c r="N41" i="10"/>
  <c r="N43" i="10"/>
  <c r="N45" i="10"/>
  <c r="N47" i="10"/>
  <c r="N49" i="10"/>
  <c r="N51" i="10"/>
  <c r="N53" i="10"/>
  <c r="N55" i="10"/>
  <c r="N57" i="10"/>
  <c r="N59" i="10"/>
  <c r="N61" i="10"/>
  <c r="N63" i="10"/>
  <c r="N65" i="10"/>
  <c r="N67" i="10"/>
  <c r="N69" i="10"/>
  <c r="N71" i="10"/>
  <c r="N73" i="10"/>
  <c r="N75" i="10"/>
  <c r="N77" i="10"/>
  <c r="N79" i="10"/>
  <c r="N81" i="10"/>
  <c r="N83" i="10"/>
  <c r="N85" i="10"/>
  <c r="N87" i="10"/>
  <c r="N89" i="10"/>
  <c r="N91" i="10"/>
  <c r="N93" i="10"/>
  <c r="N95" i="10"/>
  <c r="N97" i="10"/>
  <c r="N99" i="10"/>
  <c r="N101" i="10"/>
  <c r="N103" i="10"/>
  <c r="N105" i="10"/>
  <c r="N107" i="10"/>
  <c r="N109" i="10"/>
  <c r="N111" i="10"/>
  <c r="N113" i="10"/>
  <c r="N115" i="10"/>
  <c r="N116" i="10"/>
  <c r="N119" i="10"/>
  <c r="N120" i="10"/>
  <c r="N123" i="10"/>
  <c r="N124" i="10"/>
  <c r="N127" i="10"/>
  <c r="N129" i="10"/>
  <c r="N131" i="10"/>
  <c r="N133" i="10"/>
  <c r="N135" i="10"/>
  <c r="N136" i="10"/>
  <c r="N138" i="10"/>
  <c r="N141" i="10"/>
  <c r="N143" i="10"/>
  <c r="N145" i="10"/>
  <c r="N3" i="10"/>
  <c r="N7" i="10"/>
  <c r="N10" i="10"/>
  <c r="N9" i="10"/>
  <c r="N13" i="10"/>
  <c r="N14" i="10"/>
  <c r="N16" i="10"/>
  <c r="N18" i="10"/>
  <c r="N20" i="10"/>
  <c r="N22" i="10"/>
  <c r="N24" i="10"/>
  <c r="N26" i="10"/>
  <c r="N28" i="10"/>
  <c r="N30" i="10"/>
  <c r="N32" i="10"/>
  <c r="N4" i="10"/>
  <c r="N34" i="10"/>
  <c r="N36" i="10"/>
  <c r="N38" i="10"/>
  <c r="N40" i="10"/>
  <c r="N42" i="10"/>
  <c r="N44" i="10"/>
  <c r="N46" i="10"/>
  <c r="N48" i="10"/>
  <c r="N50" i="10"/>
  <c r="N52" i="10"/>
  <c r="N54" i="10"/>
  <c r="N56" i="10"/>
  <c r="N58" i="10"/>
  <c r="N60" i="10"/>
  <c r="N62" i="10"/>
  <c r="N64" i="10"/>
  <c r="N66" i="10"/>
  <c r="N68" i="10"/>
  <c r="N70" i="10"/>
  <c r="N72" i="10"/>
  <c r="N74" i="10"/>
  <c r="N76" i="10"/>
  <c r="N78" i="10"/>
  <c r="N80" i="10"/>
  <c r="N82" i="10"/>
  <c r="N84" i="10"/>
  <c r="N86" i="10"/>
  <c r="N88" i="10"/>
  <c r="N90" i="10"/>
  <c r="N92" i="10"/>
  <c r="N94" i="10"/>
  <c r="N96" i="10"/>
  <c r="N98" i="10"/>
  <c r="N100" i="10"/>
  <c r="N102" i="10"/>
  <c r="N104" i="10"/>
  <c r="N106" i="10"/>
  <c r="N108" i="10"/>
  <c r="N110" i="10"/>
  <c r="N112" i="10"/>
  <c r="N114" i="10"/>
  <c r="N117" i="10"/>
  <c r="N118" i="10"/>
  <c r="N121" i="10"/>
  <c r="N122" i="10"/>
  <c r="N125" i="10"/>
  <c r="N126" i="10"/>
  <c r="N128" i="10"/>
  <c r="N130" i="10"/>
  <c r="N132" i="10"/>
  <c r="N134" i="10"/>
  <c r="N137" i="10"/>
  <c r="N139" i="10"/>
  <c r="N140" i="10"/>
  <c r="N142" i="10"/>
  <c r="N144" i="10"/>
  <c r="N146" i="10"/>
  <c r="N5" i="10"/>
  <c r="N6" i="10"/>
  <c r="N8" i="10"/>
  <c r="N11" i="10"/>
  <c r="N12" i="10"/>
  <c r="N15" i="10"/>
  <c r="N17" i="10"/>
  <c r="N19" i="10"/>
  <c r="N21" i="10"/>
  <c r="N23" i="10"/>
  <c r="N25" i="10"/>
  <c r="N27" i="10"/>
  <c r="N29" i="10"/>
  <c r="N31" i="10"/>
  <c r="N33" i="10"/>
  <c r="A24" i="12"/>
  <c r="A20" i="12"/>
  <c r="A22" i="12"/>
  <c r="I12" i="2" s="1"/>
  <c r="A18" i="12"/>
  <c r="O3" i="12"/>
  <c r="A16" i="12"/>
  <c r="H12" i="2" s="1"/>
  <c r="A22" i="11"/>
  <c r="I11" i="2" s="1"/>
  <c r="A18" i="11"/>
  <c r="O3" i="11"/>
  <c r="A24" i="11"/>
  <c r="A20" i="11"/>
  <c r="A16" i="11"/>
  <c r="H11" i="2" s="1"/>
  <c r="A16" i="5"/>
  <c r="H5" i="2" s="1"/>
  <c r="O3" i="5"/>
  <c r="A20" i="5"/>
  <c r="A22" i="5"/>
  <c r="I5" i="2" s="1"/>
  <c r="A24" i="5"/>
  <c r="A18" i="5"/>
  <c r="N13" i="6" l="1"/>
  <c r="A22" i="7"/>
  <c r="I7" i="2" s="1"/>
  <c r="A18" i="7"/>
  <c r="A16" i="7"/>
  <c r="H7" i="2" s="1"/>
  <c r="A20" i="7"/>
  <c r="O3" i="7"/>
  <c r="A24" i="7"/>
  <c r="N142" i="9"/>
  <c r="N144" i="9"/>
  <c r="N33" i="9"/>
  <c r="N59" i="9"/>
  <c r="N93" i="9"/>
  <c r="N135" i="9"/>
  <c r="N24" i="9"/>
  <c r="N50" i="9"/>
  <c r="N84" i="9"/>
  <c r="N94" i="9"/>
  <c r="N128" i="9"/>
  <c r="N17" i="9"/>
  <c r="N43" i="9"/>
  <c r="N77" i="9"/>
  <c r="N119" i="9"/>
  <c r="N15" i="9"/>
  <c r="N34" i="9"/>
  <c r="N68" i="9"/>
  <c r="N7" i="9"/>
  <c r="N48" i="9"/>
  <c r="N74" i="9"/>
  <c r="N108" i="9"/>
  <c r="N5" i="9"/>
  <c r="N39" i="9"/>
  <c r="N73" i="9"/>
  <c r="N99" i="9"/>
  <c r="N133" i="9"/>
  <c r="N143" i="9"/>
  <c r="N32" i="9"/>
  <c r="N58" i="9"/>
  <c r="N92" i="9"/>
  <c r="N134" i="9"/>
  <c r="N23" i="9"/>
  <c r="N57" i="9"/>
  <c r="N83" i="9"/>
  <c r="N117" i="9"/>
  <c r="N46" i="9"/>
  <c r="N79" i="9"/>
  <c r="N106" i="9"/>
  <c r="N140" i="9"/>
  <c r="N29" i="9"/>
  <c r="N71" i="9"/>
  <c r="N105" i="9"/>
  <c r="N131" i="9"/>
  <c r="N20" i="9"/>
  <c r="N30" i="9"/>
  <c r="N64" i="9"/>
  <c r="N90" i="9"/>
  <c r="N124" i="9"/>
  <c r="N10" i="9"/>
  <c r="N55" i="9"/>
  <c r="N89" i="9"/>
  <c r="N115" i="9"/>
  <c r="N8" i="9"/>
  <c r="N95" i="9"/>
  <c r="N129" i="9"/>
  <c r="N13" i="9"/>
  <c r="N44" i="9"/>
  <c r="N86" i="9"/>
  <c r="N120" i="9"/>
  <c r="N146" i="9"/>
  <c r="N35" i="9"/>
  <c r="N69" i="9"/>
  <c r="N80" i="9"/>
  <c r="N113" i="9"/>
  <c r="N139" i="9"/>
  <c r="N28" i="9"/>
  <c r="N70" i="9"/>
  <c r="N104" i="9"/>
  <c r="N130" i="9"/>
  <c r="N19" i="9"/>
  <c r="N53" i="9"/>
  <c r="N21" i="9"/>
  <c r="N127" i="9"/>
  <c r="N16" i="9"/>
  <c r="N42" i="9"/>
  <c r="N76" i="9"/>
  <c r="N118" i="9"/>
  <c r="N4" i="9"/>
  <c r="N41" i="9"/>
  <c r="N67" i="9"/>
  <c r="N101" i="9"/>
  <c r="N111" i="9"/>
  <c r="N145" i="9"/>
  <c r="N26" i="9"/>
  <c r="N60" i="9"/>
  <c r="N102" i="9"/>
  <c r="N136" i="9"/>
  <c r="N25" i="9"/>
  <c r="N51" i="9"/>
  <c r="N85" i="9"/>
  <c r="N31" i="9"/>
  <c r="N65" i="9"/>
  <c r="N91" i="9"/>
  <c r="N125" i="9"/>
  <c r="N22" i="9"/>
  <c r="N56" i="9"/>
  <c r="N82" i="9"/>
  <c r="N116" i="9"/>
  <c r="N126" i="9"/>
  <c r="N3" i="9"/>
  <c r="N49" i="9"/>
  <c r="N75" i="9"/>
  <c r="N109" i="9"/>
  <c r="N6" i="9"/>
  <c r="N40" i="9"/>
  <c r="N66" i="9"/>
  <c r="N100" i="9"/>
  <c r="N110" i="9"/>
  <c r="N63" i="9"/>
  <c r="N97" i="9"/>
  <c r="N123" i="9"/>
  <c r="N9" i="9"/>
  <c r="N54" i="9"/>
  <c r="N88" i="9"/>
  <c r="N114" i="9"/>
  <c r="N11" i="9"/>
  <c r="N37" i="9"/>
  <c r="N47" i="9"/>
  <c r="N81" i="9"/>
  <c r="N107" i="9"/>
  <c r="N141" i="9"/>
  <c r="N38" i="9"/>
  <c r="N72" i="9"/>
  <c r="N98" i="9"/>
  <c r="N132" i="9"/>
  <c r="N78" i="9"/>
  <c r="N112" i="9"/>
  <c r="N138" i="9"/>
  <c r="N27" i="9"/>
  <c r="N61" i="9"/>
  <c r="N103" i="9"/>
  <c r="N137" i="9"/>
  <c r="N18" i="9"/>
  <c r="N52" i="9"/>
  <c r="N62" i="9"/>
  <c r="N96" i="9"/>
  <c r="N122" i="9"/>
  <c r="N12" i="9"/>
  <c r="N45" i="9"/>
  <c r="N87" i="9"/>
  <c r="N121" i="9"/>
  <c r="N14" i="9"/>
  <c r="N36" i="9"/>
  <c r="N135" i="6"/>
  <c r="N40" i="6"/>
  <c r="N145" i="6"/>
  <c r="N130" i="6"/>
  <c r="N138" i="6"/>
  <c r="N146" i="6"/>
  <c r="N100" i="6"/>
  <c r="N67" i="6"/>
  <c r="N18" i="6"/>
  <c r="N16" i="6"/>
  <c r="N41" i="6"/>
  <c r="N3" i="6"/>
  <c r="N137" i="6"/>
  <c r="N66" i="6"/>
  <c r="N95" i="6"/>
  <c r="N14" i="6"/>
  <c r="N144" i="6"/>
  <c r="N102" i="6"/>
  <c r="N106" i="6"/>
  <c r="N26" i="6"/>
  <c r="N32" i="6"/>
  <c r="N103" i="6"/>
  <c r="N127" i="6"/>
  <c r="N56" i="6"/>
  <c r="N45" i="6"/>
  <c r="N119" i="6"/>
  <c r="N55" i="6"/>
  <c r="N101" i="6"/>
  <c r="N121" i="6"/>
  <c r="N22" i="6"/>
  <c r="N104" i="6"/>
  <c r="N52" i="6"/>
  <c r="N131" i="6"/>
  <c r="N142" i="6"/>
  <c r="N80" i="6"/>
  <c r="N140" i="6"/>
  <c r="N118" i="6"/>
  <c r="N19" i="6"/>
  <c r="N79" i="6"/>
  <c r="N92" i="6"/>
  <c r="N61" i="6"/>
  <c r="N90" i="6"/>
  <c r="N59" i="6"/>
  <c r="N96" i="6"/>
  <c r="N89" i="6"/>
  <c r="N115" i="6"/>
  <c r="N20" i="6"/>
  <c r="N43" i="6"/>
  <c r="N94" i="6"/>
  <c r="N25" i="6"/>
  <c r="N139" i="6"/>
  <c r="N60" i="6"/>
  <c r="N120" i="6"/>
  <c r="N29" i="6"/>
  <c r="N39" i="6"/>
  <c r="N58" i="6"/>
  <c r="N81" i="6"/>
  <c r="N27" i="6"/>
  <c r="N143" i="6"/>
  <c r="N64" i="6"/>
  <c r="N124" i="6"/>
  <c r="N105" i="6"/>
  <c r="N93" i="6"/>
  <c r="N128" i="6"/>
  <c r="N122" i="6"/>
  <c r="N85" i="6"/>
  <c r="N116" i="6"/>
  <c r="N36" i="6"/>
  <c r="N110" i="6"/>
  <c r="N33" i="6"/>
  <c r="N5" i="6"/>
  <c r="N9" i="6"/>
  <c r="N15" i="6"/>
  <c r="N71" i="6"/>
  <c r="N28" i="6"/>
  <c r="N38" i="6"/>
  <c r="N24" i="6"/>
  <c r="N51" i="6"/>
  <c r="N129" i="6"/>
  <c r="N82" i="6"/>
  <c r="N87" i="6"/>
  <c r="N12" i="6"/>
  <c r="N70" i="6"/>
  <c r="N37" i="6"/>
  <c r="N136" i="6"/>
  <c r="N62" i="6"/>
  <c r="N91" i="6"/>
  <c r="N11" i="6"/>
  <c r="N86" i="6"/>
  <c r="N113" i="6"/>
  <c r="N47" i="6"/>
  <c r="N76" i="6"/>
  <c r="N109" i="6"/>
  <c r="N74" i="6"/>
  <c r="N107" i="6"/>
  <c r="N98" i="6"/>
  <c r="N133" i="6"/>
  <c r="N53" i="6"/>
  <c r="N84" i="6"/>
  <c r="N83" i="6"/>
  <c r="N125" i="6"/>
  <c r="N49" i="6"/>
  <c r="N7" i="6"/>
  <c r="N126" i="6"/>
  <c r="N123" i="6"/>
  <c r="N44" i="6"/>
  <c r="N73" i="6"/>
  <c r="N77" i="6"/>
  <c r="N6" i="6"/>
  <c r="N42" i="6"/>
  <c r="N30" i="6"/>
  <c r="N75" i="6"/>
  <c r="N111" i="6"/>
  <c r="N48" i="6"/>
  <c r="N108" i="6"/>
  <c r="N54" i="6"/>
  <c r="N141" i="6"/>
  <c r="N132" i="6"/>
  <c r="N72" i="6"/>
  <c r="N21" i="6"/>
  <c r="N99" i="6"/>
  <c r="N78" i="6"/>
  <c r="N17" i="6"/>
  <c r="N65" i="6"/>
  <c r="N50" i="6"/>
  <c r="N23" i="6"/>
  <c r="N112" i="6"/>
  <c r="N117" i="6"/>
  <c r="N46" i="6"/>
  <c r="N31" i="6"/>
  <c r="N114" i="6"/>
  <c r="N4" i="6"/>
  <c r="N35" i="6"/>
  <c r="N8" i="6"/>
  <c r="N10" i="6"/>
  <c r="N88" i="6"/>
  <c r="N34" i="6"/>
  <c r="N134" i="6"/>
  <c r="N69" i="6"/>
  <c r="N97" i="6"/>
  <c r="N57" i="6"/>
  <c r="N68" i="6"/>
  <c r="N63" i="6"/>
  <c r="A16" i="10"/>
  <c r="H10" i="2" s="1"/>
  <c r="A24" i="10"/>
  <c r="A18" i="10"/>
  <c r="O3" i="10"/>
  <c r="A20" i="10"/>
  <c r="A22" i="10"/>
  <c r="I10" i="2" s="1"/>
  <c r="A22" i="9" l="1"/>
  <c r="I9" i="2" s="1"/>
  <c r="A20" i="9"/>
  <c r="A18" i="9"/>
  <c r="A24" i="9"/>
  <c r="O3" i="9"/>
  <c r="A16" i="9"/>
  <c r="H9" i="2" s="1"/>
  <c r="A24" i="6"/>
  <c r="O3" i="6"/>
  <c r="A22" i="6"/>
  <c r="I6" i="2" s="1"/>
  <c r="A20" i="6"/>
  <c r="A18" i="6"/>
  <c r="A16" i="6"/>
  <c r="H6" i="2" s="1"/>
</calcChain>
</file>

<file path=xl/sharedStrings.xml><?xml version="1.0" encoding="utf-8"?>
<sst xmlns="http://schemas.openxmlformats.org/spreadsheetml/2006/main" count="1007" uniqueCount="129">
  <si>
    <t>Course</t>
  </si>
  <si>
    <t>Number</t>
  </si>
  <si>
    <t>BUS</t>
  </si>
  <si>
    <t>AAAD</t>
  </si>
  <si>
    <t>AADM</t>
  </si>
  <si>
    <t>AAST</t>
  </si>
  <si>
    <t>ABEH</t>
  </si>
  <si>
    <t>AERO</t>
  </si>
  <si>
    <t>AFRI</t>
  </si>
  <si>
    <t>AMID</t>
  </si>
  <si>
    <t>AMST</t>
  </si>
  <si>
    <t>ANAT</t>
  </si>
  <si>
    <t>ANTH</t>
  </si>
  <si>
    <t>ASCS</t>
  </si>
  <si>
    <t>AST</t>
  </si>
  <si>
    <t>BIOC</t>
  </si>
  <si>
    <t>BIOL</t>
  </si>
  <si>
    <t>BUEX</t>
  </si>
  <si>
    <t>BUKD</t>
  </si>
  <si>
    <t>CEUS</t>
  </si>
  <si>
    <t>CHEM</t>
  </si>
  <si>
    <t>CJUS</t>
  </si>
  <si>
    <t>CLAS</t>
  </si>
  <si>
    <t>CLLC</t>
  </si>
  <si>
    <t>CMCL</t>
  </si>
  <si>
    <t>CMLT</t>
  </si>
  <si>
    <t>COGS</t>
  </si>
  <si>
    <t>COLL</t>
  </si>
  <si>
    <t>CSCI</t>
  </si>
  <si>
    <t>CULS</t>
  </si>
  <si>
    <t>EALC</t>
  </si>
  <si>
    <t>ECON</t>
  </si>
  <si>
    <t>EDUC</t>
  </si>
  <si>
    <t>ENG</t>
  </si>
  <si>
    <t>FINA</t>
  </si>
  <si>
    <t>FLLC</t>
  </si>
  <si>
    <t>FOLK</t>
  </si>
  <si>
    <t>FRIT</t>
  </si>
  <si>
    <t>GEOG</t>
  </si>
  <si>
    <t>GEOL</t>
  </si>
  <si>
    <t>GER</t>
  </si>
  <si>
    <t>GLLC</t>
  </si>
  <si>
    <t>GNDR</t>
  </si>
  <si>
    <t>GRAD</t>
  </si>
  <si>
    <t>HISP</t>
  </si>
  <si>
    <t>HIST</t>
  </si>
  <si>
    <t>HON</t>
  </si>
  <si>
    <t>HPER</t>
  </si>
  <si>
    <t>HPSC</t>
  </si>
  <si>
    <t>HUBI</t>
  </si>
  <si>
    <t>IMP</t>
  </si>
  <si>
    <t>INFO</t>
  </si>
  <si>
    <t>INST</t>
  </si>
  <si>
    <t>INTL</t>
  </si>
  <si>
    <t>JOUR</t>
  </si>
  <si>
    <t>JSTU</t>
  </si>
  <si>
    <t>LAMP</t>
  </si>
  <si>
    <t>LATS</t>
  </si>
  <si>
    <t>LAW</t>
  </si>
  <si>
    <t>LING</t>
  </si>
  <si>
    <t>LSTU</t>
  </si>
  <si>
    <t>LTAM</t>
  </si>
  <si>
    <t>MATH</t>
  </si>
  <si>
    <t>MBIO</t>
  </si>
  <si>
    <t>MCHE</t>
  </si>
  <si>
    <t>MEST</t>
  </si>
  <si>
    <t>MIL</t>
  </si>
  <si>
    <t>MSCI</t>
  </si>
  <si>
    <t>MUS</t>
  </si>
  <si>
    <t>NELC</t>
  </si>
  <si>
    <t>NEUS</t>
  </si>
  <si>
    <t>NURS</t>
  </si>
  <si>
    <t>OPT</t>
  </si>
  <si>
    <t>OVST</t>
  </si>
  <si>
    <t>PACE</t>
  </si>
  <si>
    <t>PATH</t>
  </si>
  <si>
    <t>PHAR</t>
  </si>
  <si>
    <t>PHIL</t>
  </si>
  <si>
    <t>PHSL</t>
  </si>
  <si>
    <t>PHYS</t>
  </si>
  <si>
    <t>POLS</t>
  </si>
  <si>
    <t>PSY</t>
  </si>
  <si>
    <t>REEI</t>
  </si>
  <si>
    <t>REL</t>
  </si>
  <si>
    <t>REN</t>
  </si>
  <si>
    <t>SLAV</t>
  </si>
  <si>
    <t>SLIS</t>
  </si>
  <si>
    <t>SLST</t>
  </si>
  <si>
    <t>SOC</t>
  </si>
  <si>
    <t>SPEA</t>
  </si>
  <si>
    <t>SPHS</t>
  </si>
  <si>
    <t>STAT</t>
  </si>
  <si>
    <t>SWK</t>
  </si>
  <si>
    <t>TEL</t>
  </si>
  <si>
    <t>THTR</t>
  </si>
  <si>
    <t>TOPT</t>
  </si>
  <si>
    <t>VSCI</t>
  </si>
  <si>
    <t>WEUR</t>
  </si>
  <si>
    <t>FRST</t>
  </si>
  <si>
    <t>VICT</t>
  </si>
  <si>
    <t>Departments</t>
  </si>
  <si>
    <t>Department</t>
  </si>
  <si>
    <t>Subject</t>
  </si>
  <si>
    <t>Subjects</t>
  </si>
  <si>
    <t>NoS</t>
  </si>
  <si>
    <t>Courses</t>
  </si>
  <si>
    <t>NoC</t>
  </si>
  <si>
    <t>Subject Letter</t>
  </si>
  <si>
    <t>Teacher</t>
  </si>
  <si>
    <t>NoT</t>
  </si>
  <si>
    <t>Average Grade</t>
  </si>
  <si>
    <t>Class GPA</t>
  </si>
  <si>
    <t>Student GPA</t>
  </si>
  <si>
    <t>Hardest Teacher</t>
  </si>
  <si>
    <t>Easiest Teacher</t>
  </si>
  <si>
    <t>Teacher GPA</t>
  </si>
  <si>
    <t>Students GPA</t>
  </si>
  <si>
    <t>Difficulty</t>
  </si>
  <si>
    <t>Rank</t>
  </si>
  <si>
    <t>Adjusted Rank</t>
  </si>
  <si>
    <t>Total</t>
  </si>
  <si>
    <t>Recommended Teacher</t>
  </si>
  <si>
    <t>COURSE</t>
  </si>
  <si>
    <t>i</t>
  </si>
  <si>
    <t>Bollen,Johan L.</t>
  </si>
  <si>
    <t>George Fang Presents</t>
  </si>
  <si>
    <t>Incoming Student Grade</t>
  </si>
  <si>
    <t>Average Class Grade</t>
  </si>
  <si>
    <t>The IU Schedule Analyzer 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</si>
</sst>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&quot;"/>
  </numFmts>
  <fonts count="6" x14ac:knownFonts="1">
    <font>
      <sz val="11"/>
      <color theme="1"/>
      <name val="Calibri"/>
      <family val="2"/>
      <scheme val="minor"/>
    </font>
    <font>
      <b/>
      <sz val="15"/>
      <color theme="2" tint="-0.89999084444715716"/>
      <name val="Edwardian Script ITC"/>
      <family val="4"/>
    </font>
    <font>
      <b/>
      <sz val="12"/>
      <color theme="2" tint="-0.89999084444715716"/>
      <name val="Georgia"/>
      <family val="1"/>
    </font>
    <font>
      <sz val="12"/>
      <color theme="2" tint="-0.89999084444715716"/>
      <name val="Georgia"/>
      <family val="1"/>
    </font>
    <font>
      <sz val="12"/>
      <color theme="3" tint="-0.499984740745262"/>
      <name val="Georgia"/>
      <family val="1"/>
    </font>
    <font>
      <b/>
      <sz val="22"/>
      <color theme="2" tint="-0.89999084444715716"/>
      <name val="Helvetica LT Std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n">
        <color theme="2" tint="-0.749992370372631"/>
      </right>
      <top style="medium">
        <color indexed="64"/>
      </top>
      <bottom style="medium">
        <color indexed="64"/>
      </bottom>
      <diagonal/>
    </border>
    <border>
      <left style="thin">
        <color theme="2" tint="-0.749992370372631"/>
      </left>
      <right style="thin">
        <color theme="2" tint="-0.749992370372631"/>
      </right>
      <top style="medium">
        <color indexed="64"/>
      </top>
      <bottom style="double">
        <color indexed="64"/>
      </bottom>
      <diagonal/>
    </border>
    <border>
      <left style="thin">
        <color theme="2" tint="-0.749992370372631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2" tint="-0.749992370372631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2" tint="-0.749992370372631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0" fontId="0" fillId="0" borderId="0" xfId="0" applyBorder="1" applyAlignment="1"/>
    <xf numFmtId="10" fontId="0" fillId="0" borderId="0" xfId="0" applyNumberFormat="1" applyBorder="1"/>
    <xf numFmtId="0" fontId="1" fillId="2" borderId="0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3" fillId="5" borderId="0" xfId="0" applyFont="1" applyFill="1" applyBorder="1" applyAlignment="1" applyProtection="1">
      <protection locked="0"/>
    </xf>
    <xf numFmtId="0" fontId="3" fillId="5" borderId="4" xfId="0" applyFont="1" applyFill="1" applyBorder="1" applyAlignment="1" applyProtection="1">
      <protection locked="0"/>
    </xf>
    <xf numFmtId="2" fontId="4" fillId="4" borderId="6" xfId="0" applyNumberFormat="1" applyFont="1" applyFill="1" applyBorder="1" applyAlignment="1"/>
    <xf numFmtId="2" fontId="4" fillId="4" borderId="7" xfId="0" applyNumberFormat="1" applyFont="1" applyFill="1" applyBorder="1" applyAlignment="1"/>
    <xf numFmtId="0" fontId="4" fillId="4" borderId="7" xfId="0" applyFont="1" applyFill="1" applyBorder="1" applyAlignment="1"/>
    <xf numFmtId="0" fontId="2" fillId="2" borderId="2" xfId="0" applyFont="1" applyFill="1" applyBorder="1" applyAlignment="1"/>
    <xf numFmtId="0" fontId="3" fillId="3" borderId="0" xfId="0" applyFont="1" applyFill="1" applyBorder="1" applyAlignment="1" applyProtection="1">
      <protection locked="0"/>
    </xf>
    <xf numFmtId="0" fontId="3" fillId="3" borderId="4" xfId="0" applyFont="1" applyFill="1" applyBorder="1" applyAlignment="1" applyProtection="1">
      <protection locked="0"/>
    </xf>
    <xf numFmtId="2" fontId="4" fillId="6" borderId="8" xfId="0" applyNumberFormat="1" applyFont="1" applyFill="1" applyBorder="1" applyAlignment="1"/>
    <xf numFmtId="2" fontId="4" fillId="6" borderId="0" xfId="0" applyNumberFormat="1" applyFont="1" applyFill="1" applyBorder="1" applyAlignment="1"/>
    <xf numFmtId="0" fontId="4" fillId="6" borderId="0" xfId="0" applyFont="1" applyFill="1" applyBorder="1" applyAlignment="1"/>
    <xf numFmtId="2" fontId="4" fillId="4" borderId="8" xfId="0" applyNumberFormat="1" applyFont="1" applyFill="1" applyBorder="1" applyAlignment="1"/>
    <xf numFmtId="2" fontId="4" fillId="4" borderId="0" xfId="0" applyNumberFormat="1" applyFont="1" applyFill="1" applyBorder="1" applyAlignment="1"/>
    <xf numFmtId="0" fontId="4" fillId="4" borderId="0" xfId="0" applyFont="1" applyFill="1" applyBorder="1" applyAlignment="1"/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ade%20Project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de Project"/>
    </sheetNames>
    <sheetDataSet>
      <sheetData sheetId="0">
        <row r="1">
          <cell r="E1" t="str">
            <v>DEPARTMENT</v>
          </cell>
          <cell r="F1" t="str">
            <v>SUBJECT</v>
          </cell>
          <cell r="G1" t="str">
            <v>COURSE</v>
          </cell>
          <cell r="H1" t="str">
            <v>Course+Subject</v>
          </cell>
          <cell r="K1" t="str">
            <v>INSTRUCTOR NAME</v>
          </cell>
          <cell r="N1" t="str">
            <v>AVG SECT GPA</v>
          </cell>
          <cell r="O1" t="str">
            <v>AVG STDNT CUM GPA</v>
          </cell>
        </row>
        <row r="2">
          <cell r="E2" t="str">
            <v>AAAD</v>
          </cell>
          <cell r="F2" t="str">
            <v>AAAD-A</v>
          </cell>
          <cell r="G2">
            <v>100</v>
          </cell>
          <cell r="H2" t="str">
            <v>AAAD-A100</v>
          </cell>
          <cell r="K2" t="str">
            <v>Rosa,Iris</v>
          </cell>
          <cell r="N2">
            <v>4</v>
          </cell>
          <cell r="O2">
            <v>2.7480000000000002</v>
          </cell>
        </row>
        <row r="3">
          <cell r="E3" t="str">
            <v>AAAD</v>
          </cell>
          <cell r="F3" t="str">
            <v>AAAD-A</v>
          </cell>
          <cell r="G3">
            <v>100</v>
          </cell>
          <cell r="H3" t="str">
            <v>AAAD-A100</v>
          </cell>
          <cell r="K3" t="str">
            <v>Rosa,Iris</v>
          </cell>
          <cell r="N3">
            <v>4</v>
          </cell>
          <cell r="O3">
            <v>2.964</v>
          </cell>
        </row>
        <row r="4">
          <cell r="E4" t="str">
            <v>AAAD</v>
          </cell>
          <cell r="F4" t="str">
            <v>AAAD-A</v>
          </cell>
          <cell r="G4">
            <v>110</v>
          </cell>
          <cell r="H4" t="str">
            <v>AAAD-A110</v>
          </cell>
          <cell r="K4" t="str">
            <v>McCutchen,Keith D.</v>
          </cell>
          <cell r="N4">
            <v>3.7829999999999999</v>
          </cell>
          <cell r="O4">
            <v>3.1040000000000001</v>
          </cell>
        </row>
        <row r="5">
          <cell r="E5" t="str">
            <v>AAAD</v>
          </cell>
          <cell r="F5" t="str">
            <v>AAAD-A</v>
          </cell>
          <cell r="G5">
            <v>110</v>
          </cell>
          <cell r="H5" t="str">
            <v>AAAD-A110</v>
          </cell>
          <cell r="K5" t="str">
            <v>Wise,Raymond</v>
          </cell>
          <cell r="N5" t="str">
            <v>NR</v>
          </cell>
          <cell r="O5" t="str">
            <v>NR</v>
          </cell>
        </row>
        <row r="6">
          <cell r="E6" t="str">
            <v>AAAD</v>
          </cell>
          <cell r="F6" t="str">
            <v>AAAD-A</v>
          </cell>
          <cell r="G6">
            <v>112</v>
          </cell>
          <cell r="H6" t="str">
            <v>AAAD-A112</v>
          </cell>
          <cell r="K6" t="str">
            <v>Burnim,Mellonee Victoria</v>
          </cell>
          <cell r="N6">
            <v>2.3679999999999999</v>
          </cell>
          <cell r="O6">
            <v>2.702</v>
          </cell>
        </row>
        <row r="7">
          <cell r="E7" t="str">
            <v>AAAD</v>
          </cell>
          <cell r="F7" t="str">
            <v>AAAD-A</v>
          </cell>
          <cell r="G7">
            <v>120</v>
          </cell>
          <cell r="H7" t="str">
            <v>AAAD-A120</v>
          </cell>
          <cell r="K7" t="str">
            <v>Mahluli,Nathanael Fareed</v>
          </cell>
          <cell r="N7">
            <v>3.9820000000000002</v>
          </cell>
          <cell r="O7">
            <v>2.9180000000000001</v>
          </cell>
        </row>
        <row r="8">
          <cell r="E8" t="str">
            <v>AAAD</v>
          </cell>
          <cell r="F8" t="str">
            <v>AAAD-A</v>
          </cell>
          <cell r="G8">
            <v>120</v>
          </cell>
          <cell r="H8" t="str">
            <v>AAAD-A120</v>
          </cell>
          <cell r="K8" t="str">
            <v>Sykes,Charles Evans</v>
          </cell>
          <cell r="N8">
            <v>3.8620000000000001</v>
          </cell>
          <cell r="O8">
            <v>3.073</v>
          </cell>
        </row>
        <row r="9">
          <cell r="E9" t="str">
            <v>AAAD</v>
          </cell>
          <cell r="F9" t="str">
            <v>AAAD-A</v>
          </cell>
          <cell r="G9">
            <v>131</v>
          </cell>
          <cell r="H9" t="str">
            <v>AAAD-A131</v>
          </cell>
          <cell r="K9" t="str">
            <v>Smith,April Faye</v>
          </cell>
          <cell r="N9">
            <v>3.4809999999999999</v>
          </cell>
          <cell r="O9">
            <v>2.919</v>
          </cell>
        </row>
        <row r="10">
          <cell r="E10" t="str">
            <v>AAAD</v>
          </cell>
          <cell r="F10" t="str">
            <v>AAAD-A</v>
          </cell>
          <cell r="G10">
            <v>132</v>
          </cell>
          <cell r="H10" t="str">
            <v>AAAD-A132</v>
          </cell>
          <cell r="K10" t="str">
            <v>McElroy,Frederick L.</v>
          </cell>
          <cell r="N10">
            <v>3.4910000000000001</v>
          </cell>
          <cell r="O10">
            <v>2.7949999999999999</v>
          </cell>
        </row>
        <row r="11">
          <cell r="E11" t="str">
            <v>AAAD</v>
          </cell>
          <cell r="F11" t="str">
            <v>AAAD-A</v>
          </cell>
          <cell r="G11">
            <v>150</v>
          </cell>
          <cell r="H11" t="str">
            <v>AAAD-A150</v>
          </cell>
          <cell r="K11" t="str">
            <v>McElroy,Frederick L.</v>
          </cell>
          <cell r="N11">
            <v>3.15</v>
          </cell>
          <cell r="O11">
            <v>2.9369999999999998</v>
          </cell>
        </row>
        <row r="12">
          <cell r="E12" t="str">
            <v>AAAD</v>
          </cell>
          <cell r="F12" t="str">
            <v>AAAD-A</v>
          </cell>
          <cell r="G12">
            <v>150</v>
          </cell>
          <cell r="H12" t="str">
            <v>AAAD-A150</v>
          </cell>
          <cell r="K12" t="str">
            <v>McElroy,Frederick L.</v>
          </cell>
          <cell r="N12">
            <v>3.415</v>
          </cell>
          <cell r="O12">
            <v>3.0550000000000002</v>
          </cell>
        </row>
        <row r="13">
          <cell r="E13" t="str">
            <v>AAAD</v>
          </cell>
          <cell r="F13" t="str">
            <v>AAAD-A</v>
          </cell>
          <cell r="G13">
            <v>169</v>
          </cell>
          <cell r="H13" t="str">
            <v>AAAD-A169</v>
          </cell>
          <cell r="K13" t="str">
            <v>Grim,Valerie</v>
          </cell>
          <cell r="N13">
            <v>3.7389999999999999</v>
          </cell>
          <cell r="O13">
            <v>2.7290000000000001</v>
          </cell>
        </row>
        <row r="14">
          <cell r="E14" t="str">
            <v>AAAD</v>
          </cell>
          <cell r="F14" t="str">
            <v>AAAD-A</v>
          </cell>
          <cell r="G14">
            <v>205</v>
          </cell>
          <cell r="H14" t="str">
            <v>AAAD-A205</v>
          </cell>
          <cell r="K14" t="str">
            <v>Stanfield,John H.</v>
          </cell>
          <cell r="N14">
            <v>2.6080000000000001</v>
          </cell>
          <cell r="O14">
            <v>2.456</v>
          </cell>
        </row>
        <row r="15">
          <cell r="E15" t="str">
            <v>AAAD</v>
          </cell>
          <cell r="F15" t="str">
            <v>AAAD-A</v>
          </cell>
          <cell r="G15">
            <v>210</v>
          </cell>
          <cell r="H15" t="str">
            <v>AAAD-A210</v>
          </cell>
          <cell r="K15" t="str">
            <v>McCluskey,Audrey T.</v>
          </cell>
          <cell r="N15">
            <v>2.9329999999999998</v>
          </cell>
          <cell r="O15">
            <v>2.7559999999999998</v>
          </cell>
        </row>
        <row r="16">
          <cell r="E16" t="str">
            <v>AAAD</v>
          </cell>
          <cell r="F16" t="str">
            <v>AAAD-A</v>
          </cell>
          <cell r="G16">
            <v>221</v>
          </cell>
          <cell r="H16" t="str">
            <v>AAAD-A221</v>
          </cell>
          <cell r="K16" t="str">
            <v>Rosa,Iris</v>
          </cell>
          <cell r="N16">
            <v>3.5419999999999998</v>
          </cell>
          <cell r="O16">
            <v>3.1389999999999998</v>
          </cell>
        </row>
        <row r="17">
          <cell r="E17" t="str">
            <v>AAAD</v>
          </cell>
          <cell r="F17" t="str">
            <v>AAAD-A</v>
          </cell>
          <cell r="G17">
            <v>263</v>
          </cell>
          <cell r="H17" t="str">
            <v>AAAD-A263</v>
          </cell>
          <cell r="K17" t="str">
            <v>Williams,Vernon</v>
          </cell>
          <cell r="N17">
            <v>3.4969999999999999</v>
          </cell>
          <cell r="O17">
            <v>2.6070000000000002</v>
          </cell>
        </row>
        <row r="18">
          <cell r="E18" t="str">
            <v>AAAD</v>
          </cell>
          <cell r="F18" t="str">
            <v>AAAD-A</v>
          </cell>
          <cell r="G18">
            <v>264</v>
          </cell>
          <cell r="H18" t="str">
            <v>AAAD-A264</v>
          </cell>
          <cell r="K18" t="str">
            <v>Sailes,Gary A.</v>
          </cell>
          <cell r="N18">
            <v>3.2170000000000001</v>
          </cell>
          <cell r="O18">
            <v>2.8370000000000002</v>
          </cell>
        </row>
        <row r="19">
          <cell r="E19" t="str">
            <v>AAAD</v>
          </cell>
          <cell r="F19" t="str">
            <v>AAAD-A</v>
          </cell>
          <cell r="G19">
            <v>265</v>
          </cell>
          <cell r="H19" t="str">
            <v>AAAD-A265</v>
          </cell>
          <cell r="K19" t="str">
            <v>Sailes,Gary A.</v>
          </cell>
          <cell r="N19">
            <v>3.3660000000000001</v>
          </cell>
          <cell r="O19">
            <v>2.8330000000000002</v>
          </cell>
        </row>
        <row r="20">
          <cell r="E20" t="str">
            <v>AAAD</v>
          </cell>
          <cell r="F20" t="str">
            <v>AAAD-A</v>
          </cell>
          <cell r="G20">
            <v>278</v>
          </cell>
          <cell r="H20" t="str">
            <v>AAAD-A278</v>
          </cell>
          <cell r="K20" t="str">
            <v>Smith,April Faye</v>
          </cell>
          <cell r="N20">
            <v>3.5</v>
          </cell>
          <cell r="O20">
            <v>2.9180000000000001</v>
          </cell>
        </row>
        <row r="21">
          <cell r="E21" t="str">
            <v>AAAD</v>
          </cell>
          <cell r="F21" t="str">
            <v>AAAD-A</v>
          </cell>
          <cell r="G21">
            <v>290</v>
          </cell>
          <cell r="H21" t="str">
            <v>AAAD-A290</v>
          </cell>
          <cell r="K21" t="str">
            <v>Cohen,Judah M</v>
          </cell>
          <cell r="N21">
            <v>3.286</v>
          </cell>
          <cell r="O21">
            <v>3.0859999999999999</v>
          </cell>
        </row>
        <row r="22">
          <cell r="E22" t="str">
            <v>AAAD</v>
          </cell>
          <cell r="F22" t="str">
            <v>AAAD-A</v>
          </cell>
          <cell r="G22">
            <v>295</v>
          </cell>
          <cell r="H22" t="str">
            <v>AAAD-A295</v>
          </cell>
          <cell r="K22" t="str">
            <v>Orejuela,Fernando</v>
          </cell>
          <cell r="N22">
            <v>3.226</v>
          </cell>
          <cell r="O22">
            <v>2.9119999999999999</v>
          </cell>
        </row>
        <row r="23">
          <cell r="E23" t="str">
            <v>AAAD</v>
          </cell>
          <cell r="F23" t="str">
            <v>AAAD-A</v>
          </cell>
          <cell r="G23">
            <v>297</v>
          </cell>
          <cell r="H23" t="str">
            <v>AAAD-A297</v>
          </cell>
          <cell r="K23" t="str">
            <v>Maultsby,Portia K.</v>
          </cell>
          <cell r="N23">
            <v>2.0670000000000002</v>
          </cell>
          <cell r="O23">
            <v>2.258</v>
          </cell>
        </row>
        <row r="24">
          <cell r="E24" t="str">
            <v>AAAD</v>
          </cell>
          <cell r="F24" t="str">
            <v>AAAD-A</v>
          </cell>
          <cell r="G24">
            <v>299</v>
          </cell>
          <cell r="H24" t="str">
            <v>AAAD-A299</v>
          </cell>
          <cell r="K24" t="str">
            <v>Horsley,Marsha Nicole</v>
          </cell>
          <cell r="N24">
            <v>3.2570000000000001</v>
          </cell>
          <cell r="O24">
            <v>2.6280000000000001</v>
          </cell>
        </row>
        <row r="25">
          <cell r="E25" t="str">
            <v>AAAD</v>
          </cell>
          <cell r="F25" t="str">
            <v>AAAD-A</v>
          </cell>
          <cell r="G25">
            <v>299</v>
          </cell>
          <cell r="H25" t="str">
            <v>AAAD-A299</v>
          </cell>
          <cell r="K25" t="str">
            <v>Horton-Stallings,Lamonda</v>
          </cell>
          <cell r="N25">
            <v>3.2570000000000001</v>
          </cell>
          <cell r="O25">
            <v>2.972</v>
          </cell>
        </row>
        <row r="26">
          <cell r="E26" t="str">
            <v>AAAD</v>
          </cell>
          <cell r="F26" t="str">
            <v>AAAD-A</v>
          </cell>
          <cell r="G26">
            <v>304</v>
          </cell>
          <cell r="H26" t="str">
            <v>AAAD-A304</v>
          </cell>
          <cell r="K26" t="str">
            <v>Julien,Eileen</v>
          </cell>
          <cell r="N26" t="str">
            <v>NR</v>
          </cell>
          <cell r="O26" t="str">
            <v>NR</v>
          </cell>
        </row>
        <row r="27">
          <cell r="E27" t="str">
            <v>AAAD</v>
          </cell>
          <cell r="F27" t="str">
            <v>AAAD-A</v>
          </cell>
          <cell r="G27">
            <v>350</v>
          </cell>
          <cell r="H27" t="str">
            <v>AAAD-A350</v>
          </cell>
          <cell r="K27" t="str">
            <v>Williams,Vernon</v>
          </cell>
          <cell r="N27">
            <v>3.2109999999999999</v>
          </cell>
          <cell r="O27">
            <v>2.7709999999999999</v>
          </cell>
        </row>
        <row r="28">
          <cell r="E28" t="str">
            <v>AAAD</v>
          </cell>
          <cell r="F28" t="str">
            <v>AAAD-A</v>
          </cell>
          <cell r="G28">
            <v>355</v>
          </cell>
          <cell r="H28" t="str">
            <v>AAAD-A355</v>
          </cell>
          <cell r="K28" t="str">
            <v>Grim,Valerie</v>
          </cell>
          <cell r="N28">
            <v>2.7069999999999999</v>
          </cell>
          <cell r="O28">
            <v>2.6440000000000001</v>
          </cell>
        </row>
        <row r="29">
          <cell r="E29" t="str">
            <v>AAAD</v>
          </cell>
          <cell r="F29" t="str">
            <v>AAAD-A</v>
          </cell>
          <cell r="G29">
            <v>356</v>
          </cell>
          <cell r="H29" t="str">
            <v>AAAD-A356</v>
          </cell>
          <cell r="K29" t="str">
            <v>Williams,Vernon</v>
          </cell>
          <cell r="N29">
            <v>3.3650000000000002</v>
          </cell>
          <cell r="O29">
            <v>2.9489999999999998</v>
          </cell>
        </row>
        <row r="30">
          <cell r="E30" t="str">
            <v>AAAD</v>
          </cell>
          <cell r="F30" t="str">
            <v>AAAD-A</v>
          </cell>
          <cell r="G30">
            <v>379</v>
          </cell>
          <cell r="H30" t="str">
            <v>AAAD-A379</v>
          </cell>
          <cell r="K30" t="str">
            <v>McElroy,Frederick L.</v>
          </cell>
          <cell r="N30">
            <v>3.5760000000000001</v>
          </cell>
          <cell r="O30">
            <v>2.9209999999999998</v>
          </cell>
        </row>
        <row r="31">
          <cell r="E31" t="str">
            <v>AAAD</v>
          </cell>
          <cell r="F31" t="str">
            <v>AAAD-A</v>
          </cell>
          <cell r="G31">
            <v>380</v>
          </cell>
          <cell r="H31" t="str">
            <v>AAAD-A380</v>
          </cell>
          <cell r="K31" t="str">
            <v>Muyumba,Walton</v>
          </cell>
          <cell r="N31">
            <v>2.8410000000000002</v>
          </cell>
          <cell r="O31">
            <v>2.9279999999999999</v>
          </cell>
        </row>
        <row r="32">
          <cell r="E32" t="str">
            <v>AAAD</v>
          </cell>
          <cell r="F32" t="str">
            <v>AAAD-A</v>
          </cell>
          <cell r="G32">
            <v>393</v>
          </cell>
          <cell r="H32" t="str">
            <v>AAAD-A393</v>
          </cell>
          <cell r="K32" t="str">
            <v>Baker,David N.</v>
          </cell>
          <cell r="N32">
            <v>2.8210000000000002</v>
          </cell>
          <cell r="O32">
            <v>2.8860000000000001</v>
          </cell>
        </row>
        <row r="33">
          <cell r="E33" t="str">
            <v>AAAD</v>
          </cell>
          <cell r="F33" t="str">
            <v>AAAD-A</v>
          </cell>
          <cell r="G33">
            <v>395</v>
          </cell>
          <cell r="H33" t="str">
            <v>AAAD-A395</v>
          </cell>
          <cell r="K33" t="str">
            <v>Baker,David N.</v>
          </cell>
          <cell r="N33">
            <v>3.6589999999999998</v>
          </cell>
          <cell r="O33">
            <v>2.9990000000000001</v>
          </cell>
        </row>
        <row r="34">
          <cell r="E34" t="str">
            <v>AAAD</v>
          </cell>
          <cell r="F34" t="str">
            <v>AAAD-A</v>
          </cell>
          <cell r="G34">
            <v>399</v>
          </cell>
          <cell r="H34" t="str">
            <v>AAAD-A399</v>
          </cell>
          <cell r="K34" t="str">
            <v>McCluskey,Audrey T.</v>
          </cell>
          <cell r="N34">
            <v>2.5859999999999999</v>
          </cell>
          <cell r="O34">
            <v>2.7349999999999999</v>
          </cell>
        </row>
        <row r="35">
          <cell r="E35" t="str">
            <v>AAAD</v>
          </cell>
          <cell r="F35" t="str">
            <v>AAAD-A</v>
          </cell>
          <cell r="G35">
            <v>399</v>
          </cell>
          <cell r="H35" t="str">
            <v>AAAD-A399</v>
          </cell>
          <cell r="K35" t="str">
            <v>Rosa,Iris</v>
          </cell>
          <cell r="N35">
            <v>3.4609999999999999</v>
          </cell>
          <cell r="O35">
            <v>3.0510000000000002</v>
          </cell>
        </row>
        <row r="36">
          <cell r="E36" t="str">
            <v>AAAD</v>
          </cell>
          <cell r="F36" t="str">
            <v>AAAD-A</v>
          </cell>
          <cell r="G36">
            <v>400</v>
          </cell>
          <cell r="H36" t="str">
            <v>AAAD-A400</v>
          </cell>
          <cell r="K36" t="str">
            <v>Wolfskill,Phoebe</v>
          </cell>
          <cell r="N36" t="str">
            <v>NR</v>
          </cell>
          <cell r="O36" t="str">
            <v>NR</v>
          </cell>
        </row>
        <row r="37">
          <cell r="E37" t="str">
            <v>AAAD</v>
          </cell>
          <cell r="F37" t="str">
            <v>AAAD-A</v>
          </cell>
          <cell r="G37">
            <v>400</v>
          </cell>
          <cell r="H37" t="str">
            <v>AAAD-A400</v>
          </cell>
          <cell r="K37" t="str">
            <v>Wolfskill,Phoebe</v>
          </cell>
          <cell r="N37" t="str">
            <v>NR</v>
          </cell>
          <cell r="O37" t="str">
            <v>NR</v>
          </cell>
        </row>
        <row r="38">
          <cell r="E38" t="str">
            <v>AAAD</v>
          </cell>
          <cell r="F38" t="str">
            <v>AAAD-A</v>
          </cell>
          <cell r="G38">
            <v>405</v>
          </cell>
          <cell r="H38" t="str">
            <v>AAAD-A405</v>
          </cell>
          <cell r="K38" t="str">
            <v>Williams,Vernon</v>
          </cell>
          <cell r="N38">
            <v>3.556</v>
          </cell>
          <cell r="O38">
            <v>3.004</v>
          </cell>
        </row>
        <row r="39">
          <cell r="E39" t="str">
            <v>AAAD</v>
          </cell>
          <cell r="F39" t="str">
            <v>AAAD-A</v>
          </cell>
          <cell r="G39">
            <v>407</v>
          </cell>
          <cell r="H39" t="str">
            <v>AAAD-A407</v>
          </cell>
          <cell r="K39" t="str">
            <v>Stanfield,John H.</v>
          </cell>
          <cell r="N39">
            <v>2.0670000000000002</v>
          </cell>
          <cell r="O39">
            <v>2.3610000000000002</v>
          </cell>
        </row>
        <row r="40">
          <cell r="E40" t="str">
            <v>AAAD</v>
          </cell>
          <cell r="F40" t="str">
            <v>AAAD-A</v>
          </cell>
          <cell r="G40">
            <v>430</v>
          </cell>
          <cell r="H40" t="str">
            <v>AAAD-A430</v>
          </cell>
          <cell r="K40" t="str">
            <v>McCluskey,Audrey T.</v>
          </cell>
          <cell r="N40">
            <v>2.5880000000000001</v>
          </cell>
          <cell r="O40">
            <v>2.6349999999999998</v>
          </cell>
        </row>
        <row r="41">
          <cell r="E41" t="str">
            <v>AAAD</v>
          </cell>
          <cell r="F41" t="str">
            <v>AAAD-A</v>
          </cell>
          <cell r="G41">
            <v>479</v>
          </cell>
          <cell r="H41" t="str">
            <v>AAAD-A479</v>
          </cell>
          <cell r="K41" t="str">
            <v>McElroy,Frederick L.</v>
          </cell>
          <cell r="N41">
            <v>3.5249999999999999</v>
          </cell>
          <cell r="O41">
            <v>2.8140000000000001</v>
          </cell>
        </row>
        <row r="42">
          <cell r="E42" t="str">
            <v>AAAD</v>
          </cell>
          <cell r="F42" t="str">
            <v>AAAD-A</v>
          </cell>
          <cell r="G42">
            <v>481</v>
          </cell>
          <cell r="H42" t="str">
            <v>AAAD-A481</v>
          </cell>
          <cell r="K42" t="str">
            <v>Motley,Frank</v>
          </cell>
          <cell r="N42">
            <v>3.4620000000000002</v>
          </cell>
          <cell r="O42">
            <v>3.11</v>
          </cell>
        </row>
        <row r="43">
          <cell r="E43" t="str">
            <v>AAAD</v>
          </cell>
          <cell r="F43" t="str">
            <v>AAAD-A</v>
          </cell>
          <cell r="G43">
            <v>493</v>
          </cell>
          <cell r="H43" t="str">
            <v>AAAD-A493</v>
          </cell>
          <cell r="K43" t="str">
            <v>McElroy,Frederick L.</v>
          </cell>
          <cell r="N43" t="str">
            <v>NR</v>
          </cell>
          <cell r="O43" t="str">
            <v>NR</v>
          </cell>
        </row>
        <row r="44">
          <cell r="E44" t="str">
            <v>AAAD</v>
          </cell>
          <cell r="F44" t="str">
            <v>AAAD-A</v>
          </cell>
          <cell r="G44">
            <v>495</v>
          </cell>
          <cell r="H44" t="str">
            <v>AAAD-A495</v>
          </cell>
          <cell r="K44" t="str">
            <v>Grim,Valerie</v>
          </cell>
          <cell r="N44" t="str">
            <v>NR</v>
          </cell>
          <cell r="O44" t="str">
            <v>NR</v>
          </cell>
        </row>
        <row r="45">
          <cell r="E45" t="str">
            <v>AAAD</v>
          </cell>
          <cell r="F45" t="str">
            <v>AAAD-A</v>
          </cell>
          <cell r="G45">
            <v>495</v>
          </cell>
          <cell r="H45" t="str">
            <v>AAAD-A495</v>
          </cell>
          <cell r="K45" t="str">
            <v>Grim,Valerie</v>
          </cell>
          <cell r="N45" t="str">
            <v>NR</v>
          </cell>
          <cell r="O45" t="str">
            <v>NR</v>
          </cell>
        </row>
        <row r="46">
          <cell r="E46" t="str">
            <v>AAAD</v>
          </cell>
          <cell r="F46" t="str">
            <v>AAAD-A</v>
          </cell>
          <cell r="G46">
            <v>495</v>
          </cell>
          <cell r="H46" t="str">
            <v>AAAD-A495</v>
          </cell>
          <cell r="K46" t="str">
            <v>Grim,Valerie</v>
          </cell>
          <cell r="N46" t="str">
            <v>NR</v>
          </cell>
          <cell r="O46" t="str">
            <v>NR</v>
          </cell>
        </row>
        <row r="47">
          <cell r="E47" t="str">
            <v>AAAD</v>
          </cell>
          <cell r="F47" t="str">
            <v>AAAD-A</v>
          </cell>
          <cell r="G47">
            <v>495</v>
          </cell>
          <cell r="H47" t="str">
            <v>AAAD-A495</v>
          </cell>
          <cell r="K47" t="str">
            <v>Grim,Valerie</v>
          </cell>
          <cell r="N47" t="str">
            <v>NR</v>
          </cell>
          <cell r="O47" t="str">
            <v>NR</v>
          </cell>
        </row>
        <row r="48">
          <cell r="E48" t="str">
            <v>AAAD</v>
          </cell>
          <cell r="F48" t="str">
            <v>AAAD-A</v>
          </cell>
          <cell r="G48">
            <v>502</v>
          </cell>
          <cell r="H48" t="str">
            <v>AAAD-A502</v>
          </cell>
          <cell r="K48" t="str">
            <v>Muyumba,Walton</v>
          </cell>
          <cell r="N48" t="str">
            <v>NR</v>
          </cell>
          <cell r="O48" t="str">
            <v>NR</v>
          </cell>
        </row>
        <row r="49">
          <cell r="E49" t="str">
            <v>AAAD</v>
          </cell>
          <cell r="F49" t="str">
            <v>AAAD-A</v>
          </cell>
          <cell r="G49">
            <v>550</v>
          </cell>
          <cell r="H49" t="str">
            <v>AAAD-A550</v>
          </cell>
          <cell r="K49" t="str">
            <v>Williams,Vernon</v>
          </cell>
          <cell r="N49" t="str">
            <v>NR</v>
          </cell>
          <cell r="O49" t="str">
            <v>NR</v>
          </cell>
        </row>
        <row r="50">
          <cell r="E50" t="str">
            <v>AAAD</v>
          </cell>
          <cell r="F50" t="str">
            <v>AAAD-A</v>
          </cell>
          <cell r="G50">
            <v>556</v>
          </cell>
          <cell r="H50" t="str">
            <v>AAAD-A556</v>
          </cell>
          <cell r="K50" t="str">
            <v>McCluskey,Audrey T.</v>
          </cell>
          <cell r="N50" t="str">
            <v>NR</v>
          </cell>
          <cell r="O50" t="str">
            <v>NR</v>
          </cell>
        </row>
        <row r="51">
          <cell r="E51" t="str">
            <v>AAAD</v>
          </cell>
          <cell r="F51" t="str">
            <v>AAAD-A</v>
          </cell>
          <cell r="G51">
            <v>579</v>
          </cell>
          <cell r="H51" t="str">
            <v>AAAD-A579</v>
          </cell>
          <cell r="K51" t="str">
            <v>McElroy,Frederick L.</v>
          </cell>
          <cell r="N51" t="str">
            <v>NR</v>
          </cell>
          <cell r="O51" t="str">
            <v>NR</v>
          </cell>
        </row>
        <row r="52">
          <cell r="E52" t="str">
            <v>AAAD</v>
          </cell>
          <cell r="F52" t="str">
            <v>AAAD-A</v>
          </cell>
          <cell r="G52">
            <v>590</v>
          </cell>
          <cell r="H52" t="str">
            <v>AAAD-A590</v>
          </cell>
          <cell r="K52" t="str">
            <v>Grim,Valerie</v>
          </cell>
          <cell r="N52" t="str">
            <v>NR</v>
          </cell>
          <cell r="O52" t="str">
            <v>NR</v>
          </cell>
        </row>
        <row r="53">
          <cell r="E53" t="str">
            <v>AAAD</v>
          </cell>
          <cell r="F53" t="str">
            <v>AAAD-A</v>
          </cell>
          <cell r="G53">
            <v>590</v>
          </cell>
          <cell r="H53" t="str">
            <v>AAAD-A590</v>
          </cell>
          <cell r="K53" t="str">
            <v>McCluskey,Audrey T.</v>
          </cell>
          <cell r="N53" t="str">
            <v>NR</v>
          </cell>
          <cell r="O53" t="str">
            <v>NR</v>
          </cell>
        </row>
        <row r="54">
          <cell r="E54" t="str">
            <v>AAAD</v>
          </cell>
          <cell r="F54" t="str">
            <v>AAAD-A</v>
          </cell>
          <cell r="G54">
            <v>599</v>
          </cell>
          <cell r="H54" t="str">
            <v>AAAD-A599</v>
          </cell>
          <cell r="K54" t="str">
            <v>Grim,Valerie</v>
          </cell>
          <cell r="N54" t="str">
            <v>NR</v>
          </cell>
          <cell r="O54" t="str">
            <v>NR</v>
          </cell>
        </row>
        <row r="55">
          <cell r="E55" t="str">
            <v>AAAD</v>
          </cell>
          <cell r="F55" t="str">
            <v>AAAD-A</v>
          </cell>
          <cell r="G55">
            <v>606</v>
          </cell>
          <cell r="H55" t="str">
            <v>AAAD-A606</v>
          </cell>
          <cell r="K55" t="str">
            <v>Grim,Valerie</v>
          </cell>
          <cell r="N55" t="str">
            <v>NR</v>
          </cell>
          <cell r="O55" t="str">
            <v>NR</v>
          </cell>
        </row>
        <row r="56">
          <cell r="E56" t="str">
            <v>AAAD</v>
          </cell>
          <cell r="F56" t="str">
            <v>AAAD-A</v>
          </cell>
          <cell r="G56">
            <v>669</v>
          </cell>
          <cell r="H56" t="str">
            <v>AAAD-A669</v>
          </cell>
          <cell r="K56" t="str">
            <v>Grim,Valerie</v>
          </cell>
          <cell r="N56" t="str">
            <v>NR</v>
          </cell>
          <cell r="O56" t="str">
            <v>NR</v>
          </cell>
        </row>
        <row r="57">
          <cell r="E57" t="str">
            <v>AAAD</v>
          </cell>
          <cell r="F57" t="str">
            <v>AAAD-A</v>
          </cell>
          <cell r="G57">
            <v>689</v>
          </cell>
          <cell r="H57" t="str">
            <v>AAAD-A689</v>
          </cell>
          <cell r="K57" t="str">
            <v>Grim,Valerie</v>
          </cell>
          <cell r="N57" t="str">
            <v>NR</v>
          </cell>
          <cell r="O57" t="str">
            <v>NR</v>
          </cell>
        </row>
        <row r="58">
          <cell r="E58" t="str">
            <v>AAAD</v>
          </cell>
          <cell r="F58" t="str">
            <v>AAAD-A</v>
          </cell>
          <cell r="G58">
            <v>692</v>
          </cell>
          <cell r="H58" t="str">
            <v>AAAD-A692</v>
          </cell>
          <cell r="K58" t="str">
            <v>Julien,Eileen</v>
          </cell>
          <cell r="N58" t="str">
            <v>NR</v>
          </cell>
          <cell r="O58" t="str">
            <v>NR</v>
          </cell>
        </row>
        <row r="59">
          <cell r="E59" t="str">
            <v>AAAD</v>
          </cell>
          <cell r="F59" t="str">
            <v>AAAD-A</v>
          </cell>
          <cell r="G59">
            <v>694</v>
          </cell>
          <cell r="H59" t="str">
            <v>AAAD-A694</v>
          </cell>
          <cell r="K59" t="str">
            <v>Wolfskill,Phoebe</v>
          </cell>
          <cell r="N59" t="str">
            <v>NR</v>
          </cell>
          <cell r="O59" t="str">
            <v>NR</v>
          </cell>
        </row>
        <row r="60">
          <cell r="E60" t="str">
            <v>AAAD</v>
          </cell>
          <cell r="F60" t="str">
            <v>AAAD-A</v>
          </cell>
          <cell r="G60">
            <v>697</v>
          </cell>
          <cell r="H60" t="str">
            <v>AAAD-A697</v>
          </cell>
          <cell r="K60" t="str">
            <v>Grim,Valerie</v>
          </cell>
          <cell r="N60" t="str">
            <v>NR</v>
          </cell>
          <cell r="O60" t="str">
            <v>NR</v>
          </cell>
        </row>
        <row r="61">
          <cell r="E61" t="str">
            <v>AAAD</v>
          </cell>
          <cell r="F61" t="str">
            <v>AAAD-A</v>
          </cell>
          <cell r="G61">
            <v>697</v>
          </cell>
          <cell r="H61" t="str">
            <v>AAAD-A697</v>
          </cell>
          <cell r="K61" t="str">
            <v>Grim,Valerie</v>
          </cell>
          <cell r="N61" t="str">
            <v>NR</v>
          </cell>
          <cell r="O61" t="str">
            <v>NR</v>
          </cell>
        </row>
        <row r="62">
          <cell r="E62" t="str">
            <v>AAAD</v>
          </cell>
          <cell r="F62" t="str">
            <v>AAAD-A</v>
          </cell>
          <cell r="G62">
            <v>698</v>
          </cell>
          <cell r="H62" t="str">
            <v>AAAD-A698</v>
          </cell>
          <cell r="K62" t="str">
            <v>Grim,Valerie</v>
          </cell>
          <cell r="N62" t="str">
            <v>NR</v>
          </cell>
          <cell r="O62" t="str">
            <v>NR</v>
          </cell>
        </row>
        <row r="63">
          <cell r="E63" t="str">
            <v>AAAD</v>
          </cell>
          <cell r="F63" t="str">
            <v>AAAD-A</v>
          </cell>
          <cell r="G63">
            <v>698</v>
          </cell>
          <cell r="H63" t="str">
            <v>AAAD-A698</v>
          </cell>
          <cell r="K63" t="str">
            <v>Grim,Valerie</v>
          </cell>
          <cell r="N63" t="str">
            <v>NR</v>
          </cell>
          <cell r="O63" t="str">
            <v>NR</v>
          </cell>
        </row>
        <row r="64">
          <cell r="E64" t="str">
            <v>AAAD</v>
          </cell>
          <cell r="F64" t="str">
            <v>AAAD-A</v>
          </cell>
          <cell r="G64">
            <v>799</v>
          </cell>
          <cell r="H64" t="str">
            <v>AAAD-A799</v>
          </cell>
          <cell r="K64" t="str">
            <v>Grim,Valerie</v>
          </cell>
          <cell r="N64" t="str">
            <v>NR</v>
          </cell>
          <cell r="O64" t="str">
            <v>NR</v>
          </cell>
        </row>
        <row r="65">
          <cell r="E65" t="str">
            <v>AAAD</v>
          </cell>
          <cell r="F65" t="str">
            <v>AAAD-A</v>
          </cell>
          <cell r="G65">
            <v>899</v>
          </cell>
          <cell r="H65" t="str">
            <v>AAAD-A899</v>
          </cell>
          <cell r="K65" t="str">
            <v>Grim,Valerie</v>
          </cell>
          <cell r="N65" t="str">
            <v>NR</v>
          </cell>
          <cell r="O65" t="str">
            <v>NR</v>
          </cell>
        </row>
        <row r="66">
          <cell r="E66" t="str">
            <v>AAAD</v>
          </cell>
          <cell r="F66" t="str">
            <v>AAAD-A</v>
          </cell>
          <cell r="G66">
            <v>899</v>
          </cell>
          <cell r="H66" t="str">
            <v>AAAD-A899</v>
          </cell>
          <cell r="K66" t="str">
            <v>Grim,Valerie</v>
          </cell>
          <cell r="N66" t="str">
            <v>NR</v>
          </cell>
          <cell r="O66" t="str">
            <v>NR</v>
          </cell>
        </row>
        <row r="67">
          <cell r="E67" t="str">
            <v>AAAD</v>
          </cell>
          <cell r="F67" t="str">
            <v>AAAD-G</v>
          </cell>
          <cell r="G67">
            <v>599</v>
          </cell>
          <cell r="H67" t="str">
            <v>AAAD-G599</v>
          </cell>
          <cell r="K67" t="str">
            <v>Grim,Valerie</v>
          </cell>
          <cell r="N67" t="str">
            <v>NR</v>
          </cell>
          <cell r="O67" t="str">
            <v>NR</v>
          </cell>
        </row>
        <row r="68">
          <cell r="E68" t="str">
            <v>AAAD</v>
          </cell>
          <cell r="F68" t="str">
            <v>AAAD-G</v>
          </cell>
          <cell r="G68">
            <v>901</v>
          </cell>
          <cell r="H68" t="str">
            <v>AAAD-G901</v>
          </cell>
          <cell r="K68" t="str">
            <v>Grim,Valerie</v>
          </cell>
          <cell r="N68" t="str">
            <v>NR</v>
          </cell>
          <cell r="O68" t="str">
            <v>NR</v>
          </cell>
        </row>
        <row r="69">
          <cell r="E69" t="str">
            <v>AADM</v>
          </cell>
          <cell r="F69" t="str">
            <v>AADM-Y</v>
          </cell>
          <cell r="G69">
            <v>412</v>
          </cell>
          <cell r="H69" t="str">
            <v>AADM-Y412</v>
          </cell>
          <cell r="K69" t="str">
            <v>Hunt,Christopher</v>
          </cell>
          <cell r="N69">
            <v>3</v>
          </cell>
          <cell r="O69">
            <v>3.4470000000000001</v>
          </cell>
        </row>
        <row r="70">
          <cell r="E70" t="str">
            <v>AADM</v>
          </cell>
          <cell r="F70" t="str">
            <v>AADM-Y</v>
          </cell>
          <cell r="G70">
            <v>500</v>
          </cell>
          <cell r="H70" t="str">
            <v>AADM-Y500</v>
          </cell>
          <cell r="K70" t="str">
            <v>Hunt,Christopher</v>
          </cell>
          <cell r="N70">
            <v>3.6669999999999998</v>
          </cell>
          <cell r="O70">
            <v>3.847</v>
          </cell>
        </row>
        <row r="71">
          <cell r="E71" t="str">
            <v>AADM</v>
          </cell>
          <cell r="F71" t="str">
            <v>AADM-Y</v>
          </cell>
          <cell r="G71">
            <v>500</v>
          </cell>
          <cell r="H71" t="str">
            <v>AADM-Y500</v>
          </cell>
          <cell r="K71" t="str">
            <v>McClelland,Danielle Rae</v>
          </cell>
          <cell r="N71" t="str">
            <v>NR</v>
          </cell>
          <cell r="O71" t="str">
            <v>NR</v>
          </cell>
        </row>
        <row r="72">
          <cell r="E72" t="str">
            <v>AADM</v>
          </cell>
          <cell r="F72" t="str">
            <v>AADM-Y</v>
          </cell>
          <cell r="G72">
            <v>500</v>
          </cell>
          <cell r="H72" t="str">
            <v>AADM-Y500</v>
          </cell>
          <cell r="K72" t="str">
            <v>Payne,Christopher J</v>
          </cell>
          <cell r="N72">
            <v>3.544</v>
          </cell>
          <cell r="O72">
            <v>3.7440000000000002</v>
          </cell>
        </row>
        <row r="73">
          <cell r="E73" t="str">
            <v>AADM</v>
          </cell>
          <cell r="F73" t="str">
            <v>AADM-Y</v>
          </cell>
          <cell r="G73">
            <v>500</v>
          </cell>
          <cell r="H73" t="str">
            <v>AADM-Y500</v>
          </cell>
          <cell r="K73" t="str">
            <v>Preston,Corinne Teresa</v>
          </cell>
          <cell r="N73">
            <v>3.4089999999999998</v>
          </cell>
          <cell r="O73">
            <v>3.68</v>
          </cell>
        </row>
        <row r="74">
          <cell r="E74" t="str">
            <v>AADM</v>
          </cell>
          <cell r="F74" t="str">
            <v>AADM-Y</v>
          </cell>
          <cell r="G74">
            <v>500</v>
          </cell>
          <cell r="H74" t="str">
            <v>AADM-Y500</v>
          </cell>
          <cell r="K74" t="str">
            <v>Wilkerson,Michael Neil</v>
          </cell>
          <cell r="N74">
            <v>3.754</v>
          </cell>
          <cell r="O74">
            <v>3.7120000000000002</v>
          </cell>
        </row>
        <row r="75">
          <cell r="E75" t="str">
            <v>AADM</v>
          </cell>
          <cell r="F75" t="str">
            <v>AADM-Y</v>
          </cell>
          <cell r="G75">
            <v>505</v>
          </cell>
          <cell r="H75" t="str">
            <v>AADM-Y505</v>
          </cell>
          <cell r="K75" t="str">
            <v>Hunt,Christopher</v>
          </cell>
          <cell r="N75">
            <v>2.9249999999999998</v>
          </cell>
          <cell r="O75">
            <v>3.7370000000000001</v>
          </cell>
        </row>
        <row r="76">
          <cell r="E76" t="str">
            <v>AADM</v>
          </cell>
          <cell r="F76" t="str">
            <v>AADM-Y</v>
          </cell>
          <cell r="G76">
            <v>511</v>
          </cell>
          <cell r="H76" t="str">
            <v>AADM-Y511</v>
          </cell>
          <cell r="K76" t="str">
            <v>Booher,Douglas D</v>
          </cell>
          <cell r="N76">
            <v>3.9169999999999998</v>
          </cell>
          <cell r="O76">
            <v>3.7040000000000002</v>
          </cell>
        </row>
        <row r="77">
          <cell r="E77" t="str">
            <v>AADM</v>
          </cell>
          <cell r="F77" t="str">
            <v>AADM-Y</v>
          </cell>
          <cell r="G77">
            <v>515</v>
          </cell>
          <cell r="H77" t="str">
            <v>AADM-Y515</v>
          </cell>
          <cell r="K77" t="str">
            <v>McCaster,Antonette L</v>
          </cell>
          <cell r="N77">
            <v>3.9049999999999998</v>
          </cell>
          <cell r="O77">
            <v>3.718</v>
          </cell>
        </row>
        <row r="78">
          <cell r="E78" t="str">
            <v>AADM</v>
          </cell>
          <cell r="F78" t="str">
            <v>AADM-Y</v>
          </cell>
          <cell r="G78">
            <v>515</v>
          </cell>
          <cell r="H78" t="str">
            <v>AADM-Y515</v>
          </cell>
          <cell r="K78" t="str">
            <v>McCaster,Antonette L</v>
          </cell>
          <cell r="N78">
            <v>3.923</v>
          </cell>
          <cell r="O78">
            <v>3.7770000000000001</v>
          </cell>
        </row>
        <row r="79">
          <cell r="E79" t="str">
            <v>AADM</v>
          </cell>
          <cell r="F79" t="str">
            <v>AADM-Y</v>
          </cell>
          <cell r="G79">
            <v>525</v>
          </cell>
          <cell r="H79" t="str">
            <v>AADM-Y525</v>
          </cell>
          <cell r="K79" t="str">
            <v>Lewis,Frank</v>
          </cell>
          <cell r="N79">
            <v>3.4889999999999999</v>
          </cell>
          <cell r="O79">
            <v>3.746</v>
          </cell>
        </row>
        <row r="80">
          <cell r="E80" t="str">
            <v>AADM</v>
          </cell>
          <cell r="F80" t="str">
            <v>AADM-Y</v>
          </cell>
          <cell r="G80">
            <v>530</v>
          </cell>
          <cell r="H80" t="str">
            <v>AADM-Y530</v>
          </cell>
          <cell r="K80" t="str">
            <v>Lyons,Al L</v>
          </cell>
          <cell r="N80">
            <v>3.8210000000000002</v>
          </cell>
          <cell r="O80">
            <v>3.754</v>
          </cell>
        </row>
        <row r="81">
          <cell r="E81" t="str">
            <v>AADM</v>
          </cell>
          <cell r="F81" t="str">
            <v>AADM-Y</v>
          </cell>
          <cell r="G81">
            <v>550</v>
          </cell>
          <cell r="H81" t="str">
            <v>AADM-Y550</v>
          </cell>
          <cell r="K81" t="str">
            <v>Rushton,Michael</v>
          </cell>
          <cell r="N81" t="str">
            <v>NR</v>
          </cell>
          <cell r="O81" t="str">
            <v>NR</v>
          </cell>
        </row>
        <row r="82">
          <cell r="E82" t="str">
            <v>AADM</v>
          </cell>
          <cell r="F82" t="str">
            <v>AADM-Y</v>
          </cell>
          <cell r="G82">
            <v>550</v>
          </cell>
          <cell r="H82" t="str">
            <v>AADM-Y550</v>
          </cell>
          <cell r="K82" t="str">
            <v>Rushton,Michael</v>
          </cell>
          <cell r="N82" t="str">
            <v>NR</v>
          </cell>
          <cell r="O82" t="str">
            <v>NR</v>
          </cell>
        </row>
        <row r="83">
          <cell r="E83" t="str">
            <v>AADM</v>
          </cell>
          <cell r="F83" t="str">
            <v>AADM-Y</v>
          </cell>
          <cell r="G83">
            <v>559</v>
          </cell>
          <cell r="H83" t="str">
            <v>AADM-Y559</v>
          </cell>
          <cell r="K83" t="str">
            <v>Wilkerson,Michael Neil</v>
          </cell>
          <cell r="N83">
            <v>3.7250000000000001</v>
          </cell>
          <cell r="O83">
            <v>3.774</v>
          </cell>
        </row>
        <row r="84">
          <cell r="E84" t="str">
            <v>AADM</v>
          </cell>
          <cell r="F84" t="str">
            <v>AADM-Y</v>
          </cell>
          <cell r="G84">
            <v>650</v>
          </cell>
          <cell r="H84" t="str">
            <v>AADM-Y650</v>
          </cell>
          <cell r="K84" t="str">
            <v>Hunt,Christopher</v>
          </cell>
          <cell r="N84">
            <v>3.8439999999999999</v>
          </cell>
          <cell r="O84">
            <v>3.7589999999999999</v>
          </cell>
        </row>
        <row r="85">
          <cell r="E85" t="str">
            <v>AADM</v>
          </cell>
          <cell r="F85" t="str">
            <v>AADM-Y</v>
          </cell>
          <cell r="G85">
            <v>690</v>
          </cell>
          <cell r="H85" t="str">
            <v>AADM-Y690</v>
          </cell>
          <cell r="K85" t="str">
            <v>Rushton,Michael</v>
          </cell>
          <cell r="N85" t="str">
            <v>NR</v>
          </cell>
          <cell r="O85" t="str">
            <v>NR</v>
          </cell>
        </row>
        <row r="86">
          <cell r="E86" t="str">
            <v>AADM</v>
          </cell>
          <cell r="F86" t="str">
            <v>AADM-Y</v>
          </cell>
          <cell r="G86">
            <v>750</v>
          </cell>
          <cell r="H86" t="str">
            <v>AADM-Y750</v>
          </cell>
          <cell r="K86" t="str">
            <v>Rushton,Michael</v>
          </cell>
          <cell r="N86" t="str">
            <v>NR</v>
          </cell>
          <cell r="O86" t="str">
            <v>NR</v>
          </cell>
        </row>
        <row r="87">
          <cell r="E87" t="str">
            <v>AADM</v>
          </cell>
          <cell r="F87" t="str">
            <v>AADM-Y</v>
          </cell>
          <cell r="G87">
            <v>750</v>
          </cell>
          <cell r="H87" t="str">
            <v>AADM-Y750</v>
          </cell>
          <cell r="K87" t="str">
            <v>Rushton,Michael</v>
          </cell>
          <cell r="N87" t="str">
            <v>NR</v>
          </cell>
          <cell r="O87" t="str">
            <v>NR</v>
          </cell>
        </row>
        <row r="88">
          <cell r="E88" t="str">
            <v>AAST</v>
          </cell>
          <cell r="F88" t="str">
            <v>AAST-A</v>
          </cell>
          <cell r="G88">
            <v>101</v>
          </cell>
          <cell r="H88" t="str">
            <v>AAST-A101</v>
          </cell>
          <cell r="K88" t="str">
            <v>Lee,Jennifer Catherine</v>
          </cell>
          <cell r="N88">
            <v>3.0219999999999998</v>
          </cell>
          <cell r="O88">
            <v>2.7090000000000001</v>
          </cell>
        </row>
        <row r="89">
          <cell r="E89" t="str">
            <v>AAST</v>
          </cell>
          <cell r="F89" t="str">
            <v>AAST-A</v>
          </cell>
          <cell r="G89">
            <v>101</v>
          </cell>
          <cell r="H89" t="str">
            <v>AAST-A101</v>
          </cell>
          <cell r="K89" t="str">
            <v>Nguyen,Jason Robert</v>
          </cell>
          <cell r="N89">
            <v>3.371</v>
          </cell>
          <cell r="O89">
            <v>2.8029999999999999</v>
          </cell>
        </row>
        <row r="90">
          <cell r="E90" t="str">
            <v>AAST</v>
          </cell>
          <cell r="F90" t="str">
            <v>AAST-A</v>
          </cell>
          <cell r="G90">
            <v>200</v>
          </cell>
          <cell r="H90" t="str">
            <v>AAST-A200</v>
          </cell>
          <cell r="K90" t="str">
            <v>Inouye,Karen M</v>
          </cell>
          <cell r="N90" t="str">
            <v>NR</v>
          </cell>
          <cell r="O90" t="str">
            <v>NR</v>
          </cell>
        </row>
        <row r="91">
          <cell r="E91" t="str">
            <v>AAST</v>
          </cell>
          <cell r="F91" t="str">
            <v>AAST-A</v>
          </cell>
          <cell r="G91">
            <v>200</v>
          </cell>
          <cell r="H91" t="str">
            <v>AAST-A200</v>
          </cell>
          <cell r="K91" t="str">
            <v>Inouye,Karen M</v>
          </cell>
          <cell r="N91" t="str">
            <v>NR</v>
          </cell>
          <cell r="O91" t="str">
            <v>NR</v>
          </cell>
        </row>
        <row r="92">
          <cell r="E92" t="str">
            <v>AAST</v>
          </cell>
          <cell r="F92" t="str">
            <v>AAST-A</v>
          </cell>
          <cell r="G92">
            <v>200</v>
          </cell>
          <cell r="H92" t="str">
            <v>AAST-A200</v>
          </cell>
          <cell r="K92" t="str">
            <v>Inouye,Karen M</v>
          </cell>
          <cell r="N92" t="str">
            <v>NR</v>
          </cell>
          <cell r="O92" t="str">
            <v>NR</v>
          </cell>
        </row>
        <row r="93">
          <cell r="E93" t="str">
            <v>AAST</v>
          </cell>
          <cell r="F93" t="str">
            <v>AAST-A</v>
          </cell>
          <cell r="G93">
            <v>200</v>
          </cell>
          <cell r="H93" t="str">
            <v>AAST-A200</v>
          </cell>
          <cell r="K93" t="str">
            <v>Schreiber,Holly E</v>
          </cell>
          <cell r="N93" t="str">
            <v>NR</v>
          </cell>
          <cell r="O93" t="str">
            <v>NR</v>
          </cell>
        </row>
        <row r="94">
          <cell r="E94" t="str">
            <v>AAST</v>
          </cell>
          <cell r="F94" t="str">
            <v>AAST-A</v>
          </cell>
          <cell r="G94">
            <v>320</v>
          </cell>
          <cell r="H94" t="str">
            <v>AAST-A320</v>
          </cell>
          <cell r="K94" t="str">
            <v>Cruz,Denise</v>
          </cell>
          <cell r="N94">
            <v>3.5169999999999999</v>
          </cell>
          <cell r="O94">
            <v>3.177</v>
          </cell>
        </row>
        <row r="95">
          <cell r="E95" t="str">
            <v>AAST</v>
          </cell>
          <cell r="F95" t="str">
            <v>AAST-A</v>
          </cell>
          <cell r="G95">
            <v>320</v>
          </cell>
          <cell r="H95" t="str">
            <v>AAST-A320</v>
          </cell>
          <cell r="K95" t="str">
            <v>Halloran,Vivian</v>
          </cell>
          <cell r="N95" t="str">
            <v>NR</v>
          </cell>
          <cell r="O95" t="str">
            <v>NR</v>
          </cell>
        </row>
        <row r="96">
          <cell r="E96" t="str">
            <v>ABEH</v>
          </cell>
          <cell r="F96" t="str">
            <v>ABEH-A</v>
          </cell>
          <cell r="G96">
            <v>495</v>
          </cell>
          <cell r="H96" t="str">
            <v>ABEH-A495</v>
          </cell>
          <cell r="K96" t="str">
            <v>Demas,Gregory</v>
          </cell>
          <cell r="N96" t="str">
            <v>NR</v>
          </cell>
          <cell r="O96" t="str">
            <v>NR</v>
          </cell>
        </row>
        <row r="97">
          <cell r="E97" t="str">
            <v>ABEH</v>
          </cell>
          <cell r="F97" t="str">
            <v>ABEH-A</v>
          </cell>
          <cell r="G97">
            <v>501</v>
          </cell>
          <cell r="H97" t="str">
            <v>ABEH-A501</v>
          </cell>
          <cell r="K97" t="str">
            <v>Hunt,Kevin D.</v>
          </cell>
          <cell r="N97">
            <v>4</v>
          </cell>
          <cell r="O97">
            <v>3.8839999999999999</v>
          </cell>
        </row>
        <row r="98">
          <cell r="E98" t="str">
            <v>ABEH</v>
          </cell>
          <cell r="F98" t="str">
            <v>ABEH-A</v>
          </cell>
          <cell r="G98">
            <v>501</v>
          </cell>
          <cell r="H98" t="str">
            <v>ABEH-A501</v>
          </cell>
          <cell r="K98" t="str">
            <v>Hurley,Laura M.</v>
          </cell>
          <cell r="N98">
            <v>3.9569999999999999</v>
          </cell>
          <cell r="O98">
            <v>3.891</v>
          </cell>
        </row>
        <row r="99">
          <cell r="E99" t="str">
            <v>AERO</v>
          </cell>
          <cell r="F99" t="str">
            <v>AERO-A</v>
          </cell>
          <cell r="G99">
            <v>100</v>
          </cell>
          <cell r="H99" t="str">
            <v>AERO-A100</v>
          </cell>
          <cell r="K99" t="str">
            <v>Ferguson,James S.</v>
          </cell>
          <cell r="N99">
            <v>3.1139999999999999</v>
          </cell>
          <cell r="O99">
            <v>2.4500000000000002</v>
          </cell>
        </row>
        <row r="100">
          <cell r="E100" t="str">
            <v>AERO</v>
          </cell>
          <cell r="F100" t="str">
            <v>AERO-A</v>
          </cell>
          <cell r="G100">
            <v>101</v>
          </cell>
          <cell r="H100" t="str">
            <v>AERO-A101</v>
          </cell>
          <cell r="K100" t="str">
            <v>Chentnik,Jerry</v>
          </cell>
          <cell r="N100">
            <v>3.4569999999999999</v>
          </cell>
          <cell r="O100">
            <v>2.8180000000000001</v>
          </cell>
        </row>
        <row r="101">
          <cell r="E101" t="str">
            <v>AERO</v>
          </cell>
          <cell r="F101" t="str">
            <v>AERO-A</v>
          </cell>
          <cell r="G101">
            <v>101</v>
          </cell>
          <cell r="H101" t="str">
            <v>AERO-A101</v>
          </cell>
          <cell r="K101" t="str">
            <v>Chentnik,Jerry</v>
          </cell>
          <cell r="N101" t="str">
            <v>NR</v>
          </cell>
          <cell r="O101" t="str">
            <v>NR</v>
          </cell>
        </row>
        <row r="102">
          <cell r="E102" t="str">
            <v>AERO</v>
          </cell>
          <cell r="F102" t="str">
            <v>AERO-A</v>
          </cell>
          <cell r="G102">
            <v>102</v>
          </cell>
          <cell r="H102" t="str">
            <v>AERO-A102</v>
          </cell>
          <cell r="K102" t="str">
            <v>Ferguson,James S.</v>
          </cell>
          <cell r="N102">
            <v>3.64</v>
          </cell>
          <cell r="O102">
            <v>2.9289999999999998</v>
          </cell>
        </row>
        <row r="103">
          <cell r="E103" t="str">
            <v>AERO</v>
          </cell>
          <cell r="F103" t="str">
            <v>AERO-A</v>
          </cell>
          <cell r="G103">
            <v>102</v>
          </cell>
          <cell r="H103" t="str">
            <v>AERO-A102</v>
          </cell>
          <cell r="K103" t="str">
            <v>Ferguson,James S.</v>
          </cell>
          <cell r="N103">
            <v>3.714</v>
          </cell>
          <cell r="O103">
            <v>3.056</v>
          </cell>
        </row>
        <row r="104">
          <cell r="E104" t="str">
            <v>AERO</v>
          </cell>
          <cell r="F104" t="str">
            <v>AERO-A</v>
          </cell>
          <cell r="G104">
            <v>201</v>
          </cell>
          <cell r="H104" t="str">
            <v>AERO-A201</v>
          </cell>
          <cell r="K104" t="str">
            <v>Turner,Jason M.</v>
          </cell>
          <cell r="N104">
            <v>3.714</v>
          </cell>
          <cell r="O104">
            <v>3.0619999999999998</v>
          </cell>
        </row>
        <row r="105">
          <cell r="E105" t="str">
            <v>AERO</v>
          </cell>
          <cell r="F105" t="str">
            <v>AERO-A</v>
          </cell>
          <cell r="G105">
            <v>201</v>
          </cell>
          <cell r="H105" t="str">
            <v>AERO-A201</v>
          </cell>
          <cell r="K105" t="str">
            <v>Turner,Jason M.</v>
          </cell>
          <cell r="N105" t="str">
            <v>NR</v>
          </cell>
          <cell r="O105" t="str">
            <v>NR</v>
          </cell>
        </row>
        <row r="106">
          <cell r="E106" t="str">
            <v>AERO</v>
          </cell>
          <cell r="F106" t="str">
            <v>AERO-A</v>
          </cell>
          <cell r="G106">
            <v>202</v>
          </cell>
          <cell r="H106" t="str">
            <v>AERO-A202</v>
          </cell>
          <cell r="K106" t="str">
            <v>Turner,Jason M.</v>
          </cell>
          <cell r="N106">
            <v>3.8639999999999999</v>
          </cell>
          <cell r="O106">
            <v>3.2040000000000002</v>
          </cell>
        </row>
        <row r="107">
          <cell r="E107" t="str">
            <v>AERO</v>
          </cell>
          <cell r="F107" t="str">
            <v>AERO-A</v>
          </cell>
          <cell r="G107">
            <v>202</v>
          </cell>
          <cell r="H107" t="str">
            <v>AERO-A202</v>
          </cell>
          <cell r="K107" t="str">
            <v>Turner,Jason M.</v>
          </cell>
          <cell r="N107" t="str">
            <v>NR</v>
          </cell>
          <cell r="O107" t="str">
            <v>NR</v>
          </cell>
        </row>
        <row r="108">
          <cell r="E108" t="str">
            <v>AERO</v>
          </cell>
          <cell r="F108" t="str">
            <v>AERO-A</v>
          </cell>
          <cell r="G108">
            <v>301</v>
          </cell>
          <cell r="H108" t="str">
            <v>AERO-A301</v>
          </cell>
          <cell r="K108" t="str">
            <v>Chentnik,Jerry</v>
          </cell>
          <cell r="N108">
            <v>3.7770000000000001</v>
          </cell>
          <cell r="O108">
            <v>3.3130000000000002</v>
          </cell>
        </row>
        <row r="109">
          <cell r="E109" t="str">
            <v>AERO</v>
          </cell>
          <cell r="F109" t="str">
            <v>AERO-A</v>
          </cell>
          <cell r="G109">
            <v>302</v>
          </cell>
          <cell r="H109" t="str">
            <v>AERO-A302</v>
          </cell>
          <cell r="K109" t="str">
            <v>Chentnik,Jerry</v>
          </cell>
          <cell r="N109">
            <v>4</v>
          </cell>
          <cell r="O109">
            <v>3.3370000000000002</v>
          </cell>
        </row>
        <row r="110">
          <cell r="E110" t="str">
            <v>AERO</v>
          </cell>
          <cell r="F110" t="str">
            <v>AERO-A</v>
          </cell>
          <cell r="G110">
            <v>401</v>
          </cell>
          <cell r="H110" t="str">
            <v>AERO-A401</v>
          </cell>
          <cell r="K110" t="str">
            <v>Turner,Jason M.</v>
          </cell>
          <cell r="N110">
            <v>3.8079999999999998</v>
          </cell>
          <cell r="O110">
            <v>3.31</v>
          </cell>
        </row>
        <row r="111">
          <cell r="E111" t="str">
            <v>AERO</v>
          </cell>
          <cell r="F111" t="str">
            <v>AERO-A</v>
          </cell>
          <cell r="G111">
            <v>402</v>
          </cell>
          <cell r="H111" t="str">
            <v>AERO-A402</v>
          </cell>
          <cell r="K111" t="str">
            <v>Turner,Jason M.</v>
          </cell>
          <cell r="N111">
            <v>3.8140000000000001</v>
          </cell>
          <cell r="O111">
            <v>3.25</v>
          </cell>
        </row>
        <row r="112">
          <cell r="E112" t="str">
            <v>AFRI</v>
          </cell>
          <cell r="F112" t="str">
            <v>AFRI-A</v>
          </cell>
          <cell r="G112">
            <v>500</v>
          </cell>
          <cell r="H112" t="str">
            <v>AFRI-A500</v>
          </cell>
          <cell r="K112" t="str">
            <v>Obeng,Samuel Gyasi</v>
          </cell>
          <cell r="N112" t="str">
            <v>NR</v>
          </cell>
          <cell r="O112" t="str">
            <v>NR</v>
          </cell>
        </row>
        <row r="113">
          <cell r="E113" t="str">
            <v>AFRI</v>
          </cell>
          <cell r="F113" t="str">
            <v>AFRI-A</v>
          </cell>
          <cell r="G113">
            <v>500</v>
          </cell>
          <cell r="H113" t="str">
            <v>AFRI-A500</v>
          </cell>
          <cell r="K113" t="str">
            <v>Obeng,Samuel Gyasi</v>
          </cell>
          <cell r="N113" t="str">
            <v>NR</v>
          </cell>
          <cell r="O113" t="str">
            <v>NR</v>
          </cell>
        </row>
        <row r="114">
          <cell r="E114" t="str">
            <v>AFRI</v>
          </cell>
          <cell r="F114" t="str">
            <v>AFRI-A</v>
          </cell>
          <cell r="G114">
            <v>500</v>
          </cell>
          <cell r="H114" t="str">
            <v>AFRI-A500</v>
          </cell>
          <cell r="K114" t="str">
            <v>Vinson,Stephen</v>
          </cell>
          <cell r="N114" t="str">
            <v>NR</v>
          </cell>
          <cell r="O114" t="str">
            <v>NR</v>
          </cell>
        </row>
        <row r="115">
          <cell r="E115" t="str">
            <v>AFRI</v>
          </cell>
          <cell r="F115" t="str">
            <v>AFRI-A</v>
          </cell>
          <cell r="G115">
            <v>650</v>
          </cell>
          <cell r="H115" t="str">
            <v>AFRI-A650</v>
          </cell>
          <cell r="K115" t="str">
            <v>Grosz-Ngate',Maria</v>
          </cell>
          <cell r="N115">
            <v>3.8330000000000002</v>
          </cell>
          <cell r="O115">
            <v>3.7240000000000002</v>
          </cell>
        </row>
        <row r="116">
          <cell r="E116" t="str">
            <v>AFRI</v>
          </cell>
          <cell r="F116" t="str">
            <v>AFRI-A</v>
          </cell>
          <cell r="G116">
            <v>651</v>
          </cell>
          <cell r="H116" t="str">
            <v>AFRI-A651</v>
          </cell>
          <cell r="K116" t="str">
            <v>Grosz-Ngate',Maria</v>
          </cell>
          <cell r="N116" t="str">
            <v>NR</v>
          </cell>
          <cell r="O116" t="str">
            <v>NR</v>
          </cell>
        </row>
        <row r="117">
          <cell r="E117" t="str">
            <v>AFRI</v>
          </cell>
          <cell r="F117" t="str">
            <v>AFRI-A</v>
          </cell>
          <cell r="G117">
            <v>651</v>
          </cell>
          <cell r="H117" t="str">
            <v>AFRI-A651</v>
          </cell>
          <cell r="K117" t="str">
            <v>Grosz-Ngate',Maria</v>
          </cell>
          <cell r="N117" t="str">
            <v>NR</v>
          </cell>
          <cell r="O117" t="str">
            <v>NR</v>
          </cell>
        </row>
        <row r="118">
          <cell r="E118" t="str">
            <v>AFRI</v>
          </cell>
          <cell r="F118" t="str">
            <v>AFRI-A</v>
          </cell>
          <cell r="G118">
            <v>731</v>
          </cell>
          <cell r="H118" t="str">
            <v>AFRI-A731</v>
          </cell>
          <cell r="K118" t="str">
            <v>Buggenhagen,Beth Anne</v>
          </cell>
          <cell r="N118">
            <v>3.9129999999999998</v>
          </cell>
          <cell r="O118">
            <v>3.92</v>
          </cell>
        </row>
        <row r="119">
          <cell r="E119" t="str">
            <v>AFRI</v>
          </cell>
          <cell r="F119" t="str">
            <v>AFRI-A</v>
          </cell>
          <cell r="G119">
            <v>731</v>
          </cell>
          <cell r="H119" t="str">
            <v>AFRI-A731</v>
          </cell>
          <cell r="K119" t="str">
            <v>Moorman,Marissa J</v>
          </cell>
          <cell r="N119">
            <v>3.9140000000000001</v>
          </cell>
          <cell r="O119">
            <v>3.6320000000000001</v>
          </cell>
        </row>
        <row r="120">
          <cell r="E120" t="str">
            <v>AFRI</v>
          </cell>
          <cell r="F120" t="str">
            <v>AFRI-A</v>
          </cell>
          <cell r="G120">
            <v>732</v>
          </cell>
          <cell r="H120" t="str">
            <v>AFRI-A732</v>
          </cell>
          <cell r="K120" t="str">
            <v>Frank Wilson,Marion</v>
          </cell>
          <cell r="N120" t="str">
            <v>NR</v>
          </cell>
          <cell r="O120" t="str">
            <v>NR</v>
          </cell>
        </row>
        <row r="121">
          <cell r="E121" t="str">
            <v>AFRI</v>
          </cell>
          <cell r="F121" t="str">
            <v>AFRI-L</v>
          </cell>
          <cell r="G121">
            <v>100</v>
          </cell>
          <cell r="H121" t="str">
            <v>AFRI-L100</v>
          </cell>
          <cell r="K121" t="str">
            <v>Diouf,Fabienne Ngone</v>
          </cell>
          <cell r="N121">
            <v>3.4209999999999998</v>
          </cell>
          <cell r="O121">
            <v>2.734</v>
          </cell>
        </row>
        <row r="122">
          <cell r="E122" t="str">
            <v>AFRI</v>
          </cell>
          <cell r="F122" t="str">
            <v>AFRI-L</v>
          </cell>
          <cell r="G122">
            <v>100</v>
          </cell>
          <cell r="H122" t="str">
            <v>AFRI-L100</v>
          </cell>
          <cell r="K122" t="str">
            <v>Diouf,Fabienne Ngone</v>
          </cell>
          <cell r="N122">
            <v>3.43</v>
          </cell>
          <cell r="O122">
            <v>2.7389999999999999</v>
          </cell>
        </row>
        <row r="123">
          <cell r="E123" t="str">
            <v>AFRI</v>
          </cell>
          <cell r="F123" t="str">
            <v>AFRI-L</v>
          </cell>
          <cell r="G123">
            <v>100</v>
          </cell>
          <cell r="H123" t="str">
            <v>AFRI-L100</v>
          </cell>
          <cell r="K123" t="str">
            <v>Dlamini,Betty Sibongile</v>
          </cell>
          <cell r="N123">
            <v>3.9340000000000002</v>
          </cell>
          <cell r="O123">
            <v>2.964</v>
          </cell>
        </row>
        <row r="124">
          <cell r="E124" t="str">
            <v>AFRI</v>
          </cell>
          <cell r="F124" t="str">
            <v>AFRI-L</v>
          </cell>
          <cell r="G124">
            <v>100</v>
          </cell>
          <cell r="H124" t="str">
            <v>AFRI-L100</v>
          </cell>
          <cell r="K124" t="str">
            <v>Dlamini,Betty Sibongile</v>
          </cell>
          <cell r="N124">
            <v>4</v>
          </cell>
          <cell r="O124">
            <v>3.129</v>
          </cell>
        </row>
        <row r="125">
          <cell r="E125" t="str">
            <v>AFRI</v>
          </cell>
          <cell r="F125" t="str">
            <v>AFRI-L</v>
          </cell>
          <cell r="G125">
            <v>100</v>
          </cell>
          <cell r="H125" t="str">
            <v>AFRI-L100</v>
          </cell>
          <cell r="K125" t="str">
            <v>Essien,Hannah</v>
          </cell>
          <cell r="N125">
            <v>3.403</v>
          </cell>
          <cell r="O125">
            <v>2.82</v>
          </cell>
        </row>
        <row r="126">
          <cell r="E126" t="str">
            <v>AFRI</v>
          </cell>
          <cell r="F126" t="str">
            <v>AFRI-L</v>
          </cell>
          <cell r="G126">
            <v>100</v>
          </cell>
          <cell r="H126" t="str">
            <v>AFRI-L100</v>
          </cell>
          <cell r="K126" t="str">
            <v>Essien,Hannah</v>
          </cell>
          <cell r="N126">
            <v>3.7570000000000001</v>
          </cell>
          <cell r="O126">
            <v>2.82</v>
          </cell>
        </row>
        <row r="127">
          <cell r="E127" t="str">
            <v>AFRI</v>
          </cell>
          <cell r="F127" t="str">
            <v>AFRI-L</v>
          </cell>
          <cell r="G127">
            <v>100</v>
          </cell>
          <cell r="H127" t="str">
            <v>AFRI-L100</v>
          </cell>
          <cell r="K127" t="str">
            <v>Lekoba,Sindisiwe Sindy Lorraine</v>
          </cell>
          <cell r="N127">
            <v>4</v>
          </cell>
          <cell r="O127">
            <v>2.7759999999999998</v>
          </cell>
        </row>
        <row r="128">
          <cell r="E128" t="str">
            <v>AFRI</v>
          </cell>
          <cell r="F128" t="str">
            <v>AFRI-L</v>
          </cell>
          <cell r="G128">
            <v>100</v>
          </cell>
          <cell r="H128" t="str">
            <v>AFRI-L100</v>
          </cell>
          <cell r="K128" t="str">
            <v>Sow,Amadou Beidy</v>
          </cell>
          <cell r="N128">
            <v>3.8319999999999999</v>
          </cell>
          <cell r="O128">
            <v>2.9870000000000001</v>
          </cell>
        </row>
        <row r="129">
          <cell r="E129" t="str">
            <v>AFRI</v>
          </cell>
          <cell r="F129" t="str">
            <v>AFRI-L</v>
          </cell>
          <cell r="G129">
            <v>100</v>
          </cell>
          <cell r="H129" t="str">
            <v>AFRI-L100</v>
          </cell>
          <cell r="K129" t="str">
            <v>Sow,Amadou Beidy</v>
          </cell>
          <cell r="N129">
            <v>3.9169999999999998</v>
          </cell>
          <cell r="O129">
            <v>2.7949999999999999</v>
          </cell>
        </row>
        <row r="130">
          <cell r="E130" t="str">
            <v>AFRI</v>
          </cell>
          <cell r="F130" t="str">
            <v>AFRI-L</v>
          </cell>
          <cell r="G130">
            <v>202</v>
          </cell>
          <cell r="H130" t="str">
            <v>AFRI-L202</v>
          </cell>
          <cell r="K130" t="str">
            <v>Adu-Amankwah,David</v>
          </cell>
          <cell r="N130">
            <v>3.1429999999999998</v>
          </cell>
          <cell r="O130">
            <v>2.6720000000000002</v>
          </cell>
        </row>
        <row r="131">
          <cell r="E131" t="str">
            <v>AFRI</v>
          </cell>
          <cell r="F131" t="str">
            <v>AFRI-L</v>
          </cell>
          <cell r="G131">
            <v>202</v>
          </cell>
          <cell r="H131" t="str">
            <v>AFRI-L202</v>
          </cell>
          <cell r="K131" t="str">
            <v>Adu-Amankwah,David</v>
          </cell>
          <cell r="N131">
            <v>3.3210000000000002</v>
          </cell>
          <cell r="O131">
            <v>2.8519999999999999</v>
          </cell>
        </row>
        <row r="132">
          <cell r="E132" t="str">
            <v>AFRI</v>
          </cell>
          <cell r="F132" t="str">
            <v>AFRI-L</v>
          </cell>
          <cell r="G132">
            <v>210</v>
          </cell>
          <cell r="H132" t="str">
            <v>AFRI-L210</v>
          </cell>
          <cell r="K132" t="str">
            <v>Adu-Amankwah,David</v>
          </cell>
          <cell r="N132">
            <v>2.56</v>
          </cell>
          <cell r="O132">
            <v>2.6309999999999998</v>
          </cell>
        </row>
        <row r="133">
          <cell r="E133" t="str">
            <v>AFRI</v>
          </cell>
          <cell r="F133" t="str">
            <v>AFRI-L</v>
          </cell>
          <cell r="G133">
            <v>231</v>
          </cell>
          <cell r="H133" t="str">
            <v>AFRI-L231</v>
          </cell>
          <cell r="K133" t="str">
            <v>Hanson,John Henry</v>
          </cell>
          <cell r="N133">
            <v>3.32</v>
          </cell>
          <cell r="O133">
            <v>3.2130000000000001</v>
          </cell>
        </row>
        <row r="134">
          <cell r="E134" t="str">
            <v>AFRI</v>
          </cell>
          <cell r="F134" t="str">
            <v>AFRI-L</v>
          </cell>
          <cell r="G134">
            <v>232</v>
          </cell>
          <cell r="H134" t="str">
            <v>AFRI-L232</v>
          </cell>
          <cell r="K134" t="str">
            <v>Wiley,Katherine Ann</v>
          </cell>
          <cell r="N134">
            <v>3.371</v>
          </cell>
          <cell r="O134">
            <v>3.1160000000000001</v>
          </cell>
        </row>
        <row r="135">
          <cell r="E135" t="str">
            <v>AFRI</v>
          </cell>
          <cell r="F135" t="str">
            <v>AFRI-L</v>
          </cell>
          <cell r="G135">
            <v>250</v>
          </cell>
          <cell r="H135" t="str">
            <v>AFRI-L250</v>
          </cell>
          <cell r="K135" t="str">
            <v>Adu-Amankwah,David</v>
          </cell>
          <cell r="N135">
            <v>3.1789999999999998</v>
          </cell>
          <cell r="O135">
            <v>2.8450000000000002</v>
          </cell>
        </row>
        <row r="136">
          <cell r="E136" t="str">
            <v>AFRI</v>
          </cell>
          <cell r="F136" t="str">
            <v>AFRI-L</v>
          </cell>
          <cell r="G136">
            <v>400</v>
          </cell>
          <cell r="H136" t="str">
            <v>AFRI-L400</v>
          </cell>
          <cell r="K136" t="str">
            <v>Dlamini,Betty Sibongile</v>
          </cell>
          <cell r="N136">
            <v>3.9489999999999998</v>
          </cell>
          <cell r="O136">
            <v>2.9380000000000002</v>
          </cell>
        </row>
        <row r="137">
          <cell r="E137" t="str">
            <v>AFRI</v>
          </cell>
          <cell r="F137" t="str">
            <v>AFRI-L</v>
          </cell>
          <cell r="G137">
            <v>400</v>
          </cell>
          <cell r="H137" t="str">
            <v>AFRI-L400</v>
          </cell>
          <cell r="K137" t="str">
            <v>Dlamini,Betty Sibongile</v>
          </cell>
          <cell r="N137">
            <v>3.948</v>
          </cell>
          <cell r="O137">
            <v>2.8109999999999999</v>
          </cell>
        </row>
        <row r="138">
          <cell r="E138" t="str">
            <v>AFRI</v>
          </cell>
          <cell r="F138" t="str">
            <v>AFRI-L</v>
          </cell>
          <cell r="G138">
            <v>400</v>
          </cell>
          <cell r="H138" t="str">
            <v>AFRI-L400</v>
          </cell>
          <cell r="K138" t="str">
            <v>Grosz-Ngate',Maria</v>
          </cell>
          <cell r="N138" t="str">
            <v>NR</v>
          </cell>
          <cell r="O138" t="str">
            <v>NR</v>
          </cell>
        </row>
        <row r="139">
          <cell r="E139" t="str">
            <v>AFRI</v>
          </cell>
          <cell r="F139" t="str">
            <v>AFRI-L</v>
          </cell>
          <cell r="G139">
            <v>401</v>
          </cell>
          <cell r="H139" t="str">
            <v>AFRI-L401</v>
          </cell>
          <cell r="K139" t="str">
            <v>Grosz-Ngate',Maria</v>
          </cell>
          <cell r="N139" t="str">
            <v>NR</v>
          </cell>
          <cell r="O139" t="str">
            <v>NR</v>
          </cell>
        </row>
        <row r="140">
          <cell r="E140" t="str">
            <v>AMID</v>
          </cell>
          <cell r="F140" t="str">
            <v>AMID-D</v>
          </cell>
          <cell r="G140">
            <v>168</v>
          </cell>
          <cell r="H140" t="str">
            <v>AMID-D168</v>
          </cell>
          <cell r="K140" t="str">
            <v>Newman,Marleen</v>
          </cell>
          <cell r="N140">
            <v>3.3029999999999999</v>
          </cell>
          <cell r="O140">
            <v>2.9969999999999999</v>
          </cell>
        </row>
        <row r="141">
          <cell r="E141" t="str">
            <v>AMID</v>
          </cell>
          <cell r="F141" t="str">
            <v>AMID-D</v>
          </cell>
          <cell r="G141">
            <v>168</v>
          </cell>
          <cell r="H141" t="str">
            <v>AMID-D168</v>
          </cell>
          <cell r="K141" t="str">
            <v>Young,Barbara Lynne</v>
          </cell>
          <cell r="N141">
            <v>3.2839999999999998</v>
          </cell>
          <cell r="O141">
            <v>2.8530000000000002</v>
          </cell>
        </row>
        <row r="142">
          <cell r="E142" t="str">
            <v>AMID</v>
          </cell>
          <cell r="F142" t="str">
            <v>AMID-D</v>
          </cell>
          <cell r="G142">
            <v>191</v>
          </cell>
          <cell r="H142" t="str">
            <v>AMID-D191</v>
          </cell>
          <cell r="K142" t="str">
            <v>Mitchell,C. Thomas</v>
          </cell>
          <cell r="N142">
            <v>3.3039999999999998</v>
          </cell>
          <cell r="O142">
            <v>3.0680000000000001</v>
          </cell>
        </row>
        <row r="143">
          <cell r="E143" t="str">
            <v>AMID</v>
          </cell>
          <cell r="F143" t="str">
            <v>AMID-D</v>
          </cell>
          <cell r="G143">
            <v>191</v>
          </cell>
          <cell r="H143" t="str">
            <v>AMID-D191</v>
          </cell>
          <cell r="K143" t="str">
            <v>Smith,Kennon Michelle</v>
          </cell>
          <cell r="N143">
            <v>2.8439999999999999</v>
          </cell>
          <cell r="O143">
            <v>2.7629999999999999</v>
          </cell>
        </row>
        <row r="144">
          <cell r="E144" t="str">
            <v>AMID</v>
          </cell>
          <cell r="F144" t="str">
            <v>AMID-D</v>
          </cell>
          <cell r="G144">
            <v>192</v>
          </cell>
          <cell r="H144" t="str">
            <v>AMID-D192</v>
          </cell>
          <cell r="K144" t="str">
            <v>Smith,Kennon Michelle</v>
          </cell>
          <cell r="N144">
            <v>3.0209999999999999</v>
          </cell>
          <cell r="O144">
            <v>2.819</v>
          </cell>
        </row>
        <row r="145">
          <cell r="E145" t="str">
            <v>AMID</v>
          </cell>
          <cell r="F145" t="str">
            <v>AMID-D</v>
          </cell>
          <cell r="G145">
            <v>263</v>
          </cell>
          <cell r="H145" t="str">
            <v>AMID-D263</v>
          </cell>
          <cell r="K145" t="str">
            <v>Mitchell,C. Thomas</v>
          </cell>
          <cell r="N145">
            <v>3.5870000000000002</v>
          </cell>
          <cell r="O145">
            <v>3.2029999999999998</v>
          </cell>
        </row>
        <row r="146">
          <cell r="E146" t="str">
            <v>AMID</v>
          </cell>
          <cell r="F146" t="str">
            <v>AMID-D</v>
          </cell>
          <cell r="G146">
            <v>263</v>
          </cell>
          <cell r="H146" t="str">
            <v>AMID-D263</v>
          </cell>
          <cell r="K146" t="str">
            <v>Mitchell,C. Thomas</v>
          </cell>
          <cell r="N146">
            <v>3.1</v>
          </cell>
          <cell r="O146">
            <v>2.9470000000000001</v>
          </cell>
        </row>
        <row r="147">
          <cell r="E147" t="str">
            <v>AMID</v>
          </cell>
          <cell r="F147" t="str">
            <v>AMID-D</v>
          </cell>
          <cell r="G147">
            <v>264</v>
          </cell>
          <cell r="H147" t="str">
            <v>AMID-D264</v>
          </cell>
          <cell r="K147" t="str">
            <v>Ressler,Kara Marie</v>
          </cell>
          <cell r="N147">
            <v>3.1059999999999999</v>
          </cell>
          <cell r="O147">
            <v>3.1549999999999998</v>
          </cell>
        </row>
        <row r="148">
          <cell r="E148" t="str">
            <v>AMID</v>
          </cell>
          <cell r="F148" t="str">
            <v>AMID-D</v>
          </cell>
          <cell r="G148">
            <v>264</v>
          </cell>
          <cell r="H148" t="str">
            <v>AMID-D264</v>
          </cell>
          <cell r="K148" t="str">
            <v>Young,Barbara Lynne</v>
          </cell>
          <cell r="N148">
            <v>2.907</v>
          </cell>
          <cell r="O148">
            <v>2.7480000000000002</v>
          </cell>
        </row>
        <row r="149">
          <cell r="E149" t="str">
            <v>AMID</v>
          </cell>
          <cell r="F149" t="str">
            <v>AMID-D</v>
          </cell>
          <cell r="G149">
            <v>268</v>
          </cell>
          <cell r="H149" t="str">
            <v>AMID-D268</v>
          </cell>
          <cell r="K149" t="str">
            <v>Mitchell,C. Thomas</v>
          </cell>
          <cell r="N149">
            <v>2.782</v>
          </cell>
          <cell r="O149">
            <v>3.036</v>
          </cell>
        </row>
        <row r="150">
          <cell r="E150" t="str">
            <v>AMID</v>
          </cell>
          <cell r="F150" t="str">
            <v>AMID-D</v>
          </cell>
          <cell r="G150">
            <v>268</v>
          </cell>
          <cell r="H150" t="str">
            <v>AMID-D268</v>
          </cell>
          <cell r="K150" t="str">
            <v>Mitchell,C. Thomas</v>
          </cell>
          <cell r="N150">
            <v>3.1640000000000001</v>
          </cell>
          <cell r="O150">
            <v>2.9079999999999999</v>
          </cell>
        </row>
        <row r="151">
          <cell r="E151" t="str">
            <v>AMID</v>
          </cell>
          <cell r="F151" t="str">
            <v>AMID-D</v>
          </cell>
          <cell r="G151">
            <v>271</v>
          </cell>
          <cell r="H151" t="str">
            <v>AMID-D271</v>
          </cell>
          <cell r="K151" t="str">
            <v>Newman,Marleen</v>
          </cell>
          <cell r="N151">
            <v>3.5190000000000001</v>
          </cell>
          <cell r="O151">
            <v>2.96</v>
          </cell>
        </row>
        <row r="152">
          <cell r="E152" t="str">
            <v>AMID</v>
          </cell>
          <cell r="F152" t="str">
            <v>AMID-D</v>
          </cell>
          <cell r="G152">
            <v>272</v>
          </cell>
          <cell r="H152" t="str">
            <v>AMID-D272</v>
          </cell>
          <cell r="K152" t="str">
            <v>Newman,Marleen</v>
          </cell>
          <cell r="N152">
            <v>3.3929999999999998</v>
          </cell>
          <cell r="O152">
            <v>3.089</v>
          </cell>
        </row>
        <row r="153">
          <cell r="E153" t="str">
            <v>AMID</v>
          </cell>
          <cell r="F153" t="str">
            <v>AMID-D</v>
          </cell>
          <cell r="G153">
            <v>277</v>
          </cell>
          <cell r="H153" t="str">
            <v>AMID-D277</v>
          </cell>
          <cell r="K153" t="str">
            <v>Loalbo,Michael John</v>
          </cell>
          <cell r="N153">
            <v>3.0590000000000002</v>
          </cell>
          <cell r="O153">
            <v>3.089</v>
          </cell>
        </row>
        <row r="154">
          <cell r="E154" t="str">
            <v>AMID</v>
          </cell>
          <cell r="F154" t="str">
            <v>AMID-D</v>
          </cell>
          <cell r="G154">
            <v>290</v>
          </cell>
          <cell r="H154" t="str">
            <v>AMID-D290</v>
          </cell>
          <cell r="K154" t="str">
            <v>Racek,Jonathan</v>
          </cell>
          <cell r="N154">
            <v>3.6059999999999999</v>
          </cell>
          <cell r="O154">
            <v>3.1760000000000002</v>
          </cell>
        </row>
        <row r="155">
          <cell r="E155" t="str">
            <v>AMID</v>
          </cell>
          <cell r="F155" t="str">
            <v>AMID-D</v>
          </cell>
          <cell r="G155">
            <v>290</v>
          </cell>
          <cell r="H155" t="str">
            <v>AMID-D290</v>
          </cell>
          <cell r="K155" t="str">
            <v>Wu,Jiangmei</v>
          </cell>
          <cell r="N155">
            <v>3.7</v>
          </cell>
          <cell r="O155">
            <v>3.1539999999999999</v>
          </cell>
        </row>
        <row r="156">
          <cell r="E156" t="str">
            <v>AMID</v>
          </cell>
          <cell r="F156" t="str">
            <v>AMID-D</v>
          </cell>
          <cell r="G156">
            <v>335</v>
          </cell>
          <cell r="H156" t="str">
            <v>AMID-D335</v>
          </cell>
          <cell r="K156" t="str">
            <v>Shakespeare,Marie D</v>
          </cell>
          <cell r="N156">
            <v>3.3119999999999998</v>
          </cell>
          <cell r="O156">
            <v>3.1739999999999999</v>
          </cell>
        </row>
        <row r="157">
          <cell r="E157" t="str">
            <v>AMID</v>
          </cell>
          <cell r="F157" t="str">
            <v>AMID-D</v>
          </cell>
          <cell r="G157">
            <v>336</v>
          </cell>
          <cell r="H157" t="str">
            <v>AMID-D336</v>
          </cell>
          <cell r="K157" t="str">
            <v>Shakespeare,Marie D</v>
          </cell>
          <cell r="N157">
            <v>3.508</v>
          </cell>
          <cell r="O157">
            <v>3.2869999999999999</v>
          </cell>
        </row>
        <row r="158">
          <cell r="E158" t="str">
            <v>AMID</v>
          </cell>
          <cell r="F158" t="str">
            <v>AMID-D</v>
          </cell>
          <cell r="G158">
            <v>365</v>
          </cell>
          <cell r="H158" t="str">
            <v>AMID-D365</v>
          </cell>
          <cell r="K158" t="str">
            <v>Smith,Kennon Michelle</v>
          </cell>
          <cell r="N158">
            <v>3.6920000000000002</v>
          </cell>
          <cell r="O158">
            <v>3.1739999999999999</v>
          </cell>
        </row>
        <row r="159">
          <cell r="E159" t="str">
            <v>AMID</v>
          </cell>
          <cell r="F159" t="str">
            <v>AMID-D</v>
          </cell>
          <cell r="G159">
            <v>373</v>
          </cell>
          <cell r="H159" t="str">
            <v>AMID-D373</v>
          </cell>
          <cell r="K159" t="str">
            <v>Smith,Kennon Michelle</v>
          </cell>
          <cell r="N159">
            <v>3.5230000000000001</v>
          </cell>
          <cell r="O159">
            <v>3.1739999999999999</v>
          </cell>
        </row>
        <row r="160">
          <cell r="E160" t="str">
            <v>AMID</v>
          </cell>
          <cell r="F160" t="str">
            <v>AMID-D</v>
          </cell>
          <cell r="G160">
            <v>374</v>
          </cell>
          <cell r="H160" t="str">
            <v>AMID-D374</v>
          </cell>
          <cell r="K160" t="str">
            <v>Young,Barbara Lynne</v>
          </cell>
          <cell r="N160">
            <v>3.1760000000000002</v>
          </cell>
          <cell r="O160">
            <v>3.2869999999999999</v>
          </cell>
        </row>
        <row r="161">
          <cell r="E161" t="str">
            <v>AMID</v>
          </cell>
          <cell r="F161" t="str">
            <v>AMID-D</v>
          </cell>
          <cell r="G161">
            <v>394</v>
          </cell>
          <cell r="H161" t="str">
            <v>AMID-D394</v>
          </cell>
          <cell r="K161" t="str">
            <v>Racek,Jonathan</v>
          </cell>
          <cell r="N161">
            <v>3.5350000000000001</v>
          </cell>
          <cell r="O161">
            <v>3.1739999999999999</v>
          </cell>
        </row>
        <row r="162">
          <cell r="E162" t="str">
            <v>AMID</v>
          </cell>
          <cell r="F162" t="str">
            <v>AMID-D</v>
          </cell>
          <cell r="G162">
            <v>469</v>
          </cell>
          <cell r="H162" t="str">
            <v>AMID-D469</v>
          </cell>
          <cell r="K162" t="str">
            <v>Young,Barbara Lynne</v>
          </cell>
          <cell r="N162">
            <v>3.4140000000000001</v>
          </cell>
          <cell r="O162">
            <v>3.2879999999999998</v>
          </cell>
        </row>
        <row r="163">
          <cell r="E163" t="str">
            <v>AMID</v>
          </cell>
          <cell r="F163" t="str">
            <v>AMID-D</v>
          </cell>
          <cell r="G163">
            <v>475</v>
          </cell>
          <cell r="H163" t="str">
            <v>AMID-D475</v>
          </cell>
          <cell r="K163" t="str">
            <v>Young,Barbara Lynne</v>
          </cell>
          <cell r="N163">
            <v>3.4769999999999999</v>
          </cell>
          <cell r="O163">
            <v>3.2879999999999998</v>
          </cell>
        </row>
        <row r="164">
          <cell r="E164" t="str">
            <v>AMID</v>
          </cell>
          <cell r="F164" t="str">
            <v>AMID-D</v>
          </cell>
          <cell r="G164">
            <v>476</v>
          </cell>
          <cell r="H164" t="str">
            <v>AMID-D476</v>
          </cell>
          <cell r="K164" t="str">
            <v>Loalbo,Michael John</v>
          </cell>
          <cell r="N164">
            <v>3.452</v>
          </cell>
          <cell r="O164">
            <v>3.2730000000000001</v>
          </cell>
        </row>
        <row r="165">
          <cell r="E165" t="str">
            <v>AMID</v>
          </cell>
          <cell r="F165" t="str">
            <v>AMID-D</v>
          </cell>
          <cell r="G165">
            <v>476</v>
          </cell>
          <cell r="H165" t="str">
            <v>AMID-D476</v>
          </cell>
          <cell r="K165" t="str">
            <v>Newman,Marleen</v>
          </cell>
          <cell r="N165">
            <v>4</v>
          </cell>
          <cell r="O165">
            <v>3.3820000000000001</v>
          </cell>
        </row>
        <row r="166">
          <cell r="E166" t="str">
            <v>AMID</v>
          </cell>
          <cell r="F166" t="str">
            <v>AMID-F</v>
          </cell>
          <cell r="G166">
            <v>202</v>
          </cell>
          <cell r="H166" t="str">
            <v>AMID-F202</v>
          </cell>
          <cell r="K166" t="str">
            <v>Matranga,Mary Jane</v>
          </cell>
          <cell r="N166">
            <v>3.3820000000000001</v>
          </cell>
          <cell r="O166">
            <v>2.677</v>
          </cell>
        </row>
        <row r="167">
          <cell r="E167" t="str">
            <v>AMID</v>
          </cell>
          <cell r="F167" t="str">
            <v>AMID-F</v>
          </cell>
          <cell r="G167">
            <v>202</v>
          </cell>
          <cell r="H167" t="str">
            <v>AMID-F202</v>
          </cell>
          <cell r="K167" t="str">
            <v>Matranga,Mary Jane</v>
          </cell>
          <cell r="N167">
            <v>3.6920000000000002</v>
          </cell>
          <cell r="O167">
            <v>2.8479999999999999</v>
          </cell>
        </row>
        <row r="168">
          <cell r="E168" t="str">
            <v>AMID</v>
          </cell>
          <cell r="F168" t="str">
            <v>AMID-F</v>
          </cell>
          <cell r="G168">
            <v>202</v>
          </cell>
          <cell r="H168" t="str">
            <v>AMID-F202</v>
          </cell>
          <cell r="K168" t="str">
            <v>Matranga,Mary Jane</v>
          </cell>
          <cell r="N168">
            <v>3.8119999999999998</v>
          </cell>
          <cell r="O168">
            <v>2.89</v>
          </cell>
        </row>
        <row r="169">
          <cell r="E169" t="str">
            <v>AMID</v>
          </cell>
          <cell r="F169" t="str">
            <v>AMID-F</v>
          </cell>
          <cell r="G169">
            <v>202</v>
          </cell>
          <cell r="H169" t="str">
            <v>AMID-F202</v>
          </cell>
          <cell r="K169" t="str">
            <v>Matranga,Mary Jane</v>
          </cell>
          <cell r="N169">
            <v>2.964</v>
          </cell>
          <cell r="O169">
            <v>2.5110000000000001</v>
          </cell>
        </row>
        <row r="170">
          <cell r="E170" t="str">
            <v>AMID</v>
          </cell>
          <cell r="F170" t="str">
            <v>AMID-F</v>
          </cell>
          <cell r="G170">
            <v>202</v>
          </cell>
          <cell r="H170" t="str">
            <v>AMID-F202</v>
          </cell>
          <cell r="K170" t="str">
            <v>Matranga,Mary Jane</v>
          </cell>
          <cell r="N170">
            <v>2.8759999999999999</v>
          </cell>
          <cell r="O170">
            <v>2.9580000000000002</v>
          </cell>
        </row>
        <row r="171">
          <cell r="E171" t="str">
            <v>AMID</v>
          </cell>
          <cell r="F171" t="str">
            <v>AMID-F</v>
          </cell>
          <cell r="G171">
            <v>202</v>
          </cell>
          <cell r="H171" t="str">
            <v>AMID-F202</v>
          </cell>
          <cell r="K171" t="str">
            <v>Matranga,Mary Jane</v>
          </cell>
          <cell r="N171">
            <v>3.1829999999999998</v>
          </cell>
          <cell r="O171">
            <v>3.04</v>
          </cell>
        </row>
        <row r="172">
          <cell r="E172" t="str">
            <v>AMID</v>
          </cell>
          <cell r="F172" t="str">
            <v>AMID-F</v>
          </cell>
          <cell r="G172">
            <v>202</v>
          </cell>
          <cell r="H172" t="str">
            <v>AMID-F202</v>
          </cell>
          <cell r="K172" t="str">
            <v>Matranga,Mary Jane</v>
          </cell>
          <cell r="N172">
            <v>3.3780000000000001</v>
          </cell>
          <cell r="O172">
            <v>3.1309999999999998</v>
          </cell>
        </row>
        <row r="173">
          <cell r="E173" t="str">
            <v>AMID</v>
          </cell>
          <cell r="F173" t="str">
            <v>AMID-F</v>
          </cell>
          <cell r="G173">
            <v>202</v>
          </cell>
          <cell r="H173" t="str">
            <v>AMID-F202</v>
          </cell>
          <cell r="K173" t="str">
            <v>Matranga,Mary Jane</v>
          </cell>
          <cell r="N173">
            <v>3.22</v>
          </cell>
          <cell r="O173">
            <v>3.0369999999999999</v>
          </cell>
        </row>
        <row r="174">
          <cell r="E174" t="str">
            <v>AMID</v>
          </cell>
          <cell r="F174" t="str">
            <v>AMID-F</v>
          </cell>
          <cell r="G174">
            <v>202</v>
          </cell>
          <cell r="H174" t="str">
            <v>AMID-F202</v>
          </cell>
          <cell r="K174" t="str">
            <v>Matranga,Mary Jane</v>
          </cell>
          <cell r="N174">
            <v>3.2250000000000001</v>
          </cell>
          <cell r="O174">
            <v>3.0190000000000001</v>
          </cell>
        </row>
        <row r="175">
          <cell r="E175" t="str">
            <v>AMID</v>
          </cell>
          <cell r="F175" t="str">
            <v>AMID-F</v>
          </cell>
          <cell r="G175">
            <v>203</v>
          </cell>
          <cell r="H175" t="str">
            <v>AMID-F203</v>
          </cell>
          <cell r="K175" t="str">
            <v>Akou,Heather Marie</v>
          </cell>
          <cell r="N175">
            <v>3.3450000000000002</v>
          </cell>
          <cell r="O175">
            <v>2.7829999999999999</v>
          </cell>
        </row>
        <row r="176">
          <cell r="E176" t="str">
            <v>AMID</v>
          </cell>
          <cell r="F176" t="str">
            <v>AMID-F</v>
          </cell>
          <cell r="G176">
            <v>203</v>
          </cell>
          <cell r="H176" t="str">
            <v>AMID-F203</v>
          </cell>
          <cell r="K176" t="str">
            <v>Akou,Heather Marie</v>
          </cell>
          <cell r="N176">
            <v>3.2170000000000001</v>
          </cell>
          <cell r="O176">
            <v>3.0489999999999999</v>
          </cell>
        </row>
        <row r="177">
          <cell r="E177" t="str">
            <v>AMID</v>
          </cell>
          <cell r="F177" t="str">
            <v>AMID-F</v>
          </cell>
          <cell r="G177">
            <v>207</v>
          </cell>
          <cell r="H177" t="str">
            <v>AMID-F207</v>
          </cell>
          <cell r="K177" t="str">
            <v>Christiansen,Deborah Lynn</v>
          </cell>
          <cell r="N177">
            <v>3.4</v>
          </cell>
          <cell r="O177">
            <v>3.2759999999999998</v>
          </cell>
        </row>
        <row r="178">
          <cell r="E178" t="str">
            <v>AMID</v>
          </cell>
          <cell r="F178" t="str">
            <v>AMID-F</v>
          </cell>
          <cell r="G178">
            <v>207</v>
          </cell>
          <cell r="H178" t="str">
            <v>AMID-F207</v>
          </cell>
          <cell r="K178" t="str">
            <v>Rowold,Kathleen</v>
          </cell>
          <cell r="N178">
            <v>2.5150000000000001</v>
          </cell>
          <cell r="O178">
            <v>2.923</v>
          </cell>
        </row>
        <row r="179">
          <cell r="E179" t="str">
            <v>AMID</v>
          </cell>
          <cell r="F179" t="str">
            <v>AMID-F</v>
          </cell>
          <cell r="G179">
            <v>213</v>
          </cell>
          <cell r="H179" t="str">
            <v>AMID-F213</v>
          </cell>
          <cell r="K179" t="str">
            <v>Dombek-Keith,Kathleen Michelle</v>
          </cell>
          <cell r="N179">
            <v>2.9849999999999999</v>
          </cell>
          <cell r="O179">
            <v>2.923</v>
          </cell>
        </row>
        <row r="180">
          <cell r="E180" t="str">
            <v>AMID</v>
          </cell>
          <cell r="F180" t="str">
            <v>AMID-F</v>
          </cell>
          <cell r="G180">
            <v>213</v>
          </cell>
          <cell r="H180" t="str">
            <v>AMID-F213</v>
          </cell>
          <cell r="K180" t="str">
            <v>Dombek-Keith,Kathleen Michelle</v>
          </cell>
          <cell r="N180">
            <v>3.492</v>
          </cell>
          <cell r="O180">
            <v>3.306</v>
          </cell>
        </row>
        <row r="181">
          <cell r="E181" t="str">
            <v>AMID</v>
          </cell>
          <cell r="F181" t="str">
            <v>AMID-F</v>
          </cell>
          <cell r="G181">
            <v>217</v>
          </cell>
          <cell r="H181" t="str">
            <v>AMID-F217</v>
          </cell>
          <cell r="K181" t="str">
            <v>Dombek-Keith,Kathleen Michelle</v>
          </cell>
          <cell r="N181">
            <v>2.875</v>
          </cell>
          <cell r="O181">
            <v>3.0070000000000001</v>
          </cell>
        </row>
        <row r="182">
          <cell r="E182" t="str">
            <v>AMID</v>
          </cell>
          <cell r="F182" t="str">
            <v>AMID-F</v>
          </cell>
          <cell r="G182">
            <v>217</v>
          </cell>
          <cell r="H182" t="str">
            <v>AMID-F217</v>
          </cell>
          <cell r="K182" t="str">
            <v>Dombek-Keith,Kathleen Michelle</v>
          </cell>
          <cell r="N182">
            <v>3.2130000000000001</v>
          </cell>
          <cell r="O182">
            <v>3.2080000000000002</v>
          </cell>
        </row>
        <row r="183">
          <cell r="E183" t="str">
            <v>AMID</v>
          </cell>
          <cell r="F183" t="str">
            <v>AMID-F</v>
          </cell>
          <cell r="G183">
            <v>301</v>
          </cell>
          <cell r="H183" t="str">
            <v>AMID-F301</v>
          </cell>
          <cell r="K183" t="str">
            <v>Akou,Heather Marie</v>
          </cell>
          <cell r="N183">
            <v>3.7229999999999999</v>
          </cell>
          <cell r="O183">
            <v>3.16</v>
          </cell>
        </row>
        <row r="184">
          <cell r="E184" t="str">
            <v>AMID</v>
          </cell>
          <cell r="F184" t="str">
            <v>AMID-F</v>
          </cell>
          <cell r="G184">
            <v>303</v>
          </cell>
          <cell r="H184" t="str">
            <v>AMID-F303</v>
          </cell>
          <cell r="K184" t="str">
            <v>Christiansen,Deborah Lynn</v>
          </cell>
          <cell r="N184">
            <v>2.9249999999999998</v>
          </cell>
          <cell r="O184">
            <v>3.0070000000000001</v>
          </cell>
        </row>
        <row r="185">
          <cell r="E185" t="str">
            <v>AMID</v>
          </cell>
          <cell r="F185" t="str">
            <v>AMID-F</v>
          </cell>
          <cell r="G185">
            <v>303</v>
          </cell>
          <cell r="H185" t="str">
            <v>AMID-F303</v>
          </cell>
          <cell r="K185" t="str">
            <v>Christiansen,Deborah Lynn</v>
          </cell>
          <cell r="N185">
            <v>3.4249999999999998</v>
          </cell>
          <cell r="O185">
            <v>3.2080000000000002</v>
          </cell>
        </row>
        <row r="186">
          <cell r="E186" t="str">
            <v>AMID</v>
          </cell>
          <cell r="F186" t="str">
            <v>AMID-F</v>
          </cell>
          <cell r="G186">
            <v>303</v>
          </cell>
          <cell r="H186" t="str">
            <v>AMID-F303</v>
          </cell>
          <cell r="K186" t="str">
            <v>Rowold,Kathleen</v>
          </cell>
          <cell r="N186">
            <v>3.5139999999999998</v>
          </cell>
          <cell r="O186">
            <v>3.1819999999999999</v>
          </cell>
        </row>
        <row r="187">
          <cell r="E187" t="str">
            <v>AMID</v>
          </cell>
          <cell r="F187" t="str">
            <v>AMID-F</v>
          </cell>
          <cell r="G187">
            <v>305</v>
          </cell>
          <cell r="H187" t="str">
            <v>AMID-F305</v>
          </cell>
          <cell r="K187" t="str">
            <v>Christiansen,Deborah Lynn</v>
          </cell>
          <cell r="N187">
            <v>3.1419999999999999</v>
          </cell>
          <cell r="O187">
            <v>3.1789999999999998</v>
          </cell>
        </row>
        <row r="188">
          <cell r="E188" t="str">
            <v>AMID</v>
          </cell>
          <cell r="F188" t="str">
            <v>AMID-F</v>
          </cell>
          <cell r="G188">
            <v>306</v>
          </cell>
          <cell r="H188" t="str">
            <v>AMID-F306</v>
          </cell>
          <cell r="K188" t="str">
            <v>Matranga,Mary Jane</v>
          </cell>
          <cell r="N188" t="str">
            <v>NR</v>
          </cell>
          <cell r="O188" t="str">
            <v>NR</v>
          </cell>
        </row>
        <row r="189">
          <cell r="E189" t="str">
            <v>AMID</v>
          </cell>
          <cell r="F189" t="str">
            <v>AMID-F</v>
          </cell>
          <cell r="G189">
            <v>325</v>
          </cell>
          <cell r="H189" t="str">
            <v>AMID-F325</v>
          </cell>
          <cell r="K189" t="str">
            <v>Matranga,Mary Jane</v>
          </cell>
          <cell r="N189" t="str">
            <v>NR</v>
          </cell>
          <cell r="O189" t="str">
            <v>NR</v>
          </cell>
        </row>
        <row r="190">
          <cell r="E190" t="str">
            <v>AMID</v>
          </cell>
          <cell r="F190" t="str">
            <v>AMID-F</v>
          </cell>
          <cell r="G190">
            <v>328</v>
          </cell>
          <cell r="H190" t="str">
            <v>AMID-F328</v>
          </cell>
          <cell r="K190" t="str">
            <v>Dombek-Keith,Kathleen Michelle</v>
          </cell>
          <cell r="N190">
            <v>3.1930000000000001</v>
          </cell>
          <cell r="O190">
            <v>3.2480000000000002</v>
          </cell>
        </row>
        <row r="191">
          <cell r="E191" t="str">
            <v>AMID</v>
          </cell>
          <cell r="F191" t="str">
            <v>AMID-F</v>
          </cell>
          <cell r="G191">
            <v>340</v>
          </cell>
          <cell r="H191" t="str">
            <v>AMID-F340</v>
          </cell>
          <cell r="K191" t="str">
            <v>Rowold,Kathleen</v>
          </cell>
          <cell r="N191">
            <v>2.8570000000000002</v>
          </cell>
          <cell r="O191">
            <v>3.0680000000000001</v>
          </cell>
        </row>
        <row r="192">
          <cell r="E192" t="str">
            <v>AMID</v>
          </cell>
          <cell r="F192" t="str">
            <v>AMID-F</v>
          </cell>
          <cell r="G192">
            <v>352</v>
          </cell>
          <cell r="H192" t="str">
            <v>AMID-F352</v>
          </cell>
          <cell r="K192" t="str">
            <v>Akou,Heather Marie</v>
          </cell>
          <cell r="N192">
            <v>3.73</v>
          </cell>
          <cell r="O192">
            <v>3.1859999999999999</v>
          </cell>
        </row>
        <row r="193">
          <cell r="E193" t="str">
            <v>AMID</v>
          </cell>
          <cell r="F193" t="str">
            <v>AMID-F</v>
          </cell>
          <cell r="G193">
            <v>402</v>
          </cell>
          <cell r="H193" t="str">
            <v>AMID-F402</v>
          </cell>
          <cell r="K193" t="str">
            <v>Richardson,Kelly Gallett</v>
          </cell>
          <cell r="N193" t="str">
            <v>NR</v>
          </cell>
          <cell r="O193" t="str">
            <v>NR</v>
          </cell>
        </row>
        <row r="194">
          <cell r="E194" t="str">
            <v>AMID</v>
          </cell>
          <cell r="F194" t="str">
            <v>AMID-F</v>
          </cell>
          <cell r="G194">
            <v>402</v>
          </cell>
          <cell r="H194" t="str">
            <v>AMID-F402</v>
          </cell>
          <cell r="K194" t="str">
            <v>Richardson,Kelly Gallett</v>
          </cell>
          <cell r="N194">
            <v>4</v>
          </cell>
          <cell r="O194">
            <v>3.1160000000000001</v>
          </cell>
        </row>
        <row r="195">
          <cell r="E195" t="str">
            <v>AMID</v>
          </cell>
          <cell r="F195" t="str">
            <v>AMID-F</v>
          </cell>
          <cell r="G195">
            <v>403</v>
          </cell>
          <cell r="H195" t="str">
            <v>AMID-F403</v>
          </cell>
          <cell r="K195" t="str">
            <v>Richardson,Kelly Gallett</v>
          </cell>
          <cell r="N195" t="str">
            <v>NR</v>
          </cell>
          <cell r="O195" t="str">
            <v>NR</v>
          </cell>
        </row>
        <row r="196">
          <cell r="E196" t="str">
            <v>AMID</v>
          </cell>
          <cell r="F196" t="str">
            <v>AMID-F</v>
          </cell>
          <cell r="G196">
            <v>403</v>
          </cell>
          <cell r="H196" t="str">
            <v>AMID-F403</v>
          </cell>
          <cell r="K196" t="str">
            <v>Richardson,Kelly Gallett</v>
          </cell>
          <cell r="N196" t="str">
            <v>NR</v>
          </cell>
          <cell r="O196" t="str">
            <v>NR</v>
          </cell>
        </row>
        <row r="197">
          <cell r="E197" t="str">
            <v>AMID</v>
          </cell>
          <cell r="F197" t="str">
            <v>AMID-F</v>
          </cell>
          <cell r="G197">
            <v>408</v>
          </cell>
          <cell r="H197" t="str">
            <v>AMID-F408</v>
          </cell>
          <cell r="K197" t="str">
            <v>Christiansen,Deborah Lynn</v>
          </cell>
          <cell r="N197">
            <v>3.528</v>
          </cell>
          <cell r="O197">
            <v>3.2450000000000001</v>
          </cell>
        </row>
        <row r="198">
          <cell r="E198" t="str">
            <v>AMID</v>
          </cell>
          <cell r="F198" t="str">
            <v>AMID-F</v>
          </cell>
          <cell r="G198">
            <v>415</v>
          </cell>
          <cell r="H198" t="str">
            <v>AMID-F415</v>
          </cell>
          <cell r="K198" t="str">
            <v>Embry,Mary Christine</v>
          </cell>
          <cell r="N198">
            <v>3.9630000000000001</v>
          </cell>
          <cell r="O198">
            <v>2.948</v>
          </cell>
        </row>
        <row r="199">
          <cell r="E199" t="str">
            <v>AMID</v>
          </cell>
          <cell r="F199" t="str">
            <v>AMID-F</v>
          </cell>
          <cell r="G199">
            <v>415</v>
          </cell>
          <cell r="H199" t="str">
            <v>AMID-F415</v>
          </cell>
          <cell r="K199" t="str">
            <v>Hasty,Ashley</v>
          </cell>
          <cell r="N199">
            <v>3.5640000000000001</v>
          </cell>
          <cell r="O199">
            <v>2.964</v>
          </cell>
        </row>
        <row r="200">
          <cell r="E200" t="str">
            <v>AMID</v>
          </cell>
          <cell r="F200" t="str">
            <v>AMID-F</v>
          </cell>
          <cell r="G200">
            <v>417</v>
          </cell>
          <cell r="H200" t="str">
            <v>AMID-F417</v>
          </cell>
          <cell r="K200" t="str">
            <v>Dombek-Keith,Kathleen Michelle</v>
          </cell>
          <cell r="N200">
            <v>3.278</v>
          </cell>
          <cell r="O200">
            <v>3.3050000000000002</v>
          </cell>
        </row>
        <row r="201">
          <cell r="E201" t="str">
            <v>AMID</v>
          </cell>
          <cell r="F201" t="str">
            <v>AMID-H</v>
          </cell>
          <cell r="G201">
            <v>519</v>
          </cell>
          <cell r="H201" t="str">
            <v>AMID-H519</v>
          </cell>
          <cell r="K201" t="str">
            <v>Rowold,Kathleen</v>
          </cell>
          <cell r="N201" t="str">
            <v>NR</v>
          </cell>
          <cell r="O201" t="str">
            <v>NR</v>
          </cell>
        </row>
        <row r="202">
          <cell r="E202" t="str">
            <v>AMID</v>
          </cell>
          <cell r="F202" t="str">
            <v>AMID-R</v>
          </cell>
          <cell r="G202">
            <v>100</v>
          </cell>
          <cell r="H202" t="str">
            <v>AMID-R100</v>
          </cell>
          <cell r="K202" t="str">
            <v>Christiansen,Deborah Lynn</v>
          </cell>
          <cell r="N202">
            <v>2.605</v>
          </cell>
          <cell r="O202">
            <v>2.8069999999999999</v>
          </cell>
        </row>
        <row r="203">
          <cell r="E203" t="str">
            <v>AMID</v>
          </cell>
          <cell r="F203" t="str">
            <v>AMID-R</v>
          </cell>
          <cell r="G203">
            <v>100</v>
          </cell>
          <cell r="H203" t="str">
            <v>AMID-R100</v>
          </cell>
          <cell r="K203" t="str">
            <v>Shaffer,Janis Lynn</v>
          </cell>
          <cell r="N203">
            <v>2.6869999999999998</v>
          </cell>
          <cell r="O203">
            <v>2.867</v>
          </cell>
        </row>
        <row r="204">
          <cell r="E204" t="str">
            <v>AMID</v>
          </cell>
          <cell r="F204" t="str">
            <v>AMID-R</v>
          </cell>
          <cell r="G204">
            <v>100</v>
          </cell>
          <cell r="H204" t="str">
            <v>AMID-R100</v>
          </cell>
          <cell r="K204" t="str">
            <v>Shaffer,Janis Lynn</v>
          </cell>
          <cell r="N204">
            <v>2.4729999999999999</v>
          </cell>
          <cell r="O204">
            <v>2.7</v>
          </cell>
        </row>
        <row r="205">
          <cell r="E205" t="str">
            <v>AMID</v>
          </cell>
          <cell r="F205" t="str">
            <v>AMID-R</v>
          </cell>
          <cell r="G205">
            <v>204</v>
          </cell>
          <cell r="H205" t="str">
            <v>AMID-R204</v>
          </cell>
          <cell r="K205" t="str">
            <v>Bomberger,David Rick</v>
          </cell>
          <cell r="N205">
            <v>3.335</v>
          </cell>
          <cell r="O205">
            <v>2.919</v>
          </cell>
        </row>
        <row r="206">
          <cell r="E206" t="str">
            <v>AMID</v>
          </cell>
          <cell r="F206" t="str">
            <v>AMID-R</v>
          </cell>
          <cell r="G206">
            <v>204</v>
          </cell>
          <cell r="H206" t="str">
            <v>AMID-R204</v>
          </cell>
          <cell r="K206" t="str">
            <v>Bomberger,David Rick</v>
          </cell>
          <cell r="N206">
            <v>3.3620000000000001</v>
          </cell>
          <cell r="O206">
            <v>2.9990000000000001</v>
          </cell>
        </row>
        <row r="207">
          <cell r="E207" t="str">
            <v>AMID</v>
          </cell>
          <cell r="F207" t="str">
            <v>AMID-R</v>
          </cell>
          <cell r="G207">
            <v>204</v>
          </cell>
          <cell r="H207" t="str">
            <v>AMID-R204</v>
          </cell>
          <cell r="K207" t="str">
            <v>Bomberger,David Rick</v>
          </cell>
          <cell r="N207">
            <v>3.1960000000000002</v>
          </cell>
          <cell r="O207">
            <v>2.976</v>
          </cell>
        </row>
        <row r="208">
          <cell r="E208" t="str">
            <v>AMID</v>
          </cell>
          <cell r="F208" t="str">
            <v>AMID-R</v>
          </cell>
          <cell r="G208">
            <v>308</v>
          </cell>
          <cell r="H208" t="str">
            <v>AMID-R308</v>
          </cell>
          <cell r="K208" t="str">
            <v>Hasty,Ashley</v>
          </cell>
          <cell r="N208">
            <v>3.262</v>
          </cell>
          <cell r="O208">
            <v>3.1219999999999999</v>
          </cell>
        </row>
        <row r="209">
          <cell r="E209" t="str">
            <v>AMID</v>
          </cell>
          <cell r="F209" t="str">
            <v>AMID-R</v>
          </cell>
          <cell r="G209">
            <v>308</v>
          </cell>
          <cell r="H209" t="str">
            <v>AMID-R308</v>
          </cell>
          <cell r="K209" t="str">
            <v>Hasty,Ashley</v>
          </cell>
          <cell r="N209">
            <v>3.1680000000000001</v>
          </cell>
          <cell r="O209">
            <v>2.9060000000000001</v>
          </cell>
        </row>
        <row r="210">
          <cell r="E210" t="str">
            <v>AMID</v>
          </cell>
          <cell r="F210" t="str">
            <v>AMID-R</v>
          </cell>
          <cell r="G210">
            <v>309</v>
          </cell>
          <cell r="H210" t="str">
            <v>AMID-R309</v>
          </cell>
          <cell r="K210" t="str">
            <v>Hasty,Ashley</v>
          </cell>
          <cell r="N210">
            <v>3.2429999999999999</v>
          </cell>
          <cell r="O210">
            <v>3.1349999999999998</v>
          </cell>
        </row>
        <row r="211">
          <cell r="E211" t="str">
            <v>AMID</v>
          </cell>
          <cell r="F211" t="str">
            <v>AMID-R</v>
          </cell>
          <cell r="G211">
            <v>315</v>
          </cell>
          <cell r="H211" t="str">
            <v>AMID-R315</v>
          </cell>
          <cell r="K211" t="str">
            <v>Shaffer,Janis Lynn</v>
          </cell>
          <cell r="N211">
            <v>2.7869999999999999</v>
          </cell>
          <cell r="O211">
            <v>3.0249999999999999</v>
          </cell>
        </row>
        <row r="212">
          <cell r="E212" t="str">
            <v>AMID</v>
          </cell>
          <cell r="F212" t="str">
            <v>AMID-R</v>
          </cell>
          <cell r="G212">
            <v>315</v>
          </cell>
          <cell r="H212" t="str">
            <v>AMID-R315</v>
          </cell>
          <cell r="K212" t="str">
            <v>Shaffer,Janis Lynn</v>
          </cell>
          <cell r="N212">
            <v>2.92</v>
          </cell>
          <cell r="O212">
            <v>3.073</v>
          </cell>
        </row>
        <row r="213">
          <cell r="E213" t="str">
            <v>AMID</v>
          </cell>
          <cell r="F213" t="str">
            <v>AMID-R</v>
          </cell>
          <cell r="G213">
            <v>315</v>
          </cell>
          <cell r="H213" t="str">
            <v>AMID-R315</v>
          </cell>
          <cell r="K213" t="str">
            <v>Shaffer,Janis Lynn</v>
          </cell>
          <cell r="N213">
            <v>2.8730000000000002</v>
          </cell>
          <cell r="O213">
            <v>3.0819999999999999</v>
          </cell>
        </row>
        <row r="214">
          <cell r="E214" t="str">
            <v>AMID</v>
          </cell>
          <cell r="F214" t="str">
            <v>AMID-R</v>
          </cell>
          <cell r="G214">
            <v>315</v>
          </cell>
          <cell r="H214" t="str">
            <v>AMID-R315</v>
          </cell>
          <cell r="K214" t="str">
            <v>Shaffer,Janis Lynn</v>
          </cell>
          <cell r="N214">
            <v>3.0329999999999999</v>
          </cell>
          <cell r="O214">
            <v>3.1360000000000001</v>
          </cell>
        </row>
        <row r="215">
          <cell r="E215" t="str">
            <v>AMID</v>
          </cell>
          <cell r="F215" t="str">
            <v>AMID-R</v>
          </cell>
          <cell r="G215">
            <v>316</v>
          </cell>
          <cell r="H215" t="str">
            <v>AMID-R316</v>
          </cell>
          <cell r="K215" t="str">
            <v>Chida,Meriem</v>
          </cell>
          <cell r="N215">
            <v>3.9689999999999999</v>
          </cell>
          <cell r="O215">
            <v>3.0960000000000001</v>
          </cell>
        </row>
        <row r="216">
          <cell r="E216" t="str">
            <v>AMID</v>
          </cell>
          <cell r="F216" t="str">
            <v>AMID-R</v>
          </cell>
          <cell r="G216">
            <v>319</v>
          </cell>
          <cell r="H216" t="str">
            <v>AMID-R319</v>
          </cell>
          <cell r="K216" t="str">
            <v>Chida,Meriem</v>
          </cell>
          <cell r="N216">
            <v>3.9390000000000001</v>
          </cell>
          <cell r="O216">
            <v>3.1589999999999998</v>
          </cell>
        </row>
        <row r="217">
          <cell r="E217" t="str">
            <v>AMID</v>
          </cell>
          <cell r="F217" t="str">
            <v>AMID-R</v>
          </cell>
          <cell r="G217">
            <v>321</v>
          </cell>
          <cell r="H217" t="str">
            <v>AMID-R321</v>
          </cell>
          <cell r="K217" t="str">
            <v>Bomberger,David Rick</v>
          </cell>
          <cell r="N217">
            <v>4</v>
          </cell>
          <cell r="O217">
            <v>3.4980000000000002</v>
          </cell>
        </row>
        <row r="218">
          <cell r="E218" t="str">
            <v>AMID</v>
          </cell>
          <cell r="F218" t="str">
            <v>AMID-R</v>
          </cell>
          <cell r="G218">
            <v>327</v>
          </cell>
          <cell r="H218" t="str">
            <v>AMID-R327</v>
          </cell>
          <cell r="K218" t="str">
            <v>Chida,Meriem</v>
          </cell>
          <cell r="N218">
            <v>3.8650000000000002</v>
          </cell>
          <cell r="O218">
            <v>3.036</v>
          </cell>
        </row>
        <row r="219">
          <cell r="E219" t="str">
            <v>AMID</v>
          </cell>
          <cell r="F219" t="str">
            <v>AMID-R</v>
          </cell>
          <cell r="G219">
            <v>327</v>
          </cell>
          <cell r="H219" t="str">
            <v>AMID-R327</v>
          </cell>
          <cell r="K219" t="str">
            <v>Chida,Meriem</v>
          </cell>
          <cell r="N219">
            <v>3.8690000000000002</v>
          </cell>
          <cell r="O219">
            <v>2.956</v>
          </cell>
        </row>
        <row r="220">
          <cell r="E220" t="str">
            <v>AMID</v>
          </cell>
          <cell r="F220" t="str">
            <v>AMID-R</v>
          </cell>
          <cell r="G220">
            <v>328</v>
          </cell>
          <cell r="H220" t="str">
            <v>AMID-R328</v>
          </cell>
          <cell r="K220" t="str">
            <v>Paul,Eloise Kim</v>
          </cell>
          <cell r="N220">
            <v>3.8319999999999999</v>
          </cell>
          <cell r="O220">
            <v>3.2810000000000001</v>
          </cell>
        </row>
        <row r="221">
          <cell r="E221" t="str">
            <v>AMID</v>
          </cell>
          <cell r="F221" t="str">
            <v>AMID-R</v>
          </cell>
          <cell r="G221">
            <v>404</v>
          </cell>
          <cell r="H221" t="str">
            <v>AMID-R404</v>
          </cell>
          <cell r="K221" t="str">
            <v>Chida,Meriem</v>
          </cell>
          <cell r="N221">
            <v>3.4470000000000001</v>
          </cell>
          <cell r="O221">
            <v>3.052</v>
          </cell>
        </row>
        <row r="222">
          <cell r="E222" t="str">
            <v>AMID</v>
          </cell>
          <cell r="F222" t="str">
            <v>AMID-R</v>
          </cell>
          <cell r="G222">
            <v>404</v>
          </cell>
          <cell r="H222" t="str">
            <v>AMID-R404</v>
          </cell>
          <cell r="K222" t="str">
            <v>Embry,Mary Christine</v>
          </cell>
          <cell r="N222">
            <v>3.0630000000000002</v>
          </cell>
          <cell r="O222">
            <v>3.0019999999999998</v>
          </cell>
        </row>
        <row r="223">
          <cell r="E223" t="str">
            <v>AMID</v>
          </cell>
          <cell r="F223" t="str">
            <v>AMID-R</v>
          </cell>
          <cell r="G223">
            <v>404</v>
          </cell>
          <cell r="H223" t="str">
            <v>AMID-R404</v>
          </cell>
          <cell r="K223" t="str">
            <v>Embry,Mary Christine</v>
          </cell>
          <cell r="N223">
            <v>3.0680000000000001</v>
          </cell>
          <cell r="O223">
            <v>2.9990000000000001</v>
          </cell>
        </row>
        <row r="224">
          <cell r="E224" t="str">
            <v>AMID</v>
          </cell>
          <cell r="F224" t="str">
            <v>AMID-R</v>
          </cell>
          <cell r="G224">
            <v>410</v>
          </cell>
          <cell r="H224" t="str">
            <v>AMID-R410</v>
          </cell>
          <cell r="K224" t="str">
            <v>Bomberger,David Rick</v>
          </cell>
          <cell r="N224">
            <v>3.8969999999999998</v>
          </cell>
          <cell r="O224">
            <v>3.1669999999999998</v>
          </cell>
        </row>
        <row r="225">
          <cell r="E225" t="str">
            <v>AMID</v>
          </cell>
          <cell r="F225" t="str">
            <v>AMID-R</v>
          </cell>
          <cell r="G225">
            <v>412</v>
          </cell>
          <cell r="H225" t="str">
            <v>AMID-R412</v>
          </cell>
          <cell r="K225" t="str">
            <v>Paul,Eloise Kim</v>
          </cell>
          <cell r="N225">
            <v>3.9790000000000001</v>
          </cell>
          <cell r="O225">
            <v>3.1059999999999999</v>
          </cell>
        </row>
        <row r="226">
          <cell r="E226" t="str">
            <v>AMID</v>
          </cell>
          <cell r="F226" t="str">
            <v>AMID-R</v>
          </cell>
          <cell r="G226">
            <v>413</v>
          </cell>
          <cell r="H226" t="str">
            <v>AMID-R413</v>
          </cell>
          <cell r="K226" t="str">
            <v>Paul,Eloise Kim</v>
          </cell>
          <cell r="N226">
            <v>3.2029999999999998</v>
          </cell>
          <cell r="O226">
            <v>3.1579999999999999</v>
          </cell>
        </row>
        <row r="227">
          <cell r="E227" t="str">
            <v>AMID</v>
          </cell>
          <cell r="F227" t="str">
            <v>AMID-R</v>
          </cell>
          <cell r="G227">
            <v>413</v>
          </cell>
          <cell r="H227" t="str">
            <v>AMID-R413</v>
          </cell>
          <cell r="K227" t="str">
            <v>Paul,Eloise Kim</v>
          </cell>
          <cell r="N227">
            <v>2.927</v>
          </cell>
          <cell r="O227">
            <v>3.0510000000000002</v>
          </cell>
        </row>
        <row r="228">
          <cell r="E228" t="str">
            <v>AMID</v>
          </cell>
          <cell r="F228" t="str">
            <v>AMID-R</v>
          </cell>
          <cell r="G228">
            <v>413</v>
          </cell>
          <cell r="H228" t="str">
            <v>AMID-R413</v>
          </cell>
          <cell r="K228" t="str">
            <v>Paul,Eloise Kim</v>
          </cell>
          <cell r="N228">
            <v>2.8330000000000002</v>
          </cell>
          <cell r="O228">
            <v>2.9590000000000001</v>
          </cell>
        </row>
        <row r="229">
          <cell r="E229" t="str">
            <v>AMID</v>
          </cell>
          <cell r="F229" t="str">
            <v>AMID-R</v>
          </cell>
          <cell r="G229">
            <v>413</v>
          </cell>
          <cell r="H229" t="str">
            <v>AMID-R413</v>
          </cell>
          <cell r="K229" t="str">
            <v>Paul,Eloise Kim</v>
          </cell>
          <cell r="N229">
            <v>2.8879999999999999</v>
          </cell>
          <cell r="O229">
            <v>3.0609999999999999</v>
          </cell>
        </row>
        <row r="230">
          <cell r="E230" t="str">
            <v>AMID</v>
          </cell>
          <cell r="F230" t="str">
            <v>AMID-R</v>
          </cell>
          <cell r="G230">
            <v>416</v>
          </cell>
          <cell r="H230" t="str">
            <v>AMID-R416</v>
          </cell>
          <cell r="K230" t="str">
            <v>Embry,Mary Christine</v>
          </cell>
          <cell r="N230">
            <v>2.948</v>
          </cell>
          <cell r="O230">
            <v>3.0960000000000001</v>
          </cell>
        </row>
        <row r="231">
          <cell r="E231" t="str">
            <v>AMID</v>
          </cell>
          <cell r="F231" t="str">
            <v>AMID-R</v>
          </cell>
          <cell r="G231">
            <v>450</v>
          </cell>
          <cell r="H231" t="str">
            <v>AMID-R450</v>
          </cell>
          <cell r="K231" t="str">
            <v>Bomberger,David Rick</v>
          </cell>
          <cell r="N231">
            <v>3.5310000000000001</v>
          </cell>
          <cell r="O231">
            <v>3.0579999999999998</v>
          </cell>
        </row>
        <row r="232">
          <cell r="E232" t="str">
            <v>AMID</v>
          </cell>
          <cell r="F232" t="str">
            <v>AMID-R</v>
          </cell>
          <cell r="G232">
            <v>490</v>
          </cell>
          <cell r="H232" t="str">
            <v>AMID-R490</v>
          </cell>
          <cell r="K232" t="str">
            <v>Bomberger,David Rick</v>
          </cell>
          <cell r="N232">
            <v>4</v>
          </cell>
          <cell r="O232">
            <v>3.3380000000000001</v>
          </cell>
        </row>
        <row r="233">
          <cell r="E233" t="str">
            <v>AMID</v>
          </cell>
          <cell r="F233" t="str">
            <v>AMID-R</v>
          </cell>
          <cell r="G233">
            <v>490</v>
          </cell>
          <cell r="H233" t="str">
            <v>AMID-R490</v>
          </cell>
          <cell r="K233" t="str">
            <v>Embry,Mary Christine</v>
          </cell>
          <cell r="N233">
            <v>4</v>
          </cell>
          <cell r="O233">
            <v>3.4369999999999998</v>
          </cell>
        </row>
        <row r="234">
          <cell r="E234" t="str">
            <v>AMID</v>
          </cell>
          <cell r="F234" t="str">
            <v>AMID-R</v>
          </cell>
          <cell r="G234">
            <v>490</v>
          </cell>
          <cell r="H234" t="str">
            <v>AMID-R490</v>
          </cell>
          <cell r="K234" t="str">
            <v>Hasty,Ashley</v>
          </cell>
          <cell r="N234">
            <v>3.4870000000000001</v>
          </cell>
          <cell r="O234">
            <v>2.8180000000000001</v>
          </cell>
        </row>
        <row r="235">
          <cell r="E235" t="str">
            <v>AMID</v>
          </cell>
          <cell r="F235" t="str">
            <v>AMID-R</v>
          </cell>
          <cell r="G235">
            <v>490</v>
          </cell>
          <cell r="H235" t="str">
            <v>AMID-R490</v>
          </cell>
          <cell r="K235" t="str">
            <v>Hasty,Ashley</v>
          </cell>
          <cell r="N235">
            <v>3.1389999999999998</v>
          </cell>
          <cell r="O235">
            <v>2.8420000000000001</v>
          </cell>
        </row>
        <row r="236">
          <cell r="E236" t="str">
            <v>AMID</v>
          </cell>
          <cell r="F236" t="str">
            <v>AMID-R</v>
          </cell>
          <cell r="G236">
            <v>490</v>
          </cell>
          <cell r="H236" t="str">
            <v>AMID-R490</v>
          </cell>
          <cell r="K236" t="str">
            <v>Racek,Jonathan</v>
          </cell>
          <cell r="N236">
            <v>3.7210000000000001</v>
          </cell>
          <cell r="O236">
            <v>3.3</v>
          </cell>
        </row>
        <row r="237">
          <cell r="E237" t="str">
            <v>AMID</v>
          </cell>
          <cell r="F237" t="str">
            <v>AMID-R</v>
          </cell>
          <cell r="G237">
            <v>490</v>
          </cell>
          <cell r="H237" t="str">
            <v>AMID-R490</v>
          </cell>
          <cell r="K237" t="str">
            <v>Rowold,Kathleen</v>
          </cell>
          <cell r="N237" t="str">
            <v>NR</v>
          </cell>
          <cell r="O237" t="str">
            <v>NR</v>
          </cell>
        </row>
        <row r="238">
          <cell r="E238" t="str">
            <v>AMST</v>
          </cell>
          <cell r="F238" t="str">
            <v>AMST-A</v>
          </cell>
          <cell r="G238">
            <v>100</v>
          </cell>
          <cell r="H238" t="str">
            <v>AMST-A100</v>
          </cell>
          <cell r="K238" t="str">
            <v>Cruz,Denise</v>
          </cell>
          <cell r="N238">
            <v>3.476</v>
          </cell>
          <cell r="O238">
            <v>3.01</v>
          </cell>
        </row>
        <row r="239">
          <cell r="E239" t="str">
            <v>AMST</v>
          </cell>
          <cell r="F239" t="str">
            <v>AMST-A</v>
          </cell>
          <cell r="G239">
            <v>100</v>
          </cell>
          <cell r="H239" t="str">
            <v>AMST-A100</v>
          </cell>
          <cell r="K239" t="str">
            <v>Cruz,Denise</v>
          </cell>
          <cell r="N239">
            <v>3.4540000000000002</v>
          </cell>
          <cell r="O239">
            <v>3.028</v>
          </cell>
        </row>
        <row r="240">
          <cell r="E240" t="str">
            <v>AMST</v>
          </cell>
          <cell r="F240" t="str">
            <v>AMST-A</v>
          </cell>
          <cell r="G240">
            <v>100</v>
          </cell>
          <cell r="H240" t="str">
            <v>AMST-A100</v>
          </cell>
          <cell r="K240" t="str">
            <v>Guterl,Matthew T</v>
          </cell>
          <cell r="N240">
            <v>3.3889999999999998</v>
          </cell>
          <cell r="O240">
            <v>3.17</v>
          </cell>
        </row>
        <row r="241">
          <cell r="E241" t="str">
            <v>AMST</v>
          </cell>
          <cell r="F241" t="str">
            <v>AMST-A</v>
          </cell>
          <cell r="G241">
            <v>100</v>
          </cell>
          <cell r="H241" t="str">
            <v>AMST-A100</v>
          </cell>
          <cell r="K241" t="str">
            <v>Inouye,Karen M</v>
          </cell>
          <cell r="N241">
            <v>3.0409999999999999</v>
          </cell>
          <cell r="O241">
            <v>2.8559999999999999</v>
          </cell>
        </row>
        <row r="242">
          <cell r="E242" t="str">
            <v>AMST</v>
          </cell>
          <cell r="F242" t="str">
            <v>AMST-A</v>
          </cell>
          <cell r="G242">
            <v>100</v>
          </cell>
          <cell r="H242" t="str">
            <v>AMST-A100</v>
          </cell>
          <cell r="K242" t="str">
            <v>McGraw,Jason P.</v>
          </cell>
          <cell r="N242">
            <v>3.306</v>
          </cell>
          <cell r="O242">
            <v>3.0310000000000001</v>
          </cell>
        </row>
        <row r="243">
          <cell r="E243" t="str">
            <v>AMST</v>
          </cell>
          <cell r="F243" t="str">
            <v>AMST-A</v>
          </cell>
          <cell r="G243">
            <v>200</v>
          </cell>
          <cell r="H243" t="str">
            <v>AMST-A200</v>
          </cell>
          <cell r="K243" t="str">
            <v>Chambers,Alex</v>
          </cell>
          <cell r="N243">
            <v>3.1739999999999999</v>
          </cell>
          <cell r="O243">
            <v>2.919</v>
          </cell>
        </row>
        <row r="244">
          <cell r="E244" t="str">
            <v>AMST</v>
          </cell>
          <cell r="F244" t="str">
            <v>AMST-A</v>
          </cell>
          <cell r="G244">
            <v>200</v>
          </cell>
          <cell r="H244" t="str">
            <v>AMST-A200</v>
          </cell>
          <cell r="K244" t="str">
            <v>Inouye,Karen M</v>
          </cell>
          <cell r="N244">
            <v>3.2789999999999999</v>
          </cell>
          <cell r="O244">
            <v>2.9409999999999998</v>
          </cell>
        </row>
        <row r="245">
          <cell r="E245" t="str">
            <v>AMST</v>
          </cell>
          <cell r="F245" t="str">
            <v>AMST-A</v>
          </cell>
          <cell r="G245">
            <v>200</v>
          </cell>
          <cell r="H245" t="str">
            <v>AMST-A200</v>
          </cell>
          <cell r="K245" t="str">
            <v>Inouye,Karen M</v>
          </cell>
          <cell r="N245">
            <v>3.0710000000000002</v>
          </cell>
          <cell r="O245">
            <v>3.093</v>
          </cell>
        </row>
        <row r="246">
          <cell r="E246" t="str">
            <v>AMST</v>
          </cell>
          <cell r="F246" t="str">
            <v>AMST-A</v>
          </cell>
          <cell r="G246">
            <v>200</v>
          </cell>
          <cell r="H246" t="str">
            <v>AMST-A200</v>
          </cell>
          <cell r="K246" t="str">
            <v>Inouye,Karen M</v>
          </cell>
          <cell r="N246">
            <v>3.09</v>
          </cell>
          <cell r="O246">
            <v>2.984</v>
          </cell>
        </row>
        <row r="247">
          <cell r="E247" t="str">
            <v>AMST</v>
          </cell>
          <cell r="F247" t="str">
            <v>AMST-A</v>
          </cell>
          <cell r="G247">
            <v>200</v>
          </cell>
          <cell r="H247" t="str">
            <v>AMST-A200</v>
          </cell>
          <cell r="K247" t="str">
            <v>Schreiber,Holly E</v>
          </cell>
          <cell r="N247">
            <v>3.4529999999999998</v>
          </cell>
          <cell r="O247">
            <v>3.2170000000000001</v>
          </cell>
        </row>
        <row r="248">
          <cell r="E248" t="str">
            <v>AMST</v>
          </cell>
          <cell r="F248" t="str">
            <v>AMST-A</v>
          </cell>
          <cell r="G248">
            <v>201</v>
          </cell>
          <cell r="H248" t="str">
            <v>AMST-A201</v>
          </cell>
          <cell r="K248" t="str">
            <v>Acosta,Aide</v>
          </cell>
          <cell r="N248">
            <v>2.931</v>
          </cell>
          <cell r="O248">
            <v>2.9060000000000001</v>
          </cell>
        </row>
        <row r="249">
          <cell r="E249" t="str">
            <v>AMST</v>
          </cell>
          <cell r="F249" t="str">
            <v>AMST-A</v>
          </cell>
          <cell r="G249">
            <v>201</v>
          </cell>
          <cell r="H249" t="str">
            <v>AMST-A201</v>
          </cell>
          <cell r="K249" t="str">
            <v>Paddison,Joshua Allen</v>
          </cell>
          <cell r="N249">
            <v>3.052</v>
          </cell>
          <cell r="O249">
            <v>2.9950000000000001</v>
          </cell>
        </row>
        <row r="250">
          <cell r="E250" t="str">
            <v>AMST</v>
          </cell>
          <cell r="F250" t="str">
            <v>AMST-A</v>
          </cell>
          <cell r="G250">
            <v>202</v>
          </cell>
          <cell r="H250" t="str">
            <v>AMST-A202</v>
          </cell>
          <cell r="K250" t="str">
            <v>Lepselter,Susan Claudia</v>
          </cell>
          <cell r="N250">
            <v>3.51</v>
          </cell>
          <cell r="O250">
            <v>3.05</v>
          </cell>
        </row>
        <row r="251">
          <cell r="E251" t="str">
            <v>AMST</v>
          </cell>
          <cell r="F251" t="str">
            <v>AMST-A</v>
          </cell>
          <cell r="G251">
            <v>275</v>
          </cell>
          <cell r="H251" t="str">
            <v>AMST-A275</v>
          </cell>
          <cell r="K251" t="str">
            <v>Duffy,Karen</v>
          </cell>
          <cell r="N251">
            <v>2.7250000000000001</v>
          </cell>
          <cell r="O251">
            <v>2.8319999999999999</v>
          </cell>
        </row>
        <row r="252">
          <cell r="E252" t="str">
            <v>AMST</v>
          </cell>
          <cell r="F252" t="str">
            <v>AMST-A</v>
          </cell>
          <cell r="G252">
            <v>298</v>
          </cell>
          <cell r="H252" t="str">
            <v>AMST-A298</v>
          </cell>
          <cell r="K252" t="str">
            <v>Horton-Stallings,Lamonda</v>
          </cell>
          <cell r="N252">
            <v>2.9569999999999999</v>
          </cell>
          <cell r="O252">
            <v>2.7029999999999998</v>
          </cell>
        </row>
        <row r="253">
          <cell r="E253" t="str">
            <v>AMST</v>
          </cell>
          <cell r="F253" t="str">
            <v>AMST-A</v>
          </cell>
          <cell r="G253">
            <v>299</v>
          </cell>
          <cell r="H253" t="str">
            <v>AMST-A299</v>
          </cell>
          <cell r="K253" t="str">
            <v>Johnson,Colin R.</v>
          </cell>
          <cell r="N253" t="str">
            <v>NR</v>
          </cell>
          <cell r="O253" t="str">
            <v>NR</v>
          </cell>
        </row>
        <row r="254">
          <cell r="E254" t="str">
            <v>AMST</v>
          </cell>
          <cell r="F254" t="str">
            <v>AMST-A</v>
          </cell>
          <cell r="G254">
            <v>350</v>
          </cell>
          <cell r="H254" t="str">
            <v>AMST-A350</v>
          </cell>
          <cell r="K254" t="str">
            <v>Jarjoura,G Roger</v>
          </cell>
          <cell r="N254">
            <v>4</v>
          </cell>
          <cell r="O254">
            <v>3.7080000000000002</v>
          </cell>
        </row>
        <row r="255">
          <cell r="E255" t="str">
            <v>AMST</v>
          </cell>
          <cell r="F255" t="str">
            <v>AMST-A</v>
          </cell>
          <cell r="G255">
            <v>351</v>
          </cell>
          <cell r="H255" t="str">
            <v>AMST-A351</v>
          </cell>
          <cell r="K255" t="str">
            <v>Acosta,Aide</v>
          </cell>
          <cell r="N255">
            <v>3.3</v>
          </cell>
          <cell r="O255">
            <v>3.32</v>
          </cell>
        </row>
        <row r="256">
          <cell r="E256" t="str">
            <v>AMST</v>
          </cell>
          <cell r="F256" t="str">
            <v>AMST-A</v>
          </cell>
          <cell r="G256">
            <v>351</v>
          </cell>
          <cell r="H256" t="str">
            <v>AMST-A351</v>
          </cell>
          <cell r="K256" t="str">
            <v>Halloran,Vivian</v>
          </cell>
          <cell r="N256">
            <v>3.5640000000000001</v>
          </cell>
          <cell r="O256">
            <v>3.0049999999999999</v>
          </cell>
        </row>
        <row r="257">
          <cell r="E257" t="str">
            <v>AMST</v>
          </cell>
          <cell r="F257" t="str">
            <v>AMST-A</v>
          </cell>
          <cell r="G257">
            <v>398</v>
          </cell>
          <cell r="H257" t="str">
            <v>AMST-A398</v>
          </cell>
          <cell r="K257" t="str">
            <v>Ivie,Robert L.</v>
          </cell>
          <cell r="N257" t="str">
            <v>NR</v>
          </cell>
          <cell r="O257" t="str">
            <v>NR</v>
          </cell>
        </row>
        <row r="258">
          <cell r="E258" t="str">
            <v>AMST</v>
          </cell>
          <cell r="F258" t="str">
            <v>AMST-A</v>
          </cell>
          <cell r="G258">
            <v>399</v>
          </cell>
          <cell r="H258" t="str">
            <v>AMST-A399</v>
          </cell>
          <cell r="K258" t="str">
            <v>Acosta,Aide</v>
          </cell>
          <cell r="N258" t="str">
            <v>NR</v>
          </cell>
          <cell r="O258" t="str">
            <v>NR</v>
          </cell>
        </row>
        <row r="259">
          <cell r="E259" t="str">
            <v>AMST</v>
          </cell>
          <cell r="F259" t="str">
            <v>AMST-A</v>
          </cell>
          <cell r="G259">
            <v>399</v>
          </cell>
          <cell r="H259" t="str">
            <v>AMST-A399</v>
          </cell>
          <cell r="K259" t="str">
            <v>Bodnar,John Edward</v>
          </cell>
          <cell r="N259">
            <v>3.5710000000000002</v>
          </cell>
          <cell r="O259">
            <v>3.1749999999999998</v>
          </cell>
        </row>
        <row r="260">
          <cell r="E260" t="str">
            <v>AMST</v>
          </cell>
          <cell r="F260" t="str">
            <v>AMST-A</v>
          </cell>
          <cell r="G260">
            <v>399</v>
          </cell>
          <cell r="H260" t="str">
            <v>AMST-A399</v>
          </cell>
          <cell r="K260" t="str">
            <v>Cullather,Nicholas Barry</v>
          </cell>
          <cell r="N260" t="str">
            <v>NR</v>
          </cell>
          <cell r="O260" t="str">
            <v>NR</v>
          </cell>
        </row>
        <row r="261">
          <cell r="E261" t="str">
            <v>AMST</v>
          </cell>
          <cell r="F261" t="str">
            <v>AMST-A</v>
          </cell>
          <cell r="G261">
            <v>399</v>
          </cell>
          <cell r="H261" t="str">
            <v>AMST-A399</v>
          </cell>
          <cell r="K261" t="str">
            <v>Gamber,Wendy E.</v>
          </cell>
          <cell r="N261" t="str">
            <v>NR</v>
          </cell>
          <cell r="O261" t="str">
            <v>NR</v>
          </cell>
        </row>
        <row r="262">
          <cell r="E262" t="str">
            <v>AMST</v>
          </cell>
          <cell r="F262" t="str">
            <v>AMST-A</v>
          </cell>
          <cell r="G262">
            <v>399</v>
          </cell>
          <cell r="H262" t="str">
            <v>AMST-A399</v>
          </cell>
          <cell r="K262" t="str">
            <v>Lepselter,Susan Claudia</v>
          </cell>
          <cell r="N262" t="str">
            <v>NR</v>
          </cell>
          <cell r="O262" t="str">
            <v>NR</v>
          </cell>
        </row>
        <row r="263">
          <cell r="E263" t="str">
            <v>AMST</v>
          </cell>
          <cell r="F263" t="str">
            <v>AMST-A</v>
          </cell>
          <cell r="G263">
            <v>399</v>
          </cell>
          <cell r="H263" t="str">
            <v>AMST-A399</v>
          </cell>
          <cell r="K263" t="str">
            <v>McGerr,Michael Edward</v>
          </cell>
          <cell r="N263" t="str">
            <v>NR</v>
          </cell>
          <cell r="O263" t="str">
            <v>NR</v>
          </cell>
        </row>
        <row r="264">
          <cell r="E264" t="str">
            <v>AMST</v>
          </cell>
          <cell r="F264" t="str">
            <v>AMST-A</v>
          </cell>
          <cell r="G264">
            <v>399</v>
          </cell>
          <cell r="H264" t="str">
            <v>AMST-A399</v>
          </cell>
          <cell r="K264" t="str">
            <v>Myers,Amrita</v>
          </cell>
          <cell r="N264" t="str">
            <v>NR</v>
          </cell>
          <cell r="O264" t="str">
            <v>NR</v>
          </cell>
        </row>
        <row r="265">
          <cell r="E265" t="str">
            <v>AMST</v>
          </cell>
          <cell r="F265" t="str">
            <v>AMST-A</v>
          </cell>
          <cell r="G265">
            <v>399</v>
          </cell>
          <cell r="H265" t="str">
            <v>AMST-A399</v>
          </cell>
          <cell r="K265" t="str">
            <v>Myers,Amrita</v>
          </cell>
          <cell r="N265" t="str">
            <v>NR</v>
          </cell>
          <cell r="O265" t="str">
            <v>NR</v>
          </cell>
        </row>
        <row r="266">
          <cell r="E266" t="str">
            <v>AMST</v>
          </cell>
          <cell r="F266" t="str">
            <v>AMST-A</v>
          </cell>
          <cell r="G266">
            <v>401</v>
          </cell>
          <cell r="H266" t="str">
            <v>AMST-A401</v>
          </cell>
          <cell r="K266" t="str">
            <v>Cruz,Denise</v>
          </cell>
          <cell r="N266" t="str">
            <v>NR</v>
          </cell>
          <cell r="O266" t="str">
            <v>NR</v>
          </cell>
        </row>
        <row r="267">
          <cell r="E267" t="str">
            <v>AMST</v>
          </cell>
          <cell r="F267" t="str">
            <v>AMST-A</v>
          </cell>
          <cell r="G267">
            <v>401</v>
          </cell>
          <cell r="H267" t="str">
            <v>AMST-A401</v>
          </cell>
          <cell r="K267" t="str">
            <v>Guterl,Matthew T</v>
          </cell>
          <cell r="N267" t="str">
            <v>NR</v>
          </cell>
          <cell r="O267" t="str">
            <v>NR</v>
          </cell>
        </row>
        <row r="268">
          <cell r="E268" t="str">
            <v>AMST</v>
          </cell>
          <cell r="F268" t="str">
            <v>AMST-A</v>
          </cell>
          <cell r="G268">
            <v>450</v>
          </cell>
          <cell r="H268" t="str">
            <v>AMST-A450</v>
          </cell>
          <cell r="K268" t="str">
            <v>Guterl,Matthew T</v>
          </cell>
          <cell r="N268">
            <v>3.84</v>
          </cell>
          <cell r="O268">
            <v>3.3319999999999999</v>
          </cell>
        </row>
        <row r="269">
          <cell r="E269" t="str">
            <v>AMST</v>
          </cell>
          <cell r="F269" t="str">
            <v>AMST-G</v>
          </cell>
          <cell r="G269">
            <v>603</v>
          </cell>
          <cell r="H269" t="str">
            <v>AMST-G603</v>
          </cell>
          <cell r="K269" t="str">
            <v>Ivie,Robert L.</v>
          </cell>
          <cell r="N269">
            <v>3.7</v>
          </cell>
          <cell r="O269">
            <v>3.8610000000000002</v>
          </cell>
        </row>
        <row r="270">
          <cell r="E270" t="str">
            <v>AMST</v>
          </cell>
          <cell r="F270" t="str">
            <v>AMST-G</v>
          </cell>
          <cell r="G270">
            <v>604</v>
          </cell>
          <cell r="H270" t="str">
            <v>AMST-G604</v>
          </cell>
          <cell r="K270" t="str">
            <v>Cohn,Deborah</v>
          </cell>
          <cell r="N270">
            <v>3.95</v>
          </cell>
          <cell r="O270">
            <v>3.8919999999999999</v>
          </cell>
        </row>
        <row r="271">
          <cell r="E271" t="str">
            <v>AMST</v>
          </cell>
          <cell r="F271" t="str">
            <v>AMST-G</v>
          </cell>
          <cell r="G271">
            <v>605</v>
          </cell>
          <cell r="H271" t="str">
            <v>AMST-G605</v>
          </cell>
          <cell r="K271" t="str">
            <v>Lepselter,Susan Claudia</v>
          </cell>
          <cell r="N271">
            <v>4</v>
          </cell>
          <cell r="O271">
            <v>3.8540000000000001</v>
          </cell>
        </row>
        <row r="272">
          <cell r="E272" t="str">
            <v>AMST</v>
          </cell>
          <cell r="F272" t="str">
            <v>AMST-G</v>
          </cell>
          <cell r="G272">
            <v>620</v>
          </cell>
          <cell r="H272" t="str">
            <v>AMST-G620</v>
          </cell>
          <cell r="K272" t="str">
            <v>De Boer,Stephanie Ann</v>
          </cell>
          <cell r="N272" t="str">
            <v>NR</v>
          </cell>
          <cell r="O272" t="str">
            <v>NR</v>
          </cell>
        </row>
        <row r="273">
          <cell r="E273" t="str">
            <v>AMST</v>
          </cell>
          <cell r="F273" t="str">
            <v>AMST-G</v>
          </cell>
          <cell r="G273">
            <v>620</v>
          </cell>
          <cell r="H273" t="str">
            <v>AMST-G620</v>
          </cell>
          <cell r="K273" t="str">
            <v>Ivie,Robert L.</v>
          </cell>
          <cell r="N273" t="str">
            <v>NR</v>
          </cell>
          <cell r="O273" t="str">
            <v>NR</v>
          </cell>
        </row>
        <row r="274">
          <cell r="E274" t="str">
            <v>AMST</v>
          </cell>
          <cell r="F274" t="str">
            <v>AMST-G</v>
          </cell>
          <cell r="G274">
            <v>620</v>
          </cell>
          <cell r="H274" t="str">
            <v>AMST-G620</v>
          </cell>
          <cell r="K274" t="str">
            <v>Linenthal,Edward Tabor</v>
          </cell>
          <cell r="N274" t="str">
            <v>NR</v>
          </cell>
          <cell r="O274" t="str">
            <v>NR</v>
          </cell>
        </row>
        <row r="275">
          <cell r="E275" t="str">
            <v>AMST</v>
          </cell>
          <cell r="F275" t="str">
            <v>AMST-G</v>
          </cell>
          <cell r="G275">
            <v>620</v>
          </cell>
          <cell r="H275" t="str">
            <v>AMST-G620</v>
          </cell>
          <cell r="K275" t="str">
            <v>Martin,Michael T</v>
          </cell>
          <cell r="N275" t="str">
            <v>NR</v>
          </cell>
          <cell r="O275" t="str">
            <v>NR</v>
          </cell>
        </row>
        <row r="276">
          <cell r="E276" t="str">
            <v>AMST</v>
          </cell>
          <cell r="F276" t="str">
            <v>AMST-G</v>
          </cell>
          <cell r="G276">
            <v>620</v>
          </cell>
          <cell r="H276" t="str">
            <v>AMST-G620</v>
          </cell>
          <cell r="K276" t="str">
            <v>McGraw,Jason P.</v>
          </cell>
          <cell r="N276" t="str">
            <v>NR</v>
          </cell>
          <cell r="O276" t="str">
            <v>NR</v>
          </cell>
        </row>
        <row r="277">
          <cell r="E277" t="str">
            <v>AMST</v>
          </cell>
          <cell r="F277" t="str">
            <v>AMST-G</v>
          </cell>
          <cell r="G277">
            <v>620</v>
          </cell>
          <cell r="H277" t="str">
            <v>AMST-G620</v>
          </cell>
          <cell r="K277" t="str">
            <v>Scheiber,Laura Lee</v>
          </cell>
          <cell r="N277" t="str">
            <v>NR</v>
          </cell>
          <cell r="O277" t="str">
            <v>NR</v>
          </cell>
        </row>
        <row r="278">
          <cell r="E278" t="str">
            <v>AMST</v>
          </cell>
          <cell r="F278" t="str">
            <v>AMST-G</v>
          </cell>
          <cell r="G278">
            <v>620</v>
          </cell>
          <cell r="H278" t="str">
            <v>AMST-G620</v>
          </cell>
          <cell r="K278" t="str">
            <v>Striphas,Ted George</v>
          </cell>
          <cell r="N278" t="str">
            <v>NR</v>
          </cell>
          <cell r="O278" t="str">
            <v>NR</v>
          </cell>
        </row>
        <row r="279">
          <cell r="E279" t="str">
            <v>AMST</v>
          </cell>
          <cell r="F279" t="str">
            <v>AMST-G</v>
          </cell>
          <cell r="G279">
            <v>620</v>
          </cell>
          <cell r="H279" t="str">
            <v>AMST-G620</v>
          </cell>
          <cell r="K279" t="str">
            <v>Waller,Gregory A</v>
          </cell>
          <cell r="N279" t="str">
            <v>NR</v>
          </cell>
          <cell r="O279" t="str">
            <v>NR</v>
          </cell>
        </row>
        <row r="280">
          <cell r="E280" t="str">
            <v>AMST</v>
          </cell>
          <cell r="F280" t="str">
            <v>AMST-G</v>
          </cell>
          <cell r="G280">
            <v>751</v>
          </cell>
          <cell r="H280" t="str">
            <v>AMST-G751</v>
          </cell>
          <cell r="K280" t="str">
            <v>Bailey,Marlon M</v>
          </cell>
          <cell r="N280" t="str">
            <v>NR</v>
          </cell>
          <cell r="O280" t="str">
            <v>NR</v>
          </cell>
        </row>
        <row r="281">
          <cell r="E281" t="str">
            <v>AMST</v>
          </cell>
          <cell r="F281" t="str">
            <v>AMST-G</v>
          </cell>
          <cell r="G281">
            <v>751</v>
          </cell>
          <cell r="H281" t="str">
            <v>AMST-G751</v>
          </cell>
          <cell r="K281" t="str">
            <v>Cohn,Deborah</v>
          </cell>
          <cell r="N281" t="str">
            <v>NR</v>
          </cell>
          <cell r="O281" t="str">
            <v>NR</v>
          </cell>
        </row>
        <row r="282">
          <cell r="E282" t="str">
            <v>AMST</v>
          </cell>
          <cell r="F282" t="str">
            <v>AMST-G</v>
          </cell>
          <cell r="G282">
            <v>751</v>
          </cell>
          <cell r="H282" t="str">
            <v>AMST-G751</v>
          </cell>
          <cell r="K282" t="str">
            <v>Goodman,Jesse H.</v>
          </cell>
          <cell r="N282" t="str">
            <v>NR</v>
          </cell>
          <cell r="O282" t="str">
            <v>NR</v>
          </cell>
        </row>
        <row r="283">
          <cell r="E283" t="str">
            <v>AMST</v>
          </cell>
          <cell r="F283" t="str">
            <v>AMST-G</v>
          </cell>
          <cell r="G283">
            <v>751</v>
          </cell>
          <cell r="H283" t="str">
            <v>AMST-G751</v>
          </cell>
          <cell r="K283" t="str">
            <v>Horton-Stallings,Lamonda</v>
          </cell>
          <cell r="N283" t="str">
            <v>NR</v>
          </cell>
          <cell r="O283" t="str">
            <v>NR</v>
          </cell>
        </row>
        <row r="284">
          <cell r="E284" t="str">
            <v>AMST</v>
          </cell>
          <cell r="F284" t="str">
            <v>AMST-G</v>
          </cell>
          <cell r="G284">
            <v>751</v>
          </cell>
          <cell r="H284" t="str">
            <v>AMST-G751</v>
          </cell>
          <cell r="K284" t="str">
            <v>Linenthal,Edward Tabor</v>
          </cell>
          <cell r="N284" t="str">
            <v>NR</v>
          </cell>
          <cell r="O284" t="str">
            <v>NR</v>
          </cell>
        </row>
        <row r="285">
          <cell r="E285" t="str">
            <v>AMST</v>
          </cell>
          <cell r="F285" t="str">
            <v>AMST-G</v>
          </cell>
          <cell r="G285">
            <v>751</v>
          </cell>
          <cell r="H285" t="str">
            <v>AMST-G751</v>
          </cell>
          <cell r="K285" t="str">
            <v>Stoeltje,Beverly</v>
          </cell>
          <cell r="N285" t="str">
            <v>NR</v>
          </cell>
          <cell r="O285" t="str">
            <v>NR</v>
          </cell>
        </row>
        <row r="286">
          <cell r="E286" t="str">
            <v>AMST</v>
          </cell>
          <cell r="F286" t="str">
            <v>AMST-G</v>
          </cell>
          <cell r="G286">
            <v>753</v>
          </cell>
          <cell r="H286" t="str">
            <v>AMST-G753</v>
          </cell>
          <cell r="K286" t="str">
            <v>Guterl,Matthew T</v>
          </cell>
          <cell r="N286" t="str">
            <v>NR</v>
          </cell>
          <cell r="O286" t="str">
            <v>NR</v>
          </cell>
        </row>
        <row r="287">
          <cell r="E287" t="str">
            <v>AMST</v>
          </cell>
          <cell r="F287" t="str">
            <v>AMST-G</v>
          </cell>
          <cell r="G287">
            <v>753</v>
          </cell>
          <cell r="H287" t="str">
            <v>AMST-G753</v>
          </cell>
          <cell r="K287" t="str">
            <v>Halloran,Vivian</v>
          </cell>
          <cell r="N287" t="str">
            <v>NR</v>
          </cell>
          <cell r="O287" t="str">
            <v>NR</v>
          </cell>
        </row>
        <row r="288">
          <cell r="E288" t="str">
            <v>ANAT</v>
          </cell>
          <cell r="F288" t="str">
            <v>ANAT-A</v>
          </cell>
          <cell r="G288">
            <v>215</v>
          </cell>
          <cell r="H288" t="str">
            <v>ANAT-A215</v>
          </cell>
          <cell r="K288" t="str">
            <v>Dougherty,George S.</v>
          </cell>
          <cell r="N288">
            <v>2.3719999999999999</v>
          </cell>
          <cell r="O288">
            <v>3.1110000000000002</v>
          </cell>
        </row>
        <row r="289">
          <cell r="E289" t="str">
            <v>ANAT</v>
          </cell>
          <cell r="F289" t="str">
            <v>ANAT-A</v>
          </cell>
          <cell r="G289">
            <v>215</v>
          </cell>
          <cell r="H289" t="str">
            <v>ANAT-A215</v>
          </cell>
          <cell r="K289" t="str">
            <v>Dougherty,George S.</v>
          </cell>
          <cell r="N289">
            <v>2.9670000000000001</v>
          </cell>
          <cell r="O289">
            <v>3.2559999999999998</v>
          </cell>
        </row>
        <row r="290">
          <cell r="E290" t="str">
            <v>ANAT</v>
          </cell>
          <cell r="F290" t="str">
            <v>ANAT-A</v>
          </cell>
          <cell r="G290">
            <v>215</v>
          </cell>
          <cell r="H290" t="str">
            <v>ANAT-A215</v>
          </cell>
          <cell r="K290" t="str">
            <v>Dougherty,George S.</v>
          </cell>
          <cell r="N290">
            <v>2.9470000000000001</v>
          </cell>
          <cell r="O290">
            <v>3.2879999999999998</v>
          </cell>
        </row>
        <row r="291">
          <cell r="E291" t="str">
            <v>ANAT</v>
          </cell>
          <cell r="F291" t="str">
            <v>ANAT-A</v>
          </cell>
          <cell r="G291">
            <v>215</v>
          </cell>
          <cell r="H291" t="str">
            <v>ANAT-A215</v>
          </cell>
          <cell r="K291" t="str">
            <v>Dougherty,George S.</v>
          </cell>
          <cell r="N291">
            <v>3.0680000000000001</v>
          </cell>
          <cell r="O291">
            <v>3.3119999999999998</v>
          </cell>
        </row>
        <row r="292">
          <cell r="E292" t="str">
            <v>ANAT</v>
          </cell>
          <cell r="F292" t="str">
            <v>ANAT-A</v>
          </cell>
          <cell r="G292">
            <v>215</v>
          </cell>
          <cell r="H292" t="str">
            <v>ANAT-A215</v>
          </cell>
          <cell r="K292" t="str">
            <v>Dougherty,George S.</v>
          </cell>
          <cell r="N292">
            <v>2.7189999999999999</v>
          </cell>
          <cell r="O292">
            <v>3.1190000000000002</v>
          </cell>
        </row>
        <row r="293">
          <cell r="E293" t="str">
            <v>ANAT</v>
          </cell>
          <cell r="F293" t="str">
            <v>ANAT-A</v>
          </cell>
          <cell r="G293">
            <v>215</v>
          </cell>
          <cell r="H293" t="str">
            <v>ANAT-A215</v>
          </cell>
          <cell r="K293" t="str">
            <v>Dougherty,George S.</v>
          </cell>
          <cell r="N293">
            <v>2.5350000000000001</v>
          </cell>
          <cell r="O293">
            <v>3.09</v>
          </cell>
        </row>
        <row r="294">
          <cell r="E294" t="str">
            <v>ANAT</v>
          </cell>
          <cell r="F294" t="str">
            <v>ANAT-A</v>
          </cell>
          <cell r="G294">
            <v>215</v>
          </cell>
          <cell r="H294" t="str">
            <v>ANAT-A215</v>
          </cell>
          <cell r="K294" t="str">
            <v>Notebaert,Andrew J</v>
          </cell>
          <cell r="N294">
            <v>2.7</v>
          </cell>
          <cell r="O294">
            <v>3.2549999999999999</v>
          </cell>
        </row>
        <row r="295">
          <cell r="E295" t="str">
            <v>ANAT</v>
          </cell>
          <cell r="F295" t="str">
            <v>ANAT-A</v>
          </cell>
          <cell r="G295">
            <v>215</v>
          </cell>
          <cell r="H295" t="str">
            <v>ANAT-A215</v>
          </cell>
          <cell r="K295" t="str">
            <v>Notebaert,Andrew J</v>
          </cell>
          <cell r="N295">
            <v>3.0529999999999999</v>
          </cell>
          <cell r="O295">
            <v>3.226</v>
          </cell>
        </row>
        <row r="296">
          <cell r="E296" t="str">
            <v>ANAT</v>
          </cell>
          <cell r="F296" t="str">
            <v>ANAT-A</v>
          </cell>
          <cell r="G296">
            <v>215</v>
          </cell>
          <cell r="H296" t="str">
            <v>ANAT-A215</v>
          </cell>
          <cell r="K296" t="str">
            <v>Notebaert,Andrew J</v>
          </cell>
          <cell r="N296">
            <v>2.4729999999999999</v>
          </cell>
          <cell r="O296">
            <v>2.9340000000000002</v>
          </cell>
        </row>
        <row r="297">
          <cell r="E297" t="str">
            <v>ANAT</v>
          </cell>
          <cell r="F297" t="str">
            <v>ANAT-A</v>
          </cell>
          <cell r="G297">
            <v>215</v>
          </cell>
          <cell r="H297" t="str">
            <v>ANAT-A215</v>
          </cell>
          <cell r="K297" t="str">
            <v>Notebaert,Andrew J</v>
          </cell>
          <cell r="N297">
            <v>2.8159999999999998</v>
          </cell>
          <cell r="O297">
            <v>3.0950000000000002</v>
          </cell>
        </row>
        <row r="298">
          <cell r="E298" t="str">
            <v>ANAT</v>
          </cell>
          <cell r="F298" t="str">
            <v>ANAT-A</v>
          </cell>
          <cell r="G298">
            <v>215</v>
          </cell>
          <cell r="H298" t="str">
            <v>ANAT-A215</v>
          </cell>
          <cell r="K298" t="str">
            <v>Notebaert,Andrew J</v>
          </cell>
          <cell r="N298">
            <v>2.4329999999999998</v>
          </cell>
          <cell r="O298">
            <v>2.8969999999999998</v>
          </cell>
        </row>
        <row r="299">
          <cell r="E299" t="str">
            <v>ANAT</v>
          </cell>
          <cell r="F299" t="str">
            <v>ANAT-A</v>
          </cell>
          <cell r="G299">
            <v>215</v>
          </cell>
          <cell r="H299" t="str">
            <v>ANAT-A215</v>
          </cell>
          <cell r="K299" t="str">
            <v>Notebaert,Andrew J</v>
          </cell>
          <cell r="N299">
            <v>2.1160000000000001</v>
          </cell>
          <cell r="O299">
            <v>3.081</v>
          </cell>
        </row>
        <row r="300">
          <cell r="E300" t="str">
            <v>ANAT</v>
          </cell>
          <cell r="F300" t="str">
            <v>ANAT-A</v>
          </cell>
          <cell r="G300">
            <v>215</v>
          </cell>
          <cell r="H300" t="str">
            <v>ANAT-A215</v>
          </cell>
          <cell r="K300" t="str">
            <v>Notebaert,Andrew J</v>
          </cell>
          <cell r="N300">
            <v>2.7389999999999999</v>
          </cell>
          <cell r="O300">
            <v>3.1779999999999999</v>
          </cell>
        </row>
        <row r="301">
          <cell r="E301" t="str">
            <v>ANAT</v>
          </cell>
          <cell r="F301" t="str">
            <v>ANAT-A</v>
          </cell>
          <cell r="G301">
            <v>215</v>
          </cell>
          <cell r="H301" t="str">
            <v>ANAT-A215</v>
          </cell>
          <cell r="K301" t="str">
            <v>Notebaert,Andrew J</v>
          </cell>
          <cell r="N301">
            <v>2.6469999999999998</v>
          </cell>
          <cell r="O301">
            <v>3.1619999999999999</v>
          </cell>
        </row>
        <row r="302">
          <cell r="E302" t="str">
            <v>ANAT</v>
          </cell>
          <cell r="F302" t="str">
            <v>ANAT-A</v>
          </cell>
          <cell r="G302">
            <v>215</v>
          </cell>
          <cell r="H302" t="str">
            <v>ANAT-A215</v>
          </cell>
          <cell r="K302" t="str">
            <v>Notebaert,Andrew J</v>
          </cell>
          <cell r="N302">
            <v>2.7149999999999999</v>
          </cell>
          <cell r="O302">
            <v>3.141</v>
          </cell>
        </row>
        <row r="303">
          <cell r="E303" t="str">
            <v>ANAT</v>
          </cell>
          <cell r="F303" t="str">
            <v>ANAT-A</v>
          </cell>
          <cell r="G303">
            <v>215</v>
          </cell>
          <cell r="H303" t="str">
            <v>ANAT-A215</v>
          </cell>
          <cell r="K303" t="str">
            <v>Notebaert,Andrew J</v>
          </cell>
          <cell r="N303">
            <v>2.6259999999999999</v>
          </cell>
          <cell r="O303">
            <v>3.1429999999999998</v>
          </cell>
        </row>
        <row r="304">
          <cell r="E304" t="str">
            <v>ANAT</v>
          </cell>
          <cell r="F304" t="str">
            <v>ANAT-A</v>
          </cell>
          <cell r="G304">
            <v>215</v>
          </cell>
          <cell r="H304" t="str">
            <v>ANAT-A215</v>
          </cell>
          <cell r="K304" t="str">
            <v>Notebaert,Andrew J</v>
          </cell>
          <cell r="N304">
            <v>2.3370000000000002</v>
          </cell>
          <cell r="O304">
            <v>2.9910000000000001</v>
          </cell>
        </row>
        <row r="305">
          <cell r="E305" t="str">
            <v>ANAT</v>
          </cell>
          <cell r="F305" t="str">
            <v>ANAT-A</v>
          </cell>
          <cell r="G305">
            <v>215</v>
          </cell>
          <cell r="H305" t="str">
            <v>ANAT-A215</v>
          </cell>
          <cell r="K305" t="str">
            <v>Notebaert,Andrew J</v>
          </cell>
          <cell r="N305">
            <v>2.58</v>
          </cell>
          <cell r="O305">
            <v>3.0590000000000002</v>
          </cell>
        </row>
        <row r="306">
          <cell r="E306" t="str">
            <v>ANAT</v>
          </cell>
          <cell r="F306" t="str">
            <v>ANAT-A</v>
          </cell>
          <cell r="G306">
            <v>215</v>
          </cell>
          <cell r="H306" t="str">
            <v>ANAT-A215</v>
          </cell>
          <cell r="K306" t="str">
            <v>Notebaert,Andrew J</v>
          </cell>
          <cell r="N306">
            <v>2.774</v>
          </cell>
          <cell r="O306">
            <v>3.133</v>
          </cell>
        </row>
        <row r="307">
          <cell r="E307" t="str">
            <v>ANAT</v>
          </cell>
          <cell r="F307" t="str">
            <v>ANAT-A</v>
          </cell>
          <cell r="G307">
            <v>215</v>
          </cell>
          <cell r="H307" t="str">
            <v>ANAT-A215</v>
          </cell>
          <cell r="K307" t="str">
            <v>Notebaert,Andrew J</v>
          </cell>
          <cell r="N307">
            <v>2.5619999999999998</v>
          </cell>
          <cell r="O307">
            <v>3.073</v>
          </cell>
        </row>
        <row r="308">
          <cell r="E308" t="str">
            <v>ANAT</v>
          </cell>
          <cell r="F308" t="str">
            <v>ANAT-A</v>
          </cell>
          <cell r="G308">
            <v>215</v>
          </cell>
          <cell r="H308" t="str">
            <v>ANAT-A215</v>
          </cell>
          <cell r="K308" t="str">
            <v>Notebaert,Andrew J</v>
          </cell>
          <cell r="N308">
            <v>2.7320000000000002</v>
          </cell>
          <cell r="O308">
            <v>3.1030000000000002</v>
          </cell>
        </row>
        <row r="309">
          <cell r="E309" t="str">
            <v>ANAT</v>
          </cell>
          <cell r="F309" t="str">
            <v>ANAT-A</v>
          </cell>
          <cell r="G309">
            <v>215</v>
          </cell>
          <cell r="H309" t="str">
            <v>ANAT-A215</v>
          </cell>
          <cell r="K309" t="str">
            <v>Notebaert,Andrew J</v>
          </cell>
          <cell r="N309">
            <v>2.7130000000000001</v>
          </cell>
          <cell r="O309">
            <v>3.19</v>
          </cell>
        </row>
        <row r="310">
          <cell r="E310" t="str">
            <v>ANAT</v>
          </cell>
          <cell r="F310" t="str">
            <v>ANAT-A</v>
          </cell>
          <cell r="G310">
            <v>215</v>
          </cell>
          <cell r="H310" t="str">
            <v>ANAT-A215</v>
          </cell>
          <cell r="K310" t="str">
            <v>Notebaert,Andrew J</v>
          </cell>
          <cell r="N310">
            <v>2.3780000000000001</v>
          </cell>
          <cell r="O310">
            <v>3.081</v>
          </cell>
        </row>
        <row r="311">
          <cell r="E311" t="str">
            <v>ANAT</v>
          </cell>
          <cell r="F311" t="str">
            <v>ANAT-A</v>
          </cell>
          <cell r="G311">
            <v>215</v>
          </cell>
          <cell r="H311" t="str">
            <v>ANAT-A215</v>
          </cell>
          <cell r="K311" t="str">
            <v>Notebaert,Andrew J</v>
          </cell>
          <cell r="N311">
            <v>2.5409999999999999</v>
          </cell>
          <cell r="O311">
            <v>3.01</v>
          </cell>
        </row>
        <row r="312">
          <cell r="E312" t="str">
            <v>ANAT</v>
          </cell>
          <cell r="F312" t="str">
            <v>ANAT-A</v>
          </cell>
          <cell r="G312">
            <v>464</v>
          </cell>
          <cell r="H312" t="str">
            <v>ANAT-A464</v>
          </cell>
          <cell r="K312" t="str">
            <v>Mescher,Anthony L</v>
          </cell>
          <cell r="N312">
            <v>2.5390000000000001</v>
          </cell>
          <cell r="O312">
            <v>3.2240000000000002</v>
          </cell>
        </row>
        <row r="313">
          <cell r="E313" t="str">
            <v>ANAT</v>
          </cell>
          <cell r="F313" t="str">
            <v>ANAT-A</v>
          </cell>
          <cell r="G313">
            <v>480</v>
          </cell>
          <cell r="H313" t="str">
            <v>ANAT-A480</v>
          </cell>
          <cell r="K313" t="str">
            <v>O'Loughlin,Valerie D</v>
          </cell>
          <cell r="N313">
            <v>3.2690000000000001</v>
          </cell>
          <cell r="O313">
            <v>3.2959999999999998</v>
          </cell>
        </row>
        <row r="314">
          <cell r="E314" t="str">
            <v>ANAT</v>
          </cell>
          <cell r="F314" t="str">
            <v>ANAT-A</v>
          </cell>
          <cell r="G314">
            <v>530</v>
          </cell>
          <cell r="H314" t="str">
            <v>ANAT-A530</v>
          </cell>
          <cell r="K314" t="str">
            <v>Foley,John G</v>
          </cell>
          <cell r="N314" t="str">
            <v>NR</v>
          </cell>
          <cell r="O314" t="str">
            <v>NR</v>
          </cell>
        </row>
        <row r="315">
          <cell r="E315" t="str">
            <v>ANAT</v>
          </cell>
          <cell r="F315" t="str">
            <v>ANAT-A</v>
          </cell>
          <cell r="G315">
            <v>530</v>
          </cell>
          <cell r="H315" t="str">
            <v>ANAT-A530</v>
          </cell>
          <cell r="K315" t="str">
            <v>O'Loughlin,Valerie D</v>
          </cell>
          <cell r="N315" t="str">
            <v>NR</v>
          </cell>
          <cell r="O315" t="str">
            <v>NR</v>
          </cell>
        </row>
        <row r="316">
          <cell r="E316" t="str">
            <v>ANAT</v>
          </cell>
          <cell r="F316" t="str">
            <v>ANAT-A</v>
          </cell>
          <cell r="G316">
            <v>550</v>
          </cell>
          <cell r="H316" t="str">
            <v>ANAT-A550</v>
          </cell>
          <cell r="K316" t="str">
            <v>O'Loughlin,Valerie D</v>
          </cell>
          <cell r="N316" t="str">
            <v>NR</v>
          </cell>
          <cell r="O316" t="str">
            <v>NR</v>
          </cell>
        </row>
        <row r="317">
          <cell r="E317" t="str">
            <v>ANAT</v>
          </cell>
          <cell r="F317" t="str">
            <v>ANAT-A</v>
          </cell>
          <cell r="G317">
            <v>551</v>
          </cell>
          <cell r="H317" t="str">
            <v>ANAT-A551</v>
          </cell>
          <cell r="K317" t="str">
            <v>O'Loughlin,Valerie D</v>
          </cell>
          <cell r="N317">
            <v>2.95</v>
          </cell>
          <cell r="O317">
            <v>3.6379999999999999</v>
          </cell>
        </row>
        <row r="318">
          <cell r="E318" t="str">
            <v>ANAT</v>
          </cell>
          <cell r="F318" t="str">
            <v>ANAT-A</v>
          </cell>
          <cell r="G318">
            <v>560</v>
          </cell>
          <cell r="H318" t="str">
            <v>ANAT-A560</v>
          </cell>
          <cell r="K318" t="str">
            <v>Foley,John G</v>
          </cell>
          <cell r="N318" t="str">
            <v>NR</v>
          </cell>
          <cell r="O318" t="str">
            <v>NR</v>
          </cell>
        </row>
        <row r="319">
          <cell r="E319" t="str">
            <v>ANAT</v>
          </cell>
          <cell r="F319" t="str">
            <v>ANAT-A</v>
          </cell>
          <cell r="G319">
            <v>580</v>
          </cell>
          <cell r="H319" t="str">
            <v>ANAT-A580</v>
          </cell>
          <cell r="K319" t="str">
            <v>O'Loughlin,Valerie D</v>
          </cell>
          <cell r="N319" t="str">
            <v>NR</v>
          </cell>
          <cell r="O319" t="str">
            <v>NR</v>
          </cell>
        </row>
        <row r="320">
          <cell r="E320" t="str">
            <v>ANAT</v>
          </cell>
          <cell r="F320" t="str">
            <v>ANAT-A</v>
          </cell>
          <cell r="G320">
            <v>800</v>
          </cell>
          <cell r="H320" t="str">
            <v>ANAT-A800</v>
          </cell>
          <cell r="K320" t="str">
            <v>Foley,John G</v>
          </cell>
          <cell r="N320" t="str">
            <v>NR</v>
          </cell>
          <cell r="O320" t="str">
            <v>NR</v>
          </cell>
        </row>
        <row r="321">
          <cell r="E321" t="str">
            <v>ANAT</v>
          </cell>
          <cell r="F321" t="str">
            <v>ANAT-A</v>
          </cell>
          <cell r="G321">
            <v>800</v>
          </cell>
          <cell r="H321" t="str">
            <v>ANAT-A800</v>
          </cell>
          <cell r="K321" t="str">
            <v>O'Loughlin,Valerie D</v>
          </cell>
          <cell r="N321" t="str">
            <v>NR</v>
          </cell>
          <cell r="O321" t="str">
            <v>NR</v>
          </cell>
        </row>
        <row r="322">
          <cell r="E322" t="str">
            <v>ANAT</v>
          </cell>
          <cell r="F322" t="str">
            <v>ANAT-A</v>
          </cell>
          <cell r="G322">
            <v>850</v>
          </cell>
          <cell r="H322" t="str">
            <v>ANAT-A850</v>
          </cell>
          <cell r="K322" t="str">
            <v>Foley,John G</v>
          </cell>
          <cell r="N322" t="str">
            <v>NR</v>
          </cell>
          <cell r="O322" t="str">
            <v>NR</v>
          </cell>
        </row>
        <row r="323">
          <cell r="E323" t="str">
            <v>ANAT</v>
          </cell>
          <cell r="F323" t="str">
            <v>ANAT-A</v>
          </cell>
          <cell r="G323">
            <v>850</v>
          </cell>
          <cell r="H323" t="str">
            <v>ANAT-A850</v>
          </cell>
          <cell r="K323" t="str">
            <v>O'Loughlin,Valerie D</v>
          </cell>
          <cell r="N323">
            <v>4</v>
          </cell>
          <cell r="O323">
            <v>3.7330000000000001</v>
          </cell>
        </row>
        <row r="324">
          <cell r="E324" t="str">
            <v>ANAT</v>
          </cell>
          <cell r="F324" t="str">
            <v>ANAT-A</v>
          </cell>
          <cell r="G324">
            <v>878</v>
          </cell>
          <cell r="H324" t="str">
            <v>ANAT-A878</v>
          </cell>
          <cell r="K324" t="str">
            <v>O'Loughlin,Valerie D</v>
          </cell>
          <cell r="N324" t="str">
            <v>NR</v>
          </cell>
          <cell r="O324" t="str">
            <v>NR</v>
          </cell>
        </row>
        <row r="325">
          <cell r="E325" t="str">
            <v>ANAT</v>
          </cell>
          <cell r="F325" t="str">
            <v>ANAT-A</v>
          </cell>
          <cell r="G325">
            <v>878</v>
          </cell>
          <cell r="H325" t="str">
            <v>ANAT-A878</v>
          </cell>
          <cell r="K325" t="str">
            <v>O'Loughlin,Valerie D</v>
          </cell>
          <cell r="N325" t="str">
            <v>NR</v>
          </cell>
          <cell r="O325" t="str">
            <v>NR</v>
          </cell>
        </row>
        <row r="326">
          <cell r="E326" t="str">
            <v>ANTH</v>
          </cell>
          <cell r="F326" t="str">
            <v>ANTH-A</v>
          </cell>
          <cell r="G326">
            <v>105</v>
          </cell>
          <cell r="H326" t="str">
            <v>ANTH-A105</v>
          </cell>
          <cell r="K326" t="str">
            <v>Schoenemann,P. Thomas</v>
          </cell>
          <cell r="N326">
            <v>2.8159999999999998</v>
          </cell>
          <cell r="O326">
            <v>2.956</v>
          </cell>
        </row>
        <row r="327">
          <cell r="E327" t="str">
            <v>ANTH</v>
          </cell>
          <cell r="F327" t="str">
            <v>ANTH-A</v>
          </cell>
          <cell r="G327">
            <v>105</v>
          </cell>
          <cell r="H327" t="str">
            <v>ANTH-A105</v>
          </cell>
          <cell r="K327" t="str">
            <v>Sept,Jeanne M</v>
          </cell>
          <cell r="N327">
            <v>2.8980000000000001</v>
          </cell>
          <cell r="O327">
            <v>2.895</v>
          </cell>
        </row>
        <row r="328">
          <cell r="E328" t="str">
            <v>ANTH</v>
          </cell>
          <cell r="F328" t="str">
            <v>ANTH-A</v>
          </cell>
          <cell r="G328">
            <v>200</v>
          </cell>
          <cell r="H328" t="str">
            <v>ANTH-A200</v>
          </cell>
          <cell r="K328" t="str">
            <v>Atalay,Sonya Lynn</v>
          </cell>
          <cell r="N328">
            <v>3.1909999999999998</v>
          </cell>
          <cell r="O328">
            <v>2.956</v>
          </cell>
        </row>
        <row r="329">
          <cell r="E329" t="str">
            <v>ANTH</v>
          </cell>
          <cell r="F329" t="str">
            <v>ANTH-A</v>
          </cell>
          <cell r="G329">
            <v>200</v>
          </cell>
          <cell r="H329" t="str">
            <v>ANTH-A200</v>
          </cell>
          <cell r="K329" t="str">
            <v>Bludau,Heidi Lea</v>
          </cell>
          <cell r="N329">
            <v>2.9910000000000001</v>
          </cell>
          <cell r="O329">
            <v>3.1019999999999999</v>
          </cell>
        </row>
        <row r="330">
          <cell r="E330" t="str">
            <v>ANTH</v>
          </cell>
          <cell r="F330" t="str">
            <v>ANTH-A</v>
          </cell>
          <cell r="G330">
            <v>200</v>
          </cell>
          <cell r="H330" t="str">
            <v>ANTH-A200</v>
          </cell>
          <cell r="K330" t="str">
            <v>Castaneda,Quetzil E</v>
          </cell>
          <cell r="N330">
            <v>2.6230000000000002</v>
          </cell>
          <cell r="O330">
            <v>2.8439999999999999</v>
          </cell>
        </row>
        <row r="331">
          <cell r="E331" t="str">
            <v>ANTH</v>
          </cell>
          <cell r="F331" t="str">
            <v>ANTH-A</v>
          </cell>
          <cell r="G331">
            <v>200</v>
          </cell>
          <cell r="H331" t="str">
            <v>ANTH-A200</v>
          </cell>
          <cell r="K331" t="str">
            <v>Castaneda,Quetzil E</v>
          </cell>
          <cell r="N331">
            <v>2.4119999999999999</v>
          </cell>
          <cell r="O331">
            <v>2.77</v>
          </cell>
        </row>
        <row r="332">
          <cell r="E332" t="str">
            <v>ANTH</v>
          </cell>
          <cell r="F332" t="str">
            <v>ANTH-A</v>
          </cell>
          <cell r="G332">
            <v>200</v>
          </cell>
          <cell r="H332" t="str">
            <v>ANTH-A200</v>
          </cell>
          <cell r="K332" t="str">
            <v>Collier,Larissa Marie</v>
          </cell>
          <cell r="N332">
            <v>2.98</v>
          </cell>
          <cell r="O332">
            <v>2.42</v>
          </cell>
        </row>
        <row r="333">
          <cell r="E333" t="str">
            <v>ANTH</v>
          </cell>
          <cell r="F333" t="str">
            <v>ANTH-A</v>
          </cell>
          <cell r="G333">
            <v>200</v>
          </cell>
          <cell r="H333" t="str">
            <v>ANTH-A200</v>
          </cell>
          <cell r="K333" t="str">
            <v>Friedman,Sara Lizbeth</v>
          </cell>
          <cell r="N333">
            <v>3.5</v>
          </cell>
          <cell r="O333">
            <v>3.3140000000000001</v>
          </cell>
        </row>
        <row r="334">
          <cell r="E334" t="str">
            <v>ANTH</v>
          </cell>
          <cell r="F334" t="str">
            <v>ANTH-A</v>
          </cell>
          <cell r="G334">
            <v>200</v>
          </cell>
          <cell r="H334" t="str">
            <v>ANTH-A200</v>
          </cell>
          <cell r="K334" t="str">
            <v>Friedman,Sara Lizbeth</v>
          </cell>
          <cell r="N334">
            <v>3.8330000000000002</v>
          </cell>
          <cell r="O334">
            <v>3.7850000000000001</v>
          </cell>
        </row>
        <row r="335">
          <cell r="E335" t="str">
            <v>ANTH</v>
          </cell>
          <cell r="F335" t="str">
            <v>ANTH-A</v>
          </cell>
          <cell r="G335">
            <v>200</v>
          </cell>
          <cell r="H335" t="str">
            <v>ANTH-A200</v>
          </cell>
          <cell r="K335" t="str">
            <v>Gilley,Brian Joseph</v>
          </cell>
          <cell r="N335">
            <v>3.8279999999999998</v>
          </cell>
          <cell r="O335">
            <v>3.032</v>
          </cell>
        </row>
        <row r="336">
          <cell r="E336" t="str">
            <v>ANTH</v>
          </cell>
          <cell r="F336" t="str">
            <v>ANTH-A</v>
          </cell>
          <cell r="G336">
            <v>200</v>
          </cell>
          <cell r="H336" t="str">
            <v>ANTH-A200</v>
          </cell>
          <cell r="K336" t="str">
            <v>Gilley,Brian Joseph</v>
          </cell>
          <cell r="N336">
            <v>3.3</v>
          </cell>
          <cell r="O336">
            <v>2.6920000000000002</v>
          </cell>
        </row>
        <row r="337">
          <cell r="E337" t="str">
            <v>ANTH</v>
          </cell>
          <cell r="F337" t="str">
            <v>ANTH-A</v>
          </cell>
          <cell r="G337">
            <v>208</v>
          </cell>
          <cell r="H337" t="str">
            <v>ANTH-A208</v>
          </cell>
          <cell r="K337" t="str">
            <v>Conger,Andrea Catherine</v>
          </cell>
          <cell r="N337">
            <v>3.4</v>
          </cell>
          <cell r="O337">
            <v>3.0339999999999998</v>
          </cell>
        </row>
        <row r="338">
          <cell r="E338" t="str">
            <v>ANTH</v>
          </cell>
          <cell r="F338" t="str">
            <v>ANTH-A</v>
          </cell>
          <cell r="G338">
            <v>208</v>
          </cell>
          <cell r="H338" t="str">
            <v>ANTH-A208</v>
          </cell>
          <cell r="K338" t="str">
            <v>Conger,Andrea Catherine</v>
          </cell>
          <cell r="N338">
            <v>3.831</v>
          </cell>
          <cell r="O338">
            <v>3.2370000000000001</v>
          </cell>
        </row>
        <row r="339">
          <cell r="E339" t="str">
            <v>ANTH</v>
          </cell>
          <cell r="F339" t="str">
            <v>ANTH-A</v>
          </cell>
          <cell r="G339">
            <v>399</v>
          </cell>
          <cell r="H339" t="str">
            <v>ANTH-A399</v>
          </cell>
          <cell r="K339" t="str">
            <v>Cook,Della C.</v>
          </cell>
          <cell r="N339" t="str">
            <v>NR</v>
          </cell>
          <cell r="O339" t="str">
            <v>NR</v>
          </cell>
        </row>
        <row r="340">
          <cell r="E340" t="str">
            <v>ANTH</v>
          </cell>
          <cell r="F340" t="str">
            <v>ANTH-A</v>
          </cell>
          <cell r="G340">
            <v>399</v>
          </cell>
          <cell r="H340" t="str">
            <v>ANTH-A399</v>
          </cell>
          <cell r="K340" t="str">
            <v>Cook,Della C.</v>
          </cell>
          <cell r="N340" t="str">
            <v>NR</v>
          </cell>
          <cell r="O340" t="str">
            <v>NR</v>
          </cell>
        </row>
        <row r="341">
          <cell r="E341" t="str">
            <v>ANTH</v>
          </cell>
          <cell r="F341" t="str">
            <v>ANTH-A</v>
          </cell>
          <cell r="G341">
            <v>403</v>
          </cell>
          <cell r="H341" t="str">
            <v>ANTH-A403</v>
          </cell>
          <cell r="K341" t="str">
            <v>Kirk,Judith A</v>
          </cell>
          <cell r="N341">
            <v>3.5379999999999998</v>
          </cell>
          <cell r="O341">
            <v>3.2829999999999999</v>
          </cell>
        </row>
        <row r="342">
          <cell r="E342" t="str">
            <v>ANTH</v>
          </cell>
          <cell r="F342" t="str">
            <v>ANTH-A</v>
          </cell>
          <cell r="G342">
            <v>408</v>
          </cell>
          <cell r="H342" t="str">
            <v>ANTH-A408</v>
          </cell>
          <cell r="K342" t="str">
            <v>Conrad,Geoffrey W.</v>
          </cell>
          <cell r="N342">
            <v>4</v>
          </cell>
          <cell r="O342">
            <v>3.512</v>
          </cell>
        </row>
        <row r="343">
          <cell r="E343" t="str">
            <v>ANTH</v>
          </cell>
          <cell r="F343" t="str">
            <v>ANTH-A</v>
          </cell>
          <cell r="G343">
            <v>408</v>
          </cell>
          <cell r="H343" t="str">
            <v>ANTH-A408</v>
          </cell>
          <cell r="K343" t="str">
            <v>Conrad,Geoffrey W.</v>
          </cell>
          <cell r="N343">
            <v>4</v>
          </cell>
          <cell r="O343">
            <v>3.569</v>
          </cell>
        </row>
        <row r="344">
          <cell r="E344" t="str">
            <v>ANTH</v>
          </cell>
          <cell r="F344" t="str">
            <v>ANTH-A</v>
          </cell>
          <cell r="G344">
            <v>410</v>
          </cell>
          <cell r="H344" t="str">
            <v>ANTH-A410</v>
          </cell>
          <cell r="K344" t="str">
            <v>Pyburn,K. Anne</v>
          </cell>
          <cell r="N344">
            <v>4</v>
          </cell>
          <cell r="O344">
            <v>3.4889999999999999</v>
          </cell>
        </row>
        <row r="345">
          <cell r="E345" t="str">
            <v>ANTH</v>
          </cell>
          <cell r="F345" t="str">
            <v>ANTH-A</v>
          </cell>
          <cell r="G345">
            <v>420</v>
          </cell>
          <cell r="H345" t="str">
            <v>ANTH-A420</v>
          </cell>
          <cell r="K345" t="str">
            <v>Scheiber,Laura Lee</v>
          </cell>
          <cell r="N345">
            <v>4</v>
          </cell>
          <cell r="O345">
            <v>3.3159999999999998</v>
          </cell>
        </row>
        <row r="346">
          <cell r="E346" t="str">
            <v>ANTH</v>
          </cell>
          <cell r="F346" t="str">
            <v>ANTH-A</v>
          </cell>
          <cell r="G346">
            <v>420</v>
          </cell>
          <cell r="H346" t="str">
            <v>ANTH-A420</v>
          </cell>
          <cell r="K346" t="str">
            <v>Scheiber,Laura Lee</v>
          </cell>
          <cell r="N346">
            <v>3.9239999999999999</v>
          </cell>
          <cell r="O346">
            <v>3.407</v>
          </cell>
        </row>
        <row r="347">
          <cell r="E347" t="str">
            <v>ANTH</v>
          </cell>
          <cell r="F347" t="str">
            <v>ANTH-A</v>
          </cell>
          <cell r="G347">
            <v>495</v>
          </cell>
          <cell r="H347" t="str">
            <v>ANTH-A495</v>
          </cell>
          <cell r="K347" t="str">
            <v>Brondizio,Eduardo Sonnewend</v>
          </cell>
          <cell r="N347">
            <v>4</v>
          </cell>
          <cell r="O347">
            <v>3.6640000000000001</v>
          </cell>
        </row>
        <row r="348">
          <cell r="E348" t="str">
            <v>ANTH</v>
          </cell>
          <cell r="F348" t="str">
            <v>ANTH-A</v>
          </cell>
          <cell r="G348">
            <v>495</v>
          </cell>
          <cell r="H348" t="str">
            <v>ANTH-A495</v>
          </cell>
          <cell r="K348" t="str">
            <v>Brondizio,Eduardo Sonnewend</v>
          </cell>
          <cell r="N348" t="str">
            <v>NR</v>
          </cell>
          <cell r="O348" t="str">
            <v>NR</v>
          </cell>
        </row>
        <row r="349">
          <cell r="E349" t="str">
            <v>ANTH</v>
          </cell>
          <cell r="F349" t="str">
            <v>ANTH-A</v>
          </cell>
          <cell r="G349">
            <v>495</v>
          </cell>
          <cell r="H349" t="str">
            <v>ANTH-A495</v>
          </cell>
          <cell r="K349" t="str">
            <v>Brondizio,Eduardo Sonnewend</v>
          </cell>
          <cell r="N349" t="str">
            <v>NR</v>
          </cell>
          <cell r="O349" t="str">
            <v>NR</v>
          </cell>
        </row>
        <row r="350">
          <cell r="E350" t="str">
            <v>ANTH</v>
          </cell>
          <cell r="F350" t="str">
            <v>ANTH-A</v>
          </cell>
          <cell r="G350">
            <v>495</v>
          </cell>
          <cell r="H350" t="str">
            <v>ANTH-A495</v>
          </cell>
          <cell r="K350" t="str">
            <v>Tucker,Catherine M.</v>
          </cell>
          <cell r="N350">
            <v>3.9860000000000002</v>
          </cell>
          <cell r="O350">
            <v>3.5979999999999999</v>
          </cell>
        </row>
        <row r="351">
          <cell r="E351" t="str">
            <v>ANTH</v>
          </cell>
          <cell r="F351" t="str">
            <v>ANTH-A</v>
          </cell>
          <cell r="G351">
            <v>495</v>
          </cell>
          <cell r="H351" t="str">
            <v>ANTH-A495</v>
          </cell>
          <cell r="K351" t="str">
            <v>Tucker,Catherine M.</v>
          </cell>
          <cell r="N351" t="str">
            <v>NR</v>
          </cell>
          <cell r="O351" t="str">
            <v>NR</v>
          </cell>
        </row>
        <row r="352">
          <cell r="E352" t="str">
            <v>ANTH</v>
          </cell>
          <cell r="F352" t="str">
            <v>ANTH-A</v>
          </cell>
          <cell r="G352">
            <v>496</v>
          </cell>
          <cell r="H352" t="str">
            <v>ANTH-A496</v>
          </cell>
          <cell r="K352" t="str">
            <v>Brondizio,Eduardo Sonnewend</v>
          </cell>
          <cell r="N352" t="str">
            <v>NR</v>
          </cell>
          <cell r="O352" t="str">
            <v>NR</v>
          </cell>
        </row>
        <row r="353">
          <cell r="E353" t="str">
            <v>ANTH</v>
          </cell>
          <cell r="F353" t="str">
            <v>ANTH-A</v>
          </cell>
          <cell r="G353">
            <v>496</v>
          </cell>
          <cell r="H353" t="str">
            <v>ANTH-A496</v>
          </cell>
          <cell r="K353" t="str">
            <v>Tucker,Catherine M.</v>
          </cell>
          <cell r="N353" t="str">
            <v>NR</v>
          </cell>
          <cell r="O353" t="str">
            <v>NR</v>
          </cell>
        </row>
        <row r="354">
          <cell r="E354" t="str">
            <v>ANTH</v>
          </cell>
          <cell r="F354" t="str">
            <v>ANTH-A</v>
          </cell>
          <cell r="G354">
            <v>521</v>
          </cell>
          <cell r="H354" t="str">
            <v>ANTH-A521</v>
          </cell>
          <cell r="K354" t="str">
            <v>Sievert,April K.</v>
          </cell>
          <cell r="N354">
            <v>4</v>
          </cell>
          <cell r="O354">
            <v>3.91</v>
          </cell>
        </row>
        <row r="355">
          <cell r="E355" t="str">
            <v>ANTH</v>
          </cell>
          <cell r="F355" t="str">
            <v>ANTH-A</v>
          </cell>
          <cell r="G355">
            <v>800</v>
          </cell>
          <cell r="H355" t="str">
            <v>ANTH-A800</v>
          </cell>
          <cell r="K355" t="str">
            <v>Brondizio,Eduardo Sonnewend</v>
          </cell>
          <cell r="N355" t="str">
            <v>NR</v>
          </cell>
          <cell r="O355" t="str">
            <v>NR</v>
          </cell>
        </row>
        <row r="356">
          <cell r="E356" t="str">
            <v>ANTH</v>
          </cell>
          <cell r="F356" t="str">
            <v>ANTH-A</v>
          </cell>
          <cell r="G356">
            <v>800</v>
          </cell>
          <cell r="H356" t="str">
            <v>ANTH-A800</v>
          </cell>
          <cell r="K356" t="str">
            <v>Brondizio,Eduardo Sonnewend</v>
          </cell>
          <cell r="N356" t="str">
            <v>NR</v>
          </cell>
          <cell r="O356" t="str">
            <v>NR</v>
          </cell>
        </row>
        <row r="357">
          <cell r="E357" t="str">
            <v>ANTH</v>
          </cell>
          <cell r="F357" t="str">
            <v>ANTH-A</v>
          </cell>
          <cell r="G357">
            <v>800</v>
          </cell>
          <cell r="H357" t="str">
            <v>ANTH-A800</v>
          </cell>
          <cell r="K357" t="str">
            <v>Tucker,Catherine M.</v>
          </cell>
          <cell r="N357" t="str">
            <v>NR</v>
          </cell>
          <cell r="O357" t="str">
            <v>NR</v>
          </cell>
        </row>
        <row r="358">
          <cell r="E358" t="str">
            <v>ANTH</v>
          </cell>
          <cell r="F358" t="str">
            <v>ANTH-A</v>
          </cell>
          <cell r="G358">
            <v>800</v>
          </cell>
          <cell r="H358" t="str">
            <v>ANTH-A800</v>
          </cell>
          <cell r="K358" t="str">
            <v>Tucker,Catherine M.</v>
          </cell>
          <cell r="N358" t="str">
            <v>NR</v>
          </cell>
          <cell r="O358" t="str">
            <v>NR</v>
          </cell>
        </row>
        <row r="359">
          <cell r="E359" t="str">
            <v>ANTH</v>
          </cell>
          <cell r="F359" t="str">
            <v>ANTH-B</v>
          </cell>
          <cell r="G359">
            <v>200</v>
          </cell>
          <cell r="H359" t="str">
            <v>ANTH-B200</v>
          </cell>
          <cell r="K359" t="str">
            <v>Hensley-Marschand,Blaire</v>
          </cell>
          <cell r="N359">
            <v>2.992</v>
          </cell>
          <cell r="O359">
            <v>2.7080000000000002</v>
          </cell>
        </row>
        <row r="360">
          <cell r="E360" t="str">
            <v>ANTH</v>
          </cell>
          <cell r="F360" t="str">
            <v>ANTH-B</v>
          </cell>
          <cell r="G360">
            <v>200</v>
          </cell>
          <cell r="H360" t="str">
            <v>ANTH-B200</v>
          </cell>
          <cell r="K360" t="str">
            <v>Kaestle,Frederika Ann</v>
          </cell>
          <cell r="N360">
            <v>3.1589999999999998</v>
          </cell>
          <cell r="O360">
            <v>3.113</v>
          </cell>
        </row>
        <row r="361">
          <cell r="E361" t="str">
            <v>ANTH</v>
          </cell>
          <cell r="F361" t="str">
            <v>ANTH-B</v>
          </cell>
          <cell r="G361">
            <v>200</v>
          </cell>
          <cell r="H361" t="str">
            <v>ANTH-B200</v>
          </cell>
          <cell r="K361" t="str">
            <v>Marshall,Charla Kristen</v>
          </cell>
          <cell r="N361">
            <v>3.3</v>
          </cell>
          <cell r="O361">
            <v>3.0950000000000002</v>
          </cell>
        </row>
        <row r="362">
          <cell r="E362" t="str">
            <v>ANTH</v>
          </cell>
          <cell r="F362" t="str">
            <v>ANTH-B</v>
          </cell>
          <cell r="G362">
            <v>301</v>
          </cell>
          <cell r="H362" t="str">
            <v>ANTH-B301</v>
          </cell>
          <cell r="K362" t="str">
            <v>Hanson,Danielle Cozette</v>
          </cell>
          <cell r="N362">
            <v>3.7480000000000002</v>
          </cell>
          <cell r="O362">
            <v>3.5659999999999998</v>
          </cell>
        </row>
        <row r="363">
          <cell r="E363" t="str">
            <v>ANTH</v>
          </cell>
          <cell r="F363" t="str">
            <v>ANTH-B</v>
          </cell>
          <cell r="G363">
            <v>301</v>
          </cell>
          <cell r="H363" t="str">
            <v>ANTH-B301</v>
          </cell>
          <cell r="K363" t="str">
            <v>Harrison,Jessica Lou</v>
          </cell>
          <cell r="N363">
            <v>3.3479999999999999</v>
          </cell>
          <cell r="O363">
            <v>3.3220000000000001</v>
          </cell>
        </row>
        <row r="364">
          <cell r="E364" t="str">
            <v>ANTH</v>
          </cell>
          <cell r="F364" t="str">
            <v>ANTH-B</v>
          </cell>
          <cell r="G364">
            <v>301</v>
          </cell>
          <cell r="H364" t="str">
            <v>ANTH-B301</v>
          </cell>
          <cell r="K364" t="str">
            <v>Hurst,Delanie Rose</v>
          </cell>
          <cell r="N364">
            <v>3.7519999999999998</v>
          </cell>
          <cell r="O364">
            <v>3.2709999999999999</v>
          </cell>
        </row>
        <row r="365">
          <cell r="E365" t="str">
            <v>ANTH</v>
          </cell>
          <cell r="F365" t="str">
            <v>ANTH-B</v>
          </cell>
          <cell r="G365">
            <v>310</v>
          </cell>
          <cell r="H365" t="str">
            <v>ANTH-B310</v>
          </cell>
          <cell r="K365" t="str">
            <v>Cook,Della C.</v>
          </cell>
          <cell r="N365">
            <v>3.22</v>
          </cell>
          <cell r="O365">
            <v>3.3679999999999999</v>
          </cell>
        </row>
        <row r="366">
          <cell r="E366" t="str">
            <v>ANTH</v>
          </cell>
          <cell r="F366" t="str">
            <v>ANTH-B</v>
          </cell>
          <cell r="G366">
            <v>312</v>
          </cell>
          <cell r="H366" t="str">
            <v>ANTH-B312</v>
          </cell>
          <cell r="K366" t="str">
            <v>Muehlenbein,Michael P</v>
          </cell>
          <cell r="N366">
            <v>3.5739999999999998</v>
          </cell>
          <cell r="O366">
            <v>3.3439999999999999</v>
          </cell>
        </row>
        <row r="367">
          <cell r="E367" t="str">
            <v>ANTH</v>
          </cell>
          <cell r="F367" t="str">
            <v>ANTH-B</v>
          </cell>
          <cell r="G367">
            <v>368</v>
          </cell>
          <cell r="H367" t="str">
            <v>ANTH-B368</v>
          </cell>
          <cell r="K367" t="str">
            <v>Hunt,Kevin D.</v>
          </cell>
          <cell r="N367">
            <v>3.137</v>
          </cell>
          <cell r="O367">
            <v>2.9910000000000001</v>
          </cell>
        </row>
        <row r="368">
          <cell r="E368" t="str">
            <v>ANTH</v>
          </cell>
          <cell r="F368" t="str">
            <v>ANTH-B</v>
          </cell>
          <cell r="G368">
            <v>370</v>
          </cell>
          <cell r="H368" t="str">
            <v>ANTH-B370</v>
          </cell>
          <cell r="K368" t="str">
            <v>Muehlenbein,Michael P</v>
          </cell>
          <cell r="N368">
            <v>3.839</v>
          </cell>
          <cell r="O368">
            <v>3.4870000000000001</v>
          </cell>
        </row>
        <row r="369">
          <cell r="E369" t="str">
            <v>ANTH</v>
          </cell>
          <cell r="F369" t="str">
            <v>ANTH-B</v>
          </cell>
          <cell r="G369">
            <v>400</v>
          </cell>
          <cell r="H369" t="str">
            <v>ANTH-B400</v>
          </cell>
          <cell r="K369" t="str">
            <v>Cook,Della C.</v>
          </cell>
          <cell r="N369">
            <v>4</v>
          </cell>
          <cell r="O369">
            <v>3.371</v>
          </cell>
        </row>
        <row r="370">
          <cell r="E370" t="str">
            <v>ANTH</v>
          </cell>
          <cell r="F370" t="str">
            <v>ANTH-B</v>
          </cell>
          <cell r="G370">
            <v>400</v>
          </cell>
          <cell r="H370" t="str">
            <v>ANTH-B400</v>
          </cell>
          <cell r="K370" t="str">
            <v>Hunt,Kevin D.</v>
          </cell>
          <cell r="N370" t="str">
            <v>NR</v>
          </cell>
          <cell r="O370" t="str">
            <v>NR</v>
          </cell>
        </row>
        <row r="371">
          <cell r="E371" t="str">
            <v>ANTH</v>
          </cell>
          <cell r="F371" t="str">
            <v>ANTH-B</v>
          </cell>
          <cell r="G371">
            <v>400</v>
          </cell>
          <cell r="H371" t="str">
            <v>ANTH-B400</v>
          </cell>
          <cell r="K371" t="str">
            <v>Schoenemann,P. Thomas</v>
          </cell>
          <cell r="N371">
            <v>3.9449999999999998</v>
          </cell>
          <cell r="O371">
            <v>3.2160000000000002</v>
          </cell>
        </row>
        <row r="372">
          <cell r="E372" t="str">
            <v>ANTH</v>
          </cell>
          <cell r="F372" t="str">
            <v>ANTH-B</v>
          </cell>
          <cell r="G372">
            <v>400</v>
          </cell>
          <cell r="H372" t="str">
            <v>ANTH-B400</v>
          </cell>
          <cell r="K372" t="str">
            <v>Schoenemann,P. Thomas</v>
          </cell>
          <cell r="N372">
            <v>3.9569999999999999</v>
          </cell>
          <cell r="O372">
            <v>3.2530000000000001</v>
          </cell>
        </row>
        <row r="373">
          <cell r="E373" t="str">
            <v>ANTH</v>
          </cell>
          <cell r="F373" t="str">
            <v>ANTH-B</v>
          </cell>
          <cell r="G373">
            <v>466</v>
          </cell>
          <cell r="H373" t="str">
            <v>ANTH-B466</v>
          </cell>
          <cell r="K373" t="str">
            <v>Hunt,Kevin D.</v>
          </cell>
          <cell r="N373">
            <v>3.76</v>
          </cell>
          <cell r="O373">
            <v>3.2149999999999999</v>
          </cell>
        </row>
        <row r="374">
          <cell r="E374" t="str">
            <v>ANTH</v>
          </cell>
          <cell r="F374" t="str">
            <v>ANTH-B</v>
          </cell>
          <cell r="G374">
            <v>500</v>
          </cell>
          <cell r="H374" t="str">
            <v>ANTH-B500</v>
          </cell>
          <cell r="K374" t="str">
            <v>Cook,Della C.</v>
          </cell>
          <cell r="N374" t="str">
            <v>NR</v>
          </cell>
          <cell r="O374" t="str">
            <v>NR</v>
          </cell>
        </row>
        <row r="375">
          <cell r="E375" t="str">
            <v>ANTH</v>
          </cell>
          <cell r="F375" t="str">
            <v>ANTH-B</v>
          </cell>
          <cell r="G375">
            <v>512</v>
          </cell>
          <cell r="H375" t="str">
            <v>ANTH-B512</v>
          </cell>
          <cell r="K375" t="str">
            <v>Muehlenbein,Michael P</v>
          </cell>
          <cell r="N375" t="str">
            <v>NR</v>
          </cell>
          <cell r="O375" t="str">
            <v>NR</v>
          </cell>
        </row>
        <row r="376">
          <cell r="E376" t="str">
            <v>ANTH</v>
          </cell>
          <cell r="F376" t="str">
            <v>ANTH-B</v>
          </cell>
          <cell r="G376">
            <v>525</v>
          </cell>
          <cell r="H376" t="str">
            <v>ANTH-B525</v>
          </cell>
          <cell r="K376" t="str">
            <v>Kaestle,Frederika Ann</v>
          </cell>
          <cell r="N376">
            <v>4</v>
          </cell>
          <cell r="O376">
            <v>3.9449999999999998</v>
          </cell>
        </row>
        <row r="377">
          <cell r="E377" t="str">
            <v>ANTH</v>
          </cell>
          <cell r="F377" t="str">
            <v>ANTH-B</v>
          </cell>
          <cell r="G377">
            <v>568</v>
          </cell>
          <cell r="H377" t="str">
            <v>ANTH-B568</v>
          </cell>
          <cell r="K377" t="str">
            <v>Hunt,Kevin D.</v>
          </cell>
          <cell r="N377" t="str">
            <v>NR</v>
          </cell>
          <cell r="O377" t="str">
            <v>NR</v>
          </cell>
        </row>
        <row r="378">
          <cell r="E378" t="str">
            <v>ANTH</v>
          </cell>
          <cell r="F378" t="str">
            <v>ANTH-B</v>
          </cell>
          <cell r="G378">
            <v>600</v>
          </cell>
          <cell r="H378" t="str">
            <v>ANTH-B600</v>
          </cell>
          <cell r="K378" t="str">
            <v>Cook,Della C.</v>
          </cell>
          <cell r="N378" t="str">
            <v>NR</v>
          </cell>
          <cell r="O378" t="str">
            <v>NR</v>
          </cell>
        </row>
        <row r="379">
          <cell r="E379" t="str">
            <v>ANTH</v>
          </cell>
          <cell r="F379" t="str">
            <v>ANTH-B</v>
          </cell>
          <cell r="G379">
            <v>600</v>
          </cell>
          <cell r="H379" t="str">
            <v>ANTH-B600</v>
          </cell>
          <cell r="K379" t="str">
            <v>Cook,Della C.</v>
          </cell>
          <cell r="N379" t="str">
            <v>NR</v>
          </cell>
          <cell r="O379" t="str">
            <v>NR</v>
          </cell>
        </row>
        <row r="380">
          <cell r="E380" t="str">
            <v>ANTH</v>
          </cell>
          <cell r="F380" t="str">
            <v>ANTH-B</v>
          </cell>
          <cell r="G380">
            <v>600</v>
          </cell>
          <cell r="H380" t="str">
            <v>ANTH-B600</v>
          </cell>
          <cell r="K380" t="str">
            <v>Schoenemann,P. Thomas</v>
          </cell>
          <cell r="N380">
            <v>3.95</v>
          </cell>
          <cell r="O380">
            <v>3.9279999999999999</v>
          </cell>
        </row>
        <row r="381">
          <cell r="E381" t="str">
            <v>ANTH</v>
          </cell>
          <cell r="F381" t="str">
            <v>ANTH-B</v>
          </cell>
          <cell r="G381">
            <v>600</v>
          </cell>
          <cell r="H381" t="str">
            <v>ANTH-B600</v>
          </cell>
          <cell r="K381" t="str">
            <v>Schoenemann,P. Thomas</v>
          </cell>
          <cell r="N381" t="str">
            <v>NR</v>
          </cell>
          <cell r="O381" t="str">
            <v>NR</v>
          </cell>
        </row>
        <row r="382">
          <cell r="E382" t="str">
            <v>ANTH</v>
          </cell>
          <cell r="F382" t="str">
            <v>ANTH-E</v>
          </cell>
          <cell r="G382">
            <v>101</v>
          </cell>
          <cell r="H382" t="str">
            <v>ANTH-E101</v>
          </cell>
          <cell r="K382" t="str">
            <v>Tucker,Catherine M.</v>
          </cell>
          <cell r="N382">
            <v>2.883</v>
          </cell>
          <cell r="O382">
            <v>2.758</v>
          </cell>
        </row>
        <row r="383">
          <cell r="E383" t="str">
            <v>ANTH</v>
          </cell>
          <cell r="F383" t="str">
            <v>ANTH-E</v>
          </cell>
          <cell r="G383">
            <v>105</v>
          </cell>
          <cell r="H383" t="str">
            <v>ANTH-E105</v>
          </cell>
          <cell r="K383" t="str">
            <v>Suslak,Daniel Frank</v>
          </cell>
          <cell r="N383">
            <v>3.4260000000000002</v>
          </cell>
          <cell r="O383">
            <v>3.07</v>
          </cell>
        </row>
        <row r="384">
          <cell r="E384" t="str">
            <v>ANTH</v>
          </cell>
          <cell r="F384" t="str">
            <v>ANTH-E</v>
          </cell>
          <cell r="G384">
            <v>105</v>
          </cell>
          <cell r="H384" t="str">
            <v>ANTH-E105</v>
          </cell>
          <cell r="K384" t="str">
            <v>Wilk,Richard R.</v>
          </cell>
          <cell r="N384">
            <v>2.9039999999999999</v>
          </cell>
          <cell r="O384">
            <v>2.98</v>
          </cell>
        </row>
        <row r="385">
          <cell r="E385" t="str">
            <v>ANTH</v>
          </cell>
          <cell r="F385" t="str">
            <v>ANTH-E</v>
          </cell>
          <cell r="G385">
            <v>200</v>
          </cell>
          <cell r="H385" t="str">
            <v>ANTH-E200</v>
          </cell>
          <cell r="K385" t="str">
            <v>Buggenhagen,Beth Anne</v>
          </cell>
          <cell r="N385">
            <v>3.1960000000000002</v>
          </cell>
          <cell r="O385">
            <v>3.109</v>
          </cell>
        </row>
        <row r="386">
          <cell r="E386" t="str">
            <v>ANTH</v>
          </cell>
          <cell r="F386" t="str">
            <v>ANTH-E</v>
          </cell>
          <cell r="G386">
            <v>200</v>
          </cell>
          <cell r="H386" t="str">
            <v>ANTH-E200</v>
          </cell>
          <cell r="K386" t="str">
            <v>Sterling,Marvin Dale</v>
          </cell>
          <cell r="N386">
            <v>3.1539999999999999</v>
          </cell>
          <cell r="O386">
            <v>3.1850000000000001</v>
          </cell>
        </row>
        <row r="387">
          <cell r="E387" t="str">
            <v>ANTH</v>
          </cell>
          <cell r="F387" t="str">
            <v>ANTH-E</v>
          </cell>
          <cell r="G387">
            <v>210</v>
          </cell>
          <cell r="H387" t="str">
            <v>ANTH-E210</v>
          </cell>
          <cell r="K387" t="str">
            <v>Greene,Landon Shane</v>
          </cell>
          <cell r="N387">
            <v>3.0179999999999998</v>
          </cell>
          <cell r="O387">
            <v>2.8740000000000001</v>
          </cell>
        </row>
        <row r="388">
          <cell r="E388" t="str">
            <v>ANTH</v>
          </cell>
          <cell r="F388" t="str">
            <v>ANTH-E</v>
          </cell>
          <cell r="G388">
            <v>300</v>
          </cell>
          <cell r="H388" t="str">
            <v>ANTH-E300</v>
          </cell>
          <cell r="K388" t="str">
            <v>Buggenhagen,Beth Anne</v>
          </cell>
          <cell r="N388">
            <v>3.335</v>
          </cell>
          <cell r="O388">
            <v>2.9809999999999999</v>
          </cell>
        </row>
        <row r="389">
          <cell r="E389" t="str">
            <v>ANTH</v>
          </cell>
          <cell r="F389" t="str">
            <v>ANTH-E</v>
          </cell>
          <cell r="G389">
            <v>302</v>
          </cell>
          <cell r="H389" t="str">
            <v>ANTH-E302</v>
          </cell>
          <cell r="K389" t="str">
            <v>Dillard,Sarah Elaine</v>
          </cell>
          <cell r="N389">
            <v>3.508</v>
          </cell>
          <cell r="O389">
            <v>3.016</v>
          </cell>
        </row>
        <row r="390">
          <cell r="E390" t="str">
            <v>ANTH</v>
          </cell>
          <cell r="F390" t="str">
            <v>ANTH-E</v>
          </cell>
          <cell r="G390">
            <v>309</v>
          </cell>
          <cell r="H390" t="str">
            <v>ANTH-E309</v>
          </cell>
          <cell r="K390" t="str">
            <v>Stoeltje,Beverly</v>
          </cell>
          <cell r="N390">
            <v>3.3149999999999999</v>
          </cell>
          <cell r="O390">
            <v>3.0329999999999999</v>
          </cell>
        </row>
        <row r="391">
          <cell r="E391" t="str">
            <v>ANTH</v>
          </cell>
          <cell r="F391" t="str">
            <v>ANTH-E</v>
          </cell>
          <cell r="G391">
            <v>319</v>
          </cell>
          <cell r="H391" t="str">
            <v>ANTH-E319</v>
          </cell>
          <cell r="K391" t="str">
            <v>Demallie Jr,Raymond J.</v>
          </cell>
          <cell r="N391">
            <v>2.637</v>
          </cell>
          <cell r="O391">
            <v>3.0830000000000002</v>
          </cell>
        </row>
        <row r="392">
          <cell r="E392" t="str">
            <v>ANTH</v>
          </cell>
          <cell r="F392" t="str">
            <v>ANTH-E</v>
          </cell>
          <cell r="G392">
            <v>321</v>
          </cell>
          <cell r="H392" t="str">
            <v>ANTH-E321</v>
          </cell>
          <cell r="K392" t="str">
            <v>Royce,Anya Peterson</v>
          </cell>
          <cell r="N392">
            <v>3.4289999999999998</v>
          </cell>
          <cell r="O392">
            <v>3.32</v>
          </cell>
        </row>
        <row r="393">
          <cell r="E393" t="str">
            <v>ANTH</v>
          </cell>
          <cell r="F393" t="str">
            <v>ANTH-E</v>
          </cell>
          <cell r="G393">
            <v>340</v>
          </cell>
          <cell r="H393" t="str">
            <v>ANTH-E340</v>
          </cell>
          <cell r="K393" t="str">
            <v>Tucker,Catherine M.</v>
          </cell>
          <cell r="N393">
            <v>3.3079999999999998</v>
          </cell>
          <cell r="O393">
            <v>3.2709999999999999</v>
          </cell>
        </row>
        <row r="394">
          <cell r="E394" t="str">
            <v>ANTH</v>
          </cell>
          <cell r="F394" t="str">
            <v>ANTH-E</v>
          </cell>
          <cell r="G394">
            <v>398</v>
          </cell>
          <cell r="H394" t="str">
            <v>ANTH-E398</v>
          </cell>
          <cell r="K394" t="str">
            <v>Shahrani,M. Nazif</v>
          </cell>
          <cell r="N394">
            <v>3.044</v>
          </cell>
          <cell r="O394">
            <v>3.2989999999999999</v>
          </cell>
        </row>
        <row r="395">
          <cell r="E395" t="str">
            <v>ANTH</v>
          </cell>
          <cell r="F395" t="str">
            <v>ANTH-E</v>
          </cell>
          <cell r="G395">
            <v>400</v>
          </cell>
          <cell r="H395" t="str">
            <v>ANTH-E400</v>
          </cell>
          <cell r="K395" t="str">
            <v>Bahloul,Joelle</v>
          </cell>
          <cell r="N395">
            <v>3.5289999999999999</v>
          </cell>
          <cell r="O395">
            <v>3.1440000000000001</v>
          </cell>
        </row>
        <row r="396">
          <cell r="E396" t="str">
            <v>ANTH</v>
          </cell>
          <cell r="F396" t="str">
            <v>ANTH-E</v>
          </cell>
          <cell r="G396">
            <v>400</v>
          </cell>
          <cell r="H396" t="str">
            <v>ANTH-E400</v>
          </cell>
          <cell r="K396" t="str">
            <v>Bahloul,Joelle</v>
          </cell>
          <cell r="N396" t="str">
            <v>NR</v>
          </cell>
          <cell r="O396" t="str">
            <v>NR</v>
          </cell>
        </row>
        <row r="397">
          <cell r="E397" t="str">
            <v>ANTH</v>
          </cell>
          <cell r="F397" t="str">
            <v>ANTH-E</v>
          </cell>
          <cell r="G397">
            <v>400</v>
          </cell>
          <cell r="H397" t="str">
            <v>ANTH-E400</v>
          </cell>
          <cell r="K397" t="str">
            <v>Castaneda,Quetzil E</v>
          </cell>
          <cell r="N397" t="str">
            <v>NR</v>
          </cell>
          <cell r="O397" t="str">
            <v>NR</v>
          </cell>
        </row>
        <row r="398">
          <cell r="E398" t="str">
            <v>ANTH</v>
          </cell>
          <cell r="F398" t="str">
            <v>ANTH-E</v>
          </cell>
          <cell r="G398">
            <v>400</v>
          </cell>
          <cell r="H398" t="str">
            <v>ANTH-E400</v>
          </cell>
          <cell r="K398" t="str">
            <v>Phillips,Sarah Drue</v>
          </cell>
          <cell r="N398">
            <v>3.58</v>
          </cell>
          <cell r="O398">
            <v>3.125</v>
          </cell>
        </row>
        <row r="399">
          <cell r="E399" t="str">
            <v>ANTH</v>
          </cell>
          <cell r="F399" t="str">
            <v>ANTH-E</v>
          </cell>
          <cell r="G399">
            <v>400</v>
          </cell>
          <cell r="H399" t="str">
            <v>ANTH-E400</v>
          </cell>
          <cell r="K399" t="str">
            <v>Royce,Anya Peterson</v>
          </cell>
          <cell r="N399" t="str">
            <v>NR</v>
          </cell>
          <cell r="O399" t="str">
            <v>NR</v>
          </cell>
        </row>
        <row r="400">
          <cell r="E400" t="str">
            <v>ANTH</v>
          </cell>
          <cell r="F400" t="str">
            <v>ANTH-E</v>
          </cell>
          <cell r="G400">
            <v>400</v>
          </cell>
          <cell r="H400" t="str">
            <v>ANTH-E400</v>
          </cell>
          <cell r="K400" t="str">
            <v>Trix,Frances</v>
          </cell>
          <cell r="N400">
            <v>3.7330000000000001</v>
          </cell>
          <cell r="O400">
            <v>3.5019999999999998</v>
          </cell>
        </row>
        <row r="401">
          <cell r="E401" t="str">
            <v>ANTH</v>
          </cell>
          <cell r="F401" t="str">
            <v>ANTH-E</v>
          </cell>
          <cell r="G401">
            <v>416</v>
          </cell>
          <cell r="H401" t="str">
            <v>ANTH-E416</v>
          </cell>
          <cell r="K401" t="str">
            <v>Girshick,Paula D.</v>
          </cell>
          <cell r="N401">
            <v>3.359</v>
          </cell>
          <cell r="O401">
            <v>3.3370000000000002</v>
          </cell>
        </row>
        <row r="402">
          <cell r="E402" t="str">
            <v>ANTH</v>
          </cell>
          <cell r="F402" t="str">
            <v>ANTH-E</v>
          </cell>
          <cell r="G402">
            <v>423</v>
          </cell>
          <cell r="H402" t="str">
            <v>ANTH-E423</v>
          </cell>
          <cell r="K402" t="str">
            <v>Clark,Gracia</v>
          </cell>
          <cell r="N402">
            <v>3.4129999999999998</v>
          </cell>
          <cell r="O402">
            <v>3.3039999999999998</v>
          </cell>
        </row>
        <row r="403">
          <cell r="E403" t="str">
            <v>ANTH</v>
          </cell>
          <cell r="F403" t="str">
            <v>ANTH-E</v>
          </cell>
          <cell r="G403">
            <v>428</v>
          </cell>
          <cell r="H403" t="str">
            <v>ANTH-E428</v>
          </cell>
          <cell r="K403" t="str">
            <v>Greene,Landon Shane</v>
          </cell>
          <cell r="N403" t="str">
            <v>NR</v>
          </cell>
          <cell r="O403" t="str">
            <v>NR</v>
          </cell>
        </row>
        <row r="404">
          <cell r="E404" t="str">
            <v>ANTH</v>
          </cell>
          <cell r="F404" t="str">
            <v>ANTH-E</v>
          </cell>
          <cell r="G404">
            <v>445</v>
          </cell>
          <cell r="H404" t="str">
            <v>ANTH-E445</v>
          </cell>
          <cell r="K404" t="str">
            <v>Phillips,Sarah Drue</v>
          </cell>
          <cell r="N404" t="str">
            <v>NR</v>
          </cell>
          <cell r="O404" t="str">
            <v>NR</v>
          </cell>
        </row>
        <row r="405">
          <cell r="E405" t="str">
            <v>ANTH</v>
          </cell>
          <cell r="F405" t="str">
            <v>ANTH-E</v>
          </cell>
          <cell r="G405">
            <v>456</v>
          </cell>
          <cell r="H405" t="str">
            <v>ANTH-E456</v>
          </cell>
          <cell r="K405" t="str">
            <v>Sterling,Marvin Dale</v>
          </cell>
          <cell r="N405">
            <v>3.55</v>
          </cell>
          <cell r="O405">
            <v>3.25</v>
          </cell>
        </row>
        <row r="406">
          <cell r="E406" t="str">
            <v>ANTH</v>
          </cell>
          <cell r="F406" t="str">
            <v>ANTH-E</v>
          </cell>
          <cell r="G406">
            <v>460</v>
          </cell>
          <cell r="H406" t="str">
            <v>ANTH-E460</v>
          </cell>
          <cell r="K406" t="str">
            <v>Royce,Anya Peterson</v>
          </cell>
          <cell r="N406">
            <v>3.6459999999999999</v>
          </cell>
          <cell r="O406">
            <v>3.1070000000000002</v>
          </cell>
        </row>
        <row r="407">
          <cell r="E407" t="str">
            <v>ANTH</v>
          </cell>
          <cell r="F407" t="str">
            <v>ANTH-E</v>
          </cell>
          <cell r="G407">
            <v>485</v>
          </cell>
          <cell r="H407" t="str">
            <v>ANTH-E485</v>
          </cell>
          <cell r="K407" t="str">
            <v>Royce,Anya Peterson</v>
          </cell>
          <cell r="N407">
            <v>3.8690000000000002</v>
          </cell>
          <cell r="O407">
            <v>3.3740000000000001</v>
          </cell>
        </row>
        <row r="408">
          <cell r="E408" t="str">
            <v>ANTH</v>
          </cell>
          <cell r="F408" t="str">
            <v>ANTH-E</v>
          </cell>
          <cell r="G408">
            <v>500</v>
          </cell>
          <cell r="H408" t="str">
            <v>ANTH-E500</v>
          </cell>
          <cell r="K408" t="str">
            <v>Friedman,Sara Lizbeth</v>
          </cell>
          <cell r="N408">
            <v>3.867</v>
          </cell>
          <cell r="O408">
            <v>3.8929999999999998</v>
          </cell>
        </row>
        <row r="409">
          <cell r="E409" t="str">
            <v>ANTH</v>
          </cell>
          <cell r="F409" t="str">
            <v>ANTH-E</v>
          </cell>
          <cell r="G409">
            <v>510</v>
          </cell>
          <cell r="H409" t="str">
            <v>ANTH-E510</v>
          </cell>
          <cell r="K409" t="str">
            <v>Stoeltje,Beverly</v>
          </cell>
          <cell r="N409" t="str">
            <v>NR</v>
          </cell>
          <cell r="O409" t="str">
            <v>NR</v>
          </cell>
        </row>
        <row r="410">
          <cell r="E410" t="str">
            <v>ANTH</v>
          </cell>
          <cell r="F410" t="str">
            <v>ANTH-E</v>
          </cell>
          <cell r="G410">
            <v>523</v>
          </cell>
          <cell r="H410" t="str">
            <v>ANTH-E523</v>
          </cell>
          <cell r="K410" t="str">
            <v>Clark,Gracia</v>
          </cell>
          <cell r="N410">
            <v>3.87</v>
          </cell>
          <cell r="O410">
            <v>3.859</v>
          </cell>
        </row>
        <row r="411">
          <cell r="E411" t="str">
            <v>ANTH</v>
          </cell>
          <cell r="F411" t="str">
            <v>ANTH-E</v>
          </cell>
          <cell r="G411">
            <v>600</v>
          </cell>
          <cell r="H411" t="str">
            <v>ANTH-E600</v>
          </cell>
          <cell r="K411" t="str">
            <v>Bahloul,Joelle</v>
          </cell>
          <cell r="N411">
            <v>4</v>
          </cell>
          <cell r="O411">
            <v>3.8149999999999999</v>
          </cell>
        </row>
        <row r="412">
          <cell r="E412" t="str">
            <v>ANTH</v>
          </cell>
          <cell r="F412" t="str">
            <v>ANTH-E</v>
          </cell>
          <cell r="G412">
            <v>600</v>
          </cell>
          <cell r="H412" t="str">
            <v>ANTH-E600</v>
          </cell>
          <cell r="K412" t="str">
            <v>Bahloul,Joelle</v>
          </cell>
          <cell r="N412" t="str">
            <v>NR</v>
          </cell>
          <cell r="O412" t="str">
            <v>NR</v>
          </cell>
        </row>
        <row r="413">
          <cell r="E413" t="str">
            <v>ANTH</v>
          </cell>
          <cell r="F413" t="str">
            <v>ANTH-E</v>
          </cell>
          <cell r="G413">
            <v>600</v>
          </cell>
          <cell r="H413" t="str">
            <v>ANTH-E600</v>
          </cell>
          <cell r="K413" t="str">
            <v>Brondizio,Eduardo Sonnewend</v>
          </cell>
          <cell r="N413">
            <v>3.9630000000000001</v>
          </cell>
          <cell r="O413">
            <v>3.9169999999999998</v>
          </cell>
        </row>
        <row r="414">
          <cell r="E414" t="str">
            <v>ANTH</v>
          </cell>
          <cell r="F414" t="str">
            <v>ANTH-E</v>
          </cell>
          <cell r="G414">
            <v>600</v>
          </cell>
          <cell r="H414" t="str">
            <v>ANTH-E600</v>
          </cell>
          <cell r="K414" t="str">
            <v>Buggenhagen,Beth Anne</v>
          </cell>
          <cell r="N414" t="str">
            <v>NR</v>
          </cell>
          <cell r="O414" t="str">
            <v>NR</v>
          </cell>
        </row>
        <row r="415">
          <cell r="E415" t="str">
            <v>ANTH</v>
          </cell>
          <cell r="F415" t="str">
            <v>ANTH-E</v>
          </cell>
          <cell r="G415">
            <v>600</v>
          </cell>
          <cell r="H415" t="str">
            <v>ANTH-E600</v>
          </cell>
          <cell r="K415" t="str">
            <v>Buggenhagen,Beth Anne</v>
          </cell>
          <cell r="N415" t="str">
            <v>NR</v>
          </cell>
          <cell r="O415" t="str">
            <v>NR</v>
          </cell>
        </row>
        <row r="416">
          <cell r="E416" t="str">
            <v>ANTH</v>
          </cell>
          <cell r="F416" t="str">
            <v>ANTH-E</v>
          </cell>
          <cell r="G416">
            <v>600</v>
          </cell>
          <cell r="H416" t="str">
            <v>ANTH-E600</v>
          </cell>
          <cell r="K416" t="str">
            <v>Castaneda,Quetzil E</v>
          </cell>
          <cell r="N416" t="str">
            <v>NR</v>
          </cell>
          <cell r="O416" t="str">
            <v>NR</v>
          </cell>
        </row>
        <row r="417">
          <cell r="E417" t="str">
            <v>ANTH</v>
          </cell>
          <cell r="F417" t="str">
            <v>ANTH-E</v>
          </cell>
          <cell r="G417">
            <v>600</v>
          </cell>
          <cell r="H417" t="str">
            <v>ANTH-E600</v>
          </cell>
          <cell r="K417" t="str">
            <v>Demallie Jr,Raymond J.</v>
          </cell>
          <cell r="N417">
            <v>4</v>
          </cell>
          <cell r="O417">
            <v>3.798</v>
          </cell>
        </row>
        <row r="418">
          <cell r="E418" t="str">
            <v>ANTH</v>
          </cell>
          <cell r="F418" t="str">
            <v>ANTH-E</v>
          </cell>
          <cell r="G418">
            <v>600</v>
          </cell>
          <cell r="H418" t="str">
            <v>ANTH-E600</v>
          </cell>
          <cell r="K418" t="str">
            <v>Phillips,Sarah Drue</v>
          </cell>
          <cell r="N418" t="str">
            <v>NR</v>
          </cell>
          <cell r="O418" t="str">
            <v>NR</v>
          </cell>
        </row>
        <row r="419">
          <cell r="E419" t="str">
            <v>ANTH</v>
          </cell>
          <cell r="F419" t="str">
            <v>ANTH-E</v>
          </cell>
          <cell r="G419">
            <v>600</v>
          </cell>
          <cell r="H419" t="str">
            <v>ANTH-E600</v>
          </cell>
          <cell r="K419" t="str">
            <v>Royce,Anya Peterson</v>
          </cell>
          <cell r="N419">
            <v>3.97</v>
          </cell>
          <cell r="O419">
            <v>3.903</v>
          </cell>
        </row>
        <row r="420">
          <cell r="E420" t="str">
            <v>ANTH</v>
          </cell>
          <cell r="F420" t="str">
            <v>ANTH-E</v>
          </cell>
          <cell r="G420">
            <v>600</v>
          </cell>
          <cell r="H420" t="str">
            <v>ANTH-E600</v>
          </cell>
          <cell r="K420" t="str">
            <v>Shahrani,M. Nazif</v>
          </cell>
          <cell r="N420" t="str">
            <v>NR</v>
          </cell>
          <cell r="O420" t="str">
            <v>NR</v>
          </cell>
        </row>
        <row r="421">
          <cell r="E421" t="str">
            <v>ANTH</v>
          </cell>
          <cell r="F421" t="str">
            <v>ANTH-E</v>
          </cell>
          <cell r="G421">
            <v>600</v>
          </cell>
          <cell r="H421" t="str">
            <v>ANTH-E600</v>
          </cell>
          <cell r="K421" t="str">
            <v>Shahrani,M. Nazif</v>
          </cell>
          <cell r="N421" t="str">
            <v>NR</v>
          </cell>
          <cell r="O421" t="str">
            <v>NR</v>
          </cell>
        </row>
        <row r="422">
          <cell r="E422" t="str">
            <v>ANTH</v>
          </cell>
          <cell r="F422" t="str">
            <v>ANTH-E</v>
          </cell>
          <cell r="G422">
            <v>600</v>
          </cell>
          <cell r="H422" t="str">
            <v>ANTH-E600</v>
          </cell>
          <cell r="K422" t="str">
            <v>Trix,Frances</v>
          </cell>
          <cell r="N422" t="str">
            <v>NR</v>
          </cell>
          <cell r="O422" t="str">
            <v>NR</v>
          </cell>
        </row>
        <row r="423">
          <cell r="E423" t="str">
            <v>ANTH</v>
          </cell>
          <cell r="F423" t="str">
            <v>ANTH-E</v>
          </cell>
          <cell r="G423">
            <v>600</v>
          </cell>
          <cell r="H423" t="str">
            <v>ANTH-E600</v>
          </cell>
          <cell r="K423" t="str">
            <v>Wilk,Richard R.</v>
          </cell>
          <cell r="N423">
            <v>3.8</v>
          </cell>
          <cell r="O423">
            <v>3.9239999999999999</v>
          </cell>
        </row>
        <row r="424">
          <cell r="E424" t="str">
            <v>ANTH</v>
          </cell>
          <cell r="F424" t="str">
            <v>ANTH-E</v>
          </cell>
          <cell r="G424">
            <v>606</v>
          </cell>
          <cell r="H424" t="str">
            <v>ANTH-E606</v>
          </cell>
          <cell r="K424" t="str">
            <v>Tucker,Catherine M.</v>
          </cell>
          <cell r="N424">
            <v>3.8079999999999998</v>
          </cell>
          <cell r="O424">
            <v>3.7690000000000001</v>
          </cell>
        </row>
        <row r="425">
          <cell r="E425" t="str">
            <v>ANTH</v>
          </cell>
          <cell r="F425" t="str">
            <v>ANTH-E</v>
          </cell>
          <cell r="G425">
            <v>616</v>
          </cell>
          <cell r="H425" t="str">
            <v>ANTH-E616</v>
          </cell>
          <cell r="K425" t="str">
            <v>Girshick,Paula D.</v>
          </cell>
          <cell r="N425" t="str">
            <v>NR</v>
          </cell>
          <cell r="O425" t="str">
            <v>NR</v>
          </cell>
        </row>
        <row r="426">
          <cell r="E426" t="str">
            <v>ANTH</v>
          </cell>
          <cell r="F426" t="str">
            <v>ANTH-E</v>
          </cell>
          <cell r="G426">
            <v>628</v>
          </cell>
          <cell r="H426" t="str">
            <v>ANTH-E628</v>
          </cell>
          <cell r="K426" t="str">
            <v>Greene,Landon Shane</v>
          </cell>
          <cell r="N426">
            <v>4</v>
          </cell>
          <cell r="O426">
            <v>3.9039999999999999</v>
          </cell>
        </row>
        <row r="427">
          <cell r="E427" t="str">
            <v>ANTH</v>
          </cell>
          <cell r="F427" t="str">
            <v>ANTH-E</v>
          </cell>
          <cell r="G427">
            <v>645</v>
          </cell>
          <cell r="H427" t="str">
            <v>ANTH-E645</v>
          </cell>
          <cell r="K427" t="str">
            <v>Phillips,Sarah Drue</v>
          </cell>
          <cell r="N427">
            <v>3.8140000000000001</v>
          </cell>
          <cell r="O427">
            <v>3.8239999999999998</v>
          </cell>
        </row>
        <row r="428">
          <cell r="E428" t="str">
            <v>ANTH</v>
          </cell>
          <cell r="F428" t="str">
            <v>ANTH-E</v>
          </cell>
          <cell r="G428">
            <v>648</v>
          </cell>
          <cell r="H428" t="str">
            <v>ANTH-E648</v>
          </cell>
          <cell r="K428" t="str">
            <v>Friedman,Sara Lizbeth</v>
          </cell>
          <cell r="N428">
            <v>3.823</v>
          </cell>
          <cell r="O428">
            <v>3.9380000000000002</v>
          </cell>
        </row>
        <row r="429">
          <cell r="E429" t="str">
            <v>ANTH</v>
          </cell>
          <cell r="F429" t="str">
            <v>ANTH-E</v>
          </cell>
          <cell r="G429">
            <v>656</v>
          </cell>
          <cell r="H429" t="str">
            <v>ANTH-E656</v>
          </cell>
          <cell r="K429" t="str">
            <v>Sterling,Marvin Dale</v>
          </cell>
          <cell r="N429" t="str">
            <v>NR</v>
          </cell>
          <cell r="O429" t="str">
            <v>NR</v>
          </cell>
        </row>
        <row r="430">
          <cell r="E430" t="str">
            <v>ANTH</v>
          </cell>
          <cell r="F430" t="str">
            <v>ANTH-E</v>
          </cell>
          <cell r="G430">
            <v>660</v>
          </cell>
          <cell r="H430" t="str">
            <v>ANTH-E660</v>
          </cell>
          <cell r="K430" t="str">
            <v>Royce,Anya Peterson</v>
          </cell>
          <cell r="N430" t="str">
            <v>NR</v>
          </cell>
          <cell r="O430" t="str">
            <v>NR</v>
          </cell>
        </row>
        <row r="431">
          <cell r="E431" t="str">
            <v>ANTH</v>
          </cell>
          <cell r="F431" t="str">
            <v>ANTH-E</v>
          </cell>
          <cell r="G431">
            <v>663</v>
          </cell>
          <cell r="H431" t="str">
            <v>ANTH-E663</v>
          </cell>
          <cell r="K431" t="str">
            <v>Girshick,Paula D.</v>
          </cell>
          <cell r="N431">
            <v>4</v>
          </cell>
          <cell r="O431">
            <v>3.8439999999999999</v>
          </cell>
        </row>
        <row r="432">
          <cell r="E432" t="str">
            <v>ANTH</v>
          </cell>
          <cell r="F432" t="str">
            <v>ANTH-E</v>
          </cell>
          <cell r="G432">
            <v>675</v>
          </cell>
          <cell r="H432" t="str">
            <v>ANTH-E675</v>
          </cell>
          <cell r="K432" t="str">
            <v>Stoeltje,Beverly</v>
          </cell>
          <cell r="N432" t="str">
            <v>NR</v>
          </cell>
          <cell r="O432" t="str">
            <v>NR</v>
          </cell>
        </row>
        <row r="433">
          <cell r="E433" t="str">
            <v>ANTH</v>
          </cell>
          <cell r="F433" t="str">
            <v>ANTH-G</v>
          </cell>
          <cell r="G433">
            <v>901</v>
          </cell>
          <cell r="H433" t="str">
            <v>ANTH-G901</v>
          </cell>
          <cell r="K433" t="str">
            <v>Brondizio,Eduardo Sonnewend</v>
          </cell>
          <cell r="N433" t="str">
            <v>NR</v>
          </cell>
          <cell r="O433" t="str">
            <v>NR</v>
          </cell>
        </row>
        <row r="434">
          <cell r="E434" t="str">
            <v>ANTH</v>
          </cell>
          <cell r="F434" t="str">
            <v>ANTH-G</v>
          </cell>
          <cell r="G434">
            <v>901</v>
          </cell>
          <cell r="H434" t="str">
            <v>ANTH-G901</v>
          </cell>
          <cell r="K434" t="str">
            <v>Tucker,Catherine M.</v>
          </cell>
          <cell r="N434" t="str">
            <v>NR</v>
          </cell>
          <cell r="O434" t="str">
            <v>NR</v>
          </cell>
        </row>
        <row r="435">
          <cell r="E435" t="str">
            <v>ANTH</v>
          </cell>
          <cell r="F435" t="str">
            <v>ANTH-H</v>
          </cell>
          <cell r="G435">
            <v>500</v>
          </cell>
          <cell r="H435" t="str">
            <v>ANTH-H500</v>
          </cell>
          <cell r="K435" t="str">
            <v>Demallie Jr,Raymond J.</v>
          </cell>
          <cell r="N435">
            <v>3.956</v>
          </cell>
          <cell r="O435">
            <v>3.8849999999999998</v>
          </cell>
        </row>
        <row r="436">
          <cell r="E436" t="str">
            <v>ANTH</v>
          </cell>
          <cell r="F436" t="str">
            <v>ANTH-L</v>
          </cell>
          <cell r="G436">
            <v>200</v>
          </cell>
          <cell r="H436" t="str">
            <v>ANTH-L200</v>
          </cell>
          <cell r="K436" t="str">
            <v>Graber,Kathryn</v>
          </cell>
          <cell r="N436">
            <v>3.4169999999999998</v>
          </cell>
          <cell r="O436">
            <v>3.238</v>
          </cell>
        </row>
        <row r="437">
          <cell r="E437" t="str">
            <v>ANTH</v>
          </cell>
          <cell r="F437" t="str">
            <v>ANTH-L</v>
          </cell>
          <cell r="G437">
            <v>200</v>
          </cell>
          <cell r="H437" t="str">
            <v>ANTH-L200</v>
          </cell>
          <cell r="K437" t="str">
            <v>Suslak,Daniel Frank</v>
          </cell>
          <cell r="N437">
            <v>3.4239999999999999</v>
          </cell>
          <cell r="O437">
            <v>3.298</v>
          </cell>
        </row>
        <row r="438">
          <cell r="E438" t="str">
            <v>ANTH</v>
          </cell>
          <cell r="F438" t="str">
            <v>ANTH-L</v>
          </cell>
          <cell r="G438">
            <v>311</v>
          </cell>
          <cell r="H438" t="str">
            <v>ANTH-L311</v>
          </cell>
          <cell r="K438" t="str">
            <v>Parks,Douglas R.</v>
          </cell>
          <cell r="N438">
            <v>2.9289999999999998</v>
          </cell>
          <cell r="O438">
            <v>3.157</v>
          </cell>
        </row>
        <row r="439">
          <cell r="E439" t="str">
            <v>ANTH</v>
          </cell>
          <cell r="F439" t="str">
            <v>ANTH-L</v>
          </cell>
          <cell r="G439">
            <v>312</v>
          </cell>
          <cell r="H439" t="str">
            <v>ANTH-L312</v>
          </cell>
          <cell r="K439" t="str">
            <v>Parks,Douglas R.</v>
          </cell>
          <cell r="N439">
            <v>3.9140000000000001</v>
          </cell>
          <cell r="O439">
            <v>3.1219999999999999</v>
          </cell>
        </row>
        <row r="440">
          <cell r="E440" t="str">
            <v>ANTH</v>
          </cell>
          <cell r="F440" t="str">
            <v>ANTH-L</v>
          </cell>
          <cell r="G440">
            <v>400</v>
          </cell>
          <cell r="H440" t="str">
            <v>ANTH-L400</v>
          </cell>
          <cell r="K440" t="str">
            <v>Parks,Douglas R.</v>
          </cell>
          <cell r="N440" t="str">
            <v>NR</v>
          </cell>
          <cell r="O440" t="str">
            <v>NR</v>
          </cell>
        </row>
        <row r="441">
          <cell r="E441" t="str">
            <v>ANTH</v>
          </cell>
          <cell r="F441" t="str">
            <v>ANTH-L</v>
          </cell>
          <cell r="G441">
            <v>407</v>
          </cell>
          <cell r="H441" t="str">
            <v>ANTH-L407</v>
          </cell>
          <cell r="K441" t="str">
            <v>Lesourd,Philip Stanley</v>
          </cell>
          <cell r="N441">
            <v>3.0249999999999999</v>
          </cell>
          <cell r="O441">
            <v>3.3439999999999999</v>
          </cell>
        </row>
        <row r="442">
          <cell r="E442" t="str">
            <v>ANTH</v>
          </cell>
          <cell r="F442" t="str">
            <v>ANTH-L</v>
          </cell>
          <cell r="G442">
            <v>507</v>
          </cell>
          <cell r="H442" t="str">
            <v>ANTH-L507</v>
          </cell>
          <cell r="K442" t="str">
            <v>Lesourd,Philip Stanley</v>
          </cell>
          <cell r="N442" t="str">
            <v>NR</v>
          </cell>
          <cell r="O442" t="str">
            <v>NR</v>
          </cell>
        </row>
        <row r="443">
          <cell r="E443" t="str">
            <v>ANTH</v>
          </cell>
          <cell r="F443" t="str">
            <v>ANTH-L</v>
          </cell>
          <cell r="G443">
            <v>511</v>
          </cell>
          <cell r="H443" t="str">
            <v>ANTH-L511</v>
          </cell>
          <cell r="K443" t="str">
            <v>Parks,Douglas R.</v>
          </cell>
          <cell r="N443" t="str">
            <v>NR</v>
          </cell>
          <cell r="O443" t="str">
            <v>NR</v>
          </cell>
        </row>
        <row r="444">
          <cell r="E444" t="str">
            <v>ANTH</v>
          </cell>
          <cell r="F444" t="str">
            <v>ANTH-L</v>
          </cell>
          <cell r="G444">
            <v>512</v>
          </cell>
          <cell r="H444" t="str">
            <v>ANTH-L512</v>
          </cell>
          <cell r="K444" t="str">
            <v>Parks,Douglas R.</v>
          </cell>
          <cell r="N444" t="str">
            <v>NR</v>
          </cell>
          <cell r="O444" t="str">
            <v>NR</v>
          </cell>
        </row>
        <row r="445">
          <cell r="E445" t="str">
            <v>ANTH</v>
          </cell>
          <cell r="F445" t="str">
            <v>ANTH-L</v>
          </cell>
          <cell r="G445">
            <v>600</v>
          </cell>
          <cell r="H445" t="str">
            <v>ANTH-L600</v>
          </cell>
          <cell r="K445" t="str">
            <v>Trix,Frances</v>
          </cell>
          <cell r="N445" t="str">
            <v>NR</v>
          </cell>
          <cell r="O445" t="str">
            <v>NR</v>
          </cell>
        </row>
        <row r="446">
          <cell r="E446" t="str">
            <v>ANTH</v>
          </cell>
          <cell r="F446" t="str">
            <v>ANTH-OS</v>
          </cell>
          <cell r="G446">
            <v>100</v>
          </cell>
          <cell r="H446" t="str">
            <v>ANTH-OS100</v>
          </cell>
          <cell r="N446" t="str">
            <v>NR</v>
          </cell>
          <cell r="O446" t="str">
            <v>NR</v>
          </cell>
        </row>
        <row r="447">
          <cell r="E447" t="str">
            <v>ANTH</v>
          </cell>
          <cell r="F447" t="str">
            <v>ANTH-P</v>
          </cell>
          <cell r="G447">
            <v>200</v>
          </cell>
          <cell r="H447" t="str">
            <v>ANTH-P200</v>
          </cell>
          <cell r="K447" t="str">
            <v>Alt,Susan M</v>
          </cell>
          <cell r="N447">
            <v>3.3439999999999999</v>
          </cell>
          <cell r="O447">
            <v>3.1629999999999998</v>
          </cell>
        </row>
        <row r="448">
          <cell r="E448" t="str">
            <v>ANTH</v>
          </cell>
          <cell r="F448" t="str">
            <v>ANTH-P</v>
          </cell>
          <cell r="G448">
            <v>200</v>
          </cell>
          <cell r="H448" t="str">
            <v>ANTH-P200</v>
          </cell>
          <cell r="K448" t="str">
            <v>King,Stacie Marie</v>
          </cell>
          <cell r="N448">
            <v>3.331</v>
          </cell>
          <cell r="O448">
            <v>3.0910000000000002</v>
          </cell>
        </row>
        <row r="449">
          <cell r="E449" t="str">
            <v>ANTH</v>
          </cell>
          <cell r="F449" t="str">
            <v>ANTH-P</v>
          </cell>
          <cell r="G449">
            <v>210</v>
          </cell>
          <cell r="H449" t="str">
            <v>ANTH-P210</v>
          </cell>
          <cell r="K449" t="str">
            <v>Sept,Jeanne M</v>
          </cell>
          <cell r="N449">
            <v>3.1339999999999999</v>
          </cell>
          <cell r="O449">
            <v>2.8519999999999999</v>
          </cell>
        </row>
        <row r="450">
          <cell r="E450" t="str">
            <v>ANTH</v>
          </cell>
          <cell r="F450" t="str">
            <v>ANTH-P</v>
          </cell>
          <cell r="G450">
            <v>230</v>
          </cell>
          <cell r="H450" t="str">
            <v>ANTH-P230</v>
          </cell>
          <cell r="K450" t="str">
            <v>Pyburn,K. Anne</v>
          </cell>
          <cell r="N450">
            <v>3.2440000000000002</v>
          </cell>
          <cell r="O450">
            <v>3.0110000000000001</v>
          </cell>
        </row>
        <row r="451">
          <cell r="E451" t="str">
            <v>ANTH</v>
          </cell>
          <cell r="F451" t="str">
            <v>ANTH-P</v>
          </cell>
          <cell r="G451">
            <v>240</v>
          </cell>
          <cell r="H451" t="str">
            <v>ANTH-P240</v>
          </cell>
          <cell r="K451" t="str">
            <v>Sievert,April K.</v>
          </cell>
          <cell r="N451">
            <v>2.9849999999999999</v>
          </cell>
          <cell r="O451">
            <v>2.7709999999999999</v>
          </cell>
        </row>
        <row r="452">
          <cell r="E452" t="str">
            <v>ANTH</v>
          </cell>
          <cell r="F452" t="str">
            <v>ANTH-P</v>
          </cell>
          <cell r="G452">
            <v>240</v>
          </cell>
          <cell r="H452" t="str">
            <v>ANTH-P240</v>
          </cell>
          <cell r="K452" t="str">
            <v>Sievert,April K.</v>
          </cell>
          <cell r="N452">
            <v>3.8420000000000001</v>
          </cell>
          <cell r="O452">
            <v>3.601</v>
          </cell>
        </row>
        <row r="453">
          <cell r="E453" t="str">
            <v>ANTH</v>
          </cell>
          <cell r="F453" t="str">
            <v>ANTH-P</v>
          </cell>
          <cell r="G453">
            <v>314</v>
          </cell>
          <cell r="H453" t="str">
            <v>ANTH-P314</v>
          </cell>
          <cell r="K453" t="str">
            <v>Sept,Jeanne M</v>
          </cell>
          <cell r="N453">
            <v>3.5329999999999999</v>
          </cell>
          <cell r="O453">
            <v>3.3330000000000002</v>
          </cell>
        </row>
        <row r="454">
          <cell r="E454" t="str">
            <v>ANTH</v>
          </cell>
          <cell r="F454" t="str">
            <v>ANTH-P</v>
          </cell>
          <cell r="G454">
            <v>330</v>
          </cell>
          <cell r="H454" t="str">
            <v>ANTH-P330</v>
          </cell>
          <cell r="K454" t="str">
            <v>Sievert,April K.</v>
          </cell>
          <cell r="N454">
            <v>3.319</v>
          </cell>
          <cell r="O454">
            <v>3.2749999999999999</v>
          </cell>
        </row>
        <row r="455">
          <cell r="E455" t="str">
            <v>ANTH</v>
          </cell>
          <cell r="F455" t="str">
            <v>ANTH-P</v>
          </cell>
          <cell r="G455">
            <v>375</v>
          </cell>
          <cell r="H455" t="str">
            <v>ANTH-P375</v>
          </cell>
          <cell r="K455" t="str">
            <v>King,Stacie Marie</v>
          </cell>
          <cell r="N455">
            <v>3.4569999999999999</v>
          </cell>
          <cell r="O455">
            <v>3.3780000000000001</v>
          </cell>
        </row>
        <row r="456">
          <cell r="E456" t="str">
            <v>ANTH</v>
          </cell>
          <cell r="F456" t="str">
            <v>ANTH-P</v>
          </cell>
          <cell r="G456">
            <v>390</v>
          </cell>
          <cell r="H456" t="str">
            <v>ANTH-P390</v>
          </cell>
          <cell r="K456" t="str">
            <v>Hung,Ling-Yu</v>
          </cell>
          <cell r="N456">
            <v>3.714</v>
          </cell>
          <cell r="O456">
            <v>3.2290000000000001</v>
          </cell>
        </row>
        <row r="457">
          <cell r="E457" t="str">
            <v>ANTH</v>
          </cell>
          <cell r="F457" t="str">
            <v>ANTH-P</v>
          </cell>
          <cell r="G457">
            <v>399</v>
          </cell>
          <cell r="H457" t="str">
            <v>ANTH-P399</v>
          </cell>
          <cell r="K457" t="str">
            <v>Alt,Susan M</v>
          </cell>
          <cell r="N457">
            <v>3.49</v>
          </cell>
          <cell r="O457">
            <v>3.3029999999999999</v>
          </cell>
        </row>
        <row r="458">
          <cell r="E458" t="str">
            <v>ANTH</v>
          </cell>
          <cell r="F458" t="str">
            <v>ANTH-P</v>
          </cell>
          <cell r="G458">
            <v>399</v>
          </cell>
          <cell r="H458" t="str">
            <v>ANTH-P399</v>
          </cell>
          <cell r="K458" t="str">
            <v>Hung,Ling-Yu</v>
          </cell>
          <cell r="N458">
            <v>2.8130000000000002</v>
          </cell>
          <cell r="O458">
            <v>3.01</v>
          </cell>
        </row>
        <row r="459">
          <cell r="E459" t="str">
            <v>ANTH</v>
          </cell>
          <cell r="F459" t="str">
            <v>ANTH-P</v>
          </cell>
          <cell r="G459">
            <v>399</v>
          </cell>
          <cell r="H459" t="str">
            <v>ANTH-P399</v>
          </cell>
          <cell r="K459" t="str">
            <v>Hung,Ling-Yu</v>
          </cell>
          <cell r="N459" t="str">
            <v>NR</v>
          </cell>
          <cell r="O459" t="str">
            <v>NR</v>
          </cell>
        </row>
        <row r="460">
          <cell r="E460" t="str">
            <v>ANTH</v>
          </cell>
          <cell r="F460" t="str">
            <v>ANTH-P</v>
          </cell>
          <cell r="G460">
            <v>399</v>
          </cell>
          <cell r="H460" t="str">
            <v>ANTH-P399</v>
          </cell>
          <cell r="K460" t="str">
            <v>Sept,Jeanne M</v>
          </cell>
          <cell r="N460">
            <v>3.629</v>
          </cell>
          <cell r="O460">
            <v>3.0659999999999998</v>
          </cell>
        </row>
        <row r="461">
          <cell r="E461" t="str">
            <v>ANTH</v>
          </cell>
          <cell r="F461" t="str">
            <v>ANTH-P</v>
          </cell>
          <cell r="G461">
            <v>407</v>
          </cell>
          <cell r="H461" t="str">
            <v>ANTH-P407</v>
          </cell>
          <cell r="K461" t="str">
            <v>Buchanan,Meghan Elizabeth</v>
          </cell>
          <cell r="N461">
            <v>3.794</v>
          </cell>
          <cell r="O461">
            <v>3.3479999999999999</v>
          </cell>
        </row>
        <row r="462">
          <cell r="E462" t="str">
            <v>ANTH</v>
          </cell>
          <cell r="F462" t="str">
            <v>ANTH-P</v>
          </cell>
          <cell r="G462">
            <v>426</v>
          </cell>
          <cell r="H462" t="str">
            <v>ANTH-P426</v>
          </cell>
          <cell r="K462" t="str">
            <v>Scheiber,Laura Lee</v>
          </cell>
          <cell r="N462">
            <v>4</v>
          </cell>
          <cell r="O462">
            <v>3.3969999999999998</v>
          </cell>
        </row>
        <row r="463">
          <cell r="E463" t="str">
            <v>ANTH</v>
          </cell>
          <cell r="F463" t="str">
            <v>ANTH-P</v>
          </cell>
          <cell r="G463">
            <v>500</v>
          </cell>
          <cell r="H463" t="str">
            <v>ANTH-P500</v>
          </cell>
          <cell r="K463" t="str">
            <v>Scheiber,Laura Lee</v>
          </cell>
          <cell r="N463">
            <v>3.7130000000000001</v>
          </cell>
          <cell r="O463">
            <v>3.7759999999999998</v>
          </cell>
        </row>
        <row r="464">
          <cell r="E464" t="str">
            <v>ANTH</v>
          </cell>
          <cell r="F464" t="str">
            <v>ANTH-P</v>
          </cell>
          <cell r="G464">
            <v>509</v>
          </cell>
          <cell r="H464" t="str">
            <v>ANTH-P509</v>
          </cell>
          <cell r="K464" t="str">
            <v>Pyburn,K. Anne</v>
          </cell>
          <cell r="N464">
            <v>4</v>
          </cell>
          <cell r="O464">
            <v>3.883</v>
          </cell>
        </row>
        <row r="465">
          <cell r="E465" t="str">
            <v>ANTH</v>
          </cell>
          <cell r="F465" t="str">
            <v>ANTH-P</v>
          </cell>
          <cell r="G465">
            <v>575</v>
          </cell>
          <cell r="H465" t="str">
            <v>ANTH-P575</v>
          </cell>
          <cell r="K465" t="str">
            <v>Atalay,Sonya Lynn</v>
          </cell>
          <cell r="N465" t="str">
            <v>NR</v>
          </cell>
          <cell r="O465" t="str">
            <v>NR</v>
          </cell>
        </row>
        <row r="466">
          <cell r="E466" t="str">
            <v>ANTH</v>
          </cell>
          <cell r="F466" t="str">
            <v>ANTH-P</v>
          </cell>
          <cell r="G466">
            <v>600</v>
          </cell>
          <cell r="H466" t="str">
            <v>ANTH-P600</v>
          </cell>
          <cell r="K466" t="str">
            <v>Alt,Susan M</v>
          </cell>
          <cell r="N466" t="str">
            <v>NR</v>
          </cell>
          <cell r="O466" t="str">
            <v>NR</v>
          </cell>
        </row>
        <row r="467">
          <cell r="E467" t="str">
            <v>ANTH</v>
          </cell>
          <cell r="F467" t="str">
            <v>ANTH-P</v>
          </cell>
          <cell r="G467">
            <v>600</v>
          </cell>
          <cell r="H467" t="str">
            <v>ANTH-P600</v>
          </cell>
          <cell r="K467" t="str">
            <v>Hung,Ling-Yu</v>
          </cell>
          <cell r="N467" t="str">
            <v>NR</v>
          </cell>
          <cell r="O467" t="str">
            <v>NR</v>
          </cell>
        </row>
        <row r="468">
          <cell r="E468" t="str">
            <v>ANTH</v>
          </cell>
          <cell r="F468" t="str">
            <v>ANTH-P</v>
          </cell>
          <cell r="G468">
            <v>600</v>
          </cell>
          <cell r="H468" t="str">
            <v>ANTH-P600</v>
          </cell>
          <cell r="K468" t="str">
            <v>Hung,Ling-Yu</v>
          </cell>
          <cell r="N468" t="str">
            <v>NR</v>
          </cell>
          <cell r="O468" t="str">
            <v>NR</v>
          </cell>
        </row>
        <row r="469">
          <cell r="E469" t="str">
            <v>ANTH</v>
          </cell>
          <cell r="F469" t="str">
            <v>ANTH-P</v>
          </cell>
          <cell r="G469">
            <v>600</v>
          </cell>
          <cell r="H469" t="str">
            <v>ANTH-P600</v>
          </cell>
          <cell r="K469" t="str">
            <v>Sept,Jeanne M</v>
          </cell>
          <cell r="N469" t="str">
            <v>NR</v>
          </cell>
          <cell r="O469" t="str">
            <v>NR</v>
          </cell>
        </row>
        <row r="470">
          <cell r="E470" t="str">
            <v>ANTH</v>
          </cell>
          <cell r="F470" t="str">
            <v>ANTH-P</v>
          </cell>
          <cell r="G470">
            <v>600</v>
          </cell>
          <cell r="H470" t="str">
            <v>ANTH-P600</v>
          </cell>
          <cell r="K470" t="str">
            <v>Sievert,April K.</v>
          </cell>
          <cell r="N470">
            <v>4</v>
          </cell>
          <cell r="O470">
            <v>3.903</v>
          </cell>
        </row>
        <row r="471">
          <cell r="E471" t="str">
            <v>ASCS</v>
          </cell>
          <cell r="F471" t="str">
            <v>ASCS-Q</v>
          </cell>
          <cell r="G471">
            <v>275</v>
          </cell>
          <cell r="H471" t="str">
            <v>ASCS-Q275</v>
          </cell>
          <cell r="K471" t="str">
            <v>Erwin III,J Wesley</v>
          </cell>
          <cell r="N471" t="str">
            <v>NR</v>
          </cell>
          <cell r="O471" t="str">
            <v>NR</v>
          </cell>
        </row>
        <row r="472">
          <cell r="E472" t="str">
            <v>ASCS</v>
          </cell>
          <cell r="F472" t="str">
            <v>ASCS-Q</v>
          </cell>
          <cell r="G472">
            <v>275</v>
          </cell>
          <cell r="H472" t="str">
            <v>ASCS-Q275</v>
          </cell>
          <cell r="K472" t="str">
            <v>Yarnelle,Alexa Louise</v>
          </cell>
          <cell r="N472" t="str">
            <v>NR</v>
          </cell>
          <cell r="O472" t="str">
            <v>NR</v>
          </cell>
        </row>
        <row r="473">
          <cell r="E473" t="str">
            <v>ASCS</v>
          </cell>
          <cell r="F473" t="str">
            <v>ASCS-Q</v>
          </cell>
          <cell r="G473">
            <v>294</v>
          </cell>
          <cell r="H473" t="str">
            <v>ASCS-Q294</v>
          </cell>
          <cell r="K473" t="str">
            <v>Bosk,Andy Gregory</v>
          </cell>
          <cell r="N473" t="str">
            <v>NR</v>
          </cell>
          <cell r="O473" t="str">
            <v>NR</v>
          </cell>
        </row>
        <row r="474">
          <cell r="E474" t="str">
            <v>ASCS</v>
          </cell>
          <cell r="F474" t="str">
            <v>ASCS-Q</v>
          </cell>
          <cell r="G474">
            <v>294</v>
          </cell>
          <cell r="H474" t="str">
            <v>ASCS-Q294</v>
          </cell>
          <cell r="K474" t="str">
            <v>Bunger,Andrew Thomas</v>
          </cell>
          <cell r="N474" t="str">
            <v>NR</v>
          </cell>
          <cell r="O474" t="str">
            <v>NR</v>
          </cell>
        </row>
        <row r="475">
          <cell r="E475" t="str">
            <v>ASCS</v>
          </cell>
          <cell r="F475" t="str">
            <v>ASCS-Q</v>
          </cell>
          <cell r="G475">
            <v>294</v>
          </cell>
          <cell r="H475" t="str">
            <v>ASCS-Q294</v>
          </cell>
          <cell r="K475" t="str">
            <v>Erwin III,J Wesley</v>
          </cell>
          <cell r="N475" t="str">
            <v>NR</v>
          </cell>
          <cell r="O475" t="str">
            <v>NR</v>
          </cell>
        </row>
        <row r="476">
          <cell r="E476" t="str">
            <v>ASCS</v>
          </cell>
          <cell r="F476" t="str">
            <v>ASCS-Q</v>
          </cell>
          <cell r="G476">
            <v>294</v>
          </cell>
          <cell r="H476" t="str">
            <v>ASCS-Q294</v>
          </cell>
          <cell r="K476" t="str">
            <v>Erwin III,J Wesley</v>
          </cell>
          <cell r="N476" t="str">
            <v>NR</v>
          </cell>
          <cell r="O476" t="str">
            <v>NR</v>
          </cell>
        </row>
        <row r="477">
          <cell r="E477" t="str">
            <v>ASCS</v>
          </cell>
          <cell r="F477" t="str">
            <v>ASCS-Q</v>
          </cell>
          <cell r="G477">
            <v>294</v>
          </cell>
          <cell r="H477" t="str">
            <v>ASCS-Q294</v>
          </cell>
          <cell r="K477" t="str">
            <v>Jones,Franeisha Nicole</v>
          </cell>
          <cell r="N477" t="str">
            <v>NR</v>
          </cell>
          <cell r="O477" t="str">
            <v>NR</v>
          </cell>
        </row>
        <row r="478">
          <cell r="E478" t="str">
            <v>ASCS</v>
          </cell>
          <cell r="F478" t="str">
            <v>ASCS-Q</v>
          </cell>
          <cell r="G478">
            <v>294</v>
          </cell>
          <cell r="H478" t="str">
            <v>ASCS-Q294</v>
          </cell>
          <cell r="K478" t="str">
            <v>Lloyd,Katie</v>
          </cell>
          <cell r="N478" t="str">
            <v>NR</v>
          </cell>
          <cell r="O478" t="str">
            <v>NR</v>
          </cell>
        </row>
        <row r="479">
          <cell r="E479" t="str">
            <v>ASCS</v>
          </cell>
          <cell r="F479" t="str">
            <v>ASCS-Q</v>
          </cell>
          <cell r="G479">
            <v>294</v>
          </cell>
          <cell r="H479" t="str">
            <v>ASCS-Q294</v>
          </cell>
          <cell r="K479" t="str">
            <v>Lloyd,Katie</v>
          </cell>
          <cell r="N479" t="str">
            <v>NR</v>
          </cell>
          <cell r="O479" t="str">
            <v>NR</v>
          </cell>
        </row>
        <row r="480">
          <cell r="E480" t="str">
            <v>ASCS</v>
          </cell>
          <cell r="F480" t="str">
            <v>ASCS-Q</v>
          </cell>
          <cell r="G480">
            <v>294</v>
          </cell>
          <cell r="H480" t="str">
            <v>ASCS-Q294</v>
          </cell>
          <cell r="K480" t="str">
            <v>Lloyd,Katie</v>
          </cell>
          <cell r="N480" t="str">
            <v>NR</v>
          </cell>
          <cell r="O480" t="str">
            <v>NR</v>
          </cell>
        </row>
        <row r="481">
          <cell r="E481" t="str">
            <v>ASCS</v>
          </cell>
          <cell r="F481" t="str">
            <v>ASCS-Q</v>
          </cell>
          <cell r="G481">
            <v>294</v>
          </cell>
          <cell r="H481" t="str">
            <v>ASCS-Q294</v>
          </cell>
          <cell r="K481" t="str">
            <v>Lovejoy,Joseph Franklin</v>
          </cell>
          <cell r="N481" t="str">
            <v>NR</v>
          </cell>
          <cell r="O481" t="str">
            <v>NR</v>
          </cell>
        </row>
        <row r="482">
          <cell r="E482" t="str">
            <v>ASCS</v>
          </cell>
          <cell r="F482" t="str">
            <v>ASCS-Q</v>
          </cell>
          <cell r="G482">
            <v>294</v>
          </cell>
          <cell r="H482" t="str">
            <v>ASCS-Q294</v>
          </cell>
          <cell r="K482" t="str">
            <v>Nickless,Janice Elaine</v>
          </cell>
          <cell r="N482" t="str">
            <v>NR</v>
          </cell>
          <cell r="O482" t="str">
            <v>NR</v>
          </cell>
        </row>
        <row r="483">
          <cell r="E483" t="str">
            <v>ASCS</v>
          </cell>
          <cell r="F483" t="str">
            <v>ASCS-Q</v>
          </cell>
          <cell r="G483">
            <v>294</v>
          </cell>
          <cell r="H483" t="str">
            <v>ASCS-Q294</v>
          </cell>
          <cell r="K483" t="str">
            <v>Schepers,Jennifer Jane</v>
          </cell>
          <cell r="N483" t="str">
            <v>NR</v>
          </cell>
          <cell r="O483" t="str">
            <v>NR</v>
          </cell>
        </row>
        <row r="484">
          <cell r="E484" t="str">
            <v>ASCS</v>
          </cell>
          <cell r="F484" t="str">
            <v>ASCS-Q</v>
          </cell>
          <cell r="G484">
            <v>294</v>
          </cell>
          <cell r="H484" t="str">
            <v>ASCS-Q294</v>
          </cell>
          <cell r="K484" t="str">
            <v>Schepers,Jennifer Jane</v>
          </cell>
          <cell r="N484" t="str">
            <v>NR</v>
          </cell>
          <cell r="O484" t="str">
            <v>NR</v>
          </cell>
        </row>
        <row r="485">
          <cell r="E485" t="str">
            <v>ASCS</v>
          </cell>
          <cell r="F485" t="str">
            <v>ASCS-Q</v>
          </cell>
          <cell r="G485">
            <v>294</v>
          </cell>
          <cell r="H485" t="str">
            <v>ASCS-Q294</v>
          </cell>
          <cell r="K485" t="str">
            <v>Smith,Crystal Michelle</v>
          </cell>
          <cell r="N485" t="str">
            <v>NR</v>
          </cell>
          <cell r="O485" t="str">
            <v>NR</v>
          </cell>
        </row>
        <row r="486">
          <cell r="E486" t="str">
            <v>ASCS</v>
          </cell>
          <cell r="F486" t="str">
            <v>ASCS-Q</v>
          </cell>
          <cell r="G486">
            <v>294</v>
          </cell>
          <cell r="H486" t="str">
            <v>ASCS-Q294</v>
          </cell>
          <cell r="K486" t="str">
            <v>Smith,Crystal Michelle</v>
          </cell>
          <cell r="N486" t="str">
            <v>NR</v>
          </cell>
          <cell r="O486" t="str">
            <v>NR</v>
          </cell>
        </row>
        <row r="487">
          <cell r="E487" t="str">
            <v>ASCS</v>
          </cell>
          <cell r="F487" t="str">
            <v>ASCS-Q</v>
          </cell>
          <cell r="G487">
            <v>294</v>
          </cell>
          <cell r="H487" t="str">
            <v>ASCS-Q294</v>
          </cell>
          <cell r="K487" t="str">
            <v>Smith,Crystal Michelle</v>
          </cell>
          <cell r="N487" t="str">
            <v>NR</v>
          </cell>
          <cell r="O487" t="str">
            <v>NR</v>
          </cell>
        </row>
        <row r="488">
          <cell r="E488" t="str">
            <v>ASCS</v>
          </cell>
          <cell r="F488" t="str">
            <v>ASCS-Q</v>
          </cell>
          <cell r="G488">
            <v>294</v>
          </cell>
          <cell r="H488" t="str">
            <v>ASCS-Q294</v>
          </cell>
          <cell r="K488" t="str">
            <v>Vandyke,Jan P</v>
          </cell>
          <cell r="N488" t="str">
            <v>NR</v>
          </cell>
          <cell r="O488" t="str">
            <v>NR</v>
          </cell>
        </row>
        <row r="489">
          <cell r="E489" t="str">
            <v>ASCS</v>
          </cell>
          <cell r="F489" t="str">
            <v>ASCS-Q</v>
          </cell>
          <cell r="G489">
            <v>294</v>
          </cell>
          <cell r="H489" t="str">
            <v>ASCS-Q294</v>
          </cell>
          <cell r="K489" t="str">
            <v>Vandyke,Jan P</v>
          </cell>
          <cell r="N489" t="str">
            <v>NR</v>
          </cell>
          <cell r="O489" t="str">
            <v>NR</v>
          </cell>
        </row>
        <row r="490">
          <cell r="E490" t="str">
            <v>ASCS</v>
          </cell>
          <cell r="F490" t="str">
            <v>ASCS-Q</v>
          </cell>
          <cell r="G490">
            <v>294</v>
          </cell>
          <cell r="H490" t="str">
            <v>ASCS-Q294</v>
          </cell>
          <cell r="K490" t="str">
            <v>Yarnelle,Alexa Louise</v>
          </cell>
          <cell r="N490" t="str">
            <v>NR</v>
          </cell>
          <cell r="O490" t="str">
            <v>NR</v>
          </cell>
        </row>
        <row r="491">
          <cell r="E491" t="str">
            <v>ASCS</v>
          </cell>
          <cell r="F491" t="str">
            <v>ASCS-Q</v>
          </cell>
          <cell r="G491">
            <v>294</v>
          </cell>
          <cell r="H491" t="str">
            <v>ASCS-Q294</v>
          </cell>
          <cell r="K491" t="str">
            <v>Yarnelle,Alexa Louise</v>
          </cell>
          <cell r="N491" t="str">
            <v>NR</v>
          </cell>
          <cell r="O491" t="str">
            <v>NR</v>
          </cell>
        </row>
        <row r="492">
          <cell r="E492" t="str">
            <v>ASCS</v>
          </cell>
          <cell r="F492" t="str">
            <v>ASCS-Q</v>
          </cell>
          <cell r="G492">
            <v>294</v>
          </cell>
          <cell r="H492" t="str">
            <v>ASCS-Q294</v>
          </cell>
          <cell r="K492" t="str">
            <v>Zuschlag,Justin S</v>
          </cell>
          <cell r="N492" t="str">
            <v>NR</v>
          </cell>
          <cell r="O492" t="str">
            <v>NR</v>
          </cell>
        </row>
        <row r="493">
          <cell r="E493" t="str">
            <v>ASCS</v>
          </cell>
          <cell r="F493" t="str">
            <v>ASCS-Q</v>
          </cell>
          <cell r="G493">
            <v>299</v>
          </cell>
          <cell r="H493" t="str">
            <v>ASCS-Q299</v>
          </cell>
          <cell r="K493" t="str">
            <v>Bauer,Robert Paul</v>
          </cell>
          <cell r="N493" t="str">
            <v>NR</v>
          </cell>
          <cell r="O493" t="str">
            <v>NR</v>
          </cell>
        </row>
        <row r="494">
          <cell r="E494" t="str">
            <v>ASCS</v>
          </cell>
          <cell r="F494" t="str">
            <v>ASCS-Q</v>
          </cell>
          <cell r="G494">
            <v>299</v>
          </cell>
          <cell r="H494" t="str">
            <v>ASCS-Q299</v>
          </cell>
          <cell r="K494" t="str">
            <v>Bauer,Robert Paul</v>
          </cell>
          <cell r="N494" t="str">
            <v>NR</v>
          </cell>
          <cell r="O494" t="str">
            <v>NR</v>
          </cell>
        </row>
        <row r="495">
          <cell r="E495" t="str">
            <v>ASCS</v>
          </cell>
          <cell r="F495" t="str">
            <v>ASCS-Q</v>
          </cell>
          <cell r="G495">
            <v>299</v>
          </cell>
          <cell r="H495" t="str">
            <v>ASCS-Q299</v>
          </cell>
          <cell r="K495" t="str">
            <v>Bosk,Andy Gregory</v>
          </cell>
          <cell r="N495" t="str">
            <v>NR</v>
          </cell>
          <cell r="O495" t="str">
            <v>NR</v>
          </cell>
        </row>
        <row r="496">
          <cell r="E496" t="str">
            <v>ASCS</v>
          </cell>
          <cell r="F496" t="str">
            <v>ASCS-Q</v>
          </cell>
          <cell r="G496">
            <v>299</v>
          </cell>
          <cell r="H496" t="str">
            <v>ASCS-Q299</v>
          </cell>
          <cell r="K496" t="str">
            <v>Erwin III,J Wesley</v>
          </cell>
          <cell r="N496" t="str">
            <v>NR</v>
          </cell>
          <cell r="O496" t="str">
            <v>NR</v>
          </cell>
        </row>
        <row r="497">
          <cell r="E497" t="str">
            <v>ASCS</v>
          </cell>
          <cell r="F497" t="str">
            <v>ASCS-Q</v>
          </cell>
          <cell r="G497">
            <v>299</v>
          </cell>
          <cell r="H497" t="str">
            <v>ASCS-Q299</v>
          </cell>
          <cell r="K497" t="str">
            <v>Erwin III,J Wesley</v>
          </cell>
          <cell r="N497" t="str">
            <v>NR</v>
          </cell>
          <cell r="O497" t="str">
            <v>NR</v>
          </cell>
        </row>
        <row r="498">
          <cell r="E498" t="str">
            <v>ASCS</v>
          </cell>
          <cell r="F498" t="str">
            <v>ASCS-Q</v>
          </cell>
          <cell r="G498">
            <v>299</v>
          </cell>
          <cell r="H498" t="str">
            <v>ASCS-Q299</v>
          </cell>
          <cell r="K498" t="str">
            <v>Jones,Franeisha Nicole</v>
          </cell>
          <cell r="N498" t="str">
            <v>NR</v>
          </cell>
          <cell r="O498" t="str">
            <v>NR</v>
          </cell>
        </row>
        <row r="499">
          <cell r="E499" t="str">
            <v>ASCS</v>
          </cell>
          <cell r="F499" t="str">
            <v>ASCS-Q</v>
          </cell>
          <cell r="G499">
            <v>299</v>
          </cell>
          <cell r="H499" t="str">
            <v>ASCS-Q299</v>
          </cell>
          <cell r="K499" t="str">
            <v>Jones,Franeisha Nicole</v>
          </cell>
          <cell r="N499" t="str">
            <v>NR</v>
          </cell>
          <cell r="O499" t="str">
            <v>NR</v>
          </cell>
        </row>
        <row r="500">
          <cell r="E500" t="str">
            <v>ASCS</v>
          </cell>
          <cell r="F500" t="str">
            <v>ASCS-Q</v>
          </cell>
          <cell r="G500">
            <v>299</v>
          </cell>
          <cell r="H500" t="str">
            <v>ASCS-Q299</v>
          </cell>
          <cell r="K500" t="str">
            <v>Jones,Franeisha Nicole</v>
          </cell>
          <cell r="N500" t="str">
            <v>NR</v>
          </cell>
          <cell r="O500" t="str">
            <v>NR</v>
          </cell>
        </row>
        <row r="501">
          <cell r="E501" t="str">
            <v>ASCS</v>
          </cell>
          <cell r="F501" t="str">
            <v>ASCS-Q</v>
          </cell>
          <cell r="G501">
            <v>299</v>
          </cell>
          <cell r="H501" t="str">
            <v>ASCS-Q299</v>
          </cell>
          <cell r="K501" t="str">
            <v>Lovejoy,Joseph Franklin</v>
          </cell>
          <cell r="N501" t="str">
            <v>NR</v>
          </cell>
          <cell r="O501" t="str">
            <v>NR</v>
          </cell>
        </row>
        <row r="502">
          <cell r="E502" t="str">
            <v>ASCS</v>
          </cell>
          <cell r="F502" t="str">
            <v>ASCS-Q</v>
          </cell>
          <cell r="G502">
            <v>299</v>
          </cell>
          <cell r="H502" t="str">
            <v>ASCS-Q299</v>
          </cell>
          <cell r="K502" t="str">
            <v>Muntis,Samantha Elizabeth</v>
          </cell>
          <cell r="N502" t="str">
            <v>NR</v>
          </cell>
          <cell r="O502" t="str">
            <v>NR</v>
          </cell>
        </row>
        <row r="503">
          <cell r="E503" t="str">
            <v>ASCS</v>
          </cell>
          <cell r="F503" t="str">
            <v>ASCS-Q</v>
          </cell>
          <cell r="G503">
            <v>299</v>
          </cell>
          <cell r="H503" t="str">
            <v>ASCS-Q299</v>
          </cell>
          <cell r="K503" t="str">
            <v>Myers,Sarah Helen</v>
          </cell>
          <cell r="N503" t="str">
            <v>NR</v>
          </cell>
          <cell r="O503" t="str">
            <v>NR</v>
          </cell>
        </row>
        <row r="504">
          <cell r="E504" t="str">
            <v>ASCS</v>
          </cell>
          <cell r="F504" t="str">
            <v>ASCS-Q</v>
          </cell>
          <cell r="G504">
            <v>299</v>
          </cell>
          <cell r="H504" t="str">
            <v>ASCS-Q299</v>
          </cell>
          <cell r="K504" t="str">
            <v>Nickless,Janice Elaine</v>
          </cell>
          <cell r="N504" t="str">
            <v>NR</v>
          </cell>
          <cell r="O504" t="str">
            <v>NR</v>
          </cell>
        </row>
        <row r="505">
          <cell r="E505" t="str">
            <v>ASCS</v>
          </cell>
          <cell r="F505" t="str">
            <v>ASCS-Q</v>
          </cell>
          <cell r="G505">
            <v>299</v>
          </cell>
          <cell r="H505" t="str">
            <v>ASCS-Q299</v>
          </cell>
          <cell r="K505" t="str">
            <v>Schepers,Jennifer Jane</v>
          </cell>
          <cell r="N505" t="str">
            <v>NR</v>
          </cell>
          <cell r="O505" t="str">
            <v>NR</v>
          </cell>
        </row>
        <row r="506">
          <cell r="E506" t="str">
            <v>ASCS</v>
          </cell>
          <cell r="F506" t="str">
            <v>ASCS-Q</v>
          </cell>
          <cell r="G506">
            <v>299</v>
          </cell>
          <cell r="H506" t="str">
            <v>ASCS-Q299</v>
          </cell>
          <cell r="K506" t="str">
            <v>Schepers,Jennifer Jane</v>
          </cell>
          <cell r="N506" t="str">
            <v>NR</v>
          </cell>
          <cell r="O506" t="str">
            <v>NR</v>
          </cell>
        </row>
        <row r="507">
          <cell r="E507" t="str">
            <v>ASCS</v>
          </cell>
          <cell r="F507" t="str">
            <v>ASCS-Q</v>
          </cell>
          <cell r="G507">
            <v>299</v>
          </cell>
          <cell r="H507" t="str">
            <v>ASCS-Q299</v>
          </cell>
          <cell r="K507" t="str">
            <v>Smith,Crystal Michelle</v>
          </cell>
          <cell r="N507" t="str">
            <v>NR</v>
          </cell>
          <cell r="O507" t="str">
            <v>NR</v>
          </cell>
        </row>
        <row r="508">
          <cell r="E508" t="str">
            <v>ASCS</v>
          </cell>
          <cell r="F508" t="str">
            <v>ASCS-Q</v>
          </cell>
          <cell r="G508">
            <v>299</v>
          </cell>
          <cell r="H508" t="str">
            <v>ASCS-Q299</v>
          </cell>
          <cell r="K508" t="str">
            <v>Szatkowski,Jena Rae</v>
          </cell>
          <cell r="N508" t="str">
            <v>NR</v>
          </cell>
          <cell r="O508" t="str">
            <v>NR</v>
          </cell>
        </row>
        <row r="509">
          <cell r="E509" t="str">
            <v>ASCS</v>
          </cell>
          <cell r="F509" t="str">
            <v>ASCS-Q</v>
          </cell>
          <cell r="G509">
            <v>299</v>
          </cell>
          <cell r="H509" t="str">
            <v>ASCS-Q299</v>
          </cell>
          <cell r="K509" t="str">
            <v>Vandyke,Jan P</v>
          </cell>
          <cell r="N509" t="str">
            <v>NR</v>
          </cell>
          <cell r="O509" t="str">
            <v>NR</v>
          </cell>
        </row>
        <row r="510">
          <cell r="E510" t="str">
            <v>ASCS</v>
          </cell>
          <cell r="F510" t="str">
            <v>ASCS-Q</v>
          </cell>
          <cell r="G510">
            <v>299</v>
          </cell>
          <cell r="H510" t="str">
            <v>ASCS-Q299</v>
          </cell>
          <cell r="K510" t="str">
            <v>Yarnelle,Alexa Louise</v>
          </cell>
          <cell r="N510" t="str">
            <v>NR</v>
          </cell>
          <cell r="O510" t="str">
            <v>NR</v>
          </cell>
        </row>
        <row r="511">
          <cell r="E511" t="str">
            <v>ASCS</v>
          </cell>
          <cell r="F511" t="str">
            <v>ASCS-Q</v>
          </cell>
          <cell r="G511">
            <v>299</v>
          </cell>
          <cell r="H511" t="str">
            <v>ASCS-Q299</v>
          </cell>
          <cell r="K511" t="str">
            <v>Zuschlag,Justin S</v>
          </cell>
          <cell r="N511" t="str">
            <v>NR</v>
          </cell>
          <cell r="O511" t="str">
            <v>NR</v>
          </cell>
        </row>
        <row r="512">
          <cell r="E512" t="str">
            <v>ASCS</v>
          </cell>
          <cell r="F512" t="str">
            <v>ASCS-Q</v>
          </cell>
          <cell r="G512">
            <v>299</v>
          </cell>
          <cell r="H512" t="str">
            <v>ASCS-Q299</v>
          </cell>
          <cell r="K512" t="str">
            <v>Zuschlag,Justin S</v>
          </cell>
          <cell r="N512" t="str">
            <v>NR</v>
          </cell>
          <cell r="O512" t="str">
            <v>NR</v>
          </cell>
        </row>
        <row r="513">
          <cell r="E513" t="str">
            <v>ASCS</v>
          </cell>
          <cell r="F513" t="str">
            <v>ASCS-Q</v>
          </cell>
          <cell r="G513">
            <v>377</v>
          </cell>
          <cell r="H513" t="str">
            <v>ASCS-Q377</v>
          </cell>
          <cell r="K513" t="str">
            <v>Jones,Franeisha Nicole</v>
          </cell>
          <cell r="N513">
            <v>3.0649999999999999</v>
          </cell>
          <cell r="O513">
            <v>3.036</v>
          </cell>
        </row>
        <row r="514">
          <cell r="E514" t="str">
            <v>ASCS</v>
          </cell>
          <cell r="F514" t="str">
            <v>ASCS-Q</v>
          </cell>
          <cell r="G514">
            <v>377</v>
          </cell>
          <cell r="H514" t="str">
            <v>ASCS-Q377</v>
          </cell>
          <cell r="K514" t="str">
            <v>Smith,Crystal Michelle</v>
          </cell>
          <cell r="N514">
            <v>3.335</v>
          </cell>
          <cell r="O514">
            <v>2.9460000000000002</v>
          </cell>
        </row>
        <row r="515">
          <cell r="E515" t="str">
            <v>ASCS</v>
          </cell>
          <cell r="F515" t="str">
            <v>ASCS-Q</v>
          </cell>
          <cell r="G515">
            <v>398</v>
          </cell>
          <cell r="H515" t="str">
            <v>ASCS-Q398</v>
          </cell>
          <cell r="K515" t="str">
            <v>Lloyd,Katie</v>
          </cell>
          <cell r="N515" t="str">
            <v>NR</v>
          </cell>
          <cell r="O515" t="str">
            <v>NR</v>
          </cell>
        </row>
        <row r="516">
          <cell r="E516" t="str">
            <v>ASCS</v>
          </cell>
          <cell r="F516" t="str">
            <v>ASCS-Q</v>
          </cell>
          <cell r="G516">
            <v>398</v>
          </cell>
          <cell r="H516" t="str">
            <v>ASCS-Q398</v>
          </cell>
          <cell r="K516" t="str">
            <v>Lloyd,Katie</v>
          </cell>
          <cell r="N516" t="str">
            <v>NR</v>
          </cell>
          <cell r="O516" t="str">
            <v>NR</v>
          </cell>
        </row>
        <row r="517">
          <cell r="E517" t="str">
            <v>ASCS</v>
          </cell>
          <cell r="F517" t="str">
            <v>ASCS-Q</v>
          </cell>
          <cell r="G517">
            <v>398</v>
          </cell>
          <cell r="H517" t="str">
            <v>ASCS-Q398</v>
          </cell>
          <cell r="K517" t="str">
            <v>Lloyd,Katie</v>
          </cell>
          <cell r="N517" t="str">
            <v>NR</v>
          </cell>
          <cell r="O517" t="str">
            <v>NR</v>
          </cell>
        </row>
        <row r="518">
          <cell r="E518" t="str">
            <v>ASCS</v>
          </cell>
          <cell r="F518" t="str">
            <v>ASCS-W</v>
          </cell>
          <cell r="G518">
            <v>498</v>
          </cell>
          <cell r="H518" t="str">
            <v>ASCS-W498</v>
          </cell>
          <cell r="K518" t="str">
            <v>Lloyd,Katie</v>
          </cell>
          <cell r="N518" t="str">
            <v>NR</v>
          </cell>
          <cell r="O518" t="str">
            <v>NR</v>
          </cell>
        </row>
        <row r="519">
          <cell r="E519" t="str">
            <v>ASCS</v>
          </cell>
          <cell r="F519" t="str">
            <v>ASCS-W</v>
          </cell>
          <cell r="G519">
            <v>498</v>
          </cell>
          <cell r="H519" t="str">
            <v>ASCS-W498</v>
          </cell>
          <cell r="K519" t="str">
            <v>Lloyd,Katie</v>
          </cell>
          <cell r="N519" t="str">
            <v>NR</v>
          </cell>
          <cell r="O519" t="str">
            <v>NR</v>
          </cell>
        </row>
        <row r="520">
          <cell r="E520" t="str">
            <v>ASCS</v>
          </cell>
          <cell r="F520" t="str">
            <v>ASCS-W</v>
          </cell>
          <cell r="G520">
            <v>499</v>
          </cell>
          <cell r="H520" t="str">
            <v>ASCS-W499</v>
          </cell>
          <cell r="K520" t="str">
            <v>Lloyd,Katie</v>
          </cell>
          <cell r="N520" t="str">
            <v>NR</v>
          </cell>
          <cell r="O520" t="str">
            <v>NR</v>
          </cell>
        </row>
        <row r="521">
          <cell r="E521" t="str">
            <v>ASCS</v>
          </cell>
          <cell r="F521" t="str">
            <v>ASCS-W</v>
          </cell>
          <cell r="G521">
            <v>499</v>
          </cell>
          <cell r="H521" t="str">
            <v>ASCS-W499</v>
          </cell>
          <cell r="K521" t="str">
            <v>Lloyd,Katie</v>
          </cell>
          <cell r="N521" t="str">
            <v>NR</v>
          </cell>
          <cell r="O521" t="str">
            <v>NR</v>
          </cell>
        </row>
        <row r="522">
          <cell r="E522" t="str">
            <v>AST</v>
          </cell>
          <cell r="F522" t="str">
            <v xml:space="preserve">AST-A </v>
          </cell>
          <cell r="G522">
            <v>100</v>
          </cell>
          <cell r="H522" t="str">
            <v>AST-A 100</v>
          </cell>
          <cell r="K522" t="str">
            <v>Cordero,Maria Jose</v>
          </cell>
          <cell r="N522">
            <v>2.7970000000000002</v>
          </cell>
          <cell r="O522">
            <v>2.996</v>
          </cell>
        </row>
        <row r="523">
          <cell r="E523" t="str">
            <v>AST</v>
          </cell>
          <cell r="F523" t="str">
            <v xml:space="preserve">AST-A </v>
          </cell>
          <cell r="G523">
            <v>100</v>
          </cell>
          <cell r="H523" t="str">
            <v>AST-A 100</v>
          </cell>
          <cell r="K523" t="str">
            <v>Maxwell,Aubrie Anna</v>
          </cell>
          <cell r="N523">
            <v>2.96</v>
          </cell>
          <cell r="O523">
            <v>2.9950000000000001</v>
          </cell>
        </row>
        <row r="524">
          <cell r="E524" t="str">
            <v>AST</v>
          </cell>
          <cell r="F524" t="str">
            <v xml:space="preserve">AST-A </v>
          </cell>
          <cell r="G524">
            <v>100</v>
          </cell>
          <cell r="H524" t="str">
            <v>AST-A 100</v>
          </cell>
          <cell r="K524" t="str">
            <v>Mufson,Stuart Lee</v>
          </cell>
          <cell r="N524">
            <v>2.8849999999999998</v>
          </cell>
          <cell r="O524">
            <v>2.88</v>
          </cell>
        </row>
        <row r="525">
          <cell r="E525" t="str">
            <v>AST</v>
          </cell>
          <cell r="F525" t="str">
            <v xml:space="preserve">AST-A </v>
          </cell>
          <cell r="G525">
            <v>103</v>
          </cell>
          <cell r="H525" t="str">
            <v>AST-A 103</v>
          </cell>
          <cell r="K525" t="str">
            <v>Clarkson,William</v>
          </cell>
          <cell r="N525">
            <v>2.7930000000000001</v>
          </cell>
          <cell r="O525">
            <v>2.8490000000000002</v>
          </cell>
        </row>
        <row r="526">
          <cell r="E526" t="str">
            <v>AST</v>
          </cell>
          <cell r="F526" t="str">
            <v xml:space="preserve">AST-A </v>
          </cell>
          <cell r="G526">
            <v>103</v>
          </cell>
          <cell r="H526" t="str">
            <v>AST-A 103</v>
          </cell>
          <cell r="K526" t="str">
            <v>Clarkson,William</v>
          </cell>
          <cell r="N526">
            <v>3.242</v>
          </cell>
          <cell r="O526">
            <v>3.0539999999999998</v>
          </cell>
        </row>
        <row r="527">
          <cell r="E527" t="str">
            <v>AST</v>
          </cell>
          <cell r="F527" t="str">
            <v xml:space="preserve">AST-A </v>
          </cell>
          <cell r="G527">
            <v>103</v>
          </cell>
          <cell r="H527" t="str">
            <v>AST-A 103</v>
          </cell>
          <cell r="K527" t="str">
            <v>Steiman-Cameron,Thomas Y</v>
          </cell>
          <cell r="N527">
            <v>2.6789999999999998</v>
          </cell>
          <cell r="O527">
            <v>2.9830000000000001</v>
          </cell>
        </row>
        <row r="528">
          <cell r="E528" t="str">
            <v>AST</v>
          </cell>
          <cell r="F528" t="str">
            <v xml:space="preserve">AST-A </v>
          </cell>
          <cell r="G528">
            <v>105</v>
          </cell>
          <cell r="H528" t="str">
            <v>AST-A 105</v>
          </cell>
          <cell r="K528" t="str">
            <v>Cohn,Haldan Neal</v>
          </cell>
          <cell r="N528">
            <v>2.81</v>
          </cell>
          <cell r="O528">
            <v>2.9009999999999998</v>
          </cell>
        </row>
        <row r="529">
          <cell r="E529" t="str">
            <v>AST</v>
          </cell>
          <cell r="F529" t="str">
            <v xml:space="preserve">AST-A </v>
          </cell>
          <cell r="G529">
            <v>105</v>
          </cell>
          <cell r="H529" t="str">
            <v>AST-A 105</v>
          </cell>
          <cell r="K529" t="str">
            <v>Cohn,Haldan Neal</v>
          </cell>
          <cell r="N529">
            <v>2.8660000000000001</v>
          </cell>
          <cell r="O529">
            <v>2.891</v>
          </cell>
        </row>
        <row r="530">
          <cell r="E530" t="str">
            <v>AST</v>
          </cell>
          <cell r="F530" t="str">
            <v xml:space="preserve">AST-A </v>
          </cell>
          <cell r="G530">
            <v>105</v>
          </cell>
          <cell r="H530" t="str">
            <v>AST-A 105</v>
          </cell>
          <cell r="K530" t="str">
            <v>Lugger,Phyllis M.</v>
          </cell>
          <cell r="N530">
            <v>2.9180000000000001</v>
          </cell>
          <cell r="O530">
            <v>2.9630000000000001</v>
          </cell>
        </row>
        <row r="531">
          <cell r="E531" t="str">
            <v>AST</v>
          </cell>
          <cell r="F531" t="str">
            <v xml:space="preserve">AST-A </v>
          </cell>
          <cell r="G531">
            <v>105</v>
          </cell>
          <cell r="H531" t="str">
            <v>AST-A 105</v>
          </cell>
          <cell r="K531" t="str">
            <v>Lugger,Phyllis M.</v>
          </cell>
          <cell r="N531">
            <v>2.944</v>
          </cell>
          <cell r="O531">
            <v>3.036</v>
          </cell>
        </row>
        <row r="532">
          <cell r="E532" t="str">
            <v>AST</v>
          </cell>
          <cell r="F532" t="str">
            <v xml:space="preserve">AST-A </v>
          </cell>
          <cell r="G532">
            <v>105</v>
          </cell>
          <cell r="H532" t="str">
            <v>AST-A 105</v>
          </cell>
          <cell r="K532" t="str">
            <v>Steiman-Cameron,Thomas Y</v>
          </cell>
          <cell r="N532">
            <v>2.5779999999999998</v>
          </cell>
          <cell r="O532">
            <v>2.9329999999999998</v>
          </cell>
        </row>
        <row r="533">
          <cell r="E533" t="str">
            <v>AST</v>
          </cell>
          <cell r="F533" t="str">
            <v xml:space="preserve">AST-A </v>
          </cell>
          <cell r="G533">
            <v>221</v>
          </cell>
          <cell r="H533" t="str">
            <v>AST-A 221</v>
          </cell>
          <cell r="K533" t="str">
            <v>Van Zee,Liese</v>
          </cell>
          <cell r="N533">
            <v>1.9570000000000001</v>
          </cell>
          <cell r="O533">
            <v>2.6339999999999999</v>
          </cell>
        </row>
        <row r="534">
          <cell r="E534" t="str">
            <v>AST</v>
          </cell>
          <cell r="F534" t="str">
            <v xml:space="preserve">AST-A </v>
          </cell>
          <cell r="G534">
            <v>222</v>
          </cell>
          <cell r="H534" t="str">
            <v>AST-A 222</v>
          </cell>
          <cell r="K534" t="str">
            <v>Van Zee,Liese</v>
          </cell>
          <cell r="N534">
            <v>2.786</v>
          </cell>
          <cell r="O534">
            <v>3.2549999999999999</v>
          </cell>
        </row>
        <row r="535">
          <cell r="E535" t="str">
            <v>AST</v>
          </cell>
          <cell r="F535" t="str">
            <v xml:space="preserve">AST-A </v>
          </cell>
          <cell r="G535">
            <v>305</v>
          </cell>
          <cell r="H535" t="str">
            <v>AST-A 305</v>
          </cell>
          <cell r="K535" t="str">
            <v>Pilachowski,Catherine A.</v>
          </cell>
          <cell r="N535">
            <v>3.343</v>
          </cell>
          <cell r="O535">
            <v>3.1040000000000001</v>
          </cell>
        </row>
        <row r="536">
          <cell r="E536" t="str">
            <v>AST</v>
          </cell>
          <cell r="F536" t="str">
            <v xml:space="preserve">AST-A </v>
          </cell>
          <cell r="G536">
            <v>390</v>
          </cell>
          <cell r="H536" t="str">
            <v>AST-A 390</v>
          </cell>
          <cell r="K536" t="str">
            <v>Mufson,Stuart Lee</v>
          </cell>
          <cell r="N536" t="str">
            <v>NR</v>
          </cell>
          <cell r="O536" t="str">
            <v>NR</v>
          </cell>
        </row>
        <row r="537">
          <cell r="E537" t="str">
            <v>AST</v>
          </cell>
          <cell r="F537" t="str">
            <v xml:space="preserve">AST-A </v>
          </cell>
          <cell r="G537">
            <v>390</v>
          </cell>
          <cell r="H537" t="str">
            <v>AST-A 390</v>
          </cell>
          <cell r="K537" t="str">
            <v>Mufson,Stuart Lee</v>
          </cell>
          <cell r="N537" t="str">
            <v>NR</v>
          </cell>
          <cell r="O537" t="str">
            <v>NR</v>
          </cell>
        </row>
        <row r="538">
          <cell r="E538" t="str">
            <v>AST</v>
          </cell>
          <cell r="F538" t="str">
            <v xml:space="preserve">AST-A </v>
          </cell>
          <cell r="G538">
            <v>451</v>
          </cell>
          <cell r="H538" t="str">
            <v>AST-A 451</v>
          </cell>
          <cell r="K538" t="str">
            <v>Deliyannis,Constantine P.</v>
          </cell>
          <cell r="N538">
            <v>3.044</v>
          </cell>
          <cell r="O538">
            <v>3.1869999999999998</v>
          </cell>
        </row>
        <row r="539">
          <cell r="E539" t="str">
            <v>AST</v>
          </cell>
          <cell r="F539" t="str">
            <v xml:space="preserve">AST-A </v>
          </cell>
          <cell r="G539">
            <v>452</v>
          </cell>
          <cell r="H539" t="str">
            <v>AST-A 452</v>
          </cell>
          <cell r="K539" t="str">
            <v>Rhode,Katherine L</v>
          </cell>
          <cell r="N539">
            <v>3.05</v>
          </cell>
          <cell r="O539">
            <v>3.1819999999999999</v>
          </cell>
        </row>
        <row r="540">
          <cell r="E540" t="str">
            <v>AST</v>
          </cell>
          <cell r="F540" t="str">
            <v xml:space="preserve">AST-A </v>
          </cell>
          <cell r="G540">
            <v>505</v>
          </cell>
          <cell r="H540" t="str">
            <v>AST-A 505</v>
          </cell>
          <cell r="K540" t="str">
            <v>Rhode,Katherine L</v>
          </cell>
          <cell r="N540">
            <v>3.15</v>
          </cell>
          <cell r="O540">
            <v>3.4830000000000001</v>
          </cell>
        </row>
        <row r="541">
          <cell r="E541" t="str">
            <v>AST</v>
          </cell>
          <cell r="F541" t="str">
            <v xml:space="preserve">AST-A </v>
          </cell>
          <cell r="G541">
            <v>530</v>
          </cell>
          <cell r="H541" t="str">
            <v>AST-A 530</v>
          </cell>
          <cell r="K541" t="str">
            <v>Friel,Eileen</v>
          </cell>
          <cell r="N541">
            <v>3.7130000000000001</v>
          </cell>
          <cell r="O541">
            <v>3.5259999999999998</v>
          </cell>
        </row>
        <row r="542">
          <cell r="E542" t="str">
            <v>AST</v>
          </cell>
          <cell r="F542" t="str">
            <v xml:space="preserve">AST-A </v>
          </cell>
          <cell r="G542">
            <v>580</v>
          </cell>
          <cell r="H542" t="str">
            <v>AST-A 580</v>
          </cell>
          <cell r="K542" t="str">
            <v>Mufson,Stuart Lee</v>
          </cell>
          <cell r="N542">
            <v>3.617</v>
          </cell>
          <cell r="O542">
            <v>3.4830000000000001</v>
          </cell>
        </row>
        <row r="543">
          <cell r="E543" t="str">
            <v>AST</v>
          </cell>
          <cell r="F543" t="str">
            <v xml:space="preserve">AST-A </v>
          </cell>
          <cell r="G543">
            <v>780</v>
          </cell>
          <cell r="H543" t="str">
            <v>AST-A 780</v>
          </cell>
          <cell r="K543" t="str">
            <v>Vesperini,Enrico</v>
          </cell>
          <cell r="N543" t="str">
            <v>NR</v>
          </cell>
          <cell r="O543" t="str">
            <v>NR</v>
          </cell>
        </row>
        <row r="544">
          <cell r="E544" t="str">
            <v>AST</v>
          </cell>
          <cell r="F544" t="str">
            <v xml:space="preserve">AST-A </v>
          </cell>
          <cell r="G544">
            <v>890</v>
          </cell>
          <cell r="H544" t="str">
            <v>AST-A 890</v>
          </cell>
          <cell r="K544" t="str">
            <v>Mufson,Stuart Lee</v>
          </cell>
          <cell r="N544" t="str">
            <v>NR</v>
          </cell>
          <cell r="O544" t="str">
            <v>NR</v>
          </cell>
        </row>
        <row r="545">
          <cell r="E545" t="str">
            <v>AST</v>
          </cell>
          <cell r="F545" t="str">
            <v xml:space="preserve">AST-A </v>
          </cell>
          <cell r="G545">
            <v>890</v>
          </cell>
          <cell r="H545" t="str">
            <v>AST-A 890</v>
          </cell>
          <cell r="K545" t="str">
            <v>Mufson,Stuart Lee</v>
          </cell>
          <cell r="N545" t="str">
            <v>NR</v>
          </cell>
          <cell r="O545" t="str">
            <v>NR</v>
          </cell>
        </row>
        <row r="546">
          <cell r="E546" t="str">
            <v>AST</v>
          </cell>
          <cell r="F546" t="str">
            <v xml:space="preserve">AST-A </v>
          </cell>
          <cell r="G546">
            <v>899</v>
          </cell>
          <cell r="H546" t="str">
            <v>AST-A 899</v>
          </cell>
          <cell r="K546" t="str">
            <v>Mufson,Stuart Lee</v>
          </cell>
          <cell r="N546" t="str">
            <v>NR</v>
          </cell>
          <cell r="O546" t="str">
            <v>NR</v>
          </cell>
        </row>
        <row r="547">
          <cell r="E547" t="str">
            <v>AST</v>
          </cell>
          <cell r="F547" t="str">
            <v xml:space="preserve">AST-A </v>
          </cell>
          <cell r="G547">
            <v>899</v>
          </cell>
          <cell r="H547" t="str">
            <v>AST-A 899</v>
          </cell>
          <cell r="K547" t="str">
            <v>Mufson,Stuart Lee</v>
          </cell>
          <cell r="N547" t="str">
            <v>NR</v>
          </cell>
          <cell r="O547" t="str">
            <v>NR</v>
          </cell>
        </row>
        <row r="548">
          <cell r="E548" t="str">
            <v>AST</v>
          </cell>
          <cell r="F548" t="str">
            <v xml:space="preserve">AST-G </v>
          </cell>
          <cell r="G548">
            <v>901</v>
          </cell>
          <cell r="H548" t="str">
            <v>AST-G 901</v>
          </cell>
          <cell r="K548" t="str">
            <v>Mufson,Stuart Lee</v>
          </cell>
          <cell r="N548" t="str">
            <v>NR</v>
          </cell>
          <cell r="O548" t="str">
            <v>NR</v>
          </cell>
        </row>
        <row r="549">
          <cell r="E549" t="str">
            <v>AST</v>
          </cell>
          <cell r="F549" t="str">
            <v xml:space="preserve">AST-G </v>
          </cell>
          <cell r="G549">
            <v>901</v>
          </cell>
          <cell r="H549" t="str">
            <v>AST-G 901</v>
          </cell>
          <cell r="K549" t="str">
            <v>Mufson,Stuart Lee</v>
          </cell>
          <cell r="N549" t="str">
            <v>NR</v>
          </cell>
          <cell r="O549" t="str">
            <v>NR</v>
          </cell>
        </row>
        <row r="550">
          <cell r="E550" t="str">
            <v>AST</v>
          </cell>
          <cell r="F550" t="str">
            <v xml:space="preserve">AST-S </v>
          </cell>
          <cell r="G550">
            <v>499</v>
          </cell>
          <cell r="H550" t="str">
            <v>AST-S 499</v>
          </cell>
          <cell r="K550" t="str">
            <v>Mufson,Stuart Lee</v>
          </cell>
          <cell r="N550" t="str">
            <v>NR</v>
          </cell>
          <cell r="O550" t="str">
            <v>NR</v>
          </cell>
        </row>
        <row r="551">
          <cell r="E551" t="str">
            <v>AST</v>
          </cell>
          <cell r="F551" t="str">
            <v xml:space="preserve">AST-S </v>
          </cell>
          <cell r="G551">
            <v>499</v>
          </cell>
          <cell r="H551" t="str">
            <v>AST-S 499</v>
          </cell>
          <cell r="K551" t="str">
            <v>Mufson,Stuart Lee</v>
          </cell>
          <cell r="N551" t="str">
            <v>NR</v>
          </cell>
          <cell r="O551" t="str">
            <v>NR</v>
          </cell>
        </row>
        <row r="552">
          <cell r="E552" t="str">
            <v>BIOC</v>
          </cell>
          <cell r="F552" t="str">
            <v>BIOC-B</v>
          </cell>
          <cell r="G552">
            <v>501</v>
          </cell>
          <cell r="H552" t="str">
            <v>BIOC-B501</v>
          </cell>
          <cell r="K552" t="str">
            <v>Drummond,James T.</v>
          </cell>
          <cell r="N552">
            <v>3.5630000000000002</v>
          </cell>
          <cell r="O552">
            <v>3.5089999999999999</v>
          </cell>
        </row>
        <row r="553">
          <cell r="E553" t="str">
            <v>BIOC</v>
          </cell>
          <cell r="F553" t="str">
            <v>BIOC-B</v>
          </cell>
          <cell r="G553">
            <v>502</v>
          </cell>
          <cell r="H553" t="str">
            <v>BIOC-B502</v>
          </cell>
          <cell r="K553" t="str">
            <v>Di Marchi,Richard Dennis</v>
          </cell>
          <cell r="N553">
            <v>4</v>
          </cell>
          <cell r="O553">
            <v>3.5110000000000001</v>
          </cell>
        </row>
        <row r="554">
          <cell r="E554" t="str">
            <v>BIOC</v>
          </cell>
          <cell r="F554" t="str">
            <v>BIOC-B</v>
          </cell>
          <cell r="G554">
            <v>503</v>
          </cell>
          <cell r="H554" t="str">
            <v>BIOC-B503</v>
          </cell>
          <cell r="K554" t="str">
            <v>Dann III,Charles E</v>
          </cell>
          <cell r="N554">
            <v>3.2730000000000001</v>
          </cell>
          <cell r="O554">
            <v>3.5550000000000002</v>
          </cell>
        </row>
        <row r="555">
          <cell r="E555" t="str">
            <v>BIOC</v>
          </cell>
          <cell r="F555" t="str">
            <v>BIOC-B</v>
          </cell>
          <cell r="G555">
            <v>504</v>
          </cell>
          <cell r="H555" t="str">
            <v>BIOC-B504</v>
          </cell>
          <cell r="K555" t="str">
            <v>Widlanski,Theodore S.</v>
          </cell>
          <cell r="N555">
            <v>3.282</v>
          </cell>
          <cell r="O555">
            <v>3.61</v>
          </cell>
        </row>
        <row r="556">
          <cell r="E556" t="str">
            <v>BIOC</v>
          </cell>
          <cell r="F556" t="str">
            <v>BIOC-B</v>
          </cell>
          <cell r="G556">
            <v>506</v>
          </cell>
          <cell r="H556" t="str">
            <v>BIOC-B506</v>
          </cell>
          <cell r="K556" t="str">
            <v>Bauer,Carl E.</v>
          </cell>
          <cell r="N556">
            <v>3.5579999999999998</v>
          </cell>
          <cell r="O556">
            <v>3.6619999999999999</v>
          </cell>
        </row>
        <row r="557">
          <cell r="E557" t="str">
            <v>BIOC</v>
          </cell>
          <cell r="F557" t="str">
            <v>BIOC-B</v>
          </cell>
          <cell r="G557">
            <v>580</v>
          </cell>
          <cell r="H557" t="str">
            <v>BIOC-B580</v>
          </cell>
          <cell r="K557" t="str">
            <v>Bauer,Carl E.</v>
          </cell>
          <cell r="N557">
            <v>4</v>
          </cell>
          <cell r="O557">
            <v>3.5550000000000002</v>
          </cell>
        </row>
        <row r="558">
          <cell r="E558" t="str">
            <v>BIOC</v>
          </cell>
          <cell r="F558" t="str">
            <v>BIOC-B</v>
          </cell>
          <cell r="G558">
            <v>580</v>
          </cell>
          <cell r="H558" t="str">
            <v>BIOC-B580</v>
          </cell>
          <cell r="K558" t="str">
            <v>Bauer,Carl E.</v>
          </cell>
          <cell r="N558">
            <v>4</v>
          </cell>
          <cell r="O558">
            <v>3.6349999999999998</v>
          </cell>
        </row>
        <row r="559">
          <cell r="E559" t="str">
            <v>BIOC</v>
          </cell>
          <cell r="F559" t="str">
            <v>BIOC-B</v>
          </cell>
          <cell r="G559">
            <v>600</v>
          </cell>
          <cell r="H559" t="str">
            <v>BIOC-B600</v>
          </cell>
          <cell r="K559" t="str">
            <v>Daleke,David L</v>
          </cell>
          <cell r="N559" t="str">
            <v>NR</v>
          </cell>
          <cell r="O559" t="str">
            <v>NR</v>
          </cell>
        </row>
        <row r="560">
          <cell r="E560" t="str">
            <v>BIOC</v>
          </cell>
          <cell r="F560" t="str">
            <v>BIOC-B</v>
          </cell>
          <cell r="G560">
            <v>600</v>
          </cell>
          <cell r="H560" t="str">
            <v>BIOC-B600</v>
          </cell>
          <cell r="K560" t="str">
            <v>Dann III,Charles E</v>
          </cell>
          <cell r="N560" t="str">
            <v>NR</v>
          </cell>
          <cell r="O560" t="str">
            <v>NR</v>
          </cell>
        </row>
        <row r="561">
          <cell r="E561" t="str">
            <v>BIOC</v>
          </cell>
          <cell r="F561" t="str">
            <v>BIOC-B</v>
          </cell>
          <cell r="G561">
            <v>605</v>
          </cell>
          <cell r="H561" t="str">
            <v>BIOC-B605</v>
          </cell>
          <cell r="K561" t="str">
            <v>Mukhopadhyay,Suchetana</v>
          </cell>
          <cell r="N561" t="str">
            <v>NR</v>
          </cell>
          <cell r="O561" t="str">
            <v>NR</v>
          </cell>
        </row>
        <row r="562">
          <cell r="E562" t="str">
            <v>BIOC</v>
          </cell>
          <cell r="F562" t="str">
            <v>BIOC-B</v>
          </cell>
          <cell r="G562">
            <v>680</v>
          </cell>
          <cell r="H562" t="str">
            <v>BIOC-B680</v>
          </cell>
          <cell r="K562" t="str">
            <v>Calvi,Brian R</v>
          </cell>
          <cell r="N562">
            <v>3.9329999999999998</v>
          </cell>
          <cell r="O562">
            <v>3.6760000000000002</v>
          </cell>
        </row>
        <row r="563">
          <cell r="E563" t="str">
            <v>BIOC</v>
          </cell>
          <cell r="F563" t="str">
            <v>BIOC-B</v>
          </cell>
          <cell r="G563">
            <v>680</v>
          </cell>
          <cell r="H563" t="str">
            <v>BIOC-B680</v>
          </cell>
          <cell r="K563" t="str">
            <v>Chen,Lingling</v>
          </cell>
          <cell r="N563">
            <v>3.98</v>
          </cell>
          <cell r="O563">
            <v>3.7170000000000001</v>
          </cell>
        </row>
        <row r="564">
          <cell r="E564" t="str">
            <v>BIOC</v>
          </cell>
          <cell r="F564" t="str">
            <v>BIOC-B</v>
          </cell>
          <cell r="G564">
            <v>680</v>
          </cell>
          <cell r="H564" t="str">
            <v>BIOC-B680</v>
          </cell>
          <cell r="K564" t="str">
            <v>Kao,Cheng Chia</v>
          </cell>
          <cell r="N564">
            <v>3.5619999999999998</v>
          </cell>
          <cell r="O564">
            <v>3.68</v>
          </cell>
        </row>
        <row r="565">
          <cell r="E565" t="str">
            <v>BIOC</v>
          </cell>
          <cell r="F565" t="str">
            <v>BIOC-B</v>
          </cell>
          <cell r="G565">
            <v>680</v>
          </cell>
          <cell r="H565" t="str">
            <v>BIOC-B680</v>
          </cell>
          <cell r="K565" t="str">
            <v>Van Nieuwenhze,Michael</v>
          </cell>
          <cell r="N565" t="str">
            <v>NR</v>
          </cell>
          <cell r="O565" t="str">
            <v>NR</v>
          </cell>
        </row>
        <row r="566">
          <cell r="E566" t="str">
            <v>BIOC</v>
          </cell>
          <cell r="F566" t="str">
            <v>BIOC-B</v>
          </cell>
          <cell r="G566">
            <v>880</v>
          </cell>
          <cell r="H566" t="str">
            <v>BIOC-B880</v>
          </cell>
          <cell r="K566" t="str">
            <v>Bauer,Carl E.</v>
          </cell>
          <cell r="N566" t="str">
            <v>NR</v>
          </cell>
          <cell r="O566" t="str">
            <v>NR</v>
          </cell>
        </row>
        <row r="567">
          <cell r="E567" t="str">
            <v>BIOC</v>
          </cell>
          <cell r="F567" t="str">
            <v>BIOC-B</v>
          </cell>
          <cell r="G567">
            <v>880</v>
          </cell>
          <cell r="H567" t="str">
            <v>BIOC-B880</v>
          </cell>
          <cell r="K567" t="str">
            <v>Bauer,Carl E.</v>
          </cell>
          <cell r="N567" t="str">
            <v>NR</v>
          </cell>
          <cell r="O567" t="str">
            <v>NR</v>
          </cell>
        </row>
        <row r="568">
          <cell r="E568" t="str">
            <v>BIOC</v>
          </cell>
          <cell r="F568" t="str">
            <v>BIOC-G</v>
          </cell>
          <cell r="G568">
            <v>901</v>
          </cell>
          <cell r="H568" t="str">
            <v>BIOC-G901</v>
          </cell>
          <cell r="K568" t="str">
            <v>Bauer,Carl E.</v>
          </cell>
          <cell r="N568" t="str">
            <v>NR</v>
          </cell>
          <cell r="O568" t="str">
            <v>NR</v>
          </cell>
        </row>
        <row r="569">
          <cell r="E569" t="str">
            <v>BIOC</v>
          </cell>
          <cell r="F569" t="str">
            <v>BIOC-G</v>
          </cell>
          <cell r="G569">
            <v>901</v>
          </cell>
          <cell r="H569" t="str">
            <v>BIOC-G901</v>
          </cell>
          <cell r="K569" t="str">
            <v>Bauer,Carl E.</v>
          </cell>
          <cell r="N569" t="str">
            <v>NR</v>
          </cell>
          <cell r="O569" t="str">
            <v>NR</v>
          </cell>
        </row>
        <row r="570">
          <cell r="E570" t="str">
            <v>BIOL</v>
          </cell>
          <cell r="F570" t="str">
            <v>BIOL-B</v>
          </cell>
          <cell r="G570">
            <v>300</v>
          </cell>
          <cell r="H570" t="str">
            <v>BIOL-B300</v>
          </cell>
          <cell r="K570" t="str">
            <v>Knox,Eric</v>
          </cell>
          <cell r="N570">
            <v>2.94</v>
          </cell>
          <cell r="O570">
            <v>3.1419999999999999</v>
          </cell>
        </row>
        <row r="571">
          <cell r="E571" t="str">
            <v>BIOL</v>
          </cell>
          <cell r="F571" t="str">
            <v>BIOL-B</v>
          </cell>
          <cell r="G571">
            <v>351</v>
          </cell>
          <cell r="H571" t="str">
            <v>BIOL-B351</v>
          </cell>
          <cell r="K571" t="str">
            <v>Tansey,Michael R.</v>
          </cell>
          <cell r="N571">
            <v>3.0270000000000001</v>
          </cell>
          <cell r="O571">
            <v>3.0529999999999999</v>
          </cell>
        </row>
        <row r="572">
          <cell r="E572" t="str">
            <v>BIOL</v>
          </cell>
          <cell r="F572" t="str">
            <v>BIOL-B</v>
          </cell>
          <cell r="G572">
            <v>352</v>
          </cell>
          <cell r="H572" t="str">
            <v>BIOL-B352</v>
          </cell>
          <cell r="K572" t="str">
            <v>Tansey,Michael R.</v>
          </cell>
          <cell r="N572">
            <v>2.9249999999999998</v>
          </cell>
          <cell r="O572">
            <v>3.1440000000000001</v>
          </cell>
        </row>
        <row r="573">
          <cell r="E573" t="str">
            <v>BIOL</v>
          </cell>
          <cell r="F573" t="str">
            <v>BIOL-B</v>
          </cell>
          <cell r="G573">
            <v>352</v>
          </cell>
          <cell r="H573" t="str">
            <v>BIOL-B352</v>
          </cell>
          <cell r="K573" t="str">
            <v>Tansey,Michael R.</v>
          </cell>
          <cell r="N573">
            <v>3.2389999999999999</v>
          </cell>
          <cell r="O573">
            <v>3.2440000000000002</v>
          </cell>
        </row>
        <row r="574">
          <cell r="E574" t="str">
            <v>BIOL</v>
          </cell>
          <cell r="F574" t="str">
            <v>BIOL-B</v>
          </cell>
          <cell r="G574">
            <v>371</v>
          </cell>
          <cell r="H574" t="str">
            <v>BIOL-B371</v>
          </cell>
          <cell r="K574" t="str">
            <v>Hangarter,Roger P.</v>
          </cell>
          <cell r="N574">
            <v>2.823</v>
          </cell>
          <cell r="O574">
            <v>2.8719999999999999</v>
          </cell>
        </row>
        <row r="575">
          <cell r="E575" t="str">
            <v>BIOL</v>
          </cell>
          <cell r="F575" t="str">
            <v>BIOL-G</v>
          </cell>
          <cell r="G575">
            <v>901</v>
          </cell>
          <cell r="H575" t="str">
            <v>BIOL-G901</v>
          </cell>
          <cell r="K575" t="str">
            <v>Innes,Roger William</v>
          </cell>
          <cell r="N575">
            <v>4</v>
          </cell>
          <cell r="O575">
            <v>3.8420000000000001</v>
          </cell>
        </row>
        <row r="576">
          <cell r="E576" t="str">
            <v>BIOL</v>
          </cell>
          <cell r="F576" t="str">
            <v>BIOL-G</v>
          </cell>
          <cell r="G576">
            <v>901</v>
          </cell>
          <cell r="H576" t="str">
            <v>BIOL-G901</v>
          </cell>
          <cell r="K576" t="str">
            <v>Innes,Roger William</v>
          </cell>
          <cell r="N576" t="str">
            <v>NR</v>
          </cell>
          <cell r="O576" t="str">
            <v>NR</v>
          </cell>
        </row>
        <row r="577">
          <cell r="E577" t="str">
            <v>BIOL</v>
          </cell>
          <cell r="F577" t="str">
            <v>BIOL-H</v>
          </cell>
          <cell r="G577">
            <v>111</v>
          </cell>
          <cell r="H577" t="str">
            <v>BIOL-H111</v>
          </cell>
          <cell r="K577" t="str">
            <v>Zlotnick,Adam</v>
          </cell>
          <cell r="N577">
            <v>3.714</v>
          </cell>
          <cell r="O577">
            <v>3.851</v>
          </cell>
        </row>
        <row r="578">
          <cell r="E578" t="str">
            <v>BIOL</v>
          </cell>
          <cell r="F578" t="str">
            <v>BIOL-H</v>
          </cell>
          <cell r="G578">
            <v>112</v>
          </cell>
          <cell r="H578" t="str">
            <v>BIOL-H112</v>
          </cell>
          <cell r="K578" t="str">
            <v>Zlotnick,Adam</v>
          </cell>
          <cell r="N578">
            <v>3.8</v>
          </cell>
          <cell r="O578">
            <v>3.7450000000000001</v>
          </cell>
        </row>
        <row r="579">
          <cell r="E579" t="str">
            <v>BIOL</v>
          </cell>
          <cell r="F579" t="str">
            <v>BIOL-L</v>
          </cell>
          <cell r="G579">
            <v>100</v>
          </cell>
          <cell r="H579" t="str">
            <v>BIOL-L100</v>
          </cell>
          <cell r="K579" t="str">
            <v>Hengeveld,Susan E.</v>
          </cell>
          <cell r="N579">
            <v>2.7069999999999999</v>
          </cell>
          <cell r="O579">
            <v>2.6859999999999999</v>
          </cell>
        </row>
        <row r="580">
          <cell r="E580" t="str">
            <v>BIOL</v>
          </cell>
          <cell r="F580" t="str">
            <v>BIOL-L</v>
          </cell>
          <cell r="G580">
            <v>104</v>
          </cell>
          <cell r="H580" t="str">
            <v>BIOL-L104</v>
          </cell>
          <cell r="K580" t="str">
            <v>Bender,Alan David</v>
          </cell>
          <cell r="N580">
            <v>3.0430000000000001</v>
          </cell>
          <cell r="O580">
            <v>2.9620000000000002</v>
          </cell>
        </row>
        <row r="581">
          <cell r="E581" t="str">
            <v>BIOL</v>
          </cell>
          <cell r="F581" t="str">
            <v>BIOL-L</v>
          </cell>
          <cell r="G581">
            <v>104</v>
          </cell>
          <cell r="H581" t="str">
            <v>BIOL-L104</v>
          </cell>
          <cell r="K581" t="str">
            <v>Bender,Alan David</v>
          </cell>
          <cell r="N581">
            <v>3.4369999999999998</v>
          </cell>
          <cell r="O581">
            <v>2.9740000000000002</v>
          </cell>
        </row>
        <row r="582">
          <cell r="E582" t="str">
            <v>BIOL</v>
          </cell>
          <cell r="F582" t="str">
            <v>BIOL-L</v>
          </cell>
          <cell r="G582">
            <v>104</v>
          </cell>
          <cell r="H582" t="str">
            <v>BIOL-L104</v>
          </cell>
          <cell r="K582" t="str">
            <v>Bonner,James Jose</v>
          </cell>
          <cell r="N582">
            <v>2.488</v>
          </cell>
          <cell r="O582">
            <v>3.105</v>
          </cell>
        </row>
        <row r="583">
          <cell r="E583" t="str">
            <v>BIOL</v>
          </cell>
          <cell r="F583" t="str">
            <v>BIOL-L</v>
          </cell>
          <cell r="G583">
            <v>104</v>
          </cell>
          <cell r="H583" t="str">
            <v>BIOL-L104</v>
          </cell>
          <cell r="K583" t="str">
            <v>Konkol,Nick Roman</v>
          </cell>
          <cell r="N583">
            <v>2.331</v>
          </cell>
          <cell r="O583">
            <v>2.7829999999999999</v>
          </cell>
        </row>
        <row r="584">
          <cell r="E584" t="str">
            <v>BIOL</v>
          </cell>
          <cell r="F584" t="str">
            <v>BIOL-L</v>
          </cell>
          <cell r="G584">
            <v>104</v>
          </cell>
          <cell r="H584" t="str">
            <v>BIOL-L104</v>
          </cell>
          <cell r="K584" t="str">
            <v>Lafuze,Joan E.</v>
          </cell>
          <cell r="N584">
            <v>3.7229999999999999</v>
          </cell>
          <cell r="O584">
            <v>3.1</v>
          </cell>
        </row>
        <row r="585">
          <cell r="E585" t="str">
            <v>BIOL</v>
          </cell>
          <cell r="F585" t="str">
            <v>BIOL-L</v>
          </cell>
          <cell r="G585">
            <v>104</v>
          </cell>
          <cell r="H585" t="str">
            <v>BIOL-L104</v>
          </cell>
          <cell r="K585" t="str">
            <v>Mojonnier,Laura Ellen</v>
          </cell>
          <cell r="N585">
            <v>3.1960000000000002</v>
          </cell>
          <cell r="O585">
            <v>3.048</v>
          </cell>
        </row>
        <row r="586">
          <cell r="E586" t="str">
            <v>BIOL</v>
          </cell>
          <cell r="F586" t="str">
            <v>BIOL-L</v>
          </cell>
          <cell r="G586">
            <v>104</v>
          </cell>
          <cell r="H586" t="str">
            <v>BIOL-L104</v>
          </cell>
          <cell r="K586" t="str">
            <v>Mojonnier,Laura Ellen</v>
          </cell>
          <cell r="N586">
            <v>3.2519999999999998</v>
          </cell>
          <cell r="O586">
            <v>3.21</v>
          </cell>
        </row>
        <row r="587">
          <cell r="E587" t="str">
            <v>BIOL</v>
          </cell>
          <cell r="F587" t="str">
            <v>BIOL-L</v>
          </cell>
          <cell r="G587">
            <v>104</v>
          </cell>
          <cell r="H587" t="str">
            <v>BIOL-L104</v>
          </cell>
          <cell r="K587" t="str">
            <v>Odle,Yean Chooi</v>
          </cell>
          <cell r="N587">
            <v>2.5950000000000002</v>
          </cell>
          <cell r="O587">
            <v>2.895</v>
          </cell>
        </row>
        <row r="588">
          <cell r="E588" t="str">
            <v>BIOL</v>
          </cell>
          <cell r="F588" t="str">
            <v>BIOL-L</v>
          </cell>
          <cell r="G588">
            <v>104</v>
          </cell>
          <cell r="H588" t="str">
            <v>BIOL-L104</v>
          </cell>
          <cell r="K588" t="str">
            <v>Odle,Yean Chooi</v>
          </cell>
          <cell r="N588">
            <v>2.71</v>
          </cell>
          <cell r="O588">
            <v>2.8820000000000001</v>
          </cell>
        </row>
        <row r="589">
          <cell r="E589" t="str">
            <v>BIOL</v>
          </cell>
          <cell r="F589" t="str">
            <v>BIOL-L</v>
          </cell>
          <cell r="G589">
            <v>104</v>
          </cell>
          <cell r="H589" t="str">
            <v>BIOL-L104</v>
          </cell>
          <cell r="K589" t="str">
            <v>Odle,Yean Chooi</v>
          </cell>
          <cell r="N589">
            <v>2.504</v>
          </cell>
          <cell r="O589">
            <v>2.802</v>
          </cell>
        </row>
        <row r="590">
          <cell r="E590" t="str">
            <v>BIOL</v>
          </cell>
          <cell r="F590" t="str">
            <v>BIOL-L</v>
          </cell>
          <cell r="G590">
            <v>104</v>
          </cell>
          <cell r="H590" t="str">
            <v>BIOL-L104</v>
          </cell>
          <cell r="K590" t="str">
            <v>Schlegel,Whitney M</v>
          </cell>
          <cell r="N590">
            <v>2.8210000000000002</v>
          </cell>
          <cell r="O590">
            <v>2.5499999999999998</v>
          </cell>
        </row>
        <row r="591">
          <cell r="E591" t="str">
            <v>BIOL</v>
          </cell>
          <cell r="F591" t="str">
            <v>BIOL-L</v>
          </cell>
          <cell r="G591">
            <v>111</v>
          </cell>
          <cell r="H591" t="str">
            <v>BIOL-L111</v>
          </cell>
          <cell r="K591" t="str">
            <v>Hengeveld,Susan E.</v>
          </cell>
          <cell r="N591">
            <v>2.794</v>
          </cell>
          <cell r="O591">
            <v>3</v>
          </cell>
        </row>
        <row r="592">
          <cell r="E592" t="str">
            <v>BIOL</v>
          </cell>
          <cell r="F592" t="str">
            <v>BIOL-L</v>
          </cell>
          <cell r="G592">
            <v>111</v>
          </cell>
          <cell r="H592" t="str">
            <v>BIOL-L111</v>
          </cell>
          <cell r="K592" t="str">
            <v>Hengeveld,Susan E.</v>
          </cell>
          <cell r="N592">
            <v>2.7229999999999999</v>
          </cell>
          <cell r="O592">
            <v>2.96</v>
          </cell>
        </row>
        <row r="593">
          <cell r="E593" t="str">
            <v>BIOL</v>
          </cell>
          <cell r="F593" t="str">
            <v>BIOL-L</v>
          </cell>
          <cell r="G593">
            <v>111</v>
          </cell>
          <cell r="H593" t="str">
            <v>BIOL-L111</v>
          </cell>
          <cell r="K593" t="str">
            <v>Montooth,Kristi L.</v>
          </cell>
          <cell r="N593">
            <v>2.4940000000000002</v>
          </cell>
          <cell r="O593">
            <v>2.8969999999999998</v>
          </cell>
        </row>
        <row r="594">
          <cell r="E594" t="str">
            <v>BIOL</v>
          </cell>
          <cell r="F594" t="str">
            <v>BIOL-L</v>
          </cell>
          <cell r="G594">
            <v>111</v>
          </cell>
          <cell r="H594" t="str">
            <v>BIOL-L111</v>
          </cell>
          <cell r="K594" t="str">
            <v>Tansey,Michael R.</v>
          </cell>
          <cell r="N594">
            <v>2.67</v>
          </cell>
          <cell r="O594">
            <v>2.887</v>
          </cell>
        </row>
        <row r="595">
          <cell r="E595" t="str">
            <v>BIOL</v>
          </cell>
          <cell r="F595" t="str">
            <v>BIOL-L</v>
          </cell>
          <cell r="G595">
            <v>111</v>
          </cell>
          <cell r="H595" t="str">
            <v>BIOL-L111</v>
          </cell>
          <cell r="K595" t="str">
            <v>Tansey,Michael R.</v>
          </cell>
          <cell r="N595">
            <v>3.0550000000000002</v>
          </cell>
          <cell r="O595">
            <v>3.2040000000000002</v>
          </cell>
        </row>
        <row r="596">
          <cell r="E596" t="str">
            <v>BIOL</v>
          </cell>
          <cell r="F596" t="str">
            <v>BIOL-L</v>
          </cell>
          <cell r="G596">
            <v>111</v>
          </cell>
          <cell r="H596" t="str">
            <v>BIOL-L111</v>
          </cell>
          <cell r="K596" t="str">
            <v>Tansey,Michael R.</v>
          </cell>
          <cell r="N596">
            <v>2.8639999999999999</v>
          </cell>
          <cell r="O596">
            <v>3.0339999999999998</v>
          </cell>
        </row>
        <row r="597">
          <cell r="E597" t="str">
            <v>BIOL</v>
          </cell>
          <cell r="F597" t="str">
            <v>BIOL-L</v>
          </cell>
          <cell r="G597">
            <v>111</v>
          </cell>
          <cell r="H597" t="str">
            <v>BIOL-L111</v>
          </cell>
          <cell r="K597" t="str">
            <v>Tansey,Michael R.</v>
          </cell>
          <cell r="N597">
            <v>2.7509999999999999</v>
          </cell>
          <cell r="O597">
            <v>2.84</v>
          </cell>
        </row>
        <row r="598">
          <cell r="E598" t="str">
            <v>BIOL</v>
          </cell>
          <cell r="F598" t="str">
            <v>BIOL-L</v>
          </cell>
          <cell r="G598">
            <v>111</v>
          </cell>
          <cell r="H598" t="str">
            <v>BIOL-L111</v>
          </cell>
          <cell r="K598" t="str">
            <v>Wade,Michael J.</v>
          </cell>
          <cell r="N598">
            <v>2.7389999999999999</v>
          </cell>
          <cell r="O598">
            <v>3.0539999999999998</v>
          </cell>
        </row>
        <row r="599">
          <cell r="E599" t="str">
            <v>BIOL</v>
          </cell>
          <cell r="F599" t="str">
            <v>BIOL-L</v>
          </cell>
          <cell r="G599">
            <v>111</v>
          </cell>
          <cell r="H599" t="str">
            <v>BIOL-L111</v>
          </cell>
          <cell r="K599" t="str">
            <v>Wade,Michael J.</v>
          </cell>
          <cell r="N599">
            <v>2.492</v>
          </cell>
          <cell r="O599">
            <v>2.8570000000000002</v>
          </cell>
        </row>
        <row r="600">
          <cell r="E600" t="str">
            <v>BIOL</v>
          </cell>
          <cell r="F600" t="str">
            <v>BIOL-L</v>
          </cell>
          <cell r="G600">
            <v>112</v>
          </cell>
          <cell r="H600" t="str">
            <v>BIOL-L112</v>
          </cell>
          <cell r="K600" t="str">
            <v>Archer,Vernon</v>
          </cell>
          <cell r="N600">
            <v>2.5619999999999998</v>
          </cell>
          <cell r="O600">
            <v>2.7810000000000001</v>
          </cell>
        </row>
        <row r="601">
          <cell r="E601" t="str">
            <v>BIOL</v>
          </cell>
          <cell r="F601" t="str">
            <v>BIOL-L</v>
          </cell>
          <cell r="G601">
            <v>112</v>
          </cell>
          <cell r="H601" t="str">
            <v>BIOL-L112</v>
          </cell>
          <cell r="K601" t="str">
            <v>Berndtson,Amy</v>
          </cell>
          <cell r="N601">
            <v>2.9670000000000001</v>
          </cell>
          <cell r="O601">
            <v>3.1269999999999998</v>
          </cell>
        </row>
        <row r="602">
          <cell r="E602" t="str">
            <v>BIOL</v>
          </cell>
          <cell r="F602" t="str">
            <v>BIOL-L</v>
          </cell>
          <cell r="G602">
            <v>112</v>
          </cell>
          <cell r="H602" t="str">
            <v>BIOL-L112</v>
          </cell>
          <cell r="K602" t="str">
            <v>Berndtson,Amy</v>
          </cell>
          <cell r="N602">
            <v>3.036</v>
          </cell>
          <cell r="O602">
            <v>3.22</v>
          </cell>
        </row>
        <row r="603">
          <cell r="E603" t="str">
            <v>BIOL</v>
          </cell>
          <cell r="F603" t="str">
            <v>BIOL-L</v>
          </cell>
          <cell r="G603">
            <v>112</v>
          </cell>
          <cell r="H603" t="str">
            <v>BIOL-L112</v>
          </cell>
          <cell r="K603" t="str">
            <v>Berndtson,Amy</v>
          </cell>
          <cell r="N603">
            <v>2.6850000000000001</v>
          </cell>
          <cell r="O603">
            <v>2.8780000000000001</v>
          </cell>
        </row>
        <row r="604">
          <cell r="E604" t="str">
            <v>BIOL</v>
          </cell>
          <cell r="F604" t="str">
            <v>BIOL-L</v>
          </cell>
          <cell r="G604">
            <v>112</v>
          </cell>
          <cell r="H604" t="str">
            <v>BIOL-L112</v>
          </cell>
          <cell r="K604" t="str">
            <v>Berndtson,Amy</v>
          </cell>
          <cell r="N604">
            <v>3.0310000000000001</v>
          </cell>
          <cell r="O604">
            <v>3.2629999999999999</v>
          </cell>
        </row>
        <row r="605">
          <cell r="E605" t="str">
            <v>BIOL</v>
          </cell>
          <cell r="F605" t="str">
            <v>BIOL-L</v>
          </cell>
          <cell r="G605">
            <v>112</v>
          </cell>
          <cell r="H605" t="str">
            <v>BIOL-L112</v>
          </cell>
          <cell r="K605" t="str">
            <v>Odle,Yean Chooi</v>
          </cell>
          <cell r="N605">
            <v>2.7370000000000001</v>
          </cell>
          <cell r="O605">
            <v>3.1320000000000001</v>
          </cell>
        </row>
        <row r="606">
          <cell r="E606" t="str">
            <v>BIOL</v>
          </cell>
          <cell r="F606" t="str">
            <v>BIOL-L</v>
          </cell>
          <cell r="G606">
            <v>112</v>
          </cell>
          <cell r="H606" t="str">
            <v>BIOL-L112</v>
          </cell>
          <cell r="K606" t="str">
            <v>Odle,Yean Chooi</v>
          </cell>
          <cell r="N606">
            <v>2.8650000000000002</v>
          </cell>
          <cell r="O606">
            <v>3.1640000000000001</v>
          </cell>
        </row>
        <row r="607">
          <cell r="E607" t="str">
            <v>BIOL</v>
          </cell>
          <cell r="F607" t="str">
            <v>BIOL-L</v>
          </cell>
          <cell r="G607">
            <v>112</v>
          </cell>
          <cell r="H607" t="str">
            <v>BIOL-L112</v>
          </cell>
          <cell r="K607" t="str">
            <v>Ruesink,Albert W.</v>
          </cell>
          <cell r="N607">
            <v>2.6789999999999998</v>
          </cell>
          <cell r="O607">
            <v>2.9740000000000002</v>
          </cell>
        </row>
        <row r="608">
          <cell r="E608" t="str">
            <v>BIOL</v>
          </cell>
          <cell r="F608" t="str">
            <v>BIOL-L</v>
          </cell>
          <cell r="G608">
            <v>112</v>
          </cell>
          <cell r="H608" t="str">
            <v>BIOL-L112</v>
          </cell>
          <cell r="K608" t="str">
            <v>Ruesink,Albert W.</v>
          </cell>
          <cell r="N608">
            <v>2.4990000000000001</v>
          </cell>
          <cell r="O608">
            <v>2.9510000000000001</v>
          </cell>
        </row>
        <row r="609">
          <cell r="E609" t="str">
            <v>BIOL</v>
          </cell>
          <cell r="F609" t="str">
            <v>BIOL-L</v>
          </cell>
          <cell r="G609">
            <v>112</v>
          </cell>
          <cell r="H609" t="str">
            <v>BIOL-L112</v>
          </cell>
          <cell r="K609" t="str">
            <v>Ruesink,Albert W.</v>
          </cell>
          <cell r="N609">
            <v>2.6749999999999998</v>
          </cell>
          <cell r="O609">
            <v>3.0489999999999999</v>
          </cell>
        </row>
        <row r="610">
          <cell r="E610" t="str">
            <v>BIOL</v>
          </cell>
          <cell r="F610" t="str">
            <v>BIOL-L</v>
          </cell>
          <cell r="G610">
            <v>112</v>
          </cell>
          <cell r="H610" t="str">
            <v>BIOL-L112</v>
          </cell>
          <cell r="K610" t="str">
            <v>Zolan,Miriam E.</v>
          </cell>
          <cell r="N610">
            <v>2.9390000000000001</v>
          </cell>
          <cell r="O610">
            <v>3.1589999999999998</v>
          </cell>
        </row>
        <row r="611">
          <cell r="E611" t="str">
            <v>BIOL</v>
          </cell>
          <cell r="F611" t="str">
            <v>BIOL-L</v>
          </cell>
          <cell r="G611">
            <v>112</v>
          </cell>
          <cell r="H611" t="str">
            <v>BIOL-L112</v>
          </cell>
          <cell r="K611" t="str">
            <v>Zolan,Miriam E.</v>
          </cell>
          <cell r="N611">
            <v>2.9430000000000001</v>
          </cell>
          <cell r="O611">
            <v>3.11</v>
          </cell>
        </row>
        <row r="612">
          <cell r="E612" t="str">
            <v>BIOL</v>
          </cell>
          <cell r="F612" t="str">
            <v>BIOL-L</v>
          </cell>
          <cell r="G612">
            <v>113</v>
          </cell>
          <cell r="H612" t="str">
            <v>BIOL-L113</v>
          </cell>
          <cell r="K612" t="str">
            <v>Hengeveld,James David</v>
          </cell>
          <cell r="N612">
            <v>3.113</v>
          </cell>
          <cell r="O612">
            <v>3.383</v>
          </cell>
        </row>
        <row r="613">
          <cell r="E613" t="str">
            <v>BIOL</v>
          </cell>
          <cell r="F613" t="str">
            <v>BIOL-L</v>
          </cell>
          <cell r="G613">
            <v>113</v>
          </cell>
          <cell r="H613" t="str">
            <v>BIOL-L113</v>
          </cell>
          <cell r="K613" t="str">
            <v>Hengeveld,James David</v>
          </cell>
          <cell r="N613">
            <v>3.5960000000000001</v>
          </cell>
          <cell r="O613">
            <v>3.4329999999999998</v>
          </cell>
        </row>
        <row r="614">
          <cell r="E614" t="str">
            <v>BIOL</v>
          </cell>
          <cell r="F614" t="str">
            <v>BIOL-L</v>
          </cell>
          <cell r="G614">
            <v>113</v>
          </cell>
          <cell r="H614" t="str">
            <v>BIOL-L113</v>
          </cell>
          <cell r="K614" t="str">
            <v>Hengeveld,James David</v>
          </cell>
          <cell r="N614">
            <v>3.3</v>
          </cell>
          <cell r="O614">
            <v>3.1680000000000001</v>
          </cell>
        </row>
        <row r="615">
          <cell r="E615" t="str">
            <v>BIOL</v>
          </cell>
          <cell r="F615" t="str">
            <v>BIOL-L</v>
          </cell>
          <cell r="G615">
            <v>113</v>
          </cell>
          <cell r="H615" t="str">
            <v>BIOL-L113</v>
          </cell>
          <cell r="K615" t="str">
            <v>Hengeveld,James David</v>
          </cell>
          <cell r="N615">
            <v>3.4830000000000001</v>
          </cell>
          <cell r="O615">
            <v>3.4940000000000002</v>
          </cell>
        </row>
        <row r="616">
          <cell r="E616" t="str">
            <v>BIOL</v>
          </cell>
          <cell r="F616" t="str">
            <v>BIOL-L</v>
          </cell>
          <cell r="G616">
            <v>113</v>
          </cell>
          <cell r="H616" t="str">
            <v>BIOL-L113</v>
          </cell>
          <cell r="K616" t="str">
            <v>Hengeveld,James David</v>
          </cell>
          <cell r="N616">
            <v>3.6520000000000001</v>
          </cell>
          <cell r="O616">
            <v>3.3330000000000002</v>
          </cell>
        </row>
        <row r="617">
          <cell r="E617" t="str">
            <v>BIOL</v>
          </cell>
          <cell r="F617" t="str">
            <v>BIOL-L</v>
          </cell>
          <cell r="G617">
            <v>113</v>
          </cell>
          <cell r="H617" t="str">
            <v>BIOL-L113</v>
          </cell>
          <cell r="K617" t="str">
            <v>Hengeveld,James David</v>
          </cell>
          <cell r="N617">
            <v>3.2789999999999999</v>
          </cell>
          <cell r="O617">
            <v>3.391</v>
          </cell>
        </row>
        <row r="618">
          <cell r="E618" t="str">
            <v>BIOL</v>
          </cell>
          <cell r="F618" t="str">
            <v>BIOL-L</v>
          </cell>
          <cell r="G618">
            <v>113</v>
          </cell>
          <cell r="H618" t="str">
            <v>BIOL-L113</v>
          </cell>
          <cell r="K618" t="str">
            <v>Hengeveld,James David</v>
          </cell>
          <cell r="N618">
            <v>3.427</v>
          </cell>
          <cell r="O618">
            <v>3.411</v>
          </cell>
        </row>
        <row r="619">
          <cell r="E619" t="str">
            <v>BIOL</v>
          </cell>
          <cell r="F619" t="str">
            <v>BIOL-L</v>
          </cell>
          <cell r="G619">
            <v>113</v>
          </cell>
          <cell r="H619" t="str">
            <v>BIOL-L113</v>
          </cell>
          <cell r="K619" t="str">
            <v>Hengeveld,James David</v>
          </cell>
          <cell r="N619">
            <v>3.6</v>
          </cell>
          <cell r="O619">
            <v>3.2010000000000001</v>
          </cell>
        </row>
        <row r="620">
          <cell r="E620" t="str">
            <v>BIOL</v>
          </cell>
          <cell r="F620" t="str">
            <v>BIOL-L</v>
          </cell>
          <cell r="G620">
            <v>113</v>
          </cell>
          <cell r="H620" t="str">
            <v>BIOL-L113</v>
          </cell>
          <cell r="K620" t="str">
            <v>Hengeveld,James David</v>
          </cell>
          <cell r="N620">
            <v>3.3439999999999999</v>
          </cell>
          <cell r="O620">
            <v>3.2629999999999999</v>
          </cell>
        </row>
        <row r="621">
          <cell r="E621" t="str">
            <v>BIOL</v>
          </cell>
          <cell r="F621" t="str">
            <v>BIOL-L</v>
          </cell>
          <cell r="G621">
            <v>113</v>
          </cell>
          <cell r="H621" t="str">
            <v>BIOL-L113</v>
          </cell>
          <cell r="K621" t="str">
            <v>Hengeveld,James David</v>
          </cell>
          <cell r="N621">
            <v>3.1669999999999998</v>
          </cell>
          <cell r="O621">
            <v>3.206</v>
          </cell>
        </row>
        <row r="622">
          <cell r="E622" t="str">
            <v>BIOL</v>
          </cell>
          <cell r="F622" t="str">
            <v>BIOL-L</v>
          </cell>
          <cell r="G622">
            <v>113</v>
          </cell>
          <cell r="H622" t="str">
            <v>BIOL-L113</v>
          </cell>
          <cell r="K622" t="str">
            <v>Hengeveld,James David</v>
          </cell>
          <cell r="N622">
            <v>3.7130000000000001</v>
          </cell>
          <cell r="O622">
            <v>3.3929999999999998</v>
          </cell>
        </row>
        <row r="623">
          <cell r="E623" t="str">
            <v>BIOL</v>
          </cell>
          <cell r="F623" t="str">
            <v>BIOL-L</v>
          </cell>
          <cell r="G623">
            <v>113</v>
          </cell>
          <cell r="H623" t="str">
            <v>BIOL-L113</v>
          </cell>
          <cell r="K623" t="str">
            <v>Hengeveld,James David</v>
          </cell>
          <cell r="N623">
            <v>3.4780000000000002</v>
          </cell>
          <cell r="O623">
            <v>3.589</v>
          </cell>
        </row>
        <row r="624">
          <cell r="E624" t="str">
            <v>BIOL</v>
          </cell>
          <cell r="F624" t="str">
            <v>BIOL-L</v>
          </cell>
          <cell r="G624">
            <v>113</v>
          </cell>
          <cell r="H624" t="str">
            <v>BIOL-L113</v>
          </cell>
          <cell r="K624" t="str">
            <v>Hengeveld,James David</v>
          </cell>
          <cell r="N624">
            <v>3.278</v>
          </cell>
          <cell r="O624">
            <v>3.2170000000000001</v>
          </cell>
        </row>
        <row r="625">
          <cell r="E625" t="str">
            <v>BIOL</v>
          </cell>
          <cell r="F625" t="str">
            <v>BIOL-L</v>
          </cell>
          <cell r="G625">
            <v>113</v>
          </cell>
          <cell r="H625" t="str">
            <v>BIOL-L113</v>
          </cell>
          <cell r="K625" t="str">
            <v>Hengeveld,James David</v>
          </cell>
          <cell r="N625">
            <v>3.4780000000000002</v>
          </cell>
          <cell r="O625">
            <v>3.2559999999999998</v>
          </cell>
        </row>
        <row r="626">
          <cell r="E626" t="str">
            <v>BIOL</v>
          </cell>
          <cell r="F626" t="str">
            <v>BIOL-L</v>
          </cell>
          <cell r="G626">
            <v>113</v>
          </cell>
          <cell r="H626" t="str">
            <v>BIOL-L113</v>
          </cell>
          <cell r="K626" t="str">
            <v>Hengeveld,James David</v>
          </cell>
          <cell r="N626">
            <v>3.4609999999999999</v>
          </cell>
          <cell r="O626">
            <v>3.4590000000000001</v>
          </cell>
        </row>
        <row r="627">
          <cell r="E627" t="str">
            <v>BIOL</v>
          </cell>
          <cell r="F627" t="str">
            <v>BIOL-L</v>
          </cell>
          <cell r="G627">
            <v>113</v>
          </cell>
          <cell r="H627" t="str">
            <v>BIOL-L113</v>
          </cell>
          <cell r="K627" t="str">
            <v>Hengeveld,James David</v>
          </cell>
          <cell r="N627">
            <v>3.5910000000000002</v>
          </cell>
          <cell r="O627">
            <v>3.4359999999999999</v>
          </cell>
        </row>
        <row r="628">
          <cell r="E628" t="str">
            <v>BIOL</v>
          </cell>
          <cell r="F628" t="str">
            <v>BIOL-L</v>
          </cell>
          <cell r="G628">
            <v>113</v>
          </cell>
          <cell r="H628" t="str">
            <v>BIOL-L113</v>
          </cell>
          <cell r="K628" t="str">
            <v>Hengeveld,James David</v>
          </cell>
          <cell r="N628">
            <v>3.4239999999999999</v>
          </cell>
          <cell r="O628">
            <v>3.2240000000000002</v>
          </cell>
        </row>
        <row r="629">
          <cell r="E629" t="str">
            <v>BIOL</v>
          </cell>
          <cell r="F629" t="str">
            <v>BIOL-L</v>
          </cell>
          <cell r="G629">
            <v>113</v>
          </cell>
          <cell r="H629" t="str">
            <v>BIOL-L113</v>
          </cell>
          <cell r="K629" t="str">
            <v>Hengeveld,James David</v>
          </cell>
          <cell r="N629">
            <v>3.4390000000000001</v>
          </cell>
          <cell r="O629">
            <v>3.359</v>
          </cell>
        </row>
        <row r="630">
          <cell r="E630" t="str">
            <v>BIOL</v>
          </cell>
          <cell r="F630" t="str">
            <v>BIOL-L</v>
          </cell>
          <cell r="G630">
            <v>113</v>
          </cell>
          <cell r="H630" t="str">
            <v>BIOL-L113</v>
          </cell>
          <cell r="K630" t="str">
            <v>Hengeveld,James David</v>
          </cell>
          <cell r="N630">
            <v>3.617</v>
          </cell>
          <cell r="O630">
            <v>3.29</v>
          </cell>
        </row>
        <row r="631">
          <cell r="E631" t="str">
            <v>BIOL</v>
          </cell>
          <cell r="F631" t="str">
            <v>BIOL-L</v>
          </cell>
          <cell r="G631">
            <v>113</v>
          </cell>
          <cell r="H631" t="str">
            <v>BIOL-L113</v>
          </cell>
          <cell r="K631" t="str">
            <v>Hengeveld,James David</v>
          </cell>
          <cell r="N631">
            <v>3.3380000000000001</v>
          </cell>
          <cell r="O631">
            <v>3.1629999999999998</v>
          </cell>
        </row>
        <row r="632">
          <cell r="E632" t="str">
            <v>BIOL</v>
          </cell>
          <cell r="F632" t="str">
            <v>BIOL-L</v>
          </cell>
          <cell r="G632">
            <v>113</v>
          </cell>
          <cell r="H632" t="str">
            <v>BIOL-L113</v>
          </cell>
          <cell r="K632" t="str">
            <v>Hengeveld,James David</v>
          </cell>
          <cell r="N632">
            <v>3.504</v>
          </cell>
          <cell r="O632">
            <v>3.0390000000000001</v>
          </cell>
        </row>
        <row r="633">
          <cell r="E633" t="str">
            <v>BIOL</v>
          </cell>
          <cell r="F633" t="str">
            <v>BIOL-L</v>
          </cell>
          <cell r="G633">
            <v>113</v>
          </cell>
          <cell r="H633" t="str">
            <v>BIOL-L113</v>
          </cell>
          <cell r="K633" t="str">
            <v>Hengeveld,James David</v>
          </cell>
          <cell r="N633">
            <v>3.226</v>
          </cell>
          <cell r="O633">
            <v>3.173</v>
          </cell>
        </row>
        <row r="634">
          <cell r="E634" t="str">
            <v>BIOL</v>
          </cell>
          <cell r="F634" t="str">
            <v>BIOL-L</v>
          </cell>
          <cell r="G634">
            <v>113</v>
          </cell>
          <cell r="H634" t="str">
            <v>BIOL-L113</v>
          </cell>
          <cell r="K634" t="str">
            <v>Hengeveld,James David</v>
          </cell>
          <cell r="N634">
            <v>3.6949999999999998</v>
          </cell>
          <cell r="O634">
            <v>3.3879999999999999</v>
          </cell>
        </row>
        <row r="635">
          <cell r="E635" t="str">
            <v>BIOL</v>
          </cell>
          <cell r="F635" t="str">
            <v>BIOL-L</v>
          </cell>
          <cell r="G635">
            <v>113</v>
          </cell>
          <cell r="H635" t="str">
            <v>BIOL-L113</v>
          </cell>
          <cell r="K635" t="str">
            <v>Hengeveld,James David</v>
          </cell>
          <cell r="N635">
            <v>3.532</v>
          </cell>
          <cell r="O635">
            <v>3.335</v>
          </cell>
        </row>
        <row r="636">
          <cell r="E636" t="str">
            <v>BIOL</v>
          </cell>
          <cell r="F636" t="str">
            <v>BIOL-L</v>
          </cell>
          <cell r="G636">
            <v>113</v>
          </cell>
          <cell r="H636" t="str">
            <v>BIOL-L113</v>
          </cell>
          <cell r="K636" t="str">
            <v>Hengeveld,James David</v>
          </cell>
          <cell r="N636">
            <v>3.7090000000000001</v>
          </cell>
          <cell r="O636">
            <v>3.37</v>
          </cell>
        </row>
        <row r="637">
          <cell r="E637" t="str">
            <v>BIOL</v>
          </cell>
          <cell r="F637" t="str">
            <v>BIOL-L</v>
          </cell>
          <cell r="G637">
            <v>113</v>
          </cell>
          <cell r="H637" t="str">
            <v>BIOL-L113</v>
          </cell>
          <cell r="K637" t="str">
            <v>Hengeveld,James David</v>
          </cell>
          <cell r="N637">
            <v>3.4710000000000001</v>
          </cell>
          <cell r="O637">
            <v>3.3069999999999999</v>
          </cell>
        </row>
        <row r="638">
          <cell r="E638" t="str">
            <v>BIOL</v>
          </cell>
          <cell r="F638" t="str">
            <v>BIOL-L</v>
          </cell>
          <cell r="G638">
            <v>113</v>
          </cell>
          <cell r="H638" t="str">
            <v>BIOL-L113</v>
          </cell>
          <cell r="K638" t="str">
            <v>Hengeveld,James David</v>
          </cell>
          <cell r="N638">
            <v>3.6829999999999998</v>
          </cell>
          <cell r="O638">
            <v>3.1589999999999998</v>
          </cell>
        </row>
        <row r="639">
          <cell r="E639" t="str">
            <v>BIOL</v>
          </cell>
          <cell r="F639" t="str">
            <v>BIOL-L</v>
          </cell>
          <cell r="G639">
            <v>113</v>
          </cell>
          <cell r="H639" t="str">
            <v>BIOL-L113</v>
          </cell>
          <cell r="K639" t="str">
            <v>Hengeveld,James David</v>
          </cell>
          <cell r="N639">
            <v>3.5830000000000002</v>
          </cell>
          <cell r="O639">
            <v>3.448</v>
          </cell>
        </row>
        <row r="640">
          <cell r="E640" t="str">
            <v>BIOL</v>
          </cell>
          <cell r="F640" t="str">
            <v>BIOL-L</v>
          </cell>
          <cell r="G640">
            <v>113</v>
          </cell>
          <cell r="H640" t="str">
            <v>BIOL-L113</v>
          </cell>
          <cell r="K640" t="str">
            <v>Hengeveld,James David</v>
          </cell>
          <cell r="N640">
            <v>3.464</v>
          </cell>
          <cell r="O640">
            <v>3.399</v>
          </cell>
        </row>
        <row r="641">
          <cell r="E641" t="str">
            <v>BIOL</v>
          </cell>
          <cell r="F641" t="str">
            <v>BIOL-L</v>
          </cell>
          <cell r="G641">
            <v>113</v>
          </cell>
          <cell r="H641" t="str">
            <v>BIOL-L113</v>
          </cell>
          <cell r="K641" t="str">
            <v>Hengeveld,James David</v>
          </cell>
          <cell r="N641">
            <v>3.3130000000000002</v>
          </cell>
          <cell r="O641">
            <v>3.488</v>
          </cell>
        </row>
        <row r="642">
          <cell r="E642" t="str">
            <v>BIOL</v>
          </cell>
          <cell r="F642" t="str">
            <v>BIOL-L</v>
          </cell>
          <cell r="G642">
            <v>113</v>
          </cell>
          <cell r="H642" t="str">
            <v>BIOL-L113</v>
          </cell>
          <cell r="K642" t="str">
            <v>Hengeveld,James David</v>
          </cell>
          <cell r="N642">
            <v>3.452</v>
          </cell>
          <cell r="O642">
            <v>3.1749999999999998</v>
          </cell>
        </row>
        <row r="643">
          <cell r="E643" t="str">
            <v>BIOL</v>
          </cell>
          <cell r="F643" t="str">
            <v>BIOL-L</v>
          </cell>
          <cell r="G643">
            <v>113</v>
          </cell>
          <cell r="H643" t="str">
            <v>BIOL-L113</v>
          </cell>
          <cell r="K643" t="str">
            <v>Hengeveld,James David</v>
          </cell>
          <cell r="N643">
            <v>3.4169999999999998</v>
          </cell>
          <cell r="O643">
            <v>3.3980000000000001</v>
          </cell>
        </row>
        <row r="644">
          <cell r="E644" t="str">
            <v>BIOL</v>
          </cell>
          <cell r="F644" t="str">
            <v>BIOL-L</v>
          </cell>
          <cell r="G644">
            <v>113</v>
          </cell>
          <cell r="H644" t="str">
            <v>BIOL-L113</v>
          </cell>
          <cell r="K644" t="str">
            <v>Hengeveld,James David</v>
          </cell>
          <cell r="N644">
            <v>3.3210000000000002</v>
          </cell>
          <cell r="O644">
            <v>3.2429999999999999</v>
          </cell>
        </row>
        <row r="645">
          <cell r="E645" t="str">
            <v>BIOL</v>
          </cell>
          <cell r="F645" t="str">
            <v>BIOL-L</v>
          </cell>
          <cell r="G645">
            <v>113</v>
          </cell>
          <cell r="H645" t="str">
            <v>BIOL-L113</v>
          </cell>
          <cell r="K645" t="str">
            <v>Hengeveld,James David</v>
          </cell>
          <cell r="N645">
            <v>3.641</v>
          </cell>
          <cell r="O645">
            <v>3.2789999999999999</v>
          </cell>
        </row>
        <row r="646">
          <cell r="E646" t="str">
            <v>BIOL</v>
          </cell>
          <cell r="F646" t="str">
            <v>BIOL-L</v>
          </cell>
          <cell r="G646">
            <v>113</v>
          </cell>
          <cell r="H646" t="str">
            <v>BIOL-L113</v>
          </cell>
          <cell r="K646" t="str">
            <v>Hengeveld,James David</v>
          </cell>
          <cell r="N646">
            <v>3.3039999999999998</v>
          </cell>
          <cell r="O646">
            <v>3.3540000000000001</v>
          </cell>
        </row>
        <row r="647">
          <cell r="E647" t="str">
            <v>BIOL</v>
          </cell>
          <cell r="F647" t="str">
            <v>BIOL-L</v>
          </cell>
          <cell r="G647">
            <v>113</v>
          </cell>
          <cell r="H647" t="str">
            <v>BIOL-L113</v>
          </cell>
          <cell r="K647" t="str">
            <v>Ruf Jr,Edward W</v>
          </cell>
          <cell r="N647">
            <v>3.0830000000000002</v>
          </cell>
          <cell r="O647">
            <v>3.452</v>
          </cell>
        </row>
        <row r="648">
          <cell r="E648" t="str">
            <v>BIOL</v>
          </cell>
          <cell r="F648" t="str">
            <v>BIOL-L</v>
          </cell>
          <cell r="G648">
            <v>113</v>
          </cell>
          <cell r="H648" t="str">
            <v>BIOL-L113</v>
          </cell>
          <cell r="K648" t="str">
            <v>Ruf Jr,Edward W</v>
          </cell>
          <cell r="N648">
            <v>3.2730000000000001</v>
          </cell>
          <cell r="O648">
            <v>3.0009999999999999</v>
          </cell>
        </row>
        <row r="649">
          <cell r="E649" t="str">
            <v>BIOL</v>
          </cell>
          <cell r="F649" t="str">
            <v>BIOL-L</v>
          </cell>
          <cell r="G649">
            <v>211</v>
          </cell>
          <cell r="H649" t="str">
            <v>BIOL-L211</v>
          </cell>
          <cell r="K649" t="str">
            <v>Kehoe,David M.</v>
          </cell>
          <cell r="N649">
            <v>3.0649999999999999</v>
          </cell>
          <cell r="O649">
            <v>3.42</v>
          </cell>
        </row>
        <row r="650">
          <cell r="E650" t="str">
            <v>BIOL</v>
          </cell>
          <cell r="F650" t="str">
            <v>BIOL-L</v>
          </cell>
          <cell r="G650">
            <v>211</v>
          </cell>
          <cell r="H650" t="str">
            <v>BIOL-L211</v>
          </cell>
          <cell r="K650" t="str">
            <v>Kumar,Justin P.</v>
          </cell>
          <cell r="N650">
            <v>2.988</v>
          </cell>
          <cell r="O650">
            <v>3.2050000000000001</v>
          </cell>
        </row>
        <row r="651">
          <cell r="E651" t="str">
            <v>BIOL</v>
          </cell>
          <cell r="F651" t="str">
            <v>BIOL-L</v>
          </cell>
          <cell r="G651">
            <v>211</v>
          </cell>
          <cell r="H651" t="str">
            <v>BIOL-L211</v>
          </cell>
          <cell r="K651" t="str">
            <v>Pomerening,Joseph</v>
          </cell>
          <cell r="N651">
            <v>2.637</v>
          </cell>
          <cell r="O651">
            <v>3.202</v>
          </cell>
        </row>
        <row r="652">
          <cell r="E652" t="str">
            <v>BIOL</v>
          </cell>
          <cell r="F652" t="str">
            <v>BIOL-L</v>
          </cell>
          <cell r="G652">
            <v>211</v>
          </cell>
          <cell r="H652" t="str">
            <v>BIOL-L211</v>
          </cell>
          <cell r="K652" t="str">
            <v>Rowe-Magnus,Dean</v>
          </cell>
          <cell r="N652">
            <v>3.0659999999999998</v>
          </cell>
          <cell r="O652">
            <v>3.18</v>
          </cell>
        </row>
        <row r="653">
          <cell r="E653" t="str">
            <v>BIOL</v>
          </cell>
          <cell r="F653" t="str">
            <v>BIOL-L</v>
          </cell>
          <cell r="G653">
            <v>222</v>
          </cell>
          <cell r="H653" t="str">
            <v>BIOL-L222</v>
          </cell>
          <cell r="K653" t="str">
            <v>Reynolds,Heather L</v>
          </cell>
          <cell r="N653">
            <v>2.3260000000000001</v>
          </cell>
          <cell r="O653">
            <v>2.9889999999999999</v>
          </cell>
        </row>
        <row r="654">
          <cell r="E654" t="str">
            <v>BIOL</v>
          </cell>
          <cell r="F654" t="str">
            <v>BIOL-L</v>
          </cell>
          <cell r="G654">
            <v>299</v>
          </cell>
          <cell r="H654" t="str">
            <v>BIOL-L299</v>
          </cell>
          <cell r="K654" t="str">
            <v>Emblom,Katherine</v>
          </cell>
          <cell r="N654" t="str">
            <v>NR</v>
          </cell>
          <cell r="O654" t="str">
            <v>NR</v>
          </cell>
        </row>
        <row r="655">
          <cell r="E655" t="str">
            <v>BIOL</v>
          </cell>
          <cell r="F655" t="str">
            <v>BIOL-L</v>
          </cell>
          <cell r="G655">
            <v>311</v>
          </cell>
          <cell r="H655" t="str">
            <v>BIOL-L311</v>
          </cell>
          <cell r="K655" t="str">
            <v>Calvi,Brian R</v>
          </cell>
          <cell r="N655">
            <v>2.54</v>
          </cell>
          <cell r="O655">
            <v>3.2269999999999999</v>
          </cell>
        </row>
        <row r="656">
          <cell r="E656" t="str">
            <v>BIOL</v>
          </cell>
          <cell r="F656" t="str">
            <v>BIOL-L</v>
          </cell>
          <cell r="G656">
            <v>311</v>
          </cell>
          <cell r="H656" t="str">
            <v>BIOL-L311</v>
          </cell>
          <cell r="K656" t="str">
            <v>Forrester,Wayne C.</v>
          </cell>
          <cell r="N656">
            <v>2.7229999999999999</v>
          </cell>
          <cell r="O656">
            <v>3.2480000000000002</v>
          </cell>
        </row>
        <row r="657">
          <cell r="E657" t="str">
            <v>BIOL</v>
          </cell>
          <cell r="F657" t="str">
            <v>BIOL-L</v>
          </cell>
          <cell r="G657">
            <v>311</v>
          </cell>
          <cell r="H657" t="str">
            <v>BIOL-L311</v>
          </cell>
          <cell r="K657" t="str">
            <v>Michaels,Scott Daniel</v>
          </cell>
          <cell r="N657">
            <v>2.4089999999999998</v>
          </cell>
          <cell r="O657">
            <v>3.2360000000000002</v>
          </cell>
        </row>
        <row r="658">
          <cell r="E658" t="str">
            <v>BIOL</v>
          </cell>
          <cell r="F658" t="str">
            <v>BIOL-L</v>
          </cell>
          <cell r="G658">
            <v>311</v>
          </cell>
          <cell r="H658" t="str">
            <v>BIOL-L311</v>
          </cell>
          <cell r="K658" t="str">
            <v>Zelhof,Andrew C</v>
          </cell>
          <cell r="N658">
            <v>2.6669999999999998</v>
          </cell>
          <cell r="O658">
            <v>3.1669999999999998</v>
          </cell>
        </row>
        <row r="659">
          <cell r="E659" t="str">
            <v>BIOL</v>
          </cell>
          <cell r="F659" t="str">
            <v>BIOL-L</v>
          </cell>
          <cell r="G659">
            <v>312</v>
          </cell>
          <cell r="H659" t="str">
            <v>BIOL-L312</v>
          </cell>
          <cell r="K659" t="str">
            <v>Hu,Ke</v>
          </cell>
          <cell r="N659">
            <v>2.6869999999999998</v>
          </cell>
          <cell r="O659">
            <v>3.1819999999999999</v>
          </cell>
        </row>
        <row r="660">
          <cell r="E660" t="str">
            <v>BIOL</v>
          </cell>
          <cell r="F660" t="str">
            <v>BIOL-L</v>
          </cell>
          <cell r="G660">
            <v>312</v>
          </cell>
          <cell r="H660" t="str">
            <v>BIOL-L312</v>
          </cell>
          <cell r="K660" t="str">
            <v>Lacefield,Soni</v>
          </cell>
          <cell r="N660">
            <v>2.8170000000000002</v>
          </cell>
          <cell r="O660">
            <v>3.2759999999999998</v>
          </cell>
        </row>
        <row r="661">
          <cell r="E661" t="str">
            <v>BIOL</v>
          </cell>
          <cell r="F661" t="str">
            <v>BIOL-L</v>
          </cell>
          <cell r="G661">
            <v>313</v>
          </cell>
          <cell r="H661" t="str">
            <v>BIOL-L313</v>
          </cell>
          <cell r="K661" t="str">
            <v>Surzycki,Judith A.</v>
          </cell>
          <cell r="N661">
            <v>3.7839999999999998</v>
          </cell>
          <cell r="O661">
            <v>3.5270000000000001</v>
          </cell>
        </row>
        <row r="662">
          <cell r="E662" t="str">
            <v>BIOL</v>
          </cell>
          <cell r="F662" t="str">
            <v>BIOL-L</v>
          </cell>
          <cell r="G662">
            <v>313</v>
          </cell>
          <cell r="H662" t="str">
            <v>BIOL-L313</v>
          </cell>
          <cell r="K662" t="str">
            <v>Surzycki,Judith A.</v>
          </cell>
          <cell r="N662">
            <v>3.694</v>
          </cell>
          <cell r="O662">
            <v>3.36</v>
          </cell>
        </row>
        <row r="663">
          <cell r="E663" t="str">
            <v>BIOL</v>
          </cell>
          <cell r="F663" t="str">
            <v>BIOL-L</v>
          </cell>
          <cell r="G663">
            <v>317</v>
          </cell>
          <cell r="H663" t="str">
            <v>BIOL-L317</v>
          </cell>
          <cell r="K663" t="str">
            <v>Sokol,Nicholas Samuel</v>
          </cell>
          <cell r="N663">
            <v>3.117</v>
          </cell>
          <cell r="O663">
            <v>3.3140000000000001</v>
          </cell>
        </row>
        <row r="664">
          <cell r="E664" t="str">
            <v>BIOL</v>
          </cell>
          <cell r="F664" t="str">
            <v>BIOL-L</v>
          </cell>
          <cell r="G664">
            <v>318</v>
          </cell>
          <cell r="H664" t="str">
            <v>BIOL-L318</v>
          </cell>
          <cell r="K664" t="str">
            <v>Moyle,Leonie C</v>
          </cell>
          <cell r="N664">
            <v>3.286</v>
          </cell>
          <cell r="O664">
            <v>3.41</v>
          </cell>
        </row>
        <row r="665">
          <cell r="E665" t="str">
            <v>BIOL</v>
          </cell>
          <cell r="F665" t="str">
            <v>BIOL-L</v>
          </cell>
          <cell r="G665">
            <v>318</v>
          </cell>
          <cell r="H665" t="str">
            <v>BIOL-L318</v>
          </cell>
          <cell r="K665" t="str">
            <v>Raff,Rudolf A.</v>
          </cell>
          <cell r="N665">
            <v>2.7789999999999999</v>
          </cell>
          <cell r="O665">
            <v>3.17</v>
          </cell>
        </row>
        <row r="666">
          <cell r="E666" t="str">
            <v>BIOL</v>
          </cell>
          <cell r="F666" t="str">
            <v>BIOL-L</v>
          </cell>
          <cell r="G666">
            <v>319</v>
          </cell>
          <cell r="H666" t="str">
            <v>BIOL-L319</v>
          </cell>
          <cell r="K666" t="str">
            <v>Holdeman,Richard Brewster</v>
          </cell>
          <cell r="N666">
            <v>3.585</v>
          </cell>
          <cell r="O666">
            <v>3.3159999999999998</v>
          </cell>
        </row>
        <row r="667">
          <cell r="E667" t="str">
            <v>BIOL</v>
          </cell>
          <cell r="F667" t="str">
            <v>BIOL-L</v>
          </cell>
          <cell r="G667">
            <v>319</v>
          </cell>
          <cell r="H667" t="str">
            <v>BIOL-L319</v>
          </cell>
          <cell r="K667" t="str">
            <v>Holdeman,Richard Brewster</v>
          </cell>
          <cell r="N667">
            <v>3.4129999999999998</v>
          </cell>
          <cell r="O667">
            <v>3.4129999999999998</v>
          </cell>
        </row>
        <row r="668">
          <cell r="E668" t="str">
            <v>BIOL</v>
          </cell>
          <cell r="F668" t="str">
            <v>BIOL-L</v>
          </cell>
          <cell r="G668">
            <v>321</v>
          </cell>
          <cell r="H668" t="str">
            <v>BIOL-L321</v>
          </cell>
          <cell r="K668" t="str">
            <v>Nelson,David E</v>
          </cell>
          <cell r="N668">
            <v>3.38</v>
          </cell>
          <cell r="O668">
            <v>3.3690000000000002</v>
          </cell>
        </row>
        <row r="669">
          <cell r="E669" t="str">
            <v>BIOL</v>
          </cell>
          <cell r="F669" t="str">
            <v>BIOL-L</v>
          </cell>
          <cell r="G669">
            <v>322</v>
          </cell>
          <cell r="H669" t="str">
            <v>BIOL-L322</v>
          </cell>
          <cell r="K669" t="str">
            <v>Malacinski,George M.</v>
          </cell>
          <cell r="N669">
            <v>3.367</v>
          </cell>
          <cell r="O669">
            <v>3.2709999999999999</v>
          </cell>
        </row>
        <row r="670">
          <cell r="E670" t="str">
            <v>BIOL</v>
          </cell>
          <cell r="F670" t="str">
            <v>BIOL-L</v>
          </cell>
          <cell r="G670">
            <v>323</v>
          </cell>
          <cell r="H670" t="str">
            <v>BIOL-L323</v>
          </cell>
          <cell r="K670" t="str">
            <v>Surzycki,Stefan J.</v>
          </cell>
          <cell r="N670">
            <v>3.8940000000000001</v>
          </cell>
          <cell r="O670">
            <v>3.4929999999999999</v>
          </cell>
        </row>
        <row r="671">
          <cell r="E671" t="str">
            <v>BIOL</v>
          </cell>
          <cell r="F671" t="str">
            <v>BIOL-L</v>
          </cell>
          <cell r="G671">
            <v>323</v>
          </cell>
          <cell r="H671" t="str">
            <v>BIOL-L323</v>
          </cell>
          <cell r="K671" t="str">
            <v>Surzycki,Stefan J.</v>
          </cell>
          <cell r="N671">
            <v>3.8780000000000001</v>
          </cell>
          <cell r="O671">
            <v>3.367</v>
          </cell>
        </row>
        <row r="672">
          <cell r="E672" t="str">
            <v>BIOL</v>
          </cell>
          <cell r="F672" t="str">
            <v>BIOL-L</v>
          </cell>
          <cell r="G672">
            <v>324</v>
          </cell>
          <cell r="H672" t="str">
            <v>BIOL-L324</v>
          </cell>
          <cell r="K672" t="str">
            <v>Surzycki,Stefan J.</v>
          </cell>
          <cell r="N672">
            <v>3.944</v>
          </cell>
          <cell r="O672">
            <v>3.573</v>
          </cell>
        </row>
        <row r="673">
          <cell r="E673" t="str">
            <v>BIOL</v>
          </cell>
          <cell r="F673" t="str">
            <v>BIOL-L</v>
          </cell>
          <cell r="G673">
            <v>324</v>
          </cell>
          <cell r="H673" t="str">
            <v>BIOL-L324</v>
          </cell>
          <cell r="K673" t="str">
            <v>Surzycki,Stefan J.</v>
          </cell>
          <cell r="N673">
            <v>3.944</v>
          </cell>
          <cell r="O673">
            <v>3.5230000000000001</v>
          </cell>
        </row>
        <row r="674">
          <cell r="E674" t="str">
            <v>BIOL</v>
          </cell>
          <cell r="F674" t="str">
            <v>BIOL-L</v>
          </cell>
          <cell r="G674">
            <v>330</v>
          </cell>
          <cell r="H674" t="str">
            <v>BIOL-L330</v>
          </cell>
          <cell r="K674" t="str">
            <v>Ruesink,Albert W.</v>
          </cell>
          <cell r="N674">
            <v>2.629</v>
          </cell>
          <cell r="O674">
            <v>3.2869999999999999</v>
          </cell>
        </row>
        <row r="675">
          <cell r="E675" t="str">
            <v>BIOL</v>
          </cell>
          <cell r="F675" t="str">
            <v>BIOL-L</v>
          </cell>
          <cell r="G675">
            <v>331</v>
          </cell>
          <cell r="H675" t="str">
            <v>BIOL-L331</v>
          </cell>
          <cell r="K675" t="str">
            <v>Surzycki,Stefan J.</v>
          </cell>
          <cell r="N675">
            <v>3.4430000000000001</v>
          </cell>
          <cell r="O675">
            <v>3.13</v>
          </cell>
        </row>
        <row r="676">
          <cell r="E676" t="str">
            <v>BIOL</v>
          </cell>
          <cell r="F676" t="str">
            <v>BIOL-L</v>
          </cell>
          <cell r="G676">
            <v>340</v>
          </cell>
          <cell r="H676" t="str">
            <v>BIOL-L340</v>
          </cell>
          <cell r="K676" t="str">
            <v>Beckers,Laura Elizabeth Sullivan</v>
          </cell>
          <cell r="N676">
            <v>2.8610000000000002</v>
          </cell>
          <cell r="O676">
            <v>2.891</v>
          </cell>
        </row>
        <row r="677">
          <cell r="E677" t="str">
            <v>BIOL</v>
          </cell>
          <cell r="F677" t="str">
            <v>BIOL-L</v>
          </cell>
          <cell r="G677">
            <v>350</v>
          </cell>
          <cell r="H677" t="str">
            <v>BIOL-L350</v>
          </cell>
          <cell r="K677" t="str">
            <v>Schultz,Peggy</v>
          </cell>
          <cell r="N677">
            <v>3.5870000000000002</v>
          </cell>
          <cell r="O677">
            <v>3.0760000000000001</v>
          </cell>
        </row>
        <row r="678">
          <cell r="E678" t="str">
            <v>BIOL</v>
          </cell>
          <cell r="F678" t="str">
            <v>BIOL-L</v>
          </cell>
          <cell r="G678">
            <v>350</v>
          </cell>
          <cell r="H678" t="str">
            <v>BIOL-L350</v>
          </cell>
          <cell r="K678" t="str">
            <v>Schultz,Peggy</v>
          </cell>
          <cell r="N678">
            <v>3.4860000000000002</v>
          </cell>
          <cell r="O678">
            <v>2.9950000000000001</v>
          </cell>
        </row>
        <row r="679">
          <cell r="E679" t="str">
            <v>BIOL</v>
          </cell>
          <cell r="F679" t="str">
            <v>BIOL-L</v>
          </cell>
          <cell r="G679">
            <v>369</v>
          </cell>
          <cell r="H679" t="str">
            <v>BIOL-L369</v>
          </cell>
          <cell r="K679" t="str">
            <v>Raff,Elizabeth C.</v>
          </cell>
          <cell r="N679">
            <v>3.4329999999999998</v>
          </cell>
          <cell r="O679">
            <v>3.258</v>
          </cell>
        </row>
        <row r="680">
          <cell r="E680" t="str">
            <v>BIOL</v>
          </cell>
          <cell r="F680" t="str">
            <v>BIOL-L</v>
          </cell>
          <cell r="G680">
            <v>369</v>
          </cell>
          <cell r="H680" t="str">
            <v>BIOL-L369</v>
          </cell>
          <cell r="K680" t="str">
            <v>Ruf Jr,Edward W</v>
          </cell>
          <cell r="N680">
            <v>2.8</v>
          </cell>
          <cell r="O680">
            <v>3.1659999999999999</v>
          </cell>
        </row>
        <row r="681">
          <cell r="E681" t="str">
            <v>BIOL</v>
          </cell>
          <cell r="F681" t="str">
            <v>BIOL-L</v>
          </cell>
          <cell r="G681">
            <v>376</v>
          </cell>
          <cell r="H681" t="str">
            <v>BIOL-L376</v>
          </cell>
          <cell r="K681" t="str">
            <v>Hengeveld,Susan E.</v>
          </cell>
          <cell r="N681">
            <v>3.3889999999999998</v>
          </cell>
          <cell r="O681">
            <v>3.343</v>
          </cell>
        </row>
        <row r="682">
          <cell r="E682" t="str">
            <v>BIOL</v>
          </cell>
          <cell r="F682" t="str">
            <v>BIOL-L</v>
          </cell>
          <cell r="G682">
            <v>376</v>
          </cell>
          <cell r="H682" t="str">
            <v>BIOL-L376</v>
          </cell>
          <cell r="K682" t="str">
            <v>Reichard,Dustin Garret</v>
          </cell>
          <cell r="N682">
            <v>3.6560000000000001</v>
          </cell>
          <cell r="O682">
            <v>3.3570000000000002</v>
          </cell>
        </row>
        <row r="683">
          <cell r="E683" t="str">
            <v>BIOL</v>
          </cell>
          <cell r="F683" t="str">
            <v>BIOL-L</v>
          </cell>
          <cell r="G683">
            <v>410</v>
          </cell>
          <cell r="H683" t="str">
            <v>BIOL-L410</v>
          </cell>
          <cell r="K683" t="str">
            <v>Bender,Alan David</v>
          </cell>
          <cell r="N683">
            <v>3.5030000000000001</v>
          </cell>
          <cell r="O683">
            <v>3.3039999999999998</v>
          </cell>
        </row>
        <row r="684">
          <cell r="E684" t="str">
            <v>BIOL</v>
          </cell>
          <cell r="F684" t="str">
            <v>BIOL-L</v>
          </cell>
          <cell r="G684">
            <v>410</v>
          </cell>
          <cell r="H684" t="str">
            <v>BIOL-L410</v>
          </cell>
          <cell r="K684" t="str">
            <v>Bender,Alan David</v>
          </cell>
          <cell r="N684">
            <v>3.895</v>
          </cell>
          <cell r="O684">
            <v>3.3180000000000001</v>
          </cell>
        </row>
        <row r="685">
          <cell r="E685" t="str">
            <v>BIOL</v>
          </cell>
          <cell r="F685" t="str">
            <v>BIOL-L</v>
          </cell>
          <cell r="G685">
            <v>410</v>
          </cell>
          <cell r="H685" t="str">
            <v>BIOL-L410</v>
          </cell>
          <cell r="K685" t="str">
            <v>Bonner,James Jose</v>
          </cell>
          <cell r="N685">
            <v>1.829</v>
          </cell>
          <cell r="O685">
            <v>2.8130000000000002</v>
          </cell>
        </row>
        <row r="686">
          <cell r="E686" t="str">
            <v>BIOL</v>
          </cell>
          <cell r="F686" t="str">
            <v>BIOL-L</v>
          </cell>
          <cell r="G686">
            <v>410</v>
          </cell>
          <cell r="H686" t="str">
            <v>BIOL-L410</v>
          </cell>
          <cell r="K686" t="str">
            <v>Goodson,James</v>
          </cell>
          <cell r="N686">
            <v>2.113</v>
          </cell>
          <cell r="O686">
            <v>2.9689999999999999</v>
          </cell>
        </row>
        <row r="687">
          <cell r="E687" t="str">
            <v>BIOL</v>
          </cell>
          <cell r="F687" t="str">
            <v>BIOL-L</v>
          </cell>
          <cell r="G687">
            <v>473</v>
          </cell>
          <cell r="H687" t="str">
            <v>BIOL-L473</v>
          </cell>
          <cell r="K687" t="str">
            <v>Phillips,Richard P</v>
          </cell>
          <cell r="N687">
            <v>2.9039999999999999</v>
          </cell>
          <cell r="O687">
            <v>3.1419999999999999</v>
          </cell>
        </row>
        <row r="688">
          <cell r="E688" t="str">
            <v>BIOL</v>
          </cell>
          <cell r="F688" t="str">
            <v>BIOL-L</v>
          </cell>
          <cell r="G688">
            <v>474</v>
          </cell>
          <cell r="H688" t="str">
            <v>BIOL-L474</v>
          </cell>
          <cell r="K688" t="str">
            <v>Hobbs,Forrest Collin</v>
          </cell>
          <cell r="N688">
            <v>3.2909999999999999</v>
          </cell>
          <cell r="O688">
            <v>3.1789999999999998</v>
          </cell>
        </row>
        <row r="689">
          <cell r="E689" t="str">
            <v>BIOL</v>
          </cell>
          <cell r="F689" t="str">
            <v>BIOL-L</v>
          </cell>
          <cell r="G689">
            <v>490</v>
          </cell>
          <cell r="H689" t="str">
            <v>BIOL-L490</v>
          </cell>
          <cell r="K689" t="str">
            <v>Innes,Roger William</v>
          </cell>
          <cell r="N689">
            <v>3.9620000000000002</v>
          </cell>
          <cell r="O689">
            <v>3.56</v>
          </cell>
        </row>
        <row r="690">
          <cell r="E690" t="str">
            <v>BIOL</v>
          </cell>
          <cell r="F690" t="str">
            <v>BIOL-L</v>
          </cell>
          <cell r="G690">
            <v>490</v>
          </cell>
          <cell r="H690" t="str">
            <v>BIOL-L490</v>
          </cell>
          <cell r="K690" t="str">
            <v>Innes,Roger William</v>
          </cell>
          <cell r="N690" t="str">
            <v>NR</v>
          </cell>
          <cell r="O690" t="str">
            <v>NR</v>
          </cell>
        </row>
        <row r="691">
          <cell r="E691" t="str">
            <v>BIOL</v>
          </cell>
          <cell r="F691" t="str">
            <v>BIOL-L</v>
          </cell>
          <cell r="G691">
            <v>490</v>
          </cell>
          <cell r="H691" t="str">
            <v>BIOL-L490</v>
          </cell>
          <cell r="K691" t="str">
            <v>Innes,Roger William</v>
          </cell>
          <cell r="N691">
            <v>3.9969999999999999</v>
          </cell>
          <cell r="O691">
            <v>3.5219999999999998</v>
          </cell>
        </row>
        <row r="692">
          <cell r="E692" t="str">
            <v>BIOL</v>
          </cell>
          <cell r="F692" t="str">
            <v>BIOL-L</v>
          </cell>
          <cell r="G692">
            <v>490</v>
          </cell>
          <cell r="H692" t="str">
            <v>BIOL-L490</v>
          </cell>
          <cell r="K692" t="str">
            <v>Innes,Roger William</v>
          </cell>
          <cell r="N692" t="str">
            <v>NR</v>
          </cell>
          <cell r="O692" t="str">
            <v>NR</v>
          </cell>
        </row>
        <row r="693">
          <cell r="E693" t="str">
            <v>BIOL</v>
          </cell>
          <cell r="F693" t="str">
            <v>BIOL-L</v>
          </cell>
          <cell r="G693">
            <v>499</v>
          </cell>
          <cell r="H693" t="str">
            <v>BIOL-L499</v>
          </cell>
          <cell r="K693" t="str">
            <v>Innes,Roger William</v>
          </cell>
          <cell r="N693">
            <v>4</v>
          </cell>
          <cell r="O693">
            <v>3.762</v>
          </cell>
        </row>
        <row r="694">
          <cell r="E694" t="str">
            <v>BIOL</v>
          </cell>
          <cell r="F694" t="str">
            <v>BIOL-L</v>
          </cell>
          <cell r="G694">
            <v>499</v>
          </cell>
          <cell r="H694" t="str">
            <v>BIOL-L499</v>
          </cell>
          <cell r="K694" t="str">
            <v>Innes,Roger William</v>
          </cell>
          <cell r="N694" t="str">
            <v>NR</v>
          </cell>
          <cell r="O694" t="str">
            <v>NR</v>
          </cell>
        </row>
        <row r="695">
          <cell r="E695" t="str">
            <v>BIOL</v>
          </cell>
          <cell r="F695" t="str">
            <v>BIOL-L</v>
          </cell>
          <cell r="G695">
            <v>499</v>
          </cell>
          <cell r="H695" t="str">
            <v>BIOL-L499</v>
          </cell>
          <cell r="K695" t="str">
            <v>Innes,Roger William</v>
          </cell>
          <cell r="N695">
            <v>3.944</v>
          </cell>
          <cell r="O695">
            <v>3.7690000000000001</v>
          </cell>
        </row>
        <row r="696">
          <cell r="E696" t="str">
            <v>BIOL</v>
          </cell>
          <cell r="F696" t="str">
            <v>BIOL-L</v>
          </cell>
          <cell r="G696">
            <v>500</v>
          </cell>
          <cell r="H696" t="str">
            <v>BIOL-L500</v>
          </cell>
          <cell r="K696" t="str">
            <v>Innes,Roger William</v>
          </cell>
          <cell r="N696" t="str">
            <v>NR</v>
          </cell>
          <cell r="O696" t="str">
            <v>NR</v>
          </cell>
        </row>
        <row r="697">
          <cell r="E697" t="str">
            <v>BIOL</v>
          </cell>
          <cell r="F697" t="str">
            <v>BIOL-L</v>
          </cell>
          <cell r="G697">
            <v>500</v>
          </cell>
          <cell r="H697" t="str">
            <v>BIOL-L500</v>
          </cell>
          <cell r="K697" t="str">
            <v>Innes,Roger William</v>
          </cell>
          <cell r="N697" t="str">
            <v>NR</v>
          </cell>
          <cell r="O697" t="str">
            <v>NR</v>
          </cell>
        </row>
        <row r="698">
          <cell r="E698" t="str">
            <v>BIOL</v>
          </cell>
          <cell r="F698" t="str">
            <v>BIOL-L</v>
          </cell>
          <cell r="G698">
            <v>501</v>
          </cell>
          <cell r="H698" t="str">
            <v>BIOL-L501</v>
          </cell>
          <cell r="K698" t="str">
            <v>Innes,Roger William</v>
          </cell>
          <cell r="N698" t="str">
            <v>NR</v>
          </cell>
          <cell r="O698" t="str">
            <v>NR</v>
          </cell>
        </row>
        <row r="699">
          <cell r="E699" t="str">
            <v>BIOL</v>
          </cell>
          <cell r="F699" t="str">
            <v>BIOL-L</v>
          </cell>
          <cell r="G699">
            <v>501</v>
          </cell>
          <cell r="H699" t="str">
            <v>BIOL-L501</v>
          </cell>
          <cell r="K699" t="str">
            <v>Innes,Roger William</v>
          </cell>
          <cell r="N699" t="str">
            <v>NR</v>
          </cell>
          <cell r="O699" t="str">
            <v>NR</v>
          </cell>
        </row>
        <row r="700">
          <cell r="E700" t="str">
            <v>BIOL</v>
          </cell>
          <cell r="F700" t="str">
            <v>BIOL-L</v>
          </cell>
          <cell r="G700">
            <v>504</v>
          </cell>
          <cell r="H700" t="str">
            <v>BIOL-L504</v>
          </cell>
          <cell r="K700" t="str">
            <v>Cherbas,Peter T</v>
          </cell>
          <cell r="N700">
            <v>3.6549999999999998</v>
          </cell>
          <cell r="O700">
            <v>3.3540000000000001</v>
          </cell>
        </row>
        <row r="701">
          <cell r="E701" t="str">
            <v>BIOL</v>
          </cell>
          <cell r="F701" t="str">
            <v>BIOL-L</v>
          </cell>
          <cell r="G701">
            <v>523</v>
          </cell>
          <cell r="H701" t="str">
            <v>BIOL-L523</v>
          </cell>
          <cell r="K701" t="str">
            <v>Kehoe,David M.</v>
          </cell>
          <cell r="N701" t="str">
            <v>NR</v>
          </cell>
          <cell r="O701" t="str">
            <v>NR</v>
          </cell>
        </row>
        <row r="702">
          <cell r="E702" t="str">
            <v>BIOL</v>
          </cell>
          <cell r="F702" t="str">
            <v>BIOL-L</v>
          </cell>
          <cell r="G702">
            <v>560</v>
          </cell>
          <cell r="H702" t="str">
            <v>BIOL-L560</v>
          </cell>
          <cell r="K702" t="str">
            <v>Demas,Gregory</v>
          </cell>
          <cell r="N702">
            <v>4</v>
          </cell>
          <cell r="O702">
            <v>3.8650000000000002</v>
          </cell>
        </row>
        <row r="703">
          <cell r="E703" t="str">
            <v>BIOL</v>
          </cell>
          <cell r="F703" t="str">
            <v>BIOL-L</v>
          </cell>
          <cell r="G703">
            <v>570</v>
          </cell>
          <cell r="H703" t="str">
            <v>BIOL-L570</v>
          </cell>
          <cell r="K703" t="str">
            <v>Lively,Curtis M.</v>
          </cell>
          <cell r="N703">
            <v>4</v>
          </cell>
          <cell r="O703">
            <v>3.9129999999999998</v>
          </cell>
        </row>
        <row r="704">
          <cell r="E704" t="str">
            <v>BIOL</v>
          </cell>
          <cell r="F704" t="str">
            <v>BIOL-L</v>
          </cell>
          <cell r="G704">
            <v>570</v>
          </cell>
          <cell r="H704" t="str">
            <v>BIOL-L570</v>
          </cell>
          <cell r="K704" t="str">
            <v>Watson,Maxine A</v>
          </cell>
          <cell r="N704">
            <v>3.78</v>
          </cell>
          <cell r="O704">
            <v>3.875</v>
          </cell>
        </row>
        <row r="705">
          <cell r="E705" t="str">
            <v>BIOL</v>
          </cell>
          <cell r="F705" t="str">
            <v>BIOL-L</v>
          </cell>
          <cell r="G705">
            <v>578</v>
          </cell>
          <cell r="H705" t="str">
            <v>BIOL-L578</v>
          </cell>
          <cell r="K705" t="str">
            <v>Bever,James D</v>
          </cell>
          <cell r="N705">
            <v>4</v>
          </cell>
          <cell r="O705">
            <v>3.9289999999999998</v>
          </cell>
        </row>
        <row r="706">
          <cell r="E706" t="str">
            <v>BIOL</v>
          </cell>
          <cell r="F706" t="str">
            <v>BIOL-L</v>
          </cell>
          <cell r="G706">
            <v>585</v>
          </cell>
          <cell r="H706" t="str">
            <v>BIOL-L585</v>
          </cell>
          <cell r="K706" t="str">
            <v>Nelson,David E</v>
          </cell>
          <cell r="N706">
            <v>3.5129999999999999</v>
          </cell>
          <cell r="O706">
            <v>3.4769999999999999</v>
          </cell>
        </row>
        <row r="707">
          <cell r="E707" t="str">
            <v>BIOL</v>
          </cell>
          <cell r="F707" t="str">
            <v>BIOL-L</v>
          </cell>
          <cell r="G707">
            <v>586</v>
          </cell>
          <cell r="H707" t="str">
            <v>BIOL-L586</v>
          </cell>
          <cell r="K707" t="str">
            <v>Hu,Ke</v>
          </cell>
          <cell r="N707">
            <v>3.9359999999999999</v>
          </cell>
          <cell r="O707">
            <v>3.7850000000000001</v>
          </cell>
        </row>
        <row r="708">
          <cell r="E708" t="str">
            <v>BIOL</v>
          </cell>
          <cell r="F708" t="str">
            <v>BIOL-L</v>
          </cell>
          <cell r="G708">
            <v>587</v>
          </cell>
          <cell r="H708" t="str">
            <v>BIOL-L587</v>
          </cell>
          <cell r="K708" t="str">
            <v>Zelhof,Andrew C</v>
          </cell>
          <cell r="N708">
            <v>4</v>
          </cell>
          <cell r="O708">
            <v>3.8690000000000002</v>
          </cell>
        </row>
        <row r="709">
          <cell r="E709" t="str">
            <v>BIOL</v>
          </cell>
          <cell r="F709" t="str">
            <v>BIOL-L</v>
          </cell>
          <cell r="G709">
            <v>800</v>
          </cell>
          <cell r="H709" t="str">
            <v>BIOL-L800</v>
          </cell>
          <cell r="K709" t="str">
            <v>Innes,Roger William</v>
          </cell>
          <cell r="N709" t="str">
            <v>NR</v>
          </cell>
          <cell r="O709" t="str">
            <v>NR</v>
          </cell>
        </row>
        <row r="710">
          <cell r="E710" t="str">
            <v>BIOL</v>
          </cell>
          <cell r="F710" t="str">
            <v>BIOL-L</v>
          </cell>
          <cell r="G710">
            <v>800</v>
          </cell>
          <cell r="H710" t="str">
            <v>BIOL-L800</v>
          </cell>
          <cell r="K710" t="str">
            <v>Innes,Roger William</v>
          </cell>
          <cell r="N710" t="str">
            <v>NR</v>
          </cell>
          <cell r="O710" t="str">
            <v>NR</v>
          </cell>
        </row>
        <row r="711">
          <cell r="E711" t="str">
            <v>BIOL</v>
          </cell>
          <cell r="F711" t="str">
            <v>BIOL-M</v>
          </cell>
          <cell r="G711">
            <v>200</v>
          </cell>
          <cell r="H711" t="str">
            <v>BIOL-M200</v>
          </cell>
          <cell r="K711" t="str">
            <v>Konkol,Nick Roman</v>
          </cell>
          <cell r="N711">
            <v>2.4790000000000001</v>
          </cell>
          <cell r="O711">
            <v>3.198</v>
          </cell>
        </row>
        <row r="712">
          <cell r="E712" t="str">
            <v>BIOL</v>
          </cell>
          <cell r="F712" t="str">
            <v>BIOL-M</v>
          </cell>
          <cell r="G712">
            <v>215</v>
          </cell>
          <cell r="H712" t="str">
            <v>BIOL-M215</v>
          </cell>
          <cell r="K712" t="str">
            <v>Kulow,Carl N.</v>
          </cell>
          <cell r="N712">
            <v>3.407</v>
          </cell>
          <cell r="O712">
            <v>3.339</v>
          </cell>
        </row>
        <row r="713">
          <cell r="E713" t="str">
            <v>BIOL</v>
          </cell>
          <cell r="F713" t="str">
            <v>BIOL-M</v>
          </cell>
          <cell r="G713">
            <v>250</v>
          </cell>
          <cell r="H713" t="str">
            <v>BIOL-M250</v>
          </cell>
          <cell r="K713" t="str">
            <v>Kearns,Daniel B</v>
          </cell>
          <cell r="N713">
            <v>2.7869999999999999</v>
          </cell>
          <cell r="O713">
            <v>3.2429999999999999</v>
          </cell>
        </row>
        <row r="714">
          <cell r="E714" t="str">
            <v>BIOL</v>
          </cell>
          <cell r="F714" t="str">
            <v>BIOL-M</v>
          </cell>
          <cell r="G714">
            <v>255</v>
          </cell>
          <cell r="H714" t="str">
            <v>BIOL-M255</v>
          </cell>
          <cell r="K714" t="str">
            <v>Kulow,Carl N.</v>
          </cell>
          <cell r="N714">
            <v>3.548</v>
          </cell>
          <cell r="O714">
            <v>3.3410000000000002</v>
          </cell>
        </row>
        <row r="715">
          <cell r="E715" t="str">
            <v>BIOL</v>
          </cell>
          <cell r="F715" t="str">
            <v>BIOL-M</v>
          </cell>
          <cell r="G715">
            <v>350</v>
          </cell>
          <cell r="H715" t="str">
            <v>BIOL-M350</v>
          </cell>
          <cell r="K715" t="str">
            <v>McKinlay,James</v>
          </cell>
          <cell r="N715">
            <v>3.1</v>
          </cell>
          <cell r="O715">
            <v>3.117</v>
          </cell>
        </row>
        <row r="716">
          <cell r="E716" t="str">
            <v>BIOL</v>
          </cell>
          <cell r="F716" t="str">
            <v>BIOL-M</v>
          </cell>
          <cell r="G716">
            <v>360</v>
          </cell>
          <cell r="H716" t="str">
            <v>BIOL-M360</v>
          </cell>
          <cell r="K716" t="str">
            <v>Marketon,Melanie</v>
          </cell>
          <cell r="N716">
            <v>3.1179999999999999</v>
          </cell>
          <cell r="O716">
            <v>3.2040000000000002</v>
          </cell>
        </row>
        <row r="717">
          <cell r="E717" t="str">
            <v>BIOL</v>
          </cell>
          <cell r="F717" t="str">
            <v>BIOL-M</v>
          </cell>
          <cell r="G717">
            <v>380</v>
          </cell>
          <cell r="H717" t="str">
            <v>BIOL-M380</v>
          </cell>
          <cell r="K717" t="str">
            <v>Hardy,Richard William</v>
          </cell>
          <cell r="N717">
            <v>3.1859999999999999</v>
          </cell>
          <cell r="O717">
            <v>3.258</v>
          </cell>
        </row>
        <row r="718">
          <cell r="E718" t="str">
            <v>BIOL</v>
          </cell>
          <cell r="F718" t="str">
            <v>BIOL-M</v>
          </cell>
          <cell r="G718">
            <v>416</v>
          </cell>
          <cell r="H718" t="str">
            <v>BIOL-M416</v>
          </cell>
          <cell r="K718" t="str">
            <v>Hardy,Richard William</v>
          </cell>
          <cell r="N718">
            <v>3.2890000000000001</v>
          </cell>
          <cell r="O718">
            <v>3.2440000000000002</v>
          </cell>
        </row>
        <row r="719">
          <cell r="E719" t="str">
            <v>BIOL</v>
          </cell>
          <cell r="F719" t="str">
            <v>BIOL-M</v>
          </cell>
          <cell r="G719">
            <v>430</v>
          </cell>
          <cell r="H719" t="str">
            <v>BIOL-M430</v>
          </cell>
          <cell r="K719" t="str">
            <v>Danthi,Pranav</v>
          </cell>
          <cell r="N719">
            <v>2.8620000000000001</v>
          </cell>
          <cell r="O719">
            <v>3.1619999999999999</v>
          </cell>
        </row>
        <row r="720">
          <cell r="E720" t="str">
            <v>BIOL</v>
          </cell>
          <cell r="F720" t="str">
            <v>BIOL-M</v>
          </cell>
          <cell r="G720">
            <v>435</v>
          </cell>
          <cell r="H720" t="str">
            <v>BIOL-M435</v>
          </cell>
          <cell r="K720" t="str">
            <v>Mukhopadhyay,Suchetana</v>
          </cell>
          <cell r="N720">
            <v>3.2930000000000001</v>
          </cell>
          <cell r="O720">
            <v>3.2789999999999999</v>
          </cell>
        </row>
        <row r="721">
          <cell r="E721" t="str">
            <v>BIOL</v>
          </cell>
          <cell r="F721" t="str">
            <v>BIOL-M</v>
          </cell>
          <cell r="G721">
            <v>440</v>
          </cell>
          <cell r="H721" t="str">
            <v>BIOL-M440</v>
          </cell>
          <cell r="K721" t="str">
            <v>Mower,Richard L.</v>
          </cell>
          <cell r="N721">
            <v>3.1219999999999999</v>
          </cell>
          <cell r="O721">
            <v>3.1080000000000001</v>
          </cell>
        </row>
        <row r="722">
          <cell r="E722" t="str">
            <v>BIOL</v>
          </cell>
          <cell r="F722" t="str">
            <v>BIOL-M</v>
          </cell>
          <cell r="G722">
            <v>445</v>
          </cell>
          <cell r="H722" t="str">
            <v>BIOL-M445</v>
          </cell>
          <cell r="K722" t="str">
            <v>Konkol,Nick Roman</v>
          </cell>
          <cell r="N722">
            <v>3.3140000000000001</v>
          </cell>
          <cell r="O722">
            <v>3.3050000000000002</v>
          </cell>
        </row>
        <row r="723">
          <cell r="E723" t="str">
            <v>BIOL</v>
          </cell>
          <cell r="F723" t="str">
            <v>BIOL-M</v>
          </cell>
          <cell r="G723">
            <v>460</v>
          </cell>
          <cell r="H723" t="str">
            <v>BIOL-M460</v>
          </cell>
          <cell r="K723" t="str">
            <v>Palmer,Jeffrey D.</v>
          </cell>
          <cell r="N723">
            <v>2.7759999999999998</v>
          </cell>
          <cell r="O723">
            <v>2.9409999999999998</v>
          </cell>
        </row>
        <row r="724">
          <cell r="E724" t="str">
            <v>BIOL</v>
          </cell>
          <cell r="F724" t="str">
            <v>BIOL-M</v>
          </cell>
          <cell r="G724">
            <v>480</v>
          </cell>
          <cell r="H724" t="str">
            <v>BIOL-M480</v>
          </cell>
          <cell r="K724" t="str">
            <v>Foster,Patricia L.</v>
          </cell>
          <cell r="N724">
            <v>3.5310000000000001</v>
          </cell>
          <cell r="O724">
            <v>3.161</v>
          </cell>
        </row>
        <row r="725">
          <cell r="E725" t="str">
            <v>BIOL</v>
          </cell>
          <cell r="F725" t="str">
            <v>BIOL-M</v>
          </cell>
          <cell r="G725">
            <v>500</v>
          </cell>
          <cell r="H725" t="str">
            <v>BIOL-M500</v>
          </cell>
          <cell r="K725" t="str">
            <v>Innes,Roger William</v>
          </cell>
          <cell r="N725">
            <v>3.8889999999999998</v>
          </cell>
          <cell r="O725">
            <v>3.835</v>
          </cell>
        </row>
        <row r="726">
          <cell r="E726" t="str">
            <v>BIOL</v>
          </cell>
          <cell r="F726" t="str">
            <v>BIOL-M</v>
          </cell>
          <cell r="G726">
            <v>500</v>
          </cell>
          <cell r="H726" t="str">
            <v>BIOL-M500</v>
          </cell>
          <cell r="K726" t="str">
            <v>Innes,Roger William</v>
          </cell>
          <cell r="N726" t="str">
            <v>NR</v>
          </cell>
          <cell r="O726" t="str">
            <v>NR</v>
          </cell>
        </row>
        <row r="727">
          <cell r="E727" t="str">
            <v>BIOL</v>
          </cell>
          <cell r="F727" t="str">
            <v>BIOL-M</v>
          </cell>
          <cell r="G727">
            <v>511</v>
          </cell>
          <cell r="H727" t="str">
            <v>BIOL-M511</v>
          </cell>
          <cell r="K727" t="str">
            <v>Kearns,Daniel B</v>
          </cell>
          <cell r="N727">
            <v>3.9380000000000002</v>
          </cell>
          <cell r="O727">
            <v>3.7829999999999999</v>
          </cell>
        </row>
        <row r="728">
          <cell r="E728" t="str">
            <v>BIOL</v>
          </cell>
          <cell r="F728" t="str">
            <v>BIOL-M</v>
          </cell>
          <cell r="G728">
            <v>550</v>
          </cell>
          <cell r="H728" t="str">
            <v>BIOL-M550</v>
          </cell>
          <cell r="K728" t="str">
            <v>Kearns,Daniel B</v>
          </cell>
          <cell r="N728" t="str">
            <v>NR</v>
          </cell>
          <cell r="O728" t="str">
            <v>NR</v>
          </cell>
        </row>
        <row r="729">
          <cell r="E729" t="str">
            <v>BIOL</v>
          </cell>
          <cell r="F729" t="str">
            <v>BIOL-M</v>
          </cell>
          <cell r="G729">
            <v>800</v>
          </cell>
          <cell r="H729" t="str">
            <v>BIOL-M800</v>
          </cell>
          <cell r="K729" t="str">
            <v>Innes,Roger William</v>
          </cell>
          <cell r="N729" t="str">
            <v>NR</v>
          </cell>
          <cell r="O729" t="str">
            <v>NR</v>
          </cell>
        </row>
        <row r="730">
          <cell r="E730" t="str">
            <v>BIOL</v>
          </cell>
          <cell r="F730" t="str">
            <v>BIOL-M</v>
          </cell>
          <cell r="G730">
            <v>800</v>
          </cell>
          <cell r="H730" t="str">
            <v>BIOL-M800</v>
          </cell>
          <cell r="K730" t="str">
            <v>Innes,Roger William</v>
          </cell>
          <cell r="N730" t="str">
            <v>NR</v>
          </cell>
          <cell r="O730" t="str">
            <v>NR</v>
          </cell>
        </row>
        <row r="731">
          <cell r="E731" t="str">
            <v>BIOL</v>
          </cell>
          <cell r="F731" t="str">
            <v>BIOL-M</v>
          </cell>
          <cell r="G731">
            <v>850</v>
          </cell>
          <cell r="H731" t="str">
            <v>BIOL-M850</v>
          </cell>
          <cell r="K731" t="str">
            <v>Mukhopadhyay,Suchetana</v>
          </cell>
          <cell r="N731">
            <v>3.66</v>
          </cell>
          <cell r="O731">
            <v>3.7839999999999998</v>
          </cell>
        </row>
        <row r="732">
          <cell r="E732" t="str">
            <v>BIOL</v>
          </cell>
          <cell r="F732" t="str">
            <v>BIOL-OS</v>
          </cell>
          <cell r="G732">
            <v>300</v>
          </cell>
          <cell r="H732" t="str">
            <v>BIOL-OS300</v>
          </cell>
          <cell r="N732" t="str">
            <v>NR</v>
          </cell>
          <cell r="O732" t="str">
            <v>NR</v>
          </cell>
        </row>
        <row r="733">
          <cell r="E733" t="str">
            <v>BIOL</v>
          </cell>
          <cell r="F733" t="str">
            <v>BIOL-OS</v>
          </cell>
          <cell r="G733">
            <v>300</v>
          </cell>
          <cell r="H733" t="str">
            <v>BIOL-OS300</v>
          </cell>
          <cell r="N733" t="str">
            <v>NR</v>
          </cell>
          <cell r="O733" t="str">
            <v>NR</v>
          </cell>
        </row>
        <row r="734">
          <cell r="E734" t="str">
            <v>BIOL</v>
          </cell>
          <cell r="F734" t="str">
            <v>BIOL-P</v>
          </cell>
          <cell r="G734">
            <v>451</v>
          </cell>
          <cell r="H734" t="str">
            <v>BIOL-P451</v>
          </cell>
          <cell r="K734" t="str">
            <v>Schlegel,Whitney M</v>
          </cell>
          <cell r="N734">
            <v>3.548</v>
          </cell>
          <cell r="O734">
            <v>3.464</v>
          </cell>
        </row>
        <row r="735">
          <cell r="E735" t="str">
            <v>BIOL</v>
          </cell>
          <cell r="F735" t="str">
            <v>BIOL-P</v>
          </cell>
          <cell r="G735">
            <v>451</v>
          </cell>
          <cell r="H735" t="str">
            <v>BIOL-P451</v>
          </cell>
          <cell r="K735" t="str">
            <v>Schlegel,Whitney M</v>
          </cell>
          <cell r="N735">
            <v>3.4420000000000002</v>
          </cell>
          <cell r="O735">
            <v>3.3410000000000002</v>
          </cell>
        </row>
        <row r="736">
          <cell r="E736" t="str">
            <v>BIOL</v>
          </cell>
          <cell r="F736" t="str">
            <v>BIOL-Q</v>
          </cell>
          <cell r="G736">
            <v>201</v>
          </cell>
          <cell r="H736" t="str">
            <v>BIOL-Q201</v>
          </cell>
          <cell r="K736" t="str">
            <v>Hanratty,Pamela</v>
          </cell>
          <cell r="N736">
            <v>3.2269999999999999</v>
          </cell>
          <cell r="O736">
            <v>3.4079999999999999</v>
          </cell>
        </row>
        <row r="737">
          <cell r="E737" t="str">
            <v>BIOL</v>
          </cell>
          <cell r="F737" t="str">
            <v>BIOL-Q</v>
          </cell>
          <cell r="G737">
            <v>201</v>
          </cell>
          <cell r="H737" t="str">
            <v>BIOL-Q201</v>
          </cell>
          <cell r="K737" t="str">
            <v>Hanratty,Pamela</v>
          </cell>
          <cell r="N737">
            <v>3.1269999999999998</v>
          </cell>
          <cell r="O737">
            <v>3.327</v>
          </cell>
        </row>
        <row r="738">
          <cell r="E738" t="str">
            <v>BIOL</v>
          </cell>
          <cell r="F738" t="str">
            <v>BIOL-S</v>
          </cell>
          <cell r="G738">
            <v>211</v>
          </cell>
          <cell r="H738" t="str">
            <v>BIOL-S211</v>
          </cell>
          <cell r="K738" t="str">
            <v>Min,Kyung-Tai</v>
          </cell>
          <cell r="N738">
            <v>3.4169999999999998</v>
          </cell>
          <cell r="O738">
            <v>3.573</v>
          </cell>
        </row>
        <row r="739">
          <cell r="E739" t="str">
            <v>BIOL</v>
          </cell>
          <cell r="F739" t="str">
            <v>BIOL-S</v>
          </cell>
          <cell r="G739">
            <v>318</v>
          </cell>
          <cell r="H739" t="str">
            <v>BIOL-S318</v>
          </cell>
          <cell r="K739" t="str">
            <v>Martins,Emilia</v>
          </cell>
          <cell r="N739">
            <v>3.7639999999999998</v>
          </cell>
          <cell r="O739">
            <v>3.7509999999999999</v>
          </cell>
        </row>
        <row r="740">
          <cell r="E740" t="str">
            <v>BIOL</v>
          </cell>
          <cell r="F740" t="str">
            <v>BIOL-S</v>
          </cell>
          <cell r="G740">
            <v>318</v>
          </cell>
          <cell r="H740" t="str">
            <v>BIOL-S318</v>
          </cell>
          <cell r="K740" t="str">
            <v>Martins,Emilia</v>
          </cell>
          <cell r="N740">
            <v>3.6579999999999999</v>
          </cell>
          <cell r="O740">
            <v>3.677</v>
          </cell>
        </row>
        <row r="741">
          <cell r="E741" t="str">
            <v>BIOL</v>
          </cell>
          <cell r="F741" t="str">
            <v>BIOL-T</v>
          </cell>
          <cell r="G741">
            <v>301</v>
          </cell>
          <cell r="H741" t="str">
            <v>BIOL-T301</v>
          </cell>
          <cell r="K741" t="str">
            <v>Magill,Nancy Gene</v>
          </cell>
          <cell r="N741">
            <v>3.78</v>
          </cell>
          <cell r="O741">
            <v>3.274</v>
          </cell>
        </row>
        <row r="742">
          <cell r="E742" t="str">
            <v>BIOL</v>
          </cell>
          <cell r="F742" t="str">
            <v>BIOL-T</v>
          </cell>
          <cell r="G742">
            <v>310</v>
          </cell>
          <cell r="H742" t="str">
            <v>BIOL-T310</v>
          </cell>
          <cell r="K742" t="str">
            <v>Drummond,James T.</v>
          </cell>
          <cell r="N742">
            <v>2.4500000000000002</v>
          </cell>
          <cell r="O742">
            <v>3.12</v>
          </cell>
        </row>
        <row r="743">
          <cell r="E743" t="str">
            <v>BIOL</v>
          </cell>
          <cell r="F743" t="str">
            <v>BIOL-T</v>
          </cell>
          <cell r="G743">
            <v>312</v>
          </cell>
          <cell r="H743" t="str">
            <v>BIOL-T312</v>
          </cell>
          <cell r="K743" t="str">
            <v>Ankrom,Jeffrey Stuart</v>
          </cell>
          <cell r="N743">
            <v>3.754</v>
          </cell>
          <cell r="O743">
            <v>3.016</v>
          </cell>
        </row>
        <row r="744">
          <cell r="E744" t="str">
            <v>BIOL</v>
          </cell>
          <cell r="F744" t="str">
            <v>BIOL-T</v>
          </cell>
          <cell r="G744">
            <v>315</v>
          </cell>
          <cell r="H744" t="str">
            <v>BIOL-T315</v>
          </cell>
          <cell r="K744" t="str">
            <v>Magill,Nancy Gene</v>
          </cell>
          <cell r="N744">
            <v>3.2250000000000001</v>
          </cell>
          <cell r="O744">
            <v>3.1720000000000002</v>
          </cell>
        </row>
        <row r="745">
          <cell r="E745" t="str">
            <v>BIOL</v>
          </cell>
          <cell r="F745" t="str">
            <v>BIOL-T</v>
          </cell>
          <cell r="G745">
            <v>322</v>
          </cell>
          <cell r="H745" t="str">
            <v>BIOL-T322</v>
          </cell>
          <cell r="K745" t="str">
            <v>Magill,Nancy Gene</v>
          </cell>
          <cell r="N745">
            <v>3.6040000000000001</v>
          </cell>
          <cell r="O745">
            <v>3.2909999999999999</v>
          </cell>
        </row>
        <row r="746">
          <cell r="E746" t="str">
            <v>BIOL</v>
          </cell>
          <cell r="F746" t="str">
            <v>BIOL-T</v>
          </cell>
          <cell r="G746">
            <v>322</v>
          </cell>
          <cell r="H746" t="str">
            <v>BIOL-T322</v>
          </cell>
          <cell r="K746" t="str">
            <v>Magill,Nancy Gene</v>
          </cell>
          <cell r="N746">
            <v>3.7109999999999999</v>
          </cell>
          <cell r="O746">
            <v>3.343</v>
          </cell>
        </row>
        <row r="747">
          <cell r="E747" t="str">
            <v>BIOL</v>
          </cell>
          <cell r="F747" t="str">
            <v>BIOL-T</v>
          </cell>
          <cell r="G747">
            <v>415</v>
          </cell>
          <cell r="H747" t="str">
            <v>BIOL-T415</v>
          </cell>
          <cell r="K747" t="str">
            <v>Lee,Ryan Matthew</v>
          </cell>
          <cell r="N747" t="str">
            <v>NR</v>
          </cell>
          <cell r="O747" t="str">
            <v>NR</v>
          </cell>
        </row>
        <row r="748">
          <cell r="E748" t="str">
            <v>BIOL</v>
          </cell>
          <cell r="F748" t="str">
            <v>BIOL-T</v>
          </cell>
          <cell r="G748">
            <v>500</v>
          </cell>
          <cell r="H748" t="str">
            <v>BIOL-T500</v>
          </cell>
          <cell r="K748" t="str">
            <v>Dunn,Megan Marie</v>
          </cell>
          <cell r="N748">
            <v>3.5</v>
          </cell>
          <cell r="O748">
            <v>3.4870000000000001</v>
          </cell>
        </row>
        <row r="749">
          <cell r="E749" t="str">
            <v>BIOL</v>
          </cell>
          <cell r="F749" t="str">
            <v>BIOL-T</v>
          </cell>
          <cell r="G749">
            <v>500</v>
          </cell>
          <cell r="H749" t="str">
            <v>BIOL-T500</v>
          </cell>
          <cell r="K749" t="str">
            <v>Lee,Ryan Matthew</v>
          </cell>
          <cell r="N749">
            <v>3.9180000000000001</v>
          </cell>
          <cell r="O749">
            <v>3.83</v>
          </cell>
        </row>
        <row r="750">
          <cell r="E750" t="str">
            <v>BIOL</v>
          </cell>
          <cell r="F750" t="str">
            <v>BIOL-T</v>
          </cell>
          <cell r="G750">
            <v>501</v>
          </cell>
          <cell r="H750" t="str">
            <v>BIOL-T501</v>
          </cell>
          <cell r="K750" t="str">
            <v>Vaughan,Robert Clyde</v>
          </cell>
          <cell r="N750">
            <v>3.55</v>
          </cell>
          <cell r="O750">
            <v>3.4870000000000001</v>
          </cell>
        </row>
        <row r="751">
          <cell r="E751" t="str">
            <v>BIOL</v>
          </cell>
          <cell r="F751" t="str">
            <v>BIOL-T</v>
          </cell>
          <cell r="G751">
            <v>502</v>
          </cell>
          <cell r="H751" t="str">
            <v>BIOL-T502</v>
          </cell>
          <cell r="K751" t="str">
            <v>Lee,Ryan Matthew</v>
          </cell>
          <cell r="N751">
            <v>4</v>
          </cell>
          <cell r="O751">
            <v>3.83</v>
          </cell>
        </row>
        <row r="752">
          <cell r="E752" t="str">
            <v>BIOL</v>
          </cell>
          <cell r="F752" t="str">
            <v>BIOL-T</v>
          </cell>
          <cell r="G752">
            <v>508</v>
          </cell>
          <cell r="H752" t="str">
            <v>BIOL-T508</v>
          </cell>
          <cell r="K752" t="str">
            <v>Dunn,Megan Marie</v>
          </cell>
          <cell r="N752" t="str">
            <v>NR</v>
          </cell>
          <cell r="O752" t="str">
            <v>NR</v>
          </cell>
        </row>
        <row r="753">
          <cell r="E753" t="str">
            <v>BIOL</v>
          </cell>
          <cell r="F753" t="str">
            <v>BIOL-T</v>
          </cell>
          <cell r="G753">
            <v>515</v>
          </cell>
          <cell r="H753" t="str">
            <v>BIOL-T515</v>
          </cell>
          <cell r="K753" t="str">
            <v>Lee,Ryan Matthew</v>
          </cell>
          <cell r="N753">
            <v>3.931</v>
          </cell>
          <cell r="O753">
            <v>3.7570000000000001</v>
          </cell>
        </row>
        <row r="754">
          <cell r="E754" t="str">
            <v>BIOL</v>
          </cell>
          <cell r="F754" t="str">
            <v>BIOL-T</v>
          </cell>
          <cell r="G754">
            <v>521</v>
          </cell>
          <cell r="H754" t="str">
            <v>BIOL-T521</v>
          </cell>
          <cell r="K754" t="str">
            <v>Bush,Karen</v>
          </cell>
          <cell r="N754">
            <v>3.6669999999999998</v>
          </cell>
          <cell r="O754">
            <v>3.4870000000000001</v>
          </cell>
        </row>
        <row r="755">
          <cell r="E755" t="str">
            <v>BIOL</v>
          </cell>
          <cell r="F755" t="str">
            <v>BIOL-Z</v>
          </cell>
          <cell r="G755">
            <v>374</v>
          </cell>
          <cell r="H755" t="str">
            <v>BIOL-Z374</v>
          </cell>
          <cell r="K755" t="str">
            <v>Cotten,Clara Ann</v>
          </cell>
          <cell r="N755">
            <v>2.2959999999999998</v>
          </cell>
          <cell r="O755">
            <v>2.9249999999999998</v>
          </cell>
        </row>
        <row r="756">
          <cell r="E756" t="str">
            <v>BIOL</v>
          </cell>
          <cell r="F756" t="str">
            <v>BIOL-Z</v>
          </cell>
          <cell r="G756">
            <v>375</v>
          </cell>
          <cell r="H756" t="str">
            <v>BIOL-Z375</v>
          </cell>
          <cell r="K756" t="str">
            <v>Cotten,Clara Ann</v>
          </cell>
          <cell r="N756">
            <v>2.8740000000000001</v>
          </cell>
          <cell r="O756">
            <v>3.0579999999999998</v>
          </cell>
        </row>
        <row r="757">
          <cell r="E757" t="str">
            <v>BIOL</v>
          </cell>
          <cell r="F757" t="str">
            <v>BIOL-Z</v>
          </cell>
          <cell r="G757">
            <v>406</v>
          </cell>
          <cell r="H757" t="str">
            <v>BIOL-Z406</v>
          </cell>
          <cell r="K757" t="str">
            <v>Cotten,Clara Ann</v>
          </cell>
          <cell r="N757">
            <v>3.2389999999999999</v>
          </cell>
          <cell r="O757">
            <v>3.1909999999999998</v>
          </cell>
        </row>
        <row r="758">
          <cell r="E758" t="str">
            <v>BIOL</v>
          </cell>
          <cell r="F758" t="str">
            <v>BIOL-Z</v>
          </cell>
          <cell r="G758">
            <v>460</v>
          </cell>
          <cell r="H758" t="str">
            <v>BIOL-Z460</v>
          </cell>
          <cell r="K758" t="str">
            <v>Bergeon Burns,Christine M</v>
          </cell>
          <cell r="N758">
            <v>3.0369999999999999</v>
          </cell>
          <cell r="O758">
            <v>3.069</v>
          </cell>
        </row>
        <row r="759">
          <cell r="E759" t="str">
            <v>BIOL</v>
          </cell>
          <cell r="F759" t="str">
            <v>BIOL-Z</v>
          </cell>
          <cell r="G759">
            <v>460</v>
          </cell>
          <cell r="H759" t="str">
            <v>BIOL-Z460</v>
          </cell>
          <cell r="K759" t="str">
            <v>Hurley,Laura M.</v>
          </cell>
          <cell r="N759">
            <v>3.54</v>
          </cell>
          <cell r="O759">
            <v>3.4169999999999998</v>
          </cell>
        </row>
        <row r="760">
          <cell r="E760" t="str">
            <v>BIOL</v>
          </cell>
          <cell r="F760" t="str">
            <v>BIOL-Z</v>
          </cell>
          <cell r="G760">
            <v>620</v>
          </cell>
          <cell r="H760" t="str">
            <v>BIOL-Z620</v>
          </cell>
          <cell r="K760" t="str">
            <v>Brendel,Volker</v>
          </cell>
          <cell r="N760">
            <v>3.871</v>
          </cell>
          <cell r="O760">
            <v>3.7050000000000001</v>
          </cell>
        </row>
        <row r="761">
          <cell r="E761" t="str">
            <v>BIOL</v>
          </cell>
          <cell r="F761" t="str">
            <v>BIOL-Z</v>
          </cell>
          <cell r="G761">
            <v>620</v>
          </cell>
          <cell r="H761" t="str">
            <v>BIOL-Z620</v>
          </cell>
          <cell r="K761" t="str">
            <v>Bush,Karen</v>
          </cell>
          <cell r="N761" t="str">
            <v>NR</v>
          </cell>
          <cell r="O761" t="str">
            <v>NR</v>
          </cell>
        </row>
        <row r="762">
          <cell r="E762" t="str">
            <v>BIOL</v>
          </cell>
          <cell r="F762" t="str">
            <v>BIOL-Z</v>
          </cell>
          <cell r="G762">
            <v>620</v>
          </cell>
          <cell r="H762" t="str">
            <v>BIOL-Z620</v>
          </cell>
          <cell r="K762" t="str">
            <v>Calvi,Brian R</v>
          </cell>
          <cell r="N762">
            <v>3.8330000000000002</v>
          </cell>
          <cell r="O762">
            <v>3.8290000000000002</v>
          </cell>
        </row>
        <row r="763">
          <cell r="E763" t="str">
            <v>BIOL</v>
          </cell>
          <cell r="F763" t="str">
            <v>BIOL-Z</v>
          </cell>
          <cell r="G763">
            <v>620</v>
          </cell>
          <cell r="H763" t="str">
            <v>BIOL-Z620</v>
          </cell>
          <cell r="K763" t="str">
            <v>Capshew,James H.</v>
          </cell>
          <cell r="N763" t="str">
            <v>NR</v>
          </cell>
          <cell r="O763" t="str">
            <v>NR</v>
          </cell>
        </row>
        <row r="764">
          <cell r="E764" t="str">
            <v>BIOL</v>
          </cell>
          <cell r="F764" t="str">
            <v>BIOL-Z</v>
          </cell>
          <cell r="G764">
            <v>620</v>
          </cell>
          <cell r="H764" t="str">
            <v>BIOL-Z620</v>
          </cell>
          <cell r="K764" t="str">
            <v>Foster,Patricia L.</v>
          </cell>
          <cell r="N764">
            <v>4</v>
          </cell>
          <cell r="O764">
            <v>3.83</v>
          </cell>
        </row>
        <row r="765">
          <cell r="E765" t="str">
            <v>BIOL</v>
          </cell>
          <cell r="F765" t="str">
            <v>BIOL-Z</v>
          </cell>
          <cell r="G765">
            <v>620</v>
          </cell>
          <cell r="H765" t="str">
            <v>BIOL-Z620</v>
          </cell>
          <cell r="K765" t="str">
            <v>Goodson,James</v>
          </cell>
          <cell r="N765" t="str">
            <v>NR</v>
          </cell>
          <cell r="O765" t="str">
            <v>NR</v>
          </cell>
        </row>
        <row r="766">
          <cell r="E766" t="str">
            <v>BIOL</v>
          </cell>
          <cell r="F766" t="str">
            <v>BIOL-Z</v>
          </cell>
          <cell r="G766">
            <v>620</v>
          </cell>
          <cell r="H766" t="str">
            <v>BIOL-Z620</v>
          </cell>
          <cell r="K766" t="str">
            <v>Housworth,Elizabeth</v>
          </cell>
          <cell r="N766">
            <v>3.7959999999999998</v>
          </cell>
          <cell r="O766">
            <v>3.7</v>
          </cell>
        </row>
        <row r="767">
          <cell r="E767" t="str">
            <v>BIOL</v>
          </cell>
          <cell r="F767" t="str">
            <v>BIOL-Z</v>
          </cell>
          <cell r="G767">
            <v>620</v>
          </cell>
          <cell r="H767" t="str">
            <v>BIOL-Z620</v>
          </cell>
          <cell r="K767" t="str">
            <v>Hurley,Laura M.</v>
          </cell>
          <cell r="N767">
            <v>4</v>
          </cell>
          <cell r="O767">
            <v>3.9489999999999998</v>
          </cell>
        </row>
        <row r="768">
          <cell r="E768" t="str">
            <v>BIOL</v>
          </cell>
          <cell r="F768" t="str">
            <v>BIOL-Z</v>
          </cell>
          <cell r="G768">
            <v>620</v>
          </cell>
          <cell r="H768" t="str">
            <v>BIOL-Z620</v>
          </cell>
          <cell r="K768" t="str">
            <v>Kao,Cheng Chia</v>
          </cell>
          <cell r="N768" t="str">
            <v>NR</v>
          </cell>
          <cell r="O768" t="str">
            <v>NR</v>
          </cell>
        </row>
        <row r="769">
          <cell r="E769" t="str">
            <v>BIOL</v>
          </cell>
          <cell r="F769" t="str">
            <v>BIOL-Z</v>
          </cell>
          <cell r="G769">
            <v>620</v>
          </cell>
          <cell r="H769" t="str">
            <v>BIOL-Z620</v>
          </cell>
          <cell r="K769" t="str">
            <v>Kumar,Justin P.</v>
          </cell>
          <cell r="N769">
            <v>4</v>
          </cell>
          <cell r="O769">
            <v>3.806</v>
          </cell>
        </row>
        <row r="770">
          <cell r="E770" t="str">
            <v>BIOL</v>
          </cell>
          <cell r="F770" t="str">
            <v>BIOL-Z</v>
          </cell>
          <cell r="G770">
            <v>620</v>
          </cell>
          <cell r="H770" t="str">
            <v>BIOL-Z620</v>
          </cell>
          <cell r="K770" t="str">
            <v>Lynch,Michael</v>
          </cell>
          <cell r="N770">
            <v>3.5790000000000002</v>
          </cell>
          <cell r="O770">
            <v>3.7679999999999998</v>
          </cell>
        </row>
        <row r="771">
          <cell r="E771" t="str">
            <v>BIOL</v>
          </cell>
          <cell r="F771" t="str">
            <v>BIOL-Z</v>
          </cell>
          <cell r="G771">
            <v>620</v>
          </cell>
          <cell r="H771" t="str">
            <v>BIOL-Z620</v>
          </cell>
          <cell r="K771" t="str">
            <v>Marketon,Melanie</v>
          </cell>
          <cell r="N771">
            <v>3.8</v>
          </cell>
          <cell r="O771">
            <v>3.7959999999999998</v>
          </cell>
        </row>
        <row r="772">
          <cell r="E772" t="str">
            <v>BIOL</v>
          </cell>
          <cell r="F772" t="str">
            <v>BIOL-Z</v>
          </cell>
          <cell r="G772">
            <v>620</v>
          </cell>
          <cell r="H772" t="str">
            <v>BIOL-Z620</v>
          </cell>
          <cell r="K772" t="str">
            <v>Mukhopadhyay,Suchetana</v>
          </cell>
          <cell r="N772" t="str">
            <v>NR</v>
          </cell>
          <cell r="O772" t="str">
            <v>NR</v>
          </cell>
        </row>
        <row r="773">
          <cell r="E773" t="str">
            <v>BIOL</v>
          </cell>
          <cell r="F773" t="str">
            <v>BIOL-Z</v>
          </cell>
          <cell r="G773">
            <v>620</v>
          </cell>
          <cell r="H773" t="str">
            <v>BIOL-Z620</v>
          </cell>
          <cell r="K773" t="str">
            <v>Nelson,David E</v>
          </cell>
          <cell r="N773" t="str">
            <v>NR</v>
          </cell>
          <cell r="O773" t="str">
            <v>NR</v>
          </cell>
        </row>
        <row r="774">
          <cell r="E774" t="str">
            <v>BIOL</v>
          </cell>
          <cell r="F774" t="str">
            <v>BIOL-Z</v>
          </cell>
          <cell r="G774">
            <v>620</v>
          </cell>
          <cell r="H774" t="str">
            <v>BIOL-Z620</v>
          </cell>
          <cell r="K774" t="str">
            <v>Newton,Irene</v>
          </cell>
          <cell r="N774">
            <v>4</v>
          </cell>
          <cell r="O774">
            <v>3.82</v>
          </cell>
        </row>
        <row r="775">
          <cell r="E775" t="str">
            <v>BIOL</v>
          </cell>
          <cell r="F775" t="str">
            <v>BIOL-Z</v>
          </cell>
          <cell r="G775">
            <v>620</v>
          </cell>
          <cell r="H775" t="str">
            <v>BIOL-Z620</v>
          </cell>
          <cell r="K775" t="str">
            <v>Phillips,Richard P</v>
          </cell>
          <cell r="N775">
            <v>4</v>
          </cell>
          <cell r="O775">
            <v>3.8410000000000002</v>
          </cell>
        </row>
        <row r="776">
          <cell r="E776" t="str">
            <v>BIOL</v>
          </cell>
          <cell r="F776" t="str">
            <v>BIOL-Z</v>
          </cell>
          <cell r="G776">
            <v>620</v>
          </cell>
          <cell r="H776" t="str">
            <v>BIOL-Z620</v>
          </cell>
          <cell r="K776" t="str">
            <v>Powers,Jim</v>
          </cell>
          <cell r="N776">
            <v>4</v>
          </cell>
          <cell r="O776">
            <v>3.7909999999999999</v>
          </cell>
        </row>
        <row r="777">
          <cell r="E777" t="str">
            <v>BIOL</v>
          </cell>
          <cell r="F777" t="str">
            <v>BIOL-Z</v>
          </cell>
          <cell r="G777">
            <v>620</v>
          </cell>
          <cell r="H777" t="str">
            <v>BIOL-Z620</v>
          </cell>
          <cell r="K777" t="str">
            <v>Raff,Rudolf A.</v>
          </cell>
          <cell r="N777">
            <v>4</v>
          </cell>
          <cell r="O777">
            <v>3.6240000000000001</v>
          </cell>
        </row>
        <row r="778">
          <cell r="E778" t="str">
            <v>BIOL</v>
          </cell>
          <cell r="F778" t="str">
            <v>BIOL-Z</v>
          </cell>
          <cell r="G778">
            <v>620</v>
          </cell>
          <cell r="H778" t="str">
            <v>BIOL-Z620</v>
          </cell>
          <cell r="K778" t="str">
            <v>Zolan,Miriam E.</v>
          </cell>
          <cell r="N778" t="str">
            <v>NR</v>
          </cell>
          <cell r="O778" t="str">
            <v>NR</v>
          </cell>
        </row>
        <row r="779">
          <cell r="E779" t="str">
            <v>BUEX</v>
          </cell>
          <cell r="F779" t="str">
            <v>BUEX-C</v>
          </cell>
          <cell r="G779">
            <v>531</v>
          </cell>
          <cell r="H779" t="str">
            <v>BUEX-C531</v>
          </cell>
          <cell r="K779" t="str">
            <v>Acito,Franklin</v>
          </cell>
          <cell r="N779">
            <v>3.5030000000000001</v>
          </cell>
          <cell r="O779">
            <v>3.282</v>
          </cell>
        </row>
        <row r="780">
          <cell r="E780" t="str">
            <v>BUEX</v>
          </cell>
          <cell r="F780" t="str">
            <v>BUEX-C</v>
          </cell>
          <cell r="G780">
            <v>531</v>
          </cell>
          <cell r="H780" t="str">
            <v>BUEX-C531</v>
          </cell>
          <cell r="K780" t="str">
            <v>Acito,Franklin</v>
          </cell>
          <cell r="N780" t="str">
            <v>NR</v>
          </cell>
          <cell r="O780" t="str">
            <v>NR</v>
          </cell>
        </row>
        <row r="781">
          <cell r="E781" t="str">
            <v>BUEX</v>
          </cell>
          <cell r="F781" t="str">
            <v>BUEX-C</v>
          </cell>
          <cell r="G781">
            <v>534</v>
          </cell>
          <cell r="H781" t="str">
            <v>BUEX-C534</v>
          </cell>
          <cell r="K781" t="str">
            <v>Soni,Ashok</v>
          </cell>
          <cell r="N781">
            <v>3.8780000000000001</v>
          </cell>
          <cell r="O781">
            <v>3.7480000000000002</v>
          </cell>
        </row>
        <row r="782">
          <cell r="E782" t="str">
            <v>BUEX</v>
          </cell>
          <cell r="F782" t="str">
            <v>BUEX-C</v>
          </cell>
          <cell r="G782">
            <v>534</v>
          </cell>
          <cell r="H782" t="str">
            <v>BUEX-C534</v>
          </cell>
          <cell r="K782" t="str">
            <v>Soni,Ashok</v>
          </cell>
          <cell r="N782">
            <v>3.8780000000000001</v>
          </cell>
          <cell r="O782">
            <v>3.7480000000000002</v>
          </cell>
        </row>
        <row r="783">
          <cell r="E783" t="str">
            <v>BUEX</v>
          </cell>
          <cell r="F783" t="str">
            <v>BUEX-C</v>
          </cell>
          <cell r="G783">
            <v>535</v>
          </cell>
          <cell r="H783" t="str">
            <v>BUEX-C535</v>
          </cell>
          <cell r="K783" t="str">
            <v>Winston,Wayne L.</v>
          </cell>
          <cell r="N783" t="str">
            <v>NR</v>
          </cell>
          <cell r="O783" t="str">
            <v>NR</v>
          </cell>
        </row>
        <row r="784">
          <cell r="E784" t="str">
            <v>BUEX</v>
          </cell>
          <cell r="F784" t="str">
            <v>BUEX-C</v>
          </cell>
          <cell r="G784">
            <v>535</v>
          </cell>
          <cell r="H784" t="str">
            <v>BUEX-C535</v>
          </cell>
          <cell r="K784" t="str">
            <v>Winston,Wayne L.</v>
          </cell>
          <cell r="N784">
            <v>3.9180000000000001</v>
          </cell>
          <cell r="O784">
            <v>3.84</v>
          </cell>
        </row>
        <row r="785">
          <cell r="E785" t="str">
            <v>BUEX</v>
          </cell>
          <cell r="F785" t="str">
            <v>BUEX-C</v>
          </cell>
          <cell r="G785">
            <v>543</v>
          </cell>
          <cell r="H785" t="str">
            <v>BUEX-C543</v>
          </cell>
          <cell r="K785" t="str">
            <v>Prabhakar,Bipin</v>
          </cell>
          <cell r="N785" t="str">
            <v>NR</v>
          </cell>
          <cell r="O785" t="str">
            <v>NR</v>
          </cell>
        </row>
        <row r="786">
          <cell r="E786" t="str">
            <v>BUEX</v>
          </cell>
          <cell r="F786" t="str">
            <v>BUEX-C</v>
          </cell>
          <cell r="G786">
            <v>543</v>
          </cell>
          <cell r="H786" t="str">
            <v>BUEX-C543</v>
          </cell>
          <cell r="K786" t="str">
            <v>Prabhakar,Bipin</v>
          </cell>
          <cell r="N786" t="str">
            <v>NR</v>
          </cell>
          <cell r="O786" t="str">
            <v>NR</v>
          </cell>
        </row>
        <row r="787">
          <cell r="E787" t="str">
            <v>BUEX</v>
          </cell>
          <cell r="F787" t="str">
            <v>BUEX-V</v>
          </cell>
          <cell r="G787">
            <v>594</v>
          </cell>
          <cell r="H787" t="str">
            <v>BUEX-V594</v>
          </cell>
          <cell r="K787" t="str">
            <v>Venkataraman,Ramesh</v>
          </cell>
          <cell r="N787" t="str">
            <v>NR</v>
          </cell>
          <cell r="O787" t="str">
            <v>NR</v>
          </cell>
        </row>
        <row r="788">
          <cell r="E788" t="str">
            <v>BUEX</v>
          </cell>
          <cell r="F788" t="str">
            <v>BUEX-V</v>
          </cell>
          <cell r="G788">
            <v>595</v>
          </cell>
          <cell r="H788" t="str">
            <v>BUEX-V595</v>
          </cell>
          <cell r="K788" t="str">
            <v>Hayford,Stephen L.</v>
          </cell>
          <cell r="N788">
            <v>3.3239999999999998</v>
          </cell>
          <cell r="O788">
            <v>3.7429999999999999</v>
          </cell>
        </row>
        <row r="789">
          <cell r="E789" t="str">
            <v>BUEX</v>
          </cell>
          <cell r="F789" t="str">
            <v>BUEX-V</v>
          </cell>
          <cell r="G789">
            <v>595</v>
          </cell>
          <cell r="H789" t="str">
            <v>BUEX-V595</v>
          </cell>
          <cell r="K789" t="str">
            <v>Shockley,Richard</v>
          </cell>
          <cell r="N789">
            <v>3.839</v>
          </cell>
          <cell r="O789">
            <v>3.7389999999999999</v>
          </cell>
        </row>
        <row r="790">
          <cell r="E790" t="str">
            <v>BUEX</v>
          </cell>
          <cell r="F790" t="str">
            <v>BUEX-V</v>
          </cell>
          <cell r="G790">
            <v>596</v>
          </cell>
          <cell r="H790" t="str">
            <v>BUEX-V596</v>
          </cell>
          <cell r="K790" t="str">
            <v>Cady,John F.</v>
          </cell>
          <cell r="N790" t="str">
            <v>NR</v>
          </cell>
          <cell r="O790" t="str">
            <v>NR</v>
          </cell>
        </row>
        <row r="791">
          <cell r="E791" t="str">
            <v>BUEX</v>
          </cell>
          <cell r="F791" t="str">
            <v>BUEX-V</v>
          </cell>
          <cell r="G791">
            <v>597</v>
          </cell>
          <cell r="H791" t="str">
            <v>BUEX-V597</v>
          </cell>
          <cell r="K791" t="str">
            <v>Magjuka,Richard J.</v>
          </cell>
          <cell r="N791">
            <v>3.92</v>
          </cell>
          <cell r="O791">
            <v>3.7389999999999999</v>
          </cell>
        </row>
        <row r="792">
          <cell r="E792" t="str">
            <v>BUEX</v>
          </cell>
          <cell r="F792" t="str">
            <v>BUEX-V</v>
          </cell>
          <cell r="G792">
            <v>598</v>
          </cell>
          <cell r="H792" t="str">
            <v>BUEX-V598</v>
          </cell>
          <cell r="K792" t="str">
            <v>Briggs,Carl M</v>
          </cell>
          <cell r="N792">
            <v>3.5489999999999999</v>
          </cell>
          <cell r="O792">
            <v>3.7429999999999999</v>
          </cell>
        </row>
        <row r="793">
          <cell r="E793" t="str">
            <v>BUEX</v>
          </cell>
          <cell r="F793" t="str">
            <v>BUEX-V</v>
          </cell>
          <cell r="G793">
            <v>598</v>
          </cell>
          <cell r="H793" t="str">
            <v>BUEX-V598</v>
          </cell>
          <cell r="K793" t="str">
            <v>Richards,Eric L.</v>
          </cell>
          <cell r="N793">
            <v>3.589</v>
          </cell>
          <cell r="O793">
            <v>3.7389999999999999</v>
          </cell>
        </row>
        <row r="794">
          <cell r="E794" t="str">
            <v>BUEX</v>
          </cell>
          <cell r="F794" t="str">
            <v>BUEX-V</v>
          </cell>
          <cell r="G794">
            <v>599</v>
          </cell>
          <cell r="H794" t="str">
            <v>BUEX-V599</v>
          </cell>
          <cell r="K794" t="str">
            <v>Roedl,Frederick William</v>
          </cell>
          <cell r="N794">
            <v>3.907</v>
          </cell>
          <cell r="O794">
            <v>3.7429999999999999</v>
          </cell>
        </row>
        <row r="795">
          <cell r="E795" t="str">
            <v>BUEX</v>
          </cell>
          <cell r="F795" t="str">
            <v>BUEX-Z</v>
          </cell>
          <cell r="G795">
            <v>501</v>
          </cell>
          <cell r="H795" t="str">
            <v>BUEX-Z501</v>
          </cell>
          <cell r="K795" t="str">
            <v>Cady,John F.</v>
          </cell>
          <cell r="N795" t="str">
            <v>NR</v>
          </cell>
          <cell r="O795" t="str">
            <v>NR</v>
          </cell>
        </row>
        <row r="796">
          <cell r="E796" t="str">
            <v>BUEX</v>
          </cell>
          <cell r="F796" t="str">
            <v>BUEX-Z</v>
          </cell>
          <cell r="G796">
            <v>501</v>
          </cell>
          <cell r="H796" t="str">
            <v>BUEX-Z501</v>
          </cell>
          <cell r="K796" t="str">
            <v>Cady,John F.</v>
          </cell>
          <cell r="N796" t="str">
            <v>NR</v>
          </cell>
          <cell r="O796" t="str">
            <v>NR</v>
          </cell>
        </row>
        <row r="797">
          <cell r="E797" t="str">
            <v>BUEX</v>
          </cell>
          <cell r="F797" t="str">
            <v>BUEX-Z</v>
          </cell>
          <cell r="G797">
            <v>505</v>
          </cell>
          <cell r="H797" t="str">
            <v>BUEX-Z505</v>
          </cell>
          <cell r="K797" t="str">
            <v>Cady,John F.</v>
          </cell>
          <cell r="N797" t="str">
            <v>NR</v>
          </cell>
          <cell r="O797" t="str">
            <v>NR</v>
          </cell>
        </row>
        <row r="798">
          <cell r="E798" t="str">
            <v>BUEX</v>
          </cell>
          <cell r="F798" t="str">
            <v>BUEX-Z</v>
          </cell>
          <cell r="G798">
            <v>505</v>
          </cell>
          <cell r="H798" t="str">
            <v>BUEX-Z505</v>
          </cell>
          <cell r="K798" t="str">
            <v>Cady,John F.</v>
          </cell>
          <cell r="N798" t="str">
            <v>NR</v>
          </cell>
          <cell r="O798" t="str">
            <v>NR</v>
          </cell>
        </row>
        <row r="799">
          <cell r="E799" t="str">
            <v>BUEX</v>
          </cell>
          <cell r="F799" t="str">
            <v>BUEX-Z</v>
          </cell>
          <cell r="G799">
            <v>511</v>
          </cell>
          <cell r="H799" t="str">
            <v>BUEX-Z511</v>
          </cell>
          <cell r="K799" t="str">
            <v>Bailey-Hughes,Brenda Marie</v>
          </cell>
          <cell r="N799" t="str">
            <v>NR</v>
          </cell>
          <cell r="O799" t="str">
            <v>NR</v>
          </cell>
        </row>
        <row r="800">
          <cell r="E800" t="str">
            <v>BUEX</v>
          </cell>
          <cell r="F800" t="str">
            <v>BUEX-Z</v>
          </cell>
          <cell r="G800">
            <v>511</v>
          </cell>
          <cell r="H800" t="str">
            <v>BUEX-Z511</v>
          </cell>
          <cell r="K800" t="str">
            <v>Bailey-Hughes,Brenda Marie</v>
          </cell>
          <cell r="N800" t="str">
            <v>NR</v>
          </cell>
          <cell r="O800" t="str">
            <v>NR</v>
          </cell>
        </row>
        <row r="801">
          <cell r="E801" t="str">
            <v>BUEX</v>
          </cell>
          <cell r="F801" t="str">
            <v>BUEX-Z</v>
          </cell>
          <cell r="G801">
            <v>531</v>
          </cell>
          <cell r="H801" t="str">
            <v>BUEX-Z531</v>
          </cell>
          <cell r="K801" t="str">
            <v>Grandorf,James N</v>
          </cell>
          <cell r="N801" t="str">
            <v>NR</v>
          </cell>
          <cell r="O801" t="str">
            <v>NR</v>
          </cell>
        </row>
        <row r="802">
          <cell r="E802" t="str">
            <v>BUEX</v>
          </cell>
          <cell r="F802" t="str">
            <v>BUEX-Z</v>
          </cell>
          <cell r="G802">
            <v>531</v>
          </cell>
          <cell r="H802" t="str">
            <v>BUEX-Z531</v>
          </cell>
          <cell r="K802" t="str">
            <v>Grandorf,James N</v>
          </cell>
          <cell r="N802" t="str">
            <v>NR</v>
          </cell>
          <cell r="O802" t="str">
            <v>NR</v>
          </cell>
        </row>
        <row r="803">
          <cell r="E803" t="str">
            <v>BUEX</v>
          </cell>
          <cell r="F803" t="str">
            <v>BUEX-Z</v>
          </cell>
          <cell r="G803">
            <v>541</v>
          </cell>
          <cell r="H803" t="str">
            <v>BUEX-Z541</v>
          </cell>
          <cell r="K803" t="str">
            <v>Soni,Ashok</v>
          </cell>
          <cell r="N803">
            <v>3.9660000000000002</v>
          </cell>
          <cell r="O803">
            <v>3.9660000000000002</v>
          </cell>
        </row>
        <row r="804">
          <cell r="E804" t="str">
            <v>BUEX</v>
          </cell>
          <cell r="F804" t="str">
            <v>BUEX-Z</v>
          </cell>
          <cell r="G804">
            <v>541</v>
          </cell>
          <cell r="H804" t="str">
            <v>BUEX-Z541</v>
          </cell>
          <cell r="K804" t="str">
            <v>Soni,Ashok</v>
          </cell>
          <cell r="N804">
            <v>3.9660000000000002</v>
          </cell>
          <cell r="O804">
            <v>3.9660000000000002</v>
          </cell>
        </row>
        <row r="805">
          <cell r="E805" t="str">
            <v>BUKD</v>
          </cell>
          <cell r="F805" t="str">
            <v>BUKD-C</v>
          </cell>
          <cell r="G805">
            <v>511</v>
          </cell>
          <cell r="H805" t="str">
            <v>BUKD-C511</v>
          </cell>
          <cell r="K805" t="str">
            <v>Fella,Sheri Lynn</v>
          </cell>
          <cell r="N805">
            <v>3.4089999999999998</v>
          </cell>
          <cell r="O805">
            <v>3.5</v>
          </cell>
        </row>
        <row r="806">
          <cell r="E806" t="str">
            <v>BUKD</v>
          </cell>
          <cell r="F806" t="str">
            <v>BUKD-C</v>
          </cell>
          <cell r="G806">
            <v>511</v>
          </cell>
          <cell r="H806" t="str">
            <v>BUKD-C511</v>
          </cell>
          <cell r="K806" t="str">
            <v>Magjuka,Richard J.</v>
          </cell>
          <cell r="N806">
            <v>3.8780000000000001</v>
          </cell>
          <cell r="O806">
            <v>3.629</v>
          </cell>
        </row>
        <row r="807">
          <cell r="E807" t="str">
            <v>BUKD</v>
          </cell>
          <cell r="F807" t="str">
            <v>BUKD-C</v>
          </cell>
          <cell r="G807">
            <v>511</v>
          </cell>
          <cell r="H807" t="str">
            <v>BUKD-C511</v>
          </cell>
          <cell r="K807" t="str">
            <v>Richards,Eric L.</v>
          </cell>
          <cell r="N807">
            <v>3.8460000000000001</v>
          </cell>
          <cell r="O807">
            <v>3.8460000000000001</v>
          </cell>
        </row>
        <row r="808">
          <cell r="E808" t="str">
            <v>BUKD</v>
          </cell>
          <cell r="F808" t="str">
            <v>BUKD-C</v>
          </cell>
          <cell r="G808">
            <v>511</v>
          </cell>
          <cell r="H808" t="str">
            <v>BUKD-C511</v>
          </cell>
          <cell r="K808" t="str">
            <v>Richards,Eric L.</v>
          </cell>
          <cell r="N808">
            <v>3.8460000000000001</v>
          </cell>
          <cell r="O808">
            <v>3.8460000000000001</v>
          </cell>
        </row>
        <row r="809">
          <cell r="E809" t="str">
            <v>BUKD</v>
          </cell>
          <cell r="F809" t="str">
            <v>BUKD-C</v>
          </cell>
          <cell r="G809">
            <v>512</v>
          </cell>
          <cell r="H809" t="str">
            <v>BUKD-C512</v>
          </cell>
          <cell r="K809" t="str">
            <v>Fella,Sheri Lynn</v>
          </cell>
          <cell r="N809">
            <v>3.633</v>
          </cell>
          <cell r="O809">
            <v>3.613</v>
          </cell>
        </row>
        <row r="810">
          <cell r="E810" t="str">
            <v>BUKD</v>
          </cell>
          <cell r="F810" t="str">
            <v>BUKD-C</v>
          </cell>
          <cell r="G810">
            <v>514</v>
          </cell>
          <cell r="H810" t="str">
            <v>BUKD-C514</v>
          </cell>
          <cell r="K810" t="str">
            <v>Fella,Sheri Lynn</v>
          </cell>
          <cell r="N810">
            <v>3.5289999999999999</v>
          </cell>
          <cell r="O810">
            <v>3.5870000000000002</v>
          </cell>
        </row>
        <row r="811">
          <cell r="E811" t="str">
            <v>BUKD</v>
          </cell>
          <cell r="F811" t="str">
            <v>BUKD-C</v>
          </cell>
          <cell r="G811">
            <v>514</v>
          </cell>
          <cell r="H811" t="str">
            <v>BUKD-C514</v>
          </cell>
          <cell r="K811" t="str">
            <v>Magjuka,Richard J.</v>
          </cell>
          <cell r="N811">
            <v>3.8</v>
          </cell>
          <cell r="O811">
            <v>3.7040000000000002</v>
          </cell>
        </row>
        <row r="812">
          <cell r="E812" t="str">
            <v>BUKD</v>
          </cell>
          <cell r="F812" t="str">
            <v>BUKD-C</v>
          </cell>
          <cell r="G812">
            <v>514</v>
          </cell>
          <cell r="H812" t="str">
            <v>BUKD-C514</v>
          </cell>
          <cell r="K812" t="str">
            <v>Magjuka,Richard J.</v>
          </cell>
          <cell r="N812">
            <v>3.8</v>
          </cell>
          <cell r="O812">
            <v>3.7040000000000002</v>
          </cell>
        </row>
        <row r="813">
          <cell r="E813" t="str">
            <v>BUKD</v>
          </cell>
          <cell r="F813" t="str">
            <v>BUKD-C</v>
          </cell>
          <cell r="G813">
            <v>515</v>
          </cell>
          <cell r="H813" t="str">
            <v>BUKD-C515</v>
          </cell>
          <cell r="K813" t="str">
            <v>Prenkert,Jamie D</v>
          </cell>
          <cell r="N813">
            <v>3.5430000000000001</v>
          </cell>
          <cell r="O813">
            <v>3.6789999999999998</v>
          </cell>
        </row>
        <row r="814">
          <cell r="E814" t="str">
            <v>BUKD</v>
          </cell>
          <cell r="F814" t="str">
            <v>BUKD-C</v>
          </cell>
          <cell r="G814">
            <v>520</v>
          </cell>
          <cell r="H814" t="str">
            <v>BUKD-C520</v>
          </cell>
          <cell r="K814" t="str">
            <v>Cutshall,Rex R.</v>
          </cell>
          <cell r="N814">
            <v>3.823</v>
          </cell>
          <cell r="O814">
            <v>3.7280000000000002</v>
          </cell>
        </row>
        <row r="815">
          <cell r="E815" t="str">
            <v>BUKD</v>
          </cell>
          <cell r="F815" t="str">
            <v>BUKD-C</v>
          </cell>
          <cell r="G815">
            <v>520</v>
          </cell>
          <cell r="H815" t="str">
            <v>BUKD-C520</v>
          </cell>
          <cell r="K815" t="str">
            <v>Cutshall,Rex R.</v>
          </cell>
          <cell r="N815">
            <v>3.823</v>
          </cell>
          <cell r="O815">
            <v>3.7280000000000002</v>
          </cell>
        </row>
        <row r="816">
          <cell r="E816" t="str">
            <v>BUKD</v>
          </cell>
          <cell r="F816" t="str">
            <v>BUKD-C</v>
          </cell>
          <cell r="G816">
            <v>520</v>
          </cell>
          <cell r="H816" t="str">
            <v>BUKD-C520</v>
          </cell>
          <cell r="K816" t="str">
            <v>Soni,Ashok</v>
          </cell>
          <cell r="N816">
            <v>3.915</v>
          </cell>
          <cell r="O816">
            <v>3.7429999999999999</v>
          </cell>
        </row>
        <row r="817">
          <cell r="E817" t="str">
            <v>BUKD</v>
          </cell>
          <cell r="F817" t="str">
            <v>BUKD-C</v>
          </cell>
          <cell r="G817">
            <v>520</v>
          </cell>
          <cell r="H817" t="str">
            <v>BUKD-C520</v>
          </cell>
          <cell r="K817" t="str">
            <v>Soni,Ashok</v>
          </cell>
          <cell r="N817">
            <v>3.915</v>
          </cell>
          <cell r="O817">
            <v>3.7429999999999999</v>
          </cell>
        </row>
        <row r="818">
          <cell r="E818" t="str">
            <v>BUKD</v>
          </cell>
          <cell r="F818" t="str">
            <v>BUKD-C</v>
          </cell>
          <cell r="G818">
            <v>520</v>
          </cell>
          <cell r="H818" t="str">
            <v>BUKD-C520</v>
          </cell>
          <cell r="K818" t="str">
            <v>Soni,Ashok</v>
          </cell>
          <cell r="N818">
            <v>3.8719999999999999</v>
          </cell>
          <cell r="O818">
            <v>3.7440000000000002</v>
          </cell>
        </row>
        <row r="819">
          <cell r="E819" t="str">
            <v>BUKD</v>
          </cell>
          <cell r="F819" t="str">
            <v>BUKD-C</v>
          </cell>
          <cell r="G819">
            <v>520</v>
          </cell>
          <cell r="H819" t="str">
            <v>BUKD-C520</v>
          </cell>
          <cell r="K819" t="str">
            <v>Soni,Ashok</v>
          </cell>
          <cell r="N819">
            <v>3.8719999999999999</v>
          </cell>
          <cell r="O819">
            <v>3.7440000000000002</v>
          </cell>
        </row>
        <row r="820">
          <cell r="E820" t="str">
            <v>BUKD</v>
          </cell>
          <cell r="F820" t="str">
            <v>BUKD-C</v>
          </cell>
          <cell r="G820">
            <v>520</v>
          </cell>
          <cell r="H820" t="str">
            <v>BUKD-C520</v>
          </cell>
          <cell r="K820" t="str">
            <v>Soni,Ashok</v>
          </cell>
          <cell r="N820">
            <v>3.9140000000000001</v>
          </cell>
          <cell r="O820">
            <v>3.6840000000000002</v>
          </cell>
        </row>
        <row r="821">
          <cell r="E821" t="str">
            <v>BUKD</v>
          </cell>
          <cell r="F821" t="str">
            <v>BUKD-C</v>
          </cell>
          <cell r="G821">
            <v>520</v>
          </cell>
          <cell r="H821" t="str">
            <v>BUKD-C520</v>
          </cell>
          <cell r="K821" t="str">
            <v>Soni,Ashok</v>
          </cell>
          <cell r="N821">
            <v>3.9140000000000001</v>
          </cell>
          <cell r="O821">
            <v>3.6840000000000002</v>
          </cell>
        </row>
        <row r="822">
          <cell r="E822" t="str">
            <v>BUKD</v>
          </cell>
          <cell r="F822" t="str">
            <v>BUKD-C</v>
          </cell>
          <cell r="G822">
            <v>520</v>
          </cell>
          <cell r="H822" t="str">
            <v>BUKD-C520</v>
          </cell>
          <cell r="K822" t="str">
            <v>Soni,Ashok</v>
          </cell>
          <cell r="N822">
            <v>3.8180000000000001</v>
          </cell>
          <cell r="O822">
            <v>3.6779999999999999</v>
          </cell>
        </row>
        <row r="823">
          <cell r="E823" t="str">
            <v>BUKD</v>
          </cell>
          <cell r="F823" t="str">
            <v>BUKD-C</v>
          </cell>
          <cell r="G823">
            <v>520</v>
          </cell>
          <cell r="H823" t="str">
            <v>BUKD-C520</v>
          </cell>
          <cell r="K823" t="str">
            <v>Soni,Ashok</v>
          </cell>
          <cell r="N823">
            <v>3.8180000000000001</v>
          </cell>
          <cell r="O823">
            <v>3.6779999999999999</v>
          </cell>
        </row>
        <row r="824">
          <cell r="E824" t="str">
            <v>BUKD</v>
          </cell>
          <cell r="F824" t="str">
            <v>BUKD-C</v>
          </cell>
          <cell r="G824">
            <v>520</v>
          </cell>
          <cell r="H824" t="str">
            <v>BUKD-C520</v>
          </cell>
          <cell r="K824" t="str">
            <v>Soni,Ashok</v>
          </cell>
          <cell r="N824" t="str">
            <v>NR</v>
          </cell>
          <cell r="O824" t="str">
            <v>NR</v>
          </cell>
        </row>
        <row r="825">
          <cell r="E825" t="str">
            <v>BUKD</v>
          </cell>
          <cell r="F825" t="str">
            <v>BUKD-C</v>
          </cell>
          <cell r="G825">
            <v>520</v>
          </cell>
          <cell r="H825" t="str">
            <v>BUKD-C520</v>
          </cell>
          <cell r="K825" t="str">
            <v>Soni,Ashok</v>
          </cell>
          <cell r="N825">
            <v>3.7559999999999998</v>
          </cell>
          <cell r="O825">
            <v>3.629</v>
          </cell>
        </row>
        <row r="826">
          <cell r="E826" t="str">
            <v>BUKD</v>
          </cell>
          <cell r="F826" t="str">
            <v>BUKD-C</v>
          </cell>
          <cell r="G826">
            <v>521</v>
          </cell>
          <cell r="H826" t="str">
            <v>BUKD-C521</v>
          </cell>
          <cell r="K826" t="str">
            <v>Hassell,John M.</v>
          </cell>
          <cell r="N826">
            <v>3.556</v>
          </cell>
          <cell r="O826">
            <v>3.6760000000000002</v>
          </cell>
        </row>
        <row r="827">
          <cell r="E827" t="str">
            <v>BUKD</v>
          </cell>
          <cell r="F827" t="str">
            <v>BUKD-C</v>
          </cell>
          <cell r="G827">
            <v>521</v>
          </cell>
          <cell r="H827" t="str">
            <v>BUKD-C521</v>
          </cell>
          <cell r="K827" t="str">
            <v>Hassell,John M.</v>
          </cell>
          <cell r="N827">
            <v>3.3319999999999999</v>
          </cell>
          <cell r="O827">
            <v>3.51</v>
          </cell>
        </row>
        <row r="828">
          <cell r="E828" t="str">
            <v>BUKD</v>
          </cell>
          <cell r="F828" t="str">
            <v>BUKD-C</v>
          </cell>
          <cell r="G828">
            <v>521</v>
          </cell>
          <cell r="H828" t="str">
            <v>BUKD-C521</v>
          </cell>
          <cell r="K828" t="str">
            <v>Parry,Rob</v>
          </cell>
          <cell r="N828">
            <v>3.3740000000000001</v>
          </cell>
          <cell r="O828">
            <v>3.6040000000000001</v>
          </cell>
        </row>
        <row r="829">
          <cell r="E829" t="str">
            <v>BUKD</v>
          </cell>
          <cell r="F829" t="str">
            <v>BUKD-C</v>
          </cell>
          <cell r="G829">
            <v>521</v>
          </cell>
          <cell r="H829" t="str">
            <v>BUKD-C521</v>
          </cell>
          <cell r="K829" t="str">
            <v>Smith,John Reed</v>
          </cell>
          <cell r="N829">
            <v>3.62</v>
          </cell>
          <cell r="O829">
            <v>3.694</v>
          </cell>
        </row>
        <row r="830">
          <cell r="E830" t="str">
            <v>BUKD</v>
          </cell>
          <cell r="F830" t="str">
            <v>BUKD-C</v>
          </cell>
          <cell r="G830">
            <v>521</v>
          </cell>
          <cell r="H830" t="str">
            <v>BUKD-C521</v>
          </cell>
          <cell r="K830" t="str">
            <v>Smith,John Reed</v>
          </cell>
          <cell r="N830">
            <v>3.68</v>
          </cell>
          <cell r="O830">
            <v>3.7130000000000001</v>
          </cell>
        </row>
        <row r="831">
          <cell r="E831" t="str">
            <v>BUKD</v>
          </cell>
          <cell r="F831" t="str">
            <v>BUKD-C</v>
          </cell>
          <cell r="G831">
            <v>521</v>
          </cell>
          <cell r="H831" t="str">
            <v>BUKD-C521</v>
          </cell>
          <cell r="K831" t="str">
            <v>Smith,John Reed</v>
          </cell>
          <cell r="N831">
            <v>3.5840000000000001</v>
          </cell>
          <cell r="O831">
            <v>3.7149999999999999</v>
          </cell>
        </row>
        <row r="832">
          <cell r="E832" t="str">
            <v>BUKD</v>
          </cell>
          <cell r="F832" t="str">
            <v>BUKD-C</v>
          </cell>
          <cell r="G832">
            <v>522</v>
          </cell>
          <cell r="H832" t="str">
            <v>BUKD-C522</v>
          </cell>
          <cell r="K832" t="str">
            <v>Gerth,Tony</v>
          </cell>
          <cell r="N832">
            <v>3.7970000000000002</v>
          </cell>
          <cell r="O832">
            <v>3.5840000000000001</v>
          </cell>
        </row>
        <row r="833">
          <cell r="E833" t="str">
            <v>BUKD</v>
          </cell>
          <cell r="F833" t="str">
            <v>BUKD-C</v>
          </cell>
          <cell r="G833">
            <v>522</v>
          </cell>
          <cell r="H833" t="str">
            <v>BUKD-C522</v>
          </cell>
          <cell r="K833" t="str">
            <v>Gerth,Tony</v>
          </cell>
          <cell r="N833">
            <v>3.8260000000000001</v>
          </cell>
          <cell r="O833">
            <v>3.681</v>
          </cell>
        </row>
        <row r="834">
          <cell r="E834" t="str">
            <v>BUKD</v>
          </cell>
          <cell r="F834" t="str">
            <v>BUKD-C</v>
          </cell>
          <cell r="G834">
            <v>522</v>
          </cell>
          <cell r="H834" t="str">
            <v>BUKD-C522</v>
          </cell>
          <cell r="K834" t="str">
            <v>Taylor,Nolan J.</v>
          </cell>
          <cell r="N834">
            <v>3.95</v>
          </cell>
          <cell r="O834">
            <v>3.7010000000000001</v>
          </cell>
        </row>
        <row r="835">
          <cell r="E835" t="str">
            <v>BUKD</v>
          </cell>
          <cell r="F835" t="str">
            <v>BUKD-C</v>
          </cell>
          <cell r="G835">
            <v>522</v>
          </cell>
          <cell r="H835" t="str">
            <v>BUKD-C522</v>
          </cell>
          <cell r="K835" t="str">
            <v>Taylor,Nolan J.</v>
          </cell>
          <cell r="N835">
            <v>3.95</v>
          </cell>
          <cell r="O835">
            <v>3.7010000000000001</v>
          </cell>
        </row>
        <row r="836">
          <cell r="E836" t="str">
            <v>BUKD</v>
          </cell>
          <cell r="F836" t="str">
            <v>BUKD-C</v>
          </cell>
          <cell r="G836">
            <v>522</v>
          </cell>
          <cell r="H836" t="str">
            <v>BUKD-C522</v>
          </cell>
          <cell r="K836" t="str">
            <v>Taylor,Nolan J.</v>
          </cell>
          <cell r="N836">
            <v>3.9649999999999999</v>
          </cell>
          <cell r="O836">
            <v>3.6920000000000002</v>
          </cell>
        </row>
        <row r="837">
          <cell r="E837" t="str">
            <v>BUKD</v>
          </cell>
          <cell r="F837" t="str">
            <v>BUKD-C</v>
          </cell>
          <cell r="G837">
            <v>522</v>
          </cell>
          <cell r="H837" t="str">
            <v>BUKD-C522</v>
          </cell>
          <cell r="K837" t="str">
            <v>Taylor,Nolan J.</v>
          </cell>
          <cell r="N837">
            <v>3.9649999999999999</v>
          </cell>
          <cell r="O837">
            <v>3.6920000000000002</v>
          </cell>
        </row>
        <row r="838">
          <cell r="E838" t="str">
            <v>BUKD</v>
          </cell>
          <cell r="F838" t="str">
            <v>BUKD-C</v>
          </cell>
          <cell r="G838">
            <v>522</v>
          </cell>
          <cell r="H838" t="str">
            <v>BUKD-C522</v>
          </cell>
          <cell r="K838" t="str">
            <v>Venkataraman,Ramesh</v>
          </cell>
          <cell r="N838">
            <v>3.9620000000000002</v>
          </cell>
          <cell r="O838">
            <v>3.7679999999999998</v>
          </cell>
        </row>
        <row r="839">
          <cell r="E839" t="str">
            <v>BUKD</v>
          </cell>
          <cell r="F839" t="str">
            <v>BUKD-C</v>
          </cell>
          <cell r="G839">
            <v>522</v>
          </cell>
          <cell r="H839" t="str">
            <v>BUKD-C522</v>
          </cell>
          <cell r="K839" t="str">
            <v>Venkataraman,Ramesh</v>
          </cell>
          <cell r="N839">
            <v>3.9620000000000002</v>
          </cell>
          <cell r="O839">
            <v>3.7679999999999998</v>
          </cell>
        </row>
        <row r="840">
          <cell r="E840" t="str">
            <v>BUKD</v>
          </cell>
          <cell r="F840" t="str">
            <v>BUKD-C</v>
          </cell>
          <cell r="G840">
            <v>522</v>
          </cell>
          <cell r="H840" t="str">
            <v>BUKD-C522</v>
          </cell>
          <cell r="K840" t="str">
            <v>Venkataraman,Ramesh</v>
          </cell>
          <cell r="N840">
            <v>3.8540000000000001</v>
          </cell>
          <cell r="O840">
            <v>3.613</v>
          </cell>
        </row>
        <row r="841">
          <cell r="E841" t="str">
            <v>BUKD</v>
          </cell>
          <cell r="F841" t="str">
            <v>BUKD-C</v>
          </cell>
          <cell r="G841">
            <v>522</v>
          </cell>
          <cell r="H841" t="str">
            <v>BUKD-C522</v>
          </cell>
          <cell r="K841" t="str">
            <v>Woodhouse,Douglas</v>
          </cell>
          <cell r="N841">
            <v>3.6190000000000002</v>
          </cell>
          <cell r="O841">
            <v>3.6070000000000002</v>
          </cell>
        </row>
        <row r="842">
          <cell r="E842" t="str">
            <v>BUKD</v>
          </cell>
          <cell r="F842" t="str">
            <v>BUKD-C</v>
          </cell>
          <cell r="G842">
            <v>524</v>
          </cell>
          <cell r="H842" t="str">
            <v>BUKD-C524</v>
          </cell>
          <cell r="K842" t="str">
            <v>McAllister,Susan</v>
          </cell>
          <cell r="N842">
            <v>3.556</v>
          </cell>
          <cell r="O842">
            <v>3.6709999999999998</v>
          </cell>
        </row>
        <row r="843">
          <cell r="E843" t="str">
            <v>BUKD</v>
          </cell>
          <cell r="F843" t="str">
            <v>BUKD-C</v>
          </cell>
          <cell r="G843">
            <v>524</v>
          </cell>
          <cell r="H843" t="str">
            <v>BUKD-C524</v>
          </cell>
          <cell r="K843" t="str">
            <v>McAllister,Susan</v>
          </cell>
          <cell r="N843">
            <v>3.556</v>
          </cell>
          <cell r="O843">
            <v>3.6709999999999998</v>
          </cell>
        </row>
        <row r="844">
          <cell r="E844" t="str">
            <v>BUKD</v>
          </cell>
          <cell r="F844" t="str">
            <v>BUKD-C</v>
          </cell>
          <cell r="G844">
            <v>524</v>
          </cell>
          <cell r="H844" t="str">
            <v>BUKD-C524</v>
          </cell>
          <cell r="K844" t="str">
            <v>McAllister,Susan</v>
          </cell>
          <cell r="N844">
            <v>3.4540000000000002</v>
          </cell>
          <cell r="O844">
            <v>3.617</v>
          </cell>
        </row>
        <row r="845">
          <cell r="E845" t="str">
            <v>BUKD</v>
          </cell>
          <cell r="F845" t="str">
            <v>BUKD-C</v>
          </cell>
          <cell r="G845">
            <v>530</v>
          </cell>
          <cell r="H845" t="str">
            <v>BUKD-C530</v>
          </cell>
          <cell r="K845" t="str">
            <v>Anderson,Kyle Jay</v>
          </cell>
          <cell r="N845">
            <v>3.3580000000000001</v>
          </cell>
          <cell r="O845">
            <v>3.6619999999999999</v>
          </cell>
        </row>
        <row r="846">
          <cell r="E846" t="str">
            <v>BUKD</v>
          </cell>
          <cell r="F846" t="str">
            <v>BUKD-C</v>
          </cell>
          <cell r="G846">
            <v>530</v>
          </cell>
          <cell r="H846" t="str">
            <v>BUKD-C530</v>
          </cell>
          <cell r="K846" t="str">
            <v>Anderson,Kyle Jay</v>
          </cell>
          <cell r="N846">
            <v>3.3580000000000001</v>
          </cell>
          <cell r="O846">
            <v>3.6619999999999999</v>
          </cell>
        </row>
        <row r="847">
          <cell r="E847" t="str">
            <v>BUKD</v>
          </cell>
          <cell r="F847" t="str">
            <v>BUKD-C</v>
          </cell>
          <cell r="G847">
            <v>530</v>
          </cell>
          <cell r="H847" t="str">
            <v>BUKD-C530</v>
          </cell>
          <cell r="K847" t="str">
            <v>Kreft,Steven Francis</v>
          </cell>
          <cell r="N847">
            <v>3.6360000000000001</v>
          </cell>
          <cell r="O847">
            <v>3.762</v>
          </cell>
        </row>
        <row r="848">
          <cell r="E848" t="str">
            <v>BUKD</v>
          </cell>
          <cell r="F848" t="str">
            <v>BUKD-C</v>
          </cell>
          <cell r="G848">
            <v>530</v>
          </cell>
          <cell r="H848" t="str">
            <v>BUKD-C530</v>
          </cell>
          <cell r="K848" t="str">
            <v>Kreft,Steven Francis</v>
          </cell>
          <cell r="N848">
            <v>3.6360000000000001</v>
          </cell>
          <cell r="O848">
            <v>3.762</v>
          </cell>
        </row>
        <row r="849">
          <cell r="E849" t="str">
            <v>BUKD</v>
          </cell>
          <cell r="F849" t="str">
            <v>BUKD-C</v>
          </cell>
          <cell r="G849">
            <v>530</v>
          </cell>
          <cell r="H849" t="str">
            <v>BUKD-C530</v>
          </cell>
          <cell r="K849" t="str">
            <v>Kreft,Steven Francis</v>
          </cell>
          <cell r="N849">
            <v>3.4510000000000001</v>
          </cell>
          <cell r="O849">
            <v>3.6869999999999998</v>
          </cell>
        </row>
        <row r="850">
          <cell r="E850" t="str">
            <v>BUKD</v>
          </cell>
          <cell r="F850" t="str">
            <v>BUKD-C</v>
          </cell>
          <cell r="G850">
            <v>530</v>
          </cell>
          <cell r="H850" t="str">
            <v>BUKD-C530</v>
          </cell>
          <cell r="K850" t="str">
            <v>Kreft,Steven Francis</v>
          </cell>
          <cell r="N850">
            <v>3.4510000000000001</v>
          </cell>
          <cell r="O850">
            <v>3.6869999999999998</v>
          </cell>
        </row>
        <row r="851">
          <cell r="E851" t="str">
            <v>BUKD</v>
          </cell>
          <cell r="F851" t="str">
            <v>BUKD-C</v>
          </cell>
          <cell r="G851">
            <v>530</v>
          </cell>
          <cell r="H851" t="str">
            <v>BUKD-C530</v>
          </cell>
          <cell r="K851" t="str">
            <v>Lin,Haizhen</v>
          </cell>
          <cell r="N851">
            <v>3.456</v>
          </cell>
          <cell r="O851">
            <v>3.6269999999999998</v>
          </cell>
        </row>
        <row r="852">
          <cell r="E852" t="str">
            <v>BUKD</v>
          </cell>
          <cell r="F852" t="str">
            <v>BUKD-C</v>
          </cell>
          <cell r="G852">
            <v>530</v>
          </cell>
          <cell r="H852" t="str">
            <v>BUKD-C530</v>
          </cell>
          <cell r="K852" t="str">
            <v>Lin,Haizhen</v>
          </cell>
          <cell r="N852">
            <v>3.456</v>
          </cell>
          <cell r="O852">
            <v>3.621</v>
          </cell>
        </row>
        <row r="853">
          <cell r="E853" t="str">
            <v>BUKD</v>
          </cell>
          <cell r="F853" t="str">
            <v>BUKD-C</v>
          </cell>
          <cell r="G853">
            <v>530</v>
          </cell>
          <cell r="H853" t="str">
            <v>BUKD-C530</v>
          </cell>
          <cell r="K853" t="str">
            <v>Lin,Haizhen</v>
          </cell>
          <cell r="N853">
            <v>3.516</v>
          </cell>
          <cell r="O853">
            <v>3.6720000000000002</v>
          </cell>
        </row>
        <row r="854">
          <cell r="E854" t="str">
            <v>BUKD</v>
          </cell>
          <cell r="F854" t="str">
            <v>BUKD-C</v>
          </cell>
          <cell r="G854">
            <v>530</v>
          </cell>
          <cell r="H854" t="str">
            <v>BUKD-C530</v>
          </cell>
          <cell r="K854" t="str">
            <v>Lin,Haizhen</v>
          </cell>
          <cell r="N854">
            <v>3.516</v>
          </cell>
          <cell r="O854">
            <v>3.6720000000000002</v>
          </cell>
        </row>
        <row r="855">
          <cell r="E855" t="str">
            <v>BUKD</v>
          </cell>
          <cell r="F855" t="str">
            <v>BUKD-C</v>
          </cell>
          <cell r="G855">
            <v>530</v>
          </cell>
          <cell r="H855" t="str">
            <v>BUKD-C530</v>
          </cell>
          <cell r="K855" t="str">
            <v>Mafi-Kreft,Ellie</v>
          </cell>
          <cell r="N855">
            <v>3.605</v>
          </cell>
          <cell r="O855">
            <v>3.7559999999999998</v>
          </cell>
        </row>
        <row r="856">
          <cell r="E856" t="str">
            <v>BUKD</v>
          </cell>
          <cell r="F856" t="str">
            <v>BUKD-C</v>
          </cell>
          <cell r="G856">
            <v>530</v>
          </cell>
          <cell r="H856" t="str">
            <v>BUKD-C530</v>
          </cell>
          <cell r="K856" t="str">
            <v>Mafi-Kreft,Ellie</v>
          </cell>
          <cell r="N856">
            <v>3.605</v>
          </cell>
          <cell r="O856">
            <v>3.7559999999999998</v>
          </cell>
        </row>
        <row r="857">
          <cell r="E857" t="str">
            <v>BUKD</v>
          </cell>
          <cell r="F857" t="str">
            <v>BUKD-C</v>
          </cell>
          <cell r="G857">
            <v>530</v>
          </cell>
          <cell r="H857" t="str">
            <v>BUKD-C530</v>
          </cell>
          <cell r="K857" t="str">
            <v>Mafi-Kreft,Ellie</v>
          </cell>
          <cell r="N857">
            <v>3.419</v>
          </cell>
          <cell r="O857">
            <v>3.64</v>
          </cell>
        </row>
        <row r="858">
          <cell r="E858" t="str">
            <v>BUKD</v>
          </cell>
          <cell r="F858" t="str">
            <v>BUKD-C</v>
          </cell>
          <cell r="G858">
            <v>540</v>
          </cell>
          <cell r="H858" t="str">
            <v>BUKD-C540</v>
          </cell>
          <cell r="K858" t="str">
            <v>Heron,Randall A.</v>
          </cell>
          <cell r="N858">
            <v>3.3730000000000002</v>
          </cell>
          <cell r="O858">
            <v>3.6349999999999998</v>
          </cell>
        </row>
        <row r="859">
          <cell r="E859" t="str">
            <v>BUKD</v>
          </cell>
          <cell r="F859" t="str">
            <v>BUKD-C</v>
          </cell>
          <cell r="G859">
            <v>540</v>
          </cell>
          <cell r="H859" t="str">
            <v>BUKD-C540</v>
          </cell>
          <cell r="K859" t="str">
            <v>Heron,Randall A.</v>
          </cell>
          <cell r="N859">
            <v>3.3730000000000002</v>
          </cell>
          <cell r="O859">
            <v>3.6349999999999998</v>
          </cell>
        </row>
        <row r="860">
          <cell r="E860" t="str">
            <v>BUKD</v>
          </cell>
          <cell r="F860" t="str">
            <v>BUKD-C</v>
          </cell>
          <cell r="G860">
            <v>540</v>
          </cell>
          <cell r="H860" t="str">
            <v>BUKD-C540</v>
          </cell>
          <cell r="K860" t="str">
            <v>Heron,Randall A.</v>
          </cell>
          <cell r="N860">
            <v>3.456</v>
          </cell>
          <cell r="O860">
            <v>3.4580000000000002</v>
          </cell>
        </row>
        <row r="861">
          <cell r="E861" t="str">
            <v>BUKD</v>
          </cell>
          <cell r="F861" t="str">
            <v>BUKD-C</v>
          </cell>
          <cell r="G861">
            <v>540</v>
          </cell>
          <cell r="H861" t="str">
            <v>BUKD-C540</v>
          </cell>
          <cell r="K861" t="str">
            <v>Heron,Randall A.</v>
          </cell>
          <cell r="N861">
            <v>3.456</v>
          </cell>
          <cell r="O861">
            <v>3.4580000000000002</v>
          </cell>
        </row>
        <row r="862">
          <cell r="E862" t="str">
            <v>BUKD</v>
          </cell>
          <cell r="F862" t="str">
            <v>BUKD-C</v>
          </cell>
          <cell r="G862">
            <v>540</v>
          </cell>
          <cell r="H862" t="str">
            <v>BUKD-C540</v>
          </cell>
          <cell r="K862" t="str">
            <v>Larsen Jr,Glen Albert</v>
          </cell>
          <cell r="N862">
            <v>3.7229999999999999</v>
          </cell>
          <cell r="O862">
            <v>3.7040000000000002</v>
          </cell>
        </row>
        <row r="863">
          <cell r="E863" t="str">
            <v>BUKD</v>
          </cell>
          <cell r="F863" t="str">
            <v>BUKD-C</v>
          </cell>
          <cell r="G863">
            <v>540</v>
          </cell>
          <cell r="H863" t="str">
            <v>BUKD-C540</v>
          </cell>
          <cell r="K863" t="str">
            <v>Larsen Jr,Glen Albert</v>
          </cell>
          <cell r="N863">
            <v>3.7229999999999999</v>
          </cell>
          <cell r="O863">
            <v>3.7040000000000002</v>
          </cell>
        </row>
        <row r="864">
          <cell r="E864" t="str">
            <v>BUKD</v>
          </cell>
          <cell r="F864" t="str">
            <v>BUKD-C</v>
          </cell>
          <cell r="G864">
            <v>540</v>
          </cell>
          <cell r="H864" t="str">
            <v>BUKD-C540</v>
          </cell>
          <cell r="K864" t="str">
            <v>Larsen Jr,Glen Albert</v>
          </cell>
          <cell r="N864">
            <v>3.7</v>
          </cell>
          <cell r="O864">
            <v>3.6960000000000002</v>
          </cell>
        </row>
        <row r="865">
          <cell r="E865" t="str">
            <v>BUKD</v>
          </cell>
          <cell r="F865" t="str">
            <v>BUKD-C</v>
          </cell>
          <cell r="G865">
            <v>540</v>
          </cell>
          <cell r="H865" t="str">
            <v>BUKD-C540</v>
          </cell>
          <cell r="K865" t="str">
            <v>Larsen Jr,Glen Albert</v>
          </cell>
          <cell r="N865">
            <v>3.6970000000000001</v>
          </cell>
          <cell r="O865">
            <v>3.516</v>
          </cell>
        </row>
        <row r="866">
          <cell r="E866" t="str">
            <v>BUKD</v>
          </cell>
          <cell r="F866" t="str">
            <v>BUKD-C</v>
          </cell>
          <cell r="G866">
            <v>543</v>
          </cell>
          <cell r="H866" t="str">
            <v>BUKD-C543</v>
          </cell>
          <cell r="K866" t="str">
            <v>Beneish,Messod Daniel</v>
          </cell>
          <cell r="N866">
            <v>3.6640000000000001</v>
          </cell>
          <cell r="O866">
            <v>3.6659999999999999</v>
          </cell>
        </row>
        <row r="867">
          <cell r="E867" t="str">
            <v>BUKD</v>
          </cell>
          <cell r="F867" t="str">
            <v>BUKD-C</v>
          </cell>
          <cell r="G867">
            <v>543</v>
          </cell>
          <cell r="H867" t="str">
            <v>BUKD-C543</v>
          </cell>
          <cell r="K867" t="str">
            <v>Beneish,Messod Daniel</v>
          </cell>
          <cell r="N867">
            <v>3.6640000000000001</v>
          </cell>
          <cell r="O867">
            <v>3.6659999999999999</v>
          </cell>
        </row>
        <row r="868">
          <cell r="E868" t="str">
            <v>BUKD</v>
          </cell>
          <cell r="F868" t="str">
            <v>BUKD-C</v>
          </cell>
          <cell r="G868">
            <v>550</v>
          </cell>
          <cell r="H868" t="str">
            <v>BUKD-C550</v>
          </cell>
          <cell r="K868" t="str">
            <v>Brown,Eve Joy</v>
          </cell>
          <cell r="N868">
            <v>3.6549999999999998</v>
          </cell>
          <cell r="O868">
            <v>3.5910000000000002</v>
          </cell>
        </row>
        <row r="869">
          <cell r="E869" t="str">
            <v>BUKD</v>
          </cell>
          <cell r="F869" t="str">
            <v>BUKD-C</v>
          </cell>
          <cell r="G869">
            <v>550</v>
          </cell>
          <cell r="H869" t="str">
            <v>BUKD-C550</v>
          </cell>
          <cell r="K869" t="str">
            <v>Langvardt,Kyle</v>
          </cell>
          <cell r="N869">
            <v>3.44</v>
          </cell>
          <cell r="O869">
            <v>3.6230000000000002</v>
          </cell>
        </row>
        <row r="870">
          <cell r="E870" t="str">
            <v>BUKD</v>
          </cell>
          <cell r="F870" t="str">
            <v>BUKD-C</v>
          </cell>
          <cell r="G870">
            <v>550</v>
          </cell>
          <cell r="H870" t="str">
            <v>BUKD-C550</v>
          </cell>
          <cell r="K870" t="str">
            <v>Langvardt,Kyle</v>
          </cell>
          <cell r="N870">
            <v>3.4060000000000001</v>
          </cell>
          <cell r="O870">
            <v>3.5329999999999999</v>
          </cell>
        </row>
        <row r="871">
          <cell r="E871" t="str">
            <v>BUKD</v>
          </cell>
          <cell r="F871" t="str">
            <v>BUKD-C</v>
          </cell>
          <cell r="G871">
            <v>550</v>
          </cell>
          <cell r="H871" t="str">
            <v>BUKD-C550</v>
          </cell>
          <cell r="K871" t="str">
            <v>Perry,Josh</v>
          </cell>
          <cell r="N871">
            <v>3.6059999999999999</v>
          </cell>
          <cell r="O871">
            <v>3.6659999999999999</v>
          </cell>
        </row>
        <row r="872">
          <cell r="E872" t="str">
            <v>BUKD</v>
          </cell>
          <cell r="F872" t="str">
            <v>BUKD-C</v>
          </cell>
          <cell r="G872">
            <v>560</v>
          </cell>
          <cell r="H872" t="str">
            <v>BUKD-C560</v>
          </cell>
          <cell r="K872" t="str">
            <v>Anderson,Kyle Jay</v>
          </cell>
          <cell r="N872">
            <v>3.609</v>
          </cell>
          <cell r="O872">
            <v>3.6059999999999999</v>
          </cell>
        </row>
        <row r="873">
          <cell r="E873" t="str">
            <v>BUKD</v>
          </cell>
          <cell r="F873" t="str">
            <v>BUKD-C</v>
          </cell>
          <cell r="G873">
            <v>560</v>
          </cell>
          <cell r="H873" t="str">
            <v>BUKD-C560</v>
          </cell>
          <cell r="K873" t="str">
            <v>Anderson,Kyle Jay</v>
          </cell>
          <cell r="N873">
            <v>3.609</v>
          </cell>
          <cell r="O873">
            <v>3.6059999999999999</v>
          </cell>
        </row>
        <row r="874">
          <cell r="E874" t="str">
            <v>BUKD</v>
          </cell>
          <cell r="F874" t="str">
            <v>BUKD-C</v>
          </cell>
          <cell r="G874">
            <v>560</v>
          </cell>
          <cell r="H874" t="str">
            <v>BUKD-C560</v>
          </cell>
          <cell r="K874" t="str">
            <v>Anderson,Kyle Jay</v>
          </cell>
          <cell r="N874">
            <v>3.3359999999999999</v>
          </cell>
          <cell r="O874">
            <v>3.5179999999999998</v>
          </cell>
        </row>
        <row r="875">
          <cell r="E875" t="str">
            <v>BUKD</v>
          </cell>
          <cell r="F875" t="str">
            <v>BUKD-C</v>
          </cell>
          <cell r="G875">
            <v>560</v>
          </cell>
          <cell r="H875" t="str">
            <v>BUKD-C560</v>
          </cell>
          <cell r="K875" t="str">
            <v>Anderson,Kyle Jay</v>
          </cell>
          <cell r="N875">
            <v>3.3359999999999999</v>
          </cell>
          <cell r="O875">
            <v>3.5179999999999998</v>
          </cell>
        </row>
        <row r="876">
          <cell r="E876" t="str">
            <v>BUKD</v>
          </cell>
          <cell r="F876" t="str">
            <v>BUKD-C</v>
          </cell>
          <cell r="G876">
            <v>560</v>
          </cell>
          <cell r="H876" t="str">
            <v>BUKD-C560</v>
          </cell>
          <cell r="K876" t="str">
            <v>Magjuka,Richard J.</v>
          </cell>
          <cell r="N876">
            <v>3.944</v>
          </cell>
          <cell r="O876">
            <v>3.7370000000000001</v>
          </cell>
        </row>
        <row r="877">
          <cell r="E877" t="str">
            <v>BUKD</v>
          </cell>
          <cell r="F877" t="str">
            <v>BUKD-C</v>
          </cell>
          <cell r="G877">
            <v>560</v>
          </cell>
          <cell r="H877" t="str">
            <v>BUKD-C560</v>
          </cell>
          <cell r="K877" t="str">
            <v>Magjuka,Richard J.</v>
          </cell>
          <cell r="N877">
            <v>3.944</v>
          </cell>
          <cell r="O877">
            <v>3.7370000000000001</v>
          </cell>
        </row>
        <row r="878">
          <cell r="E878" t="str">
            <v>BUKD</v>
          </cell>
          <cell r="F878" t="str">
            <v>BUKD-C</v>
          </cell>
          <cell r="G878">
            <v>560</v>
          </cell>
          <cell r="H878" t="str">
            <v>BUKD-C560</v>
          </cell>
          <cell r="K878" t="str">
            <v>Magjuka,Richard J.</v>
          </cell>
          <cell r="N878">
            <v>3.9249999999999998</v>
          </cell>
          <cell r="O878">
            <v>3.6240000000000001</v>
          </cell>
        </row>
        <row r="879">
          <cell r="E879" t="str">
            <v>BUKD</v>
          </cell>
          <cell r="F879" t="str">
            <v>BUKD-C</v>
          </cell>
          <cell r="G879">
            <v>560</v>
          </cell>
          <cell r="H879" t="str">
            <v>BUKD-C560</v>
          </cell>
          <cell r="K879" t="str">
            <v>Magjuka,Richard J.</v>
          </cell>
          <cell r="N879">
            <v>3.9249999999999998</v>
          </cell>
          <cell r="O879">
            <v>3.6240000000000001</v>
          </cell>
        </row>
        <row r="880">
          <cell r="E880" t="str">
            <v>BUKD</v>
          </cell>
          <cell r="F880" t="str">
            <v>BUKD-C</v>
          </cell>
          <cell r="G880">
            <v>560</v>
          </cell>
          <cell r="H880" t="str">
            <v>BUKD-C560</v>
          </cell>
          <cell r="K880" t="str">
            <v>Schlegel,Fred H</v>
          </cell>
          <cell r="N880">
            <v>3.8239999999999998</v>
          </cell>
          <cell r="O880">
            <v>3.6539999999999999</v>
          </cell>
        </row>
        <row r="881">
          <cell r="E881" t="str">
            <v>BUKD</v>
          </cell>
          <cell r="F881" t="str">
            <v>BUKD-C</v>
          </cell>
          <cell r="G881">
            <v>560</v>
          </cell>
          <cell r="H881" t="str">
            <v>BUKD-C560</v>
          </cell>
          <cell r="K881" t="str">
            <v>Schlegel,Fred H</v>
          </cell>
          <cell r="N881">
            <v>3.8849999999999998</v>
          </cell>
          <cell r="O881">
            <v>3.6190000000000002</v>
          </cell>
        </row>
        <row r="882">
          <cell r="E882" t="str">
            <v>BUKD</v>
          </cell>
          <cell r="F882" t="str">
            <v>BUKD-C</v>
          </cell>
          <cell r="G882">
            <v>561</v>
          </cell>
          <cell r="H882" t="str">
            <v>BUKD-C561</v>
          </cell>
          <cell r="K882" t="str">
            <v>Hauskrecht,Andreas</v>
          </cell>
          <cell r="N882">
            <v>3.5049999999999999</v>
          </cell>
          <cell r="O882">
            <v>3.6970000000000001</v>
          </cell>
        </row>
        <row r="883">
          <cell r="E883" t="str">
            <v>BUKD</v>
          </cell>
          <cell r="F883" t="str">
            <v>BUKD-C</v>
          </cell>
          <cell r="G883">
            <v>561</v>
          </cell>
          <cell r="H883" t="str">
            <v>BUKD-C561</v>
          </cell>
          <cell r="K883" t="str">
            <v>Hauskrecht,Andreas</v>
          </cell>
          <cell r="N883">
            <v>3.5049999999999999</v>
          </cell>
          <cell r="O883">
            <v>3.6970000000000001</v>
          </cell>
        </row>
        <row r="884">
          <cell r="E884" t="str">
            <v>BUKD</v>
          </cell>
          <cell r="F884" t="str">
            <v>BUKD-C</v>
          </cell>
          <cell r="G884">
            <v>561</v>
          </cell>
          <cell r="H884" t="str">
            <v>BUKD-C561</v>
          </cell>
          <cell r="K884" t="str">
            <v>Hauskrecht,Andreas</v>
          </cell>
          <cell r="N884">
            <v>3.5310000000000001</v>
          </cell>
          <cell r="O884">
            <v>3.6509999999999998</v>
          </cell>
        </row>
        <row r="885">
          <cell r="E885" t="str">
            <v>BUKD</v>
          </cell>
          <cell r="F885" t="str">
            <v>BUKD-C</v>
          </cell>
          <cell r="G885">
            <v>561</v>
          </cell>
          <cell r="H885" t="str">
            <v>BUKD-C561</v>
          </cell>
          <cell r="K885" t="str">
            <v>Hauskrecht,Andreas</v>
          </cell>
          <cell r="N885">
            <v>3.5310000000000001</v>
          </cell>
          <cell r="O885">
            <v>3.6509999999999998</v>
          </cell>
        </row>
        <row r="886">
          <cell r="E886" t="str">
            <v>BUKD</v>
          </cell>
          <cell r="F886" t="str">
            <v>BUKD-C</v>
          </cell>
          <cell r="G886">
            <v>561</v>
          </cell>
          <cell r="H886" t="str">
            <v>BUKD-C561</v>
          </cell>
          <cell r="K886" t="str">
            <v>Von Hagen,Juergen</v>
          </cell>
          <cell r="N886">
            <v>3.42</v>
          </cell>
          <cell r="O886">
            <v>3.6539999999999999</v>
          </cell>
        </row>
        <row r="887">
          <cell r="E887" t="str">
            <v>BUKD</v>
          </cell>
          <cell r="F887" t="str">
            <v>BUKD-C</v>
          </cell>
          <cell r="G887">
            <v>561</v>
          </cell>
          <cell r="H887" t="str">
            <v>BUKD-C561</v>
          </cell>
          <cell r="K887" t="str">
            <v>Von Hagen,Juergen</v>
          </cell>
          <cell r="N887">
            <v>3.42</v>
          </cell>
          <cell r="O887">
            <v>3.6549999999999998</v>
          </cell>
        </row>
        <row r="888">
          <cell r="E888" t="str">
            <v>BUKD</v>
          </cell>
          <cell r="F888" t="str">
            <v>BUKD-C</v>
          </cell>
          <cell r="G888">
            <v>561</v>
          </cell>
          <cell r="H888" t="str">
            <v>BUKD-C561</v>
          </cell>
          <cell r="K888" t="str">
            <v>Von Hagen,Juergen</v>
          </cell>
          <cell r="N888">
            <v>3.3889999999999998</v>
          </cell>
          <cell r="O888">
            <v>3.585</v>
          </cell>
        </row>
        <row r="889">
          <cell r="E889" t="str">
            <v>BUKD</v>
          </cell>
          <cell r="F889" t="str">
            <v>BUKD-C</v>
          </cell>
          <cell r="G889">
            <v>561</v>
          </cell>
          <cell r="H889" t="str">
            <v>BUKD-C561</v>
          </cell>
          <cell r="K889" t="str">
            <v>Von Hagen,Juergen</v>
          </cell>
          <cell r="N889">
            <v>3.3889999999999998</v>
          </cell>
          <cell r="O889">
            <v>3.585</v>
          </cell>
        </row>
        <row r="890">
          <cell r="E890" t="str">
            <v>BUKD</v>
          </cell>
          <cell r="F890" t="str">
            <v>BUKD-C</v>
          </cell>
          <cell r="G890">
            <v>562</v>
          </cell>
          <cell r="H890" t="str">
            <v>BUKD-C562</v>
          </cell>
          <cell r="K890" t="str">
            <v>Cochran,Philip L.</v>
          </cell>
          <cell r="N890">
            <v>3.2970000000000002</v>
          </cell>
          <cell r="O890">
            <v>3.5369999999999999</v>
          </cell>
        </row>
        <row r="891">
          <cell r="E891" t="str">
            <v>BUKD</v>
          </cell>
          <cell r="F891" t="str">
            <v>BUKD-C</v>
          </cell>
          <cell r="G891">
            <v>562</v>
          </cell>
          <cell r="H891" t="str">
            <v>BUKD-C562</v>
          </cell>
          <cell r="K891" t="str">
            <v>Cochran,Philip L.</v>
          </cell>
          <cell r="N891">
            <v>3.431</v>
          </cell>
          <cell r="O891">
            <v>3.6619999999999999</v>
          </cell>
        </row>
        <row r="892">
          <cell r="E892" t="str">
            <v>BUKD</v>
          </cell>
          <cell r="F892" t="str">
            <v>BUKD-C</v>
          </cell>
          <cell r="G892">
            <v>562</v>
          </cell>
          <cell r="H892" t="str">
            <v>BUKD-C562</v>
          </cell>
          <cell r="K892" t="str">
            <v>Denekamp,Johannes G</v>
          </cell>
          <cell r="N892">
            <v>3.754</v>
          </cell>
          <cell r="O892">
            <v>3.7570000000000001</v>
          </cell>
        </row>
        <row r="893">
          <cell r="E893" t="str">
            <v>BUKD</v>
          </cell>
          <cell r="F893" t="str">
            <v>BUKD-C</v>
          </cell>
          <cell r="G893">
            <v>562</v>
          </cell>
          <cell r="H893" t="str">
            <v>BUKD-C562</v>
          </cell>
          <cell r="K893" t="str">
            <v>Denekamp,Johannes G</v>
          </cell>
          <cell r="N893">
            <v>3.754</v>
          </cell>
          <cell r="O893">
            <v>3.7570000000000001</v>
          </cell>
        </row>
        <row r="894">
          <cell r="E894" t="str">
            <v>BUKD</v>
          </cell>
          <cell r="F894" t="str">
            <v>BUKD-C</v>
          </cell>
          <cell r="G894">
            <v>562</v>
          </cell>
          <cell r="H894" t="str">
            <v>BUKD-C562</v>
          </cell>
          <cell r="K894" t="str">
            <v>Denekamp,Johannes G</v>
          </cell>
          <cell r="N894">
            <v>3.6749999999999998</v>
          </cell>
          <cell r="O894">
            <v>3.7040000000000002</v>
          </cell>
        </row>
        <row r="895">
          <cell r="E895" t="str">
            <v>BUKD</v>
          </cell>
          <cell r="F895" t="str">
            <v>BUKD-C</v>
          </cell>
          <cell r="G895">
            <v>563</v>
          </cell>
          <cell r="H895" t="str">
            <v>BUKD-C563</v>
          </cell>
          <cell r="K895" t="str">
            <v>Dollinger,Marc J.</v>
          </cell>
          <cell r="N895">
            <v>3.6859999999999999</v>
          </cell>
          <cell r="O895">
            <v>3.7</v>
          </cell>
        </row>
        <row r="896">
          <cell r="E896" t="str">
            <v>BUKD</v>
          </cell>
          <cell r="F896" t="str">
            <v>BUKD-C</v>
          </cell>
          <cell r="G896">
            <v>563</v>
          </cell>
          <cell r="H896" t="str">
            <v>BUKD-C563</v>
          </cell>
          <cell r="K896" t="str">
            <v>Dollinger,Marc J.</v>
          </cell>
          <cell r="N896">
            <v>3.5209999999999999</v>
          </cell>
          <cell r="O896">
            <v>3.5939999999999999</v>
          </cell>
        </row>
        <row r="897">
          <cell r="E897" t="str">
            <v>BUKD</v>
          </cell>
          <cell r="F897" t="str">
            <v>BUKD-C</v>
          </cell>
          <cell r="G897">
            <v>563</v>
          </cell>
          <cell r="H897" t="str">
            <v>BUKD-C563</v>
          </cell>
          <cell r="K897" t="str">
            <v>Saxton,Todd</v>
          </cell>
          <cell r="N897">
            <v>3.657</v>
          </cell>
          <cell r="O897">
            <v>3.7149999999999999</v>
          </cell>
        </row>
        <row r="898">
          <cell r="E898" t="str">
            <v>BUKD</v>
          </cell>
          <cell r="F898" t="str">
            <v>BUKD-C</v>
          </cell>
          <cell r="G898">
            <v>563</v>
          </cell>
          <cell r="H898" t="str">
            <v>BUKD-C563</v>
          </cell>
          <cell r="K898" t="str">
            <v>Saxton,Todd</v>
          </cell>
          <cell r="N898">
            <v>3.657</v>
          </cell>
          <cell r="O898">
            <v>3.7130000000000001</v>
          </cell>
        </row>
        <row r="899">
          <cell r="E899" t="str">
            <v>BUKD</v>
          </cell>
          <cell r="F899" t="str">
            <v>BUKD-C</v>
          </cell>
          <cell r="G899">
            <v>570</v>
          </cell>
          <cell r="H899" t="str">
            <v>BUKD-C570</v>
          </cell>
          <cell r="K899" t="str">
            <v>Brumbaugh,Anne Melick</v>
          </cell>
          <cell r="N899">
            <v>3.5590000000000002</v>
          </cell>
          <cell r="O899">
            <v>3.589</v>
          </cell>
        </row>
        <row r="900">
          <cell r="E900" t="str">
            <v>BUKD</v>
          </cell>
          <cell r="F900" t="str">
            <v>BUKD-C</v>
          </cell>
          <cell r="G900">
            <v>570</v>
          </cell>
          <cell r="H900" t="str">
            <v>BUKD-C570</v>
          </cell>
          <cell r="K900" t="str">
            <v>Brumbaugh,Anne Melick</v>
          </cell>
          <cell r="N900">
            <v>3.7480000000000002</v>
          </cell>
          <cell r="O900">
            <v>3.62</v>
          </cell>
        </row>
        <row r="901">
          <cell r="E901" t="str">
            <v>BUKD</v>
          </cell>
          <cell r="F901" t="str">
            <v>BUKD-C</v>
          </cell>
          <cell r="G901">
            <v>570</v>
          </cell>
          <cell r="H901" t="str">
            <v>BUKD-C570</v>
          </cell>
          <cell r="K901" t="str">
            <v>Roedl,Frederick William</v>
          </cell>
          <cell r="N901">
            <v>3.6179999999999999</v>
          </cell>
          <cell r="O901">
            <v>3.6909999999999998</v>
          </cell>
        </row>
        <row r="902">
          <cell r="E902" t="str">
            <v>BUKD</v>
          </cell>
          <cell r="F902" t="str">
            <v>BUKD-C</v>
          </cell>
          <cell r="G902">
            <v>570</v>
          </cell>
          <cell r="H902" t="str">
            <v>BUKD-C570</v>
          </cell>
          <cell r="K902" t="str">
            <v>Saxton,M Kim</v>
          </cell>
          <cell r="N902">
            <v>3.754</v>
          </cell>
          <cell r="O902">
            <v>3.4710000000000001</v>
          </cell>
        </row>
        <row r="903">
          <cell r="E903" t="str">
            <v>BUKD</v>
          </cell>
          <cell r="F903" t="str">
            <v>BUKD-C</v>
          </cell>
          <cell r="G903">
            <v>570</v>
          </cell>
          <cell r="H903" t="str">
            <v>BUKD-C570</v>
          </cell>
          <cell r="K903" t="str">
            <v>Talbott,John S</v>
          </cell>
          <cell r="N903">
            <v>3.7730000000000001</v>
          </cell>
          <cell r="O903">
            <v>3.4689999999999999</v>
          </cell>
        </row>
        <row r="904">
          <cell r="E904" t="str">
            <v>BUKD</v>
          </cell>
          <cell r="F904" t="str">
            <v>BUKD-C</v>
          </cell>
          <cell r="G904">
            <v>570</v>
          </cell>
          <cell r="H904" t="str">
            <v>BUKD-C570</v>
          </cell>
          <cell r="K904" t="str">
            <v>Talbott,John S</v>
          </cell>
          <cell r="N904">
            <v>3.7730000000000001</v>
          </cell>
          <cell r="O904">
            <v>3.4689999999999999</v>
          </cell>
        </row>
        <row r="905">
          <cell r="E905" t="str">
            <v>BUKD</v>
          </cell>
          <cell r="F905" t="str">
            <v>BUKD-C</v>
          </cell>
          <cell r="G905">
            <v>570</v>
          </cell>
          <cell r="H905" t="str">
            <v>BUKD-C570</v>
          </cell>
          <cell r="K905" t="str">
            <v>Talbott,John S</v>
          </cell>
          <cell r="N905">
            <v>3.7679999999999998</v>
          </cell>
          <cell r="O905">
            <v>3.677</v>
          </cell>
        </row>
        <row r="906">
          <cell r="E906" t="str">
            <v>BUKD</v>
          </cell>
          <cell r="F906" t="str">
            <v>BUKD-C</v>
          </cell>
          <cell r="G906">
            <v>570</v>
          </cell>
          <cell r="H906" t="str">
            <v>BUKD-C570</v>
          </cell>
          <cell r="K906" t="str">
            <v>Threlkeld,James Shannon</v>
          </cell>
          <cell r="N906">
            <v>4</v>
          </cell>
          <cell r="O906">
            <v>3.6890000000000001</v>
          </cell>
        </row>
        <row r="907">
          <cell r="E907" t="str">
            <v>BUKD</v>
          </cell>
          <cell r="F907" t="str">
            <v>BUKD-C</v>
          </cell>
          <cell r="G907">
            <v>570</v>
          </cell>
          <cell r="H907" t="str">
            <v>BUKD-C570</v>
          </cell>
          <cell r="K907" t="str">
            <v>Threlkeld,James Shannon</v>
          </cell>
          <cell r="N907">
            <v>4</v>
          </cell>
          <cell r="O907">
            <v>3.6890000000000001</v>
          </cell>
        </row>
        <row r="908">
          <cell r="E908" t="str">
            <v>BUKD</v>
          </cell>
          <cell r="F908" t="str">
            <v>BUKD-C</v>
          </cell>
          <cell r="G908">
            <v>570</v>
          </cell>
          <cell r="H908" t="str">
            <v>BUKD-C570</v>
          </cell>
          <cell r="K908" t="str">
            <v>Walters,Rockney G.</v>
          </cell>
          <cell r="N908">
            <v>3.9380000000000002</v>
          </cell>
          <cell r="O908">
            <v>3.65</v>
          </cell>
        </row>
        <row r="909">
          <cell r="E909" t="str">
            <v>BUKD</v>
          </cell>
          <cell r="F909" t="str">
            <v>BUKD-C</v>
          </cell>
          <cell r="G909">
            <v>570</v>
          </cell>
          <cell r="H909" t="str">
            <v>BUKD-C570</v>
          </cell>
          <cell r="K909" t="str">
            <v>Walters,Rockney G.</v>
          </cell>
          <cell r="N909">
            <v>3.9380000000000002</v>
          </cell>
          <cell r="O909">
            <v>3.65</v>
          </cell>
        </row>
        <row r="910">
          <cell r="E910" t="str">
            <v>BUKD</v>
          </cell>
          <cell r="F910" t="str">
            <v>BUKD-C</v>
          </cell>
          <cell r="G910">
            <v>570</v>
          </cell>
          <cell r="H910" t="str">
            <v>BUKD-C570</v>
          </cell>
          <cell r="K910" t="str">
            <v>Walters,Rockney G.</v>
          </cell>
          <cell r="N910">
            <v>3.9849999999999999</v>
          </cell>
          <cell r="O910">
            <v>3.76</v>
          </cell>
        </row>
        <row r="911">
          <cell r="E911" t="str">
            <v>BUKD</v>
          </cell>
          <cell r="F911" t="str">
            <v>BUKD-C</v>
          </cell>
          <cell r="G911">
            <v>572</v>
          </cell>
          <cell r="H911" t="str">
            <v>BUKD-C572</v>
          </cell>
          <cell r="K911" t="str">
            <v>Saxton,M Kim</v>
          </cell>
          <cell r="N911">
            <v>3.8690000000000002</v>
          </cell>
          <cell r="O911">
            <v>3.6789999999999998</v>
          </cell>
        </row>
        <row r="912">
          <cell r="E912" t="str">
            <v>BUKD</v>
          </cell>
          <cell r="F912" t="str">
            <v>BUKD-C</v>
          </cell>
          <cell r="G912">
            <v>580</v>
          </cell>
          <cell r="H912" t="str">
            <v>BUKD-C580</v>
          </cell>
          <cell r="K912" t="str">
            <v>Flynn,Barbara Bechler</v>
          </cell>
          <cell r="N912">
            <v>3.21</v>
          </cell>
          <cell r="O912">
            <v>3.4140000000000001</v>
          </cell>
        </row>
        <row r="913">
          <cell r="E913" t="str">
            <v>BUKD</v>
          </cell>
          <cell r="F913" t="str">
            <v>BUKD-C</v>
          </cell>
          <cell r="G913">
            <v>580</v>
          </cell>
          <cell r="H913" t="str">
            <v>BUKD-C580</v>
          </cell>
          <cell r="K913" t="str">
            <v>Flynn,Barbara Bechler</v>
          </cell>
          <cell r="N913">
            <v>3.0640000000000001</v>
          </cell>
          <cell r="O913">
            <v>3.4020000000000001</v>
          </cell>
        </row>
        <row r="914">
          <cell r="E914" t="str">
            <v>BUKD</v>
          </cell>
          <cell r="F914" t="str">
            <v>BUKD-C</v>
          </cell>
          <cell r="G914">
            <v>580</v>
          </cell>
          <cell r="H914" t="str">
            <v>BUKD-C580</v>
          </cell>
          <cell r="K914" t="str">
            <v>Flynn,Barbara Bechler</v>
          </cell>
          <cell r="N914">
            <v>3.415</v>
          </cell>
          <cell r="O914">
            <v>3.6019999999999999</v>
          </cell>
        </row>
        <row r="915">
          <cell r="E915" t="str">
            <v>BUKD</v>
          </cell>
          <cell r="F915" t="str">
            <v>BUKD-C</v>
          </cell>
          <cell r="G915">
            <v>580</v>
          </cell>
          <cell r="H915" t="str">
            <v>BUKD-C580</v>
          </cell>
          <cell r="K915" t="str">
            <v>Jacobs,F. Robert</v>
          </cell>
          <cell r="N915">
            <v>3.6920000000000002</v>
          </cell>
          <cell r="O915">
            <v>3.657</v>
          </cell>
        </row>
        <row r="916">
          <cell r="E916" t="str">
            <v>BUKD</v>
          </cell>
          <cell r="F916" t="str">
            <v>BUKD-C</v>
          </cell>
          <cell r="G916">
            <v>580</v>
          </cell>
          <cell r="H916" t="str">
            <v>BUKD-C580</v>
          </cell>
          <cell r="K916" t="str">
            <v>Jacobs,F. Robert</v>
          </cell>
          <cell r="N916">
            <v>3.6920000000000002</v>
          </cell>
          <cell r="O916">
            <v>3.657</v>
          </cell>
        </row>
        <row r="917">
          <cell r="E917" t="str">
            <v>BUKD</v>
          </cell>
          <cell r="F917" t="str">
            <v>BUKD-C</v>
          </cell>
          <cell r="G917">
            <v>589</v>
          </cell>
          <cell r="H917" t="str">
            <v>BUKD-C589</v>
          </cell>
          <cell r="K917" t="str">
            <v>Thacker,Amanda</v>
          </cell>
          <cell r="N917" t="str">
            <v>NR</v>
          </cell>
          <cell r="O917" t="str">
            <v>NR</v>
          </cell>
        </row>
        <row r="918">
          <cell r="E918" t="str">
            <v>BUKD</v>
          </cell>
          <cell r="F918" t="str">
            <v>BUKD-C</v>
          </cell>
          <cell r="G918">
            <v>589</v>
          </cell>
          <cell r="H918" t="str">
            <v>BUKD-C589</v>
          </cell>
          <cell r="K918" t="str">
            <v>Thacker,Amanda</v>
          </cell>
          <cell r="N918" t="str">
            <v>NR</v>
          </cell>
          <cell r="O918" t="str">
            <v>NR</v>
          </cell>
        </row>
        <row r="919">
          <cell r="E919" t="str">
            <v>BUKD</v>
          </cell>
          <cell r="F919" t="str">
            <v>BUKD-C</v>
          </cell>
          <cell r="G919">
            <v>589</v>
          </cell>
          <cell r="H919" t="str">
            <v>BUKD-C589</v>
          </cell>
          <cell r="K919" t="str">
            <v>Thacker,Amanda</v>
          </cell>
          <cell r="N919" t="str">
            <v>NR</v>
          </cell>
          <cell r="O919" t="str">
            <v>NR</v>
          </cell>
        </row>
        <row r="920">
          <cell r="E920" t="str">
            <v>BUKD</v>
          </cell>
          <cell r="F920" t="str">
            <v>BUKD-C</v>
          </cell>
          <cell r="G920">
            <v>589</v>
          </cell>
          <cell r="H920" t="str">
            <v>BUKD-C589</v>
          </cell>
          <cell r="K920" t="str">
            <v>Thacker,Amanda</v>
          </cell>
          <cell r="N920" t="str">
            <v>NR</v>
          </cell>
          <cell r="O920" t="str">
            <v>NR</v>
          </cell>
        </row>
        <row r="921">
          <cell r="E921" t="str">
            <v>BUKD</v>
          </cell>
          <cell r="F921" t="str">
            <v>BUKD-C</v>
          </cell>
          <cell r="G921">
            <v>596</v>
          </cell>
          <cell r="H921" t="str">
            <v>BUKD-C596</v>
          </cell>
          <cell r="K921" t="str">
            <v>Magjuka,Richard J.</v>
          </cell>
          <cell r="N921">
            <v>3.4</v>
          </cell>
          <cell r="O921">
            <v>3.379</v>
          </cell>
        </row>
        <row r="922">
          <cell r="E922" t="str">
            <v>BUKD</v>
          </cell>
          <cell r="F922" t="str">
            <v>BUKD-D</v>
          </cell>
          <cell r="G922">
            <v>734</v>
          </cell>
          <cell r="H922" t="str">
            <v>BUKD-D734</v>
          </cell>
          <cell r="K922" t="str">
            <v>Masson,Dubos Joseph</v>
          </cell>
          <cell r="N922">
            <v>3.79</v>
          </cell>
          <cell r="O922">
            <v>3.6</v>
          </cell>
        </row>
        <row r="923">
          <cell r="E923" t="str">
            <v>BUKD</v>
          </cell>
          <cell r="F923" t="str">
            <v>BUKD-D</v>
          </cell>
          <cell r="G923">
            <v>734</v>
          </cell>
          <cell r="H923" t="str">
            <v>BUKD-D734</v>
          </cell>
          <cell r="K923" t="str">
            <v>Masson,Dubos Joseph</v>
          </cell>
          <cell r="N923">
            <v>3.79</v>
          </cell>
          <cell r="O923">
            <v>3.6</v>
          </cell>
        </row>
        <row r="924">
          <cell r="E924" t="str">
            <v>BUKD</v>
          </cell>
          <cell r="F924" t="str">
            <v>BUKD-E</v>
          </cell>
          <cell r="G924">
            <v>700</v>
          </cell>
          <cell r="H924" t="str">
            <v>BUKD-E700</v>
          </cell>
          <cell r="K924" t="str">
            <v>Blocher,James D</v>
          </cell>
          <cell r="N924">
            <v>3.464</v>
          </cell>
          <cell r="O924">
            <v>3.5859999999999999</v>
          </cell>
        </row>
        <row r="925">
          <cell r="E925" t="str">
            <v>BUKD</v>
          </cell>
          <cell r="F925" t="str">
            <v>BUKD-E</v>
          </cell>
          <cell r="G925">
            <v>701</v>
          </cell>
          <cell r="H925" t="str">
            <v>BUKD-E701</v>
          </cell>
          <cell r="K925" t="str">
            <v>Blocher,James D</v>
          </cell>
          <cell r="N925">
            <v>3.54</v>
          </cell>
          <cell r="O925">
            <v>3.4980000000000002</v>
          </cell>
        </row>
        <row r="926">
          <cell r="E926" t="str">
            <v>BUKD</v>
          </cell>
          <cell r="F926" t="str">
            <v>BUKD-E</v>
          </cell>
          <cell r="G926">
            <v>730</v>
          </cell>
          <cell r="H926" t="str">
            <v>BUKD-E730</v>
          </cell>
          <cell r="K926" t="str">
            <v>Powell,Philip T.</v>
          </cell>
          <cell r="N926">
            <v>3.7229999999999999</v>
          </cell>
          <cell r="O926">
            <v>3.3660000000000001</v>
          </cell>
        </row>
        <row r="927">
          <cell r="E927" t="str">
            <v>BUKD</v>
          </cell>
          <cell r="F927" t="str">
            <v>BUKD-E</v>
          </cell>
          <cell r="G927">
            <v>730</v>
          </cell>
          <cell r="H927" t="str">
            <v>BUKD-E730</v>
          </cell>
          <cell r="K927" t="str">
            <v>Powell,Philip T.</v>
          </cell>
          <cell r="N927">
            <v>3.7229999999999999</v>
          </cell>
          <cell r="O927">
            <v>3.367</v>
          </cell>
        </row>
        <row r="928">
          <cell r="E928" t="str">
            <v>BUKD</v>
          </cell>
          <cell r="F928" t="str">
            <v>BUKD-E</v>
          </cell>
          <cell r="G928">
            <v>731</v>
          </cell>
          <cell r="H928" t="str">
            <v>BUKD-E731</v>
          </cell>
          <cell r="K928" t="str">
            <v>Briggs,Carl M</v>
          </cell>
          <cell r="N928">
            <v>3.5920000000000001</v>
          </cell>
          <cell r="O928">
            <v>3.605</v>
          </cell>
        </row>
        <row r="929">
          <cell r="E929" t="str">
            <v>BUKD</v>
          </cell>
          <cell r="F929" t="str">
            <v>BUKD-E</v>
          </cell>
          <cell r="G929">
            <v>731</v>
          </cell>
          <cell r="H929" t="str">
            <v>BUKD-E731</v>
          </cell>
          <cell r="K929" t="str">
            <v>Briggs,Carl M</v>
          </cell>
          <cell r="N929">
            <v>3.5920000000000001</v>
          </cell>
          <cell r="O929">
            <v>3.605</v>
          </cell>
        </row>
        <row r="930">
          <cell r="E930" t="str">
            <v>BUKD</v>
          </cell>
          <cell r="F930" t="str">
            <v>BUKD-F</v>
          </cell>
          <cell r="G930">
            <v>711</v>
          </cell>
          <cell r="H930" t="str">
            <v>BUKD-F711</v>
          </cell>
          <cell r="K930" t="str">
            <v>Taylor,Nolan J.</v>
          </cell>
          <cell r="N930">
            <v>3.8650000000000002</v>
          </cell>
          <cell r="O930">
            <v>3.613</v>
          </cell>
        </row>
        <row r="931">
          <cell r="E931" t="str">
            <v>BUKD</v>
          </cell>
          <cell r="F931" t="str">
            <v>BUKD-F</v>
          </cell>
          <cell r="G931">
            <v>741</v>
          </cell>
          <cell r="H931" t="str">
            <v>BUKD-F741</v>
          </cell>
          <cell r="K931" t="str">
            <v>Smart,Scott B</v>
          </cell>
          <cell r="N931">
            <v>3.6970000000000001</v>
          </cell>
          <cell r="O931">
            <v>3.7320000000000002</v>
          </cell>
        </row>
        <row r="932">
          <cell r="E932" t="str">
            <v>BUKD</v>
          </cell>
          <cell r="F932" t="str">
            <v>BUKD-F</v>
          </cell>
          <cell r="G932">
            <v>741</v>
          </cell>
          <cell r="H932" t="str">
            <v>BUKD-F741</v>
          </cell>
          <cell r="K932" t="str">
            <v>Smart,Scott B</v>
          </cell>
          <cell r="N932">
            <v>3.7109999999999999</v>
          </cell>
          <cell r="O932">
            <v>3.7330000000000001</v>
          </cell>
        </row>
        <row r="933">
          <cell r="E933" t="str">
            <v>BUKD</v>
          </cell>
          <cell r="F933" t="str">
            <v>BUKD-F</v>
          </cell>
          <cell r="G933">
            <v>741</v>
          </cell>
          <cell r="H933" t="str">
            <v>BUKD-F741</v>
          </cell>
          <cell r="K933" t="str">
            <v>Smart,Scott B</v>
          </cell>
          <cell r="N933">
            <v>3.548</v>
          </cell>
          <cell r="O933">
            <v>3.5390000000000001</v>
          </cell>
        </row>
        <row r="934">
          <cell r="E934" t="str">
            <v>BUKD</v>
          </cell>
          <cell r="F934" t="str">
            <v>BUKD-F</v>
          </cell>
          <cell r="G934">
            <v>741</v>
          </cell>
          <cell r="H934" t="str">
            <v>BUKD-F741</v>
          </cell>
          <cell r="K934" t="str">
            <v>Smart,Scott B</v>
          </cell>
          <cell r="N934">
            <v>3.5529999999999999</v>
          </cell>
          <cell r="O934">
            <v>3.5379999999999998</v>
          </cell>
        </row>
        <row r="935">
          <cell r="E935" t="str">
            <v>BUKD</v>
          </cell>
          <cell r="F935" t="str">
            <v>BUKD-F</v>
          </cell>
          <cell r="G935">
            <v>742</v>
          </cell>
          <cell r="H935" t="str">
            <v>BUKD-F742</v>
          </cell>
          <cell r="K935" t="str">
            <v>Bonser-Neal,Catherine Anita</v>
          </cell>
          <cell r="N935">
            <v>3.4780000000000002</v>
          </cell>
          <cell r="O935">
            <v>3.625</v>
          </cell>
        </row>
        <row r="936">
          <cell r="E936" t="str">
            <v>BUKD</v>
          </cell>
          <cell r="F936" t="str">
            <v>BUKD-F</v>
          </cell>
          <cell r="G936">
            <v>742</v>
          </cell>
          <cell r="H936" t="str">
            <v>BUKD-F742</v>
          </cell>
          <cell r="K936" t="str">
            <v>Bonser-Neal,Catherine Anita</v>
          </cell>
          <cell r="N936">
            <v>3.468</v>
          </cell>
          <cell r="O936">
            <v>3.6219999999999999</v>
          </cell>
        </row>
        <row r="937">
          <cell r="E937" t="str">
            <v>BUKD</v>
          </cell>
          <cell r="F937" t="str">
            <v>BUKD-F</v>
          </cell>
          <cell r="G937">
            <v>743</v>
          </cell>
          <cell r="H937" t="str">
            <v>BUKD-F743</v>
          </cell>
          <cell r="K937" t="str">
            <v>Masson,Dubos Joseph</v>
          </cell>
          <cell r="N937">
            <v>3.8530000000000002</v>
          </cell>
          <cell r="O937">
            <v>3.64</v>
          </cell>
        </row>
        <row r="938">
          <cell r="E938" t="str">
            <v>BUKD</v>
          </cell>
          <cell r="F938" t="str">
            <v>BUKD-F</v>
          </cell>
          <cell r="G938">
            <v>744</v>
          </cell>
          <cell r="H938" t="str">
            <v>BUKD-F744</v>
          </cell>
          <cell r="K938" t="str">
            <v>Mattfolk,Jeffrey D</v>
          </cell>
          <cell r="N938">
            <v>3.3839999999999999</v>
          </cell>
          <cell r="O938">
            <v>3.633</v>
          </cell>
        </row>
        <row r="939">
          <cell r="E939" t="str">
            <v>BUKD</v>
          </cell>
          <cell r="F939" t="str">
            <v>BUKD-F</v>
          </cell>
          <cell r="G939">
            <v>745</v>
          </cell>
          <cell r="H939" t="str">
            <v>BUKD-F745</v>
          </cell>
          <cell r="K939" t="str">
            <v>Masson,Dubos Joseph</v>
          </cell>
          <cell r="N939">
            <v>3.7290000000000001</v>
          </cell>
          <cell r="O939">
            <v>3.6440000000000001</v>
          </cell>
        </row>
        <row r="940">
          <cell r="E940" t="str">
            <v>BUKD</v>
          </cell>
          <cell r="F940" t="str">
            <v>BUKD-F</v>
          </cell>
          <cell r="G940">
            <v>746</v>
          </cell>
          <cell r="H940" t="str">
            <v>BUKD-F746</v>
          </cell>
          <cell r="K940" t="str">
            <v>Powell,Philip T.</v>
          </cell>
          <cell r="N940">
            <v>3.55</v>
          </cell>
          <cell r="O940">
            <v>3.6139999999999999</v>
          </cell>
        </row>
        <row r="941">
          <cell r="E941" t="str">
            <v>BUKD</v>
          </cell>
          <cell r="F941" t="str">
            <v>BUKD-F</v>
          </cell>
          <cell r="G941">
            <v>746</v>
          </cell>
          <cell r="H941" t="str">
            <v>BUKD-F746</v>
          </cell>
          <cell r="K941" t="str">
            <v>Powell,Philip T.</v>
          </cell>
          <cell r="N941">
            <v>3.55</v>
          </cell>
          <cell r="O941">
            <v>3.6139999999999999</v>
          </cell>
        </row>
        <row r="942">
          <cell r="E942" t="str">
            <v>BUKD</v>
          </cell>
          <cell r="F942" t="str">
            <v>BUKD-Q</v>
          </cell>
          <cell r="G942">
            <v>723</v>
          </cell>
          <cell r="H942" t="str">
            <v>BUKD-Q723</v>
          </cell>
          <cell r="K942" t="str">
            <v>Andrew,Libby R</v>
          </cell>
          <cell r="N942" t="str">
            <v>NR</v>
          </cell>
          <cell r="O942" t="str">
            <v>NR</v>
          </cell>
        </row>
        <row r="943">
          <cell r="E943" t="str">
            <v>BUKD</v>
          </cell>
          <cell r="F943" t="str">
            <v>BUKD-Q</v>
          </cell>
          <cell r="G943">
            <v>724</v>
          </cell>
          <cell r="H943" t="str">
            <v>BUKD-Q724</v>
          </cell>
          <cell r="K943" t="str">
            <v>Bridenstine,Mark Roy</v>
          </cell>
          <cell r="N943" t="str">
            <v>NR</v>
          </cell>
          <cell r="O943" t="str">
            <v>NR</v>
          </cell>
        </row>
        <row r="944">
          <cell r="E944" t="str">
            <v>BUKD</v>
          </cell>
          <cell r="F944" t="str">
            <v>BUKD-Q</v>
          </cell>
          <cell r="G944">
            <v>725</v>
          </cell>
          <cell r="H944" t="str">
            <v>BUKD-Q725</v>
          </cell>
          <cell r="K944" t="str">
            <v>Bridenstine,Mark Roy</v>
          </cell>
          <cell r="N944" t="str">
            <v>NR</v>
          </cell>
          <cell r="O944" t="str">
            <v>NR</v>
          </cell>
        </row>
        <row r="945">
          <cell r="E945" t="str">
            <v>BUKD</v>
          </cell>
          <cell r="F945" t="str">
            <v>BUKD-Q</v>
          </cell>
          <cell r="G945">
            <v>726</v>
          </cell>
          <cell r="H945" t="str">
            <v>BUKD-Q726</v>
          </cell>
          <cell r="K945" t="str">
            <v>Andrew,Libby R</v>
          </cell>
          <cell r="N945" t="str">
            <v>NR</v>
          </cell>
          <cell r="O945" t="str">
            <v>NR</v>
          </cell>
        </row>
        <row r="946">
          <cell r="E946" t="str">
            <v>BUKD</v>
          </cell>
          <cell r="F946" t="str">
            <v>BUKD-Q</v>
          </cell>
          <cell r="G946">
            <v>790</v>
          </cell>
          <cell r="H946" t="str">
            <v>BUKD-Q790</v>
          </cell>
          <cell r="K946" t="str">
            <v>Andrew,Libby R</v>
          </cell>
          <cell r="N946" t="str">
            <v>NR</v>
          </cell>
          <cell r="O946" t="str">
            <v>NR</v>
          </cell>
        </row>
        <row r="947">
          <cell r="E947" t="str">
            <v>BUKD</v>
          </cell>
          <cell r="F947" t="str">
            <v>BUKD-Q</v>
          </cell>
          <cell r="G947">
            <v>791</v>
          </cell>
          <cell r="H947" t="str">
            <v>BUKD-Q791</v>
          </cell>
          <cell r="K947" t="str">
            <v>Andrew,Libby R</v>
          </cell>
          <cell r="N947" t="str">
            <v>NR</v>
          </cell>
          <cell r="O947" t="str">
            <v>NR</v>
          </cell>
        </row>
        <row r="948">
          <cell r="E948" t="str">
            <v>BUKD</v>
          </cell>
          <cell r="F948" t="str">
            <v>BUKD-Q</v>
          </cell>
          <cell r="G948">
            <v>792</v>
          </cell>
          <cell r="H948" t="str">
            <v>BUKD-Q792</v>
          </cell>
          <cell r="K948" t="str">
            <v>Andrew,Libby R</v>
          </cell>
          <cell r="N948" t="str">
            <v>NR</v>
          </cell>
          <cell r="O948" t="str">
            <v>NR</v>
          </cell>
        </row>
        <row r="949">
          <cell r="E949" t="str">
            <v>BUKD</v>
          </cell>
          <cell r="F949" t="str">
            <v>BUKD-Q</v>
          </cell>
          <cell r="G949">
            <v>795</v>
          </cell>
          <cell r="H949" t="str">
            <v>BUKD-Q795</v>
          </cell>
          <cell r="K949" t="str">
            <v>Andrew,Libby R</v>
          </cell>
          <cell r="N949" t="str">
            <v>NR</v>
          </cell>
          <cell r="O949" t="str">
            <v>NR</v>
          </cell>
        </row>
        <row r="950">
          <cell r="E950" t="str">
            <v>BUKD</v>
          </cell>
          <cell r="F950" t="str">
            <v>BUKD-Q</v>
          </cell>
          <cell r="G950">
            <v>795</v>
          </cell>
          <cell r="H950" t="str">
            <v>BUKD-Q795</v>
          </cell>
          <cell r="K950" t="str">
            <v>Andrew,Libby R</v>
          </cell>
          <cell r="N950" t="str">
            <v>NR</v>
          </cell>
          <cell r="O950" t="str">
            <v>NR</v>
          </cell>
        </row>
        <row r="951">
          <cell r="E951" t="str">
            <v>BUKD</v>
          </cell>
          <cell r="F951" t="str">
            <v>BUKD-Q</v>
          </cell>
          <cell r="G951">
            <v>797</v>
          </cell>
          <cell r="H951" t="str">
            <v>BUKD-Q797</v>
          </cell>
          <cell r="K951" t="str">
            <v>Andrew,Libby R</v>
          </cell>
          <cell r="N951" t="str">
            <v>NR</v>
          </cell>
          <cell r="O951" t="str">
            <v>NR</v>
          </cell>
        </row>
        <row r="952">
          <cell r="E952" t="str">
            <v>BUKD</v>
          </cell>
          <cell r="F952" t="str">
            <v>BUKD-Q</v>
          </cell>
          <cell r="G952">
            <v>798</v>
          </cell>
          <cell r="H952" t="str">
            <v>BUKD-Q798</v>
          </cell>
          <cell r="K952" t="str">
            <v>Andrew,Libby R</v>
          </cell>
          <cell r="N952" t="str">
            <v>NR</v>
          </cell>
          <cell r="O952" t="str">
            <v>NR</v>
          </cell>
        </row>
        <row r="953">
          <cell r="E953" t="str">
            <v>BUKD</v>
          </cell>
          <cell r="F953" t="str">
            <v>BUKD-Q</v>
          </cell>
          <cell r="G953">
            <v>799</v>
          </cell>
          <cell r="H953" t="str">
            <v>BUKD-Q799</v>
          </cell>
          <cell r="K953" t="str">
            <v>Andrew,Libby R</v>
          </cell>
          <cell r="N953" t="str">
            <v>NR</v>
          </cell>
          <cell r="O953" t="str">
            <v>NR</v>
          </cell>
        </row>
        <row r="954">
          <cell r="E954" t="str">
            <v>BUKD</v>
          </cell>
          <cell r="F954" t="str">
            <v>BUKD-R</v>
          </cell>
          <cell r="G954">
            <v>702</v>
          </cell>
          <cell r="H954" t="str">
            <v>BUKD-R702</v>
          </cell>
          <cell r="K954" t="str">
            <v>Lenz,R. Thomas</v>
          </cell>
          <cell r="N954">
            <v>3.8090000000000002</v>
          </cell>
          <cell r="O954">
            <v>3.7149999999999999</v>
          </cell>
        </row>
        <row r="955">
          <cell r="E955" t="str">
            <v>BUKD</v>
          </cell>
          <cell r="F955" t="str">
            <v>BUKD-U</v>
          </cell>
          <cell r="G955">
            <v>702</v>
          </cell>
          <cell r="H955" t="str">
            <v>BUKD-U702</v>
          </cell>
          <cell r="K955" t="str">
            <v>Near,Janet P.</v>
          </cell>
          <cell r="N955">
            <v>3.7730000000000001</v>
          </cell>
          <cell r="O955">
            <v>3.661</v>
          </cell>
        </row>
        <row r="956">
          <cell r="E956" t="str">
            <v>BUKD</v>
          </cell>
          <cell r="F956" t="str">
            <v>BUKD-U</v>
          </cell>
          <cell r="G956">
            <v>702</v>
          </cell>
          <cell r="H956" t="str">
            <v>BUKD-U702</v>
          </cell>
          <cell r="K956" t="str">
            <v>Near,Janet P.</v>
          </cell>
          <cell r="N956">
            <v>3.7730000000000001</v>
          </cell>
          <cell r="O956">
            <v>3.661</v>
          </cell>
        </row>
        <row r="957">
          <cell r="E957" t="str">
            <v>BUKD</v>
          </cell>
          <cell r="F957" t="str">
            <v>BUKD-U</v>
          </cell>
          <cell r="G957">
            <v>710</v>
          </cell>
          <cell r="H957" t="str">
            <v>BUKD-U710</v>
          </cell>
          <cell r="K957" t="str">
            <v>Dollinger,Marc J.</v>
          </cell>
          <cell r="N957">
            <v>3.6850000000000001</v>
          </cell>
          <cell r="O957">
            <v>3.6869999999999998</v>
          </cell>
        </row>
        <row r="958">
          <cell r="E958" t="str">
            <v>BUKD</v>
          </cell>
          <cell r="F958" t="str">
            <v>BUKD-U</v>
          </cell>
          <cell r="G958">
            <v>710</v>
          </cell>
          <cell r="H958" t="str">
            <v>BUKD-U710</v>
          </cell>
          <cell r="K958" t="str">
            <v>Dollinger,Marc J.</v>
          </cell>
          <cell r="N958">
            <v>3.6850000000000001</v>
          </cell>
          <cell r="O958">
            <v>3.6869999999999998</v>
          </cell>
        </row>
        <row r="959">
          <cell r="E959" t="str">
            <v>BUKD</v>
          </cell>
          <cell r="F959" t="str">
            <v>BUKD-U</v>
          </cell>
          <cell r="G959">
            <v>710</v>
          </cell>
          <cell r="H959" t="str">
            <v>BUKD-U710</v>
          </cell>
          <cell r="K959" t="str">
            <v>Dollinger,Marc J.</v>
          </cell>
          <cell r="N959">
            <v>3.6059999999999999</v>
          </cell>
          <cell r="O959">
            <v>3.605</v>
          </cell>
        </row>
        <row r="960">
          <cell r="E960" t="str">
            <v>BUKD</v>
          </cell>
          <cell r="F960" t="str">
            <v>BUKD-U</v>
          </cell>
          <cell r="G960">
            <v>710</v>
          </cell>
          <cell r="H960" t="str">
            <v>BUKD-U710</v>
          </cell>
          <cell r="K960" t="str">
            <v>Dollinger,Marc J.</v>
          </cell>
          <cell r="N960">
            <v>3.6110000000000002</v>
          </cell>
          <cell r="O960">
            <v>3.6059999999999999</v>
          </cell>
        </row>
        <row r="961">
          <cell r="E961" t="str">
            <v>BUKD</v>
          </cell>
          <cell r="F961" t="str">
            <v>BUKD-U</v>
          </cell>
          <cell r="G961">
            <v>714</v>
          </cell>
          <cell r="H961" t="str">
            <v>BUKD-U714</v>
          </cell>
          <cell r="K961" t="str">
            <v>Garcia,P. Roberto</v>
          </cell>
          <cell r="N961">
            <v>3.6230000000000002</v>
          </cell>
          <cell r="O961">
            <v>3.5950000000000002</v>
          </cell>
        </row>
        <row r="962">
          <cell r="E962" t="str">
            <v>BUKD</v>
          </cell>
          <cell r="F962" t="str">
            <v>BUKD-U</v>
          </cell>
          <cell r="G962">
            <v>723</v>
          </cell>
          <cell r="H962" t="str">
            <v>BUKD-U723</v>
          </cell>
          <cell r="K962" t="str">
            <v>Covin,Jeffrey G</v>
          </cell>
          <cell r="N962">
            <v>3.4870000000000001</v>
          </cell>
          <cell r="O962">
            <v>3.645</v>
          </cell>
        </row>
        <row r="963">
          <cell r="E963" t="str">
            <v>BUKD</v>
          </cell>
          <cell r="F963" t="str">
            <v>BUKD-X</v>
          </cell>
          <cell r="G963">
            <v>500</v>
          </cell>
          <cell r="H963" t="str">
            <v>BUKD-X500</v>
          </cell>
          <cell r="K963" t="str">
            <v>Acito,Franklin</v>
          </cell>
          <cell r="N963" t="str">
            <v>NR</v>
          </cell>
          <cell r="O963" t="str">
            <v>NR</v>
          </cell>
        </row>
        <row r="964">
          <cell r="E964" t="str">
            <v>BUKD</v>
          </cell>
          <cell r="F964" t="str">
            <v>BUKD-X</v>
          </cell>
          <cell r="G964">
            <v>500</v>
          </cell>
          <cell r="H964" t="str">
            <v>BUKD-X500</v>
          </cell>
          <cell r="K964" t="str">
            <v>Prabhakar,Bipin</v>
          </cell>
          <cell r="N964">
            <v>3.8140000000000001</v>
          </cell>
          <cell r="O964">
            <v>3.6110000000000002</v>
          </cell>
        </row>
        <row r="965">
          <cell r="E965" t="str">
            <v>BUKD</v>
          </cell>
          <cell r="F965" t="str">
            <v>BUKD-X</v>
          </cell>
          <cell r="G965">
            <v>502</v>
          </cell>
          <cell r="H965" t="str">
            <v>BUKD-X502</v>
          </cell>
          <cell r="K965" t="str">
            <v>Lummus,Rhonda</v>
          </cell>
          <cell r="N965">
            <v>3.7709999999999999</v>
          </cell>
          <cell r="O965">
            <v>3.5089999999999999</v>
          </cell>
        </row>
        <row r="966">
          <cell r="E966" t="str">
            <v>BUKD</v>
          </cell>
          <cell r="F966" t="str">
            <v>BUKD-X</v>
          </cell>
          <cell r="G966">
            <v>502</v>
          </cell>
          <cell r="H966" t="str">
            <v>BUKD-X502</v>
          </cell>
          <cell r="K966" t="str">
            <v>Lummus,Rhonda</v>
          </cell>
          <cell r="N966">
            <v>3.7709999999999999</v>
          </cell>
          <cell r="O966">
            <v>3.5089999999999999</v>
          </cell>
        </row>
        <row r="967">
          <cell r="E967" t="str">
            <v>BUKD</v>
          </cell>
          <cell r="F967" t="str">
            <v>BUKD-X</v>
          </cell>
          <cell r="G967">
            <v>503</v>
          </cell>
          <cell r="H967" t="str">
            <v>BUKD-X503</v>
          </cell>
          <cell r="K967" t="str">
            <v>Powell,Philip T.</v>
          </cell>
          <cell r="N967">
            <v>3.802</v>
          </cell>
          <cell r="O967">
            <v>3.734</v>
          </cell>
        </row>
        <row r="968">
          <cell r="E968" t="str">
            <v>BUKD</v>
          </cell>
          <cell r="F968" t="str">
            <v>BUKD-X</v>
          </cell>
          <cell r="G968">
            <v>503</v>
          </cell>
          <cell r="H968" t="str">
            <v>BUKD-X503</v>
          </cell>
          <cell r="K968" t="str">
            <v>Powell,Philip T.</v>
          </cell>
          <cell r="N968">
            <v>3.802</v>
          </cell>
          <cell r="O968">
            <v>3.734</v>
          </cell>
        </row>
        <row r="969">
          <cell r="E969" t="str">
            <v>BUKD</v>
          </cell>
          <cell r="F969" t="str">
            <v>BUKD-X</v>
          </cell>
          <cell r="G969">
            <v>503</v>
          </cell>
          <cell r="H969" t="str">
            <v>BUKD-X503</v>
          </cell>
          <cell r="K969" t="str">
            <v>Powell,Philip T.</v>
          </cell>
          <cell r="N969">
            <v>3.8220000000000001</v>
          </cell>
          <cell r="O969">
            <v>3.7589999999999999</v>
          </cell>
        </row>
        <row r="970">
          <cell r="E970" t="str">
            <v>BUKD</v>
          </cell>
          <cell r="F970" t="str">
            <v>BUKD-X</v>
          </cell>
          <cell r="G970">
            <v>503</v>
          </cell>
          <cell r="H970" t="str">
            <v>BUKD-X503</v>
          </cell>
          <cell r="K970" t="str">
            <v>Powell,Philip T.</v>
          </cell>
          <cell r="N970">
            <v>3.8220000000000001</v>
          </cell>
          <cell r="O970">
            <v>3.7589999999999999</v>
          </cell>
        </row>
        <row r="971">
          <cell r="E971" t="str">
            <v>BUKD</v>
          </cell>
          <cell r="F971" t="str">
            <v>BUKD-X</v>
          </cell>
          <cell r="G971">
            <v>503</v>
          </cell>
          <cell r="H971" t="str">
            <v>BUKD-X503</v>
          </cell>
          <cell r="K971" t="str">
            <v>Powell,Philip T.</v>
          </cell>
          <cell r="N971">
            <v>3.8679999999999999</v>
          </cell>
          <cell r="O971">
            <v>3.7010000000000001</v>
          </cell>
        </row>
        <row r="972">
          <cell r="E972" t="str">
            <v>BUKD</v>
          </cell>
          <cell r="F972" t="str">
            <v>BUKD-X</v>
          </cell>
          <cell r="G972">
            <v>503</v>
          </cell>
          <cell r="H972" t="str">
            <v>BUKD-X503</v>
          </cell>
          <cell r="K972" t="str">
            <v>Powell,Philip T.</v>
          </cell>
          <cell r="N972">
            <v>3.8679999999999999</v>
          </cell>
          <cell r="O972">
            <v>3.7010000000000001</v>
          </cell>
        </row>
        <row r="973">
          <cell r="E973" t="str">
            <v>BUKD</v>
          </cell>
          <cell r="F973" t="str">
            <v>BUKD-X</v>
          </cell>
          <cell r="G973">
            <v>520</v>
          </cell>
          <cell r="H973" t="str">
            <v>BUKD-X520</v>
          </cell>
          <cell r="K973" t="str">
            <v>Denekamp,Johannes G</v>
          </cell>
          <cell r="N973">
            <v>3.7890000000000001</v>
          </cell>
          <cell r="O973">
            <v>3.5110000000000001</v>
          </cell>
        </row>
        <row r="974">
          <cell r="E974" t="str">
            <v>BUKD</v>
          </cell>
          <cell r="F974" t="str">
            <v>BUKD-X</v>
          </cell>
          <cell r="G974">
            <v>520</v>
          </cell>
          <cell r="H974" t="str">
            <v>BUKD-X520</v>
          </cell>
          <cell r="K974" t="str">
            <v>Garcia,P. Roberto</v>
          </cell>
          <cell r="N974">
            <v>3.8559999999999999</v>
          </cell>
          <cell r="O974">
            <v>3.508</v>
          </cell>
        </row>
        <row r="975">
          <cell r="E975" t="str">
            <v>BUKD</v>
          </cell>
          <cell r="F975" t="str">
            <v>BUKD-X</v>
          </cell>
          <cell r="G975">
            <v>520</v>
          </cell>
          <cell r="H975" t="str">
            <v>BUKD-X520</v>
          </cell>
          <cell r="K975" t="str">
            <v>Hauskrecht,Andreas</v>
          </cell>
          <cell r="N975">
            <v>3.4289999999999998</v>
          </cell>
          <cell r="O975">
            <v>3.762</v>
          </cell>
        </row>
        <row r="976">
          <cell r="E976" t="str">
            <v>BUKD</v>
          </cell>
          <cell r="F976" t="str">
            <v>BUKD-X</v>
          </cell>
          <cell r="G976">
            <v>520</v>
          </cell>
          <cell r="H976" t="str">
            <v>BUKD-X520</v>
          </cell>
          <cell r="K976" t="str">
            <v>Powell,Philip T.</v>
          </cell>
          <cell r="N976">
            <v>3.7589999999999999</v>
          </cell>
          <cell r="O976">
            <v>3.6640000000000001</v>
          </cell>
        </row>
        <row r="977">
          <cell r="E977" t="str">
            <v>BUKD</v>
          </cell>
          <cell r="F977" t="str">
            <v>BUKD-X</v>
          </cell>
          <cell r="G977">
            <v>520</v>
          </cell>
          <cell r="H977" t="str">
            <v>BUKD-X520</v>
          </cell>
          <cell r="K977" t="str">
            <v>Powell,Philip T.</v>
          </cell>
          <cell r="N977">
            <v>3.7589999999999999</v>
          </cell>
          <cell r="O977">
            <v>3.6640000000000001</v>
          </cell>
        </row>
        <row r="978">
          <cell r="E978" t="str">
            <v>BUKD</v>
          </cell>
          <cell r="F978" t="str">
            <v>BUKD-X</v>
          </cell>
          <cell r="G978">
            <v>521</v>
          </cell>
          <cell r="H978" t="str">
            <v>BUKD-X521</v>
          </cell>
          <cell r="K978" t="str">
            <v>Langvardt,Arlen W.</v>
          </cell>
          <cell r="N978">
            <v>3.4710000000000001</v>
          </cell>
          <cell r="O978">
            <v>3.597</v>
          </cell>
        </row>
        <row r="979">
          <cell r="E979" t="str">
            <v>BUKD</v>
          </cell>
          <cell r="F979" t="str">
            <v>BUKD-X</v>
          </cell>
          <cell r="G979">
            <v>522</v>
          </cell>
          <cell r="H979" t="str">
            <v>BUKD-X522</v>
          </cell>
          <cell r="K979" t="str">
            <v>Blocher,James D</v>
          </cell>
          <cell r="N979">
            <v>3.9</v>
          </cell>
          <cell r="O979">
            <v>3.7509999999999999</v>
          </cell>
        </row>
        <row r="980">
          <cell r="E980" t="str">
            <v>BUKD</v>
          </cell>
          <cell r="F980" t="str">
            <v>BUKD-X</v>
          </cell>
          <cell r="G980">
            <v>522</v>
          </cell>
          <cell r="H980" t="str">
            <v>BUKD-X522</v>
          </cell>
          <cell r="K980" t="str">
            <v>Blocher,James D</v>
          </cell>
          <cell r="N980">
            <v>3.9</v>
          </cell>
          <cell r="O980">
            <v>3.7509999999999999</v>
          </cell>
        </row>
        <row r="981">
          <cell r="E981" t="str">
            <v>BUKD</v>
          </cell>
          <cell r="F981" t="str">
            <v>BUKD-X</v>
          </cell>
          <cell r="G981">
            <v>522</v>
          </cell>
          <cell r="H981" t="str">
            <v>BUKD-X522</v>
          </cell>
          <cell r="K981" t="str">
            <v>Lemper,Tim</v>
          </cell>
          <cell r="N981">
            <v>3.3740000000000001</v>
          </cell>
          <cell r="O981">
            <v>3.5489999999999999</v>
          </cell>
        </row>
        <row r="982">
          <cell r="E982" t="str">
            <v>BUKD</v>
          </cell>
          <cell r="F982" t="str">
            <v>BUKD-X</v>
          </cell>
          <cell r="G982">
            <v>572</v>
          </cell>
          <cell r="H982" t="str">
            <v>BUKD-X572</v>
          </cell>
          <cell r="K982" t="str">
            <v>Garcia,P. Roberto</v>
          </cell>
          <cell r="N982">
            <v>3.73</v>
          </cell>
          <cell r="O982">
            <v>3.6840000000000002</v>
          </cell>
        </row>
        <row r="983">
          <cell r="E983" t="str">
            <v>BUKD</v>
          </cell>
          <cell r="F983" t="str">
            <v>BUKD-X</v>
          </cell>
          <cell r="G983">
            <v>572</v>
          </cell>
          <cell r="H983" t="str">
            <v>BUKD-X572</v>
          </cell>
          <cell r="K983" t="str">
            <v>Magjuka,Richard J.</v>
          </cell>
          <cell r="N983">
            <v>4</v>
          </cell>
          <cell r="O983">
            <v>3.645</v>
          </cell>
        </row>
        <row r="984">
          <cell r="E984" t="str">
            <v>BUKD</v>
          </cell>
          <cell r="F984" t="str">
            <v>BUKD-X</v>
          </cell>
          <cell r="G984">
            <v>572</v>
          </cell>
          <cell r="H984" t="str">
            <v>BUKD-X572</v>
          </cell>
          <cell r="K984" t="str">
            <v>Magjuka,Richard J.</v>
          </cell>
          <cell r="N984">
            <v>4</v>
          </cell>
          <cell r="O984">
            <v>3.645</v>
          </cell>
        </row>
        <row r="985">
          <cell r="E985" t="str">
            <v>BUKD</v>
          </cell>
          <cell r="F985" t="str">
            <v>BUKD-X</v>
          </cell>
          <cell r="G985">
            <v>572</v>
          </cell>
          <cell r="H985" t="str">
            <v>BUKD-X572</v>
          </cell>
          <cell r="K985" t="str">
            <v>Vargo,Susan S.</v>
          </cell>
          <cell r="N985">
            <v>3.7</v>
          </cell>
          <cell r="O985">
            <v>3.6349999999999998</v>
          </cell>
        </row>
        <row r="986">
          <cell r="E986" t="str">
            <v>BUKD</v>
          </cell>
          <cell r="F986" t="str">
            <v>BUKD-X</v>
          </cell>
          <cell r="G986">
            <v>572</v>
          </cell>
          <cell r="H986" t="str">
            <v>BUKD-X572</v>
          </cell>
          <cell r="K986" t="str">
            <v>Vargo,Susan S.</v>
          </cell>
          <cell r="N986">
            <v>3.7</v>
          </cell>
          <cell r="O986">
            <v>3.6389999999999998</v>
          </cell>
        </row>
        <row r="987">
          <cell r="E987" t="str">
            <v>BUKD</v>
          </cell>
          <cell r="F987" t="str">
            <v>BUKD-X</v>
          </cell>
          <cell r="G987">
            <v>572</v>
          </cell>
          <cell r="H987" t="str">
            <v>BUKD-X572</v>
          </cell>
          <cell r="K987" t="str">
            <v>Vargo,Susan S.</v>
          </cell>
          <cell r="N987">
            <v>3.7170000000000001</v>
          </cell>
          <cell r="O987">
            <v>3.669</v>
          </cell>
        </row>
        <row r="988">
          <cell r="E988" t="str">
            <v>BUKD</v>
          </cell>
          <cell r="F988" t="str">
            <v>BUKD-X</v>
          </cell>
          <cell r="G988">
            <v>572</v>
          </cell>
          <cell r="H988" t="str">
            <v>BUKD-X572</v>
          </cell>
          <cell r="K988" t="str">
            <v>Vargo,Susan S.</v>
          </cell>
          <cell r="N988">
            <v>3.7170000000000001</v>
          </cell>
          <cell r="O988">
            <v>3.669</v>
          </cell>
        </row>
        <row r="989">
          <cell r="E989" t="str">
            <v>BUKD</v>
          </cell>
          <cell r="F989" t="str">
            <v>BUKD-X</v>
          </cell>
          <cell r="G989">
            <v>573</v>
          </cell>
          <cell r="H989" t="str">
            <v>BUKD-X573</v>
          </cell>
          <cell r="K989" t="str">
            <v>Magjuka,Richard J.</v>
          </cell>
          <cell r="N989">
            <v>3.95</v>
          </cell>
          <cell r="O989">
            <v>3.57</v>
          </cell>
        </row>
        <row r="990">
          <cell r="E990" t="str">
            <v>BUKD</v>
          </cell>
          <cell r="F990" t="str">
            <v>BUKD-X</v>
          </cell>
          <cell r="G990">
            <v>573</v>
          </cell>
          <cell r="H990" t="str">
            <v>BUKD-X573</v>
          </cell>
          <cell r="K990" t="str">
            <v>Magjuka,Richard J.</v>
          </cell>
          <cell r="N990">
            <v>3.95</v>
          </cell>
          <cell r="O990">
            <v>3.5680000000000001</v>
          </cell>
        </row>
        <row r="991">
          <cell r="E991" t="str">
            <v>BUKD</v>
          </cell>
          <cell r="F991" t="str">
            <v>BUKD-X</v>
          </cell>
          <cell r="G991">
            <v>573</v>
          </cell>
          <cell r="H991" t="str">
            <v>BUKD-X573</v>
          </cell>
          <cell r="K991" t="str">
            <v>Magjuka,Richard J.</v>
          </cell>
          <cell r="N991">
            <v>4</v>
          </cell>
          <cell r="O991">
            <v>3.4649999999999999</v>
          </cell>
        </row>
        <row r="992">
          <cell r="E992" t="str">
            <v>BUKD</v>
          </cell>
          <cell r="F992" t="str">
            <v>BUKD-X</v>
          </cell>
          <cell r="G992">
            <v>573</v>
          </cell>
          <cell r="H992" t="str">
            <v>BUKD-X573</v>
          </cell>
          <cell r="K992" t="str">
            <v>Magjuka,Richard J.</v>
          </cell>
          <cell r="N992">
            <v>4</v>
          </cell>
          <cell r="O992">
            <v>3.4649999999999999</v>
          </cell>
        </row>
        <row r="993">
          <cell r="E993" t="str">
            <v>BUKD</v>
          </cell>
          <cell r="F993" t="str">
            <v>BUKD-X</v>
          </cell>
          <cell r="G993">
            <v>573</v>
          </cell>
          <cell r="H993" t="str">
            <v>BUKD-X573</v>
          </cell>
          <cell r="K993" t="str">
            <v>Magjuka,Richard J.</v>
          </cell>
          <cell r="N993">
            <v>3.907</v>
          </cell>
          <cell r="O993">
            <v>3.6890000000000001</v>
          </cell>
        </row>
        <row r="994">
          <cell r="E994" t="str">
            <v>BUKD</v>
          </cell>
          <cell r="F994" t="str">
            <v>BUKD-X</v>
          </cell>
          <cell r="G994">
            <v>573</v>
          </cell>
          <cell r="H994" t="str">
            <v>BUKD-X573</v>
          </cell>
          <cell r="K994" t="str">
            <v>Magjuka,Richard J.</v>
          </cell>
          <cell r="N994" t="str">
            <v>NR</v>
          </cell>
          <cell r="O994" t="str">
            <v>NR</v>
          </cell>
        </row>
        <row r="995">
          <cell r="E995" t="str">
            <v>BUKD</v>
          </cell>
          <cell r="F995" t="str">
            <v>BUKD-X</v>
          </cell>
          <cell r="G995">
            <v>573</v>
          </cell>
          <cell r="H995" t="str">
            <v>BUKD-X573</v>
          </cell>
          <cell r="K995" t="str">
            <v>Richards,Eric L.</v>
          </cell>
          <cell r="N995">
            <v>3.544</v>
          </cell>
          <cell r="O995">
            <v>3.746</v>
          </cell>
        </row>
        <row r="996">
          <cell r="E996" t="str">
            <v>BUKD</v>
          </cell>
          <cell r="F996" t="str">
            <v>BUKD-X</v>
          </cell>
          <cell r="G996">
            <v>573</v>
          </cell>
          <cell r="H996" t="str">
            <v>BUKD-X573</v>
          </cell>
          <cell r="K996" t="str">
            <v>Richards,Eric L.</v>
          </cell>
          <cell r="N996">
            <v>3.544</v>
          </cell>
          <cell r="O996">
            <v>3.746</v>
          </cell>
        </row>
        <row r="997">
          <cell r="E997" t="str">
            <v>BUKD</v>
          </cell>
          <cell r="F997" t="str">
            <v>BUKD-X</v>
          </cell>
          <cell r="G997">
            <v>573</v>
          </cell>
          <cell r="H997" t="str">
            <v>BUKD-X573</v>
          </cell>
          <cell r="K997" t="str">
            <v>Richards,Eric L.</v>
          </cell>
          <cell r="N997">
            <v>3.5070000000000001</v>
          </cell>
          <cell r="O997">
            <v>3.6739999999999999</v>
          </cell>
        </row>
        <row r="998">
          <cell r="E998" t="str">
            <v>BUKD</v>
          </cell>
          <cell r="F998" t="str">
            <v>BUKD-X</v>
          </cell>
          <cell r="G998">
            <v>573</v>
          </cell>
          <cell r="H998" t="str">
            <v>BUKD-X573</v>
          </cell>
          <cell r="K998" t="str">
            <v>Winston,Wayne L.</v>
          </cell>
          <cell r="N998" t="str">
            <v>NR</v>
          </cell>
          <cell r="O998" t="str">
            <v>NR</v>
          </cell>
        </row>
        <row r="999">
          <cell r="E999" t="str">
            <v>BUKD</v>
          </cell>
          <cell r="F999" t="str">
            <v>BUKD-X</v>
          </cell>
          <cell r="G999">
            <v>574</v>
          </cell>
          <cell r="H999" t="str">
            <v>BUKD-X574</v>
          </cell>
          <cell r="K999" t="str">
            <v>Brown,Eve Joy</v>
          </cell>
          <cell r="N999">
            <v>3.9089999999999998</v>
          </cell>
          <cell r="O999">
            <v>3.391</v>
          </cell>
        </row>
        <row r="1000">
          <cell r="E1000" t="str">
            <v>BUKD</v>
          </cell>
          <cell r="F1000" t="str">
            <v>BUKD-X</v>
          </cell>
          <cell r="G1000">
            <v>574</v>
          </cell>
          <cell r="H1000" t="str">
            <v>BUKD-X574</v>
          </cell>
          <cell r="K1000" t="str">
            <v>Cook,Rebecca Anne</v>
          </cell>
          <cell r="N1000">
            <v>3.976</v>
          </cell>
          <cell r="O1000">
            <v>3.5590000000000002</v>
          </cell>
        </row>
        <row r="1001">
          <cell r="E1001" t="str">
            <v>BUKD</v>
          </cell>
          <cell r="F1001" t="str">
            <v>BUKD-X</v>
          </cell>
          <cell r="G1001">
            <v>574</v>
          </cell>
          <cell r="H1001" t="str">
            <v>BUKD-X574</v>
          </cell>
          <cell r="K1001" t="str">
            <v>Cook,Rebecca Anne</v>
          </cell>
          <cell r="N1001">
            <v>3.976</v>
          </cell>
          <cell r="O1001">
            <v>3.56</v>
          </cell>
        </row>
        <row r="1002">
          <cell r="E1002" t="str">
            <v>BUKD</v>
          </cell>
          <cell r="F1002" t="str">
            <v>BUKD-X</v>
          </cell>
          <cell r="G1002">
            <v>574</v>
          </cell>
          <cell r="H1002" t="str">
            <v>BUKD-X574</v>
          </cell>
          <cell r="K1002" t="str">
            <v>Khatri,Vijay</v>
          </cell>
          <cell r="N1002">
            <v>3.8069999999999999</v>
          </cell>
          <cell r="O1002">
            <v>3.6760000000000002</v>
          </cell>
        </row>
        <row r="1003">
          <cell r="E1003" t="str">
            <v>BUKD</v>
          </cell>
          <cell r="F1003" t="str">
            <v>BUKD-X</v>
          </cell>
          <cell r="G1003">
            <v>574</v>
          </cell>
          <cell r="H1003" t="str">
            <v>BUKD-X574</v>
          </cell>
          <cell r="K1003" t="str">
            <v>Magjuka,Richard J.</v>
          </cell>
          <cell r="N1003" t="str">
            <v>NR</v>
          </cell>
          <cell r="O1003" t="str">
            <v>NR</v>
          </cell>
        </row>
        <row r="1004">
          <cell r="E1004" t="str">
            <v>BUKD</v>
          </cell>
          <cell r="F1004" t="str">
            <v>BUKD-X</v>
          </cell>
          <cell r="G1004">
            <v>574</v>
          </cell>
          <cell r="H1004" t="str">
            <v>BUKD-X574</v>
          </cell>
          <cell r="K1004" t="str">
            <v>Powell,Philip T.</v>
          </cell>
          <cell r="N1004">
            <v>3.7</v>
          </cell>
          <cell r="O1004">
            <v>3.762</v>
          </cell>
        </row>
        <row r="1005">
          <cell r="E1005" t="str">
            <v>BUKD</v>
          </cell>
          <cell r="F1005" t="str">
            <v>BUKD-X</v>
          </cell>
          <cell r="G1005">
            <v>574</v>
          </cell>
          <cell r="H1005" t="str">
            <v>BUKD-X574</v>
          </cell>
          <cell r="K1005" t="str">
            <v>Sremanak,Jessica Katharine</v>
          </cell>
          <cell r="N1005">
            <v>3.923</v>
          </cell>
          <cell r="O1005">
            <v>3.6840000000000002</v>
          </cell>
        </row>
        <row r="1006">
          <cell r="E1006" t="str">
            <v>BUS</v>
          </cell>
          <cell r="F1006" t="str">
            <v xml:space="preserve">BUS-A </v>
          </cell>
          <cell r="G1006">
            <v>100</v>
          </cell>
          <cell r="H1006" t="str">
            <v>BUS-A 100</v>
          </cell>
          <cell r="K1006" t="str">
            <v>Winston,Vivian</v>
          </cell>
          <cell r="N1006">
            <v>2.7850000000000001</v>
          </cell>
          <cell r="O1006">
            <v>3.113</v>
          </cell>
        </row>
        <row r="1007">
          <cell r="E1007" t="str">
            <v>BUS</v>
          </cell>
          <cell r="F1007" t="str">
            <v xml:space="preserve">BUS-A </v>
          </cell>
          <cell r="G1007">
            <v>100</v>
          </cell>
          <cell r="H1007" t="str">
            <v>BUS-A 100</v>
          </cell>
          <cell r="K1007" t="str">
            <v>Winston,Vivian</v>
          </cell>
          <cell r="N1007">
            <v>2.9409999999999998</v>
          </cell>
          <cell r="O1007">
            <v>3.1160000000000001</v>
          </cell>
        </row>
        <row r="1008">
          <cell r="E1008" t="str">
            <v>BUS</v>
          </cell>
          <cell r="F1008" t="str">
            <v xml:space="preserve">BUS-A </v>
          </cell>
          <cell r="G1008">
            <v>100</v>
          </cell>
          <cell r="H1008" t="str">
            <v>BUS-A 100</v>
          </cell>
          <cell r="K1008" t="str">
            <v>Winston,Vivian</v>
          </cell>
          <cell r="N1008">
            <v>3.0150000000000001</v>
          </cell>
          <cell r="O1008">
            <v>3.1819999999999999</v>
          </cell>
        </row>
        <row r="1009">
          <cell r="E1009" t="str">
            <v>BUS</v>
          </cell>
          <cell r="F1009" t="str">
            <v xml:space="preserve">BUS-A </v>
          </cell>
          <cell r="G1009">
            <v>100</v>
          </cell>
          <cell r="H1009" t="str">
            <v>BUS-A 100</v>
          </cell>
          <cell r="K1009" t="str">
            <v>Winston,Vivian</v>
          </cell>
          <cell r="N1009">
            <v>2.6379999999999999</v>
          </cell>
          <cell r="O1009">
            <v>3.0939999999999999</v>
          </cell>
        </row>
        <row r="1010">
          <cell r="E1010" t="str">
            <v>BUS</v>
          </cell>
          <cell r="F1010" t="str">
            <v xml:space="preserve">BUS-A </v>
          </cell>
          <cell r="G1010">
            <v>100</v>
          </cell>
          <cell r="H1010" t="str">
            <v>BUS-A 100</v>
          </cell>
          <cell r="K1010" t="str">
            <v>Winston,Vivian</v>
          </cell>
          <cell r="N1010">
            <v>2.7050000000000001</v>
          </cell>
          <cell r="O1010">
            <v>3.0369999999999999</v>
          </cell>
        </row>
        <row r="1011">
          <cell r="E1011" t="str">
            <v>BUS</v>
          </cell>
          <cell r="F1011" t="str">
            <v xml:space="preserve">BUS-A </v>
          </cell>
          <cell r="G1011">
            <v>100</v>
          </cell>
          <cell r="H1011" t="str">
            <v>BUS-A 100</v>
          </cell>
          <cell r="K1011" t="str">
            <v>Winston,Vivian</v>
          </cell>
          <cell r="N1011">
            <v>2.68</v>
          </cell>
          <cell r="O1011">
            <v>3.081</v>
          </cell>
        </row>
        <row r="1012">
          <cell r="E1012" t="str">
            <v>BUS</v>
          </cell>
          <cell r="F1012" t="str">
            <v xml:space="preserve">BUS-A </v>
          </cell>
          <cell r="G1012">
            <v>100</v>
          </cell>
          <cell r="H1012" t="str">
            <v>BUS-A 100</v>
          </cell>
          <cell r="K1012" t="str">
            <v>Winston,Vivian</v>
          </cell>
          <cell r="N1012">
            <v>2.9630000000000001</v>
          </cell>
          <cell r="O1012">
            <v>3.113</v>
          </cell>
        </row>
        <row r="1013">
          <cell r="E1013" t="str">
            <v>BUS</v>
          </cell>
          <cell r="F1013" t="str">
            <v xml:space="preserve">BUS-A </v>
          </cell>
          <cell r="G1013">
            <v>100</v>
          </cell>
          <cell r="H1013" t="str">
            <v>BUS-A 100</v>
          </cell>
          <cell r="K1013" t="str">
            <v>Winston,Vivian</v>
          </cell>
          <cell r="N1013">
            <v>2.496</v>
          </cell>
          <cell r="O1013">
            <v>2.9359999999999999</v>
          </cell>
        </row>
        <row r="1014">
          <cell r="E1014" t="str">
            <v>BUS</v>
          </cell>
          <cell r="F1014" t="str">
            <v xml:space="preserve">BUS-A </v>
          </cell>
          <cell r="G1014">
            <v>100</v>
          </cell>
          <cell r="H1014" t="str">
            <v>BUS-A 100</v>
          </cell>
          <cell r="K1014" t="str">
            <v>Winston,Vivian</v>
          </cell>
          <cell r="N1014">
            <v>2.617</v>
          </cell>
          <cell r="O1014">
            <v>3.125</v>
          </cell>
        </row>
        <row r="1015">
          <cell r="E1015" t="str">
            <v>BUS</v>
          </cell>
          <cell r="F1015" t="str">
            <v xml:space="preserve">BUS-A </v>
          </cell>
          <cell r="G1015">
            <v>100</v>
          </cell>
          <cell r="H1015" t="str">
            <v>BUS-A 100</v>
          </cell>
          <cell r="K1015" t="str">
            <v>Winston,Vivian</v>
          </cell>
          <cell r="N1015">
            <v>2.5529999999999999</v>
          </cell>
          <cell r="O1015">
            <v>3.0659999999999998</v>
          </cell>
        </row>
        <row r="1016">
          <cell r="E1016" t="str">
            <v>BUS</v>
          </cell>
          <cell r="F1016" t="str">
            <v xml:space="preserve">BUS-A </v>
          </cell>
          <cell r="G1016">
            <v>100</v>
          </cell>
          <cell r="H1016" t="str">
            <v>BUS-A 100</v>
          </cell>
          <cell r="K1016" t="str">
            <v>Winston,Vivian</v>
          </cell>
          <cell r="N1016">
            <v>2.698</v>
          </cell>
          <cell r="O1016">
            <v>3.1</v>
          </cell>
        </row>
        <row r="1017">
          <cell r="E1017" t="str">
            <v>BUS</v>
          </cell>
          <cell r="F1017" t="str">
            <v xml:space="preserve">BUS-A </v>
          </cell>
          <cell r="G1017">
            <v>100</v>
          </cell>
          <cell r="H1017" t="str">
            <v>BUS-A 100</v>
          </cell>
          <cell r="K1017" t="str">
            <v>Winston,Vivian</v>
          </cell>
          <cell r="N1017">
            <v>3.0640000000000001</v>
          </cell>
          <cell r="O1017">
            <v>3.2170000000000001</v>
          </cell>
        </row>
        <row r="1018">
          <cell r="E1018" t="str">
            <v>BUS</v>
          </cell>
          <cell r="F1018" t="str">
            <v xml:space="preserve">BUS-A </v>
          </cell>
          <cell r="G1018">
            <v>100</v>
          </cell>
          <cell r="H1018" t="str">
            <v>BUS-A 100</v>
          </cell>
          <cell r="K1018" t="str">
            <v>Winston,Vivian</v>
          </cell>
          <cell r="N1018">
            <v>2.98</v>
          </cell>
          <cell r="O1018">
            <v>3.2469999999999999</v>
          </cell>
        </row>
        <row r="1019">
          <cell r="E1019" t="str">
            <v>BUS</v>
          </cell>
          <cell r="F1019" t="str">
            <v xml:space="preserve">BUS-A </v>
          </cell>
          <cell r="G1019">
            <v>100</v>
          </cell>
          <cell r="H1019" t="str">
            <v>BUS-A 100</v>
          </cell>
          <cell r="K1019" t="str">
            <v>Winston,Vivian</v>
          </cell>
          <cell r="N1019">
            <v>2.7709999999999999</v>
          </cell>
          <cell r="O1019">
            <v>3.149</v>
          </cell>
        </row>
        <row r="1020">
          <cell r="E1020" t="str">
            <v>BUS</v>
          </cell>
          <cell r="F1020" t="str">
            <v xml:space="preserve">BUS-A </v>
          </cell>
          <cell r="G1020">
            <v>100</v>
          </cell>
          <cell r="H1020" t="str">
            <v>BUS-A 100</v>
          </cell>
          <cell r="K1020" t="str">
            <v>Winston,Vivian</v>
          </cell>
          <cell r="N1020">
            <v>2.8050000000000002</v>
          </cell>
          <cell r="O1020">
            <v>3.121</v>
          </cell>
        </row>
        <row r="1021">
          <cell r="E1021" t="str">
            <v>BUS</v>
          </cell>
          <cell r="F1021" t="str">
            <v xml:space="preserve">BUS-A </v>
          </cell>
          <cell r="G1021">
            <v>100</v>
          </cell>
          <cell r="H1021" t="str">
            <v>BUS-A 100</v>
          </cell>
          <cell r="K1021" t="str">
            <v>Winston,Vivian</v>
          </cell>
          <cell r="N1021">
            <v>3.0350000000000001</v>
          </cell>
          <cell r="O1021">
            <v>3.286</v>
          </cell>
        </row>
        <row r="1022">
          <cell r="E1022" t="str">
            <v>BUS</v>
          </cell>
          <cell r="F1022" t="str">
            <v xml:space="preserve">BUS-A </v>
          </cell>
          <cell r="G1022">
            <v>100</v>
          </cell>
          <cell r="H1022" t="str">
            <v>BUS-A 100</v>
          </cell>
          <cell r="K1022" t="str">
            <v>Winston,Vivian</v>
          </cell>
          <cell r="N1022">
            <v>3.0049999999999999</v>
          </cell>
          <cell r="O1022">
            <v>3.2349999999999999</v>
          </cell>
        </row>
        <row r="1023">
          <cell r="E1023" t="str">
            <v>BUS</v>
          </cell>
          <cell r="F1023" t="str">
            <v xml:space="preserve">BUS-A </v>
          </cell>
          <cell r="G1023">
            <v>100</v>
          </cell>
          <cell r="H1023" t="str">
            <v>BUS-A 100</v>
          </cell>
          <cell r="K1023" t="str">
            <v>Winston,Vivian</v>
          </cell>
          <cell r="N1023">
            <v>2.8530000000000002</v>
          </cell>
          <cell r="O1023">
            <v>3.1560000000000001</v>
          </cell>
        </row>
        <row r="1024">
          <cell r="E1024" t="str">
            <v>BUS</v>
          </cell>
          <cell r="F1024" t="str">
            <v xml:space="preserve">BUS-A </v>
          </cell>
          <cell r="G1024">
            <v>100</v>
          </cell>
          <cell r="H1024" t="str">
            <v>BUS-A 100</v>
          </cell>
          <cell r="K1024" t="str">
            <v>Winston,Vivian</v>
          </cell>
          <cell r="N1024">
            <v>2.8660000000000001</v>
          </cell>
          <cell r="O1024">
            <v>3.1160000000000001</v>
          </cell>
        </row>
        <row r="1025">
          <cell r="E1025" t="str">
            <v>BUS</v>
          </cell>
          <cell r="F1025" t="str">
            <v xml:space="preserve">BUS-A </v>
          </cell>
          <cell r="G1025">
            <v>100</v>
          </cell>
          <cell r="H1025" t="str">
            <v>BUS-A 100</v>
          </cell>
          <cell r="K1025" t="str">
            <v>Winston,Vivian</v>
          </cell>
          <cell r="N1025">
            <v>3.01</v>
          </cell>
          <cell r="O1025">
            <v>2.99</v>
          </cell>
        </row>
        <row r="1026">
          <cell r="E1026" t="str">
            <v>BUS</v>
          </cell>
          <cell r="F1026" t="str">
            <v xml:space="preserve">BUS-A </v>
          </cell>
          <cell r="G1026">
            <v>100</v>
          </cell>
          <cell r="H1026" t="str">
            <v>BUS-A 100</v>
          </cell>
          <cell r="K1026" t="str">
            <v>Winston,Vivian</v>
          </cell>
          <cell r="N1026">
            <v>2.7480000000000002</v>
          </cell>
          <cell r="O1026">
            <v>2.8929999999999998</v>
          </cell>
        </row>
        <row r="1027">
          <cell r="E1027" t="str">
            <v>BUS</v>
          </cell>
          <cell r="F1027" t="str">
            <v xml:space="preserve">BUS-A </v>
          </cell>
          <cell r="G1027">
            <v>100</v>
          </cell>
          <cell r="H1027" t="str">
            <v>BUS-A 100</v>
          </cell>
          <cell r="K1027" t="str">
            <v>Winston,Vivian</v>
          </cell>
          <cell r="N1027">
            <v>2.383</v>
          </cell>
          <cell r="O1027">
            <v>2.774</v>
          </cell>
        </row>
        <row r="1028">
          <cell r="E1028" t="str">
            <v>BUS</v>
          </cell>
          <cell r="F1028" t="str">
            <v xml:space="preserve">BUS-A </v>
          </cell>
          <cell r="G1028">
            <v>100</v>
          </cell>
          <cell r="H1028" t="str">
            <v>BUS-A 100</v>
          </cell>
          <cell r="K1028" t="str">
            <v>Winston,Vivian</v>
          </cell>
          <cell r="N1028">
            <v>2.891</v>
          </cell>
          <cell r="O1028">
            <v>2.9220000000000002</v>
          </cell>
        </row>
        <row r="1029">
          <cell r="E1029" t="str">
            <v>BUS</v>
          </cell>
          <cell r="F1029" t="str">
            <v xml:space="preserve">BUS-A </v>
          </cell>
          <cell r="G1029">
            <v>200</v>
          </cell>
          <cell r="H1029" t="str">
            <v>BUS-A 200</v>
          </cell>
          <cell r="K1029" t="str">
            <v>Schrimper,Richard J.</v>
          </cell>
          <cell r="N1029">
            <v>2.895</v>
          </cell>
          <cell r="O1029">
            <v>3.0059999999999998</v>
          </cell>
        </row>
        <row r="1030">
          <cell r="E1030" t="str">
            <v>BUS</v>
          </cell>
          <cell r="F1030" t="str">
            <v xml:space="preserve">BUS-A </v>
          </cell>
          <cell r="G1030">
            <v>200</v>
          </cell>
          <cell r="H1030" t="str">
            <v>BUS-A 200</v>
          </cell>
          <cell r="K1030" t="str">
            <v>Schrimper,Richard J.</v>
          </cell>
          <cell r="N1030">
            <v>2.8330000000000002</v>
          </cell>
          <cell r="O1030">
            <v>3.06</v>
          </cell>
        </row>
        <row r="1031">
          <cell r="E1031" t="str">
            <v>BUS</v>
          </cell>
          <cell r="F1031" t="str">
            <v xml:space="preserve">BUS-A </v>
          </cell>
          <cell r="G1031">
            <v>200</v>
          </cell>
          <cell r="H1031" t="str">
            <v>BUS-A 200</v>
          </cell>
          <cell r="K1031" t="str">
            <v>Schrimper,Richard J.</v>
          </cell>
          <cell r="N1031">
            <v>2.903</v>
          </cell>
          <cell r="O1031">
            <v>3.016</v>
          </cell>
        </row>
        <row r="1032">
          <cell r="E1032" t="str">
            <v>BUS</v>
          </cell>
          <cell r="F1032" t="str">
            <v xml:space="preserve">BUS-A </v>
          </cell>
          <cell r="G1032">
            <v>200</v>
          </cell>
          <cell r="H1032" t="str">
            <v>BUS-A 200</v>
          </cell>
          <cell r="K1032" t="str">
            <v>Schrimper,Richard J.</v>
          </cell>
          <cell r="N1032">
            <v>2.738</v>
          </cell>
          <cell r="O1032">
            <v>2.9729999999999999</v>
          </cell>
        </row>
        <row r="1033">
          <cell r="E1033" t="str">
            <v>BUS</v>
          </cell>
          <cell r="F1033" t="str">
            <v xml:space="preserve">BUS-A </v>
          </cell>
          <cell r="G1033">
            <v>200</v>
          </cell>
          <cell r="H1033" t="str">
            <v>BUS-A 200</v>
          </cell>
          <cell r="K1033" t="str">
            <v>Schrimper,Richard J.</v>
          </cell>
          <cell r="N1033">
            <v>2.91</v>
          </cell>
          <cell r="O1033">
            <v>2.9950000000000001</v>
          </cell>
        </row>
        <row r="1034">
          <cell r="E1034" t="str">
            <v>BUS</v>
          </cell>
          <cell r="F1034" t="str">
            <v xml:space="preserve">BUS-A </v>
          </cell>
          <cell r="G1034">
            <v>200</v>
          </cell>
          <cell r="H1034" t="str">
            <v>BUS-A 200</v>
          </cell>
          <cell r="K1034" t="str">
            <v>Schrimper,Richard J.</v>
          </cell>
          <cell r="N1034">
            <v>2.8919999999999999</v>
          </cell>
          <cell r="O1034">
            <v>2.9929999999999999</v>
          </cell>
        </row>
        <row r="1035">
          <cell r="E1035" t="str">
            <v>BUS</v>
          </cell>
          <cell r="F1035" t="str">
            <v xml:space="preserve">BUS-A </v>
          </cell>
          <cell r="G1035">
            <v>200</v>
          </cell>
          <cell r="H1035" t="str">
            <v>BUS-A 200</v>
          </cell>
          <cell r="K1035" t="str">
            <v>Schrimper,Richard J.</v>
          </cell>
          <cell r="N1035">
            <v>2.8370000000000002</v>
          </cell>
          <cell r="O1035">
            <v>2.9860000000000002</v>
          </cell>
        </row>
        <row r="1036">
          <cell r="E1036" t="str">
            <v>BUS</v>
          </cell>
          <cell r="F1036" t="str">
            <v xml:space="preserve">BUS-A </v>
          </cell>
          <cell r="G1036">
            <v>200</v>
          </cell>
          <cell r="H1036" t="str">
            <v>BUS-A 200</v>
          </cell>
          <cell r="K1036" t="str">
            <v>Schrimper,Richard J.</v>
          </cell>
          <cell r="N1036">
            <v>2.8849999999999998</v>
          </cell>
          <cell r="O1036">
            <v>2.9260000000000002</v>
          </cell>
        </row>
        <row r="1037">
          <cell r="E1037" t="str">
            <v>BUS</v>
          </cell>
          <cell r="F1037" t="str">
            <v xml:space="preserve">BUS-A </v>
          </cell>
          <cell r="G1037">
            <v>201</v>
          </cell>
          <cell r="H1037" t="str">
            <v>BUS-A 201</v>
          </cell>
          <cell r="K1037" t="str">
            <v>Anderson,Spencer Blake</v>
          </cell>
          <cell r="N1037">
            <v>2.81</v>
          </cell>
          <cell r="O1037">
            <v>3.1419999999999999</v>
          </cell>
        </row>
        <row r="1038">
          <cell r="E1038" t="str">
            <v>BUS</v>
          </cell>
          <cell r="F1038" t="str">
            <v xml:space="preserve">BUS-A </v>
          </cell>
          <cell r="G1038">
            <v>201</v>
          </cell>
          <cell r="H1038" t="str">
            <v>BUS-A 201</v>
          </cell>
          <cell r="K1038" t="str">
            <v>Anderson,Spencer Blake</v>
          </cell>
          <cell r="N1038">
            <v>3.0249999999999999</v>
          </cell>
          <cell r="O1038">
            <v>3.27</v>
          </cell>
        </row>
        <row r="1039">
          <cell r="E1039" t="str">
            <v>BUS</v>
          </cell>
          <cell r="F1039" t="str">
            <v xml:space="preserve">BUS-A </v>
          </cell>
          <cell r="G1039">
            <v>201</v>
          </cell>
          <cell r="H1039" t="str">
            <v>BUS-A 201</v>
          </cell>
          <cell r="K1039" t="str">
            <v>Anderson,Spencer Blake</v>
          </cell>
          <cell r="N1039">
            <v>2.8</v>
          </cell>
          <cell r="O1039">
            <v>3.1739999999999999</v>
          </cell>
        </row>
        <row r="1040">
          <cell r="E1040" t="str">
            <v>BUS</v>
          </cell>
          <cell r="F1040" t="str">
            <v xml:space="preserve">BUS-A </v>
          </cell>
          <cell r="G1040">
            <v>201</v>
          </cell>
          <cell r="H1040" t="str">
            <v>BUS-A 201</v>
          </cell>
          <cell r="K1040" t="str">
            <v>Head,Julie S.</v>
          </cell>
          <cell r="N1040">
            <v>2.8849999999999998</v>
          </cell>
          <cell r="O1040">
            <v>3.33</v>
          </cell>
        </row>
        <row r="1041">
          <cell r="E1041" t="str">
            <v>BUS</v>
          </cell>
          <cell r="F1041" t="str">
            <v xml:space="preserve">BUS-A </v>
          </cell>
          <cell r="G1041">
            <v>201</v>
          </cell>
          <cell r="H1041" t="str">
            <v>BUS-A 201</v>
          </cell>
          <cell r="K1041" t="str">
            <v>Head,Julie S.</v>
          </cell>
          <cell r="N1041">
            <v>2.83</v>
          </cell>
          <cell r="O1041">
            <v>3.3239999999999998</v>
          </cell>
        </row>
        <row r="1042">
          <cell r="E1042" t="str">
            <v>BUS</v>
          </cell>
          <cell r="F1042" t="str">
            <v xml:space="preserve">BUS-A </v>
          </cell>
          <cell r="G1042">
            <v>201</v>
          </cell>
          <cell r="H1042" t="str">
            <v>BUS-A 201</v>
          </cell>
          <cell r="K1042" t="str">
            <v>Head,Julie S.</v>
          </cell>
          <cell r="N1042">
            <v>2.9129999999999998</v>
          </cell>
          <cell r="O1042">
            <v>3.3220000000000001</v>
          </cell>
        </row>
        <row r="1043">
          <cell r="E1043" t="str">
            <v>BUS</v>
          </cell>
          <cell r="F1043" t="str">
            <v xml:space="preserve">BUS-A </v>
          </cell>
          <cell r="G1043">
            <v>201</v>
          </cell>
          <cell r="H1043" t="str">
            <v>BUS-A 201</v>
          </cell>
          <cell r="K1043" t="str">
            <v>Head,Julie S.</v>
          </cell>
          <cell r="N1043">
            <v>2.6970000000000001</v>
          </cell>
          <cell r="O1043">
            <v>3.29</v>
          </cell>
        </row>
        <row r="1044">
          <cell r="E1044" t="str">
            <v>BUS</v>
          </cell>
          <cell r="F1044" t="str">
            <v xml:space="preserve">BUS-A </v>
          </cell>
          <cell r="G1044">
            <v>201</v>
          </cell>
          <cell r="H1044" t="str">
            <v>BUS-A 201</v>
          </cell>
          <cell r="K1044" t="str">
            <v>Head,Julie S.</v>
          </cell>
          <cell r="N1044">
            <v>3.1240000000000001</v>
          </cell>
          <cell r="O1044">
            <v>3.3250000000000002</v>
          </cell>
        </row>
        <row r="1045">
          <cell r="E1045" t="str">
            <v>BUS</v>
          </cell>
          <cell r="F1045" t="str">
            <v xml:space="preserve">BUS-A </v>
          </cell>
          <cell r="G1045">
            <v>201</v>
          </cell>
          <cell r="H1045" t="str">
            <v>BUS-A 201</v>
          </cell>
          <cell r="K1045" t="str">
            <v>Head,Julie S.</v>
          </cell>
          <cell r="N1045">
            <v>3.2909999999999999</v>
          </cell>
          <cell r="O1045">
            <v>3.4569999999999999</v>
          </cell>
        </row>
        <row r="1046">
          <cell r="E1046" t="str">
            <v>BUS</v>
          </cell>
          <cell r="F1046" t="str">
            <v xml:space="preserve">BUS-A </v>
          </cell>
          <cell r="G1046">
            <v>201</v>
          </cell>
          <cell r="H1046" t="str">
            <v>BUS-A 201</v>
          </cell>
          <cell r="K1046" t="str">
            <v>Head,Julie S.</v>
          </cell>
          <cell r="N1046">
            <v>2.976</v>
          </cell>
          <cell r="O1046">
            <v>3.3980000000000001</v>
          </cell>
        </row>
        <row r="1047">
          <cell r="E1047" t="str">
            <v>BUS</v>
          </cell>
          <cell r="F1047" t="str">
            <v xml:space="preserve">BUS-A </v>
          </cell>
          <cell r="G1047">
            <v>201</v>
          </cell>
          <cell r="H1047" t="str">
            <v>BUS-A 201</v>
          </cell>
          <cell r="K1047" t="str">
            <v>Head,Julie S.</v>
          </cell>
          <cell r="N1047">
            <v>2.9329999999999998</v>
          </cell>
          <cell r="O1047">
            <v>3.335</v>
          </cell>
        </row>
        <row r="1048">
          <cell r="E1048" t="str">
            <v>BUS</v>
          </cell>
          <cell r="F1048" t="str">
            <v xml:space="preserve">BUS-A </v>
          </cell>
          <cell r="G1048">
            <v>201</v>
          </cell>
          <cell r="H1048" t="str">
            <v>BUS-A 201</v>
          </cell>
          <cell r="K1048" t="str">
            <v>Head,Julie S.</v>
          </cell>
          <cell r="N1048">
            <v>2.7970000000000002</v>
          </cell>
          <cell r="O1048">
            <v>3.3149999999999999</v>
          </cell>
        </row>
        <row r="1049">
          <cell r="E1049" t="str">
            <v>BUS</v>
          </cell>
          <cell r="F1049" t="str">
            <v xml:space="preserve">BUS-A </v>
          </cell>
          <cell r="G1049">
            <v>201</v>
          </cell>
          <cell r="H1049" t="str">
            <v>BUS-A 201</v>
          </cell>
          <cell r="K1049" t="str">
            <v>Head,Julie S.</v>
          </cell>
          <cell r="N1049">
            <v>3.0310000000000001</v>
          </cell>
          <cell r="O1049">
            <v>3.3330000000000002</v>
          </cell>
        </row>
        <row r="1050">
          <cell r="E1050" t="str">
            <v>BUS</v>
          </cell>
          <cell r="F1050" t="str">
            <v xml:space="preserve">BUS-A </v>
          </cell>
          <cell r="G1050">
            <v>201</v>
          </cell>
          <cell r="H1050" t="str">
            <v>BUS-A 201</v>
          </cell>
          <cell r="K1050" t="str">
            <v>Head,Julie S.</v>
          </cell>
          <cell r="N1050">
            <v>3.1549999999999998</v>
          </cell>
          <cell r="O1050">
            <v>3.3940000000000001</v>
          </cell>
        </row>
        <row r="1051">
          <cell r="E1051" t="str">
            <v>BUS</v>
          </cell>
          <cell r="F1051" t="str">
            <v xml:space="preserve">BUS-A </v>
          </cell>
          <cell r="G1051">
            <v>201</v>
          </cell>
          <cell r="H1051" t="str">
            <v>BUS-A 201</v>
          </cell>
          <cell r="K1051" t="str">
            <v>Head,Julie S.</v>
          </cell>
          <cell r="N1051">
            <v>2.8119999999999998</v>
          </cell>
          <cell r="O1051">
            <v>3.3439999999999999</v>
          </cell>
        </row>
        <row r="1052">
          <cell r="E1052" t="str">
            <v>BUS</v>
          </cell>
          <cell r="F1052" t="str">
            <v xml:space="preserve">BUS-A </v>
          </cell>
          <cell r="G1052">
            <v>201</v>
          </cell>
          <cell r="H1052" t="str">
            <v>BUS-A 201</v>
          </cell>
          <cell r="K1052" t="str">
            <v>Head,Julie S.</v>
          </cell>
          <cell r="N1052">
            <v>2.58</v>
          </cell>
          <cell r="O1052">
            <v>3.0859999999999999</v>
          </cell>
        </row>
        <row r="1053">
          <cell r="E1053" t="str">
            <v>BUS</v>
          </cell>
          <cell r="F1053" t="str">
            <v xml:space="preserve">BUS-A </v>
          </cell>
          <cell r="G1053">
            <v>201</v>
          </cell>
          <cell r="H1053" t="str">
            <v>BUS-A 201</v>
          </cell>
          <cell r="K1053" t="str">
            <v>Head,Julie S.</v>
          </cell>
          <cell r="N1053">
            <v>3.1110000000000002</v>
          </cell>
          <cell r="O1053">
            <v>3.4049999999999998</v>
          </cell>
        </row>
        <row r="1054">
          <cell r="E1054" t="str">
            <v>BUS</v>
          </cell>
          <cell r="F1054" t="str">
            <v xml:space="preserve">BUS-A </v>
          </cell>
          <cell r="G1054">
            <v>201</v>
          </cell>
          <cell r="H1054" t="str">
            <v>BUS-A 201</v>
          </cell>
          <cell r="K1054" t="str">
            <v>Head,Julie S.</v>
          </cell>
          <cell r="N1054">
            <v>2.9710000000000001</v>
          </cell>
          <cell r="O1054">
            <v>3.3929999999999998</v>
          </cell>
        </row>
        <row r="1055">
          <cell r="E1055" t="str">
            <v>BUS</v>
          </cell>
          <cell r="F1055" t="str">
            <v xml:space="preserve">BUS-A </v>
          </cell>
          <cell r="G1055">
            <v>201</v>
          </cell>
          <cell r="H1055" t="str">
            <v>BUS-A 201</v>
          </cell>
          <cell r="K1055" t="str">
            <v>Head,Julie S.</v>
          </cell>
          <cell r="N1055">
            <v>2.8439999999999999</v>
          </cell>
          <cell r="O1055">
            <v>3.3439999999999999</v>
          </cell>
        </row>
        <row r="1056">
          <cell r="E1056" t="str">
            <v>BUS</v>
          </cell>
          <cell r="F1056" t="str">
            <v xml:space="preserve">BUS-A </v>
          </cell>
          <cell r="G1056">
            <v>201</v>
          </cell>
          <cell r="H1056" t="str">
            <v>BUS-A 201</v>
          </cell>
          <cell r="K1056" t="str">
            <v>Head,Julie S.</v>
          </cell>
          <cell r="N1056">
            <v>2.9260000000000002</v>
          </cell>
          <cell r="O1056">
            <v>3.3319999999999999</v>
          </cell>
        </row>
        <row r="1057">
          <cell r="E1057" t="str">
            <v>BUS</v>
          </cell>
          <cell r="F1057" t="str">
            <v xml:space="preserve">BUS-A </v>
          </cell>
          <cell r="G1057">
            <v>201</v>
          </cell>
          <cell r="H1057" t="str">
            <v>BUS-A 201</v>
          </cell>
          <cell r="K1057" t="str">
            <v>Head,Julie S.</v>
          </cell>
          <cell r="N1057">
            <v>2.91</v>
          </cell>
          <cell r="O1057">
            <v>3.3319999999999999</v>
          </cell>
        </row>
        <row r="1058">
          <cell r="E1058" t="str">
            <v>BUS</v>
          </cell>
          <cell r="F1058" t="str">
            <v xml:space="preserve">BUS-A </v>
          </cell>
          <cell r="G1058">
            <v>201</v>
          </cell>
          <cell r="H1058" t="str">
            <v>BUS-A 201</v>
          </cell>
          <cell r="K1058" t="str">
            <v>Head,Julie S.</v>
          </cell>
          <cell r="N1058">
            <v>3.0790000000000002</v>
          </cell>
          <cell r="O1058">
            <v>3.3010000000000002</v>
          </cell>
        </row>
        <row r="1059">
          <cell r="E1059" t="str">
            <v>BUS</v>
          </cell>
          <cell r="F1059" t="str">
            <v xml:space="preserve">BUS-A </v>
          </cell>
          <cell r="G1059">
            <v>201</v>
          </cell>
          <cell r="H1059" t="str">
            <v>BUS-A 201</v>
          </cell>
          <cell r="K1059" t="str">
            <v>Head,Julie S.</v>
          </cell>
          <cell r="N1059">
            <v>2.6840000000000002</v>
          </cell>
          <cell r="O1059">
            <v>3.2360000000000002</v>
          </cell>
        </row>
        <row r="1060">
          <cell r="E1060" t="str">
            <v>BUS</v>
          </cell>
          <cell r="F1060" t="str">
            <v xml:space="preserve">BUS-A </v>
          </cell>
          <cell r="G1060">
            <v>201</v>
          </cell>
          <cell r="H1060" t="str">
            <v>BUS-A 201</v>
          </cell>
          <cell r="K1060" t="str">
            <v>Head,Julie S.</v>
          </cell>
          <cell r="N1060">
            <v>2.7839999999999998</v>
          </cell>
          <cell r="O1060">
            <v>3.1960000000000002</v>
          </cell>
        </row>
        <row r="1061">
          <cell r="E1061" t="str">
            <v>BUS</v>
          </cell>
          <cell r="F1061" t="str">
            <v xml:space="preserve">BUS-A </v>
          </cell>
          <cell r="G1061">
            <v>201</v>
          </cell>
          <cell r="H1061" t="str">
            <v>BUS-A 201</v>
          </cell>
          <cell r="K1061" t="str">
            <v>Hollenberg,Dylan Wade</v>
          </cell>
          <cell r="N1061">
            <v>2.8969999999999998</v>
          </cell>
          <cell r="O1061">
            <v>3.2839999999999998</v>
          </cell>
        </row>
        <row r="1062">
          <cell r="E1062" t="str">
            <v>BUS</v>
          </cell>
          <cell r="F1062" t="str">
            <v xml:space="preserve">BUS-A </v>
          </cell>
          <cell r="G1062">
            <v>201</v>
          </cell>
          <cell r="H1062" t="str">
            <v>BUS-A 201</v>
          </cell>
          <cell r="K1062" t="str">
            <v>Hollenberg,Dylan Wade</v>
          </cell>
          <cell r="N1062">
            <v>2.9390000000000001</v>
          </cell>
          <cell r="O1062">
            <v>3.2810000000000001</v>
          </cell>
        </row>
        <row r="1063">
          <cell r="E1063" t="str">
            <v>BUS</v>
          </cell>
          <cell r="F1063" t="str">
            <v xml:space="preserve">BUS-A </v>
          </cell>
          <cell r="G1063">
            <v>201</v>
          </cell>
          <cell r="H1063" t="str">
            <v>BUS-A 201</v>
          </cell>
          <cell r="K1063" t="str">
            <v>Hollenberg,Dylan Wade</v>
          </cell>
          <cell r="N1063">
            <v>2.7450000000000001</v>
          </cell>
          <cell r="O1063">
            <v>3.198</v>
          </cell>
        </row>
        <row r="1064">
          <cell r="E1064" t="str">
            <v>BUS</v>
          </cell>
          <cell r="F1064" t="str">
            <v xml:space="preserve">BUS-A </v>
          </cell>
          <cell r="G1064">
            <v>201</v>
          </cell>
          <cell r="H1064" t="str">
            <v>BUS-A 201</v>
          </cell>
          <cell r="K1064" t="str">
            <v>Kost,Dwight Aaron</v>
          </cell>
          <cell r="N1064">
            <v>3.1760000000000002</v>
          </cell>
          <cell r="O1064">
            <v>3.278</v>
          </cell>
        </row>
        <row r="1065">
          <cell r="E1065" t="str">
            <v>BUS</v>
          </cell>
          <cell r="F1065" t="str">
            <v xml:space="preserve">BUS-A </v>
          </cell>
          <cell r="G1065">
            <v>201</v>
          </cell>
          <cell r="H1065" t="str">
            <v>BUS-A 201</v>
          </cell>
          <cell r="K1065" t="str">
            <v>Kost,Dwight Aaron</v>
          </cell>
          <cell r="N1065">
            <v>2.8940000000000001</v>
          </cell>
          <cell r="O1065">
            <v>3.2749999999999999</v>
          </cell>
        </row>
        <row r="1066">
          <cell r="E1066" t="str">
            <v>BUS</v>
          </cell>
          <cell r="F1066" t="str">
            <v xml:space="preserve">BUS-A </v>
          </cell>
          <cell r="G1066">
            <v>201</v>
          </cell>
          <cell r="H1066" t="str">
            <v>BUS-A 201</v>
          </cell>
          <cell r="K1066" t="str">
            <v>Kost,Dwight Aaron</v>
          </cell>
          <cell r="N1066">
            <v>3.0720000000000001</v>
          </cell>
          <cell r="O1066">
            <v>3.4449999999999998</v>
          </cell>
        </row>
        <row r="1067">
          <cell r="E1067" t="str">
            <v>BUS</v>
          </cell>
          <cell r="F1067" t="str">
            <v xml:space="preserve">BUS-A </v>
          </cell>
          <cell r="G1067">
            <v>201</v>
          </cell>
          <cell r="H1067" t="str">
            <v>BUS-A 201</v>
          </cell>
          <cell r="K1067" t="str">
            <v>Mazzone,Christopher</v>
          </cell>
          <cell r="N1067">
            <v>2.7869999999999999</v>
          </cell>
          <cell r="O1067">
            <v>3.2280000000000002</v>
          </cell>
        </row>
        <row r="1068">
          <cell r="E1068" t="str">
            <v>BUS</v>
          </cell>
          <cell r="F1068" t="str">
            <v xml:space="preserve">BUS-A </v>
          </cell>
          <cell r="G1068">
            <v>201</v>
          </cell>
          <cell r="H1068" t="str">
            <v>BUS-A 201</v>
          </cell>
          <cell r="K1068" t="str">
            <v>Mazzone,Christopher</v>
          </cell>
          <cell r="N1068">
            <v>3.097</v>
          </cell>
          <cell r="O1068">
            <v>3.3250000000000002</v>
          </cell>
        </row>
        <row r="1069">
          <cell r="E1069" t="str">
            <v>BUS</v>
          </cell>
          <cell r="F1069" t="str">
            <v xml:space="preserve">BUS-A </v>
          </cell>
          <cell r="G1069">
            <v>201</v>
          </cell>
          <cell r="H1069" t="str">
            <v>BUS-A 201</v>
          </cell>
          <cell r="K1069" t="str">
            <v>Mazzone,Christopher</v>
          </cell>
          <cell r="N1069">
            <v>2.7130000000000001</v>
          </cell>
          <cell r="O1069">
            <v>3.2080000000000002</v>
          </cell>
        </row>
        <row r="1070">
          <cell r="E1070" t="str">
            <v>BUS</v>
          </cell>
          <cell r="F1070" t="str">
            <v xml:space="preserve">BUS-A </v>
          </cell>
          <cell r="G1070">
            <v>201</v>
          </cell>
          <cell r="H1070" t="str">
            <v>BUS-A 201</v>
          </cell>
          <cell r="K1070" t="str">
            <v>Rutigliano,Daniel Anthony</v>
          </cell>
          <cell r="N1070">
            <v>2.8170000000000002</v>
          </cell>
          <cell r="O1070">
            <v>3.1219999999999999</v>
          </cell>
        </row>
        <row r="1071">
          <cell r="E1071" t="str">
            <v>BUS</v>
          </cell>
          <cell r="F1071" t="str">
            <v xml:space="preserve">BUS-A </v>
          </cell>
          <cell r="G1071">
            <v>201</v>
          </cell>
          <cell r="H1071" t="str">
            <v>BUS-A 201</v>
          </cell>
          <cell r="K1071" t="str">
            <v>Rutigliano,Daniel Anthony</v>
          </cell>
          <cell r="N1071">
            <v>2.48</v>
          </cell>
          <cell r="O1071">
            <v>3.1549999999999998</v>
          </cell>
        </row>
        <row r="1072">
          <cell r="E1072" t="str">
            <v>BUS</v>
          </cell>
          <cell r="F1072" t="str">
            <v xml:space="preserve">BUS-A </v>
          </cell>
          <cell r="G1072">
            <v>201</v>
          </cell>
          <cell r="H1072" t="str">
            <v>BUS-A 201</v>
          </cell>
          <cell r="K1072" t="str">
            <v>Rutigliano,Daniel Anthony</v>
          </cell>
          <cell r="N1072">
            <v>2.56</v>
          </cell>
          <cell r="O1072">
            <v>3.1890000000000001</v>
          </cell>
        </row>
        <row r="1073">
          <cell r="E1073" t="str">
            <v>BUS</v>
          </cell>
          <cell r="F1073" t="str">
            <v xml:space="preserve">BUS-A </v>
          </cell>
          <cell r="G1073">
            <v>201</v>
          </cell>
          <cell r="H1073" t="str">
            <v>BUS-A 201</v>
          </cell>
          <cell r="K1073" t="str">
            <v>Wang,Gabby</v>
          </cell>
          <cell r="N1073">
            <v>3.1219999999999999</v>
          </cell>
          <cell r="O1073">
            <v>3.3079999999999998</v>
          </cell>
        </row>
        <row r="1074">
          <cell r="E1074" t="str">
            <v>BUS</v>
          </cell>
          <cell r="F1074" t="str">
            <v xml:space="preserve">BUS-A </v>
          </cell>
          <cell r="G1074">
            <v>201</v>
          </cell>
          <cell r="H1074" t="str">
            <v>BUS-A 201</v>
          </cell>
          <cell r="K1074" t="str">
            <v>Wang,Gabby</v>
          </cell>
          <cell r="N1074">
            <v>2.948</v>
          </cell>
          <cell r="O1074">
            <v>3.26</v>
          </cell>
        </row>
        <row r="1075">
          <cell r="E1075" t="str">
            <v>BUS</v>
          </cell>
          <cell r="F1075" t="str">
            <v xml:space="preserve">BUS-A </v>
          </cell>
          <cell r="G1075">
            <v>201</v>
          </cell>
          <cell r="H1075" t="str">
            <v>BUS-A 201</v>
          </cell>
          <cell r="K1075" t="str">
            <v>Wang,Gabby</v>
          </cell>
          <cell r="N1075">
            <v>2.8620000000000001</v>
          </cell>
          <cell r="O1075">
            <v>3.2290000000000001</v>
          </cell>
        </row>
        <row r="1076">
          <cell r="E1076" t="str">
            <v>BUS</v>
          </cell>
          <cell r="F1076" t="str">
            <v xml:space="preserve">BUS-A </v>
          </cell>
          <cell r="G1076">
            <v>202</v>
          </cell>
          <cell r="H1076" t="str">
            <v>BUS-A 202</v>
          </cell>
          <cell r="K1076" t="str">
            <v>Ahoni,Jessica M</v>
          </cell>
          <cell r="N1076">
            <v>2.6389999999999998</v>
          </cell>
          <cell r="O1076">
            <v>3.2290000000000001</v>
          </cell>
        </row>
        <row r="1077">
          <cell r="E1077" t="str">
            <v>BUS</v>
          </cell>
          <cell r="F1077" t="str">
            <v xml:space="preserve">BUS-A </v>
          </cell>
          <cell r="G1077">
            <v>202</v>
          </cell>
          <cell r="H1077" t="str">
            <v>BUS-A 202</v>
          </cell>
          <cell r="K1077" t="str">
            <v>Ahoni,Jessica M</v>
          </cell>
          <cell r="N1077">
            <v>2.7130000000000001</v>
          </cell>
          <cell r="O1077">
            <v>3.2469999999999999</v>
          </cell>
        </row>
        <row r="1078">
          <cell r="E1078" t="str">
            <v>BUS</v>
          </cell>
          <cell r="F1078" t="str">
            <v xml:space="preserve">BUS-A </v>
          </cell>
          <cell r="G1078">
            <v>202</v>
          </cell>
          <cell r="H1078" t="str">
            <v>BUS-A 202</v>
          </cell>
          <cell r="K1078" t="str">
            <v>Ahoni,Jessica M</v>
          </cell>
          <cell r="N1078">
            <v>2.7789999999999999</v>
          </cell>
          <cell r="O1078">
            <v>3.355</v>
          </cell>
        </row>
        <row r="1079">
          <cell r="E1079" t="str">
            <v>BUS</v>
          </cell>
          <cell r="F1079" t="str">
            <v xml:space="preserve">BUS-A </v>
          </cell>
          <cell r="G1079">
            <v>202</v>
          </cell>
          <cell r="H1079" t="str">
            <v>BUS-A 202</v>
          </cell>
          <cell r="K1079" t="str">
            <v>Bhasker,Sanjay</v>
          </cell>
          <cell r="N1079">
            <v>2.6240000000000001</v>
          </cell>
          <cell r="O1079">
            <v>3.25</v>
          </cell>
        </row>
        <row r="1080">
          <cell r="E1080" t="str">
            <v>BUS</v>
          </cell>
          <cell r="F1080" t="str">
            <v xml:space="preserve">BUS-A </v>
          </cell>
          <cell r="G1080">
            <v>202</v>
          </cell>
          <cell r="H1080" t="str">
            <v>BUS-A 202</v>
          </cell>
          <cell r="K1080" t="str">
            <v>Bhasker,Sanjay</v>
          </cell>
          <cell r="N1080">
            <v>2.5219999999999998</v>
          </cell>
          <cell r="O1080">
            <v>3.2469999999999999</v>
          </cell>
        </row>
        <row r="1081">
          <cell r="E1081" t="str">
            <v>BUS</v>
          </cell>
          <cell r="F1081" t="str">
            <v xml:space="preserve">BUS-A </v>
          </cell>
          <cell r="G1081">
            <v>202</v>
          </cell>
          <cell r="H1081" t="str">
            <v>BUS-A 202</v>
          </cell>
          <cell r="K1081" t="str">
            <v>Bhasker,Sanjay</v>
          </cell>
          <cell r="N1081">
            <v>2.609</v>
          </cell>
          <cell r="O1081">
            <v>3.2650000000000001</v>
          </cell>
        </row>
        <row r="1082">
          <cell r="E1082" t="str">
            <v>BUS</v>
          </cell>
          <cell r="F1082" t="str">
            <v xml:space="preserve">BUS-A </v>
          </cell>
          <cell r="G1082">
            <v>202</v>
          </cell>
          <cell r="H1082" t="str">
            <v>BUS-A 202</v>
          </cell>
          <cell r="K1082" t="str">
            <v>Bullington,Kayla Rachelle</v>
          </cell>
          <cell r="N1082">
            <v>2.9</v>
          </cell>
          <cell r="O1082">
            <v>3.3940000000000001</v>
          </cell>
        </row>
        <row r="1083">
          <cell r="E1083" t="str">
            <v>BUS</v>
          </cell>
          <cell r="F1083" t="str">
            <v xml:space="preserve">BUS-A </v>
          </cell>
          <cell r="G1083">
            <v>202</v>
          </cell>
          <cell r="H1083" t="str">
            <v>BUS-A 202</v>
          </cell>
          <cell r="K1083" t="str">
            <v>Bullington,Kayla Rachelle</v>
          </cell>
          <cell r="N1083">
            <v>3.2170000000000001</v>
          </cell>
          <cell r="O1083">
            <v>3.419</v>
          </cell>
        </row>
        <row r="1084">
          <cell r="E1084" t="str">
            <v>BUS</v>
          </cell>
          <cell r="F1084" t="str">
            <v xml:space="preserve">BUS-A </v>
          </cell>
          <cell r="G1084">
            <v>202</v>
          </cell>
          <cell r="H1084" t="str">
            <v>BUS-A 202</v>
          </cell>
          <cell r="K1084" t="str">
            <v>Bullington,Kayla Rachelle</v>
          </cell>
          <cell r="N1084">
            <v>3</v>
          </cell>
          <cell r="O1084">
            <v>3.2949999999999999</v>
          </cell>
        </row>
        <row r="1085">
          <cell r="E1085" t="str">
            <v>BUS</v>
          </cell>
          <cell r="F1085" t="str">
            <v xml:space="preserve">BUS-A </v>
          </cell>
          <cell r="G1085">
            <v>202</v>
          </cell>
          <cell r="H1085" t="str">
            <v>BUS-A 202</v>
          </cell>
          <cell r="K1085" t="str">
            <v>Diehl,Nicholas</v>
          </cell>
          <cell r="N1085">
            <v>2.8410000000000002</v>
          </cell>
          <cell r="O1085">
            <v>3.181</v>
          </cell>
        </row>
        <row r="1086">
          <cell r="E1086" t="str">
            <v>BUS</v>
          </cell>
          <cell r="F1086" t="str">
            <v xml:space="preserve">BUS-A </v>
          </cell>
          <cell r="G1086">
            <v>202</v>
          </cell>
          <cell r="H1086" t="str">
            <v>BUS-A 202</v>
          </cell>
          <cell r="K1086" t="str">
            <v>Diehl,Nicholas</v>
          </cell>
          <cell r="N1086">
            <v>2.968</v>
          </cell>
          <cell r="O1086">
            <v>3.2719999999999998</v>
          </cell>
        </row>
        <row r="1087">
          <cell r="E1087" t="str">
            <v>BUS</v>
          </cell>
          <cell r="F1087" t="str">
            <v xml:space="preserve">BUS-A </v>
          </cell>
          <cell r="G1087">
            <v>202</v>
          </cell>
          <cell r="H1087" t="str">
            <v>BUS-A 202</v>
          </cell>
          <cell r="K1087" t="str">
            <v>Diehl,Nicholas</v>
          </cell>
          <cell r="N1087">
            <v>3.028</v>
          </cell>
          <cell r="O1087">
            <v>3.3439999999999999</v>
          </cell>
        </row>
        <row r="1088">
          <cell r="E1088" t="str">
            <v>BUS</v>
          </cell>
          <cell r="F1088" t="str">
            <v xml:space="preserve">BUS-A </v>
          </cell>
          <cell r="G1088">
            <v>202</v>
          </cell>
          <cell r="H1088" t="str">
            <v>BUS-A 202</v>
          </cell>
          <cell r="K1088" t="str">
            <v>Iglehart,Kenton Thomas</v>
          </cell>
          <cell r="N1088">
            <v>2.6579999999999999</v>
          </cell>
          <cell r="O1088">
            <v>3.2050000000000001</v>
          </cell>
        </row>
        <row r="1089">
          <cell r="E1089" t="str">
            <v>BUS</v>
          </cell>
          <cell r="F1089" t="str">
            <v xml:space="preserve">BUS-A </v>
          </cell>
          <cell r="G1089">
            <v>202</v>
          </cell>
          <cell r="H1089" t="str">
            <v>BUS-A 202</v>
          </cell>
          <cell r="K1089" t="str">
            <v>Iglehart,Kenton Thomas</v>
          </cell>
          <cell r="N1089">
            <v>2.6629999999999998</v>
          </cell>
          <cell r="O1089">
            <v>3.3260000000000001</v>
          </cell>
        </row>
        <row r="1090">
          <cell r="E1090" t="str">
            <v>BUS</v>
          </cell>
          <cell r="F1090" t="str">
            <v xml:space="preserve">BUS-A </v>
          </cell>
          <cell r="G1090">
            <v>202</v>
          </cell>
          <cell r="H1090" t="str">
            <v>BUS-A 202</v>
          </cell>
          <cell r="K1090" t="str">
            <v>Iglehart,Kenton Thomas</v>
          </cell>
          <cell r="N1090">
            <v>2.569</v>
          </cell>
          <cell r="O1090">
            <v>3.3239999999999998</v>
          </cell>
        </row>
        <row r="1091">
          <cell r="E1091" t="str">
            <v>BUS</v>
          </cell>
          <cell r="F1091" t="str">
            <v xml:space="preserve">BUS-A </v>
          </cell>
          <cell r="G1091">
            <v>202</v>
          </cell>
          <cell r="H1091" t="str">
            <v>BUS-A 202</v>
          </cell>
          <cell r="K1091" t="str">
            <v>Lui,Michelle</v>
          </cell>
          <cell r="N1091">
            <v>3.1</v>
          </cell>
          <cell r="O1091">
            <v>3.3860000000000001</v>
          </cell>
        </row>
        <row r="1092">
          <cell r="E1092" t="str">
            <v>BUS</v>
          </cell>
          <cell r="F1092" t="str">
            <v xml:space="preserve">BUS-A </v>
          </cell>
          <cell r="G1092">
            <v>202</v>
          </cell>
          <cell r="H1092" t="str">
            <v>BUS-A 202</v>
          </cell>
          <cell r="K1092" t="str">
            <v>Lui,Michelle</v>
          </cell>
          <cell r="N1092">
            <v>2.8039999999999998</v>
          </cell>
          <cell r="O1092">
            <v>3.2850000000000001</v>
          </cell>
        </row>
        <row r="1093">
          <cell r="E1093" t="str">
            <v>BUS</v>
          </cell>
          <cell r="F1093" t="str">
            <v xml:space="preserve">BUS-A </v>
          </cell>
          <cell r="G1093">
            <v>202</v>
          </cell>
          <cell r="H1093" t="str">
            <v>BUS-A 202</v>
          </cell>
          <cell r="K1093" t="str">
            <v>Lui,Michelle</v>
          </cell>
          <cell r="N1093">
            <v>3.2749999999999999</v>
          </cell>
          <cell r="O1093">
            <v>3.5</v>
          </cell>
        </row>
        <row r="1094">
          <cell r="E1094" t="str">
            <v>BUS</v>
          </cell>
          <cell r="F1094" t="str">
            <v xml:space="preserve">BUS-A </v>
          </cell>
          <cell r="G1094">
            <v>202</v>
          </cell>
          <cell r="H1094" t="str">
            <v>BUS-A 202</v>
          </cell>
          <cell r="K1094" t="str">
            <v>Martin,Amy A</v>
          </cell>
          <cell r="N1094">
            <v>3.004</v>
          </cell>
          <cell r="O1094">
            <v>3.2490000000000001</v>
          </cell>
        </row>
        <row r="1095">
          <cell r="E1095" t="str">
            <v>BUS</v>
          </cell>
          <cell r="F1095" t="str">
            <v xml:space="preserve">BUS-A </v>
          </cell>
          <cell r="G1095">
            <v>202</v>
          </cell>
          <cell r="H1095" t="str">
            <v>BUS-A 202</v>
          </cell>
          <cell r="K1095" t="str">
            <v>Martin,Amy A</v>
          </cell>
          <cell r="N1095">
            <v>2.9</v>
          </cell>
          <cell r="O1095">
            <v>3.3039999999999998</v>
          </cell>
        </row>
        <row r="1096">
          <cell r="E1096" t="str">
            <v>BUS</v>
          </cell>
          <cell r="F1096" t="str">
            <v xml:space="preserve">BUS-A </v>
          </cell>
          <cell r="G1096">
            <v>202</v>
          </cell>
          <cell r="H1096" t="str">
            <v>BUS-A 202</v>
          </cell>
          <cell r="K1096" t="str">
            <v>Martin,Amy A</v>
          </cell>
          <cell r="N1096">
            <v>2.9169999999999998</v>
          </cell>
          <cell r="O1096">
            <v>3.278</v>
          </cell>
        </row>
        <row r="1097">
          <cell r="E1097" t="str">
            <v>BUS</v>
          </cell>
          <cell r="F1097" t="str">
            <v xml:space="preserve">BUS-A </v>
          </cell>
          <cell r="G1097">
            <v>202</v>
          </cell>
          <cell r="H1097" t="str">
            <v>BUS-A 202</v>
          </cell>
          <cell r="K1097" t="str">
            <v>Moulden,Jonathon Edward</v>
          </cell>
          <cell r="N1097">
            <v>2.706</v>
          </cell>
          <cell r="O1097">
            <v>3.323</v>
          </cell>
        </row>
        <row r="1098">
          <cell r="E1098" t="str">
            <v>BUS</v>
          </cell>
          <cell r="F1098" t="str">
            <v xml:space="preserve">BUS-A </v>
          </cell>
          <cell r="G1098">
            <v>202</v>
          </cell>
          <cell r="H1098" t="str">
            <v>BUS-A 202</v>
          </cell>
          <cell r="K1098" t="str">
            <v>Moulden,Jonathon Edward</v>
          </cell>
          <cell r="N1098">
            <v>2.6819999999999999</v>
          </cell>
          <cell r="O1098">
            <v>3.2309999999999999</v>
          </cell>
        </row>
        <row r="1099">
          <cell r="E1099" t="str">
            <v>BUS</v>
          </cell>
          <cell r="F1099" t="str">
            <v xml:space="preserve">BUS-A </v>
          </cell>
          <cell r="G1099">
            <v>202</v>
          </cell>
          <cell r="H1099" t="str">
            <v>BUS-A 202</v>
          </cell>
          <cell r="K1099" t="str">
            <v>Moulden,Jonathon Edward</v>
          </cell>
          <cell r="N1099">
            <v>2.6379999999999999</v>
          </cell>
          <cell r="O1099">
            <v>3.3180000000000001</v>
          </cell>
        </row>
        <row r="1100">
          <cell r="E1100" t="str">
            <v>BUS</v>
          </cell>
          <cell r="F1100" t="str">
            <v xml:space="preserve">BUS-A </v>
          </cell>
          <cell r="G1100">
            <v>202</v>
          </cell>
          <cell r="H1100" t="str">
            <v>BUS-A 202</v>
          </cell>
          <cell r="K1100" t="str">
            <v>Ng,David</v>
          </cell>
          <cell r="N1100">
            <v>3.2549999999999999</v>
          </cell>
          <cell r="O1100">
            <v>3.3170000000000002</v>
          </cell>
        </row>
        <row r="1101">
          <cell r="E1101" t="str">
            <v>BUS</v>
          </cell>
          <cell r="F1101" t="str">
            <v xml:space="preserve">BUS-A </v>
          </cell>
          <cell r="G1101">
            <v>202</v>
          </cell>
          <cell r="H1101" t="str">
            <v>BUS-A 202</v>
          </cell>
          <cell r="K1101" t="str">
            <v>Ng,David</v>
          </cell>
          <cell r="N1101">
            <v>2.8279999999999998</v>
          </cell>
          <cell r="O1101">
            <v>3.3170000000000002</v>
          </cell>
        </row>
        <row r="1102">
          <cell r="E1102" t="str">
            <v>BUS</v>
          </cell>
          <cell r="F1102" t="str">
            <v xml:space="preserve">BUS-A </v>
          </cell>
          <cell r="G1102">
            <v>202</v>
          </cell>
          <cell r="H1102" t="str">
            <v>BUS-A 202</v>
          </cell>
          <cell r="K1102" t="str">
            <v>Ng,David</v>
          </cell>
          <cell r="N1102">
            <v>2.9630000000000001</v>
          </cell>
          <cell r="O1102">
            <v>3.2490000000000001</v>
          </cell>
        </row>
        <row r="1103">
          <cell r="E1103" t="str">
            <v>BUS</v>
          </cell>
          <cell r="F1103" t="str">
            <v xml:space="preserve">BUS-A </v>
          </cell>
          <cell r="G1103">
            <v>202</v>
          </cell>
          <cell r="H1103" t="str">
            <v>BUS-A 202</v>
          </cell>
          <cell r="K1103" t="str">
            <v>Roberts,Jeff</v>
          </cell>
          <cell r="N1103">
            <v>2.89</v>
          </cell>
          <cell r="O1103">
            <v>3.2090000000000001</v>
          </cell>
        </row>
        <row r="1104">
          <cell r="E1104" t="str">
            <v>BUS</v>
          </cell>
          <cell r="F1104" t="str">
            <v xml:space="preserve">BUS-A </v>
          </cell>
          <cell r="G1104">
            <v>202</v>
          </cell>
          <cell r="H1104" t="str">
            <v>BUS-A 202</v>
          </cell>
          <cell r="K1104" t="str">
            <v>Roberts,Jeff</v>
          </cell>
          <cell r="N1104">
            <v>2.7679999999999998</v>
          </cell>
          <cell r="O1104">
            <v>3.2160000000000002</v>
          </cell>
        </row>
        <row r="1105">
          <cell r="E1105" t="str">
            <v>BUS</v>
          </cell>
          <cell r="F1105" t="str">
            <v xml:space="preserve">BUS-A </v>
          </cell>
          <cell r="G1105">
            <v>202</v>
          </cell>
          <cell r="H1105" t="str">
            <v>BUS-A 202</v>
          </cell>
          <cell r="K1105" t="str">
            <v>Roberts,Jeff</v>
          </cell>
          <cell r="N1105">
            <v>3.238</v>
          </cell>
          <cell r="O1105">
            <v>3.282</v>
          </cell>
        </row>
        <row r="1106">
          <cell r="E1106" t="str">
            <v>BUS</v>
          </cell>
          <cell r="F1106" t="str">
            <v xml:space="preserve">BUS-A </v>
          </cell>
          <cell r="G1106">
            <v>202</v>
          </cell>
          <cell r="H1106" t="str">
            <v>BUS-A 202</v>
          </cell>
          <cell r="K1106" t="str">
            <v>Sabatino III,Anthony</v>
          </cell>
          <cell r="N1106">
            <v>2.8650000000000002</v>
          </cell>
          <cell r="O1106">
            <v>3.3079999999999998</v>
          </cell>
        </row>
        <row r="1107">
          <cell r="E1107" t="str">
            <v>BUS</v>
          </cell>
          <cell r="F1107" t="str">
            <v xml:space="preserve">BUS-A </v>
          </cell>
          <cell r="G1107">
            <v>202</v>
          </cell>
          <cell r="H1107" t="str">
            <v>BUS-A 202</v>
          </cell>
          <cell r="K1107" t="str">
            <v>Sabatino III,Anthony</v>
          </cell>
          <cell r="N1107">
            <v>2.8679999999999999</v>
          </cell>
          <cell r="O1107">
            <v>3.3809999999999998</v>
          </cell>
        </row>
        <row r="1108">
          <cell r="E1108" t="str">
            <v>BUS</v>
          </cell>
          <cell r="F1108" t="str">
            <v xml:space="preserve">BUS-A </v>
          </cell>
          <cell r="G1108">
            <v>202</v>
          </cell>
          <cell r="H1108" t="str">
            <v>BUS-A 202</v>
          </cell>
          <cell r="K1108" t="str">
            <v>Sabatino III,Anthony</v>
          </cell>
          <cell r="N1108">
            <v>2.496</v>
          </cell>
          <cell r="O1108">
            <v>3.2440000000000002</v>
          </cell>
        </row>
        <row r="1109">
          <cell r="E1109" t="str">
            <v>BUS</v>
          </cell>
          <cell r="F1109" t="str">
            <v xml:space="preserve">BUS-A </v>
          </cell>
          <cell r="G1109">
            <v>202</v>
          </cell>
          <cell r="H1109" t="str">
            <v>BUS-A 202</v>
          </cell>
          <cell r="K1109" t="str">
            <v>Thies,Kevin</v>
          </cell>
          <cell r="N1109">
            <v>2.4609999999999999</v>
          </cell>
          <cell r="O1109">
            <v>3.1859999999999999</v>
          </cell>
        </row>
        <row r="1110">
          <cell r="E1110" t="str">
            <v>BUS</v>
          </cell>
          <cell r="F1110" t="str">
            <v xml:space="preserve">BUS-A </v>
          </cell>
          <cell r="G1110">
            <v>202</v>
          </cell>
          <cell r="H1110" t="str">
            <v>BUS-A 202</v>
          </cell>
          <cell r="K1110" t="str">
            <v>Thies,Kevin</v>
          </cell>
          <cell r="N1110">
            <v>2.8450000000000002</v>
          </cell>
          <cell r="O1110">
            <v>3.375</v>
          </cell>
        </row>
        <row r="1111">
          <cell r="E1111" t="str">
            <v>BUS</v>
          </cell>
          <cell r="F1111" t="str">
            <v xml:space="preserve">BUS-A </v>
          </cell>
          <cell r="G1111">
            <v>202</v>
          </cell>
          <cell r="H1111" t="str">
            <v>BUS-A 202</v>
          </cell>
          <cell r="K1111" t="str">
            <v>Thies,Kevin</v>
          </cell>
          <cell r="N1111">
            <v>2.778</v>
          </cell>
          <cell r="O1111">
            <v>3.3149999999999999</v>
          </cell>
        </row>
        <row r="1112">
          <cell r="E1112" t="str">
            <v>BUS</v>
          </cell>
          <cell r="F1112" t="str">
            <v xml:space="preserve">BUS-A </v>
          </cell>
          <cell r="G1112">
            <v>202</v>
          </cell>
          <cell r="H1112" t="str">
            <v>BUS-A 202</v>
          </cell>
          <cell r="K1112" t="str">
            <v>Vicino,Nicholas</v>
          </cell>
          <cell r="N1112">
            <v>2.6549999999999998</v>
          </cell>
          <cell r="O1112">
            <v>3.2519999999999998</v>
          </cell>
        </row>
        <row r="1113">
          <cell r="E1113" t="str">
            <v>BUS</v>
          </cell>
          <cell r="F1113" t="str">
            <v xml:space="preserve">BUS-A </v>
          </cell>
          <cell r="G1113">
            <v>202</v>
          </cell>
          <cell r="H1113" t="str">
            <v>BUS-A 202</v>
          </cell>
          <cell r="K1113" t="str">
            <v>Vicino,Nicholas</v>
          </cell>
          <cell r="N1113">
            <v>2.552</v>
          </cell>
          <cell r="O1113">
            <v>3.1659999999999999</v>
          </cell>
        </row>
        <row r="1114">
          <cell r="E1114" t="str">
            <v>BUS</v>
          </cell>
          <cell r="F1114" t="str">
            <v xml:space="preserve">BUS-A </v>
          </cell>
          <cell r="G1114">
            <v>202</v>
          </cell>
          <cell r="H1114" t="str">
            <v>BUS-A 202</v>
          </cell>
          <cell r="K1114" t="str">
            <v>Vicino,Nicholas</v>
          </cell>
          <cell r="N1114">
            <v>2.9060000000000001</v>
          </cell>
          <cell r="O1114">
            <v>3.4540000000000002</v>
          </cell>
        </row>
        <row r="1115">
          <cell r="E1115" t="str">
            <v>BUS</v>
          </cell>
          <cell r="F1115" t="str">
            <v xml:space="preserve">BUS-A </v>
          </cell>
          <cell r="G1115">
            <v>205</v>
          </cell>
          <cell r="H1115" t="str">
            <v>BUS-A 205</v>
          </cell>
          <cell r="K1115" t="str">
            <v>Hewitt,Max R.</v>
          </cell>
          <cell r="N1115">
            <v>3.3439999999999999</v>
          </cell>
          <cell r="O1115">
            <v>3.7210000000000001</v>
          </cell>
        </row>
        <row r="1116">
          <cell r="E1116" t="str">
            <v>BUS</v>
          </cell>
          <cell r="F1116" t="str">
            <v xml:space="preserve">BUS-A </v>
          </cell>
          <cell r="G1116">
            <v>205</v>
          </cell>
          <cell r="H1116" t="str">
            <v>BUS-A 205</v>
          </cell>
          <cell r="K1116" t="str">
            <v>Hewitt,Max R.</v>
          </cell>
          <cell r="N1116">
            <v>3.56</v>
          </cell>
          <cell r="O1116">
            <v>3.77</v>
          </cell>
        </row>
        <row r="1117">
          <cell r="E1117" t="str">
            <v>BUS</v>
          </cell>
          <cell r="F1117" t="str">
            <v xml:space="preserve">BUS-A </v>
          </cell>
          <cell r="G1117">
            <v>205</v>
          </cell>
          <cell r="H1117" t="str">
            <v>BUS-A 205</v>
          </cell>
          <cell r="K1117" t="str">
            <v>Hewitt,Max R.</v>
          </cell>
          <cell r="N1117">
            <v>3.3730000000000002</v>
          </cell>
          <cell r="O1117">
            <v>3.67</v>
          </cell>
        </row>
        <row r="1118">
          <cell r="E1118" t="str">
            <v>BUS</v>
          </cell>
          <cell r="F1118" t="str">
            <v xml:space="preserve">BUS-A </v>
          </cell>
          <cell r="G1118">
            <v>207</v>
          </cell>
          <cell r="H1118" t="str">
            <v>BUS-A 207</v>
          </cell>
          <cell r="K1118" t="str">
            <v>Sprinkle,Geoffrey B.</v>
          </cell>
          <cell r="N1118">
            <v>3.6680000000000001</v>
          </cell>
          <cell r="O1118">
            <v>3.8050000000000002</v>
          </cell>
        </row>
        <row r="1119">
          <cell r="E1119" t="str">
            <v>BUS</v>
          </cell>
          <cell r="F1119" t="str">
            <v xml:space="preserve">BUS-A </v>
          </cell>
          <cell r="G1119">
            <v>207</v>
          </cell>
          <cell r="H1119" t="str">
            <v>BUS-A 207</v>
          </cell>
          <cell r="K1119" t="str">
            <v>Sprinkle,Geoffrey B.</v>
          </cell>
          <cell r="N1119">
            <v>3.6779999999999999</v>
          </cell>
          <cell r="O1119">
            <v>3.7850000000000001</v>
          </cell>
        </row>
        <row r="1120">
          <cell r="E1120" t="str">
            <v>BUS</v>
          </cell>
          <cell r="F1120" t="str">
            <v xml:space="preserve">BUS-A </v>
          </cell>
          <cell r="G1120">
            <v>207</v>
          </cell>
          <cell r="H1120" t="str">
            <v>BUS-A 207</v>
          </cell>
          <cell r="K1120" t="str">
            <v>Sprinkle,Geoffrey B.</v>
          </cell>
          <cell r="N1120">
            <v>3.5310000000000001</v>
          </cell>
          <cell r="O1120">
            <v>3.7919999999999998</v>
          </cell>
        </row>
        <row r="1121">
          <cell r="E1121" t="str">
            <v>BUS</v>
          </cell>
          <cell r="F1121" t="str">
            <v xml:space="preserve">BUS-A </v>
          </cell>
          <cell r="G1121">
            <v>207</v>
          </cell>
          <cell r="H1121" t="str">
            <v>BUS-A 207</v>
          </cell>
          <cell r="K1121" t="str">
            <v>Sprinkle,Geoffrey B.</v>
          </cell>
          <cell r="N1121">
            <v>3.4780000000000002</v>
          </cell>
          <cell r="O1121">
            <v>3.6880000000000002</v>
          </cell>
        </row>
        <row r="1122">
          <cell r="E1122" t="str">
            <v>BUS</v>
          </cell>
          <cell r="F1122" t="str">
            <v xml:space="preserve">BUS-A </v>
          </cell>
          <cell r="G1122">
            <v>207</v>
          </cell>
          <cell r="H1122" t="str">
            <v>BUS-A 207</v>
          </cell>
          <cell r="K1122" t="str">
            <v>Sprinkle,Geoffrey B.</v>
          </cell>
          <cell r="N1122">
            <v>3.411</v>
          </cell>
          <cell r="O1122">
            <v>3.6989999999999998</v>
          </cell>
        </row>
        <row r="1123">
          <cell r="E1123" t="str">
            <v>BUS</v>
          </cell>
          <cell r="F1123" t="str">
            <v xml:space="preserve">BUS-A </v>
          </cell>
          <cell r="G1123">
            <v>310</v>
          </cell>
          <cell r="H1123" t="str">
            <v>BUS-A 310</v>
          </cell>
          <cell r="K1123" t="str">
            <v>Glass,Kathrine</v>
          </cell>
          <cell r="N1123">
            <v>2.6120000000000001</v>
          </cell>
          <cell r="O1123">
            <v>3.2949999999999999</v>
          </cell>
        </row>
        <row r="1124">
          <cell r="E1124" t="str">
            <v>BUS</v>
          </cell>
          <cell r="F1124" t="str">
            <v xml:space="preserve">BUS-A </v>
          </cell>
          <cell r="G1124">
            <v>310</v>
          </cell>
          <cell r="H1124" t="str">
            <v>BUS-A 310</v>
          </cell>
          <cell r="K1124" t="str">
            <v>Glass,Kathrine</v>
          </cell>
          <cell r="N1124">
            <v>2.6419999999999999</v>
          </cell>
          <cell r="O1124">
            <v>3.3359999999999999</v>
          </cell>
        </row>
        <row r="1125">
          <cell r="E1125" t="str">
            <v>BUS</v>
          </cell>
          <cell r="F1125" t="str">
            <v xml:space="preserve">BUS-A </v>
          </cell>
          <cell r="G1125">
            <v>310</v>
          </cell>
          <cell r="H1125" t="str">
            <v>BUS-A 310</v>
          </cell>
          <cell r="K1125" t="str">
            <v>Glass,Kathrine</v>
          </cell>
          <cell r="N1125">
            <v>2.617</v>
          </cell>
          <cell r="O1125">
            <v>3.38</v>
          </cell>
        </row>
        <row r="1126">
          <cell r="E1126" t="str">
            <v>BUS</v>
          </cell>
          <cell r="F1126" t="str">
            <v xml:space="preserve">BUS-A </v>
          </cell>
          <cell r="G1126">
            <v>310</v>
          </cell>
          <cell r="H1126" t="str">
            <v>BUS-A 310</v>
          </cell>
          <cell r="K1126" t="str">
            <v>Glass,Kathrine</v>
          </cell>
          <cell r="N1126">
            <v>2.6880000000000002</v>
          </cell>
          <cell r="O1126">
            <v>3.3220000000000001</v>
          </cell>
        </row>
        <row r="1127">
          <cell r="E1127" t="str">
            <v>BUS</v>
          </cell>
          <cell r="F1127" t="str">
            <v xml:space="preserve">BUS-A </v>
          </cell>
          <cell r="G1127">
            <v>310</v>
          </cell>
          <cell r="H1127" t="str">
            <v>BUS-A 310</v>
          </cell>
          <cell r="K1127" t="str">
            <v>Glass,Kathrine</v>
          </cell>
          <cell r="N1127">
            <v>2.72</v>
          </cell>
          <cell r="O1127">
            <v>3.367</v>
          </cell>
        </row>
        <row r="1128">
          <cell r="E1128" t="str">
            <v>BUS</v>
          </cell>
          <cell r="F1128" t="str">
            <v xml:space="preserve">BUS-A </v>
          </cell>
          <cell r="G1128">
            <v>310</v>
          </cell>
          <cell r="H1128" t="str">
            <v>BUS-A 310</v>
          </cell>
          <cell r="K1128" t="str">
            <v>Glass,Kathrine</v>
          </cell>
          <cell r="N1128">
            <v>2.4319999999999999</v>
          </cell>
          <cell r="O1128">
            <v>3.1949999999999998</v>
          </cell>
        </row>
        <row r="1129">
          <cell r="E1129" t="str">
            <v>BUS</v>
          </cell>
          <cell r="F1129" t="str">
            <v xml:space="preserve">BUS-A </v>
          </cell>
          <cell r="G1129">
            <v>310</v>
          </cell>
          <cell r="H1129" t="str">
            <v>BUS-A 310</v>
          </cell>
          <cell r="K1129" t="str">
            <v>Glass,Kathrine</v>
          </cell>
          <cell r="N1129">
            <v>2.6909999999999998</v>
          </cell>
          <cell r="O1129">
            <v>3.2810000000000001</v>
          </cell>
        </row>
        <row r="1130">
          <cell r="E1130" t="str">
            <v>BUS</v>
          </cell>
          <cell r="F1130" t="str">
            <v xml:space="preserve">BUS-A </v>
          </cell>
          <cell r="G1130">
            <v>310</v>
          </cell>
          <cell r="H1130" t="str">
            <v>BUS-A 310</v>
          </cell>
          <cell r="K1130" t="str">
            <v>Glass,Kathrine</v>
          </cell>
          <cell r="N1130">
            <v>2.7930000000000001</v>
          </cell>
          <cell r="O1130">
            <v>3.3879999999999999</v>
          </cell>
        </row>
        <row r="1131">
          <cell r="E1131" t="str">
            <v>BUS</v>
          </cell>
          <cell r="F1131" t="str">
            <v xml:space="preserve">BUS-A </v>
          </cell>
          <cell r="G1131">
            <v>311</v>
          </cell>
          <cell r="H1131" t="str">
            <v>BUS-A 311</v>
          </cell>
          <cell r="K1131" t="str">
            <v>Cook,Christopher Stephen</v>
          </cell>
          <cell r="N1131">
            <v>2.758</v>
          </cell>
          <cell r="O1131">
            <v>3.3140000000000001</v>
          </cell>
        </row>
        <row r="1132">
          <cell r="E1132" t="str">
            <v>BUS</v>
          </cell>
          <cell r="F1132" t="str">
            <v xml:space="preserve">BUS-A </v>
          </cell>
          <cell r="G1132">
            <v>311</v>
          </cell>
          <cell r="H1132" t="str">
            <v>BUS-A 311</v>
          </cell>
          <cell r="K1132" t="str">
            <v>Cook,Christopher Stephen</v>
          </cell>
          <cell r="N1132">
            <v>2.847</v>
          </cell>
          <cell r="O1132">
            <v>3.456</v>
          </cell>
        </row>
        <row r="1133">
          <cell r="E1133" t="str">
            <v>BUS</v>
          </cell>
          <cell r="F1133" t="str">
            <v xml:space="preserve">BUS-A </v>
          </cell>
          <cell r="G1133">
            <v>311</v>
          </cell>
          <cell r="H1133" t="str">
            <v>BUS-A 311</v>
          </cell>
          <cell r="K1133" t="str">
            <v>Cook,Christopher Stephen</v>
          </cell>
          <cell r="N1133">
            <v>2.8359999999999999</v>
          </cell>
          <cell r="O1133">
            <v>3.4489999999999998</v>
          </cell>
        </row>
        <row r="1134">
          <cell r="E1134" t="str">
            <v>BUS</v>
          </cell>
          <cell r="F1134" t="str">
            <v xml:space="preserve">BUS-A </v>
          </cell>
          <cell r="G1134">
            <v>311</v>
          </cell>
          <cell r="H1134" t="str">
            <v>BUS-A 311</v>
          </cell>
          <cell r="K1134" t="str">
            <v>Crawley,Michael Joseph</v>
          </cell>
          <cell r="N1134">
            <v>2.9</v>
          </cell>
          <cell r="O1134">
            <v>3.3929999999999998</v>
          </cell>
        </row>
        <row r="1135">
          <cell r="E1135" t="str">
            <v>BUS</v>
          </cell>
          <cell r="F1135" t="str">
            <v xml:space="preserve">BUS-A </v>
          </cell>
          <cell r="G1135">
            <v>311</v>
          </cell>
          <cell r="H1135" t="str">
            <v>BUS-A 311</v>
          </cell>
          <cell r="K1135" t="str">
            <v>Crawley,Michael Joseph</v>
          </cell>
          <cell r="N1135">
            <v>2.8809999999999998</v>
          </cell>
          <cell r="O1135">
            <v>3.367</v>
          </cell>
        </row>
        <row r="1136">
          <cell r="E1136" t="str">
            <v>BUS</v>
          </cell>
          <cell r="F1136" t="str">
            <v xml:space="preserve">BUS-A </v>
          </cell>
          <cell r="G1136">
            <v>311</v>
          </cell>
          <cell r="H1136" t="str">
            <v>BUS-A 311</v>
          </cell>
          <cell r="K1136" t="str">
            <v>Crawley,Michael Joseph</v>
          </cell>
          <cell r="N1136">
            <v>3.0139999999999998</v>
          </cell>
          <cell r="O1136">
            <v>3.4889999999999999</v>
          </cell>
        </row>
        <row r="1137">
          <cell r="E1137" t="str">
            <v>BUS</v>
          </cell>
          <cell r="F1137" t="str">
            <v xml:space="preserve">BUS-A </v>
          </cell>
          <cell r="G1137">
            <v>311</v>
          </cell>
          <cell r="H1137" t="str">
            <v>BUS-A 311</v>
          </cell>
          <cell r="K1137" t="str">
            <v>Head,Julie S.</v>
          </cell>
          <cell r="N1137">
            <v>2.9159999999999999</v>
          </cell>
          <cell r="O1137">
            <v>3.3620000000000001</v>
          </cell>
        </row>
        <row r="1138">
          <cell r="E1138" t="str">
            <v>BUS</v>
          </cell>
          <cell r="F1138" t="str">
            <v xml:space="preserve">BUS-A </v>
          </cell>
          <cell r="G1138">
            <v>311</v>
          </cell>
          <cell r="H1138" t="str">
            <v>BUS-A 311</v>
          </cell>
          <cell r="K1138" t="str">
            <v>Romi,Andrea Marie</v>
          </cell>
          <cell r="N1138">
            <v>3.0640000000000001</v>
          </cell>
          <cell r="O1138">
            <v>3.3260000000000001</v>
          </cell>
        </row>
        <row r="1139">
          <cell r="E1139" t="str">
            <v>BUS</v>
          </cell>
          <cell r="F1139" t="str">
            <v xml:space="preserve">BUS-A </v>
          </cell>
          <cell r="G1139">
            <v>311</v>
          </cell>
          <cell r="H1139" t="str">
            <v>BUS-A 311</v>
          </cell>
          <cell r="K1139" t="str">
            <v>Tiller,Mikel G.</v>
          </cell>
          <cell r="N1139">
            <v>3.1930000000000001</v>
          </cell>
          <cell r="O1139">
            <v>3.601</v>
          </cell>
        </row>
        <row r="1140">
          <cell r="E1140" t="str">
            <v>BUS</v>
          </cell>
          <cell r="F1140" t="str">
            <v xml:space="preserve">BUS-A </v>
          </cell>
          <cell r="G1140">
            <v>311</v>
          </cell>
          <cell r="H1140" t="str">
            <v>BUS-A 311</v>
          </cell>
          <cell r="K1140" t="str">
            <v>Tiller,Mikel G.</v>
          </cell>
          <cell r="N1140">
            <v>3.1669999999999998</v>
          </cell>
          <cell r="O1140">
            <v>3.5649999999999999</v>
          </cell>
        </row>
        <row r="1141">
          <cell r="E1141" t="str">
            <v>BUS</v>
          </cell>
          <cell r="F1141" t="str">
            <v xml:space="preserve">BUS-A </v>
          </cell>
          <cell r="G1141">
            <v>311</v>
          </cell>
          <cell r="H1141" t="str">
            <v>BUS-A 311</v>
          </cell>
          <cell r="K1141" t="str">
            <v>Tiller,Mikel G.</v>
          </cell>
          <cell r="N1141">
            <v>2.8260000000000001</v>
          </cell>
          <cell r="O1141">
            <v>3.464</v>
          </cell>
        </row>
        <row r="1142">
          <cell r="E1142" t="str">
            <v>BUS</v>
          </cell>
          <cell r="F1142" t="str">
            <v xml:space="preserve">BUS-A </v>
          </cell>
          <cell r="G1142">
            <v>312</v>
          </cell>
          <cell r="H1142" t="str">
            <v>BUS-A 312</v>
          </cell>
          <cell r="K1142" t="str">
            <v>Arif,Salman</v>
          </cell>
          <cell r="N1142">
            <v>2.74</v>
          </cell>
          <cell r="O1142">
            <v>3.383</v>
          </cell>
        </row>
        <row r="1143">
          <cell r="E1143" t="str">
            <v>BUS</v>
          </cell>
          <cell r="F1143" t="str">
            <v xml:space="preserve">BUS-A </v>
          </cell>
          <cell r="G1143">
            <v>312</v>
          </cell>
          <cell r="H1143" t="str">
            <v>BUS-A 312</v>
          </cell>
          <cell r="K1143" t="str">
            <v>Arif,Salman</v>
          </cell>
          <cell r="N1143">
            <v>2.9049999999999998</v>
          </cell>
          <cell r="O1143">
            <v>3.427</v>
          </cell>
        </row>
        <row r="1144">
          <cell r="E1144" t="str">
            <v>BUS</v>
          </cell>
          <cell r="F1144" t="str">
            <v xml:space="preserve">BUS-A </v>
          </cell>
          <cell r="G1144">
            <v>312</v>
          </cell>
          <cell r="H1144" t="str">
            <v>BUS-A 312</v>
          </cell>
          <cell r="K1144" t="str">
            <v>Arif,Salman</v>
          </cell>
          <cell r="N1144">
            <v>2.9529999999999998</v>
          </cell>
          <cell r="O1144">
            <v>3.411</v>
          </cell>
        </row>
        <row r="1145">
          <cell r="E1145" t="str">
            <v>BUS</v>
          </cell>
          <cell r="F1145" t="str">
            <v xml:space="preserve">BUS-A </v>
          </cell>
          <cell r="G1145">
            <v>312</v>
          </cell>
          <cell r="H1145" t="str">
            <v>BUS-A 312</v>
          </cell>
          <cell r="K1145" t="str">
            <v>Astill,Andrea</v>
          </cell>
          <cell r="N1145">
            <v>2.7080000000000002</v>
          </cell>
          <cell r="O1145">
            <v>3.25</v>
          </cell>
        </row>
        <row r="1146">
          <cell r="E1146" t="str">
            <v>BUS</v>
          </cell>
          <cell r="F1146" t="str">
            <v xml:space="preserve">BUS-A </v>
          </cell>
          <cell r="G1146">
            <v>312</v>
          </cell>
          <cell r="H1146" t="str">
            <v>BUS-A 312</v>
          </cell>
          <cell r="K1146" t="str">
            <v>Astill,Andrea</v>
          </cell>
          <cell r="N1146">
            <v>3.0880000000000001</v>
          </cell>
          <cell r="O1146">
            <v>3.4039999999999999</v>
          </cell>
        </row>
        <row r="1147">
          <cell r="E1147" t="str">
            <v>BUS</v>
          </cell>
          <cell r="F1147" t="str">
            <v xml:space="preserve">BUS-A </v>
          </cell>
          <cell r="G1147">
            <v>312</v>
          </cell>
          <cell r="H1147" t="str">
            <v>BUS-A 312</v>
          </cell>
          <cell r="K1147" t="str">
            <v>Astill,Andrea</v>
          </cell>
          <cell r="N1147">
            <v>2.65</v>
          </cell>
          <cell r="O1147">
            <v>3.4119999999999999</v>
          </cell>
        </row>
        <row r="1148">
          <cell r="E1148" t="str">
            <v>BUS</v>
          </cell>
          <cell r="F1148" t="str">
            <v xml:space="preserve">BUS-A </v>
          </cell>
          <cell r="G1148">
            <v>312</v>
          </cell>
          <cell r="H1148" t="str">
            <v>BUS-A 312</v>
          </cell>
          <cell r="K1148" t="str">
            <v>Parry,Rob</v>
          </cell>
          <cell r="N1148">
            <v>2.8460000000000001</v>
          </cell>
          <cell r="O1148">
            <v>3.4750000000000001</v>
          </cell>
        </row>
        <row r="1149">
          <cell r="E1149" t="str">
            <v>BUS</v>
          </cell>
          <cell r="F1149" t="str">
            <v xml:space="preserve">BUS-A </v>
          </cell>
          <cell r="G1149">
            <v>312</v>
          </cell>
          <cell r="H1149" t="str">
            <v>BUS-A 312</v>
          </cell>
          <cell r="K1149" t="str">
            <v>Parry,Rob</v>
          </cell>
          <cell r="N1149">
            <v>3.016</v>
          </cell>
          <cell r="O1149">
            <v>3.44</v>
          </cell>
        </row>
        <row r="1150">
          <cell r="E1150" t="str">
            <v>BUS</v>
          </cell>
          <cell r="F1150" t="str">
            <v xml:space="preserve">BUS-A </v>
          </cell>
          <cell r="G1150">
            <v>312</v>
          </cell>
          <cell r="H1150" t="str">
            <v>BUS-A 312</v>
          </cell>
          <cell r="K1150" t="str">
            <v>Yohn,Teri Lombardi</v>
          </cell>
          <cell r="N1150">
            <v>2.851</v>
          </cell>
          <cell r="O1150">
            <v>3.5019999999999998</v>
          </cell>
        </row>
        <row r="1151">
          <cell r="E1151" t="str">
            <v>BUS</v>
          </cell>
          <cell r="F1151" t="str">
            <v xml:space="preserve">BUS-A </v>
          </cell>
          <cell r="G1151">
            <v>312</v>
          </cell>
          <cell r="H1151" t="str">
            <v>BUS-A 312</v>
          </cell>
          <cell r="K1151" t="str">
            <v>Yohn,Teri Lombardi</v>
          </cell>
          <cell r="N1151">
            <v>2.7120000000000002</v>
          </cell>
          <cell r="O1151">
            <v>3.367</v>
          </cell>
        </row>
        <row r="1152">
          <cell r="E1152" t="str">
            <v>BUS</v>
          </cell>
          <cell r="F1152" t="str">
            <v xml:space="preserve">BUS-A </v>
          </cell>
          <cell r="G1152">
            <v>324</v>
          </cell>
          <cell r="H1152" t="str">
            <v>BUS-A 324</v>
          </cell>
          <cell r="K1152" t="str">
            <v>Pomeroy,Don</v>
          </cell>
          <cell r="N1152">
            <v>3.5489999999999999</v>
          </cell>
          <cell r="O1152">
            <v>3.4319999999999999</v>
          </cell>
        </row>
        <row r="1153">
          <cell r="E1153" t="str">
            <v>BUS</v>
          </cell>
          <cell r="F1153" t="str">
            <v xml:space="preserve">BUS-A </v>
          </cell>
          <cell r="G1153">
            <v>324</v>
          </cell>
          <cell r="H1153" t="str">
            <v>BUS-A 324</v>
          </cell>
          <cell r="K1153" t="str">
            <v>Pomeroy,Don</v>
          </cell>
          <cell r="N1153">
            <v>3.5019999999999998</v>
          </cell>
          <cell r="O1153">
            <v>3.3519999999999999</v>
          </cell>
        </row>
        <row r="1154">
          <cell r="E1154" t="str">
            <v>BUS</v>
          </cell>
          <cell r="F1154" t="str">
            <v xml:space="preserve">BUS-A </v>
          </cell>
          <cell r="G1154">
            <v>324</v>
          </cell>
          <cell r="H1154" t="str">
            <v>BUS-A 324</v>
          </cell>
          <cell r="K1154" t="str">
            <v>Pomeroy,Don</v>
          </cell>
          <cell r="N1154">
            <v>3.6240000000000001</v>
          </cell>
          <cell r="O1154">
            <v>3.3340000000000001</v>
          </cell>
        </row>
        <row r="1155">
          <cell r="E1155" t="str">
            <v>BUS</v>
          </cell>
          <cell r="F1155" t="str">
            <v xml:space="preserve">BUS-A </v>
          </cell>
          <cell r="G1155">
            <v>324</v>
          </cell>
          <cell r="H1155" t="str">
            <v>BUS-A 324</v>
          </cell>
          <cell r="K1155" t="str">
            <v>Sooy,Matthew Thomas</v>
          </cell>
          <cell r="N1155">
            <v>3.0979999999999999</v>
          </cell>
          <cell r="O1155">
            <v>3.3439999999999999</v>
          </cell>
        </row>
        <row r="1156">
          <cell r="E1156" t="str">
            <v>BUS</v>
          </cell>
          <cell r="F1156" t="str">
            <v xml:space="preserve">BUS-A </v>
          </cell>
          <cell r="G1156">
            <v>324</v>
          </cell>
          <cell r="H1156" t="str">
            <v>BUS-A 324</v>
          </cell>
          <cell r="K1156" t="str">
            <v>Sooy,Matthew Thomas</v>
          </cell>
          <cell r="N1156">
            <v>2.9489999999999998</v>
          </cell>
          <cell r="O1156">
            <v>3.2869999999999999</v>
          </cell>
        </row>
        <row r="1157">
          <cell r="E1157" t="str">
            <v>BUS</v>
          </cell>
          <cell r="F1157" t="str">
            <v xml:space="preserve">BUS-A </v>
          </cell>
          <cell r="G1157">
            <v>324</v>
          </cell>
          <cell r="H1157" t="str">
            <v>BUS-A 324</v>
          </cell>
          <cell r="K1157" t="str">
            <v>Sooy,Matthew Thomas</v>
          </cell>
          <cell r="N1157">
            <v>3.262</v>
          </cell>
          <cell r="O1157">
            <v>3.4449999999999998</v>
          </cell>
        </row>
        <row r="1158">
          <cell r="E1158" t="str">
            <v>BUS</v>
          </cell>
          <cell r="F1158" t="str">
            <v xml:space="preserve">BUS-A </v>
          </cell>
          <cell r="G1158">
            <v>325</v>
          </cell>
          <cell r="H1158" t="str">
            <v>BUS-A 325</v>
          </cell>
          <cell r="K1158" t="str">
            <v>Brown,Jason L</v>
          </cell>
          <cell r="N1158">
            <v>2.93</v>
          </cell>
          <cell r="O1158">
            <v>3.39</v>
          </cell>
        </row>
        <row r="1159">
          <cell r="E1159" t="str">
            <v>BUS</v>
          </cell>
          <cell r="F1159" t="str">
            <v xml:space="preserve">BUS-A </v>
          </cell>
          <cell r="G1159">
            <v>325</v>
          </cell>
          <cell r="H1159" t="str">
            <v>BUS-A 325</v>
          </cell>
          <cell r="K1159" t="str">
            <v>Brown,Jason L</v>
          </cell>
          <cell r="N1159">
            <v>3.073</v>
          </cell>
          <cell r="O1159">
            <v>3.4460000000000002</v>
          </cell>
        </row>
        <row r="1160">
          <cell r="E1160" t="str">
            <v>BUS</v>
          </cell>
          <cell r="F1160" t="str">
            <v xml:space="preserve">BUS-A </v>
          </cell>
          <cell r="G1160">
            <v>325</v>
          </cell>
          <cell r="H1160" t="str">
            <v>BUS-A 325</v>
          </cell>
          <cell r="K1160" t="str">
            <v>Brown,Jason L</v>
          </cell>
          <cell r="N1160">
            <v>2.883</v>
          </cell>
          <cell r="O1160">
            <v>3.39</v>
          </cell>
        </row>
        <row r="1161">
          <cell r="E1161" t="str">
            <v>BUS</v>
          </cell>
          <cell r="F1161" t="str">
            <v xml:space="preserve">BUS-A </v>
          </cell>
          <cell r="G1161">
            <v>325</v>
          </cell>
          <cell r="H1161" t="str">
            <v>BUS-A 325</v>
          </cell>
          <cell r="K1161" t="str">
            <v>Brown,Jason L</v>
          </cell>
          <cell r="N1161">
            <v>3.1440000000000001</v>
          </cell>
          <cell r="O1161">
            <v>3.5680000000000001</v>
          </cell>
        </row>
        <row r="1162">
          <cell r="E1162" t="str">
            <v>BUS</v>
          </cell>
          <cell r="F1162" t="str">
            <v xml:space="preserve">BUS-A </v>
          </cell>
          <cell r="G1162">
            <v>325</v>
          </cell>
          <cell r="H1162" t="str">
            <v>BUS-A 325</v>
          </cell>
          <cell r="K1162" t="str">
            <v>Brown,Jason L</v>
          </cell>
          <cell r="N1162">
            <v>2.7730000000000001</v>
          </cell>
          <cell r="O1162">
            <v>3.484</v>
          </cell>
        </row>
        <row r="1163">
          <cell r="E1163" t="str">
            <v>BUS</v>
          </cell>
          <cell r="F1163" t="str">
            <v xml:space="preserve">BUS-A </v>
          </cell>
          <cell r="G1163">
            <v>325</v>
          </cell>
          <cell r="H1163" t="str">
            <v>BUS-A 325</v>
          </cell>
          <cell r="K1163" t="str">
            <v>Brown,Jason L</v>
          </cell>
          <cell r="N1163">
            <v>3.093</v>
          </cell>
          <cell r="O1163">
            <v>3.5179999999999998</v>
          </cell>
        </row>
        <row r="1164">
          <cell r="E1164" t="str">
            <v>BUS</v>
          </cell>
          <cell r="F1164" t="str">
            <v xml:space="preserve">BUS-A </v>
          </cell>
          <cell r="G1164">
            <v>325</v>
          </cell>
          <cell r="H1164" t="str">
            <v>BUS-A 325</v>
          </cell>
          <cell r="K1164" t="str">
            <v>Cook,Christopher Stephen</v>
          </cell>
          <cell r="N1164">
            <v>2.859</v>
          </cell>
          <cell r="O1164">
            <v>3.4620000000000002</v>
          </cell>
        </row>
        <row r="1165">
          <cell r="E1165" t="str">
            <v>BUS</v>
          </cell>
          <cell r="F1165" t="str">
            <v xml:space="preserve">BUS-A </v>
          </cell>
          <cell r="G1165">
            <v>325</v>
          </cell>
          <cell r="H1165" t="str">
            <v>BUS-A 325</v>
          </cell>
          <cell r="K1165" t="str">
            <v>Cook,Christopher Stephen</v>
          </cell>
          <cell r="N1165">
            <v>3.15</v>
          </cell>
          <cell r="O1165">
            <v>3.496</v>
          </cell>
        </row>
        <row r="1166">
          <cell r="E1166" t="str">
            <v>BUS</v>
          </cell>
          <cell r="F1166" t="str">
            <v xml:space="preserve">BUS-A </v>
          </cell>
          <cell r="G1166">
            <v>325</v>
          </cell>
          <cell r="H1166" t="str">
            <v>BUS-A 325</v>
          </cell>
          <cell r="K1166" t="str">
            <v>Jensen,Anna Kristin</v>
          </cell>
          <cell r="N1166">
            <v>3.1070000000000002</v>
          </cell>
          <cell r="O1166">
            <v>3.3290000000000002</v>
          </cell>
        </row>
        <row r="1167">
          <cell r="E1167" t="str">
            <v>BUS</v>
          </cell>
          <cell r="F1167" t="str">
            <v xml:space="preserve">BUS-A </v>
          </cell>
          <cell r="G1167">
            <v>325</v>
          </cell>
          <cell r="H1167" t="str">
            <v>BUS-A 325</v>
          </cell>
          <cell r="K1167" t="str">
            <v>Jensen,Anna Kristin</v>
          </cell>
          <cell r="N1167">
            <v>3.1160000000000001</v>
          </cell>
          <cell r="O1167">
            <v>3.3530000000000002</v>
          </cell>
        </row>
        <row r="1168">
          <cell r="E1168" t="str">
            <v>BUS</v>
          </cell>
          <cell r="F1168" t="str">
            <v xml:space="preserve">BUS-A </v>
          </cell>
          <cell r="G1168">
            <v>325</v>
          </cell>
          <cell r="H1168" t="str">
            <v>BUS-A 325</v>
          </cell>
          <cell r="K1168" t="str">
            <v>Jensen,Anna Kristin</v>
          </cell>
          <cell r="N1168">
            <v>3.0110000000000001</v>
          </cell>
          <cell r="O1168">
            <v>3.2719999999999998</v>
          </cell>
        </row>
        <row r="1169">
          <cell r="E1169" t="str">
            <v>BUS</v>
          </cell>
          <cell r="F1169" t="str">
            <v xml:space="preserve">BUS-A </v>
          </cell>
          <cell r="G1169">
            <v>325</v>
          </cell>
          <cell r="H1169" t="str">
            <v>BUS-A 325</v>
          </cell>
          <cell r="K1169" t="str">
            <v>Pomeroy,Don</v>
          </cell>
          <cell r="N1169">
            <v>3.2280000000000002</v>
          </cell>
          <cell r="O1169">
            <v>3.411</v>
          </cell>
        </row>
        <row r="1170">
          <cell r="E1170" t="str">
            <v>BUS</v>
          </cell>
          <cell r="F1170" t="str">
            <v xml:space="preserve">BUS-A </v>
          </cell>
          <cell r="G1170">
            <v>325</v>
          </cell>
          <cell r="H1170" t="str">
            <v>BUS-A 325</v>
          </cell>
          <cell r="K1170" t="str">
            <v>Pomeroy,Don</v>
          </cell>
          <cell r="N1170">
            <v>3.2349999999999999</v>
          </cell>
          <cell r="O1170">
            <v>3.4</v>
          </cell>
        </row>
        <row r="1171">
          <cell r="E1171" t="str">
            <v>BUS</v>
          </cell>
          <cell r="F1171" t="str">
            <v xml:space="preserve">BUS-A </v>
          </cell>
          <cell r="G1171">
            <v>325</v>
          </cell>
          <cell r="H1171" t="str">
            <v>BUS-A 325</v>
          </cell>
          <cell r="K1171" t="str">
            <v>Thomas,Jeff</v>
          </cell>
          <cell r="N1171">
            <v>3.2050000000000001</v>
          </cell>
          <cell r="O1171">
            <v>3.448</v>
          </cell>
        </row>
        <row r="1172">
          <cell r="E1172" t="str">
            <v>BUS</v>
          </cell>
          <cell r="F1172" t="str">
            <v xml:space="preserve">BUS-A </v>
          </cell>
          <cell r="G1172">
            <v>327</v>
          </cell>
          <cell r="H1172" t="str">
            <v>BUS-A 327</v>
          </cell>
          <cell r="K1172" t="str">
            <v>Stern,Jerrold J</v>
          </cell>
          <cell r="N1172">
            <v>2.9239999999999999</v>
          </cell>
          <cell r="O1172">
            <v>3.3220000000000001</v>
          </cell>
        </row>
        <row r="1173">
          <cell r="E1173" t="str">
            <v>BUS</v>
          </cell>
          <cell r="F1173" t="str">
            <v xml:space="preserve">BUS-A </v>
          </cell>
          <cell r="G1173">
            <v>327</v>
          </cell>
          <cell r="H1173" t="str">
            <v>BUS-A 327</v>
          </cell>
          <cell r="K1173" t="str">
            <v>Stern,Jerrold J</v>
          </cell>
          <cell r="N1173">
            <v>3.125</v>
          </cell>
          <cell r="O1173">
            <v>3.3010000000000002</v>
          </cell>
        </row>
        <row r="1174">
          <cell r="E1174" t="str">
            <v>BUS</v>
          </cell>
          <cell r="F1174" t="str">
            <v xml:space="preserve">BUS-A </v>
          </cell>
          <cell r="G1174">
            <v>327</v>
          </cell>
          <cell r="H1174" t="str">
            <v>BUS-A 327</v>
          </cell>
          <cell r="K1174" t="str">
            <v>Stern,Jerrold J</v>
          </cell>
          <cell r="N1174">
            <v>2.9820000000000002</v>
          </cell>
          <cell r="O1174">
            <v>3.4129999999999998</v>
          </cell>
        </row>
        <row r="1175">
          <cell r="E1175" t="str">
            <v>BUS</v>
          </cell>
          <cell r="F1175" t="str">
            <v xml:space="preserve">BUS-A </v>
          </cell>
          <cell r="G1175">
            <v>327</v>
          </cell>
          <cell r="H1175" t="str">
            <v>BUS-A 327</v>
          </cell>
          <cell r="K1175" t="str">
            <v>Stern,Jerrold J</v>
          </cell>
          <cell r="N1175">
            <v>2.7719999999999998</v>
          </cell>
          <cell r="O1175">
            <v>3.2679999999999998</v>
          </cell>
        </row>
        <row r="1176">
          <cell r="E1176" t="str">
            <v>BUS</v>
          </cell>
          <cell r="F1176" t="str">
            <v xml:space="preserve">BUS-A </v>
          </cell>
          <cell r="G1176">
            <v>327</v>
          </cell>
          <cell r="H1176" t="str">
            <v>BUS-A 327</v>
          </cell>
          <cell r="K1176" t="str">
            <v>Stern,Jerrold J</v>
          </cell>
          <cell r="N1176">
            <v>2.9249999999999998</v>
          </cell>
          <cell r="O1176">
            <v>3.3370000000000002</v>
          </cell>
        </row>
        <row r="1177">
          <cell r="E1177" t="str">
            <v>BUS</v>
          </cell>
          <cell r="F1177" t="str">
            <v xml:space="preserve">BUS-A </v>
          </cell>
          <cell r="G1177">
            <v>327</v>
          </cell>
          <cell r="H1177" t="str">
            <v>BUS-A 327</v>
          </cell>
          <cell r="K1177" t="str">
            <v>Stern,Jerrold J</v>
          </cell>
          <cell r="N1177">
            <v>2.87</v>
          </cell>
          <cell r="O1177">
            <v>3.3029999999999999</v>
          </cell>
        </row>
        <row r="1178">
          <cell r="E1178" t="str">
            <v>BUS</v>
          </cell>
          <cell r="F1178" t="str">
            <v xml:space="preserve">BUS-A </v>
          </cell>
          <cell r="G1178">
            <v>327</v>
          </cell>
          <cell r="H1178" t="str">
            <v>BUS-A 327</v>
          </cell>
          <cell r="K1178" t="str">
            <v>Stern,Jerrold J</v>
          </cell>
          <cell r="N1178">
            <v>2.5569999999999999</v>
          </cell>
          <cell r="O1178">
            <v>3.3039999999999998</v>
          </cell>
        </row>
        <row r="1179">
          <cell r="E1179" t="str">
            <v>BUS</v>
          </cell>
          <cell r="F1179" t="str">
            <v xml:space="preserve">BUS-A </v>
          </cell>
          <cell r="G1179">
            <v>327</v>
          </cell>
          <cell r="H1179" t="str">
            <v>BUS-A 327</v>
          </cell>
          <cell r="K1179" t="str">
            <v>Stern,Jerrold J</v>
          </cell>
          <cell r="N1179">
            <v>2.964</v>
          </cell>
          <cell r="O1179">
            <v>3.3559999999999999</v>
          </cell>
        </row>
        <row r="1180">
          <cell r="E1180" t="str">
            <v>BUS</v>
          </cell>
          <cell r="F1180" t="str">
            <v xml:space="preserve">BUS-A </v>
          </cell>
          <cell r="G1180">
            <v>329</v>
          </cell>
          <cell r="H1180" t="str">
            <v>BUS-A 329</v>
          </cell>
          <cell r="K1180" t="str">
            <v>Hite,Peggy A.</v>
          </cell>
          <cell r="N1180">
            <v>2.9</v>
          </cell>
          <cell r="O1180">
            <v>3.306</v>
          </cell>
        </row>
        <row r="1181">
          <cell r="E1181" t="str">
            <v>BUS</v>
          </cell>
          <cell r="F1181" t="str">
            <v xml:space="preserve">BUS-A </v>
          </cell>
          <cell r="G1181">
            <v>329</v>
          </cell>
          <cell r="H1181" t="str">
            <v>BUS-A 329</v>
          </cell>
          <cell r="K1181" t="str">
            <v>Hite,Peggy A.</v>
          </cell>
          <cell r="N1181">
            <v>2.5070000000000001</v>
          </cell>
          <cell r="O1181">
            <v>3.2429999999999999</v>
          </cell>
        </row>
        <row r="1182">
          <cell r="E1182" t="str">
            <v>BUS</v>
          </cell>
          <cell r="F1182" t="str">
            <v xml:space="preserve">BUS-A </v>
          </cell>
          <cell r="G1182">
            <v>329</v>
          </cell>
          <cell r="H1182" t="str">
            <v>BUS-A 329</v>
          </cell>
          <cell r="K1182" t="str">
            <v>Kennedy,Thomas Grey</v>
          </cell>
          <cell r="N1182">
            <v>2.97</v>
          </cell>
          <cell r="O1182">
            <v>3.43</v>
          </cell>
        </row>
        <row r="1183">
          <cell r="E1183" t="str">
            <v>BUS</v>
          </cell>
          <cell r="F1183" t="str">
            <v xml:space="preserve">BUS-A </v>
          </cell>
          <cell r="G1183">
            <v>329</v>
          </cell>
          <cell r="H1183" t="str">
            <v>BUS-A 329</v>
          </cell>
          <cell r="K1183" t="str">
            <v>Kennedy,Thomas Grey</v>
          </cell>
          <cell r="N1183">
            <v>2.91</v>
          </cell>
          <cell r="O1183">
            <v>3.3370000000000002</v>
          </cell>
        </row>
        <row r="1184">
          <cell r="E1184" t="str">
            <v>BUS</v>
          </cell>
          <cell r="F1184" t="str">
            <v xml:space="preserve">BUS-A </v>
          </cell>
          <cell r="G1184">
            <v>329</v>
          </cell>
          <cell r="H1184" t="str">
            <v>BUS-A 329</v>
          </cell>
          <cell r="K1184" t="str">
            <v>Kennedy,Thomas Grey</v>
          </cell>
          <cell r="N1184">
            <v>2.7570000000000001</v>
          </cell>
          <cell r="O1184">
            <v>3.427</v>
          </cell>
        </row>
        <row r="1185">
          <cell r="E1185" t="str">
            <v>BUS</v>
          </cell>
          <cell r="F1185" t="str">
            <v xml:space="preserve">BUS-A </v>
          </cell>
          <cell r="G1185">
            <v>329</v>
          </cell>
          <cell r="H1185" t="str">
            <v>BUS-A 329</v>
          </cell>
          <cell r="K1185" t="str">
            <v>Owen,Sandra H</v>
          </cell>
          <cell r="N1185">
            <v>2.7850000000000001</v>
          </cell>
          <cell r="O1185">
            <v>3.3980000000000001</v>
          </cell>
        </row>
        <row r="1186">
          <cell r="E1186" t="str">
            <v>BUS</v>
          </cell>
          <cell r="F1186" t="str">
            <v xml:space="preserve">BUS-A </v>
          </cell>
          <cell r="G1186">
            <v>329</v>
          </cell>
          <cell r="H1186" t="str">
            <v>BUS-A 329</v>
          </cell>
          <cell r="K1186" t="str">
            <v>Owen,Sandra H</v>
          </cell>
          <cell r="N1186">
            <v>3.0049999999999999</v>
          </cell>
          <cell r="O1186">
            <v>3.5430000000000001</v>
          </cell>
        </row>
        <row r="1187">
          <cell r="E1187" t="str">
            <v>BUS</v>
          </cell>
          <cell r="F1187" t="str">
            <v xml:space="preserve">BUS-A </v>
          </cell>
          <cell r="G1187">
            <v>329</v>
          </cell>
          <cell r="H1187" t="str">
            <v>BUS-A 329</v>
          </cell>
          <cell r="K1187" t="str">
            <v>Owen,Sandra H</v>
          </cell>
          <cell r="N1187">
            <v>2.9049999999999998</v>
          </cell>
          <cell r="O1187">
            <v>3.4430000000000001</v>
          </cell>
        </row>
        <row r="1188">
          <cell r="E1188" t="str">
            <v>BUS</v>
          </cell>
          <cell r="F1188" t="str">
            <v xml:space="preserve">BUS-A </v>
          </cell>
          <cell r="G1188">
            <v>329</v>
          </cell>
          <cell r="H1188" t="str">
            <v>BUS-A 329</v>
          </cell>
          <cell r="K1188" t="str">
            <v>Rego,Sonja Olhoft</v>
          </cell>
          <cell r="N1188">
            <v>2.9609999999999999</v>
          </cell>
          <cell r="O1188">
            <v>3.4710000000000001</v>
          </cell>
        </row>
        <row r="1189">
          <cell r="E1189" t="str">
            <v>BUS</v>
          </cell>
          <cell r="F1189" t="str">
            <v xml:space="preserve">BUS-A </v>
          </cell>
          <cell r="G1189">
            <v>329</v>
          </cell>
          <cell r="H1189" t="str">
            <v>BUS-A 329</v>
          </cell>
          <cell r="K1189" t="str">
            <v>Rego,Sonja Olhoft</v>
          </cell>
          <cell r="N1189">
            <v>2.7410000000000001</v>
          </cell>
          <cell r="O1189">
            <v>3.39</v>
          </cell>
        </row>
        <row r="1190">
          <cell r="E1190" t="str">
            <v>BUS</v>
          </cell>
          <cell r="F1190" t="str">
            <v xml:space="preserve">BUS-A </v>
          </cell>
          <cell r="G1190">
            <v>329</v>
          </cell>
          <cell r="H1190" t="str">
            <v>BUS-A 329</v>
          </cell>
          <cell r="K1190" t="str">
            <v>Rego,Sonja Olhoft</v>
          </cell>
          <cell r="N1190">
            <v>2.9620000000000002</v>
          </cell>
          <cell r="O1190">
            <v>3.4180000000000001</v>
          </cell>
        </row>
        <row r="1191">
          <cell r="E1191" t="str">
            <v>BUS</v>
          </cell>
          <cell r="F1191" t="str">
            <v xml:space="preserve">BUS-A </v>
          </cell>
          <cell r="G1191">
            <v>337</v>
          </cell>
          <cell r="H1191" t="str">
            <v>BUS-A 337</v>
          </cell>
          <cell r="K1191" t="str">
            <v>Bhagwatwar,Akshay</v>
          </cell>
          <cell r="N1191">
            <v>3.3250000000000002</v>
          </cell>
          <cell r="O1191">
            <v>3.4089999999999998</v>
          </cell>
        </row>
        <row r="1192">
          <cell r="E1192" t="str">
            <v>BUS</v>
          </cell>
          <cell r="F1192" t="str">
            <v xml:space="preserve">BUS-A </v>
          </cell>
          <cell r="G1192">
            <v>337</v>
          </cell>
          <cell r="H1192" t="str">
            <v>BUS-A 337</v>
          </cell>
          <cell r="K1192" t="str">
            <v>Byrer,Joyce Kay</v>
          </cell>
          <cell r="N1192">
            <v>3.363</v>
          </cell>
          <cell r="O1192">
            <v>3.4209999999999998</v>
          </cell>
        </row>
        <row r="1193">
          <cell r="E1193" t="str">
            <v>BUS</v>
          </cell>
          <cell r="F1193" t="str">
            <v xml:space="preserve">BUS-A </v>
          </cell>
          <cell r="G1193">
            <v>337</v>
          </cell>
          <cell r="H1193" t="str">
            <v>BUS-A 337</v>
          </cell>
          <cell r="K1193" t="str">
            <v>Byrer,Joyce Kay</v>
          </cell>
          <cell r="N1193">
            <v>3.3540000000000001</v>
          </cell>
          <cell r="O1193">
            <v>3.4529999999999998</v>
          </cell>
        </row>
        <row r="1194">
          <cell r="E1194" t="str">
            <v>BUS</v>
          </cell>
          <cell r="F1194" t="str">
            <v xml:space="preserve">BUS-A </v>
          </cell>
          <cell r="G1194">
            <v>337</v>
          </cell>
          <cell r="H1194" t="str">
            <v>BUS-A 337</v>
          </cell>
          <cell r="K1194" t="str">
            <v>Byrer,Joyce Kay</v>
          </cell>
          <cell r="N1194">
            <v>3.431</v>
          </cell>
          <cell r="O1194">
            <v>3.4209999999999998</v>
          </cell>
        </row>
        <row r="1195">
          <cell r="E1195" t="str">
            <v>BUS</v>
          </cell>
          <cell r="F1195" t="str">
            <v xml:space="preserve">BUS-A </v>
          </cell>
          <cell r="G1195">
            <v>337</v>
          </cell>
          <cell r="H1195" t="str">
            <v>BUS-A 337</v>
          </cell>
          <cell r="K1195" t="str">
            <v>Byrer,Joyce Kay</v>
          </cell>
          <cell r="N1195">
            <v>3.3090000000000002</v>
          </cell>
          <cell r="O1195">
            <v>3.3420000000000001</v>
          </cell>
        </row>
        <row r="1196">
          <cell r="E1196" t="str">
            <v>BUS</v>
          </cell>
          <cell r="F1196" t="str">
            <v xml:space="preserve">BUS-A </v>
          </cell>
          <cell r="G1196">
            <v>337</v>
          </cell>
          <cell r="H1196" t="str">
            <v>BUS-A 337</v>
          </cell>
          <cell r="K1196" t="str">
            <v>Byrer,Joyce Kay</v>
          </cell>
          <cell r="N1196">
            <v>2.6669999999999998</v>
          </cell>
          <cell r="O1196">
            <v>3.2090000000000001</v>
          </cell>
        </row>
        <row r="1197">
          <cell r="E1197" t="str">
            <v>BUS</v>
          </cell>
          <cell r="F1197" t="str">
            <v xml:space="preserve">BUS-A </v>
          </cell>
          <cell r="G1197">
            <v>337</v>
          </cell>
          <cell r="H1197" t="str">
            <v>BUS-A 337</v>
          </cell>
          <cell r="K1197" t="str">
            <v>Woodhouse,Douglas</v>
          </cell>
          <cell r="N1197">
            <v>3.645</v>
          </cell>
          <cell r="O1197">
            <v>3.4729999999999999</v>
          </cell>
        </row>
        <row r="1198">
          <cell r="E1198" t="str">
            <v>BUS</v>
          </cell>
          <cell r="F1198" t="str">
            <v xml:space="preserve">BUS-A </v>
          </cell>
          <cell r="G1198">
            <v>337</v>
          </cell>
          <cell r="H1198" t="str">
            <v>BUS-A 337</v>
          </cell>
          <cell r="K1198" t="str">
            <v>Woodhouse,Douglas</v>
          </cell>
          <cell r="N1198">
            <v>3.6619999999999999</v>
          </cell>
          <cell r="O1198">
            <v>3.5169999999999999</v>
          </cell>
        </row>
        <row r="1199">
          <cell r="E1199" t="str">
            <v>BUS</v>
          </cell>
          <cell r="F1199" t="str">
            <v xml:space="preserve">BUS-A </v>
          </cell>
          <cell r="G1199">
            <v>337</v>
          </cell>
          <cell r="H1199" t="str">
            <v>BUS-A 337</v>
          </cell>
          <cell r="K1199" t="str">
            <v>Woodhouse,Douglas</v>
          </cell>
          <cell r="N1199">
            <v>3.367</v>
          </cell>
          <cell r="O1199">
            <v>3.274</v>
          </cell>
        </row>
        <row r="1200">
          <cell r="E1200" t="str">
            <v>BUS</v>
          </cell>
          <cell r="F1200" t="str">
            <v xml:space="preserve">BUS-A </v>
          </cell>
          <cell r="G1200">
            <v>337</v>
          </cell>
          <cell r="H1200" t="str">
            <v>BUS-A 337</v>
          </cell>
          <cell r="K1200" t="str">
            <v>Woodhouse,Douglas</v>
          </cell>
          <cell r="N1200">
            <v>3.3769999999999998</v>
          </cell>
          <cell r="O1200">
            <v>3.4380000000000002</v>
          </cell>
        </row>
        <row r="1201">
          <cell r="E1201" t="str">
            <v>BUS</v>
          </cell>
          <cell r="F1201" t="str">
            <v xml:space="preserve">BUS-A </v>
          </cell>
          <cell r="G1201">
            <v>337</v>
          </cell>
          <cell r="H1201" t="str">
            <v>BUS-A 337</v>
          </cell>
          <cell r="K1201" t="str">
            <v>Woodhouse,Douglas</v>
          </cell>
          <cell r="N1201">
            <v>3.391</v>
          </cell>
          <cell r="O1201">
            <v>3.411</v>
          </cell>
        </row>
        <row r="1202">
          <cell r="E1202" t="str">
            <v>BUS</v>
          </cell>
          <cell r="F1202" t="str">
            <v xml:space="preserve">BUS-A </v>
          </cell>
          <cell r="G1202">
            <v>337</v>
          </cell>
          <cell r="H1202" t="str">
            <v>BUS-A 337</v>
          </cell>
          <cell r="K1202" t="str">
            <v>Woodhouse,Douglas</v>
          </cell>
          <cell r="N1202">
            <v>3.4969999999999999</v>
          </cell>
          <cell r="O1202">
            <v>3.4710000000000001</v>
          </cell>
        </row>
        <row r="1203">
          <cell r="E1203" t="str">
            <v>BUS</v>
          </cell>
          <cell r="F1203" t="str">
            <v xml:space="preserve">BUS-A </v>
          </cell>
          <cell r="G1203">
            <v>337</v>
          </cell>
          <cell r="H1203" t="str">
            <v>BUS-A 337</v>
          </cell>
          <cell r="K1203" t="str">
            <v>Woodhouse,Douglas</v>
          </cell>
          <cell r="N1203">
            <v>3.5</v>
          </cell>
          <cell r="O1203">
            <v>3.3679999999999999</v>
          </cell>
        </row>
        <row r="1204">
          <cell r="E1204" t="str">
            <v>BUS</v>
          </cell>
          <cell r="F1204" t="str">
            <v xml:space="preserve">BUS-A </v>
          </cell>
          <cell r="G1204">
            <v>422</v>
          </cell>
          <cell r="H1204" t="str">
            <v>BUS-A 422</v>
          </cell>
          <cell r="K1204" t="str">
            <v>Astill,Andrea</v>
          </cell>
          <cell r="N1204">
            <v>3.0779999999999998</v>
          </cell>
          <cell r="O1204">
            <v>3.4649999999999999</v>
          </cell>
        </row>
        <row r="1205">
          <cell r="E1205" t="str">
            <v>BUS</v>
          </cell>
          <cell r="F1205" t="str">
            <v xml:space="preserve">BUS-A </v>
          </cell>
          <cell r="G1205">
            <v>422</v>
          </cell>
          <cell r="H1205" t="str">
            <v>BUS-A 422</v>
          </cell>
          <cell r="K1205" t="str">
            <v>Astill,Andrea</v>
          </cell>
          <cell r="N1205">
            <v>3.0670000000000002</v>
          </cell>
          <cell r="O1205">
            <v>3.3639999999999999</v>
          </cell>
        </row>
        <row r="1206">
          <cell r="E1206" t="str">
            <v>BUS</v>
          </cell>
          <cell r="F1206" t="str">
            <v xml:space="preserve">BUS-A </v>
          </cell>
          <cell r="G1206">
            <v>422</v>
          </cell>
          <cell r="H1206" t="str">
            <v>BUS-A 422</v>
          </cell>
          <cell r="K1206" t="str">
            <v>Burnett,Brian</v>
          </cell>
          <cell r="N1206">
            <v>2.69</v>
          </cell>
          <cell r="O1206">
            <v>3.37</v>
          </cell>
        </row>
        <row r="1207">
          <cell r="E1207" t="str">
            <v>BUS</v>
          </cell>
          <cell r="F1207" t="str">
            <v xml:space="preserve">BUS-A </v>
          </cell>
          <cell r="G1207">
            <v>422</v>
          </cell>
          <cell r="H1207" t="str">
            <v>BUS-A 422</v>
          </cell>
          <cell r="K1207" t="str">
            <v>Burnett,Brian</v>
          </cell>
          <cell r="N1207">
            <v>3.109</v>
          </cell>
          <cell r="O1207">
            <v>3.589</v>
          </cell>
        </row>
        <row r="1208">
          <cell r="E1208" t="str">
            <v>BUS</v>
          </cell>
          <cell r="F1208" t="str">
            <v xml:space="preserve">BUS-A </v>
          </cell>
          <cell r="G1208">
            <v>422</v>
          </cell>
          <cell r="H1208" t="str">
            <v>BUS-A 422</v>
          </cell>
          <cell r="K1208" t="str">
            <v>Burnett,Brian</v>
          </cell>
          <cell r="N1208">
            <v>2.968</v>
          </cell>
          <cell r="O1208">
            <v>3.4670000000000001</v>
          </cell>
        </row>
        <row r="1209">
          <cell r="E1209" t="str">
            <v>BUS</v>
          </cell>
          <cell r="F1209" t="str">
            <v xml:space="preserve">BUS-A </v>
          </cell>
          <cell r="G1209">
            <v>422</v>
          </cell>
          <cell r="H1209" t="str">
            <v>BUS-A 422</v>
          </cell>
          <cell r="K1209" t="str">
            <v>Burnett,Brian</v>
          </cell>
          <cell r="N1209">
            <v>3.0259999999999998</v>
          </cell>
          <cell r="O1209">
            <v>3.4750000000000001</v>
          </cell>
        </row>
        <row r="1210">
          <cell r="E1210" t="str">
            <v>BUS</v>
          </cell>
          <cell r="F1210" t="str">
            <v xml:space="preserve">BUS-A </v>
          </cell>
          <cell r="G1210">
            <v>424</v>
          </cell>
          <cell r="H1210" t="str">
            <v>BUS-A 424</v>
          </cell>
          <cell r="K1210" t="str">
            <v>Evans,Mark E</v>
          </cell>
          <cell r="N1210">
            <v>3.2330000000000001</v>
          </cell>
          <cell r="O1210">
            <v>3.4769999999999999</v>
          </cell>
        </row>
        <row r="1211">
          <cell r="E1211" t="str">
            <v>BUS</v>
          </cell>
          <cell r="F1211" t="str">
            <v xml:space="preserve">BUS-A </v>
          </cell>
          <cell r="G1211">
            <v>424</v>
          </cell>
          <cell r="H1211" t="str">
            <v>BUS-A 424</v>
          </cell>
          <cell r="K1211" t="str">
            <v>Evans,Mark E</v>
          </cell>
          <cell r="N1211">
            <v>3.1629999999999998</v>
          </cell>
          <cell r="O1211">
            <v>3.4449999999999998</v>
          </cell>
        </row>
        <row r="1212">
          <cell r="E1212" t="str">
            <v>BUS</v>
          </cell>
          <cell r="F1212" t="str">
            <v xml:space="preserve">BUS-A </v>
          </cell>
          <cell r="G1212">
            <v>424</v>
          </cell>
          <cell r="H1212" t="str">
            <v>BUS-A 424</v>
          </cell>
          <cell r="K1212" t="str">
            <v>Evans,Mark E</v>
          </cell>
          <cell r="N1212">
            <v>3.331</v>
          </cell>
          <cell r="O1212">
            <v>3.484</v>
          </cell>
        </row>
        <row r="1213">
          <cell r="E1213" t="str">
            <v>BUS</v>
          </cell>
          <cell r="F1213" t="str">
            <v xml:space="preserve">BUS-A </v>
          </cell>
          <cell r="G1213">
            <v>424</v>
          </cell>
          <cell r="H1213" t="str">
            <v>BUS-A 424</v>
          </cell>
          <cell r="K1213" t="str">
            <v>Romi,Andrea Marie</v>
          </cell>
          <cell r="N1213">
            <v>3.03</v>
          </cell>
          <cell r="O1213">
            <v>3.444</v>
          </cell>
        </row>
        <row r="1214">
          <cell r="E1214" t="str">
            <v>BUS</v>
          </cell>
          <cell r="F1214" t="str">
            <v xml:space="preserve">BUS-A </v>
          </cell>
          <cell r="G1214">
            <v>424</v>
          </cell>
          <cell r="H1214" t="str">
            <v>BUS-A 424</v>
          </cell>
          <cell r="K1214" t="str">
            <v>Romi,Andrea Marie</v>
          </cell>
          <cell r="N1214">
            <v>3.0640000000000001</v>
          </cell>
          <cell r="O1214">
            <v>3.56</v>
          </cell>
        </row>
        <row r="1215">
          <cell r="E1215" t="str">
            <v>BUS</v>
          </cell>
          <cell r="F1215" t="str">
            <v xml:space="preserve">BUS-A </v>
          </cell>
          <cell r="G1215">
            <v>424</v>
          </cell>
          <cell r="H1215" t="str">
            <v>BUS-A 424</v>
          </cell>
          <cell r="K1215" t="str">
            <v>Shepardson,Marcy</v>
          </cell>
          <cell r="N1215">
            <v>3.4470000000000001</v>
          </cell>
          <cell r="O1215">
            <v>3.3839999999999999</v>
          </cell>
        </row>
        <row r="1216">
          <cell r="E1216" t="str">
            <v>BUS</v>
          </cell>
          <cell r="F1216" t="str">
            <v xml:space="preserve">BUS-A </v>
          </cell>
          <cell r="G1216">
            <v>424</v>
          </cell>
          <cell r="H1216" t="str">
            <v>BUS-A 424</v>
          </cell>
          <cell r="K1216" t="str">
            <v>Shepardson,Marcy</v>
          </cell>
          <cell r="N1216">
            <v>3.298</v>
          </cell>
          <cell r="O1216">
            <v>3.379</v>
          </cell>
        </row>
        <row r="1217">
          <cell r="E1217" t="str">
            <v>BUS</v>
          </cell>
          <cell r="F1217" t="str">
            <v xml:space="preserve">BUS-A </v>
          </cell>
          <cell r="G1217">
            <v>437</v>
          </cell>
          <cell r="H1217" t="str">
            <v>BUS-A 437</v>
          </cell>
          <cell r="K1217" t="str">
            <v>Campbell,Terry Lee</v>
          </cell>
          <cell r="N1217">
            <v>3.4630000000000001</v>
          </cell>
          <cell r="O1217">
            <v>3.3250000000000002</v>
          </cell>
        </row>
        <row r="1218">
          <cell r="E1218" t="str">
            <v>BUS</v>
          </cell>
          <cell r="F1218" t="str">
            <v xml:space="preserve">BUS-A </v>
          </cell>
          <cell r="G1218">
            <v>437</v>
          </cell>
          <cell r="H1218" t="str">
            <v>BUS-A 437</v>
          </cell>
          <cell r="K1218" t="str">
            <v>Campbell,Terry Lee</v>
          </cell>
          <cell r="N1218">
            <v>3.444</v>
          </cell>
          <cell r="O1218">
            <v>3.3730000000000002</v>
          </cell>
        </row>
        <row r="1219">
          <cell r="E1219" t="str">
            <v>BUS</v>
          </cell>
          <cell r="F1219" t="str">
            <v xml:space="preserve">BUS-A </v>
          </cell>
          <cell r="G1219">
            <v>437</v>
          </cell>
          <cell r="H1219" t="str">
            <v>BUS-A 437</v>
          </cell>
          <cell r="K1219" t="str">
            <v>Campbell,Terry Lee</v>
          </cell>
          <cell r="N1219">
            <v>3.5219999999999998</v>
          </cell>
          <cell r="O1219">
            <v>3.2970000000000002</v>
          </cell>
        </row>
        <row r="1220">
          <cell r="E1220" t="str">
            <v>BUS</v>
          </cell>
          <cell r="F1220" t="str">
            <v xml:space="preserve">BUS-A </v>
          </cell>
          <cell r="G1220">
            <v>504</v>
          </cell>
          <cell r="H1220" t="str">
            <v>BUS-A 504</v>
          </cell>
          <cell r="K1220" t="str">
            <v>Cook,Christopher Stephen</v>
          </cell>
          <cell r="N1220">
            <v>3.5470000000000002</v>
          </cell>
          <cell r="O1220">
            <v>3.5680000000000001</v>
          </cell>
        </row>
        <row r="1221">
          <cell r="E1221" t="str">
            <v>BUS</v>
          </cell>
          <cell r="F1221" t="str">
            <v xml:space="preserve">BUS-A </v>
          </cell>
          <cell r="G1221">
            <v>505</v>
          </cell>
          <cell r="H1221" t="str">
            <v>BUS-A 505</v>
          </cell>
          <cell r="K1221" t="str">
            <v>Greene,David Elsworth</v>
          </cell>
          <cell r="N1221" t="str">
            <v>NR</v>
          </cell>
          <cell r="O1221" t="str">
            <v>NR</v>
          </cell>
        </row>
        <row r="1222">
          <cell r="E1222" t="str">
            <v>BUS</v>
          </cell>
          <cell r="F1222" t="str">
            <v xml:space="preserve">BUS-A </v>
          </cell>
          <cell r="G1222">
            <v>505</v>
          </cell>
          <cell r="H1222" t="str">
            <v>BUS-A 505</v>
          </cell>
          <cell r="K1222" t="str">
            <v>Greene,David Elsworth</v>
          </cell>
          <cell r="N1222" t="str">
            <v>NR</v>
          </cell>
          <cell r="O1222" t="str">
            <v>NR</v>
          </cell>
        </row>
        <row r="1223">
          <cell r="E1223" t="str">
            <v>BUS</v>
          </cell>
          <cell r="F1223" t="str">
            <v xml:space="preserve">BUS-A </v>
          </cell>
          <cell r="G1223">
            <v>509</v>
          </cell>
          <cell r="H1223" t="str">
            <v>BUS-A 509</v>
          </cell>
          <cell r="K1223" t="str">
            <v>Campbell,Terry Lee</v>
          </cell>
          <cell r="N1223">
            <v>3.9039999999999999</v>
          </cell>
          <cell r="O1223">
            <v>3.6880000000000002</v>
          </cell>
        </row>
        <row r="1224">
          <cell r="E1224" t="str">
            <v>BUS</v>
          </cell>
          <cell r="F1224" t="str">
            <v xml:space="preserve">BUS-A </v>
          </cell>
          <cell r="G1224">
            <v>509</v>
          </cell>
          <cell r="H1224" t="str">
            <v>BUS-A 509</v>
          </cell>
          <cell r="K1224" t="str">
            <v>Greene,David Elsworth</v>
          </cell>
          <cell r="N1224">
            <v>3.641</v>
          </cell>
          <cell r="O1224">
            <v>3.5649999999999999</v>
          </cell>
        </row>
        <row r="1225">
          <cell r="E1225" t="str">
            <v>BUS</v>
          </cell>
          <cell r="F1225" t="str">
            <v xml:space="preserve">BUS-A </v>
          </cell>
          <cell r="G1225">
            <v>509</v>
          </cell>
          <cell r="H1225" t="str">
            <v>BUS-A 509</v>
          </cell>
          <cell r="K1225" t="str">
            <v>Hill,John W.</v>
          </cell>
          <cell r="N1225">
            <v>3.6739999999999999</v>
          </cell>
          <cell r="O1225">
            <v>3.5470000000000002</v>
          </cell>
        </row>
        <row r="1226">
          <cell r="E1226" t="str">
            <v>BUS</v>
          </cell>
          <cell r="F1226" t="str">
            <v xml:space="preserve">BUS-A </v>
          </cell>
          <cell r="G1226">
            <v>509</v>
          </cell>
          <cell r="H1226" t="str">
            <v>BUS-A 509</v>
          </cell>
          <cell r="K1226" t="str">
            <v>Wachholz,Art</v>
          </cell>
          <cell r="N1226">
            <v>3.5710000000000002</v>
          </cell>
          <cell r="O1226">
            <v>3.71</v>
          </cell>
        </row>
        <row r="1227">
          <cell r="E1227" t="str">
            <v>BUS</v>
          </cell>
          <cell r="F1227" t="str">
            <v xml:space="preserve">BUS-A </v>
          </cell>
          <cell r="G1227">
            <v>514</v>
          </cell>
          <cell r="H1227" t="str">
            <v>BUS-A 514</v>
          </cell>
          <cell r="K1227" t="str">
            <v>Shepardson,Marcy</v>
          </cell>
          <cell r="N1227">
            <v>3.4830000000000001</v>
          </cell>
          <cell r="O1227">
            <v>3.5649999999999999</v>
          </cell>
        </row>
        <row r="1228">
          <cell r="E1228" t="str">
            <v>BUS</v>
          </cell>
          <cell r="F1228" t="str">
            <v xml:space="preserve">BUS-A </v>
          </cell>
          <cell r="G1228">
            <v>517</v>
          </cell>
          <cell r="H1228" t="str">
            <v>BUS-A 517</v>
          </cell>
          <cell r="K1228" t="str">
            <v>Cook,Christopher Stephen</v>
          </cell>
          <cell r="N1228">
            <v>3.5529999999999999</v>
          </cell>
          <cell r="O1228">
            <v>3.5649999999999999</v>
          </cell>
        </row>
        <row r="1229">
          <cell r="E1229" t="str">
            <v>BUS</v>
          </cell>
          <cell r="F1229" t="str">
            <v xml:space="preserve">BUS-A </v>
          </cell>
          <cell r="G1229">
            <v>519</v>
          </cell>
          <cell r="H1229" t="str">
            <v>BUS-A 519</v>
          </cell>
          <cell r="K1229" t="str">
            <v>Greene,David Elsworth</v>
          </cell>
          <cell r="N1229">
            <v>3.5630000000000002</v>
          </cell>
          <cell r="O1229">
            <v>3.5579999999999998</v>
          </cell>
        </row>
        <row r="1230">
          <cell r="E1230" t="str">
            <v>BUS</v>
          </cell>
          <cell r="F1230" t="str">
            <v xml:space="preserve">BUS-A </v>
          </cell>
          <cell r="G1230">
            <v>519</v>
          </cell>
          <cell r="H1230" t="str">
            <v>BUS-A 519</v>
          </cell>
          <cell r="K1230" t="str">
            <v>Greene,David Elsworth</v>
          </cell>
          <cell r="N1230">
            <v>3.5430000000000001</v>
          </cell>
          <cell r="O1230">
            <v>3.5390000000000001</v>
          </cell>
        </row>
        <row r="1231">
          <cell r="E1231" t="str">
            <v>BUS</v>
          </cell>
          <cell r="F1231" t="str">
            <v xml:space="preserve">BUS-A </v>
          </cell>
          <cell r="G1231">
            <v>525</v>
          </cell>
          <cell r="H1231" t="str">
            <v>BUS-A 525</v>
          </cell>
          <cell r="K1231" t="str">
            <v>Tiller,Mikel G.</v>
          </cell>
          <cell r="N1231">
            <v>3.8220000000000001</v>
          </cell>
          <cell r="O1231">
            <v>3.5489999999999999</v>
          </cell>
        </row>
        <row r="1232">
          <cell r="E1232" t="str">
            <v>BUS</v>
          </cell>
          <cell r="F1232" t="str">
            <v xml:space="preserve">BUS-A </v>
          </cell>
          <cell r="G1232">
            <v>527</v>
          </cell>
          <cell r="H1232" t="str">
            <v>BUS-A 527</v>
          </cell>
          <cell r="K1232" t="str">
            <v>Greene,David Elsworth</v>
          </cell>
          <cell r="N1232">
            <v>3.45</v>
          </cell>
          <cell r="O1232">
            <v>3.6190000000000002</v>
          </cell>
        </row>
        <row r="1233">
          <cell r="E1233" t="str">
            <v>BUS</v>
          </cell>
          <cell r="F1233" t="str">
            <v xml:space="preserve">BUS-A </v>
          </cell>
          <cell r="G1233">
            <v>527</v>
          </cell>
          <cell r="H1233" t="str">
            <v>BUS-A 527</v>
          </cell>
          <cell r="K1233" t="str">
            <v>Greene,David Elsworth</v>
          </cell>
          <cell r="N1233">
            <v>3.5150000000000001</v>
          </cell>
          <cell r="O1233">
            <v>3.589</v>
          </cell>
        </row>
        <row r="1234">
          <cell r="E1234" t="str">
            <v>BUS</v>
          </cell>
          <cell r="F1234" t="str">
            <v xml:space="preserve">BUS-A </v>
          </cell>
          <cell r="G1234">
            <v>527</v>
          </cell>
          <cell r="H1234" t="str">
            <v>BUS-A 527</v>
          </cell>
          <cell r="K1234" t="str">
            <v>Greene,David Elsworth</v>
          </cell>
          <cell r="N1234">
            <v>3.3620000000000001</v>
          </cell>
          <cell r="O1234">
            <v>3.4809999999999999</v>
          </cell>
        </row>
        <row r="1235">
          <cell r="E1235" t="str">
            <v>BUS</v>
          </cell>
          <cell r="F1235" t="str">
            <v xml:space="preserve">BUS-A </v>
          </cell>
          <cell r="G1235">
            <v>528</v>
          </cell>
          <cell r="H1235" t="str">
            <v>BUS-A 528</v>
          </cell>
          <cell r="K1235" t="str">
            <v>Wentworth,Martha B</v>
          </cell>
          <cell r="N1235">
            <v>3.5579999999999998</v>
          </cell>
          <cell r="O1235">
            <v>3.55</v>
          </cell>
        </row>
        <row r="1236">
          <cell r="E1236" t="str">
            <v>BUS</v>
          </cell>
          <cell r="F1236" t="str">
            <v xml:space="preserve">BUS-A </v>
          </cell>
          <cell r="G1236">
            <v>531</v>
          </cell>
          <cell r="H1236" t="str">
            <v>BUS-A 531</v>
          </cell>
          <cell r="K1236" t="str">
            <v>Owen,Sandra H</v>
          </cell>
          <cell r="N1236">
            <v>3.5310000000000001</v>
          </cell>
          <cell r="O1236">
            <v>3.609</v>
          </cell>
        </row>
        <row r="1237">
          <cell r="E1237" t="str">
            <v>BUS</v>
          </cell>
          <cell r="F1237" t="str">
            <v xml:space="preserve">BUS-A </v>
          </cell>
          <cell r="G1237">
            <v>531</v>
          </cell>
          <cell r="H1237" t="str">
            <v>BUS-A 531</v>
          </cell>
          <cell r="K1237" t="str">
            <v>Owen,Sandra H</v>
          </cell>
          <cell r="N1237">
            <v>3.5350000000000001</v>
          </cell>
          <cell r="O1237">
            <v>3.5270000000000001</v>
          </cell>
        </row>
        <row r="1238">
          <cell r="E1238" t="str">
            <v>BUS</v>
          </cell>
          <cell r="F1238" t="str">
            <v xml:space="preserve">BUS-A </v>
          </cell>
          <cell r="G1238">
            <v>537</v>
          </cell>
          <cell r="H1238" t="str">
            <v>BUS-A 537</v>
          </cell>
          <cell r="K1238" t="str">
            <v>Kennedy,Thomas Grey</v>
          </cell>
          <cell r="N1238">
            <v>3.508</v>
          </cell>
          <cell r="O1238">
            <v>3.6859999999999999</v>
          </cell>
        </row>
        <row r="1239">
          <cell r="E1239" t="str">
            <v>BUS</v>
          </cell>
          <cell r="F1239" t="str">
            <v xml:space="preserve">BUS-A </v>
          </cell>
          <cell r="G1239">
            <v>540</v>
          </cell>
          <cell r="H1239" t="str">
            <v>BUS-A 540</v>
          </cell>
          <cell r="K1239" t="str">
            <v>Hodder,Leslie D</v>
          </cell>
          <cell r="N1239">
            <v>3.5670000000000002</v>
          </cell>
          <cell r="O1239">
            <v>3.5649999999999999</v>
          </cell>
        </row>
        <row r="1240">
          <cell r="E1240" t="str">
            <v>BUS</v>
          </cell>
          <cell r="F1240" t="str">
            <v xml:space="preserve">BUS-A </v>
          </cell>
          <cell r="G1240">
            <v>540</v>
          </cell>
          <cell r="H1240" t="str">
            <v>BUS-A 540</v>
          </cell>
          <cell r="K1240" t="str">
            <v>Hodder,Leslie D</v>
          </cell>
          <cell r="N1240">
            <v>3.6419999999999999</v>
          </cell>
          <cell r="O1240">
            <v>3.6240000000000001</v>
          </cell>
        </row>
        <row r="1241">
          <cell r="E1241" t="str">
            <v>BUS</v>
          </cell>
          <cell r="F1241" t="str">
            <v xml:space="preserve">BUS-A </v>
          </cell>
          <cell r="G1241">
            <v>545</v>
          </cell>
          <cell r="H1241" t="str">
            <v>BUS-A 545</v>
          </cell>
          <cell r="K1241" t="str">
            <v>Wahlen,James M.</v>
          </cell>
          <cell r="N1241">
            <v>3.504</v>
          </cell>
          <cell r="O1241">
            <v>3.504</v>
          </cell>
        </row>
        <row r="1242">
          <cell r="E1242" t="str">
            <v>BUS</v>
          </cell>
          <cell r="F1242" t="str">
            <v xml:space="preserve">BUS-A </v>
          </cell>
          <cell r="G1242">
            <v>545</v>
          </cell>
          <cell r="H1242" t="str">
            <v>BUS-A 545</v>
          </cell>
          <cell r="K1242" t="str">
            <v>Wahlen,James M.</v>
          </cell>
          <cell r="N1242">
            <v>3.6379999999999999</v>
          </cell>
          <cell r="O1242">
            <v>3.5670000000000002</v>
          </cell>
        </row>
        <row r="1243">
          <cell r="E1243" t="str">
            <v>BUS</v>
          </cell>
          <cell r="F1243" t="str">
            <v xml:space="preserve">BUS-A </v>
          </cell>
          <cell r="G1243">
            <v>545</v>
          </cell>
          <cell r="H1243" t="str">
            <v>BUS-A 545</v>
          </cell>
          <cell r="K1243" t="str">
            <v>Wahlen,James M.</v>
          </cell>
          <cell r="N1243">
            <v>3.4969999999999999</v>
          </cell>
          <cell r="O1243">
            <v>3.569</v>
          </cell>
        </row>
        <row r="1244">
          <cell r="E1244" t="str">
            <v>BUS</v>
          </cell>
          <cell r="F1244" t="str">
            <v xml:space="preserve">BUS-A </v>
          </cell>
          <cell r="G1244">
            <v>546</v>
          </cell>
          <cell r="H1244" t="str">
            <v>BUS-A 546</v>
          </cell>
          <cell r="K1244" t="str">
            <v>Wahlen,James M.</v>
          </cell>
          <cell r="N1244">
            <v>3.6419999999999999</v>
          </cell>
          <cell r="O1244">
            <v>3.589</v>
          </cell>
        </row>
        <row r="1245">
          <cell r="E1245" t="str">
            <v>BUS</v>
          </cell>
          <cell r="F1245" t="str">
            <v xml:space="preserve">BUS-A </v>
          </cell>
          <cell r="G1245">
            <v>547</v>
          </cell>
          <cell r="H1245" t="str">
            <v>BUS-A 547</v>
          </cell>
          <cell r="K1245" t="str">
            <v>Greene,David Elsworth</v>
          </cell>
          <cell r="N1245">
            <v>3.5550000000000002</v>
          </cell>
          <cell r="O1245">
            <v>3.6269999999999998</v>
          </cell>
        </row>
        <row r="1246">
          <cell r="E1246" t="str">
            <v>BUS</v>
          </cell>
          <cell r="F1246" t="str">
            <v xml:space="preserve">BUS-A </v>
          </cell>
          <cell r="G1246">
            <v>547</v>
          </cell>
          <cell r="H1246" t="str">
            <v>BUS-A 547</v>
          </cell>
          <cell r="K1246" t="str">
            <v>Greene,David Elsworth</v>
          </cell>
          <cell r="N1246">
            <v>3.5950000000000002</v>
          </cell>
          <cell r="O1246">
            <v>3.6389999999999998</v>
          </cell>
        </row>
        <row r="1247">
          <cell r="E1247" t="str">
            <v>BUS</v>
          </cell>
          <cell r="F1247" t="str">
            <v xml:space="preserve">BUS-A </v>
          </cell>
          <cell r="G1247">
            <v>548</v>
          </cell>
          <cell r="H1247" t="str">
            <v>BUS-A 548</v>
          </cell>
          <cell r="K1247" t="str">
            <v>Fisher,Joseph G.</v>
          </cell>
          <cell r="N1247">
            <v>3.5150000000000001</v>
          </cell>
          <cell r="O1247">
            <v>3.4950000000000001</v>
          </cell>
        </row>
        <row r="1248">
          <cell r="E1248" t="str">
            <v>BUS</v>
          </cell>
          <cell r="F1248" t="str">
            <v xml:space="preserve">BUS-A </v>
          </cell>
          <cell r="G1248">
            <v>548</v>
          </cell>
          <cell r="H1248" t="str">
            <v>BUS-A 548</v>
          </cell>
          <cell r="K1248" t="str">
            <v>Fisher,Joseph G.</v>
          </cell>
          <cell r="N1248">
            <v>3.5859999999999999</v>
          </cell>
          <cell r="O1248">
            <v>3.5179999999999998</v>
          </cell>
        </row>
        <row r="1249">
          <cell r="E1249" t="str">
            <v>BUS</v>
          </cell>
          <cell r="F1249" t="str">
            <v xml:space="preserve">BUS-A </v>
          </cell>
          <cell r="G1249">
            <v>548</v>
          </cell>
          <cell r="H1249" t="str">
            <v>BUS-A 548</v>
          </cell>
          <cell r="K1249" t="str">
            <v>Fisher,Joseph G.</v>
          </cell>
          <cell r="N1249">
            <v>3.5760000000000001</v>
          </cell>
          <cell r="O1249">
            <v>3.5529999999999999</v>
          </cell>
        </row>
        <row r="1250">
          <cell r="E1250" t="str">
            <v>BUS</v>
          </cell>
          <cell r="F1250" t="str">
            <v xml:space="preserve">BUS-A </v>
          </cell>
          <cell r="G1250">
            <v>551</v>
          </cell>
          <cell r="H1250" t="str">
            <v>BUS-A 551</v>
          </cell>
          <cell r="K1250" t="str">
            <v>Owen,Sandra H</v>
          </cell>
          <cell r="N1250">
            <v>3.742</v>
          </cell>
          <cell r="O1250">
            <v>3.677</v>
          </cell>
        </row>
        <row r="1251">
          <cell r="E1251" t="str">
            <v>BUS</v>
          </cell>
          <cell r="F1251" t="str">
            <v xml:space="preserve">BUS-A </v>
          </cell>
          <cell r="G1251">
            <v>556</v>
          </cell>
          <cell r="H1251" t="str">
            <v>BUS-A 556</v>
          </cell>
          <cell r="K1251" t="str">
            <v>Kennedy,Thomas Grey</v>
          </cell>
          <cell r="N1251">
            <v>3.581</v>
          </cell>
          <cell r="O1251">
            <v>3.661</v>
          </cell>
        </row>
        <row r="1252">
          <cell r="E1252" t="str">
            <v>BUS</v>
          </cell>
          <cell r="F1252" t="str">
            <v xml:space="preserve">BUS-A </v>
          </cell>
          <cell r="G1252">
            <v>557</v>
          </cell>
          <cell r="H1252" t="str">
            <v>BUS-A 557</v>
          </cell>
          <cell r="K1252" t="str">
            <v>Wingerter,Bob</v>
          </cell>
          <cell r="N1252">
            <v>3.2839999999999998</v>
          </cell>
          <cell r="O1252">
            <v>3.512</v>
          </cell>
        </row>
        <row r="1253">
          <cell r="E1253" t="str">
            <v>BUS</v>
          </cell>
          <cell r="F1253" t="str">
            <v xml:space="preserve">BUS-A </v>
          </cell>
          <cell r="G1253">
            <v>562</v>
          </cell>
          <cell r="H1253" t="str">
            <v>BUS-A 562</v>
          </cell>
          <cell r="K1253" t="str">
            <v>Hopkins,Patrick E.</v>
          </cell>
          <cell r="N1253">
            <v>3.2330000000000001</v>
          </cell>
          <cell r="O1253">
            <v>3.51</v>
          </cell>
        </row>
        <row r="1254">
          <cell r="E1254" t="str">
            <v>BUS</v>
          </cell>
          <cell r="F1254" t="str">
            <v xml:space="preserve">BUS-A </v>
          </cell>
          <cell r="G1254">
            <v>562</v>
          </cell>
          <cell r="H1254" t="str">
            <v>BUS-A 562</v>
          </cell>
          <cell r="K1254" t="str">
            <v>Hopkins,Patrick E.</v>
          </cell>
          <cell r="N1254">
            <v>3.5630000000000002</v>
          </cell>
          <cell r="O1254">
            <v>3.593</v>
          </cell>
        </row>
        <row r="1255">
          <cell r="E1255" t="str">
            <v>BUS</v>
          </cell>
          <cell r="F1255" t="str">
            <v xml:space="preserve">BUS-A </v>
          </cell>
          <cell r="G1255">
            <v>562</v>
          </cell>
          <cell r="H1255" t="str">
            <v>BUS-A 562</v>
          </cell>
          <cell r="K1255" t="str">
            <v>Hopkins,Patrick E.</v>
          </cell>
          <cell r="N1255">
            <v>3.5270000000000001</v>
          </cell>
          <cell r="O1255">
            <v>3.552</v>
          </cell>
        </row>
        <row r="1256">
          <cell r="E1256" t="str">
            <v>BUS</v>
          </cell>
          <cell r="F1256" t="str">
            <v xml:space="preserve">BUS-A </v>
          </cell>
          <cell r="G1256">
            <v>563</v>
          </cell>
          <cell r="H1256" t="str">
            <v>BUS-A 563</v>
          </cell>
          <cell r="K1256" t="str">
            <v>Campbell,Terry Lee</v>
          </cell>
          <cell r="N1256" t="str">
            <v>NR</v>
          </cell>
          <cell r="O1256" t="str">
            <v>NR</v>
          </cell>
        </row>
        <row r="1257">
          <cell r="E1257" t="str">
            <v>BUS</v>
          </cell>
          <cell r="F1257" t="str">
            <v xml:space="preserve">BUS-A </v>
          </cell>
          <cell r="G1257">
            <v>563</v>
          </cell>
          <cell r="H1257" t="str">
            <v>BUS-A 563</v>
          </cell>
          <cell r="K1257" t="str">
            <v>Campbell,Terry Lee</v>
          </cell>
          <cell r="N1257" t="str">
            <v>NR</v>
          </cell>
          <cell r="O1257" t="str">
            <v>NR</v>
          </cell>
        </row>
        <row r="1258">
          <cell r="E1258" t="str">
            <v>BUS</v>
          </cell>
          <cell r="F1258" t="str">
            <v xml:space="preserve">BUS-A </v>
          </cell>
          <cell r="G1258">
            <v>564</v>
          </cell>
          <cell r="H1258" t="str">
            <v>BUS-A 564</v>
          </cell>
          <cell r="K1258" t="str">
            <v>Beneish,Messod Daniel</v>
          </cell>
          <cell r="N1258">
            <v>3.4790000000000001</v>
          </cell>
          <cell r="O1258">
            <v>3.617</v>
          </cell>
        </row>
        <row r="1259">
          <cell r="E1259" t="str">
            <v>BUS</v>
          </cell>
          <cell r="F1259" t="str">
            <v xml:space="preserve">BUS-A </v>
          </cell>
          <cell r="G1259">
            <v>564</v>
          </cell>
          <cell r="H1259" t="str">
            <v>BUS-A 564</v>
          </cell>
          <cell r="K1259" t="str">
            <v>Beneish,Messod Daniel</v>
          </cell>
          <cell r="N1259">
            <v>3.383</v>
          </cell>
          <cell r="O1259">
            <v>3.605</v>
          </cell>
        </row>
        <row r="1260">
          <cell r="E1260" t="str">
            <v>BUS</v>
          </cell>
          <cell r="F1260" t="str">
            <v xml:space="preserve">BUS-A </v>
          </cell>
          <cell r="G1260">
            <v>565</v>
          </cell>
          <cell r="H1260" t="str">
            <v>BUS-A 565</v>
          </cell>
          <cell r="K1260" t="str">
            <v>Campbell,Terry Lee</v>
          </cell>
          <cell r="N1260">
            <v>3.7949999999999999</v>
          </cell>
          <cell r="O1260">
            <v>3.698</v>
          </cell>
        </row>
        <row r="1261">
          <cell r="E1261" t="str">
            <v>BUS</v>
          </cell>
          <cell r="F1261" t="str">
            <v xml:space="preserve">BUS-A </v>
          </cell>
          <cell r="G1261">
            <v>565</v>
          </cell>
          <cell r="H1261" t="str">
            <v>BUS-A 565</v>
          </cell>
          <cell r="K1261" t="str">
            <v>Campbell,Terry Lee</v>
          </cell>
          <cell r="N1261">
            <v>3.7080000000000002</v>
          </cell>
          <cell r="O1261">
            <v>3.5859999999999999</v>
          </cell>
        </row>
        <row r="1262">
          <cell r="E1262" t="str">
            <v>BUS</v>
          </cell>
          <cell r="F1262" t="str">
            <v xml:space="preserve">BUS-A </v>
          </cell>
          <cell r="G1262">
            <v>566</v>
          </cell>
          <cell r="H1262" t="str">
            <v>BUS-A 566</v>
          </cell>
          <cell r="K1262" t="str">
            <v>Campbell,Terry Lee</v>
          </cell>
          <cell r="N1262">
            <v>3.782</v>
          </cell>
          <cell r="O1262">
            <v>3.6850000000000001</v>
          </cell>
        </row>
        <row r="1263">
          <cell r="E1263" t="str">
            <v>BUS</v>
          </cell>
          <cell r="F1263" t="str">
            <v xml:space="preserve">BUS-A </v>
          </cell>
          <cell r="G1263">
            <v>568</v>
          </cell>
          <cell r="H1263" t="str">
            <v>BUS-A 568</v>
          </cell>
          <cell r="K1263" t="str">
            <v>Hayford,Stephen L.</v>
          </cell>
          <cell r="N1263">
            <v>3.4820000000000002</v>
          </cell>
          <cell r="O1263">
            <v>3.5670000000000002</v>
          </cell>
        </row>
        <row r="1264">
          <cell r="E1264" t="str">
            <v>BUS</v>
          </cell>
          <cell r="F1264" t="str">
            <v xml:space="preserve">BUS-A </v>
          </cell>
          <cell r="G1264">
            <v>568</v>
          </cell>
          <cell r="H1264" t="str">
            <v>BUS-A 568</v>
          </cell>
          <cell r="K1264" t="str">
            <v>Hayford,Stephen L.</v>
          </cell>
          <cell r="N1264">
            <v>3.4870000000000001</v>
          </cell>
          <cell r="O1264">
            <v>3.5609999999999999</v>
          </cell>
        </row>
        <row r="1265">
          <cell r="E1265" t="str">
            <v>BUS</v>
          </cell>
          <cell r="F1265" t="str">
            <v xml:space="preserve">BUS-A </v>
          </cell>
          <cell r="G1265">
            <v>569</v>
          </cell>
          <cell r="H1265" t="str">
            <v>BUS-A 569</v>
          </cell>
          <cell r="K1265" t="str">
            <v>Grandorf,James N</v>
          </cell>
          <cell r="N1265">
            <v>3.82</v>
          </cell>
          <cell r="O1265">
            <v>3.6230000000000002</v>
          </cell>
        </row>
        <row r="1266">
          <cell r="E1266" t="str">
            <v>BUS</v>
          </cell>
          <cell r="F1266" t="str">
            <v xml:space="preserve">BUS-A </v>
          </cell>
          <cell r="G1266">
            <v>569</v>
          </cell>
          <cell r="H1266" t="str">
            <v>BUS-A 569</v>
          </cell>
          <cell r="K1266" t="str">
            <v>Grandorf,James N</v>
          </cell>
          <cell r="N1266">
            <v>4</v>
          </cell>
          <cell r="O1266">
            <v>3.6789999999999998</v>
          </cell>
        </row>
        <row r="1267">
          <cell r="E1267" t="str">
            <v>BUS</v>
          </cell>
          <cell r="F1267" t="str">
            <v xml:space="preserve">BUS-A </v>
          </cell>
          <cell r="G1267">
            <v>569</v>
          </cell>
          <cell r="H1267" t="str">
            <v>BUS-A 569</v>
          </cell>
          <cell r="K1267" t="str">
            <v>Grandorf,James N</v>
          </cell>
          <cell r="N1267">
            <v>3.9</v>
          </cell>
          <cell r="O1267">
            <v>3.63</v>
          </cell>
        </row>
        <row r="1268">
          <cell r="E1268" t="str">
            <v>BUS</v>
          </cell>
          <cell r="F1268" t="str">
            <v xml:space="preserve">BUS-A </v>
          </cell>
          <cell r="G1268">
            <v>569</v>
          </cell>
          <cell r="H1268" t="str">
            <v>BUS-A 569</v>
          </cell>
          <cell r="K1268" t="str">
            <v>Grandorf,James N</v>
          </cell>
          <cell r="N1268">
            <v>3.85</v>
          </cell>
          <cell r="O1268">
            <v>3.6219999999999999</v>
          </cell>
        </row>
        <row r="1269">
          <cell r="E1269" t="str">
            <v>BUS</v>
          </cell>
          <cell r="F1269" t="str">
            <v xml:space="preserve">BUS-A </v>
          </cell>
          <cell r="G1269">
            <v>569</v>
          </cell>
          <cell r="H1269" t="str">
            <v>BUS-A 569</v>
          </cell>
          <cell r="K1269" t="str">
            <v>Grandorf,James N</v>
          </cell>
          <cell r="N1269">
            <v>3.85</v>
          </cell>
          <cell r="O1269">
            <v>3.6819999999999999</v>
          </cell>
        </row>
        <row r="1270">
          <cell r="E1270" t="str">
            <v>BUS</v>
          </cell>
          <cell r="F1270" t="str">
            <v xml:space="preserve">BUS-A </v>
          </cell>
          <cell r="G1270">
            <v>569</v>
          </cell>
          <cell r="H1270" t="str">
            <v>BUS-A 569</v>
          </cell>
          <cell r="K1270" t="str">
            <v>Grandorf,James N</v>
          </cell>
          <cell r="N1270" t="str">
            <v>NR</v>
          </cell>
          <cell r="O1270" t="str">
            <v>NR</v>
          </cell>
        </row>
        <row r="1271">
          <cell r="E1271" t="str">
            <v>BUS</v>
          </cell>
          <cell r="F1271" t="str">
            <v xml:space="preserve">BUS-A </v>
          </cell>
          <cell r="G1271">
            <v>569</v>
          </cell>
          <cell r="H1271" t="str">
            <v>BUS-A 569</v>
          </cell>
          <cell r="K1271" t="str">
            <v>Greene,David Elsworth</v>
          </cell>
          <cell r="N1271" t="str">
            <v>NR</v>
          </cell>
          <cell r="O1271" t="str">
            <v>NR</v>
          </cell>
        </row>
        <row r="1272">
          <cell r="E1272" t="str">
            <v>BUS</v>
          </cell>
          <cell r="F1272" t="str">
            <v xml:space="preserve">BUS-A </v>
          </cell>
          <cell r="G1272">
            <v>569</v>
          </cell>
          <cell r="H1272" t="str">
            <v>BUS-A 569</v>
          </cell>
          <cell r="K1272" t="str">
            <v>Kennedy,Thomas Grey</v>
          </cell>
          <cell r="N1272">
            <v>3.681</v>
          </cell>
          <cell r="O1272">
            <v>3.6309999999999998</v>
          </cell>
        </row>
        <row r="1273">
          <cell r="E1273" t="str">
            <v>BUS</v>
          </cell>
          <cell r="F1273" t="str">
            <v xml:space="preserve">BUS-A </v>
          </cell>
          <cell r="G1273">
            <v>569</v>
          </cell>
          <cell r="H1273" t="str">
            <v>BUS-A 569</v>
          </cell>
          <cell r="K1273" t="str">
            <v>Kennedy,Thomas Grey</v>
          </cell>
          <cell r="N1273">
            <v>3.6190000000000002</v>
          </cell>
          <cell r="O1273">
            <v>3.5680000000000001</v>
          </cell>
        </row>
        <row r="1274">
          <cell r="E1274" t="str">
            <v>BUS</v>
          </cell>
          <cell r="F1274" t="str">
            <v xml:space="preserve">BUS-A </v>
          </cell>
          <cell r="G1274">
            <v>570</v>
          </cell>
          <cell r="H1274" t="str">
            <v>BUS-A 570</v>
          </cell>
          <cell r="K1274" t="str">
            <v>Greene,David Elsworth</v>
          </cell>
          <cell r="N1274">
            <v>3.641</v>
          </cell>
          <cell r="O1274">
            <v>3.6419999999999999</v>
          </cell>
        </row>
        <row r="1275">
          <cell r="E1275" t="str">
            <v>BUS</v>
          </cell>
          <cell r="F1275" t="str">
            <v xml:space="preserve">BUS-A </v>
          </cell>
          <cell r="G1275">
            <v>572</v>
          </cell>
          <cell r="H1275" t="str">
            <v>BUS-A 572</v>
          </cell>
          <cell r="K1275" t="str">
            <v>Owen,Sandra H</v>
          </cell>
          <cell r="N1275">
            <v>3.742</v>
          </cell>
          <cell r="O1275">
            <v>3.621</v>
          </cell>
        </row>
        <row r="1276">
          <cell r="E1276" t="str">
            <v>BUS</v>
          </cell>
          <cell r="F1276" t="str">
            <v xml:space="preserve">BUS-A </v>
          </cell>
          <cell r="G1276">
            <v>572</v>
          </cell>
          <cell r="H1276" t="str">
            <v>BUS-A 572</v>
          </cell>
          <cell r="K1276" t="str">
            <v>Owen,Sandra H</v>
          </cell>
          <cell r="N1276">
            <v>3.5830000000000002</v>
          </cell>
          <cell r="O1276">
            <v>3.5350000000000001</v>
          </cell>
        </row>
        <row r="1277">
          <cell r="E1277" t="str">
            <v>BUS</v>
          </cell>
          <cell r="F1277" t="str">
            <v xml:space="preserve">BUS-A </v>
          </cell>
          <cell r="G1277">
            <v>576</v>
          </cell>
          <cell r="H1277" t="str">
            <v>BUS-A 576</v>
          </cell>
          <cell r="K1277" t="str">
            <v>Maines,Laureen Ann</v>
          </cell>
          <cell r="N1277">
            <v>3.556</v>
          </cell>
          <cell r="O1277">
            <v>3.5710000000000002</v>
          </cell>
        </row>
        <row r="1278">
          <cell r="E1278" t="str">
            <v>BUS</v>
          </cell>
          <cell r="F1278" t="str">
            <v xml:space="preserve">BUS-A </v>
          </cell>
          <cell r="G1278">
            <v>576</v>
          </cell>
          <cell r="H1278" t="str">
            <v>BUS-A 576</v>
          </cell>
          <cell r="K1278" t="str">
            <v>Maines,Laureen Ann</v>
          </cell>
          <cell r="N1278">
            <v>3.6269999999999998</v>
          </cell>
          <cell r="O1278">
            <v>3.6070000000000002</v>
          </cell>
        </row>
        <row r="1279">
          <cell r="E1279" t="str">
            <v>BUS</v>
          </cell>
          <cell r="F1279" t="str">
            <v xml:space="preserve">BUS-A </v>
          </cell>
          <cell r="G1279">
            <v>579</v>
          </cell>
          <cell r="H1279" t="str">
            <v>BUS-A 579</v>
          </cell>
          <cell r="K1279" t="str">
            <v>Campbell,Terry Lee</v>
          </cell>
          <cell r="N1279">
            <v>4</v>
          </cell>
          <cell r="O1279">
            <v>3.577</v>
          </cell>
        </row>
        <row r="1280">
          <cell r="E1280" t="str">
            <v>BUS</v>
          </cell>
          <cell r="F1280" t="str">
            <v xml:space="preserve">BUS-A </v>
          </cell>
          <cell r="G1280">
            <v>590</v>
          </cell>
          <cell r="H1280" t="str">
            <v>BUS-A 590</v>
          </cell>
          <cell r="K1280" t="str">
            <v>Maines,Laureen Ann</v>
          </cell>
          <cell r="N1280" t="str">
            <v>NR</v>
          </cell>
          <cell r="O1280" t="str">
            <v>NR</v>
          </cell>
        </row>
        <row r="1281">
          <cell r="E1281" t="str">
            <v>BUS</v>
          </cell>
          <cell r="F1281" t="str">
            <v xml:space="preserve">BUS-A </v>
          </cell>
          <cell r="G1281">
            <v>590</v>
          </cell>
          <cell r="H1281" t="str">
            <v>BUS-A 590</v>
          </cell>
          <cell r="K1281" t="str">
            <v>Maines,Laureen Ann</v>
          </cell>
          <cell r="N1281" t="str">
            <v>NR</v>
          </cell>
          <cell r="O1281" t="str">
            <v>NR</v>
          </cell>
        </row>
        <row r="1282">
          <cell r="E1282" t="str">
            <v>BUS</v>
          </cell>
          <cell r="F1282" t="str">
            <v xml:space="preserve">BUS-A </v>
          </cell>
          <cell r="G1282">
            <v>601</v>
          </cell>
          <cell r="H1282" t="str">
            <v>BUS-A 601</v>
          </cell>
          <cell r="K1282" t="str">
            <v>Yohn,Teri Lombardi</v>
          </cell>
          <cell r="N1282" t="str">
            <v>NR</v>
          </cell>
          <cell r="O1282" t="str">
            <v>NR</v>
          </cell>
        </row>
        <row r="1283">
          <cell r="E1283" t="str">
            <v>BUS</v>
          </cell>
          <cell r="F1283" t="str">
            <v xml:space="preserve">BUS-A </v>
          </cell>
          <cell r="G1283">
            <v>602</v>
          </cell>
          <cell r="H1283" t="str">
            <v>BUS-A 602</v>
          </cell>
          <cell r="K1283" t="str">
            <v>Maines,Laureen Ann</v>
          </cell>
          <cell r="N1283" t="str">
            <v>NR</v>
          </cell>
          <cell r="O1283" t="str">
            <v>NR</v>
          </cell>
        </row>
        <row r="1284">
          <cell r="E1284" t="str">
            <v>BUS</v>
          </cell>
          <cell r="F1284" t="str">
            <v xml:space="preserve">BUS-A </v>
          </cell>
          <cell r="G1284">
            <v>603</v>
          </cell>
          <cell r="H1284" t="str">
            <v>BUS-A 603</v>
          </cell>
          <cell r="K1284" t="str">
            <v>Hodder,Leslie D</v>
          </cell>
          <cell r="N1284" t="str">
            <v>NR</v>
          </cell>
          <cell r="O1284" t="str">
            <v>NR</v>
          </cell>
        </row>
        <row r="1285">
          <cell r="E1285" t="str">
            <v>BUS</v>
          </cell>
          <cell r="F1285" t="str">
            <v xml:space="preserve">BUS-C </v>
          </cell>
          <cell r="G1285">
            <v>104</v>
          </cell>
          <cell r="H1285" t="str">
            <v>BUS-C 104</v>
          </cell>
          <cell r="K1285" t="str">
            <v>Bailey-Hughes,Brenda Marie</v>
          </cell>
          <cell r="N1285">
            <v>2.7629999999999999</v>
          </cell>
          <cell r="O1285">
            <v>2.7759999999999998</v>
          </cell>
        </row>
        <row r="1286">
          <cell r="E1286" t="str">
            <v>BUS</v>
          </cell>
          <cell r="F1286" t="str">
            <v xml:space="preserve">BUS-C </v>
          </cell>
          <cell r="G1286">
            <v>104</v>
          </cell>
          <cell r="H1286" t="str">
            <v>BUS-C 104</v>
          </cell>
          <cell r="K1286" t="str">
            <v>Bailey-Hughes,Brenda Marie</v>
          </cell>
          <cell r="N1286">
            <v>3.246</v>
          </cell>
          <cell r="O1286">
            <v>3.1819999999999999</v>
          </cell>
        </row>
        <row r="1287">
          <cell r="E1287" t="str">
            <v>BUS</v>
          </cell>
          <cell r="F1287" t="str">
            <v xml:space="preserve">BUS-C </v>
          </cell>
          <cell r="G1287">
            <v>104</v>
          </cell>
          <cell r="H1287" t="str">
            <v>BUS-C 104</v>
          </cell>
          <cell r="K1287" t="str">
            <v>Clark,Paige Renee</v>
          </cell>
          <cell r="N1287">
            <v>3.37</v>
          </cell>
          <cell r="O1287">
            <v>3.2549999999999999</v>
          </cell>
        </row>
        <row r="1288">
          <cell r="E1288" t="str">
            <v>BUS</v>
          </cell>
          <cell r="F1288" t="str">
            <v xml:space="preserve">BUS-C </v>
          </cell>
          <cell r="G1288">
            <v>104</v>
          </cell>
          <cell r="H1288" t="str">
            <v>BUS-C 104</v>
          </cell>
          <cell r="K1288" t="str">
            <v>Clark,Paige Renee</v>
          </cell>
          <cell r="N1288">
            <v>3.6</v>
          </cell>
          <cell r="O1288">
            <v>3.4849999999999999</v>
          </cell>
        </row>
        <row r="1289">
          <cell r="E1289" t="str">
            <v>BUS</v>
          </cell>
          <cell r="F1289" t="str">
            <v xml:space="preserve">BUS-C </v>
          </cell>
          <cell r="G1289">
            <v>104</v>
          </cell>
          <cell r="H1289" t="str">
            <v>BUS-C 104</v>
          </cell>
          <cell r="K1289" t="str">
            <v>Clark,Paige Renee</v>
          </cell>
          <cell r="N1289">
            <v>3.8290000000000002</v>
          </cell>
          <cell r="O1289">
            <v>3.52</v>
          </cell>
        </row>
        <row r="1290">
          <cell r="E1290" t="str">
            <v>BUS</v>
          </cell>
          <cell r="F1290" t="str">
            <v xml:space="preserve">BUS-C </v>
          </cell>
          <cell r="G1290">
            <v>104</v>
          </cell>
          <cell r="H1290" t="str">
            <v>BUS-C 104</v>
          </cell>
          <cell r="K1290" t="str">
            <v>Clark,Paige Renee</v>
          </cell>
          <cell r="N1290">
            <v>3.7519999999999998</v>
          </cell>
          <cell r="O1290">
            <v>3.4159999999999999</v>
          </cell>
        </row>
        <row r="1291">
          <cell r="E1291" t="str">
            <v>BUS</v>
          </cell>
          <cell r="F1291" t="str">
            <v xml:space="preserve">BUS-C </v>
          </cell>
          <cell r="G1291">
            <v>104</v>
          </cell>
          <cell r="H1291" t="str">
            <v>BUS-C 104</v>
          </cell>
          <cell r="K1291" t="str">
            <v>Craig,Byron B</v>
          </cell>
          <cell r="N1291">
            <v>3.363</v>
          </cell>
          <cell r="O1291">
            <v>3.5049999999999999</v>
          </cell>
        </row>
        <row r="1292">
          <cell r="E1292" t="str">
            <v>BUS</v>
          </cell>
          <cell r="F1292" t="str">
            <v xml:space="preserve">BUS-C </v>
          </cell>
          <cell r="G1292">
            <v>104</v>
          </cell>
          <cell r="H1292" t="str">
            <v>BUS-C 104</v>
          </cell>
          <cell r="K1292" t="str">
            <v>Craig,Byron B</v>
          </cell>
          <cell r="N1292">
            <v>3.4039999999999999</v>
          </cell>
          <cell r="O1292">
            <v>3.4470000000000001</v>
          </cell>
        </row>
        <row r="1293">
          <cell r="E1293" t="str">
            <v>BUS</v>
          </cell>
          <cell r="F1293" t="str">
            <v xml:space="preserve">BUS-C </v>
          </cell>
          <cell r="G1293">
            <v>104</v>
          </cell>
          <cell r="H1293" t="str">
            <v>BUS-C 104</v>
          </cell>
          <cell r="K1293" t="str">
            <v>Craig,Byron B</v>
          </cell>
          <cell r="N1293">
            <v>3.3260000000000001</v>
          </cell>
          <cell r="O1293">
            <v>3.3620000000000001</v>
          </cell>
        </row>
        <row r="1294">
          <cell r="E1294" t="str">
            <v>BUS</v>
          </cell>
          <cell r="F1294" t="str">
            <v xml:space="preserve">BUS-C </v>
          </cell>
          <cell r="G1294">
            <v>104</v>
          </cell>
          <cell r="H1294" t="str">
            <v>BUS-C 104</v>
          </cell>
          <cell r="K1294" t="str">
            <v>Craig,Byron B</v>
          </cell>
          <cell r="N1294">
            <v>3.5649999999999999</v>
          </cell>
          <cell r="O1294">
            <v>3.5110000000000001</v>
          </cell>
        </row>
        <row r="1295">
          <cell r="E1295" t="str">
            <v>BUS</v>
          </cell>
          <cell r="F1295" t="str">
            <v xml:space="preserve">BUS-C </v>
          </cell>
          <cell r="G1295">
            <v>104</v>
          </cell>
          <cell r="H1295" t="str">
            <v>BUS-C 104</v>
          </cell>
          <cell r="K1295" t="str">
            <v>Craig,Byron B</v>
          </cell>
          <cell r="N1295">
            <v>3.9129999999999998</v>
          </cell>
          <cell r="O1295">
            <v>3.4860000000000002</v>
          </cell>
        </row>
        <row r="1296">
          <cell r="E1296" t="str">
            <v>BUS</v>
          </cell>
          <cell r="F1296" t="str">
            <v xml:space="preserve">BUS-C </v>
          </cell>
          <cell r="G1296">
            <v>104</v>
          </cell>
          <cell r="H1296" t="str">
            <v>BUS-C 104</v>
          </cell>
          <cell r="K1296" t="str">
            <v>Fletcher,Kathy Jean</v>
          </cell>
          <cell r="N1296">
            <v>3.2290000000000001</v>
          </cell>
          <cell r="O1296">
            <v>3.3260000000000001</v>
          </cell>
        </row>
        <row r="1297">
          <cell r="E1297" t="str">
            <v>BUS</v>
          </cell>
          <cell r="F1297" t="str">
            <v xml:space="preserve">BUS-C </v>
          </cell>
          <cell r="G1297">
            <v>104</v>
          </cell>
          <cell r="H1297" t="str">
            <v>BUS-C 104</v>
          </cell>
          <cell r="K1297" t="str">
            <v>Fletcher,Kathy Jean</v>
          </cell>
          <cell r="N1297">
            <v>3.0710000000000002</v>
          </cell>
          <cell r="O1297">
            <v>3.286</v>
          </cell>
        </row>
        <row r="1298">
          <cell r="E1298" t="str">
            <v>BUS</v>
          </cell>
          <cell r="F1298" t="str">
            <v xml:space="preserve">BUS-C </v>
          </cell>
          <cell r="G1298">
            <v>104</v>
          </cell>
          <cell r="H1298" t="str">
            <v>BUS-C 104</v>
          </cell>
          <cell r="K1298" t="str">
            <v>Fletcher,Kathy Jean</v>
          </cell>
          <cell r="N1298">
            <v>3.1230000000000002</v>
          </cell>
          <cell r="O1298">
            <v>3.25</v>
          </cell>
        </row>
        <row r="1299">
          <cell r="E1299" t="str">
            <v>BUS</v>
          </cell>
          <cell r="F1299" t="str">
            <v xml:space="preserve">BUS-C </v>
          </cell>
          <cell r="G1299">
            <v>104</v>
          </cell>
          <cell r="H1299" t="str">
            <v>BUS-C 104</v>
          </cell>
          <cell r="K1299" t="str">
            <v>Fletcher,Kathy Jean</v>
          </cell>
          <cell r="N1299">
            <v>2.74</v>
          </cell>
          <cell r="O1299">
            <v>3.25</v>
          </cell>
        </row>
        <row r="1300">
          <cell r="E1300" t="str">
            <v>BUS</v>
          </cell>
          <cell r="F1300" t="str">
            <v xml:space="preserve">BUS-C </v>
          </cell>
          <cell r="G1300">
            <v>104</v>
          </cell>
          <cell r="H1300" t="str">
            <v>BUS-C 104</v>
          </cell>
          <cell r="K1300" t="str">
            <v>Kolovou,Tatiana Alkiviadis</v>
          </cell>
          <cell r="N1300">
            <v>2.9</v>
          </cell>
          <cell r="O1300">
            <v>2.9390000000000001</v>
          </cell>
        </row>
        <row r="1301">
          <cell r="E1301" t="str">
            <v>BUS</v>
          </cell>
          <cell r="F1301" t="str">
            <v xml:space="preserve">BUS-C </v>
          </cell>
          <cell r="G1301">
            <v>104</v>
          </cell>
          <cell r="H1301" t="str">
            <v>BUS-C 104</v>
          </cell>
          <cell r="K1301" t="str">
            <v>Kolovou,Tatiana Alkiviadis</v>
          </cell>
          <cell r="N1301">
            <v>3.4950000000000001</v>
          </cell>
          <cell r="O1301">
            <v>3.4020000000000001</v>
          </cell>
        </row>
        <row r="1302">
          <cell r="E1302" t="str">
            <v>BUS</v>
          </cell>
          <cell r="F1302" t="str">
            <v xml:space="preserve">BUS-C </v>
          </cell>
          <cell r="G1302">
            <v>104</v>
          </cell>
          <cell r="H1302" t="str">
            <v>BUS-C 104</v>
          </cell>
          <cell r="K1302" t="str">
            <v>Kolovou,Tatiana Alkiviadis</v>
          </cell>
          <cell r="N1302">
            <v>3.0880000000000001</v>
          </cell>
          <cell r="O1302">
            <v>2.9649999999999999</v>
          </cell>
        </row>
        <row r="1303">
          <cell r="E1303" t="str">
            <v>BUS</v>
          </cell>
          <cell r="F1303" t="str">
            <v xml:space="preserve">BUS-C </v>
          </cell>
          <cell r="G1303">
            <v>104</v>
          </cell>
          <cell r="H1303" t="str">
            <v>BUS-C 104</v>
          </cell>
          <cell r="K1303" t="str">
            <v>Kolovou,Tatiana Alkiviadis</v>
          </cell>
          <cell r="N1303">
            <v>3.1680000000000001</v>
          </cell>
          <cell r="O1303">
            <v>3.044</v>
          </cell>
        </row>
        <row r="1304">
          <cell r="E1304" t="str">
            <v>BUS</v>
          </cell>
          <cell r="F1304" t="str">
            <v xml:space="preserve">BUS-C </v>
          </cell>
          <cell r="G1304">
            <v>104</v>
          </cell>
          <cell r="H1304" t="str">
            <v>BUS-C 104</v>
          </cell>
          <cell r="K1304" t="str">
            <v>Loucks,Susan L</v>
          </cell>
          <cell r="N1304">
            <v>3.532</v>
          </cell>
          <cell r="O1304">
            <v>3.5110000000000001</v>
          </cell>
        </row>
        <row r="1305">
          <cell r="E1305" t="str">
            <v>BUS</v>
          </cell>
          <cell r="F1305" t="str">
            <v xml:space="preserve">BUS-C </v>
          </cell>
          <cell r="G1305">
            <v>104</v>
          </cell>
          <cell r="H1305" t="str">
            <v>BUS-C 104</v>
          </cell>
          <cell r="K1305" t="str">
            <v>Loucks,Susan L</v>
          </cell>
          <cell r="N1305">
            <v>3.1749999999999998</v>
          </cell>
          <cell r="O1305">
            <v>3.145</v>
          </cell>
        </row>
        <row r="1306">
          <cell r="E1306" t="str">
            <v>BUS</v>
          </cell>
          <cell r="F1306" t="str">
            <v xml:space="preserve">BUS-C </v>
          </cell>
          <cell r="G1306">
            <v>104</v>
          </cell>
          <cell r="H1306" t="str">
            <v>BUS-C 104</v>
          </cell>
          <cell r="K1306" t="str">
            <v>Loucks,Susan L</v>
          </cell>
          <cell r="N1306">
            <v>3.2480000000000002</v>
          </cell>
          <cell r="O1306">
            <v>3.19</v>
          </cell>
        </row>
        <row r="1307">
          <cell r="E1307" t="str">
            <v>BUS</v>
          </cell>
          <cell r="F1307" t="str">
            <v xml:space="preserve">BUS-C </v>
          </cell>
          <cell r="G1307">
            <v>104</v>
          </cell>
          <cell r="H1307" t="str">
            <v>BUS-C 104</v>
          </cell>
          <cell r="K1307" t="str">
            <v>Metz,Katie Ann</v>
          </cell>
          <cell r="N1307">
            <v>3.625</v>
          </cell>
          <cell r="O1307">
            <v>3.3119999999999998</v>
          </cell>
        </row>
        <row r="1308">
          <cell r="E1308" t="str">
            <v>BUS</v>
          </cell>
          <cell r="F1308" t="str">
            <v xml:space="preserve">BUS-C </v>
          </cell>
          <cell r="G1308">
            <v>104</v>
          </cell>
          <cell r="H1308" t="str">
            <v>BUS-C 104</v>
          </cell>
          <cell r="K1308" t="str">
            <v>Metz,Katie Ann</v>
          </cell>
          <cell r="N1308">
            <v>3.2709999999999999</v>
          </cell>
          <cell r="O1308">
            <v>3.1640000000000001</v>
          </cell>
        </row>
        <row r="1309">
          <cell r="E1309" t="str">
            <v>BUS</v>
          </cell>
          <cell r="F1309" t="str">
            <v xml:space="preserve">BUS-C </v>
          </cell>
          <cell r="G1309">
            <v>104</v>
          </cell>
          <cell r="H1309" t="str">
            <v>BUS-C 104</v>
          </cell>
          <cell r="K1309" t="str">
            <v>Metz,Katie Ann</v>
          </cell>
          <cell r="N1309">
            <v>3.3559999999999999</v>
          </cell>
          <cell r="O1309">
            <v>3.35</v>
          </cell>
        </row>
        <row r="1310">
          <cell r="E1310" t="str">
            <v>BUS</v>
          </cell>
          <cell r="F1310" t="str">
            <v xml:space="preserve">BUS-C </v>
          </cell>
          <cell r="G1310">
            <v>104</v>
          </cell>
          <cell r="H1310" t="str">
            <v>BUS-C 104</v>
          </cell>
          <cell r="K1310" t="str">
            <v>Metz,Katie Ann</v>
          </cell>
          <cell r="N1310">
            <v>3.4830000000000001</v>
          </cell>
          <cell r="O1310">
            <v>3.4060000000000001</v>
          </cell>
        </row>
        <row r="1311">
          <cell r="E1311" t="str">
            <v>BUS</v>
          </cell>
          <cell r="F1311" t="str">
            <v xml:space="preserve">BUS-C </v>
          </cell>
          <cell r="G1311">
            <v>104</v>
          </cell>
          <cell r="H1311" t="str">
            <v>BUS-C 104</v>
          </cell>
          <cell r="K1311" t="str">
            <v>Metz,Katie Ann</v>
          </cell>
          <cell r="N1311">
            <v>3.2040000000000002</v>
          </cell>
          <cell r="O1311">
            <v>3.1019999999999999</v>
          </cell>
        </row>
        <row r="1312">
          <cell r="E1312" t="str">
            <v>BUS</v>
          </cell>
          <cell r="F1312" t="str">
            <v xml:space="preserve">BUS-C </v>
          </cell>
          <cell r="G1312">
            <v>104</v>
          </cell>
          <cell r="H1312" t="str">
            <v>BUS-C 104</v>
          </cell>
          <cell r="K1312" t="str">
            <v>Mora,Juliane Marie</v>
          </cell>
          <cell r="N1312">
            <v>3.6440000000000001</v>
          </cell>
          <cell r="O1312">
            <v>3.6070000000000002</v>
          </cell>
        </row>
        <row r="1313">
          <cell r="E1313" t="str">
            <v>BUS</v>
          </cell>
          <cell r="F1313" t="str">
            <v xml:space="preserve">BUS-C </v>
          </cell>
          <cell r="G1313">
            <v>104</v>
          </cell>
          <cell r="H1313" t="str">
            <v>BUS-C 104</v>
          </cell>
          <cell r="K1313" t="str">
            <v>Mora,Juliane Marie</v>
          </cell>
          <cell r="N1313">
            <v>3.45</v>
          </cell>
          <cell r="O1313">
            <v>3.323</v>
          </cell>
        </row>
        <row r="1314">
          <cell r="E1314" t="str">
            <v>BUS</v>
          </cell>
          <cell r="F1314" t="str">
            <v xml:space="preserve">BUS-C </v>
          </cell>
          <cell r="G1314">
            <v>104</v>
          </cell>
          <cell r="H1314" t="str">
            <v>BUS-C 104</v>
          </cell>
          <cell r="K1314" t="str">
            <v>Mora,Juliane Marie</v>
          </cell>
          <cell r="N1314">
            <v>3.367</v>
          </cell>
          <cell r="O1314">
            <v>3.3740000000000001</v>
          </cell>
        </row>
        <row r="1315">
          <cell r="E1315" t="str">
            <v>BUS</v>
          </cell>
          <cell r="F1315" t="str">
            <v xml:space="preserve">BUS-C </v>
          </cell>
          <cell r="G1315">
            <v>104</v>
          </cell>
          <cell r="H1315" t="str">
            <v>BUS-C 104</v>
          </cell>
          <cell r="K1315" t="str">
            <v>Mora,Juliane Marie</v>
          </cell>
          <cell r="N1315">
            <v>3.5430000000000001</v>
          </cell>
          <cell r="O1315">
            <v>3.2770000000000001</v>
          </cell>
        </row>
        <row r="1316">
          <cell r="E1316" t="str">
            <v>BUS</v>
          </cell>
          <cell r="F1316" t="str">
            <v xml:space="preserve">BUS-C </v>
          </cell>
          <cell r="G1316">
            <v>104</v>
          </cell>
          <cell r="H1316" t="str">
            <v>BUS-C 104</v>
          </cell>
          <cell r="K1316" t="str">
            <v>New,Dawn</v>
          </cell>
          <cell r="N1316">
            <v>3.3879999999999999</v>
          </cell>
          <cell r="O1316">
            <v>3.4140000000000001</v>
          </cell>
        </row>
        <row r="1317">
          <cell r="E1317" t="str">
            <v>BUS</v>
          </cell>
          <cell r="F1317" t="str">
            <v xml:space="preserve">BUS-C </v>
          </cell>
          <cell r="G1317">
            <v>104</v>
          </cell>
          <cell r="H1317" t="str">
            <v>BUS-C 104</v>
          </cell>
          <cell r="K1317" t="str">
            <v>New,Dawn</v>
          </cell>
          <cell r="N1317">
            <v>3.25</v>
          </cell>
          <cell r="O1317">
            <v>3.3170000000000002</v>
          </cell>
        </row>
        <row r="1318">
          <cell r="E1318" t="str">
            <v>BUS</v>
          </cell>
          <cell r="F1318" t="str">
            <v xml:space="preserve">BUS-C </v>
          </cell>
          <cell r="G1318">
            <v>104</v>
          </cell>
          <cell r="H1318" t="str">
            <v>BUS-C 104</v>
          </cell>
          <cell r="K1318" t="str">
            <v>New,Dawn</v>
          </cell>
          <cell r="N1318">
            <v>3.5289999999999999</v>
          </cell>
          <cell r="O1318">
            <v>3.2810000000000001</v>
          </cell>
        </row>
        <row r="1319">
          <cell r="E1319" t="str">
            <v>BUS</v>
          </cell>
          <cell r="F1319" t="str">
            <v xml:space="preserve">BUS-C </v>
          </cell>
          <cell r="G1319">
            <v>104</v>
          </cell>
          <cell r="H1319" t="str">
            <v>BUS-C 104</v>
          </cell>
          <cell r="K1319" t="str">
            <v>New,Dawn</v>
          </cell>
          <cell r="N1319">
            <v>3.742</v>
          </cell>
          <cell r="O1319">
            <v>3.371</v>
          </cell>
        </row>
        <row r="1320">
          <cell r="E1320" t="str">
            <v>BUS</v>
          </cell>
          <cell r="F1320" t="str">
            <v xml:space="preserve">BUS-C </v>
          </cell>
          <cell r="G1320">
            <v>104</v>
          </cell>
          <cell r="H1320" t="str">
            <v>BUS-C 104</v>
          </cell>
          <cell r="K1320" t="str">
            <v>New,Dawn</v>
          </cell>
          <cell r="N1320">
            <v>3.633</v>
          </cell>
          <cell r="O1320">
            <v>3.2709999999999999</v>
          </cell>
        </row>
        <row r="1321">
          <cell r="E1321" t="str">
            <v>BUS</v>
          </cell>
          <cell r="F1321" t="str">
            <v xml:space="preserve">BUS-C </v>
          </cell>
          <cell r="G1321">
            <v>104</v>
          </cell>
          <cell r="H1321" t="str">
            <v>BUS-C 104</v>
          </cell>
          <cell r="K1321" t="str">
            <v>Storey,James Benjamin</v>
          </cell>
          <cell r="N1321">
            <v>3.54</v>
          </cell>
          <cell r="O1321">
            <v>3.5529999999999999</v>
          </cell>
        </row>
        <row r="1322">
          <cell r="E1322" t="str">
            <v>BUS</v>
          </cell>
          <cell r="F1322" t="str">
            <v xml:space="preserve">BUS-C </v>
          </cell>
          <cell r="G1322">
            <v>104</v>
          </cell>
          <cell r="H1322" t="str">
            <v>BUS-C 104</v>
          </cell>
          <cell r="K1322" t="str">
            <v>Storey,James Benjamin</v>
          </cell>
          <cell r="N1322">
            <v>3.468</v>
          </cell>
          <cell r="O1322">
            <v>3.1389999999999998</v>
          </cell>
        </row>
        <row r="1323">
          <cell r="E1323" t="str">
            <v>BUS</v>
          </cell>
          <cell r="F1323" t="str">
            <v xml:space="preserve">BUS-C </v>
          </cell>
          <cell r="G1323">
            <v>104</v>
          </cell>
          <cell r="H1323" t="str">
            <v>BUS-C 104</v>
          </cell>
          <cell r="K1323" t="str">
            <v>Storey,James Benjamin</v>
          </cell>
          <cell r="N1323">
            <v>3.3159999999999998</v>
          </cell>
          <cell r="O1323">
            <v>3.0350000000000001</v>
          </cell>
        </row>
        <row r="1324">
          <cell r="E1324" t="str">
            <v>BUS</v>
          </cell>
          <cell r="F1324" t="str">
            <v xml:space="preserve">BUS-C </v>
          </cell>
          <cell r="G1324">
            <v>104</v>
          </cell>
          <cell r="H1324" t="str">
            <v>BUS-C 104</v>
          </cell>
          <cell r="K1324" t="str">
            <v>Storey,James Benjamin</v>
          </cell>
          <cell r="N1324">
            <v>3.488</v>
          </cell>
          <cell r="O1324">
            <v>3.2989999999999999</v>
          </cell>
        </row>
        <row r="1325">
          <cell r="E1325" t="str">
            <v>BUS</v>
          </cell>
          <cell r="F1325" t="str">
            <v xml:space="preserve">BUS-C </v>
          </cell>
          <cell r="G1325">
            <v>106</v>
          </cell>
          <cell r="H1325" t="str">
            <v>BUS-C 106</v>
          </cell>
          <cell r="K1325" t="str">
            <v>Bailey-Hughes,Brenda Marie</v>
          </cell>
          <cell r="N1325">
            <v>3.7610000000000001</v>
          </cell>
          <cell r="O1325">
            <v>3.6469999999999998</v>
          </cell>
        </row>
        <row r="1326">
          <cell r="E1326" t="str">
            <v>BUS</v>
          </cell>
          <cell r="F1326" t="str">
            <v xml:space="preserve">BUS-C </v>
          </cell>
          <cell r="G1326">
            <v>106</v>
          </cell>
          <cell r="H1326" t="str">
            <v>BUS-C 106</v>
          </cell>
          <cell r="K1326" t="str">
            <v>Bailey-Hughes,Brenda Marie</v>
          </cell>
          <cell r="N1326">
            <v>3.57</v>
          </cell>
          <cell r="O1326">
            <v>3.6280000000000001</v>
          </cell>
        </row>
        <row r="1327">
          <cell r="E1327" t="str">
            <v>BUS</v>
          </cell>
          <cell r="F1327" t="str">
            <v xml:space="preserve">BUS-C </v>
          </cell>
          <cell r="G1327">
            <v>106</v>
          </cell>
          <cell r="H1327" t="str">
            <v>BUS-C 106</v>
          </cell>
          <cell r="K1327" t="str">
            <v>Vargo,Susan S.</v>
          </cell>
          <cell r="N1327">
            <v>3.9569999999999999</v>
          </cell>
          <cell r="O1327">
            <v>3.7469999999999999</v>
          </cell>
        </row>
        <row r="1328">
          <cell r="E1328" t="str">
            <v>BUS</v>
          </cell>
          <cell r="F1328" t="str">
            <v xml:space="preserve">BUS-C </v>
          </cell>
          <cell r="G1328">
            <v>106</v>
          </cell>
          <cell r="H1328" t="str">
            <v>BUS-C 106</v>
          </cell>
          <cell r="K1328" t="str">
            <v>Vargo,Susan S.</v>
          </cell>
          <cell r="N1328">
            <v>3.8580000000000001</v>
          </cell>
          <cell r="O1328">
            <v>3.76</v>
          </cell>
        </row>
        <row r="1329">
          <cell r="E1329" t="str">
            <v>BUS</v>
          </cell>
          <cell r="F1329" t="str">
            <v xml:space="preserve">BUS-C </v>
          </cell>
          <cell r="G1329">
            <v>204</v>
          </cell>
          <cell r="H1329" t="str">
            <v>BUS-C 204</v>
          </cell>
          <cell r="K1329" t="str">
            <v>Easton,Anna Lou</v>
          </cell>
          <cell r="N1329">
            <v>3.3090000000000002</v>
          </cell>
          <cell r="O1329">
            <v>3.165</v>
          </cell>
        </row>
        <row r="1330">
          <cell r="E1330" t="str">
            <v>BUS</v>
          </cell>
          <cell r="F1330" t="str">
            <v xml:space="preserve">BUS-C </v>
          </cell>
          <cell r="G1330">
            <v>204</v>
          </cell>
          <cell r="H1330" t="str">
            <v>BUS-C 204</v>
          </cell>
          <cell r="K1330" t="str">
            <v>Easton,Anna Lou</v>
          </cell>
          <cell r="N1330">
            <v>3.5609999999999999</v>
          </cell>
          <cell r="O1330">
            <v>3.3719999999999999</v>
          </cell>
        </row>
        <row r="1331">
          <cell r="E1331" t="str">
            <v>BUS</v>
          </cell>
          <cell r="F1331" t="str">
            <v xml:space="preserve">BUS-C </v>
          </cell>
          <cell r="G1331">
            <v>204</v>
          </cell>
          <cell r="H1331" t="str">
            <v>BUS-C 204</v>
          </cell>
          <cell r="K1331" t="str">
            <v>Easton,Anna Lou</v>
          </cell>
          <cell r="N1331">
            <v>3.6749999999999998</v>
          </cell>
          <cell r="O1331">
            <v>3.383</v>
          </cell>
        </row>
        <row r="1332">
          <cell r="E1332" t="str">
            <v>BUS</v>
          </cell>
          <cell r="F1332" t="str">
            <v xml:space="preserve">BUS-C </v>
          </cell>
          <cell r="G1332">
            <v>204</v>
          </cell>
          <cell r="H1332" t="str">
            <v>BUS-C 204</v>
          </cell>
          <cell r="K1332" t="str">
            <v>Goddin,Jeffrey K.</v>
          </cell>
          <cell r="N1332">
            <v>3.42</v>
          </cell>
          <cell r="O1332">
            <v>3.2549999999999999</v>
          </cell>
        </row>
        <row r="1333">
          <cell r="E1333" t="str">
            <v>BUS</v>
          </cell>
          <cell r="F1333" t="str">
            <v xml:space="preserve">BUS-C </v>
          </cell>
          <cell r="G1333">
            <v>204</v>
          </cell>
          <cell r="H1333" t="str">
            <v>BUS-C 204</v>
          </cell>
          <cell r="K1333" t="str">
            <v>Goddin,Jeffrey K.</v>
          </cell>
          <cell r="N1333">
            <v>3.4550000000000001</v>
          </cell>
          <cell r="O1333">
            <v>3.294</v>
          </cell>
        </row>
        <row r="1334">
          <cell r="E1334" t="str">
            <v>BUS</v>
          </cell>
          <cell r="F1334" t="str">
            <v xml:space="preserve">BUS-C </v>
          </cell>
          <cell r="G1334">
            <v>204</v>
          </cell>
          <cell r="H1334" t="str">
            <v>BUS-C 204</v>
          </cell>
          <cell r="K1334" t="str">
            <v>Goddin,Jeffrey K.</v>
          </cell>
          <cell r="N1334">
            <v>3.76</v>
          </cell>
          <cell r="O1334">
            <v>3.5030000000000001</v>
          </cell>
        </row>
        <row r="1335">
          <cell r="E1335" t="str">
            <v>BUS</v>
          </cell>
          <cell r="F1335" t="str">
            <v xml:space="preserve">BUS-C </v>
          </cell>
          <cell r="G1335">
            <v>204</v>
          </cell>
          <cell r="H1335" t="str">
            <v>BUS-C 204</v>
          </cell>
          <cell r="K1335" t="str">
            <v>Heidewald,Jeanette Lynne</v>
          </cell>
          <cell r="N1335">
            <v>3.2090000000000001</v>
          </cell>
          <cell r="O1335">
            <v>3.0249999999999999</v>
          </cell>
        </row>
        <row r="1336">
          <cell r="E1336" t="str">
            <v>BUS</v>
          </cell>
          <cell r="F1336" t="str">
            <v xml:space="preserve">BUS-C </v>
          </cell>
          <cell r="G1336">
            <v>204</v>
          </cell>
          <cell r="H1336" t="str">
            <v>BUS-C 204</v>
          </cell>
          <cell r="K1336" t="str">
            <v>Holt,Lanier Frush</v>
          </cell>
          <cell r="N1336">
            <v>3.621</v>
          </cell>
          <cell r="O1336">
            <v>3.3140000000000001</v>
          </cell>
        </row>
        <row r="1337">
          <cell r="E1337" t="str">
            <v>BUS</v>
          </cell>
          <cell r="F1337" t="str">
            <v xml:space="preserve">BUS-C </v>
          </cell>
          <cell r="G1337">
            <v>204</v>
          </cell>
          <cell r="H1337" t="str">
            <v>BUS-C 204</v>
          </cell>
          <cell r="K1337" t="str">
            <v>Holt,Lanier Frush</v>
          </cell>
          <cell r="N1337">
            <v>3.5920000000000001</v>
          </cell>
          <cell r="O1337">
            <v>3.347</v>
          </cell>
        </row>
        <row r="1338">
          <cell r="E1338" t="str">
            <v>BUS</v>
          </cell>
          <cell r="F1338" t="str">
            <v xml:space="preserve">BUS-C </v>
          </cell>
          <cell r="G1338">
            <v>204</v>
          </cell>
          <cell r="H1338" t="str">
            <v>BUS-C 204</v>
          </cell>
          <cell r="K1338" t="str">
            <v>Holt,Lanier Frush</v>
          </cell>
          <cell r="N1338">
            <v>3.6709999999999998</v>
          </cell>
          <cell r="O1338">
            <v>3.2450000000000001</v>
          </cell>
        </row>
        <row r="1339">
          <cell r="E1339" t="str">
            <v>BUS</v>
          </cell>
          <cell r="F1339" t="str">
            <v xml:space="preserve">BUS-C </v>
          </cell>
          <cell r="G1339">
            <v>204</v>
          </cell>
          <cell r="H1339" t="str">
            <v>BUS-C 204</v>
          </cell>
          <cell r="K1339" t="str">
            <v>Mc Nellen,Brenda M</v>
          </cell>
          <cell r="N1339">
            <v>3.4319999999999999</v>
          </cell>
          <cell r="O1339">
            <v>3.2050000000000001</v>
          </cell>
        </row>
        <row r="1340">
          <cell r="E1340" t="str">
            <v>BUS</v>
          </cell>
          <cell r="F1340" t="str">
            <v xml:space="preserve">BUS-C </v>
          </cell>
          <cell r="G1340">
            <v>204</v>
          </cell>
          <cell r="H1340" t="str">
            <v>BUS-C 204</v>
          </cell>
          <cell r="K1340" t="str">
            <v>Mc Nellen,Brenda M</v>
          </cell>
          <cell r="N1340">
            <v>3.5830000000000002</v>
          </cell>
          <cell r="O1340">
            <v>3.3820000000000001</v>
          </cell>
        </row>
        <row r="1341">
          <cell r="E1341" t="str">
            <v>BUS</v>
          </cell>
          <cell r="F1341" t="str">
            <v xml:space="preserve">BUS-C </v>
          </cell>
          <cell r="G1341">
            <v>204</v>
          </cell>
          <cell r="H1341" t="str">
            <v>BUS-C 204</v>
          </cell>
          <cell r="K1341" t="str">
            <v>Meunier,John F</v>
          </cell>
          <cell r="N1341">
            <v>3.5920000000000001</v>
          </cell>
          <cell r="O1341">
            <v>3.3889999999999998</v>
          </cell>
        </row>
        <row r="1342">
          <cell r="E1342" t="str">
            <v>BUS</v>
          </cell>
          <cell r="F1342" t="str">
            <v xml:space="preserve">BUS-C </v>
          </cell>
          <cell r="G1342">
            <v>204</v>
          </cell>
          <cell r="H1342" t="str">
            <v>BUS-C 204</v>
          </cell>
          <cell r="K1342" t="str">
            <v>Meunier,John F</v>
          </cell>
          <cell r="N1342">
            <v>3.52</v>
          </cell>
          <cell r="O1342">
            <v>3.3439999999999999</v>
          </cell>
        </row>
        <row r="1343">
          <cell r="E1343" t="str">
            <v>BUS</v>
          </cell>
          <cell r="F1343" t="str">
            <v xml:space="preserve">BUS-C </v>
          </cell>
          <cell r="G1343">
            <v>204</v>
          </cell>
          <cell r="H1343" t="str">
            <v>BUS-C 204</v>
          </cell>
          <cell r="K1343" t="str">
            <v>Meunier,John F</v>
          </cell>
          <cell r="N1343">
            <v>3.4169999999999998</v>
          </cell>
          <cell r="O1343">
            <v>3.09</v>
          </cell>
        </row>
        <row r="1344">
          <cell r="E1344" t="str">
            <v>BUS</v>
          </cell>
          <cell r="F1344" t="str">
            <v xml:space="preserve">BUS-C </v>
          </cell>
          <cell r="G1344">
            <v>204</v>
          </cell>
          <cell r="H1344" t="str">
            <v>BUS-C 204</v>
          </cell>
          <cell r="K1344" t="str">
            <v>Morrone,Michael C</v>
          </cell>
          <cell r="N1344">
            <v>3.448</v>
          </cell>
          <cell r="O1344">
            <v>3.323</v>
          </cell>
        </row>
        <row r="1345">
          <cell r="E1345" t="str">
            <v>BUS</v>
          </cell>
          <cell r="F1345" t="str">
            <v xml:space="preserve">BUS-C </v>
          </cell>
          <cell r="G1345">
            <v>204</v>
          </cell>
          <cell r="H1345" t="str">
            <v>BUS-C 204</v>
          </cell>
          <cell r="K1345" t="str">
            <v>Morrone,Michael C</v>
          </cell>
          <cell r="N1345">
            <v>3.4</v>
          </cell>
          <cell r="O1345">
            <v>3.3420000000000001</v>
          </cell>
        </row>
        <row r="1346">
          <cell r="E1346" t="str">
            <v>BUS</v>
          </cell>
          <cell r="F1346" t="str">
            <v xml:space="preserve">BUS-C </v>
          </cell>
          <cell r="G1346">
            <v>204</v>
          </cell>
          <cell r="H1346" t="str">
            <v>BUS-C 204</v>
          </cell>
          <cell r="K1346" t="str">
            <v>Neal,Carter Elliott</v>
          </cell>
          <cell r="N1346">
            <v>3.286</v>
          </cell>
          <cell r="O1346">
            <v>3.2240000000000002</v>
          </cell>
        </row>
        <row r="1347">
          <cell r="E1347" t="str">
            <v>BUS</v>
          </cell>
          <cell r="F1347" t="str">
            <v xml:space="preserve">BUS-C </v>
          </cell>
          <cell r="G1347">
            <v>204</v>
          </cell>
          <cell r="H1347" t="str">
            <v>BUS-C 204</v>
          </cell>
          <cell r="K1347" t="str">
            <v>Neal,Carter Elliott</v>
          </cell>
          <cell r="N1347">
            <v>3.1709999999999998</v>
          </cell>
          <cell r="O1347">
            <v>3.1859999999999999</v>
          </cell>
        </row>
        <row r="1348">
          <cell r="E1348" t="str">
            <v>BUS</v>
          </cell>
          <cell r="F1348" t="str">
            <v xml:space="preserve">BUS-C </v>
          </cell>
          <cell r="G1348">
            <v>204</v>
          </cell>
          <cell r="H1348" t="str">
            <v>BUS-C 204</v>
          </cell>
          <cell r="K1348" t="str">
            <v>Neal,Carter Elliott</v>
          </cell>
          <cell r="N1348">
            <v>3.1589999999999998</v>
          </cell>
          <cell r="O1348">
            <v>2.927</v>
          </cell>
        </row>
        <row r="1349">
          <cell r="E1349" t="str">
            <v>BUS</v>
          </cell>
          <cell r="F1349" t="str">
            <v xml:space="preserve">BUS-C </v>
          </cell>
          <cell r="G1349">
            <v>204</v>
          </cell>
          <cell r="H1349" t="str">
            <v>BUS-C 204</v>
          </cell>
          <cell r="K1349" t="str">
            <v>Neher,Darryl Richard</v>
          </cell>
          <cell r="N1349">
            <v>3.2050000000000001</v>
          </cell>
          <cell r="O1349">
            <v>3.052</v>
          </cell>
        </row>
        <row r="1350">
          <cell r="E1350" t="str">
            <v>BUS</v>
          </cell>
          <cell r="F1350" t="str">
            <v xml:space="preserve">BUS-C </v>
          </cell>
          <cell r="G1350">
            <v>204</v>
          </cell>
          <cell r="H1350" t="str">
            <v>BUS-C 204</v>
          </cell>
          <cell r="K1350" t="str">
            <v>Ryan,Katherine C</v>
          </cell>
          <cell r="N1350">
            <v>3.448</v>
          </cell>
          <cell r="O1350">
            <v>3.3119999999999998</v>
          </cell>
        </row>
        <row r="1351">
          <cell r="E1351" t="str">
            <v>BUS</v>
          </cell>
          <cell r="F1351" t="str">
            <v xml:space="preserve">BUS-C </v>
          </cell>
          <cell r="G1351">
            <v>204</v>
          </cell>
          <cell r="H1351" t="str">
            <v>BUS-C 204</v>
          </cell>
          <cell r="K1351" t="str">
            <v>Ryan,Katherine C</v>
          </cell>
          <cell r="N1351">
            <v>3.57</v>
          </cell>
          <cell r="O1351">
            <v>3.51</v>
          </cell>
        </row>
        <row r="1352">
          <cell r="E1352" t="str">
            <v>BUS</v>
          </cell>
          <cell r="F1352" t="str">
            <v xml:space="preserve">BUS-C </v>
          </cell>
          <cell r="G1352">
            <v>204</v>
          </cell>
          <cell r="H1352" t="str">
            <v>BUS-C 204</v>
          </cell>
          <cell r="K1352" t="str">
            <v>Ryan,Katherine C</v>
          </cell>
          <cell r="N1352">
            <v>3.2919999999999998</v>
          </cell>
          <cell r="O1352">
            <v>3.423</v>
          </cell>
        </row>
        <row r="1353">
          <cell r="E1353" t="str">
            <v>BUS</v>
          </cell>
          <cell r="F1353" t="str">
            <v xml:space="preserve">BUS-C </v>
          </cell>
          <cell r="G1353">
            <v>204</v>
          </cell>
          <cell r="H1353" t="str">
            <v>BUS-C 204</v>
          </cell>
          <cell r="K1353" t="str">
            <v>Sklar,Pamela S.</v>
          </cell>
          <cell r="N1353">
            <v>3.7519999999999998</v>
          </cell>
          <cell r="O1353">
            <v>3.2130000000000001</v>
          </cell>
        </row>
        <row r="1354">
          <cell r="E1354" t="str">
            <v>BUS</v>
          </cell>
          <cell r="F1354" t="str">
            <v xml:space="preserve">BUS-C </v>
          </cell>
          <cell r="G1354">
            <v>204</v>
          </cell>
          <cell r="H1354" t="str">
            <v>BUS-C 204</v>
          </cell>
          <cell r="K1354" t="str">
            <v>Sklar,Pamela S.</v>
          </cell>
          <cell r="N1354">
            <v>3.75</v>
          </cell>
          <cell r="O1354">
            <v>3.2120000000000002</v>
          </cell>
        </row>
        <row r="1355">
          <cell r="E1355" t="str">
            <v>BUS</v>
          </cell>
          <cell r="F1355" t="str">
            <v xml:space="preserve">BUS-C </v>
          </cell>
          <cell r="G1355">
            <v>204</v>
          </cell>
          <cell r="H1355" t="str">
            <v>BUS-C 204</v>
          </cell>
          <cell r="K1355" t="str">
            <v>Sklar,Pamela S.</v>
          </cell>
          <cell r="N1355">
            <v>3.4409999999999998</v>
          </cell>
          <cell r="O1355">
            <v>3.41</v>
          </cell>
        </row>
        <row r="1356">
          <cell r="E1356" t="str">
            <v>BUS</v>
          </cell>
          <cell r="F1356" t="str">
            <v xml:space="preserve">BUS-C </v>
          </cell>
          <cell r="G1356">
            <v>204</v>
          </cell>
          <cell r="H1356" t="str">
            <v>BUS-C 204</v>
          </cell>
          <cell r="K1356" t="str">
            <v>Steiner-Williams,Judy F.</v>
          </cell>
          <cell r="N1356">
            <v>2.8319999999999999</v>
          </cell>
          <cell r="O1356">
            <v>2.77</v>
          </cell>
        </row>
        <row r="1357">
          <cell r="E1357" t="str">
            <v>BUS</v>
          </cell>
          <cell r="F1357" t="str">
            <v xml:space="preserve">BUS-C </v>
          </cell>
          <cell r="G1357">
            <v>204</v>
          </cell>
          <cell r="H1357" t="str">
            <v>BUS-C 204</v>
          </cell>
          <cell r="K1357" t="str">
            <v>Steiner-Williams,Judy F.</v>
          </cell>
          <cell r="N1357">
            <v>3.2589999999999999</v>
          </cell>
          <cell r="O1357">
            <v>3.198</v>
          </cell>
        </row>
        <row r="1358">
          <cell r="E1358" t="str">
            <v>BUS</v>
          </cell>
          <cell r="F1358" t="str">
            <v xml:space="preserve">BUS-C </v>
          </cell>
          <cell r="G1358">
            <v>204</v>
          </cell>
          <cell r="H1358" t="str">
            <v>BUS-C 204</v>
          </cell>
          <cell r="K1358" t="str">
            <v>Steiner-Williams,Judy F.</v>
          </cell>
          <cell r="N1358">
            <v>3.3650000000000002</v>
          </cell>
          <cell r="O1358">
            <v>3.194</v>
          </cell>
        </row>
        <row r="1359">
          <cell r="E1359" t="str">
            <v>BUS</v>
          </cell>
          <cell r="F1359" t="str">
            <v xml:space="preserve">BUS-C </v>
          </cell>
          <cell r="G1359">
            <v>204</v>
          </cell>
          <cell r="H1359" t="str">
            <v>BUS-C 204</v>
          </cell>
          <cell r="K1359" t="str">
            <v>Steiner-Williams,Judy F.</v>
          </cell>
          <cell r="N1359">
            <v>3.13</v>
          </cell>
          <cell r="O1359">
            <v>3.0979999999999999</v>
          </cell>
        </row>
        <row r="1360">
          <cell r="E1360" t="str">
            <v>BUS</v>
          </cell>
          <cell r="F1360" t="str">
            <v xml:space="preserve">BUS-C </v>
          </cell>
          <cell r="G1360">
            <v>205</v>
          </cell>
          <cell r="H1360" t="str">
            <v>BUS-C 205</v>
          </cell>
          <cell r="K1360" t="str">
            <v>Heidewald,Jeanette Lynne</v>
          </cell>
          <cell r="N1360">
            <v>3.7589999999999999</v>
          </cell>
          <cell r="O1360">
            <v>3.7480000000000002</v>
          </cell>
        </row>
        <row r="1361">
          <cell r="E1361" t="str">
            <v>BUS</v>
          </cell>
          <cell r="F1361" t="str">
            <v xml:space="preserve">BUS-C </v>
          </cell>
          <cell r="G1361">
            <v>205</v>
          </cell>
          <cell r="H1361" t="str">
            <v>BUS-C 205</v>
          </cell>
          <cell r="K1361" t="str">
            <v>Heidewald,Jeanette Lynne</v>
          </cell>
          <cell r="N1361">
            <v>3.8780000000000001</v>
          </cell>
          <cell r="O1361">
            <v>3.7679999999999998</v>
          </cell>
        </row>
        <row r="1362">
          <cell r="E1362" t="str">
            <v>BUS</v>
          </cell>
          <cell r="F1362" t="str">
            <v xml:space="preserve">BUS-C </v>
          </cell>
          <cell r="G1362">
            <v>205</v>
          </cell>
          <cell r="H1362" t="str">
            <v>BUS-C 205</v>
          </cell>
          <cell r="K1362" t="str">
            <v>Neher,Darryl Richard</v>
          </cell>
          <cell r="N1362">
            <v>3.8210000000000002</v>
          </cell>
          <cell r="O1362">
            <v>3.722</v>
          </cell>
        </row>
        <row r="1363">
          <cell r="E1363" t="str">
            <v>BUS</v>
          </cell>
          <cell r="F1363" t="str">
            <v xml:space="preserve">BUS-C </v>
          </cell>
          <cell r="G1363">
            <v>205</v>
          </cell>
          <cell r="H1363" t="str">
            <v>BUS-C 205</v>
          </cell>
          <cell r="K1363" t="str">
            <v>Neher,Darryl Richard</v>
          </cell>
          <cell r="N1363">
            <v>3.8170000000000002</v>
          </cell>
          <cell r="O1363">
            <v>3.7429999999999999</v>
          </cell>
        </row>
        <row r="1364">
          <cell r="E1364" t="str">
            <v>BUS</v>
          </cell>
          <cell r="F1364" t="str">
            <v xml:space="preserve">BUS-C </v>
          </cell>
          <cell r="G1364">
            <v>255</v>
          </cell>
          <cell r="H1364" t="str">
            <v>BUS-C 255</v>
          </cell>
          <cell r="K1364" t="str">
            <v>Ryan,Katherine C</v>
          </cell>
          <cell r="N1364" t="str">
            <v>NR</v>
          </cell>
          <cell r="O1364" t="str">
            <v>NR</v>
          </cell>
        </row>
        <row r="1365">
          <cell r="E1365" t="str">
            <v>BUS</v>
          </cell>
          <cell r="F1365" t="str">
            <v xml:space="preserve">BUS-C </v>
          </cell>
          <cell r="G1365">
            <v>301</v>
          </cell>
          <cell r="H1365" t="str">
            <v>BUS-C 301</v>
          </cell>
          <cell r="K1365" t="str">
            <v>Brimm,David Robert</v>
          </cell>
          <cell r="N1365">
            <v>3.5289999999999999</v>
          </cell>
          <cell r="O1365">
            <v>3.4980000000000002</v>
          </cell>
        </row>
        <row r="1366">
          <cell r="E1366" t="str">
            <v>BUS</v>
          </cell>
          <cell r="F1366" t="str">
            <v xml:space="preserve">BUS-C </v>
          </cell>
          <cell r="G1366">
            <v>301</v>
          </cell>
          <cell r="H1366" t="str">
            <v>BUS-C 301</v>
          </cell>
          <cell r="K1366" t="str">
            <v>Brimm,David Robert</v>
          </cell>
          <cell r="N1366">
            <v>3.7040000000000002</v>
          </cell>
          <cell r="O1366">
            <v>3.5790000000000002</v>
          </cell>
        </row>
        <row r="1367">
          <cell r="E1367" t="str">
            <v>BUS</v>
          </cell>
          <cell r="F1367" t="str">
            <v xml:space="preserve">BUS-C </v>
          </cell>
          <cell r="G1367">
            <v>301</v>
          </cell>
          <cell r="H1367" t="str">
            <v>BUS-C 301</v>
          </cell>
          <cell r="K1367" t="str">
            <v>Brimm,David Robert</v>
          </cell>
          <cell r="N1367">
            <v>3.8330000000000002</v>
          </cell>
          <cell r="O1367">
            <v>3.5369999999999999</v>
          </cell>
        </row>
        <row r="1368">
          <cell r="E1368" t="str">
            <v>BUS</v>
          </cell>
          <cell r="F1368" t="str">
            <v xml:space="preserve">BUS-C </v>
          </cell>
          <cell r="G1368">
            <v>301</v>
          </cell>
          <cell r="H1368" t="str">
            <v>BUS-C 301</v>
          </cell>
          <cell r="K1368" t="str">
            <v>Brimm,David Robert</v>
          </cell>
          <cell r="N1368">
            <v>3.867</v>
          </cell>
          <cell r="O1368">
            <v>3.71</v>
          </cell>
        </row>
        <row r="1369">
          <cell r="E1369" t="str">
            <v>BUS</v>
          </cell>
          <cell r="F1369" t="str">
            <v xml:space="preserve">BUS-C </v>
          </cell>
          <cell r="G1369">
            <v>301</v>
          </cell>
          <cell r="H1369" t="str">
            <v>BUS-C 301</v>
          </cell>
          <cell r="K1369" t="str">
            <v>Brimm,David Robert</v>
          </cell>
          <cell r="N1369">
            <v>3.609</v>
          </cell>
          <cell r="O1369">
            <v>3.3929999999999998</v>
          </cell>
        </row>
        <row r="1370">
          <cell r="E1370" t="str">
            <v>BUS</v>
          </cell>
          <cell r="F1370" t="str">
            <v xml:space="preserve">BUS-C </v>
          </cell>
          <cell r="G1370">
            <v>301</v>
          </cell>
          <cell r="H1370" t="str">
            <v>BUS-C 301</v>
          </cell>
          <cell r="K1370" t="str">
            <v>Brimm,David Robert</v>
          </cell>
          <cell r="N1370">
            <v>3.7130000000000001</v>
          </cell>
          <cell r="O1370">
            <v>3.3849999999999998</v>
          </cell>
        </row>
        <row r="1371">
          <cell r="E1371" t="str">
            <v>BUS</v>
          </cell>
          <cell r="F1371" t="str">
            <v xml:space="preserve">BUS-C </v>
          </cell>
          <cell r="G1371">
            <v>301</v>
          </cell>
          <cell r="H1371" t="str">
            <v>BUS-C 301</v>
          </cell>
          <cell r="K1371" t="str">
            <v>Brimm,David Robert</v>
          </cell>
          <cell r="N1371">
            <v>3.47</v>
          </cell>
          <cell r="O1371">
            <v>3.319</v>
          </cell>
        </row>
        <row r="1372">
          <cell r="E1372" t="str">
            <v>BUS</v>
          </cell>
          <cell r="F1372" t="str">
            <v xml:space="preserve">BUS-D </v>
          </cell>
          <cell r="G1372">
            <v>301</v>
          </cell>
          <cell r="H1372" t="str">
            <v>BUS-D 301</v>
          </cell>
          <cell r="K1372" t="str">
            <v>Coulis,Paul Stephen</v>
          </cell>
          <cell r="N1372">
            <v>2.9630000000000001</v>
          </cell>
          <cell r="O1372">
            <v>3.4350000000000001</v>
          </cell>
        </row>
        <row r="1373">
          <cell r="E1373" t="str">
            <v>BUS</v>
          </cell>
          <cell r="F1373" t="str">
            <v xml:space="preserve">BUS-D </v>
          </cell>
          <cell r="G1373">
            <v>301</v>
          </cell>
          <cell r="H1373" t="str">
            <v>BUS-D 301</v>
          </cell>
          <cell r="K1373" t="str">
            <v>Coulis,Paul Stephen</v>
          </cell>
          <cell r="N1373">
            <v>2.899</v>
          </cell>
          <cell r="O1373">
            <v>3.3439999999999999</v>
          </cell>
        </row>
        <row r="1374">
          <cell r="E1374" t="str">
            <v>BUS</v>
          </cell>
          <cell r="F1374" t="str">
            <v xml:space="preserve">BUS-D </v>
          </cell>
          <cell r="G1374">
            <v>301</v>
          </cell>
          <cell r="H1374" t="str">
            <v>BUS-D 301</v>
          </cell>
          <cell r="K1374" t="str">
            <v>Schlegel,Fred H</v>
          </cell>
          <cell r="N1374">
            <v>3.339</v>
          </cell>
          <cell r="O1374">
            <v>3.3050000000000002</v>
          </cell>
        </row>
        <row r="1375">
          <cell r="E1375" t="str">
            <v>BUS</v>
          </cell>
          <cell r="F1375" t="str">
            <v xml:space="preserve">BUS-D </v>
          </cell>
          <cell r="G1375">
            <v>301</v>
          </cell>
          <cell r="H1375" t="str">
            <v>BUS-D 301</v>
          </cell>
          <cell r="K1375" t="str">
            <v>Schlegel,Fred H</v>
          </cell>
          <cell r="N1375">
            <v>3.472</v>
          </cell>
          <cell r="O1375">
            <v>3.3839999999999999</v>
          </cell>
        </row>
        <row r="1376">
          <cell r="E1376" t="str">
            <v>BUS</v>
          </cell>
          <cell r="F1376" t="str">
            <v xml:space="preserve">BUS-D </v>
          </cell>
          <cell r="G1376">
            <v>302</v>
          </cell>
          <cell r="H1376" t="str">
            <v>BUS-D 302</v>
          </cell>
          <cell r="K1376" t="str">
            <v>Garcia,P. Roberto</v>
          </cell>
          <cell r="N1376">
            <v>3.7559999999999998</v>
          </cell>
          <cell r="O1376">
            <v>3.3439999999999999</v>
          </cell>
        </row>
        <row r="1377">
          <cell r="E1377" t="str">
            <v>BUS</v>
          </cell>
          <cell r="F1377" t="str">
            <v xml:space="preserve">BUS-D </v>
          </cell>
          <cell r="G1377">
            <v>302</v>
          </cell>
          <cell r="H1377" t="str">
            <v>BUS-D 302</v>
          </cell>
          <cell r="K1377" t="str">
            <v>Terjesen,Siri Ann</v>
          </cell>
          <cell r="N1377">
            <v>3.726</v>
          </cell>
          <cell r="O1377">
            <v>3.423</v>
          </cell>
        </row>
        <row r="1378">
          <cell r="E1378" t="str">
            <v>BUS</v>
          </cell>
          <cell r="F1378" t="str">
            <v xml:space="preserve">BUS-D </v>
          </cell>
          <cell r="G1378">
            <v>302</v>
          </cell>
          <cell r="H1378" t="str">
            <v>BUS-D 302</v>
          </cell>
          <cell r="K1378" t="str">
            <v>Terjesen,Siri Ann</v>
          </cell>
          <cell r="N1378">
            <v>3.73</v>
          </cell>
          <cell r="O1378">
            <v>3.4940000000000002</v>
          </cell>
        </row>
        <row r="1379">
          <cell r="E1379" t="str">
            <v>BUS</v>
          </cell>
          <cell r="F1379" t="str">
            <v xml:space="preserve">BUS-D </v>
          </cell>
          <cell r="G1379">
            <v>302</v>
          </cell>
          <cell r="H1379" t="str">
            <v>BUS-D 302</v>
          </cell>
          <cell r="K1379" t="str">
            <v>Terjesen,Siri Ann</v>
          </cell>
          <cell r="N1379">
            <v>3.681</v>
          </cell>
          <cell r="O1379">
            <v>3.4369999999999998</v>
          </cell>
        </row>
        <row r="1380">
          <cell r="E1380" t="str">
            <v>BUS</v>
          </cell>
          <cell r="F1380" t="str">
            <v xml:space="preserve">BUS-D </v>
          </cell>
          <cell r="G1380">
            <v>490</v>
          </cell>
          <cell r="H1380" t="str">
            <v>BUS-D 490</v>
          </cell>
          <cell r="K1380" t="str">
            <v>Near,Janet P.</v>
          </cell>
          <cell r="N1380" t="str">
            <v>NR</v>
          </cell>
          <cell r="O1380" t="str">
            <v>NR</v>
          </cell>
        </row>
        <row r="1381">
          <cell r="E1381" t="str">
            <v>BUS</v>
          </cell>
          <cell r="F1381" t="str">
            <v xml:space="preserve">BUS-D </v>
          </cell>
          <cell r="G1381">
            <v>503</v>
          </cell>
          <cell r="H1381" t="str">
            <v>BUS-D 503</v>
          </cell>
          <cell r="K1381" t="str">
            <v>Garcia,P. Roberto</v>
          </cell>
          <cell r="N1381">
            <v>3.7069999999999999</v>
          </cell>
          <cell r="O1381">
            <v>3.5190000000000001</v>
          </cell>
        </row>
        <row r="1382">
          <cell r="E1382" t="str">
            <v>BUS</v>
          </cell>
          <cell r="F1382" t="str">
            <v xml:space="preserve">BUS-D </v>
          </cell>
          <cell r="G1382">
            <v>504</v>
          </cell>
          <cell r="H1382" t="str">
            <v>BUS-D 504</v>
          </cell>
          <cell r="K1382" t="str">
            <v>Fisher,Gregory C</v>
          </cell>
          <cell r="N1382">
            <v>3.5649999999999999</v>
          </cell>
          <cell r="O1382">
            <v>3.5230000000000001</v>
          </cell>
        </row>
        <row r="1383">
          <cell r="E1383" t="str">
            <v>BUS</v>
          </cell>
          <cell r="F1383" t="str">
            <v xml:space="preserve">BUS-D </v>
          </cell>
          <cell r="G1383">
            <v>540</v>
          </cell>
          <cell r="H1383" t="str">
            <v>BUS-D 540</v>
          </cell>
          <cell r="K1383" t="str">
            <v>Aguinis,Herman</v>
          </cell>
          <cell r="N1383" t="str">
            <v>NR</v>
          </cell>
          <cell r="O1383" t="str">
            <v>NR</v>
          </cell>
        </row>
        <row r="1384">
          <cell r="E1384" t="str">
            <v>BUS</v>
          </cell>
          <cell r="F1384" t="str">
            <v xml:space="preserve">BUS-D </v>
          </cell>
          <cell r="G1384">
            <v>540</v>
          </cell>
          <cell r="H1384" t="str">
            <v>BUS-D 540</v>
          </cell>
          <cell r="K1384" t="str">
            <v>Aguinis,Herman</v>
          </cell>
          <cell r="N1384">
            <v>4</v>
          </cell>
          <cell r="O1384">
            <v>3.403</v>
          </cell>
        </row>
        <row r="1385">
          <cell r="E1385" t="str">
            <v>BUS</v>
          </cell>
          <cell r="F1385" t="str">
            <v xml:space="preserve">BUS-D </v>
          </cell>
          <cell r="G1385">
            <v>540</v>
          </cell>
          <cell r="H1385" t="str">
            <v>BUS-D 540</v>
          </cell>
          <cell r="K1385" t="str">
            <v>Aguinis,Herman</v>
          </cell>
          <cell r="N1385">
            <v>4</v>
          </cell>
          <cell r="O1385">
            <v>3.3460000000000001</v>
          </cell>
        </row>
        <row r="1386">
          <cell r="E1386" t="str">
            <v>BUS</v>
          </cell>
          <cell r="F1386" t="str">
            <v xml:space="preserve">BUS-D </v>
          </cell>
          <cell r="G1386">
            <v>540</v>
          </cell>
          <cell r="H1386" t="str">
            <v>BUS-D 540</v>
          </cell>
          <cell r="K1386" t="str">
            <v>Aguinis,Herman</v>
          </cell>
          <cell r="N1386" t="str">
            <v>NR</v>
          </cell>
          <cell r="O1386" t="str">
            <v>NR</v>
          </cell>
        </row>
        <row r="1387">
          <cell r="E1387" t="str">
            <v>BUS</v>
          </cell>
          <cell r="F1387" t="str">
            <v xml:space="preserve">BUS-D </v>
          </cell>
          <cell r="G1387">
            <v>590</v>
          </cell>
          <cell r="H1387" t="str">
            <v>BUS-D 590</v>
          </cell>
          <cell r="K1387" t="str">
            <v>Near,Janet P.</v>
          </cell>
          <cell r="N1387" t="str">
            <v>NR</v>
          </cell>
          <cell r="O1387" t="str">
            <v>NR</v>
          </cell>
        </row>
        <row r="1388">
          <cell r="E1388" t="str">
            <v>BUS</v>
          </cell>
          <cell r="F1388" t="str">
            <v xml:space="preserve">BUS-D </v>
          </cell>
          <cell r="G1388">
            <v>594</v>
          </cell>
          <cell r="H1388" t="str">
            <v>BUS-D 594</v>
          </cell>
          <cell r="K1388" t="str">
            <v>Garcia,P. Roberto</v>
          </cell>
          <cell r="N1388">
            <v>3.7330000000000001</v>
          </cell>
          <cell r="O1388">
            <v>3.4860000000000002</v>
          </cell>
        </row>
        <row r="1389">
          <cell r="E1389" t="str">
            <v>BUS</v>
          </cell>
          <cell r="F1389" t="str">
            <v xml:space="preserve">BUS-D </v>
          </cell>
          <cell r="G1389">
            <v>595</v>
          </cell>
          <cell r="H1389" t="str">
            <v>BUS-D 595</v>
          </cell>
          <cell r="K1389" t="str">
            <v>Powell,Philip T.</v>
          </cell>
          <cell r="N1389">
            <v>3.4790000000000001</v>
          </cell>
          <cell r="O1389">
            <v>3.4969999999999999</v>
          </cell>
        </row>
        <row r="1390">
          <cell r="E1390" t="str">
            <v>BUS</v>
          </cell>
          <cell r="F1390" t="str">
            <v xml:space="preserve">BUS-F </v>
          </cell>
          <cell r="G1390">
            <v>228</v>
          </cell>
          <cell r="H1390" t="str">
            <v>BUS-F 228</v>
          </cell>
          <cell r="K1390" t="str">
            <v>Haeberle,David Carlton</v>
          </cell>
          <cell r="N1390">
            <v>3.5720000000000001</v>
          </cell>
          <cell r="O1390">
            <v>3.6219999999999999</v>
          </cell>
        </row>
        <row r="1391">
          <cell r="E1391" t="str">
            <v>BUS</v>
          </cell>
          <cell r="F1391" t="str">
            <v xml:space="preserve">BUS-F </v>
          </cell>
          <cell r="G1391">
            <v>228</v>
          </cell>
          <cell r="H1391" t="str">
            <v>BUS-F 228</v>
          </cell>
          <cell r="K1391" t="str">
            <v>Haeberle,David Carlton</v>
          </cell>
          <cell r="N1391">
            <v>3.4129999999999998</v>
          </cell>
          <cell r="O1391">
            <v>3.5939999999999999</v>
          </cell>
        </row>
        <row r="1392">
          <cell r="E1392" t="str">
            <v>BUS</v>
          </cell>
          <cell r="F1392" t="str">
            <v xml:space="preserve">BUS-F </v>
          </cell>
          <cell r="G1392">
            <v>260</v>
          </cell>
          <cell r="H1392" t="str">
            <v>BUS-F 260</v>
          </cell>
          <cell r="K1392" t="str">
            <v>Koon Jr,Walter L</v>
          </cell>
          <cell r="N1392">
            <v>2.8130000000000002</v>
          </cell>
          <cell r="O1392">
            <v>3.0510000000000002</v>
          </cell>
        </row>
        <row r="1393">
          <cell r="E1393" t="str">
            <v>BUS</v>
          </cell>
          <cell r="F1393" t="str">
            <v xml:space="preserve">BUS-F </v>
          </cell>
          <cell r="G1393">
            <v>260</v>
          </cell>
          <cell r="H1393" t="str">
            <v>BUS-F 260</v>
          </cell>
          <cell r="K1393" t="str">
            <v>Koon Jr,Walter L</v>
          </cell>
          <cell r="N1393">
            <v>2.86</v>
          </cell>
          <cell r="O1393">
            <v>2.9860000000000002</v>
          </cell>
        </row>
        <row r="1394">
          <cell r="E1394" t="str">
            <v>BUS</v>
          </cell>
          <cell r="F1394" t="str">
            <v xml:space="preserve">BUS-F </v>
          </cell>
          <cell r="G1394">
            <v>260</v>
          </cell>
          <cell r="H1394" t="str">
            <v>BUS-F 260</v>
          </cell>
          <cell r="K1394" t="str">
            <v>Koon Jr,Walter L</v>
          </cell>
          <cell r="N1394">
            <v>3.0670000000000002</v>
          </cell>
          <cell r="O1394">
            <v>3.06</v>
          </cell>
        </row>
        <row r="1395">
          <cell r="E1395" t="str">
            <v>BUS</v>
          </cell>
          <cell r="F1395" t="str">
            <v xml:space="preserve">BUS-F </v>
          </cell>
          <cell r="G1395">
            <v>260</v>
          </cell>
          <cell r="H1395" t="str">
            <v>BUS-F 260</v>
          </cell>
          <cell r="K1395" t="str">
            <v>Koon Jr,Walter L</v>
          </cell>
          <cell r="N1395">
            <v>2.98</v>
          </cell>
          <cell r="O1395">
            <v>3.1349999999999998</v>
          </cell>
        </row>
        <row r="1396">
          <cell r="E1396" t="str">
            <v>BUS</v>
          </cell>
          <cell r="F1396" t="str">
            <v xml:space="preserve">BUS-F </v>
          </cell>
          <cell r="G1396">
            <v>260</v>
          </cell>
          <cell r="H1396" t="str">
            <v>BUS-F 260</v>
          </cell>
          <cell r="K1396" t="str">
            <v>Lee,Jung Hoon</v>
          </cell>
          <cell r="N1396">
            <v>3.3919999999999999</v>
          </cell>
          <cell r="O1396">
            <v>3.16</v>
          </cell>
        </row>
        <row r="1397">
          <cell r="E1397" t="str">
            <v>BUS</v>
          </cell>
          <cell r="F1397" t="str">
            <v xml:space="preserve">BUS-F </v>
          </cell>
          <cell r="G1397">
            <v>260</v>
          </cell>
          <cell r="H1397" t="str">
            <v>BUS-F 260</v>
          </cell>
          <cell r="K1397" t="str">
            <v>Spore,Daniel Richard</v>
          </cell>
          <cell r="N1397">
            <v>3.177</v>
          </cell>
          <cell r="O1397">
            <v>3.1589999999999998</v>
          </cell>
        </row>
        <row r="1398">
          <cell r="E1398" t="str">
            <v>BUS</v>
          </cell>
          <cell r="F1398" t="str">
            <v xml:space="preserve">BUS-F </v>
          </cell>
          <cell r="G1398">
            <v>260</v>
          </cell>
          <cell r="H1398" t="str">
            <v>BUS-F 260</v>
          </cell>
          <cell r="K1398" t="str">
            <v>Spore,Daniel Richard</v>
          </cell>
          <cell r="N1398">
            <v>3</v>
          </cell>
          <cell r="O1398">
            <v>3.1549999999999998</v>
          </cell>
        </row>
        <row r="1399">
          <cell r="E1399" t="str">
            <v>BUS</v>
          </cell>
          <cell r="F1399" t="str">
            <v xml:space="preserve">BUS-F </v>
          </cell>
          <cell r="G1399">
            <v>300</v>
          </cell>
          <cell r="H1399" t="str">
            <v>BUS-F 300</v>
          </cell>
          <cell r="K1399" t="str">
            <v>James,Jerald Wayne</v>
          </cell>
          <cell r="N1399">
            <v>3.141</v>
          </cell>
          <cell r="O1399">
            <v>3.1360000000000001</v>
          </cell>
        </row>
        <row r="1400">
          <cell r="E1400" t="str">
            <v>BUS</v>
          </cell>
          <cell r="F1400" t="str">
            <v xml:space="preserve">BUS-F </v>
          </cell>
          <cell r="G1400">
            <v>300</v>
          </cell>
          <cell r="H1400" t="str">
            <v>BUS-F 300</v>
          </cell>
          <cell r="K1400" t="str">
            <v>James,Jerald Wayne</v>
          </cell>
          <cell r="N1400">
            <v>3.1480000000000001</v>
          </cell>
          <cell r="O1400">
            <v>3.206</v>
          </cell>
        </row>
        <row r="1401">
          <cell r="E1401" t="str">
            <v>BUS</v>
          </cell>
          <cell r="F1401" t="str">
            <v xml:space="preserve">BUS-F </v>
          </cell>
          <cell r="G1401">
            <v>300</v>
          </cell>
          <cell r="H1401" t="str">
            <v>BUS-F 300</v>
          </cell>
          <cell r="K1401" t="str">
            <v>James,Jerald Wayne</v>
          </cell>
          <cell r="N1401">
            <v>3.012</v>
          </cell>
          <cell r="O1401">
            <v>3.121</v>
          </cell>
        </row>
        <row r="1402">
          <cell r="E1402" t="str">
            <v>BUS</v>
          </cell>
          <cell r="F1402" t="str">
            <v xml:space="preserve">BUS-F </v>
          </cell>
          <cell r="G1402">
            <v>300</v>
          </cell>
          <cell r="H1402" t="str">
            <v>BUS-F 300</v>
          </cell>
          <cell r="K1402" t="str">
            <v>James,Jerald Wayne</v>
          </cell>
          <cell r="N1402">
            <v>2.7679999999999998</v>
          </cell>
          <cell r="O1402">
            <v>3.0350000000000001</v>
          </cell>
        </row>
        <row r="1403">
          <cell r="E1403" t="str">
            <v>BUS</v>
          </cell>
          <cell r="F1403" t="str">
            <v xml:space="preserve">BUS-F </v>
          </cell>
          <cell r="G1403">
            <v>300</v>
          </cell>
          <cell r="H1403" t="str">
            <v>BUS-F 300</v>
          </cell>
          <cell r="K1403" t="str">
            <v>James,Jerald Wayne</v>
          </cell>
          <cell r="N1403">
            <v>2.6019999999999999</v>
          </cell>
          <cell r="O1403">
            <v>2.927</v>
          </cell>
        </row>
        <row r="1404">
          <cell r="E1404" t="str">
            <v>BUS</v>
          </cell>
          <cell r="F1404" t="str">
            <v xml:space="preserve">BUS-F </v>
          </cell>
          <cell r="G1404">
            <v>300</v>
          </cell>
          <cell r="H1404" t="str">
            <v>BUS-F 300</v>
          </cell>
          <cell r="K1404" t="str">
            <v>James,Jerald Wayne</v>
          </cell>
          <cell r="N1404">
            <v>3.0979999999999999</v>
          </cell>
          <cell r="O1404">
            <v>3.14</v>
          </cell>
        </row>
        <row r="1405">
          <cell r="E1405" t="str">
            <v>BUS</v>
          </cell>
          <cell r="F1405" t="str">
            <v xml:space="preserve">BUS-F </v>
          </cell>
          <cell r="G1405">
            <v>303</v>
          </cell>
          <cell r="H1405" t="str">
            <v>BUS-F 303</v>
          </cell>
          <cell r="K1405" t="str">
            <v>Ben-Rephael,Azi</v>
          </cell>
          <cell r="N1405">
            <v>3.0449999999999999</v>
          </cell>
          <cell r="O1405">
            <v>3.4060000000000001</v>
          </cell>
        </row>
        <row r="1406">
          <cell r="E1406" t="str">
            <v>BUS</v>
          </cell>
          <cell r="F1406" t="str">
            <v xml:space="preserve">BUS-F </v>
          </cell>
          <cell r="G1406">
            <v>303</v>
          </cell>
          <cell r="H1406" t="str">
            <v>BUS-F 303</v>
          </cell>
          <cell r="K1406" t="str">
            <v>Ben-Rephael,Azi</v>
          </cell>
          <cell r="N1406">
            <v>2.9119999999999999</v>
          </cell>
          <cell r="O1406">
            <v>3.3730000000000002</v>
          </cell>
        </row>
        <row r="1407">
          <cell r="E1407" t="str">
            <v>BUS</v>
          </cell>
          <cell r="F1407" t="str">
            <v xml:space="preserve">BUS-F </v>
          </cell>
          <cell r="G1407">
            <v>303</v>
          </cell>
          <cell r="H1407" t="str">
            <v>BUS-F 303</v>
          </cell>
          <cell r="K1407" t="str">
            <v>Ben-Rephael,Azi</v>
          </cell>
          <cell r="N1407">
            <v>3.0510000000000002</v>
          </cell>
          <cell r="O1407">
            <v>3.3540000000000001</v>
          </cell>
        </row>
        <row r="1408">
          <cell r="E1408" t="str">
            <v>BUS</v>
          </cell>
          <cell r="F1408" t="str">
            <v xml:space="preserve">BUS-F </v>
          </cell>
          <cell r="G1408">
            <v>303</v>
          </cell>
          <cell r="H1408" t="str">
            <v>BUS-F 303</v>
          </cell>
          <cell r="K1408" t="str">
            <v>Muhlhofer,Tobias</v>
          </cell>
          <cell r="N1408">
            <v>2.8730000000000002</v>
          </cell>
          <cell r="O1408">
            <v>3.407</v>
          </cell>
        </row>
        <row r="1409">
          <cell r="E1409" t="str">
            <v>BUS</v>
          </cell>
          <cell r="F1409" t="str">
            <v xml:space="preserve">BUS-F </v>
          </cell>
          <cell r="G1409">
            <v>303</v>
          </cell>
          <cell r="H1409" t="str">
            <v>BUS-F 303</v>
          </cell>
          <cell r="K1409" t="str">
            <v>Muhlhofer,Tobias</v>
          </cell>
          <cell r="N1409">
            <v>2.8730000000000002</v>
          </cell>
          <cell r="O1409">
            <v>3.3370000000000002</v>
          </cell>
        </row>
        <row r="1410">
          <cell r="E1410" t="str">
            <v>BUS</v>
          </cell>
          <cell r="F1410" t="str">
            <v xml:space="preserve">BUS-F </v>
          </cell>
          <cell r="G1410">
            <v>303</v>
          </cell>
          <cell r="H1410" t="str">
            <v>BUS-F 303</v>
          </cell>
          <cell r="K1410" t="str">
            <v>Pool,Veronika Krepely</v>
          </cell>
          <cell r="N1410">
            <v>3.036</v>
          </cell>
          <cell r="O1410">
            <v>3.4369999999999998</v>
          </cell>
        </row>
        <row r="1411">
          <cell r="E1411" t="str">
            <v>BUS</v>
          </cell>
          <cell r="F1411" t="str">
            <v xml:space="preserve">BUS-F </v>
          </cell>
          <cell r="G1411">
            <v>303</v>
          </cell>
          <cell r="H1411" t="str">
            <v>BUS-F 303</v>
          </cell>
          <cell r="K1411" t="str">
            <v>Pool,Veronika Krepely</v>
          </cell>
          <cell r="N1411">
            <v>2.9169999999999998</v>
          </cell>
          <cell r="O1411">
            <v>3.4279999999999999</v>
          </cell>
        </row>
        <row r="1412">
          <cell r="E1412" t="str">
            <v>BUS</v>
          </cell>
          <cell r="F1412" t="str">
            <v xml:space="preserve">BUS-F </v>
          </cell>
          <cell r="G1412">
            <v>303</v>
          </cell>
          <cell r="H1412" t="str">
            <v>BUS-F 303</v>
          </cell>
          <cell r="K1412" t="str">
            <v>Pool,Veronika Krepely</v>
          </cell>
          <cell r="N1412">
            <v>3.04</v>
          </cell>
          <cell r="O1412">
            <v>3.5270000000000001</v>
          </cell>
        </row>
        <row r="1413">
          <cell r="E1413" t="str">
            <v>BUS</v>
          </cell>
          <cell r="F1413" t="str">
            <v xml:space="preserve">BUS-F </v>
          </cell>
          <cell r="G1413">
            <v>303</v>
          </cell>
          <cell r="H1413" t="str">
            <v>BUS-F 303</v>
          </cell>
          <cell r="K1413" t="str">
            <v>Stefanescu,Irina</v>
          </cell>
          <cell r="N1413">
            <v>2.6949999999999998</v>
          </cell>
          <cell r="O1413">
            <v>3.282</v>
          </cell>
        </row>
        <row r="1414">
          <cell r="E1414" t="str">
            <v>BUS</v>
          </cell>
          <cell r="F1414" t="str">
            <v xml:space="preserve">BUS-F </v>
          </cell>
          <cell r="G1414">
            <v>303</v>
          </cell>
          <cell r="H1414" t="str">
            <v>BUS-F 303</v>
          </cell>
          <cell r="K1414" t="str">
            <v>Stefanescu,Irina</v>
          </cell>
          <cell r="N1414">
            <v>2.83</v>
          </cell>
          <cell r="O1414">
            <v>3.363</v>
          </cell>
        </row>
        <row r="1415">
          <cell r="E1415" t="str">
            <v>BUS</v>
          </cell>
          <cell r="F1415" t="str">
            <v xml:space="preserve">BUS-F </v>
          </cell>
          <cell r="G1415">
            <v>303</v>
          </cell>
          <cell r="H1415" t="str">
            <v>BUS-F 303</v>
          </cell>
          <cell r="K1415" t="str">
            <v>Stefanescu,Irina</v>
          </cell>
          <cell r="N1415">
            <v>2.98</v>
          </cell>
          <cell r="O1415">
            <v>3.4</v>
          </cell>
        </row>
        <row r="1416">
          <cell r="E1416" t="str">
            <v>BUS</v>
          </cell>
          <cell r="F1416" t="str">
            <v xml:space="preserve">BUS-F </v>
          </cell>
          <cell r="G1416">
            <v>303</v>
          </cell>
          <cell r="H1416" t="str">
            <v>BUS-F 303</v>
          </cell>
          <cell r="K1416" t="str">
            <v>Sul,Hong Kee</v>
          </cell>
          <cell r="N1416">
            <v>2.98</v>
          </cell>
          <cell r="O1416">
            <v>3.3220000000000001</v>
          </cell>
        </row>
        <row r="1417">
          <cell r="E1417" t="str">
            <v>BUS</v>
          </cell>
          <cell r="F1417" t="str">
            <v xml:space="preserve">BUS-F </v>
          </cell>
          <cell r="G1417">
            <v>303</v>
          </cell>
          <cell r="H1417" t="str">
            <v>BUS-F 303</v>
          </cell>
          <cell r="K1417" t="str">
            <v>Yonker,Scott E</v>
          </cell>
          <cell r="N1417">
            <v>3.1749999999999998</v>
          </cell>
          <cell r="O1417">
            <v>3.4220000000000002</v>
          </cell>
        </row>
        <row r="1418">
          <cell r="E1418" t="str">
            <v>BUS</v>
          </cell>
          <cell r="F1418" t="str">
            <v xml:space="preserve">BUS-F </v>
          </cell>
          <cell r="G1418">
            <v>303</v>
          </cell>
          <cell r="H1418" t="str">
            <v>BUS-F 303</v>
          </cell>
          <cell r="K1418" t="str">
            <v>Yonker,Scott E</v>
          </cell>
          <cell r="N1418">
            <v>2.9060000000000001</v>
          </cell>
          <cell r="O1418">
            <v>3.371</v>
          </cell>
        </row>
        <row r="1419">
          <cell r="E1419" t="str">
            <v>BUS</v>
          </cell>
          <cell r="F1419" t="str">
            <v xml:space="preserve">BUS-F </v>
          </cell>
          <cell r="G1419">
            <v>303</v>
          </cell>
          <cell r="H1419" t="str">
            <v>BUS-F 303</v>
          </cell>
          <cell r="K1419" t="str">
            <v>Yonker,Scott E</v>
          </cell>
          <cell r="N1419">
            <v>3.069</v>
          </cell>
          <cell r="O1419">
            <v>3.4460000000000002</v>
          </cell>
        </row>
        <row r="1420">
          <cell r="E1420" t="str">
            <v>BUS</v>
          </cell>
          <cell r="F1420" t="str">
            <v xml:space="preserve">BUS-F </v>
          </cell>
          <cell r="G1420">
            <v>304</v>
          </cell>
          <cell r="H1420" t="str">
            <v>BUS-F 304</v>
          </cell>
          <cell r="K1420" t="str">
            <v>Yang,Wei</v>
          </cell>
          <cell r="N1420">
            <v>3.71</v>
          </cell>
          <cell r="O1420">
            <v>3.827</v>
          </cell>
        </row>
        <row r="1421">
          <cell r="E1421" t="str">
            <v>BUS</v>
          </cell>
          <cell r="F1421" t="str">
            <v xml:space="preserve">BUS-F </v>
          </cell>
          <cell r="G1421">
            <v>304</v>
          </cell>
          <cell r="H1421" t="str">
            <v>BUS-F 304</v>
          </cell>
          <cell r="K1421" t="str">
            <v>Yang,Wei</v>
          </cell>
          <cell r="N1421">
            <v>3.78</v>
          </cell>
          <cell r="O1421">
            <v>3.8260000000000001</v>
          </cell>
        </row>
        <row r="1422">
          <cell r="E1422" t="str">
            <v>BUS</v>
          </cell>
          <cell r="F1422" t="str">
            <v xml:space="preserve">BUS-F </v>
          </cell>
          <cell r="G1422">
            <v>304</v>
          </cell>
          <cell r="H1422" t="str">
            <v>BUS-F 304</v>
          </cell>
          <cell r="K1422" t="str">
            <v>Yang,Wei</v>
          </cell>
          <cell r="N1422">
            <v>3.7360000000000002</v>
          </cell>
          <cell r="O1422">
            <v>3.78</v>
          </cell>
        </row>
        <row r="1423">
          <cell r="E1423" t="str">
            <v>BUS</v>
          </cell>
          <cell r="F1423" t="str">
            <v xml:space="preserve">BUS-F </v>
          </cell>
          <cell r="G1423">
            <v>305</v>
          </cell>
          <cell r="H1423" t="str">
            <v>BUS-F 305</v>
          </cell>
          <cell r="K1423" t="str">
            <v>Clayton,Matthew Jon</v>
          </cell>
          <cell r="N1423">
            <v>3.109</v>
          </cell>
          <cell r="O1423">
            <v>3.3559999999999999</v>
          </cell>
        </row>
        <row r="1424">
          <cell r="E1424" t="str">
            <v>BUS</v>
          </cell>
          <cell r="F1424" t="str">
            <v xml:space="preserve">BUS-F </v>
          </cell>
          <cell r="G1424">
            <v>305</v>
          </cell>
          <cell r="H1424" t="str">
            <v>BUS-F 305</v>
          </cell>
          <cell r="K1424" t="str">
            <v>Clayton,Matthew Jon</v>
          </cell>
          <cell r="N1424">
            <v>3.0470000000000002</v>
          </cell>
          <cell r="O1424">
            <v>3.411</v>
          </cell>
        </row>
        <row r="1425">
          <cell r="E1425" t="str">
            <v>BUS</v>
          </cell>
          <cell r="F1425" t="str">
            <v xml:space="preserve">BUS-F </v>
          </cell>
          <cell r="G1425">
            <v>305</v>
          </cell>
          <cell r="H1425" t="str">
            <v>BUS-F 305</v>
          </cell>
          <cell r="K1425" t="str">
            <v>Clayton,Matthew Jon</v>
          </cell>
          <cell r="N1425">
            <v>3.2109999999999999</v>
          </cell>
          <cell r="O1425">
            <v>3.4180000000000001</v>
          </cell>
        </row>
        <row r="1426">
          <cell r="E1426" t="str">
            <v>BUS</v>
          </cell>
          <cell r="F1426" t="str">
            <v xml:space="preserve">BUS-F </v>
          </cell>
          <cell r="G1426">
            <v>305</v>
          </cell>
          <cell r="H1426" t="str">
            <v>BUS-F 305</v>
          </cell>
          <cell r="K1426" t="str">
            <v>Clements,Walter Louis</v>
          </cell>
          <cell r="N1426">
            <v>3.2240000000000002</v>
          </cell>
          <cell r="O1426">
            <v>3.431</v>
          </cell>
        </row>
        <row r="1427">
          <cell r="E1427" t="str">
            <v>BUS</v>
          </cell>
          <cell r="F1427" t="str">
            <v xml:space="preserve">BUS-F </v>
          </cell>
          <cell r="G1427">
            <v>305</v>
          </cell>
          <cell r="H1427" t="str">
            <v>BUS-F 305</v>
          </cell>
          <cell r="K1427" t="str">
            <v>Cornaggia,Jess</v>
          </cell>
          <cell r="N1427">
            <v>2.8929999999999998</v>
          </cell>
          <cell r="O1427">
            <v>3.3319999999999999</v>
          </cell>
        </row>
        <row r="1428">
          <cell r="E1428" t="str">
            <v>BUS</v>
          </cell>
          <cell r="F1428" t="str">
            <v xml:space="preserve">BUS-F </v>
          </cell>
          <cell r="G1428">
            <v>305</v>
          </cell>
          <cell r="H1428" t="str">
            <v>BUS-F 305</v>
          </cell>
          <cell r="K1428" t="str">
            <v>Cornaggia,Jess</v>
          </cell>
          <cell r="N1428">
            <v>3.1629999999999998</v>
          </cell>
          <cell r="O1428">
            <v>3.516</v>
          </cell>
        </row>
        <row r="1429">
          <cell r="E1429" t="str">
            <v>BUS</v>
          </cell>
          <cell r="F1429" t="str">
            <v xml:space="preserve">BUS-F </v>
          </cell>
          <cell r="G1429">
            <v>305</v>
          </cell>
          <cell r="H1429" t="str">
            <v>BUS-F 305</v>
          </cell>
          <cell r="K1429" t="str">
            <v>Cornaggia,Jess</v>
          </cell>
          <cell r="N1429">
            <v>2.73</v>
          </cell>
          <cell r="O1429">
            <v>3.2890000000000001</v>
          </cell>
        </row>
        <row r="1430">
          <cell r="E1430" t="str">
            <v>BUS</v>
          </cell>
          <cell r="F1430" t="str">
            <v xml:space="preserve">BUS-F </v>
          </cell>
          <cell r="G1430">
            <v>305</v>
          </cell>
          <cell r="H1430" t="str">
            <v>BUS-F 305</v>
          </cell>
          <cell r="K1430" t="str">
            <v>Cornaggia,Kimberly J</v>
          </cell>
          <cell r="N1430">
            <v>2.8079999999999998</v>
          </cell>
          <cell r="O1430">
            <v>3.3359999999999999</v>
          </cell>
        </row>
        <row r="1431">
          <cell r="E1431" t="str">
            <v>BUS</v>
          </cell>
          <cell r="F1431" t="str">
            <v xml:space="preserve">BUS-F </v>
          </cell>
          <cell r="G1431">
            <v>305</v>
          </cell>
          <cell r="H1431" t="str">
            <v>BUS-F 305</v>
          </cell>
          <cell r="K1431" t="str">
            <v>Cornaggia,Kimberly J</v>
          </cell>
          <cell r="N1431">
            <v>2.7589999999999999</v>
          </cell>
          <cell r="O1431">
            <v>3.4319999999999999</v>
          </cell>
        </row>
        <row r="1432">
          <cell r="E1432" t="str">
            <v>BUS</v>
          </cell>
          <cell r="F1432" t="str">
            <v xml:space="preserve">BUS-F </v>
          </cell>
          <cell r="G1432">
            <v>305</v>
          </cell>
          <cell r="H1432" t="str">
            <v>BUS-F 305</v>
          </cell>
          <cell r="K1432" t="str">
            <v>Cornaggia,Kimberly J</v>
          </cell>
          <cell r="N1432">
            <v>2.976</v>
          </cell>
          <cell r="O1432">
            <v>3.4239999999999999</v>
          </cell>
        </row>
        <row r="1433">
          <cell r="E1433" t="str">
            <v>BUS</v>
          </cell>
          <cell r="F1433" t="str">
            <v xml:space="preserve">BUS-F </v>
          </cell>
          <cell r="G1433">
            <v>305</v>
          </cell>
          <cell r="H1433" t="str">
            <v>BUS-F 305</v>
          </cell>
          <cell r="K1433" t="str">
            <v>Cornaggia,Kimberly J</v>
          </cell>
          <cell r="N1433">
            <v>2.903</v>
          </cell>
          <cell r="O1433">
            <v>3.4140000000000001</v>
          </cell>
        </row>
        <row r="1434">
          <cell r="E1434" t="str">
            <v>BUS</v>
          </cell>
          <cell r="F1434" t="str">
            <v xml:space="preserve">BUS-F </v>
          </cell>
          <cell r="G1434">
            <v>305</v>
          </cell>
          <cell r="H1434" t="str">
            <v>BUS-F 305</v>
          </cell>
          <cell r="K1434" t="str">
            <v>Kase,Teresa M</v>
          </cell>
          <cell r="N1434">
            <v>2.9369999999999998</v>
          </cell>
          <cell r="O1434">
            <v>3.3479999999999999</v>
          </cell>
        </row>
        <row r="1435">
          <cell r="E1435" t="str">
            <v>BUS</v>
          </cell>
          <cell r="F1435" t="str">
            <v xml:space="preserve">BUS-F </v>
          </cell>
          <cell r="G1435">
            <v>305</v>
          </cell>
          <cell r="H1435" t="str">
            <v>BUS-F 305</v>
          </cell>
          <cell r="K1435" t="str">
            <v>Yang,Jun</v>
          </cell>
          <cell r="N1435">
            <v>2.8540000000000001</v>
          </cell>
          <cell r="O1435">
            <v>3.3319999999999999</v>
          </cell>
        </row>
        <row r="1436">
          <cell r="E1436" t="str">
            <v>BUS</v>
          </cell>
          <cell r="F1436" t="str">
            <v xml:space="preserve">BUS-F </v>
          </cell>
          <cell r="G1436">
            <v>305</v>
          </cell>
          <cell r="H1436" t="str">
            <v>BUS-F 305</v>
          </cell>
          <cell r="K1436" t="str">
            <v>Yang,Jun</v>
          </cell>
          <cell r="N1436">
            <v>3.077</v>
          </cell>
          <cell r="O1436">
            <v>3.4729999999999999</v>
          </cell>
        </row>
        <row r="1437">
          <cell r="E1437" t="str">
            <v>BUS</v>
          </cell>
          <cell r="F1437" t="str">
            <v xml:space="preserve">BUS-F </v>
          </cell>
          <cell r="G1437">
            <v>305</v>
          </cell>
          <cell r="H1437" t="str">
            <v>BUS-F 305</v>
          </cell>
          <cell r="K1437" t="str">
            <v>Yang,Jun</v>
          </cell>
          <cell r="N1437">
            <v>3.0779999999999998</v>
          </cell>
          <cell r="O1437">
            <v>3.472</v>
          </cell>
        </row>
        <row r="1438">
          <cell r="E1438" t="str">
            <v>BUS</v>
          </cell>
          <cell r="F1438" t="str">
            <v xml:space="preserve">BUS-F </v>
          </cell>
          <cell r="G1438">
            <v>305</v>
          </cell>
          <cell r="H1438" t="str">
            <v>BUS-F 305</v>
          </cell>
          <cell r="K1438" t="str">
            <v>Yu,Xiaoyun</v>
          </cell>
          <cell r="N1438">
            <v>2.6789999999999998</v>
          </cell>
          <cell r="O1438">
            <v>3.4089999999999998</v>
          </cell>
        </row>
        <row r="1439">
          <cell r="E1439" t="str">
            <v>BUS</v>
          </cell>
          <cell r="F1439" t="str">
            <v xml:space="preserve">BUS-F </v>
          </cell>
          <cell r="G1439">
            <v>305</v>
          </cell>
          <cell r="H1439" t="str">
            <v>BUS-F 305</v>
          </cell>
          <cell r="K1439" t="str">
            <v>Yu,Xiaoyun</v>
          </cell>
          <cell r="N1439">
            <v>2.9580000000000002</v>
          </cell>
          <cell r="O1439">
            <v>3.379</v>
          </cell>
        </row>
        <row r="1440">
          <cell r="E1440" t="str">
            <v>BUS</v>
          </cell>
          <cell r="F1440" t="str">
            <v xml:space="preserve">BUS-F </v>
          </cell>
          <cell r="G1440">
            <v>307</v>
          </cell>
          <cell r="H1440" t="str">
            <v>BUS-F 307</v>
          </cell>
          <cell r="K1440" t="str">
            <v>Masson,Dubos Joseph</v>
          </cell>
          <cell r="N1440">
            <v>3.633</v>
          </cell>
          <cell r="O1440">
            <v>3.4169999999999998</v>
          </cell>
        </row>
        <row r="1441">
          <cell r="E1441" t="str">
            <v>BUS</v>
          </cell>
          <cell r="F1441" t="str">
            <v xml:space="preserve">BUS-F </v>
          </cell>
          <cell r="G1441">
            <v>307</v>
          </cell>
          <cell r="H1441" t="str">
            <v>BUS-F 307</v>
          </cell>
          <cell r="K1441" t="str">
            <v>Masson,Dubos Joseph</v>
          </cell>
          <cell r="N1441">
            <v>3.6339999999999999</v>
          </cell>
          <cell r="O1441">
            <v>3.375</v>
          </cell>
        </row>
        <row r="1442">
          <cell r="E1442" t="str">
            <v>BUS</v>
          </cell>
          <cell r="F1442" t="str">
            <v xml:space="preserve">BUS-F </v>
          </cell>
          <cell r="G1442">
            <v>307</v>
          </cell>
          <cell r="H1442" t="str">
            <v>BUS-F 307</v>
          </cell>
          <cell r="K1442" t="str">
            <v>Masson,Dubos Joseph</v>
          </cell>
          <cell r="N1442">
            <v>3.629</v>
          </cell>
          <cell r="O1442">
            <v>3.367</v>
          </cell>
        </row>
        <row r="1443">
          <cell r="E1443" t="str">
            <v>BUS</v>
          </cell>
          <cell r="F1443" t="str">
            <v xml:space="preserve">BUS-F </v>
          </cell>
          <cell r="G1443">
            <v>307</v>
          </cell>
          <cell r="H1443" t="str">
            <v>BUS-F 307</v>
          </cell>
          <cell r="K1443" t="str">
            <v>Masson,Dubos Joseph</v>
          </cell>
          <cell r="N1443">
            <v>3.63</v>
          </cell>
          <cell r="O1443">
            <v>3.3370000000000002</v>
          </cell>
        </row>
        <row r="1444">
          <cell r="E1444" t="str">
            <v>BUS</v>
          </cell>
          <cell r="F1444" t="str">
            <v xml:space="preserve">BUS-F </v>
          </cell>
          <cell r="G1444">
            <v>307</v>
          </cell>
          <cell r="H1444" t="str">
            <v>BUS-F 307</v>
          </cell>
          <cell r="K1444" t="str">
            <v>Masson,Dubos Joseph</v>
          </cell>
          <cell r="N1444">
            <v>3.6389999999999998</v>
          </cell>
          <cell r="O1444">
            <v>3.3450000000000002</v>
          </cell>
        </row>
        <row r="1445">
          <cell r="E1445" t="str">
            <v>BUS</v>
          </cell>
          <cell r="F1445" t="str">
            <v xml:space="preserve">BUS-F </v>
          </cell>
          <cell r="G1445">
            <v>307</v>
          </cell>
          <cell r="H1445" t="str">
            <v>BUS-F 307</v>
          </cell>
          <cell r="K1445" t="str">
            <v>Masson,Dubos Joseph</v>
          </cell>
          <cell r="N1445">
            <v>3.6869999999999998</v>
          </cell>
          <cell r="O1445">
            <v>3.4249999999999998</v>
          </cell>
        </row>
        <row r="1446">
          <cell r="E1446" t="str">
            <v>BUS</v>
          </cell>
          <cell r="F1446" t="str">
            <v xml:space="preserve">BUS-F </v>
          </cell>
          <cell r="G1446">
            <v>317</v>
          </cell>
          <cell r="H1446" t="str">
            <v>BUS-F 317</v>
          </cell>
          <cell r="K1446" t="str">
            <v>Clements,Walter Louis</v>
          </cell>
          <cell r="N1446">
            <v>3.29</v>
          </cell>
          <cell r="O1446">
            <v>3.234</v>
          </cell>
        </row>
        <row r="1447">
          <cell r="E1447" t="str">
            <v>BUS</v>
          </cell>
          <cell r="F1447" t="str">
            <v xml:space="preserve">BUS-F </v>
          </cell>
          <cell r="G1447">
            <v>317</v>
          </cell>
          <cell r="H1447" t="str">
            <v>BUS-F 317</v>
          </cell>
          <cell r="K1447" t="str">
            <v>Dennen,Richard Scott</v>
          </cell>
          <cell r="N1447">
            <v>3.089</v>
          </cell>
          <cell r="O1447">
            <v>3.105</v>
          </cell>
        </row>
        <row r="1448">
          <cell r="E1448" t="str">
            <v>BUS</v>
          </cell>
          <cell r="F1448" t="str">
            <v xml:space="preserve">BUS-F </v>
          </cell>
          <cell r="G1448">
            <v>317</v>
          </cell>
          <cell r="H1448" t="str">
            <v>BUS-F 317</v>
          </cell>
          <cell r="K1448" t="str">
            <v>Haeberle,David Carlton</v>
          </cell>
          <cell r="N1448">
            <v>3.55</v>
          </cell>
          <cell r="O1448">
            <v>3.4449999999999998</v>
          </cell>
        </row>
        <row r="1449">
          <cell r="E1449" t="str">
            <v>BUS</v>
          </cell>
          <cell r="F1449" t="str">
            <v xml:space="preserve">BUS-F </v>
          </cell>
          <cell r="G1449">
            <v>317</v>
          </cell>
          <cell r="H1449" t="str">
            <v>BUS-F 317</v>
          </cell>
          <cell r="K1449" t="str">
            <v>Hays,Gerry A</v>
          </cell>
          <cell r="N1449">
            <v>3.484</v>
          </cell>
          <cell r="O1449">
            <v>3.4569999999999999</v>
          </cell>
        </row>
        <row r="1450">
          <cell r="E1450" t="str">
            <v>BUS</v>
          </cell>
          <cell r="F1450" t="str">
            <v xml:space="preserve">BUS-F </v>
          </cell>
          <cell r="G1450">
            <v>317</v>
          </cell>
          <cell r="H1450" t="str">
            <v>BUS-F 317</v>
          </cell>
          <cell r="K1450" t="str">
            <v>Hays,Gerry A</v>
          </cell>
          <cell r="N1450">
            <v>3.38</v>
          </cell>
          <cell r="O1450">
            <v>3.4529999999999998</v>
          </cell>
        </row>
        <row r="1451">
          <cell r="E1451" t="str">
            <v>BUS</v>
          </cell>
          <cell r="F1451" t="str">
            <v xml:space="preserve">BUS-F </v>
          </cell>
          <cell r="G1451">
            <v>317</v>
          </cell>
          <cell r="H1451" t="str">
            <v>BUS-F 317</v>
          </cell>
          <cell r="K1451" t="str">
            <v>Hays,Gerry A</v>
          </cell>
          <cell r="N1451">
            <v>3.3279999999999998</v>
          </cell>
          <cell r="O1451">
            <v>3.452</v>
          </cell>
        </row>
        <row r="1452">
          <cell r="E1452" t="str">
            <v>BUS</v>
          </cell>
          <cell r="F1452" t="str">
            <v xml:space="preserve">BUS-F </v>
          </cell>
          <cell r="G1452">
            <v>317</v>
          </cell>
          <cell r="H1452" t="str">
            <v>BUS-F 317</v>
          </cell>
          <cell r="K1452" t="str">
            <v>Hays,Gerry A</v>
          </cell>
          <cell r="N1452">
            <v>3.3940000000000001</v>
          </cell>
          <cell r="O1452">
            <v>3.3410000000000002</v>
          </cell>
        </row>
        <row r="1453">
          <cell r="E1453" t="str">
            <v>BUS</v>
          </cell>
          <cell r="F1453" t="str">
            <v xml:space="preserve">BUS-F </v>
          </cell>
          <cell r="G1453">
            <v>317</v>
          </cell>
          <cell r="H1453" t="str">
            <v>BUS-F 317</v>
          </cell>
          <cell r="K1453" t="str">
            <v>Hays,Gerry A</v>
          </cell>
          <cell r="N1453">
            <v>3.4060000000000001</v>
          </cell>
          <cell r="O1453">
            <v>3.391</v>
          </cell>
        </row>
        <row r="1454">
          <cell r="E1454" t="str">
            <v>BUS</v>
          </cell>
          <cell r="F1454" t="str">
            <v xml:space="preserve">BUS-F </v>
          </cell>
          <cell r="G1454">
            <v>317</v>
          </cell>
          <cell r="H1454" t="str">
            <v>BUS-F 317</v>
          </cell>
          <cell r="K1454" t="str">
            <v>Hays,Gerry A</v>
          </cell>
          <cell r="N1454">
            <v>3.544</v>
          </cell>
          <cell r="O1454">
            <v>3.359</v>
          </cell>
        </row>
        <row r="1455">
          <cell r="E1455" t="str">
            <v>BUS</v>
          </cell>
          <cell r="F1455" t="str">
            <v xml:space="preserve">BUS-F </v>
          </cell>
          <cell r="G1455">
            <v>317</v>
          </cell>
          <cell r="H1455" t="str">
            <v>BUS-F 317</v>
          </cell>
          <cell r="K1455" t="str">
            <v>Udell,Gregory F</v>
          </cell>
          <cell r="N1455">
            <v>2.8879999999999999</v>
          </cell>
          <cell r="O1455">
            <v>3.2650000000000001</v>
          </cell>
        </row>
        <row r="1456">
          <cell r="E1456" t="str">
            <v>BUS</v>
          </cell>
          <cell r="F1456" t="str">
            <v xml:space="preserve">BUS-F </v>
          </cell>
          <cell r="G1456">
            <v>317</v>
          </cell>
          <cell r="H1456" t="str">
            <v>BUS-F 317</v>
          </cell>
          <cell r="K1456" t="str">
            <v>Udell,Gregory F</v>
          </cell>
          <cell r="N1456">
            <v>2.8530000000000002</v>
          </cell>
          <cell r="O1456">
            <v>3.2970000000000002</v>
          </cell>
        </row>
        <row r="1457">
          <cell r="E1457" t="str">
            <v>BUS</v>
          </cell>
          <cell r="F1457" t="str">
            <v xml:space="preserve">BUS-F </v>
          </cell>
          <cell r="G1457">
            <v>317</v>
          </cell>
          <cell r="H1457" t="str">
            <v>BUS-F 317</v>
          </cell>
          <cell r="K1457" t="str">
            <v>Udell,Gregory F</v>
          </cell>
          <cell r="N1457">
            <v>2.8340000000000001</v>
          </cell>
          <cell r="O1457">
            <v>3.1880000000000002</v>
          </cell>
        </row>
        <row r="1458">
          <cell r="E1458" t="str">
            <v>BUS</v>
          </cell>
          <cell r="F1458" t="str">
            <v xml:space="preserve">BUS-F </v>
          </cell>
          <cell r="G1458">
            <v>317</v>
          </cell>
          <cell r="H1458" t="str">
            <v>BUS-F 317</v>
          </cell>
          <cell r="K1458" t="str">
            <v>Udell,Gregory F</v>
          </cell>
          <cell r="N1458">
            <v>3.0569999999999999</v>
          </cell>
          <cell r="O1458">
            <v>3.31</v>
          </cell>
        </row>
        <row r="1459">
          <cell r="E1459" t="str">
            <v>BUS</v>
          </cell>
          <cell r="F1459" t="str">
            <v xml:space="preserve">BUS-F </v>
          </cell>
          <cell r="G1459">
            <v>335</v>
          </cell>
          <cell r="H1459" t="str">
            <v>BUS-F 335</v>
          </cell>
          <cell r="K1459" t="str">
            <v>Stoffman,Noah</v>
          </cell>
          <cell r="N1459">
            <v>2.9260000000000002</v>
          </cell>
          <cell r="O1459">
            <v>3.331</v>
          </cell>
        </row>
        <row r="1460">
          <cell r="E1460" t="str">
            <v>BUS</v>
          </cell>
          <cell r="F1460" t="str">
            <v xml:space="preserve">BUS-F </v>
          </cell>
          <cell r="G1460">
            <v>335</v>
          </cell>
          <cell r="H1460" t="str">
            <v>BUS-F 335</v>
          </cell>
          <cell r="K1460" t="str">
            <v>Stoffman,Noah</v>
          </cell>
          <cell r="N1460">
            <v>3.0579999999999998</v>
          </cell>
          <cell r="O1460">
            <v>3.3220000000000001</v>
          </cell>
        </row>
        <row r="1461">
          <cell r="E1461" t="str">
            <v>BUS</v>
          </cell>
          <cell r="F1461" t="str">
            <v xml:space="preserve">BUS-F </v>
          </cell>
          <cell r="G1461">
            <v>335</v>
          </cell>
          <cell r="H1461" t="str">
            <v>BUS-F 335</v>
          </cell>
          <cell r="K1461" t="str">
            <v>Venkatesan,Shyam Sunder</v>
          </cell>
          <cell r="N1461">
            <v>3.2360000000000002</v>
          </cell>
          <cell r="O1461">
            <v>3.4319999999999999</v>
          </cell>
        </row>
        <row r="1462">
          <cell r="E1462" t="str">
            <v>BUS</v>
          </cell>
          <cell r="F1462" t="str">
            <v xml:space="preserve">BUS-F </v>
          </cell>
          <cell r="G1462">
            <v>335</v>
          </cell>
          <cell r="H1462" t="str">
            <v>BUS-F 335</v>
          </cell>
          <cell r="K1462" t="str">
            <v>Venkatesan,Shyam Sunder</v>
          </cell>
          <cell r="N1462">
            <v>3.24</v>
          </cell>
          <cell r="O1462">
            <v>3.3919999999999999</v>
          </cell>
        </row>
        <row r="1463">
          <cell r="E1463" t="str">
            <v>BUS</v>
          </cell>
          <cell r="F1463" t="str">
            <v xml:space="preserve">BUS-F </v>
          </cell>
          <cell r="G1463">
            <v>370</v>
          </cell>
          <cell r="H1463" t="str">
            <v>BUS-F 370</v>
          </cell>
          <cell r="K1463" t="str">
            <v>Rearick,Thomas R.</v>
          </cell>
          <cell r="N1463">
            <v>2.7370000000000001</v>
          </cell>
          <cell r="O1463">
            <v>3.3220000000000001</v>
          </cell>
        </row>
        <row r="1464">
          <cell r="E1464" t="str">
            <v>BUS</v>
          </cell>
          <cell r="F1464" t="str">
            <v xml:space="preserve">BUS-F </v>
          </cell>
          <cell r="G1464">
            <v>370</v>
          </cell>
          <cell r="H1464" t="str">
            <v>BUS-F 370</v>
          </cell>
          <cell r="K1464" t="str">
            <v>Rearick,Thomas R.</v>
          </cell>
          <cell r="N1464">
            <v>2.879</v>
          </cell>
          <cell r="O1464">
            <v>3.355</v>
          </cell>
        </row>
        <row r="1465">
          <cell r="E1465" t="str">
            <v>BUS</v>
          </cell>
          <cell r="F1465" t="str">
            <v xml:space="preserve">BUS-F </v>
          </cell>
          <cell r="G1465">
            <v>370</v>
          </cell>
          <cell r="H1465" t="str">
            <v>BUS-F 370</v>
          </cell>
          <cell r="K1465" t="str">
            <v>Rearick,Thomas R.</v>
          </cell>
          <cell r="N1465">
            <v>2.7639999999999998</v>
          </cell>
          <cell r="O1465">
            <v>3.214</v>
          </cell>
        </row>
        <row r="1466">
          <cell r="E1466" t="str">
            <v>BUS</v>
          </cell>
          <cell r="F1466" t="str">
            <v xml:space="preserve">BUS-F </v>
          </cell>
          <cell r="G1466">
            <v>370</v>
          </cell>
          <cell r="H1466" t="str">
            <v>BUS-F 370</v>
          </cell>
          <cell r="K1466" t="str">
            <v>Rearick,Thomas R.</v>
          </cell>
          <cell r="N1466">
            <v>2.8519999999999999</v>
          </cell>
          <cell r="O1466">
            <v>3.3690000000000002</v>
          </cell>
        </row>
        <row r="1467">
          <cell r="E1467" t="str">
            <v>BUS</v>
          </cell>
          <cell r="F1467" t="str">
            <v xml:space="preserve">BUS-F </v>
          </cell>
          <cell r="G1467">
            <v>370</v>
          </cell>
          <cell r="H1467" t="str">
            <v>BUS-F 370</v>
          </cell>
          <cell r="K1467" t="str">
            <v>Rearick,Thomas R.</v>
          </cell>
          <cell r="N1467">
            <v>2.9</v>
          </cell>
          <cell r="O1467">
            <v>3.3860000000000001</v>
          </cell>
        </row>
        <row r="1468">
          <cell r="E1468" t="str">
            <v>BUS</v>
          </cell>
          <cell r="F1468" t="str">
            <v xml:space="preserve">BUS-F </v>
          </cell>
          <cell r="G1468">
            <v>370</v>
          </cell>
          <cell r="H1468" t="str">
            <v>BUS-F 370</v>
          </cell>
          <cell r="K1468" t="str">
            <v>Rearick,Thomas R.</v>
          </cell>
          <cell r="N1468">
            <v>2.9540000000000002</v>
          </cell>
          <cell r="O1468">
            <v>3.3660000000000001</v>
          </cell>
        </row>
        <row r="1469">
          <cell r="E1469" t="str">
            <v>BUS</v>
          </cell>
          <cell r="F1469" t="str">
            <v xml:space="preserve">BUS-F </v>
          </cell>
          <cell r="G1469">
            <v>370</v>
          </cell>
          <cell r="H1469" t="str">
            <v>BUS-F 370</v>
          </cell>
          <cell r="K1469" t="str">
            <v>Rearick,Thomas R.</v>
          </cell>
          <cell r="N1469">
            <v>2.8809999999999998</v>
          </cell>
          <cell r="O1469">
            <v>3.2949999999999999</v>
          </cell>
        </row>
        <row r="1470">
          <cell r="E1470" t="str">
            <v>BUS</v>
          </cell>
          <cell r="F1470" t="str">
            <v xml:space="preserve">BUS-F </v>
          </cell>
          <cell r="G1470">
            <v>370</v>
          </cell>
          <cell r="H1470" t="str">
            <v>BUS-F 370</v>
          </cell>
          <cell r="K1470" t="str">
            <v>Rearick,Thomas R.</v>
          </cell>
          <cell r="N1470">
            <v>2.9060000000000001</v>
          </cell>
          <cell r="O1470">
            <v>3.2759999999999998</v>
          </cell>
        </row>
        <row r="1471">
          <cell r="E1471" t="str">
            <v>BUS</v>
          </cell>
          <cell r="F1471" t="str">
            <v xml:space="preserve">BUS-F </v>
          </cell>
          <cell r="G1471">
            <v>390</v>
          </cell>
          <cell r="H1471" t="str">
            <v>BUS-F 390</v>
          </cell>
          <cell r="K1471" t="str">
            <v>Haeberle,David Carlton</v>
          </cell>
          <cell r="N1471">
            <v>4</v>
          </cell>
          <cell r="O1471">
            <v>3.5659999999999998</v>
          </cell>
        </row>
        <row r="1472">
          <cell r="E1472" t="str">
            <v>BUS</v>
          </cell>
          <cell r="F1472" t="str">
            <v xml:space="preserve">BUS-F </v>
          </cell>
          <cell r="G1472">
            <v>390</v>
          </cell>
          <cell r="H1472" t="str">
            <v>BUS-F 390</v>
          </cell>
          <cell r="K1472" t="str">
            <v>Jennings,Robert H.</v>
          </cell>
          <cell r="N1472" t="str">
            <v>NR</v>
          </cell>
          <cell r="O1472" t="str">
            <v>NR</v>
          </cell>
        </row>
        <row r="1473">
          <cell r="E1473" t="str">
            <v>BUS</v>
          </cell>
          <cell r="F1473" t="str">
            <v xml:space="preserve">BUS-F </v>
          </cell>
          <cell r="G1473">
            <v>402</v>
          </cell>
          <cell r="H1473" t="str">
            <v>BUS-F 402</v>
          </cell>
          <cell r="K1473" t="str">
            <v>Kim,Daniel Sungyeon</v>
          </cell>
          <cell r="N1473">
            <v>3.0640000000000001</v>
          </cell>
          <cell r="O1473">
            <v>3.3180000000000001</v>
          </cell>
        </row>
        <row r="1474">
          <cell r="E1474" t="str">
            <v>BUS</v>
          </cell>
          <cell r="F1474" t="str">
            <v xml:space="preserve">BUS-F </v>
          </cell>
          <cell r="G1474">
            <v>402</v>
          </cell>
          <cell r="H1474" t="str">
            <v>BUS-F 402</v>
          </cell>
          <cell r="K1474" t="str">
            <v>Kim,Daniel Sungyeon</v>
          </cell>
          <cell r="N1474">
            <v>3.0310000000000001</v>
          </cell>
          <cell r="O1474">
            <v>3.3580000000000001</v>
          </cell>
        </row>
        <row r="1475">
          <cell r="E1475" t="str">
            <v>BUS</v>
          </cell>
          <cell r="F1475" t="str">
            <v xml:space="preserve">BUS-F </v>
          </cell>
          <cell r="G1475">
            <v>402</v>
          </cell>
          <cell r="H1475" t="str">
            <v>BUS-F 402</v>
          </cell>
          <cell r="K1475" t="str">
            <v>Monaco,Susan</v>
          </cell>
          <cell r="N1475">
            <v>2.7959999999999998</v>
          </cell>
          <cell r="O1475">
            <v>3.1230000000000002</v>
          </cell>
        </row>
        <row r="1476">
          <cell r="E1476" t="str">
            <v>BUS</v>
          </cell>
          <cell r="F1476" t="str">
            <v xml:space="preserve">BUS-F </v>
          </cell>
          <cell r="G1476">
            <v>402</v>
          </cell>
          <cell r="H1476" t="str">
            <v>BUS-F 402</v>
          </cell>
          <cell r="K1476" t="str">
            <v>Monaco,Susan</v>
          </cell>
          <cell r="N1476">
            <v>3.1970000000000001</v>
          </cell>
          <cell r="O1476">
            <v>3.4430000000000001</v>
          </cell>
        </row>
        <row r="1477">
          <cell r="E1477" t="str">
            <v>BUS</v>
          </cell>
          <cell r="F1477" t="str">
            <v xml:space="preserve">BUS-F </v>
          </cell>
          <cell r="G1477">
            <v>402</v>
          </cell>
          <cell r="H1477" t="str">
            <v>BUS-F 402</v>
          </cell>
          <cell r="K1477" t="str">
            <v>Monaco,Susan</v>
          </cell>
          <cell r="N1477">
            <v>3.2629999999999999</v>
          </cell>
          <cell r="O1477">
            <v>3.569</v>
          </cell>
        </row>
        <row r="1478">
          <cell r="E1478" t="str">
            <v>BUS</v>
          </cell>
          <cell r="F1478" t="str">
            <v xml:space="preserve">BUS-F </v>
          </cell>
          <cell r="G1478">
            <v>402</v>
          </cell>
          <cell r="H1478" t="str">
            <v>BUS-F 402</v>
          </cell>
          <cell r="K1478" t="str">
            <v>Monaco,Susan</v>
          </cell>
          <cell r="N1478">
            <v>3.1019999999999999</v>
          </cell>
          <cell r="O1478">
            <v>3.3479999999999999</v>
          </cell>
        </row>
        <row r="1479">
          <cell r="E1479" t="str">
            <v>BUS</v>
          </cell>
          <cell r="F1479" t="str">
            <v xml:space="preserve">BUS-F </v>
          </cell>
          <cell r="G1479">
            <v>402</v>
          </cell>
          <cell r="H1479" t="str">
            <v>BUS-F 402</v>
          </cell>
          <cell r="K1479" t="str">
            <v>Monaco,Susan</v>
          </cell>
          <cell r="N1479">
            <v>3.11</v>
          </cell>
          <cell r="O1479">
            <v>3.4420000000000002</v>
          </cell>
        </row>
        <row r="1480">
          <cell r="E1480" t="str">
            <v>BUS</v>
          </cell>
          <cell r="F1480" t="str">
            <v xml:space="preserve">BUS-F </v>
          </cell>
          <cell r="G1480">
            <v>419</v>
          </cell>
          <cell r="H1480" t="str">
            <v>BUS-F 419</v>
          </cell>
          <cell r="K1480" t="str">
            <v>Trzcinka,Charles A.</v>
          </cell>
          <cell r="N1480">
            <v>3.226</v>
          </cell>
          <cell r="O1480">
            <v>3.42</v>
          </cell>
        </row>
        <row r="1481">
          <cell r="E1481" t="str">
            <v>BUS</v>
          </cell>
          <cell r="F1481" t="str">
            <v xml:space="preserve">BUS-F </v>
          </cell>
          <cell r="G1481">
            <v>420</v>
          </cell>
          <cell r="H1481" t="str">
            <v>BUS-F 420</v>
          </cell>
          <cell r="K1481" t="str">
            <v>Bhattacharya,Utpal</v>
          </cell>
          <cell r="N1481">
            <v>2.9</v>
          </cell>
          <cell r="O1481">
            <v>3.2869999999999999</v>
          </cell>
        </row>
        <row r="1482">
          <cell r="E1482" t="str">
            <v>BUS</v>
          </cell>
          <cell r="F1482" t="str">
            <v xml:space="preserve">BUS-F </v>
          </cell>
          <cell r="G1482">
            <v>420</v>
          </cell>
          <cell r="H1482" t="str">
            <v>BUS-F 420</v>
          </cell>
          <cell r="K1482" t="str">
            <v>Bhattacharya,Utpal</v>
          </cell>
          <cell r="N1482">
            <v>2.9910000000000001</v>
          </cell>
          <cell r="O1482">
            <v>3.37</v>
          </cell>
        </row>
        <row r="1483">
          <cell r="E1483" t="str">
            <v>BUS</v>
          </cell>
          <cell r="F1483" t="str">
            <v xml:space="preserve">BUS-F </v>
          </cell>
          <cell r="G1483">
            <v>420</v>
          </cell>
          <cell r="H1483" t="str">
            <v>BUS-F 420</v>
          </cell>
          <cell r="K1483" t="str">
            <v>Israelsen,Ryan Dwight</v>
          </cell>
          <cell r="N1483">
            <v>3.0329999999999999</v>
          </cell>
          <cell r="O1483">
            <v>3.4449999999999998</v>
          </cell>
        </row>
        <row r="1484">
          <cell r="E1484" t="str">
            <v>BUS</v>
          </cell>
          <cell r="F1484" t="str">
            <v xml:space="preserve">BUS-F </v>
          </cell>
          <cell r="G1484">
            <v>420</v>
          </cell>
          <cell r="H1484" t="str">
            <v>BUS-F 420</v>
          </cell>
          <cell r="K1484" t="str">
            <v>Israelsen,Ryan Dwight</v>
          </cell>
          <cell r="N1484">
            <v>3.113</v>
          </cell>
          <cell r="O1484">
            <v>3.3690000000000002</v>
          </cell>
        </row>
        <row r="1485">
          <cell r="E1485" t="str">
            <v>BUS</v>
          </cell>
          <cell r="F1485" t="str">
            <v xml:space="preserve">BUS-F </v>
          </cell>
          <cell r="G1485">
            <v>420</v>
          </cell>
          <cell r="H1485" t="str">
            <v>BUS-F 420</v>
          </cell>
          <cell r="K1485" t="str">
            <v>Israelsen,Ryan Dwight</v>
          </cell>
          <cell r="N1485">
            <v>3.1930000000000001</v>
          </cell>
          <cell r="O1485">
            <v>3.4790000000000001</v>
          </cell>
        </row>
        <row r="1486">
          <cell r="E1486" t="str">
            <v>BUS</v>
          </cell>
          <cell r="F1486" t="str">
            <v xml:space="preserve">BUS-F </v>
          </cell>
          <cell r="G1486">
            <v>420</v>
          </cell>
          <cell r="H1486" t="str">
            <v>BUS-F 420</v>
          </cell>
          <cell r="K1486" t="str">
            <v>Lee,Jung Hoon</v>
          </cell>
          <cell r="N1486">
            <v>3.09</v>
          </cell>
          <cell r="O1486">
            <v>3.2749999999999999</v>
          </cell>
        </row>
        <row r="1487">
          <cell r="E1487" t="str">
            <v>BUS</v>
          </cell>
          <cell r="F1487" t="str">
            <v xml:space="preserve">BUS-F </v>
          </cell>
          <cell r="G1487">
            <v>421</v>
          </cell>
          <cell r="H1487" t="str">
            <v>BUS-F 421</v>
          </cell>
          <cell r="K1487" t="str">
            <v>Jennings,Robert H.</v>
          </cell>
          <cell r="N1487">
            <v>3.0379999999999998</v>
          </cell>
          <cell r="O1487">
            <v>3.4409999999999998</v>
          </cell>
        </row>
        <row r="1488">
          <cell r="E1488" t="str">
            <v>BUS</v>
          </cell>
          <cell r="F1488" t="str">
            <v xml:space="preserve">BUS-F </v>
          </cell>
          <cell r="G1488">
            <v>421</v>
          </cell>
          <cell r="H1488" t="str">
            <v>BUS-F 421</v>
          </cell>
          <cell r="K1488" t="str">
            <v>Wang,Zhenyu</v>
          </cell>
          <cell r="N1488">
            <v>3.157</v>
          </cell>
          <cell r="O1488">
            <v>3.2829999999999999</v>
          </cell>
        </row>
        <row r="1489">
          <cell r="E1489" t="str">
            <v>BUS</v>
          </cell>
          <cell r="F1489" t="str">
            <v xml:space="preserve">BUS-F </v>
          </cell>
          <cell r="G1489">
            <v>428</v>
          </cell>
          <cell r="H1489" t="str">
            <v>BUS-F 428</v>
          </cell>
          <cell r="K1489" t="str">
            <v>Haeberle,David Carlton</v>
          </cell>
          <cell r="N1489">
            <v>4</v>
          </cell>
          <cell r="O1489">
            <v>3.6819999999999999</v>
          </cell>
        </row>
        <row r="1490">
          <cell r="E1490" t="str">
            <v>BUS</v>
          </cell>
          <cell r="F1490" t="str">
            <v xml:space="preserve">BUS-F </v>
          </cell>
          <cell r="G1490">
            <v>428</v>
          </cell>
          <cell r="H1490" t="str">
            <v>BUS-F 428</v>
          </cell>
          <cell r="K1490" t="str">
            <v>Jennings,Robert H.</v>
          </cell>
          <cell r="N1490">
            <v>4</v>
          </cell>
          <cell r="O1490">
            <v>3.556</v>
          </cell>
        </row>
        <row r="1491">
          <cell r="E1491" t="str">
            <v>BUS</v>
          </cell>
          <cell r="F1491" t="str">
            <v xml:space="preserve">BUS-F </v>
          </cell>
          <cell r="G1491">
            <v>429</v>
          </cell>
          <cell r="H1491" t="str">
            <v>BUS-F 429</v>
          </cell>
          <cell r="K1491" t="str">
            <v>Haeberle,David Carlton</v>
          </cell>
          <cell r="N1491">
            <v>4</v>
          </cell>
          <cell r="O1491">
            <v>3.6509999999999998</v>
          </cell>
        </row>
        <row r="1492">
          <cell r="E1492" t="str">
            <v>BUS</v>
          </cell>
          <cell r="F1492" t="str">
            <v xml:space="preserve">BUS-F </v>
          </cell>
          <cell r="G1492">
            <v>429</v>
          </cell>
          <cell r="H1492" t="str">
            <v>BUS-F 429</v>
          </cell>
          <cell r="K1492" t="str">
            <v>Jennings,Robert H.</v>
          </cell>
          <cell r="N1492">
            <v>4</v>
          </cell>
          <cell r="O1492">
            <v>3.5</v>
          </cell>
        </row>
        <row r="1493">
          <cell r="E1493" t="str">
            <v>BUS</v>
          </cell>
          <cell r="F1493" t="str">
            <v xml:space="preserve">BUS-F </v>
          </cell>
          <cell r="G1493">
            <v>446</v>
          </cell>
          <cell r="H1493" t="str">
            <v>BUS-F 446</v>
          </cell>
          <cell r="K1493" t="str">
            <v>Rearick,Thomas R.</v>
          </cell>
          <cell r="N1493">
            <v>2.7719999999999998</v>
          </cell>
          <cell r="O1493">
            <v>3.3540000000000001</v>
          </cell>
        </row>
        <row r="1494">
          <cell r="E1494" t="str">
            <v>BUS</v>
          </cell>
          <cell r="F1494" t="str">
            <v xml:space="preserve">BUS-F </v>
          </cell>
          <cell r="G1494">
            <v>446</v>
          </cell>
          <cell r="H1494" t="str">
            <v>BUS-F 446</v>
          </cell>
          <cell r="K1494" t="str">
            <v>Rearick,Thomas R.</v>
          </cell>
          <cell r="N1494">
            <v>2.9940000000000002</v>
          </cell>
          <cell r="O1494">
            <v>3.4430000000000001</v>
          </cell>
        </row>
        <row r="1495">
          <cell r="E1495" t="str">
            <v>BUS</v>
          </cell>
          <cell r="F1495" t="str">
            <v xml:space="preserve">BUS-F </v>
          </cell>
          <cell r="G1495">
            <v>446</v>
          </cell>
          <cell r="H1495" t="str">
            <v>BUS-F 446</v>
          </cell>
          <cell r="K1495" t="str">
            <v>Rearick,Thomas R.</v>
          </cell>
          <cell r="N1495">
            <v>2.7559999999999998</v>
          </cell>
          <cell r="O1495">
            <v>3.218</v>
          </cell>
        </row>
        <row r="1496">
          <cell r="E1496" t="str">
            <v>BUS</v>
          </cell>
          <cell r="F1496" t="str">
            <v xml:space="preserve">BUS-F </v>
          </cell>
          <cell r="G1496">
            <v>446</v>
          </cell>
          <cell r="H1496" t="str">
            <v>BUS-F 446</v>
          </cell>
          <cell r="K1496" t="str">
            <v>Shen,Wenyi</v>
          </cell>
          <cell r="N1496">
            <v>3.3029999999999999</v>
          </cell>
          <cell r="O1496">
            <v>3.359</v>
          </cell>
        </row>
        <row r="1497">
          <cell r="E1497" t="str">
            <v>BUS</v>
          </cell>
          <cell r="F1497" t="str">
            <v xml:space="preserve">BUS-F </v>
          </cell>
          <cell r="G1497">
            <v>490</v>
          </cell>
          <cell r="H1497" t="str">
            <v>BUS-F 490</v>
          </cell>
          <cell r="K1497" t="str">
            <v>Kamma,Sreenivas</v>
          </cell>
          <cell r="N1497" t="str">
            <v>NR</v>
          </cell>
          <cell r="O1497" t="str">
            <v>NR</v>
          </cell>
        </row>
        <row r="1498">
          <cell r="E1498" t="str">
            <v>BUS</v>
          </cell>
          <cell r="F1498" t="str">
            <v xml:space="preserve">BUS-F </v>
          </cell>
          <cell r="G1498">
            <v>490</v>
          </cell>
          <cell r="H1498" t="str">
            <v>BUS-F 490</v>
          </cell>
          <cell r="K1498" t="str">
            <v>Kamma,Sreenivas</v>
          </cell>
          <cell r="N1498" t="str">
            <v>NR</v>
          </cell>
          <cell r="O1498" t="str">
            <v>NR</v>
          </cell>
        </row>
        <row r="1499">
          <cell r="E1499" t="str">
            <v>BUS</v>
          </cell>
          <cell r="F1499" t="str">
            <v xml:space="preserve">BUS-F </v>
          </cell>
          <cell r="G1499">
            <v>494</v>
          </cell>
          <cell r="H1499" t="str">
            <v>BUS-F 494</v>
          </cell>
          <cell r="K1499" t="str">
            <v>Patterson,Richard L</v>
          </cell>
          <cell r="N1499">
            <v>2.7850000000000001</v>
          </cell>
          <cell r="O1499">
            <v>3.3170000000000002</v>
          </cell>
        </row>
        <row r="1500">
          <cell r="E1500" t="str">
            <v>BUS</v>
          </cell>
          <cell r="F1500" t="str">
            <v xml:space="preserve">BUS-F </v>
          </cell>
          <cell r="G1500">
            <v>494</v>
          </cell>
          <cell r="H1500" t="str">
            <v>BUS-F 494</v>
          </cell>
          <cell r="K1500" t="str">
            <v>Patterson,Richard L</v>
          </cell>
          <cell r="N1500">
            <v>2.7309999999999999</v>
          </cell>
          <cell r="O1500">
            <v>3.3210000000000002</v>
          </cell>
        </row>
        <row r="1501">
          <cell r="E1501" t="str">
            <v>BUS</v>
          </cell>
          <cell r="F1501" t="str">
            <v xml:space="preserve">BUS-F </v>
          </cell>
          <cell r="G1501">
            <v>494</v>
          </cell>
          <cell r="H1501" t="str">
            <v>BUS-F 494</v>
          </cell>
          <cell r="K1501" t="str">
            <v>Patterson,Richard L</v>
          </cell>
          <cell r="N1501">
            <v>2.9820000000000002</v>
          </cell>
          <cell r="O1501">
            <v>3.3929999999999998</v>
          </cell>
        </row>
        <row r="1502">
          <cell r="E1502" t="str">
            <v>BUS</v>
          </cell>
          <cell r="F1502" t="str">
            <v xml:space="preserve">BUS-F </v>
          </cell>
          <cell r="G1502">
            <v>494</v>
          </cell>
          <cell r="H1502" t="str">
            <v>BUS-F 494</v>
          </cell>
          <cell r="K1502" t="str">
            <v>Patterson,Richard L</v>
          </cell>
          <cell r="N1502">
            <v>2.86</v>
          </cell>
          <cell r="O1502">
            <v>3.3530000000000002</v>
          </cell>
        </row>
        <row r="1503">
          <cell r="E1503" t="str">
            <v>BUS</v>
          </cell>
          <cell r="F1503" t="str">
            <v xml:space="preserve">BUS-F </v>
          </cell>
          <cell r="G1503">
            <v>494</v>
          </cell>
          <cell r="H1503" t="str">
            <v>BUS-F 494</v>
          </cell>
          <cell r="K1503" t="str">
            <v>Patterson,Richard L</v>
          </cell>
          <cell r="N1503">
            <v>2.9060000000000001</v>
          </cell>
          <cell r="O1503">
            <v>3.4169999999999998</v>
          </cell>
        </row>
        <row r="1504">
          <cell r="E1504" t="str">
            <v>BUS</v>
          </cell>
          <cell r="F1504" t="str">
            <v xml:space="preserve">BUS-F </v>
          </cell>
          <cell r="G1504">
            <v>494</v>
          </cell>
          <cell r="H1504" t="str">
            <v>BUS-F 494</v>
          </cell>
          <cell r="K1504" t="str">
            <v>Patterson,Richard L</v>
          </cell>
          <cell r="N1504">
            <v>2.956</v>
          </cell>
          <cell r="O1504">
            <v>3.42</v>
          </cell>
        </row>
        <row r="1505">
          <cell r="E1505" t="str">
            <v>BUS</v>
          </cell>
          <cell r="F1505" t="str">
            <v xml:space="preserve">BUS-F </v>
          </cell>
          <cell r="G1505">
            <v>494</v>
          </cell>
          <cell r="H1505" t="str">
            <v>BUS-F 494</v>
          </cell>
          <cell r="K1505" t="str">
            <v>Patterson,Richard L</v>
          </cell>
          <cell r="N1505">
            <v>2.71</v>
          </cell>
          <cell r="O1505">
            <v>3.2810000000000001</v>
          </cell>
        </row>
        <row r="1506">
          <cell r="E1506" t="str">
            <v>BUS</v>
          </cell>
          <cell r="F1506" t="str">
            <v xml:space="preserve">BUS-F </v>
          </cell>
          <cell r="G1506">
            <v>506</v>
          </cell>
          <cell r="H1506" t="str">
            <v>BUS-F 506</v>
          </cell>
          <cell r="K1506" t="str">
            <v>Udell,Gregory F</v>
          </cell>
          <cell r="N1506">
            <v>3.3220000000000001</v>
          </cell>
          <cell r="O1506">
            <v>3.589</v>
          </cell>
        </row>
        <row r="1507">
          <cell r="E1507" t="str">
            <v>BUS</v>
          </cell>
          <cell r="F1507" t="str">
            <v xml:space="preserve">BUS-F </v>
          </cell>
          <cell r="G1507">
            <v>507</v>
          </cell>
          <cell r="H1507" t="str">
            <v>BUS-F 507</v>
          </cell>
          <cell r="K1507" t="str">
            <v>Masson,Dubos Joseph</v>
          </cell>
          <cell r="N1507">
            <v>3.774</v>
          </cell>
          <cell r="O1507">
            <v>3.56</v>
          </cell>
        </row>
        <row r="1508">
          <cell r="E1508" t="str">
            <v>BUS</v>
          </cell>
          <cell r="F1508" t="str">
            <v xml:space="preserve">BUS-F </v>
          </cell>
          <cell r="G1508">
            <v>507</v>
          </cell>
          <cell r="H1508" t="str">
            <v>BUS-F 507</v>
          </cell>
          <cell r="K1508" t="str">
            <v>Masson,Dubos Joseph</v>
          </cell>
          <cell r="N1508">
            <v>3.8420000000000001</v>
          </cell>
          <cell r="O1508">
            <v>3.5630000000000002</v>
          </cell>
        </row>
        <row r="1509">
          <cell r="E1509" t="str">
            <v>BUS</v>
          </cell>
          <cell r="F1509" t="str">
            <v xml:space="preserve">BUS-F </v>
          </cell>
          <cell r="G1509">
            <v>508</v>
          </cell>
          <cell r="H1509" t="str">
            <v>BUS-F 508</v>
          </cell>
          <cell r="K1509" t="str">
            <v>Shockley,Richard</v>
          </cell>
          <cell r="N1509">
            <v>3.3969999999999998</v>
          </cell>
          <cell r="O1509">
            <v>3.585</v>
          </cell>
        </row>
        <row r="1510">
          <cell r="E1510" t="str">
            <v>BUS</v>
          </cell>
          <cell r="F1510" t="str">
            <v xml:space="preserve">BUS-F </v>
          </cell>
          <cell r="G1510">
            <v>508</v>
          </cell>
          <cell r="H1510" t="str">
            <v>BUS-F 508</v>
          </cell>
          <cell r="K1510" t="str">
            <v>Shockley,Richard</v>
          </cell>
          <cell r="N1510">
            <v>3.4289999999999998</v>
          </cell>
          <cell r="O1510">
            <v>3.6120000000000001</v>
          </cell>
        </row>
        <row r="1511">
          <cell r="E1511" t="str">
            <v>BUS</v>
          </cell>
          <cell r="F1511" t="str">
            <v xml:space="preserve">BUS-F </v>
          </cell>
          <cell r="G1511">
            <v>509</v>
          </cell>
          <cell r="H1511" t="str">
            <v>BUS-F 509</v>
          </cell>
          <cell r="K1511" t="str">
            <v>Kamma,Sreenivas</v>
          </cell>
          <cell r="N1511">
            <v>3.5539999999999998</v>
          </cell>
          <cell r="O1511">
            <v>3.4790000000000001</v>
          </cell>
        </row>
        <row r="1512">
          <cell r="E1512" t="str">
            <v>BUS</v>
          </cell>
          <cell r="F1512" t="str">
            <v xml:space="preserve">BUS-F </v>
          </cell>
          <cell r="G1512">
            <v>510</v>
          </cell>
          <cell r="H1512" t="str">
            <v>BUS-F 510</v>
          </cell>
          <cell r="K1512" t="str">
            <v>Smart,Scott B</v>
          </cell>
          <cell r="N1512">
            <v>3.53</v>
          </cell>
          <cell r="O1512">
            <v>3.5489999999999999</v>
          </cell>
        </row>
        <row r="1513">
          <cell r="E1513" t="str">
            <v>BUS</v>
          </cell>
          <cell r="F1513" t="str">
            <v xml:space="preserve">BUS-F </v>
          </cell>
          <cell r="G1513">
            <v>517</v>
          </cell>
          <cell r="H1513" t="str">
            <v>BUS-F 517</v>
          </cell>
          <cell r="K1513" t="str">
            <v>Clements,Walter Louis</v>
          </cell>
          <cell r="N1513">
            <v>3.536</v>
          </cell>
          <cell r="O1513">
            <v>3.504</v>
          </cell>
        </row>
        <row r="1514">
          <cell r="E1514" t="str">
            <v>BUS</v>
          </cell>
          <cell r="F1514" t="str">
            <v xml:space="preserve">BUS-F </v>
          </cell>
          <cell r="G1514">
            <v>517</v>
          </cell>
          <cell r="H1514" t="str">
            <v>BUS-F 517</v>
          </cell>
          <cell r="K1514" t="str">
            <v>Haeberle,David Carlton</v>
          </cell>
          <cell r="N1514">
            <v>3.2890000000000001</v>
          </cell>
          <cell r="O1514">
            <v>3.56</v>
          </cell>
        </row>
        <row r="1515">
          <cell r="E1515" t="str">
            <v>BUS</v>
          </cell>
          <cell r="F1515" t="str">
            <v xml:space="preserve">BUS-F </v>
          </cell>
          <cell r="G1515">
            <v>519</v>
          </cell>
          <cell r="H1515" t="str">
            <v>BUS-F 519</v>
          </cell>
          <cell r="K1515" t="str">
            <v>Smart,Scott B</v>
          </cell>
          <cell r="N1515">
            <v>3.8109999999999999</v>
          </cell>
          <cell r="O1515">
            <v>3.7010000000000001</v>
          </cell>
        </row>
        <row r="1516">
          <cell r="E1516" t="str">
            <v>BUS</v>
          </cell>
          <cell r="F1516" t="str">
            <v xml:space="preserve">BUS-F </v>
          </cell>
          <cell r="G1516">
            <v>519</v>
          </cell>
          <cell r="H1516" t="str">
            <v>BUS-F 519</v>
          </cell>
          <cell r="K1516" t="str">
            <v>Smart,Scott B</v>
          </cell>
          <cell r="N1516">
            <v>3.8069999999999999</v>
          </cell>
          <cell r="O1516">
            <v>3.5390000000000001</v>
          </cell>
        </row>
        <row r="1517">
          <cell r="E1517" t="str">
            <v>BUS</v>
          </cell>
          <cell r="F1517" t="str">
            <v xml:space="preserve">BUS-F </v>
          </cell>
          <cell r="G1517">
            <v>520</v>
          </cell>
          <cell r="H1517" t="str">
            <v>BUS-F 520</v>
          </cell>
          <cell r="K1517" t="str">
            <v>Bhattacharya,Utpal</v>
          </cell>
          <cell r="N1517">
            <v>3.351</v>
          </cell>
          <cell r="O1517">
            <v>3.5670000000000002</v>
          </cell>
        </row>
        <row r="1518">
          <cell r="E1518" t="str">
            <v>BUS</v>
          </cell>
          <cell r="F1518" t="str">
            <v xml:space="preserve">BUS-F </v>
          </cell>
          <cell r="G1518">
            <v>520</v>
          </cell>
          <cell r="H1518" t="str">
            <v>BUS-F 520</v>
          </cell>
          <cell r="K1518" t="str">
            <v>Ellul,Andrew</v>
          </cell>
          <cell r="N1518">
            <v>3.4470000000000001</v>
          </cell>
          <cell r="O1518">
            <v>3.5760000000000001</v>
          </cell>
        </row>
        <row r="1519">
          <cell r="E1519" t="str">
            <v>BUS</v>
          </cell>
          <cell r="F1519" t="str">
            <v xml:space="preserve">BUS-F </v>
          </cell>
          <cell r="G1519">
            <v>520</v>
          </cell>
          <cell r="H1519" t="str">
            <v>BUS-F 520</v>
          </cell>
          <cell r="K1519" t="str">
            <v>Ellul,Andrew</v>
          </cell>
          <cell r="N1519">
            <v>3.5459999999999998</v>
          </cell>
          <cell r="O1519">
            <v>3.5880000000000001</v>
          </cell>
        </row>
        <row r="1520">
          <cell r="E1520" t="str">
            <v>BUS</v>
          </cell>
          <cell r="F1520" t="str">
            <v xml:space="preserve">BUS-F </v>
          </cell>
          <cell r="G1520">
            <v>520</v>
          </cell>
          <cell r="H1520" t="str">
            <v>BUS-F 520</v>
          </cell>
          <cell r="K1520" t="str">
            <v>Ellul,Andrew</v>
          </cell>
          <cell r="N1520">
            <v>3.516</v>
          </cell>
          <cell r="O1520">
            <v>3.5739999999999998</v>
          </cell>
        </row>
        <row r="1521">
          <cell r="E1521" t="str">
            <v>BUS</v>
          </cell>
          <cell r="F1521" t="str">
            <v xml:space="preserve">BUS-F </v>
          </cell>
          <cell r="G1521">
            <v>525</v>
          </cell>
          <cell r="H1521" t="str">
            <v>BUS-F 525</v>
          </cell>
          <cell r="K1521" t="str">
            <v>Masson,Dubos Joseph</v>
          </cell>
          <cell r="N1521">
            <v>3.919</v>
          </cell>
          <cell r="O1521">
            <v>3.5830000000000002</v>
          </cell>
        </row>
        <row r="1522">
          <cell r="E1522" t="str">
            <v>BUS</v>
          </cell>
          <cell r="F1522" t="str">
            <v xml:space="preserve">BUS-F </v>
          </cell>
          <cell r="G1522">
            <v>525</v>
          </cell>
          <cell r="H1522" t="str">
            <v>BUS-F 525</v>
          </cell>
          <cell r="K1522" t="str">
            <v>Masson,Dubos Joseph</v>
          </cell>
          <cell r="N1522">
            <v>3.8879999999999999</v>
          </cell>
          <cell r="O1522">
            <v>3.6190000000000002</v>
          </cell>
        </row>
        <row r="1523">
          <cell r="E1523" t="str">
            <v>BUS</v>
          </cell>
          <cell r="F1523" t="str">
            <v xml:space="preserve">BUS-F </v>
          </cell>
          <cell r="G1523">
            <v>526</v>
          </cell>
          <cell r="H1523" t="str">
            <v>BUS-F 526</v>
          </cell>
          <cell r="K1523" t="str">
            <v>Wang,Zhenyu</v>
          </cell>
          <cell r="N1523">
            <v>3.4670000000000001</v>
          </cell>
          <cell r="O1523">
            <v>3.6030000000000002</v>
          </cell>
        </row>
        <row r="1524">
          <cell r="E1524" t="str">
            <v>BUS</v>
          </cell>
          <cell r="F1524" t="str">
            <v xml:space="preserve">BUS-F </v>
          </cell>
          <cell r="G1524">
            <v>526</v>
          </cell>
          <cell r="H1524" t="str">
            <v>BUS-F 526</v>
          </cell>
          <cell r="K1524" t="str">
            <v>Wang,Zhenyu</v>
          </cell>
          <cell r="N1524">
            <v>3.47</v>
          </cell>
          <cell r="O1524">
            <v>3.5720000000000001</v>
          </cell>
        </row>
        <row r="1525">
          <cell r="E1525" t="str">
            <v>BUS</v>
          </cell>
          <cell r="F1525" t="str">
            <v xml:space="preserve">BUS-F </v>
          </cell>
          <cell r="G1525">
            <v>528</v>
          </cell>
          <cell r="H1525" t="str">
            <v>BUS-F 528</v>
          </cell>
          <cell r="K1525" t="str">
            <v>Ellul,Andrew</v>
          </cell>
          <cell r="N1525">
            <v>3.54</v>
          </cell>
          <cell r="O1525">
            <v>3.601</v>
          </cell>
        </row>
        <row r="1526">
          <cell r="E1526" t="str">
            <v>BUS</v>
          </cell>
          <cell r="F1526" t="str">
            <v xml:space="preserve">BUS-F </v>
          </cell>
          <cell r="G1526">
            <v>528</v>
          </cell>
          <cell r="H1526" t="str">
            <v>BUS-F 528</v>
          </cell>
          <cell r="K1526" t="str">
            <v>Ellul,Andrew</v>
          </cell>
          <cell r="N1526">
            <v>3.5880000000000001</v>
          </cell>
          <cell r="O1526">
            <v>3.6739999999999999</v>
          </cell>
        </row>
        <row r="1527">
          <cell r="E1527" t="str">
            <v>BUS</v>
          </cell>
          <cell r="F1527" t="str">
            <v xml:space="preserve">BUS-F </v>
          </cell>
          <cell r="G1527">
            <v>529</v>
          </cell>
          <cell r="H1527" t="str">
            <v>BUS-F 529</v>
          </cell>
          <cell r="K1527" t="str">
            <v>Trzcinka,Charles A.</v>
          </cell>
          <cell r="N1527">
            <v>3.4910000000000001</v>
          </cell>
          <cell r="O1527">
            <v>3.6</v>
          </cell>
        </row>
        <row r="1528">
          <cell r="E1528" t="str">
            <v>BUS</v>
          </cell>
          <cell r="F1528" t="str">
            <v xml:space="preserve">BUS-F </v>
          </cell>
          <cell r="G1528">
            <v>540</v>
          </cell>
          <cell r="H1528" t="str">
            <v>BUS-F 540</v>
          </cell>
          <cell r="K1528" t="str">
            <v>Kamma,Sreenivas</v>
          </cell>
          <cell r="N1528">
            <v>3.4209999999999998</v>
          </cell>
          <cell r="O1528">
            <v>3.536</v>
          </cell>
        </row>
        <row r="1529">
          <cell r="E1529" t="str">
            <v>BUS</v>
          </cell>
          <cell r="F1529" t="str">
            <v xml:space="preserve">BUS-F </v>
          </cell>
          <cell r="G1529">
            <v>540</v>
          </cell>
          <cell r="H1529" t="str">
            <v>BUS-F 540</v>
          </cell>
          <cell r="K1529" t="str">
            <v>Kamma,Sreenivas</v>
          </cell>
          <cell r="N1529">
            <v>3.544</v>
          </cell>
          <cell r="O1529">
            <v>3.5630000000000002</v>
          </cell>
        </row>
        <row r="1530">
          <cell r="E1530" t="str">
            <v>BUS</v>
          </cell>
          <cell r="F1530" t="str">
            <v xml:space="preserve">BUS-F </v>
          </cell>
          <cell r="G1530">
            <v>540</v>
          </cell>
          <cell r="H1530" t="str">
            <v>BUS-F 540</v>
          </cell>
          <cell r="K1530" t="str">
            <v>Kamma,Sreenivas</v>
          </cell>
          <cell r="N1530">
            <v>3.5</v>
          </cell>
          <cell r="O1530">
            <v>3.597</v>
          </cell>
        </row>
        <row r="1531">
          <cell r="E1531" t="str">
            <v>BUS</v>
          </cell>
          <cell r="F1531" t="str">
            <v xml:space="preserve">BUS-F </v>
          </cell>
          <cell r="G1531">
            <v>540</v>
          </cell>
          <cell r="H1531" t="str">
            <v>BUS-F 540</v>
          </cell>
          <cell r="K1531" t="str">
            <v>Kamma,Sreenivas</v>
          </cell>
          <cell r="N1531">
            <v>3.56</v>
          </cell>
          <cell r="O1531">
            <v>3.5230000000000001</v>
          </cell>
        </row>
        <row r="1532">
          <cell r="E1532" t="str">
            <v>BUS</v>
          </cell>
          <cell r="F1532" t="str">
            <v xml:space="preserve">BUS-F </v>
          </cell>
          <cell r="G1532">
            <v>540</v>
          </cell>
          <cell r="H1532" t="str">
            <v>BUS-F 540</v>
          </cell>
          <cell r="K1532" t="str">
            <v>Kamma,Sreenivas</v>
          </cell>
          <cell r="N1532">
            <v>3.5489999999999999</v>
          </cell>
          <cell r="O1532">
            <v>3.5070000000000001</v>
          </cell>
        </row>
        <row r="1533">
          <cell r="E1533" t="str">
            <v>BUS</v>
          </cell>
          <cell r="F1533" t="str">
            <v xml:space="preserve">BUS-F </v>
          </cell>
          <cell r="G1533">
            <v>546</v>
          </cell>
          <cell r="H1533" t="str">
            <v>BUS-F 546</v>
          </cell>
          <cell r="K1533" t="str">
            <v>Billett,Matthew</v>
          </cell>
          <cell r="N1533">
            <v>3.4430000000000001</v>
          </cell>
          <cell r="O1533">
            <v>3.6139999999999999</v>
          </cell>
        </row>
        <row r="1534">
          <cell r="E1534" t="str">
            <v>BUS</v>
          </cell>
          <cell r="F1534" t="str">
            <v xml:space="preserve">BUS-F </v>
          </cell>
          <cell r="G1534">
            <v>546</v>
          </cell>
          <cell r="H1534" t="str">
            <v>BUS-F 546</v>
          </cell>
          <cell r="K1534" t="str">
            <v>Billett,Matthew</v>
          </cell>
          <cell r="N1534">
            <v>3.4209999999999998</v>
          </cell>
          <cell r="O1534">
            <v>3.5579999999999998</v>
          </cell>
        </row>
        <row r="1535">
          <cell r="E1535" t="str">
            <v>BUS</v>
          </cell>
          <cell r="F1535" t="str">
            <v xml:space="preserve">BUS-F </v>
          </cell>
          <cell r="G1535">
            <v>546</v>
          </cell>
          <cell r="H1535" t="str">
            <v>BUS-F 546</v>
          </cell>
          <cell r="K1535" t="str">
            <v>Billett,Matthew</v>
          </cell>
          <cell r="N1535">
            <v>3.4380000000000002</v>
          </cell>
          <cell r="O1535">
            <v>3.593</v>
          </cell>
        </row>
        <row r="1536">
          <cell r="E1536" t="str">
            <v>BUS</v>
          </cell>
          <cell r="F1536" t="str">
            <v xml:space="preserve">BUS-F </v>
          </cell>
          <cell r="G1536">
            <v>548</v>
          </cell>
          <cell r="H1536" t="str">
            <v>BUS-F 548</v>
          </cell>
          <cell r="K1536" t="str">
            <v>Billett,Matthew</v>
          </cell>
          <cell r="N1536">
            <v>3.5870000000000002</v>
          </cell>
          <cell r="O1536">
            <v>3.617</v>
          </cell>
        </row>
        <row r="1537">
          <cell r="E1537" t="str">
            <v>BUS</v>
          </cell>
          <cell r="F1537" t="str">
            <v xml:space="preserve">BUS-F </v>
          </cell>
          <cell r="G1537">
            <v>548</v>
          </cell>
          <cell r="H1537" t="str">
            <v>BUS-F 548</v>
          </cell>
          <cell r="K1537" t="str">
            <v>Billett,Matthew</v>
          </cell>
          <cell r="N1537">
            <v>3.375</v>
          </cell>
          <cell r="O1537">
            <v>3.4990000000000001</v>
          </cell>
        </row>
        <row r="1538">
          <cell r="E1538" t="str">
            <v>BUS</v>
          </cell>
          <cell r="F1538" t="str">
            <v xml:space="preserve">BUS-F </v>
          </cell>
          <cell r="G1538">
            <v>548</v>
          </cell>
          <cell r="H1538" t="str">
            <v>BUS-F 548</v>
          </cell>
          <cell r="K1538" t="str">
            <v>Billett,Matthew</v>
          </cell>
          <cell r="N1538">
            <v>3.6669999999999998</v>
          </cell>
          <cell r="O1538">
            <v>3.6659999999999999</v>
          </cell>
        </row>
        <row r="1539">
          <cell r="E1539" t="str">
            <v>BUS</v>
          </cell>
          <cell r="F1539" t="str">
            <v xml:space="preserve">BUS-F </v>
          </cell>
          <cell r="G1539">
            <v>548</v>
          </cell>
          <cell r="H1539" t="str">
            <v>BUS-F 548</v>
          </cell>
          <cell r="K1539" t="str">
            <v>Kamma,Sreenivas</v>
          </cell>
          <cell r="N1539">
            <v>3.5049999999999999</v>
          </cell>
          <cell r="O1539">
            <v>3.609</v>
          </cell>
        </row>
        <row r="1540">
          <cell r="E1540" t="str">
            <v>BUS</v>
          </cell>
          <cell r="F1540" t="str">
            <v xml:space="preserve">BUS-F </v>
          </cell>
          <cell r="G1540">
            <v>550</v>
          </cell>
          <cell r="H1540" t="str">
            <v>BUS-F 550</v>
          </cell>
          <cell r="K1540" t="str">
            <v>Klemkosky,Robert C.</v>
          </cell>
          <cell r="N1540">
            <v>3.8330000000000002</v>
          </cell>
          <cell r="O1540">
            <v>3.5750000000000002</v>
          </cell>
        </row>
        <row r="1541">
          <cell r="E1541" t="str">
            <v>BUS</v>
          </cell>
          <cell r="F1541" t="str">
            <v xml:space="preserve">BUS-F </v>
          </cell>
          <cell r="G1541">
            <v>560</v>
          </cell>
          <cell r="H1541" t="str">
            <v>BUS-F 560</v>
          </cell>
          <cell r="K1541" t="str">
            <v>Cook,Rebecca Anne</v>
          </cell>
          <cell r="N1541">
            <v>4</v>
          </cell>
          <cell r="O1541">
            <v>3.6059999999999999</v>
          </cell>
        </row>
        <row r="1542">
          <cell r="E1542" t="str">
            <v>BUS</v>
          </cell>
          <cell r="F1542" t="str">
            <v xml:space="preserve">BUS-F </v>
          </cell>
          <cell r="G1542">
            <v>579</v>
          </cell>
          <cell r="H1542" t="str">
            <v>BUS-F 579</v>
          </cell>
          <cell r="K1542" t="str">
            <v>Succo,John David</v>
          </cell>
          <cell r="N1542">
            <v>3.7130000000000001</v>
          </cell>
          <cell r="O1542">
            <v>3.5680000000000001</v>
          </cell>
        </row>
        <row r="1543">
          <cell r="E1543" t="str">
            <v>BUS</v>
          </cell>
          <cell r="F1543" t="str">
            <v xml:space="preserve">BUS-F </v>
          </cell>
          <cell r="G1543">
            <v>579</v>
          </cell>
          <cell r="H1543" t="str">
            <v>BUS-F 579</v>
          </cell>
          <cell r="K1543" t="str">
            <v>Succo,John David</v>
          </cell>
          <cell r="N1543">
            <v>3.7130000000000001</v>
          </cell>
          <cell r="O1543">
            <v>3.5990000000000002</v>
          </cell>
        </row>
        <row r="1544">
          <cell r="E1544" t="str">
            <v>BUS</v>
          </cell>
          <cell r="F1544" t="str">
            <v xml:space="preserve">BUS-F </v>
          </cell>
          <cell r="G1544">
            <v>579</v>
          </cell>
          <cell r="H1544" t="str">
            <v>BUS-F 579</v>
          </cell>
          <cell r="K1544" t="str">
            <v>Trzcinka,Charles A.</v>
          </cell>
          <cell r="N1544">
            <v>4</v>
          </cell>
          <cell r="O1544">
            <v>3.5840000000000001</v>
          </cell>
        </row>
        <row r="1545">
          <cell r="E1545" t="str">
            <v>BUS</v>
          </cell>
          <cell r="F1545" t="str">
            <v xml:space="preserve">BUS-F </v>
          </cell>
          <cell r="G1545">
            <v>590</v>
          </cell>
          <cell r="H1545" t="str">
            <v>BUS-F 590</v>
          </cell>
          <cell r="K1545" t="str">
            <v>Kamma,Sreenivas</v>
          </cell>
          <cell r="N1545" t="str">
            <v>NR</v>
          </cell>
          <cell r="O1545" t="str">
            <v>NR</v>
          </cell>
        </row>
        <row r="1546">
          <cell r="E1546" t="str">
            <v>BUS</v>
          </cell>
          <cell r="F1546" t="str">
            <v xml:space="preserve">BUS-F </v>
          </cell>
          <cell r="G1546">
            <v>590</v>
          </cell>
          <cell r="H1546" t="str">
            <v>BUS-F 590</v>
          </cell>
          <cell r="K1546" t="str">
            <v>Kamma,Sreenivas</v>
          </cell>
          <cell r="N1546" t="str">
            <v>NR</v>
          </cell>
          <cell r="O1546" t="str">
            <v>NR</v>
          </cell>
        </row>
        <row r="1547">
          <cell r="E1547" t="str">
            <v>BUS</v>
          </cell>
          <cell r="F1547" t="str">
            <v xml:space="preserve">BUS-F </v>
          </cell>
          <cell r="G1547">
            <v>590</v>
          </cell>
          <cell r="H1547" t="str">
            <v>BUS-F 590</v>
          </cell>
          <cell r="K1547" t="str">
            <v>Kamma,Sreenivas</v>
          </cell>
          <cell r="N1547" t="str">
            <v>NR</v>
          </cell>
          <cell r="O1547" t="str">
            <v>NR</v>
          </cell>
        </row>
        <row r="1548">
          <cell r="E1548" t="str">
            <v>BUS</v>
          </cell>
          <cell r="F1548" t="str">
            <v xml:space="preserve">BUS-F </v>
          </cell>
          <cell r="G1548">
            <v>600</v>
          </cell>
          <cell r="H1548" t="str">
            <v>BUS-F 600</v>
          </cell>
          <cell r="K1548" t="str">
            <v>Holden,Craig W.</v>
          </cell>
          <cell r="N1548">
            <v>3.5819999999999999</v>
          </cell>
          <cell r="O1548">
            <v>3.6070000000000002</v>
          </cell>
        </row>
        <row r="1549">
          <cell r="E1549" t="str">
            <v>BUS</v>
          </cell>
          <cell r="F1549" t="str">
            <v xml:space="preserve">BUS-F </v>
          </cell>
          <cell r="G1549">
            <v>605</v>
          </cell>
          <cell r="H1549" t="str">
            <v>BUS-F 605</v>
          </cell>
          <cell r="K1549" t="str">
            <v>Yu,Xiaoyun</v>
          </cell>
          <cell r="N1549" t="str">
            <v>NR</v>
          </cell>
          <cell r="O1549" t="str">
            <v>NR</v>
          </cell>
        </row>
        <row r="1550">
          <cell r="E1550" t="str">
            <v>BUS</v>
          </cell>
          <cell r="F1550" t="str">
            <v xml:space="preserve">BUS-F </v>
          </cell>
          <cell r="G1550">
            <v>625</v>
          </cell>
          <cell r="H1550" t="str">
            <v>BUS-F 625</v>
          </cell>
          <cell r="K1550" t="str">
            <v>Stoffman,Noah</v>
          </cell>
          <cell r="N1550" t="str">
            <v>NR</v>
          </cell>
          <cell r="O1550" t="str">
            <v>NR</v>
          </cell>
        </row>
        <row r="1551">
          <cell r="E1551" t="str">
            <v>BUS</v>
          </cell>
          <cell r="F1551" t="str">
            <v xml:space="preserve">BUS-F </v>
          </cell>
          <cell r="G1551">
            <v>635</v>
          </cell>
          <cell r="H1551" t="str">
            <v>BUS-F 635</v>
          </cell>
          <cell r="K1551" t="str">
            <v>Holden,Craig W.</v>
          </cell>
          <cell r="N1551" t="str">
            <v>NR</v>
          </cell>
          <cell r="O1551" t="str">
            <v>NR</v>
          </cell>
        </row>
        <row r="1552">
          <cell r="E1552" t="str">
            <v>BUS</v>
          </cell>
          <cell r="F1552" t="str">
            <v xml:space="preserve">BUS-F </v>
          </cell>
          <cell r="G1552">
            <v>644</v>
          </cell>
          <cell r="H1552" t="str">
            <v>BUS-F 644</v>
          </cell>
          <cell r="K1552" t="str">
            <v>Ellul,Andrew</v>
          </cell>
          <cell r="N1552" t="str">
            <v>NR</v>
          </cell>
          <cell r="O1552" t="str">
            <v>NR</v>
          </cell>
        </row>
        <row r="1553">
          <cell r="E1553" t="str">
            <v>BUS</v>
          </cell>
          <cell r="F1553" t="str">
            <v xml:space="preserve">BUS-F </v>
          </cell>
          <cell r="G1553">
            <v>644</v>
          </cell>
          <cell r="H1553" t="str">
            <v>BUS-F 644</v>
          </cell>
          <cell r="K1553" t="str">
            <v>Trzcinka,Charles A.</v>
          </cell>
          <cell r="N1553" t="str">
            <v>NR</v>
          </cell>
          <cell r="O1553" t="str">
            <v>NR</v>
          </cell>
        </row>
        <row r="1554">
          <cell r="E1554" t="str">
            <v>BUS</v>
          </cell>
          <cell r="F1554" t="str">
            <v xml:space="preserve">BUS-F </v>
          </cell>
          <cell r="G1554">
            <v>798</v>
          </cell>
          <cell r="H1554" t="str">
            <v>BUS-F 798</v>
          </cell>
          <cell r="K1554" t="str">
            <v>Bhattacharya,Utpal</v>
          </cell>
          <cell r="N1554" t="str">
            <v>NR</v>
          </cell>
          <cell r="O1554" t="str">
            <v>NR</v>
          </cell>
        </row>
        <row r="1555">
          <cell r="E1555" t="str">
            <v>BUS</v>
          </cell>
          <cell r="F1555" t="str">
            <v xml:space="preserve">BUS-G </v>
          </cell>
          <cell r="G1555">
            <v>100</v>
          </cell>
          <cell r="H1555" t="str">
            <v>BUS-G 100</v>
          </cell>
          <cell r="K1555" t="str">
            <v>Petrovic,William Matthew</v>
          </cell>
          <cell r="N1555">
            <v>3.0670000000000002</v>
          </cell>
          <cell r="O1555">
            <v>2.8639999999999999</v>
          </cell>
        </row>
        <row r="1556">
          <cell r="E1556" t="str">
            <v>BUS</v>
          </cell>
          <cell r="F1556" t="str">
            <v xml:space="preserve">BUS-G </v>
          </cell>
          <cell r="G1556">
            <v>100</v>
          </cell>
          <cell r="H1556" t="str">
            <v>BUS-G 100</v>
          </cell>
          <cell r="K1556" t="str">
            <v>Petrovic,William Matthew</v>
          </cell>
          <cell r="N1556">
            <v>3</v>
          </cell>
          <cell r="O1556">
            <v>2.988</v>
          </cell>
        </row>
        <row r="1557">
          <cell r="E1557" t="str">
            <v>BUS</v>
          </cell>
          <cell r="F1557" t="str">
            <v xml:space="preserve">BUS-G </v>
          </cell>
          <cell r="G1557">
            <v>202</v>
          </cell>
          <cell r="H1557" t="str">
            <v>BUS-G 202</v>
          </cell>
          <cell r="K1557" t="str">
            <v>Kreft,Steven Francis</v>
          </cell>
          <cell r="N1557">
            <v>3.0339999999999998</v>
          </cell>
          <cell r="O1557">
            <v>3.2959999999999998</v>
          </cell>
        </row>
        <row r="1558">
          <cell r="E1558" t="str">
            <v>BUS</v>
          </cell>
          <cell r="F1558" t="str">
            <v xml:space="preserve">BUS-G </v>
          </cell>
          <cell r="G1558">
            <v>202</v>
          </cell>
          <cell r="H1558" t="str">
            <v>BUS-G 202</v>
          </cell>
          <cell r="K1558" t="str">
            <v>Kreft,Steven Francis</v>
          </cell>
          <cell r="N1558">
            <v>3.02</v>
          </cell>
          <cell r="O1558">
            <v>3.339</v>
          </cell>
        </row>
        <row r="1559">
          <cell r="E1559" t="str">
            <v>BUS</v>
          </cell>
          <cell r="F1559" t="str">
            <v xml:space="preserve">BUS-G </v>
          </cell>
          <cell r="G1559">
            <v>202</v>
          </cell>
          <cell r="H1559" t="str">
            <v>BUS-G 202</v>
          </cell>
          <cell r="K1559" t="str">
            <v>Kreft,Steven Francis</v>
          </cell>
          <cell r="N1559">
            <v>3.0049999999999999</v>
          </cell>
          <cell r="O1559">
            <v>3.3719999999999999</v>
          </cell>
        </row>
        <row r="1560">
          <cell r="E1560" t="str">
            <v>BUS</v>
          </cell>
          <cell r="F1560" t="str">
            <v xml:space="preserve">BUS-G </v>
          </cell>
          <cell r="G1560">
            <v>202</v>
          </cell>
          <cell r="H1560" t="str">
            <v>BUS-G 202</v>
          </cell>
          <cell r="K1560" t="str">
            <v>Kreft,Steven Francis</v>
          </cell>
          <cell r="N1560">
            <v>3.258</v>
          </cell>
          <cell r="O1560">
            <v>3.4159999999999999</v>
          </cell>
        </row>
        <row r="1561">
          <cell r="E1561" t="str">
            <v>BUS</v>
          </cell>
          <cell r="F1561" t="str">
            <v xml:space="preserve">BUS-G </v>
          </cell>
          <cell r="G1561">
            <v>202</v>
          </cell>
          <cell r="H1561" t="str">
            <v>BUS-G 202</v>
          </cell>
          <cell r="K1561" t="str">
            <v>Kreft,Steven Francis</v>
          </cell>
          <cell r="N1561">
            <v>3.0950000000000002</v>
          </cell>
          <cell r="O1561">
            <v>3.3559999999999999</v>
          </cell>
        </row>
        <row r="1562">
          <cell r="E1562" t="str">
            <v>BUS</v>
          </cell>
          <cell r="F1562" t="str">
            <v xml:space="preserve">BUS-G </v>
          </cell>
          <cell r="G1562">
            <v>202</v>
          </cell>
          <cell r="H1562" t="str">
            <v>BUS-G 202</v>
          </cell>
          <cell r="K1562" t="str">
            <v>Kreft,Steven Francis</v>
          </cell>
          <cell r="N1562">
            <v>3.0659999999999998</v>
          </cell>
          <cell r="O1562">
            <v>3.3519999999999999</v>
          </cell>
        </row>
        <row r="1563">
          <cell r="E1563" t="str">
            <v>BUS</v>
          </cell>
          <cell r="F1563" t="str">
            <v xml:space="preserve">BUS-G </v>
          </cell>
          <cell r="G1563">
            <v>202</v>
          </cell>
          <cell r="H1563" t="str">
            <v>BUS-G 202</v>
          </cell>
          <cell r="K1563" t="str">
            <v>Kreft,Steven Francis</v>
          </cell>
          <cell r="N1563">
            <v>2.972</v>
          </cell>
          <cell r="O1563">
            <v>3.3039999999999998</v>
          </cell>
        </row>
        <row r="1564">
          <cell r="E1564" t="str">
            <v>BUS</v>
          </cell>
          <cell r="F1564" t="str">
            <v xml:space="preserve">BUS-G </v>
          </cell>
          <cell r="G1564">
            <v>202</v>
          </cell>
          <cell r="H1564" t="str">
            <v>BUS-G 202</v>
          </cell>
          <cell r="K1564" t="str">
            <v>Mafi-Kreft,Ellie</v>
          </cell>
          <cell r="N1564">
            <v>3.3580000000000001</v>
          </cell>
          <cell r="O1564">
            <v>3.5659999999999998</v>
          </cell>
        </row>
        <row r="1565">
          <cell r="E1565" t="str">
            <v>BUS</v>
          </cell>
          <cell r="F1565" t="str">
            <v xml:space="preserve">BUS-G </v>
          </cell>
          <cell r="G1565">
            <v>202</v>
          </cell>
          <cell r="H1565" t="str">
            <v>BUS-G 202</v>
          </cell>
          <cell r="K1565" t="str">
            <v>Mafi-Kreft,Ellie</v>
          </cell>
          <cell r="N1565">
            <v>2.8620000000000001</v>
          </cell>
          <cell r="O1565">
            <v>3.3660000000000001</v>
          </cell>
        </row>
        <row r="1566">
          <cell r="E1566" t="str">
            <v>BUS</v>
          </cell>
          <cell r="F1566" t="str">
            <v xml:space="preserve">BUS-G </v>
          </cell>
          <cell r="G1566">
            <v>202</v>
          </cell>
          <cell r="H1566" t="str">
            <v>BUS-G 202</v>
          </cell>
          <cell r="K1566" t="str">
            <v>Mafi-Kreft,Ellie</v>
          </cell>
          <cell r="N1566">
            <v>3.242</v>
          </cell>
          <cell r="O1566">
            <v>3.4649999999999999</v>
          </cell>
        </row>
        <row r="1567">
          <cell r="E1567" t="str">
            <v>BUS</v>
          </cell>
          <cell r="F1567" t="str">
            <v xml:space="preserve">BUS-G </v>
          </cell>
          <cell r="G1567">
            <v>202</v>
          </cell>
          <cell r="H1567" t="str">
            <v>BUS-G 202</v>
          </cell>
          <cell r="K1567" t="str">
            <v>Mafi-Kreft,Ellie</v>
          </cell>
          <cell r="N1567">
            <v>3.2029999999999998</v>
          </cell>
          <cell r="O1567">
            <v>3.444</v>
          </cell>
        </row>
        <row r="1568">
          <cell r="E1568" t="str">
            <v>BUS</v>
          </cell>
          <cell r="F1568" t="str">
            <v xml:space="preserve">BUS-G </v>
          </cell>
          <cell r="G1568">
            <v>202</v>
          </cell>
          <cell r="H1568" t="str">
            <v>BUS-G 202</v>
          </cell>
          <cell r="K1568" t="str">
            <v>Mafi-Kreft,Ellie</v>
          </cell>
          <cell r="N1568">
            <v>3.173</v>
          </cell>
          <cell r="O1568">
            <v>3.427</v>
          </cell>
        </row>
        <row r="1569">
          <cell r="E1569" t="str">
            <v>BUS</v>
          </cell>
          <cell r="F1569" t="str">
            <v xml:space="preserve">BUS-G </v>
          </cell>
          <cell r="G1569">
            <v>256</v>
          </cell>
          <cell r="H1569" t="str">
            <v>BUS-G 256</v>
          </cell>
          <cell r="K1569" t="str">
            <v>Stefanescu,Catalin Nicolae</v>
          </cell>
          <cell r="N1569">
            <v>3.4159999999999999</v>
          </cell>
          <cell r="O1569">
            <v>3.57</v>
          </cell>
        </row>
        <row r="1570">
          <cell r="E1570" t="str">
            <v>BUS</v>
          </cell>
          <cell r="F1570" t="str">
            <v xml:space="preserve">BUS-G </v>
          </cell>
          <cell r="G1570">
            <v>256</v>
          </cell>
          <cell r="H1570" t="str">
            <v>BUS-G 256</v>
          </cell>
          <cell r="K1570" t="str">
            <v>Stefanescu,Catalin Nicolae</v>
          </cell>
          <cell r="N1570">
            <v>3.5329999999999999</v>
          </cell>
          <cell r="O1570">
            <v>3.5289999999999999</v>
          </cell>
        </row>
        <row r="1571">
          <cell r="E1571" t="str">
            <v>BUS</v>
          </cell>
          <cell r="F1571" t="str">
            <v xml:space="preserve">BUS-G </v>
          </cell>
          <cell r="G1571">
            <v>256</v>
          </cell>
          <cell r="H1571" t="str">
            <v>BUS-G 256</v>
          </cell>
          <cell r="K1571" t="str">
            <v>Stefanescu,Catalin Nicolae</v>
          </cell>
          <cell r="N1571">
            <v>3.7250000000000001</v>
          </cell>
          <cell r="O1571">
            <v>3.66</v>
          </cell>
        </row>
        <row r="1572">
          <cell r="E1572" t="str">
            <v>BUS</v>
          </cell>
          <cell r="F1572" t="str">
            <v xml:space="preserve">BUS-G </v>
          </cell>
          <cell r="G1572">
            <v>300</v>
          </cell>
          <cell r="H1572" t="str">
            <v>BUS-G 300</v>
          </cell>
          <cell r="K1572" t="str">
            <v>Cakirer,Kerem</v>
          </cell>
          <cell r="N1572">
            <v>3.0590000000000002</v>
          </cell>
          <cell r="O1572">
            <v>2.948</v>
          </cell>
        </row>
        <row r="1573">
          <cell r="E1573" t="str">
            <v>BUS</v>
          </cell>
          <cell r="F1573" t="str">
            <v xml:space="preserve">BUS-G </v>
          </cell>
          <cell r="G1573">
            <v>300</v>
          </cell>
          <cell r="H1573" t="str">
            <v>BUS-G 300</v>
          </cell>
          <cell r="K1573" t="str">
            <v>Cakirer,Kerem</v>
          </cell>
          <cell r="N1573">
            <v>2.9689999999999999</v>
          </cell>
          <cell r="O1573">
            <v>2.9390000000000001</v>
          </cell>
        </row>
        <row r="1574">
          <cell r="E1574" t="str">
            <v>BUS</v>
          </cell>
          <cell r="F1574" t="str">
            <v xml:space="preserve">BUS-G </v>
          </cell>
          <cell r="G1574">
            <v>300</v>
          </cell>
          <cell r="H1574" t="str">
            <v>BUS-G 300</v>
          </cell>
          <cell r="K1574" t="str">
            <v>Cakirer,Kerem</v>
          </cell>
          <cell r="N1574">
            <v>3.0179999999999998</v>
          </cell>
          <cell r="O1574">
            <v>2.968</v>
          </cell>
        </row>
        <row r="1575">
          <cell r="E1575" t="str">
            <v>BUS</v>
          </cell>
          <cell r="F1575" t="str">
            <v xml:space="preserve">BUS-G </v>
          </cell>
          <cell r="G1575">
            <v>300</v>
          </cell>
          <cell r="H1575" t="str">
            <v>BUS-G 300</v>
          </cell>
          <cell r="K1575" t="str">
            <v>Cakirer,Kerem</v>
          </cell>
          <cell r="N1575">
            <v>2.8540000000000001</v>
          </cell>
          <cell r="O1575">
            <v>2.9670000000000001</v>
          </cell>
        </row>
        <row r="1576">
          <cell r="E1576" t="str">
            <v>BUS</v>
          </cell>
          <cell r="F1576" t="str">
            <v xml:space="preserve">BUS-G </v>
          </cell>
          <cell r="G1576">
            <v>300</v>
          </cell>
          <cell r="H1576" t="str">
            <v>BUS-G 300</v>
          </cell>
          <cell r="K1576" t="str">
            <v>Cakirer,Kerem</v>
          </cell>
          <cell r="N1576">
            <v>3.0880000000000001</v>
          </cell>
          <cell r="O1576">
            <v>3.1960000000000002</v>
          </cell>
        </row>
        <row r="1577">
          <cell r="E1577" t="str">
            <v>BUS</v>
          </cell>
          <cell r="F1577" t="str">
            <v xml:space="preserve">BUS-G </v>
          </cell>
          <cell r="G1577">
            <v>300</v>
          </cell>
          <cell r="H1577" t="str">
            <v>BUS-G 300</v>
          </cell>
          <cell r="K1577" t="str">
            <v>Cakirer,Kerem</v>
          </cell>
          <cell r="N1577">
            <v>2.976</v>
          </cell>
          <cell r="O1577">
            <v>3.145</v>
          </cell>
        </row>
        <row r="1578">
          <cell r="E1578" t="str">
            <v>BUS</v>
          </cell>
          <cell r="F1578" t="str">
            <v xml:space="preserve">BUS-G </v>
          </cell>
          <cell r="G1578">
            <v>300</v>
          </cell>
          <cell r="H1578" t="str">
            <v>BUS-G 300</v>
          </cell>
          <cell r="K1578" t="str">
            <v>Schmidbauer,Eric James</v>
          </cell>
          <cell r="N1578">
            <v>2.5430000000000001</v>
          </cell>
          <cell r="O1578">
            <v>3.097</v>
          </cell>
        </row>
        <row r="1579">
          <cell r="E1579" t="str">
            <v>BUS</v>
          </cell>
          <cell r="F1579" t="str">
            <v xml:space="preserve">BUS-G </v>
          </cell>
          <cell r="G1579">
            <v>300</v>
          </cell>
          <cell r="H1579" t="str">
            <v>BUS-G 300</v>
          </cell>
          <cell r="K1579" t="str">
            <v>Schmidbauer,Eric James</v>
          </cell>
          <cell r="N1579">
            <v>2.7509999999999999</v>
          </cell>
          <cell r="O1579">
            <v>2.859</v>
          </cell>
        </row>
        <row r="1580">
          <cell r="E1580" t="str">
            <v>BUS</v>
          </cell>
          <cell r="F1580" t="str">
            <v xml:space="preserve">BUS-G </v>
          </cell>
          <cell r="G1580">
            <v>303</v>
          </cell>
          <cell r="H1580" t="str">
            <v>BUS-G 303</v>
          </cell>
          <cell r="K1580" t="str">
            <v>Harbaugh,Rick</v>
          </cell>
          <cell r="N1580">
            <v>3.22</v>
          </cell>
          <cell r="O1580">
            <v>3.3759999999999999</v>
          </cell>
        </row>
        <row r="1581">
          <cell r="E1581" t="str">
            <v>BUS</v>
          </cell>
          <cell r="F1581" t="str">
            <v xml:space="preserve">BUS-G </v>
          </cell>
          <cell r="G1581">
            <v>303</v>
          </cell>
          <cell r="H1581" t="str">
            <v>BUS-G 303</v>
          </cell>
          <cell r="K1581" t="str">
            <v>Harbaugh,Rick</v>
          </cell>
          <cell r="N1581">
            <v>3.177</v>
          </cell>
          <cell r="O1581">
            <v>3.4390000000000001</v>
          </cell>
        </row>
        <row r="1582">
          <cell r="E1582" t="str">
            <v>BUS</v>
          </cell>
          <cell r="F1582" t="str">
            <v xml:space="preserve">BUS-G </v>
          </cell>
          <cell r="G1582">
            <v>303</v>
          </cell>
          <cell r="H1582" t="str">
            <v>BUS-G 303</v>
          </cell>
          <cell r="K1582" t="str">
            <v>Ridlon,Robert W</v>
          </cell>
          <cell r="N1582">
            <v>3.403</v>
          </cell>
          <cell r="O1582">
            <v>3.4009999999999998</v>
          </cell>
        </row>
        <row r="1583">
          <cell r="E1583" t="str">
            <v>BUS</v>
          </cell>
          <cell r="F1583" t="str">
            <v xml:space="preserve">BUS-G </v>
          </cell>
          <cell r="G1583">
            <v>303</v>
          </cell>
          <cell r="H1583" t="str">
            <v>BUS-G 303</v>
          </cell>
          <cell r="K1583" t="str">
            <v>Ridlon,Robert W</v>
          </cell>
          <cell r="N1583">
            <v>3.1589999999999998</v>
          </cell>
          <cell r="O1583">
            <v>3.4430000000000001</v>
          </cell>
        </row>
        <row r="1584">
          <cell r="E1584" t="str">
            <v>BUS</v>
          </cell>
          <cell r="F1584" t="str">
            <v xml:space="preserve">BUS-G </v>
          </cell>
          <cell r="G1584">
            <v>304</v>
          </cell>
          <cell r="H1584" t="str">
            <v>BUS-G 304</v>
          </cell>
          <cell r="K1584" t="str">
            <v>Lubensky,Dmitry Y</v>
          </cell>
          <cell r="N1584">
            <v>3.1080000000000001</v>
          </cell>
          <cell r="O1584">
            <v>3.407</v>
          </cell>
        </row>
        <row r="1585">
          <cell r="E1585" t="str">
            <v>BUS</v>
          </cell>
          <cell r="F1585" t="str">
            <v xml:space="preserve">BUS-G </v>
          </cell>
          <cell r="G1585">
            <v>304</v>
          </cell>
          <cell r="H1585" t="str">
            <v>BUS-G 304</v>
          </cell>
          <cell r="K1585" t="str">
            <v>Lubensky,Dmitry Y</v>
          </cell>
          <cell r="N1585">
            <v>3.1040000000000001</v>
          </cell>
          <cell r="O1585">
            <v>3.4449999999999998</v>
          </cell>
        </row>
        <row r="1586">
          <cell r="E1586" t="str">
            <v>BUS</v>
          </cell>
          <cell r="F1586" t="str">
            <v xml:space="preserve">BUS-G </v>
          </cell>
          <cell r="G1586">
            <v>304</v>
          </cell>
          <cell r="H1586" t="str">
            <v>BUS-G 304</v>
          </cell>
          <cell r="K1586" t="str">
            <v>Lubensky,Dmitry Y</v>
          </cell>
          <cell r="N1586">
            <v>3.1349999999999998</v>
          </cell>
          <cell r="O1586">
            <v>3.4860000000000002</v>
          </cell>
        </row>
        <row r="1587">
          <cell r="E1587" t="str">
            <v>BUS</v>
          </cell>
          <cell r="F1587" t="str">
            <v xml:space="preserve">BUS-G </v>
          </cell>
          <cell r="G1587">
            <v>304</v>
          </cell>
          <cell r="H1587" t="str">
            <v>BUS-G 304</v>
          </cell>
          <cell r="K1587" t="str">
            <v>Ridlon,Robert W</v>
          </cell>
          <cell r="N1587">
            <v>3.109</v>
          </cell>
          <cell r="O1587">
            <v>3.3290000000000002</v>
          </cell>
        </row>
        <row r="1588">
          <cell r="E1588" t="str">
            <v>BUS</v>
          </cell>
          <cell r="F1588" t="str">
            <v xml:space="preserve">BUS-G </v>
          </cell>
          <cell r="G1588">
            <v>345</v>
          </cell>
          <cell r="H1588" t="str">
            <v>BUS-G 345</v>
          </cell>
          <cell r="K1588" t="str">
            <v>Hauskrecht,Andreas</v>
          </cell>
          <cell r="N1588">
            <v>3.0190000000000001</v>
          </cell>
          <cell r="O1588">
            <v>3.3109999999999999</v>
          </cell>
        </row>
        <row r="1589">
          <cell r="E1589" t="str">
            <v>BUS</v>
          </cell>
          <cell r="F1589" t="str">
            <v xml:space="preserve">BUS-G </v>
          </cell>
          <cell r="G1589">
            <v>345</v>
          </cell>
          <cell r="H1589" t="str">
            <v>BUS-G 345</v>
          </cell>
          <cell r="K1589" t="str">
            <v>Hauskrecht,Andreas</v>
          </cell>
          <cell r="N1589">
            <v>3.03</v>
          </cell>
          <cell r="O1589">
            <v>3.4449999999999998</v>
          </cell>
        </row>
        <row r="1590">
          <cell r="E1590" t="str">
            <v>BUS</v>
          </cell>
          <cell r="F1590" t="str">
            <v xml:space="preserve">BUS-G </v>
          </cell>
          <cell r="G1590">
            <v>345</v>
          </cell>
          <cell r="H1590" t="str">
            <v>BUS-G 345</v>
          </cell>
          <cell r="K1590" t="str">
            <v>Hauskrecht,Andreas</v>
          </cell>
          <cell r="N1590">
            <v>2.9860000000000002</v>
          </cell>
          <cell r="O1590">
            <v>3.4889999999999999</v>
          </cell>
        </row>
        <row r="1591">
          <cell r="E1591" t="str">
            <v>BUS</v>
          </cell>
          <cell r="F1591" t="str">
            <v xml:space="preserve">BUS-G </v>
          </cell>
          <cell r="G1591">
            <v>345</v>
          </cell>
          <cell r="H1591" t="str">
            <v>BUS-G 345</v>
          </cell>
          <cell r="K1591" t="str">
            <v>Hauskrecht,Andreas</v>
          </cell>
          <cell r="N1591">
            <v>2.9889999999999999</v>
          </cell>
          <cell r="O1591">
            <v>3.3290000000000002</v>
          </cell>
        </row>
        <row r="1592">
          <cell r="E1592" t="str">
            <v>BUS</v>
          </cell>
          <cell r="F1592" t="str">
            <v xml:space="preserve">BUS-G </v>
          </cell>
          <cell r="G1592">
            <v>345</v>
          </cell>
          <cell r="H1592" t="str">
            <v>BUS-G 345</v>
          </cell>
          <cell r="K1592" t="str">
            <v>Mafi-Kreft,Ellie</v>
          </cell>
          <cell r="N1592">
            <v>3.1150000000000002</v>
          </cell>
          <cell r="O1592">
            <v>3.5110000000000001</v>
          </cell>
        </row>
        <row r="1593">
          <cell r="E1593" t="str">
            <v>BUS</v>
          </cell>
          <cell r="F1593" t="str">
            <v xml:space="preserve">BUS-G </v>
          </cell>
          <cell r="G1593">
            <v>345</v>
          </cell>
          <cell r="H1593" t="str">
            <v>BUS-G 345</v>
          </cell>
          <cell r="K1593" t="str">
            <v>Mafi-Kreft,Ellie</v>
          </cell>
          <cell r="N1593">
            <v>3.0030000000000001</v>
          </cell>
          <cell r="O1593">
            <v>3.4910000000000001</v>
          </cell>
        </row>
        <row r="1594">
          <cell r="E1594" t="str">
            <v>BUS</v>
          </cell>
          <cell r="F1594" t="str">
            <v xml:space="preserve">BUS-G </v>
          </cell>
          <cell r="G1594">
            <v>345</v>
          </cell>
          <cell r="H1594" t="str">
            <v>BUS-G 345</v>
          </cell>
          <cell r="K1594" t="str">
            <v>Stefanescu,Catalin Nicolae</v>
          </cell>
          <cell r="N1594">
            <v>2.8450000000000002</v>
          </cell>
          <cell r="O1594">
            <v>3.3780000000000001</v>
          </cell>
        </row>
        <row r="1595">
          <cell r="E1595" t="str">
            <v>BUS</v>
          </cell>
          <cell r="F1595" t="str">
            <v xml:space="preserve">BUS-G </v>
          </cell>
          <cell r="G1595">
            <v>345</v>
          </cell>
          <cell r="H1595" t="str">
            <v>BUS-G 345</v>
          </cell>
          <cell r="K1595" t="str">
            <v>Stefanescu,Catalin Nicolae</v>
          </cell>
          <cell r="N1595">
            <v>3.145</v>
          </cell>
          <cell r="O1595">
            <v>3.476</v>
          </cell>
        </row>
        <row r="1596">
          <cell r="E1596" t="str">
            <v>BUS</v>
          </cell>
          <cell r="F1596" t="str">
            <v xml:space="preserve">BUS-G </v>
          </cell>
          <cell r="G1596">
            <v>345</v>
          </cell>
          <cell r="H1596" t="str">
            <v>BUS-G 345</v>
          </cell>
          <cell r="K1596" t="str">
            <v>Stefanescu,Catalin Nicolae</v>
          </cell>
          <cell r="N1596">
            <v>3.0259999999999998</v>
          </cell>
          <cell r="O1596">
            <v>3.2469999999999999</v>
          </cell>
        </row>
        <row r="1597">
          <cell r="E1597" t="str">
            <v>BUS</v>
          </cell>
          <cell r="F1597" t="str">
            <v xml:space="preserve">BUS-G </v>
          </cell>
          <cell r="G1597">
            <v>345</v>
          </cell>
          <cell r="H1597" t="str">
            <v>BUS-G 345</v>
          </cell>
          <cell r="K1597" t="str">
            <v>Stefanescu,Catalin Nicolae</v>
          </cell>
          <cell r="N1597">
            <v>3.0209999999999999</v>
          </cell>
          <cell r="O1597">
            <v>3.2690000000000001</v>
          </cell>
        </row>
        <row r="1598">
          <cell r="E1598" t="str">
            <v>BUS</v>
          </cell>
          <cell r="F1598" t="str">
            <v xml:space="preserve">BUS-G </v>
          </cell>
          <cell r="G1598">
            <v>350</v>
          </cell>
          <cell r="H1598" t="str">
            <v>BUS-G 350</v>
          </cell>
          <cell r="K1598" t="str">
            <v>Cakirer,Kerem</v>
          </cell>
          <cell r="N1598">
            <v>3.0859999999999999</v>
          </cell>
          <cell r="O1598">
            <v>3.4689999999999999</v>
          </cell>
        </row>
        <row r="1599">
          <cell r="E1599" t="str">
            <v>BUS</v>
          </cell>
          <cell r="F1599" t="str">
            <v xml:space="preserve">BUS-G </v>
          </cell>
          <cell r="G1599">
            <v>350</v>
          </cell>
          <cell r="H1599" t="str">
            <v>BUS-G 350</v>
          </cell>
          <cell r="K1599" t="str">
            <v>De Los Santos,Babur Ivan</v>
          </cell>
          <cell r="N1599">
            <v>3.1789999999999998</v>
          </cell>
          <cell r="O1599">
            <v>3.38</v>
          </cell>
        </row>
        <row r="1600">
          <cell r="E1600" t="str">
            <v>BUS</v>
          </cell>
          <cell r="F1600" t="str">
            <v xml:space="preserve">BUS-G </v>
          </cell>
          <cell r="G1600">
            <v>350</v>
          </cell>
          <cell r="H1600" t="str">
            <v>BUS-G 350</v>
          </cell>
          <cell r="K1600" t="str">
            <v>De Los Santos,Babur Ivan</v>
          </cell>
          <cell r="N1600">
            <v>3.2690000000000001</v>
          </cell>
          <cell r="O1600">
            <v>3.444</v>
          </cell>
        </row>
        <row r="1601">
          <cell r="E1601" t="str">
            <v>BUS</v>
          </cell>
          <cell r="F1601" t="str">
            <v xml:space="preserve">BUS-G </v>
          </cell>
          <cell r="G1601">
            <v>350</v>
          </cell>
          <cell r="H1601" t="str">
            <v>BUS-G 350</v>
          </cell>
          <cell r="K1601" t="str">
            <v>De Los Santos,Babur Ivan</v>
          </cell>
          <cell r="N1601">
            <v>2.9670000000000001</v>
          </cell>
          <cell r="O1601">
            <v>3.4529999999999998</v>
          </cell>
        </row>
        <row r="1602">
          <cell r="E1602" t="str">
            <v>BUS</v>
          </cell>
          <cell r="F1602" t="str">
            <v xml:space="preserve">BUS-G </v>
          </cell>
          <cell r="G1602">
            <v>400</v>
          </cell>
          <cell r="H1602" t="str">
            <v>BUS-G 400</v>
          </cell>
          <cell r="K1602" t="str">
            <v>Baye,Michael Roy</v>
          </cell>
          <cell r="N1602">
            <v>3.3969999999999998</v>
          </cell>
          <cell r="O1602">
            <v>3.4</v>
          </cell>
        </row>
        <row r="1603">
          <cell r="E1603" t="str">
            <v>BUS</v>
          </cell>
          <cell r="F1603" t="str">
            <v xml:space="preserve">BUS-G </v>
          </cell>
          <cell r="G1603">
            <v>400</v>
          </cell>
          <cell r="H1603" t="str">
            <v>BUS-G 400</v>
          </cell>
          <cell r="K1603" t="str">
            <v>Baye,Michael Roy</v>
          </cell>
          <cell r="N1603">
            <v>3.4140000000000001</v>
          </cell>
          <cell r="O1603">
            <v>3.4550000000000001</v>
          </cell>
        </row>
        <row r="1604">
          <cell r="E1604" t="str">
            <v>BUS</v>
          </cell>
          <cell r="F1604" t="str">
            <v xml:space="preserve">BUS-G </v>
          </cell>
          <cell r="G1604">
            <v>400</v>
          </cell>
          <cell r="H1604" t="str">
            <v>BUS-G 400</v>
          </cell>
          <cell r="K1604" t="str">
            <v>Ridlon,Robert W</v>
          </cell>
          <cell r="N1604">
            <v>3.3570000000000002</v>
          </cell>
          <cell r="O1604">
            <v>3.407</v>
          </cell>
        </row>
        <row r="1605">
          <cell r="E1605" t="str">
            <v>BUS</v>
          </cell>
          <cell r="F1605" t="str">
            <v xml:space="preserve">BUS-G </v>
          </cell>
          <cell r="G1605">
            <v>406</v>
          </cell>
          <cell r="H1605" t="str">
            <v>BUS-G 406</v>
          </cell>
          <cell r="K1605" t="str">
            <v>Rasmusen,Eric B.</v>
          </cell>
          <cell r="N1605">
            <v>3.2440000000000002</v>
          </cell>
          <cell r="O1605">
            <v>3.4129999999999998</v>
          </cell>
        </row>
        <row r="1606">
          <cell r="E1606" t="str">
            <v>BUS</v>
          </cell>
          <cell r="F1606" t="str">
            <v xml:space="preserve">BUS-G </v>
          </cell>
          <cell r="G1606">
            <v>406</v>
          </cell>
          <cell r="H1606" t="str">
            <v>BUS-G 406</v>
          </cell>
          <cell r="K1606" t="str">
            <v>Rasmusen,Eric B.</v>
          </cell>
          <cell r="N1606">
            <v>3.27</v>
          </cell>
          <cell r="O1606">
            <v>3.5350000000000001</v>
          </cell>
        </row>
        <row r="1607">
          <cell r="E1607" t="str">
            <v>BUS</v>
          </cell>
          <cell r="F1607" t="str">
            <v xml:space="preserve">BUS-G </v>
          </cell>
          <cell r="G1607">
            <v>456</v>
          </cell>
          <cell r="H1607" t="str">
            <v>BUS-G 456</v>
          </cell>
          <cell r="K1607" t="str">
            <v>Kreft,Steven Francis</v>
          </cell>
          <cell r="N1607">
            <v>3.306</v>
          </cell>
          <cell r="O1607">
            <v>3.4140000000000001</v>
          </cell>
        </row>
        <row r="1608">
          <cell r="E1608" t="str">
            <v>BUS</v>
          </cell>
          <cell r="F1608" t="str">
            <v xml:space="preserve">BUS-G </v>
          </cell>
          <cell r="G1608">
            <v>456</v>
          </cell>
          <cell r="H1608" t="str">
            <v>BUS-G 456</v>
          </cell>
          <cell r="K1608" t="str">
            <v>Kreft,Steven Francis</v>
          </cell>
          <cell r="N1608">
            <v>3.2</v>
          </cell>
          <cell r="O1608">
            <v>3.4340000000000002</v>
          </cell>
        </row>
        <row r="1609">
          <cell r="E1609" t="str">
            <v>BUS</v>
          </cell>
          <cell r="F1609" t="str">
            <v xml:space="preserve">BUS-G </v>
          </cell>
          <cell r="G1609">
            <v>456</v>
          </cell>
          <cell r="H1609" t="str">
            <v>BUS-G 456</v>
          </cell>
          <cell r="K1609" t="str">
            <v>Kreft,Steven Francis</v>
          </cell>
          <cell r="N1609">
            <v>3.3119999999999998</v>
          </cell>
          <cell r="O1609">
            <v>3.4390000000000001</v>
          </cell>
        </row>
        <row r="1610">
          <cell r="E1610" t="str">
            <v>BUS</v>
          </cell>
          <cell r="F1610" t="str">
            <v xml:space="preserve">BUS-G </v>
          </cell>
          <cell r="G1610">
            <v>490</v>
          </cell>
          <cell r="H1610" t="str">
            <v>BUS-G 490</v>
          </cell>
          <cell r="K1610" t="str">
            <v>Hauskrecht,Andreas</v>
          </cell>
          <cell r="N1610" t="str">
            <v>NR</v>
          </cell>
          <cell r="O1610" t="str">
            <v>NR</v>
          </cell>
        </row>
        <row r="1611">
          <cell r="E1611" t="str">
            <v>BUS</v>
          </cell>
          <cell r="F1611" t="str">
            <v xml:space="preserve">BUS-G </v>
          </cell>
          <cell r="G1611">
            <v>492</v>
          </cell>
          <cell r="H1611" t="str">
            <v>BUS-G 492</v>
          </cell>
          <cell r="K1611" t="str">
            <v>Prince,Jeff</v>
          </cell>
          <cell r="N1611">
            <v>3.2189999999999999</v>
          </cell>
          <cell r="O1611">
            <v>3.395</v>
          </cell>
        </row>
        <row r="1612">
          <cell r="E1612" t="str">
            <v>BUS</v>
          </cell>
          <cell r="F1612" t="str">
            <v xml:space="preserve">BUS-G </v>
          </cell>
          <cell r="G1612">
            <v>492</v>
          </cell>
          <cell r="H1612" t="str">
            <v>BUS-G 492</v>
          </cell>
          <cell r="K1612" t="str">
            <v>Prince,Jeff</v>
          </cell>
          <cell r="N1612">
            <v>3.4620000000000002</v>
          </cell>
          <cell r="O1612">
            <v>3.4940000000000002</v>
          </cell>
        </row>
        <row r="1613">
          <cell r="E1613" t="str">
            <v>BUS</v>
          </cell>
          <cell r="F1613" t="str">
            <v xml:space="preserve">BUS-G </v>
          </cell>
          <cell r="G1613">
            <v>492</v>
          </cell>
          <cell r="H1613" t="str">
            <v>BUS-G 492</v>
          </cell>
          <cell r="K1613" t="str">
            <v>Prince,Jeff</v>
          </cell>
          <cell r="N1613">
            <v>3.2269999999999999</v>
          </cell>
          <cell r="O1613">
            <v>3.3980000000000001</v>
          </cell>
        </row>
        <row r="1614">
          <cell r="E1614" t="str">
            <v>BUS</v>
          </cell>
          <cell r="F1614" t="str">
            <v xml:space="preserve">BUS-G </v>
          </cell>
          <cell r="G1614">
            <v>494</v>
          </cell>
          <cell r="H1614" t="str">
            <v>BUS-G 494</v>
          </cell>
          <cell r="K1614" t="str">
            <v>Hauskrecht,Andreas</v>
          </cell>
          <cell r="N1614">
            <v>3.1</v>
          </cell>
          <cell r="O1614">
            <v>3.4369999999999998</v>
          </cell>
        </row>
        <row r="1615">
          <cell r="E1615" t="str">
            <v>BUS</v>
          </cell>
          <cell r="F1615" t="str">
            <v xml:space="preserve">BUS-G </v>
          </cell>
          <cell r="G1615">
            <v>494</v>
          </cell>
          <cell r="H1615" t="str">
            <v>BUS-G 494</v>
          </cell>
          <cell r="K1615" t="str">
            <v>Mafi-Kreft,Ellie</v>
          </cell>
          <cell r="N1615">
            <v>3.36</v>
          </cell>
          <cell r="O1615">
            <v>3.4630000000000001</v>
          </cell>
        </row>
        <row r="1616">
          <cell r="E1616" t="str">
            <v>BUS</v>
          </cell>
          <cell r="F1616" t="str">
            <v xml:space="preserve">BUS-G </v>
          </cell>
          <cell r="G1616">
            <v>540</v>
          </cell>
          <cell r="H1616" t="str">
            <v>BUS-G 540</v>
          </cell>
          <cell r="K1616" t="str">
            <v>Ridlon,Robert W</v>
          </cell>
          <cell r="N1616">
            <v>3.4590000000000001</v>
          </cell>
          <cell r="O1616">
            <v>3.5649999999999999</v>
          </cell>
        </row>
        <row r="1617">
          <cell r="E1617" t="str">
            <v>BUS</v>
          </cell>
          <cell r="F1617" t="str">
            <v xml:space="preserve">BUS-G </v>
          </cell>
          <cell r="G1617">
            <v>570</v>
          </cell>
          <cell r="H1617" t="str">
            <v>BUS-G 570</v>
          </cell>
          <cell r="K1617" t="str">
            <v>Maxwell,John W.</v>
          </cell>
          <cell r="N1617">
            <v>3.53</v>
          </cell>
          <cell r="O1617">
            <v>3.7029999999999998</v>
          </cell>
        </row>
        <row r="1618">
          <cell r="E1618" t="str">
            <v>BUS</v>
          </cell>
          <cell r="F1618" t="str">
            <v xml:space="preserve">BUS-G </v>
          </cell>
          <cell r="G1618">
            <v>570</v>
          </cell>
          <cell r="H1618" t="str">
            <v>BUS-G 570</v>
          </cell>
          <cell r="K1618" t="str">
            <v>Maxwell,John W.</v>
          </cell>
          <cell r="N1618">
            <v>3.5720000000000001</v>
          </cell>
          <cell r="O1618">
            <v>3.617</v>
          </cell>
        </row>
        <row r="1619">
          <cell r="E1619" t="str">
            <v>BUS</v>
          </cell>
          <cell r="F1619" t="str">
            <v xml:space="preserve">BUS-G </v>
          </cell>
          <cell r="G1619">
            <v>574</v>
          </cell>
          <cell r="H1619" t="str">
            <v>BUS-G 574</v>
          </cell>
          <cell r="K1619" t="str">
            <v>Hauskrecht,Andreas</v>
          </cell>
          <cell r="N1619">
            <v>3.6219999999999999</v>
          </cell>
          <cell r="O1619">
            <v>3.5150000000000001</v>
          </cell>
        </row>
        <row r="1620">
          <cell r="E1620" t="str">
            <v>BUS</v>
          </cell>
          <cell r="F1620" t="str">
            <v xml:space="preserve">BUS-G </v>
          </cell>
          <cell r="G1620">
            <v>590</v>
          </cell>
          <cell r="H1620" t="str">
            <v>BUS-G 590</v>
          </cell>
          <cell r="K1620" t="str">
            <v>Maxwell,John W.</v>
          </cell>
          <cell r="N1620" t="str">
            <v>NR</v>
          </cell>
          <cell r="O1620" t="str">
            <v>NR</v>
          </cell>
        </row>
        <row r="1621">
          <cell r="E1621" t="str">
            <v>BUS</v>
          </cell>
          <cell r="F1621" t="str">
            <v xml:space="preserve">BUS-G </v>
          </cell>
          <cell r="G1621">
            <v>593</v>
          </cell>
          <cell r="H1621" t="str">
            <v>BUS-G 593</v>
          </cell>
          <cell r="K1621" t="str">
            <v>Hauskrecht,Andreas</v>
          </cell>
          <cell r="N1621">
            <v>3.7040000000000002</v>
          </cell>
          <cell r="O1621">
            <v>3.5459999999999998</v>
          </cell>
        </row>
        <row r="1622">
          <cell r="E1622" t="str">
            <v>BUS</v>
          </cell>
          <cell r="F1622" t="str">
            <v xml:space="preserve">BUS-G </v>
          </cell>
          <cell r="G1622">
            <v>593</v>
          </cell>
          <cell r="H1622" t="str">
            <v>BUS-G 593</v>
          </cell>
          <cell r="K1622" t="str">
            <v>Stefanescu,Catalin Nicolae</v>
          </cell>
          <cell r="N1622">
            <v>3.488</v>
          </cell>
          <cell r="O1622">
            <v>3.5659999999999998</v>
          </cell>
        </row>
        <row r="1623">
          <cell r="E1623" t="str">
            <v>BUS</v>
          </cell>
          <cell r="F1623" t="str">
            <v xml:space="preserve">BUS-G </v>
          </cell>
          <cell r="G1623">
            <v>651</v>
          </cell>
          <cell r="H1623" t="str">
            <v>BUS-G 651</v>
          </cell>
          <cell r="K1623" t="str">
            <v>Lin,Haizhen</v>
          </cell>
          <cell r="N1623" t="str">
            <v>NR</v>
          </cell>
          <cell r="O1623" t="str">
            <v>NR</v>
          </cell>
        </row>
        <row r="1624">
          <cell r="E1624" t="str">
            <v>BUS</v>
          </cell>
          <cell r="F1624" t="str">
            <v xml:space="preserve">BUS-G </v>
          </cell>
          <cell r="G1624">
            <v>750</v>
          </cell>
          <cell r="H1624" t="str">
            <v>BUS-G 750</v>
          </cell>
          <cell r="K1624" t="str">
            <v>Rauh,Michael Thomas</v>
          </cell>
          <cell r="N1624">
            <v>3.7669999999999999</v>
          </cell>
          <cell r="O1624">
            <v>3.69</v>
          </cell>
        </row>
        <row r="1625">
          <cell r="E1625" t="str">
            <v>BUS</v>
          </cell>
          <cell r="F1625" t="str">
            <v xml:space="preserve">BUS-G </v>
          </cell>
          <cell r="G1625">
            <v>751</v>
          </cell>
          <cell r="H1625" t="str">
            <v>BUS-G 751</v>
          </cell>
          <cell r="K1625" t="str">
            <v>Rasmusen,Eric B.</v>
          </cell>
          <cell r="N1625">
            <v>3.645</v>
          </cell>
          <cell r="O1625">
            <v>3.5880000000000001</v>
          </cell>
        </row>
        <row r="1626">
          <cell r="E1626" t="str">
            <v>BUS</v>
          </cell>
          <cell r="F1626" t="str">
            <v xml:space="preserve">BUS-G </v>
          </cell>
          <cell r="G1626">
            <v>752</v>
          </cell>
          <cell r="H1626" t="str">
            <v>BUS-G 752</v>
          </cell>
          <cell r="K1626" t="str">
            <v>Harbaugh,Rick</v>
          </cell>
          <cell r="N1626">
            <v>3.7080000000000002</v>
          </cell>
          <cell r="O1626">
            <v>3.6429999999999998</v>
          </cell>
        </row>
        <row r="1627">
          <cell r="E1627" t="str">
            <v>BUS</v>
          </cell>
          <cell r="F1627" t="str">
            <v xml:space="preserve">BUS-G </v>
          </cell>
          <cell r="G1627">
            <v>901</v>
          </cell>
          <cell r="H1627" t="str">
            <v>BUS-G 901</v>
          </cell>
          <cell r="K1627" t="str">
            <v>Bretthauer,Kurt Michael</v>
          </cell>
          <cell r="N1627" t="str">
            <v>NR</v>
          </cell>
          <cell r="O1627" t="str">
            <v>NR</v>
          </cell>
        </row>
        <row r="1628">
          <cell r="E1628" t="str">
            <v>BUS</v>
          </cell>
          <cell r="F1628" t="str">
            <v xml:space="preserve">BUS-G </v>
          </cell>
          <cell r="G1628">
            <v>901</v>
          </cell>
          <cell r="H1628" t="str">
            <v>BUS-G 901</v>
          </cell>
          <cell r="K1628" t="str">
            <v>Massey,Anne P.</v>
          </cell>
          <cell r="N1628" t="str">
            <v>NR</v>
          </cell>
          <cell r="O1628" t="str">
            <v>NR</v>
          </cell>
        </row>
        <row r="1629">
          <cell r="E1629" t="str">
            <v>BUS</v>
          </cell>
          <cell r="F1629" t="str">
            <v xml:space="preserve">BUS-I </v>
          </cell>
          <cell r="G1629">
            <v>304</v>
          </cell>
          <cell r="H1629" t="str">
            <v>BUS-I 304</v>
          </cell>
          <cell r="K1629" t="str">
            <v>Jacobs,F. Robert</v>
          </cell>
          <cell r="N1629">
            <v>3.8639999999999999</v>
          </cell>
          <cell r="O1629">
            <v>3.827</v>
          </cell>
        </row>
        <row r="1630">
          <cell r="E1630" t="str">
            <v>BUS</v>
          </cell>
          <cell r="F1630" t="str">
            <v xml:space="preserve">BUS-I </v>
          </cell>
          <cell r="G1630">
            <v>304</v>
          </cell>
          <cell r="H1630" t="str">
            <v>BUS-I 304</v>
          </cell>
          <cell r="K1630" t="str">
            <v>Jacobs,F. Robert</v>
          </cell>
          <cell r="N1630">
            <v>3.8690000000000002</v>
          </cell>
          <cell r="O1630">
            <v>3.8260000000000001</v>
          </cell>
        </row>
        <row r="1631">
          <cell r="E1631" t="str">
            <v>BUS</v>
          </cell>
          <cell r="F1631" t="str">
            <v xml:space="preserve">BUS-I </v>
          </cell>
          <cell r="G1631">
            <v>304</v>
          </cell>
          <cell r="H1631" t="str">
            <v>BUS-I 304</v>
          </cell>
          <cell r="K1631" t="str">
            <v>Jacobs,F. Robert</v>
          </cell>
          <cell r="N1631">
            <v>3.7610000000000001</v>
          </cell>
          <cell r="O1631">
            <v>3.78</v>
          </cell>
        </row>
        <row r="1632">
          <cell r="E1632" t="str">
            <v>BUS</v>
          </cell>
          <cell r="F1632" t="str">
            <v xml:space="preserve">BUS-I </v>
          </cell>
          <cell r="G1632">
            <v>370</v>
          </cell>
          <cell r="H1632" t="str">
            <v>BUS-I 370</v>
          </cell>
          <cell r="K1632" t="str">
            <v>Cutshall,Rex R.</v>
          </cell>
          <cell r="N1632">
            <v>3.625</v>
          </cell>
          <cell r="O1632">
            <v>3.3450000000000002</v>
          </cell>
        </row>
        <row r="1633">
          <cell r="E1633" t="str">
            <v>BUS</v>
          </cell>
          <cell r="F1633" t="str">
            <v xml:space="preserve">BUS-I </v>
          </cell>
          <cell r="G1633">
            <v>370</v>
          </cell>
          <cell r="H1633" t="str">
            <v>BUS-I 370</v>
          </cell>
          <cell r="K1633" t="str">
            <v>Cutshall,Rex R.</v>
          </cell>
          <cell r="N1633">
            <v>3.6339999999999999</v>
          </cell>
          <cell r="O1633">
            <v>3.3570000000000002</v>
          </cell>
        </row>
        <row r="1634">
          <cell r="E1634" t="str">
            <v>BUS</v>
          </cell>
          <cell r="F1634" t="str">
            <v xml:space="preserve">BUS-I </v>
          </cell>
          <cell r="G1634">
            <v>370</v>
          </cell>
          <cell r="H1634" t="str">
            <v>BUS-I 370</v>
          </cell>
          <cell r="K1634" t="str">
            <v>Cutshall,Rex R.</v>
          </cell>
          <cell r="N1634">
            <v>3.5379999999999998</v>
          </cell>
          <cell r="O1634">
            <v>3.214</v>
          </cell>
        </row>
        <row r="1635">
          <cell r="E1635" t="str">
            <v>BUS</v>
          </cell>
          <cell r="F1635" t="str">
            <v xml:space="preserve">BUS-I </v>
          </cell>
          <cell r="G1635">
            <v>370</v>
          </cell>
          <cell r="H1635" t="str">
            <v>BUS-I 370</v>
          </cell>
          <cell r="K1635" t="str">
            <v>Cutshall,Rex R.</v>
          </cell>
          <cell r="N1635">
            <v>3.597</v>
          </cell>
          <cell r="O1635">
            <v>3.3719999999999999</v>
          </cell>
        </row>
        <row r="1636">
          <cell r="E1636" t="str">
            <v>BUS</v>
          </cell>
          <cell r="F1636" t="str">
            <v xml:space="preserve">BUS-I </v>
          </cell>
          <cell r="G1636">
            <v>370</v>
          </cell>
          <cell r="H1636" t="str">
            <v>BUS-I 370</v>
          </cell>
          <cell r="K1636" t="str">
            <v>Cutshall,Rex R.</v>
          </cell>
          <cell r="N1636">
            <v>3.5139999999999998</v>
          </cell>
          <cell r="O1636">
            <v>3.387</v>
          </cell>
        </row>
        <row r="1637">
          <cell r="E1637" t="str">
            <v>BUS</v>
          </cell>
          <cell r="F1637" t="str">
            <v xml:space="preserve">BUS-I </v>
          </cell>
          <cell r="G1637">
            <v>370</v>
          </cell>
          <cell r="H1637" t="str">
            <v>BUS-I 370</v>
          </cell>
          <cell r="K1637" t="str">
            <v>Cutshall,Rex R.</v>
          </cell>
          <cell r="N1637">
            <v>3.5369999999999999</v>
          </cell>
          <cell r="O1637">
            <v>3.3660000000000001</v>
          </cell>
        </row>
        <row r="1638">
          <cell r="E1638" t="str">
            <v>BUS</v>
          </cell>
          <cell r="F1638" t="str">
            <v xml:space="preserve">BUS-I </v>
          </cell>
          <cell r="G1638">
            <v>370</v>
          </cell>
          <cell r="H1638" t="str">
            <v>BUS-I 370</v>
          </cell>
          <cell r="K1638" t="str">
            <v>Cutshall,Rex R.</v>
          </cell>
          <cell r="N1638">
            <v>3.7450000000000001</v>
          </cell>
          <cell r="O1638">
            <v>3.319</v>
          </cell>
        </row>
        <row r="1639">
          <cell r="E1639" t="str">
            <v>BUS</v>
          </cell>
          <cell r="F1639" t="str">
            <v xml:space="preserve">BUS-I </v>
          </cell>
          <cell r="G1639">
            <v>370</v>
          </cell>
          <cell r="H1639" t="str">
            <v>BUS-I 370</v>
          </cell>
          <cell r="K1639" t="str">
            <v>Cutshall,Rex R.</v>
          </cell>
          <cell r="N1639">
            <v>3.7160000000000002</v>
          </cell>
          <cell r="O1639">
            <v>3.2879999999999998</v>
          </cell>
        </row>
        <row r="1640">
          <cell r="E1640" t="str">
            <v>BUS</v>
          </cell>
          <cell r="F1640" t="str">
            <v xml:space="preserve">BUS-I </v>
          </cell>
          <cell r="G1640">
            <v>501</v>
          </cell>
          <cell r="H1640" t="str">
            <v>BUS-I 501</v>
          </cell>
          <cell r="K1640" t="str">
            <v>Gerth,Tony</v>
          </cell>
          <cell r="N1640" t="str">
            <v>NR</v>
          </cell>
          <cell r="O1640" t="str">
            <v>NR</v>
          </cell>
        </row>
        <row r="1641">
          <cell r="E1641" t="str">
            <v>BUS</v>
          </cell>
          <cell r="F1641" t="str">
            <v xml:space="preserve">BUS-I </v>
          </cell>
          <cell r="G1641">
            <v>501</v>
          </cell>
          <cell r="H1641" t="str">
            <v>BUS-I 501</v>
          </cell>
          <cell r="K1641" t="str">
            <v>Lopes,Alexandre Barsi</v>
          </cell>
          <cell r="N1641" t="str">
            <v>NR</v>
          </cell>
          <cell r="O1641" t="str">
            <v>NR</v>
          </cell>
        </row>
        <row r="1642">
          <cell r="E1642" t="str">
            <v>BUS</v>
          </cell>
          <cell r="F1642" t="str">
            <v xml:space="preserve">BUS-I </v>
          </cell>
          <cell r="G1642">
            <v>501</v>
          </cell>
          <cell r="H1642" t="str">
            <v>BUS-I 501</v>
          </cell>
          <cell r="K1642" t="str">
            <v>Lopes,Alexandre Barsi</v>
          </cell>
          <cell r="N1642" t="str">
            <v>NR</v>
          </cell>
          <cell r="O1642" t="str">
            <v>NR</v>
          </cell>
        </row>
        <row r="1643">
          <cell r="E1643" t="str">
            <v>BUS</v>
          </cell>
          <cell r="F1643" t="str">
            <v xml:space="preserve">BUS-I </v>
          </cell>
          <cell r="G1643">
            <v>512</v>
          </cell>
          <cell r="H1643" t="str">
            <v>BUS-I 512</v>
          </cell>
          <cell r="K1643" t="str">
            <v>Hauskrecht,Andreas</v>
          </cell>
          <cell r="N1643" t="str">
            <v>NR</v>
          </cell>
          <cell r="O1643" t="str">
            <v>NR</v>
          </cell>
        </row>
        <row r="1644">
          <cell r="E1644" t="str">
            <v>BUS</v>
          </cell>
          <cell r="F1644" t="str">
            <v xml:space="preserve">BUS-I </v>
          </cell>
          <cell r="G1644">
            <v>513</v>
          </cell>
          <cell r="H1644" t="str">
            <v>BUS-I 513</v>
          </cell>
          <cell r="K1644" t="str">
            <v>Cochran,Philip L.</v>
          </cell>
          <cell r="N1644" t="str">
            <v>NR</v>
          </cell>
          <cell r="O1644" t="str">
            <v>NR</v>
          </cell>
        </row>
        <row r="1645">
          <cell r="E1645" t="str">
            <v>BUS</v>
          </cell>
          <cell r="F1645" t="str">
            <v xml:space="preserve">BUS-I </v>
          </cell>
          <cell r="G1645">
            <v>513</v>
          </cell>
          <cell r="H1645" t="str">
            <v>BUS-I 513</v>
          </cell>
          <cell r="K1645" t="str">
            <v>Cochran,Philip L.</v>
          </cell>
          <cell r="N1645" t="str">
            <v>NR</v>
          </cell>
          <cell r="O1645" t="str">
            <v>NR</v>
          </cell>
        </row>
        <row r="1646">
          <cell r="E1646" t="str">
            <v>BUS</v>
          </cell>
          <cell r="F1646" t="str">
            <v xml:space="preserve">BUS-I </v>
          </cell>
          <cell r="G1646">
            <v>513</v>
          </cell>
          <cell r="H1646" t="str">
            <v>BUS-I 513</v>
          </cell>
          <cell r="K1646" t="str">
            <v>Denekamp,Johannes G</v>
          </cell>
          <cell r="N1646" t="str">
            <v>NR</v>
          </cell>
          <cell r="O1646" t="str">
            <v>NR</v>
          </cell>
        </row>
        <row r="1647">
          <cell r="E1647" t="str">
            <v>BUS</v>
          </cell>
          <cell r="F1647" t="str">
            <v xml:space="preserve">BUS-I </v>
          </cell>
          <cell r="G1647">
            <v>514</v>
          </cell>
          <cell r="H1647" t="str">
            <v>BUS-I 514</v>
          </cell>
          <cell r="K1647" t="str">
            <v>Saxton,Todd</v>
          </cell>
          <cell r="N1647" t="str">
            <v>NR</v>
          </cell>
          <cell r="O1647" t="str">
            <v>NR</v>
          </cell>
        </row>
        <row r="1648">
          <cell r="E1648" t="str">
            <v>BUS</v>
          </cell>
          <cell r="F1648" t="str">
            <v xml:space="preserve">BUS-I </v>
          </cell>
          <cell r="G1648">
            <v>516</v>
          </cell>
          <cell r="H1648" t="str">
            <v>BUS-I 516</v>
          </cell>
          <cell r="K1648" t="str">
            <v>Maxwell,John W.</v>
          </cell>
          <cell r="N1648" t="str">
            <v>NR</v>
          </cell>
          <cell r="O1648" t="str">
            <v>NR</v>
          </cell>
        </row>
        <row r="1649">
          <cell r="E1649" t="str">
            <v>BUS</v>
          </cell>
          <cell r="F1649" t="str">
            <v xml:space="preserve">BUS-I </v>
          </cell>
          <cell r="G1649">
            <v>521</v>
          </cell>
          <cell r="H1649" t="str">
            <v>BUS-I 521</v>
          </cell>
          <cell r="K1649" t="str">
            <v>Blocher,James D</v>
          </cell>
          <cell r="N1649" t="str">
            <v>NR</v>
          </cell>
          <cell r="O1649" t="str">
            <v>NR</v>
          </cell>
        </row>
        <row r="1650">
          <cell r="E1650" t="str">
            <v>BUS</v>
          </cell>
          <cell r="F1650" t="str">
            <v xml:space="preserve">BUS-I </v>
          </cell>
          <cell r="G1650">
            <v>523</v>
          </cell>
          <cell r="H1650" t="str">
            <v>BUS-I 523</v>
          </cell>
          <cell r="K1650" t="str">
            <v>Briggs,Carl M</v>
          </cell>
          <cell r="N1650" t="str">
            <v>NR</v>
          </cell>
          <cell r="O1650" t="str">
            <v>NR</v>
          </cell>
        </row>
        <row r="1651">
          <cell r="E1651" t="str">
            <v>BUS</v>
          </cell>
          <cell r="F1651" t="str">
            <v xml:space="preserve">BUS-I </v>
          </cell>
          <cell r="G1651">
            <v>524</v>
          </cell>
          <cell r="H1651" t="str">
            <v>BUS-I 524</v>
          </cell>
          <cell r="K1651" t="str">
            <v>Blocher,James D</v>
          </cell>
          <cell r="N1651" t="str">
            <v>NR</v>
          </cell>
          <cell r="O1651" t="str">
            <v>NR</v>
          </cell>
        </row>
        <row r="1652">
          <cell r="E1652" t="str">
            <v>BUS</v>
          </cell>
          <cell r="F1652" t="str">
            <v xml:space="preserve">BUS-I </v>
          </cell>
          <cell r="G1652">
            <v>525</v>
          </cell>
          <cell r="H1652" t="str">
            <v>BUS-I 525</v>
          </cell>
          <cell r="K1652" t="str">
            <v>Pedraza Martinez,Alfonso</v>
          </cell>
          <cell r="N1652" t="str">
            <v>NR</v>
          </cell>
          <cell r="O1652" t="str">
            <v>NR</v>
          </cell>
        </row>
        <row r="1653">
          <cell r="E1653" t="str">
            <v>BUS</v>
          </cell>
          <cell r="F1653" t="str">
            <v xml:space="preserve">BUS-I </v>
          </cell>
          <cell r="G1653">
            <v>531</v>
          </cell>
          <cell r="H1653" t="str">
            <v>BUS-I 531</v>
          </cell>
          <cell r="K1653" t="str">
            <v>Saxton,Todd</v>
          </cell>
          <cell r="N1653" t="str">
            <v>NR</v>
          </cell>
          <cell r="O1653" t="str">
            <v>NR</v>
          </cell>
        </row>
        <row r="1654">
          <cell r="E1654" t="str">
            <v>BUS</v>
          </cell>
          <cell r="F1654" t="str">
            <v xml:space="preserve">BUS-I </v>
          </cell>
          <cell r="G1654">
            <v>538</v>
          </cell>
          <cell r="H1654" t="str">
            <v>BUS-I 538</v>
          </cell>
          <cell r="K1654" t="str">
            <v>Hauskrecht,Andreas</v>
          </cell>
          <cell r="N1654" t="str">
            <v>NR</v>
          </cell>
          <cell r="O1654" t="str">
            <v>NR</v>
          </cell>
        </row>
        <row r="1655">
          <cell r="E1655" t="str">
            <v>BUS</v>
          </cell>
          <cell r="F1655" t="str">
            <v xml:space="preserve">BUS-I </v>
          </cell>
          <cell r="G1655">
            <v>543</v>
          </cell>
          <cell r="H1655" t="str">
            <v>BUS-I 543</v>
          </cell>
          <cell r="K1655" t="str">
            <v>Soni,Ashok</v>
          </cell>
          <cell r="N1655">
            <v>3.6440000000000001</v>
          </cell>
          <cell r="O1655">
            <v>3.746</v>
          </cell>
        </row>
        <row r="1656">
          <cell r="E1656" t="str">
            <v>BUS</v>
          </cell>
          <cell r="F1656" t="str">
            <v xml:space="preserve">BUS-I </v>
          </cell>
          <cell r="G1656">
            <v>543</v>
          </cell>
          <cell r="H1656" t="str">
            <v>BUS-I 543</v>
          </cell>
          <cell r="K1656" t="str">
            <v>Soni,Ashok</v>
          </cell>
          <cell r="N1656" t="str">
            <v>NR</v>
          </cell>
          <cell r="O1656" t="str">
            <v>NR</v>
          </cell>
        </row>
        <row r="1657">
          <cell r="E1657" t="str">
            <v>BUS</v>
          </cell>
          <cell r="F1657" t="str">
            <v xml:space="preserve">BUS-I </v>
          </cell>
          <cell r="G1657">
            <v>545</v>
          </cell>
          <cell r="H1657" t="str">
            <v>BUS-I 545</v>
          </cell>
          <cell r="K1657" t="str">
            <v>Kreft,Steven Francis</v>
          </cell>
          <cell r="N1657" t="str">
            <v>NR</v>
          </cell>
          <cell r="O1657" t="str">
            <v>NR</v>
          </cell>
        </row>
        <row r="1658">
          <cell r="E1658" t="str">
            <v>BUS</v>
          </cell>
          <cell r="F1658" t="str">
            <v xml:space="preserve">BUS-I </v>
          </cell>
          <cell r="G1658">
            <v>545</v>
          </cell>
          <cell r="H1658" t="str">
            <v>BUS-I 545</v>
          </cell>
          <cell r="K1658" t="str">
            <v>Mafi-Kreft,Ellie</v>
          </cell>
          <cell r="N1658" t="str">
            <v>NR</v>
          </cell>
          <cell r="O1658" t="str">
            <v>NR</v>
          </cell>
        </row>
        <row r="1659">
          <cell r="E1659" t="str">
            <v>BUS</v>
          </cell>
          <cell r="F1659" t="str">
            <v xml:space="preserve">BUS-I </v>
          </cell>
          <cell r="G1659">
            <v>547</v>
          </cell>
          <cell r="H1659" t="str">
            <v>BUS-I 547</v>
          </cell>
          <cell r="K1659" t="str">
            <v>Talbott,John S</v>
          </cell>
          <cell r="N1659" t="str">
            <v>NR</v>
          </cell>
          <cell r="O1659" t="str">
            <v>NR</v>
          </cell>
        </row>
        <row r="1660">
          <cell r="E1660" t="str">
            <v>BUS</v>
          </cell>
          <cell r="F1660" t="str">
            <v xml:space="preserve">BUS-I </v>
          </cell>
          <cell r="G1660">
            <v>570</v>
          </cell>
          <cell r="H1660" t="str">
            <v>BUS-I 570</v>
          </cell>
          <cell r="K1660" t="str">
            <v>Prabhakar,Bipin</v>
          </cell>
          <cell r="N1660" t="str">
            <v>NR</v>
          </cell>
          <cell r="O1660" t="str">
            <v>NR</v>
          </cell>
        </row>
        <row r="1661">
          <cell r="E1661" t="str">
            <v>BUS</v>
          </cell>
          <cell r="F1661" t="str">
            <v xml:space="preserve">BUS-I </v>
          </cell>
          <cell r="G1661">
            <v>570</v>
          </cell>
          <cell r="H1661" t="str">
            <v>BUS-I 570</v>
          </cell>
          <cell r="K1661" t="str">
            <v>Venkataraman,Ramesh</v>
          </cell>
          <cell r="N1661" t="str">
            <v>NR</v>
          </cell>
          <cell r="O1661" t="str">
            <v>NR</v>
          </cell>
        </row>
        <row r="1662">
          <cell r="E1662" t="str">
            <v>BUS</v>
          </cell>
          <cell r="F1662" t="str">
            <v xml:space="preserve">BUS-I </v>
          </cell>
          <cell r="G1662">
            <v>572</v>
          </cell>
          <cell r="H1662" t="str">
            <v>BUS-I 572</v>
          </cell>
          <cell r="K1662" t="str">
            <v>Lemper,Tim</v>
          </cell>
          <cell r="N1662" t="str">
            <v>NR</v>
          </cell>
          <cell r="O1662" t="str">
            <v>NR</v>
          </cell>
        </row>
        <row r="1663">
          <cell r="E1663" t="str">
            <v>BUS</v>
          </cell>
          <cell r="F1663" t="str">
            <v xml:space="preserve">BUS-I </v>
          </cell>
          <cell r="G1663">
            <v>573</v>
          </cell>
          <cell r="H1663" t="str">
            <v>BUS-I 573</v>
          </cell>
          <cell r="K1663" t="str">
            <v>Newquist,Jay D.</v>
          </cell>
          <cell r="N1663">
            <v>4</v>
          </cell>
          <cell r="O1663">
            <v>3.6440000000000001</v>
          </cell>
        </row>
        <row r="1664">
          <cell r="E1664" t="str">
            <v>BUS</v>
          </cell>
          <cell r="F1664" t="str">
            <v xml:space="preserve">BUS-I </v>
          </cell>
          <cell r="G1664">
            <v>574</v>
          </cell>
          <cell r="H1664" t="str">
            <v>BUS-I 574</v>
          </cell>
          <cell r="K1664" t="str">
            <v>Acito,Franklin</v>
          </cell>
          <cell r="N1664" t="str">
            <v>NR</v>
          </cell>
          <cell r="O1664" t="str">
            <v>NR</v>
          </cell>
        </row>
        <row r="1665">
          <cell r="E1665" t="str">
            <v>BUS</v>
          </cell>
          <cell r="F1665" t="str">
            <v xml:space="preserve">BUS-I </v>
          </cell>
          <cell r="G1665">
            <v>574</v>
          </cell>
          <cell r="H1665" t="str">
            <v>BUS-I 574</v>
          </cell>
          <cell r="K1665" t="str">
            <v>Kreft,Steven Francis</v>
          </cell>
          <cell r="N1665" t="str">
            <v>NR</v>
          </cell>
          <cell r="O1665" t="str">
            <v>NR</v>
          </cell>
        </row>
        <row r="1666">
          <cell r="E1666" t="str">
            <v>BUS</v>
          </cell>
          <cell r="F1666" t="str">
            <v xml:space="preserve">BUS-I </v>
          </cell>
          <cell r="G1666">
            <v>575</v>
          </cell>
          <cell r="H1666" t="str">
            <v>BUS-I 575</v>
          </cell>
          <cell r="K1666" t="str">
            <v>Spar,Daniel Lawrence</v>
          </cell>
          <cell r="N1666">
            <v>4</v>
          </cell>
          <cell r="O1666">
            <v>3.7559999999999998</v>
          </cell>
        </row>
        <row r="1667">
          <cell r="E1667" t="str">
            <v>BUS</v>
          </cell>
          <cell r="F1667" t="str">
            <v xml:space="preserve">BUS-I </v>
          </cell>
          <cell r="G1667">
            <v>576</v>
          </cell>
          <cell r="H1667" t="str">
            <v>BUS-I 576</v>
          </cell>
          <cell r="K1667" t="str">
            <v>Prabhakar,Bipin</v>
          </cell>
          <cell r="N1667" t="str">
            <v>NR</v>
          </cell>
          <cell r="O1667" t="str">
            <v>NR</v>
          </cell>
        </row>
        <row r="1668">
          <cell r="E1668" t="str">
            <v>BUS</v>
          </cell>
          <cell r="F1668" t="str">
            <v xml:space="preserve">BUS-I </v>
          </cell>
          <cell r="G1668">
            <v>576</v>
          </cell>
          <cell r="H1668" t="str">
            <v>BUS-I 576</v>
          </cell>
          <cell r="K1668" t="str">
            <v>Venkataraman,Ramesh</v>
          </cell>
          <cell r="N1668" t="str">
            <v>NR</v>
          </cell>
          <cell r="O1668" t="str">
            <v>NR</v>
          </cell>
        </row>
        <row r="1669">
          <cell r="E1669" t="str">
            <v>BUS</v>
          </cell>
          <cell r="F1669" t="str">
            <v xml:space="preserve">BUS-J </v>
          </cell>
          <cell r="G1669">
            <v>304</v>
          </cell>
          <cell r="H1669" t="str">
            <v>BUS-J 304</v>
          </cell>
          <cell r="K1669" t="str">
            <v>Miller,Toyah L</v>
          </cell>
          <cell r="N1669">
            <v>3.74</v>
          </cell>
          <cell r="O1669">
            <v>3.827</v>
          </cell>
        </row>
        <row r="1670">
          <cell r="E1670" t="str">
            <v>BUS</v>
          </cell>
          <cell r="F1670" t="str">
            <v xml:space="preserve">BUS-J </v>
          </cell>
          <cell r="G1670">
            <v>304</v>
          </cell>
          <cell r="H1670" t="str">
            <v>BUS-J 304</v>
          </cell>
          <cell r="K1670" t="str">
            <v>Miller,Toyah L</v>
          </cell>
          <cell r="N1670">
            <v>3.843</v>
          </cell>
          <cell r="O1670">
            <v>3.8260000000000001</v>
          </cell>
        </row>
        <row r="1671">
          <cell r="E1671" t="str">
            <v>BUS</v>
          </cell>
          <cell r="F1671" t="str">
            <v xml:space="preserve">BUS-J </v>
          </cell>
          <cell r="G1671">
            <v>304</v>
          </cell>
          <cell r="H1671" t="str">
            <v>BUS-J 304</v>
          </cell>
          <cell r="K1671" t="str">
            <v>Miller,Toyah L</v>
          </cell>
          <cell r="N1671">
            <v>3.641</v>
          </cell>
          <cell r="O1671">
            <v>3.78</v>
          </cell>
        </row>
        <row r="1672">
          <cell r="E1672" t="str">
            <v>BUS</v>
          </cell>
          <cell r="F1672" t="str">
            <v xml:space="preserve">BUS-J </v>
          </cell>
          <cell r="G1672">
            <v>306</v>
          </cell>
          <cell r="H1672" t="str">
            <v>BUS-J 306</v>
          </cell>
          <cell r="K1672" t="str">
            <v>House,Jenny Marie</v>
          </cell>
          <cell r="N1672">
            <v>3.4249999999999998</v>
          </cell>
          <cell r="O1672">
            <v>3.1930000000000001</v>
          </cell>
        </row>
        <row r="1673">
          <cell r="E1673" t="str">
            <v>BUS</v>
          </cell>
          <cell r="F1673" t="str">
            <v xml:space="preserve">BUS-J </v>
          </cell>
          <cell r="G1673">
            <v>306</v>
          </cell>
          <cell r="H1673" t="str">
            <v>BUS-J 306</v>
          </cell>
          <cell r="K1673" t="str">
            <v>House,Jenny Marie</v>
          </cell>
          <cell r="N1673">
            <v>2.952</v>
          </cell>
          <cell r="O1673">
            <v>3.008</v>
          </cell>
        </row>
        <row r="1674">
          <cell r="E1674" t="str">
            <v>BUS</v>
          </cell>
          <cell r="F1674" t="str">
            <v xml:space="preserve">BUS-J </v>
          </cell>
          <cell r="G1674">
            <v>306</v>
          </cell>
          <cell r="H1674" t="str">
            <v>BUS-J 306</v>
          </cell>
          <cell r="K1674" t="str">
            <v>Miller,Toyah L</v>
          </cell>
          <cell r="N1674">
            <v>3.44</v>
          </cell>
          <cell r="O1674">
            <v>3.161</v>
          </cell>
        </row>
        <row r="1675">
          <cell r="E1675" t="str">
            <v>BUS</v>
          </cell>
          <cell r="F1675" t="str">
            <v xml:space="preserve">BUS-J </v>
          </cell>
          <cell r="G1675">
            <v>306</v>
          </cell>
          <cell r="H1675" t="str">
            <v>BUS-J 306</v>
          </cell>
          <cell r="K1675" t="str">
            <v>Rubinstein,David</v>
          </cell>
          <cell r="N1675">
            <v>3.2029999999999998</v>
          </cell>
          <cell r="O1675">
            <v>3.044</v>
          </cell>
        </row>
        <row r="1676">
          <cell r="E1676" t="str">
            <v>BUS</v>
          </cell>
          <cell r="F1676" t="str">
            <v xml:space="preserve">BUS-J </v>
          </cell>
          <cell r="G1676">
            <v>370</v>
          </cell>
          <cell r="H1676" t="str">
            <v>BUS-J 370</v>
          </cell>
          <cell r="K1676" t="str">
            <v>Major,David Lanier</v>
          </cell>
          <cell r="N1676">
            <v>3.2330000000000001</v>
          </cell>
          <cell r="O1676">
            <v>3.3719999999999999</v>
          </cell>
        </row>
        <row r="1677">
          <cell r="E1677" t="str">
            <v>BUS</v>
          </cell>
          <cell r="F1677" t="str">
            <v xml:space="preserve">BUS-J </v>
          </cell>
          <cell r="G1677">
            <v>370</v>
          </cell>
          <cell r="H1677" t="str">
            <v>BUS-J 370</v>
          </cell>
          <cell r="K1677" t="str">
            <v>Major,David Lanier</v>
          </cell>
          <cell r="N1677">
            <v>3.177</v>
          </cell>
          <cell r="O1677">
            <v>3.387</v>
          </cell>
        </row>
        <row r="1678">
          <cell r="E1678" t="str">
            <v>BUS</v>
          </cell>
          <cell r="F1678" t="str">
            <v xml:space="preserve">BUS-J </v>
          </cell>
          <cell r="G1678">
            <v>370</v>
          </cell>
          <cell r="H1678" t="str">
            <v>BUS-J 370</v>
          </cell>
          <cell r="K1678" t="str">
            <v>Major,David Lanier</v>
          </cell>
          <cell r="N1678">
            <v>3.302</v>
          </cell>
          <cell r="O1678">
            <v>3.3660000000000001</v>
          </cell>
        </row>
        <row r="1679">
          <cell r="E1679" t="str">
            <v>BUS</v>
          </cell>
          <cell r="F1679" t="str">
            <v xml:space="preserve">BUS-J </v>
          </cell>
          <cell r="G1679">
            <v>370</v>
          </cell>
          <cell r="H1679" t="str">
            <v>BUS-J 370</v>
          </cell>
          <cell r="K1679" t="str">
            <v>Wiethoff,Carolyn Marie</v>
          </cell>
          <cell r="N1679">
            <v>3.274</v>
          </cell>
          <cell r="O1679">
            <v>3.3450000000000002</v>
          </cell>
        </row>
        <row r="1680">
          <cell r="E1680" t="str">
            <v>BUS</v>
          </cell>
          <cell r="F1680" t="str">
            <v xml:space="preserve">BUS-J </v>
          </cell>
          <cell r="G1680">
            <v>370</v>
          </cell>
          <cell r="H1680" t="str">
            <v>BUS-J 370</v>
          </cell>
          <cell r="K1680" t="str">
            <v>Wiethoff,Carolyn Marie</v>
          </cell>
          <cell r="N1680">
            <v>3.222</v>
          </cell>
          <cell r="O1680">
            <v>3.3570000000000002</v>
          </cell>
        </row>
        <row r="1681">
          <cell r="E1681" t="str">
            <v>BUS</v>
          </cell>
          <cell r="F1681" t="str">
            <v xml:space="preserve">BUS-J </v>
          </cell>
          <cell r="G1681">
            <v>370</v>
          </cell>
          <cell r="H1681" t="str">
            <v>BUS-J 370</v>
          </cell>
          <cell r="K1681" t="str">
            <v>Wiethoff,Carolyn Marie</v>
          </cell>
          <cell r="N1681">
            <v>3.1960000000000002</v>
          </cell>
          <cell r="O1681">
            <v>3.2080000000000002</v>
          </cell>
        </row>
        <row r="1682">
          <cell r="E1682" t="str">
            <v>BUS</v>
          </cell>
          <cell r="F1682" t="str">
            <v xml:space="preserve">BUS-J </v>
          </cell>
          <cell r="G1682">
            <v>370</v>
          </cell>
          <cell r="H1682" t="str">
            <v>BUS-J 370</v>
          </cell>
          <cell r="K1682" t="str">
            <v>Wiethoff,Carolyn Marie</v>
          </cell>
          <cell r="N1682">
            <v>3.2090000000000001</v>
          </cell>
          <cell r="O1682">
            <v>3.28</v>
          </cell>
        </row>
        <row r="1683">
          <cell r="E1683" t="str">
            <v>BUS</v>
          </cell>
          <cell r="F1683" t="str">
            <v xml:space="preserve">BUS-J </v>
          </cell>
          <cell r="G1683">
            <v>370</v>
          </cell>
          <cell r="H1683" t="str">
            <v>BUS-J 370</v>
          </cell>
          <cell r="K1683" t="str">
            <v>Wiethoff,Carolyn Marie</v>
          </cell>
          <cell r="N1683">
            <v>3.2050000000000001</v>
          </cell>
          <cell r="O1683">
            <v>3.274</v>
          </cell>
        </row>
        <row r="1684">
          <cell r="E1684" t="str">
            <v>BUS</v>
          </cell>
          <cell r="F1684" t="str">
            <v xml:space="preserve">BUS-J </v>
          </cell>
          <cell r="G1684">
            <v>411</v>
          </cell>
          <cell r="H1684" t="str">
            <v>BUS-J 411</v>
          </cell>
          <cell r="K1684" t="str">
            <v>Krause,Ryan Adam</v>
          </cell>
          <cell r="N1684">
            <v>3.7469999999999999</v>
          </cell>
          <cell r="O1684">
            <v>3.2749999999999999</v>
          </cell>
        </row>
        <row r="1685">
          <cell r="E1685" t="str">
            <v>BUS</v>
          </cell>
          <cell r="F1685" t="str">
            <v xml:space="preserve">BUS-J </v>
          </cell>
          <cell r="G1685">
            <v>411</v>
          </cell>
          <cell r="H1685" t="str">
            <v>BUS-J 411</v>
          </cell>
          <cell r="K1685" t="str">
            <v>Krause,Ryan Adam</v>
          </cell>
          <cell r="N1685">
            <v>3.835</v>
          </cell>
          <cell r="O1685">
            <v>3.4060000000000001</v>
          </cell>
        </row>
        <row r="1686">
          <cell r="E1686" t="str">
            <v>BUS</v>
          </cell>
          <cell r="F1686" t="str">
            <v xml:space="preserve">BUS-J </v>
          </cell>
          <cell r="G1686">
            <v>420</v>
          </cell>
          <cell r="H1686" t="str">
            <v>BUS-J 420</v>
          </cell>
          <cell r="K1686" t="str">
            <v>Krause,Ryan Adam</v>
          </cell>
          <cell r="N1686">
            <v>3.8210000000000002</v>
          </cell>
          <cell r="O1686">
            <v>3.294</v>
          </cell>
        </row>
        <row r="1687">
          <cell r="E1687" t="str">
            <v>BUS</v>
          </cell>
          <cell r="F1687" t="str">
            <v xml:space="preserve">BUS-J </v>
          </cell>
          <cell r="G1687">
            <v>420</v>
          </cell>
          <cell r="H1687" t="str">
            <v>BUS-J 420</v>
          </cell>
          <cell r="K1687" t="str">
            <v>Krause,Ryan Adam</v>
          </cell>
          <cell r="N1687">
            <v>3.964</v>
          </cell>
          <cell r="O1687">
            <v>3.4340000000000002</v>
          </cell>
        </row>
        <row r="1688">
          <cell r="E1688" t="str">
            <v>BUS</v>
          </cell>
          <cell r="F1688" t="str">
            <v xml:space="preserve">BUS-J </v>
          </cell>
          <cell r="G1688">
            <v>420</v>
          </cell>
          <cell r="H1688" t="str">
            <v>BUS-J 420</v>
          </cell>
          <cell r="K1688" t="str">
            <v>Rubin,Joel D.</v>
          </cell>
          <cell r="N1688">
            <v>3.7869999999999999</v>
          </cell>
          <cell r="O1688">
            <v>3.8340000000000001</v>
          </cell>
        </row>
        <row r="1689">
          <cell r="E1689" t="str">
            <v>BUS</v>
          </cell>
          <cell r="F1689" t="str">
            <v xml:space="preserve">BUS-J </v>
          </cell>
          <cell r="G1689">
            <v>501</v>
          </cell>
          <cell r="H1689" t="str">
            <v>BUS-J 501</v>
          </cell>
          <cell r="K1689" t="str">
            <v>Wisneski,John E</v>
          </cell>
          <cell r="N1689">
            <v>3.5</v>
          </cell>
          <cell r="O1689">
            <v>3.53</v>
          </cell>
        </row>
        <row r="1690">
          <cell r="E1690" t="str">
            <v>BUS</v>
          </cell>
          <cell r="F1690" t="str">
            <v xml:space="preserve">BUS-J </v>
          </cell>
          <cell r="G1690">
            <v>501</v>
          </cell>
          <cell r="H1690" t="str">
            <v>BUS-J 501</v>
          </cell>
          <cell r="K1690" t="str">
            <v>Wisneski,John E</v>
          </cell>
          <cell r="N1690">
            <v>3.4830000000000001</v>
          </cell>
          <cell r="O1690">
            <v>3.56</v>
          </cell>
        </row>
        <row r="1691">
          <cell r="E1691" t="str">
            <v>BUS</v>
          </cell>
          <cell r="F1691" t="str">
            <v xml:space="preserve">BUS-J </v>
          </cell>
          <cell r="G1691">
            <v>501</v>
          </cell>
          <cell r="H1691" t="str">
            <v>BUS-J 501</v>
          </cell>
          <cell r="K1691" t="str">
            <v>Wisneski,John E</v>
          </cell>
          <cell r="N1691">
            <v>3.5209999999999999</v>
          </cell>
          <cell r="O1691">
            <v>3.6019999999999999</v>
          </cell>
        </row>
        <row r="1692">
          <cell r="E1692" t="str">
            <v>BUS</v>
          </cell>
          <cell r="F1692" t="str">
            <v xml:space="preserve">BUS-J </v>
          </cell>
          <cell r="G1692">
            <v>501</v>
          </cell>
          <cell r="H1692" t="str">
            <v>BUS-J 501</v>
          </cell>
          <cell r="K1692" t="str">
            <v>Wisneski,John E</v>
          </cell>
          <cell r="N1692">
            <v>3.5609999999999999</v>
          </cell>
          <cell r="O1692">
            <v>3.5990000000000002</v>
          </cell>
        </row>
        <row r="1693">
          <cell r="E1693" t="str">
            <v>BUS</v>
          </cell>
          <cell r="F1693" t="str">
            <v xml:space="preserve">BUS-J </v>
          </cell>
          <cell r="G1693">
            <v>501</v>
          </cell>
          <cell r="H1693" t="str">
            <v>BUS-J 501</v>
          </cell>
          <cell r="K1693" t="str">
            <v>Wisneski,John E</v>
          </cell>
          <cell r="N1693">
            <v>3.5209999999999999</v>
          </cell>
          <cell r="O1693">
            <v>3.55</v>
          </cell>
        </row>
        <row r="1694">
          <cell r="E1694" t="str">
            <v>BUS</v>
          </cell>
          <cell r="F1694" t="str">
            <v xml:space="preserve">BUS-J </v>
          </cell>
          <cell r="G1694">
            <v>501</v>
          </cell>
          <cell r="H1694" t="str">
            <v>BUS-J 501</v>
          </cell>
          <cell r="K1694" t="str">
            <v>Wisneski,John E</v>
          </cell>
          <cell r="N1694">
            <v>3.4510000000000001</v>
          </cell>
          <cell r="O1694">
            <v>3.569</v>
          </cell>
        </row>
        <row r="1695">
          <cell r="E1695" t="str">
            <v>BUS</v>
          </cell>
          <cell r="F1695" t="str">
            <v xml:space="preserve">BUS-J </v>
          </cell>
          <cell r="G1695">
            <v>522</v>
          </cell>
          <cell r="H1695" t="str">
            <v>BUS-J 522</v>
          </cell>
          <cell r="K1695" t="str">
            <v>Covin,Jeffrey G</v>
          </cell>
          <cell r="N1695">
            <v>3.6269999999999998</v>
          </cell>
          <cell r="O1695">
            <v>3.56</v>
          </cell>
        </row>
        <row r="1696">
          <cell r="E1696" t="str">
            <v>BUS</v>
          </cell>
          <cell r="F1696" t="str">
            <v xml:space="preserve">BUS-J </v>
          </cell>
          <cell r="G1696">
            <v>522</v>
          </cell>
          <cell r="H1696" t="str">
            <v>BUS-J 522</v>
          </cell>
          <cell r="K1696" t="str">
            <v>Covin,Jeffrey G</v>
          </cell>
          <cell r="N1696">
            <v>3.331</v>
          </cell>
          <cell r="O1696">
            <v>3.5219999999999998</v>
          </cell>
        </row>
        <row r="1697">
          <cell r="E1697" t="str">
            <v>BUS</v>
          </cell>
          <cell r="F1697" t="str">
            <v xml:space="preserve">BUS-J </v>
          </cell>
          <cell r="G1697">
            <v>540</v>
          </cell>
          <cell r="H1697" t="str">
            <v>BUS-J 540</v>
          </cell>
          <cell r="K1697" t="str">
            <v>McDougall,Patricia P</v>
          </cell>
          <cell r="N1697">
            <v>3.6549999999999998</v>
          </cell>
          <cell r="O1697">
            <v>3.5489999999999999</v>
          </cell>
        </row>
        <row r="1698">
          <cell r="E1698" t="str">
            <v>BUS</v>
          </cell>
          <cell r="F1698" t="str">
            <v xml:space="preserve">BUS-J </v>
          </cell>
          <cell r="G1698">
            <v>601</v>
          </cell>
          <cell r="H1698" t="str">
            <v>BUS-J 601</v>
          </cell>
          <cell r="K1698" t="str">
            <v>Covin,Jeffrey G</v>
          </cell>
          <cell r="N1698">
            <v>4</v>
          </cell>
          <cell r="O1698">
            <v>3.7509999999999999</v>
          </cell>
        </row>
        <row r="1699">
          <cell r="E1699" t="str">
            <v>BUS</v>
          </cell>
          <cell r="F1699" t="str">
            <v xml:space="preserve">BUS-J </v>
          </cell>
          <cell r="G1699">
            <v>602</v>
          </cell>
          <cell r="H1699" t="str">
            <v>BUS-J 602</v>
          </cell>
          <cell r="K1699" t="str">
            <v>Shepherd,Dean Andrew</v>
          </cell>
          <cell r="N1699">
            <v>4</v>
          </cell>
          <cell r="O1699">
            <v>3.8260000000000001</v>
          </cell>
        </row>
        <row r="1700">
          <cell r="E1700" t="str">
            <v>BUS</v>
          </cell>
          <cell r="F1700" t="str">
            <v xml:space="preserve">BUS-K </v>
          </cell>
          <cell r="G1700">
            <v>201</v>
          </cell>
          <cell r="H1700" t="str">
            <v>BUS-K 201</v>
          </cell>
          <cell r="K1700" t="str">
            <v>Anderson,James B</v>
          </cell>
          <cell r="N1700">
            <v>3.1379999999999999</v>
          </cell>
          <cell r="O1700">
            <v>3.1819999999999999</v>
          </cell>
        </row>
        <row r="1701">
          <cell r="E1701" t="str">
            <v>BUS</v>
          </cell>
          <cell r="F1701" t="str">
            <v xml:space="preserve">BUS-K </v>
          </cell>
          <cell r="G1701">
            <v>201</v>
          </cell>
          <cell r="H1701" t="str">
            <v>BUS-K 201</v>
          </cell>
          <cell r="K1701" t="str">
            <v>Anderson,James B</v>
          </cell>
          <cell r="N1701">
            <v>2.9969999999999999</v>
          </cell>
          <cell r="O1701">
            <v>3.1120000000000001</v>
          </cell>
        </row>
        <row r="1702">
          <cell r="E1702" t="str">
            <v>BUS</v>
          </cell>
          <cell r="F1702" t="str">
            <v xml:space="preserve">BUS-K </v>
          </cell>
          <cell r="G1702">
            <v>201</v>
          </cell>
          <cell r="H1702" t="str">
            <v>BUS-K 201</v>
          </cell>
          <cell r="K1702" t="str">
            <v>Anderson,James B</v>
          </cell>
          <cell r="N1702">
            <v>2.593</v>
          </cell>
          <cell r="O1702">
            <v>2.9740000000000002</v>
          </cell>
        </row>
        <row r="1703">
          <cell r="E1703" t="str">
            <v>BUS</v>
          </cell>
          <cell r="F1703" t="str">
            <v xml:space="preserve">BUS-K </v>
          </cell>
          <cell r="G1703">
            <v>201</v>
          </cell>
          <cell r="H1703" t="str">
            <v>BUS-K 201</v>
          </cell>
          <cell r="K1703" t="str">
            <v>Banks,Karen Y.s.</v>
          </cell>
          <cell r="N1703">
            <v>2.903</v>
          </cell>
          <cell r="O1703">
            <v>3.1880000000000002</v>
          </cell>
        </row>
        <row r="1704">
          <cell r="E1704" t="str">
            <v>BUS</v>
          </cell>
          <cell r="F1704" t="str">
            <v xml:space="preserve">BUS-K </v>
          </cell>
          <cell r="G1704">
            <v>201</v>
          </cell>
          <cell r="H1704" t="str">
            <v>BUS-K 201</v>
          </cell>
          <cell r="K1704" t="str">
            <v>Banks,Karen Y.s.</v>
          </cell>
          <cell r="N1704">
            <v>3.08</v>
          </cell>
          <cell r="O1704">
            <v>3.1309999999999998</v>
          </cell>
        </row>
        <row r="1705">
          <cell r="E1705" t="str">
            <v>BUS</v>
          </cell>
          <cell r="F1705" t="str">
            <v xml:space="preserve">BUS-K </v>
          </cell>
          <cell r="G1705">
            <v>201</v>
          </cell>
          <cell r="H1705" t="str">
            <v>BUS-K 201</v>
          </cell>
          <cell r="K1705" t="str">
            <v>Banks,Karen Y.s.</v>
          </cell>
          <cell r="N1705">
            <v>2.9729999999999999</v>
          </cell>
          <cell r="O1705">
            <v>3.0979999999999999</v>
          </cell>
        </row>
        <row r="1706">
          <cell r="E1706" t="str">
            <v>BUS</v>
          </cell>
          <cell r="F1706" t="str">
            <v xml:space="preserve">BUS-K </v>
          </cell>
          <cell r="G1706">
            <v>201</v>
          </cell>
          <cell r="H1706" t="str">
            <v>BUS-K 201</v>
          </cell>
          <cell r="K1706" t="str">
            <v>Banks,Karen Y.s.</v>
          </cell>
          <cell r="N1706">
            <v>2.8119999999999998</v>
          </cell>
          <cell r="O1706">
            <v>2.9289999999999998</v>
          </cell>
        </row>
        <row r="1707">
          <cell r="E1707" t="str">
            <v>BUS</v>
          </cell>
          <cell r="F1707" t="str">
            <v xml:space="preserve">BUS-K </v>
          </cell>
          <cell r="G1707">
            <v>201</v>
          </cell>
          <cell r="H1707" t="str">
            <v>BUS-K 201</v>
          </cell>
          <cell r="K1707" t="str">
            <v>Banks,Karen Y.s.</v>
          </cell>
          <cell r="N1707">
            <v>2.7240000000000002</v>
          </cell>
          <cell r="O1707">
            <v>3.0089999999999999</v>
          </cell>
        </row>
        <row r="1708">
          <cell r="E1708" t="str">
            <v>BUS</v>
          </cell>
          <cell r="F1708" t="str">
            <v xml:space="preserve">BUS-K </v>
          </cell>
          <cell r="G1708">
            <v>201</v>
          </cell>
          <cell r="H1708" t="str">
            <v>BUS-K 201</v>
          </cell>
          <cell r="K1708" t="str">
            <v>Banks,Karen Y.s.</v>
          </cell>
          <cell r="N1708">
            <v>3.2240000000000002</v>
          </cell>
          <cell r="O1708">
            <v>3.4140000000000001</v>
          </cell>
        </row>
        <row r="1709">
          <cell r="E1709" t="str">
            <v>BUS</v>
          </cell>
          <cell r="F1709" t="str">
            <v xml:space="preserve">BUS-K </v>
          </cell>
          <cell r="G1709">
            <v>201</v>
          </cell>
          <cell r="H1709" t="str">
            <v>BUS-K 201</v>
          </cell>
          <cell r="K1709" t="str">
            <v>Banks,Karen Y.s.</v>
          </cell>
          <cell r="N1709">
            <v>2.8759999999999999</v>
          </cell>
          <cell r="O1709">
            <v>2.9820000000000002</v>
          </cell>
        </row>
        <row r="1710">
          <cell r="E1710" t="str">
            <v>BUS</v>
          </cell>
          <cell r="F1710" t="str">
            <v xml:space="preserve">BUS-K </v>
          </cell>
          <cell r="G1710">
            <v>201</v>
          </cell>
          <cell r="H1710" t="str">
            <v>BUS-K 201</v>
          </cell>
          <cell r="K1710" t="str">
            <v>Banks,Karen Y.s.</v>
          </cell>
          <cell r="N1710">
            <v>2.9910000000000001</v>
          </cell>
          <cell r="O1710">
            <v>3.2210000000000001</v>
          </cell>
        </row>
        <row r="1711">
          <cell r="E1711" t="str">
            <v>BUS</v>
          </cell>
          <cell r="F1711" t="str">
            <v xml:space="preserve">BUS-K </v>
          </cell>
          <cell r="G1711">
            <v>201</v>
          </cell>
          <cell r="H1711" t="str">
            <v>BUS-K 201</v>
          </cell>
          <cell r="K1711" t="str">
            <v>Banks,Karen Y.s.</v>
          </cell>
          <cell r="N1711">
            <v>3.073</v>
          </cell>
          <cell r="O1711">
            <v>3.1509999999999998</v>
          </cell>
        </row>
        <row r="1712">
          <cell r="E1712" t="str">
            <v>BUS</v>
          </cell>
          <cell r="F1712" t="str">
            <v xml:space="preserve">BUS-K </v>
          </cell>
          <cell r="G1712">
            <v>201</v>
          </cell>
          <cell r="H1712" t="str">
            <v>BUS-K 201</v>
          </cell>
          <cell r="K1712" t="str">
            <v>Colon,Carlos L</v>
          </cell>
          <cell r="N1712">
            <v>2.5030000000000001</v>
          </cell>
          <cell r="O1712">
            <v>2.8279999999999998</v>
          </cell>
        </row>
        <row r="1713">
          <cell r="E1713" t="str">
            <v>BUS</v>
          </cell>
          <cell r="F1713" t="str">
            <v xml:space="preserve">BUS-K </v>
          </cell>
          <cell r="G1713">
            <v>201</v>
          </cell>
          <cell r="H1713" t="str">
            <v>BUS-K 201</v>
          </cell>
          <cell r="K1713" t="str">
            <v>Colon,Carlos L</v>
          </cell>
          <cell r="N1713">
            <v>2.8879999999999999</v>
          </cell>
          <cell r="O1713">
            <v>3.0289999999999999</v>
          </cell>
        </row>
        <row r="1714">
          <cell r="E1714" t="str">
            <v>BUS</v>
          </cell>
          <cell r="F1714" t="str">
            <v xml:space="preserve">BUS-K </v>
          </cell>
          <cell r="G1714">
            <v>201</v>
          </cell>
          <cell r="H1714" t="str">
            <v>BUS-K 201</v>
          </cell>
          <cell r="K1714" t="str">
            <v>Colon,Carlos L</v>
          </cell>
          <cell r="N1714">
            <v>2.9140000000000001</v>
          </cell>
          <cell r="O1714">
            <v>3.141</v>
          </cell>
        </row>
        <row r="1715">
          <cell r="E1715" t="str">
            <v>BUS</v>
          </cell>
          <cell r="F1715" t="str">
            <v xml:space="preserve">BUS-K </v>
          </cell>
          <cell r="G1715">
            <v>201</v>
          </cell>
          <cell r="H1715" t="str">
            <v>BUS-K 201</v>
          </cell>
          <cell r="K1715" t="str">
            <v>Colon,Carlos L</v>
          </cell>
          <cell r="N1715">
            <v>2.8330000000000002</v>
          </cell>
          <cell r="O1715">
            <v>2.99</v>
          </cell>
        </row>
        <row r="1716">
          <cell r="E1716" t="str">
            <v>BUS</v>
          </cell>
          <cell r="F1716" t="str">
            <v xml:space="preserve">BUS-K </v>
          </cell>
          <cell r="G1716">
            <v>201</v>
          </cell>
          <cell r="H1716" t="str">
            <v>BUS-K 201</v>
          </cell>
          <cell r="K1716" t="str">
            <v>Colon,Carlos L</v>
          </cell>
          <cell r="N1716">
            <v>2.8</v>
          </cell>
          <cell r="O1716">
            <v>2.8969999999999998</v>
          </cell>
        </row>
        <row r="1717">
          <cell r="E1717" t="str">
            <v>BUS</v>
          </cell>
          <cell r="F1717" t="str">
            <v xml:space="preserve">BUS-K </v>
          </cell>
          <cell r="G1717">
            <v>201</v>
          </cell>
          <cell r="H1717" t="str">
            <v>BUS-K 201</v>
          </cell>
          <cell r="K1717" t="str">
            <v>Colon,Carlos L</v>
          </cell>
          <cell r="N1717">
            <v>2.5630000000000002</v>
          </cell>
          <cell r="O1717">
            <v>3.0369999999999999</v>
          </cell>
        </row>
        <row r="1718">
          <cell r="E1718" t="str">
            <v>BUS</v>
          </cell>
          <cell r="F1718" t="str">
            <v xml:space="preserve">BUS-K </v>
          </cell>
          <cell r="G1718">
            <v>201</v>
          </cell>
          <cell r="H1718" t="str">
            <v>BUS-K 201</v>
          </cell>
          <cell r="K1718" t="str">
            <v>Colon,Carlos L</v>
          </cell>
          <cell r="N1718">
            <v>2.742</v>
          </cell>
          <cell r="O1718">
            <v>3.0019999999999998</v>
          </cell>
        </row>
        <row r="1719">
          <cell r="E1719" t="str">
            <v>BUS</v>
          </cell>
          <cell r="F1719" t="str">
            <v xml:space="preserve">BUS-K </v>
          </cell>
          <cell r="G1719">
            <v>201</v>
          </cell>
          <cell r="H1719" t="str">
            <v>BUS-K 201</v>
          </cell>
          <cell r="K1719" t="str">
            <v>Colon,Carlos L</v>
          </cell>
          <cell r="N1719">
            <v>2.7</v>
          </cell>
          <cell r="O1719">
            <v>3.1150000000000002</v>
          </cell>
        </row>
        <row r="1720">
          <cell r="E1720" t="str">
            <v>BUS</v>
          </cell>
          <cell r="F1720" t="str">
            <v xml:space="preserve">BUS-K </v>
          </cell>
          <cell r="G1720">
            <v>201</v>
          </cell>
          <cell r="H1720" t="str">
            <v>BUS-K 201</v>
          </cell>
          <cell r="K1720" t="str">
            <v>Decker,Mathew S</v>
          </cell>
          <cell r="N1720">
            <v>2.67</v>
          </cell>
          <cell r="O1720">
            <v>2.7410000000000001</v>
          </cell>
        </row>
        <row r="1721">
          <cell r="E1721" t="str">
            <v>BUS</v>
          </cell>
          <cell r="F1721" t="str">
            <v xml:space="preserve">BUS-K </v>
          </cell>
          <cell r="G1721">
            <v>201</v>
          </cell>
          <cell r="H1721" t="str">
            <v>BUS-K 201</v>
          </cell>
          <cell r="K1721" t="str">
            <v>Guo,Shanshan</v>
          </cell>
          <cell r="N1721">
            <v>2.7679999999999998</v>
          </cell>
          <cell r="O1721">
            <v>2.9049999999999998</v>
          </cell>
        </row>
        <row r="1722">
          <cell r="E1722" t="str">
            <v>BUS</v>
          </cell>
          <cell r="F1722" t="str">
            <v xml:space="preserve">BUS-K </v>
          </cell>
          <cell r="G1722">
            <v>201</v>
          </cell>
          <cell r="H1722" t="str">
            <v>BUS-K 201</v>
          </cell>
          <cell r="K1722" t="str">
            <v>Heltsley,April A.</v>
          </cell>
          <cell r="N1722">
            <v>2.3290000000000002</v>
          </cell>
          <cell r="O1722">
            <v>2.8690000000000002</v>
          </cell>
        </row>
        <row r="1723">
          <cell r="E1723" t="str">
            <v>BUS</v>
          </cell>
          <cell r="F1723" t="str">
            <v xml:space="preserve">BUS-K </v>
          </cell>
          <cell r="G1723">
            <v>201</v>
          </cell>
          <cell r="H1723" t="str">
            <v>BUS-K 201</v>
          </cell>
          <cell r="K1723" t="str">
            <v>Heltsley,April A.</v>
          </cell>
          <cell r="N1723">
            <v>2.6579999999999999</v>
          </cell>
          <cell r="O1723">
            <v>3.0539999999999998</v>
          </cell>
        </row>
        <row r="1724">
          <cell r="E1724" t="str">
            <v>BUS</v>
          </cell>
          <cell r="F1724" t="str">
            <v xml:space="preserve">BUS-K </v>
          </cell>
          <cell r="G1724">
            <v>201</v>
          </cell>
          <cell r="H1724" t="str">
            <v>BUS-K 201</v>
          </cell>
          <cell r="K1724" t="str">
            <v>Heltsley,April A.</v>
          </cell>
          <cell r="N1724">
            <v>2.3860000000000001</v>
          </cell>
          <cell r="O1724">
            <v>2.8439999999999999</v>
          </cell>
        </row>
        <row r="1725">
          <cell r="E1725" t="str">
            <v>BUS</v>
          </cell>
          <cell r="F1725" t="str">
            <v xml:space="preserve">BUS-K </v>
          </cell>
          <cell r="G1725">
            <v>201</v>
          </cell>
          <cell r="H1725" t="str">
            <v>BUS-K 201</v>
          </cell>
          <cell r="K1725" t="str">
            <v>Heltsley,April A.</v>
          </cell>
          <cell r="N1725">
            <v>2.657</v>
          </cell>
          <cell r="O1725">
            <v>2.8370000000000002</v>
          </cell>
        </row>
        <row r="1726">
          <cell r="E1726" t="str">
            <v>BUS</v>
          </cell>
          <cell r="F1726" t="str">
            <v xml:space="preserve">BUS-K </v>
          </cell>
          <cell r="G1726">
            <v>201</v>
          </cell>
          <cell r="H1726" t="str">
            <v>BUS-K 201</v>
          </cell>
          <cell r="K1726" t="str">
            <v>Hostetler,Kevin Alan</v>
          </cell>
          <cell r="N1726">
            <v>3.1219999999999999</v>
          </cell>
          <cell r="O1726">
            <v>3.2069999999999999</v>
          </cell>
        </row>
        <row r="1727">
          <cell r="E1727" t="str">
            <v>BUS</v>
          </cell>
          <cell r="F1727" t="str">
            <v xml:space="preserve">BUS-K </v>
          </cell>
          <cell r="G1727">
            <v>201</v>
          </cell>
          <cell r="H1727" t="str">
            <v>BUS-K 201</v>
          </cell>
          <cell r="K1727" t="str">
            <v>Hostetler,Kevin Alan</v>
          </cell>
          <cell r="N1727">
            <v>2.964</v>
          </cell>
          <cell r="O1727">
            <v>2.9470000000000001</v>
          </cell>
        </row>
        <row r="1728">
          <cell r="E1728" t="str">
            <v>BUS</v>
          </cell>
          <cell r="F1728" t="str">
            <v xml:space="preserve">BUS-K </v>
          </cell>
          <cell r="G1728">
            <v>201</v>
          </cell>
          <cell r="H1728" t="str">
            <v>BUS-K 201</v>
          </cell>
          <cell r="K1728" t="str">
            <v>Hostetler,Kevin Alan</v>
          </cell>
          <cell r="N1728">
            <v>2.5950000000000002</v>
          </cell>
          <cell r="O1728">
            <v>3.0659999999999998</v>
          </cell>
        </row>
        <row r="1729">
          <cell r="E1729" t="str">
            <v>BUS</v>
          </cell>
          <cell r="F1729" t="str">
            <v xml:space="preserve">BUS-K </v>
          </cell>
          <cell r="G1729">
            <v>201</v>
          </cell>
          <cell r="H1729" t="str">
            <v>BUS-K 201</v>
          </cell>
          <cell r="K1729" t="str">
            <v>Hurrle,Jamie Elizabeth</v>
          </cell>
          <cell r="N1729">
            <v>2.742</v>
          </cell>
          <cell r="O1729">
            <v>2.8639999999999999</v>
          </cell>
        </row>
        <row r="1730">
          <cell r="E1730" t="str">
            <v>BUS</v>
          </cell>
          <cell r="F1730" t="str">
            <v xml:space="preserve">BUS-K </v>
          </cell>
          <cell r="G1730">
            <v>201</v>
          </cell>
          <cell r="H1730" t="str">
            <v>BUS-K 201</v>
          </cell>
          <cell r="K1730" t="str">
            <v>Jewell,Joyce Anne</v>
          </cell>
          <cell r="N1730">
            <v>2.7080000000000002</v>
          </cell>
          <cell r="O1730">
            <v>2.702</v>
          </cell>
        </row>
        <row r="1731">
          <cell r="E1731" t="str">
            <v>BUS</v>
          </cell>
          <cell r="F1731" t="str">
            <v xml:space="preserve">BUS-K </v>
          </cell>
          <cell r="G1731">
            <v>201</v>
          </cell>
          <cell r="H1731" t="str">
            <v>BUS-K 201</v>
          </cell>
          <cell r="K1731" t="str">
            <v>Kase,Teresa M</v>
          </cell>
          <cell r="N1731">
            <v>2.6459999999999999</v>
          </cell>
          <cell r="O1731">
            <v>2.98</v>
          </cell>
        </row>
        <row r="1732">
          <cell r="E1732" t="str">
            <v>BUS</v>
          </cell>
          <cell r="F1732" t="str">
            <v xml:space="preserve">BUS-K </v>
          </cell>
          <cell r="G1732">
            <v>201</v>
          </cell>
          <cell r="H1732" t="str">
            <v>BUS-K 201</v>
          </cell>
          <cell r="K1732" t="str">
            <v>Kinser,Amy Suzanne</v>
          </cell>
          <cell r="N1732">
            <v>3.0489999999999999</v>
          </cell>
          <cell r="O1732">
            <v>2.992</v>
          </cell>
        </row>
        <row r="1733">
          <cell r="E1733" t="str">
            <v>BUS</v>
          </cell>
          <cell r="F1733" t="str">
            <v xml:space="preserve">BUS-K </v>
          </cell>
          <cell r="G1733">
            <v>201</v>
          </cell>
          <cell r="H1733" t="str">
            <v>BUS-K 201</v>
          </cell>
          <cell r="K1733" t="str">
            <v>Kinser,Amy Suzanne</v>
          </cell>
          <cell r="N1733">
            <v>2.9550000000000001</v>
          </cell>
          <cell r="O1733">
            <v>3.085</v>
          </cell>
        </row>
        <row r="1734">
          <cell r="E1734" t="str">
            <v>BUS</v>
          </cell>
          <cell r="F1734" t="str">
            <v xml:space="preserve">BUS-K </v>
          </cell>
          <cell r="G1734">
            <v>201</v>
          </cell>
          <cell r="H1734" t="str">
            <v>BUS-K 201</v>
          </cell>
          <cell r="K1734" t="str">
            <v>Kinser,Amy Suzanne</v>
          </cell>
          <cell r="N1734">
            <v>2.9409999999999998</v>
          </cell>
          <cell r="O1734">
            <v>3.1920000000000002</v>
          </cell>
        </row>
        <row r="1735">
          <cell r="E1735" t="str">
            <v>BUS</v>
          </cell>
          <cell r="F1735" t="str">
            <v xml:space="preserve">BUS-K </v>
          </cell>
          <cell r="G1735">
            <v>201</v>
          </cell>
          <cell r="H1735" t="str">
            <v>BUS-K 201</v>
          </cell>
          <cell r="K1735" t="str">
            <v>Kinser,Amy Suzanne</v>
          </cell>
          <cell r="N1735">
            <v>2.8610000000000002</v>
          </cell>
          <cell r="O1735">
            <v>3.1040000000000001</v>
          </cell>
        </row>
        <row r="1736">
          <cell r="E1736" t="str">
            <v>BUS</v>
          </cell>
          <cell r="F1736" t="str">
            <v xml:space="preserve">BUS-K </v>
          </cell>
          <cell r="G1736">
            <v>201</v>
          </cell>
          <cell r="H1736" t="str">
            <v>BUS-K 201</v>
          </cell>
          <cell r="K1736" t="str">
            <v>Kinser,Amy Suzanne</v>
          </cell>
          <cell r="N1736">
            <v>2.8460000000000001</v>
          </cell>
          <cell r="O1736">
            <v>3.1309999999999998</v>
          </cell>
        </row>
        <row r="1737">
          <cell r="E1737" t="str">
            <v>BUS</v>
          </cell>
          <cell r="F1737" t="str">
            <v xml:space="preserve">BUS-K </v>
          </cell>
          <cell r="G1737">
            <v>201</v>
          </cell>
          <cell r="H1737" t="str">
            <v>BUS-K 201</v>
          </cell>
          <cell r="K1737" t="str">
            <v>Lehfeldt,Jessica Kinder</v>
          </cell>
          <cell r="N1737">
            <v>2.7</v>
          </cell>
          <cell r="O1737">
            <v>2.9009999999999998</v>
          </cell>
        </row>
        <row r="1738">
          <cell r="E1738" t="str">
            <v>BUS</v>
          </cell>
          <cell r="F1738" t="str">
            <v xml:space="preserve">BUS-K </v>
          </cell>
          <cell r="G1738">
            <v>201</v>
          </cell>
          <cell r="H1738" t="str">
            <v>BUS-K 201</v>
          </cell>
          <cell r="K1738" t="str">
            <v>Miller,Barbara V.</v>
          </cell>
          <cell r="N1738">
            <v>3.0529999999999999</v>
          </cell>
          <cell r="O1738">
            <v>3.081</v>
          </cell>
        </row>
        <row r="1739">
          <cell r="E1739" t="str">
            <v>BUS</v>
          </cell>
          <cell r="F1739" t="str">
            <v xml:space="preserve">BUS-K </v>
          </cell>
          <cell r="G1739">
            <v>201</v>
          </cell>
          <cell r="H1739" t="str">
            <v>BUS-K 201</v>
          </cell>
          <cell r="K1739" t="str">
            <v>Miller,Barbara V.</v>
          </cell>
          <cell r="N1739">
            <v>2.968</v>
          </cell>
          <cell r="O1739">
            <v>2.9769999999999999</v>
          </cell>
        </row>
        <row r="1740">
          <cell r="E1740" t="str">
            <v>BUS</v>
          </cell>
          <cell r="F1740" t="str">
            <v xml:space="preserve">BUS-K </v>
          </cell>
          <cell r="G1740">
            <v>201</v>
          </cell>
          <cell r="H1740" t="str">
            <v>BUS-K 201</v>
          </cell>
          <cell r="K1740" t="str">
            <v>Miller,Barbara V.</v>
          </cell>
          <cell r="N1740">
            <v>2.7629999999999999</v>
          </cell>
          <cell r="O1740">
            <v>3.0939999999999999</v>
          </cell>
        </row>
        <row r="1741">
          <cell r="E1741" t="str">
            <v>BUS</v>
          </cell>
          <cell r="F1741" t="str">
            <v xml:space="preserve">BUS-K </v>
          </cell>
          <cell r="G1741">
            <v>201</v>
          </cell>
          <cell r="H1741" t="str">
            <v>BUS-K 201</v>
          </cell>
          <cell r="K1741" t="str">
            <v>Miller,Barbara V.</v>
          </cell>
          <cell r="N1741">
            <v>3.1589999999999998</v>
          </cell>
          <cell r="O1741">
            <v>3.0760000000000001</v>
          </cell>
        </row>
        <row r="1742">
          <cell r="E1742" t="str">
            <v>BUS</v>
          </cell>
          <cell r="F1742" t="str">
            <v xml:space="preserve">BUS-K </v>
          </cell>
          <cell r="G1742">
            <v>201</v>
          </cell>
          <cell r="H1742" t="str">
            <v>BUS-K 201</v>
          </cell>
          <cell r="K1742" t="str">
            <v>Miller,Barbara V.</v>
          </cell>
          <cell r="N1742">
            <v>2.8410000000000002</v>
          </cell>
          <cell r="O1742">
            <v>3.0150000000000001</v>
          </cell>
        </row>
        <row r="1743">
          <cell r="E1743" t="str">
            <v>BUS</v>
          </cell>
          <cell r="F1743" t="str">
            <v xml:space="preserve">BUS-K </v>
          </cell>
          <cell r="G1743">
            <v>201</v>
          </cell>
          <cell r="H1743" t="str">
            <v>BUS-K 201</v>
          </cell>
          <cell r="K1743" t="str">
            <v>Moriarity,Brant Paul</v>
          </cell>
          <cell r="N1743">
            <v>2.9380000000000002</v>
          </cell>
          <cell r="O1743">
            <v>2.9169999999999998</v>
          </cell>
        </row>
        <row r="1744">
          <cell r="E1744" t="str">
            <v>BUS</v>
          </cell>
          <cell r="F1744" t="str">
            <v xml:space="preserve">BUS-K </v>
          </cell>
          <cell r="G1744">
            <v>201</v>
          </cell>
          <cell r="H1744" t="str">
            <v>BUS-K 201</v>
          </cell>
          <cell r="K1744" t="str">
            <v>Moriarity,Brant Paul</v>
          </cell>
          <cell r="N1744">
            <v>2.8359999999999999</v>
          </cell>
          <cell r="O1744">
            <v>3.0920000000000001</v>
          </cell>
        </row>
        <row r="1745">
          <cell r="E1745" t="str">
            <v>BUS</v>
          </cell>
          <cell r="F1745" t="str">
            <v xml:space="preserve">BUS-K </v>
          </cell>
          <cell r="G1745">
            <v>201</v>
          </cell>
          <cell r="H1745" t="str">
            <v>BUS-K 201</v>
          </cell>
          <cell r="K1745" t="str">
            <v>Moriarity,Brant Paul</v>
          </cell>
          <cell r="N1745">
            <v>3.1</v>
          </cell>
          <cell r="O1745">
            <v>3.198</v>
          </cell>
        </row>
        <row r="1746">
          <cell r="E1746" t="str">
            <v>BUS</v>
          </cell>
          <cell r="F1746" t="str">
            <v xml:space="preserve">BUS-K </v>
          </cell>
          <cell r="G1746">
            <v>201</v>
          </cell>
          <cell r="H1746" t="str">
            <v>BUS-K 201</v>
          </cell>
          <cell r="K1746" t="str">
            <v>Moriarity,Brant Paul</v>
          </cell>
          <cell r="N1746">
            <v>2.8620000000000001</v>
          </cell>
          <cell r="O1746">
            <v>2.8759999999999999</v>
          </cell>
        </row>
        <row r="1747">
          <cell r="E1747" t="str">
            <v>BUS</v>
          </cell>
          <cell r="F1747" t="str">
            <v xml:space="preserve">BUS-K </v>
          </cell>
          <cell r="G1747">
            <v>201</v>
          </cell>
          <cell r="H1747" t="str">
            <v>BUS-K 201</v>
          </cell>
          <cell r="K1747" t="str">
            <v>Moriarity,Brant Paul</v>
          </cell>
          <cell r="N1747">
            <v>3.1930000000000001</v>
          </cell>
          <cell r="O1747">
            <v>3.2080000000000002</v>
          </cell>
        </row>
        <row r="1748">
          <cell r="E1748" t="str">
            <v>BUS</v>
          </cell>
          <cell r="F1748" t="str">
            <v xml:space="preserve">BUS-K </v>
          </cell>
          <cell r="G1748">
            <v>201</v>
          </cell>
          <cell r="H1748" t="str">
            <v>BUS-K 201</v>
          </cell>
          <cell r="K1748" t="str">
            <v>Moriarity,Brant Paul</v>
          </cell>
          <cell r="N1748">
            <v>2.1469999999999998</v>
          </cell>
          <cell r="O1748">
            <v>2.7919999999999998</v>
          </cell>
        </row>
        <row r="1749">
          <cell r="E1749" t="str">
            <v>BUS</v>
          </cell>
          <cell r="F1749" t="str">
            <v xml:space="preserve">BUS-K </v>
          </cell>
          <cell r="G1749">
            <v>201</v>
          </cell>
          <cell r="H1749" t="str">
            <v>BUS-K 201</v>
          </cell>
          <cell r="K1749" t="str">
            <v>Moriarity,Brant Paul</v>
          </cell>
          <cell r="N1749">
            <v>2.544</v>
          </cell>
          <cell r="O1749">
            <v>3.093</v>
          </cell>
        </row>
        <row r="1750">
          <cell r="E1750" t="str">
            <v>BUS</v>
          </cell>
          <cell r="F1750" t="str">
            <v xml:space="preserve">BUS-K </v>
          </cell>
          <cell r="G1750">
            <v>201</v>
          </cell>
          <cell r="H1750" t="str">
            <v>BUS-K 201</v>
          </cell>
          <cell r="K1750" t="str">
            <v>Moriarity,Brant Paul</v>
          </cell>
          <cell r="N1750">
            <v>3.0369999999999999</v>
          </cell>
          <cell r="O1750">
            <v>3.1269999999999998</v>
          </cell>
        </row>
        <row r="1751">
          <cell r="E1751" t="str">
            <v>BUS</v>
          </cell>
          <cell r="F1751" t="str">
            <v xml:space="preserve">BUS-K </v>
          </cell>
          <cell r="G1751">
            <v>201</v>
          </cell>
          <cell r="H1751" t="str">
            <v>BUS-K 201</v>
          </cell>
          <cell r="K1751" t="str">
            <v>Nedelka,Clay Matthew</v>
          </cell>
          <cell r="N1751">
            <v>2.5110000000000001</v>
          </cell>
          <cell r="O1751">
            <v>2.9260000000000002</v>
          </cell>
        </row>
        <row r="1752">
          <cell r="E1752" t="str">
            <v>BUS</v>
          </cell>
          <cell r="F1752" t="str">
            <v xml:space="preserve">BUS-K </v>
          </cell>
          <cell r="G1752">
            <v>201</v>
          </cell>
          <cell r="H1752" t="str">
            <v>BUS-K 201</v>
          </cell>
          <cell r="K1752" t="str">
            <v>Robbins,Mary E</v>
          </cell>
          <cell r="N1752">
            <v>3.1539999999999999</v>
          </cell>
          <cell r="O1752">
            <v>3.1360000000000001</v>
          </cell>
        </row>
        <row r="1753">
          <cell r="E1753" t="str">
            <v>BUS</v>
          </cell>
          <cell r="F1753" t="str">
            <v xml:space="preserve">BUS-K </v>
          </cell>
          <cell r="G1753">
            <v>201</v>
          </cell>
          <cell r="H1753" t="str">
            <v>BUS-K 201</v>
          </cell>
          <cell r="K1753" t="str">
            <v>Robbins,Mary E</v>
          </cell>
          <cell r="N1753">
            <v>2.8319999999999999</v>
          </cell>
          <cell r="O1753">
            <v>2.7589999999999999</v>
          </cell>
        </row>
        <row r="1754">
          <cell r="E1754" t="str">
            <v>BUS</v>
          </cell>
          <cell r="F1754" t="str">
            <v xml:space="preserve">BUS-K </v>
          </cell>
          <cell r="G1754">
            <v>201</v>
          </cell>
          <cell r="H1754" t="str">
            <v>BUS-K 201</v>
          </cell>
          <cell r="K1754" t="str">
            <v>Robbins,Mary E</v>
          </cell>
          <cell r="N1754">
            <v>2.8959999999999999</v>
          </cell>
          <cell r="O1754">
            <v>3.109</v>
          </cell>
        </row>
        <row r="1755">
          <cell r="E1755" t="str">
            <v>BUS</v>
          </cell>
          <cell r="F1755" t="str">
            <v xml:space="preserve">BUS-K </v>
          </cell>
          <cell r="G1755">
            <v>201</v>
          </cell>
          <cell r="H1755" t="str">
            <v>BUS-K 201</v>
          </cell>
          <cell r="K1755" t="str">
            <v>Robbins,Mary E</v>
          </cell>
          <cell r="N1755">
            <v>3.0070000000000001</v>
          </cell>
          <cell r="O1755">
            <v>3.0859999999999999</v>
          </cell>
        </row>
        <row r="1756">
          <cell r="E1756" t="str">
            <v>BUS</v>
          </cell>
          <cell r="F1756" t="str">
            <v xml:space="preserve">BUS-K </v>
          </cell>
          <cell r="G1756">
            <v>201</v>
          </cell>
          <cell r="H1756" t="str">
            <v>BUS-K 201</v>
          </cell>
          <cell r="K1756" t="str">
            <v>Robinson,Sarah A</v>
          </cell>
          <cell r="N1756">
            <v>3.0110000000000001</v>
          </cell>
          <cell r="O1756">
            <v>3.113</v>
          </cell>
        </row>
        <row r="1757">
          <cell r="E1757" t="str">
            <v>BUS</v>
          </cell>
          <cell r="F1757" t="str">
            <v xml:space="preserve">BUS-K </v>
          </cell>
          <cell r="G1757">
            <v>201</v>
          </cell>
          <cell r="H1757" t="str">
            <v>BUS-K 201</v>
          </cell>
          <cell r="K1757" t="str">
            <v>Sera,Gipsi</v>
          </cell>
          <cell r="N1757">
            <v>2.859</v>
          </cell>
          <cell r="O1757">
            <v>3.1059999999999999</v>
          </cell>
        </row>
        <row r="1758">
          <cell r="E1758" t="str">
            <v>BUS</v>
          </cell>
          <cell r="F1758" t="str">
            <v xml:space="preserve">BUS-K </v>
          </cell>
          <cell r="G1758">
            <v>201</v>
          </cell>
          <cell r="H1758" t="str">
            <v>BUS-K 201</v>
          </cell>
          <cell r="K1758" t="str">
            <v>Sera,Gipsi</v>
          </cell>
          <cell r="N1758">
            <v>2.9649999999999999</v>
          </cell>
          <cell r="O1758">
            <v>3.012</v>
          </cell>
        </row>
        <row r="1759">
          <cell r="E1759" t="str">
            <v>BUS</v>
          </cell>
          <cell r="F1759" t="str">
            <v xml:space="preserve">BUS-K </v>
          </cell>
          <cell r="G1759">
            <v>201</v>
          </cell>
          <cell r="H1759" t="str">
            <v>BUS-K 201</v>
          </cell>
          <cell r="K1759" t="str">
            <v>Sera,Gipsi</v>
          </cell>
          <cell r="N1759">
            <v>2.8290000000000002</v>
          </cell>
          <cell r="O1759">
            <v>2.9569999999999999</v>
          </cell>
        </row>
        <row r="1760">
          <cell r="E1760" t="str">
            <v>BUS</v>
          </cell>
          <cell r="F1760" t="str">
            <v xml:space="preserve">BUS-K </v>
          </cell>
          <cell r="G1760">
            <v>201</v>
          </cell>
          <cell r="H1760" t="str">
            <v>BUS-K 201</v>
          </cell>
          <cell r="K1760" t="str">
            <v>Sera,Gipsi</v>
          </cell>
          <cell r="N1760">
            <v>2.6560000000000001</v>
          </cell>
          <cell r="O1760">
            <v>3.036</v>
          </cell>
        </row>
        <row r="1761">
          <cell r="E1761" t="str">
            <v>BUS</v>
          </cell>
          <cell r="F1761" t="str">
            <v xml:space="preserve">BUS-K </v>
          </cell>
          <cell r="G1761">
            <v>201</v>
          </cell>
          <cell r="H1761" t="str">
            <v>BUS-K 201</v>
          </cell>
          <cell r="K1761" t="str">
            <v>Sera,Gipsi</v>
          </cell>
          <cell r="N1761">
            <v>2.472</v>
          </cell>
          <cell r="O1761">
            <v>3</v>
          </cell>
        </row>
        <row r="1762">
          <cell r="E1762" t="str">
            <v>BUS</v>
          </cell>
          <cell r="F1762" t="str">
            <v xml:space="preserve">BUS-K </v>
          </cell>
          <cell r="G1762">
            <v>201</v>
          </cell>
          <cell r="H1762" t="str">
            <v>BUS-K 201</v>
          </cell>
          <cell r="K1762" t="str">
            <v>Sera,Gipsi</v>
          </cell>
          <cell r="N1762">
            <v>2.7</v>
          </cell>
          <cell r="O1762">
            <v>2.9590000000000001</v>
          </cell>
        </row>
        <row r="1763">
          <cell r="E1763" t="str">
            <v>BUS</v>
          </cell>
          <cell r="F1763" t="str">
            <v xml:space="preserve">BUS-K </v>
          </cell>
          <cell r="G1763">
            <v>201</v>
          </cell>
          <cell r="H1763" t="str">
            <v>BUS-K 201</v>
          </cell>
          <cell r="K1763" t="str">
            <v>Sera,Gipsi</v>
          </cell>
          <cell r="N1763">
            <v>2.375</v>
          </cell>
          <cell r="O1763">
            <v>2.9609999999999999</v>
          </cell>
        </row>
        <row r="1764">
          <cell r="E1764" t="str">
            <v>BUS</v>
          </cell>
          <cell r="F1764" t="str">
            <v xml:space="preserve">BUS-K </v>
          </cell>
          <cell r="G1764">
            <v>201</v>
          </cell>
          <cell r="H1764" t="str">
            <v>BUS-K 201</v>
          </cell>
          <cell r="K1764" t="str">
            <v>Stone,Cynthia P</v>
          </cell>
          <cell r="N1764">
            <v>3.13</v>
          </cell>
          <cell r="O1764">
            <v>3.0569999999999999</v>
          </cell>
        </row>
        <row r="1765">
          <cell r="E1765" t="str">
            <v>BUS</v>
          </cell>
          <cell r="F1765" t="str">
            <v xml:space="preserve">BUS-K </v>
          </cell>
          <cell r="G1765">
            <v>201</v>
          </cell>
          <cell r="H1765" t="str">
            <v>BUS-K 201</v>
          </cell>
          <cell r="K1765" t="str">
            <v>Stone,Cynthia P</v>
          </cell>
          <cell r="N1765">
            <v>2.9710000000000001</v>
          </cell>
          <cell r="O1765">
            <v>3.0960000000000001</v>
          </cell>
        </row>
        <row r="1766">
          <cell r="E1766" t="str">
            <v>BUS</v>
          </cell>
          <cell r="F1766" t="str">
            <v xml:space="preserve">BUS-K </v>
          </cell>
          <cell r="G1766">
            <v>201</v>
          </cell>
          <cell r="H1766" t="str">
            <v>BUS-K 201</v>
          </cell>
          <cell r="K1766" t="str">
            <v>Stone,Cynthia P</v>
          </cell>
          <cell r="N1766">
            <v>3.0859999999999999</v>
          </cell>
          <cell r="O1766">
            <v>2.8410000000000002</v>
          </cell>
        </row>
        <row r="1767">
          <cell r="E1767" t="str">
            <v>BUS</v>
          </cell>
          <cell r="F1767" t="str">
            <v xml:space="preserve">BUS-K </v>
          </cell>
          <cell r="G1767">
            <v>201</v>
          </cell>
          <cell r="H1767" t="str">
            <v>BUS-K 201</v>
          </cell>
          <cell r="K1767" t="str">
            <v>Stone,Cynthia P</v>
          </cell>
          <cell r="N1767">
            <v>3.3690000000000002</v>
          </cell>
          <cell r="O1767">
            <v>3.3029999999999999</v>
          </cell>
        </row>
        <row r="1768">
          <cell r="E1768" t="str">
            <v>BUS</v>
          </cell>
          <cell r="F1768" t="str">
            <v xml:space="preserve">BUS-K </v>
          </cell>
          <cell r="G1768">
            <v>201</v>
          </cell>
          <cell r="H1768" t="str">
            <v>BUS-K 201</v>
          </cell>
          <cell r="K1768" t="str">
            <v>Stone,Cynthia P</v>
          </cell>
          <cell r="N1768">
            <v>2.8109999999999999</v>
          </cell>
          <cell r="O1768">
            <v>2.931</v>
          </cell>
        </row>
        <row r="1769">
          <cell r="E1769" t="str">
            <v>BUS</v>
          </cell>
          <cell r="F1769" t="str">
            <v xml:space="preserve">BUS-K </v>
          </cell>
          <cell r="G1769">
            <v>201</v>
          </cell>
          <cell r="H1769" t="str">
            <v>BUS-K 201</v>
          </cell>
          <cell r="K1769" t="str">
            <v>Stone,Cynthia P</v>
          </cell>
          <cell r="N1769">
            <v>2.9180000000000001</v>
          </cell>
          <cell r="O1769">
            <v>2.9590000000000001</v>
          </cell>
        </row>
        <row r="1770">
          <cell r="E1770" t="str">
            <v>BUS</v>
          </cell>
          <cell r="F1770" t="str">
            <v xml:space="preserve">BUS-K </v>
          </cell>
          <cell r="G1770">
            <v>201</v>
          </cell>
          <cell r="H1770" t="str">
            <v>BUS-K 201</v>
          </cell>
          <cell r="K1770" t="str">
            <v>Stone,Cynthia P</v>
          </cell>
          <cell r="N1770">
            <v>2.8639999999999999</v>
          </cell>
          <cell r="O1770">
            <v>2.972</v>
          </cell>
        </row>
        <row r="1771">
          <cell r="E1771" t="str">
            <v>BUS</v>
          </cell>
          <cell r="F1771" t="str">
            <v xml:space="preserve">BUS-K </v>
          </cell>
          <cell r="G1771">
            <v>201</v>
          </cell>
          <cell r="H1771" t="str">
            <v>BUS-K 201</v>
          </cell>
          <cell r="K1771" t="str">
            <v>Swanson,Justin James</v>
          </cell>
          <cell r="N1771">
            <v>2.7370000000000001</v>
          </cell>
          <cell r="O1771">
            <v>2.9580000000000002</v>
          </cell>
        </row>
        <row r="1772">
          <cell r="E1772" t="str">
            <v>BUS</v>
          </cell>
          <cell r="F1772" t="str">
            <v xml:space="preserve">BUS-K </v>
          </cell>
          <cell r="G1772">
            <v>201</v>
          </cell>
          <cell r="H1772" t="str">
            <v>BUS-K 201</v>
          </cell>
          <cell r="K1772" t="str">
            <v>Sweeny,Adam</v>
          </cell>
          <cell r="N1772">
            <v>2.6440000000000001</v>
          </cell>
          <cell r="O1772">
            <v>2.8740000000000001</v>
          </cell>
        </row>
        <row r="1773">
          <cell r="E1773" t="str">
            <v>BUS</v>
          </cell>
          <cell r="F1773" t="str">
            <v xml:space="preserve">BUS-K </v>
          </cell>
          <cell r="G1773">
            <v>201</v>
          </cell>
          <cell r="H1773" t="str">
            <v>BUS-K 201</v>
          </cell>
          <cell r="K1773" t="str">
            <v>Sweeny,Adam</v>
          </cell>
          <cell r="N1773">
            <v>2.7210000000000001</v>
          </cell>
          <cell r="O1773">
            <v>2.9180000000000001</v>
          </cell>
        </row>
        <row r="1774">
          <cell r="E1774" t="str">
            <v>BUS</v>
          </cell>
          <cell r="F1774" t="str">
            <v xml:space="preserve">BUS-K </v>
          </cell>
          <cell r="G1774">
            <v>201</v>
          </cell>
          <cell r="H1774" t="str">
            <v>BUS-K 201</v>
          </cell>
          <cell r="K1774" t="str">
            <v>Sweeny,Adam</v>
          </cell>
          <cell r="N1774">
            <v>2.7</v>
          </cell>
          <cell r="O1774">
            <v>3.0609999999999999</v>
          </cell>
        </row>
        <row r="1775">
          <cell r="E1775" t="str">
            <v>BUS</v>
          </cell>
          <cell r="F1775" t="str">
            <v xml:space="preserve">BUS-K </v>
          </cell>
          <cell r="G1775">
            <v>201</v>
          </cell>
          <cell r="H1775" t="str">
            <v>BUS-K 201</v>
          </cell>
          <cell r="K1775" t="str">
            <v>Telthorst,George M</v>
          </cell>
          <cell r="N1775">
            <v>2.75</v>
          </cell>
          <cell r="O1775">
            <v>3.0230000000000001</v>
          </cell>
        </row>
        <row r="1776">
          <cell r="E1776" t="str">
            <v>BUS</v>
          </cell>
          <cell r="F1776" t="str">
            <v xml:space="preserve">BUS-K </v>
          </cell>
          <cell r="G1776">
            <v>201</v>
          </cell>
          <cell r="H1776" t="str">
            <v>BUS-K 201</v>
          </cell>
          <cell r="K1776" t="str">
            <v>Telthorst,George M</v>
          </cell>
          <cell r="N1776">
            <v>2.72</v>
          </cell>
          <cell r="O1776">
            <v>3.198</v>
          </cell>
        </row>
        <row r="1777">
          <cell r="E1777" t="str">
            <v>BUS</v>
          </cell>
          <cell r="F1777" t="str">
            <v xml:space="preserve">BUS-K </v>
          </cell>
          <cell r="G1777">
            <v>201</v>
          </cell>
          <cell r="H1777" t="str">
            <v>BUS-K 201</v>
          </cell>
          <cell r="K1777" t="str">
            <v>Telthorst,George M</v>
          </cell>
          <cell r="N1777">
            <v>2.7519999999999998</v>
          </cell>
          <cell r="O1777">
            <v>3.1779999999999999</v>
          </cell>
        </row>
        <row r="1778">
          <cell r="E1778" t="str">
            <v>BUS</v>
          </cell>
          <cell r="F1778" t="str">
            <v xml:space="preserve">BUS-K </v>
          </cell>
          <cell r="G1778">
            <v>201</v>
          </cell>
          <cell r="H1778" t="str">
            <v>BUS-K 201</v>
          </cell>
          <cell r="K1778" t="str">
            <v>Telthorst,George M</v>
          </cell>
          <cell r="N1778">
            <v>2.2080000000000002</v>
          </cell>
          <cell r="O1778">
            <v>3.004</v>
          </cell>
        </row>
        <row r="1779">
          <cell r="E1779" t="str">
            <v>BUS</v>
          </cell>
          <cell r="F1779" t="str">
            <v xml:space="preserve">BUS-K </v>
          </cell>
          <cell r="G1779">
            <v>201</v>
          </cell>
          <cell r="H1779" t="str">
            <v>BUS-K 201</v>
          </cell>
          <cell r="K1779" t="str">
            <v>Tiwari,Gloria B</v>
          </cell>
          <cell r="N1779">
            <v>3.024</v>
          </cell>
          <cell r="O1779">
            <v>2.9740000000000002</v>
          </cell>
        </row>
        <row r="1780">
          <cell r="E1780" t="str">
            <v>BUS</v>
          </cell>
          <cell r="F1780" t="str">
            <v xml:space="preserve">BUS-K </v>
          </cell>
          <cell r="G1780">
            <v>201</v>
          </cell>
          <cell r="H1780" t="str">
            <v>BUS-K 201</v>
          </cell>
          <cell r="K1780" t="str">
            <v>Vinson-Chastain,Anna M.</v>
          </cell>
          <cell r="N1780">
            <v>3.1</v>
          </cell>
          <cell r="O1780">
            <v>3.0979999999999999</v>
          </cell>
        </row>
        <row r="1781">
          <cell r="E1781" t="str">
            <v>BUS</v>
          </cell>
          <cell r="F1781" t="str">
            <v xml:space="preserve">BUS-K </v>
          </cell>
          <cell r="G1781">
            <v>201</v>
          </cell>
          <cell r="H1781" t="str">
            <v>BUS-K 201</v>
          </cell>
          <cell r="K1781" t="str">
            <v>Vinson-Chastain,Anna M.</v>
          </cell>
          <cell r="N1781">
            <v>2.9830000000000001</v>
          </cell>
          <cell r="O1781">
            <v>3.1749999999999998</v>
          </cell>
        </row>
        <row r="1782">
          <cell r="E1782" t="str">
            <v>BUS</v>
          </cell>
          <cell r="F1782" t="str">
            <v xml:space="preserve">BUS-K </v>
          </cell>
          <cell r="G1782">
            <v>201</v>
          </cell>
          <cell r="H1782" t="str">
            <v>BUS-K 201</v>
          </cell>
          <cell r="K1782" t="str">
            <v>Vinson-Chastain,Anna M.</v>
          </cell>
          <cell r="N1782">
            <v>2.42</v>
          </cell>
          <cell r="O1782">
            <v>2.9729999999999999</v>
          </cell>
        </row>
        <row r="1783">
          <cell r="E1783" t="str">
            <v>BUS</v>
          </cell>
          <cell r="F1783" t="str">
            <v xml:space="preserve">BUS-K </v>
          </cell>
          <cell r="G1783">
            <v>201</v>
          </cell>
          <cell r="H1783" t="str">
            <v>BUS-K 201</v>
          </cell>
          <cell r="K1783" t="str">
            <v>Walbridge,Sara</v>
          </cell>
          <cell r="N1783">
            <v>2.8130000000000002</v>
          </cell>
          <cell r="O1783">
            <v>2.9740000000000002</v>
          </cell>
        </row>
        <row r="1784">
          <cell r="E1784" t="str">
            <v>BUS</v>
          </cell>
          <cell r="F1784" t="str">
            <v xml:space="preserve">BUS-K </v>
          </cell>
          <cell r="G1784">
            <v>201</v>
          </cell>
          <cell r="H1784" t="str">
            <v>BUS-K 201</v>
          </cell>
          <cell r="K1784" t="str">
            <v>Wells,Taylor Michael</v>
          </cell>
          <cell r="N1784">
            <v>2.5790000000000002</v>
          </cell>
          <cell r="O1784">
            <v>3.0670000000000002</v>
          </cell>
        </row>
        <row r="1785">
          <cell r="E1785" t="str">
            <v>BUS</v>
          </cell>
          <cell r="F1785" t="str">
            <v xml:space="preserve">BUS-K </v>
          </cell>
          <cell r="G1785">
            <v>201</v>
          </cell>
          <cell r="H1785" t="str">
            <v>BUS-K 201</v>
          </cell>
          <cell r="K1785" t="str">
            <v>Wells,Taylor Michael</v>
          </cell>
          <cell r="N1785">
            <v>2.62</v>
          </cell>
          <cell r="O1785">
            <v>2.92</v>
          </cell>
        </row>
        <row r="1786">
          <cell r="E1786" t="str">
            <v>BUS</v>
          </cell>
          <cell r="F1786" t="str">
            <v xml:space="preserve">BUS-K </v>
          </cell>
          <cell r="G1786">
            <v>201</v>
          </cell>
          <cell r="H1786" t="str">
            <v>BUS-K 201</v>
          </cell>
          <cell r="K1786" t="str">
            <v>Wells,Taylor Michael</v>
          </cell>
          <cell r="N1786">
            <v>2.782</v>
          </cell>
          <cell r="O1786">
            <v>2.9910000000000001</v>
          </cell>
        </row>
        <row r="1787">
          <cell r="E1787" t="str">
            <v>BUS</v>
          </cell>
          <cell r="F1787" t="str">
            <v xml:space="preserve">BUS-K </v>
          </cell>
          <cell r="G1787">
            <v>201</v>
          </cell>
          <cell r="H1787" t="str">
            <v>BUS-K 201</v>
          </cell>
          <cell r="K1787" t="str">
            <v>Zhou,Feng</v>
          </cell>
          <cell r="N1787">
            <v>2.802</v>
          </cell>
          <cell r="O1787">
            <v>2.9870000000000001</v>
          </cell>
        </row>
        <row r="1788">
          <cell r="E1788" t="str">
            <v>BUS</v>
          </cell>
          <cell r="F1788" t="str">
            <v xml:space="preserve">BUS-K </v>
          </cell>
          <cell r="G1788">
            <v>201</v>
          </cell>
          <cell r="H1788" t="str">
            <v>BUS-K 201</v>
          </cell>
          <cell r="K1788" t="str">
            <v>Zhou,Feng</v>
          </cell>
          <cell r="N1788">
            <v>2.5230000000000001</v>
          </cell>
          <cell r="O1788">
            <v>2.847</v>
          </cell>
        </row>
        <row r="1789">
          <cell r="E1789" t="str">
            <v>BUS</v>
          </cell>
          <cell r="F1789" t="str">
            <v xml:space="preserve">BUS-K </v>
          </cell>
          <cell r="G1789">
            <v>201</v>
          </cell>
          <cell r="H1789" t="str">
            <v>BUS-K 201</v>
          </cell>
          <cell r="K1789" t="str">
            <v>Zhou,Feng</v>
          </cell>
          <cell r="N1789">
            <v>2.669</v>
          </cell>
          <cell r="O1789">
            <v>2.9769999999999999</v>
          </cell>
        </row>
        <row r="1790">
          <cell r="E1790" t="str">
            <v>BUS</v>
          </cell>
          <cell r="F1790" t="str">
            <v xml:space="preserve">BUS-K </v>
          </cell>
          <cell r="G1790">
            <v>201</v>
          </cell>
          <cell r="H1790" t="str">
            <v>BUS-K 201</v>
          </cell>
          <cell r="K1790" t="str">
            <v>Zhou,Feng</v>
          </cell>
          <cell r="N1790">
            <v>2.85</v>
          </cell>
          <cell r="O1790">
            <v>2.9359999999999999</v>
          </cell>
        </row>
        <row r="1791">
          <cell r="E1791" t="str">
            <v>BUS</v>
          </cell>
          <cell r="F1791" t="str">
            <v xml:space="preserve">BUS-K </v>
          </cell>
          <cell r="G1791">
            <v>204</v>
          </cell>
          <cell r="H1791" t="str">
            <v>BUS-K 204</v>
          </cell>
          <cell r="K1791" t="str">
            <v>Evans Groth,Nicole Lea</v>
          </cell>
          <cell r="N1791">
            <v>3.72</v>
          </cell>
          <cell r="O1791">
            <v>3.5710000000000002</v>
          </cell>
        </row>
        <row r="1792">
          <cell r="E1792" t="str">
            <v>BUS</v>
          </cell>
          <cell r="F1792" t="str">
            <v xml:space="preserve">BUS-K </v>
          </cell>
          <cell r="G1792">
            <v>204</v>
          </cell>
          <cell r="H1792" t="str">
            <v>BUS-K 204</v>
          </cell>
          <cell r="K1792" t="str">
            <v>Evans Groth,Nicole Lea</v>
          </cell>
          <cell r="N1792">
            <v>3.7570000000000001</v>
          </cell>
          <cell r="O1792">
            <v>3.778</v>
          </cell>
        </row>
        <row r="1793">
          <cell r="E1793" t="str">
            <v>BUS</v>
          </cell>
          <cell r="F1793" t="str">
            <v xml:space="preserve">BUS-K </v>
          </cell>
          <cell r="G1793">
            <v>204</v>
          </cell>
          <cell r="H1793" t="str">
            <v>BUS-K 204</v>
          </cell>
          <cell r="K1793" t="str">
            <v>Evans Groth,Nicole Lea</v>
          </cell>
          <cell r="N1793">
            <v>3.6749999999999998</v>
          </cell>
          <cell r="O1793">
            <v>3.73</v>
          </cell>
        </row>
        <row r="1794">
          <cell r="E1794" t="str">
            <v>BUS</v>
          </cell>
          <cell r="F1794" t="str">
            <v xml:space="preserve">BUS-K </v>
          </cell>
          <cell r="G1794">
            <v>204</v>
          </cell>
          <cell r="H1794" t="str">
            <v>BUS-K 204</v>
          </cell>
          <cell r="K1794" t="str">
            <v>Evans Groth,Nicole Lea</v>
          </cell>
          <cell r="N1794">
            <v>3.5289999999999999</v>
          </cell>
          <cell r="O1794">
            <v>3.4670000000000001</v>
          </cell>
        </row>
        <row r="1795">
          <cell r="E1795" t="str">
            <v>BUS</v>
          </cell>
          <cell r="F1795" t="str">
            <v xml:space="preserve">BUS-K </v>
          </cell>
          <cell r="G1795">
            <v>204</v>
          </cell>
          <cell r="H1795" t="str">
            <v>BUS-K 204</v>
          </cell>
          <cell r="K1795" t="str">
            <v>Evans Groth,Nicole Lea</v>
          </cell>
          <cell r="N1795">
            <v>3.8069999999999999</v>
          </cell>
          <cell r="O1795">
            <v>3.6739999999999999</v>
          </cell>
        </row>
        <row r="1796">
          <cell r="E1796" t="str">
            <v>BUS</v>
          </cell>
          <cell r="F1796" t="str">
            <v xml:space="preserve">BUS-K </v>
          </cell>
          <cell r="G1796">
            <v>204</v>
          </cell>
          <cell r="H1796" t="str">
            <v>BUS-K 204</v>
          </cell>
          <cell r="K1796" t="str">
            <v>Evans Groth,Nicole Lea</v>
          </cell>
          <cell r="N1796">
            <v>3.778</v>
          </cell>
          <cell r="O1796">
            <v>3.72</v>
          </cell>
        </row>
        <row r="1797">
          <cell r="E1797" t="str">
            <v>BUS</v>
          </cell>
          <cell r="F1797" t="str">
            <v xml:space="preserve">BUS-K </v>
          </cell>
          <cell r="G1797">
            <v>204</v>
          </cell>
          <cell r="H1797" t="str">
            <v>BUS-K 204</v>
          </cell>
          <cell r="K1797" t="str">
            <v>Heltsley,April A.</v>
          </cell>
          <cell r="N1797">
            <v>3.3580000000000001</v>
          </cell>
          <cell r="O1797">
            <v>3.4049999999999998</v>
          </cell>
        </row>
        <row r="1798">
          <cell r="E1798" t="str">
            <v>BUS</v>
          </cell>
          <cell r="F1798" t="str">
            <v xml:space="preserve">BUS-K </v>
          </cell>
          <cell r="G1798">
            <v>204</v>
          </cell>
          <cell r="H1798" t="str">
            <v>BUS-K 204</v>
          </cell>
          <cell r="K1798" t="str">
            <v>Heltsley,April A.</v>
          </cell>
          <cell r="N1798">
            <v>3.5</v>
          </cell>
          <cell r="O1798">
            <v>3.52</v>
          </cell>
        </row>
        <row r="1799">
          <cell r="E1799" t="str">
            <v>BUS</v>
          </cell>
          <cell r="F1799" t="str">
            <v xml:space="preserve">BUS-K </v>
          </cell>
          <cell r="G1799">
            <v>204</v>
          </cell>
          <cell r="H1799" t="str">
            <v>BUS-K 204</v>
          </cell>
          <cell r="K1799" t="str">
            <v>Heltsley,April A.</v>
          </cell>
          <cell r="N1799">
            <v>3.7450000000000001</v>
          </cell>
          <cell r="O1799">
            <v>3.68</v>
          </cell>
        </row>
        <row r="1800">
          <cell r="E1800" t="str">
            <v>BUS</v>
          </cell>
          <cell r="F1800" t="str">
            <v xml:space="preserve">BUS-K </v>
          </cell>
          <cell r="G1800">
            <v>204</v>
          </cell>
          <cell r="H1800" t="str">
            <v>BUS-K 204</v>
          </cell>
          <cell r="K1800" t="str">
            <v>Heltsley,April A.</v>
          </cell>
          <cell r="N1800">
            <v>3.883</v>
          </cell>
          <cell r="O1800">
            <v>3.8010000000000002</v>
          </cell>
        </row>
        <row r="1801">
          <cell r="E1801" t="str">
            <v>BUS</v>
          </cell>
          <cell r="F1801" t="str">
            <v xml:space="preserve">BUS-K </v>
          </cell>
          <cell r="G1801">
            <v>204</v>
          </cell>
          <cell r="H1801" t="str">
            <v>BUS-K 204</v>
          </cell>
          <cell r="K1801" t="str">
            <v>Heltsley,April A.</v>
          </cell>
          <cell r="N1801">
            <v>3.62</v>
          </cell>
          <cell r="O1801">
            <v>3.5880000000000001</v>
          </cell>
        </row>
        <row r="1802">
          <cell r="E1802" t="str">
            <v>BUS</v>
          </cell>
          <cell r="F1802" t="str">
            <v xml:space="preserve">BUS-K </v>
          </cell>
          <cell r="G1802">
            <v>315</v>
          </cell>
          <cell r="H1802" t="str">
            <v>BUS-K 315</v>
          </cell>
          <cell r="K1802" t="str">
            <v>Akaiwa,Frank Ernest</v>
          </cell>
          <cell r="N1802">
            <v>3.282</v>
          </cell>
          <cell r="O1802">
            <v>3.3149999999999999</v>
          </cell>
        </row>
        <row r="1803">
          <cell r="E1803" t="str">
            <v>BUS</v>
          </cell>
          <cell r="F1803" t="str">
            <v xml:space="preserve">BUS-K </v>
          </cell>
          <cell r="G1803">
            <v>315</v>
          </cell>
          <cell r="H1803" t="str">
            <v>BUS-K 315</v>
          </cell>
          <cell r="K1803" t="str">
            <v>Akaiwa,Frank Ernest</v>
          </cell>
          <cell r="N1803">
            <v>3.754</v>
          </cell>
          <cell r="O1803">
            <v>3.4630000000000001</v>
          </cell>
        </row>
        <row r="1804">
          <cell r="E1804" t="str">
            <v>BUS</v>
          </cell>
          <cell r="F1804" t="str">
            <v xml:space="preserve">BUS-K </v>
          </cell>
          <cell r="G1804">
            <v>315</v>
          </cell>
          <cell r="H1804" t="str">
            <v>BUS-K 315</v>
          </cell>
          <cell r="K1804" t="str">
            <v>Akaiwa,Frank Ernest</v>
          </cell>
          <cell r="N1804">
            <v>3.4060000000000001</v>
          </cell>
          <cell r="O1804">
            <v>3.3530000000000002</v>
          </cell>
        </row>
        <row r="1805">
          <cell r="E1805" t="str">
            <v>BUS</v>
          </cell>
          <cell r="F1805" t="str">
            <v xml:space="preserve">BUS-K </v>
          </cell>
          <cell r="G1805">
            <v>315</v>
          </cell>
          <cell r="H1805" t="str">
            <v>BUS-K 315</v>
          </cell>
          <cell r="K1805" t="str">
            <v>Akaiwa,Frank Ernest</v>
          </cell>
          <cell r="N1805">
            <v>3.5270000000000001</v>
          </cell>
          <cell r="O1805">
            <v>3.508</v>
          </cell>
        </row>
        <row r="1806">
          <cell r="E1806" t="str">
            <v>BUS</v>
          </cell>
          <cell r="F1806" t="str">
            <v xml:space="preserve">BUS-K </v>
          </cell>
          <cell r="G1806">
            <v>315</v>
          </cell>
          <cell r="H1806" t="str">
            <v>BUS-K 315</v>
          </cell>
          <cell r="K1806" t="str">
            <v>Johnson,Kari A</v>
          </cell>
          <cell r="N1806">
            <v>3.4649999999999999</v>
          </cell>
          <cell r="O1806">
            <v>3.427</v>
          </cell>
        </row>
        <row r="1807">
          <cell r="E1807" t="str">
            <v>BUS</v>
          </cell>
          <cell r="F1807" t="str">
            <v xml:space="preserve">BUS-K </v>
          </cell>
          <cell r="G1807">
            <v>315</v>
          </cell>
          <cell r="H1807" t="str">
            <v>BUS-K 315</v>
          </cell>
          <cell r="K1807" t="str">
            <v>Johnson,Kari A</v>
          </cell>
          <cell r="N1807">
            <v>3.3170000000000002</v>
          </cell>
          <cell r="O1807">
            <v>3.2450000000000001</v>
          </cell>
        </row>
        <row r="1808">
          <cell r="E1808" t="str">
            <v>BUS</v>
          </cell>
          <cell r="F1808" t="str">
            <v xml:space="preserve">BUS-K </v>
          </cell>
          <cell r="G1808">
            <v>317</v>
          </cell>
          <cell r="H1808" t="str">
            <v>BUS-K 317</v>
          </cell>
          <cell r="K1808" t="str">
            <v>Newquist,Jay D.</v>
          </cell>
          <cell r="N1808">
            <v>3.5960000000000001</v>
          </cell>
          <cell r="O1808">
            <v>3.4249999999999998</v>
          </cell>
        </row>
        <row r="1809">
          <cell r="E1809" t="str">
            <v>BUS</v>
          </cell>
          <cell r="F1809" t="str">
            <v xml:space="preserve">BUS-K </v>
          </cell>
          <cell r="G1809">
            <v>317</v>
          </cell>
          <cell r="H1809" t="str">
            <v>BUS-K 317</v>
          </cell>
          <cell r="K1809" t="str">
            <v>Newquist,Jay D.</v>
          </cell>
          <cell r="N1809">
            <v>3.9550000000000001</v>
          </cell>
          <cell r="O1809">
            <v>3.4620000000000002</v>
          </cell>
        </row>
        <row r="1810">
          <cell r="E1810" t="str">
            <v>BUS</v>
          </cell>
          <cell r="F1810" t="str">
            <v xml:space="preserve">BUS-K </v>
          </cell>
          <cell r="G1810">
            <v>327</v>
          </cell>
          <cell r="H1810" t="str">
            <v>BUS-K 327</v>
          </cell>
          <cell r="K1810" t="str">
            <v>Serex,Paul</v>
          </cell>
          <cell r="N1810">
            <v>3.8</v>
          </cell>
          <cell r="O1810">
            <v>3.5019999999999998</v>
          </cell>
        </row>
        <row r="1811">
          <cell r="E1811" t="str">
            <v>BUS</v>
          </cell>
          <cell r="F1811" t="str">
            <v xml:space="preserve">BUS-K </v>
          </cell>
          <cell r="G1811">
            <v>410</v>
          </cell>
          <cell r="H1811" t="str">
            <v>BUS-K 410</v>
          </cell>
          <cell r="K1811" t="str">
            <v>Aydin,Goker</v>
          </cell>
          <cell r="N1811">
            <v>3.5070000000000001</v>
          </cell>
          <cell r="O1811">
            <v>3.3519999999999999</v>
          </cell>
        </row>
        <row r="1812">
          <cell r="E1812" t="str">
            <v>BUS</v>
          </cell>
          <cell r="F1812" t="str">
            <v xml:space="preserve">BUS-K </v>
          </cell>
          <cell r="G1812">
            <v>410</v>
          </cell>
          <cell r="H1812" t="str">
            <v>BUS-K 410</v>
          </cell>
          <cell r="K1812" t="str">
            <v>Aydin,Goker</v>
          </cell>
          <cell r="N1812">
            <v>3.6640000000000001</v>
          </cell>
          <cell r="O1812">
            <v>3.2989999999999999</v>
          </cell>
        </row>
        <row r="1813">
          <cell r="E1813" t="str">
            <v>BUS</v>
          </cell>
          <cell r="F1813" t="str">
            <v xml:space="preserve">BUS-K </v>
          </cell>
          <cell r="G1813">
            <v>410</v>
          </cell>
          <cell r="H1813" t="str">
            <v>BUS-K 410</v>
          </cell>
          <cell r="K1813" t="str">
            <v>Mills,Alex F</v>
          </cell>
          <cell r="N1813">
            <v>3.3860000000000001</v>
          </cell>
          <cell r="O1813">
            <v>3.3239999999999998</v>
          </cell>
        </row>
        <row r="1814">
          <cell r="E1814" t="str">
            <v>BUS</v>
          </cell>
          <cell r="F1814" t="str">
            <v xml:space="preserve">BUS-K </v>
          </cell>
          <cell r="G1814">
            <v>507</v>
          </cell>
          <cell r="H1814" t="str">
            <v>BUS-K 507</v>
          </cell>
          <cell r="K1814" t="str">
            <v>Winston,Wayne L.</v>
          </cell>
          <cell r="N1814">
            <v>3.7410000000000001</v>
          </cell>
          <cell r="O1814">
            <v>3.6019999999999999</v>
          </cell>
        </row>
        <row r="1815">
          <cell r="E1815" t="str">
            <v>BUS</v>
          </cell>
          <cell r="F1815" t="str">
            <v xml:space="preserve">BUS-K </v>
          </cell>
          <cell r="G1815">
            <v>507</v>
          </cell>
          <cell r="H1815" t="str">
            <v>BUS-K 507</v>
          </cell>
          <cell r="K1815" t="str">
            <v>Winston,Wayne L.</v>
          </cell>
          <cell r="N1815">
            <v>3.79</v>
          </cell>
          <cell r="O1815">
            <v>3.5950000000000002</v>
          </cell>
        </row>
        <row r="1816">
          <cell r="E1816" t="str">
            <v>BUS</v>
          </cell>
          <cell r="F1816" t="str">
            <v xml:space="preserve">BUS-K </v>
          </cell>
          <cell r="G1816">
            <v>507</v>
          </cell>
          <cell r="H1816" t="str">
            <v>BUS-K 507</v>
          </cell>
          <cell r="K1816" t="str">
            <v>Winston,Wayne L.</v>
          </cell>
          <cell r="N1816">
            <v>3.823</v>
          </cell>
          <cell r="O1816">
            <v>3.5179999999999998</v>
          </cell>
        </row>
        <row r="1817">
          <cell r="E1817" t="str">
            <v>BUS</v>
          </cell>
          <cell r="F1817" t="str">
            <v xml:space="preserve">BUS-K </v>
          </cell>
          <cell r="G1817">
            <v>507</v>
          </cell>
          <cell r="H1817" t="str">
            <v>BUS-K 507</v>
          </cell>
          <cell r="K1817" t="str">
            <v>Winston,Wayne L.</v>
          </cell>
          <cell r="N1817">
            <v>3.7989999999999999</v>
          </cell>
          <cell r="O1817">
            <v>3.569</v>
          </cell>
        </row>
        <row r="1818">
          <cell r="E1818" t="str">
            <v>BUS</v>
          </cell>
          <cell r="F1818" t="str">
            <v xml:space="preserve">BUS-K </v>
          </cell>
          <cell r="G1818">
            <v>507</v>
          </cell>
          <cell r="H1818" t="str">
            <v>BUS-K 507</v>
          </cell>
          <cell r="K1818" t="str">
            <v>Winston,Wayne L.</v>
          </cell>
          <cell r="N1818">
            <v>3.8279999999999998</v>
          </cell>
          <cell r="O1818">
            <v>3.5920000000000001</v>
          </cell>
        </row>
        <row r="1819">
          <cell r="E1819" t="str">
            <v>BUS</v>
          </cell>
          <cell r="F1819" t="str">
            <v xml:space="preserve">BUS-K </v>
          </cell>
          <cell r="G1819">
            <v>508</v>
          </cell>
          <cell r="H1819" t="str">
            <v>BUS-K 508</v>
          </cell>
          <cell r="K1819" t="str">
            <v>Winston,Wayne L.</v>
          </cell>
          <cell r="N1819">
            <v>3.629</v>
          </cell>
          <cell r="O1819">
            <v>3.6160000000000001</v>
          </cell>
        </row>
        <row r="1820">
          <cell r="E1820" t="str">
            <v>BUS</v>
          </cell>
          <cell r="F1820" t="str">
            <v xml:space="preserve">BUS-K </v>
          </cell>
          <cell r="G1820">
            <v>508</v>
          </cell>
          <cell r="H1820" t="str">
            <v>BUS-K 508</v>
          </cell>
          <cell r="K1820" t="str">
            <v>Winston,Wayne L.</v>
          </cell>
          <cell r="N1820">
            <v>3.6360000000000001</v>
          </cell>
          <cell r="O1820">
            <v>3.5910000000000002</v>
          </cell>
        </row>
        <row r="1821">
          <cell r="E1821" t="str">
            <v>BUS</v>
          </cell>
          <cell r="F1821" t="str">
            <v xml:space="preserve">BUS-K </v>
          </cell>
          <cell r="G1821">
            <v>509</v>
          </cell>
          <cell r="H1821" t="str">
            <v>BUS-K 509</v>
          </cell>
          <cell r="K1821" t="str">
            <v>Winston,Wayne L.</v>
          </cell>
          <cell r="N1821">
            <v>3.6429999999999998</v>
          </cell>
          <cell r="O1821">
            <v>3.5960000000000001</v>
          </cell>
        </row>
        <row r="1822">
          <cell r="E1822" t="str">
            <v>BUS</v>
          </cell>
          <cell r="F1822" t="str">
            <v xml:space="preserve">BUS-K </v>
          </cell>
          <cell r="G1822">
            <v>509</v>
          </cell>
          <cell r="H1822" t="str">
            <v>BUS-K 509</v>
          </cell>
          <cell r="K1822" t="str">
            <v>Winston,Wayne L.</v>
          </cell>
          <cell r="N1822">
            <v>3.7040000000000002</v>
          </cell>
          <cell r="O1822">
            <v>3.5430000000000001</v>
          </cell>
        </row>
        <row r="1823">
          <cell r="E1823" t="str">
            <v>BUS</v>
          </cell>
          <cell r="F1823" t="str">
            <v xml:space="preserve">BUS-K </v>
          </cell>
          <cell r="G1823">
            <v>513</v>
          </cell>
          <cell r="H1823" t="str">
            <v>BUS-K 513</v>
          </cell>
          <cell r="K1823" t="str">
            <v>Khatri,Vijay</v>
          </cell>
          <cell r="N1823">
            <v>3.7730000000000001</v>
          </cell>
          <cell r="O1823">
            <v>3.6469999999999998</v>
          </cell>
        </row>
        <row r="1824">
          <cell r="E1824" t="str">
            <v>BUS</v>
          </cell>
          <cell r="F1824" t="str">
            <v xml:space="preserve">BUS-K </v>
          </cell>
          <cell r="G1824">
            <v>515</v>
          </cell>
          <cell r="H1824" t="str">
            <v>BUS-K 515</v>
          </cell>
          <cell r="K1824" t="str">
            <v>Kinser,James Eric</v>
          </cell>
          <cell r="N1824">
            <v>3.82</v>
          </cell>
          <cell r="O1824">
            <v>3.6720000000000002</v>
          </cell>
        </row>
        <row r="1825">
          <cell r="E1825" t="str">
            <v>BUS</v>
          </cell>
          <cell r="F1825" t="str">
            <v xml:space="preserve">BUS-K </v>
          </cell>
          <cell r="G1825">
            <v>579</v>
          </cell>
          <cell r="H1825" t="str">
            <v>BUS-K 579</v>
          </cell>
          <cell r="K1825" t="str">
            <v>Soni,Ashok</v>
          </cell>
          <cell r="N1825">
            <v>3.8639999999999999</v>
          </cell>
          <cell r="O1825">
            <v>3.6120000000000001</v>
          </cell>
        </row>
        <row r="1826">
          <cell r="E1826" t="str">
            <v>BUS</v>
          </cell>
          <cell r="F1826" t="str">
            <v xml:space="preserve">BUS-K </v>
          </cell>
          <cell r="G1826">
            <v>579</v>
          </cell>
          <cell r="H1826" t="str">
            <v>BUS-K 579</v>
          </cell>
          <cell r="K1826" t="str">
            <v>Soni,Ashok</v>
          </cell>
          <cell r="N1826">
            <v>3.7890000000000001</v>
          </cell>
          <cell r="O1826">
            <v>3.7</v>
          </cell>
        </row>
        <row r="1827">
          <cell r="E1827" t="str">
            <v>BUS</v>
          </cell>
          <cell r="F1827" t="str">
            <v xml:space="preserve">BUS-K </v>
          </cell>
          <cell r="G1827">
            <v>590</v>
          </cell>
          <cell r="H1827" t="str">
            <v>BUS-K 590</v>
          </cell>
          <cell r="K1827" t="str">
            <v>Blocher,James D</v>
          </cell>
          <cell r="N1827" t="str">
            <v>NR</v>
          </cell>
          <cell r="O1827" t="str">
            <v>NR</v>
          </cell>
        </row>
        <row r="1828">
          <cell r="E1828" t="str">
            <v>BUS</v>
          </cell>
          <cell r="F1828" t="str">
            <v xml:space="preserve">BUS-K </v>
          </cell>
          <cell r="G1828">
            <v>590</v>
          </cell>
          <cell r="H1828" t="str">
            <v>BUS-K 590</v>
          </cell>
          <cell r="K1828" t="str">
            <v>Blocher,James D</v>
          </cell>
          <cell r="N1828" t="str">
            <v>NR</v>
          </cell>
          <cell r="O1828" t="str">
            <v>NR</v>
          </cell>
        </row>
        <row r="1829">
          <cell r="E1829" t="str">
            <v>BUS</v>
          </cell>
          <cell r="F1829" t="str">
            <v xml:space="preserve">BUS-K </v>
          </cell>
          <cell r="G1829">
            <v>603</v>
          </cell>
          <cell r="H1829" t="str">
            <v>BUS-K 603</v>
          </cell>
          <cell r="K1829" t="str">
            <v>Hu,Shanshan</v>
          </cell>
          <cell r="N1829" t="str">
            <v>NR</v>
          </cell>
          <cell r="O1829" t="str">
            <v>NR</v>
          </cell>
        </row>
        <row r="1830">
          <cell r="E1830" t="str">
            <v>BUS</v>
          </cell>
          <cell r="F1830" t="str">
            <v xml:space="preserve">BUS-K </v>
          </cell>
          <cell r="G1830">
            <v>604</v>
          </cell>
          <cell r="H1830" t="str">
            <v>BUS-K 604</v>
          </cell>
          <cell r="K1830" t="str">
            <v>Hu,Shanshan</v>
          </cell>
          <cell r="N1830" t="str">
            <v>NR</v>
          </cell>
          <cell r="O1830" t="str">
            <v>NR</v>
          </cell>
        </row>
        <row r="1831">
          <cell r="E1831" t="str">
            <v>BUS</v>
          </cell>
          <cell r="F1831" t="str">
            <v xml:space="preserve">BUS-K </v>
          </cell>
          <cell r="G1831">
            <v>605</v>
          </cell>
          <cell r="H1831" t="str">
            <v>BUS-K 605</v>
          </cell>
          <cell r="K1831" t="str">
            <v>Aydin,Goker</v>
          </cell>
          <cell r="N1831" t="str">
            <v>NR</v>
          </cell>
          <cell r="O1831" t="str">
            <v>NR</v>
          </cell>
        </row>
        <row r="1832">
          <cell r="E1832" t="str">
            <v>BUS</v>
          </cell>
          <cell r="F1832" t="str">
            <v xml:space="preserve">BUS-K </v>
          </cell>
          <cell r="G1832">
            <v>635</v>
          </cell>
          <cell r="H1832" t="str">
            <v>BUS-K 635</v>
          </cell>
          <cell r="K1832" t="str">
            <v>Bretthauer,Kurt Michael</v>
          </cell>
          <cell r="N1832" t="str">
            <v>NR</v>
          </cell>
          <cell r="O1832" t="str">
            <v>NR</v>
          </cell>
        </row>
        <row r="1833">
          <cell r="E1833" t="str">
            <v>BUS</v>
          </cell>
          <cell r="F1833" t="str">
            <v xml:space="preserve">BUS-K </v>
          </cell>
          <cell r="G1833">
            <v>635</v>
          </cell>
          <cell r="H1833" t="str">
            <v>BUS-K 635</v>
          </cell>
          <cell r="K1833" t="str">
            <v>Hu,Shanshan</v>
          </cell>
          <cell r="N1833" t="str">
            <v>NR</v>
          </cell>
          <cell r="O1833" t="str">
            <v>NR</v>
          </cell>
        </row>
        <row r="1834">
          <cell r="E1834" t="str">
            <v>BUS</v>
          </cell>
          <cell r="F1834" t="str">
            <v xml:space="preserve">BUS-L </v>
          </cell>
          <cell r="G1834">
            <v>100</v>
          </cell>
          <cell r="H1834" t="str">
            <v>BUS-L 100</v>
          </cell>
          <cell r="K1834" t="str">
            <v>Brown,Eve Joy</v>
          </cell>
          <cell r="N1834">
            <v>2.915</v>
          </cell>
          <cell r="O1834">
            <v>3.0750000000000002</v>
          </cell>
        </row>
        <row r="1835">
          <cell r="E1835" t="str">
            <v>BUS</v>
          </cell>
          <cell r="F1835" t="str">
            <v xml:space="preserve">BUS-L </v>
          </cell>
          <cell r="G1835">
            <v>100</v>
          </cell>
          <cell r="H1835" t="str">
            <v>BUS-L 100</v>
          </cell>
          <cell r="K1835" t="str">
            <v>Stemler,Abbey</v>
          </cell>
          <cell r="N1835">
            <v>3.2389999999999999</v>
          </cell>
          <cell r="O1835">
            <v>3.02</v>
          </cell>
        </row>
        <row r="1836">
          <cell r="E1836" t="str">
            <v>BUS</v>
          </cell>
          <cell r="F1836" t="str">
            <v xml:space="preserve">BUS-L </v>
          </cell>
          <cell r="G1836">
            <v>201</v>
          </cell>
          <cell r="H1836" t="str">
            <v>BUS-L 201</v>
          </cell>
          <cell r="K1836" t="str">
            <v>Bongard,Victor</v>
          </cell>
          <cell r="N1836">
            <v>2.5</v>
          </cell>
          <cell r="O1836">
            <v>3.1030000000000002</v>
          </cell>
        </row>
        <row r="1837">
          <cell r="E1837" t="str">
            <v>BUS</v>
          </cell>
          <cell r="F1837" t="str">
            <v xml:space="preserve">BUS-L </v>
          </cell>
          <cell r="G1837">
            <v>201</v>
          </cell>
          <cell r="H1837" t="str">
            <v>BUS-L 201</v>
          </cell>
          <cell r="K1837" t="str">
            <v>Bongard,Victor</v>
          </cell>
          <cell r="N1837">
            <v>2.609</v>
          </cell>
          <cell r="O1837">
            <v>3.1320000000000001</v>
          </cell>
        </row>
        <row r="1838">
          <cell r="E1838" t="str">
            <v>BUS</v>
          </cell>
          <cell r="F1838" t="str">
            <v xml:space="preserve">BUS-L </v>
          </cell>
          <cell r="G1838">
            <v>201</v>
          </cell>
          <cell r="H1838" t="str">
            <v>BUS-L 201</v>
          </cell>
          <cell r="K1838" t="str">
            <v>Langvardt,Kyle</v>
          </cell>
          <cell r="N1838">
            <v>2.3929999999999998</v>
          </cell>
          <cell r="O1838">
            <v>3.1640000000000001</v>
          </cell>
        </row>
        <row r="1839">
          <cell r="E1839" t="str">
            <v>BUS</v>
          </cell>
          <cell r="F1839" t="str">
            <v xml:space="preserve">BUS-L </v>
          </cell>
          <cell r="G1839">
            <v>201</v>
          </cell>
          <cell r="H1839" t="str">
            <v>BUS-L 201</v>
          </cell>
          <cell r="K1839" t="str">
            <v>Langvardt,Kyle</v>
          </cell>
          <cell r="N1839">
            <v>2.2320000000000002</v>
          </cell>
          <cell r="O1839">
            <v>3.1030000000000002</v>
          </cell>
        </row>
        <row r="1840">
          <cell r="E1840" t="str">
            <v>BUS</v>
          </cell>
          <cell r="F1840" t="str">
            <v xml:space="preserve">BUS-L </v>
          </cell>
          <cell r="G1840">
            <v>201</v>
          </cell>
          <cell r="H1840" t="str">
            <v>BUS-L 201</v>
          </cell>
          <cell r="K1840" t="str">
            <v>Lemper,Tim</v>
          </cell>
          <cell r="N1840">
            <v>2.8559999999999999</v>
          </cell>
          <cell r="O1840">
            <v>3.157</v>
          </cell>
        </row>
        <row r="1841">
          <cell r="E1841" t="str">
            <v>BUS</v>
          </cell>
          <cell r="F1841" t="str">
            <v xml:space="preserve">BUS-L </v>
          </cell>
          <cell r="G1841">
            <v>201</v>
          </cell>
          <cell r="H1841" t="str">
            <v>BUS-L 201</v>
          </cell>
          <cell r="K1841" t="str">
            <v>Mallor,Jane P.</v>
          </cell>
          <cell r="N1841">
            <v>2.633</v>
          </cell>
          <cell r="O1841">
            <v>3.1760000000000002</v>
          </cell>
        </row>
        <row r="1842">
          <cell r="E1842" t="str">
            <v>BUS</v>
          </cell>
          <cell r="F1842" t="str">
            <v xml:space="preserve">BUS-L </v>
          </cell>
          <cell r="G1842">
            <v>201</v>
          </cell>
          <cell r="H1842" t="str">
            <v>BUS-L 201</v>
          </cell>
          <cell r="K1842" t="str">
            <v>Raymond,Angie</v>
          </cell>
          <cell r="N1842">
            <v>3.1219999999999999</v>
          </cell>
          <cell r="O1842">
            <v>3.2949999999999999</v>
          </cell>
        </row>
        <row r="1843">
          <cell r="E1843" t="str">
            <v>BUS</v>
          </cell>
          <cell r="F1843" t="str">
            <v xml:space="preserve">BUS-L </v>
          </cell>
          <cell r="G1843">
            <v>201</v>
          </cell>
          <cell r="H1843" t="str">
            <v>BUS-L 201</v>
          </cell>
          <cell r="K1843" t="str">
            <v>Rubin,Joel D.</v>
          </cell>
          <cell r="N1843">
            <v>2.4940000000000002</v>
          </cell>
          <cell r="O1843">
            <v>3.1190000000000002</v>
          </cell>
        </row>
        <row r="1844">
          <cell r="E1844" t="str">
            <v>BUS</v>
          </cell>
          <cell r="F1844" t="str">
            <v xml:space="preserve">BUS-L </v>
          </cell>
          <cell r="G1844">
            <v>201</v>
          </cell>
          <cell r="H1844" t="str">
            <v>BUS-L 201</v>
          </cell>
          <cell r="K1844" t="str">
            <v>Rubin,Joel D.</v>
          </cell>
          <cell r="N1844">
            <v>2.5630000000000002</v>
          </cell>
          <cell r="O1844">
            <v>3.1859999999999999</v>
          </cell>
        </row>
        <row r="1845">
          <cell r="E1845" t="str">
            <v>BUS</v>
          </cell>
          <cell r="F1845" t="str">
            <v xml:space="preserve">BUS-L </v>
          </cell>
          <cell r="G1845">
            <v>201</v>
          </cell>
          <cell r="H1845" t="str">
            <v>BUS-L 201</v>
          </cell>
          <cell r="K1845" t="str">
            <v>Rubin,Joel D.</v>
          </cell>
          <cell r="N1845">
            <v>2.786</v>
          </cell>
          <cell r="O1845">
            <v>3.234</v>
          </cell>
        </row>
        <row r="1846">
          <cell r="E1846" t="str">
            <v>BUS</v>
          </cell>
          <cell r="F1846" t="str">
            <v xml:space="preserve">BUS-L </v>
          </cell>
          <cell r="G1846">
            <v>201</v>
          </cell>
          <cell r="H1846" t="str">
            <v>BUS-L 201</v>
          </cell>
          <cell r="K1846" t="str">
            <v>Rubin,Joel D.</v>
          </cell>
          <cell r="N1846">
            <v>2.6789999999999998</v>
          </cell>
          <cell r="O1846">
            <v>3.1840000000000002</v>
          </cell>
        </row>
        <row r="1847">
          <cell r="E1847" t="str">
            <v>BUS</v>
          </cell>
          <cell r="F1847" t="str">
            <v xml:space="preserve">BUS-L </v>
          </cell>
          <cell r="G1847">
            <v>201</v>
          </cell>
          <cell r="H1847" t="str">
            <v>BUS-L 201</v>
          </cell>
          <cell r="K1847" t="str">
            <v>Stemler,Abbey</v>
          </cell>
          <cell r="N1847">
            <v>3.278</v>
          </cell>
          <cell r="O1847">
            <v>3.194</v>
          </cell>
        </row>
        <row r="1848">
          <cell r="E1848" t="str">
            <v>BUS</v>
          </cell>
          <cell r="F1848" t="str">
            <v xml:space="preserve">BUS-L </v>
          </cell>
          <cell r="G1848">
            <v>201</v>
          </cell>
          <cell r="H1848" t="str">
            <v>BUS-L 201</v>
          </cell>
          <cell r="K1848" t="str">
            <v>Stemler,Abbey</v>
          </cell>
          <cell r="N1848">
            <v>3.2519999999999998</v>
          </cell>
          <cell r="O1848">
            <v>3.1760000000000002</v>
          </cell>
        </row>
        <row r="1849">
          <cell r="E1849" t="str">
            <v>BUS</v>
          </cell>
          <cell r="F1849" t="str">
            <v xml:space="preserve">BUS-L </v>
          </cell>
          <cell r="G1849">
            <v>250</v>
          </cell>
          <cell r="H1849" t="str">
            <v>BUS-L 250</v>
          </cell>
          <cell r="K1849" t="str">
            <v>Brown,Eve Joy</v>
          </cell>
          <cell r="N1849">
            <v>3.5739999999999998</v>
          </cell>
          <cell r="O1849">
            <v>3.2679999999999998</v>
          </cell>
        </row>
        <row r="1850">
          <cell r="E1850" t="str">
            <v>BUS</v>
          </cell>
          <cell r="F1850" t="str">
            <v xml:space="preserve">BUS-L </v>
          </cell>
          <cell r="G1850">
            <v>293</v>
          </cell>
          <cell r="H1850" t="str">
            <v>BUS-L 293</v>
          </cell>
          <cell r="K1850" t="str">
            <v>McCrory,Martin Arthur</v>
          </cell>
          <cell r="N1850">
            <v>3.3919999999999999</v>
          </cell>
          <cell r="O1850">
            <v>3.7010000000000001</v>
          </cell>
        </row>
        <row r="1851">
          <cell r="E1851" t="str">
            <v>BUS</v>
          </cell>
          <cell r="F1851" t="str">
            <v xml:space="preserve">BUS-L </v>
          </cell>
          <cell r="G1851">
            <v>293</v>
          </cell>
          <cell r="H1851" t="str">
            <v>BUS-L 293</v>
          </cell>
          <cell r="K1851" t="str">
            <v>McCrory,Martin Arthur</v>
          </cell>
          <cell r="N1851">
            <v>3.5150000000000001</v>
          </cell>
          <cell r="O1851">
            <v>3.7250000000000001</v>
          </cell>
        </row>
        <row r="1852">
          <cell r="E1852" t="str">
            <v>BUS</v>
          </cell>
          <cell r="F1852" t="str">
            <v xml:space="preserve">BUS-L </v>
          </cell>
          <cell r="G1852">
            <v>293</v>
          </cell>
          <cell r="H1852" t="str">
            <v>BUS-L 293</v>
          </cell>
          <cell r="K1852" t="str">
            <v>McCrory,Martin Arthur</v>
          </cell>
          <cell r="N1852">
            <v>3.2109999999999999</v>
          </cell>
          <cell r="O1852">
            <v>3.734</v>
          </cell>
        </row>
        <row r="1853">
          <cell r="E1853" t="str">
            <v>BUS</v>
          </cell>
          <cell r="F1853" t="str">
            <v xml:space="preserve">BUS-L </v>
          </cell>
          <cell r="G1853">
            <v>293</v>
          </cell>
          <cell r="H1853" t="str">
            <v>BUS-L 293</v>
          </cell>
          <cell r="K1853" t="str">
            <v>McCrory,Martin Arthur</v>
          </cell>
          <cell r="N1853">
            <v>3.25</v>
          </cell>
          <cell r="O1853">
            <v>3.62</v>
          </cell>
        </row>
        <row r="1854">
          <cell r="E1854" t="str">
            <v>BUS</v>
          </cell>
          <cell r="F1854" t="str">
            <v xml:space="preserve">BUS-L </v>
          </cell>
          <cell r="G1854">
            <v>302</v>
          </cell>
          <cell r="H1854" t="str">
            <v>BUS-L 302</v>
          </cell>
          <cell r="K1854" t="str">
            <v>Shackelford,Scott James</v>
          </cell>
          <cell r="N1854">
            <v>3.9769999999999999</v>
          </cell>
          <cell r="O1854">
            <v>3.5840000000000001</v>
          </cell>
        </row>
        <row r="1855">
          <cell r="E1855" t="str">
            <v>BUS</v>
          </cell>
          <cell r="F1855" t="str">
            <v xml:space="preserve">BUS-L </v>
          </cell>
          <cell r="G1855">
            <v>303</v>
          </cell>
          <cell r="H1855" t="str">
            <v>BUS-L 303</v>
          </cell>
          <cell r="K1855" t="str">
            <v>Raymond,Angie</v>
          </cell>
          <cell r="N1855">
            <v>3.8</v>
          </cell>
          <cell r="O1855">
            <v>3.5510000000000002</v>
          </cell>
        </row>
        <row r="1856">
          <cell r="E1856" t="str">
            <v>BUS</v>
          </cell>
          <cell r="F1856" t="str">
            <v xml:space="preserve">BUS-L </v>
          </cell>
          <cell r="G1856">
            <v>312</v>
          </cell>
          <cell r="H1856" t="str">
            <v>BUS-L 312</v>
          </cell>
          <cell r="K1856" t="str">
            <v>Perry,Josh</v>
          </cell>
          <cell r="N1856">
            <v>3.2839999999999998</v>
          </cell>
          <cell r="O1856">
            <v>3.3279999999999998</v>
          </cell>
        </row>
        <row r="1857">
          <cell r="E1857" t="str">
            <v>BUS</v>
          </cell>
          <cell r="F1857" t="str">
            <v xml:space="preserve">BUS-L </v>
          </cell>
          <cell r="G1857">
            <v>312</v>
          </cell>
          <cell r="H1857" t="str">
            <v>BUS-L 312</v>
          </cell>
          <cell r="K1857" t="str">
            <v>Rubin,Joel D.</v>
          </cell>
          <cell r="N1857">
            <v>3.4239999999999999</v>
          </cell>
          <cell r="O1857">
            <v>3.3380000000000001</v>
          </cell>
        </row>
        <row r="1858">
          <cell r="E1858" t="str">
            <v>BUS</v>
          </cell>
          <cell r="F1858" t="str">
            <v xml:space="preserve">BUS-L </v>
          </cell>
          <cell r="G1858">
            <v>355</v>
          </cell>
          <cell r="H1858" t="str">
            <v>BUS-L 355</v>
          </cell>
          <cell r="K1858" t="str">
            <v>Hayford,Stephen L.</v>
          </cell>
          <cell r="N1858">
            <v>3.91</v>
          </cell>
          <cell r="O1858">
            <v>3.6739999999999999</v>
          </cell>
        </row>
        <row r="1859">
          <cell r="E1859" t="str">
            <v>BUS</v>
          </cell>
          <cell r="F1859" t="str">
            <v xml:space="preserve">BUS-L </v>
          </cell>
          <cell r="G1859">
            <v>356</v>
          </cell>
          <cell r="H1859" t="str">
            <v>BUS-L 356</v>
          </cell>
          <cell r="K1859" t="str">
            <v>Lemper,Tim</v>
          </cell>
          <cell r="N1859">
            <v>3.4670000000000001</v>
          </cell>
          <cell r="O1859">
            <v>3.2629999999999999</v>
          </cell>
        </row>
        <row r="1860">
          <cell r="E1860" t="str">
            <v>BUS</v>
          </cell>
          <cell r="F1860" t="str">
            <v xml:space="preserve">BUS-L </v>
          </cell>
          <cell r="G1860">
            <v>406</v>
          </cell>
          <cell r="H1860" t="str">
            <v>BUS-L 406</v>
          </cell>
          <cell r="K1860" t="str">
            <v>Prenkert,Jamie D</v>
          </cell>
          <cell r="N1860">
            <v>3.8570000000000002</v>
          </cell>
          <cell r="O1860">
            <v>3.5710000000000002</v>
          </cell>
        </row>
        <row r="1861">
          <cell r="E1861" t="str">
            <v>BUS</v>
          </cell>
          <cell r="F1861" t="str">
            <v xml:space="preserve">BUS-L </v>
          </cell>
          <cell r="G1861">
            <v>408</v>
          </cell>
          <cell r="H1861" t="str">
            <v>BUS-L 408</v>
          </cell>
          <cell r="K1861" t="str">
            <v>Coyne,Lynn H</v>
          </cell>
          <cell r="N1861">
            <v>3.593</v>
          </cell>
          <cell r="O1861">
            <v>3.2450000000000001</v>
          </cell>
        </row>
        <row r="1862">
          <cell r="E1862" t="str">
            <v>BUS</v>
          </cell>
          <cell r="F1862" t="str">
            <v xml:space="preserve">BUS-L </v>
          </cell>
          <cell r="G1862">
            <v>411</v>
          </cell>
          <cell r="H1862" t="str">
            <v>BUS-L 411</v>
          </cell>
          <cell r="K1862" t="str">
            <v>Raymond,Angie</v>
          </cell>
          <cell r="N1862">
            <v>3.819</v>
          </cell>
          <cell r="O1862">
            <v>3.2829999999999999</v>
          </cell>
        </row>
        <row r="1863">
          <cell r="E1863" t="str">
            <v>BUS</v>
          </cell>
          <cell r="F1863" t="str">
            <v xml:space="preserve">BUS-L </v>
          </cell>
          <cell r="G1863">
            <v>531</v>
          </cell>
          <cell r="H1863" t="str">
            <v>BUS-L 531</v>
          </cell>
          <cell r="K1863" t="str">
            <v>Langvardt,Arlen W.</v>
          </cell>
          <cell r="N1863">
            <v>3.7269999999999999</v>
          </cell>
          <cell r="O1863">
            <v>3.61</v>
          </cell>
        </row>
        <row r="1864">
          <cell r="E1864" t="str">
            <v>BUS</v>
          </cell>
          <cell r="F1864" t="str">
            <v xml:space="preserve">BUS-L </v>
          </cell>
          <cell r="G1864">
            <v>533</v>
          </cell>
          <cell r="H1864" t="str">
            <v>BUS-L 533</v>
          </cell>
          <cell r="K1864" t="str">
            <v>Perry,Josh</v>
          </cell>
          <cell r="N1864">
            <v>3.5630000000000002</v>
          </cell>
          <cell r="O1864">
            <v>3.5880000000000001</v>
          </cell>
        </row>
        <row r="1865">
          <cell r="E1865" t="str">
            <v>BUS</v>
          </cell>
          <cell r="F1865" t="str">
            <v xml:space="preserve">BUS-L </v>
          </cell>
          <cell r="G1865">
            <v>540</v>
          </cell>
          <cell r="H1865" t="str">
            <v>BUS-L 540</v>
          </cell>
          <cell r="K1865" t="str">
            <v>Bowers,L. Thomas</v>
          </cell>
          <cell r="N1865">
            <v>3.55</v>
          </cell>
          <cell r="O1865">
            <v>3.6219999999999999</v>
          </cell>
        </row>
        <row r="1866">
          <cell r="E1866" t="str">
            <v>BUS</v>
          </cell>
          <cell r="F1866" t="str">
            <v xml:space="preserve">BUS-L </v>
          </cell>
          <cell r="G1866">
            <v>540</v>
          </cell>
          <cell r="H1866" t="str">
            <v>BUS-L 540</v>
          </cell>
          <cell r="K1866" t="str">
            <v>Bowers,L. Thomas</v>
          </cell>
          <cell r="N1866">
            <v>3.5230000000000001</v>
          </cell>
          <cell r="O1866">
            <v>3.6059999999999999</v>
          </cell>
        </row>
        <row r="1867">
          <cell r="E1867" t="str">
            <v>BUS</v>
          </cell>
          <cell r="F1867" t="str">
            <v xml:space="preserve">BUS-L </v>
          </cell>
          <cell r="G1867">
            <v>540</v>
          </cell>
          <cell r="H1867" t="str">
            <v>BUS-L 540</v>
          </cell>
          <cell r="K1867" t="str">
            <v>Bowers,L. Thomas</v>
          </cell>
          <cell r="N1867">
            <v>3.6059999999999999</v>
          </cell>
          <cell r="O1867">
            <v>3.6030000000000002</v>
          </cell>
        </row>
        <row r="1868">
          <cell r="E1868" t="str">
            <v>BUS</v>
          </cell>
          <cell r="F1868" t="str">
            <v xml:space="preserve">BUS-L </v>
          </cell>
          <cell r="G1868">
            <v>540</v>
          </cell>
          <cell r="H1868" t="str">
            <v>BUS-L 540</v>
          </cell>
          <cell r="K1868" t="str">
            <v>Bowers,L. Thomas</v>
          </cell>
          <cell r="N1868">
            <v>3.4590000000000001</v>
          </cell>
          <cell r="O1868">
            <v>3.6080000000000001</v>
          </cell>
        </row>
        <row r="1869">
          <cell r="E1869" t="str">
            <v>BUS</v>
          </cell>
          <cell r="F1869" t="str">
            <v xml:space="preserve">BUS-L </v>
          </cell>
          <cell r="G1869">
            <v>541</v>
          </cell>
          <cell r="H1869" t="str">
            <v>BUS-L 541</v>
          </cell>
          <cell r="K1869" t="str">
            <v>Bowers,L. Thomas</v>
          </cell>
          <cell r="N1869">
            <v>3.53</v>
          </cell>
          <cell r="O1869">
            <v>3.6389999999999998</v>
          </cell>
        </row>
        <row r="1870">
          <cell r="E1870" t="str">
            <v>BUS</v>
          </cell>
          <cell r="F1870" t="str">
            <v xml:space="preserve">BUS-L </v>
          </cell>
          <cell r="G1870">
            <v>541</v>
          </cell>
          <cell r="H1870" t="str">
            <v>BUS-L 541</v>
          </cell>
          <cell r="K1870" t="str">
            <v>Bowers,L. Thomas</v>
          </cell>
          <cell r="N1870">
            <v>3.347</v>
          </cell>
          <cell r="O1870">
            <v>3.4910000000000001</v>
          </cell>
        </row>
        <row r="1871">
          <cell r="E1871" t="str">
            <v>BUS</v>
          </cell>
          <cell r="F1871" t="str">
            <v xml:space="preserve">BUS-L </v>
          </cell>
          <cell r="G1871">
            <v>541</v>
          </cell>
          <cell r="H1871" t="str">
            <v>BUS-L 541</v>
          </cell>
          <cell r="K1871" t="str">
            <v>Bowers,L. Thomas</v>
          </cell>
          <cell r="N1871">
            <v>3.5870000000000002</v>
          </cell>
          <cell r="O1871">
            <v>3.641</v>
          </cell>
        </row>
        <row r="1872">
          <cell r="E1872" t="str">
            <v>BUS</v>
          </cell>
          <cell r="F1872" t="str">
            <v xml:space="preserve">BUS-L </v>
          </cell>
          <cell r="G1872">
            <v>541</v>
          </cell>
          <cell r="H1872" t="str">
            <v>BUS-L 541</v>
          </cell>
          <cell r="K1872" t="str">
            <v>Bowers,L. Thomas</v>
          </cell>
          <cell r="N1872">
            <v>3.3330000000000002</v>
          </cell>
          <cell r="O1872">
            <v>3.5619999999999998</v>
          </cell>
        </row>
        <row r="1873">
          <cell r="E1873" t="str">
            <v>BUS</v>
          </cell>
          <cell r="F1873" t="str">
            <v xml:space="preserve">BUS-L </v>
          </cell>
          <cell r="G1873">
            <v>560</v>
          </cell>
          <cell r="H1873" t="str">
            <v>BUS-L 560</v>
          </cell>
          <cell r="K1873" t="str">
            <v>Hayford,Stephen L.</v>
          </cell>
          <cell r="N1873">
            <v>3.6779999999999999</v>
          </cell>
          <cell r="O1873">
            <v>3.6389999999999998</v>
          </cell>
        </row>
        <row r="1874">
          <cell r="E1874" t="str">
            <v>BUS</v>
          </cell>
          <cell r="F1874" t="str">
            <v xml:space="preserve">BUS-L </v>
          </cell>
          <cell r="G1874">
            <v>560</v>
          </cell>
          <cell r="H1874" t="str">
            <v>BUS-L 560</v>
          </cell>
          <cell r="K1874" t="str">
            <v>Hayford,Stephen L.</v>
          </cell>
          <cell r="N1874">
            <v>3.7330000000000001</v>
          </cell>
          <cell r="O1874">
            <v>3.5640000000000001</v>
          </cell>
        </row>
        <row r="1875">
          <cell r="E1875" t="str">
            <v>BUS</v>
          </cell>
          <cell r="F1875" t="str">
            <v xml:space="preserve">BUS-L </v>
          </cell>
          <cell r="G1875">
            <v>560</v>
          </cell>
          <cell r="H1875" t="str">
            <v>BUS-L 560</v>
          </cell>
          <cell r="K1875" t="str">
            <v>Hayford,Stephen L.</v>
          </cell>
          <cell r="N1875">
            <v>3.5449999999999999</v>
          </cell>
          <cell r="O1875">
            <v>3.5720000000000001</v>
          </cell>
        </row>
        <row r="1876">
          <cell r="E1876" t="str">
            <v>BUS</v>
          </cell>
          <cell r="F1876" t="str">
            <v xml:space="preserve">BUS-L </v>
          </cell>
          <cell r="G1876">
            <v>561</v>
          </cell>
          <cell r="H1876" t="str">
            <v>BUS-L 561</v>
          </cell>
          <cell r="K1876" t="str">
            <v>Need,Mark E</v>
          </cell>
          <cell r="N1876" t="str">
            <v>NR</v>
          </cell>
          <cell r="O1876" t="str">
            <v>NR</v>
          </cell>
        </row>
        <row r="1877">
          <cell r="E1877" t="str">
            <v>BUS</v>
          </cell>
          <cell r="F1877" t="str">
            <v xml:space="preserve">BUS-L </v>
          </cell>
          <cell r="G1877">
            <v>575</v>
          </cell>
          <cell r="H1877" t="str">
            <v>BUS-L 575</v>
          </cell>
          <cell r="K1877" t="str">
            <v>Langvardt,Kyle</v>
          </cell>
          <cell r="N1877">
            <v>3.3460000000000001</v>
          </cell>
          <cell r="O1877">
            <v>3.706</v>
          </cell>
        </row>
        <row r="1878">
          <cell r="E1878" t="str">
            <v>BUS</v>
          </cell>
          <cell r="F1878" t="str">
            <v xml:space="preserve">BUS-L </v>
          </cell>
          <cell r="G1878">
            <v>579</v>
          </cell>
          <cell r="H1878" t="str">
            <v>BUS-L 579</v>
          </cell>
          <cell r="K1878" t="str">
            <v>Perry,Josh</v>
          </cell>
          <cell r="N1878" t="str">
            <v>NR</v>
          </cell>
          <cell r="O1878" t="str">
            <v>NR</v>
          </cell>
        </row>
        <row r="1879">
          <cell r="E1879" t="str">
            <v>BUS</v>
          </cell>
          <cell r="F1879" t="str">
            <v xml:space="preserve">BUS-L </v>
          </cell>
          <cell r="G1879">
            <v>590</v>
          </cell>
          <cell r="H1879" t="str">
            <v>BUS-L 590</v>
          </cell>
          <cell r="K1879" t="str">
            <v>Mallor,Jane P.</v>
          </cell>
          <cell r="N1879" t="str">
            <v>NR</v>
          </cell>
          <cell r="O1879" t="str">
            <v>NR</v>
          </cell>
        </row>
        <row r="1880">
          <cell r="E1880" t="str">
            <v>BUS</v>
          </cell>
          <cell r="F1880" t="str">
            <v xml:space="preserve">BUS-M </v>
          </cell>
          <cell r="G1880">
            <v>300</v>
          </cell>
          <cell r="H1880" t="str">
            <v>BUS-M 300</v>
          </cell>
          <cell r="K1880" t="str">
            <v>Canada,Dick</v>
          </cell>
          <cell r="N1880">
            <v>3.331</v>
          </cell>
          <cell r="O1880">
            <v>3.27</v>
          </cell>
        </row>
        <row r="1881">
          <cell r="E1881" t="str">
            <v>BUS</v>
          </cell>
          <cell r="F1881" t="str">
            <v xml:space="preserve">BUS-M </v>
          </cell>
          <cell r="G1881">
            <v>300</v>
          </cell>
          <cell r="H1881" t="str">
            <v>BUS-M 300</v>
          </cell>
          <cell r="K1881" t="str">
            <v>Kim,Yuna</v>
          </cell>
          <cell r="N1881">
            <v>2.7429999999999999</v>
          </cell>
          <cell r="O1881">
            <v>3.0390000000000001</v>
          </cell>
        </row>
        <row r="1882">
          <cell r="E1882" t="str">
            <v>BUS</v>
          </cell>
          <cell r="F1882" t="str">
            <v xml:space="preserve">BUS-M </v>
          </cell>
          <cell r="G1882">
            <v>300</v>
          </cell>
          <cell r="H1882" t="str">
            <v>BUS-M 300</v>
          </cell>
          <cell r="K1882" t="str">
            <v>Kim,Yuna</v>
          </cell>
          <cell r="N1882">
            <v>2.8079999999999998</v>
          </cell>
          <cell r="O1882">
            <v>3.1360000000000001</v>
          </cell>
        </row>
        <row r="1883">
          <cell r="E1883" t="str">
            <v>BUS</v>
          </cell>
          <cell r="F1883" t="str">
            <v xml:space="preserve">BUS-M </v>
          </cell>
          <cell r="G1883">
            <v>300</v>
          </cell>
          <cell r="H1883" t="str">
            <v>BUS-M 300</v>
          </cell>
          <cell r="K1883" t="str">
            <v>Perreault,Peter P.</v>
          </cell>
          <cell r="N1883">
            <v>3.1230000000000002</v>
          </cell>
          <cell r="O1883">
            <v>2.948</v>
          </cell>
        </row>
        <row r="1884">
          <cell r="E1884" t="str">
            <v>BUS</v>
          </cell>
          <cell r="F1884" t="str">
            <v xml:space="preserve">BUS-M </v>
          </cell>
          <cell r="G1884">
            <v>300</v>
          </cell>
          <cell r="H1884" t="str">
            <v>BUS-M 300</v>
          </cell>
          <cell r="K1884" t="str">
            <v>Wang,Jing</v>
          </cell>
          <cell r="N1884">
            <v>2.8660000000000001</v>
          </cell>
          <cell r="O1884">
            <v>3.1240000000000001</v>
          </cell>
        </row>
        <row r="1885">
          <cell r="E1885" t="str">
            <v>BUS</v>
          </cell>
          <cell r="F1885" t="str">
            <v xml:space="preserve">BUS-M </v>
          </cell>
          <cell r="G1885">
            <v>300</v>
          </cell>
          <cell r="H1885" t="str">
            <v>BUS-M 300</v>
          </cell>
          <cell r="K1885" t="str">
            <v>Wang,Jing</v>
          </cell>
          <cell r="N1885">
            <v>2.8170000000000002</v>
          </cell>
          <cell r="O1885">
            <v>2.996</v>
          </cell>
        </row>
        <row r="1886">
          <cell r="E1886" t="str">
            <v>BUS</v>
          </cell>
          <cell r="F1886" t="str">
            <v xml:space="preserve">BUS-M </v>
          </cell>
          <cell r="G1886">
            <v>300</v>
          </cell>
          <cell r="H1886" t="str">
            <v>BUS-M 300</v>
          </cell>
          <cell r="K1886" t="str">
            <v>Whitler,Kimberly A</v>
          </cell>
          <cell r="N1886">
            <v>2.8490000000000002</v>
          </cell>
          <cell r="O1886">
            <v>3.028</v>
          </cell>
        </row>
        <row r="1887">
          <cell r="E1887" t="str">
            <v>BUS</v>
          </cell>
          <cell r="F1887" t="str">
            <v xml:space="preserve">BUS-M </v>
          </cell>
          <cell r="G1887">
            <v>300</v>
          </cell>
          <cell r="H1887" t="str">
            <v>BUS-M 300</v>
          </cell>
          <cell r="K1887" t="str">
            <v>Whitler,Kimberly A</v>
          </cell>
          <cell r="N1887">
            <v>2.84</v>
          </cell>
          <cell r="O1887">
            <v>2.9420000000000002</v>
          </cell>
        </row>
        <row r="1888">
          <cell r="E1888" t="str">
            <v>BUS</v>
          </cell>
          <cell r="F1888" t="str">
            <v xml:space="preserve">BUS-M </v>
          </cell>
          <cell r="G1888">
            <v>303</v>
          </cell>
          <cell r="H1888" t="str">
            <v>BUS-M 303</v>
          </cell>
          <cell r="K1888" t="str">
            <v>Johnson,Eric David</v>
          </cell>
          <cell r="N1888">
            <v>3.9089999999999998</v>
          </cell>
          <cell r="O1888">
            <v>3.4140000000000001</v>
          </cell>
        </row>
        <row r="1889">
          <cell r="E1889" t="str">
            <v>BUS</v>
          </cell>
          <cell r="F1889" t="str">
            <v xml:space="preserve">BUS-M </v>
          </cell>
          <cell r="G1889">
            <v>303</v>
          </cell>
          <cell r="H1889" t="str">
            <v>BUS-M 303</v>
          </cell>
          <cell r="K1889" t="str">
            <v>Johnson,Eric David</v>
          </cell>
          <cell r="N1889">
            <v>3.91</v>
          </cell>
          <cell r="O1889">
            <v>3.4180000000000001</v>
          </cell>
        </row>
        <row r="1890">
          <cell r="E1890" t="str">
            <v>BUS</v>
          </cell>
          <cell r="F1890" t="str">
            <v xml:space="preserve">BUS-M </v>
          </cell>
          <cell r="G1890">
            <v>303</v>
          </cell>
          <cell r="H1890" t="str">
            <v>BUS-M 303</v>
          </cell>
          <cell r="K1890" t="str">
            <v>Perreault,Peter P.</v>
          </cell>
          <cell r="N1890">
            <v>3.3220000000000001</v>
          </cell>
          <cell r="O1890">
            <v>3.34</v>
          </cell>
        </row>
        <row r="1891">
          <cell r="E1891" t="str">
            <v>BUS</v>
          </cell>
          <cell r="F1891" t="str">
            <v xml:space="preserve">BUS-M </v>
          </cell>
          <cell r="G1891">
            <v>303</v>
          </cell>
          <cell r="H1891" t="str">
            <v>BUS-M 303</v>
          </cell>
          <cell r="K1891" t="str">
            <v>Perreault,Peter P.</v>
          </cell>
          <cell r="N1891">
            <v>3.3130000000000002</v>
          </cell>
          <cell r="O1891">
            <v>3.347</v>
          </cell>
        </row>
        <row r="1892">
          <cell r="E1892" t="str">
            <v>BUS</v>
          </cell>
          <cell r="F1892" t="str">
            <v xml:space="preserve">BUS-M </v>
          </cell>
          <cell r="G1892">
            <v>303</v>
          </cell>
          <cell r="H1892" t="str">
            <v>BUS-M 303</v>
          </cell>
          <cell r="K1892" t="str">
            <v>Perreault,Peter P.</v>
          </cell>
          <cell r="N1892">
            <v>3.302</v>
          </cell>
          <cell r="O1892">
            <v>3.387</v>
          </cell>
        </row>
        <row r="1893">
          <cell r="E1893" t="str">
            <v>BUS</v>
          </cell>
          <cell r="F1893" t="str">
            <v xml:space="preserve">BUS-M </v>
          </cell>
          <cell r="G1893">
            <v>303</v>
          </cell>
          <cell r="H1893" t="str">
            <v>BUS-M 303</v>
          </cell>
          <cell r="K1893" t="str">
            <v>Perreault,Peter P.</v>
          </cell>
          <cell r="N1893">
            <v>3.2970000000000002</v>
          </cell>
          <cell r="O1893">
            <v>3.286</v>
          </cell>
        </row>
        <row r="1894">
          <cell r="E1894" t="str">
            <v>BUS</v>
          </cell>
          <cell r="F1894" t="str">
            <v xml:space="preserve">BUS-M </v>
          </cell>
          <cell r="G1894">
            <v>303</v>
          </cell>
          <cell r="H1894" t="str">
            <v>BUS-M 303</v>
          </cell>
          <cell r="K1894" t="str">
            <v>Perreault,Peter P.</v>
          </cell>
          <cell r="N1894">
            <v>3.2440000000000002</v>
          </cell>
          <cell r="O1894">
            <v>3.198</v>
          </cell>
        </row>
        <row r="1895">
          <cell r="E1895" t="str">
            <v>BUS</v>
          </cell>
          <cell r="F1895" t="str">
            <v xml:space="preserve">BUS-M </v>
          </cell>
          <cell r="G1895">
            <v>304</v>
          </cell>
          <cell r="H1895" t="str">
            <v>BUS-M 304</v>
          </cell>
          <cell r="K1895" t="str">
            <v>Che,Hai</v>
          </cell>
          <cell r="N1895">
            <v>3.7879999999999998</v>
          </cell>
          <cell r="O1895">
            <v>3.827</v>
          </cell>
        </row>
        <row r="1896">
          <cell r="E1896" t="str">
            <v>BUS</v>
          </cell>
          <cell r="F1896" t="str">
            <v xml:space="preserve">BUS-M </v>
          </cell>
          <cell r="G1896">
            <v>304</v>
          </cell>
          <cell r="H1896" t="str">
            <v>BUS-M 304</v>
          </cell>
          <cell r="K1896" t="str">
            <v>Che,Hai</v>
          </cell>
          <cell r="N1896">
            <v>3.851</v>
          </cell>
          <cell r="O1896">
            <v>3.8260000000000001</v>
          </cell>
        </row>
        <row r="1897">
          <cell r="E1897" t="str">
            <v>BUS</v>
          </cell>
          <cell r="F1897" t="str">
            <v xml:space="preserve">BUS-M </v>
          </cell>
          <cell r="G1897">
            <v>304</v>
          </cell>
          <cell r="H1897" t="str">
            <v>BUS-M 304</v>
          </cell>
          <cell r="K1897" t="str">
            <v>Che,Hai</v>
          </cell>
          <cell r="N1897">
            <v>3.5979999999999999</v>
          </cell>
          <cell r="O1897">
            <v>3.78</v>
          </cell>
        </row>
        <row r="1898">
          <cell r="E1898" t="str">
            <v>BUS</v>
          </cell>
          <cell r="F1898" t="str">
            <v xml:space="preserve">BUS-M </v>
          </cell>
          <cell r="G1898">
            <v>306</v>
          </cell>
          <cell r="H1898" t="str">
            <v>BUS-M 306</v>
          </cell>
          <cell r="K1898" t="str">
            <v>Spiro,Rosann Lee</v>
          </cell>
          <cell r="N1898" t="str">
            <v>NR</v>
          </cell>
          <cell r="O1898" t="str">
            <v>NR</v>
          </cell>
        </row>
        <row r="1899">
          <cell r="E1899" t="str">
            <v>BUS</v>
          </cell>
          <cell r="F1899" t="str">
            <v xml:space="preserve">BUS-M </v>
          </cell>
          <cell r="G1899">
            <v>311</v>
          </cell>
          <cell r="H1899" t="str">
            <v>BUS-M 311</v>
          </cell>
          <cell r="K1899" t="str">
            <v>Bastianelli,Ann Irene</v>
          </cell>
          <cell r="N1899">
            <v>3.17</v>
          </cell>
          <cell r="O1899">
            <v>3.1190000000000002</v>
          </cell>
        </row>
        <row r="1900">
          <cell r="E1900" t="str">
            <v>BUS</v>
          </cell>
          <cell r="F1900" t="str">
            <v xml:space="preserve">BUS-M </v>
          </cell>
          <cell r="G1900">
            <v>311</v>
          </cell>
          <cell r="H1900" t="str">
            <v>BUS-M 311</v>
          </cell>
          <cell r="K1900" t="str">
            <v>Bastianelli,Ann Irene</v>
          </cell>
          <cell r="N1900">
            <v>3.2069999999999999</v>
          </cell>
          <cell r="O1900">
            <v>3.016</v>
          </cell>
        </row>
        <row r="1901">
          <cell r="E1901" t="str">
            <v>BUS</v>
          </cell>
          <cell r="F1901" t="str">
            <v xml:space="preserve">BUS-M </v>
          </cell>
          <cell r="G1901">
            <v>311</v>
          </cell>
          <cell r="H1901" t="str">
            <v>BUS-M 311</v>
          </cell>
          <cell r="K1901" t="str">
            <v>Bastianelli,Ann Irene</v>
          </cell>
          <cell r="N1901">
            <v>3.4279999999999999</v>
          </cell>
          <cell r="O1901">
            <v>3.117</v>
          </cell>
        </row>
        <row r="1902">
          <cell r="E1902" t="str">
            <v>BUS</v>
          </cell>
          <cell r="F1902" t="str">
            <v xml:space="preserve">BUS-M </v>
          </cell>
          <cell r="G1902">
            <v>311</v>
          </cell>
          <cell r="H1902" t="str">
            <v>BUS-M 311</v>
          </cell>
          <cell r="K1902" t="str">
            <v>Palmer Jr II,Paul</v>
          </cell>
          <cell r="N1902">
            <v>3.343</v>
          </cell>
          <cell r="O1902">
            <v>3.0960000000000001</v>
          </cell>
        </row>
        <row r="1903">
          <cell r="E1903" t="str">
            <v>BUS</v>
          </cell>
          <cell r="F1903" t="str">
            <v xml:space="preserve">BUS-M </v>
          </cell>
          <cell r="G1903">
            <v>311</v>
          </cell>
          <cell r="H1903" t="str">
            <v>BUS-M 311</v>
          </cell>
          <cell r="K1903" t="str">
            <v>Palmer Jr II,Paul</v>
          </cell>
          <cell r="N1903">
            <v>3.383</v>
          </cell>
          <cell r="O1903">
            <v>3.1680000000000001</v>
          </cell>
        </row>
        <row r="1904">
          <cell r="E1904" t="str">
            <v>BUS</v>
          </cell>
          <cell r="F1904" t="str">
            <v xml:space="preserve">BUS-M </v>
          </cell>
          <cell r="G1904">
            <v>311</v>
          </cell>
          <cell r="H1904" t="str">
            <v>BUS-M 311</v>
          </cell>
          <cell r="K1904" t="str">
            <v>Palmer Jr II,Paul</v>
          </cell>
          <cell r="N1904">
            <v>3.5049999999999999</v>
          </cell>
          <cell r="O1904">
            <v>3.1070000000000002</v>
          </cell>
        </row>
        <row r="1905">
          <cell r="E1905" t="str">
            <v>BUS</v>
          </cell>
          <cell r="F1905" t="str">
            <v xml:space="preserve">BUS-M </v>
          </cell>
          <cell r="G1905">
            <v>311</v>
          </cell>
          <cell r="H1905" t="str">
            <v>BUS-M 311</v>
          </cell>
          <cell r="K1905" t="str">
            <v>Poor,Morgan A</v>
          </cell>
          <cell r="N1905">
            <v>3.2349999999999999</v>
          </cell>
          <cell r="O1905">
            <v>3.2050000000000001</v>
          </cell>
        </row>
        <row r="1906">
          <cell r="E1906" t="str">
            <v>BUS</v>
          </cell>
          <cell r="F1906" t="str">
            <v xml:space="preserve">BUS-M </v>
          </cell>
          <cell r="G1906">
            <v>311</v>
          </cell>
          <cell r="H1906" t="str">
            <v>BUS-M 311</v>
          </cell>
          <cell r="K1906" t="str">
            <v>Poor,Morgan A</v>
          </cell>
          <cell r="N1906">
            <v>3.1539999999999999</v>
          </cell>
          <cell r="O1906">
            <v>3.1560000000000001</v>
          </cell>
        </row>
        <row r="1907">
          <cell r="E1907" t="str">
            <v>BUS</v>
          </cell>
          <cell r="F1907" t="str">
            <v xml:space="preserve">BUS-M </v>
          </cell>
          <cell r="G1907">
            <v>312</v>
          </cell>
          <cell r="H1907" t="str">
            <v>BUS-M 312</v>
          </cell>
          <cell r="K1907" t="str">
            <v>Dingman,Di</v>
          </cell>
          <cell r="N1907">
            <v>3.23</v>
          </cell>
          <cell r="O1907">
            <v>3.0310000000000001</v>
          </cell>
        </row>
        <row r="1908">
          <cell r="E1908" t="str">
            <v>BUS</v>
          </cell>
          <cell r="F1908" t="str">
            <v xml:space="preserve">BUS-M </v>
          </cell>
          <cell r="G1908">
            <v>312</v>
          </cell>
          <cell r="H1908" t="str">
            <v>BUS-M 312</v>
          </cell>
          <cell r="K1908" t="str">
            <v>Dingman,Di</v>
          </cell>
          <cell r="N1908">
            <v>3.274</v>
          </cell>
          <cell r="O1908">
            <v>3.2360000000000002</v>
          </cell>
        </row>
        <row r="1909">
          <cell r="E1909" t="str">
            <v>BUS</v>
          </cell>
          <cell r="F1909" t="str">
            <v xml:space="preserve">BUS-M </v>
          </cell>
          <cell r="G1909">
            <v>312</v>
          </cell>
          <cell r="H1909" t="str">
            <v>BUS-M 312</v>
          </cell>
          <cell r="K1909" t="str">
            <v>Dingman,Di</v>
          </cell>
          <cell r="N1909">
            <v>3.2869999999999999</v>
          </cell>
          <cell r="O1909">
            <v>3.2490000000000001</v>
          </cell>
        </row>
        <row r="1910">
          <cell r="E1910" t="str">
            <v>BUS</v>
          </cell>
          <cell r="F1910" t="str">
            <v xml:space="preserve">BUS-M </v>
          </cell>
          <cell r="G1910">
            <v>312</v>
          </cell>
          <cell r="H1910" t="str">
            <v>BUS-M 312</v>
          </cell>
          <cell r="K1910" t="str">
            <v>Talbott,John S</v>
          </cell>
          <cell r="N1910">
            <v>3.3679999999999999</v>
          </cell>
          <cell r="O1910">
            <v>3.1259999999999999</v>
          </cell>
        </row>
        <row r="1911">
          <cell r="E1911" t="str">
            <v>BUS</v>
          </cell>
          <cell r="F1911" t="str">
            <v xml:space="preserve">BUS-M </v>
          </cell>
          <cell r="G1911">
            <v>312</v>
          </cell>
          <cell r="H1911" t="str">
            <v>BUS-M 312</v>
          </cell>
          <cell r="K1911" t="str">
            <v>Talbott,John S</v>
          </cell>
          <cell r="N1911">
            <v>3.1840000000000002</v>
          </cell>
          <cell r="O1911">
            <v>3.1360000000000001</v>
          </cell>
        </row>
        <row r="1912">
          <cell r="E1912" t="str">
            <v>BUS</v>
          </cell>
          <cell r="F1912" t="str">
            <v xml:space="preserve">BUS-M </v>
          </cell>
          <cell r="G1912">
            <v>312</v>
          </cell>
          <cell r="H1912" t="str">
            <v>BUS-M 312</v>
          </cell>
          <cell r="K1912" t="str">
            <v>Talbott,John S</v>
          </cell>
          <cell r="N1912">
            <v>3.1059999999999999</v>
          </cell>
          <cell r="O1912">
            <v>2.86</v>
          </cell>
        </row>
        <row r="1913">
          <cell r="E1913" t="str">
            <v>BUS</v>
          </cell>
          <cell r="F1913" t="str">
            <v xml:space="preserve">BUS-M </v>
          </cell>
          <cell r="G1913">
            <v>330</v>
          </cell>
          <cell r="H1913" t="str">
            <v>BUS-M 330</v>
          </cell>
          <cell r="K1913" t="str">
            <v>Canada,Dick</v>
          </cell>
          <cell r="N1913">
            <v>3.5049999999999999</v>
          </cell>
          <cell r="O1913">
            <v>3.294</v>
          </cell>
        </row>
        <row r="1914">
          <cell r="E1914" t="str">
            <v>BUS</v>
          </cell>
          <cell r="F1914" t="str">
            <v xml:space="preserve">BUS-M </v>
          </cell>
          <cell r="G1914">
            <v>330</v>
          </cell>
          <cell r="H1914" t="str">
            <v>BUS-M 330</v>
          </cell>
          <cell r="K1914" t="str">
            <v>Canada,Dick</v>
          </cell>
          <cell r="N1914">
            <v>3.484</v>
          </cell>
          <cell r="O1914">
            <v>3.28</v>
          </cell>
        </row>
        <row r="1915">
          <cell r="E1915" t="str">
            <v>BUS</v>
          </cell>
          <cell r="F1915" t="str">
            <v xml:space="preserve">BUS-M </v>
          </cell>
          <cell r="G1915">
            <v>330</v>
          </cell>
          <cell r="H1915" t="str">
            <v>BUS-M 330</v>
          </cell>
          <cell r="K1915" t="str">
            <v>Canada,Dick</v>
          </cell>
          <cell r="N1915">
            <v>3.2240000000000002</v>
          </cell>
          <cell r="O1915">
            <v>3.2290000000000001</v>
          </cell>
        </row>
        <row r="1916">
          <cell r="E1916" t="str">
            <v>BUS</v>
          </cell>
          <cell r="F1916" t="str">
            <v xml:space="preserve">BUS-M </v>
          </cell>
          <cell r="G1916">
            <v>330</v>
          </cell>
          <cell r="H1916" t="str">
            <v>BUS-M 330</v>
          </cell>
          <cell r="K1916" t="str">
            <v>Canada,Dick</v>
          </cell>
          <cell r="N1916">
            <v>3.56</v>
          </cell>
          <cell r="O1916">
            <v>3.3780000000000001</v>
          </cell>
        </row>
        <row r="1917">
          <cell r="E1917" t="str">
            <v>BUS</v>
          </cell>
          <cell r="F1917" t="str">
            <v xml:space="preserve">BUS-M </v>
          </cell>
          <cell r="G1917">
            <v>330</v>
          </cell>
          <cell r="H1917" t="str">
            <v>BUS-M 330</v>
          </cell>
          <cell r="K1917" t="str">
            <v>Canada,Dick</v>
          </cell>
          <cell r="N1917">
            <v>3.5110000000000001</v>
          </cell>
          <cell r="O1917">
            <v>3.3279999999999998</v>
          </cell>
        </row>
        <row r="1918">
          <cell r="E1918" t="str">
            <v>BUS</v>
          </cell>
          <cell r="F1918" t="str">
            <v xml:space="preserve">BUS-M </v>
          </cell>
          <cell r="G1918">
            <v>342</v>
          </cell>
          <cell r="H1918" t="str">
            <v>BUS-M 342</v>
          </cell>
          <cell r="K1918" t="str">
            <v>Banks,Karen Y.s.</v>
          </cell>
          <cell r="N1918">
            <v>3.661</v>
          </cell>
          <cell r="O1918">
            <v>3.3980000000000001</v>
          </cell>
        </row>
        <row r="1919">
          <cell r="E1919" t="str">
            <v>BUS</v>
          </cell>
          <cell r="F1919" t="str">
            <v xml:space="preserve">BUS-M </v>
          </cell>
          <cell r="G1919">
            <v>342</v>
          </cell>
          <cell r="H1919" t="str">
            <v>BUS-M 342</v>
          </cell>
          <cell r="K1919" t="str">
            <v>Chandukala,Sandeep Rao</v>
          </cell>
          <cell r="N1919">
            <v>3.3879999999999999</v>
          </cell>
          <cell r="O1919">
            <v>3.46</v>
          </cell>
        </row>
        <row r="1920">
          <cell r="E1920" t="str">
            <v>BUS</v>
          </cell>
          <cell r="F1920" t="str">
            <v xml:space="preserve">BUS-M </v>
          </cell>
          <cell r="G1920">
            <v>342</v>
          </cell>
          <cell r="H1920" t="str">
            <v>BUS-M 342</v>
          </cell>
          <cell r="K1920" t="str">
            <v>Chandukala,Sandeep Rao</v>
          </cell>
          <cell r="N1920">
            <v>3.548</v>
          </cell>
          <cell r="O1920">
            <v>3.431</v>
          </cell>
        </row>
        <row r="1921">
          <cell r="E1921" t="str">
            <v>BUS</v>
          </cell>
          <cell r="F1921" t="str">
            <v xml:space="preserve">BUS-M </v>
          </cell>
          <cell r="G1921">
            <v>342</v>
          </cell>
          <cell r="H1921" t="str">
            <v>BUS-M 342</v>
          </cell>
          <cell r="K1921" t="str">
            <v>Chandukala,Sandeep Rao</v>
          </cell>
          <cell r="N1921">
            <v>3.4249999999999998</v>
          </cell>
          <cell r="O1921">
            <v>3.2839999999999998</v>
          </cell>
        </row>
        <row r="1922">
          <cell r="E1922" t="str">
            <v>BUS</v>
          </cell>
          <cell r="F1922" t="str">
            <v xml:space="preserve">BUS-M </v>
          </cell>
          <cell r="G1922">
            <v>342</v>
          </cell>
          <cell r="H1922" t="str">
            <v>BUS-M 342</v>
          </cell>
          <cell r="K1922" t="str">
            <v>Spiro,Rosann Lee</v>
          </cell>
          <cell r="N1922">
            <v>3.3029999999999999</v>
          </cell>
          <cell r="O1922">
            <v>3.4449999999999998</v>
          </cell>
        </row>
        <row r="1923">
          <cell r="E1923" t="str">
            <v>BUS</v>
          </cell>
          <cell r="F1923" t="str">
            <v xml:space="preserve">BUS-M </v>
          </cell>
          <cell r="G1923">
            <v>342</v>
          </cell>
          <cell r="H1923" t="str">
            <v>BUS-M 342</v>
          </cell>
          <cell r="K1923" t="str">
            <v>Threlkeld,James Shannon</v>
          </cell>
          <cell r="N1923">
            <v>3.2759999999999998</v>
          </cell>
          <cell r="O1923">
            <v>3.331</v>
          </cell>
        </row>
        <row r="1924">
          <cell r="E1924" t="str">
            <v>BUS</v>
          </cell>
          <cell r="F1924" t="str">
            <v xml:space="preserve">BUS-M </v>
          </cell>
          <cell r="G1924">
            <v>342</v>
          </cell>
          <cell r="H1924" t="str">
            <v>BUS-M 342</v>
          </cell>
          <cell r="K1924" t="str">
            <v>Threlkeld,James Shannon</v>
          </cell>
          <cell r="N1924">
            <v>3.3660000000000001</v>
          </cell>
          <cell r="O1924">
            <v>3.2749999999999999</v>
          </cell>
        </row>
        <row r="1925">
          <cell r="E1925" t="str">
            <v>BUS</v>
          </cell>
          <cell r="F1925" t="str">
            <v xml:space="preserve">BUS-M </v>
          </cell>
          <cell r="G1925">
            <v>342</v>
          </cell>
          <cell r="H1925" t="str">
            <v>BUS-M 342</v>
          </cell>
          <cell r="K1925" t="str">
            <v>Threlkeld,James Shannon</v>
          </cell>
          <cell r="N1925">
            <v>3.097</v>
          </cell>
          <cell r="O1925">
            <v>3.2109999999999999</v>
          </cell>
        </row>
        <row r="1926">
          <cell r="E1926" t="str">
            <v>BUS</v>
          </cell>
          <cell r="F1926" t="str">
            <v xml:space="preserve">BUS-M </v>
          </cell>
          <cell r="G1926">
            <v>342</v>
          </cell>
          <cell r="H1926" t="str">
            <v>BUS-M 342</v>
          </cell>
          <cell r="K1926" t="str">
            <v>Threlkeld,James Shannon</v>
          </cell>
          <cell r="N1926">
            <v>3.129</v>
          </cell>
          <cell r="O1926">
            <v>3.4049999999999998</v>
          </cell>
        </row>
        <row r="1927">
          <cell r="E1927" t="str">
            <v>BUS</v>
          </cell>
          <cell r="F1927" t="str">
            <v xml:space="preserve">BUS-M </v>
          </cell>
          <cell r="G1927">
            <v>342</v>
          </cell>
          <cell r="H1927" t="str">
            <v>BUS-M 342</v>
          </cell>
          <cell r="K1927" t="str">
            <v>Threlkeld,James Shannon</v>
          </cell>
          <cell r="N1927">
            <v>3.1280000000000001</v>
          </cell>
          <cell r="O1927">
            <v>3.2869999999999999</v>
          </cell>
        </row>
        <row r="1928">
          <cell r="E1928" t="str">
            <v>BUS</v>
          </cell>
          <cell r="F1928" t="str">
            <v xml:space="preserve">BUS-M </v>
          </cell>
          <cell r="G1928">
            <v>342</v>
          </cell>
          <cell r="H1928" t="str">
            <v>BUS-M 342</v>
          </cell>
          <cell r="K1928" t="str">
            <v>Threlkeld,James Shannon</v>
          </cell>
          <cell r="N1928">
            <v>3.2869999999999999</v>
          </cell>
          <cell r="O1928">
            <v>3.2559999999999998</v>
          </cell>
        </row>
        <row r="1929">
          <cell r="E1929" t="str">
            <v>BUS</v>
          </cell>
          <cell r="F1929" t="str">
            <v xml:space="preserve">BUS-M </v>
          </cell>
          <cell r="G1929">
            <v>343</v>
          </cell>
          <cell r="H1929" t="str">
            <v>BUS-M 343</v>
          </cell>
          <cell r="K1929" t="str">
            <v>Banks,Karen Y.s.</v>
          </cell>
          <cell r="N1929">
            <v>3.4319999999999999</v>
          </cell>
          <cell r="O1929">
            <v>3.3980000000000001</v>
          </cell>
        </row>
        <row r="1930">
          <cell r="E1930" t="str">
            <v>BUS</v>
          </cell>
          <cell r="F1930" t="str">
            <v xml:space="preserve">BUS-M </v>
          </cell>
          <cell r="G1930">
            <v>343</v>
          </cell>
          <cell r="H1930" t="str">
            <v>BUS-M 343</v>
          </cell>
          <cell r="K1930" t="str">
            <v>Chandukala,Sandeep Rao</v>
          </cell>
          <cell r="N1930">
            <v>3.4689999999999999</v>
          </cell>
          <cell r="O1930">
            <v>3.44</v>
          </cell>
        </row>
        <row r="1931">
          <cell r="E1931" t="str">
            <v>BUS</v>
          </cell>
          <cell r="F1931" t="str">
            <v xml:space="preserve">BUS-M </v>
          </cell>
          <cell r="G1931">
            <v>343</v>
          </cell>
          <cell r="H1931" t="str">
            <v>BUS-M 343</v>
          </cell>
          <cell r="K1931" t="str">
            <v>Chandukala,Sandeep Rao</v>
          </cell>
          <cell r="N1931">
            <v>3.4140000000000001</v>
          </cell>
          <cell r="O1931">
            <v>3.431</v>
          </cell>
        </row>
        <row r="1932">
          <cell r="E1932" t="str">
            <v>BUS</v>
          </cell>
          <cell r="F1932" t="str">
            <v xml:space="preserve">BUS-M </v>
          </cell>
          <cell r="G1932">
            <v>343</v>
          </cell>
          <cell r="H1932" t="str">
            <v>BUS-M 343</v>
          </cell>
          <cell r="K1932" t="str">
            <v>Chandukala,Sandeep Rao</v>
          </cell>
          <cell r="N1932">
            <v>3.0750000000000002</v>
          </cell>
          <cell r="O1932">
            <v>3.2839999999999998</v>
          </cell>
        </row>
        <row r="1933">
          <cell r="E1933" t="str">
            <v>BUS</v>
          </cell>
          <cell r="F1933" t="str">
            <v xml:space="preserve">BUS-M </v>
          </cell>
          <cell r="G1933">
            <v>343</v>
          </cell>
          <cell r="H1933" t="str">
            <v>BUS-M 343</v>
          </cell>
          <cell r="K1933" t="str">
            <v>Spiro,Rosann Lee</v>
          </cell>
          <cell r="N1933">
            <v>3.0129999999999999</v>
          </cell>
          <cell r="O1933">
            <v>3.43</v>
          </cell>
        </row>
        <row r="1934">
          <cell r="E1934" t="str">
            <v>BUS</v>
          </cell>
          <cell r="F1934" t="str">
            <v xml:space="preserve">BUS-M </v>
          </cell>
          <cell r="G1934">
            <v>343</v>
          </cell>
          <cell r="H1934" t="str">
            <v>BUS-M 343</v>
          </cell>
          <cell r="K1934" t="str">
            <v>Threlkeld,James Shannon</v>
          </cell>
          <cell r="N1934">
            <v>3.2330000000000001</v>
          </cell>
          <cell r="O1934">
            <v>3.3050000000000002</v>
          </cell>
        </row>
        <row r="1935">
          <cell r="E1935" t="str">
            <v>BUS</v>
          </cell>
          <cell r="F1935" t="str">
            <v xml:space="preserve">BUS-M </v>
          </cell>
          <cell r="G1935">
            <v>343</v>
          </cell>
          <cell r="H1935" t="str">
            <v>BUS-M 343</v>
          </cell>
          <cell r="K1935" t="str">
            <v>Threlkeld,James Shannon</v>
          </cell>
          <cell r="N1935">
            <v>3.3130000000000002</v>
          </cell>
          <cell r="O1935">
            <v>3.3130000000000002</v>
          </cell>
        </row>
        <row r="1936">
          <cell r="E1936" t="str">
            <v>BUS</v>
          </cell>
          <cell r="F1936" t="str">
            <v xml:space="preserve">BUS-M </v>
          </cell>
          <cell r="G1936">
            <v>343</v>
          </cell>
          <cell r="H1936" t="str">
            <v>BUS-M 343</v>
          </cell>
          <cell r="K1936" t="str">
            <v>Threlkeld,James Shannon</v>
          </cell>
          <cell r="N1936">
            <v>2.863</v>
          </cell>
          <cell r="O1936">
            <v>3.242</v>
          </cell>
        </row>
        <row r="1937">
          <cell r="E1937" t="str">
            <v>BUS</v>
          </cell>
          <cell r="F1937" t="str">
            <v xml:space="preserve">BUS-M </v>
          </cell>
          <cell r="G1937">
            <v>343</v>
          </cell>
          <cell r="H1937" t="str">
            <v>BUS-M 343</v>
          </cell>
          <cell r="K1937" t="str">
            <v>Threlkeld,James Shannon</v>
          </cell>
          <cell r="N1937">
            <v>3.1269999999999998</v>
          </cell>
          <cell r="O1937">
            <v>3.371</v>
          </cell>
        </row>
        <row r="1938">
          <cell r="E1938" t="str">
            <v>BUS</v>
          </cell>
          <cell r="F1938" t="str">
            <v xml:space="preserve">BUS-M </v>
          </cell>
          <cell r="G1938">
            <v>343</v>
          </cell>
          <cell r="H1938" t="str">
            <v>BUS-M 343</v>
          </cell>
          <cell r="K1938" t="str">
            <v>Threlkeld,James Shannon</v>
          </cell>
          <cell r="N1938">
            <v>3.004</v>
          </cell>
          <cell r="O1938">
            <v>3.2890000000000001</v>
          </cell>
        </row>
        <row r="1939">
          <cell r="E1939" t="str">
            <v>BUS</v>
          </cell>
          <cell r="F1939" t="str">
            <v xml:space="preserve">BUS-M </v>
          </cell>
          <cell r="G1939">
            <v>343</v>
          </cell>
          <cell r="H1939" t="str">
            <v>BUS-M 343</v>
          </cell>
          <cell r="K1939" t="str">
            <v>Threlkeld,James Shannon</v>
          </cell>
          <cell r="N1939">
            <v>3.4260000000000002</v>
          </cell>
          <cell r="O1939">
            <v>3.2349999999999999</v>
          </cell>
        </row>
        <row r="1940">
          <cell r="E1940" t="str">
            <v>BUS</v>
          </cell>
          <cell r="F1940" t="str">
            <v xml:space="preserve">BUS-M </v>
          </cell>
          <cell r="G1940">
            <v>344</v>
          </cell>
          <cell r="H1940" t="str">
            <v>BUS-M 344</v>
          </cell>
          <cell r="K1940" t="str">
            <v>Buchholz,Laura Marie</v>
          </cell>
          <cell r="N1940">
            <v>3.6749999999999998</v>
          </cell>
          <cell r="O1940">
            <v>3.4780000000000002</v>
          </cell>
        </row>
        <row r="1941">
          <cell r="E1941" t="str">
            <v>BUS</v>
          </cell>
          <cell r="F1941" t="str">
            <v xml:space="preserve">BUS-M </v>
          </cell>
          <cell r="G1941">
            <v>344</v>
          </cell>
          <cell r="H1941" t="str">
            <v>BUS-M 344</v>
          </cell>
          <cell r="K1941" t="str">
            <v>Buchholz,Laura Marie</v>
          </cell>
          <cell r="N1941">
            <v>3.6150000000000002</v>
          </cell>
          <cell r="O1941">
            <v>3.4529999999999998</v>
          </cell>
        </row>
        <row r="1942">
          <cell r="E1942" t="str">
            <v>BUS</v>
          </cell>
          <cell r="F1942" t="str">
            <v xml:space="preserve">BUS-M </v>
          </cell>
          <cell r="G1942">
            <v>344</v>
          </cell>
          <cell r="H1942" t="str">
            <v>BUS-M 344</v>
          </cell>
          <cell r="K1942" t="str">
            <v>Buchholz,Laura Marie</v>
          </cell>
          <cell r="N1942">
            <v>3.2879999999999998</v>
          </cell>
          <cell r="O1942">
            <v>3.153</v>
          </cell>
        </row>
        <row r="1943">
          <cell r="E1943" t="str">
            <v>BUS</v>
          </cell>
          <cell r="F1943" t="str">
            <v xml:space="preserve">BUS-M </v>
          </cell>
          <cell r="G1943">
            <v>344</v>
          </cell>
          <cell r="H1943" t="str">
            <v>BUS-M 344</v>
          </cell>
          <cell r="K1943" t="str">
            <v>Buchholz,Laura Marie</v>
          </cell>
          <cell r="N1943">
            <v>3.6040000000000001</v>
          </cell>
          <cell r="O1943">
            <v>3.3460000000000001</v>
          </cell>
        </row>
        <row r="1944">
          <cell r="E1944" t="str">
            <v>BUS</v>
          </cell>
          <cell r="F1944" t="str">
            <v xml:space="preserve">BUS-M </v>
          </cell>
          <cell r="G1944">
            <v>344</v>
          </cell>
          <cell r="H1944" t="str">
            <v>BUS-M 344</v>
          </cell>
          <cell r="K1944" t="str">
            <v>Buchholz,Laura Marie</v>
          </cell>
          <cell r="N1944">
            <v>3.7320000000000002</v>
          </cell>
          <cell r="O1944">
            <v>3.4369999999999998</v>
          </cell>
        </row>
        <row r="1945">
          <cell r="E1945" t="str">
            <v>BUS</v>
          </cell>
          <cell r="F1945" t="str">
            <v xml:space="preserve">BUS-M </v>
          </cell>
          <cell r="G1945">
            <v>344</v>
          </cell>
          <cell r="H1945" t="str">
            <v>BUS-M 344</v>
          </cell>
          <cell r="K1945" t="str">
            <v>Buchholz,Laura Marie</v>
          </cell>
          <cell r="N1945">
            <v>3.4430000000000001</v>
          </cell>
          <cell r="O1945">
            <v>3.2029999999999998</v>
          </cell>
        </row>
        <row r="1946">
          <cell r="E1946" t="str">
            <v>BUS</v>
          </cell>
          <cell r="F1946" t="str">
            <v xml:space="preserve">BUS-M </v>
          </cell>
          <cell r="G1946">
            <v>344</v>
          </cell>
          <cell r="H1946" t="str">
            <v>BUS-M 344</v>
          </cell>
          <cell r="K1946" t="str">
            <v>Schultz,Benjamin</v>
          </cell>
          <cell r="N1946">
            <v>3.9220000000000002</v>
          </cell>
          <cell r="O1946">
            <v>3.3679999999999999</v>
          </cell>
        </row>
        <row r="1947">
          <cell r="E1947" t="str">
            <v>BUS</v>
          </cell>
          <cell r="F1947" t="str">
            <v xml:space="preserve">BUS-M </v>
          </cell>
          <cell r="G1947">
            <v>344</v>
          </cell>
          <cell r="H1947" t="str">
            <v>BUS-M 344</v>
          </cell>
          <cell r="K1947" t="str">
            <v>Schultz,Benjamin</v>
          </cell>
          <cell r="N1947">
            <v>3.6960000000000002</v>
          </cell>
          <cell r="O1947">
            <v>3.3660000000000001</v>
          </cell>
        </row>
        <row r="1948">
          <cell r="E1948" t="str">
            <v>BUS</v>
          </cell>
          <cell r="F1948" t="str">
            <v xml:space="preserve">BUS-M </v>
          </cell>
          <cell r="G1948">
            <v>344</v>
          </cell>
          <cell r="H1948" t="str">
            <v>BUS-M 344</v>
          </cell>
          <cell r="K1948" t="str">
            <v>Schultz,Benjamin</v>
          </cell>
          <cell r="N1948">
            <v>3.68</v>
          </cell>
          <cell r="O1948">
            <v>3.234</v>
          </cell>
        </row>
        <row r="1949">
          <cell r="E1949" t="str">
            <v>BUS</v>
          </cell>
          <cell r="F1949" t="str">
            <v xml:space="preserve">BUS-M </v>
          </cell>
          <cell r="G1949">
            <v>344</v>
          </cell>
          <cell r="H1949" t="str">
            <v>BUS-M 344</v>
          </cell>
          <cell r="K1949" t="str">
            <v>Schultz,Benjamin</v>
          </cell>
          <cell r="N1949">
            <v>3.8039999999999998</v>
          </cell>
          <cell r="O1949">
            <v>3.4369999999999998</v>
          </cell>
        </row>
        <row r="1950">
          <cell r="E1950" t="str">
            <v>BUS</v>
          </cell>
          <cell r="F1950" t="str">
            <v xml:space="preserve">BUS-M </v>
          </cell>
          <cell r="G1950">
            <v>344</v>
          </cell>
          <cell r="H1950" t="str">
            <v>BUS-M 344</v>
          </cell>
          <cell r="K1950" t="str">
            <v>Schultz,Benjamin</v>
          </cell>
          <cell r="N1950">
            <v>3.7549999999999999</v>
          </cell>
          <cell r="O1950">
            <v>3.3690000000000002</v>
          </cell>
        </row>
        <row r="1951">
          <cell r="E1951" t="str">
            <v>BUS</v>
          </cell>
          <cell r="F1951" t="str">
            <v xml:space="preserve">BUS-M </v>
          </cell>
          <cell r="G1951">
            <v>344</v>
          </cell>
          <cell r="H1951" t="str">
            <v>BUS-M 344</v>
          </cell>
          <cell r="K1951" t="str">
            <v>Schultz,Benjamin</v>
          </cell>
          <cell r="N1951">
            <v>3.4569999999999999</v>
          </cell>
          <cell r="O1951">
            <v>3.2730000000000001</v>
          </cell>
        </row>
        <row r="1952">
          <cell r="E1952" t="str">
            <v>BUS</v>
          </cell>
          <cell r="F1952" t="str">
            <v xml:space="preserve">BUS-M </v>
          </cell>
          <cell r="G1952">
            <v>370</v>
          </cell>
          <cell r="H1952" t="str">
            <v>BUS-M 370</v>
          </cell>
          <cell r="K1952" t="str">
            <v>Kitzmiller,Greg L.</v>
          </cell>
          <cell r="N1952">
            <v>3.048</v>
          </cell>
          <cell r="O1952">
            <v>3.3450000000000002</v>
          </cell>
        </row>
        <row r="1953">
          <cell r="E1953" t="str">
            <v>BUS</v>
          </cell>
          <cell r="F1953" t="str">
            <v xml:space="preserve">BUS-M </v>
          </cell>
          <cell r="G1953">
            <v>370</v>
          </cell>
          <cell r="H1953" t="str">
            <v>BUS-M 370</v>
          </cell>
          <cell r="K1953" t="str">
            <v>Kitzmiller,Greg L.</v>
          </cell>
          <cell r="N1953">
            <v>3.1509999999999998</v>
          </cell>
          <cell r="O1953">
            <v>3.3570000000000002</v>
          </cell>
        </row>
        <row r="1954">
          <cell r="E1954" t="str">
            <v>BUS</v>
          </cell>
          <cell r="F1954" t="str">
            <v xml:space="preserve">BUS-M </v>
          </cell>
          <cell r="G1954">
            <v>370</v>
          </cell>
          <cell r="H1954" t="str">
            <v>BUS-M 370</v>
          </cell>
          <cell r="K1954" t="str">
            <v>Kitzmiller,Greg L.</v>
          </cell>
          <cell r="N1954">
            <v>3.0350000000000001</v>
          </cell>
          <cell r="O1954">
            <v>3.214</v>
          </cell>
        </row>
        <row r="1955">
          <cell r="E1955" t="str">
            <v>BUS</v>
          </cell>
          <cell r="F1955" t="str">
            <v xml:space="preserve">BUS-M </v>
          </cell>
          <cell r="G1955">
            <v>370</v>
          </cell>
          <cell r="H1955" t="str">
            <v>BUS-M 370</v>
          </cell>
          <cell r="K1955" t="str">
            <v>Kitzmiller,Greg L.</v>
          </cell>
          <cell r="N1955">
            <v>3.1080000000000001</v>
          </cell>
          <cell r="O1955">
            <v>3.319</v>
          </cell>
        </row>
        <row r="1956">
          <cell r="E1956" t="str">
            <v>BUS</v>
          </cell>
          <cell r="F1956" t="str">
            <v xml:space="preserve">BUS-M </v>
          </cell>
          <cell r="G1956">
            <v>370</v>
          </cell>
          <cell r="H1956" t="str">
            <v>BUS-M 370</v>
          </cell>
          <cell r="K1956" t="str">
            <v>Kitzmiller,Greg L.</v>
          </cell>
          <cell r="N1956">
            <v>3.149</v>
          </cell>
          <cell r="O1956">
            <v>3.2879999999999998</v>
          </cell>
        </row>
        <row r="1957">
          <cell r="E1957" t="str">
            <v>BUS</v>
          </cell>
          <cell r="F1957" t="str">
            <v xml:space="preserve">BUS-M </v>
          </cell>
          <cell r="G1957">
            <v>370</v>
          </cell>
          <cell r="H1957" t="str">
            <v>BUS-M 370</v>
          </cell>
          <cell r="K1957" t="str">
            <v>Talbott,John S</v>
          </cell>
          <cell r="N1957">
            <v>3.0049999999999999</v>
          </cell>
          <cell r="O1957">
            <v>3.3719999999999999</v>
          </cell>
        </row>
        <row r="1958">
          <cell r="E1958" t="str">
            <v>BUS</v>
          </cell>
          <cell r="F1958" t="str">
            <v xml:space="preserve">BUS-M </v>
          </cell>
          <cell r="G1958">
            <v>370</v>
          </cell>
          <cell r="H1958" t="str">
            <v>BUS-M 370</v>
          </cell>
          <cell r="K1958" t="str">
            <v>Talbott,John S</v>
          </cell>
          <cell r="N1958">
            <v>3.0830000000000002</v>
          </cell>
          <cell r="O1958">
            <v>3.387</v>
          </cell>
        </row>
        <row r="1959">
          <cell r="E1959" t="str">
            <v>BUS</v>
          </cell>
          <cell r="F1959" t="str">
            <v xml:space="preserve">BUS-M </v>
          </cell>
          <cell r="G1959">
            <v>370</v>
          </cell>
          <cell r="H1959" t="str">
            <v>BUS-M 370</v>
          </cell>
          <cell r="K1959" t="str">
            <v>Talbott,John S</v>
          </cell>
          <cell r="N1959">
            <v>2.9929999999999999</v>
          </cell>
          <cell r="O1959">
            <v>3.3660000000000001</v>
          </cell>
        </row>
        <row r="1960">
          <cell r="E1960" t="str">
            <v>BUS</v>
          </cell>
          <cell r="F1960" t="str">
            <v xml:space="preserve">BUS-M </v>
          </cell>
          <cell r="G1960">
            <v>401</v>
          </cell>
          <cell r="H1960" t="str">
            <v>BUS-M 401</v>
          </cell>
          <cell r="K1960" t="str">
            <v>Kitzmiller,Greg L.</v>
          </cell>
          <cell r="N1960">
            <v>3.6179999999999999</v>
          </cell>
          <cell r="O1960">
            <v>3.3969999999999998</v>
          </cell>
        </row>
        <row r="1961">
          <cell r="E1961" t="str">
            <v>BUS</v>
          </cell>
          <cell r="F1961" t="str">
            <v xml:space="preserve">BUS-M </v>
          </cell>
          <cell r="G1961">
            <v>401</v>
          </cell>
          <cell r="H1961" t="str">
            <v>BUS-M 401</v>
          </cell>
          <cell r="N1961" t="str">
            <v>NR</v>
          </cell>
          <cell r="O1961" t="str">
            <v>NR</v>
          </cell>
        </row>
        <row r="1962">
          <cell r="E1962" t="str">
            <v>BUS</v>
          </cell>
          <cell r="F1962" t="str">
            <v xml:space="preserve">BUS-M </v>
          </cell>
          <cell r="G1962">
            <v>402</v>
          </cell>
          <cell r="H1962" t="str">
            <v>BUS-M 402</v>
          </cell>
          <cell r="K1962" t="str">
            <v>Perreault,Peter P.</v>
          </cell>
          <cell r="N1962">
            <v>3.4</v>
          </cell>
          <cell r="O1962">
            <v>3.2160000000000002</v>
          </cell>
        </row>
        <row r="1963">
          <cell r="E1963" t="str">
            <v>BUS</v>
          </cell>
          <cell r="F1963" t="str">
            <v xml:space="preserve">BUS-M </v>
          </cell>
          <cell r="G1963">
            <v>405</v>
          </cell>
          <cell r="H1963" t="str">
            <v>BUS-M 405</v>
          </cell>
          <cell r="K1963" t="str">
            <v>Duhachek,Adam Lee</v>
          </cell>
          <cell r="N1963">
            <v>3.4710000000000001</v>
          </cell>
          <cell r="O1963">
            <v>3.3769999999999998</v>
          </cell>
        </row>
        <row r="1964">
          <cell r="E1964" t="str">
            <v>BUS</v>
          </cell>
          <cell r="F1964" t="str">
            <v xml:space="preserve">BUS-M </v>
          </cell>
          <cell r="G1964">
            <v>405</v>
          </cell>
          <cell r="H1964" t="str">
            <v>BUS-M 405</v>
          </cell>
          <cell r="K1964" t="str">
            <v>Duhachek,Adam Lee</v>
          </cell>
          <cell r="N1964">
            <v>3.3820000000000001</v>
          </cell>
          <cell r="O1964">
            <v>3.262</v>
          </cell>
        </row>
        <row r="1965">
          <cell r="E1965" t="str">
            <v>BUS</v>
          </cell>
          <cell r="F1965" t="str">
            <v xml:space="preserve">BUS-M </v>
          </cell>
          <cell r="G1965">
            <v>405</v>
          </cell>
          <cell r="H1965" t="str">
            <v>BUS-M 405</v>
          </cell>
          <cell r="K1965" t="str">
            <v>Herd,Kelly Brooke</v>
          </cell>
          <cell r="N1965">
            <v>3.282</v>
          </cell>
          <cell r="O1965">
            <v>3.282</v>
          </cell>
        </row>
        <row r="1966">
          <cell r="E1966" t="str">
            <v>BUS</v>
          </cell>
          <cell r="F1966" t="str">
            <v xml:space="preserve">BUS-M </v>
          </cell>
          <cell r="G1966">
            <v>405</v>
          </cell>
          <cell r="H1966" t="str">
            <v>BUS-M 405</v>
          </cell>
          <cell r="K1966" t="str">
            <v>Herd,Kelly Brooke</v>
          </cell>
          <cell r="N1966">
            <v>3.4409999999999998</v>
          </cell>
          <cell r="O1966">
            <v>3.407</v>
          </cell>
        </row>
        <row r="1967">
          <cell r="E1967" t="str">
            <v>BUS</v>
          </cell>
          <cell r="F1967" t="str">
            <v xml:space="preserve">BUS-M </v>
          </cell>
          <cell r="G1967">
            <v>405</v>
          </cell>
          <cell r="H1967" t="str">
            <v>BUS-M 405</v>
          </cell>
          <cell r="K1967" t="str">
            <v>Herd,Kelly Brooke</v>
          </cell>
          <cell r="N1967">
            <v>3.4340000000000002</v>
          </cell>
          <cell r="O1967">
            <v>3.4510000000000001</v>
          </cell>
        </row>
        <row r="1968">
          <cell r="E1968" t="str">
            <v>BUS</v>
          </cell>
          <cell r="F1968" t="str">
            <v xml:space="preserve">BUS-M </v>
          </cell>
          <cell r="G1968">
            <v>405</v>
          </cell>
          <cell r="H1968" t="str">
            <v>BUS-M 405</v>
          </cell>
          <cell r="K1968" t="str">
            <v>Palmer Jr II,Paul</v>
          </cell>
          <cell r="N1968">
            <v>3.5249999999999999</v>
          </cell>
          <cell r="O1968">
            <v>3.4159999999999999</v>
          </cell>
        </row>
        <row r="1969">
          <cell r="E1969" t="str">
            <v>BUS</v>
          </cell>
          <cell r="F1969" t="str">
            <v xml:space="preserve">BUS-M </v>
          </cell>
          <cell r="G1969">
            <v>406</v>
          </cell>
          <cell r="H1969" t="str">
            <v>BUS-M 406</v>
          </cell>
          <cell r="K1969" t="str">
            <v>Spiro,Rosann Lee</v>
          </cell>
          <cell r="N1969" t="str">
            <v>NR</v>
          </cell>
          <cell r="O1969" t="str">
            <v>NR</v>
          </cell>
        </row>
        <row r="1970">
          <cell r="E1970" t="str">
            <v>BUS</v>
          </cell>
          <cell r="F1970" t="str">
            <v xml:space="preserve">BUS-M </v>
          </cell>
          <cell r="G1970">
            <v>407</v>
          </cell>
          <cell r="H1970" t="str">
            <v>BUS-M 407</v>
          </cell>
          <cell r="K1970" t="str">
            <v>Roedl,Frederick William</v>
          </cell>
          <cell r="N1970">
            <v>3.5259999999999998</v>
          </cell>
          <cell r="O1970">
            <v>3.3719999999999999</v>
          </cell>
        </row>
        <row r="1971">
          <cell r="E1971" t="str">
            <v>BUS</v>
          </cell>
          <cell r="F1971" t="str">
            <v xml:space="preserve">BUS-M </v>
          </cell>
          <cell r="G1971">
            <v>407</v>
          </cell>
          <cell r="H1971" t="str">
            <v>BUS-M 407</v>
          </cell>
          <cell r="K1971" t="str">
            <v>Roedl,Frederick William</v>
          </cell>
          <cell r="N1971">
            <v>3.5139999999999998</v>
          </cell>
          <cell r="O1971">
            <v>3.2890000000000001</v>
          </cell>
        </row>
        <row r="1972">
          <cell r="E1972" t="str">
            <v>BUS</v>
          </cell>
          <cell r="F1972" t="str">
            <v xml:space="preserve">BUS-M </v>
          </cell>
          <cell r="G1972">
            <v>415</v>
          </cell>
          <cell r="H1972" t="str">
            <v>BUS-M 415</v>
          </cell>
          <cell r="K1972" t="str">
            <v>Bastianelli,Ann Irene</v>
          </cell>
          <cell r="N1972">
            <v>3.2029999999999998</v>
          </cell>
          <cell r="O1972">
            <v>3.319</v>
          </cell>
        </row>
        <row r="1973">
          <cell r="E1973" t="str">
            <v>BUS</v>
          </cell>
          <cell r="F1973" t="str">
            <v xml:space="preserve">BUS-M </v>
          </cell>
          <cell r="G1973">
            <v>415</v>
          </cell>
          <cell r="H1973" t="str">
            <v>BUS-M 415</v>
          </cell>
          <cell r="K1973" t="str">
            <v>Bastianelli,Ann Irene</v>
          </cell>
          <cell r="N1973">
            <v>3.55</v>
          </cell>
          <cell r="O1973">
            <v>3.4140000000000001</v>
          </cell>
        </row>
        <row r="1974">
          <cell r="E1974" t="str">
            <v>BUS</v>
          </cell>
          <cell r="F1974" t="str">
            <v xml:space="preserve">BUS-M </v>
          </cell>
          <cell r="G1974">
            <v>415</v>
          </cell>
          <cell r="H1974" t="str">
            <v>BUS-M 415</v>
          </cell>
          <cell r="K1974" t="str">
            <v>Bastianelli,Ann Irene</v>
          </cell>
          <cell r="N1974">
            <v>3.2669999999999999</v>
          </cell>
          <cell r="O1974">
            <v>3.3660000000000001</v>
          </cell>
        </row>
        <row r="1975">
          <cell r="E1975" t="str">
            <v>BUS</v>
          </cell>
          <cell r="F1975" t="str">
            <v xml:space="preserve">BUS-M </v>
          </cell>
          <cell r="G1975">
            <v>415</v>
          </cell>
          <cell r="H1975" t="str">
            <v>BUS-M 415</v>
          </cell>
          <cell r="K1975" t="str">
            <v>MacKenzie,Scott B.</v>
          </cell>
          <cell r="N1975">
            <v>3.0059999999999998</v>
          </cell>
          <cell r="O1975">
            <v>3.298</v>
          </cell>
        </row>
        <row r="1976">
          <cell r="E1976" t="str">
            <v>BUS</v>
          </cell>
          <cell r="F1976" t="str">
            <v xml:space="preserve">BUS-M </v>
          </cell>
          <cell r="G1976">
            <v>419</v>
          </cell>
          <cell r="H1976" t="str">
            <v>BUS-M 419</v>
          </cell>
          <cell r="K1976" t="str">
            <v>Williams,Theresa D</v>
          </cell>
          <cell r="N1976">
            <v>3.407</v>
          </cell>
          <cell r="O1976">
            <v>3.37</v>
          </cell>
        </row>
        <row r="1977">
          <cell r="E1977" t="str">
            <v>BUS</v>
          </cell>
          <cell r="F1977" t="str">
            <v xml:space="preserve">BUS-M </v>
          </cell>
          <cell r="G1977">
            <v>419</v>
          </cell>
          <cell r="H1977" t="str">
            <v>BUS-M 419</v>
          </cell>
          <cell r="K1977" t="str">
            <v>Williams,Theresa D</v>
          </cell>
          <cell r="N1977">
            <v>3.3690000000000002</v>
          </cell>
          <cell r="O1977">
            <v>3.3359999999999999</v>
          </cell>
        </row>
        <row r="1978">
          <cell r="E1978" t="str">
            <v>BUS</v>
          </cell>
          <cell r="F1978" t="str">
            <v xml:space="preserve">BUS-M </v>
          </cell>
          <cell r="G1978">
            <v>426</v>
          </cell>
          <cell r="H1978" t="str">
            <v>BUS-M 426</v>
          </cell>
          <cell r="K1978" t="str">
            <v>Spiro,Rosann Lee</v>
          </cell>
          <cell r="N1978">
            <v>2.9849999999999999</v>
          </cell>
          <cell r="O1978">
            <v>3.1920000000000002</v>
          </cell>
        </row>
        <row r="1979">
          <cell r="E1979" t="str">
            <v>BUS</v>
          </cell>
          <cell r="F1979" t="str">
            <v xml:space="preserve">BUS-M </v>
          </cell>
          <cell r="G1979">
            <v>426</v>
          </cell>
          <cell r="H1979" t="str">
            <v>BUS-M 426</v>
          </cell>
          <cell r="K1979" t="str">
            <v>Spiro,Rosann Lee</v>
          </cell>
          <cell r="N1979">
            <v>3.2109999999999999</v>
          </cell>
          <cell r="O1979">
            <v>3.3450000000000002</v>
          </cell>
        </row>
        <row r="1980">
          <cell r="E1980" t="str">
            <v>BUS</v>
          </cell>
          <cell r="F1980" t="str">
            <v xml:space="preserve">BUS-M </v>
          </cell>
          <cell r="G1980">
            <v>429</v>
          </cell>
          <cell r="H1980" t="str">
            <v>BUS-M 429</v>
          </cell>
          <cell r="K1980" t="str">
            <v>Lemper,Tim</v>
          </cell>
          <cell r="N1980">
            <v>3.367</v>
          </cell>
          <cell r="O1980">
            <v>3.4380000000000002</v>
          </cell>
        </row>
        <row r="1981">
          <cell r="E1981" t="str">
            <v>BUS</v>
          </cell>
          <cell r="F1981" t="str">
            <v xml:space="preserve">BUS-M </v>
          </cell>
          <cell r="G1981">
            <v>431</v>
          </cell>
          <cell r="H1981" t="str">
            <v>BUS-M 431</v>
          </cell>
          <cell r="K1981" t="str">
            <v>Krishnan,H. Shanker</v>
          </cell>
          <cell r="N1981">
            <v>3.3530000000000002</v>
          </cell>
          <cell r="O1981">
            <v>3.4430000000000001</v>
          </cell>
        </row>
        <row r="1982">
          <cell r="E1982" t="str">
            <v>BUS</v>
          </cell>
          <cell r="F1982" t="str">
            <v xml:space="preserve">BUS-M </v>
          </cell>
          <cell r="G1982">
            <v>432</v>
          </cell>
          <cell r="H1982" t="str">
            <v>BUS-M 432</v>
          </cell>
          <cell r="K1982" t="str">
            <v>Smith-Robbins,Sarah Brooke</v>
          </cell>
          <cell r="N1982">
            <v>3.7029999999999998</v>
          </cell>
          <cell r="O1982">
            <v>3.4580000000000002</v>
          </cell>
        </row>
        <row r="1983">
          <cell r="E1983" t="str">
            <v>BUS</v>
          </cell>
          <cell r="F1983" t="str">
            <v xml:space="preserve">BUS-M </v>
          </cell>
          <cell r="G1983">
            <v>450</v>
          </cell>
          <cell r="H1983" t="str">
            <v>BUS-M 450</v>
          </cell>
          <cell r="K1983" t="str">
            <v>Lalwani,Ashok K</v>
          </cell>
          <cell r="N1983">
            <v>3.206</v>
          </cell>
          <cell r="O1983">
            <v>3.4609999999999999</v>
          </cell>
        </row>
        <row r="1984">
          <cell r="E1984" t="str">
            <v>BUS</v>
          </cell>
          <cell r="F1984" t="str">
            <v xml:space="preserve">BUS-M </v>
          </cell>
          <cell r="G1984">
            <v>450</v>
          </cell>
          <cell r="H1984" t="str">
            <v>BUS-M 450</v>
          </cell>
          <cell r="K1984" t="str">
            <v>Lalwani,Ashok K</v>
          </cell>
          <cell r="N1984">
            <v>3.3149999999999999</v>
          </cell>
          <cell r="O1984">
            <v>3.4649999999999999</v>
          </cell>
        </row>
        <row r="1985">
          <cell r="E1985" t="str">
            <v>BUS</v>
          </cell>
          <cell r="F1985" t="str">
            <v xml:space="preserve">BUS-M </v>
          </cell>
          <cell r="G1985">
            <v>450</v>
          </cell>
          <cell r="H1985" t="str">
            <v>BUS-M 450</v>
          </cell>
          <cell r="K1985" t="str">
            <v>Mallapragada,Girish</v>
          </cell>
          <cell r="N1985">
            <v>3.3439999999999999</v>
          </cell>
          <cell r="O1985">
            <v>3.456</v>
          </cell>
        </row>
        <row r="1986">
          <cell r="E1986" t="str">
            <v>BUS</v>
          </cell>
          <cell r="F1986" t="str">
            <v xml:space="preserve">BUS-M </v>
          </cell>
          <cell r="G1986">
            <v>450</v>
          </cell>
          <cell r="H1986" t="str">
            <v>BUS-M 450</v>
          </cell>
          <cell r="K1986" t="str">
            <v>Mallapragada,Girish</v>
          </cell>
          <cell r="N1986">
            <v>3.3170000000000002</v>
          </cell>
          <cell r="O1986">
            <v>3.419</v>
          </cell>
        </row>
        <row r="1987">
          <cell r="E1987" t="str">
            <v>BUS</v>
          </cell>
          <cell r="F1987" t="str">
            <v xml:space="preserve">BUS-M </v>
          </cell>
          <cell r="G1987">
            <v>450</v>
          </cell>
          <cell r="H1987" t="str">
            <v>BUS-M 450</v>
          </cell>
          <cell r="K1987" t="str">
            <v>Slotegraaf,Rebecca J</v>
          </cell>
          <cell r="N1987">
            <v>3.5329999999999999</v>
          </cell>
          <cell r="O1987">
            <v>3.3220000000000001</v>
          </cell>
        </row>
        <row r="1988">
          <cell r="E1988" t="str">
            <v>BUS</v>
          </cell>
          <cell r="F1988" t="str">
            <v xml:space="preserve">BUS-M </v>
          </cell>
          <cell r="G1988">
            <v>450</v>
          </cell>
          <cell r="H1988" t="str">
            <v>BUS-M 450</v>
          </cell>
          <cell r="K1988" t="str">
            <v>Slotegraaf,Rebecca J</v>
          </cell>
          <cell r="N1988">
            <v>3.528</v>
          </cell>
          <cell r="O1988">
            <v>3.3159999999999998</v>
          </cell>
        </row>
        <row r="1989">
          <cell r="E1989" t="str">
            <v>BUS</v>
          </cell>
          <cell r="F1989" t="str">
            <v xml:space="preserve">BUS-M </v>
          </cell>
          <cell r="G1989">
            <v>450</v>
          </cell>
          <cell r="H1989" t="str">
            <v>BUS-M 450</v>
          </cell>
          <cell r="K1989" t="str">
            <v>Whitler,Kimberly A</v>
          </cell>
          <cell r="N1989">
            <v>3.105</v>
          </cell>
          <cell r="O1989">
            <v>3.2749999999999999</v>
          </cell>
        </row>
        <row r="1990">
          <cell r="E1990" t="str">
            <v>BUS</v>
          </cell>
          <cell r="F1990" t="str">
            <v xml:space="preserve">BUS-M </v>
          </cell>
          <cell r="G1990">
            <v>450</v>
          </cell>
          <cell r="H1990" t="str">
            <v>BUS-M 450</v>
          </cell>
          <cell r="K1990" t="str">
            <v>Whitler,Kimberly A</v>
          </cell>
          <cell r="N1990">
            <v>3.173</v>
          </cell>
          <cell r="O1990">
            <v>3.2909999999999999</v>
          </cell>
        </row>
        <row r="1991">
          <cell r="E1991" t="str">
            <v>BUS</v>
          </cell>
          <cell r="F1991" t="str">
            <v xml:space="preserve">BUS-M </v>
          </cell>
          <cell r="G1991">
            <v>455</v>
          </cell>
          <cell r="H1991" t="str">
            <v>BUS-M 455</v>
          </cell>
          <cell r="K1991" t="str">
            <v>Krishnan,H. Shanker</v>
          </cell>
          <cell r="N1991">
            <v>3.3959999999999999</v>
          </cell>
          <cell r="O1991">
            <v>3.4550000000000001</v>
          </cell>
        </row>
        <row r="1992">
          <cell r="E1992" t="str">
            <v>BUS</v>
          </cell>
          <cell r="F1992" t="str">
            <v xml:space="preserve">BUS-M </v>
          </cell>
          <cell r="G1992">
            <v>455</v>
          </cell>
          <cell r="H1992" t="str">
            <v>BUS-M 455</v>
          </cell>
          <cell r="K1992" t="str">
            <v>Slotegraaf,Rebecca J</v>
          </cell>
          <cell r="N1992">
            <v>3.2160000000000002</v>
          </cell>
          <cell r="O1992">
            <v>3.0659999999999998</v>
          </cell>
        </row>
        <row r="1993">
          <cell r="E1993" t="str">
            <v>BUS</v>
          </cell>
          <cell r="F1993" t="str">
            <v xml:space="preserve">BUS-M </v>
          </cell>
          <cell r="G1993">
            <v>455</v>
          </cell>
          <cell r="H1993" t="str">
            <v>BUS-M 455</v>
          </cell>
          <cell r="K1993" t="str">
            <v>Smith-Robbins,Sarah Brooke</v>
          </cell>
          <cell r="N1993">
            <v>3.8109999999999999</v>
          </cell>
          <cell r="O1993">
            <v>3.355</v>
          </cell>
        </row>
        <row r="1994">
          <cell r="E1994" t="str">
            <v>BUS</v>
          </cell>
          <cell r="F1994" t="str">
            <v xml:space="preserve">BUS-M </v>
          </cell>
          <cell r="G1994">
            <v>490</v>
          </cell>
          <cell r="H1994" t="str">
            <v>BUS-M 490</v>
          </cell>
          <cell r="K1994" t="str">
            <v>Burke,Raymond Robert</v>
          </cell>
          <cell r="N1994" t="str">
            <v>NR</v>
          </cell>
          <cell r="O1994" t="str">
            <v>NR</v>
          </cell>
        </row>
        <row r="1995">
          <cell r="E1995" t="str">
            <v>BUS</v>
          </cell>
          <cell r="F1995" t="str">
            <v xml:space="preserve">BUS-M </v>
          </cell>
          <cell r="G1995">
            <v>490</v>
          </cell>
          <cell r="H1995" t="str">
            <v>BUS-M 490</v>
          </cell>
          <cell r="K1995" t="str">
            <v>Krishnan,H. Shanker</v>
          </cell>
          <cell r="N1995" t="str">
            <v>NR</v>
          </cell>
          <cell r="O1995" t="str">
            <v>NR</v>
          </cell>
        </row>
        <row r="1996">
          <cell r="E1996" t="str">
            <v>BUS</v>
          </cell>
          <cell r="F1996" t="str">
            <v xml:space="preserve">BUS-M </v>
          </cell>
          <cell r="G1996">
            <v>503</v>
          </cell>
          <cell r="H1996" t="str">
            <v>BUS-M 503</v>
          </cell>
          <cell r="K1996" t="str">
            <v>Burke,Raymond Robert</v>
          </cell>
          <cell r="N1996">
            <v>3.5179999999999998</v>
          </cell>
          <cell r="O1996">
            <v>3.5310000000000001</v>
          </cell>
        </row>
        <row r="1997">
          <cell r="E1997" t="str">
            <v>BUS</v>
          </cell>
          <cell r="F1997" t="str">
            <v xml:space="preserve">BUS-M </v>
          </cell>
          <cell r="G1997">
            <v>503</v>
          </cell>
          <cell r="H1997" t="str">
            <v>BUS-M 503</v>
          </cell>
          <cell r="K1997" t="str">
            <v>Burke,Raymond Robert</v>
          </cell>
          <cell r="N1997">
            <v>3.593</v>
          </cell>
          <cell r="O1997">
            <v>3.5030000000000001</v>
          </cell>
        </row>
        <row r="1998">
          <cell r="E1998" t="str">
            <v>BUS</v>
          </cell>
          <cell r="F1998" t="str">
            <v xml:space="preserve">BUS-M </v>
          </cell>
          <cell r="G1998">
            <v>510</v>
          </cell>
          <cell r="H1998" t="str">
            <v>BUS-M 510</v>
          </cell>
          <cell r="K1998" t="str">
            <v>Talbott,John S</v>
          </cell>
          <cell r="N1998">
            <v>3.6070000000000002</v>
          </cell>
          <cell r="O1998">
            <v>3.5489999999999999</v>
          </cell>
        </row>
        <row r="1999">
          <cell r="E1999" t="str">
            <v>BUS</v>
          </cell>
          <cell r="F1999" t="str">
            <v xml:space="preserve">BUS-M </v>
          </cell>
          <cell r="G1999">
            <v>511</v>
          </cell>
          <cell r="H1999" t="str">
            <v>BUS-M 511</v>
          </cell>
          <cell r="K1999" t="str">
            <v>Andrews,Jonlee</v>
          </cell>
          <cell r="N1999">
            <v>3.5830000000000002</v>
          </cell>
          <cell r="O1999">
            <v>3.5019999999999998</v>
          </cell>
        </row>
        <row r="2000">
          <cell r="E2000" t="str">
            <v>BUS</v>
          </cell>
          <cell r="F2000" t="str">
            <v xml:space="preserve">BUS-M </v>
          </cell>
          <cell r="G2000">
            <v>511</v>
          </cell>
          <cell r="H2000" t="str">
            <v>BUS-M 511</v>
          </cell>
          <cell r="K2000" t="str">
            <v>Andrews,Jonlee</v>
          </cell>
          <cell r="N2000">
            <v>3.524</v>
          </cell>
          <cell r="O2000">
            <v>3.4969999999999999</v>
          </cell>
        </row>
        <row r="2001">
          <cell r="E2001" t="str">
            <v>BUS</v>
          </cell>
          <cell r="F2001" t="str">
            <v xml:space="preserve">BUS-M </v>
          </cell>
          <cell r="G2001">
            <v>511</v>
          </cell>
          <cell r="H2001" t="str">
            <v>BUS-M 511</v>
          </cell>
          <cell r="K2001" t="str">
            <v>Andrews,Jonlee</v>
          </cell>
          <cell r="N2001">
            <v>3.4980000000000002</v>
          </cell>
          <cell r="O2001">
            <v>3.4750000000000001</v>
          </cell>
        </row>
        <row r="2002">
          <cell r="E2002" t="str">
            <v>BUS</v>
          </cell>
          <cell r="F2002" t="str">
            <v xml:space="preserve">BUS-M </v>
          </cell>
          <cell r="G2002">
            <v>511</v>
          </cell>
          <cell r="H2002" t="str">
            <v>BUS-M 511</v>
          </cell>
          <cell r="K2002" t="str">
            <v>Andrews,Jonlee</v>
          </cell>
          <cell r="N2002">
            <v>3.5419999999999998</v>
          </cell>
          <cell r="O2002">
            <v>3.4780000000000002</v>
          </cell>
        </row>
        <row r="2003">
          <cell r="E2003" t="str">
            <v>BUS</v>
          </cell>
          <cell r="F2003" t="str">
            <v xml:space="preserve">BUS-M </v>
          </cell>
          <cell r="G2003">
            <v>512</v>
          </cell>
          <cell r="H2003" t="str">
            <v>BUS-M 512</v>
          </cell>
          <cell r="K2003" t="str">
            <v>Morgan,Neil Antony</v>
          </cell>
          <cell r="N2003">
            <v>3.5550000000000002</v>
          </cell>
          <cell r="O2003">
            <v>3.5680000000000001</v>
          </cell>
        </row>
        <row r="2004">
          <cell r="E2004" t="str">
            <v>BUS</v>
          </cell>
          <cell r="F2004" t="str">
            <v xml:space="preserve">BUS-M </v>
          </cell>
          <cell r="G2004">
            <v>512</v>
          </cell>
          <cell r="H2004" t="str">
            <v>BUS-M 512</v>
          </cell>
          <cell r="K2004" t="str">
            <v>Morgan,Neil Antony</v>
          </cell>
          <cell r="N2004">
            <v>3.532</v>
          </cell>
          <cell r="O2004">
            <v>3.5550000000000002</v>
          </cell>
        </row>
        <row r="2005">
          <cell r="E2005" t="str">
            <v>BUS</v>
          </cell>
          <cell r="F2005" t="str">
            <v xml:space="preserve">BUS-M </v>
          </cell>
          <cell r="G2005">
            <v>512</v>
          </cell>
          <cell r="H2005" t="str">
            <v>BUS-M 512</v>
          </cell>
          <cell r="K2005" t="str">
            <v>Morgan,Neil Antony</v>
          </cell>
          <cell r="N2005">
            <v>3.5419999999999998</v>
          </cell>
          <cell r="O2005">
            <v>3.532</v>
          </cell>
        </row>
        <row r="2006">
          <cell r="E2006" t="str">
            <v>BUS</v>
          </cell>
          <cell r="F2006" t="str">
            <v xml:space="preserve">BUS-M </v>
          </cell>
          <cell r="G2006">
            <v>513</v>
          </cell>
          <cell r="H2006" t="str">
            <v>BUS-M 513</v>
          </cell>
          <cell r="K2006" t="str">
            <v>Williams,Theresa D</v>
          </cell>
          <cell r="N2006">
            <v>3.6579999999999999</v>
          </cell>
          <cell r="O2006">
            <v>3.4260000000000002</v>
          </cell>
        </row>
        <row r="2007">
          <cell r="E2007" t="str">
            <v>BUS</v>
          </cell>
          <cell r="F2007" t="str">
            <v xml:space="preserve">BUS-M </v>
          </cell>
          <cell r="G2007">
            <v>522</v>
          </cell>
          <cell r="H2007" t="str">
            <v>BUS-M 522</v>
          </cell>
          <cell r="K2007" t="str">
            <v>Slotegraaf,Rebecca J</v>
          </cell>
          <cell r="N2007">
            <v>3.5310000000000001</v>
          </cell>
          <cell r="O2007">
            <v>3.5179999999999998</v>
          </cell>
        </row>
        <row r="2008">
          <cell r="E2008" t="str">
            <v>BUS</v>
          </cell>
          <cell r="F2008" t="str">
            <v xml:space="preserve">BUS-M </v>
          </cell>
          <cell r="G2008">
            <v>522</v>
          </cell>
          <cell r="H2008" t="str">
            <v>BUS-M 522</v>
          </cell>
          <cell r="K2008" t="str">
            <v>Slotegraaf,Rebecca J</v>
          </cell>
          <cell r="N2008">
            <v>3.4750000000000001</v>
          </cell>
          <cell r="O2008">
            <v>3.5230000000000001</v>
          </cell>
        </row>
        <row r="2009">
          <cell r="E2009" t="str">
            <v>BUS</v>
          </cell>
          <cell r="F2009" t="str">
            <v xml:space="preserve">BUS-M </v>
          </cell>
          <cell r="G2009">
            <v>522</v>
          </cell>
          <cell r="H2009" t="str">
            <v>BUS-M 522</v>
          </cell>
          <cell r="K2009" t="str">
            <v>Smith,Daniel C.</v>
          </cell>
          <cell r="N2009">
            <v>3.6760000000000002</v>
          </cell>
          <cell r="O2009">
            <v>3.589</v>
          </cell>
        </row>
        <row r="2010">
          <cell r="E2010" t="str">
            <v>BUS</v>
          </cell>
          <cell r="F2010" t="str">
            <v xml:space="preserve">BUS-M </v>
          </cell>
          <cell r="G2010">
            <v>522</v>
          </cell>
          <cell r="H2010" t="str">
            <v>BUS-M 522</v>
          </cell>
          <cell r="K2010" t="str">
            <v>Smith,Daniel C.</v>
          </cell>
          <cell r="N2010">
            <v>3.5720000000000001</v>
          </cell>
          <cell r="O2010">
            <v>3.5590000000000002</v>
          </cell>
        </row>
        <row r="2011">
          <cell r="E2011" t="str">
            <v>BUS</v>
          </cell>
          <cell r="F2011" t="str">
            <v xml:space="preserve">BUS-M </v>
          </cell>
          <cell r="G2011">
            <v>525</v>
          </cell>
          <cell r="H2011" t="str">
            <v>BUS-M 525</v>
          </cell>
          <cell r="K2011" t="str">
            <v>Langvardt,Arlen W.</v>
          </cell>
          <cell r="N2011">
            <v>3.5049999999999999</v>
          </cell>
          <cell r="O2011">
            <v>3.4820000000000002</v>
          </cell>
        </row>
        <row r="2012">
          <cell r="E2012" t="str">
            <v>BUS</v>
          </cell>
          <cell r="F2012" t="str">
            <v xml:space="preserve">BUS-M </v>
          </cell>
          <cell r="G2012">
            <v>530</v>
          </cell>
          <cell r="H2012" t="str">
            <v>BUS-M 530</v>
          </cell>
          <cell r="K2012" t="str">
            <v>Roedl,Frederick William</v>
          </cell>
          <cell r="N2012">
            <v>3.55</v>
          </cell>
          <cell r="O2012">
            <v>3.52</v>
          </cell>
        </row>
        <row r="2013">
          <cell r="E2013" t="str">
            <v>BUS</v>
          </cell>
          <cell r="F2013" t="str">
            <v xml:space="preserve">BUS-M </v>
          </cell>
          <cell r="G2013">
            <v>530</v>
          </cell>
          <cell r="H2013" t="str">
            <v>BUS-M 530</v>
          </cell>
          <cell r="K2013" t="str">
            <v>Roedl,Frederick William</v>
          </cell>
          <cell r="N2013">
            <v>3.5960000000000001</v>
          </cell>
          <cell r="O2013">
            <v>3.633</v>
          </cell>
        </row>
        <row r="2014">
          <cell r="E2014" t="str">
            <v>BUS</v>
          </cell>
          <cell r="F2014" t="str">
            <v xml:space="preserve">BUS-M </v>
          </cell>
          <cell r="G2014">
            <v>530</v>
          </cell>
          <cell r="H2014" t="str">
            <v>BUS-M 530</v>
          </cell>
          <cell r="K2014" t="str">
            <v>Roedl,Frederick William</v>
          </cell>
          <cell r="N2014">
            <v>3.524</v>
          </cell>
          <cell r="O2014">
            <v>3.464</v>
          </cell>
        </row>
        <row r="2015">
          <cell r="E2015" t="str">
            <v>BUS</v>
          </cell>
          <cell r="F2015" t="str">
            <v xml:space="preserve">BUS-M </v>
          </cell>
          <cell r="G2015">
            <v>537</v>
          </cell>
          <cell r="H2015" t="str">
            <v>BUS-M 537</v>
          </cell>
          <cell r="K2015" t="str">
            <v>Burke,Raymond Robert</v>
          </cell>
          <cell r="N2015">
            <v>3.6459999999999999</v>
          </cell>
          <cell r="O2015">
            <v>3.5019999999999998</v>
          </cell>
        </row>
        <row r="2016">
          <cell r="E2016" t="str">
            <v>BUS</v>
          </cell>
          <cell r="F2016" t="str">
            <v xml:space="preserve">BUS-M </v>
          </cell>
          <cell r="G2016">
            <v>537</v>
          </cell>
          <cell r="H2016" t="str">
            <v>BUS-M 537</v>
          </cell>
          <cell r="K2016" t="str">
            <v>Burke,Raymond Robert</v>
          </cell>
          <cell r="N2016">
            <v>3.581</v>
          </cell>
          <cell r="O2016">
            <v>3.5230000000000001</v>
          </cell>
        </row>
        <row r="2017">
          <cell r="E2017" t="str">
            <v>BUS</v>
          </cell>
          <cell r="F2017" t="str">
            <v xml:space="preserve">BUS-M </v>
          </cell>
          <cell r="G2017">
            <v>544</v>
          </cell>
          <cell r="H2017" t="str">
            <v>BUS-M 544</v>
          </cell>
          <cell r="K2017" t="str">
            <v>Duhachek,Adam Lee</v>
          </cell>
          <cell r="N2017">
            <v>3.5910000000000002</v>
          </cell>
          <cell r="O2017">
            <v>3.488</v>
          </cell>
        </row>
        <row r="2018">
          <cell r="E2018" t="str">
            <v>BUS</v>
          </cell>
          <cell r="F2018" t="str">
            <v xml:space="preserve">BUS-M </v>
          </cell>
          <cell r="G2018">
            <v>544</v>
          </cell>
          <cell r="H2018" t="str">
            <v>BUS-M 544</v>
          </cell>
          <cell r="K2018" t="str">
            <v>Duhachek,Adam Lee</v>
          </cell>
          <cell r="N2018">
            <v>3.569</v>
          </cell>
          <cell r="O2018">
            <v>3.5950000000000002</v>
          </cell>
        </row>
        <row r="2019">
          <cell r="E2019" t="str">
            <v>BUS</v>
          </cell>
          <cell r="F2019" t="str">
            <v xml:space="preserve">BUS-M </v>
          </cell>
          <cell r="G2019">
            <v>546</v>
          </cell>
          <cell r="H2019" t="str">
            <v>BUS-M 546</v>
          </cell>
          <cell r="K2019" t="str">
            <v>Andrews,Jonlee</v>
          </cell>
          <cell r="N2019">
            <v>3.8149999999999999</v>
          </cell>
          <cell r="O2019">
            <v>3.4249999999999998</v>
          </cell>
        </row>
        <row r="2020">
          <cell r="E2020" t="str">
            <v>BUS</v>
          </cell>
          <cell r="F2020" t="str">
            <v xml:space="preserve">BUS-M </v>
          </cell>
          <cell r="G2020">
            <v>546</v>
          </cell>
          <cell r="H2020" t="str">
            <v>BUS-M 546</v>
          </cell>
          <cell r="K2020" t="str">
            <v>Luther,Raymond J</v>
          </cell>
          <cell r="N2020">
            <v>3.82</v>
          </cell>
          <cell r="O2020">
            <v>3.4649999999999999</v>
          </cell>
        </row>
        <row r="2021">
          <cell r="E2021" t="str">
            <v>BUS</v>
          </cell>
          <cell r="F2021" t="str">
            <v xml:space="preserve">BUS-M </v>
          </cell>
          <cell r="G2021">
            <v>546</v>
          </cell>
          <cell r="H2021" t="str">
            <v>BUS-M 546</v>
          </cell>
          <cell r="K2021" t="str">
            <v>Roedl,Frederick William</v>
          </cell>
          <cell r="N2021">
            <v>3.9830000000000001</v>
          </cell>
          <cell r="O2021">
            <v>3.528</v>
          </cell>
        </row>
        <row r="2022">
          <cell r="E2022" t="str">
            <v>BUS</v>
          </cell>
          <cell r="F2022" t="str">
            <v xml:space="preserve">BUS-M </v>
          </cell>
          <cell r="G2022">
            <v>549</v>
          </cell>
          <cell r="H2022" t="str">
            <v>BUS-M 549</v>
          </cell>
          <cell r="K2022" t="str">
            <v>Mallapragada,Girish</v>
          </cell>
          <cell r="N2022">
            <v>3.5059999999999998</v>
          </cell>
          <cell r="O2022">
            <v>3.5579999999999998</v>
          </cell>
        </row>
        <row r="2023">
          <cell r="E2023" t="str">
            <v>BUS</v>
          </cell>
          <cell r="F2023" t="str">
            <v xml:space="preserve">BUS-M </v>
          </cell>
          <cell r="G2023">
            <v>549</v>
          </cell>
          <cell r="H2023" t="str">
            <v>BUS-M 549</v>
          </cell>
          <cell r="K2023" t="str">
            <v>Mallapragada,Girish</v>
          </cell>
          <cell r="N2023">
            <v>3.4950000000000001</v>
          </cell>
          <cell r="O2023">
            <v>3.5390000000000001</v>
          </cell>
        </row>
        <row r="2024">
          <cell r="E2024" t="str">
            <v>BUS</v>
          </cell>
          <cell r="F2024" t="str">
            <v xml:space="preserve">BUS-M </v>
          </cell>
          <cell r="G2024">
            <v>550</v>
          </cell>
          <cell r="H2024" t="str">
            <v>BUS-M 550</v>
          </cell>
          <cell r="K2024" t="str">
            <v>Krishnan,H. Shanker</v>
          </cell>
          <cell r="N2024">
            <v>3.5379999999999998</v>
          </cell>
          <cell r="O2024">
            <v>3.516</v>
          </cell>
        </row>
        <row r="2025">
          <cell r="E2025" t="str">
            <v>BUS</v>
          </cell>
          <cell r="F2025" t="str">
            <v xml:space="preserve">BUS-M </v>
          </cell>
          <cell r="G2025">
            <v>550</v>
          </cell>
          <cell r="H2025" t="str">
            <v>BUS-M 550</v>
          </cell>
          <cell r="K2025" t="str">
            <v>Krishnan,H. Shanker</v>
          </cell>
          <cell r="N2025">
            <v>3.569</v>
          </cell>
          <cell r="O2025">
            <v>3.5110000000000001</v>
          </cell>
        </row>
        <row r="2026">
          <cell r="E2026" t="str">
            <v>BUS</v>
          </cell>
          <cell r="F2026" t="str">
            <v xml:space="preserve">BUS-M </v>
          </cell>
          <cell r="G2026">
            <v>574</v>
          </cell>
          <cell r="H2026" t="str">
            <v>BUS-M 574</v>
          </cell>
          <cell r="K2026" t="str">
            <v>Walters,Rockney G.</v>
          </cell>
          <cell r="N2026">
            <v>3.8410000000000002</v>
          </cell>
          <cell r="O2026">
            <v>3.581</v>
          </cell>
        </row>
        <row r="2027">
          <cell r="E2027" t="str">
            <v>BUS</v>
          </cell>
          <cell r="F2027" t="str">
            <v xml:space="preserve">BUS-M </v>
          </cell>
          <cell r="G2027">
            <v>574</v>
          </cell>
          <cell r="H2027" t="str">
            <v>BUS-M 574</v>
          </cell>
          <cell r="K2027" t="str">
            <v>Walters,Rockney G.</v>
          </cell>
          <cell r="N2027">
            <v>3.7469999999999999</v>
          </cell>
          <cell r="O2027">
            <v>3.569</v>
          </cell>
        </row>
        <row r="2028">
          <cell r="E2028" t="str">
            <v>BUS</v>
          </cell>
          <cell r="F2028" t="str">
            <v xml:space="preserve">BUS-M </v>
          </cell>
          <cell r="G2028">
            <v>574</v>
          </cell>
          <cell r="H2028" t="str">
            <v>BUS-M 574</v>
          </cell>
          <cell r="K2028" t="str">
            <v>Walters,Rockney G.</v>
          </cell>
          <cell r="N2028">
            <v>3.8170000000000002</v>
          </cell>
          <cell r="O2028">
            <v>3.5070000000000001</v>
          </cell>
        </row>
        <row r="2029">
          <cell r="E2029" t="str">
            <v>BUS</v>
          </cell>
          <cell r="F2029" t="str">
            <v xml:space="preserve">BUS-M </v>
          </cell>
          <cell r="G2029">
            <v>575</v>
          </cell>
          <cell r="H2029" t="str">
            <v>BUS-M 575</v>
          </cell>
          <cell r="K2029" t="str">
            <v>Morgan,Neil Antony</v>
          </cell>
          <cell r="N2029">
            <v>3.544</v>
          </cell>
          <cell r="O2029">
            <v>3.5259999999999998</v>
          </cell>
        </row>
        <row r="2030">
          <cell r="E2030" t="str">
            <v>BUS</v>
          </cell>
          <cell r="F2030" t="str">
            <v xml:space="preserve">BUS-M </v>
          </cell>
          <cell r="G2030">
            <v>575</v>
          </cell>
          <cell r="H2030" t="str">
            <v>BUS-M 575</v>
          </cell>
          <cell r="K2030" t="str">
            <v>Morgan,Neil Antony</v>
          </cell>
          <cell r="N2030">
            <v>3.5219999999999998</v>
          </cell>
          <cell r="O2030">
            <v>3.552</v>
          </cell>
        </row>
        <row r="2031">
          <cell r="E2031" t="str">
            <v>BUS</v>
          </cell>
          <cell r="F2031" t="str">
            <v xml:space="preserve">BUS-M </v>
          </cell>
          <cell r="G2031">
            <v>579</v>
          </cell>
          <cell r="H2031" t="str">
            <v>BUS-M 579</v>
          </cell>
          <cell r="K2031" t="str">
            <v>Andrews,Jonlee</v>
          </cell>
          <cell r="N2031" t="str">
            <v>NR</v>
          </cell>
          <cell r="O2031" t="str">
            <v>NR</v>
          </cell>
        </row>
        <row r="2032">
          <cell r="E2032" t="str">
            <v>BUS</v>
          </cell>
          <cell r="F2032" t="str">
            <v xml:space="preserve">BUS-M </v>
          </cell>
          <cell r="G2032">
            <v>579</v>
          </cell>
          <cell r="H2032" t="str">
            <v>BUS-M 579</v>
          </cell>
          <cell r="K2032" t="str">
            <v>Andrews,Jonlee</v>
          </cell>
          <cell r="N2032" t="str">
            <v>NR</v>
          </cell>
          <cell r="O2032" t="str">
            <v>NR</v>
          </cell>
        </row>
        <row r="2033">
          <cell r="E2033" t="str">
            <v>BUS</v>
          </cell>
          <cell r="F2033" t="str">
            <v xml:space="preserve">BUS-M </v>
          </cell>
          <cell r="G2033">
            <v>590</v>
          </cell>
          <cell r="H2033" t="str">
            <v>BUS-M 590</v>
          </cell>
          <cell r="K2033" t="str">
            <v>Burke,Raymond Robert</v>
          </cell>
          <cell r="N2033" t="str">
            <v>NR</v>
          </cell>
          <cell r="O2033" t="str">
            <v>NR</v>
          </cell>
        </row>
        <row r="2034">
          <cell r="E2034" t="str">
            <v>BUS</v>
          </cell>
          <cell r="F2034" t="str">
            <v xml:space="preserve">BUS-M </v>
          </cell>
          <cell r="G2034">
            <v>590</v>
          </cell>
          <cell r="H2034" t="str">
            <v>BUS-M 590</v>
          </cell>
          <cell r="K2034" t="str">
            <v>Burke,Raymond Robert</v>
          </cell>
          <cell r="N2034" t="str">
            <v>NR</v>
          </cell>
          <cell r="O2034" t="str">
            <v>NR</v>
          </cell>
        </row>
        <row r="2035">
          <cell r="E2035" t="str">
            <v>BUS</v>
          </cell>
          <cell r="F2035" t="str">
            <v xml:space="preserve">BUS-M </v>
          </cell>
          <cell r="G2035">
            <v>590</v>
          </cell>
          <cell r="H2035" t="str">
            <v>BUS-M 590</v>
          </cell>
          <cell r="K2035" t="str">
            <v>Burke,Raymond Robert</v>
          </cell>
          <cell r="N2035">
            <v>3.98</v>
          </cell>
          <cell r="O2035">
            <v>3.552</v>
          </cell>
        </row>
        <row r="2036">
          <cell r="E2036" t="str">
            <v>BUS</v>
          </cell>
          <cell r="F2036" t="str">
            <v xml:space="preserve">BUS-M </v>
          </cell>
          <cell r="G2036">
            <v>590</v>
          </cell>
          <cell r="H2036" t="str">
            <v>BUS-M 590</v>
          </cell>
          <cell r="K2036" t="str">
            <v>Krishnan,H. Shanker</v>
          </cell>
          <cell r="N2036" t="str">
            <v>NR</v>
          </cell>
          <cell r="O2036" t="str">
            <v>NR</v>
          </cell>
        </row>
        <row r="2037">
          <cell r="E2037" t="str">
            <v>BUS</v>
          </cell>
          <cell r="F2037" t="str">
            <v xml:space="preserve">BUS-M </v>
          </cell>
          <cell r="G2037">
            <v>594</v>
          </cell>
          <cell r="H2037" t="str">
            <v>BUS-M 594</v>
          </cell>
          <cell r="K2037" t="str">
            <v>Lalwani,Ashok K</v>
          </cell>
          <cell r="N2037">
            <v>3.55</v>
          </cell>
          <cell r="O2037">
            <v>3.5230000000000001</v>
          </cell>
        </row>
        <row r="2038">
          <cell r="E2038" t="str">
            <v>BUS</v>
          </cell>
          <cell r="F2038" t="str">
            <v xml:space="preserve">BUS-M </v>
          </cell>
          <cell r="G2038">
            <v>594</v>
          </cell>
          <cell r="H2038" t="str">
            <v>BUS-M 594</v>
          </cell>
          <cell r="K2038" t="str">
            <v>Lalwani,Ashok K</v>
          </cell>
          <cell r="N2038">
            <v>3.56</v>
          </cell>
          <cell r="O2038">
            <v>3.556</v>
          </cell>
        </row>
        <row r="2039">
          <cell r="E2039" t="str">
            <v>BUS</v>
          </cell>
          <cell r="F2039" t="str">
            <v xml:space="preserve">BUS-M </v>
          </cell>
          <cell r="G2039">
            <v>595</v>
          </cell>
          <cell r="H2039" t="str">
            <v>BUS-M 595</v>
          </cell>
          <cell r="K2039" t="str">
            <v>Smith-Robbins,Sarah Brooke</v>
          </cell>
          <cell r="N2039">
            <v>3.9420000000000002</v>
          </cell>
          <cell r="O2039">
            <v>3.4830000000000001</v>
          </cell>
        </row>
        <row r="2040">
          <cell r="E2040" t="str">
            <v>BUS</v>
          </cell>
          <cell r="F2040" t="str">
            <v xml:space="preserve">BUS-M </v>
          </cell>
          <cell r="G2040">
            <v>595</v>
          </cell>
          <cell r="H2040" t="str">
            <v>BUS-M 595</v>
          </cell>
          <cell r="K2040" t="str">
            <v>Smith-Robbins,Sarah Brooke</v>
          </cell>
          <cell r="N2040">
            <v>3.9049999999999998</v>
          </cell>
          <cell r="O2040">
            <v>3.488</v>
          </cell>
        </row>
        <row r="2041">
          <cell r="E2041" t="str">
            <v>BUS</v>
          </cell>
          <cell r="F2041" t="str">
            <v xml:space="preserve">BUS-M </v>
          </cell>
          <cell r="G2041">
            <v>650</v>
          </cell>
          <cell r="H2041" t="str">
            <v>BUS-M 650</v>
          </cell>
          <cell r="K2041" t="str">
            <v>MacKenzie,Scott B.</v>
          </cell>
          <cell r="N2041">
            <v>3.7879999999999998</v>
          </cell>
          <cell r="O2041">
            <v>3.8180000000000001</v>
          </cell>
        </row>
        <row r="2042">
          <cell r="E2042" t="str">
            <v>BUS</v>
          </cell>
          <cell r="F2042" t="str">
            <v xml:space="preserve">BUS-M </v>
          </cell>
          <cell r="G2042">
            <v>652</v>
          </cell>
          <cell r="H2042" t="str">
            <v>BUS-M 652</v>
          </cell>
          <cell r="K2042" t="str">
            <v>Che,Hai</v>
          </cell>
          <cell r="N2042">
            <v>3.8290000000000002</v>
          </cell>
          <cell r="O2042">
            <v>3.7109999999999999</v>
          </cell>
        </row>
        <row r="2043">
          <cell r="E2043" t="str">
            <v>BUS</v>
          </cell>
          <cell r="F2043" t="str">
            <v xml:space="preserve">BUS-M </v>
          </cell>
          <cell r="G2043">
            <v>798</v>
          </cell>
          <cell r="H2043" t="str">
            <v>BUS-M 798</v>
          </cell>
          <cell r="K2043" t="str">
            <v>Morgan,Neil Antony</v>
          </cell>
          <cell r="N2043" t="str">
            <v>NR</v>
          </cell>
          <cell r="O2043" t="str">
            <v>NR</v>
          </cell>
        </row>
        <row r="2044">
          <cell r="E2044" t="str">
            <v>BUS</v>
          </cell>
          <cell r="F2044" t="str">
            <v xml:space="preserve">BUS-P </v>
          </cell>
          <cell r="G2044">
            <v>255</v>
          </cell>
          <cell r="H2044" t="str">
            <v>BUS-P 255</v>
          </cell>
          <cell r="K2044" t="str">
            <v>Kinser,Amy Suzanne</v>
          </cell>
          <cell r="N2044">
            <v>3.6680000000000001</v>
          </cell>
          <cell r="O2044">
            <v>3.3849999999999998</v>
          </cell>
        </row>
        <row r="2045">
          <cell r="E2045" t="str">
            <v>BUS</v>
          </cell>
          <cell r="F2045" t="str">
            <v xml:space="preserve">BUS-P </v>
          </cell>
          <cell r="G2045">
            <v>256</v>
          </cell>
          <cell r="H2045" t="str">
            <v>BUS-P 256</v>
          </cell>
          <cell r="K2045" t="str">
            <v>Venkataraman,Ramesh</v>
          </cell>
          <cell r="N2045">
            <v>3.988</v>
          </cell>
          <cell r="O2045">
            <v>3.5470000000000002</v>
          </cell>
        </row>
        <row r="2046">
          <cell r="E2046" t="str">
            <v>BUS</v>
          </cell>
          <cell r="F2046" t="str">
            <v xml:space="preserve">BUS-P </v>
          </cell>
          <cell r="G2046">
            <v>300</v>
          </cell>
          <cell r="H2046" t="str">
            <v>BUS-P 300</v>
          </cell>
          <cell r="K2046" t="str">
            <v>Cho,David</v>
          </cell>
          <cell r="N2046">
            <v>2.9220000000000002</v>
          </cell>
          <cell r="O2046">
            <v>3.2010000000000001</v>
          </cell>
        </row>
        <row r="2047">
          <cell r="E2047" t="str">
            <v>BUS</v>
          </cell>
          <cell r="F2047" t="str">
            <v xml:space="preserve">BUS-P </v>
          </cell>
          <cell r="G2047">
            <v>300</v>
          </cell>
          <cell r="H2047" t="str">
            <v>BUS-P 300</v>
          </cell>
          <cell r="K2047" t="str">
            <v>Ni,John Zhijiang</v>
          </cell>
          <cell r="N2047">
            <v>2.923</v>
          </cell>
          <cell r="O2047">
            <v>3.073</v>
          </cell>
        </row>
        <row r="2048">
          <cell r="E2048" t="str">
            <v>BUS</v>
          </cell>
          <cell r="F2048" t="str">
            <v xml:space="preserve">BUS-P </v>
          </cell>
          <cell r="G2048">
            <v>300</v>
          </cell>
          <cell r="H2048" t="str">
            <v>BUS-P 300</v>
          </cell>
          <cell r="K2048" t="str">
            <v>Schoenfelder,Jan</v>
          </cell>
          <cell r="N2048">
            <v>3.1429999999999998</v>
          </cell>
          <cell r="O2048">
            <v>3.1070000000000002</v>
          </cell>
        </row>
        <row r="2049">
          <cell r="E2049" t="str">
            <v>BUS</v>
          </cell>
          <cell r="F2049" t="str">
            <v xml:space="preserve">BUS-P </v>
          </cell>
          <cell r="G2049">
            <v>300</v>
          </cell>
          <cell r="H2049" t="str">
            <v>BUS-P 300</v>
          </cell>
          <cell r="K2049" t="str">
            <v>Schoenfelder,Jan</v>
          </cell>
          <cell r="N2049">
            <v>3.093</v>
          </cell>
          <cell r="O2049">
            <v>2.89</v>
          </cell>
        </row>
        <row r="2050">
          <cell r="E2050" t="str">
            <v>BUS</v>
          </cell>
          <cell r="F2050" t="str">
            <v xml:space="preserve">BUS-P </v>
          </cell>
          <cell r="G2050">
            <v>300</v>
          </cell>
          <cell r="H2050" t="str">
            <v>BUS-P 300</v>
          </cell>
          <cell r="K2050" t="str">
            <v>Schoenfelder,Jan</v>
          </cell>
          <cell r="N2050">
            <v>2.9049999999999998</v>
          </cell>
          <cell r="O2050">
            <v>3.121</v>
          </cell>
        </row>
        <row r="2051">
          <cell r="E2051" t="str">
            <v>BUS</v>
          </cell>
          <cell r="F2051" t="str">
            <v xml:space="preserve">BUS-P </v>
          </cell>
          <cell r="G2051">
            <v>300</v>
          </cell>
          <cell r="H2051" t="str">
            <v>BUS-P 300</v>
          </cell>
          <cell r="K2051" t="str">
            <v>Ye,Shengqi</v>
          </cell>
          <cell r="N2051">
            <v>3.3740000000000001</v>
          </cell>
          <cell r="O2051">
            <v>3.1659999999999999</v>
          </cell>
        </row>
        <row r="2052">
          <cell r="E2052" t="str">
            <v>BUS</v>
          </cell>
          <cell r="F2052" t="str">
            <v xml:space="preserve">BUS-P </v>
          </cell>
          <cell r="G2052">
            <v>300</v>
          </cell>
          <cell r="H2052" t="str">
            <v>BUS-P 300</v>
          </cell>
          <cell r="K2052" t="str">
            <v>Ye,Shengqi</v>
          </cell>
          <cell r="N2052">
            <v>3.4</v>
          </cell>
          <cell r="O2052">
            <v>3.125</v>
          </cell>
        </row>
        <row r="2053">
          <cell r="E2053" t="str">
            <v>BUS</v>
          </cell>
          <cell r="F2053" t="str">
            <v xml:space="preserve">BUS-P </v>
          </cell>
          <cell r="G2053">
            <v>304</v>
          </cell>
          <cell r="H2053" t="str">
            <v>BUS-P 304</v>
          </cell>
          <cell r="K2053" t="str">
            <v>Jacobs,F. Robert</v>
          </cell>
          <cell r="N2053">
            <v>3.72</v>
          </cell>
          <cell r="O2053">
            <v>3.827</v>
          </cell>
        </row>
        <row r="2054">
          <cell r="E2054" t="str">
            <v>BUS</v>
          </cell>
          <cell r="F2054" t="str">
            <v xml:space="preserve">BUS-P </v>
          </cell>
          <cell r="G2054">
            <v>304</v>
          </cell>
          <cell r="H2054" t="str">
            <v>BUS-P 304</v>
          </cell>
          <cell r="K2054" t="str">
            <v>Jacobs,F. Robert</v>
          </cell>
          <cell r="N2054">
            <v>3.806</v>
          </cell>
          <cell r="O2054">
            <v>3.8260000000000001</v>
          </cell>
        </row>
        <row r="2055">
          <cell r="E2055" t="str">
            <v>BUS</v>
          </cell>
          <cell r="F2055" t="str">
            <v xml:space="preserve">BUS-P </v>
          </cell>
          <cell r="G2055">
            <v>304</v>
          </cell>
          <cell r="H2055" t="str">
            <v>BUS-P 304</v>
          </cell>
          <cell r="K2055" t="str">
            <v>Jacobs,F. Robert</v>
          </cell>
          <cell r="N2055">
            <v>3.73</v>
          </cell>
          <cell r="O2055">
            <v>3.78</v>
          </cell>
        </row>
        <row r="2056">
          <cell r="E2056" t="str">
            <v>BUS</v>
          </cell>
          <cell r="F2056" t="str">
            <v xml:space="preserve">BUS-P </v>
          </cell>
          <cell r="G2056">
            <v>320</v>
          </cell>
          <cell r="H2056" t="str">
            <v>BUS-P 320</v>
          </cell>
          <cell r="K2056" t="str">
            <v>Dobos,Scott Raymond</v>
          </cell>
          <cell r="N2056">
            <v>3.3610000000000002</v>
          </cell>
          <cell r="O2056">
            <v>3.3959999999999999</v>
          </cell>
        </row>
        <row r="2057">
          <cell r="E2057" t="str">
            <v>BUS</v>
          </cell>
          <cell r="F2057" t="str">
            <v xml:space="preserve">BUS-P </v>
          </cell>
          <cell r="G2057">
            <v>320</v>
          </cell>
          <cell r="H2057" t="str">
            <v>BUS-P 320</v>
          </cell>
          <cell r="K2057" t="str">
            <v>Dobos,Scott Raymond</v>
          </cell>
          <cell r="N2057">
            <v>3.2250000000000001</v>
          </cell>
          <cell r="O2057">
            <v>3.399</v>
          </cell>
        </row>
        <row r="2058">
          <cell r="E2058" t="str">
            <v>BUS</v>
          </cell>
          <cell r="F2058" t="str">
            <v xml:space="preserve">BUS-P </v>
          </cell>
          <cell r="G2058">
            <v>320</v>
          </cell>
          <cell r="H2058" t="str">
            <v>BUS-P 320</v>
          </cell>
          <cell r="K2058" t="str">
            <v>Dobos,Scott Raymond</v>
          </cell>
          <cell r="N2058">
            <v>3.117</v>
          </cell>
          <cell r="O2058">
            <v>3.3109999999999999</v>
          </cell>
        </row>
        <row r="2059">
          <cell r="E2059" t="str">
            <v>BUS</v>
          </cell>
          <cell r="F2059" t="str">
            <v xml:space="preserve">BUS-P </v>
          </cell>
          <cell r="G2059">
            <v>320</v>
          </cell>
          <cell r="H2059" t="str">
            <v>BUS-P 320</v>
          </cell>
          <cell r="K2059" t="str">
            <v>Dobos,Scott Raymond</v>
          </cell>
          <cell r="N2059">
            <v>3.3969999999999998</v>
          </cell>
          <cell r="O2059">
            <v>3.4380000000000002</v>
          </cell>
        </row>
        <row r="2060">
          <cell r="E2060" t="str">
            <v>BUS</v>
          </cell>
          <cell r="F2060" t="str">
            <v xml:space="preserve">BUS-P </v>
          </cell>
          <cell r="G2060">
            <v>320</v>
          </cell>
          <cell r="H2060" t="str">
            <v>BUS-P 320</v>
          </cell>
          <cell r="K2060" t="str">
            <v>Dobos,Scott Raymond</v>
          </cell>
          <cell r="N2060">
            <v>3.2909999999999999</v>
          </cell>
          <cell r="O2060">
            <v>3.3889999999999998</v>
          </cell>
        </row>
        <row r="2061">
          <cell r="E2061" t="str">
            <v>BUS</v>
          </cell>
          <cell r="F2061" t="str">
            <v xml:space="preserve">BUS-P </v>
          </cell>
          <cell r="G2061">
            <v>320</v>
          </cell>
          <cell r="H2061" t="str">
            <v>BUS-P 320</v>
          </cell>
          <cell r="K2061" t="str">
            <v>Dobos,Scott Raymond</v>
          </cell>
          <cell r="N2061">
            <v>3.5070000000000001</v>
          </cell>
          <cell r="O2061">
            <v>3.4769999999999999</v>
          </cell>
        </row>
        <row r="2062">
          <cell r="E2062" t="str">
            <v>BUS</v>
          </cell>
          <cell r="F2062" t="str">
            <v xml:space="preserve">BUS-P </v>
          </cell>
          <cell r="G2062">
            <v>355</v>
          </cell>
          <cell r="H2062" t="str">
            <v>BUS-P 355</v>
          </cell>
          <cell r="K2062" t="str">
            <v>Kinser,James Eric</v>
          </cell>
          <cell r="N2062">
            <v>3.5089999999999999</v>
          </cell>
          <cell r="O2062">
            <v>3.4239999999999999</v>
          </cell>
        </row>
        <row r="2063">
          <cell r="E2063" t="str">
            <v>BUS</v>
          </cell>
          <cell r="F2063" t="str">
            <v xml:space="preserve">BUS-P </v>
          </cell>
          <cell r="G2063">
            <v>355</v>
          </cell>
          <cell r="H2063" t="str">
            <v>BUS-P 355</v>
          </cell>
          <cell r="K2063" t="str">
            <v>Winston,Wayne L.</v>
          </cell>
          <cell r="N2063">
            <v>3.7639999999999998</v>
          </cell>
          <cell r="O2063">
            <v>3.3439999999999999</v>
          </cell>
        </row>
        <row r="2064">
          <cell r="E2064" t="str">
            <v>BUS</v>
          </cell>
          <cell r="F2064" t="str">
            <v xml:space="preserve">BUS-P </v>
          </cell>
          <cell r="G2064">
            <v>370</v>
          </cell>
          <cell r="H2064" t="str">
            <v>BUS-P 370</v>
          </cell>
          <cell r="K2064" t="str">
            <v>Briggs,Carl M</v>
          </cell>
          <cell r="N2064">
            <v>2.891</v>
          </cell>
          <cell r="O2064">
            <v>3.3450000000000002</v>
          </cell>
        </row>
        <row r="2065">
          <cell r="E2065" t="str">
            <v>BUS</v>
          </cell>
          <cell r="F2065" t="str">
            <v xml:space="preserve">BUS-P </v>
          </cell>
          <cell r="G2065">
            <v>370</v>
          </cell>
          <cell r="H2065" t="str">
            <v>BUS-P 370</v>
          </cell>
          <cell r="K2065" t="str">
            <v>Briggs,Carl M</v>
          </cell>
          <cell r="N2065">
            <v>2.9540000000000002</v>
          </cell>
          <cell r="O2065">
            <v>3.3540000000000001</v>
          </cell>
        </row>
        <row r="2066">
          <cell r="E2066" t="str">
            <v>BUS</v>
          </cell>
          <cell r="F2066" t="str">
            <v xml:space="preserve">BUS-P </v>
          </cell>
          <cell r="G2066">
            <v>370</v>
          </cell>
          <cell r="H2066" t="str">
            <v>BUS-P 370</v>
          </cell>
          <cell r="K2066" t="str">
            <v>Briggs,Carl M</v>
          </cell>
          <cell r="N2066">
            <v>2.8820000000000001</v>
          </cell>
          <cell r="O2066">
            <v>3.214</v>
          </cell>
        </row>
        <row r="2067">
          <cell r="E2067" t="str">
            <v>BUS</v>
          </cell>
          <cell r="F2067" t="str">
            <v xml:space="preserve">BUS-P </v>
          </cell>
          <cell r="G2067">
            <v>370</v>
          </cell>
          <cell r="H2067" t="str">
            <v>BUS-P 370</v>
          </cell>
          <cell r="K2067" t="str">
            <v>Cutshall,Rex R.</v>
          </cell>
          <cell r="N2067">
            <v>2.9449999999999998</v>
          </cell>
          <cell r="O2067">
            <v>3.363</v>
          </cell>
        </row>
        <row r="2068">
          <cell r="E2068" t="str">
            <v>BUS</v>
          </cell>
          <cell r="F2068" t="str">
            <v xml:space="preserve">BUS-P </v>
          </cell>
          <cell r="G2068">
            <v>370</v>
          </cell>
          <cell r="H2068" t="str">
            <v>BUS-P 370</v>
          </cell>
          <cell r="K2068" t="str">
            <v>Cutshall,Rex R.</v>
          </cell>
          <cell r="N2068">
            <v>2.972</v>
          </cell>
          <cell r="O2068">
            <v>3.387</v>
          </cell>
        </row>
        <row r="2069">
          <cell r="E2069" t="str">
            <v>BUS</v>
          </cell>
          <cell r="F2069" t="str">
            <v xml:space="preserve">BUS-P </v>
          </cell>
          <cell r="G2069">
            <v>370</v>
          </cell>
          <cell r="H2069" t="str">
            <v>BUS-P 370</v>
          </cell>
          <cell r="K2069" t="str">
            <v>Cutshall,Rex R.</v>
          </cell>
          <cell r="N2069">
            <v>3.0019999999999998</v>
          </cell>
          <cell r="O2069">
            <v>3.3660000000000001</v>
          </cell>
        </row>
        <row r="2070">
          <cell r="E2070" t="str">
            <v>BUS</v>
          </cell>
          <cell r="F2070" t="str">
            <v xml:space="preserve">BUS-P </v>
          </cell>
          <cell r="G2070">
            <v>370</v>
          </cell>
          <cell r="H2070" t="str">
            <v>BUS-P 370</v>
          </cell>
          <cell r="K2070" t="str">
            <v>Cutshall,Rex R.</v>
          </cell>
          <cell r="N2070">
            <v>2.9359999999999999</v>
          </cell>
          <cell r="O2070">
            <v>3.302</v>
          </cell>
        </row>
        <row r="2071">
          <cell r="E2071" t="str">
            <v>BUS</v>
          </cell>
          <cell r="F2071" t="str">
            <v xml:space="preserve">BUS-P </v>
          </cell>
          <cell r="G2071">
            <v>370</v>
          </cell>
          <cell r="H2071" t="str">
            <v>BUS-P 370</v>
          </cell>
          <cell r="K2071" t="str">
            <v>Cutshall,Rex R.</v>
          </cell>
          <cell r="N2071">
            <v>2.9910000000000001</v>
          </cell>
          <cell r="O2071">
            <v>3.26</v>
          </cell>
        </row>
        <row r="2072">
          <cell r="E2072" t="str">
            <v>BUS</v>
          </cell>
          <cell r="F2072" t="str">
            <v xml:space="preserve">BUS-P </v>
          </cell>
          <cell r="G2072">
            <v>421</v>
          </cell>
          <cell r="H2072" t="str">
            <v>BUS-P 421</v>
          </cell>
          <cell r="K2072" t="str">
            <v>Lummus,Rhonda</v>
          </cell>
          <cell r="N2072">
            <v>3.4670000000000001</v>
          </cell>
          <cell r="O2072">
            <v>3.4020000000000001</v>
          </cell>
        </row>
        <row r="2073">
          <cell r="E2073" t="str">
            <v>BUS</v>
          </cell>
          <cell r="F2073" t="str">
            <v xml:space="preserve">BUS-P </v>
          </cell>
          <cell r="G2073">
            <v>421</v>
          </cell>
          <cell r="H2073" t="str">
            <v>BUS-P 421</v>
          </cell>
          <cell r="K2073" t="str">
            <v>Lummus,Rhonda</v>
          </cell>
          <cell r="N2073">
            <v>3.45</v>
          </cell>
          <cell r="O2073">
            <v>3.3370000000000002</v>
          </cell>
        </row>
        <row r="2074">
          <cell r="E2074" t="str">
            <v>BUS</v>
          </cell>
          <cell r="F2074" t="str">
            <v xml:space="preserve">BUS-P </v>
          </cell>
          <cell r="G2074">
            <v>421</v>
          </cell>
          <cell r="H2074" t="str">
            <v>BUS-P 421</v>
          </cell>
          <cell r="K2074" t="str">
            <v>Lummus,Rhonda</v>
          </cell>
          <cell r="N2074">
            <v>3.3929999999999998</v>
          </cell>
          <cell r="O2074">
            <v>3.3359999999999999</v>
          </cell>
        </row>
        <row r="2075">
          <cell r="E2075" t="str">
            <v>BUS</v>
          </cell>
          <cell r="F2075" t="str">
            <v xml:space="preserve">BUS-P </v>
          </cell>
          <cell r="G2075">
            <v>421</v>
          </cell>
          <cell r="H2075" t="str">
            <v>BUS-P 421</v>
          </cell>
          <cell r="K2075" t="str">
            <v>Lummus,Rhonda</v>
          </cell>
          <cell r="N2075">
            <v>3.306</v>
          </cell>
          <cell r="O2075">
            <v>3.3690000000000002</v>
          </cell>
        </row>
        <row r="2076">
          <cell r="E2076" t="str">
            <v>BUS</v>
          </cell>
          <cell r="F2076" t="str">
            <v xml:space="preserve">BUS-P </v>
          </cell>
          <cell r="G2076">
            <v>421</v>
          </cell>
          <cell r="H2076" t="str">
            <v>BUS-P 421</v>
          </cell>
          <cell r="K2076" t="str">
            <v>Lummus,Rhonda</v>
          </cell>
          <cell r="N2076">
            <v>3.5129999999999999</v>
          </cell>
          <cell r="O2076">
            <v>3.3650000000000002</v>
          </cell>
        </row>
        <row r="2077">
          <cell r="E2077" t="str">
            <v>BUS</v>
          </cell>
          <cell r="F2077" t="str">
            <v xml:space="preserve">BUS-P </v>
          </cell>
          <cell r="G2077">
            <v>429</v>
          </cell>
          <cell r="H2077" t="str">
            <v>BUS-P 429</v>
          </cell>
          <cell r="K2077" t="str">
            <v>Hu,Shanshan</v>
          </cell>
          <cell r="N2077">
            <v>3.4289999999999998</v>
          </cell>
          <cell r="O2077">
            <v>3.3530000000000002</v>
          </cell>
        </row>
        <row r="2078">
          <cell r="E2078" t="str">
            <v>BUS</v>
          </cell>
          <cell r="F2078" t="str">
            <v xml:space="preserve">BUS-P </v>
          </cell>
          <cell r="G2078">
            <v>429</v>
          </cell>
          <cell r="H2078" t="str">
            <v>BUS-P 429</v>
          </cell>
          <cell r="K2078" t="str">
            <v>Hu,Shanshan</v>
          </cell>
          <cell r="N2078">
            <v>3.7069999999999999</v>
          </cell>
          <cell r="O2078">
            <v>3.4390000000000001</v>
          </cell>
        </row>
        <row r="2079">
          <cell r="E2079" t="str">
            <v>BUS</v>
          </cell>
          <cell r="F2079" t="str">
            <v xml:space="preserve">BUS-P </v>
          </cell>
          <cell r="G2079">
            <v>429</v>
          </cell>
          <cell r="H2079" t="str">
            <v>BUS-P 429</v>
          </cell>
          <cell r="K2079" t="str">
            <v>Hu,Xinxin</v>
          </cell>
          <cell r="N2079">
            <v>3.1880000000000002</v>
          </cell>
          <cell r="O2079">
            <v>3.242</v>
          </cell>
        </row>
        <row r="2080">
          <cell r="E2080" t="str">
            <v>BUS</v>
          </cell>
          <cell r="F2080" t="str">
            <v xml:space="preserve">BUS-P </v>
          </cell>
          <cell r="G2080">
            <v>429</v>
          </cell>
          <cell r="H2080" t="str">
            <v>BUS-P 429</v>
          </cell>
          <cell r="K2080" t="str">
            <v>Hu,Xinxin</v>
          </cell>
          <cell r="N2080">
            <v>3.3159999999999998</v>
          </cell>
          <cell r="O2080">
            <v>3.298</v>
          </cell>
        </row>
        <row r="2081">
          <cell r="E2081" t="str">
            <v>BUS</v>
          </cell>
          <cell r="F2081" t="str">
            <v xml:space="preserve">BUS-P </v>
          </cell>
          <cell r="G2081">
            <v>429</v>
          </cell>
          <cell r="H2081" t="str">
            <v>BUS-P 429</v>
          </cell>
          <cell r="K2081" t="str">
            <v>Hu,Xinxin</v>
          </cell>
          <cell r="N2081">
            <v>3.5190000000000001</v>
          </cell>
          <cell r="O2081">
            <v>3.4449999999999998</v>
          </cell>
        </row>
        <row r="2082">
          <cell r="E2082" t="str">
            <v>BUS</v>
          </cell>
          <cell r="F2082" t="str">
            <v xml:space="preserve">BUS-P </v>
          </cell>
          <cell r="G2082">
            <v>431</v>
          </cell>
          <cell r="H2082" t="str">
            <v>BUS-P 431</v>
          </cell>
          <cell r="K2082" t="str">
            <v>Dobos,Scott Raymond</v>
          </cell>
          <cell r="N2082">
            <v>3.4740000000000002</v>
          </cell>
          <cell r="O2082">
            <v>3.2989999999999999</v>
          </cell>
        </row>
        <row r="2083">
          <cell r="E2083" t="str">
            <v>BUS</v>
          </cell>
          <cell r="F2083" t="str">
            <v xml:space="preserve">BUS-P </v>
          </cell>
          <cell r="G2083">
            <v>431</v>
          </cell>
          <cell r="H2083" t="str">
            <v>BUS-P 431</v>
          </cell>
          <cell r="K2083" t="str">
            <v>Pedraza Martinez,Alfonso</v>
          </cell>
          <cell r="N2083">
            <v>3.29</v>
          </cell>
          <cell r="O2083">
            <v>3.37</v>
          </cell>
        </row>
        <row r="2084">
          <cell r="E2084" t="str">
            <v>BUS</v>
          </cell>
          <cell r="F2084" t="str">
            <v xml:space="preserve">BUS-P </v>
          </cell>
          <cell r="G2084">
            <v>506</v>
          </cell>
          <cell r="H2084" t="str">
            <v>BUS-P 506</v>
          </cell>
          <cell r="K2084" t="str">
            <v>Pedraza Martinez,Alfonso</v>
          </cell>
          <cell r="N2084">
            <v>3.758</v>
          </cell>
          <cell r="O2084">
            <v>3.6190000000000002</v>
          </cell>
        </row>
        <row r="2085">
          <cell r="E2085" t="str">
            <v>BUS</v>
          </cell>
          <cell r="F2085" t="str">
            <v xml:space="preserve">BUS-P </v>
          </cell>
          <cell r="G2085">
            <v>509</v>
          </cell>
          <cell r="H2085" t="str">
            <v>BUS-P 509</v>
          </cell>
          <cell r="K2085" t="str">
            <v>Blocher,James D</v>
          </cell>
          <cell r="N2085">
            <v>3.532</v>
          </cell>
          <cell r="O2085">
            <v>3.5489999999999999</v>
          </cell>
        </row>
        <row r="2086">
          <cell r="E2086" t="str">
            <v>BUS</v>
          </cell>
          <cell r="F2086" t="str">
            <v xml:space="preserve">BUS-P </v>
          </cell>
          <cell r="G2086">
            <v>512</v>
          </cell>
          <cell r="H2086" t="str">
            <v>BUS-P 512</v>
          </cell>
          <cell r="K2086" t="str">
            <v>Aydin,Goker</v>
          </cell>
          <cell r="N2086">
            <v>3.871</v>
          </cell>
          <cell r="O2086">
            <v>3.5649999999999999</v>
          </cell>
        </row>
        <row r="2087">
          <cell r="E2087" t="str">
            <v>BUS</v>
          </cell>
          <cell r="F2087" t="str">
            <v xml:space="preserve">BUS-P </v>
          </cell>
          <cell r="G2087">
            <v>520</v>
          </cell>
          <cell r="H2087" t="str">
            <v>BUS-P 520</v>
          </cell>
          <cell r="K2087" t="str">
            <v>Briggs,Carl M</v>
          </cell>
          <cell r="N2087">
            <v>3.5339999999999998</v>
          </cell>
          <cell r="O2087">
            <v>3.581</v>
          </cell>
        </row>
        <row r="2088">
          <cell r="E2088" t="str">
            <v>BUS</v>
          </cell>
          <cell r="F2088" t="str">
            <v xml:space="preserve">BUS-P </v>
          </cell>
          <cell r="G2088">
            <v>550</v>
          </cell>
          <cell r="H2088" t="str">
            <v>BUS-P 550</v>
          </cell>
          <cell r="K2088" t="str">
            <v>Souza,Gilvan C</v>
          </cell>
          <cell r="N2088">
            <v>3.5259999999999998</v>
          </cell>
          <cell r="O2088">
            <v>3.6309999999999998</v>
          </cell>
        </row>
        <row r="2089">
          <cell r="E2089" t="str">
            <v>BUS</v>
          </cell>
          <cell r="F2089" t="str">
            <v xml:space="preserve">BUS-P </v>
          </cell>
          <cell r="G2089">
            <v>550</v>
          </cell>
          <cell r="H2089" t="str">
            <v>BUS-P 550</v>
          </cell>
          <cell r="K2089" t="str">
            <v>Souza,Gilvan C</v>
          </cell>
          <cell r="N2089">
            <v>3.6139999999999999</v>
          </cell>
          <cell r="O2089">
            <v>3.702</v>
          </cell>
        </row>
        <row r="2090">
          <cell r="E2090" t="str">
            <v>BUS</v>
          </cell>
          <cell r="F2090" t="str">
            <v xml:space="preserve">BUS-P </v>
          </cell>
          <cell r="G2090">
            <v>552</v>
          </cell>
          <cell r="H2090" t="str">
            <v>BUS-P 552</v>
          </cell>
          <cell r="K2090" t="str">
            <v>Wisneski,John E</v>
          </cell>
          <cell r="N2090">
            <v>3.593</v>
          </cell>
          <cell r="O2090">
            <v>3.5779999999999998</v>
          </cell>
        </row>
        <row r="2091">
          <cell r="E2091" t="str">
            <v>BUS</v>
          </cell>
          <cell r="F2091" t="str">
            <v xml:space="preserve">BUS-P </v>
          </cell>
          <cell r="G2091">
            <v>552</v>
          </cell>
          <cell r="H2091" t="str">
            <v>BUS-P 552</v>
          </cell>
          <cell r="K2091" t="str">
            <v>Wisneski,John E</v>
          </cell>
          <cell r="N2091">
            <v>3.536</v>
          </cell>
          <cell r="O2091">
            <v>3.5030000000000001</v>
          </cell>
        </row>
        <row r="2092">
          <cell r="E2092" t="str">
            <v>BUS</v>
          </cell>
          <cell r="F2092" t="str">
            <v xml:space="preserve">BUS-P </v>
          </cell>
          <cell r="G2092">
            <v>561</v>
          </cell>
          <cell r="H2092" t="str">
            <v>BUS-P 561</v>
          </cell>
          <cell r="K2092" t="str">
            <v>Blocher,James D</v>
          </cell>
          <cell r="N2092">
            <v>3.5830000000000002</v>
          </cell>
          <cell r="O2092">
            <v>3.5379999999999998</v>
          </cell>
        </row>
        <row r="2093">
          <cell r="E2093" t="str">
            <v>BUS</v>
          </cell>
          <cell r="F2093" t="str">
            <v xml:space="preserve">BUS-P </v>
          </cell>
          <cell r="G2093">
            <v>574</v>
          </cell>
          <cell r="H2093" t="str">
            <v>BUS-P 574</v>
          </cell>
          <cell r="K2093" t="str">
            <v>Woodhouse,Douglas</v>
          </cell>
          <cell r="N2093">
            <v>3.7120000000000002</v>
          </cell>
          <cell r="O2093">
            <v>3.5489999999999999</v>
          </cell>
        </row>
        <row r="2094">
          <cell r="E2094" t="str">
            <v>BUS</v>
          </cell>
          <cell r="F2094" t="str">
            <v xml:space="preserve">BUS-P </v>
          </cell>
          <cell r="G2094">
            <v>579</v>
          </cell>
          <cell r="H2094" t="str">
            <v>BUS-P 579</v>
          </cell>
          <cell r="K2094" t="str">
            <v>Briggs,Carl M</v>
          </cell>
          <cell r="N2094">
            <v>3.8130000000000002</v>
          </cell>
          <cell r="O2094">
            <v>3.6150000000000002</v>
          </cell>
        </row>
        <row r="2095">
          <cell r="E2095" t="str">
            <v>BUS</v>
          </cell>
          <cell r="F2095" t="str">
            <v xml:space="preserve">BUS-P </v>
          </cell>
          <cell r="G2095">
            <v>590</v>
          </cell>
          <cell r="H2095" t="str">
            <v>BUS-P 590</v>
          </cell>
          <cell r="K2095" t="str">
            <v>Blocher,James D</v>
          </cell>
          <cell r="N2095" t="str">
            <v>NR</v>
          </cell>
          <cell r="O2095" t="str">
            <v>NR</v>
          </cell>
        </row>
        <row r="2096">
          <cell r="E2096" t="str">
            <v>BUS</v>
          </cell>
          <cell r="F2096" t="str">
            <v xml:space="preserve">BUS-P </v>
          </cell>
          <cell r="G2096">
            <v>601</v>
          </cell>
          <cell r="H2096" t="str">
            <v>BUS-P 601</v>
          </cell>
          <cell r="K2096" t="str">
            <v>Souza,Gilvan C</v>
          </cell>
          <cell r="N2096" t="str">
            <v>NR</v>
          </cell>
          <cell r="O2096" t="str">
            <v>NR</v>
          </cell>
        </row>
        <row r="2097">
          <cell r="E2097" t="str">
            <v>BUS</v>
          </cell>
          <cell r="F2097" t="str">
            <v xml:space="preserve">BUS-P </v>
          </cell>
          <cell r="G2097">
            <v>602</v>
          </cell>
          <cell r="H2097" t="str">
            <v>BUS-P 602</v>
          </cell>
          <cell r="K2097" t="str">
            <v>Hu,Xinxin</v>
          </cell>
          <cell r="N2097" t="str">
            <v>NR</v>
          </cell>
          <cell r="O2097" t="str">
            <v>NR</v>
          </cell>
        </row>
        <row r="2098">
          <cell r="E2098" t="str">
            <v>BUS</v>
          </cell>
          <cell r="F2098" t="str">
            <v xml:space="preserve">BUS-P </v>
          </cell>
          <cell r="G2098">
            <v>604</v>
          </cell>
          <cell r="H2098" t="str">
            <v>BUS-P 604</v>
          </cell>
          <cell r="K2098" t="str">
            <v>Bretthauer,Kurt Michael</v>
          </cell>
          <cell r="N2098" t="str">
            <v>NR</v>
          </cell>
          <cell r="O2098" t="str">
            <v>NR</v>
          </cell>
        </row>
        <row r="2099">
          <cell r="E2099" t="str">
            <v>BUS</v>
          </cell>
          <cell r="F2099" t="str">
            <v xml:space="preserve">BUS-P </v>
          </cell>
          <cell r="G2099">
            <v>635</v>
          </cell>
          <cell r="H2099" t="str">
            <v>BUS-P 635</v>
          </cell>
          <cell r="K2099" t="str">
            <v>Hu,Shanshan</v>
          </cell>
          <cell r="N2099" t="str">
            <v>NR</v>
          </cell>
          <cell r="O2099" t="str">
            <v>NR</v>
          </cell>
        </row>
        <row r="2100">
          <cell r="E2100" t="str">
            <v>BUS</v>
          </cell>
          <cell r="F2100" t="str">
            <v xml:space="preserve">BUS-P </v>
          </cell>
          <cell r="G2100">
            <v>635</v>
          </cell>
          <cell r="H2100" t="str">
            <v>BUS-P 635</v>
          </cell>
          <cell r="K2100" t="str">
            <v>Pedraza Martinez,Alfonso</v>
          </cell>
          <cell r="N2100" t="str">
            <v>NR</v>
          </cell>
          <cell r="O2100" t="str">
            <v>NR</v>
          </cell>
        </row>
        <row r="2101">
          <cell r="E2101" t="str">
            <v>BUS</v>
          </cell>
          <cell r="F2101" t="str">
            <v xml:space="preserve">BUS-R </v>
          </cell>
          <cell r="G2101">
            <v>300</v>
          </cell>
          <cell r="H2101" t="str">
            <v>BUS-R 300</v>
          </cell>
          <cell r="K2101" t="str">
            <v>Battle III,Thomas Earl</v>
          </cell>
          <cell r="N2101">
            <v>3.2669999999999999</v>
          </cell>
          <cell r="O2101">
            <v>3</v>
          </cell>
        </row>
        <row r="2102">
          <cell r="E2102" t="str">
            <v>BUS</v>
          </cell>
          <cell r="F2102" t="str">
            <v xml:space="preserve">BUS-R </v>
          </cell>
          <cell r="G2102">
            <v>305</v>
          </cell>
          <cell r="H2102" t="str">
            <v>BUS-R 305</v>
          </cell>
          <cell r="K2102" t="str">
            <v>Mc Coy,Doug Morris</v>
          </cell>
          <cell r="N2102">
            <v>3.2309999999999999</v>
          </cell>
          <cell r="O2102">
            <v>3.1859999999999999</v>
          </cell>
        </row>
        <row r="2103">
          <cell r="E2103" t="str">
            <v>BUS</v>
          </cell>
          <cell r="F2103" t="str">
            <v xml:space="preserve">BUS-R </v>
          </cell>
          <cell r="G2103">
            <v>305</v>
          </cell>
          <cell r="H2103" t="str">
            <v>BUS-R 305</v>
          </cell>
          <cell r="K2103" t="str">
            <v>Mc Coy,Doug Morris</v>
          </cell>
          <cell r="N2103">
            <v>3.0030000000000001</v>
          </cell>
          <cell r="O2103">
            <v>3.17</v>
          </cell>
        </row>
        <row r="2104">
          <cell r="E2104" t="str">
            <v>BUS</v>
          </cell>
          <cell r="F2104" t="str">
            <v xml:space="preserve">BUS-R </v>
          </cell>
          <cell r="G2104">
            <v>440</v>
          </cell>
          <cell r="H2104" t="str">
            <v>BUS-R 440</v>
          </cell>
          <cell r="K2104" t="str">
            <v>Mc Coy,Doug Morris</v>
          </cell>
          <cell r="N2104">
            <v>3.36</v>
          </cell>
          <cell r="O2104">
            <v>3.2719999999999998</v>
          </cell>
        </row>
        <row r="2105">
          <cell r="E2105" t="str">
            <v>BUS</v>
          </cell>
          <cell r="F2105" t="str">
            <v xml:space="preserve">BUS-R </v>
          </cell>
          <cell r="G2105">
            <v>443</v>
          </cell>
          <cell r="H2105" t="str">
            <v>BUS-R 443</v>
          </cell>
          <cell r="K2105" t="str">
            <v>Mc Coy,Doug Morris</v>
          </cell>
          <cell r="N2105">
            <v>2.91</v>
          </cell>
          <cell r="O2105">
            <v>3.052</v>
          </cell>
        </row>
        <row r="2106">
          <cell r="E2106" t="str">
            <v>BUS</v>
          </cell>
          <cell r="F2106" t="str">
            <v xml:space="preserve">BUS-R </v>
          </cell>
          <cell r="G2106">
            <v>490</v>
          </cell>
          <cell r="H2106" t="str">
            <v>BUS-R 490</v>
          </cell>
          <cell r="K2106" t="str">
            <v>Mc Coy,Doug Morris</v>
          </cell>
          <cell r="N2106">
            <v>4</v>
          </cell>
          <cell r="O2106">
            <v>3.4159999999999999</v>
          </cell>
        </row>
        <row r="2107">
          <cell r="E2107" t="str">
            <v>BUS</v>
          </cell>
          <cell r="F2107" t="str">
            <v xml:space="preserve">BUS-R </v>
          </cell>
          <cell r="G2107">
            <v>490</v>
          </cell>
          <cell r="H2107" t="str">
            <v>BUS-R 490</v>
          </cell>
          <cell r="K2107" t="str">
            <v>Mc Coy,Doug Morris</v>
          </cell>
          <cell r="N2107" t="str">
            <v>NR</v>
          </cell>
          <cell r="O2107" t="str">
            <v>NR</v>
          </cell>
        </row>
        <row r="2108">
          <cell r="E2108" t="str">
            <v>BUS</v>
          </cell>
          <cell r="F2108" t="str">
            <v xml:space="preserve">BUS-R </v>
          </cell>
          <cell r="G2108">
            <v>510</v>
          </cell>
          <cell r="H2108" t="str">
            <v>BUS-R 510</v>
          </cell>
          <cell r="K2108" t="str">
            <v>Mc Coy,Doug Morris</v>
          </cell>
          <cell r="N2108">
            <v>3.5230000000000001</v>
          </cell>
          <cell r="O2108">
            <v>3.5390000000000001</v>
          </cell>
        </row>
        <row r="2109">
          <cell r="E2109" t="str">
            <v>BUS</v>
          </cell>
          <cell r="F2109" t="str">
            <v xml:space="preserve">BUS-R </v>
          </cell>
          <cell r="G2109">
            <v>510</v>
          </cell>
          <cell r="H2109" t="str">
            <v>BUS-R 510</v>
          </cell>
          <cell r="K2109" t="str">
            <v>Muhlhofer,Tobias</v>
          </cell>
          <cell r="N2109">
            <v>3.3140000000000001</v>
          </cell>
          <cell r="O2109">
            <v>3.552</v>
          </cell>
        </row>
        <row r="2110">
          <cell r="E2110" t="str">
            <v>BUS</v>
          </cell>
          <cell r="F2110" t="str">
            <v xml:space="preserve">BUS-R </v>
          </cell>
          <cell r="G2110">
            <v>590</v>
          </cell>
          <cell r="H2110" t="str">
            <v>BUS-R 590</v>
          </cell>
          <cell r="K2110" t="str">
            <v>Mc Coy,Doug Morris</v>
          </cell>
          <cell r="N2110" t="str">
            <v>NR</v>
          </cell>
          <cell r="O2110" t="str">
            <v>NR</v>
          </cell>
        </row>
        <row r="2111">
          <cell r="E2111" t="str">
            <v>BUS</v>
          </cell>
          <cell r="F2111" t="str">
            <v xml:space="preserve">BUS-S </v>
          </cell>
          <cell r="G2111">
            <v>305</v>
          </cell>
          <cell r="H2111" t="str">
            <v>BUS-S 305</v>
          </cell>
          <cell r="K2111" t="str">
            <v>Cummings,Jeffrey William</v>
          </cell>
          <cell r="N2111">
            <v>3.3980000000000001</v>
          </cell>
          <cell r="O2111">
            <v>3.3490000000000002</v>
          </cell>
        </row>
        <row r="2112">
          <cell r="E2112" t="str">
            <v>BUS</v>
          </cell>
          <cell r="F2112" t="str">
            <v xml:space="preserve">BUS-S </v>
          </cell>
          <cell r="G2112">
            <v>305</v>
          </cell>
          <cell r="H2112" t="str">
            <v>BUS-S 305</v>
          </cell>
          <cell r="K2112" t="str">
            <v>Dennis,Alan R.</v>
          </cell>
          <cell r="N2112">
            <v>3.21</v>
          </cell>
          <cell r="O2112">
            <v>3.2370000000000001</v>
          </cell>
        </row>
        <row r="2113">
          <cell r="E2113" t="str">
            <v>BUS</v>
          </cell>
          <cell r="F2113" t="str">
            <v xml:space="preserve">BUS-S </v>
          </cell>
          <cell r="G2113">
            <v>305</v>
          </cell>
          <cell r="H2113" t="str">
            <v>BUS-S 305</v>
          </cell>
          <cell r="K2113" t="str">
            <v>Dennis,Alan R.</v>
          </cell>
          <cell r="N2113">
            <v>3.3450000000000002</v>
          </cell>
          <cell r="O2113">
            <v>3.39</v>
          </cell>
        </row>
        <row r="2114">
          <cell r="E2114" t="str">
            <v>BUS</v>
          </cell>
          <cell r="F2114" t="str">
            <v xml:space="preserve">BUS-S </v>
          </cell>
          <cell r="G2114">
            <v>307</v>
          </cell>
          <cell r="H2114" t="str">
            <v>BUS-S 307</v>
          </cell>
          <cell r="K2114" t="str">
            <v>Bala,Hillol</v>
          </cell>
          <cell r="N2114">
            <v>3.23</v>
          </cell>
          <cell r="O2114">
            <v>3.302</v>
          </cell>
        </row>
        <row r="2115">
          <cell r="E2115" t="str">
            <v>BUS</v>
          </cell>
          <cell r="F2115" t="str">
            <v xml:space="preserve">BUS-S </v>
          </cell>
          <cell r="G2115">
            <v>307</v>
          </cell>
          <cell r="H2115" t="str">
            <v>BUS-S 307</v>
          </cell>
          <cell r="K2115" t="str">
            <v>Bala,Hillol</v>
          </cell>
          <cell r="N2115">
            <v>3.379</v>
          </cell>
          <cell r="O2115">
            <v>3.3980000000000001</v>
          </cell>
        </row>
        <row r="2116">
          <cell r="E2116" t="str">
            <v>BUS</v>
          </cell>
          <cell r="F2116" t="str">
            <v xml:space="preserve">BUS-S </v>
          </cell>
          <cell r="G2116">
            <v>307</v>
          </cell>
          <cell r="H2116" t="str">
            <v>BUS-S 307</v>
          </cell>
          <cell r="K2116" t="str">
            <v>Bala,Hillol</v>
          </cell>
          <cell r="N2116">
            <v>3.5960000000000001</v>
          </cell>
          <cell r="O2116">
            <v>3.3780000000000001</v>
          </cell>
        </row>
        <row r="2117">
          <cell r="E2117" t="str">
            <v>BUS</v>
          </cell>
          <cell r="F2117" t="str">
            <v xml:space="preserve">BUS-S </v>
          </cell>
          <cell r="G2117">
            <v>307</v>
          </cell>
          <cell r="H2117" t="str">
            <v>BUS-S 307</v>
          </cell>
          <cell r="K2117" t="str">
            <v>Bala,Hillol</v>
          </cell>
          <cell r="N2117">
            <v>3.3940000000000001</v>
          </cell>
          <cell r="O2117">
            <v>3.35</v>
          </cell>
        </row>
        <row r="2118">
          <cell r="E2118" t="str">
            <v>BUS</v>
          </cell>
          <cell r="F2118" t="str">
            <v xml:space="preserve">BUS-S </v>
          </cell>
          <cell r="G2118">
            <v>308</v>
          </cell>
          <cell r="H2118" t="str">
            <v>BUS-S 308</v>
          </cell>
          <cell r="K2118" t="str">
            <v>Collins,Michael R</v>
          </cell>
          <cell r="N2118">
            <v>3.4620000000000002</v>
          </cell>
          <cell r="O2118">
            <v>3.2989999999999999</v>
          </cell>
        </row>
        <row r="2119">
          <cell r="E2119" t="str">
            <v>BUS</v>
          </cell>
          <cell r="F2119" t="str">
            <v xml:space="preserve">BUS-S </v>
          </cell>
          <cell r="G2119">
            <v>308</v>
          </cell>
          <cell r="H2119" t="str">
            <v>BUS-S 308</v>
          </cell>
          <cell r="K2119" t="str">
            <v>Collins,Michael R</v>
          </cell>
          <cell r="N2119">
            <v>3.508</v>
          </cell>
          <cell r="O2119">
            <v>3.3439999999999999</v>
          </cell>
        </row>
        <row r="2120">
          <cell r="E2120" t="str">
            <v>BUS</v>
          </cell>
          <cell r="F2120" t="str">
            <v xml:space="preserve">BUS-S </v>
          </cell>
          <cell r="G2120">
            <v>310</v>
          </cell>
          <cell r="H2120" t="str">
            <v>BUS-S 310</v>
          </cell>
          <cell r="K2120" t="str">
            <v>Samuel,Binny</v>
          </cell>
          <cell r="N2120">
            <v>3.4750000000000001</v>
          </cell>
          <cell r="O2120">
            <v>3.2869999999999999</v>
          </cell>
        </row>
        <row r="2121">
          <cell r="E2121" t="str">
            <v>BUS</v>
          </cell>
          <cell r="F2121" t="str">
            <v xml:space="preserve">BUS-S </v>
          </cell>
          <cell r="G2121">
            <v>310</v>
          </cell>
          <cell r="H2121" t="str">
            <v>BUS-S 310</v>
          </cell>
          <cell r="K2121" t="str">
            <v>Wells,Taylor Michael</v>
          </cell>
          <cell r="N2121">
            <v>3.5139999999999998</v>
          </cell>
          <cell r="O2121">
            <v>3.3889999999999998</v>
          </cell>
        </row>
        <row r="2122">
          <cell r="E2122" t="str">
            <v>BUS</v>
          </cell>
          <cell r="F2122" t="str">
            <v xml:space="preserve">BUS-S </v>
          </cell>
          <cell r="G2122">
            <v>400</v>
          </cell>
          <cell r="H2122" t="str">
            <v>BUS-S 400</v>
          </cell>
          <cell r="K2122" t="str">
            <v>Bhagwatwar,Akshay</v>
          </cell>
          <cell r="N2122">
            <v>3.6709999999999998</v>
          </cell>
          <cell r="O2122">
            <v>3.4239999999999999</v>
          </cell>
        </row>
        <row r="2123">
          <cell r="E2123" t="str">
            <v>BUS</v>
          </cell>
          <cell r="F2123" t="str">
            <v xml:space="preserve">BUS-S </v>
          </cell>
          <cell r="G2123">
            <v>400</v>
          </cell>
          <cell r="H2123" t="str">
            <v>BUS-S 400</v>
          </cell>
          <cell r="K2123" t="str">
            <v>Byrer,Joyce Kay</v>
          </cell>
          <cell r="N2123">
            <v>3.34</v>
          </cell>
          <cell r="O2123">
            <v>3.4910000000000001</v>
          </cell>
        </row>
        <row r="2124">
          <cell r="E2124" t="str">
            <v>BUS</v>
          </cell>
          <cell r="F2124" t="str">
            <v xml:space="preserve">BUS-S </v>
          </cell>
          <cell r="G2124">
            <v>400</v>
          </cell>
          <cell r="H2124" t="str">
            <v>BUS-S 400</v>
          </cell>
          <cell r="K2124" t="str">
            <v>Byrer,Joyce Kay</v>
          </cell>
          <cell r="N2124">
            <v>2.75</v>
          </cell>
          <cell r="O2124">
            <v>3.3650000000000002</v>
          </cell>
        </row>
        <row r="2125">
          <cell r="E2125" t="str">
            <v>BUS</v>
          </cell>
          <cell r="F2125" t="str">
            <v xml:space="preserve">BUS-S </v>
          </cell>
          <cell r="G2125">
            <v>400</v>
          </cell>
          <cell r="H2125" t="str">
            <v>BUS-S 400</v>
          </cell>
          <cell r="K2125" t="str">
            <v>Byrer,Joyce Kay</v>
          </cell>
          <cell r="N2125">
            <v>3.3170000000000002</v>
          </cell>
          <cell r="O2125">
            <v>3.335</v>
          </cell>
        </row>
        <row r="2126">
          <cell r="E2126" t="str">
            <v>BUS</v>
          </cell>
          <cell r="F2126" t="str">
            <v xml:space="preserve">BUS-S </v>
          </cell>
          <cell r="G2126">
            <v>400</v>
          </cell>
          <cell r="H2126" t="str">
            <v>BUS-S 400</v>
          </cell>
          <cell r="K2126" t="str">
            <v>Byrer,Joyce Kay</v>
          </cell>
          <cell r="N2126">
            <v>2.73</v>
          </cell>
          <cell r="O2126">
            <v>3.3809999999999998</v>
          </cell>
        </row>
        <row r="2127">
          <cell r="E2127" t="str">
            <v>BUS</v>
          </cell>
          <cell r="F2127" t="str">
            <v xml:space="preserve">BUS-S </v>
          </cell>
          <cell r="G2127">
            <v>400</v>
          </cell>
          <cell r="H2127" t="str">
            <v>BUS-S 400</v>
          </cell>
          <cell r="K2127" t="str">
            <v>Byrer,Joyce Kay</v>
          </cell>
          <cell r="N2127">
            <v>3.1429999999999998</v>
          </cell>
          <cell r="O2127">
            <v>3.3</v>
          </cell>
        </row>
        <row r="2128">
          <cell r="E2128" t="str">
            <v>BUS</v>
          </cell>
          <cell r="F2128" t="str">
            <v xml:space="preserve">BUS-S </v>
          </cell>
          <cell r="G2128">
            <v>400</v>
          </cell>
          <cell r="H2128" t="str">
            <v>BUS-S 400</v>
          </cell>
          <cell r="K2128" t="str">
            <v>Woodhouse,Douglas</v>
          </cell>
          <cell r="N2128">
            <v>3.5169999999999999</v>
          </cell>
          <cell r="O2128">
            <v>3.5110000000000001</v>
          </cell>
        </row>
        <row r="2129">
          <cell r="E2129" t="str">
            <v>BUS</v>
          </cell>
          <cell r="F2129" t="str">
            <v xml:space="preserve">BUS-S </v>
          </cell>
          <cell r="G2129">
            <v>400</v>
          </cell>
          <cell r="H2129" t="str">
            <v>BUS-S 400</v>
          </cell>
          <cell r="K2129" t="str">
            <v>Woodhouse,Douglas</v>
          </cell>
          <cell r="N2129">
            <v>3.3380000000000001</v>
          </cell>
          <cell r="O2129">
            <v>3.5270000000000001</v>
          </cell>
        </row>
        <row r="2130">
          <cell r="E2130" t="str">
            <v>BUS</v>
          </cell>
          <cell r="F2130" t="str">
            <v xml:space="preserve">BUS-S </v>
          </cell>
          <cell r="G2130">
            <v>400</v>
          </cell>
          <cell r="H2130" t="str">
            <v>BUS-S 400</v>
          </cell>
          <cell r="K2130" t="str">
            <v>Woodhouse,Douglas</v>
          </cell>
          <cell r="N2130">
            <v>3.32</v>
          </cell>
          <cell r="O2130">
            <v>3.2669999999999999</v>
          </cell>
        </row>
        <row r="2131">
          <cell r="E2131" t="str">
            <v>BUS</v>
          </cell>
          <cell r="F2131" t="str">
            <v xml:space="preserve">BUS-S </v>
          </cell>
          <cell r="G2131">
            <v>400</v>
          </cell>
          <cell r="H2131" t="str">
            <v>BUS-S 400</v>
          </cell>
          <cell r="K2131" t="str">
            <v>Woodhouse,Douglas</v>
          </cell>
          <cell r="N2131">
            <v>3.3580000000000001</v>
          </cell>
          <cell r="O2131">
            <v>3.4670000000000001</v>
          </cell>
        </row>
        <row r="2132">
          <cell r="E2132" t="str">
            <v>BUS</v>
          </cell>
          <cell r="F2132" t="str">
            <v xml:space="preserve">BUS-S </v>
          </cell>
          <cell r="G2132">
            <v>400</v>
          </cell>
          <cell r="H2132" t="str">
            <v>BUS-S 400</v>
          </cell>
          <cell r="K2132" t="str">
            <v>Woodhouse,Douglas</v>
          </cell>
          <cell r="N2132">
            <v>3.61</v>
          </cell>
          <cell r="O2132">
            <v>3.4830000000000001</v>
          </cell>
        </row>
        <row r="2133">
          <cell r="E2133" t="str">
            <v>BUS</v>
          </cell>
          <cell r="F2133" t="str">
            <v xml:space="preserve">BUS-S </v>
          </cell>
          <cell r="G2133">
            <v>400</v>
          </cell>
          <cell r="H2133" t="str">
            <v>BUS-S 400</v>
          </cell>
          <cell r="K2133" t="str">
            <v>Woodhouse,Douglas</v>
          </cell>
          <cell r="N2133">
            <v>3.2429999999999999</v>
          </cell>
          <cell r="O2133">
            <v>3.3359999999999999</v>
          </cell>
        </row>
        <row r="2134">
          <cell r="E2134" t="str">
            <v>BUS</v>
          </cell>
          <cell r="F2134" t="str">
            <v xml:space="preserve">BUS-S </v>
          </cell>
          <cell r="G2134">
            <v>400</v>
          </cell>
          <cell r="H2134" t="str">
            <v>BUS-S 400</v>
          </cell>
          <cell r="K2134" t="str">
            <v>Woodhouse,Douglas</v>
          </cell>
          <cell r="N2134">
            <v>3.262</v>
          </cell>
          <cell r="O2134">
            <v>3.298</v>
          </cell>
        </row>
        <row r="2135">
          <cell r="E2135" t="str">
            <v>BUS</v>
          </cell>
          <cell r="F2135" t="str">
            <v xml:space="preserve">BUS-S </v>
          </cell>
          <cell r="G2135">
            <v>428</v>
          </cell>
          <cell r="H2135" t="str">
            <v>BUS-S 428</v>
          </cell>
          <cell r="K2135" t="str">
            <v>Newquist,Jay D.</v>
          </cell>
          <cell r="N2135">
            <v>3.2</v>
          </cell>
          <cell r="O2135">
            <v>3.4769999999999999</v>
          </cell>
        </row>
        <row r="2136">
          <cell r="E2136" t="str">
            <v>BUS</v>
          </cell>
          <cell r="F2136" t="str">
            <v xml:space="preserve">BUS-S </v>
          </cell>
          <cell r="G2136">
            <v>433</v>
          </cell>
          <cell r="H2136" t="str">
            <v>BUS-S 433</v>
          </cell>
          <cell r="K2136" t="str">
            <v>Prabhakar,Bipin</v>
          </cell>
          <cell r="N2136" t="str">
            <v>NR</v>
          </cell>
          <cell r="O2136" t="str">
            <v>NR</v>
          </cell>
        </row>
        <row r="2137">
          <cell r="E2137" t="str">
            <v>BUS</v>
          </cell>
          <cell r="F2137" t="str">
            <v xml:space="preserve">BUS-S </v>
          </cell>
          <cell r="G2137">
            <v>507</v>
          </cell>
          <cell r="H2137" t="str">
            <v>BUS-S 507</v>
          </cell>
          <cell r="K2137" t="str">
            <v>Woodhouse,Douglas</v>
          </cell>
          <cell r="N2137">
            <v>3.9689999999999999</v>
          </cell>
          <cell r="O2137">
            <v>3.5649999999999999</v>
          </cell>
        </row>
        <row r="2138">
          <cell r="E2138" t="str">
            <v>BUS</v>
          </cell>
          <cell r="F2138" t="str">
            <v xml:space="preserve">BUS-S </v>
          </cell>
          <cell r="G2138">
            <v>523</v>
          </cell>
          <cell r="H2138" t="str">
            <v>BUS-S 523</v>
          </cell>
          <cell r="K2138" t="str">
            <v>Khatri,Vijay</v>
          </cell>
          <cell r="N2138">
            <v>3.6070000000000002</v>
          </cell>
          <cell r="O2138">
            <v>3.738</v>
          </cell>
        </row>
        <row r="2139">
          <cell r="E2139" t="str">
            <v>BUS</v>
          </cell>
          <cell r="F2139" t="str">
            <v xml:space="preserve">BUS-S </v>
          </cell>
          <cell r="G2139">
            <v>523</v>
          </cell>
          <cell r="H2139" t="str">
            <v>BUS-S 523</v>
          </cell>
          <cell r="K2139" t="str">
            <v>Khatri,Vijay</v>
          </cell>
          <cell r="N2139">
            <v>3.7519999999999998</v>
          </cell>
          <cell r="O2139">
            <v>3.6829999999999998</v>
          </cell>
        </row>
        <row r="2140">
          <cell r="E2140" t="str">
            <v>BUS</v>
          </cell>
          <cell r="F2140" t="str">
            <v xml:space="preserve">BUS-S </v>
          </cell>
          <cell r="G2140">
            <v>528</v>
          </cell>
          <cell r="H2140" t="str">
            <v>BUS-S 528</v>
          </cell>
          <cell r="K2140" t="str">
            <v>Newquist,Jay D.</v>
          </cell>
          <cell r="N2140">
            <v>3.74</v>
          </cell>
          <cell r="O2140">
            <v>3.4329999999999998</v>
          </cell>
        </row>
        <row r="2141">
          <cell r="E2141" t="str">
            <v>BUS</v>
          </cell>
          <cell r="F2141" t="str">
            <v xml:space="preserve">BUS-S </v>
          </cell>
          <cell r="G2141">
            <v>531</v>
          </cell>
          <cell r="H2141" t="str">
            <v>BUS-S 531</v>
          </cell>
          <cell r="K2141" t="str">
            <v>Lopes,Alexandre Barsi</v>
          </cell>
          <cell r="N2141">
            <v>3.5129999999999999</v>
          </cell>
          <cell r="O2141">
            <v>3.7770000000000001</v>
          </cell>
        </row>
        <row r="2142">
          <cell r="E2142" t="str">
            <v>BUS</v>
          </cell>
          <cell r="F2142" t="str">
            <v xml:space="preserve">BUS-S </v>
          </cell>
          <cell r="G2142">
            <v>535</v>
          </cell>
          <cell r="H2142" t="str">
            <v>BUS-S 535</v>
          </cell>
          <cell r="K2142" t="str">
            <v>Beal,Jason Ray</v>
          </cell>
          <cell r="N2142">
            <v>4</v>
          </cell>
          <cell r="O2142">
            <v>3.6280000000000001</v>
          </cell>
        </row>
        <row r="2143">
          <cell r="E2143" t="str">
            <v>BUS</v>
          </cell>
          <cell r="F2143" t="str">
            <v xml:space="preserve">BUS-S </v>
          </cell>
          <cell r="G2143">
            <v>535</v>
          </cell>
          <cell r="H2143" t="str">
            <v>BUS-S 535</v>
          </cell>
          <cell r="K2143" t="str">
            <v>Prabhakar,Bipin</v>
          </cell>
          <cell r="N2143">
            <v>3.57</v>
          </cell>
          <cell r="O2143">
            <v>3.7309999999999999</v>
          </cell>
        </row>
        <row r="2144">
          <cell r="E2144" t="str">
            <v>BUS</v>
          </cell>
          <cell r="F2144" t="str">
            <v xml:space="preserve">BUS-S </v>
          </cell>
          <cell r="G2144">
            <v>535</v>
          </cell>
          <cell r="H2144" t="str">
            <v>BUS-S 535</v>
          </cell>
          <cell r="K2144" t="str">
            <v>Zozulia,Mark Alex</v>
          </cell>
          <cell r="N2144">
            <v>3.673</v>
          </cell>
          <cell r="O2144">
            <v>3.6930000000000001</v>
          </cell>
        </row>
        <row r="2145">
          <cell r="E2145" t="str">
            <v>BUS</v>
          </cell>
          <cell r="F2145" t="str">
            <v xml:space="preserve">BUS-S </v>
          </cell>
          <cell r="G2145">
            <v>538</v>
          </cell>
          <cell r="H2145" t="str">
            <v>BUS-S 538</v>
          </cell>
          <cell r="K2145" t="str">
            <v>Prabhakar,Bipin</v>
          </cell>
          <cell r="N2145">
            <v>3.456</v>
          </cell>
          <cell r="O2145">
            <v>3.5569999999999999</v>
          </cell>
        </row>
        <row r="2146">
          <cell r="E2146" t="str">
            <v>BUS</v>
          </cell>
          <cell r="F2146" t="str">
            <v xml:space="preserve">BUS-S </v>
          </cell>
          <cell r="G2146">
            <v>538</v>
          </cell>
          <cell r="H2146" t="str">
            <v>BUS-S 538</v>
          </cell>
          <cell r="K2146" t="str">
            <v>Prabhakar,Bipin</v>
          </cell>
          <cell r="N2146">
            <v>3.2229999999999999</v>
          </cell>
          <cell r="O2146">
            <v>3.6880000000000002</v>
          </cell>
        </row>
        <row r="2147">
          <cell r="E2147" t="str">
            <v>BUS</v>
          </cell>
          <cell r="F2147" t="str">
            <v xml:space="preserve">BUS-S </v>
          </cell>
          <cell r="G2147">
            <v>540</v>
          </cell>
          <cell r="H2147" t="str">
            <v>BUS-S 540</v>
          </cell>
          <cell r="K2147" t="str">
            <v>Bretthauer,Kurt Michael</v>
          </cell>
          <cell r="N2147">
            <v>3.5640000000000001</v>
          </cell>
          <cell r="O2147">
            <v>3.5649999999999999</v>
          </cell>
        </row>
        <row r="2148">
          <cell r="E2148" t="str">
            <v>BUS</v>
          </cell>
          <cell r="F2148" t="str">
            <v xml:space="preserve">BUS-S </v>
          </cell>
          <cell r="G2148">
            <v>541</v>
          </cell>
          <cell r="H2148" t="str">
            <v>BUS-S 541</v>
          </cell>
          <cell r="K2148" t="str">
            <v>Prabhakar,Bipin</v>
          </cell>
          <cell r="N2148">
            <v>3.742</v>
          </cell>
          <cell r="O2148">
            <v>3.7559999999999998</v>
          </cell>
        </row>
        <row r="2149">
          <cell r="E2149" t="str">
            <v>BUS</v>
          </cell>
          <cell r="F2149" t="str">
            <v xml:space="preserve">BUS-S </v>
          </cell>
          <cell r="G2149">
            <v>542</v>
          </cell>
          <cell r="H2149" t="str">
            <v>BUS-S 542</v>
          </cell>
          <cell r="K2149" t="str">
            <v>Prabhakar,Bipin</v>
          </cell>
          <cell r="N2149" t="str">
            <v>NR</v>
          </cell>
          <cell r="O2149" t="str">
            <v>NR</v>
          </cell>
        </row>
        <row r="2150">
          <cell r="E2150" t="str">
            <v>BUS</v>
          </cell>
          <cell r="F2150" t="str">
            <v xml:space="preserve">BUS-S </v>
          </cell>
          <cell r="G2150">
            <v>546</v>
          </cell>
          <cell r="H2150" t="str">
            <v>BUS-S 546</v>
          </cell>
          <cell r="K2150" t="str">
            <v>Gerth,Tony</v>
          </cell>
          <cell r="N2150">
            <v>3.99</v>
          </cell>
          <cell r="O2150">
            <v>3.722</v>
          </cell>
        </row>
        <row r="2151">
          <cell r="E2151" t="str">
            <v>BUS</v>
          </cell>
          <cell r="F2151" t="str">
            <v xml:space="preserve">BUS-S </v>
          </cell>
          <cell r="G2151">
            <v>546</v>
          </cell>
          <cell r="H2151" t="str">
            <v>BUS-S 546</v>
          </cell>
          <cell r="K2151" t="str">
            <v>Gerth,Tony</v>
          </cell>
          <cell r="N2151">
            <v>3.98</v>
          </cell>
          <cell r="O2151">
            <v>3.75</v>
          </cell>
        </row>
        <row r="2152">
          <cell r="E2152" t="str">
            <v>BUS</v>
          </cell>
          <cell r="F2152" t="str">
            <v xml:space="preserve">BUS-S </v>
          </cell>
          <cell r="G2152">
            <v>546</v>
          </cell>
          <cell r="H2152" t="str">
            <v>BUS-S 546</v>
          </cell>
          <cell r="K2152" t="str">
            <v>Lopes,Alexandre Barsi</v>
          </cell>
          <cell r="N2152">
            <v>3.9670000000000001</v>
          </cell>
          <cell r="O2152">
            <v>3.7690000000000001</v>
          </cell>
        </row>
        <row r="2153">
          <cell r="E2153" t="str">
            <v>BUS</v>
          </cell>
          <cell r="F2153" t="str">
            <v xml:space="preserve">BUS-S </v>
          </cell>
          <cell r="G2153">
            <v>546</v>
          </cell>
          <cell r="H2153" t="str">
            <v>BUS-S 546</v>
          </cell>
          <cell r="K2153" t="str">
            <v>Lopes,Alexandre Barsi</v>
          </cell>
          <cell r="N2153">
            <v>3.9209999999999998</v>
          </cell>
          <cell r="O2153">
            <v>3.6840000000000002</v>
          </cell>
        </row>
        <row r="2154">
          <cell r="E2154" t="str">
            <v>BUS</v>
          </cell>
          <cell r="F2154" t="str">
            <v xml:space="preserve">BUS-S </v>
          </cell>
          <cell r="G2154">
            <v>571</v>
          </cell>
          <cell r="H2154" t="str">
            <v>BUS-S 571</v>
          </cell>
          <cell r="K2154" t="str">
            <v>Gray,Stephanie J</v>
          </cell>
          <cell r="N2154" t="str">
            <v>NR</v>
          </cell>
          <cell r="O2154" t="str">
            <v>NR</v>
          </cell>
        </row>
        <row r="2155">
          <cell r="E2155" t="str">
            <v>BUS</v>
          </cell>
          <cell r="F2155" t="str">
            <v xml:space="preserve">BUS-S </v>
          </cell>
          <cell r="G2155">
            <v>571</v>
          </cell>
          <cell r="H2155" t="str">
            <v>BUS-S 571</v>
          </cell>
          <cell r="K2155" t="str">
            <v>Gray,Stephanie J</v>
          </cell>
          <cell r="N2155" t="str">
            <v>NR</v>
          </cell>
          <cell r="O2155" t="str">
            <v>NR</v>
          </cell>
        </row>
        <row r="2156">
          <cell r="E2156" t="str">
            <v>BUS</v>
          </cell>
          <cell r="F2156" t="str">
            <v xml:space="preserve">BUS-S </v>
          </cell>
          <cell r="G2156">
            <v>571</v>
          </cell>
          <cell r="H2156" t="str">
            <v>BUS-S 571</v>
          </cell>
          <cell r="K2156" t="str">
            <v>Venkataraman,Ramesh</v>
          </cell>
          <cell r="N2156" t="str">
            <v>NR</v>
          </cell>
          <cell r="O2156" t="str">
            <v>NR</v>
          </cell>
        </row>
        <row r="2157">
          <cell r="E2157" t="str">
            <v>BUS</v>
          </cell>
          <cell r="F2157" t="str">
            <v xml:space="preserve">BUS-S </v>
          </cell>
          <cell r="G2157">
            <v>571</v>
          </cell>
          <cell r="H2157" t="str">
            <v>BUS-S 571</v>
          </cell>
          <cell r="K2157" t="str">
            <v>Venkataraman,Ramesh</v>
          </cell>
          <cell r="N2157" t="str">
            <v>NR</v>
          </cell>
          <cell r="O2157" t="str">
            <v>NR</v>
          </cell>
        </row>
        <row r="2158">
          <cell r="E2158" t="str">
            <v>BUS</v>
          </cell>
          <cell r="F2158" t="str">
            <v xml:space="preserve">BUS-S </v>
          </cell>
          <cell r="G2158">
            <v>590</v>
          </cell>
          <cell r="H2158" t="str">
            <v>BUS-S 590</v>
          </cell>
          <cell r="K2158" t="str">
            <v>Blocher,James D</v>
          </cell>
          <cell r="N2158" t="str">
            <v>NR</v>
          </cell>
          <cell r="O2158" t="str">
            <v>NR</v>
          </cell>
        </row>
        <row r="2159">
          <cell r="E2159" t="str">
            <v>BUS</v>
          </cell>
          <cell r="F2159" t="str">
            <v xml:space="preserve">BUS-S </v>
          </cell>
          <cell r="G2159">
            <v>590</v>
          </cell>
          <cell r="H2159" t="str">
            <v>BUS-S 590</v>
          </cell>
          <cell r="K2159" t="str">
            <v>Blocher,James D</v>
          </cell>
          <cell r="N2159">
            <v>3.7829999999999999</v>
          </cell>
          <cell r="O2159">
            <v>3.6360000000000001</v>
          </cell>
        </row>
        <row r="2160">
          <cell r="E2160" t="str">
            <v>BUS</v>
          </cell>
          <cell r="F2160" t="str">
            <v xml:space="preserve">BUS-S </v>
          </cell>
          <cell r="G2160">
            <v>601</v>
          </cell>
          <cell r="H2160" t="str">
            <v>BUS-S 601</v>
          </cell>
          <cell r="K2160" t="str">
            <v>Bala,Hillol</v>
          </cell>
          <cell r="N2160" t="str">
            <v>NR</v>
          </cell>
          <cell r="O2160" t="str">
            <v>NR</v>
          </cell>
        </row>
        <row r="2161">
          <cell r="E2161" t="str">
            <v>BUS</v>
          </cell>
          <cell r="F2161" t="str">
            <v xml:space="preserve">BUS-S </v>
          </cell>
          <cell r="G2161">
            <v>605</v>
          </cell>
          <cell r="H2161" t="str">
            <v>BUS-S 605</v>
          </cell>
          <cell r="K2161" t="str">
            <v>Massey,Anne P.</v>
          </cell>
          <cell r="N2161" t="str">
            <v>NR</v>
          </cell>
          <cell r="O2161" t="str">
            <v>NR</v>
          </cell>
        </row>
        <row r="2162">
          <cell r="E2162" t="str">
            <v>BUS</v>
          </cell>
          <cell r="F2162" t="str">
            <v xml:space="preserve">BUS-S </v>
          </cell>
          <cell r="G2162">
            <v>635</v>
          </cell>
          <cell r="H2162" t="str">
            <v>BUS-S 635</v>
          </cell>
          <cell r="K2162" t="str">
            <v>Bala,Hillol</v>
          </cell>
          <cell r="N2162" t="str">
            <v>NR</v>
          </cell>
          <cell r="O2162" t="str">
            <v>NR</v>
          </cell>
        </row>
        <row r="2163">
          <cell r="E2163" t="str">
            <v>BUS</v>
          </cell>
          <cell r="F2163" t="str">
            <v xml:space="preserve">BUS-T </v>
          </cell>
          <cell r="G2163">
            <v>134</v>
          </cell>
          <cell r="H2163" t="str">
            <v>BUS-T 134</v>
          </cell>
          <cell r="K2163" t="str">
            <v>Barnett,Andrew James</v>
          </cell>
          <cell r="N2163">
            <v>3.8420000000000001</v>
          </cell>
          <cell r="O2163">
            <v>3.3969999999999998</v>
          </cell>
        </row>
        <row r="2164">
          <cell r="E2164" t="str">
            <v>BUS</v>
          </cell>
          <cell r="F2164" t="str">
            <v xml:space="preserve">BUS-T </v>
          </cell>
          <cell r="G2164">
            <v>134</v>
          </cell>
          <cell r="H2164" t="str">
            <v>BUS-T 134</v>
          </cell>
          <cell r="K2164" t="str">
            <v>Barnett,Andrew James</v>
          </cell>
          <cell r="N2164">
            <v>3.5920000000000001</v>
          </cell>
          <cell r="O2164">
            <v>3.056</v>
          </cell>
        </row>
        <row r="2165">
          <cell r="E2165" t="str">
            <v>BUS</v>
          </cell>
          <cell r="F2165" t="str">
            <v xml:space="preserve">BUS-T </v>
          </cell>
          <cell r="G2165">
            <v>134</v>
          </cell>
          <cell r="H2165" t="str">
            <v>BUS-T 134</v>
          </cell>
          <cell r="K2165" t="str">
            <v>Barnett,Andrew James</v>
          </cell>
          <cell r="N2165">
            <v>3.758</v>
          </cell>
          <cell r="O2165">
            <v>3.3359999999999999</v>
          </cell>
        </row>
        <row r="2166">
          <cell r="E2166" t="str">
            <v>BUS</v>
          </cell>
          <cell r="F2166" t="str">
            <v xml:space="preserve">BUS-T </v>
          </cell>
          <cell r="G2166">
            <v>134</v>
          </cell>
          <cell r="H2166" t="str">
            <v>BUS-T 134</v>
          </cell>
          <cell r="K2166" t="str">
            <v>Barnett,Andrew James</v>
          </cell>
          <cell r="N2166">
            <v>3.2330000000000001</v>
          </cell>
          <cell r="O2166">
            <v>2.9740000000000002</v>
          </cell>
        </row>
        <row r="2167">
          <cell r="E2167" t="str">
            <v>BUS</v>
          </cell>
          <cell r="F2167" t="str">
            <v xml:space="preserve">BUS-T </v>
          </cell>
          <cell r="G2167">
            <v>134</v>
          </cell>
          <cell r="H2167" t="str">
            <v>BUS-T 134</v>
          </cell>
          <cell r="K2167" t="str">
            <v>Goodman,Zachary</v>
          </cell>
          <cell r="N2167">
            <v>3.7829999999999999</v>
          </cell>
          <cell r="O2167">
            <v>3.15</v>
          </cell>
        </row>
        <row r="2168">
          <cell r="E2168" t="str">
            <v>BUS</v>
          </cell>
          <cell r="F2168" t="str">
            <v xml:space="preserve">BUS-T </v>
          </cell>
          <cell r="G2168">
            <v>134</v>
          </cell>
          <cell r="H2168" t="str">
            <v>BUS-T 134</v>
          </cell>
          <cell r="K2168" t="str">
            <v>Goodman,Zachary</v>
          </cell>
          <cell r="N2168">
            <v>3.8540000000000001</v>
          </cell>
          <cell r="O2168">
            <v>3.3860000000000001</v>
          </cell>
        </row>
        <row r="2169">
          <cell r="E2169" t="str">
            <v>BUS</v>
          </cell>
          <cell r="F2169" t="str">
            <v xml:space="preserve">BUS-T </v>
          </cell>
          <cell r="G2169">
            <v>134</v>
          </cell>
          <cell r="H2169" t="str">
            <v>BUS-T 134</v>
          </cell>
          <cell r="K2169" t="str">
            <v>Lovett,Carly Anne</v>
          </cell>
          <cell r="N2169">
            <v>3.609</v>
          </cell>
          <cell r="O2169">
            <v>3.2330000000000001</v>
          </cell>
        </row>
        <row r="2170">
          <cell r="E2170" t="str">
            <v>BUS</v>
          </cell>
          <cell r="F2170" t="str">
            <v xml:space="preserve">BUS-T </v>
          </cell>
          <cell r="G2170">
            <v>134</v>
          </cell>
          <cell r="H2170" t="str">
            <v>BUS-T 134</v>
          </cell>
          <cell r="K2170" t="str">
            <v>Lovett,Carly Anne</v>
          </cell>
          <cell r="N2170">
            <v>3.6539999999999999</v>
          </cell>
          <cell r="O2170">
            <v>3.3690000000000002</v>
          </cell>
        </row>
        <row r="2171">
          <cell r="E2171" t="str">
            <v>BUS</v>
          </cell>
          <cell r="F2171" t="str">
            <v xml:space="preserve">BUS-T </v>
          </cell>
          <cell r="G2171">
            <v>134</v>
          </cell>
          <cell r="H2171" t="str">
            <v>BUS-T 134</v>
          </cell>
          <cell r="K2171" t="str">
            <v>Schertz,Matthew Coleman</v>
          </cell>
          <cell r="N2171">
            <v>3.9</v>
          </cell>
          <cell r="O2171">
            <v>3.1829999999999998</v>
          </cell>
        </row>
        <row r="2172">
          <cell r="E2172" t="str">
            <v>BUS</v>
          </cell>
          <cell r="F2172" t="str">
            <v xml:space="preserve">BUS-T </v>
          </cell>
          <cell r="G2172">
            <v>134</v>
          </cell>
          <cell r="H2172" t="str">
            <v>BUS-T 134</v>
          </cell>
          <cell r="K2172" t="str">
            <v>Schertz,Matthew Coleman</v>
          </cell>
          <cell r="N2172">
            <v>3.9569999999999999</v>
          </cell>
          <cell r="O2172">
            <v>3.274</v>
          </cell>
        </row>
        <row r="2173">
          <cell r="E2173" t="str">
            <v>BUS</v>
          </cell>
          <cell r="F2173" t="str">
            <v xml:space="preserve">BUS-T </v>
          </cell>
          <cell r="G2173">
            <v>134</v>
          </cell>
          <cell r="H2173" t="str">
            <v>BUS-T 134</v>
          </cell>
          <cell r="K2173" t="str">
            <v>Schertz,Matthew Coleman</v>
          </cell>
          <cell r="N2173">
            <v>3.923</v>
          </cell>
          <cell r="O2173">
            <v>3.6749999999999998</v>
          </cell>
        </row>
        <row r="2174">
          <cell r="E2174" t="str">
            <v>BUS</v>
          </cell>
          <cell r="F2174" t="str">
            <v xml:space="preserve">BUS-T </v>
          </cell>
          <cell r="G2174">
            <v>134</v>
          </cell>
          <cell r="H2174" t="str">
            <v>BUS-T 134</v>
          </cell>
          <cell r="K2174" t="str">
            <v>Schertz,Matthew Coleman</v>
          </cell>
          <cell r="N2174">
            <v>3.9129999999999998</v>
          </cell>
          <cell r="O2174">
            <v>3.6909999999999998</v>
          </cell>
        </row>
        <row r="2175">
          <cell r="E2175" t="str">
            <v>BUS</v>
          </cell>
          <cell r="F2175" t="str">
            <v xml:space="preserve">BUS-T </v>
          </cell>
          <cell r="G2175">
            <v>134</v>
          </cell>
          <cell r="H2175" t="str">
            <v>BUS-T 134</v>
          </cell>
          <cell r="K2175" t="str">
            <v>Schertz,Matthew Coleman</v>
          </cell>
          <cell r="N2175">
            <v>3.95</v>
          </cell>
          <cell r="O2175">
            <v>3.27</v>
          </cell>
        </row>
        <row r="2176">
          <cell r="E2176" t="str">
            <v>BUS</v>
          </cell>
          <cell r="F2176" t="str">
            <v xml:space="preserve">BUS-T </v>
          </cell>
          <cell r="G2176">
            <v>134</v>
          </cell>
          <cell r="H2176" t="str">
            <v>BUS-T 134</v>
          </cell>
          <cell r="K2176" t="str">
            <v>Terry,Wes</v>
          </cell>
          <cell r="N2176">
            <v>3.7690000000000001</v>
          </cell>
          <cell r="O2176">
            <v>3.149</v>
          </cell>
        </row>
        <row r="2177">
          <cell r="E2177" t="str">
            <v>BUS</v>
          </cell>
          <cell r="F2177" t="str">
            <v xml:space="preserve">BUS-T </v>
          </cell>
          <cell r="G2177">
            <v>134</v>
          </cell>
          <cell r="H2177" t="str">
            <v>BUS-T 134</v>
          </cell>
          <cell r="K2177" t="str">
            <v>Terry,Wes</v>
          </cell>
          <cell r="N2177">
            <v>3.7930000000000001</v>
          </cell>
          <cell r="O2177">
            <v>3.59</v>
          </cell>
        </row>
        <row r="2178">
          <cell r="E2178" t="str">
            <v>BUS</v>
          </cell>
          <cell r="F2178" t="str">
            <v xml:space="preserve">BUS-T </v>
          </cell>
          <cell r="G2178">
            <v>134</v>
          </cell>
          <cell r="H2178" t="str">
            <v>BUS-T 134</v>
          </cell>
          <cell r="K2178" t="str">
            <v>Terry,Wes</v>
          </cell>
          <cell r="N2178">
            <v>3.6619999999999999</v>
          </cell>
          <cell r="O2178">
            <v>3.1179999999999999</v>
          </cell>
        </row>
        <row r="2179">
          <cell r="E2179" t="str">
            <v>BUS</v>
          </cell>
          <cell r="F2179" t="str">
            <v xml:space="preserve">BUS-T </v>
          </cell>
          <cell r="G2179">
            <v>134</v>
          </cell>
          <cell r="H2179" t="str">
            <v>BUS-T 134</v>
          </cell>
          <cell r="K2179" t="str">
            <v>Terry,Wes</v>
          </cell>
          <cell r="N2179">
            <v>3.8420000000000001</v>
          </cell>
          <cell r="O2179">
            <v>3.4350000000000001</v>
          </cell>
        </row>
        <row r="2180">
          <cell r="E2180" t="str">
            <v>BUS</v>
          </cell>
          <cell r="F2180" t="str">
            <v xml:space="preserve">BUS-T </v>
          </cell>
          <cell r="G2180">
            <v>134</v>
          </cell>
          <cell r="H2180" t="str">
            <v>BUS-T 134</v>
          </cell>
          <cell r="K2180" t="str">
            <v>Terry,Wes</v>
          </cell>
          <cell r="N2180">
            <v>3.867</v>
          </cell>
          <cell r="O2180">
            <v>3.6030000000000002</v>
          </cell>
        </row>
        <row r="2181">
          <cell r="E2181" t="str">
            <v>BUS</v>
          </cell>
          <cell r="F2181" t="str">
            <v xml:space="preserve">BUS-T </v>
          </cell>
          <cell r="G2181">
            <v>134</v>
          </cell>
          <cell r="H2181" t="str">
            <v>BUS-T 134</v>
          </cell>
          <cell r="K2181" t="str">
            <v>Terry,Wes</v>
          </cell>
          <cell r="N2181">
            <v>3.7639999999999998</v>
          </cell>
          <cell r="O2181">
            <v>3.04</v>
          </cell>
        </row>
        <row r="2182">
          <cell r="E2182" t="str">
            <v>BUS</v>
          </cell>
          <cell r="F2182" t="str">
            <v xml:space="preserve">BUS-T </v>
          </cell>
          <cell r="G2182">
            <v>134</v>
          </cell>
          <cell r="H2182" t="str">
            <v>BUS-T 134</v>
          </cell>
          <cell r="K2182" t="str">
            <v>Terry,Wes</v>
          </cell>
          <cell r="N2182">
            <v>3.49</v>
          </cell>
          <cell r="O2182">
            <v>3.3010000000000002</v>
          </cell>
        </row>
        <row r="2183">
          <cell r="E2183" t="str">
            <v>BUS</v>
          </cell>
          <cell r="F2183" t="str">
            <v xml:space="preserve">BUS-T </v>
          </cell>
          <cell r="G2183">
            <v>134</v>
          </cell>
          <cell r="H2183" t="str">
            <v>BUS-T 134</v>
          </cell>
          <cell r="K2183" t="str">
            <v>Walsh,Kathryn</v>
          </cell>
          <cell r="N2183">
            <v>3.7690000000000001</v>
          </cell>
          <cell r="O2183">
            <v>3.3069999999999999</v>
          </cell>
        </row>
        <row r="2184">
          <cell r="E2184" t="str">
            <v>BUS</v>
          </cell>
          <cell r="F2184" t="str">
            <v xml:space="preserve">BUS-T </v>
          </cell>
          <cell r="G2184">
            <v>134</v>
          </cell>
          <cell r="H2184" t="str">
            <v>BUS-T 134</v>
          </cell>
          <cell r="K2184" t="str">
            <v>Walsh,Kathryn</v>
          </cell>
          <cell r="N2184">
            <v>3.9540000000000002</v>
          </cell>
          <cell r="O2184">
            <v>3.53</v>
          </cell>
        </row>
        <row r="2185">
          <cell r="E2185" t="str">
            <v>BUS</v>
          </cell>
          <cell r="F2185" t="str">
            <v xml:space="preserve">BUS-T </v>
          </cell>
          <cell r="G2185">
            <v>134</v>
          </cell>
          <cell r="H2185" t="str">
            <v>BUS-T 134</v>
          </cell>
          <cell r="K2185" t="str">
            <v>Walsh,Kathryn</v>
          </cell>
          <cell r="N2185">
            <v>3.6669999999999998</v>
          </cell>
          <cell r="O2185">
            <v>3.0169999999999999</v>
          </cell>
        </row>
        <row r="2186">
          <cell r="E2186" t="str">
            <v>BUS</v>
          </cell>
          <cell r="F2186" t="str">
            <v xml:space="preserve">BUS-T </v>
          </cell>
          <cell r="G2186">
            <v>134</v>
          </cell>
          <cell r="H2186" t="str">
            <v>BUS-T 134</v>
          </cell>
          <cell r="K2186" t="str">
            <v>Walsh,Kathryn</v>
          </cell>
          <cell r="N2186">
            <v>3.673</v>
          </cell>
          <cell r="O2186">
            <v>3.1040000000000001</v>
          </cell>
        </row>
        <row r="2187">
          <cell r="E2187" t="str">
            <v>BUS</v>
          </cell>
          <cell r="F2187" t="str">
            <v xml:space="preserve">BUS-T </v>
          </cell>
          <cell r="G2187">
            <v>134</v>
          </cell>
          <cell r="H2187" t="str">
            <v>BUS-T 134</v>
          </cell>
          <cell r="K2187" t="str">
            <v>Walsh,Kathryn</v>
          </cell>
          <cell r="N2187">
            <v>3.6819999999999999</v>
          </cell>
          <cell r="O2187">
            <v>3.2069999999999999</v>
          </cell>
        </row>
        <row r="2188">
          <cell r="E2188" t="str">
            <v>BUS</v>
          </cell>
          <cell r="F2188" t="str">
            <v xml:space="preserve">BUS-T </v>
          </cell>
          <cell r="G2188">
            <v>134</v>
          </cell>
          <cell r="H2188" t="str">
            <v>BUS-T 134</v>
          </cell>
          <cell r="K2188" t="str">
            <v>Walsh,Kathryn</v>
          </cell>
          <cell r="N2188">
            <v>3.633</v>
          </cell>
          <cell r="O2188">
            <v>3.3639999999999999</v>
          </cell>
        </row>
        <row r="2189">
          <cell r="E2189" t="str">
            <v>BUS</v>
          </cell>
          <cell r="F2189" t="str">
            <v xml:space="preserve">BUS-T </v>
          </cell>
          <cell r="G2189">
            <v>134</v>
          </cell>
          <cell r="H2189" t="str">
            <v>BUS-T 134</v>
          </cell>
          <cell r="K2189" t="str">
            <v>Walsh,Kathryn</v>
          </cell>
          <cell r="N2189">
            <v>3.8079999999999998</v>
          </cell>
          <cell r="O2189">
            <v>3.5329999999999999</v>
          </cell>
        </row>
        <row r="2190">
          <cell r="E2190" t="str">
            <v>BUS</v>
          </cell>
          <cell r="F2190" t="str">
            <v xml:space="preserve">BUS-T </v>
          </cell>
          <cell r="G2190">
            <v>134</v>
          </cell>
          <cell r="H2190" t="str">
            <v>BUS-T 134</v>
          </cell>
          <cell r="K2190" t="str">
            <v>Walsh,Kathryn</v>
          </cell>
          <cell r="N2190">
            <v>3.7229999999999999</v>
          </cell>
          <cell r="O2190">
            <v>3.2679999999999998</v>
          </cell>
        </row>
        <row r="2191">
          <cell r="E2191" t="str">
            <v>BUS</v>
          </cell>
          <cell r="F2191" t="str">
            <v xml:space="preserve">BUS-T </v>
          </cell>
          <cell r="G2191">
            <v>175</v>
          </cell>
          <cell r="H2191" t="str">
            <v>BUS-T 175</v>
          </cell>
          <cell r="K2191" t="str">
            <v>Coulis,Paul Stephen</v>
          </cell>
          <cell r="N2191">
            <v>3.8980000000000001</v>
          </cell>
          <cell r="O2191">
            <v>3.0739999999999998</v>
          </cell>
        </row>
        <row r="2192">
          <cell r="E2192" t="str">
            <v>BUS</v>
          </cell>
          <cell r="F2192" t="str">
            <v xml:space="preserve">BUS-T </v>
          </cell>
          <cell r="G2192">
            <v>175</v>
          </cell>
          <cell r="H2192" t="str">
            <v>BUS-T 175</v>
          </cell>
          <cell r="K2192" t="str">
            <v>Coulis,Paul Stephen</v>
          </cell>
          <cell r="N2192">
            <v>3.96</v>
          </cell>
          <cell r="O2192">
            <v>3.3570000000000002</v>
          </cell>
        </row>
        <row r="2193">
          <cell r="E2193" t="str">
            <v>BUS</v>
          </cell>
          <cell r="F2193" t="str">
            <v xml:space="preserve">BUS-T </v>
          </cell>
          <cell r="G2193">
            <v>175</v>
          </cell>
          <cell r="H2193" t="str">
            <v>BUS-T 175</v>
          </cell>
          <cell r="K2193" t="str">
            <v>Coulis,Paul Stephen</v>
          </cell>
          <cell r="N2193">
            <v>3.8980000000000001</v>
          </cell>
          <cell r="O2193">
            <v>3.2050000000000001</v>
          </cell>
        </row>
        <row r="2194">
          <cell r="E2194" t="str">
            <v>BUS</v>
          </cell>
          <cell r="F2194" t="str">
            <v xml:space="preserve">BUS-T </v>
          </cell>
          <cell r="G2194">
            <v>175</v>
          </cell>
          <cell r="H2194" t="str">
            <v>BUS-T 175</v>
          </cell>
          <cell r="K2194" t="str">
            <v>Coulis,Paul Stephen</v>
          </cell>
          <cell r="N2194">
            <v>3.9169999999999998</v>
          </cell>
          <cell r="O2194">
            <v>3.1429999999999998</v>
          </cell>
        </row>
        <row r="2195">
          <cell r="E2195" t="str">
            <v>BUS</v>
          </cell>
          <cell r="F2195" t="str">
            <v xml:space="preserve">BUS-T </v>
          </cell>
          <cell r="G2195">
            <v>175</v>
          </cell>
          <cell r="H2195" t="str">
            <v>BUS-T 175</v>
          </cell>
          <cell r="K2195" t="str">
            <v>Coulis,Paul Stephen</v>
          </cell>
          <cell r="N2195">
            <v>3.875</v>
          </cell>
          <cell r="O2195">
            <v>3.14</v>
          </cell>
        </row>
        <row r="2196">
          <cell r="E2196" t="str">
            <v>BUS</v>
          </cell>
          <cell r="F2196" t="str">
            <v xml:space="preserve">BUS-T </v>
          </cell>
          <cell r="G2196">
            <v>175</v>
          </cell>
          <cell r="H2196" t="str">
            <v>BUS-T 175</v>
          </cell>
          <cell r="K2196" t="str">
            <v>Coulis,Paul Stephen</v>
          </cell>
          <cell r="N2196">
            <v>3.86</v>
          </cell>
          <cell r="O2196">
            <v>2.97</v>
          </cell>
        </row>
        <row r="2197">
          <cell r="E2197" t="str">
            <v>BUS</v>
          </cell>
          <cell r="F2197" t="str">
            <v xml:space="preserve">BUS-T </v>
          </cell>
          <cell r="G2197">
            <v>175</v>
          </cell>
          <cell r="H2197" t="str">
            <v>BUS-T 175</v>
          </cell>
          <cell r="K2197" t="str">
            <v>Erwin,Erin Simmons</v>
          </cell>
          <cell r="N2197">
            <v>3.698</v>
          </cell>
          <cell r="O2197">
            <v>3.2759999999999998</v>
          </cell>
        </row>
        <row r="2198">
          <cell r="E2198" t="str">
            <v>BUS</v>
          </cell>
          <cell r="F2198" t="str">
            <v xml:space="preserve">BUS-T </v>
          </cell>
          <cell r="G2198">
            <v>175</v>
          </cell>
          <cell r="H2198" t="str">
            <v>BUS-T 175</v>
          </cell>
          <cell r="K2198" t="str">
            <v>Erwin,Erin Simmons</v>
          </cell>
          <cell r="N2198">
            <v>3.7919999999999998</v>
          </cell>
          <cell r="O2198">
            <v>3.2810000000000001</v>
          </cell>
        </row>
        <row r="2199">
          <cell r="E2199" t="str">
            <v>BUS</v>
          </cell>
          <cell r="F2199" t="str">
            <v xml:space="preserve">BUS-T </v>
          </cell>
          <cell r="G2199">
            <v>175</v>
          </cell>
          <cell r="H2199" t="str">
            <v>BUS-T 175</v>
          </cell>
          <cell r="K2199" t="str">
            <v>Erwin,Erin Simmons</v>
          </cell>
          <cell r="N2199">
            <v>3.3690000000000002</v>
          </cell>
          <cell r="O2199">
            <v>3.093</v>
          </cell>
        </row>
        <row r="2200">
          <cell r="E2200" t="str">
            <v>BUS</v>
          </cell>
          <cell r="F2200" t="str">
            <v xml:space="preserve">BUS-T </v>
          </cell>
          <cell r="G2200">
            <v>175</v>
          </cell>
          <cell r="H2200" t="str">
            <v>BUS-T 175</v>
          </cell>
          <cell r="K2200" t="str">
            <v>Erwin,Erin Simmons</v>
          </cell>
          <cell r="N2200">
            <v>3.758</v>
          </cell>
          <cell r="O2200">
            <v>2.9790000000000001</v>
          </cell>
        </row>
        <row r="2201">
          <cell r="E2201" t="str">
            <v>BUS</v>
          </cell>
          <cell r="F2201" t="str">
            <v xml:space="preserve">BUS-T </v>
          </cell>
          <cell r="G2201">
            <v>175</v>
          </cell>
          <cell r="H2201" t="str">
            <v>BUS-T 175</v>
          </cell>
          <cell r="K2201" t="str">
            <v>Erwin,Erin Simmons</v>
          </cell>
          <cell r="N2201">
            <v>3.786</v>
          </cell>
          <cell r="O2201">
            <v>3.3069999999999999</v>
          </cell>
        </row>
        <row r="2202">
          <cell r="E2202" t="str">
            <v>BUS</v>
          </cell>
          <cell r="F2202" t="str">
            <v xml:space="preserve">BUS-T </v>
          </cell>
          <cell r="G2202">
            <v>175</v>
          </cell>
          <cell r="H2202" t="str">
            <v>BUS-T 175</v>
          </cell>
          <cell r="K2202" t="str">
            <v>Erwin,Erin Simmons</v>
          </cell>
          <cell r="N2202">
            <v>3.7229999999999999</v>
          </cell>
          <cell r="O2202">
            <v>3.1890000000000001</v>
          </cell>
        </row>
        <row r="2203">
          <cell r="E2203" t="str">
            <v>BUS</v>
          </cell>
          <cell r="F2203" t="str">
            <v xml:space="preserve">BUS-T </v>
          </cell>
          <cell r="G2203">
            <v>175</v>
          </cell>
          <cell r="H2203" t="str">
            <v>BUS-T 175</v>
          </cell>
          <cell r="K2203" t="str">
            <v>Sremanak,Jessica Katharine</v>
          </cell>
          <cell r="N2203">
            <v>3.6019999999999999</v>
          </cell>
          <cell r="O2203">
            <v>3.1640000000000001</v>
          </cell>
        </row>
        <row r="2204">
          <cell r="E2204" t="str">
            <v>BUS</v>
          </cell>
          <cell r="F2204" t="str">
            <v xml:space="preserve">BUS-T </v>
          </cell>
          <cell r="G2204">
            <v>175</v>
          </cell>
          <cell r="H2204" t="str">
            <v>BUS-T 175</v>
          </cell>
          <cell r="K2204" t="str">
            <v>Sremanak,Jessica Katharine</v>
          </cell>
          <cell r="N2204">
            <v>3.48</v>
          </cell>
          <cell r="O2204">
            <v>3.214</v>
          </cell>
        </row>
        <row r="2205">
          <cell r="E2205" t="str">
            <v>BUS</v>
          </cell>
          <cell r="F2205" t="str">
            <v xml:space="preserve">BUS-T </v>
          </cell>
          <cell r="G2205">
            <v>175</v>
          </cell>
          <cell r="H2205" t="str">
            <v>BUS-T 175</v>
          </cell>
          <cell r="K2205" t="str">
            <v>Sremanak,Jessica Katharine</v>
          </cell>
          <cell r="N2205">
            <v>3.6880000000000002</v>
          </cell>
          <cell r="O2205">
            <v>3.0579999999999998</v>
          </cell>
        </row>
        <row r="2206">
          <cell r="E2206" t="str">
            <v>BUS</v>
          </cell>
          <cell r="F2206" t="str">
            <v xml:space="preserve">BUS-T </v>
          </cell>
          <cell r="G2206">
            <v>175</v>
          </cell>
          <cell r="H2206" t="str">
            <v>BUS-T 175</v>
          </cell>
          <cell r="K2206" t="str">
            <v>Sremanak,Jessica Katharine</v>
          </cell>
          <cell r="N2206">
            <v>3.8239999999999998</v>
          </cell>
          <cell r="O2206">
            <v>3.4350000000000001</v>
          </cell>
        </row>
        <row r="2207">
          <cell r="E2207" t="str">
            <v>BUS</v>
          </cell>
          <cell r="F2207" t="str">
            <v xml:space="preserve">BUS-T </v>
          </cell>
          <cell r="G2207">
            <v>175</v>
          </cell>
          <cell r="H2207" t="str">
            <v>BUS-T 175</v>
          </cell>
          <cell r="K2207" t="str">
            <v>Sremanak,Jessica Katharine</v>
          </cell>
          <cell r="N2207">
            <v>3.758</v>
          </cell>
          <cell r="O2207">
            <v>3.1840000000000002</v>
          </cell>
        </row>
        <row r="2208">
          <cell r="E2208" t="str">
            <v>BUS</v>
          </cell>
          <cell r="F2208" t="str">
            <v xml:space="preserve">BUS-T </v>
          </cell>
          <cell r="G2208">
            <v>175</v>
          </cell>
          <cell r="H2208" t="str">
            <v>BUS-T 175</v>
          </cell>
          <cell r="K2208" t="str">
            <v>Sremanak,Jessica Katharine</v>
          </cell>
          <cell r="N2208">
            <v>3.798</v>
          </cell>
          <cell r="O2208">
            <v>3.206</v>
          </cell>
        </row>
        <row r="2209">
          <cell r="E2209" t="str">
            <v>BUS</v>
          </cell>
          <cell r="F2209" t="str">
            <v xml:space="preserve">BUS-T </v>
          </cell>
          <cell r="G2209">
            <v>175</v>
          </cell>
          <cell r="H2209" t="str">
            <v>BUS-T 175</v>
          </cell>
          <cell r="K2209" t="str">
            <v>Yaggi,Miranda Maney</v>
          </cell>
          <cell r="N2209">
            <v>3.69</v>
          </cell>
          <cell r="O2209">
            <v>3.1970000000000001</v>
          </cell>
        </row>
        <row r="2210">
          <cell r="E2210" t="str">
            <v>BUS</v>
          </cell>
          <cell r="F2210" t="str">
            <v xml:space="preserve">BUS-T </v>
          </cell>
          <cell r="G2210">
            <v>175</v>
          </cell>
          <cell r="H2210" t="str">
            <v>BUS-T 175</v>
          </cell>
          <cell r="K2210" t="str">
            <v>Yaggi,Miranda Maney</v>
          </cell>
          <cell r="N2210">
            <v>3.802</v>
          </cell>
          <cell r="O2210">
            <v>3.2869999999999999</v>
          </cell>
        </row>
        <row r="2211">
          <cell r="E2211" t="str">
            <v>BUS</v>
          </cell>
          <cell r="F2211" t="str">
            <v xml:space="preserve">BUS-T </v>
          </cell>
          <cell r="G2211">
            <v>175</v>
          </cell>
          <cell r="H2211" t="str">
            <v>BUS-T 175</v>
          </cell>
          <cell r="K2211" t="str">
            <v>Yaggi,Miranda Maney</v>
          </cell>
          <cell r="N2211">
            <v>3.7080000000000002</v>
          </cell>
          <cell r="O2211">
            <v>3.0449999999999999</v>
          </cell>
        </row>
        <row r="2212">
          <cell r="E2212" t="str">
            <v>BUS</v>
          </cell>
          <cell r="F2212" t="str">
            <v xml:space="preserve">BUS-T </v>
          </cell>
          <cell r="G2212">
            <v>175</v>
          </cell>
          <cell r="H2212" t="str">
            <v>BUS-T 175</v>
          </cell>
          <cell r="K2212" t="str">
            <v>Yaggi,Miranda Maney</v>
          </cell>
          <cell r="N2212">
            <v>3.7810000000000001</v>
          </cell>
          <cell r="O2212">
            <v>3.1880000000000002</v>
          </cell>
        </row>
        <row r="2213">
          <cell r="E2213" t="str">
            <v>BUS</v>
          </cell>
          <cell r="F2213" t="str">
            <v xml:space="preserve">BUS-T </v>
          </cell>
          <cell r="G2213">
            <v>175</v>
          </cell>
          <cell r="H2213" t="str">
            <v>BUS-T 175</v>
          </cell>
          <cell r="K2213" t="str">
            <v>Yaggi,Miranda Maney</v>
          </cell>
          <cell r="N2213">
            <v>3.8170000000000002</v>
          </cell>
          <cell r="O2213">
            <v>3.2829999999999999</v>
          </cell>
        </row>
        <row r="2214">
          <cell r="E2214" t="str">
            <v>BUS</v>
          </cell>
          <cell r="F2214" t="str">
            <v xml:space="preserve">BUS-T </v>
          </cell>
          <cell r="G2214">
            <v>175</v>
          </cell>
          <cell r="H2214" t="str">
            <v>BUS-T 175</v>
          </cell>
          <cell r="K2214" t="str">
            <v>Yaggi,Miranda Maney</v>
          </cell>
          <cell r="N2214">
            <v>3.6560000000000001</v>
          </cell>
          <cell r="O2214">
            <v>3.0129999999999999</v>
          </cell>
        </row>
        <row r="2215">
          <cell r="E2215" t="str">
            <v>BUS</v>
          </cell>
          <cell r="F2215" t="str">
            <v xml:space="preserve">BUS-W </v>
          </cell>
          <cell r="G2215">
            <v>212</v>
          </cell>
          <cell r="H2215" t="str">
            <v>BUS-W 212</v>
          </cell>
          <cell r="K2215" t="str">
            <v>House,Jenny Marie</v>
          </cell>
          <cell r="N2215">
            <v>3.214</v>
          </cell>
          <cell r="O2215">
            <v>3.04</v>
          </cell>
        </row>
        <row r="2216">
          <cell r="E2216" t="str">
            <v>BUS</v>
          </cell>
          <cell r="F2216" t="str">
            <v xml:space="preserve">BUS-W </v>
          </cell>
          <cell r="G2216">
            <v>212</v>
          </cell>
          <cell r="H2216" t="str">
            <v>BUS-W 212</v>
          </cell>
          <cell r="K2216" t="str">
            <v>Parker,Owen Nelson</v>
          </cell>
          <cell r="N2216">
            <v>3.3140000000000001</v>
          </cell>
          <cell r="O2216">
            <v>2.9550000000000001</v>
          </cell>
        </row>
        <row r="2217">
          <cell r="E2217" t="str">
            <v>BUS</v>
          </cell>
          <cell r="F2217" t="str">
            <v xml:space="preserve">BUS-W </v>
          </cell>
          <cell r="G2217">
            <v>212</v>
          </cell>
          <cell r="H2217" t="str">
            <v>BUS-W 212</v>
          </cell>
          <cell r="K2217" t="str">
            <v>Parker,Owen Nelson</v>
          </cell>
          <cell r="N2217">
            <v>3.242</v>
          </cell>
          <cell r="O2217">
            <v>3.08</v>
          </cell>
        </row>
        <row r="2218">
          <cell r="E2218" t="str">
            <v>BUS</v>
          </cell>
          <cell r="F2218" t="str">
            <v xml:space="preserve">BUS-W </v>
          </cell>
          <cell r="G2218">
            <v>212</v>
          </cell>
          <cell r="H2218" t="str">
            <v>BUS-W 212</v>
          </cell>
          <cell r="K2218" t="str">
            <v>Schlegel,Fred H</v>
          </cell>
          <cell r="N2218">
            <v>3.5430000000000001</v>
          </cell>
          <cell r="O2218">
            <v>3.0910000000000002</v>
          </cell>
        </row>
        <row r="2219">
          <cell r="E2219" t="str">
            <v>BUS</v>
          </cell>
          <cell r="F2219" t="str">
            <v xml:space="preserve">BUS-W </v>
          </cell>
          <cell r="G2219">
            <v>212</v>
          </cell>
          <cell r="H2219" t="str">
            <v>BUS-W 212</v>
          </cell>
          <cell r="K2219" t="str">
            <v>Titus Jr,Varkey K</v>
          </cell>
          <cell r="N2219">
            <v>3.004</v>
          </cell>
          <cell r="O2219">
            <v>2.99</v>
          </cell>
        </row>
        <row r="2220">
          <cell r="E2220" t="str">
            <v>BUS</v>
          </cell>
          <cell r="F2220" t="str">
            <v xml:space="preserve">BUS-W </v>
          </cell>
          <cell r="G2220">
            <v>212</v>
          </cell>
          <cell r="H2220" t="str">
            <v>BUS-W 212</v>
          </cell>
          <cell r="K2220" t="str">
            <v>Titus Jr,Varkey K</v>
          </cell>
          <cell r="N2220">
            <v>3.0910000000000002</v>
          </cell>
          <cell r="O2220">
            <v>3.0819999999999999</v>
          </cell>
        </row>
        <row r="2221">
          <cell r="E2221" t="str">
            <v>BUS</v>
          </cell>
          <cell r="F2221" t="str">
            <v xml:space="preserve">BUS-W </v>
          </cell>
          <cell r="G2221">
            <v>232</v>
          </cell>
          <cell r="H2221" t="str">
            <v>BUS-W 232</v>
          </cell>
          <cell r="K2221" t="str">
            <v>McMullen,Jeff</v>
          </cell>
          <cell r="N2221">
            <v>3.1019999999999999</v>
          </cell>
          <cell r="O2221">
            <v>3.2519999999999998</v>
          </cell>
        </row>
        <row r="2222">
          <cell r="E2222" t="str">
            <v>BUS</v>
          </cell>
          <cell r="F2222" t="str">
            <v xml:space="preserve">BUS-W </v>
          </cell>
          <cell r="G2222">
            <v>232</v>
          </cell>
          <cell r="H2222" t="str">
            <v>BUS-W 232</v>
          </cell>
          <cell r="K2222" t="str">
            <v>McMullen,Jeff</v>
          </cell>
          <cell r="N2222">
            <v>3.21</v>
          </cell>
          <cell r="O2222">
            <v>3.3090000000000002</v>
          </cell>
        </row>
        <row r="2223">
          <cell r="E2223" t="str">
            <v>BUS</v>
          </cell>
          <cell r="F2223" t="str">
            <v xml:space="preserve">BUS-W </v>
          </cell>
          <cell r="G2223">
            <v>232</v>
          </cell>
          <cell r="H2223" t="str">
            <v>BUS-W 232</v>
          </cell>
          <cell r="K2223" t="str">
            <v>McMullen,Jeff</v>
          </cell>
          <cell r="N2223">
            <v>3.4279999999999999</v>
          </cell>
          <cell r="O2223">
            <v>3.3050000000000002</v>
          </cell>
        </row>
        <row r="2224">
          <cell r="E2224" t="str">
            <v>BUS</v>
          </cell>
          <cell r="F2224" t="str">
            <v xml:space="preserve">BUS-W </v>
          </cell>
          <cell r="G2224">
            <v>232</v>
          </cell>
          <cell r="H2224" t="str">
            <v>BUS-W 232</v>
          </cell>
          <cell r="K2224" t="str">
            <v>McMullen,Jeff</v>
          </cell>
          <cell r="N2224">
            <v>3.3740000000000001</v>
          </cell>
          <cell r="O2224">
            <v>3.3340000000000001</v>
          </cell>
        </row>
        <row r="2225">
          <cell r="E2225" t="str">
            <v>BUS</v>
          </cell>
          <cell r="F2225" t="str">
            <v xml:space="preserve">BUS-W </v>
          </cell>
          <cell r="G2225">
            <v>233</v>
          </cell>
          <cell r="H2225" t="str">
            <v>BUS-W 233</v>
          </cell>
          <cell r="K2225" t="str">
            <v>Dollinger,Marc J.</v>
          </cell>
          <cell r="N2225">
            <v>3.5859999999999999</v>
          </cell>
          <cell r="O2225">
            <v>3.2519999999999998</v>
          </cell>
        </row>
        <row r="2226">
          <cell r="E2226" t="str">
            <v>BUS</v>
          </cell>
          <cell r="F2226" t="str">
            <v xml:space="preserve">BUS-W </v>
          </cell>
          <cell r="G2226">
            <v>233</v>
          </cell>
          <cell r="H2226" t="str">
            <v>BUS-W 233</v>
          </cell>
          <cell r="K2226" t="str">
            <v>Dollinger,Marc J.</v>
          </cell>
          <cell r="N2226">
            <v>3.62</v>
          </cell>
          <cell r="O2226">
            <v>3.3090000000000002</v>
          </cell>
        </row>
        <row r="2227">
          <cell r="E2227" t="str">
            <v>BUS</v>
          </cell>
          <cell r="F2227" t="str">
            <v xml:space="preserve">BUS-W </v>
          </cell>
          <cell r="G2227">
            <v>233</v>
          </cell>
          <cell r="H2227" t="str">
            <v>BUS-W 233</v>
          </cell>
          <cell r="K2227" t="str">
            <v>Schlegel,Fred H</v>
          </cell>
          <cell r="N2227">
            <v>3.6080000000000001</v>
          </cell>
          <cell r="O2227">
            <v>3.2959999999999998</v>
          </cell>
        </row>
        <row r="2228">
          <cell r="E2228" t="str">
            <v>BUS</v>
          </cell>
          <cell r="F2228" t="str">
            <v xml:space="preserve">BUS-W </v>
          </cell>
          <cell r="G2228">
            <v>233</v>
          </cell>
          <cell r="H2228" t="str">
            <v>BUS-W 233</v>
          </cell>
          <cell r="K2228" t="str">
            <v>Schlegel,Fred H</v>
          </cell>
          <cell r="N2228">
            <v>3.7130000000000001</v>
          </cell>
          <cell r="O2228">
            <v>3.3490000000000002</v>
          </cell>
        </row>
        <row r="2229">
          <cell r="E2229" t="str">
            <v>BUS</v>
          </cell>
          <cell r="F2229" t="str">
            <v xml:space="preserve">BUS-W </v>
          </cell>
          <cell r="G2229">
            <v>300</v>
          </cell>
          <cell r="H2229" t="str">
            <v>BUS-W 300</v>
          </cell>
          <cell r="K2229" t="str">
            <v>Long,Mark Stewart</v>
          </cell>
          <cell r="N2229">
            <v>3.5590000000000002</v>
          </cell>
          <cell r="O2229">
            <v>2.968</v>
          </cell>
        </row>
        <row r="2230">
          <cell r="E2230" t="str">
            <v>BUS</v>
          </cell>
          <cell r="F2230" t="str">
            <v xml:space="preserve">BUS-W </v>
          </cell>
          <cell r="G2230">
            <v>300</v>
          </cell>
          <cell r="H2230" t="str">
            <v>BUS-W 300</v>
          </cell>
          <cell r="K2230" t="str">
            <v>Long,Mark Stewart</v>
          </cell>
          <cell r="N2230">
            <v>3.5129999999999999</v>
          </cell>
          <cell r="O2230">
            <v>3.0539999999999998</v>
          </cell>
        </row>
        <row r="2231">
          <cell r="E2231" t="str">
            <v>BUS</v>
          </cell>
          <cell r="F2231" t="str">
            <v xml:space="preserve">BUS-W </v>
          </cell>
          <cell r="G2231">
            <v>300</v>
          </cell>
          <cell r="H2231" t="str">
            <v>BUS-W 300</v>
          </cell>
          <cell r="K2231" t="str">
            <v>Long,Mark Stewart</v>
          </cell>
          <cell r="N2231">
            <v>3.76</v>
          </cell>
          <cell r="O2231">
            <v>3.0640000000000001</v>
          </cell>
        </row>
        <row r="2232">
          <cell r="E2232" t="str">
            <v>BUS</v>
          </cell>
          <cell r="F2232" t="str">
            <v xml:space="preserve">BUS-W </v>
          </cell>
          <cell r="G2232">
            <v>313</v>
          </cell>
          <cell r="H2232" t="str">
            <v>BUS-W 313</v>
          </cell>
          <cell r="K2232" t="str">
            <v>Denekamp,Johannes G</v>
          </cell>
          <cell r="N2232">
            <v>3.4649999999999999</v>
          </cell>
          <cell r="O2232">
            <v>3.298</v>
          </cell>
        </row>
        <row r="2233">
          <cell r="E2233" t="str">
            <v>BUS</v>
          </cell>
          <cell r="F2233" t="str">
            <v xml:space="preserve">BUS-W </v>
          </cell>
          <cell r="G2233">
            <v>313</v>
          </cell>
          <cell r="H2233" t="str">
            <v>BUS-W 313</v>
          </cell>
          <cell r="K2233" t="str">
            <v>Long,Mark Stewart</v>
          </cell>
          <cell r="N2233">
            <v>3.6259999999999999</v>
          </cell>
          <cell r="O2233">
            <v>3.3109999999999999</v>
          </cell>
        </row>
        <row r="2234">
          <cell r="E2234" t="str">
            <v>BUS</v>
          </cell>
          <cell r="F2234" t="str">
            <v xml:space="preserve">BUS-W </v>
          </cell>
          <cell r="G2234">
            <v>313</v>
          </cell>
          <cell r="H2234" t="str">
            <v>BUS-W 313</v>
          </cell>
          <cell r="K2234" t="str">
            <v>Long,Mark Stewart</v>
          </cell>
          <cell r="N2234">
            <v>3.6070000000000002</v>
          </cell>
          <cell r="O2234">
            <v>3.2330000000000001</v>
          </cell>
        </row>
        <row r="2235">
          <cell r="E2235" t="str">
            <v>BUS</v>
          </cell>
          <cell r="F2235" t="str">
            <v xml:space="preserve">BUS-W </v>
          </cell>
          <cell r="G2235">
            <v>313</v>
          </cell>
          <cell r="H2235" t="str">
            <v>BUS-W 313</v>
          </cell>
          <cell r="K2235" t="str">
            <v>Long,Mark Stewart</v>
          </cell>
          <cell r="N2235">
            <v>3.4889999999999999</v>
          </cell>
          <cell r="O2235">
            <v>3.3250000000000002</v>
          </cell>
        </row>
        <row r="2236">
          <cell r="E2236" t="str">
            <v>BUS</v>
          </cell>
          <cell r="F2236" t="str">
            <v xml:space="preserve">BUS-W </v>
          </cell>
          <cell r="G2236">
            <v>406</v>
          </cell>
          <cell r="H2236" t="str">
            <v>BUS-W 406</v>
          </cell>
          <cell r="K2236" t="str">
            <v>Denekamp,Johannes G</v>
          </cell>
          <cell r="N2236">
            <v>3.3180000000000001</v>
          </cell>
          <cell r="O2236">
            <v>3.16</v>
          </cell>
        </row>
        <row r="2237">
          <cell r="E2237" t="str">
            <v>BUS</v>
          </cell>
          <cell r="F2237" t="str">
            <v xml:space="preserve">BUS-W </v>
          </cell>
          <cell r="G2237">
            <v>406</v>
          </cell>
          <cell r="H2237" t="str">
            <v>BUS-W 406</v>
          </cell>
          <cell r="K2237" t="str">
            <v>Denekamp,Johannes G</v>
          </cell>
          <cell r="N2237">
            <v>3.4929999999999999</v>
          </cell>
          <cell r="O2237">
            <v>3.4249999999999998</v>
          </cell>
        </row>
        <row r="2238">
          <cell r="E2238" t="str">
            <v>BUS</v>
          </cell>
          <cell r="F2238" t="str">
            <v xml:space="preserve">BUS-W </v>
          </cell>
          <cell r="G2238">
            <v>406</v>
          </cell>
          <cell r="H2238" t="str">
            <v>BUS-W 406</v>
          </cell>
          <cell r="K2238" t="str">
            <v>Denekamp,Johannes G</v>
          </cell>
          <cell r="N2238">
            <v>3.4159999999999999</v>
          </cell>
          <cell r="O2238">
            <v>3.35</v>
          </cell>
        </row>
        <row r="2239">
          <cell r="E2239" t="str">
            <v>BUS</v>
          </cell>
          <cell r="F2239" t="str">
            <v xml:space="preserve">BUS-W </v>
          </cell>
          <cell r="G2239">
            <v>406</v>
          </cell>
          <cell r="H2239" t="str">
            <v>BUS-W 406</v>
          </cell>
          <cell r="K2239" t="str">
            <v>Denekamp,Johannes G</v>
          </cell>
          <cell r="N2239">
            <v>3.488</v>
          </cell>
          <cell r="O2239">
            <v>3.391</v>
          </cell>
        </row>
        <row r="2240">
          <cell r="E2240" t="str">
            <v>BUS</v>
          </cell>
          <cell r="F2240" t="str">
            <v xml:space="preserve">BUS-W </v>
          </cell>
          <cell r="G2240">
            <v>420</v>
          </cell>
          <cell r="H2240" t="str">
            <v>BUS-W 420</v>
          </cell>
          <cell r="K2240" t="str">
            <v>Fisher,Gregory C</v>
          </cell>
          <cell r="N2240">
            <v>3.407</v>
          </cell>
          <cell r="O2240">
            <v>3.3410000000000002</v>
          </cell>
        </row>
        <row r="2241">
          <cell r="E2241" t="str">
            <v>BUS</v>
          </cell>
          <cell r="F2241" t="str">
            <v xml:space="preserve">BUS-W </v>
          </cell>
          <cell r="G2241">
            <v>420</v>
          </cell>
          <cell r="H2241" t="str">
            <v>BUS-W 420</v>
          </cell>
          <cell r="K2241" t="str">
            <v>Wolfe,Marcus Taylor</v>
          </cell>
          <cell r="N2241">
            <v>3.1560000000000001</v>
          </cell>
          <cell r="O2241">
            <v>3.3050000000000002</v>
          </cell>
        </row>
        <row r="2242">
          <cell r="E2242" t="str">
            <v>BUS</v>
          </cell>
          <cell r="F2242" t="str">
            <v xml:space="preserve">BUS-W </v>
          </cell>
          <cell r="G2242">
            <v>430</v>
          </cell>
          <cell r="H2242" t="str">
            <v>BUS-W 430</v>
          </cell>
          <cell r="K2242" t="str">
            <v>Hillier,Janet A</v>
          </cell>
          <cell r="N2242">
            <v>3.21</v>
          </cell>
          <cell r="O2242">
            <v>3.3769999999999998</v>
          </cell>
        </row>
        <row r="2243">
          <cell r="E2243" t="str">
            <v>BUS</v>
          </cell>
          <cell r="F2243" t="str">
            <v xml:space="preserve">BUS-W </v>
          </cell>
          <cell r="G2243">
            <v>430</v>
          </cell>
          <cell r="H2243" t="str">
            <v>BUS-W 430</v>
          </cell>
          <cell r="K2243" t="str">
            <v>Hillier,Janet A</v>
          </cell>
          <cell r="N2243">
            <v>3.4</v>
          </cell>
          <cell r="O2243">
            <v>3.4740000000000002</v>
          </cell>
        </row>
        <row r="2244">
          <cell r="E2244" t="str">
            <v>BUS</v>
          </cell>
          <cell r="F2244" t="str">
            <v xml:space="preserve">BUS-W </v>
          </cell>
          <cell r="G2244">
            <v>499</v>
          </cell>
          <cell r="H2244" t="str">
            <v>BUS-W 499</v>
          </cell>
          <cell r="K2244" t="str">
            <v>Lenz,R. Thomas</v>
          </cell>
          <cell r="N2244" t="str">
            <v>NR</v>
          </cell>
          <cell r="O2244" t="str">
            <v>NR</v>
          </cell>
        </row>
        <row r="2245">
          <cell r="E2245" t="str">
            <v>BUS</v>
          </cell>
          <cell r="F2245" t="str">
            <v xml:space="preserve">BUS-W </v>
          </cell>
          <cell r="G2245">
            <v>499</v>
          </cell>
          <cell r="H2245" t="str">
            <v>BUS-W 499</v>
          </cell>
          <cell r="K2245" t="str">
            <v>Lenz,R. Thomas</v>
          </cell>
          <cell r="N2245" t="str">
            <v>NR</v>
          </cell>
          <cell r="O2245" t="str">
            <v>NR</v>
          </cell>
        </row>
        <row r="2246">
          <cell r="E2246" t="str">
            <v>BUS</v>
          </cell>
          <cell r="F2246" t="str">
            <v xml:space="preserve">BUS-W </v>
          </cell>
          <cell r="G2246">
            <v>503</v>
          </cell>
          <cell r="H2246" t="str">
            <v>BUS-W 503</v>
          </cell>
          <cell r="K2246" t="str">
            <v>Long,Mark Stewart</v>
          </cell>
          <cell r="N2246">
            <v>3.7410000000000001</v>
          </cell>
          <cell r="O2246">
            <v>3.5859999999999999</v>
          </cell>
        </row>
        <row r="2247">
          <cell r="E2247" t="str">
            <v>BUS</v>
          </cell>
          <cell r="F2247" t="str">
            <v xml:space="preserve">BUS-W </v>
          </cell>
          <cell r="G2247">
            <v>504</v>
          </cell>
          <cell r="H2247" t="str">
            <v>BUS-W 504</v>
          </cell>
          <cell r="K2247" t="str">
            <v>Denekamp,Johannes G</v>
          </cell>
          <cell r="N2247">
            <v>3.5409999999999999</v>
          </cell>
          <cell r="O2247">
            <v>3.5430000000000001</v>
          </cell>
        </row>
        <row r="2248">
          <cell r="E2248" t="str">
            <v>BUS</v>
          </cell>
          <cell r="F2248" t="str">
            <v xml:space="preserve">BUS-W </v>
          </cell>
          <cell r="G2248">
            <v>504</v>
          </cell>
          <cell r="H2248" t="str">
            <v>BUS-W 504</v>
          </cell>
          <cell r="K2248" t="str">
            <v>Denekamp,Johannes G</v>
          </cell>
          <cell r="N2248">
            <v>3.58</v>
          </cell>
          <cell r="O2248">
            <v>3.6019999999999999</v>
          </cell>
        </row>
        <row r="2249">
          <cell r="E2249" t="str">
            <v>BUS</v>
          </cell>
          <cell r="F2249" t="str">
            <v xml:space="preserve">BUS-W </v>
          </cell>
          <cell r="G2249">
            <v>505</v>
          </cell>
          <cell r="H2249" t="str">
            <v>BUS-W 505</v>
          </cell>
          <cell r="K2249" t="str">
            <v>Dunn-Jensen,Linda M.</v>
          </cell>
          <cell r="N2249">
            <v>3.774</v>
          </cell>
          <cell r="O2249">
            <v>3.5630000000000002</v>
          </cell>
        </row>
        <row r="2250">
          <cell r="E2250" t="str">
            <v>BUS</v>
          </cell>
          <cell r="F2250" t="str">
            <v xml:space="preserve">BUS-W </v>
          </cell>
          <cell r="G2250">
            <v>505</v>
          </cell>
          <cell r="H2250" t="str">
            <v>BUS-W 505</v>
          </cell>
          <cell r="K2250" t="str">
            <v>Dunn-Jensen,Linda M.</v>
          </cell>
          <cell r="N2250">
            <v>3.8</v>
          </cell>
          <cell r="O2250">
            <v>3.5720000000000001</v>
          </cell>
        </row>
        <row r="2251">
          <cell r="E2251" t="str">
            <v>BUS</v>
          </cell>
          <cell r="F2251" t="str">
            <v xml:space="preserve">BUS-W </v>
          </cell>
          <cell r="G2251">
            <v>505</v>
          </cell>
          <cell r="H2251" t="str">
            <v>BUS-W 505</v>
          </cell>
          <cell r="K2251" t="str">
            <v>Dunn-Jensen,Linda M.</v>
          </cell>
          <cell r="N2251">
            <v>3.8260000000000001</v>
          </cell>
          <cell r="O2251">
            <v>3.67</v>
          </cell>
        </row>
        <row r="2252">
          <cell r="E2252" t="str">
            <v>BUS</v>
          </cell>
          <cell r="F2252" t="str">
            <v xml:space="preserve">BUS-W </v>
          </cell>
          <cell r="G2252">
            <v>505</v>
          </cell>
          <cell r="H2252" t="str">
            <v>BUS-W 505</v>
          </cell>
          <cell r="K2252" t="str">
            <v>Dunn-Jensen,Linda M.</v>
          </cell>
          <cell r="N2252">
            <v>3.7610000000000001</v>
          </cell>
          <cell r="O2252">
            <v>3.5910000000000002</v>
          </cell>
        </row>
        <row r="2253">
          <cell r="E2253" t="str">
            <v>BUS</v>
          </cell>
          <cell r="F2253" t="str">
            <v xml:space="preserve">BUS-W </v>
          </cell>
          <cell r="G2253">
            <v>505</v>
          </cell>
          <cell r="H2253" t="str">
            <v>BUS-W 505</v>
          </cell>
          <cell r="K2253" t="str">
            <v>Dunn-Jensen,Linda M.</v>
          </cell>
          <cell r="N2253">
            <v>3.556</v>
          </cell>
          <cell r="O2253">
            <v>3.4670000000000001</v>
          </cell>
        </row>
        <row r="2254">
          <cell r="E2254" t="str">
            <v>BUS</v>
          </cell>
          <cell r="F2254" t="str">
            <v xml:space="preserve">BUS-W </v>
          </cell>
          <cell r="G2254">
            <v>505</v>
          </cell>
          <cell r="H2254" t="str">
            <v>BUS-W 505</v>
          </cell>
          <cell r="K2254" t="str">
            <v>Hayford,Stephen L.</v>
          </cell>
          <cell r="N2254">
            <v>3.4849999999999999</v>
          </cell>
          <cell r="O2254">
            <v>3.6880000000000002</v>
          </cell>
        </row>
        <row r="2255">
          <cell r="E2255" t="str">
            <v>BUS</v>
          </cell>
          <cell r="F2255" t="str">
            <v xml:space="preserve">BUS-W </v>
          </cell>
          <cell r="G2255">
            <v>506</v>
          </cell>
          <cell r="H2255" t="str">
            <v>BUS-W 506</v>
          </cell>
          <cell r="K2255" t="str">
            <v>Kuratko,Donald F</v>
          </cell>
          <cell r="N2255">
            <v>3.673</v>
          </cell>
          <cell r="O2255">
            <v>3.5920000000000001</v>
          </cell>
        </row>
        <row r="2256">
          <cell r="E2256" t="str">
            <v>BUS</v>
          </cell>
          <cell r="F2256" t="str">
            <v xml:space="preserve">BUS-W </v>
          </cell>
          <cell r="G2256">
            <v>508</v>
          </cell>
          <cell r="H2256" t="str">
            <v>BUS-W 508</v>
          </cell>
          <cell r="K2256" t="str">
            <v>McMullen,Jeff</v>
          </cell>
          <cell r="N2256">
            <v>3.476</v>
          </cell>
          <cell r="O2256">
            <v>3.6440000000000001</v>
          </cell>
        </row>
        <row r="2257">
          <cell r="E2257" t="str">
            <v>BUS</v>
          </cell>
          <cell r="F2257" t="str">
            <v xml:space="preserve">BUS-W </v>
          </cell>
          <cell r="G2257">
            <v>510</v>
          </cell>
          <cell r="H2257" t="str">
            <v>BUS-W 510</v>
          </cell>
          <cell r="K2257" t="str">
            <v>McMullen,Jeff</v>
          </cell>
          <cell r="N2257">
            <v>3.552</v>
          </cell>
          <cell r="O2257">
            <v>3.5880000000000001</v>
          </cell>
        </row>
        <row r="2258">
          <cell r="E2258" t="str">
            <v>BUS</v>
          </cell>
          <cell r="F2258" t="str">
            <v xml:space="preserve">BUS-W </v>
          </cell>
          <cell r="G2258">
            <v>511</v>
          </cell>
          <cell r="H2258" t="str">
            <v>BUS-W 511</v>
          </cell>
          <cell r="K2258" t="str">
            <v>Shepherd,Dean Andrew</v>
          </cell>
          <cell r="N2258">
            <v>3.4649999999999999</v>
          </cell>
          <cell r="O2258">
            <v>3.5760000000000001</v>
          </cell>
        </row>
        <row r="2259">
          <cell r="E2259" t="str">
            <v>BUS</v>
          </cell>
          <cell r="F2259" t="str">
            <v xml:space="preserve">BUS-W </v>
          </cell>
          <cell r="G2259">
            <v>511</v>
          </cell>
          <cell r="H2259" t="str">
            <v>BUS-W 511</v>
          </cell>
          <cell r="K2259" t="str">
            <v>Shepherd,Dean Andrew</v>
          </cell>
          <cell r="N2259">
            <v>3.5230000000000001</v>
          </cell>
          <cell r="O2259">
            <v>3.5609999999999999</v>
          </cell>
        </row>
        <row r="2260">
          <cell r="E2260" t="str">
            <v>BUS</v>
          </cell>
          <cell r="F2260" t="str">
            <v xml:space="preserve">BUS-W </v>
          </cell>
          <cell r="G2260">
            <v>532</v>
          </cell>
          <cell r="H2260" t="str">
            <v>BUS-W 532</v>
          </cell>
          <cell r="K2260" t="str">
            <v>Hillier,Janet A</v>
          </cell>
          <cell r="N2260">
            <v>3.4950000000000001</v>
          </cell>
          <cell r="O2260">
            <v>3.57</v>
          </cell>
        </row>
        <row r="2261">
          <cell r="E2261" t="str">
            <v>BUS</v>
          </cell>
          <cell r="F2261" t="str">
            <v xml:space="preserve">BUS-W </v>
          </cell>
          <cell r="G2261">
            <v>550</v>
          </cell>
          <cell r="H2261" t="str">
            <v>BUS-W 550</v>
          </cell>
          <cell r="K2261" t="str">
            <v>Hillier,Janet A</v>
          </cell>
          <cell r="N2261">
            <v>3.5179999999999998</v>
          </cell>
          <cell r="O2261">
            <v>3.5739999999999998</v>
          </cell>
        </row>
        <row r="2262">
          <cell r="E2262" t="str">
            <v>BUS</v>
          </cell>
          <cell r="F2262" t="str">
            <v xml:space="preserve">BUS-W </v>
          </cell>
          <cell r="G2262">
            <v>550</v>
          </cell>
          <cell r="H2262" t="str">
            <v>BUS-W 550</v>
          </cell>
          <cell r="K2262" t="str">
            <v>Hillier,Janet A</v>
          </cell>
          <cell r="N2262">
            <v>3.3929999999999998</v>
          </cell>
          <cell r="O2262">
            <v>3.5750000000000002</v>
          </cell>
        </row>
        <row r="2263">
          <cell r="E2263" t="str">
            <v>BUS</v>
          </cell>
          <cell r="F2263" t="str">
            <v xml:space="preserve">BUS-W </v>
          </cell>
          <cell r="G2263">
            <v>574</v>
          </cell>
          <cell r="H2263" t="str">
            <v>BUS-W 574</v>
          </cell>
          <cell r="K2263" t="str">
            <v>Kuratko,Donald F</v>
          </cell>
          <cell r="N2263">
            <v>3.7930000000000001</v>
          </cell>
          <cell r="O2263">
            <v>3.5579999999999998</v>
          </cell>
        </row>
        <row r="2264">
          <cell r="E2264" t="str">
            <v>BUS</v>
          </cell>
          <cell r="F2264" t="str">
            <v xml:space="preserve">BUS-W </v>
          </cell>
          <cell r="G2264">
            <v>578</v>
          </cell>
          <cell r="H2264" t="str">
            <v>BUS-W 578</v>
          </cell>
          <cell r="K2264" t="str">
            <v>Cook,Christopher Stephen</v>
          </cell>
          <cell r="N2264">
            <v>3.5649999999999999</v>
          </cell>
          <cell r="O2264">
            <v>3.5310000000000001</v>
          </cell>
        </row>
        <row r="2265">
          <cell r="E2265" t="str">
            <v>BUS</v>
          </cell>
          <cell r="F2265" t="str">
            <v xml:space="preserve">BUS-W </v>
          </cell>
          <cell r="G2265">
            <v>590</v>
          </cell>
          <cell r="H2265" t="str">
            <v>BUS-W 590</v>
          </cell>
          <cell r="K2265" t="str">
            <v>Covin,Jeffrey G</v>
          </cell>
          <cell r="N2265" t="str">
            <v>NR</v>
          </cell>
          <cell r="O2265" t="str">
            <v>NR</v>
          </cell>
        </row>
        <row r="2266">
          <cell r="E2266" t="str">
            <v>BUS</v>
          </cell>
          <cell r="F2266" t="str">
            <v xml:space="preserve">BUS-W </v>
          </cell>
          <cell r="G2266">
            <v>590</v>
          </cell>
          <cell r="H2266" t="str">
            <v>BUS-W 590</v>
          </cell>
          <cell r="K2266" t="str">
            <v>Near,Janet P.</v>
          </cell>
          <cell r="N2266">
            <v>4</v>
          </cell>
          <cell r="O2266">
            <v>3.4380000000000002</v>
          </cell>
        </row>
        <row r="2267">
          <cell r="E2267" t="str">
            <v>BUS</v>
          </cell>
          <cell r="F2267" t="str">
            <v xml:space="preserve">BUS-W </v>
          </cell>
          <cell r="G2267">
            <v>590</v>
          </cell>
          <cell r="H2267" t="str">
            <v>BUS-W 590</v>
          </cell>
          <cell r="K2267" t="str">
            <v>Near,Janet P.</v>
          </cell>
          <cell r="N2267" t="str">
            <v>NR</v>
          </cell>
          <cell r="O2267" t="str">
            <v>NR</v>
          </cell>
        </row>
        <row r="2268">
          <cell r="E2268" t="str">
            <v>BUS</v>
          </cell>
          <cell r="F2268" t="str">
            <v xml:space="preserve">BUS-W </v>
          </cell>
          <cell r="G2268">
            <v>601</v>
          </cell>
          <cell r="H2268" t="str">
            <v>BUS-W 601</v>
          </cell>
          <cell r="K2268" t="str">
            <v>Near,Janet P.</v>
          </cell>
          <cell r="N2268">
            <v>4</v>
          </cell>
          <cell r="O2268">
            <v>3.8740000000000001</v>
          </cell>
        </row>
        <row r="2269">
          <cell r="E2269" t="str">
            <v>BUS</v>
          </cell>
          <cell r="F2269" t="str">
            <v xml:space="preserve">BUS-X </v>
          </cell>
          <cell r="G2269">
            <v>100</v>
          </cell>
          <cell r="H2269" t="str">
            <v>BUS-X 100</v>
          </cell>
          <cell r="K2269" t="str">
            <v>Coulis,Paul Stephen</v>
          </cell>
          <cell r="N2269">
            <v>3.125</v>
          </cell>
          <cell r="O2269">
            <v>2.9569999999999999</v>
          </cell>
        </row>
        <row r="2270">
          <cell r="E2270" t="str">
            <v>BUS</v>
          </cell>
          <cell r="F2270" t="str">
            <v xml:space="preserve">BUS-X </v>
          </cell>
          <cell r="G2270">
            <v>100</v>
          </cell>
          <cell r="H2270" t="str">
            <v>BUS-X 100</v>
          </cell>
          <cell r="K2270" t="str">
            <v>Kanning,Myron</v>
          </cell>
          <cell r="N2270">
            <v>2.96</v>
          </cell>
          <cell r="O2270">
            <v>2.8370000000000002</v>
          </cell>
        </row>
        <row r="2271">
          <cell r="E2271" t="str">
            <v>BUS</v>
          </cell>
          <cell r="F2271" t="str">
            <v xml:space="preserve">BUS-X </v>
          </cell>
          <cell r="G2271">
            <v>100</v>
          </cell>
          <cell r="H2271" t="str">
            <v>BUS-X 100</v>
          </cell>
          <cell r="K2271" t="str">
            <v>Kanning,Myron</v>
          </cell>
          <cell r="N2271">
            <v>2.8889999999999998</v>
          </cell>
          <cell r="O2271">
            <v>2.7810000000000001</v>
          </cell>
        </row>
        <row r="2272">
          <cell r="E2272" t="str">
            <v>BUS</v>
          </cell>
          <cell r="F2272" t="str">
            <v xml:space="preserve">BUS-X </v>
          </cell>
          <cell r="G2272">
            <v>100</v>
          </cell>
          <cell r="H2272" t="str">
            <v>BUS-X 100</v>
          </cell>
          <cell r="K2272" t="str">
            <v>Kanning,Myron</v>
          </cell>
          <cell r="N2272">
            <v>2.7989999999999999</v>
          </cell>
          <cell r="O2272">
            <v>2.7930000000000001</v>
          </cell>
        </row>
        <row r="2273">
          <cell r="E2273" t="str">
            <v>BUS</v>
          </cell>
          <cell r="F2273" t="str">
            <v xml:space="preserve">BUS-X </v>
          </cell>
          <cell r="G2273">
            <v>100</v>
          </cell>
          <cell r="H2273" t="str">
            <v>BUS-X 100</v>
          </cell>
          <cell r="K2273" t="str">
            <v>Kanning,Myron</v>
          </cell>
          <cell r="N2273">
            <v>2.9969999999999999</v>
          </cell>
          <cell r="O2273">
            <v>2.9940000000000002</v>
          </cell>
        </row>
        <row r="2274">
          <cell r="E2274" t="str">
            <v>BUS</v>
          </cell>
          <cell r="F2274" t="str">
            <v xml:space="preserve">BUS-X </v>
          </cell>
          <cell r="G2274">
            <v>100</v>
          </cell>
          <cell r="H2274" t="str">
            <v>BUS-X 100</v>
          </cell>
          <cell r="K2274" t="str">
            <v>Kanning,Myron</v>
          </cell>
          <cell r="N2274">
            <v>3.0259999999999998</v>
          </cell>
          <cell r="O2274">
            <v>3.0369999999999999</v>
          </cell>
        </row>
        <row r="2275">
          <cell r="E2275" t="str">
            <v>BUS</v>
          </cell>
          <cell r="F2275" t="str">
            <v xml:space="preserve">BUS-X </v>
          </cell>
          <cell r="G2275">
            <v>100</v>
          </cell>
          <cell r="H2275" t="str">
            <v>BUS-X 100</v>
          </cell>
          <cell r="K2275" t="str">
            <v>Kanning,Myron</v>
          </cell>
          <cell r="N2275">
            <v>3.048</v>
          </cell>
          <cell r="O2275">
            <v>2.95</v>
          </cell>
        </row>
        <row r="2276">
          <cell r="E2276" t="str">
            <v>BUS</v>
          </cell>
          <cell r="F2276" t="str">
            <v xml:space="preserve">BUS-X </v>
          </cell>
          <cell r="G2276">
            <v>100</v>
          </cell>
          <cell r="H2276" t="str">
            <v>BUS-X 100</v>
          </cell>
          <cell r="K2276" t="str">
            <v>Rubinstein,David</v>
          </cell>
          <cell r="N2276">
            <v>3.0169999999999999</v>
          </cell>
          <cell r="O2276">
            <v>2.9340000000000002</v>
          </cell>
        </row>
        <row r="2277">
          <cell r="E2277" t="str">
            <v>BUS</v>
          </cell>
          <cell r="F2277" t="str">
            <v xml:space="preserve">BUS-X </v>
          </cell>
          <cell r="G2277">
            <v>100</v>
          </cell>
          <cell r="H2277" t="str">
            <v>BUS-X 100</v>
          </cell>
          <cell r="K2277" t="str">
            <v>Rubinstein,David</v>
          </cell>
          <cell r="N2277">
            <v>3.0059999999999998</v>
          </cell>
          <cell r="O2277">
            <v>2.8940000000000001</v>
          </cell>
        </row>
        <row r="2278">
          <cell r="E2278" t="str">
            <v>BUS</v>
          </cell>
          <cell r="F2278" t="str">
            <v xml:space="preserve">BUS-X </v>
          </cell>
          <cell r="G2278">
            <v>104</v>
          </cell>
          <cell r="H2278" t="str">
            <v>BUS-X 104</v>
          </cell>
          <cell r="K2278" t="str">
            <v>Bailey-Hughes,Brenda Marie</v>
          </cell>
          <cell r="N2278">
            <v>3.39</v>
          </cell>
          <cell r="O2278">
            <v>3.2240000000000002</v>
          </cell>
        </row>
        <row r="2279">
          <cell r="E2279" t="str">
            <v>BUS</v>
          </cell>
          <cell r="F2279" t="str">
            <v xml:space="preserve">BUS-X </v>
          </cell>
          <cell r="G2279">
            <v>104</v>
          </cell>
          <cell r="H2279" t="str">
            <v>BUS-X 104</v>
          </cell>
          <cell r="K2279" t="str">
            <v>Bailey-Hughes,Brenda Marie</v>
          </cell>
          <cell r="N2279">
            <v>3.5649999999999999</v>
          </cell>
          <cell r="O2279">
            <v>3.1819999999999999</v>
          </cell>
        </row>
        <row r="2280">
          <cell r="E2280" t="str">
            <v>BUS</v>
          </cell>
          <cell r="F2280" t="str">
            <v xml:space="preserve">BUS-X </v>
          </cell>
          <cell r="G2280">
            <v>104</v>
          </cell>
          <cell r="H2280" t="str">
            <v>BUS-X 104</v>
          </cell>
          <cell r="K2280" t="str">
            <v>Clark,Paige Renee</v>
          </cell>
          <cell r="N2280">
            <v>3.5230000000000001</v>
          </cell>
          <cell r="O2280">
            <v>3.3929999999999998</v>
          </cell>
        </row>
        <row r="2281">
          <cell r="E2281" t="str">
            <v>BUS</v>
          </cell>
          <cell r="F2281" t="str">
            <v xml:space="preserve">BUS-X </v>
          </cell>
          <cell r="G2281">
            <v>104</v>
          </cell>
          <cell r="H2281" t="str">
            <v>BUS-X 104</v>
          </cell>
          <cell r="K2281" t="str">
            <v>Clark,Paige Renee</v>
          </cell>
          <cell r="N2281">
            <v>3.5819999999999999</v>
          </cell>
          <cell r="O2281">
            <v>3.496</v>
          </cell>
        </row>
        <row r="2282">
          <cell r="E2282" t="str">
            <v>BUS</v>
          </cell>
          <cell r="F2282" t="str">
            <v xml:space="preserve">BUS-X </v>
          </cell>
          <cell r="G2282">
            <v>104</v>
          </cell>
          <cell r="H2282" t="str">
            <v>BUS-X 104</v>
          </cell>
          <cell r="K2282" t="str">
            <v>Clark,Paige Renee</v>
          </cell>
          <cell r="N2282">
            <v>3.5179999999999998</v>
          </cell>
          <cell r="O2282">
            <v>3.359</v>
          </cell>
        </row>
        <row r="2283">
          <cell r="E2283" t="str">
            <v>BUS</v>
          </cell>
          <cell r="F2283" t="str">
            <v xml:space="preserve">BUS-X </v>
          </cell>
          <cell r="G2283">
            <v>104</v>
          </cell>
          <cell r="H2283" t="str">
            <v>BUS-X 104</v>
          </cell>
          <cell r="K2283" t="str">
            <v>Clark,Paige Renee</v>
          </cell>
          <cell r="N2283">
            <v>3.7589999999999999</v>
          </cell>
          <cell r="O2283">
            <v>3.5310000000000001</v>
          </cell>
        </row>
        <row r="2284">
          <cell r="E2284" t="str">
            <v>BUS</v>
          </cell>
          <cell r="F2284" t="str">
            <v xml:space="preserve">BUS-X </v>
          </cell>
          <cell r="G2284">
            <v>104</v>
          </cell>
          <cell r="H2284" t="str">
            <v>BUS-X 104</v>
          </cell>
          <cell r="K2284" t="str">
            <v>Craig,Byron B</v>
          </cell>
          <cell r="N2284">
            <v>3.5379999999999998</v>
          </cell>
          <cell r="O2284">
            <v>3.286</v>
          </cell>
        </row>
        <row r="2285">
          <cell r="E2285" t="str">
            <v>BUS</v>
          </cell>
          <cell r="F2285" t="str">
            <v xml:space="preserve">BUS-X </v>
          </cell>
          <cell r="G2285">
            <v>104</v>
          </cell>
          <cell r="H2285" t="str">
            <v>BUS-X 104</v>
          </cell>
          <cell r="K2285" t="str">
            <v>Craig,Byron B</v>
          </cell>
          <cell r="N2285">
            <v>3.5350000000000001</v>
          </cell>
          <cell r="O2285">
            <v>3.375</v>
          </cell>
        </row>
        <row r="2286">
          <cell r="E2286" t="str">
            <v>BUS</v>
          </cell>
          <cell r="F2286" t="str">
            <v xml:space="preserve">BUS-X </v>
          </cell>
          <cell r="G2286">
            <v>104</v>
          </cell>
          <cell r="H2286" t="str">
            <v>BUS-X 104</v>
          </cell>
          <cell r="K2286" t="str">
            <v>Craig,Byron B</v>
          </cell>
          <cell r="N2286">
            <v>3.5470000000000002</v>
          </cell>
          <cell r="O2286">
            <v>3.3540000000000001</v>
          </cell>
        </row>
        <row r="2287">
          <cell r="E2287" t="str">
            <v>BUS</v>
          </cell>
          <cell r="F2287" t="str">
            <v xml:space="preserve">BUS-X </v>
          </cell>
          <cell r="G2287">
            <v>104</v>
          </cell>
          <cell r="H2287" t="str">
            <v>BUS-X 104</v>
          </cell>
          <cell r="K2287" t="str">
            <v>Craig,Byron B</v>
          </cell>
          <cell r="N2287">
            <v>3.3210000000000002</v>
          </cell>
          <cell r="O2287">
            <v>3.3780000000000001</v>
          </cell>
        </row>
        <row r="2288">
          <cell r="E2288" t="str">
            <v>BUS</v>
          </cell>
          <cell r="F2288" t="str">
            <v xml:space="preserve">BUS-X </v>
          </cell>
          <cell r="G2288">
            <v>104</v>
          </cell>
          <cell r="H2288" t="str">
            <v>BUS-X 104</v>
          </cell>
          <cell r="K2288" t="str">
            <v>Craig,Byron B</v>
          </cell>
          <cell r="N2288">
            <v>3.7</v>
          </cell>
          <cell r="O2288">
            <v>3.375</v>
          </cell>
        </row>
        <row r="2289">
          <cell r="E2289" t="str">
            <v>BUS</v>
          </cell>
          <cell r="F2289" t="str">
            <v xml:space="preserve">BUS-X </v>
          </cell>
          <cell r="G2289">
            <v>104</v>
          </cell>
          <cell r="H2289" t="str">
            <v>BUS-X 104</v>
          </cell>
          <cell r="K2289" t="str">
            <v>Fletcher,Kathy Jean</v>
          </cell>
          <cell r="N2289">
            <v>3.4449999999999998</v>
          </cell>
          <cell r="O2289">
            <v>3.2389999999999999</v>
          </cell>
        </row>
        <row r="2290">
          <cell r="E2290" t="str">
            <v>BUS</v>
          </cell>
          <cell r="F2290" t="str">
            <v xml:space="preserve">BUS-X </v>
          </cell>
          <cell r="G2290">
            <v>104</v>
          </cell>
          <cell r="H2290" t="str">
            <v>BUS-X 104</v>
          </cell>
          <cell r="K2290" t="str">
            <v>Fletcher,Kathy Jean</v>
          </cell>
          <cell r="N2290">
            <v>3.1469999999999998</v>
          </cell>
          <cell r="O2290">
            <v>3.1379999999999999</v>
          </cell>
        </row>
        <row r="2291">
          <cell r="E2291" t="str">
            <v>BUS</v>
          </cell>
          <cell r="F2291" t="str">
            <v xml:space="preserve">BUS-X </v>
          </cell>
          <cell r="G2291">
            <v>104</v>
          </cell>
          <cell r="H2291" t="str">
            <v>BUS-X 104</v>
          </cell>
          <cell r="K2291" t="str">
            <v>Fletcher,Kathy Jean</v>
          </cell>
          <cell r="N2291">
            <v>3.375</v>
          </cell>
          <cell r="O2291">
            <v>3.323</v>
          </cell>
        </row>
        <row r="2292">
          <cell r="E2292" t="str">
            <v>BUS</v>
          </cell>
          <cell r="F2292" t="str">
            <v xml:space="preserve">BUS-X </v>
          </cell>
          <cell r="G2292">
            <v>104</v>
          </cell>
          <cell r="H2292" t="str">
            <v>BUS-X 104</v>
          </cell>
          <cell r="K2292" t="str">
            <v>Fletcher,Kathy Jean</v>
          </cell>
          <cell r="N2292">
            <v>3.3090000000000002</v>
          </cell>
          <cell r="O2292">
            <v>3.3039999999999998</v>
          </cell>
        </row>
        <row r="2293">
          <cell r="E2293" t="str">
            <v>BUS</v>
          </cell>
          <cell r="F2293" t="str">
            <v xml:space="preserve">BUS-X </v>
          </cell>
          <cell r="G2293">
            <v>104</v>
          </cell>
          <cell r="H2293" t="str">
            <v>BUS-X 104</v>
          </cell>
          <cell r="K2293" t="str">
            <v>Herman,Adam J</v>
          </cell>
          <cell r="N2293">
            <v>3.8050000000000002</v>
          </cell>
          <cell r="O2293">
            <v>3.1709999999999998</v>
          </cell>
        </row>
        <row r="2294">
          <cell r="E2294" t="str">
            <v>BUS</v>
          </cell>
          <cell r="F2294" t="str">
            <v xml:space="preserve">BUS-X </v>
          </cell>
          <cell r="G2294">
            <v>104</v>
          </cell>
          <cell r="H2294" t="str">
            <v>BUS-X 104</v>
          </cell>
          <cell r="K2294" t="str">
            <v>Kolovou,Tatiana Alkiviadis</v>
          </cell>
          <cell r="N2294">
            <v>3.39</v>
          </cell>
          <cell r="O2294">
            <v>3.1219999999999999</v>
          </cell>
        </row>
        <row r="2295">
          <cell r="E2295" t="str">
            <v>BUS</v>
          </cell>
          <cell r="F2295" t="str">
            <v xml:space="preserve">BUS-X </v>
          </cell>
          <cell r="G2295">
            <v>104</v>
          </cell>
          <cell r="H2295" t="str">
            <v>BUS-X 104</v>
          </cell>
          <cell r="K2295" t="str">
            <v>Kolovou,Tatiana Alkiviadis</v>
          </cell>
          <cell r="N2295">
            <v>3.4329999999999998</v>
          </cell>
          <cell r="O2295">
            <v>3.2440000000000002</v>
          </cell>
        </row>
        <row r="2296">
          <cell r="E2296" t="str">
            <v>BUS</v>
          </cell>
          <cell r="F2296" t="str">
            <v xml:space="preserve">BUS-X </v>
          </cell>
          <cell r="G2296">
            <v>104</v>
          </cell>
          <cell r="H2296" t="str">
            <v>BUS-X 104</v>
          </cell>
          <cell r="K2296" t="str">
            <v>Loucks,Susan L</v>
          </cell>
          <cell r="N2296">
            <v>3.4910000000000001</v>
          </cell>
          <cell r="O2296">
            <v>3.198</v>
          </cell>
        </row>
        <row r="2297">
          <cell r="E2297" t="str">
            <v>BUS</v>
          </cell>
          <cell r="F2297" t="str">
            <v xml:space="preserve">BUS-X </v>
          </cell>
          <cell r="G2297">
            <v>104</v>
          </cell>
          <cell r="H2297" t="str">
            <v>BUS-X 104</v>
          </cell>
          <cell r="K2297" t="str">
            <v>Loucks,Susan L</v>
          </cell>
          <cell r="N2297">
            <v>3.2519999999999998</v>
          </cell>
          <cell r="O2297">
            <v>3.0219999999999998</v>
          </cell>
        </row>
        <row r="2298">
          <cell r="E2298" t="str">
            <v>BUS</v>
          </cell>
          <cell r="F2298" t="str">
            <v xml:space="preserve">BUS-X </v>
          </cell>
          <cell r="G2298">
            <v>104</v>
          </cell>
          <cell r="H2298" t="str">
            <v>BUS-X 104</v>
          </cell>
          <cell r="K2298" t="str">
            <v>Loucks,Susan L</v>
          </cell>
          <cell r="N2298">
            <v>3.371</v>
          </cell>
          <cell r="O2298">
            <v>3.0449999999999999</v>
          </cell>
        </row>
        <row r="2299">
          <cell r="E2299" t="str">
            <v>BUS</v>
          </cell>
          <cell r="F2299" t="str">
            <v xml:space="preserve">BUS-X </v>
          </cell>
          <cell r="G2299">
            <v>104</v>
          </cell>
          <cell r="H2299" t="str">
            <v>BUS-X 104</v>
          </cell>
          <cell r="K2299" t="str">
            <v>Loucks,Susan L</v>
          </cell>
          <cell r="N2299">
            <v>3.1829999999999998</v>
          </cell>
          <cell r="O2299">
            <v>2.968</v>
          </cell>
        </row>
        <row r="2300">
          <cell r="E2300" t="str">
            <v>BUS</v>
          </cell>
          <cell r="F2300" t="str">
            <v xml:space="preserve">BUS-X </v>
          </cell>
          <cell r="G2300">
            <v>104</v>
          </cell>
          <cell r="H2300" t="str">
            <v>BUS-X 104</v>
          </cell>
          <cell r="K2300" t="str">
            <v>Metz,Katie Ann</v>
          </cell>
          <cell r="N2300">
            <v>3.3959999999999999</v>
          </cell>
          <cell r="O2300">
            <v>3.282</v>
          </cell>
        </row>
        <row r="2301">
          <cell r="E2301" t="str">
            <v>BUS</v>
          </cell>
          <cell r="F2301" t="str">
            <v xml:space="preserve">BUS-X </v>
          </cell>
          <cell r="G2301">
            <v>104</v>
          </cell>
          <cell r="H2301" t="str">
            <v>BUS-X 104</v>
          </cell>
          <cell r="K2301" t="str">
            <v>Metz,Katie Ann</v>
          </cell>
          <cell r="N2301">
            <v>3.03</v>
          </cell>
          <cell r="O2301">
            <v>3.109</v>
          </cell>
        </row>
        <row r="2302">
          <cell r="E2302" t="str">
            <v>BUS</v>
          </cell>
          <cell r="F2302" t="str">
            <v xml:space="preserve">BUS-X </v>
          </cell>
          <cell r="G2302">
            <v>104</v>
          </cell>
          <cell r="H2302" t="str">
            <v>BUS-X 104</v>
          </cell>
          <cell r="K2302" t="str">
            <v>Metz,Katie Ann</v>
          </cell>
          <cell r="N2302">
            <v>3.4</v>
          </cell>
          <cell r="O2302">
            <v>3.266</v>
          </cell>
        </row>
        <row r="2303">
          <cell r="E2303" t="str">
            <v>BUS</v>
          </cell>
          <cell r="F2303" t="str">
            <v xml:space="preserve">BUS-X </v>
          </cell>
          <cell r="G2303">
            <v>104</v>
          </cell>
          <cell r="H2303" t="str">
            <v>BUS-X 104</v>
          </cell>
          <cell r="K2303" t="str">
            <v>Metz,Katie Ann</v>
          </cell>
          <cell r="N2303">
            <v>3.3740000000000001</v>
          </cell>
          <cell r="O2303">
            <v>3.1259999999999999</v>
          </cell>
        </row>
        <row r="2304">
          <cell r="E2304" t="str">
            <v>BUS</v>
          </cell>
          <cell r="F2304" t="str">
            <v xml:space="preserve">BUS-X </v>
          </cell>
          <cell r="G2304">
            <v>104</v>
          </cell>
          <cell r="H2304" t="str">
            <v>BUS-X 104</v>
          </cell>
          <cell r="K2304" t="str">
            <v>Mora,Juliane Marie</v>
          </cell>
          <cell r="N2304">
            <v>3.5329999999999999</v>
          </cell>
          <cell r="O2304">
            <v>3.1040000000000001</v>
          </cell>
        </row>
        <row r="2305">
          <cell r="E2305" t="str">
            <v>BUS</v>
          </cell>
          <cell r="F2305" t="str">
            <v xml:space="preserve">BUS-X </v>
          </cell>
          <cell r="G2305">
            <v>104</v>
          </cell>
          <cell r="H2305" t="str">
            <v>BUS-X 104</v>
          </cell>
          <cell r="K2305" t="str">
            <v>Mora,Juliane Marie</v>
          </cell>
          <cell r="N2305">
            <v>3.51</v>
          </cell>
          <cell r="O2305">
            <v>3.0129999999999999</v>
          </cell>
        </row>
        <row r="2306">
          <cell r="E2306" t="str">
            <v>BUS</v>
          </cell>
          <cell r="F2306" t="str">
            <v xml:space="preserve">BUS-X </v>
          </cell>
          <cell r="G2306">
            <v>104</v>
          </cell>
          <cell r="H2306" t="str">
            <v>BUS-X 104</v>
          </cell>
          <cell r="K2306" t="str">
            <v>Mora,Juliane Marie</v>
          </cell>
          <cell r="N2306">
            <v>2.8210000000000002</v>
          </cell>
          <cell r="O2306">
            <v>2.7589999999999999</v>
          </cell>
        </row>
        <row r="2307">
          <cell r="E2307" t="str">
            <v>BUS</v>
          </cell>
          <cell r="F2307" t="str">
            <v xml:space="preserve">BUS-X </v>
          </cell>
          <cell r="G2307">
            <v>104</v>
          </cell>
          <cell r="H2307" t="str">
            <v>BUS-X 104</v>
          </cell>
          <cell r="K2307" t="str">
            <v>Mora,Juliane Marie</v>
          </cell>
          <cell r="N2307">
            <v>3.4809999999999999</v>
          </cell>
          <cell r="O2307">
            <v>3.1709999999999998</v>
          </cell>
        </row>
        <row r="2308">
          <cell r="E2308" t="str">
            <v>BUS</v>
          </cell>
          <cell r="F2308" t="str">
            <v xml:space="preserve">BUS-X </v>
          </cell>
          <cell r="G2308">
            <v>104</v>
          </cell>
          <cell r="H2308" t="str">
            <v>BUS-X 104</v>
          </cell>
          <cell r="K2308" t="str">
            <v>New,Dawn</v>
          </cell>
          <cell r="N2308">
            <v>3.5379999999999998</v>
          </cell>
          <cell r="O2308">
            <v>3.2759999999999998</v>
          </cell>
        </row>
        <row r="2309">
          <cell r="E2309" t="str">
            <v>BUS</v>
          </cell>
          <cell r="F2309" t="str">
            <v xml:space="preserve">BUS-X </v>
          </cell>
          <cell r="G2309">
            <v>104</v>
          </cell>
          <cell r="H2309" t="str">
            <v>BUS-X 104</v>
          </cell>
          <cell r="K2309" t="str">
            <v>New,Dawn</v>
          </cell>
          <cell r="N2309">
            <v>3.07</v>
          </cell>
          <cell r="O2309">
            <v>2.9350000000000001</v>
          </cell>
        </row>
        <row r="2310">
          <cell r="E2310" t="str">
            <v>BUS</v>
          </cell>
          <cell r="F2310" t="str">
            <v xml:space="preserve">BUS-X </v>
          </cell>
          <cell r="G2310">
            <v>104</v>
          </cell>
          <cell r="H2310" t="str">
            <v>BUS-X 104</v>
          </cell>
          <cell r="K2310" t="str">
            <v>New,Dawn</v>
          </cell>
          <cell r="N2310">
            <v>3.052</v>
          </cell>
          <cell r="O2310">
            <v>3.2389999999999999</v>
          </cell>
        </row>
        <row r="2311">
          <cell r="E2311" t="str">
            <v>BUS</v>
          </cell>
          <cell r="F2311" t="str">
            <v xml:space="preserve">BUS-X </v>
          </cell>
          <cell r="G2311">
            <v>104</v>
          </cell>
          <cell r="H2311" t="str">
            <v>BUS-X 104</v>
          </cell>
          <cell r="K2311" t="str">
            <v>New,Dawn</v>
          </cell>
          <cell r="N2311">
            <v>3.4769999999999999</v>
          </cell>
          <cell r="O2311">
            <v>3.2440000000000002</v>
          </cell>
        </row>
        <row r="2312">
          <cell r="E2312" t="str">
            <v>BUS</v>
          </cell>
          <cell r="F2312" t="str">
            <v xml:space="preserve">BUS-X </v>
          </cell>
          <cell r="G2312">
            <v>106</v>
          </cell>
          <cell r="H2312" t="str">
            <v>BUS-X 106</v>
          </cell>
          <cell r="K2312" t="str">
            <v>Bailey-Hughes,Brenda Marie</v>
          </cell>
          <cell r="N2312">
            <v>3.8839999999999999</v>
          </cell>
          <cell r="O2312">
            <v>3.7250000000000001</v>
          </cell>
        </row>
        <row r="2313">
          <cell r="E2313" t="str">
            <v>BUS</v>
          </cell>
          <cell r="F2313" t="str">
            <v xml:space="preserve">BUS-X </v>
          </cell>
          <cell r="G2313">
            <v>106</v>
          </cell>
          <cell r="H2313" t="str">
            <v>BUS-X 106</v>
          </cell>
          <cell r="K2313" t="str">
            <v>Bailey-Hughes,Brenda Marie</v>
          </cell>
          <cell r="N2313">
            <v>3.6549999999999998</v>
          </cell>
          <cell r="O2313">
            <v>3.6110000000000002</v>
          </cell>
        </row>
        <row r="2314">
          <cell r="E2314" t="str">
            <v>BUS</v>
          </cell>
          <cell r="F2314" t="str">
            <v xml:space="preserve">BUS-X </v>
          </cell>
          <cell r="G2314">
            <v>155</v>
          </cell>
          <cell r="H2314" t="str">
            <v>BUS-X 155</v>
          </cell>
          <cell r="K2314" t="str">
            <v>Sera,Gipsi</v>
          </cell>
          <cell r="N2314">
            <v>3.0649999999999999</v>
          </cell>
          <cell r="O2314">
            <v>2.9460000000000002</v>
          </cell>
        </row>
        <row r="2315">
          <cell r="E2315" t="str">
            <v>BUS</v>
          </cell>
          <cell r="F2315" t="str">
            <v xml:space="preserve">BUS-X </v>
          </cell>
          <cell r="G2315">
            <v>155</v>
          </cell>
          <cell r="H2315" t="str">
            <v>BUS-X 155</v>
          </cell>
          <cell r="K2315" t="str">
            <v>Sera,Gipsi</v>
          </cell>
          <cell r="N2315">
            <v>3.0249999999999999</v>
          </cell>
          <cell r="O2315">
            <v>2.9860000000000002</v>
          </cell>
        </row>
        <row r="2316">
          <cell r="E2316" t="str">
            <v>BUS</v>
          </cell>
          <cell r="F2316" t="str">
            <v xml:space="preserve">BUS-X </v>
          </cell>
          <cell r="G2316">
            <v>170</v>
          </cell>
          <cell r="H2316" t="str">
            <v>BUS-X 170</v>
          </cell>
          <cell r="K2316" t="str">
            <v>Talbott,John S</v>
          </cell>
          <cell r="N2316">
            <v>3.4820000000000002</v>
          </cell>
          <cell r="O2316">
            <v>3.391</v>
          </cell>
        </row>
        <row r="2317">
          <cell r="E2317" t="str">
            <v>BUS</v>
          </cell>
          <cell r="F2317" t="str">
            <v xml:space="preserve">BUS-X </v>
          </cell>
          <cell r="G2317">
            <v>170</v>
          </cell>
          <cell r="H2317" t="str">
            <v>BUS-X 170</v>
          </cell>
          <cell r="K2317" t="str">
            <v>Talbott,John S</v>
          </cell>
          <cell r="N2317">
            <v>3.52</v>
          </cell>
          <cell r="O2317">
            <v>3.4049999999999998</v>
          </cell>
        </row>
        <row r="2318">
          <cell r="E2318" t="str">
            <v>BUS</v>
          </cell>
          <cell r="F2318" t="str">
            <v xml:space="preserve">BUS-X </v>
          </cell>
          <cell r="G2318">
            <v>170</v>
          </cell>
          <cell r="H2318" t="str">
            <v>BUS-X 170</v>
          </cell>
          <cell r="K2318" t="str">
            <v>Talbott,John S</v>
          </cell>
          <cell r="N2318">
            <v>3.641</v>
          </cell>
          <cell r="O2318">
            <v>3.4169999999999998</v>
          </cell>
        </row>
        <row r="2319">
          <cell r="E2319" t="str">
            <v>BUS</v>
          </cell>
          <cell r="F2319" t="str">
            <v xml:space="preserve">BUS-X </v>
          </cell>
          <cell r="G2319">
            <v>170</v>
          </cell>
          <cell r="H2319" t="str">
            <v>BUS-X 170</v>
          </cell>
          <cell r="K2319" t="str">
            <v>Talbott,John S</v>
          </cell>
          <cell r="N2319">
            <v>3.5880000000000001</v>
          </cell>
          <cell r="O2319">
            <v>3.423</v>
          </cell>
        </row>
        <row r="2320">
          <cell r="E2320" t="str">
            <v>BUS</v>
          </cell>
          <cell r="F2320" t="str">
            <v xml:space="preserve">BUS-X </v>
          </cell>
          <cell r="G2320">
            <v>201</v>
          </cell>
          <cell r="H2320" t="str">
            <v>BUS-X 201</v>
          </cell>
          <cell r="K2320" t="str">
            <v>Johnson,Kari A</v>
          </cell>
          <cell r="N2320">
            <v>3.419</v>
          </cell>
          <cell r="O2320">
            <v>3.4550000000000001</v>
          </cell>
        </row>
        <row r="2321">
          <cell r="E2321" t="str">
            <v>BUS</v>
          </cell>
          <cell r="F2321" t="str">
            <v xml:space="preserve">BUS-X </v>
          </cell>
          <cell r="G2321">
            <v>201</v>
          </cell>
          <cell r="H2321" t="str">
            <v>BUS-X 201</v>
          </cell>
          <cell r="K2321" t="str">
            <v>Johnson,Kari A</v>
          </cell>
          <cell r="N2321">
            <v>3.29</v>
          </cell>
          <cell r="O2321">
            <v>3.448</v>
          </cell>
        </row>
        <row r="2322">
          <cell r="E2322" t="str">
            <v>BUS</v>
          </cell>
          <cell r="F2322" t="str">
            <v xml:space="preserve">BUS-X </v>
          </cell>
          <cell r="G2322">
            <v>201</v>
          </cell>
          <cell r="H2322" t="str">
            <v>BUS-X 201</v>
          </cell>
          <cell r="K2322" t="str">
            <v>Johnson,Kari A</v>
          </cell>
          <cell r="N2322">
            <v>3.19</v>
          </cell>
          <cell r="O2322">
            <v>3.3580000000000001</v>
          </cell>
        </row>
        <row r="2323">
          <cell r="E2323" t="str">
            <v>BUS</v>
          </cell>
          <cell r="F2323" t="str">
            <v xml:space="preserve">BUS-X </v>
          </cell>
          <cell r="G2323">
            <v>201</v>
          </cell>
          <cell r="H2323" t="str">
            <v>BUS-X 201</v>
          </cell>
          <cell r="K2323" t="str">
            <v>Johnson,Kari A</v>
          </cell>
          <cell r="N2323">
            <v>3.0470000000000002</v>
          </cell>
          <cell r="O2323">
            <v>3.2410000000000001</v>
          </cell>
        </row>
        <row r="2324">
          <cell r="E2324" t="str">
            <v>BUS</v>
          </cell>
          <cell r="F2324" t="str">
            <v xml:space="preserve">BUS-X </v>
          </cell>
          <cell r="G2324">
            <v>201</v>
          </cell>
          <cell r="H2324" t="str">
            <v>BUS-X 201</v>
          </cell>
          <cell r="K2324" t="str">
            <v>Johnson,Kari A</v>
          </cell>
          <cell r="N2324">
            <v>3.1280000000000001</v>
          </cell>
          <cell r="O2324">
            <v>3.2029999999999998</v>
          </cell>
        </row>
        <row r="2325">
          <cell r="E2325" t="str">
            <v>BUS</v>
          </cell>
          <cell r="F2325" t="str">
            <v xml:space="preserve">BUS-X </v>
          </cell>
          <cell r="G2325">
            <v>201</v>
          </cell>
          <cell r="H2325" t="str">
            <v>BUS-X 201</v>
          </cell>
          <cell r="K2325" t="str">
            <v>Johnson,Kari A</v>
          </cell>
          <cell r="N2325">
            <v>3.2029999999999998</v>
          </cell>
          <cell r="O2325">
            <v>3.2810000000000001</v>
          </cell>
        </row>
        <row r="2326">
          <cell r="E2326" t="str">
            <v>BUS</v>
          </cell>
          <cell r="F2326" t="str">
            <v xml:space="preserve">BUS-X </v>
          </cell>
          <cell r="G2326">
            <v>201</v>
          </cell>
          <cell r="H2326" t="str">
            <v>BUS-X 201</v>
          </cell>
          <cell r="K2326" t="str">
            <v>Johnson,Kari A</v>
          </cell>
          <cell r="N2326">
            <v>3.0049999999999999</v>
          </cell>
          <cell r="O2326">
            <v>3.262</v>
          </cell>
        </row>
        <row r="2327">
          <cell r="E2327" t="str">
            <v>BUS</v>
          </cell>
          <cell r="F2327" t="str">
            <v xml:space="preserve">BUS-X </v>
          </cell>
          <cell r="G2327">
            <v>201</v>
          </cell>
          <cell r="H2327" t="str">
            <v>BUS-X 201</v>
          </cell>
          <cell r="K2327" t="str">
            <v>Kinser,James Eric</v>
          </cell>
          <cell r="N2327">
            <v>2.9849999999999999</v>
          </cell>
          <cell r="O2327">
            <v>3.2330000000000001</v>
          </cell>
        </row>
        <row r="2328">
          <cell r="E2328" t="str">
            <v>BUS</v>
          </cell>
          <cell r="F2328" t="str">
            <v xml:space="preserve">BUS-X </v>
          </cell>
          <cell r="G2328">
            <v>201</v>
          </cell>
          <cell r="H2328" t="str">
            <v>BUS-X 201</v>
          </cell>
          <cell r="K2328" t="str">
            <v>Kinser,James Eric</v>
          </cell>
          <cell r="N2328">
            <v>3.54</v>
          </cell>
          <cell r="O2328">
            <v>3.512</v>
          </cell>
        </row>
        <row r="2329">
          <cell r="E2329" t="str">
            <v>BUS</v>
          </cell>
          <cell r="F2329" t="str">
            <v xml:space="preserve">BUS-X </v>
          </cell>
          <cell r="G2329">
            <v>201</v>
          </cell>
          <cell r="H2329" t="str">
            <v>BUS-X 201</v>
          </cell>
          <cell r="K2329" t="str">
            <v>Kinser,James Eric</v>
          </cell>
          <cell r="N2329">
            <v>3.2029999999999998</v>
          </cell>
          <cell r="O2329">
            <v>3.367</v>
          </cell>
        </row>
        <row r="2330">
          <cell r="E2330" t="str">
            <v>BUS</v>
          </cell>
          <cell r="F2330" t="str">
            <v xml:space="preserve">BUS-X </v>
          </cell>
          <cell r="G2330">
            <v>201</v>
          </cell>
          <cell r="H2330" t="str">
            <v>BUS-X 201</v>
          </cell>
          <cell r="K2330" t="str">
            <v>Kinser,James Eric</v>
          </cell>
          <cell r="N2330">
            <v>3.31</v>
          </cell>
          <cell r="O2330">
            <v>3.28</v>
          </cell>
        </row>
        <row r="2331">
          <cell r="E2331" t="str">
            <v>BUS</v>
          </cell>
          <cell r="F2331" t="str">
            <v xml:space="preserve">BUS-X </v>
          </cell>
          <cell r="G2331">
            <v>201</v>
          </cell>
          <cell r="H2331" t="str">
            <v>BUS-X 201</v>
          </cell>
          <cell r="K2331" t="str">
            <v>Kinser,James Eric</v>
          </cell>
          <cell r="N2331">
            <v>3.28</v>
          </cell>
          <cell r="O2331">
            <v>3.3559999999999999</v>
          </cell>
        </row>
        <row r="2332">
          <cell r="E2332" t="str">
            <v>BUS</v>
          </cell>
          <cell r="F2332" t="str">
            <v xml:space="preserve">BUS-X </v>
          </cell>
          <cell r="G2332">
            <v>201</v>
          </cell>
          <cell r="H2332" t="str">
            <v>BUS-X 201</v>
          </cell>
          <cell r="K2332" t="str">
            <v>Kinser,James Eric</v>
          </cell>
          <cell r="N2332">
            <v>3.3340000000000001</v>
          </cell>
          <cell r="O2332">
            <v>3.4870000000000001</v>
          </cell>
        </row>
        <row r="2333">
          <cell r="E2333" t="str">
            <v>BUS</v>
          </cell>
          <cell r="F2333" t="str">
            <v xml:space="preserve">BUS-X </v>
          </cell>
          <cell r="G2333">
            <v>201</v>
          </cell>
          <cell r="H2333" t="str">
            <v>BUS-X 201</v>
          </cell>
          <cell r="K2333" t="str">
            <v>Kinser,James Eric</v>
          </cell>
          <cell r="N2333">
            <v>3.0419999999999998</v>
          </cell>
          <cell r="O2333">
            <v>3.194</v>
          </cell>
        </row>
        <row r="2334">
          <cell r="E2334" t="str">
            <v>BUS</v>
          </cell>
          <cell r="F2334" t="str">
            <v xml:space="preserve">BUS-X </v>
          </cell>
          <cell r="G2334">
            <v>201</v>
          </cell>
          <cell r="H2334" t="str">
            <v>BUS-X 201</v>
          </cell>
          <cell r="K2334" t="str">
            <v>Kinser,James Eric</v>
          </cell>
          <cell r="N2334">
            <v>3.1190000000000002</v>
          </cell>
          <cell r="O2334">
            <v>3.2949999999999999</v>
          </cell>
        </row>
        <row r="2335">
          <cell r="E2335" t="str">
            <v>BUS</v>
          </cell>
          <cell r="F2335" t="str">
            <v xml:space="preserve">BUS-X </v>
          </cell>
          <cell r="G2335">
            <v>201</v>
          </cell>
          <cell r="H2335" t="str">
            <v>BUS-X 201</v>
          </cell>
          <cell r="K2335" t="str">
            <v>Kinser,James Eric</v>
          </cell>
          <cell r="N2335">
            <v>3.1629999999999998</v>
          </cell>
          <cell r="O2335">
            <v>3.335</v>
          </cell>
        </row>
        <row r="2336">
          <cell r="E2336" t="str">
            <v>BUS</v>
          </cell>
          <cell r="F2336" t="str">
            <v xml:space="preserve">BUS-X </v>
          </cell>
          <cell r="G2336">
            <v>201</v>
          </cell>
          <cell r="H2336" t="str">
            <v>BUS-X 201</v>
          </cell>
          <cell r="K2336" t="str">
            <v>Kinser,James Eric</v>
          </cell>
          <cell r="N2336">
            <v>3.0760000000000001</v>
          </cell>
          <cell r="O2336">
            <v>3.2440000000000002</v>
          </cell>
        </row>
        <row r="2337">
          <cell r="E2337" t="str">
            <v>BUS</v>
          </cell>
          <cell r="F2337" t="str">
            <v xml:space="preserve">BUS-X </v>
          </cell>
          <cell r="G2337">
            <v>201</v>
          </cell>
          <cell r="H2337" t="str">
            <v>BUS-X 201</v>
          </cell>
          <cell r="K2337" t="str">
            <v>Newquist,Jay D.</v>
          </cell>
          <cell r="N2337">
            <v>3.4689999999999999</v>
          </cell>
          <cell r="O2337">
            <v>3.5129999999999999</v>
          </cell>
        </row>
        <row r="2338">
          <cell r="E2338" t="str">
            <v>BUS</v>
          </cell>
          <cell r="F2338" t="str">
            <v xml:space="preserve">BUS-X </v>
          </cell>
          <cell r="G2338">
            <v>201</v>
          </cell>
          <cell r="H2338" t="str">
            <v>BUS-X 201</v>
          </cell>
          <cell r="K2338" t="str">
            <v>Perry,Aaron B</v>
          </cell>
          <cell r="N2338">
            <v>3.1589999999999998</v>
          </cell>
          <cell r="O2338">
            <v>3.37</v>
          </cell>
        </row>
        <row r="2339">
          <cell r="E2339" t="str">
            <v>BUS</v>
          </cell>
          <cell r="F2339" t="str">
            <v xml:space="preserve">BUS-X </v>
          </cell>
          <cell r="G2339">
            <v>201</v>
          </cell>
          <cell r="H2339" t="str">
            <v>BUS-X 201</v>
          </cell>
          <cell r="K2339" t="str">
            <v>Perry,Aaron B</v>
          </cell>
          <cell r="N2339">
            <v>2.996</v>
          </cell>
          <cell r="O2339">
            <v>3.25</v>
          </cell>
        </row>
        <row r="2340">
          <cell r="E2340" t="str">
            <v>BUS</v>
          </cell>
          <cell r="F2340" t="str">
            <v xml:space="preserve">BUS-X </v>
          </cell>
          <cell r="G2340">
            <v>201</v>
          </cell>
          <cell r="H2340" t="str">
            <v>BUS-X 201</v>
          </cell>
          <cell r="K2340" t="str">
            <v>Perry,Aaron B</v>
          </cell>
          <cell r="N2340">
            <v>2.8809999999999998</v>
          </cell>
          <cell r="O2340">
            <v>3.2240000000000002</v>
          </cell>
        </row>
        <row r="2341">
          <cell r="E2341" t="str">
            <v>BUS</v>
          </cell>
          <cell r="F2341" t="str">
            <v xml:space="preserve">BUS-X </v>
          </cell>
          <cell r="G2341">
            <v>201</v>
          </cell>
          <cell r="H2341" t="str">
            <v>BUS-X 201</v>
          </cell>
          <cell r="K2341" t="str">
            <v>Perry,Aaron B</v>
          </cell>
          <cell r="N2341">
            <v>3.34</v>
          </cell>
          <cell r="O2341">
            <v>3.2839999999999998</v>
          </cell>
        </row>
        <row r="2342">
          <cell r="E2342" t="str">
            <v>BUS</v>
          </cell>
          <cell r="F2342" t="str">
            <v xml:space="preserve">BUS-X </v>
          </cell>
          <cell r="G2342">
            <v>201</v>
          </cell>
          <cell r="H2342" t="str">
            <v>BUS-X 201</v>
          </cell>
          <cell r="K2342" t="str">
            <v>Perry,Aaron B</v>
          </cell>
          <cell r="N2342">
            <v>3.0390000000000001</v>
          </cell>
          <cell r="O2342">
            <v>3.2519999999999998</v>
          </cell>
        </row>
        <row r="2343">
          <cell r="E2343" t="str">
            <v>BUS</v>
          </cell>
          <cell r="F2343" t="str">
            <v xml:space="preserve">BUS-X </v>
          </cell>
          <cell r="G2343">
            <v>201</v>
          </cell>
          <cell r="H2343" t="str">
            <v>BUS-X 201</v>
          </cell>
          <cell r="K2343" t="str">
            <v>Perry,Aaron B</v>
          </cell>
          <cell r="N2343">
            <v>3.153</v>
          </cell>
          <cell r="O2343">
            <v>3.335</v>
          </cell>
        </row>
        <row r="2344">
          <cell r="E2344" t="str">
            <v>BUS</v>
          </cell>
          <cell r="F2344" t="str">
            <v xml:space="preserve">BUS-X </v>
          </cell>
          <cell r="G2344">
            <v>201</v>
          </cell>
          <cell r="H2344" t="str">
            <v>BUS-X 201</v>
          </cell>
          <cell r="K2344" t="str">
            <v>Perry,Aaron B</v>
          </cell>
          <cell r="N2344">
            <v>3.1520000000000001</v>
          </cell>
          <cell r="O2344">
            <v>3.3170000000000002</v>
          </cell>
        </row>
        <row r="2345">
          <cell r="E2345" t="str">
            <v>BUS</v>
          </cell>
          <cell r="F2345" t="str">
            <v xml:space="preserve">BUS-X </v>
          </cell>
          <cell r="G2345">
            <v>201</v>
          </cell>
          <cell r="H2345" t="str">
            <v>BUS-X 201</v>
          </cell>
          <cell r="K2345" t="str">
            <v>Perry,Aaron B</v>
          </cell>
          <cell r="N2345">
            <v>3.35</v>
          </cell>
          <cell r="O2345">
            <v>3.375</v>
          </cell>
        </row>
        <row r="2346">
          <cell r="E2346" t="str">
            <v>BUS</v>
          </cell>
          <cell r="F2346" t="str">
            <v xml:space="preserve">BUS-X </v>
          </cell>
          <cell r="G2346">
            <v>201</v>
          </cell>
          <cell r="H2346" t="str">
            <v>BUS-X 201</v>
          </cell>
          <cell r="K2346" t="str">
            <v>Perry,Aaron B</v>
          </cell>
          <cell r="N2346">
            <v>3.0089999999999999</v>
          </cell>
          <cell r="O2346">
            <v>3.222</v>
          </cell>
        </row>
        <row r="2347">
          <cell r="E2347" t="str">
            <v>BUS</v>
          </cell>
          <cell r="F2347" t="str">
            <v xml:space="preserve">BUS-X </v>
          </cell>
          <cell r="G2347">
            <v>201</v>
          </cell>
          <cell r="H2347" t="str">
            <v>BUS-X 201</v>
          </cell>
          <cell r="K2347" t="str">
            <v>Perry,Aaron B</v>
          </cell>
          <cell r="N2347">
            <v>3.2080000000000002</v>
          </cell>
          <cell r="O2347">
            <v>3.32</v>
          </cell>
        </row>
        <row r="2348">
          <cell r="E2348" t="str">
            <v>BUS</v>
          </cell>
          <cell r="F2348" t="str">
            <v xml:space="preserve">BUS-X </v>
          </cell>
          <cell r="G2348">
            <v>201</v>
          </cell>
          <cell r="H2348" t="str">
            <v>BUS-X 201</v>
          </cell>
          <cell r="K2348" t="str">
            <v>Robbins,Chris G</v>
          </cell>
          <cell r="N2348">
            <v>2.9049999999999998</v>
          </cell>
          <cell r="O2348">
            <v>3.1389999999999998</v>
          </cell>
        </row>
        <row r="2349">
          <cell r="E2349" t="str">
            <v>BUS</v>
          </cell>
          <cell r="F2349" t="str">
            <v xml:space="preserve">BUS-X </v>
          </cell>
          <cell r="G2349">
            <v>201</v>
          </cell>
          <cell r="H2349" t="str">
            <v>BUS-X 201</v>
          </cell>
          <cell r="K2349" t="str">
            <v>Robbins,Chris G</v>
          </cell>
          <cell r="N2349">
            <v>3.387</v>
          </cell>
          <cell r="O2349">
            <v>3.399</v>
          </cell>
        </row>
        <row r="2350">
          <cell r="E2350" t="str">
            <v>BUS</v>
          </cell>
          <cell r="F2350" t="str">
            <v xml:space="preserve">BUS-X </v>
          </cell>
          <cell r="G2350">
            <v>201</v>
          </cell>
          <cell r="H2350" t="str">
            <v>BUS-X 201</v>
          </cell>
          <cell r="K2350" t="str">
            <v>Robbins,Chris G</v>
          </cell>
          <cell r="N2350">
            <v>3.4369999999999998</v>
          </cell>
          <cell r="O2350">
            <v>3.4889999999999999</v>
          </cell>
        </row>
        <row r="2351">
          <cell r="E2351" t="str">
            <v>BUS</v>
          </cell>
          <cell r="F2351" t="str">
            <v xml:space="preserve">BUS-X </v>
          </cell>
          <cell r="G2351">
            <v>201</v>
          </cell>
          <cell r="H2351" t="str">
            <v>BUS-X 201</v>
          </cell>
          <cell r="K2351" t="str">
            <v>Robbins,Chris G</v>
          </cell>
          <cell r="N2351">
            <v>3.383</v>
          </cell>
          <cell r="O2351">
            <v>3.4550000000000001</v>
          </cell>
        </row>
        <row r="2352">
          <cell r="E2352" t="str">
            <v>BUS</v>
          </cell>
          <cell r="F2352" t="str">
            <v xml:space="preserve">BUS-X </v>
          </cell>
          <cell r="G2352">
            <v>201</v>
          </cell>
          <cell r="H2352" t="str">
            <v>BUS-X 201</v>
          </cell>
          <cell r="K2352" t="str">
            <v>Robbins,Chris G</v>
          </cell>
          <cell r="N2352">
            <v>3.2480000000000002</v>
          </cell>
          <cell r="O2352">
            <v>3.3159999999999998</v>
          </cell>
        </row>
        <row r="2353">
          <cell r="E2353" t="str">
            <v>BUS</v>
          </cell>
          <cell r="F2353" t="str">
            <v xml:space="preserve">BUS-X </v>
          </cell>
          <cell r="G2353">
            <v>201</v>
          </cell>
          <cell r="H2353" t="str">
            <v>BUS-X 201</v>
          </cell>
          <cell r="K2353" t="str">
            <v>Robbins,Chris G</v>
          </cell>
          <cell r="N2353">
            <v>3.2109999999999999</v>
          </cell>
          <cell r="O2353">
            <v>3.2090000000000001</v>
          </cell>
        </row>
        <row r="2354">
          <cell r="E2354" t="str">
            <v>BUS</v>
          </cell>
          <cell r="F2354" t="str">
            <v xml:space="preserve">BUS-X </v>
          </cell>
          <cell r="G2354">
            <v>201</v>
          </cell>
          <cell r="H2354" t="str">
            <v>BUS-X 201</v>
          </cell>
          <cell r="K2354" t="str">
            <v>Robbins,Chris G</v>
          </cell>
          <cell r="N2354">
            <v>3.355</v>
          </cell>
          <cell r="O2354">
            <v>3.3</v>
          </cell>
        </row>
        <row r="2355">
          <cell r="E2355" t="str">
            <v>BUS</v>
          </cell>
          <cell r="F2355" t="str">
            <v xml:space="preserve">BUS-X </v>
          </cell>
          <cell r="G2355">
            <v>201</v>
          </cell>
          <cell r="H2355" t="str">
            <v>BUS-X 201</v>
          </cell>
          <cell r="K2355" t="str">
            <v>Robbins,Chris G</v>
          </cell>
          <cell r="N2355">
            <v>3.44</v>
          </cell>
          <cell r="O2355">
            <v>3.4169999999999998</v>
          </cell>
        </row>
        <row r="2356">
          <cell r="E2356" t="str">
            <v>BUS</v>
          </cell>
          <cell r="F2356" t="str">
            <v xml:space="preserve">BUS-X </v>
          </cell>
          <cell r="G2356">
            <v>201</v>
          </cell>
          <cell r="H2356" t="str">
            <v>BUS-X 201</v>
          </cell>
          <cell r="K2356" t="str">
            <v>Robbins,Chris G</v>
          </cell>
          <cell r="N2356">
            <v>3.238</v>
          </cell>
          <cell r="O2356">
            <v>3.3359999999999999</v>
          </cell>
        </row>
        <row r="2357">
          <cell r="E2357" t="str">
            <v>BUS</v>
          </cell>
          <cell r="F2357" t="str">
            <v xml:space="preserve">BUS-X </v>
          </cell>
          <cell r="G2357">
            <v>201</v>
          </cell>
          <cell r="H2357" t="str">
            <v>BUS-X 201</v>
          </cell>
          <cell r="K2357" t="str">
            <v>Robbins,Chris G</v>
          </cell>
          <cell r="N2357">
            <v>3.4660000000000002</v>
          </cell>
          <cell r="O2357">
            <v>3.3610000000000002</v>
          </cell>
        </row>
        <row r="2358">
          <cell r="E2358" t="str">
            <v>BUS</v>
          </cell>
          <cell r="F2358" t="str">
            <v xml:space="preserve">BUS-X </v>
          </cell>
          <cell r="G2358">
            <v>201</v>
          </cell>
          <cell r="H2358" t="str">
            <v>BUS-X 201</v>
          </cell>
          <cell r="K2358" t="str">
            <v>Sherry,Sarah F</v>
          </cell>
          <cell r="N2358">
            <v>3.327</v>
          </cell>
          <cell r="O2358">
            <v>3.4750000000000001</v>
          </cell>
        </row>
        <row r="2359">
          <cell r="E2359" t="str">
            <v>BUS</v>
          </cell>
          <cell r="F2359" t="str">
            <v xml:space="preserve">BUS-X </v>
          </cell>
          <cell r="G2359">
            <v>201</v>
          </cell>
          <cell r="H2359" t="str">
            <v>BUS-X 201</v>
          </cell>
          <cell r="K2359" t="str">
            <v>Sherry,Sarah F</v>
          </cell>
          <cell r="N2359">
            <v>3.3450000000000002</v>
          </cell>
          <cell r="O2359">
            <v>3.4060000000000001</v>
          </cell>
        </row>
        <row r="2360">
          <cell r="E2360" t="str">
            <v>BUS</v>
          </cell>
          <cell r="F2360" t="str">
            <v xml:space="preserve">BUS-X </v>
          </cell>
          <cell r="G2360">
            <v>201</v>
          </cell>
          <cell r="H2360" t="str">
            <v>BUS-X 201</v>
          </cell>
          <cell r="K2360" t="str">
            <v>Sherry,Sarah F</v>
          </cell>
          <cell r="N2360">
            <v>3.2519999999999998</v>
          </cell>
          <cell r="O2360">
            <v>3.363</v>
          </cell>
        </row>
        <row r="2361">
          <cell r="E2361" t="str">
            <v>BUS</v>
          </cell>
          <cell r="F2361" t="str">
            <v xml:space="preserve">BUS-X </v>
          </cell>
          <cell r="G2361">
            <v>201</v>
          </cell>
          <cell r="H2361" t="str">
            <v>BUS-X 201</v>
          </cell>
          <cell r="K2361" t="str">
            <v>Sherry,Sarah F</v>
          </cell>
          <cell r="N2361">
            <v>3.2130000000000001</v>
          </cell>
          <cell r="O2361">
            <v>3.4060000000000001</v>
          </cell>
        </row>
        <row r="2362">
          <cell r="E2362" t="str">
            <v>BUS</v>
          </cell>
          <cell r="F2362" t="str">
            <v xml:space="preserve">BUS-X </v>
          </cell>
          <cell r="G2362">
            <v>201</v>
          </cell>
          <cell r="H2362" t="str">
            <v>BUS-X 201</v>
          </cell>
          <cell r="K2362" t="str">
            <v>Sherry,Sarah F</v>
          </cell>
          <cell r="N2362">
            <v>3.3</v>
          </cell>
          <cell r="O2362">
            <v>3.4220000000000002</v>
          </cell>
        </row>
        <row r="2363">
          <cell r="E2363" t="str">
            <v>BUS</v>
          </cell>
          <cell r="F2363" t="str">
            <v xml:space="preserve">BUS-X </v>
          </cell>
          <cell r="G2363">
            <v>201</v>
          </cell>
          <cell r="H2363" t="str">
            <v>BUS-X 201</v>
          </cell>
          <cell r="K2363" t="str">
            <v>Sherry,Sarah F</v>
          </cell>
          <cell r="N2363">
            <v>3.4689999999999999</v>
          </cell>
          <cell r="O2363">
            <v>3.3849999999999998</v>
          </cell>
        </row>
        <row r="2364">
          <cell r="E2364" t="str">
            <v>BUS</v>
          </cell>
          <cell r="F2364" t="str">
            <v xml:space="preserve">BUS-X </v>
          </cell>
          <cell r="G2364">
            <v>201</v>
          </cell>
          <cell r="H2364" t="str">
            <v>BUS-X 201</v>
          </cell>
          <cell r="K2364" t="str">
            <v>Sherry,Sarah F</v>
          </cell>
          <cell r="N2364">
            <v>3.2389999999999999</v>
          </cell>
          <cell r="O2364">
            <v>3.387</v>
          </cell>
        </row>
        <row r="2365">
          <cell r="E2365" t="str">
            <v>BUS</v>
          </cell>
          <cell r="F2365" t="str">
            <v xml:space="preserve">BUS-X </v>
          </cell>
          <cell r="G2365">
            <v>201</v>
          </cell>
          <cell r="H2365" t="str">
            <v>BUS-X 201</v>
          </cell>
          <cell r="K2365" t="str">
            <v>Sherry,Sarah F</v>
          </cell>
          <cell r="N2365">
            <v>3.1739999999999999</v>
          </cell>
          <cell r="O2365">
            <v>3.3660000000000001</v>
          </cell>
        </row>
        <row r="2366">
          <cell r="E2366" t="str">
            <v>BUS</v>
          </cell>
          <cell r="F2366" t="str">
            <v xml:space="preserve">BUS-X </v>
          </cell>
          <cell r="G2366">
            <v>201</v>
          </cell>
          <cell r="H2366" t="str">
            <v>BUS-X 201</v>
          </cell>
          <cell r="K2366" t="str">
            <v>Sherry,Sarah F</v>
          </cell>
          <cell r="N2366">
            <v>3.383</v>
          </cell>
          <cell r="O2366">
            <v>3.3679999999999999</v>
          </cell>
        </row>
        <row r="2367">
          <cell r="E2367" t="str">
            <v>BUS</v>
          </cell>
          <cell r="F2367" t="str">
            <v xml:space="preserve">BUS-X </v>
          </cell>
          <cell r="G2367">
            <v>202</v>
          </cell>
          <cell r="H2367" t="str">
            <v>BUS-X 202</v>
          </cell>
          <cell r="K2367" t="str">
            <v>Hu,Xinxin</v>
          </cell>
          <cell r="N2367">
            <v>3.8</v>
          </cell>
          <cell r="O2367">
            <v>3.7360000000000002</v>
          </cell>
        </row>
        <row r="2368">
          <cell r="E2368" t="str">
            <v>BUS</v>
          </cell>
          <cell r="F2368" t="str">
            <v xml:space="preserve">BUS-X </v>
          </cell>
          <cell r="G2368">
            <v>202</v>
          </cell>
          <cell r="H2368" t="str">
            <v>BUS-X 202</v>
          </cell>
          <cell r="K2368" t="str">
            <v>Hu,Xinxin</v>
          </cell>
          <cell r="N2368">
            <v>3.8969999999999998</v>
          </cell>
          <cell r="O2368">
            <v>3.7669999999999999</v>
          </cell>
        </row>
        <row r="2369">
          <cell r="E2369" t="str">
            <v>BUS</v>
          </cell>
          <cell r="F2369" t="str">
            <v xml:space="preserve">BUS-X </v>
          </cell>
          <cell r="G2369">
            <v>202</v>
          </cell>
          <cell r="H2369" t="str">
            <v>BUS-X 202</v>
          </cell>
          <cell r="K2369" t="str">
            <v>Serex,Paul</v>
          </cell>
          <cell r="N2369">
            <v>3.5590000000000002</v>
          </cell>
          <cell r="O2369">
            <v>3.69</v>
          </cell>
        </row>
        <row r="2370">
          <cell r="E2370" t="str">
            <v>BUS</v>
          </cell>
          <cell r="F2370" t="str">
            <v xml:space="preserve">BUS-X </v>
          </cell>
          <cell r="G2370">
            <v>202</v>
          </cell>
          <cell r="H2370" t="str">
            <v>BUS-X 202</v>
          </cell>
          <cell r="K2370" t="str">
            <v>Serex,Paul</v>
          </cell>
          <cell r="N2370">
            <v>3.5390000000000001</v>
          </cell>
          <cell r="O2370">
            <v>3.6619999999999999</v>
          </cell>
        </row>
        <row r="2371">
          <cell r="E2371" t="str">
            <v>BUS</v>
          </cell>
          <cell r="F2371" t="str">
            <v xml:space="preserve">BUS-X </v>
          </cell>
          <cell r="G2371">
            <v>202</v>
          </cell>
          <cell r="H2371" t="str">
            <v>BUS-X 202</v>
          </cell>
          <cell r="K2371" t="str">
            <v>Serex,Paul</v>
          </cell>
          <cell r="N2371">
            <v>3.6629999999999998</v>
          </cell>
          <cell r="O2371">
            <v>3.738</v>
          </cell>
        </row>
        <row r="2372">
          <cell r="E2372" t="str">
            <v>BUS</v>
          </cell>
          <cell r="F2372" t="str">
            <v xml:space="preserve">BUS-X </v>
          </cell>
          <cell r="G2372">
            <v>202</v>
          </cell>
          <cell r="H2372" t="str">
            <v>BUS-X 202</v>
          </cell>
          <cell r="K2372" t="str">
            <v>Serex,Paul</v>
          </cell>
          <cell r="N2372">
            <v>3.61</v>
          </cell>
          <cell r="O2372">
            <v>3.7370000000000001</v>
          </cell>
        </row>
        <row r="2373">
          <cell r="E2373" t="str">
            <v>BUS</v>
          </cell>
          <cell r="F2373" t="str">
            <v xml:space="preserve">BUS-X </v>
          </cell>
          <cell r="G2373">
            <v>202</v>
          </cell>
          <cell r="H2373" t="str">
            <v>BUS-X 202</v>
          </cell>
          <cell r="K2373" t="str">
            <v>Serex,Paul</v>
          </cell>
          <cell r="N2373">
            <v>3.7269999999999999</v>
          </cell>
          <cell r="O2373">
            <v>3.66</v>
          </cell>
        </row>
        <row r="2374">
          <cell r="E2374" t="str">
            <v>BUS</v>
          </cell>
          <cell r="F2374" t="str">
            <v xml:space="preserve">BUS-X </v>
          </cell>
          <cell r="G2374">
            <v>204</v>
          </cell>
          <cell r="H2374" t="str">
            <v>BUS-X 204</v>
          </cell>
          <cell r="K2374" t="str">
            <v>Barwick,Clark</v>
          </cell>
          <cell r="N2374">
            <v>3.585</v>
          </cell>
          <cell r="O2374">
            <v>3.2029999999999998</v>
          </cell>
        </row>
        <row r="2375">
          <cell r="E2375" t="str">
            <v>BUS</v>
          </cell>
          <cell r="F2375" t="str">
            <v xml:space="preserve">BUS-X </v>
          </cell>
          <cell r="G2375">
            <v>204</v>
          </cell>
          <cell r="H2375" t="str">
            <v>BUS-X 204</v>
          </cell>
          <cell r="K2375" t="str">
            <v>Barwick,Clark</v>
          </cell>
          <cell r="N2375">
            <v>3.4140000000000001</v>
          </cell>
          <cell r="O2375">
            <v>3.254</v>
          </cell>
        </row>
        <row r="2376">
          <cell r="E2376" t="str">
            <v>BUS</v>
          </cell>
          <cell r="F2376" t="str">
            <v xml:space="preserve">BUS-X </v>
          </cell>
          <cell r="G2376">
            <v>204</v>
          </cell>
          <cell r="H2376" t="str">
            <v>BUS-X 204</v>
          </cell>
          <cell r="K2376" t="str">
            <v>Barwick,Clark</v>
          </cell>
          <cell r="N2376">
            <v>3.5409999999999999</v>
          </cell>
          <cell r="O2376">
            <v>3.2</v>
          </cell>
        </row>
        <row r="2377">
          <cell r="E2377" t="str">
            <v>BUS</v>
          </cell>
          <cell r="F2377" t="str">
            <v xml:space="preserve">BUS-X </v>
          </cell>
          <cell r="G2377">
            <v>204</v>
          </cell>
          <cell r="H2377" t="str">
            <v>BUS-X 204</v>
          </cell>
          <cell r="K2377" t="str">
            <v>Easton,Anna Lou</v>
          </cell>
          <cell r="N2377">
            <v>3.4079999999999999</v>
          </cell>
          <cell r="O2377">
            <v>3.1560000000000001</v>
          </cell>
        </row>
        <row r="2378">
          <cell r="E2378" t="str">
            <v>BUS</v>
          </cell>
          <cell r="F2378" t="str">
            <v xml:space="preserve">BUS-X </v>
          </cell>
          <cell r="G2378">
            <v>204</v>
          </cell>
          <cell r="H2378" t="str">
            <v>BUS-X 204</v>
          </cell>
          <cell r="K2378" t="str">
            <v>Easton,Anna Lou</v>
          </cell>
          <cell r="N2378">
            <v>3.5859999999999999</v>
          </cell>
          <cell r="O2378">
            <v>3.1190000000000002</v>
          </cell>
        </row>
        <row r="2379">
          <cell r="E2379" t="str">
            <v>BUS</v>
          </cell>
          <cell r="F2379" t="str">
            <v xml:space="preserve">BUS-X </v>
          </cell>
          <cell r="G2379">
            <v>204</v>
          </cell>
          <cell r="H2379" t="str">
            <v>BUS-X 204</v>
          </cell>
          <cell r="K2379" t="str">
            <v>Easton,Anna Lou</v>
          </cell>
          <cell r="N2379">
            <v>3.3180000000000001</v>
          </cell>
          <cell r="O2379">
            <v>3.0350000000000001</v>
          </cell>
        </row>
        <row r="2380">
          <cell r="E2380" t="str">
            <v>BUS</v>
          </cell>
          <cell r="F2380" t="str">
            <v xml:space="preserve">BUS-X </v>
          </cell>
          <cell r="G2380">
            <v>204</v>
          </cell>
          <cell r="H2380" t="str">
            <v>BUS-X 204</v>
          </cell>
          <cell r="K2380" t="str">
            <v>Goddin,Jeffrey K.</v>
          </cell>
          <cell r="N2380">
            <v>3.5430000000000001</v>
          </cell>
          <cell r="O2380">
            <v>3.31</v>
          </cell>
        </row>
        <row r="2381">
          <cell r="E2381" t="str">
            <v>BUS</v>
          </cell>
          <cell r="F2381" t="str">
            <v xml:space="preserve">BUS-X </v>
          </cell>
          <cell r="G2381">
            <v>204</v>
          </cell>
          <cell r="H2381" t="str">
            <v>BUS-X 204</v>
          </cell>
          <cell r="K2381" t="str">
            <v>Heidewald,Jeanette Lynne</v>
          </cell>
          <cell r="N2381">
            <v>3.4</v>
          </cell>
          <cell r="O2381">
            <v>3.266</v>
          </cell>
        </row>
        <row r="2382">
          <cell r="E2382" t="str">
            <v>BUS</v>
          </cell>
          <cell r="F2382" t="str">
            <v xml:space="preserve">BUS-X </v>
          </cell>
          <cell r="G2382">
            <v>204</v>
          </cell>
          <cell r="H2382" t="str">
            <v>BUS-X 204</v>
          </cell>
          <cell r="K2382" t="str">
            <v>Heidewald,Jeanette Lynne</v>
          </cell>
          <cell r="N2382">
            <v>3.3439999999999999</v>
          </cell>
          <cell r="O2382">
            <v>3.0779999999999998</v>
          </cell>
        </row>
        <row r="2383">
          <cell r="E2383" t="str">
            <v>BUS</v>
          </cell>
          <cell r="F2383" t="str">
            <v xml:space="preserve">BUS-X </v>
          </cell>
          <cell r="G2383">
            <v>204</v>
          </cell>
          <cell r="H2383" t="str">
            <v>BUS-X 204</v>
          </cell>
          <cell r="K2383" t="str">
            <v>Holt,Lanier Frush</v>
          </cell>
          <cell r="N2383">
            <v>3.1960000000000002</v>
          </cell>
          <cell r="O2383">
            <v>3.056</v>
          </cell>
        </row>
        <row r="2384">
          <cell r="E2384" t="str">
            <v>BUS</v>
          </cell>
          <cell r="F2384" t="str">
            <v xml:space="preserve">BUS-X </v>
          </cell>
          <cell r="G2384">
            <v>204</v>
          </cell>
          <cell r="H2384" t="str">
            <v>BUS-X 204</v>
          </cell>
          <cell r="K2384" t="str">
            <v>Holt,Lanier Frush</v>
          </cell>
          <cell r="N2384">
            <v>3.4220000000000002</v>
          </cell>
          <cell r="O2384">
            <v>2.9980000000000002</v>
          </cell>
        </row>
        <row r="2385">
          <cell r="E2385" t="str">
            <v>BUS</v>
          </cell>
          <cell r="F2385" t="str">
            <v xml:space="preserve">BUS-X </v>
          </cell>
          <cell r="G2385">
            <v>204</v>
          </cell>
          <cell r="H2385" t="str">
            <v>BUS-X 204</v>
          </cell>
          <cell r="K2385" t="str">
            <v>Holt,Lanier Frush</v>
          </cell>
          <cell r="N2385">
            <v>3.5449999999999999</v>
          </cell>
          <cell r="O2385">
            <v>3.133</v>
          </cell>
        </row>
        <row r="2386">
          <cell r="E2386" t="str">
            <v>BUS</v>
          </cell>
          <cell r="F2386" t="str">
            <v xml:space="preserve">BUS-X </v>
          </cell>
          <cell r="G2386">
            <v>204</v>
          </cell>
          <cell r="H2386" t="str">
            <v>BUS-X 204</v>
          </cell>
          <cell r="K2386" t="str">
            <v>Mc Nellen,Brenda M</v>
          </cell>
          <cell r="N2386">
            <v>3.2549999999999999</v>
          </cell>
          <cell r="O2386">
            <v>3.153</v>
          </cell>
        </row>
        <row r="2387">
          <cell r="E2387" t="str">
            <v>BUS</v>
          </cell>
          <cell r="F2387" t="str">
            <v xml:space="preserve">BUS-X </v>
          </cell>
          <cell r="G2387">
            <v>204</v>
          </cell>
          <cell r="H2387" t="str">
            <v>BUS-X 204</v>
          </cell>
          <cell r="K2387" t="str">
            <v>Mc Nellen,Brenda M</v>
          </cell>
          <cell r="N2387">
            <v>3.2759999999999998</v>
          </cell>
          <cell r="O2387">
            <v>3.21</v>
          </cell>
        </row>
        <row r="2388">
          <cell r="E2388" t="str">
            <v>BUS</v>
          </cell>
          <cell r="F2388" t="str">
            <v xml:space="preserve">BUS-X </v>
          </cell>
          <cell r="G2388">
            <v>204</v>
          </cell>
          <cell r="H2388" t="str">
            <v>BUS-X 204</v>
          </cell>
          <cell r="K2388" t="str">
            <v>Meunier,John F</v>
          </cell>
          <cell r="N2388">
            <v>3.6480000000000001</v>
          </cell>
          <cell r="O2388">
            <v>3.351</v>
          </cell>
        </row>
        <row r="2389">
          <cell r="E2389" t="str">
            <v>BUS</v>
          </cell>
          <cell r="F2389" t="str">
            <v xml:space="preserve">BUS-X </v>
          </cell>
          <cell r="G2389">
            <v>204</v>
          </cell>
          <cell r="H2389" t="str">
            <v>BUS-X 204</v>
          </cell>
          <cell r="K2389" t="str">
            <v>Meunier,John F</v>
          </cell>
          <cell r="N2389">
            <v>3.548</v>
          </cell>
          <cell r="O2389">
            <v>3.218</v>
          </cell>
        </row>
        <row r="2390">
          <cell r="E2390" t="str">
            <v>BUS</v>
          </cell>
          <cell r="F2390" t="str">
            <v xml:space="preserve">BUS-X </v>
          </cell>
          <cell r="G2390">
            <v>204</v>
          </cell>
          <cell r="H2390" t="str">
            <v>BUS-X 204</v>
          </cell>
          <cell r="K2390" t="str">
            <v>Meunier,John F</v>
          </cell>
          <cell r="N2390">
            <v>3.55</v>
          </cell>
          <cell r="O2390">
            <v>3.335</v>
          </cell>
        </row>
        <row r="2391">
          <cell r="E2391" t="str">
            <v>BUS</v>
          </cell>
          <cell r="F2391" t="str">
            <v xml:space="preserve">BUS-X </v>
          </cell>
          <cell r="G2391">
            <v>204</v>
          </cell>
          <cell r="H2391" t="str">
            <v>BUS-X 204</v>
          </cell>
          <cell r="K2391" t="str">
            <v>Meunier,John F</v>
          </cell>
          <cell r="N2391">
            <v>3.6269999999999998</v>
          </cell>
          <cell r="O2391">
            <v>3.3290000000000002</v>
          </cell>
        </row>
        <row r="2392">
          <cell r="E2392" t="str">
            <v>BUS</v>
          </cell>
          <cell r="F2392" t="str">
            <v xml:space="preserve">BUS-X </v>
          </cell>
          <cell r="G2392">
            <v>204</v>
          </cell>
          <cell r="H2392" t="str">
            <v>BUS-X 204</v>
          </cell>
          <cell r="K2392" t="str">
            <v>Morrone,Michael C</v>
          </cell>
          <cell r="N2392">
            <v>3.5089999999999999</v>
          </cell>
          <cell r="O2392">
            <v>3.3029999999999999</v>
          </cell>
        </row>
        <row r="2393">
          <cell r="E2393" t="str">
            <v>BUS</v>
          </cell>
          <cell r="F2393" t="str">
            <v xml:space="preserve">BUS-X </v>
          </cell>
          <cell r="G2393">
            <v>204</v>
          </cell>
          <cell r="H2393" t="str">
            <v>BUS-X 204</v>
          </cell>
          <cell r="K2393" t="str">
            <v>Morrone,Michael C</v>
          </cell>
          <cell r="N2393">
            <v>3.5870000000000002</v>
          </cell>
          <cell r="O2393">
            <v>3.415</v>
          </cell>
        </row>
        <row r="2394">
          <cell r="E2394" t="str">
            <v>BUS</v>
          </cell>
          <cell r="F2394" t="str">
            <v xml:space="preserve">BUS-X </v>
          </cell>
          <cell r="G2394">
            <v>204</v>
          </cell>
          <cell r="H2394" t="str">
            <v>BUS-X 204</v>
          </cell>
          <cell r="K2394" t="str">
            <v>Morrone,Michael C</v>
          </cell>
          <cell r="N2394">
            <v>3.4740000000000002</v>
          </cell>
          <cell r="O2394">
            <v>3.3849999999999998</v>
          </cell>
        </row>
        <row r="2395">
          <cell r="E2395" t="str">
            <v>BUS</v>
          </cell>
          <cell r="F2395" t="str">
            <v xml:space="preserve">BUS-X </v>
          </cell>
          <cell r="G2395">
            <v>204</v>
          </cell>
          <cell r="H2395" t="str">
            <v>BUS-X 204</v>
          </cell>
          <cell r="K2395" t="str">
            <v>Neal,Carter Elliott</v>
          </cell>
          <cell r="N2395">
            <v>3.3620000000000001</v>
          </cell>
          <cell r="O2395">
            <v>3.07</v>
          </cell>
        </row>
        <row r="2396">
          <cell r="E2396" t="str">
            <v>BUS</v>
          </cell>
          <cell r="F2396" t="str">
            <v xml:space="preserve">BUS-X </v>
          </cell>
          <cell r="G2396">
            <v>204</v>
          </cell>
          <cell r="H2396" t="str">
            <v>BUS-X 204</v>
          </cell>
          <cell r="K2396" t="str">
            <v>Neal,Carter Elliott</v>
          </cell>
          <cell r="N2396">
            <v>3.3959999999999999</v>
          </cell>
          <cell r="O2396">
            <v>3.2959999999999998</v>
          </cell>
        </row>
        <row r="2397">
          <cell r="E2397" t="str">
            <v>BUS</v>
          </cell>
          <cell r="F2397" t="str">
            <v xml:space="preserve">BUS-X </v>
          </cell>
          <cell r="G2397">
            <v>204</v>
          </cell>
          <cell r="H2397" t="str">
            <v>BUS-X 204</v>
          </cell>
          <cell r="K2397" t="str">
            <v>Neal,Carter Elliott</v>
          </cell>
          <cell r="N2397">
            <v>3.15</v>
          </cell>
          <cell r="O2397">
            <v>3.206</v>
          </cell>
        </row>
        <row r="2398">
          <cell r="E2398" t="str">
            <v>BUS</v>
          </cell>
          <cell r="F2398" t="str">
            <v xml:space="preserve">BUS-X </v>
          </cell>
          <cell r="G2398">
            <v>204</v>
          </cell>
          <cell r="H2398" t="str">
            <v>BUS-X 204</v>
          </cell>
          <cell r="K2398" t="str">
            <v>Neher,Darryl Richard</v>
          </cell>
          <cell r="N2398">
            <v>3</v>
          </cell>
          <cell r="O2398">
            <v>3.1160000000000001</v>
          </cell>
        </row>
        <row r="2399">
          <cell r="E2399" t="str">
            <v>BUS</v>
          </cell>
          <cell r="F2399" t="str">
            <v xml:space="preserve">BUS-X </v>
          </cell>
          <cell r="G2399">
            <v>204</v>
          </cell>
          <cell r="H2399" t="str">
            <v>BUS-X 204</v>
          </cell>
          <cell r="K2399" t="str">
            <v>Ryan,Katherine C</v>
          </cell>
          <cell r="N2399">
            <v>3.3479999999999999</v>
          </cell>
          <cell r="O2399">
            <v>3.3639999999999999</v>
          </cell>
        </row>
        <row r="2400">
          <cell r="E2400" t="str">
            <v>BUS</v>
          </cell>
          <cell r="F2400" t="str">
            <v xml:space="preserve">BUS-X </v>
          </cell>
          <cell r="G2400">
            <v>204</v>
          </cell>
          <cell r="H2400" t="str">
            <v>BUS-X 204</v>
          </cell>
          <cell r="K2400" t="str">
            <v>Ryan,Katherine C</v>
          </cell>
          <cell r="N2400">
            <v>3.7</v>
          </cell>
          <cell r="O2400">
            <v>3.6240000000000001</v>
          </cell>
        </row>
        <row r="2401">
          <cell r="E2401" t="str">
            <v>BUS</v>
          </cell>
          <cell r="F2401" t="str">
            <v xml:space="preserve">BUS-X </v>
          </cell>
          <cell r="G2401">
            <v>204</v>
          </cell>
          <cell r="H2401" t="str">
            <v>BUS-X 204</v>
          </cell>
          <cell r="K2401" t="str">
            <v>Ryan,Katherine C</v>
          </cell>
          <cell r="N2401">
            <v>3.609</v>
          </cell>
          <cell r="O2401">
            <v>3.4489999999999998</v>
          </cell>
        </row>
        <row r="2402">
          <cell r="E2402" t="str">
            <v>BUS</v>
          </cell>
          <cell r="F2402" t="str">
            <v xml:space="preserve">BUS-X </v>
          </cell>
          <cell r="G2402">
            <v>204</v>
          </cell>
          <cell r="H2402" t="str">
            <v>BUS-X 204</v>
          </cell>
          <cell r="K2402" t="str">
            <v>Schultz,Benjamin</v>
          </cell>
          <cell r="N2402">
            <v>3.3540000000000001</v>
          </cell>
          <cell r="O2402">
            <v>3.2930000000000001</v>
          </cell>
        </row>
        <row r="2403">
          <cell r="E2403" t="str">
            <v>BUS</v>
          </cell>
          <cell r="F2403" t="str">
            <v xml:space="preserve">BUS-X </v>
          </cell>
          <cell r="G2403">
            <v>204</v>
          </cell>
          <cell r="H2403" t="str">
            <v>BUS-X 204</v>
          </cell>
          <cell r="K2403" t="str">
            <v>Steiner-Williams,Judy F.</v>
          </cell>
          <cell r="N2403">
            <v>3.2349999999999999</v>
          </cell>
          <cell r="O2403">
            <v>3.2320000000000002</v>
          </cell>
        </row>
        <row r="2404">
          <cell r="E2404" t="str">
            <v>BUS</v>
          </cell>
          <cell r="F2404" t="str">
            <v xml:space="preserve">BUS-X </v>
          </cell>
          <cell r="G2404">
            <v>204</v>
          </cell>
          <cell r="H2404" t="str">
            <v>BUS-X 204</v>
          </cell>
          <cell r="K2404" t="str">
            <v>Steiner-Williams,Judy F.</v>
          </cell>
          <cell r="N2404">
            <v>3.1709999999999998</v>
          </cell>
          <cell r="O2404">
            <v>2.9929999999999999</v>
          </cell>
        </row>
        <row r="2405">
          <cell r="E2405" t="str">
            <v>BUS</v>
          </cell>
          <cell r="F2405" t="str">
            <v xml:space="preserve">BUS-X </v>
          </cell>
          <cell r="G2405">
            <v>204</v>
          </cell>
          <cell r="H2405" t="str">
            <v>BUS-X 204</v>
          </cell>
          <cell r="K2405" t="str">
            <v>Steiner-Williams,Judy F.</v>
          </cell>
          <cell r="N2405">
            <v>3.3559999999999999</v>
          </cell>
          <cell r="O2405">
            <v>2.996</v>
          </cell>
        </row>
        <row r="2406">
          <cell r="E2406" t="str">
            <v>BUS</v>
          </cell>
          <cell r="F2406" t="str">
            <v xml:space="preserve">BUS-X </v>
          </cell>
          <cell r="G2406">
            <v>204</v>
          </cell>
          <cell r="H2406" t="str">
            <v>BUS-X 204</v>
          </cell>
          <cell r="K2406" t="str">
            <v>Steiner-Williams,Judy F.</v>
          </cell>
          <cell r="N2406">
            <v>3.0790000000000002</v>
          </cell>
          <cell r="O2406">
            <v>3.1739999999999999</v>
          </cell>
        </row>
        <row r="2407">
          <cell r="E2407" t="str">
            <v>BUS</v>
          </cell>
          <cell r="F2407" t="str">
            <v xml:space="preserve">BUS-X </v>
          </cell>
          <cell r="G2407">
            <v>204</v>
          </cell>
          <cell r="H2407" t="str">
            <v>BUS-X 204</v>
          </cell>
          <cell r="K2407" t="str">
            <v>Storey,James Benjamin</v>
          </cell>
          <cell r="N2407">
            <v>3.6</v>
          </cell>
          <cell r="O2407">
            <v>3.38</v>
          </cell>
        </row>
        <row r="2408">
          <cell r="E2408" t="str">
            <v>BUS</v>
          </cell>
          <cell r="F2408" t="str">
            <v xml:space="preserve">BUS-X </v>
          </cell>
          <cell r="G2408">
            <v>204</v>
          </cell>
          <cell r="H2408" t="str">
            <v>BUS-X 204</v>
          </cell>
          <cell r="K2408" t="str">
            <v>Storey,James Benjamin</v>
          </cell>
          <cell r="N2408">
            <v>3.4289999999999998</v>
          </cell>
          <cell r="O2408">
            <v>3.4329999999999998</v>
          </cell>
        </row>
        <row r="2409">
          <cell r="E2409" t="str">
            <v>BUS</v>
          </cell>
          <cell r="F2409" t="str">
            <v xml:space="preserve">BUS-X </v>
          </cell>
          <cell r="G2409">
            <v>204</v>
          </cell>
          <cell r="H2409" t="str">
            <v>BUS-X 204</v>
          </cell>
          <cell r="K2409" t="str">
            <v>Storey,James Benjamin</v>
          </cell>
          <cell r="N2409">
            <v>3.355</v>
          </cell>
          <cell r="O2409">
            <v>3.331</v>
          </cell>
        </row>
        <row r="2410">
          <cell r="E2410" t="str">
            <v>BUS</v>
          </cell>
          <cell r="F2410" t="str">
            <v xml:space="preserve">BUS-X </v>
          </cell>
          <cell r="G2410">
            <v>205</v>
          </cell>
          <cell r="H2410" t="str">
            <v>BUS-X 205</v>
          </cell>
          <cell r="K2410" t="str">
            <v>Heidewald,Jeanette Lynne</v>
          </cell>
          <cell r="N2410">
            <v>3.871</v>
          </cell>
          <cell r="O2410">
            <v>3.7890000000000001</v>
          </cell>
        </row>
        <row r="2411">
          <cell r="E2411" t="str">
            <v>BUS</v>
          </cell>
          <cell r="F2411" t="str">
            <v xml:space="preserve">BUS-X </v>
          </cell>
          <cell r="G2411">
            <v>205</v>
          </cell>
          <cell r="H2411" t="str">
            <v>BUS-X 205</v>
          </cell>
          <cell r="K2411" t="str">
            <v>Neher,Darryl Richard</v>
          </cell>
          <cell r="N2411">
            <v>3.7080000000000002</v>
          </cell>
          <cell r="O2411">
            <v>3.7090000000000001</v>
          </cell>
        </row>
        <row r="2412">
          <cell r="E2412" t="str">
            <v>BUS</v>
          </cell>
          <cell r="F2412" t="str">
            <v xml:space="preserve">BUS-X </v>
          </cell>
          <cell r="G2412">
            <v>205</v>
          </cell>
          <cell r="H2412" t="str">
            <v>BUS-X 205</v>
          </cell>
          <cell r="K2412" t="str">
            <v>Neher,Darryl Richard</v>
          </cell>
          <cell r="N2412">
            <v>3.7949999999999999</v>
          </cell>
          <cell r="O2412">
            <v>3.8260000000000001</v>
          </cell>
        </row>
        <row r="2413">
          <cell r="E2413" t="str">
            <v>BUS</v>
          </cell>
          <cell r="F2413" t="str">
            <v xml:space="preserve">BUS-X </v>
          </cell>
          <cell r="G2413">
            <v>220</v>
          </cell>
          <cell r="H2413" t="str">
            <v>BUS-X 220</v>
          </cell>
          <cell r="K2413" t="str">
            <v>Dayton,Keith Gelarden</v>
          </cell>
          <cell r="N2413">
            <v>3.8759999999999999</v>
          </cell>
          <cell r="O2413">
            <v>3.4119999999999999</v>
          </cell>
        </row>
        <row r="2414">
          <cell r="E2414" t="str">
            <v>BUS</v>
          </cell>
          <cell r="F2414" t="str">
            <v xml:space="preserve">BUS-X </v>
          </cell>
          <cell r="G2414">
            <v>220</v>
          </cell>
          <cell r="H2414" t="str">
            <v>BUS-X 220</v>
          </cell>
          <cell r="K2414" t="str">
            <v>Dayton,Keith Gelarden</v>
          </cell>
          <cell r="N2414">
            <v>3.79</v>
          </cell>
          <cell r="O2414">
            <v>3.3519999999999999</v>
          </cell>
        </row>
        <row r="2415">
          <cell r="E2415" t="str">
            <v>BUS</v>
          </cell>
          <cell r="F2415" t="str">
            <v xml:space="preserve">BUS-X </v>
          </cell>
          <cell r="G2415">
            <v>220</v>
          </cell>
          <cell r="H2415" t="str">
            <v>BUS-X 220</v>
          </cell>
          <cell r="K2415" t="str">
            <v>Dayton,Keith Gelarden</v>
          </cell>
          <cell r="N2415">
            <v>3.86</v>
          </cell>
          <cell r="O2415">
            <v>3.375</v>
          </cell>
        </row>
        <row r="2416">
          <cell r="E2416" t="str">
            <v>BUS</v>
          </cell>
          <cell r="F2416" t="str">
            <v xml:space="preserve">BUS-X </v>
          </cell>
          <cell r="G2416">
            <v>220</v>
          </cell>
          <cell r="H2416" t="str">
            <v>BUS-X 220</v>
          </cell>
          <cell r="K2416" t="str">
            <v>Dayton,Keith Gelarden</v>
          </cell>
          <cell r="N2416">
            <v>3.8820000000000001</v>
          </cell>
          <cell r="O2416">
            <v>3.4129999999999998</v>
          </cell>
        </row>
        <row r="2417">
          <cell r="E2417" t="str">
            <v>BUS</v>
          </cell>
          <cell r="F2417" t="str">
            <v xml:space="preserve">BUS-X </v>
          </cell>
          <cell r="G2417">
            <v>220</v>
          </cell>
          <cell r="H2417" t="str">
            <v>BUS-X 220</v>
          </cell>
          <cell r="K2417" t="str">
            <v>Dayton,Keith Gelarden</v>
          </cell>
          <cell r="N2417">
            <v>3.8159999999999998</v>
          </cell>
          <cell r="O2417">
            <v>3.3330000000000002</v>
          </cell>
        </row>
        <row r="2418">
          <cell r="E2418" t="str">
            <v>BUS</v>
          </cell>
          <cell r="F2418" t="str">
            <v xml:space="preserve">BUS-X </v>
          </cell>
          <cell r="G2418">
            <v>220</v>
          </cell>
          <cell r="H2418" t="str">
            <v>BUS-X 220</v>
          </cell>
          <cell r="K2418" t="str">
            <v>Dayton,Keith Gelarden</v>
          </cell>
          <cell r="N2418">
            <v>3.8330000000000002</v>
          </cell>
          <cell r="O2418">
            <v>3.2450000000000001</v>
          </cell>
        </row>
        <row r="2419">
          <cell r="E2419" t="str">
            <v>BUS</v>
          </cell>
          <cell r="F2419" t="str">
            <v xml:space="preserve">BUS-X </v>
          </cell>
          <cell r="G2419">
            <v>255</v>
          </cell>
          <cell r="H2419" t="str">
            <v>BUS-X 255</v>
          </cell>
          <cell r="K2419" t="str">
            <v>Heidewald,Jeanette Lynne</v>
          </cell>
          <cell r="N2419">
            <v>3.7269999999999999</v>
          </cell>
          <cell r="O2419">
            <v>3.3069999999999999</v>
          </cell>
        </row>
        <row r="2420">
          <cell r="E2420" t="str">
            <v>BUS</v>
          </cell>
          <cell r="F2420" t="str">
            <v xml:space="preserve">BUS-X </v>
          </cell>
          <cell r="G2420">
            <v>255</v>
          </cell>
          <cell r="H2420" t="str">
            <v>BUS-X 255</v>
          </cell>
          <cell r="K2420" t="str">
            <v>Kolovou,Tatiana Alkiviadis</v>
          </cell>
          <cell r="N2420">
            <v>4</v>
          </cell>
          <cell r="O2420">
            <v>3.68</v>
          </cell>
        </row>
        <row r="2421">
          <cell r="E2421" t="str">
            <v>BUS</v>
          </cell>
          <cell r="F2421" t="str">
            <v xml:space="preserve">BUS-X </v>
          </cell>
          <cell r="G2421">
            <v>255</v>
          </cell>
          <cell r="H2421" t="str">
            <v>BUS-X 255</v>
          </cell>
          <cell r="K2421" t="str">
            <v>Metz,Katie Ann</v>
          </cell>
          <cell r="N2421">
            <v>3.923</v>
          </cell>
          <cell r="O2421">
            <v>3.4649999999999999</v>
          </cell>
        </row>
        <row r="2422">
          <cell r="E2422" t="str">
            <v>BUS</v>
          </cell>
          <cell r="F2422" t="str">
            <v xml:space="preserve">BUS-X </v>
          </cell>
          <cell r="G2422">
            <v>255</v>
          </cell>
          <cell r="H2422" t="str">
            <v>BUS-X 255</v>
          </cell>
          <cell r="K2422" t="str">
            <v>Metz,Katie Ann</v>
          </cell>
          <cell r="N2422">
            <v>3.9430000000000001</v>
          </cell>
          <cell r="O2422">
            <v>3.2469999999999999</v>
          </cell>
        </row>
        <row r="2423">
          <cell r="E2423" t="str">
            <v>BUS</v>
          </cell>
          <cell r="F2423" t="str">
            <v xml:space="preserve">BUS-X </v>
          </cell>
          <cell r="G2423">
            <v>255</v>
          </cell>
          <cell r="H2423" t="str">
            <v>BUS-X 255</v>
          </cell>
          <cell r="K2423" t="str">
            <v>Mora,Juliane Marie</v>
          </cell>
          <cell r="N2423">
            <v>3.081</v>
          </cell>
          <cell r="O2423">
            <v>3.08</v>
          </cell>
        </row>
        <row r="2424">
          <cell r="E2424" t="str">
            <v>BUS</v>
          </cell>
          <cell r="F2424" t="str">
            <v xml:space="preserve">BUS-X </v>
          </cell>
          <cell r="G2424">
            <v>255</v>
          </cell>
          <cell r="H2424" t="str">
            <v>BUS-X 255</v>
          </cell>
          <cell r="K2424" t="str">
            <v>Mora,Juliane Marie</v>
          </cell>
          <cell r="N2424">
            <v>3.3</v>
          </cell>
          <cell r="O2424">
            <v>3.1920000000000002</v>
          </cell>
        </row>
        <row r="2425">
          <cell r="E2425" t="str">
            <v>BUS</v>
          </cell>
          <cell r="F2425" t="str">
            <v xml:space="preserve">BUS-X </v>
          </cell>
          <cell r="G2425">
            <v>255</v>
          </cell>
          <cell r="H2425" t="str">
            <v>BUS-X 255</v>
          </cell>
          <cell r="K2425" t="str">
            <v>Morrone,Michael C</v>
          </cell>
          <cell r="N2425">
            <v>3.8929999999999998</v>
          </cell>
          <cell r="O2425">
            <v>3.44</v>
          </cell>
        </row>
        <row r="2426">
          <cell r="E2426" t="str">
            <v>BUS</v>
          </cell>
          <cell r="F2426" t="str">
            <v xml:space="preserve">BUS-X </v>
          </cell>
          <cell r="G2426">
            <v>255</v>
          </cell>
          <cell r="H2426" t="str">
            <v>BUS-X 255</v>
          </cell>
          <cell r="K2426" t="str">
            <v>Neal,Carter Elliott</v>
          </cell>
          <cell r="N2426">
            <v>3.9340000000000002</v>
          </cell>
          <cell r="O2426">
            <v>3.278</v>
          </cell>
        </row>
        <row r="2427">
          <cell r="E2427" t="str">
            <v>BUS</v>
          </cell>
          <cell r="F2427" t="str">
            <v xml:space="preserve">BUS-X </v>
          </cell>
          <cell r="G2427">
            <v>255</v>
          </cell>
          <cell r="H2427" t="str">
            <v>BUS-X 255</v>
          </cell>
          <cell r="K2427" t="str">
            <v>Neal,Carter Elliott</v>
          </cell>
          <cell r="N2427">
            <v>3.8</v>
          </cell>
          <cell r="O2427">
            <v>3.1150000000000002</v>
          </cell>
        </row>
        <row r="2428">
          <cell r="E2428" t="str">
            <v>BUS</v>
          </cell>
          <cell r="F2428" t="str">
            <v xml:space="preserve">BUS-X </v>
          </cell>
          <cell r="G2428">
            <v>255</v>
          </cell>
          <cell r="H2428" t="str">
            <v>BUS-X 255</v>
          </cell>
          <cell r="K2428" t="str">
            <v>New,Dawn</v>
          </cell>
          <cell r="N2428">
            <v>3.931</v>
          </cell>
          <cell r="O2428">
            <v>3.3650000000000002</v>
          </cell>
        </row>
        <row r="2429">
          <cell r="E2429" t="str">
            <v>BUS</v>
          </cell>
          <cell r="F2429" t="str">
            <v xml:space="preserve">BUS-X </v>
          </cell>
          <cell r="G2429">
            <v>255</v>
          </cell>
          <cell r="H2429" t="str">
            <v>BUS-X 255</v>
          </cell>
          <cell r="K2429" t="str">
            <v>Schultz,Cynthia A</v>
          </cell>
          <cell r="N2429">
            <v>3.9319999999999999</v>
          </cell>
          <cell r="O2429">
            <v>3.516</v>
          </cell>
        </row>
        <row r="2430">
          <cell r="E2430" t="str">
            <v>BUS</v>
          </cell>
          <cell r="F2430" t="str">
            <v xml:space="preserve">BUS-X </v>
          </cell>
          <cell r="G2430">
            <v>255</v>
          </cell>
          <cell r="H2430" t="str">
            <v>BUS-X 255</v>
          </cell>
          <cell r="K2430" t="str">
            <v>Slevin,Tricia Rae</v>
          </cell>
          <cell r="N2430">
            <v>3.95</v>
          </cell>
          <cell r="O2430">
            <v>3.1720000000000002</v>
          </cell>
        </row>
        <row r="2431">
          <cell r="E2431" t="str">
            <v>BUS</v>
          </cell>
          <cell r="F2431" t="str">
            <v xml:space="preserve">BUS-X </v>
          </cell>
          <cell r="G2431">
            <v>255</v>
          </cell>
          <cell r="H2431" t="str">
            <v>BUS-X 255</v>
          </cell>
          <cell r="K2431" t="str">
            <v>Storey,James Benjamin</v>
          </cell>
          <cell r="N2431">
            <v>4</v>
          </cell>
          <cell r="O2431">
            <v>3.4060000000000001</v>
          </cell>
        </row>
        <row r="2432">
          <cell r="E2432" t="str">
            <v>BUS</v>
          </cell>
          <cell r="F2432" t="str">
            <v xml:space="preserve">BUS-X </v>
          </cell>
          <cell r="G2432">
            <v>301</v>
          </cell>
          <cell r="H2432" t="str">
            <v>BUS-X 301</v>
          </cell>
          <cell r="K2432" t="str">
            <v>Brimm,David Robert</v>
          </cell>
          <cell r="N2432">
            <v>3.7850000000000001</v>
          </cell>
          <cell r="O2432">
            <v>3.4119999999999999</v>
          </cell>
        </row>
        <row r="2433">
          <cell r="E2433" t="str">
            <v>BUS</v>
          </cell>
          <cell r="F2433" t="str">
            <v xml:space="preserve">BUS-X </v>
          </cell>
          <cell r="G2433">
            <v>301</v>
          </cell>
          <cell r="H2433" t="str">
            <v>BUS-X 301</v>
          </cell>
          <cell r="K2433" t="str">
            <v>Brimm,David Robert</v>
          </cell>
          <cell r="N2433">
            <v>3.95</v>
          </cell>
          <cell r="O2433">
            <v>3.516</v>
          </cell>
        </row>
        <row r="2434">
          <cell r="E2434" t="str">
            <v>BUS</v>
          </cell>
          <cell r="F2434" t="str">
            <v xml:space="preserve">BUS-X </v>
          </cell>
          <cell r="G2434">
            <v>301</v>
          </cell>
          <cell r="H2434" t="str">
            <v>BUS-X 301</v>
          </cell>
          <cell r="K2434" t="str">
            <v>Brimm,David Robert</v>
          </cell>
          <cell r="N2434">
            <v>3.9319999999999999</v>
          </cell>
          <cell r="O2434">
            <v>3.42</v>
          </cell>
        </row>
        <row r="2435">
          <cell r="E2435" t="str">
            <v>BUS</v>
          </cell>
          <cell r="F2435" t="str">
            <v xml:space="preserve">BUS-X </v>
          </cell>
          <cell r="G2435">
            <v>301</v>
          </cell>
          <cell r="H2435" t="str">
            <v>BUS-X 301</v>
          </cell>
          <cell r="K2435" t="str">
            <v>Brimm,David Robert</v>
          </cell>
          <cell r="N2435">
            <v>3.9380000000000002</v>
          </cell>
          <cell r="O2435">
            <v>3.4249999999999998</v>
          </cell>
        </row>
        <row r="2436">
          <cell r="E2436" t="str">
            <v>BUS</v>
          </cell>
          <cell r="F2436" t="str">
            <v xml:space="preserve">BUS-X </v>
          </cell>
          <cell r="G2436">
            <v>301</v>
          </cell>
          <cell r="H2436" t="str">
            <v>BUS-X 301</v>
          </cell>
          <cell r="K2436" t="str">
            <v>Brimm,David Robert</v>
          </cell>
          <cell r="N2436">
            <v>4</v>
          </cell>
          <cell r="O2436">
            <v>3.5449999999999999</v>
          </cell>
        </row>
        <row r="2437">
          <cell r="E2437" t="str">
            <v>BUS</v>
          </cell>
          <cell r="F2437" t="str">
            <v xml:space="preserve">BUS-X </v>
          </cell>
          <cell r="G2437">
            <v>301</v>
          </cell>
          <cell r="H2437" t="str">
            <v>BUS-X 301</v>
          </cell>
          <cell r="K2437" t="str">
            <v>Brimm,David Robert</v>
          </cell>
          <cell r="N2437">
            <v>3.73</v>
          </cell>
          <cell r="O2437">
            <v>3.411</v>
          </cell>
        </row>
        <row r="2438">
          <cell r="E2438" t="str">
            <v>BUS</v>
          </cell>
          <cell r="F2438" t="str">
            <v xml:space="preserve">BUS-X </v>
          </cell>
          <cell r="G2438">
            <v>301</v>
          </cell>
          <cell r="H2438" t="str">
            <v>BUS-X 301</v>
          </cell>
          <cell r="K2438" t="str">
            <v>Brimm,David Robert</v>
          </cell>
          <cell r="N2438">
            <v>3.3290000000000002</v>
          </cell>
          <cell r="O2438">
            <v>3.4049999999999998</v>
          </cell>
        </row>
        <row r="2439">
          <cell r="E2439" t="str">
            <v>BUS</v>
          </cell>
          <cell r="F2439" t="str">
            <v xml:space="preserve">BUS-X </v>
          </cell>
          <cell r="G2439">
            <v>301</v>
          </cell>
          <cell r="H2439" t="str">
            <v>BUS-X 301</v>
          </cell>
          <cell r="K2439" t="str">
            <v>Brimm,David Robert</v>
          </cell>
          <cell r="N2439">
            <v>3.9670000000000001</v>
          </cell>
          <cell r="O2439">
            <v>3.46</v>
          </cell>
        </row>
        <row r="2440">
          <cell r="E2440" t="str">
            <v>BUS</v>
          </cell>
          <cell r="F2440" t="str">
            <v xml:space="preserve">BUS-X </v>
          </cell>
          <cell r="G2440">
            <v>301</v>
          </cell>
          <cell r="H2440" t="str">
            <v>BUS-X 301</v>
          </cell>
          <cell r="K2440" t="str">
            <v>Brimm,David Robert</v>
          </cell>
          <cell r="N2440">
            <v>3.863</v>
          </cell>
          <cell r="O2440">
            <v>3.383</v>
          </cell>
        </row>
        <row r="2441">
          <cell r="E2441" t="str">
            <v>BUS</v>
          </cell>
          <cell r="F2441" t="str">
            <v xml:space="preserve">BUS-X </v>
          </cell>
          <cell r="G2441">
            <v>301</v>
          </cell>
          <cell r="H2441" t="str">
            <v>BUS-X 301</v>
          </cell>
          <cell r="K2441" t="str">
            <v>Brimm,David Robert</v>
          </cell>
          <cell r="N2441">
            <v>3.9089999999999998</v>
          </cell>
          <cell r="O2441">
            <v>3.335</v>
          </cell>
        </row>
        <row r="2442">
          <cell r="E2442" t="str">
            <v>BUS</v>
          </cell>
          <cell r="F2442" t="str">
            <v xml:space="preserve">BUS-X </v>
          </cell>
          <cell r="G2442">
            <v>330</v>
          </cell>
          <cell r="H2442" t="str">
            <v>BUS-X 330</v>
          </cell>
          <cell r="K2442" t="str">
            <v>Goddin,Jeffrey K.</v>
          </cell>
          <cell r="N2442">
            <v>3.5920000000000001</v>
          </cell>
          <cell r="O2442">
            <v>3.3519999999999999</v>
          </cell>
        </row>
        <row r="2443">
          <cell r="E2443" t="str">
            <v>BUS</v>
          </cell>
          <cell r="F2443" t="str">
            <v xml:space="preserve">BUS-X </v>
          </cell>
          <cell r="G2443">
            <v>330</v>
          </cell>
          <cell r="H2443" t="str">
            <v>BUS-X 330</v>
          </cell>
          <cell r="K2443" t="str">
            <v>Goddin,Jeffrey K.</v>
          </cell>
          <cell r="N2443">
            <v>3.746</v>
          </cell>
          <cell r="O2443">
            <v>3.3719999999999999</v>
          </cell>
        </row>
        <row r="2444">
          <cell r="E2444" t="str">
            <v>BUS</v>
          </cell>
          <cell r="F2444" t="str">
            <v xml:space="preserve">BUS-X </v>
          </cell>
          <cell r="G2444">
            <v>333</v>
          </cell>
          <cell r="H2444" t="str">
            <v>BUS-X 333</v>
          </cell>
          <cell r="K2444" t="str">
            <v>Hillier,Janet A</v>
          </cell>
          <cell r="N2444">
            <v>3.5859999999999999</v>
          </cell>
          <cell r="O2444">
            <v>3.617</v>
          </cell>
        </row>
        <row r="2445">
          <cell r="E2445" t="str">
            <v>BUS</v>
          </cell>
          <cell r="F2445" t="str">
            <v xml:space="preserve">BUS-X </v>
          </cell>
          <cell r="G2445">
            <v>333</v>
          </cell>
          <cell r="H2445" t="str">
            <v>BUS-X 333</v>
          </cell>
          <cell r="K2445" t="str">
            <v>Hillier,Janet A</v>
          </cell>
          <cell r="N2445">
            <v>3.4830000000000001</v>
          </cell>
          <cell r="O2445">
            <v>3.6389999999999998</v>
          </cell>
        </row>
        <row r="2446">
          <cell r="E2446" t="str">
            <v>BUS</v>
          </cell>
          <cell r="F2446" t="str">
            <v xml:space="preserve">BUS-X </v>
          </cell>
          <cell r="G2446">
            <v>333</v>
          </cell>
          <cell r="H2446" t="str">
            <v>BUS-X 333</v>
          </cell>
          <cell r="K2446" t="str">
            <v>Hillier,Janet A</v>
          </cell>
          <cell r="N2446">
            <v>3.6629999999999998</v>
          </cell>
          <cell r="O2446">
            <v>3.577</v>
          </cell>
        </row>
        <row r="2447">
          <cell r="E2447" t="str">
            <v>BUS</v>
          </cell>
          <cell r="F2447" t="str">
            <v xml:space="preserve">BUS-X </v>
          </cell>
          <cell r="G2447">
            <v>355</v>
          </cell>
          <cell r="H2447" t="str">
            <v>BUS-X 355</v>
          </cell>
          <cell r="K2447" t="str">
            <v>Toney,Sharlene Marie</v>
          </cell>
          <cell r="N2447">
            <v>3.0190000000000001</v>
          </cell>
          <cell r="O2447">
            <v>2.4510000000000001</v>
          </cell>
        </row>
        <row r="2448">
          <cell r="E2448" t="str">
            <v>BUS</v>
          </cell>
          <cell r="F2448" t="str">
            <v xml:space="preserve">BUS-X </v>
          </cell>
          <cell r="G2448">
            <v>403</v>
          </cell>
          <cell r="H2448" t="str">
            <v>BUS-X 403</v>
          </cell>
          <cell r="K2448" t="str">
            <v>Rubin,Joel D.</v>
          </cell>
          <cell r="N2448" t="str">
            <v>NR</v>
          </cell>
          <cell r="O2448" t="str">
            <v>NR</v>
          </cell>
        </row>
        <row r="2449">
          <cell r="E2449" t="str">
            <v>BUS</v>
          </cell>
          <cell r="F2449" t="str">
            <v xml:space="preserve">BUS-X </v>
          </cell>
          <cell r="G2449">
            <v>403</v>
          </cell>
          <cell r="H2449" t="str">
            <v>BUS-X 403</v>
          </cell>
          <cell r="K2449" t="str">
            <v>Rubin,Joel D.</v>
          </cell>
          <cell r="N2449">
            <v>4</v>
          </cell>
          <cell r="O2449">
            <v>3.8580000000000001</v>
          </cell>
        </row>
        <row r="2450">
          <cell r="E2450" t="str">
            <v>BUS</v>
          </cell>
          <cell r="F2450" t="str">
            <v xml:space="preserve">BUS-X </v>
          </cell>
          <cell r="G2450">
            <v>404</v>
          </cell>
          <cell r="H2450" t="str">
            <v>BUS-X 404</v>
          </cell>
          <cell r="K2450" t="str">
            <v>Rubin,Joel D.</v>
          </cell>
          <cell r="N2450">
            <v>3.8359999999999999</v>
          </cell>
          <cell r="O2450">
            <v>3.8530000000000002</v>
          </cell>
        </row>
        <row r="2451">
          <cell r="E2451" t="str">
            <v>BUS</v>
          </cell>
          <cell r="F2451" t="str">
            <v xml:space="preserve">BUS-X </v>
          </cell>
          <cell r="G2451">
            <v>418</v>
          </cell>
          <cell r="H2451" t="str">
            <v>BUS-X 418</v>
          </cell>
          <cell r="K2451" t="str">
            <v>Dunn-Jensen,Linda M.</v>
          </cell>
          <cell r="N2451">
            <v>4</v>
          </cell>
          <cell r="O2451">
            <v>3.6970000000000001</v>
          </cell>
        </row>
        <row r="2452">
          <cell r="E2452" t="str">
            <v>BUS</v>
          </cell>
          <cell r="F2452" t="str">
            <v xml:space="preserve">BUS-X </v>
          </cell>
          <cell r="G2452">
            <v>419</v>
          </cell>
          <cell r="H2452" t="str">
            <v>BUS-X 419</v>
          </cell>
          <cell r="K2452" t="str">
            <v>Telthorst,George M</v>
          </cell>
          <cell r="N2452">
            <v>3.2090000000000001</v>
          </cell>
          <cell r="O2452">
            <v>3.3759999999999999</v>
          </cell>
        </row>
        <row r="2453">
          <cell r="E2453" t="str">
            <v>BUS</v>
          </cell>
          <cell r="F2453" t="str">
            <v xml:space="preserve">BUS-X </v>
          </cell>
          <cell r="G2453">
            <v>420</v>
          </cell>
          <cell r="H2453" t="str">
            <v>BUS-X 420</v>
          </cell>
          <cell r="K2453" t="str">
            <v>Dayton,Keith Gelarden</v>
          </cell>
          <cell r="N2453">
            <v>3.8719999999999999</v>
          </cell>
          <cell r="O2453">
            <v>3.3340000000000001</v>
          </cell>
        </row>
        <row r="2454">
          <cell r="E2454" t="str">
            <v>BUS</v>
          </cell>
          <cell r="F2454" t="str">
            <v xml:space="preserve">BUS-X </v>
          </cell>
          <cell r="G2454">
            <v>420</v>
          </cell>
          <cell r="H2454" t="str">
            <v>BUS-X 420</v>
          </cell>
          <cell r="K2454" t="str">
            <v>Dayton,Keith Gelarden</v>
          </cell>
          <cell r="N2454">
            <v>3.8260000000000001</v>
          </cell>
          <cell r="O2454">
            <v>3.2829999999999999</v>
          </cell>
        </row>
        <row r="2455">
          <cell r="E2455" t="str">
            <v>BUS</v>
          </cell>
          <cell r="F2455" t="str">
            <v xml:space="preserve">BUS-X </v>
          </cell>
          <cell r="G2455">
            <v>420</v>
          </cell>
          <cell r="H2455" t="str">
            <v>BUS-X 420</v>
          </cell>
          <cell r="K2455" t="str">
            <v>Dayton,Keith Gelarden</v>
          </cell>
          <cell r="N2455">
            <v>3.8820000000000001</v>
          </cell>
          <cell r="O2455">
            <v>3.35</v>
          </cell>
        </row>
        <row r="2456">
          <cell r="E2456" t="str">
            <v>BUS</v>
          </cell>
          <cell r="F2456" t="str">
            <v xml:space="preserve">BUS-X </v>
          </cell>
          <cell r="G2456">
            <v>420</v>
          </cell>
          <cell r="H2456" t="str">
            <v>BUS-X 420</v>
          </cell>
          <cell r="K2456" t="str">
            <v>Dayton,Keith Gelarden</v>
          </cell>
          <cell r="N2456">
            <v>3.802</v>
          </cell>
          <cell r="O2456">
            <v>3.327</v>
          </cell>
        </row>
        <row r="2457">
          <cell r="E2457" t="str">
            <v>BUS</v>
          </cell>
          <cell r="F2457" t="str">
            <v xml:space="preserve">BUS-X </v>
          </cell>
          <cell r="G2457">
            <v>420</v>
          </cell>
          <cell r="H2457" t="str">
            <v>BUS-X 420</v>
          </cell>
          <cell r="K2457" t="str">
            <v>Dayton,Keith Gelarden</v>
          </cell>
          <cell r="N2457">
            <v>3.8159999999999998</v>
          </cell>
          <cell r="O2457">
            <v>3.262</v>
          </cell>
        </row>
        <row r="2458">
          <cell r="E2458" t="str">
            <v>BUS</v>
          </cell>
          <cell r="F2458" t="str">
            <v xml:space="preserve">BUS-X </v>
          </cell>
          <cell r="G2458">
            <v>488</v>
          </cell>
          <cell r="H2458" t="str">
            <v>BUS-X 488</v>
          </cell>
          <cell r="K2458" t="str">
            <v>McAllister,Susan</v>
          </cell>
          <cell r="N2458">
            <v>3.5179999999999998</v>
          </cell>
          <cell r="O2458">
            <v>3.32</v>
          </cell>
        </row>
        <row r="2459">
          <cell r="E2459" t="str">
            <v>BUS</v>
          </cell>
          <cell r="F2459" t="str">
            <v xml:space="preserve">BUS-X </v>
          </cell>
          <cell r="G2459">
            <v>488</v>
          </cell>
          <cell r="H2459" t="str">
            <v>BUS-X 488</v>
          </cell>
          <cell r="K2459" t="str">
            <v>McAllister,Susan</v>
          </cell>
          <cell r="N2459">
            <v>3.4620000000000002</v>
          </cell>
          <cell r="O2459">
            <v>3.5089999999999999</v>
          </cell>
        </row>
        <row r="2460">
          <cell r="E2460" t="str">
            <v>BUS</v>
          </cell>
          <cell r="F2460" t="str">
            <v xml:space="preserve">BUS-X </v>
          </cell>
          <cell r="G2460">
            <v>490</v>
          </cell>
          <cell r="H2460" t="str">
            <v>BUS-X 490</v>
          </cell>
          <cell r="K2460" t="str">
            <v>Lenz,R. Thomas</v>
          </cell>
          <cell r="N2460" t="str">
            <v>NR</v>
          </cell>
          <cell r="O2460" t="str">
            <v>NR</v>
          </cell>
        </row>
        <row r="2461">
          <cell r="E2461" t="str">
            <v>BUS</v>
          </cell>
          <cell r="F2461" t="str">
            <v xml:space="preserve">BUS-X </v>
          </cell>
          <cell r="G2461">
            <v>496</v>
          </cell>
          <cell r="H2461" t="str">
            <v>BUS-X 496</v>
          </cell>
          <cell r="K2461" t="str">
            <v>McCrory,Martin Arthur</v>
          </cell>
          <cell r="N2461" t="str">
            <v>NR</v>
          </cell>
          <cell r="O2461" t="str">
            <v>NR</v>
          </cell>
        </row>
        <row r="2462">
          <cell r="E2462" t="str">
            <v>BUS</v>
          </cell>
          <cell r="F2462" t="str">
            <v xml:space="preserve">BUS-X </v>
          </cell>
          <cell r="G2462">
            <v>496</v>
          </cell>
          <cell r="H2462" t="str">
            <v>BUS-X 496</v>
          </cell>
          <cell r="K2462" t="str">
            <v>McCrory,Martin Arthur</v>
          </cell>
          <cell r="N2462">
            <v>3.8380000000000001</v>
          </cell>
          <cell r="O2462">
            <v>3.7530000000000001</v>
          </cell>
        </row>
        <row r="2463">
          <cell r="E2463" t="str">
            <v>BUS</v>
          </cell>
          <cell r="F2463" t="str">
            <v xml:space="preserve">BUS-X </v>
          </cell>
          <cell r="G2463">
            <v>498</v>
          </cell>
          <cell r="H2463" t="str">
            <v>BUS-X 498</v>
          </cell>
          <cell r="K2463" t="str">
            <v>Dayton,Keith Gelarden</v>
          </cell>
          <cell r="N2463">
            <v>4</v>
          </cell>
          <cell r="O2463">
            <v>3.4670000000000001</v>
          </cell>
        </row>
        <row r="2464">
          <cell r="E2464" t="str">
            <v>BUS</v>
          </cell>
          <cell r="F2464" t="str">
            <v xml:space="preserve">BUS-X </v>
          </cell>
          <cell r="G2464">
            <v>498</v>
          </cell>
          <cell r="H2464" t="str">
            <v>BUS-X 498</v>
          </cell>
          <cell r="K2464" t="str">
            <v>Dayton,Keith Gelarden</v>
          </cell>
          <cell r="N2464">
            <v>4</v>
          </cell>
          <cell r="O2464">
            <v>3.472</v>
          </cell>
        </row>
        <row r="2465">
          <cell r="E2465" t="str">
            <v>BUS</v>
          </cell>
          <cell r="F2465" t="str">
            <v xml:space="preserve">BUS-X </v>
          </cell>
          <cell r="G2465">
            <v>498</v>
          </cell>
          <cell r="H2465" t="str">
            <v>BUS-X 498</v>
          </cell>
          <cell r="K2465" t="str">
            <v>Dayton,Keith Gelarden</v>
          </cell>
          <cell r="N2465">
            <v>4</v>
          </cell>
          <cell r="O2465">
            <v>3.419</v>
          </cell>
        </row>
        <row r="2466">
          <cell r="E2466" t="str">
            <v>BUS</v>
          </cell>
          <cell r="F2466" t="str">
            <v xml:space="preserve">BUS-X </v>
          </cell>
          <cell r="G2466">
            <v>498</v>
          </cell>
          <cell r="H2466" t="str">
            <v>BUS-X 498</v>
          </cell>
          <cell r="K2466" t="str">
            <v>Dayton,Keith Gelarden</v>
          </cell>
          <cell r="N2466">
            <v>4</v>
          </cell>
          <cell r="O2466">
            <v>3.32</v>
          </cell>
        </row>
        <row r="2467">
          <cell r="E2467" t="str">
            <v>BUS</v>
          </cell>
          <cell r="F2467" t="str">
            <v xml:space="preserve">BUS-X </v>
          </cell>
          <cell r="G2467">
            <v>498</v>
          </cell>
          <cell r="H2467" t="str">
            <v>BUS-X 498</v>
          </cell>
          <cell r="K2467" t="str">
            <v>Dayton,Keith Gelarden</v>
          </cell>
          <cell r="N2467">
            <v>3.9830000000000001</v>
          </cell>
          <cell r="O2467">
            <v>3.3359999999999999</v>
          </cell>
        </row>
        <row r="2468">
          <cell r="E2468" t="str">
            <v>BUS</v>
          </cell>
          <cell r="F2468" t="str">
            <v xml:space="preserve">BUS-X </v>
          </cell>
          <cell r="G2468">
            <v>502</v>
          </cell>
          <cell r="H2468" t="str">
            <v>BUS-X 502</v>
          </cell>
          <cell r="K2468" t="str">
            <v>Coy,Gregory S</v>
          </cell>
          <cell r="N2468">
            <v>3.9710000000000001</v>
          </cell>
          <cell r="O2468">
            <v>3.6139999999999999</v>
          </cell>
        </row>
        <row r="2469">
          <cell r="E2469" t="str">
            <v>BUS</v>
          </cell>
          <cell r="F2469" t="str">
            <v xml:space="preserve">BUS-X </v>
          </cell>
          <cell r="G2469">
            <v>504</v>
          </cell>
          <cell r="H2469" t="str">
            <v>BUS-X 504</v>
          </cell>
          <cell r="K2469" t="str">
            <v>Dayton,Keith Gelarden</v>
          </cell>
          <cell r="N2469">
            <v>3.7490000000000001</v>
          </cell>
          <cell r="O2469">
            <v>3.5680000000000001</v>
          </cell>
        </row>
        <row r="2470">
          <cell r="E2470" t="str">
            <v>BUS</v>
          </cell>
          <cell r="F2470" t="str">
            <v xml:space="preserve">BUS-X </v>
          </cell>
          <cell r="G2470">
            <v>504</v>
          </cell>
          <cell r="H2470" t="str">
            <v>BUS-X 504</v>
          </cell>
          <cell r="K2470" t="str">
            <v>Dayton,Keith Gelarden</v>
          </cell>
          <cell r="N2470">
            <v>3.6549999999999998</v>
          </cell>
          <cell r="O2470">
            <v>3.6549999999999998</v>
          </cell>
        </row>
        <row r="2471">
          <cell r="E2471" t="str">
            <v>BUS</v>
          </cell>
          <cell r="F2471" t="str">
            <v xml:space="preserve">BUS-X </v>
          </cell>
          <cell r="G2471">
            <v>504</v>
          </cell>
          <cell r="H2471" t="str">
            <v>BUS-X 504</v>
          </cell>
          <cell r="K2471" t="str">
            <v>Dayton,Keith Gelarden</v>
          </cell>
          <cell r="N2471">
            <v>3.6789999999999998</v>
          </cell>
          <cell r="O2471">
            <v>3.585</v>
          </cell>
        </row>
        <row r="2472">
          <cell r="E2472" t="str">
            <v>BUS</v>
          </cell>
          <cell r="F2472" t="str">
            <v xml:space="preserve">BUS-X </v>
          </cell>
          <cell r="G2472">
            <v>504</v>
          </cell>
          <cell r="H2472" t="str">
            <v>BUS-X 504</v>
          </cell>
          <cell r="K2472" t="str">
            <v>Dayton,Keith Gelarden</v>
          </cell>
          <cell r="N2472">
            <v>3.4049999999999998</v>
          </cell>
          <cell r="O2472">
            <v>3.4529999999999998</v>
          </cell>
        </row>
        <row r="2473">
          <cell r="E2473" t="str">
            <v>BUS</v>
          </cell>
          <cell r="F2473" t="str">
            <v xml:space="preserve">BUS-X </v>
          </cell>
          <cell r="G2473">
            <v>504</v>
          </cell>
          <cell r="H2473" t="str">
            <v>BUS-X 504</v>
          </cell>
          <cell r="K2473" t="str">
            <v>Dayton,Keith Gelarden</v>
          </cell>
          <cell r="N2473">
            <v>3.3690000000000002</v>
          </cell>
          <cell r="O2473">
            <v>3.42</v>
          </cell>
        </row>
        <row r="2474">
          <cell r="E2474" t="str">
            <v>BUS</v>
          </cell>
          <cell r="F2474" t="str">
            <v xml:space="preserve">BUS-X </v>
          </cell>
          <cell r="G2474">
            <v>504</v>
          </cell>
          <cell r="H2474" t="str">
            <v>BUS-X 504</v>
          </cell>
          <cell r="K2474" t="str">
            <v>Dayton,Keith Gelarden</v>
          </cell>
          <cell r="N2474">
            <v>3.2090000000000001</v>
          </cell>
          <cell r="O2474">
            <v>3.2229999999999999</v>
          </cell>
        </row>
        <row r="2475">
          <cell r="E2475" t="str">
            <v>BUS</v>
          </cell>
          <cell r="F2475" t="str">
            <v xml:space="preserve">BUS-X </v>
          </cell>
          <cell r="G2475">
            <v>505</v>
          </cell>
          <cell r="H2475" t="str">
            <v>BUS-X 505</v>
          </cell>
          <cell r="K2475" t="str">
            <v>Dayton,Keith Gelarden</v>
          </cell>
          <cell r="N2475" t="str">
            <v>NR</v>
          </cell>
          <cell r="O2475" t="str">
            <v>NR</v>
          </cell>
        </row>
        <row r="2476">
          <cell r="E2476" t="str">
            <v>BUS</v>
          </cell>
          <cell r="F2476" t="str">
            <v xml:space="preserve">BUS-X </v>
          </cell>
          <cell r="G2476">
            <v>505</v>
          </cell>
          <cell r="H2476" t="str">
            <v>BUS-X 505</v>
          </cell>
          <cell r="K2476" t="str">
            <v>Dayton,Keith Gelarden</v>
          </cell>
          <cell r="N2476" t="str">
            <v>NR</v>
          </cell>
          <cell r="O2476" t="str">
            <v>NR</v>
          </cell>
        </row>
        <row r="2477">
          <cell r="E2477" t="str">
            <v>BUS</v>
          </cell>
          <cell r="F2477" t="str">
            <v xml:space="preserve">BUS-X </v>
          </cell>
          <cell r="G2477">
            <v>505</v>
          </cell>
          <cell r="H2477" t="str">
            <v>BUS-X 505</v>
          </cell>
          <cell r="K2477" t="str">
            <v>Dayton,Keith Gelarden</v>
          </cell>
          <cell r="N2477" t="str">
            <v>NR</v>
          </cell>
          <cell r="O2477" t="str">
            <v>NR</v>
          </cell>
        </row>
        <row r="2478">
          <cell r="E2478" t="str">
            <v>BUS</v>
          </cell>
          <cell r="F2478" t="str">
            <v xml:space="preserve">BUS-X </v>
          </cell>
          <cell r="G2478">
            <v>507</v>
          </cell>
          <cell r="H2478" t="str">
            <v>BUS-X 507</v>
          </cell>
          <cell r="K2478" t="str">
            <v>Powell,Philip T.</v>
          </cell>
          <cell r="N2478">
            <v>3.5790000000000002</v>
          </cell>
          <cell r="O2478">
            <v>3.5630000000000002</v>
          </cell>
        </row>
        <row r="2479">
          <cell r="E2479" t="str">
            <v>BUS</v>
          </cell>
          <cell r="F2479" t="str">
            <v xml:space="preserve">BUS-X </v>
          </cell>
          <cell r="G2479">
            <v>515</v>
          </cell>
          <cell r="H2479" t="str">
            <v>BUS-X 515</v>
          </cell>
          <cell r="K2479" t="str">
            <v>Andrews,Jonlee</v>
          </cell>
          <cell r="N2479">
            <v>3.7669999999999999</v>
          </cell>
          <cell r="O2479">
            <v>3.2160000000000002</v>
          </cell>
        </row>
        <row r="2480">
          <cell r="E2480" t="str">
            <v>BUS</v>
          </cell>
          <cell r="F2480" t="str">
            <v xml:space="preserve">BUS-X </v>
          </cell>
          <cell r="G2480">
            <v>515</v>
          </cell>
          <cell r="H2480" t="str">
            <v>BUS-X 515</v>
          </cell>
          <cell r="K2480" t="str">
            <v>Briggs,Carl M</v>
          </cell>
          <cell r="N2480">
            <v>4</v>
          </cell>
          <cell r="O2480">
            <v>3.6930000000000001</v>
          </cell>
        </row>
        <row r="2481">
          <cell r="E2481" t="str">
            <v>BUS</v>
          </cell>
          <cell r="F2481" t="str">
            <v xml:space="preserve">BUS-X </v>
          </cell>
          <cell r="G2481">
            <v>515</v>
          </cell>
          <cell r="H2481" t="str">
            <v>BUS-X 515</v>
          </cell>
          <cell r="K2481" t="str">
            <v>Haeberle,David Carlton</v>
          </cell>
          <cell r="N2481">
            <v>3.9769999999999999</v>
          </cell>
          <cell r="O2481">
            <v>3.452</v>
          </cell>
        </row>
        <row r="2482">
          <cell r="E2482" t="str">
            <v>BUS</v>
          </cell>
          <cell r="F2482" t="str">
            <v xml:space="preserve">BUS-X </v>
          </cell>
          <cell r="G2482">
            <v>515</v>
          </cell>
          <cell r="H2482" t="str">
            <v>BUS-X 515</v>
          </cell>
          <cell r="K2482" t="str">
            <v>Kuratko,Donald F</v>
          </cell>
          <cell r="N2482">
            <v>4</v>
          </cell>
          <cell r="O2482">
            <v>3.4359999999999999</v>
          </cell>
        </row>
        <row r="2483">
          <cell r="E2483" t="str">
            <v>BUS</v>
          </cell>
          <cell r="F2483" t="str">
            <v xml:space="preserve">BUS-X </v>
          </cell>
          <cell r="G2483">
            <v>515</v>
          </cell>
          <cell r="H2483" t="str">
            <v>BUS-X 515</v>
          </cell>
          <cell r="K2483" t="str">
            <v>Roedl,Frederick William</v>
          </cell>
          <cell r="N2483">
            <v>3.9870000000000001</v>
          </cell>
          <cell r="O2483">
            <v>3.3370000000000002</v>
          </cell>
        </row>
        <row r="2484">
          <cell r="E2484" t="str">
            <v>BUS</v>
          </cell>
          <cell r="F2484" t="str">
            <v xml:space="preserve">BUS-X </v>
          </cell>
          <cell r="G2484">
            <v>515</v>
          </cell>
          <cell r="H2484" t="str">
            <v>BUS-X 515</v>
          </cell>
          <cell r="K2484" t="str">
            <v>Smart,Scott B</v>
          </cell>
          <cell r="N2484">
            <v>4</v>
          </cell>
          <cell r="O2484">
            <v>3.5419999999999998</v>
          </cell>
        </row>
        <row r="2485">
          <cell r="E2485" t="str">
            <v>BUS</v>
          </cell>
          <cell r="F2485" t="str">
            <v xml:space="preserve">BUS-X </v>
          </cell>
          <cell r="G2485">
            <v>515</v>
          </cell>
          <cell r="H2485" t="str">
            <v>BUS-X 515</v>
          </cell>
          <cell r="K2485" t="str">
            <v>Wisneski,John E</v>
          </cell>
          <cell r="N2485">
            <v>4</v>
          </cell>
          <cell r="O2485">
            <v>3.4350000000000001</v>
          </cell>
        </row>
        <row r="2486">
          <cell r="E2486" t="str">
            <v>BUS</v>
          </cell>
          <cell r="F2486" t="str">
            <v xml:space="preserve">BUS-X </v>
          </cell>
          <cell r="G2486">
            <v>516</v>
          </cell>
          <cell r="H2486" t="str">
            <v>BUS-X 516</v>
          </cell>
          <cell r="K2486" t="str">
            <v>Andrews,Jonlee</v>
          </cell>
          <cell r="N2486">
            <v>3.8359999999999999</v>
          </cell>
          <cell r="O2486">
            <v>3.4350000000000001</v>
          </cell>
        </row>
        <row r="2487">
          <cell r="E2487" t="str">
            <v>BUS</v>
          </cell>
          <cell r="F2487" t="str">
            <v xml:space="preserve">BUS-X </v>
          </cell>
          <cell r="G2487">
            <v>516</v>
          </cell>
          <cell r="H2487" t="str">
            <v>BUS-X 516</v>
          </cell>
          <cell r="K2487" t="str">
            <v>Cook,Rebecca Anne</v>
          </cell>
          <cell r="N2487">
            <v>3.4350000000000001</v>
          </cell>
          <cell r="O2487">
            <v>3.5110000000000001</v>
          </cell>
        </row>
        <row r="2488">
          <cell r="E2488" t="str">
            <v>BUS</v>
          </cell>
          <cell r="F2488" t="str">
            <v xml:space="preserve">BUS-X </v>
          </cell>
          <cell r="G2488">
            <v>516</v>
          </cell>
          <cell r="H2488" t="str">
            <v>BUS-X 516</v>
          </cell>
          <cell r="K2488" t="str">
            <v>Garcia,P. Roberto</v>
          </cell>
          <cell r="N2488">
            <v>3.653</v>
          </cell>
          <cell r="O2488">
            <v>3.5779999999999998</v>
          </cell>
        </row>
        <row r="2489">
          <cell r="E2489" t="str">
            <v>BUS</v>
          </cell>
          <cell r="F2489" t="str">
            <v xml:space="preserve">BUS-X </v>
          </cell>
          <cell r="G2489">
            <v>516</v>
          </cell>
          <cell r="H2489" t="str">
            <v>BUS-X 516</v>
          </cell>
          <cell r="K2489" t="str">
            <v>Haeberle,David Carlton</v>
          </cell>
          <cell r="N2489">
            <v>3.8330000000000002</v>
          </cell>
          <cell r="O2489">
            <v>3.6150000000000002</v>
          </cell>
        </row>
        <row r="2490">
          <cell r="E2490" t="str">
            <v>BUS</v>
          </cell>
          <cell r="F2490" t="str">
            <v xml:space="preserve">BUS-X </v>
          </cell>
          <cell r="G2490">
            <v>516</v>
          </cell>
          <cell r="H2490" t="str">
            <v>BUS-X 516</v>
          </cell>
          <cell r="K2490" t="str">
            <v>Kuratko,Donald F</v>
          </cell>
          <cell r="N2490">
            <v>3.8170000000000002</v>
          </cell>
          <cell r="O2490">
            <v>3.6040000000000001</v>
          </cell>
        </row>
        <row r="2491">
          <cell r="E2491" t="str">
            <v>BUS</v>
          </cell>
          <cell r="F2491" t="str">
            <v xml:space="preserve">BUS-X </v>
          </cell>
          <cell r="G2491">
            <v>516</v>
          </cell>
          <cell r="H2491" t="str">
            <v>BUS-X 516</v>
          </cell>
          <cell r="K2491" t="str">
            <v>Roedl,Frederick William</v>
          </cell>
          <cell r="N2491">
            <v>3.984</v>
          </cell>
          <cell r="O2491">
            <v>3.5249999999999999</v>
          </cell>
        </row>
        <row r="2492">
          <cell r="E2492" t="str">
            <v>BUS</v>
          </cell>
          <cell r="F2492" t="str">
            <v xml:space="preserve">BUS-X </v>
          </cell>
          <cell r="G2492">
            <v>516</v>
          </cell>
          <cell r="H2492" t="str">
            <v>BUS-X 516</v>
          </cell>
          <cell r="K2492" t="str">
            <v>Smart,Scott B</v>
          </cell>
          <cell r="N2492">
            <v>3.9220000000000002</v>
          </cell>
          <cell r="O2492">
            <v>3.528</v>
          </cell>
        </row>
        <row r="2493">
          <cell r="E2493" t="str">
            <v>BUS</v>
          </cell>
          <cell r="F2493" t="str">
            <v xml:space="preserve">BUS-X </v>
          </cell>
          <cell r="G2493">
            <v>516</v>
          </cell>
          <cell r="H2493" t="str">
            <v>BUS-X 516</v>
          </cell>
          <cell r="K2493" t="str">
            <v>Wisneski,John E</v>
          </cell>
          <cell r="N2493">
            <v>3.9740000000000002</v>
          </cell>
          <cell r="O2493">
            <v>3.56</v>
          </cell>
        </row>
        <row r="2494">
          <cell r="E2494" t="str">
            <v>BUS</v>
          </cell>
          <cell r="F2494" t="str">
            <v xml:space="preserve">BUS-X </v>
          </cell>
          <cell r="G2494">
            <v>517</v>
          </cell>
          <cell r="H2494" t="str">
            <v>BUS-X 517</v>
          </cell>
          <cell r="K2494" t="str">
            <v>Andrews,Jonlee</v>
          </cell>
          <cell r="N2494">
            <v>3.8860000000000001</v>
          </cell>
          <cell r="O2494">
            <v>3.508</v>
          </cell>
        </row>
        <row r="2495">
          <cell r="E2495" t="str">
            <v>BUS</v>
          </cell>
          <cell r="F2495" t="str">
            <v xml:space="preserve">BUS-X </v>
          </cell>
          <cell r="G2495">
            <v>517</v>
          </cell>
          <cell r="H2495" t="str">
            <v>BUS-X 517</v>
          </cell>
          <cell r="K2495" t="str">
            <v>Briggs,Carl M</v>
          </cell>
          <cell r="N2495">
            <v>4</v>
          </cell>
          <cell r="O2495">
            <v>3.5880000000000001</v>
          </cell>
        </row>
        <row r="2496">
          <cell r="E2496" t="str">
            <v>BUS</v>
          </cell>
          <cell r="F2496" t="str">
            <v xml:space="preserve">BUS-X </v>
          </cell>
          <cell r="G2496">
            <v>517</v>
          </cell>
          <cell r="H2496" t="str">
            <v>BUS-X 517</v>
          </cell>
          <cell r="K2496" t="str">
            <v>Cook,Rebecca Anne</v>
          </cell>
          <cell r="N2496">
            <v>3.9460000000000002</v>
          </cell>
          <cell r="O2496">
            <v>3.5310000000000001</v>
          </cell>
        </row>
        <row r="2497">
          <cell r="E2497" t="str">
            <v>BUS</v>
          </cell>
          <cell r="F2497" t="str">
            <v xml:space="preserve">BUS-X </v>
          </cell>
          <cell r="G2497">
            <v>517</v>
          </cell>
          <cell r="H2497" t="str">
            <v>BUS-X 517</v>
          </cell>
          <cell r="K2497" t="str">
            <v>Haeberle,David Carlton</v>
          </cell>
          <cell r="N2497">
            <v>4</v>
          </cell>
          <cell r="O2497">
            <v>3.73</v>
          </cell>
        </row>
        <row r="2498">
          <cell r="E2498" t="str">
            <v>BUS</v>
          </cell>
          <cell r="F2498" t="str">
            <v xml:space="preserve">BUS-X </v>
          </cell>
          <cell r="G2498">
            <v>517</v>
          </cell>
          <cell r="H2498" t="str">
            <v>BUS-X 517</v>
          </cell>
          <cell r="K2498" t="str">
            <v>Kuratko,Donald F</v>
          </cell>
          <cell r="N2498">
            <v>4</v>
          </cell>
          <cell r="O2498">
            <v>3.6179999999999999</v>
          </cell>
        </row>
        <row r="2499">
          <cell r="E2499" t="str">
            <v>BUS</v>
          </cell>
          <cell r="F2499" t="str">
            <v xml:space="preserve">BUS-X </v>
          </cell>
          <cell r="G2499">
            <v>517</v>
          </cell>
          <cell r="H2499" t="str">
            <v>BUS-X 517</v>
          </cell>
          <cell r="K2499" t="str">
            <v>Roedl,Frederick William</v>
          </cell>
          <cell r="N2499">
            <v>3.9740000000000002</v>
          </cell>
          <cell r="O2499">
            <v>3.5419999999999998</v>
          </cell>
        </row>
        <row r="2500">
          <cell r="E2500" t="str">
            <v>BUS</v>
          </cell>
          <cell r="F2500" t="str">
            <v xml:space="preserve">BUS-X </v>
          </cell>
          <cell r="G2500">
            <v>517</v>
          </cell>
          <cell r="H2500" t="str">
            <v>BUS-X 517</v>
          </cell>
          <cell r="K2500" t="str">
            <v>Smart,Scott B</v>
          </cell>
          <cell r="N2500">
            <v>4</v>
          </cell>
          <cell r="O2500">
            <v>3.5720000000000001</v>
          </cell>
        </row>
        <row r="2501">
          <cell r="E2501" t="str">
            <v>BUS</v>
          </cell>
          <cell r="F2501" t="str">
            <v xml:space="preserve">BUS-X </v>
          </cell>
          <cell r="G2501">
            <v>517</v>
          </cell>
          <cell r="H2501" t="str">
            <v>BUS-X 517</v>
          </cell>
          <cell r="K2501" t="str">
            <v>Wisneski,John E</v>
          </cell>
          <cell r="N2501">
            <v>3.9729999999999999</v>
          </cell>
          <cell r="O2501">
            <v>3.585</v>
          </cell>
        </row>
        <row r="2502">
          <cell r="E2502" t="str">
            <v>BUS</v>
          </cell>
          <cell r="F2502" t="str">
            <v xml:space="preserve">BUS-X </v>
          </cell>
          <cell r="G2502">
            <v>518</v>
          </cell>
          <cell r="H2502" t="str">
            <v>BUS-X 518</v>
          </cell>
          <cell r="K2502" t="str">
            <v>Dunn-Jensen,Linda M.</v>
          </cell>
          <cell r="N2502">
            <v>3.93</v>
          </cell>
          <cell r="O2502">
            <v>3.5369999999999999</v>
          </cell>
        </row>
        <row r="2503">
          <cell r="E2503" t="str">
            <v>BUS</v>
          </cell>
          <cell r="F2503" t="str">
            <v xml:space="preserve">BUS-X </v>
          </cell>
          <cell r="G2503">
            <v>519</v>
          </cell>
          <cell r="H2503" t="str">
            <v>BUS-X 519</v>
          </cell>
          <cell r="K2503" t="str">
            <v>Telthorst,George M</v>
          </cell>
          <cell r="N2503">
            <v>3.508</v>
          </cell>
          <cell r="O2503">
            <v>3.6459999999999999</v>
          </cell>
        </row>
        <row r="2504">
          <cell r="E2504" t="str">
            <v>BUS</v>
          </cell>
          <cell r="F2504" t="str">
            <v xml:space="preserve">BUS-X </v>
          </cell>
          <cell r="G2504">
            <v>520</v>
          </cell>
          <cell r="H2504" t="str">
            <v>BUS-X 520</v>
          </cell>
          <cell r="K2504" t="str">
            <v>Nichols,Gale Gold</v>
          </cell>
          <cell r="N2504">
            <v>3.6680000000000001</v>
          </cell>
          <cell r="O2504">
            <v>3.4569999999999999</v>
          </cell>
        </row>
        <row r="2505">
          <cell r="E2505" t="str">
            <v>BUS</v>
          </cell>
          <cell r="F2505" t="str">
            <v xml:space="preserve">BUS-X </v>
          </cell>
          <cell r="G2505">
            <v>520</v>
          </cell>
          <cell r="H2505" t="str">
            <v>BUS-X 520</v>
          </cell>
          <cell r="K2505" t="str">
            <v>Nichols,Gale Gold</v>
          </cell>
          <cell r="N2505" t="str">
            <v>NR</v>
          </cell>
          <cell r="O2505" t="str">
            <v>NR</v>
          </cell>
        </row>
        <row r="2506">
          <cell r="E2506" t="str">
            <v>BUS</v>
          </cell>
          <cell r="F2506" t="str">
            <v xml:space="preserve">BUS-X </v>
          </cell>
          <cell r="G2506">
            <v>530</v>
          </cell>
          <cell r="H2506" t="str">
            <v>BUS-X 530</v>
          </cell>
          <cell r="K2506" t="str">
            <v>Nichols,Gale Gold</v>
          </cell>
          <cell r="N2506" t="str">
            <v>NR</v>
          </cell>
          <cell r="O2506" t="str">
            <v>NR</v>
          </cell>
        </row>
        <row r="2507">
          <cell r="E2507" t="str">
            <v>BUS</v>
          </cell>
          <cell r="F2507" t="str">
            <v xml:space="preserve">BUS-X </v>
          </cell>
          <cell r="G2507">
            <v>530</v>
          </cell>
          <cell r="H2507" t="str">
            <v>BUS-X 530</v>
          </cell>
          <cell r="K2507" t="str">
            <v>Nichols,Gale Gold</v>
          </cell>
          <cell r="N2507" t="str">
            <v>NR</v>
          </cell>
          <cell r="O2507" t="str">
            <v>NR</v>
          </cell>
        </row>
        <row r="2508">
          <cell r="E2508" t="str">
            <v>BUS</v>
          </cell>
          <cell r="F2508" t="str">
            <v xml:space="preserve">BUS-X </v>
          </cell>
          <cell r="G2508">
            <v>530</v>
          </cell>
          <cell r="H2508" t="str">
            <v>BUS-X 530</v>
          </cell>
          <cell r="K2508" t="str">
            <v>Nichols,Gale Gold</v>
          </cell>
          <cell r="N2508" t="str">
            <v>NR</v>
          </cell>
          <cell r="O2508" t="str">
            <v>NR</v>
          </cell>
        </row>
        <row r="2509">
          <cell r="E2509" t="str">
            <v>BUS</v>
          </cell>
          <cell r="F2509" t="str">
            <v xml:space="preserve">BUS-X </v>
          </cell>
          <cell r="G2509">
            <v>530</v>
          </cell>
          <cell r="H2509" t="str">
            <v>BUS-X 530</v>
          </cell>
          <cell r="K2509" t="str">
            <v>Nichols,Gale Gold</v>
          </cell>
          <cell r="N2509" t="str">
            <v>NR</v>
          </cell>
          <cell r="O2509" t="str">
            <v>NR</v>
          </cell>
        </row>
        <row r="2510">
          <cell r="E2510" t="str">
            <v>BUS</v>
          </cell>
          <cell r="F2510" t="str">
            <v xml:space="preserve">BUS-X </v>
          </cell>
          <cell r="G2510">
            <v>530</v>
          </cell>
          <cell r="H2510" t="str">
            <v>BUS-X 530</v>
          </cell>
          <cell r="K2510" t="str">
            <v>Nichols,Gale Gold</v>
          </cell>
          <cell r="N2510" t="str">
            <v>NR</v>
          </cell>
          <cell r="O2510" t="str">
            <v>NR</v>
          </cell>
        </row>
        <row r="2511">
          <cell r="E2511" t="str">
            <v>BUS</v>
          </cell>
          <cell r="F2511" t="str">
            <v xml:space="preserve">BUS-X </v>
          </cell>
          <cell r="G2511">
            <v>530</v>
          </cell>
          <cell r="H2511" t="str">
            <v>BUS-X 530</v>
          </cell>
          <cell r="K2511" t="str">
            <v>Nichols,Gale Gold</v>
          </cell>
          <cell r="N2511" t="str">
            <v>NR</v>
          </cell>
          <cell r="O2511" t="str">
            <v>NR</v>
          </cell>
        </row>
        <row r="2512">
          <cell r="E2512" t="str">
            <v>BUS</v>
          </cell>
          <cell r="F2512" t="str">
            <v xml:space="preserve">BUS-X </v>
          </cell>
          <cell r="G2512">
            <v>530</v>
          </cell>
          <cell r="H2512" t="str">
            <v>BUS-X 530</v>
          </cell>
          <cell r="K2512" t="str">
            <v>Nichols,Gale Gold</v>
          </cell>
          <cell r="N2512" t="str">
            <v>NR</v>
          </cell>
          <cell r="O2512" t="str">
            <v>NR</v>
          </cell>
        </row>
        <row r="2513">
          <cell r="E2513" t="str">
            <v>BUS</v>
          </cell>
          <cell r="F2513" t="str">
            <v xml:space="preserve">BUS-X </v>
          </cell>
          <cell r="G2513">
            <v>530</v>
          </cell>
          <cell r="H2513" t="str">
            <v>BUS-X 530</v>
          </cell>
          <cell r="K2513" t="str">
            <v>Nichols,Gale Gold</v>
          </cell>
          <cell r="N2513" t="str">
            <v>NR</v>
          </cell>
          <cell r="O2513" t="str">
            <v>NR</v>
          </cell>
        </row>
        <row r="2514">
          <cell r="E2514" t="str">
            <v>BUS</v>
          </cell>
          <cell r="F2514" t="str">
            <v xml:space="preserve">BUS-X </v>
          </cell>
          <cell r="G2514">
            <v>530</v>
          </cell>
          <cell r="H2514" t="str">
            <v>BUS-X 530</v>
          </cell>
          <cell r="K2514" t="str">
            <v>Nichols,Gale Gold</v>
          </cell>
          <cell r="N2514" t="str">
            <v>NR</v>
          </cell>
          <cell r="O2514" t="str">
            <v>NR</v>
          </cell>
        </row>
        <row r="2515">
          <cell r="E2515" t="str">
            <v>BUS</v>
          </cell>
          <cell r="F2515" t="str">
            <v xml:space="preserve">BUS-X </v>
          </cell>
          <cell r="G2515">
            <v>530</v>
          </cell>
          <cell r="H2515" t="str">
            <v>BUS-X 530</v>
          </cell>
          <cell r="K2515" t="str">
            <v>Nichols,Gale Gold</v>
          </cell>
          <cell r="N2515" t="str">
            <v>NR</v>
          </cell>
          <cell r="O2515" t="str">
            <v>NR</v>
          </cell>
        </row>
        <row r="2516">
          <cell r="E2516" t="str">
            <v>BUS</v>
          </cell>
          <cell r="F2516" t="str">
            <v xml:space="preserve">BUS-X </v>
          </cell>
          <cell r="G2516">
            <v>530</v>
          </cell>
          <cell r="H2516" t="str">
            <v>BUS-X 530</v>
          </cell>
          <cell r="K2516" t="str">
            <v>Nichols,Gale Gold</v>
          </cell>
          <cell r="N2516" t="str">
            <v>NR</v>
          </cell>
          <cell r="O2516" t="str">
            <v>NR</v>
          </cell>
        </row>
        <row r="2517">
          <cell r="E2517" t="str">
            <v>BUS</v>
          </cell>
          <cell r="F2517" t="str">
            <v xml:space="preserve">BUS-X </v>
          </cell>
          <cell r="G2517">
            <v>530</v>
          </cell>
          <cell r="H2517" t="str">
            <v>BUS-X 530</v>
          </cell>
          <cell r="K2517" t="str">
            <v>Nichols,Gale Gold</v>
          </cell>
          <cell r="N2517" t="str">
            <v>NR</v>
          </cell>
          <cell r="O2517" t="str">
            <v>NR</v>
          </cell>
        </row>
        <row r="2518">
          <cell r="E2518" t="str">
            <v>BUS</v>
          </cell>
          <cell r="F2518" t="str">
            <v xml:space="preserve">BUS-X </v>
          </cell>
          <cell r="G2518">
            <v>540</v>
          </cell>
          <cell r="H2518" t="str">
            <v>BUS-X 540</v>
          </cell>
          <cell r="K2518" t="str">
            <v>Nichols,Gale Gold</v>
          </cell>
          <cell r="N2518" t="str">
            <v>NR</v>
          </cell>
          <cell r="O2518" t="str">
            <v>NR</v>
          </cell>
        </row>
        <row r="2519">
          <cell r="E2519" t="str">
            <v>BUS</v>
          </cell>
          <cell r="F2519" t="str">
            <v xml:space="preserve">BUS-X </v>
          </cell>
          <cell r="G2519">
            <v>540</v>
          </cell>
          <cell r="H2519" t="str">
            <v>BUS-X 540</v>
          </cell>
          <cell r="K2519" t="str">
            <v>Nichols,Gale Gold</v>
          </cell>
          <cell r="N2519" t="str">
            <v>NR</v>
          </cell>
          <cell r="O2519" t="str">
            <v>NR</v>
          </cell>
        </row>
        <row r="2520">
          <cell r="E2520" t="str">
            <v>BUS</v>
          </cell>
          <cell r="F2520" t="str">
            <v xml:space="preserve">BUS-X </v>
          </cell>
          <cell r="G2520">
            <v>574</v>
          </cell>
          <cell r="H2520" t="str">
            <v>BUS-X 574</v>
          </cell>
          <cell r="K2520" t="str">
            <v>Fella,Sheri Lynn</v>
          </cell>
          <cell r="N2520">
            <v>4</v>
          </cell>
          <cell r="O2520">
            <v>3.6030000000000002</v>
          </cell>
        </row>
        <row r="2521">
          <cell r="E2521" t="str">
            <v>BUS</v>
          </cell>
          <cell r="F2521" t="str">
            <v xml:space="preserve">BUS-X </v>
          </cell>
          <cell r="G2521">
            <v>574</v>
          </cell>
          <cell r="H2521" t="str">
            <v>BUS-X 574</v>
          </cell>
          <cell r="K2521" t="str">
            <v>Powell,Philip T.</v>
          </cell>
          <cell r="N2521">
            <v>3.919</v>
          </cell>
          <cell r="O2521">
            <v>3.585</v>
          </cell>
        </row>
        <row r="2522">
          <cell r="E2522" t="str">
            <v>BUS</v>
          </cell>
          <cell r="F2522" t="str">
            <v xml:space="preserve">BUS-X </v>
          </cell>
          <cell r="G2522">
            <v>574</v>
          </cell>
          <cell r="H2522" t="str">
            <v>BUS-X 574</v>
          </cell>
          <cell r="K2522" t="str">
            <v>Wahlen,James M.</v>
          </cell>
          <cell r="N2522">
            <v>4</v>
          </cell>
          <cell r="O2522">
            <v>3.5939999999999999</v>
          </cell>
        </row>
        <row r="2523">
          <cell r="E2523" t="str">
            <v>BUS</v>
          </cell>
          <cell r="F2523" t="str">
            <v xml:space="preserve">BUS-X </v>
          </cell>
          <cell r="G2523">
            <v>575</v>
          </cell>
          <cell r="H2523" t="str">
            <v>BUS-X 575</v>
          </cell>
          <cell r="K2523" t="str">
            <v>Vargo,Susan S.</v>
          </cell>
          <cell r="N2523">
            <v>4</v>
          </cell>
          <cell r="O2523">
            <v>3.3849999999999998</v>
          </cell>
        </row>
        <row r="2524">
          <cell r="E2524" t="str">
            <v>BUS</v>
          </cell>
          <cell r="F2524" t="str">
            <v xml:space="preserve">BUS-X </v>
          </cell>
          <cell r="G2524">
            <v>576</v>
          </cell>
          <cell r="H2524" t="str">
            <v>BUS-X 576</v>
          </cell>
          <cell r="K2524" t="str">
            <v>Garcia,P. Roberto</v>
          </cell>
          <cell r="N2524">
            <v>3.7469999999999999</v>
          </cell>
          <cell r="O2524">
            <v>3.3809999999999998</v>
          </cell>
        </row>
        <row r="2525">
          <cell r="E2525" t="str">
            <v>BUS</v>
          </cell>
          <cell r="F2525" t="str">
            <v xml:space="preserve">BUS-X </v>
          </cell>
          <cell r="G2525">
            <v>576</v>
          </cell>
          <cell r="H2525" t="str">
            <v>BUS-X 576</v>
          </cell>
          <cell r="K2525" t="str">
            <v>Pratt,James H.</v>
          </cell>
          <cell r="N2525">
            <v>4</v>
          </cell>
          <cell r="O2525">
            <v>3.4830000000000001</v>
          </cell>
        </row>
        <row r="2526">
          <cell r="E2526" t="str">
            <v>BUS</v>
          </cell>
          <cell r="F2526" t="str">
            <v xml:space="preserve">BUS-X </v>
          </cell>
          <cell r="G2526">
            <v>577</v>
          </cell>
          <cell r="H2526" t="str">
            <v>BUS-X 577</v>
          </cell>
          <cell r="K2526" t="str">
            <v>Nichols,Gale Gold</v>
          </cell>
          <cell r="N2526" t="str">
            <v>NR</v>
          </cell>
          <cell r="O2526" t="str">
            <v>NR</v>
          </cell>
        </row>
        <row r="2527">
          <cell r="E2527" t="str">
            <v>BUS</v>
          </cell>
          <cell r="F2527" t="str">
            <v xml:space="preserve">BUS-X </v>
          </cell>
          <cell r="G2527">
            <v>577</v>
          </cell>
          <cell r="H2527" t="str">
            <v>BUS-X 577</v>
          </cell>
          <cell r="K2527" t="str">
            <v>Nichols,Gale Gold</v>
          </cell>
          <cell r="N2527">
            <v>3.855</v>
          </cell>
          <cell r="O2527">
            <v>3.4769999999999999</v>
          </cell>
        </row>
        <row r="2528">
          <cell r="E2528" t="str">
            <v>BUS</v>
          </cell>
          <cell r="F2528" t="str">
            <v xml:space="preserve">BUS-X </v>
          </cell>
          <cell r="G2528">
            <v>590</v>
          </cell>
          <cell r="H2528" t="str">
            <v>BUS-X 590</v>
          </cell>
          <cell r="K2528" t="str">
            <v>Powell,Philip T.</v>
          </cell>
          <cell r="N2528">
            <v>4</v>
          </cell>
          <cell r="O2528">
            <v>3.6859999999999999</v>
          </cell>
        </row>
        <row r="2529">
          <cell r="E2529" t="str">
            <v>BUS</v>
          </cell>
          <cell r="F2529" t="str">
            <v xml:space="preserve">BUS-X </v>
          </cell>
          <cell r="G2529">
            <v>610</v>
          </cell>
          <cell r="H2529" t="str">
            <v>BUS-X 610</v>
          </cell>
          <cell r="K2529" t="str">
            <v>Aguinis,Herman</v>
          </cell>
          <cell r="N2529" t="str">
            <v>NR</v>
          </cell>
          <cell r="O2529" t="str">
            <v>NR</v>
          </cell>
        </row>
        <row r="2530">
          <cell r="E2530" t="str">
            <v>BUS</v>
          </cell>
          <cell r="F2530" t="str">
            <v xml:space="preserve">BUS-X </v>
          </cell>
          <cell r="G2530">
            <v>611</v>
          </cell>
          <cell r="H2530" t="str">
            <v>BUS-X 611</v>
          </cell>
          <cell r="K2530" t="str">
            <v>Acito,Franklin</v>
          </cell>
          <cell r="N2530">
            <v>3.7909999999999999</v>
          </cell>
          <cell r="O2530">
            <v>3.6619999999999999</v>
          </cell>
        </row>
        <row r="2531">
          <cell r="E2531" t="str">
            <v>BUS</v>
          </cell>
          <cell r="F2531" t="str">
            <v xml:space="preserve">BUS-X </v>
          </cell>
          <cell r="G2531">
            <v>630</v>
          </cell>
          <cell r="H2531" t="str">
            <v>BUS-X 630</v>
          </cell>
          <cell r="K2531" t="str">
            <v>Near,Janet P.</v>
          </cell>
          <cell r="N2531">
            <v>4</v>
          </cell>
          <cell r="O2531">
            <v>3.7879999999999998</v>
          </cell>
        </row>
        <row r="2532">
          <cell r="E2532" t="str">
            <v>BUS</v>
          </cell>
          <cell r="F2532" t="str">
            <v xml:space="preserve">BUS-X </v>
          </cell>
          <cell r="G2532">
            <v>680</v>
          </cell>
          <cell r="H2532" t="str">
            <v>BUS-X 680</v>
          </cell>
          <cell r="K2532" t="str">
            <v>Bretthauer,Kurt Michael</v>
          </cell>
          <cell r="N2532" t="str">
            <v>NR</v>
          </cell>
          <cell r="O2532" t="str">
            <v>NR</v>
          </cell>
        </row>
        <row r="2533">
          <cell r="E2533" t="str">
            <v>BUS</v>
          </cell>
          <cell r="F2533" t="str">
            <v xml:space="preserve">BUS-X </v>
          </cell>
          <cell r="G2533">
            <v>680</v>
          </cell>
          <cell r="H2533" t="str">
            <v>BUS-X 680</v>
          </cell>
          <cell r="K2533" t="str">
            <v>Massey,Anne P.</v>
          </cell>
          <cell r="N2533" t="str">
            <v>NR</v>
          </cell>
          <cell r="O2533" t="str">
            <v>NR</v>
          </cell>
        </row>
        <row r="2534">
          <cell r="E2534" t="str">
            <v>BUS</v>
          </cell>
          <cell r="F2534" t="str">
            <v xml:space="preserve">BUS-X </v>
          </cell>
          <cell r="G2534">
            <v>799</v>
          </cell>
          <cell r="H2534" t="str">
            <v>BUS-X 799</v>
          </cell>
          <cell r="K2534" t="str">
            <v>Bretthauer,Kurt Michael</v>
          </cell>
          <cell r="N2534" t="str">
            <v>NR</v>
          </cell>
          <cell r="O2534" t="str">
            <v>NR</v>
          </cell>
        </row>
        <row r="2535">
          <cell r="E2535" t="str">
            <v>BUS</v>
          </cell>
          <cell r="F2535" t="str">
            <v xml:space="preserve">BUS-X </v>
          </cell>
          <cell r="G2535">
            <v>799</v>
          </cell>
          <cell r="H2535" t="str">
            <v>BUS-X 799</v>
          </cell>
          <cell r="K2535" t="str">
            <v>Massey,Anne P.</v>
          </cell>
          <cell r="N2535" t="str">
            <v>NR</v>
          </cell>
          <cell r="O2535" t="str">
            <v>NR</v>
          </cell>
        </row>
        <row r="2536">
          <cell r="E2536" t="str">
            <v>BUS</v>
          </cell>
          <cell r="F2536" t="str">
            <v xml:space="preserve">BUS-Z </v>
          </cell>
          <cell r="G2536">
            <v>302</v>
          </cell>
          <cell r="H2536" t="str">
            <v>BUS-Z 302</v>
          </cell>
          <cell r="K2536" t="str">
            <v>Baldwin,Timothy T.</v>
          </cell>
          <cell r="N2536">
            <v>3.17</v>
          </cell>
          <cell r="O2536">
            <v>3.246</v>
          </cell>
        </row>
        <row r="2537">
          <cell r="E2537" t="str">
            <v>BUS</v>
          </cell>
          <cell r="F2537" t="str">
            <v xml:space="preserve">BUS-Z </v>
          </cell>
          <cell r="G2537">
            <v>302</v>
          </cell>
          <cell r="H2537" t="str">
            <v>BUS-Z 302</v>
          </cell>
          <cell r="K2537" t="str">
            <v>Baldwin,Timothy T.</v>
          </cell>
          <cell r="N2537">
            <v>3.2029999999999998</v>
          </cell>
          <cell r="O2537">
            <v>3.2360000000000002</v>
          </cell>
        </row>
        <row r="2538">
          <cell r="E2538" t="str">
            <v>BUS</v>
          </cell>
          <cell r="F2538" t="str">
            <v xml:space="preserve">BUS-Z </v>
          </cell>
          <cell r="G2538">
            <v>302</v>
          </cell>
          <cell r="H2538" t="str">
            <v>BUS-Z 302</v>
          </cell>
          <cell r="K2538" t="str">
            <v>Baldwin,Timothy T.</v>
          </cell>
          <cell r="N2538">
            <v>3.2410000000000001</v>
          </cell>
          <cell r="O2538">
            <v>3.286</v>
          </cell>
        </row>
        <row r="2539">
          <cell r="E2539" t="str">
            <v>BUS</v>
          </cell>
          <cell r="F2539" t="str">
            <v xml:space="preserve">BUS-Z </v>
          </cell>
          <cell r="G2539">
            <v>302</v>
          </cell>
          <cell r="H2539" t="str">
            <v>BUS-Z 302</v>
          </cell>
          <cell r="K2539" t="str">
            <v>Mishra,Paresh</v>
          </cell>
          <cell r="N2539">
            <v>3.1869999999999998</v>
          </cell>
          <cell r="O2539">
            <v>3.218</v>
          </cell>
        </row>
        <row r="2540">
          <cell r="E2540" t="str">
            <v>BUS</v>
          </cell>
          <cell r="F2540" t="str">
            <v xml:space="preserve">BUS-Z </v>
          </cell>
          <cell r="G2540">
            <v>302</v>
          </cell>
          <cell r="H2540" t="str">
            <v>BUS-Z 302</v>
          </cell>
          <cell r="K2540" t="str">
            <v>Whiting,Steven W</v>
          </cell>
          <cell r="N2540">
            <v>3.0289999999999999</v>
          </cell>
          <cell r="O2540">
            <v>3.2429999999999999</v>
          </cell>
        </row>
        <row r="2541">
          <cell r="E2541" t="str">
            <v>BUS</v>
          </cell>
          <cell r="F2541" t="str">
            <v xml:space="preserve">BUS-Z </v>
          </cell>
          <cell r="G2541">
            <v>302</v>
          </cell>
          <cell r="H2541" t="str">
            <v>BUS-Z 302</v>
          </cell>
          <cell r="K2541" t="str">
            <v>Whiting,Steven W</v>
          </cell>
          <cell r="N2541">
            <v>3.0739999999999998</v>
          </cell>
          <cell r="O2541">
            <v>3.278</v>
          </cell>
        </row>
        <row r="2542">
          <cell r="E2542" t="str">
            <v>BUS</v>
          </cell>
          <cell r="F2542" t="str">
            <v xml:space="preserve">BUS-Z </v>
          </cell>
          <cell r="G2542">
            <v>302</v>
          </cell>
          <cell r="H2542" t="str">
            <v>BUS-Z 302</v>
          </cell>
          <cell r="K2542" t="str">
            <v>Whiting,Steven W</v>
          </cell>
          <cell r="N2542">
            <v>3.0419999999999998</v>
          </cell>
          <cell r="O2542">
            <v>3.1480000000000001</v>
          </cell>
        </row>
        <row r="2543">
          <cell r="E2543" t="str">
            <v>BUS</v>
          </cell>
          <cell r="F2543" t="str">
            <v xml:space="preserve">BUS-Z </v>
          </cell>
          <cell r="G2543">
            <v>302</v>
          </cell>
          <cell r="H2543" t="str">
            <v>BUS-Z 302</v>
          </cell>
          <cell r="N2543" t="str">
            <v>NR</v>
          </cell>
          <cell r="O2543" t="str">
            <v>NR</v>
          </cell>
        </row>
        <row r="2544">
          <cell r="E2544" t="str">
            <v>BUS</v>
          </cell>
          <cell r="F2544" t="str">
            <v xml:space="preserve">BUS-Z </v>
          </cell>
          <cell r="G2544">
            <v>304</v>
          </cell>
          <cell r="H2544" t="str">
            <v>BUS-Z 304</v>
          </cell>
          <cell r="K2544" t="str">
            <v>Gottfredson,Ryan Kenneth</v>
          </cell>
          <cell r="N2544">
            <v>3.89</v>
          </cell>
          <cell r="O2544">
            <v>3.7080000000000002</v>
          </cell>
        </row>
        <row r="2545">
          <cell r="E2545" t="str">
            <v>BUS</v>
          </cell>
          <cell r="F2545" t="str">
            <v xml:space="preserve">BUS-Z </v>
          </cell>
          <cell r="G2545">
            <v>304</v>
          </cell>
          <cell r="H2545" t="str">
            <v>BUS-Z 304</v>
          </cell>
          <cell r="K2545" t="str">
            <v>Gottfredson,Ryan Kenneth</v>
          </cell>
          <cell r="N2545">
            <v>3.78</v>
          </cell>
          <cell r="O2545">
            <v>3.6509999999999998</v>
          </cell>
        </row>
        <row r="2546">
          <cell r="E2546" t="str">
            <v>BUS</v>
          </cell>
          <cell r="F2546" t="str">
            <v xml:space="preserve">BUS-Z </v>
          </cell>
          <cell r="G2546">
            <v>340</v>
          </cell>
          <cell r="H2546" t="str">
            <v>BUS-Z 340</v>
          </cell>
          <cell r="K2546" t="str">
            <v>Fella,Sheri Lynn</v>
          </cell>
          <cell r="N2546">
            <v>3.42</v>
          </cell>
          <cell r="O2546">
            <v>3.3410000000000002</v>
          </cell>
        </row>
        <row r="2547">
          <cell r="E2547" t="str">
            <v>BUS</v>
          </cell>
          <cell r="F2547" t="str">
            <v xml:space="preserve">BUS-Z </v>
          </cell>
          <cell r="G2547">
            <v>340</v>
          </cell>
          <cell r="H2547" t="str">
            <v>BUS-Z 340</v>
          </cell>
          <cell r="K2547" t="str">
            <v>Fella,Sheri Lynn</v>
          </cell>
          <cell r="N2547">
            <v>3.4529999999999998</v>
          </cell>
          <cell r="O2547">
            <v>3.3730000000000002</v>
          </cell>
        </row>
        <row r="2548">
          <cell r="E2548" t="str">
            <v>BUS</v>
          </cell>
          <cell r="F2548" t="str">
            <v xml:space="preserve">BUS-Z </v>
          </cell>
          <cell r="G2548">
            <v>404</v>
          </cell>
          <cell r="H2548" t="str">
            <v>BUS-Z 404</v>
          </cell>
          <cell r="K2548" t="str">
            <v>Dunn-Jensen,Linda M.</v>
          </cell>
          <cell r="N2548">
            <v>3.7250000000000001</v>
          </cell>
          <cell r="O2548">
            <v>3.1890000000000001</v>
          </cell>
        </row>
        <row r="2549">
          <cell r="E2549" t="str">
            <v>BUS</v>
          </cell>
          <cell r="F2549" t="str">
            <v xml:space="preserve">BUS-Z </v>
          </cell>
          <cell r="G2549">
            <v>404</v>
          </cell>
          <cell r="H2549" t="str">
            <v>BUS-Z 404</v>
          </cell>
          <cell r="K2549" t="str">
            <v>Fella,Sheri Lynn</v>
          </cell>
          <cell r="N2549">
            <v>3.3660000000000001</v>
          </cell>
          <cell r="O2549">
            <v>3.3039999999999998</v>
          </cell>
        </row>
        <row r="2550">
          <cell r="E2550" t="str">
            <v>BUS</v>
          </cell>
          <cell r="F2550" t="str">
            <v xml:space="preserve">BUS-Z </v>
          </cell>
          <cell r="G2550">
            <v>447</v>
          </cell>
          <cell r="H2550" t="str">
            <v>BUS-Z 447</v>
          </cell>
          <cell r="K2550" t="str">
            <v>Dunn-Jensen,Linda M.</v>
          </cell>
          <cell r="N2550">
            <v>3.9580000000000002</v>
          </cell>
          <cell r="O2550">
            <v>3.242</v>
          </cell>
        </row>
        <row r="2551">
          <cell r="E2551" t="str">
            <v>BUS</v>
          </cell>
          <cell r="F2551" t="str">
            <v xml:space="preserve">BUS-Z </v>
          </cell>
          <cell r="G2551">
            <v>447</v>
          </cell>
          <cell r="H2551" t="str">
            <v>BUS-Z 447</v>
          </cell>
          <cell r="K2551" t="str">
            <v>Joo,Harry</v>
          </cell>
          <cell r="N2551">
            <v>3.968</v>
          </cell>
          <cell r="O2551">
            <v>3.4460000000000002</v>
          </cell>
        </row>
        <row r="2552">
          <cell r="E2552" t="str">
            <v>BUS</v>
          </cell>
          <cell r="F2552" t="str">
            <v xml:space="preserve">BUS-Z </v>
          </cell>
          <cell r="G2552">
            <v>490</v>
          </cell>
          <cell r="H2552" t="str">
            <v>BUS-Z 490</v>
          </cell>
          <cell r="K2552" t="str">
            <v>Near,Janet P.</v>
          </cell>
          <cell r="N2552" t="str">
            <v>NR</v>
          </cell>
          <cell r="O2552" t="str">
            <v>NR</v>
          </cell>
        </row>
        <row r="2553">
          <cell r="E2553" t="str">
            <v>BUS</v>
          </cell>
          <cell r="F2553" t="str">
            <v xml:space="preserve">BUS-Z </v>
          </cell>
          <cell r="G2553">
            <v>494</v>
          </cell>
          <cell r="H2553" t="str">
            <v>BUS-Z 494</v>
          </cell>
          <cell r="K2553" t="str">
            <v>Baldwin,Timothy T.</v>
          </cell>
          <cell r="N2553">
            <v>3.9180000000000001</v>
          </cell>
          <cell r="O2553">
            <v>3.7250000000000001</v>
          </cell>
        </row>
        <row r="2554">
          <cell r="E2554" t="str">
            <v>BUS</v>
          </cell>
          <cell r="F2554" t="str">
            <v xml:space="preserve">BUS-Z </v>
          </cell>
          <cell r="G2554">
            <v>494</v>
          </cell>
          <cell r="H2554" t="str">
            <v>BUS-Z 494</v>
          </cell>
          <cell r="K2554" t="str">
            <v>Schlegel,Fred H</v>
          </cell>
          <cell r="N2554">
            <v>4</v>
          </cell>
          <cell r="O2554">
            <v>3.734</v>
          </cell>
        </row>
        <row r="2555">
          <cell r="E2555" t="str">
            <v>BUS</v>
          </cell>
          <cell r="F2555" t="str">
            <v xml:space="preserve">BUS-Z </v>
          </cell>
          <cell r="G2555">
            <v>494</v>
          </cell>
          <cell r="H2555" t="str">
            <v>BUS-Z 494</v>
          </cell>
          <cell r="K2555" t="str">
            <v>Wiethoff,Carolyn Marie</v>
          </cell>
          <cell r="N2555">
            <v>3.9820000000000002</v>
          </cell>
          <cell r="O2555">
            <v>3.7709999999999999</v>
          </cell>
        </row>
        <row r="2556">
          <cell r="E2556" t="str">
            <v>BUS</v>
          </cell>
          <cell r="F2556" t="str">
            <v xml:space="preserve">BUS-Z </v>
          </cell>
          <cell r="G2556">
            <v>525</v>
          </cell>
          <cell r="H2556" t="str">
            <v>BUS-Z 525</v>
          </cell>
          <cell r="K2556" t="str">
            <v>Podsakoff,Philip M.</v>
          </cell>
          <cell r="N2556">
            <v>3.4849999999999999</v>
          </cell>
          <cell r="O2556">
            <v>3.5510000000000002</v>
          </cell>
        </row>
        <row r="2557">
          <cell r="E2557" t="str">
            <v>BUS</v>
          </cell>
          <cell r="F2557" t="str">
            <v xml:space="preserve">BUS-Z </v>
          </cell>
          <cell r="G2557">
            <v>525</v>
          </cell>
          <cell r="H2557" t="str">
            <v>BUS-Z 525</v>
          </cell>
          <cell r="K2557" t="str">
            <v>Podsakoff,Philip M.</v>
          </cell>
          <cell r="N2557">
            <v>3.5259999999999998</v>
          </cell>
          <cell r="O2557">
            <v>3.5739999999999998</v>
          </cell>
        </row>
        <row r="2558">
          <cell r="E2558" t="str">
            <v>BUS</v>
          </cell>
          <cell r="F2558" t="str">
            <v xml:space="preserve">BUS-Z </v>
          </cell>
          <cell r="G2558">
            <v>540</v>
          </cell>
          <cell r="H2558" t="str">
            <v>BUS-Z 540</v>
          </cell>
          <cell r="K2558" t="str">
            <v>Fella,Sheri Lynn</v>
          </cell>
          <cell r="N2558">
            <v>3.4180000000000001</v>
          </cell>
          <cell r="O2558">
            <v>3.5489999999999999</v>
          </cell>
        </row>
        <row r="2559">
          <cell r="E2559" t="str">
            <v>BUS</v>
          </cell>
          <cell r="F2559" t="str">
            <v xml:space="preserve">BUS-Z </v>
          </cell>
          <cell r="G2559">
            <v>590</v>
          </cell>
          <cell r="H2559" t="str">
            <v>BUS-Z 590</v>
          </cell>
          <cell r="K2559" t="str">
            <v>Covin,Jeffrey G</v>
          </cell>
          <cell r="N2559" t="str">
            <v>NR</v>
          </cell>
          <cell r="O2559" t="str">
            <v>NR</v>
          </cell>
        </row>
        <row r="2560">
          <cell r="E2560" t="str">
            <v>BUS</v>
          </cell>
          <cell r="F2560" t="str">
            <v xml:space="preserve">BUS-Z </v>
          </cell>
          <cell r="G2560">
            <v>615</v>
          </cell>
          <cell r="H2560" t="str">
            <v>BUS-Z 615</v>
          </cell>
          <cell r="K2560" t="str">
            <v>Aguinis,Herman</v>
          </cell>
          <cell r="N2560">
            <v>3.5710000000000002</v>
          </cell>
          <cell r="O2560">
            <v>3.7639999999999998</v>
          </cell>
        </row>
        <row r="2561">
          <cell r="E2561" t="str">
            <v>BUS</v>
          </cell>
          <cell r="F2561" t="str">
            <v xml:space="preserve">BUS-Z </v>
          </cell>
          <cell r="G2561">
            <v>798</v>
          </cell>
          <cell r="H2561" t="str">
            <v>BUS-Z 798</v>
          </cell>
          <cell r="K2561" t="str">
            <v>Podsakoff,Philip M.</v>
          </cell>
          <cell r="N2561">
            <v>3.9</v>
          </cell>
          <cell r="O2561">
            <v>3.794</v>
          </cell>
        </row>
        <row r="2562">
          <cell r="E2562" t="str">
            <v>CEUS</v>
          </cell>
          <cell r="F2562" t="str">
            <v>CEUS-G</v>
          </cell>
          <cell r="G2562">
            <v>599</v>
          </cell>
          <cell r="H2562" t="str">
            <v>CEUS-G599</v>
          </cell>
          <cell r="K2562" t="str">
            <v>Atwood,Christopher P</v>
          </cell>
          <cell r="N2562" t="str">
            <v>NR</v>
          </cell>
          <cell r="O2562" t="str">
            <v>NR</v>
          </cell>
        </row>
        <row r="2563">
          <cell r="E2563" t="str">
            <v>CEUS</v>
          </cell>
          <cell r="F2563" t="str">
            <v>CEUS-G</v>
          </cell>
          <cell r="G2563">
            <v>901</v>
          </cell>
          <cell r="H2563" t="str">
            <v>CEUS-G901</v>
          </cell>
          <cell r="K2563" t="str">
            <v>Atwood,Christopher P</v>
          </cell>
          <cell r="N2563" t="str">
            <v>NR</v>
          </cell>
          <cell r="O2563" t="str">
            <v>NR</v>
          </cell>
        </row>
        <row r="2564">
          <cell r="E2564" t="str">
            <v>CEUS</v>
          </cell>
          <cell r="F2564" t="str">
            <v>CEUS-G</v>
          </cell>
          <cell r="G2564">
            <v>901</v>
          </cell>
          <cell r="H2564" t="str">
            <v>CEUS-G901</v>
          </cell>
          <cell r="K2564" t="str">
            <v>Atwood,Christopher P</v>
          </cell>
          <cell r="N2564" t="str">
            <v>NR</v>
          </cell>
          <cell r="O2564" t="str">
            <v>NR</v>
          </cell>
        </row>
        <row r="2565">
          <cell r="E2565" t="str">
            <v>CEUS</v>
          </cell>
          <cell r="F2565" t="str">
            <v>CEUS-R</v>
          </cell>
          <cell r="G2565">
            <v>199</v>
          </cell>
          <cell r="H2565" t="str">
            <v>CEUS-R199</v>
          </cell>
          <cell r="K2565" t="str">
            <v>Inomkhojayev,Rakhmon</v>
          </cell>
          <cell r="N2565">
            <v>3.3</v>
          </cell>
          <cell r="O2565">
            <v>2.851</v>
          </cell>
        </row>
        <row r="2566">
          <cell r="E2566" t="str">
            <v>CEUS</v>
          </cell>
          <cell r="F2566" t="str">
            <v>CEUS-R</v>
          </cell>
          <cell r="G2566">
            <v>199</v>
          </cell>
          <cell r="H2566" t="str">
            <v>CEUS-R199</v>
          </cell>
          <cell r="K2566" t="str">
            <v>Rabsal,Gedun</v>
          </cell>
          <cell r="N2566">
            <v>3.129</v>
          </cell>
          <cell r="O2566">
            <v>2.8319999999999999</v>
          </cell>
        </row>
        <row r="2567">
          <cell r="E2567" t="str">
            <v>CEUS</v>
          </cell>
          <cell r="F2567" t="str">
            <v>CEUS-R</v>
          </cell>
          <cell r="G2567">
            <v>199</v>
          </cell>
          <cell r="H2567" t="str">
            <v>CEUS-R199</v>
          </cell>
          <cell r="K2567" t="str">
            <v>Taurama,Mikko</v>
          </cell>
          <cell r="N2567">
            <v>3.0470000000000002</v>
          </cell>
          <cell r="O2567">
            <v>2.9380000000000002</v>
          </cell>
        </row>
        <row r="2568">
          <cell r="E2568" t="str">
            <v>CEUS</v>
          </cell>
          <cell r="F2568" t="str">
            <v>CEUS-R</v>
          </cell>
          <cell r="G2568">
            <v>250</v>
          </cell>
          <cell r="H2568" t="str">
            <v>CEUS-R250</v>
          </cell>
          <cell r="K2568" t="str">
            <v>Choksy,Jamsheed K.</v>
          </cell>
          <cell r="N2568">
            <v>3.7519999999999998</v>
          </cell>
          <cell r="O2568">
            <v>3.2829999999999999</v>
          </cell>
        </row>
        <row r="2569">
          <cell r="E2569" t="str">
            <v>CEUS</v>
          </cell>
          <cell r="F2569" t="str">
            <v>CEUS-R</v>
          </cell>
          <cell r="G2569">
            <v>299</v>
          </cell>
          <cell r="H2569" t="str">
            <v>CEUS-R299</v>
          </cell>
          <cell r="K2569" t="str">
            <v>Beben,Daniel Joseph</v>
          </cell>
          <cell r="N2569">
            <v>2.6</v>
          </cell>
          <cell r="O2569">
            <v>2.8279999999999998</v>
          </cell>
        </row>
        <row r="2570">
          <cell r="E2570" t="str">
            <v>CEUS</v>
          </cell>
          <cell r="F2570" t="str">
            <v>CEUS-R</v>
          </cell>
          <cell r="G2570">
            <v>299</v>
          </cell>
          <cell r="H2570" t="str">
            <v>CEUS-R299</v>
          </cell>
          <cell r="K2570" t="str">
            <v>Cwiek,Brian Edward</v>
          </cell>
          <cell r="N2570">
            <v>2.6419999999999999</v>
          </cell>
          <cell r="O2570">
            <v>2.6520000000000001</v>
          </cell>
        </row>
        <row r="2571">
          <cell r="E2571" t="str">
            <v>CEUS</v>
          </cell>
          <cell r="F2571" t="str">
            <v>CEUS-R</v>
          </cell>
          <cell r="G2571">
            <v>302</v>
          </cell>
          <cell r="H2571" t="str">
            <v>CEUS-R302</v>
          </cell>
          <cell r="K2571" t="str">
            <v>Raun,Toivo</v>
          </cell>
          <cell r="N2571" t="str">
            <v>NR</v>
          </cell>
          <cell r="O2571" t="str">
            <v>NR</v>
          </cell>
        </row>
        <row r="2572">
          <cell r="E2572" t="str">
            <v>CEUS</v>
          </cell>
          <cell r="F2572" t="str">
            <v>CEUS-R</v>
          </cell>
          <cell r="G2572">
            <v>309</v>
          </cell>
          <cell r="H2572" t="str">
            <v>CEUS-R309</v>
          </cell>
          <cell r="K2572" t="str">
            <v>Kivik,Piibi-Kai</v>
          </cell>
          <cell r="N2572">
            <v>2.81</v>
          </cell>
          <cell r="O2572">
            <v>2.4470000000000001</v>
          </cell>
        </row>
        <row r="2573">
          <cell r="E2573" t="str">
            <v>CEUS</v>
          </cell>
          <cell r="F2573" t="str">
            <v>CEUS-R</v>
          </cell>
          <cell r="G2573">
            <v>309</v>
          </cell>
          <cell r="H2573" t="str">
            <v>CEUS-R309</v>
          </cell>
          <cell r="K2573" t="str">
            <v>Kivik,Piibi-Kai</v>
          </cell>
          <cell r="N2573">
            <v>2.7330000000000001</v>
          </cell>
          <cell r="O2573">
            <v>2.7120000000000002</v>
          </cell>
        </row>
        <row r="2574">
          <cell r="E2574" t="str">
            <v>CEUS</v>
          </cell>
          <cell r="F2574" t="str">
            <v>CEUS-R</v>
          </cell>
          <cell r="G2574">
            <v>310</v>
          </cell>
          <cell r="H2574" t="str">
            <v>CEUS-R310</v>
          </cell>
          <cell r="K2574" t="str">
            <v>Walmsley,Nicholas Gerard</v>
          </cell>
          <cell r="N2574" t="str">
            <v>NR</v>
          </cell>
          <cell r="O2574" t="str">
            <v>NR</v>
          </cell>
        </row>
        <row r="2575">
          <cell r="E2575" t="str">
            <v>CEUS</v>
          </cell>
          <cell r="F2575" t="str">
            <v>CEUS-R</v>
          </cell>
          <cell r="G2575">
            <v>311</v>
          </cell>
          <cell r="H2575" t="str">
            <v>CEUS-R311</v>
          </cell>
          <cell r="K2575" t="str">
            <v>Sela,Ron</v>
          </cell>
          <cell r="N2575" t="str">
            <v>NR</v>
          </cell>
          <cell r="O2575" t="str">
            <v>NR</v>
          </cell>
        </row>
        <row r="2576">
          <cell r="E2576" t="str">
            <v>CEUS</v>
          </cell>
          <cell r="F2576" t="str">
            <v>CEUS-R</v>
          </cell>
          <cell r="G2576">
            <v>312</v>
          </cell>
          <cell r="H2576" t="str">
            <v>CEUS-R312</v>
          </cell>
          <cell r="K2576" t="str">
            <v>DeWeese,Devin A.</v>
          </cell>
          <cell r="N2576" t="str">
            <v>NR</v>
          </cell>
          <cell r="O2576" t="str">
            <v>NR</v>
          </cell>
        </row>
        <row r="2577">
          <cell r="E2577" t="str">
            <v>CEUS</v>
          </cell>
          <cell r="F2577" t="str">
            <v>CEUS-R</v>
          </cell>
          <cell r="G2577">
            <v>316</v>
          </cell>
          <cell r="H2577" t="str">
            <v>CEUS-R316</v>
          </cell>
          <cell r="K2577" t="str">
            <v>Shahrani,M. Nazif</v>
          </cell>
          <cell r="N2577" t="str">
            <v>NR</v>
          </cell>
          <cell r="O2577" t="str">
            <v>NR</v>
          </cell>
        </row>
        <row r="2578">
          <cell r="E2578" t="str">
            <v>CEUS</v>
          </cell>
          <cell r="F2578" t="str">
            <v>CEUS-R</v>
          </cell>
          <cell r="G2578">
            <v>330</v>
          </cell>
          <cell r="H2578" t="str">
            <v>CEUS-R330</v>
          </cell>
          <cell r="K2578" t="str">
            <v>Bovingdon,Gardner</v>
          </cell>
          <cell r="N2578" t="str">
            <v>NR</v>
          </cell>
          <cell r="O2578" t="str">
            <v>NR</v>
          </cell>
        </row>
        <row r="2579">
          <cell r="E2579" t="str">
            <v>CEUS</v>
          </cell>
          <cell r="F2579" t="str">
            <v>CEUS-R</v>
          </cell>
          <cell r="G2579">
            <v>349</v>
          </cell>
          <cell r="H2579" t="str">
            <v>CEUS-R349</v>
          </cell>
          <cell r="K2579" t="str">
            <v>Bertenyi,Ivan Jakab</v>
          </cell>
          <cell r="N2579" t="str">
            <v>NR</v>
          </cell>
          <cell r="O2579" t="str">
            <v>NR</v>
          </cell>
        </row>
        <row r="2580">
          <cell r="E2580" t="str">
            <v>CEUS</v>
          </cell>
          <cell r="F2580" t="str">
            <v>CEUS-R</v>
          </cell>
          <cell r="G2580">
            <v>349</v>
          </cell>
          <cell r="H2580" t="str">
            <v>CEUS-R349</v>
          </cell>
          <cell r="K2580" t="str">
            <v>Bertenyi,Ivan Jakab</v>
          </cell>
          <cell r="N2580">
            <v>1.3</v>
          </cell>
          <cell r="O2580">
            <v>2.625</v>
          </cell>
        </row>
        <row r="2581">
          <cell r="E2581" t="str">
            <v>CEUS</v>
          </cell>
          <cell r="F2581" t="str">
            <v>CEUS-R</v>
          </cell>
          <cell r="G2581">
            <v>349</v>
          </cell>
          <cell r="H2581" t="str">
            <v>CEUS-R349</v>
          </cell>
          <cell r="K2581" t="str">
            <v>Borhi,Laszlo</v>
          </cell>
          <cell r="N2581" t="str">
            <v>NR</v>
          </cell>
          <cell r="O2581" t="str">
            <v>NR</v>
          </cell>
        </row>
        <row r="2582">
          <cell r="E2582" t="str">
            <v>CEUS</v>
          </cell>
          <cell r="F2582" t="str">
            <v>CEUS-R</v>
          </cell>
          <cell r="G2582">
            <v>349</v>
          </cell>
          <cell r="H2582" t="str">
            <v>CEUS-R349</v>
          </cell>
          <cell r="K2582" t="str">
            <v>Borhi,Laszlo</v>
          </cell>
          <cell r="N2582" t="str">
            <v>NR</v>
          </cell>
          <cell r="O2582" t="str">
            <v>NR</v>
          </cell>
        </row>
        <row r="2583">
          <cell r="E2583" t="str">
            <v>CEUS</v>
          </cell>
          <cell r="F2583" t="str">
            <v>CEUS-R</v>
          </cell>
          <cell r="G2583">
            <v>349</v>
          </cell>
          <cell r="H2583" t="str">
            <v>CEUS-R349</v>
          </cell>
          <cell r="K2583" t="str">
            <v>Borhi,Laszlo</v>
          </cell>
          <cell r="N2583" t="str">
            <v>NR</v>
          </cell>
          <cell r="O2583" t="str">
            <v>NR</v>
          </cell>
        </row>
        <row r="2584">
          <cell r="E2584" t="str">
            <v>CEUS</v>
          </cell>
          <cell r="F2584" t="str">
            <v>CEUS-R</v>
          </cell>
          <cell r="G2584">
            <v>349</v>
          </cell>
          <cell r="H2584" t="str">
            <v>CEUS-R349</v>
          </cell>
          <cell r="K2584" t="str">
            <v>Hooker,Lynn Marie</v>
          </cell>
          <cell r="N2584" t="str">
            <v>NR</v>
          </cell>
          <cell r="O2584" t="str">
            <v>NR</v>
          </cell>
        </row>
        <row r="2585">
          <cell r="E2585" t="str">
            <v>CEUS</v>
          </cell>
          <cell r="F2585" t="str">
            <v>CEUS-R</v>
          </cell>
          <cell r="G2585">
            <v>351</v>
          </cell>
          <cell r="H2585" t="str">
            <v>CEUS-R351</v>
          </cell>
          <cell r="K2585" t="str">
            <v>Choksy,Jamsheed K.</v>
          </cell>
          <cell r="N2585">
            <v>3.665</v>
          </cell>
          <cell r="O2585">
            <v>3.036</v>
          </cell>
        </row>
        <row r="2586">
          <cell r="E2586" t="str">
            <v>CEUS</v>
          </cell>
          <cell r="F2586" t="str">
            <v>CEUS-R</v>
          </cell>
          <cell r="G2586">
            <v>360</v>
          </cell>
          <cell r="H2586" t="str">
            <v>CEUS-R360</v>
          </cell>
          <cell r="K2586" t="str">
            <v>Atwood,Christopher P</v>
          </cell>
          <cell r="N2586" t="str">
            <v>NR</v>
          </cell>
          <cell r="O2586" t="str">
            <v>NR</v>
          </cell>
        </row>
        <row r="2587">
          <cell r="E2587" t="str">
            <v>CEUS</v>
          </cell>
          <cell r="F2587" t="str">
            <v>CEUS-R</v>
          </cell>
          <cell r="G2587">
            <v>364</v>
          </cell>
          <cell r="H2587" t="str">
            <v>CEUS-R364</v>
          </cell>
          <cell r="K2587" t="str">
            <v>Kara,Gyorgy</v>
          </cell>
          <cell r="N2587" t="str">
            <v>NR</v>
          </cell>
          <cell r="O2587" t="str">
            <v>NR</v>
          </cell>
        </row>
        <row r="2588">
          <cell r="E2588" t="str">
            <v>CEUS</v>
          </cell>
          <cell r="F2588" t="str">
            <v>CEUS-R</v>
          </cell>
          <cell r="G2588">
            <v>371</v>
          </cell>
          <cell r="H2588" t="str">
            <v>CEUS-R371</v>
          </cell>
          <cell r="K2588" t="str">
            <v>Sperling,Elliot H.</v>
          </cell>
          <cell r="N2588" t="str">
            <v>NR</v>
          </cell>
          <cell r="O2588" t="str">
            <v>NR</v>
          </cell>
        </row>
        <row r="2589">
          <cell r="E2589" t="str">
            <v>CEUS</v>
          </cell>
          <cell r="F2589" t="str">
            <v>CEUS-R</v>
          </cell>
          <cell r="G2589">
            <v>372</v>
          </cell>
          <cell r="H2589" t="str">
            <v>CEUS-R372</v>
          </cell>
          <cell r="K2589" t="str">
            <v>Sperling,Elliot H.</v>
          </cell>
          <cell r="N2589">
            <v>3.6560000000000001</v>
          </cell>
          <cell r="O2589">
            <v>3.2290000000000001</v>
          </cell>
        </row>
        <row r="2590">
          <cell r="E2590" t="str">
            <v>CEUS</v>
          </cell>
          <cell r="F2590" t="str">
            <v>CEUS-R</v>
          </cell>
          <cell r="G2590">
            <v>394</v>
          </cell>
          <cell r="H2590" t="str">
            <v>CEUS-R394</v>
          </cell>
          <cell r="K2590" t="str">
            <v>Zlotin,Roman</v>
          </cell>
          <cell r="N2590">
            <v>3.6</v>
          </cell>
          <cell r="O2590">
            <v>2.9710000000000001</v>
          </cell>
        </row>
        <row r="2591">
          <cell r="E2591" t="str">
            <v>CEUS</v>
          </cell>
          <cell r="F2591" t="str">
            <v>CEUS-R</v>
          </cell>
          <cell r="G2591">
            <v>399</v>
          </cell>
          <cell r="H2591" t="str">
            <v>CEUS-R399</v>
          </cell>
          <cell r="K2591" t="str">
            <v>Beckwith,Christopher I.</v>
          </cell>
          <cell r="N2591" t="str">
            <v>NR</v>
          </cell>
          <cell r="O2591" t="str">
            <v>NR</v>
          </cell>
        </row>
        <row r="2592">
          <cell r="E2592" t="str">
            <v>CEUS</v>
          </cell>
          <cell r="F2592" t="str">
            <v>CEUS-R</v>
          </cell>
          <cell r="G2592">
            <v>399</v>
          </cell>
          <cell r="H2592" t="str">
            <v>CEUS-R399</v>
          </cell>
          <cell r="K2592" t="str">
            <v>Borhi,Laszlo</v>
          </cell>
          <cell r="N2592" t="str">
            <v>NR</v>
          </cell>
          <cell r="O2592" t="str">
            <v>NR</v>
          </cell>
        </row>
        <row r="2593">
          <cell r="E2593" t="str">
            <v>CEUS</v>
          </cell>
          <cell r="F2593" t="str">
            <v>CEUS-R</v>
          </cell>
          <cell r="G2593">
            <v>399</v>
          </cell>
          <cell r="H2593" t="str">
            <v>CEUS-R399</v>
          </cell>
          <cell r="K2593" t="str">
            <v>Bovingdon,Gardner</v>
          </cell>
          <cell r="N2593">
            <v>3.7629999999999999</v>
          </cell>
          <cell r="O2593">
            <v>3.6179999999999999</v>
          </cell>
        </row>
        <row r="2594">
          <cell r="E2594" t="str">
            <v>CEUS</v>
          </cell>
          <cell r="F2594" t="str">
            <v>CEUS-R</v>
          </cell>
          <cell r="G2594">
            <v>399</v>
          </cell>
          <cell r="H2594" t="str">
            <v>CEUS-R399</v>
          </cell>
          <cell r="K2594" t="str">
            <v>Kara,Gyorgy</v>
          </cell>
          <cell r="N2594" t="str">
            <v>NR</v>
          </cell>
          <cell r="O2594" t="str">
            <v>NR</v>
          </cell>
        </row>
        <row r="2595">
          <cell r="E2595" t="str">
            <v>CEUS</v>
          </cell>
          <cell r="F2595" t="str">
            <v>CEUS-R</v>
          </cell>
          <cell r="G2595">
            <v>412</v>
          </cell>
          <cell r="H2595" t="str">
            <v>CEUS-R412</v>
          </cell>
          <cell r="K2595" t="str">
            <v>Sela,Ron</v>
          </cell>
          <cell r="N2595" t="str">
            <v>NR</v>
          </cell>
          <cell r="O2595" t="str">
            <v>NR</v>
          </cell>
        </row>
        <row r="2596">
          <cell r="E2596" t="str">
            <v>CEUS</v>
          </cell>
          <cell r="F2596" t="str">
            <v>CEUS-R</v>
          </cell>
          <cell r="G2596">
            <v>413</v>
          </cell>
          <cell r="H2596" t="str">
            <v>CEUS-R413</v>
          </cell>
          <cell r="K2596" t="str">
            <v>DeWeese,Devin A.</v>
          </cell>
          <cell r="N2596" t="str">
            <v>NR</v>
          </cell>
          <cell r="O2596" t="str">
            <v>NR</v>
          </cell>
        </row>
        <row r="2597">
          <cell r="E2597" t="str">
            <v>CEUS</v>
          </cell>
          <cell r="F2597" t="str">
            <v>CEUS-R</v>
          </cell>
          <cell r="G2597">
            <v>414</v>
          </cell>
          <cell r="H2597" t="str">
            <v>CEUS-R414</v>
          </cell>
          <cell r="K2597" t="str">
            <v>DeWeese,Devin A.</v>
          </cell>
          <cell r="N2597" t="str">
            <v>NR</v>
          </cell>
          <cell r="O2597" t="str">
            <v>NR</v>
          </cell>
        </row>
        <row r="2598">
          <cell r="E2598" t="str">
            <v>CEUS</v>
          </cell>
          <cell r="F2598" t="str">
            <v>CEUS-R</v>
          </cell>
          <cell r="G2598">
            <v>461</v>
          </cell>
          <cell r="H2598" t="str">
            <v>CEUS-R461</v>
          </cell>
          <cell r="K2598" t="str">
            <v>Kara,Gyorgy</v>
          </cell>
          <cell r="N2598" t="str">
            <v>NR</v>
          </cell>
          <cell r="O2598" t="str">
            <v>NR</v>
          </cell>
        </row>
        <row r="2599">
          <cell r="E2599" t="str">
            <v>CEUS</v>
          </cell>
          <cell r="F2599" t="str">
            <v>CEUS-R</v>
          </cell>
          <cell r="G2599">
            <v>501</v>
          </cell>
          <cell r="H2599" t="str">
            <v>CEUS-R501</v>
          </cell>
          <cell r="K2599" t="str">
            <v>Raun,Toivo</v>
          </cell>
          <cell r="N2599" t="str">
            <v>NR</v>
          </cell>
          <cell r="O2599" t="str">
            <v>NR</v>
          </cell>
        </row>
        <row r="2600">
          <cell r="E2600" t="str">
            <v>CEUS</v>
          </cell>
          <cell r="F2600" t="str">
            <v>CEUS-R</v>
          </cell>
          <cell r="G2600">
            <v>502</v>
          </cell>
          <cell r="H2600" t="str">
            <v>CEUS-R502</v>
          </cell>
          <cell r="K2600" t="str">
            <v>Raun,Toivo</v>
          </cell>
          <cell r="N2600" t="str">
            <v>NR</v>
          </cell>
          <cell r="O2600" t="str">
            <v>NR</v>
          </cell>
        </row>
        <row r="2601">
          <cell r="E2601" t="str">
            <v>CEUS</v>
          </cell>
          <cell r="F2601" t="str">
            <v>CEUS-R</v>
          </cell>
          <cell r="G2601">
            <v>511</v>
          </cell>
          <cell r="H2601" t="str">
            <v>CEUS-R511</v>
          </cell>
          <cell r="K2601" t="str">
            <v>Sela,Ron</v>
          </cell>
          <cell r="N2601" t="str">
            <v>NR</v>
          </cell>
          <cell r="O2601" t="str">
            <v>NR</v>
          </cell>
        </row>
        <row r="2602">
          <cell r="E2602" t="str">
            <v>CEUS</v>
          </cell>
          <cell r="F2602" t="str">
            <v>CEUS-R</v>
          </cell>
          <cell r="G2602">
            <v>512</v>
          </cell>
          <cell r="H2602" t="str">
            <v>CEUS-R512</v>
          </cell>
          <cell r="K2602" t="str">
            <v>DeWeese,Devin A.</v>
          </cell>
          <cell r="N2602">
            <v>4</v>
          </cell>
          <cell r="O2602">
            <v>3.8250000000000002</v>
          </cell>
        </row>
        <row r="2603">
          <cell r="E2603" t="str">
            <v>CEUS</v>
          </cell>
          <cell r="F2603" t="str">
            <v>CEUS-R</v>
          </cell>
          <cell r="G2603">
            <v>516</v>
          </cell>
          <cell r="H2603" t="str">
            <v>CEUS-R516</v>
          </cell>
          <cell r="K2603" t="str">
            <v>Shahrani,M. Nazif</v>
          </cell>
          <cell r="N2603">
            <v>3.87</v>
          </cell>
          <cell r="O2603">
            <v>3.84</v>
          </cell>
        </row>
        <row r="2604">
          <cell r="E2604" t="str">
            <v>CEUS</v>
          </cell>
          <cell r="F2604" t="str">
            <v>CEUS-R</v>
          </cell>
          <cell r="G2604">
            <v>529</v>
          </cell>
          <cell r="H2604" t="str">
            <v>CEUS-R529</v>
          </cell>
          <cell r="K2604" t="str">
            <v>Fierman,William</v>
          </cell>
          <cell r="N2604" t="str">
            <v>NR</v>
          </cell>
          <cell r="O2604" t="str">
            <v>NR</v>
          </cell>
        </row>
        <row r="2605">
          <cell r="E2605" t="str">
            <v>CEUS</v>
          </cell>
          <cell r="F2605" t="str">
            <v>CEUS-R</v>
          </cell>
          <cell r="G2605">
            <v>530</v>
          </cell>
          <cell r="H2605" t="str">
            <v>CEUS-R530</v>
          </cell>
          <cell r="K2605" t="str">
            <v>Bovingdon,Gardner</v>
          </cell>
          <cell r="N2605">
            <v>3.827</v>
          </cell>
          <cell r="O2605">
            <v>3.8119999999999998</v>
          </cell>
        </row>
        <row r="2606">
          <cell r="E2606" t="str">
            <v>CEUS</v>
          </cell>
          <cell r="F2606" t="str">
            <v>CEUS-R</v>
          </cell>
          <cell r="G2606">
            <v>544</v>
          </cell>
          <cell r="H2606" t="str">
            <v>CEUS-R544</v>
          </cell>
          <cell r="K2606" t="str">
            <v>Bertenyi,Ivan Jakab</v>
          </cell>
          <cell r="N2606" t="str">
            <v>NR</v>
          </cell>
          <cell r="O2606" t="str">
            <v>NR</v>
          </cell>
        </row>
        <row r="2607">
          <cell r="E2607" t="str">
            <v>CEUS</v>
          </cell>
          <cell r="F2607" t="str">
            <v>CEUS-R</v>
          </cell>
          <cell r="G2607">
            <v>549</v>
          </cell>
          <cell r="H2607" t="str">
            <v>CEUS-R549</v>
          </cell>
          <cell r="K2607" t="str">
            <v>Bertenyi,Ivan Jakab</v>
          </cell>
          <cell r="N2607" t="str">
            <v>NR</v>
          </cell>
          <cell r="O2607" t="str">
            <v>NR</v>
          </cell>
        </row>
        <row r="2608">
          <cell r="E2608" t="str">
            <v>CEUS</v>
          </cell>
          <cell r="F2608" t="str">
            <v>CEUS-R</v>
          </cell>
          <cell r="G2608">
            <v>549</v>
          </cell>
          <cell r="H2608" t="str">
            <v>CEUS-R549</v>
          </cell>
          <cell r="K2608" t="str">
            <v>Borhi,Laszlo</v>
          </cell>
          <cell r="N2608" t="str">
            <v>NR</v>
          </cell>
          <cell r="O2608" t="str">
            <v>NR</v>
          </cell>
        </row>
        <row r="2609">
          <cell r="E2609" t="str">
            <v>CEUS</v>
          </cell>
          <cell r="F2609" t="str">
            <v>CEUS-R</v>
          </cell>
          <cell r="G2609">
            <v>549</v>
          </cell>
          <cell r="H2609" t="str">
            <v>CEUS-R549</v>
          </cell>
          <cell r="K2609" t="str">
            <v>Borhi,Laszlo</v>
          </cell>
          <cell r="N2609" t="str">
            <v>NR</v>
          </cell>
          <cell r="O2609" t="str">
            <v>NR</v>
          </cell>
        </row>
        <row r="2610">
          <cell r="E2610" t="str">
            <v>CEUS</v>
          </cell>
          <cell r="F2610" t="str">
            <v>CEUS-R</v>
          </cell>
          <cell r="G2610">
            <v>549</v>
          </cell>
          <cell r="H2610" t="str">
            <v>CEUS-R549</v>
          </cell>
          <cell r="K2610" t="str">
            <v>Hooker,Lynn Marie</v>
          </cell>
          <cell r="N2610" t="str">
            <v>NR</v>
          </cell>
          <cell r="O2610" t="str">
            <v>NR</v>
          </cell>
        </row>
        <row r="2611">
          <cell r="E2611" t="str">
            <v>CEUS</v>
          </cell>
          <cell r="F2611" t="str">
            <v>CEUS-R</v>
          </cell>
          <cell r="G2611">
            <v>551</v>
          </cell>
          <cell r="H2611" t="str">
            <v>CEUS-R551</v>
          </cell>
          <cell r="K2611" t="str">
            <v>Choksy,Jamsheed K.</v>
          </cell>
          <cell r="N2611" t="str">
            <v>NR</v>
          </cell>
          <cell r="O2611" t="str">
            <v>NR</v>
          </cell>
        </row>
        <row r="2612">
          <cell r="E2612" t="str">
            <v>CEUS</v>
          </cell>
          <cell r="F2612" t="str">
            <v>CEUS-R</v>
          </cell>
          <cell r="G2612">
            <v>560</v>
          </cell>
          <cell r="H2612" t="str">
            <v>CEUS-R560</v>
          </cell>
          <cell r="K2612" t="str">
            <v>Atwood,Christopher P</v>
          </cell>
          <cell r="N2612">
            <v>3.8879999999999999</v>
          </cell>
          <cell r="O2612">
            <v>3.9169999999999998</v>
          </cell>
        </row>
        <row r="2613">
          <cell r="E2613" t="str">
            <v>CEUS</v>
          </cell>
          <cell r="F2613" t="str">
            <v>CEUS-R</v>
          </cell>
          <cell r="G2613">
            <v>564</v>
          </cell>
          <cell r="H2613" t="str">
            <v>CEUS-R564</v>
          </cell>
          <cell r="K2613" t="str">
            <v>Kara,Gyorgy</v>
          </cell>
          <cell r="N2613" t="str">
            <v>NR</v>
          </cell>
          <cell r="O2613" t="str">
            <v>NR</v>
          </cell>
        </row>
        <row r="2614">
          <cell r="E2614" t="str">
            <v>CEUS</v>
          </cell>
          <cell r="F2614" t="str">
            <v>CEUS-R</v>
          </cell>
          <cell r="G2614">
            <v>571</v>
          </cell>
          <cell r="H2614" t="str">
            <v>CEUS-R571</v>
          </cell>
          <cell r="K2614" t="str">
            <v>Sperling,Elliot H.</v>
          </cell>
          <cell r="N2614">
            <v>3.9</v>
          </cell>
          <cell r="O2614">
            <v>3.9359999999999999</v>
          </cell>
        </row>
        <row r="2615">
          <cell r="E2615" t="str">
            <v>CEUS</v>
          </cell>
          <cell r="F2615" t="str">
            <v>CEUS-R</v>
          </cell>
          <cell r="G2615">
            <v>572</v>
          </cell>
          <cell r="H2615" t="str">
            <v>CEUS-R572</v>
          </cell>
          <cell r="K2615" t="str">
            <v>Sperling,Elliot H.</v>
          </cell>
          <cell r="N2615" t="str">
            <v>NR</v>
          </cell>
          <cell r="O2615" t="str">
            <v>NR</v>
          </cell>
        </row>
        <row r="2616">
          <cell r="E2616" t="str">
            <v>CEUS</v>
          </cell>
          <cell r="F2616" t="str">
            <v>CEUS-R</v>
          </cell>
          <cell r="G2616">
            <v>579</v>
          </cell>
          <cell r="H2616" t="str">
            <v>CEUS-R579</v>
          </cell>
          <cell r="K2616" t="str">
            <v>Sperling,Elliot H.</v>
          </cell>
          <cell r="N2616" t="str">
            <v>NR</v>
          </cell>
          <cell r="O2616" t="str">
            <v>NR</v>
          </cell>
        </row>
        <row r="2617">
          <cell r="E2617" t="str">
            <v>CEUS</v>
          </cell>
          <cell r="F2617" t="str">
            <v>CEUS-R</v>
          </cell>
          <cell r="G2617">
            <v>594</v>
          </cell>
          <cell r="H2617" t="str">
            <v>CEUS-R594</v>
          </cell>
          <cell r="K2617" t="str">
            <v>Zlotin,Roman</v>
          </cell>
          <cell r="N2617" t="str">
            <v>NR</v>
          </cell>
          <cell r="O2617" t="str">
            <v>NR</v>
          </cell>
        </row>
        <row r="2618">
          <cell r="E2618" t="str">
            <v>CEUS</v>
          </cell>
          <cell r="F2618" t="str">
            <v>CEUS-R</v>
          </cell>
          <cell r="G2618">
            <v>596</v>
          </cell>
          <cell r="H2618" t="str">
            <v>CEUS-R596</v>
          </cell>
          <cell r="K2618" t="str">
            <v>Lazzerini,Edward J.</v>
          </cell>
          <cell r="N2618" t="str">
            <v>NR</v>
          </cell>
          <cell r="O2618" t="str">
            <v>NR</v>
          </cell>
        </row>
        <row r="2619">
          <cell r="E2619" t="str">
            <v>CEUS</v>
          </cell>
          <cell r="F2619" t="str">
            <v>CEUS-R</v>
          </cell>
          <cell r="G2619">
            <v>599</v>
          </cell>
          <cell r="H2619" t="str">
            <v>CEUS-R599</v>
          </cell>
          <cell r="K2619" t="str">
            <v>Beckwith,Christopher I.</v>
          </cell>
          <cell r="N2619">
            <v>3.85</v>
          </cell>
          <cell r="O2619">
            <v>3.9460000000000002</v>
          </cell>
        </row>
        <row r="2620">
          <cell r="E2620" t="str">
            <v>CEUS</v>
          </cell>
          <cell r="F2620" t="str">
            <v>CEUS-R</v>
          </cell>
          <cell r="G2620">
            <v>599</v>
          </cell>
          <cell r="H2620" t="str">
            <v>CEUS-R599</v>
          </cell>
          <cell r="K2620" t="str">
            <v>Borhi,Laszlo</v>
          </cell>
          <cell r="N2620" t="str">
            <v>NR</v>
          </cell>
          <cell r="O2620" t="str">
            <v>NR</v>
          </cell>
        </row>
        <row r="2621">
          <cell r="E2621" t="str">
            <v>CEUS</v>
          </cell>
          <cell r="F2621" t="str">
            <v>CEUS-R</v>
          </cell>
          <cell r="G2621">
            <v>600</v>
          </cell>
          <cell r="H2621" t="str">
            <v>CEUS-R600</v>
          </cell>
          <cell r="K2621" t="str">
            <v>Atwood,Christopher P</v>
          </cell>
          <cell r="N2621" t="str">
            <v>NR</v>
          </cell>
          <cell r="O2621" t="str">
            <v>NR</v>
          </cell>
        </row>
        <row r="2622">
          <cell r="E2622" t="str">
            <v>CEUS</v>
          </cell>
          <cell r="F2622" t="str">
            <v>CEUS-R</v>
          </cell>
          <cell r="G2622">
            <v>600</v>
          </cell>
          <cell r="H2622" t="str">
            <v>CEUS-R600</v>
          </cell>
          <cell r="K2622" t="str">
            <v>Atwood,Christopher P</v>
          </cell>
          <cell r="N2622" t="str">
            <v>NR</v>
          </cell>
          <cell r="O2622" t="str">
            <v>NR</v>
          </cell>
        </row>
        <row r="2623">
          <cell r="E2623" t="str">
            <v>CEUS</v>
          </cell>
          <cell r="F2623" t="str">
            <v>CEUS-R</v>
          </cell>
          <cell r="G2623">
            <v>610</v>
          </cell>
          <cell r="H2623" t="str">
            <v>CEUS-R610</v>
          </cell>
          <cell r="K2623" t="str">
            <v>Atwood,Christopher P</v>
          </cell>
          <cell r="N2623" t="str">
            <v>NR</v>
          </cell>
          <cell r="O2623" t="str">
            <v>NR</v>
          </cell>
        </row>
        <row r="2624">
          <cell r="E2624" t="str">
            <v>CEUS</v>
          </cell>
          <cell r="F2624" t="str">
            <v>CEUS-R</v>
          </cell>
          <cell r="G2624">
            <v>612</v>
          </cell>
          <cell r="H2624" t="str">
            <v>CEUS-R612</v>
          </cell>
          <cell r="K2624" t="str">
            <v>Sela,Ron</v>
          </cell>
          <cell r="N2624">
            <v>3.5880000000000001</v>
          </cell>
          <cell r="O2624">
            <v>3.8109999999999999</v>
          </cell>
        </row>
        <row r="2625">
          <cell r="E2625" t="str">
            <v>CEUS</v>
          </cell>
          <cell r="F2625" t="str">
            <v>CEUS-R</v>
          </cell>
          <cell r="G2625">
            <v>613</v>
          </cell>
          <cell r="H2625" t="str">
            <v>CEUS-R613</v>
          </cell>
          <cell r="K2625" t="str">
            <v>DeWeese,Devin A.</v>
          </cell>
          <cell r="N2625">
            <v>4</v>
          </cell>
          <cell r="O2625">
            <v>3.9620000000000002</v>
          </cell>
        </row>
        <row r="2626">
          <cell r="E2626" t="str">
            <v>CEUS</v>
          </cell>
          <cell r="F2626" t="str">
            <v>CEUS-R</v>
          </cell>
          <cell r="G2626">
            <v>614</v>
          </cell>
          <cell r="H2626" t="str">
            <v>CEUS-R614</v>
          </cell>
          <cell r="K2626" t="str">
            <v>DeWeese,Devin A.</v>
          </cell>
          <cell r="N2626">
            <v>3.8889999999999998</v>
          </cell>
          <cell r="O2626">
            <v>3.8140000000000001</v>
          </cell>
        </row>
        <row r="2627">
          <cell r="E2627" t="str">
            <v>CEUS</v>
          </cell>
          <cell r="F2627" t="str">
            <v>CEUS-R</v>
          </cell>
          <cell r="G2627">
            <v>628</v>
          </cell>
          <cell r="H2627" t="str">
            <v>CEUS-R628</v>
          </cell>
          <cell r="K2627" t="str">
            <v>Lazzerini,Edward J.</v>
          </cell>
          <cell r="N2627" t="str">
            <v>NR</v>
          </cell>
          <cell r="O2627" t="str">
            <v>NR</v>
          </cell>
        </row>
        <row r="2628">
          <cell r="E2628" t="str">
            <v>CEUS</v>
          </cell>
          <cell r="F2628" t="str">
            <v>CEUS-R</v>
          </cell>
          <cell r="G2628">
            <v>640</v>
          </cell>
          <cell r="H2628" t="str">
            <v>CEUS-R640</v>
          </cell>
          <cell r="K2628" t="str">
            <v>Atwood,Christopher P</v>
          </cell>
          <cell r="N2628" t="str">
            <v>NR</v>
          </cell>
          <cell r="O2628" t="str">
            <v>NR</v>
          </cell>
        </row>
        <row r="2629">
          <cell r="E2629" t="str">
            <v>CEUS</v>
          </cell>
          <cell r="F2629" t="str">
            <v>CEUS-R</v>
          </cell>
          <cell r="G2629">
            <v>650</v>
          </cell>
          <cell r="H2629" t="str">
            <v>CEUS-R650</v>
          </cell>
          <cell r="K2629" t="str">
            <v>Atwood,Christopher P</v>
          </cell>
          <cell r="N2629" t="str">
            <v>NR</v>
          </cell>
          <cell r="O2629" t="str">
            <v>NR</v>
          </cell>
        </row>
        <row r="2630">
          <cell r="E2630" t="str">
            <v>CEUS</v>
          </cell>
          <cell r="F2630" t="str">
            <v>CEUS-R</v>
          </cell>
          <cell r="G2630">
            <v>650</v>
          </cell>
          <cell r="H2630" t="str">
            <v>CEUS-R650</v>
          </cell>
          <cell r="K2630" t="str">
            <v>Atwood,Christopher P</v>
          </cell>
          <cell r="N2630" t="str">
            <v>NR</v>
          </cell>
          <cell r="O2630" t="str">
            <v>NR</v>
          </cell>
        </row>
        <row r="2631">
          <cell r="E2631" t="str">
            <v>CEUS</v>
          </cell>
          <cell r="F2631" t="str">
            <v>CEUS-R</v>
          </cell>
          <cell r="G2631">
            <v>660</v>
          </cell>
          <cell r="H2631" t="str">
            <v>CEUS-R660</v>
          </cell>
          <cell r="K2631" t="str">
            <v>Atwood,Christopher P</v>
          </cell>
          <cell r="N2631" t="str">
            <v>NR</v>
          </cell>
          <cell r="O2631" t="str">
            <v>NR</v>
          </cell>
        </row>
        <row r="2632">
          <cell r="E2632" t="str">
            <v>CEUS</v>
          </cell>
          <cell r="F2632" t="str">
            <v>CEUS-R</v>
          </cell>
          <cell r="G2632">
            <v>661</v>
          </cell>
          <cell r="H2632" t="str">
            <v>CEUS-R661</v>
          </cell>
          <cell r="K2632" t="str">
            <v>Kara,Gyorgy</v>
          </cell>
          <cell r="N2632">
            <v>4</v>
          </cell>
          <cell r="O2632">
            <v>3.9580000000000002</v>
          </cell>
        </row>
        <row r="2633">
          <cell r="E2633" t="str">
            <v>CEUS</v>
          </cell>
          <cell r="F2633" t="str">
            <v>CEUS-R</v>
          </cell>
          <cell r="G2633">
            <v>690</v>
          </cell>
          <cell r="H2633" t="str">
            <v>CEUS-R690</v>
          </cell>
          <cell r="K2633" t="str">
            <v>Atwood,Christopher P</v>
          </cell>
          <cell r="N2633" t="str">
            <v>NR</v>
          </cell>
          <cell r="O2633" t="str">
            <v>NR</v>
          </cell>
        </row>
        <row r="2634">
          <cell r="E2634" t="str">
            <v>CEUS</v>
          </cell>
          <cell r="F2634" t="str">
            <v>CEUS-R</v>
          </cell>
          <cell r="G2634">
            <v>691</v>
          </cell>
          <cell r="H2634" t="str">
            <v>CEUS-R691</v>
          </cell>
          <cell r="K2634" t="str">
            <v>Atwood,Christopher P</v>
          </cell>
          <cell r="N2634" t="str">
            <v>NR</v>
          </cell>
          <cell r="O2634" t="str">
            <v>NR</v>
          </cell>
        </row>
        <row r="2635">
          <cell r="E2635" t="str">
            <v>CEUS</v>
          </cell>
          <cell r="F2635" t="str">
            <v>CEUS-R</v>
          </cell>
          <cell r="G2635">
            <v>691</v>
          </cell>
          <cell r="H2635" t="str">
            <v>CEUS-R691</v>
          </cell>
          <cell r="K2635" t="str">
            <v>Atwood,Christopher P</v>
          </cell>
          <cell r="N2635" t="str">
            <v>NR</v>
          </cell>
          <cell r="O2635" t="str">
            <v>NR</v>
          </cell>
        </row>
        <row r="2636">
          <cell r="E2636" t="str">
            <v>CEUS</v>
          </cell>
          <cell r="F2636" t="str">
            <v>CEUS-R</v>
          </cell>
          <cell r="G2636">
            <v>711</v>
          </cell>
          <cell r="H2636" t="str">
            <v>CEUS-R711</v>
          </cell>
          <cell r="K2636" t="str">
            <v>Shahrani,M. Nazif</v>
          </cell>
          <cell r="N2636">
            <v>3.95</v>
          </cell>
          <cell r="O2636">
            <v>3.7320000000000002</v>
          </cell>
        </row>
        <row r="2637">
          <cell r="E2637" t="str">
            <v>CEUS</v>
          </cell>
          <cell r="F2637" t="str">
            <v>CEUS-R</v>
          </cell>
          <cell r="G2637">
            <v>760</v>
          </cell>
          <cell r="H2637" t="str">
            <v>CEUS-R760</v>
          </cell>
          <cell r="K2637" t="str">
            <v>Atwood,Christopher P</v>
          </cell>
          <cell r="N2637" t="str">
            <v>NR</v>
          </cell>
          <cell r="O2637" t="str">
            <v>NR</v>
          </cell>
        </row>
        <row r="2638">
          <cell r="E2638" t="str">
            <v>CEUS</v>
          </cell>
          <cell r="F2638" t="str">
            <v>CEUS-R</v>
          </cell>
          <cell r="G2638">
            <v>771</v>
          </cell>
          <cell r="H2638" t="str">
            <v>CEUS-R771</v>
          </cell>
          <cell r="K2638" t="str">
            <v>Sperling,Elliot H.</v>
          </cell>
          <cell r="N2638" t="str">
            <v>NR</v>
          </cell>
          <cell r="O2638" t="str">
            <v>NR</v>
          </cell>
        </row>
        <row r="2639">
          <cell r="E2639" t="str">
            <v>CEUS</v>
          </cell>
          <cell r="F2639" t="str">
            <v>CEUS-R</v>
          </cell>
          <cell r="G2639">
            <v>890</v>
          </cell>
          <cell r="H2639" t="str">
            <v>CEUS-R890</v>
          </cell>
          <cell r="K2639" t="str">
            <v>Atwood,Christopher P</v>
          </cell>
          <cell r="N2639" t="str">
            <v>NR</v>
          </cell>
          <cell r="O2639" t="str">
            <v>NR</v>
          </cell>
        </row>
        <row r="2640">
          <cell r="E2640" t="str">
            <v>CEUS</v>
          </cell>
          <cell r="F2640" t="str">
            <v>CEUS-R</v>
          </cell>
          <cell r="G2640">
            <v>890</v>
          </cell>
          <cell r="H2640" t="str">
            <v>CEUS-R890</v>
          </cell>
          <cell r="K2640" t="str">
            <v>Atwood,Christopher P</v>
          </cell>
          <cell r="N2640" t="str">
            <v>NR</v>
          </cell>
          <cell r="O2640" t="str">
            <v>NR</v>
          </cell>
        </row>
        <row r="2641">
          <cell r="E2641" t="str">
            <v>CEUS</v>
          </cell>
          <cell r="F2641" t="str">
            <v>CEUS-R</v>
          </cell>
          <cell r="G2641">
            <v>890</v>
          </cell>
          <cell r="H2641" t="str">
            <v>CEUS-R890</v>
          </cell>
          <cell r="K2641" t="str">
            <v>Atwood,Christopher P</v>
          </cell>
          <cell r="N2641" t="str">
            <v>NR</v>
          </cell>
          <cell r="O2641" t="str">
            <v>NR</v>
          </cell>
        </row>
        <row r="2642">
          <cell r="E2642" t="str">
            <v>CEUS</v>
          </cell>
          <cell r="F2642" t="str">
            <v>CEUS-T</v>
          </cell>
          <cell r="G2642">
            <v>101</v>
          </cell>
          <cell r="H2642" t="str">
            <v>CEUS-T101</v>
          </cell>
          <cell r="K2642" t="str">
            <v>Taurama,Mikko</v>
          </cell>
          <cell r="N2642">
            <v>3.05</v>
          </cell>
          <cell r="O2642">
            <v>2.6059999999999999</v>
          </cell>
        </row>
        <row r="2643">
          <cell r="E2643" t="str">
            <v>CEUS</v>
          </cell>
          <cell r="F2643" t="str">
            <v>CEUS-T</v>
          </cell>
          <cell r="G2643">
            <v>102</v>
          </cell>
          <cell r="H2643" t="str">
            <v>CEUS-T102</v>
          </cell>
          <cell r="K2643" t="str">
            <v>Taurama,Mikko</v>
          </cell>
          <cell r="N2643" t="str">
            <v>NR</v>
          </cell>
          <cell r="O2643" t="str">
            <v>NR</v>
          </cell>
        </row>
        <row r="2644">
          <cell r="E2644" t="str">
            <v>CEUS</v>
          </cell>
          <cell r="F2644" t="str">
            <v>CEUS-T</v>
          </cell>
          <cell r="G2644">
            <v>103</v>
          </cell>
          <cell r="H2644" t="str">
            <v>CEUS-T103</v>
          </cell>
          <cell r="K2644" t="str">
            <v>Kivik,Piibi-Kai</v>
          </cell>
          <cell r="N2644" t="str">
            <v>NR</v>
          </cell>
          <cell r="O2644" t="str">
            <v>NR</v>
          </cell>
        </row>
        <row r="2645">
          <cell r="E2645" t="str">
            <v>CEUS</v>
          </cell>
          <cell r="F2645" t="str">
            <v>CEUS-T</v>
          </cell>
          <cell r="G2645">
            <v>104</v>
          </cell>
          <cell r="H2645" t="str">
            <v>CEUS-T104</v>
          </cell>
          <cell r="K2645" t="str">
            <v>Kivik,Piibi-Kai</v>
          </cell>
          <cell r="N2645" t="str">
            <v>NR</v>
          </cell>
          <cell r="O2645" t="str">
            <v>NR</v>
          </cell>
        </row>
        <row r="2646">
          <cell r="E2646" t="str">
            <v>CEUS</v>
          </cell>
          <cell r="F2646" t="str">
            <v>CEUS-T</v>
          </cell>
          <cell r="G2646">
            <v>112</v>
          </cell>
          <cell r="H2646" t="str">
            <v>CEUS-T112</v>
          </cell>
          <cell r="K2646" t="str">
            <v>Hodjaev,Malik</v>
          </cell>
          <cell r="N2646" t="str">
            <v>NR</v>
          </cell>
          <cell r="O2646" t="str">
            <v>NR</v>
          </cell>
        </row>
        <row r="2647">
          <cell r="E2647" t="str">
            <v>CEUS</v>
          </cell>
          <cell r="F2647" t="str">
            <v>CEUS-T</v>
          </cell>
          <cell r="G2647">
            <v>141</v>
          </cell>
          <cell r="H2647" t="str">
            <v>CEUS-T141</v>
          </cell>
          <cell r="K2647" t="str">
            <v>Varga,Valeria Eniko</v>
          </cell>
          <cell r="N2647" t="str">
            <v>NR</v>
          </cell>
          <cell r="O2647" t="str">
            <v>NR</v>
          </cell>
        </row>
        <row r="2648">
          <cell r="E2648" t="str">
            <v>CEUS</v>
          </cell>
          <cell r="F2648" t="str">
            <v>CEUS-T</v>
          </cell>
          <cell r="G2648">
            <v>142</v>
          </cell>
          <cell r="H2648" t="str">
            <v>CEUS-T142</v>
          </cell>
          <cell r="K2648" t="str">
            <v>Varga,Valeria Eniko</v>
          </cell>
          <cell r="N2648" t="str">
            <v>NR</v>
          </cell>
          <cell r="O2648" t="str">
            <v>NR</v>
          </cell>
        </row>
        <row r="2649">
          <cell r="E2649" t="str">
            <v>CEUS</v>
          </cell>
          <cell r="F2649" t="str">
            <v>CEUS-T</v>
          </cell>
          <cell r="G2649">
            <v>151</v>
          </cell>
          <cell r="H2649" t="str">
            <v>CEUS-T151</v>
          </cell>
          <cell r="K2649" t="str">
            <v>Daneshgar,Shahyar</v>
          </cell>
          <cell r="N2649">
            <v>3.6349999999999998</v>
          </cell>
          <cell r="O2649">
            <v>3.3029999999999999</v>
          </cell>
        </row>
        <row r="2650">
          <cell r="E2650" t="str">
            <v>CEUS</v>
          </cell>
          <cell r="F2650" t="str">
            <v>CEUS-T</v>
          </cell>
          <cell r="G2650">
            <v>152</v>
          </cell>
          <cell r="H2650" t="str">
            <v>CEUS-T152</v>
          </cell>
          <cell r="K2650" t="str">
            <v>Daneshgar,Shahyar</v>
          </cell>
          <cell r="N2650" t="str">
            <v>NR</v>
          </cell>
          <cell r="O2650" t="str">
            <v>NR</v>
          </cell>
        </row>
        <row r="2651">
          <cell r="E2651" t="str">
            <v>CEUS</v>
          </cell>
          <cell r="F2651" t="str">
            <v>CEUS-T</v>
          </cell>
          <cell r="G2651">
            <v>152</v>
          </cell>
          <cell r="H2651" t="str">
            <v>CEUS-T152</v>
          </cell>
          <cell r="K2651" t="str">
            <v>Fazel,Solaiman</v>
          </cell>
          <cell r="N2651">
            <v>3.5289999999999999</v>
          </cell>
          <cell r="O2651">
            <v>2.9860000000000002</v>
          </cell>
        </row>
        <row r="2652">
          <cell r="E2652" t="str">
            <v>CEUS</v>
          </cell>
          <cell r="F2652" t="str">
            <v>CEUS-T</v>
          </cell>
          <cell r="G2652">
            <v>154</v>
          </cell>
          <cell r="H2652" t="str">
            <v>CEUS-T154</v>
          </cell>
          <cell r="K2652" t="str">
            <v>Inomkhojayev,Rakhmon</v>
          </cell>
          <cell r="N2652" t="str">
            <v>NR</v>
          </cell>
          <cell r="O2652" t="str">
            <v>NR</v>
          </cell>
        </row>
        <row r="2653">
          <cell r="E2653" t="str">
            <v>CEUS</v>
          </cell>
          <cell r="F2653" t="str">
            <v>CEUS-T</v>
          </cell>
          <cell r="G2653">
            <v>154</v>
          </cell>
          <cell r="H2653" t="str">
            <v>CEUS-T154</v>
          </cell>
          <cell r="K2653" t="str">
            <v>Inomkhojayev,Rakhmon</v>
          </cell>
          <cell r="N2653" t="str">
            <v>NR</v>
          </cell>
          <cell r="O2653" t="str">
            <v>NR</v>
          </cell>
        </row>
        <row r="2654">
          <cell r="E2654" t="str">
            <v>CEUS</v>
          </cell>
          <cell r="F2654" t="str">
            <v>CEUS-T</v>
          </cell>
          <cell r="G2654">
            <v>161</v>
          </cell>
          <cell r="H2654" t="str">
            <v>CEUS-T161</v>
          </cell>
          <cell r="K2654" t="str">
            <v>Legden,Tserenchunt</v>
          </cell>
          <cell r="N2654" t="str">
            <v>NR</v>
          </cell>
          <cell r="O2654" t="str">
            <v>NR</v>
          </cell>
        </row>
        <row r="2655">
          <cell r="E2655" t="str">
            <v>CEUS</v>
          </cell>
          <cell r="F2655" t="str">
            <v>CEUS-T</v>
          </cell>
          <cell r="G2655">
            <v>162</v>
          </cell>
          <cell r="H2655" t="str">
            <v>CEUS-T162</v>
          </cell>
          <cell r="K2655" t="str">
            <v>Legden,Tserenchunt</v>
          </cell>
          <cell r="N2655" t="str">
            <v>NR</v>
          </cell>
          <cell r="O2655" t="str">
            <v>NR</v>
          </cell>
        </row>
        <row r="2656">
          <cell r="E2656" t="str">
            <v>CEUS</v>
          </cell>
          <cell r="F2656" t="str">
            <v>CEUS-T</v>
          </cell>
          <cell r="G2656">
            <v>171</v>
          </cell>
          <cell r="H2656" t="str">
            <v>CEUS-T171</v>
          </cell>
          <cell r="K2656" t="str">
            <v>Rabsal,Gedun</v>
          </cell>
          <cell r="N2656" t="str">
            <v>NR</v>
          </cell>
          <cell r="O2656" t="str">
            <v>NR</v>
          </cell>
        </row>
        <row r="2657">
          <cell r="E2657" t="str">
            <v>CEUS</v>
          </cell>
          <cell r="F2657" t="str">
            <v>CEUS-T</v>
          </cell>
          <cell r="G2657">
            <v>172</v>
          </cell>
          <cell r="H2657" t="str">
            <v>CEUS-T172</v>
          </cell>
          <cell r="K2657" t="str">
            <v>Rabsal,Gedun</v>
          </cell>
          <cell r="N2657" t="str">
            <v>NR</v>
          </cell>
          <cell r="O2657" t="str">
            <v>NR</v>
          </cell>
        </row>
        <row r="2658">
          <cell r="E2658" t="str">
            <v>CEUS</v>
          </cell>
          <cell r="F2658" t="str">
            <v>CEUS-T</v>
          </cell>
          <cell r="G2658">
            <v>181</v>
          </cell>
          <cell r="H2658" t="str">
            <v>CEUS-T181</v>
          </cell>
          <cell r="K2658" t="str">
            <v>Ozcelik,Oner</v>
          </cell>
          <cell r="N2658">
            <v>3.2</v>
          </cell>
          <cell r="O2658">
            <v>2.9569999999999999</v>
          </cell>
        </row>
        <row r="2659">
          <cell r="E2659" t="str">
            <v>CEUS</v>
          </cell>
          <cell r="F2659" t="str">
            <v>CEUS-T</v>
          </cell>
          <cell r="G2659">
            <v>182</v>
          </cell>
          <cell r="H2659" t="str">
            <v>CEUS-T182</v>
          </cell>
          <cell r="K2659" t="str">
            <v>Ozcelik,Oner</v>
          </cell>
          <cell r="N2659">
            <v>3.714</v>
          </cell>
          <cell r="O2659">
            <v>3.35</v>
          </cell>
        </row>
        <row r="2660">
          <cell r="E2660" t="str">
            <v>CEUS</v>
          </cell>
          <cell r="F2660" t="str">
            <v>CEUS-T</v>
          </cell>
          <cell r="G2660">
            <v>201</v>
          </cell>
          <cell r="H2660" t="str">
            <v>CEUS-T201</v>
          </cell>
          <cell r="K2660" t="str">
            <v>Taurama,Mikko</v>
          </cell>
          <cell r="N2660" t="str">
            <v>NR</v>
          </cell>
          <cell r="O2660" t="str">
            <v>NR</v>
          </cell>
        </row>
        <row r="2661">
          <cell r="E2661" t="str">
            <v>CEUS</v>
          </cell>
          <cell r="F2661" t="str">
            <v>CEUS-T</v>
          </cell>
          <cell r="G2661">
            <v>202</v>
          </cell>
          <cell r="H2661" t="str">
            <v>CEUS-T202</v>
          </cell>
          <cell r="K2661" t="str">
            <v>Taurama,Mikko</v>
          </cell>
          <cell r="N2661" t="str">
            <v>NR</v>
          </cell>
          <cell r="O2661" t="str">
            <v>NR</v>
          </cell>
        </row>
        <row r="2662">
          <cell r="E2662" t="str">
            <v>CEUS</v>
          </cell>
          <cell r="F2662" t="str">
            <v>CEUS-T</v>
          </cell>
          <cell r="G2662">
            <v>203</v>
          </cell>
          <cell r="H2662" t="str">
            <v>CEUS-T203</v>
          </cell>
          <cell r="K2662" t="str">
            <v>Kivik,Piibi-Kai</v>
          </cell>
          <cell r="N2662" t="str">
            <v>NR</v>
          </cell>
          <cell r="O2662" t="str">
            <v>NR</v>
          </cell>
        </row>
        <row r="2663">
          <cell r="E2663" t="str">
            <v>CEUS</v>
          </cell>
          <cell r="F2663" t="str">
            <v>CEUS-T</v>
          </cell>
          <cell r="G2663">
            <v>211</v>
          </cell>
          <cell r="H2663" t="str">
            <v>CEUS-T211</v>
          </cell>
          <cell r="K2663" t="str">
            <v>Hodjaev,Malik</v>
          </cell>
          <cell r="N2663" t="str">
            <v>NR</v>
          </cell>
          <cell r="O2663" t="str">
            <v>NR</v>
          </cell>
        </row>
        <row r="2664">
          <cell r="E2664" t="str">
            <v>CEUS</v>
          </cell>
          <cell r="F2664" t="str">
            <v>CEUS-T</v>
          </cell>
          <cell r="G2664">
            <v>214</v>
          </cell>
          <cell r="H2664" t="str">
            <v>CEUS-T214</v>
          </cell>
          <cell r="K2664" t="str">
            <v>Ziyabekova,Dana Sarsenbaevna</v>
          </cell>
          <cell r="N2664" t="str">
            <v>NR</v>
          </cell>
          <cell r="O2664" t="str">
            <v>NR</v>
          </cell>
        </row>
        <row r="2665">
          <cell r="E2665" t="str">
            <v>CEUS</v>
          </cell>
          <cell r="F2665" t="str">
            <v>CEUS-T</v>
          </cell>
          <cell r="G2665">
            <v>241</v>
          </cell>
          <cell r="H2665" t="str">
            <v>CEUS-T241</v>
          </cell>
          <cell r="K2665" t="str">
            <v>Varga,Valeria Eniko</v>
          </cell>
          <cell r="N2665" t="str">
            <v>NR</v>
          </cell>
          <cell r="O2665" t="str">
            <v>NR</v>
          </cell>
        </row>
        <row r="2666">
          <cell r="E2666" t="str">
            <v>CEUS</v>
          </cell>
          <cell r="F2666" t="str">
            <v>CEUS-T</v>
          </cell>
          <cell r="G2666">
            <v>242</v>
          </cell>
          <cell r="H2666" t="str">
            <v>CEUS-T242</v>
          </cell>
          <cell r="K2666" t="str">
            <v>Varga,Valeria Eniko</v>
          </cell>
          <cell r="N2666">
            <v>3.4860000000000002</v>
          </cell>
          <cell r="O2666">
            <v>3.173</v>
          </cell>
        </row>
        <row r="2667">
          <cell r="E2667" t="str">
            <v>CEUS</v>
          </cell>
          <cell r="F2667" t="str">
            <v>CEUS-T</v>
          </cell>
          <cell r="G2667">
            <v>251</v>
          </cell>
          <cell r="H2667" t="str">
            <v>CEUS-T251</v>
          </cell>
          <cell r="K2667" t="str">
            <v>Daneshgar,Shahyar</v>
          </cell>
          <cell r="N2667">
            <v>3.556</v>
          </cell>
          <cell r="O2667">
            <v>3.1</v>
          </cell>
        </row>
        <row r="2668">
          <cell r="E2668" t="str">
            <v>CEUS</v>
          </cell>
          <cell r="F2668" t="str">
            <v>CEUS-T</v>
          </cell>
          <cell r="G2668">
            <v>252</v>
          </cell>
          <cell r="H2668" t="str">
            <v>CEUS-T252</v>
          </cell>
          <cell r="K2668" t="str">
            <v>Daneshgar,Shahyar</v>
          </cell>
          <cell r="N2668" t="str">
            <v>NR</v>
          </cell>
          <cell r="O2668" t="str">
            <v>NR</v>
          </cell>
        </row>
        <row r="2669">
          <cell r="E2669" t="str">
            <v>CEUS</v>
          </cell>
          <cell r="F2669" t="str">
            <v>CEUS-T</v>
          </cell>
          <cell r="G2669">
            <v>254</v>
          </cell>
          <cell r="H2669" t="str">
            <v>CEUS-T254</v>
          </cell>
          <cell r="K2669" t="str">
            <v>Inomkhojayev,Rakhmon</v>
          </cell>
          <cell r="N2669" t="str">
            <v>NR</v>
          </cell>
          <cell r="O2669" t="str">
            <v>NR</v>
          </cell>
        </row>
        <row r="2670">
          <cell r="E2670" t="str">
            <v>CEUS</v>
          </cell>
          <cell r="F2670" t="str">
            <v>CEUS-T</v>
          </cell>
          <cell r="G2670">
            <v>262</v>
          </cell>
          <cell r="H2670" t="str">
            <v>CEUS-T262</v>
          </cell>
          <cell r="K2670" t="str">
            <v>Legden,Tserenchunt</v>
          </cell>
          <cell r="N2670" t="str">
            <v>NR</v>
          </cell>
          <cell r="O2670" t="str">
            <v>NR</v>
          </cell>
        </row>
        <row r="2671">
          <cell r="E2671" t="str">
            <v>CEUS</v>
          </cell>
          <cell r="F2671" t="str">
            <v>CEUS-T</v>
          </cell>
          <cell r="G2671">
            <v>271</v>
          </cell>
          <cell r="H2671" t="str">
            <v>CEUS-T271</v>
          </cell>
          <cell r="K2671" t="str">
            <v>Sperling,Elliot H.</v>
          </cell>
          <cell r="N2671" t="str">
            <v>NR</v>
          </cell>
          <cell r="O2671" t="str">
            <v>NR</v>
          </cell>
        </row>
        <row r="2672">
          <cell r="E2672" t="str">
            <v>CEUS</v>
          </cell>
          <cell r="F2672" t="str">
            <v>CEUS-T</v>
          </cell>
          <cell r="G2672">
            <v>281</v>
          </cell>
          <cell r="H2672" t="str">
            <v>CEUS-T281</v>
          </cell>
          <cell r="K2672" t="str">
            <v>Ariogul,Sibel</v>
          </cell>
          <cell r="N2672" t="str">
            <v>NR</v>
          </cell>
          <cell r="O2672" t="str">
            <v>NR</v>
          </cell>
        </row>
        <row r="2673">
          <cell r="E2673" t="str">
            <v>CEUS</v>
          </cell>
          <cell r="F2673" t="str">
            <v>CEUS-T</v>
          </cell>
          <cell r="G2673">
            <v>282</v>
          </cell>
          <cell r="H2673" t="str">
            <v>CEUS-T282</v>
          </cell>
          <cell r="K2673" t="str">
            <v>Jones,Defne Louise</v>
          </cell>
          <cell r="N2673" t="str">
            <v>NR</v>
          </cell>
          <cell r="O2673" t="str">
            <v>NR</v>
          </cell>
        </row>
        <row r="2674">
          <cell r="E2674" t="str">
            <v>CEUS</v>
          </cell>
          <cell r="F2674" t="str">
            <v>CEUS-T</v>
          </cell>
          <cell r="G2674">
            <v>301</v>
          </cell>
          <cell r="H2674" t="str">
            <v>CEUS-T301</v>
          </cell>
          <cell r="K2674" t="str">
            <v>Taurama,Mikko</v>
          </cell>
          <cell r="N2674" t="str">
            <v>NR</v>
          </cell>
          <cell r="O2674" t="str">
            <v>NR</v>
          </cell>
        </row>
        <row r="2675">
          <cell r="E2675" t="str">
            <v>CEUS</v>
          </cell>
          <cell r="F2675" t="str">
            <v>CEUS-T</v>
          </cell>
          <cell r="G2675">
            <v>304</v>
          </cell>
          <cell r="H2675" t="str">
            <v>CEUS-T304</v>
          </cell>
          <cell r="K2675" t="str">
            <v>Kivik,Piibi-Kai</v>
          </cell>
          <cell r="N2675" t="str">
            <v>NR</v>
          </cell>
          <cell r="O2675" t="str">
            <v>NR</v>
          </cell>
        </row>
        <row r="2676">
          <cell r="E2676" t="str">
            <v>CEUS</v>
          </cell>
          <cell r="F2676" t="str">
            <v>CEUS-T</v>
          </cell>
          <cell r="G2676">
            <v>341</v>
          </cell>
          <cell r="H2676" t="str">
            <v>CEUS-T341</v>
          </cell>
          <cell r="K2676" t="str">
            <v>Varga,Valeria Eniko</v>
          </cell>
          <cell r="N2676" t="str">
            <v>NR</v>
          </cell>
          <cell r="O2676" t="str">
            <v>NR</v>
          </cell>
        </row>
        <row r="2677">
          <cell r="E2677" t="str">
            <v>CEUS</v>
          </cell>
          <cell r="F2677" t="str">
            <v>CEUS-T</v>
          </cell>
          <cell r="G2677">
            <v>342</v>
          </cell>
          <cell r="H2677" t="str">
            <v>CEUS-T342</v>
          </cell>
          <cell r="K2677" t="str">
            <v>Varga,Valeria Eniko</v>
          </cell>
          <cell r="N2677" t="str">
            <v>NR</v>
          </cell>
          <cell r="O2677" t="str">
            <v>NR</v>
          </cell>
        </row>
        <row r="2678">
          <cell r="E2678" t="str">
            <v>CEUS</v>
          </cell>
          <cell r="F2678" t="str">
            <v>CEUS-T</v>
          </cell>
          <cell r="G2678">
            <v>351</v>
          </cell>
          <cell r="H2678" t="str">
            <v>CEUS-T351</v>
          </cell>
          <cell r="K2678" t="str">
            <v>Losensky,Paul Edward</v>
          </cell>
          <cell r="N2678" t="str">
            <v>NR</v>
          </cell>
          <cell r="O2678" t="str">
            <v>NR</v>
          </cell>
        </row>
        <row r="2679">
          <cell r="E2679" t="str">
            <v>CEUS</v>
          </cell>
          <cell r="F2679" t="str">
            <v>CEUS-T</v>
          </cell>
          <cell r="G2679">
            <v>361</v>
          </cell>
          <cell r="H2679" t="str">
            <v>CEUS-T361</v>
          </cell>
          <cell r="K2679" t="str">
            <v>Legden,Tserenchunt</v>
          </cell>
          <cell r="N2679" t="str">
            <v>NR</v>
          </cell>
          <cell r="O2679" t="str">
            <v>NR</v>
          </cell>
        </row>
        <row r="2680">
          <cell r="E2680" t="str">
            <v>CEUS</v>
          </cell>
          <cell r="F2680" t="str">
            <v>CEUS-T</v>
          </cell>
          <cell r="G2680">
            <v>362</v>
          </cell>
          <cell r="H2680" t="str">
            <v>CEUS-T362</v>
          </cell>
          <cell r="K2680" t="str">
            <v>Legden,Tserenchunt</v>
          </cell>
          <cell r="N2680" t="str">
            <v>NR</v>
          </cell>
          <cell r="O2680" t="str">
            <v>NR</v>
          </cell>
        </row>
        <row r="2681">
          <cell r="E2681" t="str">
            <v>CEUS</v>
          </cell>
          <cell r="F2681" t="str">
            <v>CEUS-T</v>
          </cell>
          <cell r="G2681">
            <v>372</v>
          </cell>
          <cell r="H2681" t="str">
            <v>CEUS-T372</v>
          </cell>
          <cell r="K2681" t="str">
            <v>Rabsal,Gedun</v>
          </cell>
          <cell r="N2681" t="str">
            <v>NR</v>
          </cell>
          <cell r="O2681" t="str">
            <v>NR</v>
          </cell>
        </row>
        <row r="2682">
          <cell r="E2682" t="str">
            <v>CEUS</v>
          </cell>
          <cell r="F2682" t="str">
            <v>CEUS-T</v>
          </cell>
          <cell r="G2682">
            <v>381</v>
          </cell>
          <cell r="H2682" t="str">
            <v>CEUS-T381</v>
          </cell>
          <cell r="K2682" t="str">
            <v>Elbasan,Zeynep</v>
          </cell>
          <cell r="N2682" t="str">
            <v>NR</v>
          </cell>
          <cell r="O2682" t="str">
            <v>NR</v>
          </cell>
        </row>
        <row r="2683">
          <cell r="E2683" t="str">
            <v>CEUS</v>
          </cell>
          <cell r="F2683" t="str">
            <v>CEUS-T</v>
          </cell>
          <cell r="G2683">
            <v>382</v>
          </cell>
          <cell r="H2683" t="str">
            <v>CEUS-T382</v>
          </cell>
          <cell r="K2683" t="str">
            <v>Elbasan,Zeynep</v>
          </cell>
          <cell r="N2683" t="str">
            <v>NR</v>
          </cell>
          <cell r="O2683" t="str">
            <v>NR</v>
          </cell>
        </row>
        <row r="2684">
          <cell r="E2684" t="str">
            <v>CEUS</v>
          </cell>
          <cell r="F2684" t="str">
            <v>CEUS-T</v>
          </cell>
          <cell r="G2684">
            <v>398</v>
          </cell>
          <cell r="H2684" t="str">
            <v>CEUS-T398</v>
          </cell>
          <cell r="K2684" t="str">
            <v>Adilkhanova,Begaim Rakhymovna</v>
          </cell>
          <cell r="N2684" t="str">
            <v>NR</v>
          </cell>
          <cell r="O2684" t="str">
            <v>NR</v>
          </cell>
        </row>
        <row r="2685">
          <cell r="E2685" t="str">
            <v>CEUS</v>
          </cell>
          <cell r="F2685" t="str">
            <v>CEUS-T</v>
          </cell>
          <cell r="G2685">
            <v>398</v>
          </cell>
          <cell r="H2685" t="str">
            <v>CEUS-T398</v>
          </cell>
          <cell r="K2685" t="str">
            <v>Arman,Rahman</v>
          </cell>
          <cell r="N2685" t="str">
            <v>NR</v>
          </cell>
          <cell r="O2685" t="str">
            <v>NR</v>
          </cell>
        </row>
        <row r="2686">
          <cell r="E2686" t="str">
            <v>CEUS</v>
          </cell>
          <cell r="F2686" t="str">
            <v>CEUS-T</v>
          </cell>
          <cell r="G2686">
            <v>398</v>
          </cell>
          <cell r="H2686" t="str">
            <v>CEUS-T398</v>
          </cell>
          <cell r="K2686" t="str">
            <v>Harding,Cigdem Balim</v>
          </cell>
          <cell r="N2686" t="str">
            <v>NR</v>
          </cell>
          <cell r="O2686" t="str">
            <v>NR</v>
          </cell>
        </row>
        <row r="2687">
          <cell r="E2687" t="str">
            <v>CEUS</v>
          </cell>
          <cell r="F2687" t="str">
            <v>CEUS-T</v>
          </cell>
          <cell r="G2687">
            <v>398</v>
          </cell>
          <cell r="H2687" t="str">
            <v>CEUS-T398</v>
          </cell>
          <cell r="K2687" t="str">
            <v>Nazarova,Gulnisa</v>
          </cell>
          <cell r="N2687" t="str">
            <v>NR</v>
          </cell>
          <cell r="O2687" t="str">
            <v>NR</v>
          </cell>
        </row>
        <row r="2688">
          <cell r="E2688" t="str">
            <v>CEUS</v>
          </cell>
          <cell r="F2688" t="str">
            <v>CEUS-T</v>
          </cell>
          <cell r="G2688">
            <v>399</v>
          </cell>
          <cell r="H2688" t="str">
            <v>CEUS-T399</v>
          </cell>
          <cell r="K2688" t="str">
            <v>Arman,Rahman</v>
          </cell>
          <cell r="N2688" t="str">
            <v>NR</v>
          </cell>
          <cell r="O2688" t="str">
            <v>NR</v>
          </cell>
        </row>
        <row r="2689">
          <cell r="E2689" t="str">
            <v>CEUS</v>
          </cell>
          <cell r="F2689" t="str">
            <v>CEUS-T</v>
          </cell>
          <cell r="G2689">
            <v>399</v>
          </cell>
          <cell r="H2689" t="str">
            <v>CEUS-T399</v>
          </cell>
          <cell r="K2689" t="str">
            <v>Arman,Rahman</v>
          </cell>
          <cell r="N2689" t="str">
            <v>NR</v>
          </cell>
          <cell r="O2689" t="str">
            <v>NR</v>
          </cell>
        </row>
        <row r="2690">
          <cell r="E2690" t="str">
            <v>CEUS</v>
          </cell>
          <cell r="F2690" t="str">
            <v>CEUS-T</v>
          </cell>
          <cell r="G2690">
            <v>399</v>
          </cell>
          <cell r="H2690" t="str">
            <v>CEUS-T399</v>
          </cell>
          <cell r="K2690" t="str">
            <v>Legden,Tserenchunt</v>
          </cell>
          <cell r="N2690" t="str">
            <v>NR</v>
          </cell>
          <cell r="O2690" t="str">
            <v>NR</v>
          </cell>
        </row>
        <row r="2691">
          <cell r="E2691" t="str">
            <v>CEUS</v>
          </cell>
          <cell r="F2691" t="str">
            <v>CEUS-T</v>
          </cell>
          <cell r="G2691">
            <v>485</v>
          </cell>
          <cell r="H2691" t="str">
            <v>CEUS-T485</v>
          </cell>
          <cell r="K2691" t="str">
            <v>Silay,Kemal</v>
          </cell>
          <cell r="N2691" t="str">
            <v>NR</v>
          </cell>
          <cell r="O2691" t="str">
            <v>NR</v>
          </cell>
        </row>
        <row r="2692">
          <cell r="E2692" t="str">
            <v>CEUS</v>
          </cell>
          <cell r="F2692" t="str">
            <v>CEUS-T</v>
          </cell>
          <cell r="G2692">
            <v>501</v>
          </cell>
          <cell r="H2692" t="str">
            <v>CEUS-T501</v>
          </cell>
          <cell r="K2692" t="str">
            <v>Taurama,Mikko</v>
          </cell>
          <cell r="N2692" t="str">
            <v>NR</v>
          </cell>
          <cell r="O2692" t="str">
            <v>NR</v>
          </cell>
        </row>
        <row r="2693">
          <cell r="E2693" t="str">
            <v>CEUS</v>
          </cell>
          <cell r="F2693" t="str">
            <v>CEUS-T</v>
          </cell>
          <cell r="G2693">
            <v>502</v>
          </cell>
          <cell r="H2693" t="str">
            <v>CEUS-T502</v>
          </cell>
          <cell r="K2693" t="str">
            <v>Taurama,Mikko</v>
          </cell>
          <cell r="N2693" t="str">
            <v>NR</v>
          </cell>
          <cell r="O2693" t="str">
            <v>NR</v>
          </cell>
        </row>
        <row r="2694">
          <cell r="E2694" t="str">
            <v>CEUS</v>
          </cell>
          <cell r="F2694" t="str">
            <v>CEUS-T</v>
          </cell>
          <cell r="G2694">
            <v>511</v>
          </cell>
          <cell r="H2694" t="str">
            <v>CEUS-T511</v>
          </cell>
          <cell r="K2694" t="str">
            <v>Hodjaev,Malik</v>
          </cell>
          <cell r="N2694" t="str">
            <v>NR</v>
          </cell>
          <cell r="O2694" t="str">
            <v>NR</v>
          </cell>
        </row>
        <row r="2695">
          <cell r="E2695" t="str">
            <v>CEUS</v>
          </cell>
          <cell r="F2695" t="str">
            <v>CEUS-T</v>
          </cell>
          <cell r="G2695">
            <v>512</v>
          </cell>
          <cell r="H2695" t="str">
            <v>CEUS-T512</v>
          </cell>
          <cell r="K2695" t="str">
            <v>Hodjaev,Malik</v>
          </cell>
          <cell r="N2695" t="str">
            <v>NR</v>
          </cell>
          <cell r="O2695" t="str">
            <v>NR</v>
          </cell>
        </row>
        <row r="2696">
          <cell r="E2696" t="str">
            <v>CEUS</v>
          </cell>
          <cell r="F2696" t="str">
            <v>CEUS-T</v>
          </cell>
          <cell r="G2696">
            <v>512</v>
          </cell>
          <cell r="H2696" t="str">
            <v>CEUS-T512</v>
          </cell>
          <cell r="K2696" t="str">
            <v>Hodjaev,Malik</v>
          </cell>
          <cell r="N2696" t="str">
            <v>NR</v>
          </cell>
          <cell r="O2696" t="str">
            <v>NR</v>
          </cell>
        </row>
        <row r="2697">
          <cell r="E2697" t="str">
            <v>CEUS</v>
          </cell>
          <cell r="F2697" t="str">
            <v>CEUS-T</v>
          </cell>
          <cell r="G2697">
            <v>531</v>
          </cell>
          <cell r="H2697" t="str">
            <v>CEUS-T531</v>
          </cell>
          <cell r="K2697" t="str">
            <v>Nazarova,Gulnisa</v>
          </cell>
          <cell r="N2697" t="str">
            <v>NR</v>
          </cell>
          <cell r="O2697" t="str">
            <v>NR</v>
          </cell>
        </row>
        <row r="2698">
          <cell r="E2698" t="str">
            <v>CEUS</v>
          </cell>
          <cell r="F2698" t="str">
            <v>CEUS-T</v>
          </cell>
          <cell r="G2698">
            <v>532</v>
          </cell>
          <cell r="H2698" t="str">
            <v>CEUS-T532</v>
          </cell>
          <cell r="K2698" t="str">
            <v>Niyaz,Kurban</v>
          </cell>
          <cell r="N2698" t="str">
            <v>NR</v>
          </cell>
          <cell r="O2698" t="str">
            <v>NR</v>
          </cell>
        </row>
        <row r="2699">
          <cell r="E2699" t="str">
            <v>CEUS</v>
          </cell>
          <cell r="F2699" t="str">
            <v>CEUS-T</v>
          </cell>
          <cell r="G2699">
            <v>541</v>
          </cell>
          <cell r="H2699" t="str">
            <v>CEUS-T541</v>
          </cell>
          <cell r="K2699" t="str">
            <v>Varga,Valeria Eniko</v>
          </cell>
          <cell r="N2699" t="str">
            <v>NR</v>
          </cell>
          <cell r="O2699" t="str">
            <v>NR</v>
          </cell>
        </row>
        <row r="2700">
          <cell r="E2700" t="str">
            <v>CEUS</v>
          </cell>
          <cell r="F2700" t="str">
            <v>CEUS-T</v>
          </cell>
          <cell r="G2700">
            <v>551</v>
          </cell>
          <cell r="H2700" t="str">
            <v>CEUS-T551</v>
          </cell>
          <cell r="K2700" t="str">
            <v>Daneshgar,Shahyar</v>
          </cell>
          <cell r="N2700">
            <v>3.9630000000000001</v>
          </cell>
          <cell r="O2700">
            <v>3.85</v>
          </cell>
        </row>
        <row r="2701">
          <cell r="E2701" t="str">
            <v>CEUS</v>
          </cell>
          <cell r="F2701" t="str">
            <v>CEUS-T</v>
          </cell>
          <cell r="G2701">
            <v>552</v>
          </cell>
          <cell r="H2701" t="str">
            <v>CEUS-T552</v>
          </cell>
          <cell r="K2701" t="str">
            <v>Daneshgar,Shahyar</v>
          </cell>
          <cell r="N2701">
            <v>3.9569999999999999</v>
          </cell>
          <cell r="O2701">
            <v>3.7679999999999998</v>
          </cell>
        </row>
        <row r="2702">
          <cell r="E2702" t="str">
            <v>CEUS</v>
          </cell>
          <cell r="F2702" t="str">
            <v>CEUS-T</v>
          </cell>
          <cell r="G2702">
            <v>552</v>
          </cell>
          <cell r="H2702" t="str">
            <v>CEUS-T552</v>
          </cell>
          <cell r="K2702" t="str">
            <v>Fazel,Solaiman</v>
          </cell>
          <cell r="N2702" t="str">
            <v>NR</v>
          </cell>
          <cell r="O2702" t="str">
            <v>NR</v>
          </cell>
        </row>
        <row r="2703">
          <cell r="E2703" t="str">
            <v>CEUS</v>
          </cell>
          <cell r="F2703" t="str">
            <v>CEUS-T</v>
          </cell>
          <cell r="G2703">
            <v>553</v>
          </cell>
          <cell r="H2703" t="str">
            <v>CEUS-T553</v>
          </cell>
          <cell r="K2703" t="str">
            <v>Inomkhojayev,Rakhmon</v>
          </cell>
          <cell r="N2703" t="str">
            <v>NR</v>
          </cell>
          <cell r="O2703" t="str">
            <v>NR</v>
          </cell>
        </row>
        <row r="2704">
          <cell r="E2704" t="str">
            <v>CEUS</v>
          </cell>
          <cell r="F2704" t="str">
            <v>CEUS-T</v>
          </cell>
          <cell r="G2704">
            <v>554</v>
          </cell>
          <cell r="H2704" t="str">
            <v>CEUS-T554</v>
          </cell>
          <cell r="K2704" t="str">
            <v>Inomkhojayev,Rakhmon</v>
          </cell>
          <cell r="N2704" t="str">
            <v>NR</v>
          </cell>
          <cell r="O2704" t="str">
            <v>NR</v>
          </cell>
        </row>
        <row r="2705">
          <cell r="E2705" t="str">
            <v>CEUS</v>
          </cell>
          <cell r="F2705" t="str">
            <v>CEUS-T</v>
          </cell>
          <cell r="G2705">
            <v>561</v>
          </cell>
          <cell r="H2705" t="str">
            <v>CEUS-T561</v>
          </cell>
          <cell r="K2705" t="str">
            <v>Legden,Tserenchunt</v>
          </cell>
          <cell r="N2705" t="str">
            <v>NR</v>
          </cell>
          <cell r="O2705" t="str">
            <v>NR</v>
          </cell>
        </row>
        <row r="2706">
          <cell r="E2706" t="str">
            <v>CEUS</v>
          </cell>
          <cell r="F2706" t="str">
            <v>CEUS-T</v>
          </cell>
          <cell r="G2706">
            <v>562</v>
          </cell>
          <cell r="H2706" t="str">
            <v>CEUS-T562</v>
          </cell>
          <cell r="K2706" t="str">
            <v>Legden,Tserenchunt</v>
          </cell>
          <cell r="N2706" t="str">
            <v>NR</v>
          </cell>
          <cell r="O2706" t="str">
            <v>NR</v>
          </cell>
        </row>
        <row r="2707">
          <cell r="E2707" t="str">
            <v>CEUS</v>
          </cell>
          <cell r="F2707" t="str">
            <v>CEUS-T</v>
          </cell>
          <cell r="G2707">
            <v>581</v>
          </cell>
          <cell r="H2707" t="str">
            <v>CEUS-T581</v>
          </cell>
          <cell r="K2707" t="str">
            <v>Ozcelik,Oner</v>
          </cell>
          <cell r="N2707" t="str">
            <v>NR</v>
          </cell>
          <cell r="O2707" t="str">
            <v>NR</v>
          </cell>
        </row>
        <row r="2708">
          <cell r="E2708" t="str">
            <v>CEUS</v>
          </cell>
          <cell r="F2708" t="str">
            <v>CEUS-T</v>
          </cell>
          <cell r="G2708">
            <v>582</v>
          </cell>
          <cell r="H2708" t="str">
            <v>CEUS-T582</v>
          </cell>
          <cell r="K2708" t="str">
            <v>Ozcelik,Oner</v>
          </cell>
          <cell r="N2708">
            <v>3.9630000000000001</v>
          </cell>
          <cell r="O2708">
            <v>3.9249999999999998</v>
          </cell>
        </row>
        <row r="2709">
          <cell r="E2709" t="str">
            <v>CEUS</v>
          </cell>
          <cell r="F2709" t="str">
            <v>CEUS-T</v>
          </cell>
          <cell r="G2709">
            <v>601</v>
          </cell>
          <cell r="H2709" t="str">
            <v>CEUS-T601</v>
          </cell>
          <cell r="K2709" t="str">
            <v>Taurama,Mikko</v>
          </cell>
          <cell r="N2709" t="str">
            <v>NR</v>
          </cell>
          <cell r="O2709" t="str">
            <v>NR</v>
          </cell>
        </row>
        <row r="2710">
          <cell r="E2710" t="str">
            <v>CEUS</v>
          </cell>
          <cell r="F2710" t="str">
            <v>CEUS-T</v>
          </cell>
          <cell r="G2710">
            <v>602</v>
          </cell>
          <cell r="H2710" t="str">
            <v>CEUS-T602</v>
          </cell>
          <cell r="K2710" t="str">
            <v>Taurama,Mikko</v>
          </cell>
          <cell r="N2710" t="str">
            <v>NR</v>
          </cell>
          <cell r="O2710" t="str">
            <v>NR</v>
          </cell>
        </row>
        <row r="2711">
          <cell r="E2711" t="str">
            <v>CEUS</v>
          </cell>
          <cell r="F2711" t="str">
            <v>CEUS-T</v>
          </cell>
          <cell r="G2711">
            <v>611</v>
          </cell>
          <cell r="H2711" t="str">
            <v>CEUS-T611</v>
          </cell>
          <cell r="K2711" t="str">
            <v>Hodjaev,Malik</v>
          </cell>
          <cell r="N2711" t="str">
            <v>NR</v>
          </cell>
          <cell r="O2711" t="str">
            <v>NR</v>
          </cell>
        </row>
        <row r="2712">
          <cell r="E2712" t="str">
            <v>CEUS</v>
          </cell>
          <cell r="F2712" t="str">
            <v>CEUS-T</v>
          </cell>
          <cell r="G2712">
            <v>611</v>
          </cell>
          <cell r="H2712" t="str">
            <v>CEUS-T611</v>
          </cell>
          <cell r="K2712" t="str">
            <v>Hodjaev,Malik</v>
          </cell>
          <cell r="N2712" t="str">
            <v>NR</v>
          </cell>
          <cell r="O2712" t="str">
            <v>NR</v>
          </cell>
        </row>
        <row r="2713">
          <cell r="E2713" t="str">
            <v>CEUS</v>
          </cell>
          <cell r="F2713" t="str">
            <v>CEUS-T</v>
          </cell>
          <cell r="G2713">
            <v>612</v>
          </cell>
          <cell r="H2713" t="str">
            <v>CEUS-T612</v>
          </cell>
          <cell r="K2713" t="str">
            <v>Hodjaev,Malik</v>
          </cell>
          <cell r="N2713" t="str">
            <v>NR</v>
          </cell>
          <cell r="O2713" t="str">
            <v>NR</v>
          </cell>
        </row>
        <row r="2714">
          <cell r="E2714" t="str">
            <v>CEUS</v>
          </cell>
          <cell r="F2714" t="str">
            <v>CEUS-T</v>
          </cell>
          <cell r="G2714">
            <v>612</v>
          </cell>
          <cell r="H2714" t="str">
            <v>CEUS-T612</v>
          </cell>
          <cell r="K2714" t="str">
            <v>Hodjaev,Malik</v>
          </cell>
          <cell r="N2714" t="str">
            <v>NR</v>
          </cell>
          <cell r="O2714" t="str">
            <v>NR</v>
          </cell>
        </row>
        <row r="2715">
          <cell r="E2715" t="str">
            <v>CEUS</v>
          </cell>
          <cell r="F2715" t="str">
            <v>CEUS-T</v>
          </cell>
          <cell r="G2715">
            <v>614</v>
          </cell>
          <cell r="H2715" t="str">
            <v>CEUS-T614</v>
          </cell>
          <cell r="K2715" t="str">
            <v>Ziyabekova,Dana Sarsenbaevna</v>
          </cell>
          <cell r="N2715" t="str">
            <v>NR</v>
          </cell>
          <cell r="O2715" t="str">
            <v>NR</v>
          </cell>
        </row>
        <row r="2716">
          <cell r="E2716" t="str">
            <v>CEUS</v>
          </cell>
          <cell r="F2716" t="str">
            <v>CEUS-T</v>
          </cell>
          <cell r="G2716">
            <v>623</v>
          </cell>
          <cell r="H2716" t="str">
            <v>CEUS-T623</v>
          </cell>
          <cell r="K2716" t="str">
            <v>DeWeese,Devin A.</v>
          </cell>
          <cell r="N2716" t="str">
            <v>NR</v>
          </cell>
          <cell r="O2716" t="str">
            <v>NR</v>
          </cell>
        </row>
        <row r="2717">
          <cell r="E2717" t="str">
            <v>CEUS</v>
          </cell>
          <cell r="F2717" t="str">
            <v>CEUS-T</v>
          </cell>
          <cell r="G2717">
            <v>631</v>
          </cell>
          <cell r="H2717" t="str">
            <v>CEUS-T631</v>
          </cell>
          <cell r="K2717" t="str">
            <v>Nazarova,Gulnisa</v>
          </cell>
          <cell r="N2717" t="str">
            <v>NR</v>
          </cell>
          <cell r="O2717" t="str">
            <v>NR</v>
          </cell>
        </row>
        <row r="2718">
          <cell r="E2718" t="str">
            <v>CEUS</v>
          </cell>
          <cell r="F2718" t="str">
            <v>CEUS-T</v>
          </cell>
          <cell r="G2718">
            <v>632</v>
          </cell>
          <cell r="H2718" t="str">
            <v>CEUS-T632</v>
          </cell>
          <cell r="K2718" t="str">
            <v>Nazarova,Gulnisa</v>
          </cell>
          <cell r="N2718" t="str">
            <v>NR</v>
          </cell>
          <cell r="O2718" t="str">
            <v>NR</v>
          </cell>
        </row>
        <row r="2719">
          <cell r="E2719" t="str">
            <v>CEUS</v>
          </cell>
          <cell r="F2719" t="str">
            <v>CEUS-T</v>
          </cell>
          <cell r="G2719">
            <v>641</v>
          </cell>
          <cell r="H2719" t="str">
            <v>CEUS-T641</v>
          </cell>
          <cell r="K2719" t="str">
            <v>Varga,Valeria Eniko</v>
          </cell>
          <cell r="N2719" t="str">
            <v>NR</v>
          </cell>
          <cell r="O2719" t="str">
            <v>NR</v>
          </cell>
        </row>
        <row r="2720">
          <cell r="E2720" t="str">
            <v>CEUS</v>
          </cell>
          <cell r="F2720" t="str">
            <v>CEUS-T</v>
          </cell>
          <cell r="G2720">
            <v>642</v>
          </cell>
          <cell r="H2720" t="str">
            <v>CEUS-T642</v>
          </cell>
          <cell r="K2720" t="str">
            <v>Varga,Valeria Eniko</v>
          </cell>
          <cell r="N2720" t="str">
            <v>NR</v>
          </cell>
          <cell r="O2720" t="str">
            <v>NR</v>
          </cell>
        </row>
        <row r="2721">
          <cell r="E2721" t="str">
            <v>CEUS</v>
          </cell>
          <cell r="F2721" t="str">
            <v>CEUS-T</v>
          </cell>
          <cell r="G2721">
            <v>651</v>
          </cell>
          <cell r="H2721" t="str">
            <v>CEUS-T651</v>
          </cell>
          <cell r="K2721" t="str">
            <v>Daneshgar,Shahyar</v>
          </cell>
          <cell r="N2721">
            <v>3.8</v>
          </cell>
          <cell r="O2721">
            <v>3.7370000000000001</v>
          </cell>
        </row>
        <row r="2722">
          <cell r="E2722" t="str">
            <v>CEUS</v>
          </cell>
          <cell r="F2722" t="str">
            <v>CEUS-T</v>
          </cell>
          <cell r="G2722">
            <v>652</v>
          </cell>
          <cell r="H2722" t="str">
            <v>CEUS-T652</v>
          </cell>
          <cell r="K2722" t="str">
            <v>Daneshgar,Shahyar</v>
          </cell>
          <cell r="N2722" t="str">
            <v>NR</v>
          </cell>
          <cell r="O2722" t="str">
            <v>NR</v>
          </cell>
        </row>
        <row r="2723">
          <cell r="E2723" t="str">
            <v>CEUS</v>
          </cell>
          <cell r="F2723" t="str">
            <v>CEUS-T</v>
          </cell>
          <cell r="G2723">
            <v>654</v>
          </cell>
          <cell r="H2723" t="str">
            <v>CEUS-T654</v>
          </cell>
          <cell r="K2723" t="str">
            <v>Inomkhojayev,Rakhmon</v>
          </cell>
          <cell r="N2723" t="str">
            <v>NR</v>
          </cell>
          <cell r="O2723" t="str">
            <v>NR</v>
          </cell>
        </row>
        <row r="2724">
          <cell r="E2724" t="str">
            <v>CEUS</v>
          </cell>
          <cell r="F2724" t="str">
            <v>CEUS-T</v>
          </cell>
          <cell r="G2724">
            <v>656</v>
          </cell>
          <cell r="H2724" t="str">
            <v>CEUS-T656</v>
          </cell>
          <cell r="K2724" t="str">
            <v>Choksy,Jamsheed K.</v>
          </cell>
          <cell r="N2724" t="str">
            <v>NR</v>
          </cell>
          <cell r="O2724" t="str">
            <v>NR</v>
          </cell>
        </row>
        <row r="2725">
          <cell r="E2725" t="str">
            <v>CEUS</v>
          </cell>
          <cell r="F2725" t="str">
            <v>CEUS-T</v>
          </cell>
          <cell r="G2725">
            <v>661</v>
          </cell>
          <cell r="H2725" t="str">
            <v>CEUS-T661</v>
          </cell>
          <cell r="K2725" t="str">
            <v>Legden,Tserenchunt</v>
          </cell>
          <cell r="N2725" t="str">
            <v>NR</v>
          </cell>
          <cell r="O2725" t="str">
            <v>NR</v>
          </cell>
        </row>
        <row r="2726">
          <cell r="E2726" t="str">
            <v>CEUS</v>
          </cell>
          <cell r="F2726" t="str">
            <v>CEUS-T</v>
          </cell>
          <cell r="G2726">
            <v>661</v>
          </cell>
          <cell r="H2726" t="str">
            <v>CEUS-T661</v>
          </cell>
          <cell r="K2726" t="str">
            <v>Legden,Tserenchunt</v>
          </cell>
          <cell r="N2726" t="str">
            <v>NR</v>
          </cell>
          <cell r="O2726" t="str">
            <v>NR</v>
          </cell>
        </row>
        <row r="2727">
          <cell r="E2727" t="str">
            <v>CEUS</v>
          </cell>
          <cell r="F2727" t="str">
            <v>CEUS-T</v>
          </cell>
          <cell r="G2727">
            <v>663</v>
          </cell>
          <cell r="H2727" t="str">
            <v>CEUS-T663</v>
          </cell>
          <cell r="K2727" t="str">
            <v>Kara,Gyorgy</v>
          </cell>
          <cell r="N2727" t="str">
            <v>NR</v>
          </cell>
          <cell r="O2727" t="str">
            <v>NR</v>
          </cell>
        </row>
        <row r="2728">
          <cell r="E2728" t="str">
            <v>CEUS</v>
          </cell>
          <cell r="F2728" t="str">
            <v>CEUS-T</v>
          </cell>
          <cell r="G2728">
            <v>664</v>
          </cell>
          <cell r="H2728" t="str">
            <v>CEUS-T664</v>
          </cell>
          <cell r="K2728" t="str">
            <v>Kara,Gyorgy</v>
          </cell>
          <cell r="N2728" t="str">
            <v>NR</v>
          </cell>
          <cell r="O2728" t="str">
            <v>NR</v>
          </cell>
        </row>
        <row r="2729">
          <cell r="E2729" t="str">
            <v>CEUS</v>
          </cell>
          <cell r="F2729" t="str">
            <v>CEUS-T</v>
          </cell>
          <cell r="G2729">
            <v>671</v>
          </cell>
          <cell r="H2729" t="str">
            <v>CEUS-T671</v>
          </cell>
          <cell r="K2729" t="str">
            <v>Sperling,Elliot H.</v>
          </cell>
          <cell r="N2729" t="str">
            <v>NR</v>
          </cell>
          <cell r="O2729" t="str">
            <v>NR</v>
          </cell>
        </row>
        <row r="2730">
          <cell r="E2730" t="str">
            <v>CEUS</v>
          </cell>
          <cell r="F2730" t="str">
            <v>CEUS-T</v>
          </cell>
          <cell r="G2730">
            <v>672</v>
          </cell>
          <cell r="H2730" t="str">
            <v>CEUS-T672</v>
          </cell>
          <cell r="K2730" t="str">
            <v>Rabsal,Gedun</v>
          </cell>
          <cell r="N2730" t="str">
            <v>NR</v>
          </cell>
          <cell r="O2730" t="str">
            <v>NR</v>
          </cell>
        </row>
        <row r="2731">
          <cell r="E2731" t="str">
            <v>CEUS</v>
          </cell>
          <cell r="F2731" t="str">
            <v>CEUS-T</v>
          </cell>
          <cell r="G2731">
            <v>673</v>
          </cell>
          <cell r="H2731" t="str">
            <v>CEUS-T673</v>
          </cell>
          <cell r="K2731" t="str">
            <v>Beckwith,Christopher I.</v>
          </cell>
          <cell r="N2731" t="str">
            <v>NR</v>
          </cell>
          <cell r="O2731" t="str">
            <v>NR</v>
          </cell>
        </row>
        <row r="2732">
          <cell r="E2732" t="str">
            <v>CEUS</v>
          </cell>
          <cell r="F2732" t="str">
            <v>CEUS-T</v>
          </cell>
          <cell r="G2732">
            <v>676</v>
          </cell>
          <cell r="H2732" t="str">
            <v>CEUS-T676</v>
          </cell>
          <cell r="K2732" t="str">
            <v>Sperling,Elliot H.</v>
          </cell>
          <cell r="N2732" t="str">
            <v>NR</v>
          </cell>
          <cell r="O2732" t="str">
            <v>NR</v>
          </cell>
        </row>
        <row r="2733">
          <cell r="E2733" t="str">
            <v>CEUS</v>
          </cell>
          <cell r="F2733" t="str">
            <v>CEUS-T</v>
          </cell>
          <cell r="G2733">
            <v>681</v>
          </cell>
          <cell r="H2733" t="str">
            <v>CEUS-T681</v>
          </cell>
          <cell r="K2733" t="str">
            <v>Ariogul,Sibel</v>
          </cell>
          <cell r="N2733" t="str">
            <v>NR</v>
          </cell>
          <cell r="O2733" t="str">
            <v>NR</v>
          </cell>
        </row>
        <row r="2734">
          <cell r="E2734" t="str">
            <v>CEUS</v>
          </cell>
          <cell r="F2734" t="str">
            <v>CEUS-T</v>
          </cell>
          <cell r="G2734">
            <v>682</v>
          </cell>
          <cell r="H2734" t="str">
            <v>CEUS-T682</v>
          </cell>
          <cell r="K2734" t="str">
            <v>Jones,Defne Louise</v>
          </cell>
          <cell r="N2734" t="str">
            <v>NR</v>
          </cell>
          <cell r="O2734" t="str">
            <v>NR</v>
          </cell>
        </row>
        <row r="2735">
          <cell r="E2735" t="str">
            <v>CEUS</v>
          </cell>
          <cell r="F2735" t="str">
            <v>CEUS-T</v>
          </cell>
          <cell r="G2735">
            <v>690</v>
          </cell>
          <cell r="H2735" t="str">
            <v>CEUS-T690</v>
          </cell>
          <cell r="K2735" t="str">
            <v>Kara,Gyorgy</v>
          </cell>
          <cell r="N2735" t="str">
            <v>NR</v>
          </cell>
          <cell r="O2735" t="str">
            <v>NR</v>
          </cell>
        </row>
        <row r="2736">
          <cell r="E2736" t="str">
            <v>CEUS</v>
          </cell>
          <cell r="F2736" t="str">
            <v>CEUS-T</v>
          </cell>
          <cell r="G2736">
            <v>691</v>
          </cell>
          <cell r="H2736" t="str">
            <v>CEUS-T691</v>
          </cell>
          <cell r="K2736" t="str">
            <v>Kara,Gyorgy</v>
          </cell>
          <cell r="N2736" t="str">
            <v>NR</v>
          </cell>
          <cell r="O2736" t="str">
            <v>NR</v>
          </cell>
        </row>
        <row r="2737">
          <cell r="E2737" t="str">
            <v>CEUS</v>
          </cell>
          <cell r="F2737" t="str">
            <v>CEUS-T</v>
          </cell>
          <cell r="G2737">
            <v>701</v>
          </cell>
          <cell r="H2737" t="str">
            <v>CEUS-T701</v>
          </cell>
          <cell r="K2737" t="str">
            <v>Taurama,Mikko</v>
          </cell>
          <cell r="N2737" t="str">
            <v>NR</v>
          </cell>
          <cell r="O2737" t="str">
            <v>NR</v>
          </cell>
        </row>
        <row r="2738">
          <cell r="E2738" t="str">
            <v>CEUS</v>
          </cell>
          <cell r="F2738" t="str">
            <v>CEUS-T</v>
          </cell>
          <cell r="G2738">
            <v>704</v>
          </cell>
          <cell r="H2738" t="str">
            <v>CEUS-T704</v>
          </cell>
          <cell r="K2738" t="str">
            <v>Kivik,Piibi-Kai</v>
          </cell>
          <cell r="N2738" t="str">
            <v>NR</v>
          </cell>
          <cell r="O2738" t="str">
            <v>NR</v>
          </cell>
        </row>
        <row r="2739">
          <cell r="E2739" t="str">
            <v>CEUS</v>
          </cell>
          <cell r="F2739" t="str">
            <v>CEUS-T</v>
          </cell>
          <cell r="G2739">
            <v>711</v>
          </cell>
          <cell r="H2739" t="str">
            <v>CEUS-T711</v>
          </cell>
          <cell r="K2739" t="str">
            <v>Hodjaev,Malik</v>
          </cell>
          <cell r="N2739" t="str">
            <v>NR</v>
          </cell>
          <cell r="O2739" t="str">
            <v>NR</v>
          </cell>
        </row>
        <row r="2740">
          <cell r="E2740" t="str">
            <v>CEUS</v>
          </cell>
          <cell r="F2740" t="str">
            <v>CEUS-T</v>
          </cell>
          <cell r="G2740">
            <v>711</v>
          </cell>
          <cell r="H2740" t="str">
            <v>CEUS-T711</v>
          </cell>
          <cell r="K2740" t="str">
            <v>Hodjaev,Malik</v>
          </cell>
          <cell r="N2740" t="str">
            <v>NR</v>
          </cell>
          <cell r="O2740" t="str">
            <v>NR</v>
          </cell>
        </row>
        <row r="2741">
          <cell r="E2741" t="str">
            <v>CEUS</v>
          </cell>
          <cell r="F2741" t="str">
            <v>CEUS-T</v>
          </cell>
          <cell r="G2741">
            <v>712</v>
          </cell>
          <cell r="H2741" t="str">
            <v>CEUS-T712</v>
          </cell>
          <cell r="K2741" t="str">
            <v>Hodjaev,Malik</v>
          </cell>
          <cell r="N2741" t="str">
            <v>NR</v>
          </cell>
          <cell r="O2741" t="str">
            <v>NR</v>
          </cell>
        </row>
        <row r="2742">
          <cell r="E2742" t="str">
            <v>CEUS</v>
          </cell>
          <cell r="F2742" t="str">
            <v>CEUS-T</v>
          </cell>
          <cell r="G2742">
            <v>713</v>
          </cell>
          <cell r="H2742" t="str">
            <v>CEUS-T713</v>
          </cell>
          <cell r="K2742" t="str">
            <v>Adilkhanova,Begaim Rakhymovna</v>
          </cell>
          <cell r="N2742" t="str">
            <v>NR</v>
          </cell>
          <cell r="O2742" t="str">
            <v>NR</v>
          </cell>
        </row>
        <row r="2743">
          <cell r="E2743" t="str">
            <v>CEUS</v>
          </cell>
          <cell r="F2743" t="str">
            <v>CEUS-T</v>
          </cell>
          <cell r="G2743">
            <v>741</v>
          </cell>
          <cell r="H2743" t="str">
            <v>CEUS-T741</v>
          </cell>
          <cell r="K2743" t="str">
            <v>Varga,Valeria Eniko</v>
          </cell>
          <cell r="N2743" t="str">
            <v>NR</v>
          </cell>
          <cell r="O2743" t="str">
            <v>NR</v>
          </cell>
        </row>
        <row r="2744">
          <cell r="E2744" t="str">
            <v>CEUS</v>
          </cell>
          <cell r="F2744" t="str">
            <v>CEUS-T</v>
          </cell>
          <cell r="G2744">
            <v>751</v>
          </cell>
          <cell r="H2744" t="str">
            <v>CEUS-T751</v>
          </cell>
          <cell r="K2744" t="str">
            <v>Losensky,Paul Edward</v>
          </cell>
          <cell r="N2744" t="str">
            <v>NR</v>
          </cell>
          <cell r="O2744" t="str">
            <v>NR</v>
          </cell>
        </row>
        <row r="2745">
          <cell r="E2745" t="str">
            <v>CEUS</v>
          </cell>
          <cell r="F2745" t="str">
            <v>CEUS-T</v>
          </cell>
          <cell r="G2745">
            <v>752</v>
          </cell>
          <cell r="H2745" t="str">
            <v>CEUS-T752</v>
          </cell>
          <cell r="K2745" t="str">
            <v>Choksy,Jamsheed K.</v>
          </cell>
          <cell r="N2745" t="str">
            <v>NR</v>
          </cell>
          <cell r="O2745" t="str">
            <v>NR</v>
          </cell>
        </row>
        <row r="2746">
          <cell r="E2746" t="str">
            <v>CEUS</v>
          </cell>
          <cell r="F2746" t="str">
            <v>CEUS-T</v>
          </cell>
          <cell r="G2746">
            <v>754</v>
          </cell>
          <cell r="H2746" t="str">
            <v>CEUS-T754</v>
          </cell>
          <cell r="K2746" t="str">
            <v>Arman,Rahman</v>
          </cell>
          <cell r="N2746" t="str">
            <v>NR</v>
          </cell>
          <cell r="O2746" t="str">
            <v>NR</v>
          </cell>
        </row>
        <row r="2747">
          <cell r="E2747" t="str">
            <v>CEUS</v>
          </cell>
          <cell r="F2747" t="str">
            <v>CEUS-T</v>
          </cell>
          <cell r="G2747">
            <v>761</v>
          </cell>
          <cell r="H2747" t="str">
            <v>CEUS-T761</v>
          </cell>
          <cell r="K2747" t="str">
            <v>Legden,Tserenchunt</v>
          </cell>
          <cell r="N2747" t="str">
            <v>NR</v>
          </cell>
          <cell r="O2747" t="str">
            <v>NR</v>
          </cell>
        </row>
        <row r="2748">
          <cell r="E2748" t="str">
            <v>CEUS</v>
          </cell>
          <cell r="F2748" t="str">
            <v>CEUS-T</v>
          </cell>
          <cell r="G2748">
            <v>762</v>
          </cell>
          <cell r="H2748" t="str">
            <v>CEUS-T762</v>
          </cell>
          <cell r="K2748" t="str">
            <v>Legden,Tserenchunt</v>
          </cell>
          <cell r="N2748" t="str">
            <v>NR</v>
          </cell>
          <cell r="O2748" t="str">
            <v>NR</v>
          </cell>
        </row>
        <row r="2749">
          <cell r="E2749" t="str">
            <v>CEUS</v>
          </cell>
          <cell r="F2749" t="str">
            <v>CEUS-T</v>
          </cell>
          <cell r="G2749">
            <v>771</v>
          </cell>
          <cell r="H2749" t="str">
            <v>CEUS-T771</v>
          </cell>
          <cell r="K2749" t="str">
            <v>Rabsal,Gedun</v>
          </cell>
          <cell r="N2749" t="str">
            <v>NR</v>
          </cell>
          <cell r="O2749" t="str">
            <v>NR</v>
          </cell>
        </row>
        <row r="2750">
          <cell r="E2750" t="str">
            <v>CEUS</v>
          </cell>
          <cell r="F2750" t="str">
            <v>CEUS-T</v>
          </cell>
          <cell r="G2750">
            <v>781</v>
          </cell>
          <cell r="H2750" t="str">
            <v>CEUS-T781</v>
          </cell>
          <cell r="K2750" t="str">
            <v>Elbasan,Zeynep</v>
          </cell>
          <cell r="N2750" t="str">
            <v>NR</v>
          </cell>
          <cell r="O2750" t="str">
            <v>NR</v>
          </cell>
        </row>
        <row r="2751">
          <cell r="E2751" t="str">
            <v>CEUS</v>
          </cell>
          <cell r="F2751" t="str">
            <v>CEUS-T</v>
          </cell>
          <cell r="G2751">
            <v>782</v>
          </cell>
          <cell r="H2751" t="str">
            <v>CEUS-T782</v>
          </cell>
          <cell r="K2751" t="str">
            <v>Elbasan,Zeynep</v>
          </cell>
          <cell r="N2751" t="str">
            <v>NR</v>
          </cell>
          <cell r="O2751" t="str">
            <v>NR</v>
          </cell>
        </row>
        <row r="2752">
          <cell r="E2752" t="str">
            <v>CEUS</v>
          </cell>
          <cell r="F2752" t="str">
            <v>CEUS-T</v>
          </cell>
          <cell r="G2752">
            <v>785</v>
          </cell>
          <cell r="H2752" t="str">
            <v>CEUS-T785</v>
          </cell>
          <cell r="K2752" t="str">
            <v>Silay,Kemal</v>
          </cell>
          <cell r="N2752" t="str">
            <v>NR</v>
          </cell>
          <cell r="O2752" t="str">
            <v>NR</v>
          </cell>
        </row>
        <row r="2753">
          <cell r="E2753" t="str">
            <v>CEUS</v>
          </cell>
          <cell r="F2753" t="str">
            <v>CEUS-T</v>
          </cell>
          <cell r="G2753">
            <v>798</v>
          </cell>
          <cell r="H2753" t="str">
            <v>CEUS-T798</v>
          </cell>
          <cell r="K2753" t="str">
            <v>Arman,Rahman</v>
          </cell>
          <cell r="N2753" t="str">
            <v>NR</v>
          </cell>
          <cell r="O2753" t="str">
            <v>NR</v>
          </cell>
        </row>
        <row r="2754">
          <cell r="E2754" t="str">
            <v>CEUS</v>
          </cell>
          <cell r="F2754" t="str">
            <v>CEUS-T</v>
          </cell>
          <cell r="G2754">
            <v>798</v>
          </cell>
          <cell r="H2754" t="str">
            <v>CEUS-T798</v>
          </cell>
          <cell r="K2754" t="str">
            <v>Nazarova,Gulnisa</v>
          </cell>
          <cell r="N2754" t="str">
            <v>NR</v>
          </cell>
          <cell r="O2754" t="str">
            <v>NR</v>
          </cell>
        </row>
        <row r="2755">
          <cell r="E2755" t="str">
            <v>CEUS</v>
          </cell>
          <cell r="F2755" t="str">
            <v>CEUS-T</v>
          </cell>
          <cell r="G2755">
            <v>799</v>
          </cell>
          <cell r="H2755" t="str">
            <v>CEUS-T799</v>
          </cell>
          <cell r="K2755" t="str">
            <v>Arman,Rahman</v>
          </cell>
          <cell r="N2755" t="str">
            <v>NR</v>
          </cell>
          <cell r="O2755" t="str">
            <v>NR</v>
          </cell>
        </row>
        <row r="2756">
          <cell r="E2756" t="str">
            <v>CEUS</v>
          </cell>
          <cell r="F2756" t="str">
            <v>CEUS-T</v>
          </cell>
          <cell r="G2756">
            <v>861</v>
          </cell>
          <cell r="H2756" t="str">
            <v>CEUS-T861</v>
          </cell>
          <cell r="K2756" t="str">
            <v>Legden,Tserenchunt</v>
          </cell>
          <cell r="N2756" t="str">
            <v>NR</v>
          </cell>
          <cell r="O2756" t="str">
            <v>NR</v>
          </cell>
        </row>
        <row r="2757">
          <cell r="E2757" t="str">
            <v>CEUS</v>
          </cell>
          <cell r="F2757" t="str">
            <v>CEUS-T</v>
          </cell>
          <cell r="G2757">
            <v>871</v>
          </cell>
          <cell r="H2757" t="str">
            <v>CEUS-T871</v>
          </cell>
          <cell r="K2757" t="str">
            <v>Rabsal,Gedun</v>
          </cell>
          <cell r="N2757" t="str">
            <v>NR</v>
          </cell>
          <cell r="O2757" t="str">
            <v>NR</v>
          </cell>
        </row>
        <row r="2758">
          <cell r="E2758" t="str">
            <v>CHEM</v>
          </cell>
          <cell r="F2758" t="str">
            <v>CHEM-A</v>
          </cell>
          <cell r="G2758">
            <v>314</v>
          </cell>
          <cell r="H2758" t="str">
            <v>CHEM-A314</v>
          </cell>
          <cell r="K2758" t="str">
            <v>Robinson,Jill Kirsten</v>
          </cell>
          <cell r="N2758">
            <v>2.7229999999999999</v>
          </cell>
          <cell r="O2758">
            <v>3.351</v>
          </cell>
        </row>
        <row r="2759">
          <cell r="E2759" t="str">
            <v>CHEM</v>
          </cell>
          <cell r="F2759" t="str">
            <v>CHEM-A</v>
          </cell>
          <cell r="G2759">
            <v>315</v>
          </cell>
          <cell r="H2759" t="str">
            <v>CHEM-A315</v>
          </cell>
          <cell r="K2759" t="str">
            <v>Baker,Lane Allen</v>
          </cell>
          <cell r="N2759">
            <v>3.2229999999999999</v>
          </cell>
          <cell r="O2759">
            <v>3.4129999999999998</v>
          </cell>
        </row>
        <row r="2760">
          <cell r="E2760" t="str">
            <v>CHEM</v>
          </cell>
          <cell r="F2760" t="str">
            <v>CHEM-A</v>
          </cell>
          <cell r="G2760">
            <v>316</v>
          </cell>
          <cell r="H2760" t="str">
            <v>CHEM-A316</v>
          </cell>
          <cell r="K2760" t="str">
            <v>Robinson,Jill Kirsten</v>
          </cell>
          <cell r="N2760">
            <v>3.46</v>
          </cell>
          <cell r="O2760">
            <v>3.415</v>
          </cell>
        </row>
        <row r="2761">
          <cell r="E2761" t="str">
            <v>CHEM</v>
          </cell>
          <cell r="F2761" t="str">
            <v>CHEM-A</v>
          </cell>
          <cell r="G2761">
            <v>800</v>
          </cell>
          <cell r="H2761" t="str">
            <v>CHEM-A800</v>
          </cell>
          <cell r="K2761" t="str">
            <v>Hieftje,Gary M.</v>
          </cell>
          <cell r="N2761">
            <v>3.6379999999999999</v>
          </cell>
          <cell r="O2761">
            <v>3.569</v>
          </cell>
        </row>
        <row r="2762">
          <cell r="E2762" t="str">
            <v>CHEM</v>
          </cell>
          <cell r="F2762" t="str">
            <v>CHEM-A</v>
          </cell>
          <cell r="G2762">
            <v>800</v>
          </cell>
          <cell r="H2762" t="str">
            <v>CHEM-A800</v>
          </cell>
          <cell r="K2762" t="str">
            <v>Peters,Dennis G.</v>
          </cell>
          <cell r="N2762" t="str">
            <v>NR</v>
          </cell>
          <cell r="O2762" t="str">
            <v>NR</v>
          </cell>
        </row>
        <row r="2763">
          <cell r="E2763" t="str">
            <v>CHEM</v>
          </cell>
          <cell r="F2763" t="str">
            <v>CHEM-B</v>
          </cell>
          <cell r="G2763">
            <v>486</v>
          </cell>
          <cell r="H2763" t="str">
            <v>CHEM-B486</v>
          </cell>
          <cell r="K2763" t="str">
            <v>Drummond,James T.</v>
          </cell>
          <cell r="N2763">
            <v>3.577</v>
          </cell>
          <cell r="O2763">
            <v>3.67</v>
          </cell>
        </row>
        <row r="2764">
          <cell r="E2764" t="str">
            <v>CHEM</v>
          </cell>
          <cell r="F2764" t="str">
            <v>CHEM-B</v>
          </cell>
          <cell r="G2764">
            <v>800</v>
          </cell>
          <cell r="H2764" t="str">
            <v>CHEM-B800</v>
          </cell>
          <cell r="K2764" t="str">
            <v>Dann III,Charles E</v>
          </cell>
          <cell r="N2764" t="str">
            <v>NR</v>
          </cell>
          <cell r="O2764" t="str">
            <v>NR</v>
          </cell>
        </row>
        <row r="2765">
          <cell r="E2765" t="str">
            <v>CHEM</v>
          </cell>
          <cell r="F2765" t="str">
            <v>CHEM-C</v>
          </cell>
          <cell r="G2765">
            <v>100</v>
          </cell>
          <cell r="H2765" t="str">
            <v>CHEM-C100</v>
          </cell>
          <cell r="K2765" t="str">
            <v>Skrabalak,Sara</v>
          </cell>
          <cell r="N2765">
            <v>2.83</v>
          </cell>
          <cell r="O2765">
            <v>2.9390000000000001</v>
          </cell>
        </row>
        <row r="2766">
          <cell r="E2766" t="str">
            <v>CHEM</v>
          </cell>
          <cell r="F2766" t="str">
            <v>CHEM-C</v>
          </cell>
          <cell r="G2766">
            <v>101</v>
          </cell>
          <cell r="H2766" t="str">
            <v>CHEM-C101</v>
          </cell>
          <cell r="K2766" t="str">
            <v>Edwards,Michael A</v>
          </cell>
          <cell r="N2766">
            <v>2.556</v>
          </cell>
          <cell r="O2766">
            <v>2.887</v>
          </cell>
        </row>
        <row r="2767">
          <cell r="E2767" t="str">
            <v>CHEM</v>
          </cell>
          <cell r="F2767" t="str">
            <v>CHEM-C</v>
          </cell>
          <cell r="G2767">
            <v>101</v>
          </cell>
          <cell r="H2767" t="str">
            <v>CHEM-C101</v>
          </cell>
          <cell r="K2767" t="str">
            <v>Flood,Amar Hugh</v>
          </cell>
          <cell r="N2767">
            <v>2.6309999999999998</v>
          </cell>
          <cell r="O2767">
            <v>2.8540000000000001</v>
          </cell>
        </row>
        <row r="2768">
          <cell r="E2768" t="str">
            <v>CHEM</v>
          </cell>
          <cell r="F2768" t="str">
            <v>CHEM-C</v>
          </cell>
          <cell r="G2768">
            <v>102</v>
          </cell>
          <cell r="H2768" t="str">
            <v>CHEM-C102</v>
          </cell>
          <cell r="K2768" t="str">
            <v>Levy,Jay J.</v>
          </cell>
          <cell r="N2768">
            <v>1.6859999999999999</v>
          </cell>
          <cell r="O2768">
            <v>2.8029999999999999</v>
          </cell>
        </row>
        <row r="2769">
          <cell r="E2769" t="str">
            <v>CHEM</v>
          </cell>
          <cell r="F2769" t="str">
            <v>CHEM-C</v>
          </cell>
          <cell r="G2769">
            <v>103</v>
          </cell>
          <cell r="H2769" t="str">
            <v>CHEM-C103</v>
          </cell>
          <cell r="K2769" t="str">
            <v>Arnold,Kimberly Sue</v>
          </cell>
          <cell r="N2769">
            <v>2.762</v>
          </cell>
          <cell r="O2769">
            <v>3.0139999999999998</v>
          </cell>
        </row>
        <row r="2770">
          <cell r="E2770" t="str">
            <v>CHEM</v>
          </cell>
          <cell r="F2770" t="str">
            <v>CHEM-C</v>
          </cell>
          <cell r="G2770">
            <v>103</v>
          </cell>
          <cell r="H2770" t="str">
            <v>CHEM-C103</v>
          </cell>
          <cell r="K2770" t="str">
            <v>Arnold,Kimberly Sue</v>
          </cell>
          <cell r="N2770">
            <v>2.6709999999999998</v>
          </cell>
          <cell r="O2770">
            <v>2.992</v>
          </cell>
        </row>
        <row r="2771">
          <cell r="E2771" t="str">
            <v>CHEM</v>
          </cell>
          <cell r="F2771" t="str">
            <v>CHEM-C</v>
          </cell>
          <cell r="G2771">
            <v>103</v>
          </cell>
          <cell r="H2771" t="str">
            <v>CHEM-C103</v>
          </cell>
          <cell r="K2771" t="str">
            <v>Arnold,Kimberly Sue</v>
          </cell>
          <cell r="N2771">
            <v>2.7050000000000001</v>
          </cell>
          <cell r="O2771">
            <v>3.01</v>
          </cell>
        </row>
        <row r="2772">
          <cell r="E2772" t="str">
            <v>CHEM</v>
          </cell>
          <cell r="F2772" t="str">
            <v>CHEM-C</v>
          </cell>
          <cell r="G2772">
            <v>107</v>
          </cell>
          <cell r="H2772" t="str">
            <v>CHEM-C107</v>
          </cell>
          <cell r="K2772" t="str">
            <v>Peters,Dennis G.</v>
          </cell>
          <cell r="N2772">
            <v>3.96</v>
          </cell>
          <cell r="O2772">
            <v>3.6429999999999998</v>
          </cell>
        </row>
        <row r="2773">
          <cell r="E2773" t="str">
            <v>CHEM</v>
          </cell>
          <cell r="F2773" t="str">
            <v>CHEM-C</v>
          </cell>
          <cell r="G2773">
            <v>117</v>
          </cell>
          <cell r="H2773" t="str">
            <v>CHEM-C117</v>
          </cell>
          <cell r="K2773" t="str">
            <v>Reck,Cathrine E.</v>
          </cell>
          <cell r="N2773">
            <v>2.4489999999999998</v>
          </cell>
          <cell r="O2773">
            <v>3.1080000000000001</v>
          </cell>
        </row>
        <row r="2774">
          <cell r="E2774" t="str">
            <v>CHEM</v>
          </cell>
          <cell r="F2774" t="str">
            <v>CHEM-C</v>
          </cell>
          <cell r="G2774">
            <v>117</v>
          </cell>
          <cell r="H2774" t="str">
            <v>CHEM-C117</v>
          </cell>
          <cell r="K2774" t="str">
            <v>Reck,Cathrine E.</v>
          </cell>
          <cell r="N2774">
            <v>2.5579999999999998</v>
          </cell>
          <cell r="O2774">
            <v>3.1890000000000001</v>
          </cell>
        </row>
        <row r="2775">
          <cell r="E2775" t="str">
            <v>CHEM</v>
          </cell>
          <cell r="F2775" t="str">
            <v>CHEM-C</v>
          </cell>
          <cell r="G2775">
            <v>117</v>
          </cell>
          <cell r="H2775" t="str">
            <v>CHEM-C117</v>
          </cell>
          <cell r="K2775" t="str">
            <v>Tait,Steven L</v>
          </cell>
          <cell r="N2775">
            <v>2.36</v>
          </cell>
          <cell r="O2775">
            <v>3.048</v>
          </cell>
        </row>
        <row r="2776">
          <cell r="E2776" t="str">
            <v>CHEM</v>
          </cell>
          <cell r="F2776" t="str">
            <v>CHEM-C</v>
          </cell>
          <cell r="G2776">
            <v>117</v>
          </cell>
          <cell r="H2776" t="str">
            <v>CHEM-C117</v>
          </cell>
          <cell r="K2776" t="str">
            <v>Tait,Steven L</v>
          </cell>
          <cell r="N2776">
            <v>2.464</v>
          </cell>
          <cell r="O2776">
            <v>3.1419999999999999</v>
          </cell>
        </row>
        <row r="2777">
          <cell r="E2777" t="str">
            <v>CHEM</v>
          </cell>
          <cell r="F2777" t="str">
            <v>CHEM-C</v>
          </cell>
          <cell r="G2777">
            <v>118</v>
          </cell>
          <cell r="H2777" t="str">
            <v>CHEM-C118</v>
          </cell>
          <cell r="K2777" t="str">
            <v>Robinson,Jill Kirsten</v>
          </cell>
          <cell r="N2777">
            <v>3.077</v>
          </cell>
          <cell r="O2777">
            <v>3.3</v>
          </cell>
        </row>
        <row r="2778">
          <cell r="E2778" t="str">
            <v>CHEM</v>
          </cell>
          <cell r="F2778" t="str">
            <v>CHEM-C</v>
          </cell>
          <cell r="G2778">
            <v>121</v>
          </cell>
          <cell r="H2778" t="str">
            <v>CHEM-C121</v>
          </cell>
          <cell r="K2778" t="str">
            <v>Felten,Albert Edward</v>
          </cell>
          <cell r="N2778">
            <v>2.5089999999999999</v>
          </cell>
          <cell r="O2778">
            <v>2.8740000000000001</v>
          </cell>
        </row>
        <row r="2779">
          <cell r="E2779" t="str">
            <v>CHEM</v>
          </cell>
          <cell r="F2779" t="str">
            <v>CHEM-C</v>
          </cell>
          <cell r="G2779">
            <v>121</v>
          </cell>
          <cell r="H2779" t="str">
            <v>CHEM-C121</v>
          </cell>
          <cell r="K2779" t="str">
            <v>Raghavachari,Krishnan</v>
          </cell>
          <cell r="N2779">
            <v>2.9430000000000001</v>
          </cell>
          <cell r="O2779">
            <v>2.8759999999999999</v>
          </cell>
        </row>
        <row r="2780">
          <cell r="E2780" t="str">
            <v>CHEM</v>
          </cell>
          <cell r="F2780" t="str">
            <v>CHEM-C</v>
          </cell>
          <cell r="G2780">
            <v>122</v>
          </cell>
          <cell r="H2780" t="str">
            <v>CHEM-C122</v>
          </cell>
          <cell r="K2780" t="str">
            <v>Arnold,Randy J.</v>
          </cell>
          <cell r="N2780">
            <v>2.9969999999999999</v>
          </cell>
          <cell r="O2780">
            <v>2.7930000000000001</v>
          </cell>
        </row>
        <row r="2781">
          <cell r="E2781" t="str">
            <v>CHEM</v>
          </cell>
          <cell r="F2781" t="str">
            <v>CHEM-C</v>
          </cell>
          <cell r="G2781">
            <v>240</v>
          </cell>
          <cell r="H2781" t="str">
            <v>CHEM-C240</v>
          </cell>
          <cell r="K2781" t="str">
            <v>Burlingham,Benjamin Todd</v>
          </cell>
          <cell r="N2781">
            <v>2.8639999999999999</v>
          </cell>
          <cell r="O2781">
            <v>2.9350000000000001</v>
          </cell>
        </row>
        <row r="2782">
          <cell r="E2782" t="str">
            <v>CHEM</v>
          </cell>
          <cell r="F2782" t="str">
            <v>CHEM-C</v>
          </cell>
          <cell r="G2782">
            <v>243</v>
          </cell>
          <cell r="H2782" t="str">
            <v>CHEM-C243</v>
          </cell>
          <cell r="K2782" t="str">
            <v>Paterson,Jill Kathleen</v>
          </cell>
          <cell r="N2782">
            <v>2.456</v>
          </cell>
          <cell r="O2782">
            <v>3.0150000000000001</v>
          </cell>
        </row>
        <row r="2783">
          <cell r="E2783" t="str">
            <v>CHEM</v>
          </cell>
          <cell r="F2783" t="str">
            <v>CHEM-C</v>
          </cell>
          <cell r="G2783">
            <v>317</v>
          </cell>
          <cell r="H2783" t="str">
            <v>CHEM-C317</v>
          </cell>
          <cell r="K2783" t="str">
            <v>Peters,Dennis G.</v>
          </cell>
          <cell r="N2783">
            <v>3.242</v>
          </cell>
          <cell r="O2783">
            <v>3.198</v>
          </cell>
        </row>
        <row r="2784">
          <cell r="E2784" t="str">
            <v>CHEM</v>
          </cell>
          <cell r="F2784" t="str">
            <v>CHEM-C</v>
          </cell>
          <cell r="G2784">
            <v>318</v>
          </cell>
          <cell r="H2784" t="str">
            <v>CHEM-C318</v>
          </cell>
          <cell r="K2784" t="str">
            <v>Thielges,Megan Corrine</v>
          </cell>
          <cell r="N2784">
            <v>2.996</v>
          </cell>
          <cell r="O2784">
            <v>3.3460000000000001</v>
          </cell>
        </row>
        <row r="2785">
          <cell r="E2785" t="str">
            <v>CHEM</v>
          </cell>
          <cell r="F2785" t="str">
            <v>CHEM-C</v>
          </cell>
          <cell r="G2785">
            <v>341</v>
          </cell>
          <cell r="H2785" t="str">
            <v>CHEM-C341</v>
          </cell>
          <cell r="K2785" t="str">
            <v>Aron,Zach</v>
          </cell>
          <cell r="N2785">
            <v>2.4289999999999998</v>
          </cell>
          <cell r="O2785">
            <v>3.1859999999999999</v>
          </cell>
        </row>
        <row r="2786">
          <cell r="E2786" t="str">
            <v>CHEM</v>
          </cell>
          <cell r="F2786" t="str">
            <v>CHEM-C</v>
          </cell>
          <cell r="G2786">
            <v>341</v>
          </cell>
          <cell r="H2786" t="str">
            <v>CHEM-C341</v>
          </cell>
          <cell r="K2786" t="str">
            <v>Pellerito,Andrea Marie</v>
          </cell>
          <cell r="N2786">
            <v>2.3559999999999999</v>
          </cell>
          <cell r="O2786">
            <v>3.2309999999999999</v>
          </cell>
        </row>
        <row r="2787">
          <cell r="E2787" t="str">
            <v>CHEM</v>
          </cell>
          <cell r="F2787" t="str">
            <v>CHEM-C</v>
          </cell>
          <cell r="G2787">
            <v>341</v>
          </cell>
          <cell r="H2787" t="str">
            <v>CHEM-C341</v>
          </cell>
          <cell r="K2787" t="str">
            <v>Pellerito,Andrea Marie</v>
          </cell>
          <cell r="N2787">
            <v>2.387</v>
          </cell>
          <cell r="O2787">
            <v>3.2130000000000001</v>
          </cell>
        </row>
        <row r="2788">
          <cell r="E2788" t="str">
            <v>CHEM</v>
          </cell>
          <cell r="F2788" t="str">
            <v>CHEM-C</v>
          </cell>
          <cell r="G2788">
            <v>342</v>
          </cell>
          <cell r="H2788" t="str">
            <v>CHEM-C342</v>
          </cell>
          <cell r="K2788" t="str">
            <v>Brown,Laura Caroline</v>
          </cell>
          <cell r="N2788">
            <v>2.4249999999999998</v>
          </cell>
          <cell r="O2788">
            <v>3.294</v>
          </cell>
        </row>
        <row r="2789">
          <cell r="E2789" t="str">
            <v>CHEM</v>
          </cell>
          <cell r="F2789" t="str">
            <v>CHEM-C</v>
          </cell>
          <cell r="G2789">
            <v>342</v>
          </cell>
          <cell r="H2789" t="str">
            <v>CHEM-C342</v>
          </cell>
          <cell r="K2789" t="str">
            <v>Cook,Silas P</v>
          </cell>
          <cell r="N2789">
            <v>2.444</v>
          </cell>
          <cell r="O2789">
            <v>3.3740000000000001</v>
          </cell>
        </row>
        <row r="2790">
          <cell r="E2790" t="str">
            <v>CHEM</v>
          </cell>
          <cell r="F2790" t="str">
            <v>CHEM-C</v>
          </cell>
          <cell r="G2790">
            <v>342</v>
          </cell>
          <cell r="H2790" t="str">
            <v>CHEM-C342</v>
          </cell>
          <cell r="K2790" t="str">
            <v>Cook,Silas P</v>
          </cell>
          <cell r="N2790">
            <v>2.214</v>
          </cell>
          <cell r="O2790">
            <v>3.2549999999999999</v>
          </cell>
        </row>
        <row r="2791">
          <cell r="E2791" t="str">
            <v>CHEM</v>
          </cell>
          <cell r="F2791" t="str">
            <v>CHEM-C</v>
          </cell>
          <cell r="G2791">
            <v>343</v>
          </cell>
          <cell r="H2791" t="str">
            <v>CHEM-C343</v>
          </cell>
          <cell r="K2791" t="str">
            <v>Adhikari,Debashis</v>
          </cell>
          <cell r="N2791">
            <v>2.613</v>
          </cell>
          <cell r="O2791">
            <v>3.3220000000000001</v>
          </cell>
        </row>
        <row r="2792">
          <cell r="E2792" t="str">
            <v>CHEM</v>
          </cell>
          <cell r="F2792" t="str">
            <v>CHEM-C</v>
          </cell>
          <cell r="G2792">
            <v>343</v>
          </cell>
          <cell r="H2792" t="str">
            <v>CHEM-C343</v>
          </cell>
          <cell r="K2792" t="str">
            <v>Burlingham,Benjamin Todd</v>
          </cell>
          <cell r="N2792">
            <v>2.8359999999999999</v>
          </cell>
          <cell r="O2792">
            <v>3.3959999999999999</v>
          </cell>
        </row>
        <row r="2793">
          <cell r="E2793" t="str">
            <v>CHEM</v>
          </cell>
          <cell r="F2793" t="str">
            <v>CHEM-C</v>
          </cell>
          <cell r="G2793">
            <v>344</v>
          </cell>
          <cell r="H2793" t="str">
            <v>CHEM-C344</v>
          </cell>
          <cell r="K2793" t="str">
            <v>Pellerito,Andrea Marie</v>
          </cell>
          <cell r="N2793">
            <v>3.4289999999999998</v>
          </cell>
          <cell r="O2793">
            <v>3.4470000000000001</v>
          </cell>
        </row>
        <row r="2794">
          <cell r="E2794" t="str">
            <v>CHEM</v>
          </cell>
          <cell r="F2794" t="str">
            <v>CHEM-C</v>
          </cell>
          <cell r="G2794">
            <v>360</v>
          </cell>
          <cell r="H2794" t="str">
            <v>CHEM-C360</v>
          </cell>
          <cell r="K2794" t="str">
            <v>Yu,Yan</v>
          </cell>
          <cell r="N2794">
            <v>2.7669999999999999</v>
          </cell>
          <cell r="O2794">
            <v>3.3860000000000001</v>
          </cell>
        </row>
        <row r="2795">
          <cell r="E2795" t="str">
            <v>CHEM</v>
          </cell>
          <cell r="F2795" t="str">
            <v>CHEM-C</v>
          </cell>
          <cell r="G2795">
            <v>361</v>
          </cell>
          <cell r="H2795" t="str">
            <v>CHEM-C361</v>
          </cell>
          <cell r="K2795" t="str">
            <v>Li,Liang-shi</v>
          </cell>
          <cell r="N2795">
            <v>3.008</v>
          </cell>
          <cell r="O2795">
            <v>3.34</v>
          </cell>
        </row>
        <row r="2796">
          <cell r="E2796" t="str">
            <v>CHEM</v>
          </cell>
          <cell r="F2796" t="str">
            <v>CHEM-C</v>
          </cell>
          <cell r="G2796">
            <v>362</v>
          </cell>
          <cell r="H2796" t="str">
            <v>CHEM-C362</v>
          </cell>
          <cell r="K2796" t="str">
            <v>Dragnea,Bogdan G</v>
          </cell>
          <cell r="N2796">
            <v>2.99</v>
          </cell>
          <cell r="O2796">
            <v>3.4460000000000002</v>
          </cell>
        </row>
        <row r="2797">
          <cell r="E2797" t="str">
            <v>CHEM</v>
          </cell>
          <cell r="F2797" t="str">
            <v>CHEM-C</v>
          </cell>
          <cell r="G2797">
            <v>409</v>
          </cell>
          <cell r="H2797" t="str">
            <v>CHEM-C409</v>
          </cell>
          <cell r="K2797" t="str">
            <v>Pellerito,Andrea Marie</v>
          </cell>
          <cell r="N2797" t="str">
            <v>NR</v>
          </cell>
          <cell r="O2797" t="str">
            <v>NR</v>
          </cell>
        </row>
        <row r="2798">
          <cell r="E2798" t="str">
            <v>CHEM</v>
          </cell>
          <cell r="F2798" t="str">
            <v>CHEM-C</v>
          </cell>
          <cell r="G2798">
            <v>409</v>
          </cell>
          <cell r="H2798" t="str">
            <v>CHEM-C409</v>
          </cell>
          <cell r="K2798" t="str">
            <v>Reck,Cathrine E.</v>
          </cell>
          <cell r="N2798">
            <v>3.9169999999999998</v>
          </cell>
          <cell r="O2798">
            <v>3.5659999999999998</v>
          </cell>
        </row>
        <row r="2799">
          <cell r="E2799" t="str">
            <v>CHEM</v>
          </cell>
          <cell r="F2799" t="str">
            <v>CHEM-C</v>
          </cell>
          <cell r="G2799">
            <v>430</v>
          </cell>
          <cell r="H2799" t="str">
            <v>CHEM-C430</v>
          </cell>
          <cell r="K2799" t="str">
            <v>Caulton,Kenneth G.</v>
          </cell>
          <cell r="N2799">
            <v>2.9950000000000001</v>
          </cell>
          <cell r="O2799">
            <v>3.37</v>
          </cell>
        </row>
        <row r="2800">
          <cell r="E2800" t="str">
            <v>CHEM</v>
          </cell>
          <cell r="F2800" t="str">
            <v>CHEM-C</v>
          </cell>
          <cell r="G2800">
            <v>432</v>
          </cell>
          <cell r="H2800" t="str">
            <v>CHEM-C432</v>
          </cell>
          <cell r="K2800" t="str">
            <v>Zaleski,Jeffrey M.</v>
          </cell>
          <cell r="N2800" t="str">
            <v>NR</v>
          </cell>
          <cell r="O2800" t="str">
            <v>NR</v>
          </cell>
        </row>
        <row r="2801">
          <cell r="E2801" t="str">
            <v>CHEM</v>
          </cell>
          <cell r="F2801" t="str">
            <v>CHEM-C</v>
          </cell>
          <cell r="G2801">
            <v>437</v>
          </cell>
          <cell r="H2801" t="str">
            <v>CHEM-C437</v>
          </cell>
          <cell r="K2801" t="str">
            <v>Dean,Norman Scott</v>
          </cell>
          <cell r="N2801" t="str">
            <v>NR</v>
          </cell>
          <cell r="O2801" t="str">
            <v>NR</v>
          </cell>
        </row>
        <row r="2802">
          <cell r="E2802" t="str">
            <v>CHEM</v>
          </cell>
          <cell r="F2802" t="str">
            <v>CHEM-C</v>
          </cell>
          <cell r="G2802">
            <v>443</v>
          </cell>
          <cell r="H2802" t="str">
            <v>CHEM-C443</v>
          </cell>
          <cell r="K2802" t="str">
            <v>Brown,Laura Caroline</v>
          </cell>
          <cell r="N2802" t="str">
            <v>NR</v>
          </cell>
          <cell r="O2802" t="str">
            <v>NR</v>
          </cell>
        </row>
        <row r="2803">
          <cell r="E2803" t="str">
            <v>CHEM</v>
          </cell>
          <cell r="F2803" t="str">
            <v>CHEM-C</v>
          </cell>
          <cell r="G2803">
            <v>460</v>
          </cell>
          <cell r="H2803" t="str">
            <v>CHEM-C460</v>
          </cell>
          <cell r="K2803" t="str">
            <v>De Souza,Romualdo T</v>
          </cell>
          <cell r="N2803">
            <v>2.9060000000000001</v>
          </cell>
          <cell r="O2803">
            <v>3.198</v>
          </cell>
        </row>
        <row r="2804">
          <cell r="E2804" t="str">
            <v>CHEM</v>
          </cell>
          <cell r="F2804" t="str">
            <v>CHEM-C</v>
          </cell>
          <cell r="G2804">
            <v>481</v>
          </cell>
          <cell r="H2804" t="str">
            <v>CHEM-C481</v>
          </cell>
          <cell r="K2804" t="str">
            <v>Dann III,Charles E</v>
          </cell>
          <cell r="N2804">
            <v>3.41</v>
          </cell>
          <cell r="O2804">
            <v>3.411</v>
          </cell>
        </row>
        <row r="2805">
          <cell r="E2805" t="str">
            <v>CHEM</v>
          </cell>
          <cell r="F2805" t="str">
            <v>CHEM-C</v>
          </cell>
          <cell r="G2805">
            <v>483</v>
          </cell>
          <cell r="H2805" t="str">
            <v>CHEM-C483</v>
          </cell>
          <cell r="K2805" t="str">
            <v>Cochran,Jared Clinton</v>
          </cell>
          <cell r="N2805">
            <v>3.492</v>
          </cell>
          <cell r="O2805">
            <v>3.476</v>
          </cell>
        </row>
        <row r="2806">
          <cell r="E2806" t="str">
            <v>CHEM</v>
          </cell>
          <cell r="F2806" t="str">
            <v>CHEM-C</v>
          </cell>
          <cell r="G2806">
            <v>483</v>
          </cell>
          <cell r="H2806" t="str">
            <v>CHEM-C483</v>
          </cell>
          <cell r="K2806" t="str">
            <v>Paterson,Jill Kathleen</v>
          </cell>
          <cell r="N2806">
            <v>3.0270000000000001</v>
          </cell>
          <cell r="O2806">
            <v>3.468</v>
          </cell>
        </row>
        <row r="2807">
          <cell r="E2807" t="str">
            <v>CHEM</v>
          </cell>
          <cell r="F2807" t="str">
            <v>CHEM-C</v>
          </cell>
          <cell r="G2807">
            <v>484</v>
          </cell>
          <cell r="H2807" t="str">
            <v>CHEM-C484</v>
          </cell>
          <cell r="K2807" t="str">
            <v>Carlson,Erin E</v>
          </cell>
          <cell r="N2807">
            <v>2.8839999999999999</v>
          </cell>
          <cell r="O2807">
            <v>3.323</v>
          </cell>
        </row>
        <row r="2808">
          <cell r="E2808" t="str">
            <v>CHEM</v>
          </cell>
          <cell r="F2808" t="str">
            <v>CHEM-C</v>
          </cell>
          <cell r="G2808">
            <v>484</v>
          </cell>
          <cell r="H2808" t="str">
            <v>CHEM-C484</v>
          </cell>
          <cell r="K2808" t="str">
            <v>Oakley,Martha Gray</v>
          </cell>
          <cell r="N2808">
            <v>3.1829999999999998</v>
          </cell>
          <cell r="O2808">
            <v>3.5190000000000001</v>
          </cell>
        </row>
        <row r="2809">
          <cell r="E2809" t="str">
            <v>CHEM</v>
          </cell>
          <cell r="F2809" t="str">
            <v>CHEM-C</v>
          </cell>
          <cell r="G2809">
            <v>485</v>
          </cell>
          <cell r="H2809" t="str">
            <v>CHEM-C485</v>
          </cell>
          <cell r="K2809" t="str">
            <v>Widlanski,Theodore S.</v>
          </cell>
          <cell r="N2809">
            <v>3.085</v>
          </cell>
          <cell r="O2809">
            <v>3.4809999999999999</v>
          </cell>
        </row>
        <row r="2810">
          <cell r="E2810" t="str">
            <v>CHEM</v>
          </cell>
          <cell r="F2810" t="str">
            <v>CHEM-C</v>
          </cell>
          <cell r="G2810">
            <v>487</v>
          </cell>
          <cell r="H2810" t="str">
            <v>CHEM-C487</v>
          </cell>
          <cell r="K2810" t="str">
            <v>Stewart,Nichole Kristin</v>
          </cell>
          <cell r="N2810">
            <v>3.4159999999999999</v>
          </cell>
          <cell r="O2810">
            <v>3.4260000000000002</v>
          </cell>
        </row>
        <row r="2811">
          <cell r="E2811" t="str">
            <v>CHEM</v>
          </cell>
          <cell r="F2811" t="str">
            <v>CHEM-C</v>
          </cell>
          <cell r="G2811">
            <v>500</v>
          </cell>
          <cell r="H2811" t="str">
            <v>CHEM-C500</v>
          </cell>
          <cell r="K2811" t="str">
            <v>Jarrold,Caroline Chick</v>
          </cell>
          <cell r="N2811" t="str">
            <v>NR</v>
          </cell>
          <cell r="O2811" t="str">
            <v>NR</v>
          </cell>
        </row>
        <row r="2812">
          <cell r="E2812" t="str">
            <v>CHEM</v>
          </cell>
          <cell r="F2812" t="str">
            <v>CHEM-C</v>
          </cell>
          <cell r="G2812">
            <v>500</v>
          </cell>
          <cell r="H2812" t="str">
            <v>CHEM-C500</v>
          </cell>
          <cell r="K2812" t="str">
            <v>Jarrold,Caroline Chick</v>
          </cell>
          <cell r="N2812">
            <v>3.6440000000000001</v>
          </cell>
          <cell r="O2812">
            <v>3.379</v>
          </cell>
        </row>
        <row r="2813">
          <cell r="E2813" t="str">
            <v>CHEM</v>
          </cell>
          <cell r="F2813" t="str">
            <v>CHEM-C</v>
          </cell>
          <cell r="G2813">
            <v>501</v>
          </cell>
          <cell r="H2813" t="str">
            <v>CHEM-C501</v>
          </cell>
          <cell r="K2813" t="str">
            <v>Hieftje,Gary M.</v>
          </cell>
          <cell r="N2813">
            <v>3.0569999999999999</v>
          </cell>
          <cell r="O2813">
            <v>3.2519999999999998</v>
          </cell>
        </row>
        <row r="2814">
          <cell r="E2814" t="str">
            <v>CHEM</v>
          </cell>
          <cell r="F2814" t="str">
            <v>CHEM-C</v>
          </cell>
          <cell r="G2814">
            <v>502</v>
          </cell>
          <cell r="H2814" t="str">
            <v>CHEM-C502</v>
          </cell>
          <cell r="K2814" t="str">
            <v>Zaleski,Jeffrey M.</v>
          </cell>
          <cell r="N2814">
            <v>3.3250000000000002</v>
          </cell>
          <cell r="O2814">
            <v>3.3260000000000001</v>
          </cell>
        </row>
        <row r="2815">
          <cell r="E2815" t="str">
            <v>CHEM</v>
          </cell>
          <cell r="F2815" t="str">
            <v>CHEM-C</v>
          </cell>
          <cell r="G2815">
            <v>503</v>
          </cell>
          <cell r="H2815" t="str">
            <v>CHEM-C503</v>
          </cell>
          <cell r="K2815" t="str">
            <v>Brown,Laura Caroline</v>
          </cell>
          <cell r="N2815">
            <v>3.3159999999999998</v>
          </cell>
          <cell r="O2815">
            <v>3.363</v>
          </cell>
        </row>
        <row r="2816">
          <cell r="E2816" t="str">
            <v>CHEM</v>
          </cell>
          <cell r="F2816" t="str">
            <v>CHEM-C</v>
          </cell>
          <cell r="G2816">
            <v>540</v>
          </cell>
          <cell r="H2816" t="str">
            <v>CHEM-C540</v>
          </cell>
          <cell r="K2816" t="str">
            <v>Brown,Michael Kevin</v>
          </cell>
          <cell r="N2816">
            <v>3.3330000000000002</v>
          </cell>
          <cell r="O2816">
            <v>3.3940000000000001</v>
          </cell>
        </row>
        <row r="2817">
          <cell r="E2817" t="str">
            <v>CHEM</v>
          </cell>
          <cell r="F2817" t="str">
            <v>CHEM-C</v>
          </cell>
          <cell r="G2817">
            <v>543</v>
          </cell>
          <cell r="H2817" t="str">
            <v>CHEM-C543</v>
          </cell>
          <cell r="K2817" t="str">
            <v>Williams,David Ransom</v>
          </cell>
          <cell r="N2817">
            <v>3.2250000000000001</v>
          </cell>
          <cell r="O2817">
            <v>3.3330000000000002</v>
          </cell>
        </row>
        <row r="2818">
          <cell r="E2818" t="str">
            <v>CHEM</v>
          </cell>
          <cell r="F2818" t="str">
            <v>CHEM-C</v>
          </cell>
          <cell r="G2818">
            <v>561</v>
          </cell>
          <cell r="H2818" t="str">
            <v>CHEM-C561</v>
          </cell>
          <cell r="K2818" t="str">
            <v>Reilly,James P.</v>
          </cell>
          <cell r="N2818">
            <v>3.2549999999999999</v>
          </cell>
          <cell r="O2818">
            <v>3.3809999999999998</v>
          </cell>
        </row>
        <row r="2819">
          <cell r="E2819" t="str">
            <v>CHEM</v>
          </cell>
          <cell r="F2819" t="str">
            <v>CHEM-C</v>
          </cell>
          <cell r="G2819">
            <v>562</v>
          </cell>
          <cell r="H2819" t="str">
            <v>CHEM-C562</v>
          </cell>
          <cell r="K2819" t="str">
            <v>Raghavachari,Krishnan</v>
          </cell>
          <cell r="N2819">
            <v>3.286</v>
          </cell>
          <cell r="O2819">
            <v>3.464</v>
          </cell>
        </row>
        <row r="2820">
          <cell r="E2820" t="str">
            <v>CHEM</v>
          </cell>
          <cell r="F2820" t="str">
            <v>CHEM-C</v>
          </cell>
          <cell r="G2820">
            <v>565</v>
          </cell>
          <cell r="H2820" t="str">
            <v>CHEM-C565</v>
          </cell>
          <cell r="K2820" t="str">
            <v>De Souza,Romualdo T</v>
          </cell>
          <cell r="N2820" t="str">
            <v>NR</v>
          </cell>
          <cell r="O2820" t="str">
            <v>NR</v>
          </cell>
        </row>
        <row r="2821">
          <cell r="E2821" t="str">
            <v>CHEM</v>
          </cell>
          <cell r="F2821" t="str">
            <v>CHEM-C</v>
          </cell>
          <cell r="G2821">
            <v>567</v>
          </cell>
          <cell r="H2821" t="str">
            <v>CHEM-C567</v>
          </cell>
          <cell r="K2821" t="str">
            <v>Jarrold,Martin F.</v>
          </cell>
          <cell r="N2821">
            <v>3.3149999999999999</v>
          </cell>
          <cell r="O2821">
            <v>3.4140000000000001</v>
          </cell>
        </row>
        <row r="2822">
          <cell r="E2822" t="str">
            <v>CHEM</v>
          </cell>
          <cell r="F2822" t="str">
            <v>CHEM-C</v>
          </cell>
          <cell r="G2822">
            <v>581</v>
          </cell>
          <cell r="H2822" t="str">
            <v>CHEM-C581</v>
          </cell>
          <cell r="K2822" t="str">
            <v>Dann III,Charles E</v>
          </cell>
          <cell r="N2822">
            <v>3.2559999999999998</v>
          </cell>
          <cell r="O2822">
            <v>3.43</v>
          </cell>
        </row>
        <row r="2823">
          <cell r="E2823" t="str">
            <v>CHEM</v>
          </cell>
          <cell r="F2823" t="str">
            <v>CHEM-C</v>
          </cell>
          <cell r="G2823">
            <v>582</v>
          </cell>
          <cell r="H2823" t="str">
            <v>CHEM-C582</v>
          </cell>
          <cell r="K2823" t="str">
            <v>Widlanski,Theodore S.</v>
          </cell>
          <cell r="N2823" t="str">
            <v>NR</v>
          </cell>
          <cell r="O2823" t="str">
            <v>NR</v>
          </cell>
        </row>
        <row r="2824">
          <cell r="E2824" t="str">
            <v>CHEM</v>
          </cell>
          <cell r="F2824" t="str">
            <v>CHEM-C</v>
          </cell>
          <cell r="G2824">
            <v>583</v>
          </cell>
          <cell r="H2824" t="str">
            <v>CHEM-C583</v>
          </cell>
          <cell r="K2824" t="str">
            <v>Di Marchi,Richard Dennis</v>
          </cell>
          <cell r="N2824" t="str">
            <v>NR</v>
          </cell>
          <cell r="O2824" t="str">
            <v>NR</v>
          </cell>
        </row>
        <row r="2825">
          <cell r="E2825" t="str">
            <v>CHEM</v>
          </cell>
          <cell r="F2825" t="str">
            <v>CHEM-C</v>
          </cell>
          <cell r="G2825">
            <v>584</v>
          </cell>
          <cell r="H2825" t="str">
            <v>CHEM-C584</v>
          </cell>
          <cell r="K2825" t="str">
            <v>Drummond,James T.</v>
          </cell>
          <cell r="N2825" t="str">
            <v>NR</v>
          </cell>
          <cell r="O2825" t="str">
            <v>NR</v>
          </cell>
        </row>
        <row r="2826">
          <cell r="E2826" t="str">
            <v>CHEM</v>
          </cell>
          <cell r="F2826" t="str">
            <v>CHEM-C</v>
          </cell>
          <cell r="G2826">
            <v>611</v>
          </cell>
          <cell r="H2826" t="str">
            <v>CHEM-C611</v>
          </cell>
          <cell r="K2826" t="str">
            <v>Peters,Dennis G.</v>
          </cell>
          <cell r="N2826">
            <v>3.6</v>
          </cell>
          <cell r="O2826">
            <v>3.306</v>
          </cell>
        </row>
        <row r="2827">
          <cell r="E2827" t="str">
            <v>CHEM</v>
          </cell>
          <cell r="F2827" t="str">
            <v>CHEM-C</v>
          </cell>
          <cell r="G2827">
            <v>612</v>
          </cell>
          <cell r="H2827" t="str">
            <v>CHEM-C612</v>
          </cell>
          <cell r="K2827" t="str">
            <v>Hieftje,Gary M.</v>
          </cell>
          <cell r="N2827">
            <v>3.3919999999999999</v>
          </cell>
          <cell r="O2827">
            <v>3.4990000000000001</v>
          </cell>
        </row>
        <row r="2828">
          <cell r="E2828" t="str">
            <v>CHEM</v>
          </cell>
          <cell r="F2828" t="str">
            <v>CHEM-C</v>
          </cell>
          <cell r="G2828">
            <v>613</v>
          </cell>
          <cell r="H2828" t="str">
            <v>CHEM-C613</v>
          </cell>
          <cell r="K2828" t="str">
            <v>Reilly,James P.</v>
          </cell>
          <cell r="N2828">
            <v>3.54</v>
          </cell>
          <cell r="O2828">
            <v>3.5419999999999998</v>
          </cell>
        </row>
        <row r="2829">
          <cell r="E2829" t="str">
            <v>CHEM</v>
          </cell>
          <cell r="F2829" t="str">
            <v>CHEM-C</v>
          </cell>
          <cell r="G2829">
            <v>616</v>
          </cell>
          <cell r="H2829" t="str">
            <v>CHEM-C616</v>
          </cell>
          <cell r="K2829" t="str">
            <v>Tait,Steven L</v>
          </cell>
          <cell r="N2829">
            <v>3.2829999999999999</v>
          </cell>
          <cell r="O2829">
            <v>3.4430000000000001</v>
          </cell>
        </row>
        <row r="2830">
          <cell r="E2830" t="str">
            <v>CHEM</v>
          </cell>
          <cell r="F2830" t="str">
            <v>CHEM-C</v>
          </cell>
          <cell r="G2830">
            <v>631</v>
          </cell>
          <cell r="H2830" t="str">
            <v>CHEM-C631</v>
          </cell>
          <cell r="K2830" t="str">
            <v>Hui,Alice Kay</v>
          </cell>
          <cell r="N2830">
            <v>3.3330000000000002</v>
          </cell>
          <cell r="O2830">
            <v>3.456</v>
          </cell>
        </row>
        <row r="2831">
          <cell r="E2831" t="str">
            <v>CHEM</v>
          </cell>
          <cell r="F2831" t="str">
            <v>CHEM-C</v>
          </cell>
          <cell r="G2831">
            <v>631</v>
          </cell>
          <cell r="H2831" t="str">
            <v>CHEM-C631</v>
          </cell>
          <cell r="K2831" t="str">
            <v>Pink,Maren</v>
          </cell>
          <cell r="N2831">
            <v>3.444</v>
          </cell>
          <cell r="O2831">
            <v>3.145</v>
          </cell>
        </row>
        <row r="2832">
          <cell r="E2832" t="str">
            <v>CHEM</v>
          </cell>
          <cell r="F2832" t="str">
            <v>CHEM-C</v>
          </cell>
          <cell r="G2832">
            <v>632</v>
          </cell>
          <cell r="H2832" t="str">
            <v>CHEM-C632</v>
          </cell>
          <cell r="K2832" t="str">
            <v>Zaleski,Jeffrey M.</v>
          </cell>
          <cell r="N2832" t="str">
            <v>NR</v>
          </cell>
          <cell r="O2832" t="str">
            <v>NR</v>
          </cell>
        </row>
        <row r="2833">
          <cell r="E2833" t="str">
            <v>CHEM</v>
          </cell>
          <cell r="F2833" t="str">
            <v>CHEM-C</v>
          </cell>
          <cell r="G2833">
            <v>636</v>
          </cell>
          <cell r="H2833" t="str">
            <v>CHEM-C636</v>
          </cell>
          <cell r="K2833" t="str">
            <v>Caulton,Kenneth G.</v>
          </cell>
          <cell r="N2833">
            <v>3.3740000000000001</v>
          </cell>
          <cell r="O2833">
            <v>3.323</v>
          </cell>
        </row>
        <row r="2834">
          <cell r="E2834" t="str">
            <v>CHEM</v>
          </cell>
          <cell r="F2834" t="str">
            <v>CHEM-C</v>
          </cell>
          <cell r="G2834">
            <v>643</v>
          </cell>
          <cell r="H2834" t="str">
            <v>CHEM-C643</v>
          </cell>
          <cell r="K2834" t="str">
            <v>Williams,David Ransom</v>
          </cell>
          <cell r="N2834">
            <v>3.2429999999999999</v>
          </cell>
          <cell r="O2834">
            <v>3.0609999999999999</v>
          </cell>
        </row>
        <row r="2835">
          <cell r="E2835" t="str">
            <v>CHEM</v>
          </cell>
          <cell r="F2835" t="str">
            <v>CHEM-C</v>
          </cell>
          <cell r="G2835">
            <v>648</v>
          </cell>
          <cell r="H2835" t="str">
            <v>CHEM-C648</v>
          </cell>
          <cell r="K2835" t="str">
            <v>Cook,Silas P</v>
          </cell>
          <cell r="N2835">
            <v>3.2629999999999999</v>
          </cell>
          <cell r="O2835">
            <v>3.274</v>
          </cell>
        </row>
        <row r="2836">
          <cell r="E2836" t="str">
            <v>CHEM</v>
          </cell>
          <cell r="F2836" t="str">
            <v>CHEM-C</v>
          </cell>
          <cell r="G2836">
            <v>668</v>
          </cell>
          <cell r="H2836" t="str">
            <v>CHEM-C668</v>
          </cell>
          <cell r="K2836" t="str">
            <v>Tait,Steven L</v>
          </cell>
          <cell r="N2836">
            <v>3.1</v>
          </cell>
          <cell r="O2836">
            <v>3.5219999999999998</v>
          </cell>
        </row>
        <row r="2837">
          <cell r="E2837" t="str">
            <v>CHEM</v>
          </cell>
          <cell r="F2837" t="str">
            <v>CHEM-C</v>
          </cell>
          <cell r="G2837">
            <v>687</v>
          </cell>
          <cell r="H2837" t="str">
            <v>CHEM-C687</v>
          </cell>
          <cell r="K2837" t="str">
            <v>Van Nieuwenhze,Michael</v>
          </cell>
          <cell r="N2837">
            <v>3.4</v>
          </cell>
          <cell r="O2837">
            <v>3.4209999999999998</v>
          </cell>
        </row>
        <row r="2838">
          <cell r="E2838" t="str">
            <v>CHEM</v>
          </cell>
          <cell r="F2838" t="str">
            <v>CHEM-C</v>
          </cell>
          <cell r="G2838">
            <v>689</v>
          </cell>
          <cell r="H2838" t="str">
            <v>CHEM-C689</v>
          </cell>
          <cell r="K2838" t="str">
            <v>Carlson,Erin E</v>
          </cell>
          <cell r="N2838" t="str">
            <v>NR</v>
          </cell>
          <cell r="O2838" t="str">
            <v>NR</v>
          </cell>
        </row>
        <row r="2839">
          <cell r="E2839" t="str">
            <v>CHEM</v>
          </cell>
          <cell r="F2839" t="str">
            <v>CHEM-C</v>
          </cell>
          <cell r="G2839">
            <v>689</v>
          </cell>
          <cell r="H2839" t="str">
            <v>CHEM-C689</v>
          </cell>
          <cell r="K2839" t="str">
            <v>Giedroc,David Peter</v>
          </cell>
          <cell r="N2839" t="str">
            <v>NR</v>
          </cell>
          <cell r="O2839" t="str">
            <v>NR</v>
          </cell>
        </row>
        <row r="2840">
          <cell r="E2840" t="str">
            <v>CHEM</v>
          </cell>
          <cell r="F2840" t="str">
            <v>CHEM-C</v>
          </cell>
          <cell r="G2840">
            <v>810</v>
          </cell>
          <cell r="H2840" t="str">
            <v>CHEM-C810</v>
          </cell>
          <cell r="K2840" t="str">
            <v>Jarrold,Caroline Chick</v>
          </cell>
          <cell r="N2840" t="str">
            <v>NR</v>
          </cell>
          <cell r="O2840" t="str">
            <v>NR</v>
          </cell>
        </row>
        <row r="2841">
          <cell r="E2841" t="str">
            <v>CHEM</v>
          </cell>
          <cell r="F2841" t="str">
            <v>CHEM-C</v>
          </cell>
          <cell r="G2841">
            <v>810</v>
          </cell>
          <cell r="H2841" t="str">
            <v>CHEM-C810</v>
          </cell>
          <cell r="K2841" t="str">
            <v>Jarrold,Caroline Chick</v>
          </cell>
          <cell r="N2841" t="str">
            <v>NR</v>
          </cell>
          <cell r="O2841" t="str">
            <v>NR</v>
          </cell>
        </row>
        <row r="2842">
          <cell r="E2842" t="str">
            <v>CHEM</v>
          </cell>
          <cell r="F2842" t="str">
            <v>CHEM-C</v>
          </cell>
          <cell r="G2842">
            <v>810</v>
          </cell>
          <cell r="H2842" t="str">
            <v>CHEM-C810</v>
          </cell>
          <cell r="K2842" t="str">
            <v>Wilson,Rebecca</v>
          </cell>
          <cell r="N2842" t="str">
            <v>NR</v>
          </cell>
          <cell r="O2842" t="str">
            <v>NR</v>
          </cell>
        </row>
        <row r="2843">
          <cell r="E2843" t="str">
            <v>CHEM</v>
          </cell>
          <cell r="F2843" t="str">
            <v>CHEM-C</v>
          </cell>
          <cell r="G2843">
            <v>810</v>
          </cell>
          <cell r="H2843" t="str">
            <v>CHEM-C810</v>
          </cell>
          <cell r="K2843" t="str">
            <v>Wilson,Rebecca</v>
          </cell>
          <cell r="N2843" t="str">
            <v>NR</v>
          </cell>
          <cell r="O2843" t="str">
            <v>NR</v>
          </cell>
        </row>
        <row r="2844">
          <cell r="E2844" t="str">
            <v>CHEM</v>
          </cell>
          <cell r="F2844" t="str">
            <v>CHEM-C</v>
          </cell>
          <cell r="G2844">
            <v>820</v>
          </cell>
          <cell r="H2844" t="str">
            <v>CHEM-C820</v>
          </cell>
          <cell r="K2844" t="str">
            <v>Jarrold,Caroline Chick</v>
          </cell>
          <cell r="N2844" t="str">
            <v>NR</v>
          </cell>
          <cell r="O2844" t="str">
            <v>NR</v>
          </cell>
        </row>
        <row r="2845">
          <cell r="E2845" t="str">
            <v>CHEM</v>
          </cell>
          <cell r="F2845" t="str">
            <v>CHEM-C</v>
          </cell>
          <cell r="G2845">
            <v>820</v>
          </cell>
          <cell r="H2845" t="str">
            <v>CHEM-C820</v>
          </cell>
          <cell r="K2845" t="str">
            <v>Wilson,Rebecca</v>
          </cell>
          <cell r="N2845" t="str">
            <v>NR</v>
          </cell>
          <cell r="O2845" t="str">
            <v>NR</v>
          </cell>
        </row>
        <row r="2846">
          <cell r="E2846" t="str">
            <v>CHEM</v>
          </cell>
          <cell r="F2846" t="str">
            <v>CHEM-C</v>
          </cell>
          <cell r="G2846">
            <v>830</v>
          </cell>
          <cell r="H2846" t="str">
            <v>CHEM-C830</v>
          </cell>
          <cell r="K2846" t="str">
            <v>Jarrold,Caroline Chick</v>
          </cell>
          <cell r="N2846" t="str">
            <v>NR</v>
          </cell>
          <cell r="O2846" t="str">
            <v>NR</v>
          </cell>
        </row>
        <row r="2847">
          <cell r="E2847" t="str">
            <v>CHEM</v>
          </cell>
          <cell r="F2847" t="str">
            <v>CHEM-C</v>
          </cell>
          <cell r="G2847">
            <v>830</v>
          </cell>
          <cell r="H2847" t="str">
            <v>CHEM-C830</v>
          </cell>
          <cell r="K2847" t="str">
            <v>Wilson,Rebecca</v>
          </cell>
          <cell r="N2847" t="str">
            <v>NR</v>
          </cell>
          <cell r="O2847" t="str">
            <v>NR</v>
          </cell>
        </row>
        <row r="2848">
          <cell r="E2848" t="str">
            <v>CHEM</v>
          </cell>
          <cell r="F2848" t="str">
            <v>CHEM-C</v>
          </cell>
          <cell r="G2848">
            <v>840</v>
          </cell>
          <cell r="H2848" t="str">
            <v>CHEM-C840</v>
          </cell>
          <cell r="K2848" t="str">
            <v>Jarrold,Caroline Chick</v>
          </cell>
          <cell r="N2848" t="str">
            <v>NR</v>
          </cell>
          <cell r="O2848" t="str">
            <v>NR</v>
          </cell>
        </row>
        <row r="2849">
          <cell r="E2849" t="str">
            <v>CHEM</v>
          </cell>
          <cell r="F2849" t="str">
            <v>CHEM-C</v>
          </cell>
          <cell r="G2849">
            <v>840</v>
          </cell>
          <cell r="H2849" t="str">
            <v>CHEM-C840</v>
          </cell>
          <cell r="K2849" t="str">
            <v>Jarrold,Caroline Chick</v>
          </cell>
          <cell r="N2849" t="str">
            <v>NR</v>
          </cell>
          <cell r="O2849" t="str">
            <v>NR</v>
          </cell>
        </row>
        <row r="2850">
          <cell r="E2850" t="str">
            <v>CHEM</v>
          </cell>
          <cell r="F2850" t="str">
            <v>CHEM-C</v>
          </cell>
          <cell r="G2850">
            <v>840</v>
          </cell>
          <cell r="H2850" t="str">
            <v>CHEM-C840</v>
          </cell>
          <cell r="K2850" t="str">
            <v>Jarrold,Caroline Chick</v>
          </cell>
          <cell r="N2850" t="str">
            <v>NR</v>
          </cell>
          <cell r="O2850" t="str">
            <v>NR</v>
          </cell>
        </row>
        <row r="2851">
          <cell r="E2851" t="str">
            <v>CHEM</v>
          </cell>
          <cell r="F2851" t="str">
            <v>CHEM-C</v>
          </cell>
          <cell r="G2851">
            <v>840</v>
          </cell>
          <cell r="H2851" t="str">
            <v>CHEM-C840</v>
          </cell>
          <cell r="K2851" t="str">
            <v>Wilson,Rebecca</v>
          </cell>
          <cell r="N2851" t="str">
            <v>NR</v>
          </cell>
          <cell r="O2851" t="str">
            <v>NR</v>
          </cell>
        </row>
        <row r="2852">
          <cell r="E2852" t="str">
            <v>CHEM</v>
          </cell>
          <cell r="F2852" t="str">
            <v>CHEM-C</v>
          </cell>
          <cell r="G2852">
            <v>860</v>
          </cell>
          <cell r="H2852" t="str">
            <v>CHEM-C860</v>
          </cell>
          <cell r="K2852" t="str">
            <v>Jarrold,Caroline Chick</v>
          </cell>
          <cell r="N2852" t="str">
            <v>NR</v>
          </cell>
          <cell r="O2852" t="str">
            <v>NR</v>
          </cell>
        </row>
        <row r="2853">
          <cell r="E2853" t="str">
            <v>CHEM</v>
          </cell>
          <cell r="F2853" t="str">
            <v>CHEM-C</v>
          </cell>
          <cell r="G2853">
            <v>860</v>
          </cell>
          <cell r="H2853" t="str">
            <v>CHEM-C860</v>
          </cell>
          <cell r="K2853" t="str">
            <v>Wilson,Rebecca</v>
          </cell>
          <cell r="N2853" t="str">
            <v>NR</v>
          </cell>
          <cell r="O2853" t="str">
            <v>NR</v>
          </cell>
        </row>
        <row r="2854">
          <cell r="E2854" t="str">
            <v>CHEM</v>
          </cell>
          <cell r="F2854" t="str">
            <v>CHEM-C</v>
          </cell>
          <cell r="G2854">
            <v>880</v>
          </cell>
          <cell r="H2854" t="str">
            <v>CHEM-C880</v>
          </cell>
          <cell r="K2854" t="str">
            <v>Jarrold,Caroline Chick</v>
          </cell>
          <cell r="N2854" t="str">
            <v>NR</v>
          </cell>
          <cell r="O2854" t="str">
            <v>NR</v>
          </cell>
        </row>
        <row r="2855">
          <cell r="E2855" t="str">
            <v>CHEM</v>
          </cell>
          <cell r="F2855" t="str">
            <v>CHEM-C</v>
          </cell>
          <cell r="G2855">
            <v>880</v>
          </cell>
          <cell r="H2855" t="str">
            <v>CHEM-C880</v>
          </cell>
          <cell r="K2855" t="str">
            <v>Wilson,Rebecca</v>
          </cell>
          <cell r="N2855" t="str">
            <v>NR</v>
          </cell>
          <cell r="O2855" t="str">
            <v>NR</v>
          </cell>
        </row>
        <row r="2856">
          <cell r="E2856" t="str">
            <v>CHEM</v>
          </cell>
          <cell r="F2856" t="str">
            <v>CHEM-G</v>
          </cell>
          <cell r="G2856">
            <v>201</v>
          </cell>
          <cell r="H2856" t="str">
            <v>CHEM-G201</v>
          </cell>
          <cell r="K2856" t="str">
            <v>Clark,James Stanton</v>
          </cell>
          <cell r="N2856">
            <v>4</v>
          </cell>
          <cell r="O2856">
            <v>3.59</v>
          </cell>
        </row>
        <row r="2857">
          <cell r="E2857" t="str">
            <v>CHEM</v>
          </cell>
          <cell r="F2857" t="str">
            <v>CHEM-G</v>
          </cell>
          <cell r="G2857">
            <v>201</v>
          </cell>
          <cell r="H2857" t="str">
            <v>CHEM-G201</v>
          </cell>
          <cell r="K2857" t="str">
            <v>Reck,Cathrine E.</v>
          </cell>
          <cell r="N2857">
            <v>3.95</v>
          </cell>
          <cell r="O2857">
            <v>3.3279999999999998</v>
          </cell>
        </row>
        <row r="2858">
          <cell r="E2858" t="str">
            <v>CHEM</v>
          </cell>
          <cell r="F2858" t="str">
            <v>CHEM-G</v>
          </cell>
          <cell r="G2858">
            <v>201</v>
          </cell>
          <cell r="H2858" t="str">
            <v>CHEM-G201</v>
          </cell>
          <cell r="K2858" t="str">
            <v>Sandahl,Jennifer Jean</v>
          </cell>
          <cell r="N2858">
            <v>4</v>
          </cell>
          <cell r="O2858">
            <v>3.3780000000000001</v>
          </cell>
        </row>
        <row r="2859">
          <cell r="E2859" t="str">
            <v>CHEM</v>
          </cell>
          <cell r="F2859" t="str">
            <v>CHEM-G</v>
          </cell>
          <cell r="G2859">
            <v>209</v>
          </cell>
          <cell r="H2859" t="str">
            <v>CHEM-G209</v>
          </cell>
          <cell r="K2859" t="str">
            <v>Robinson,Jill Kirsten</v>
          </cell>
          <cell r="N2859">
            <v>3.7919999999999998</v>
          </cell>
          <cell r="O2859">
            <v>3.3</v>
          </cell>
        </row>
        <row r="2860">
          <cell r="E2860" t="str">
            <v>CHEM</v>
          </cell>
          <cell r="F2860" t="str">
            <v>CHEM-G</v>
          </cell>
          <cell r="G2860">
            <v>307</v>
          </cell>
          <cell r="H2860" t="str">
            <v>CHEM-G307</v>
          </cell>
          <cell r="K2860" t="str">
            <v>Brown,Laura Caroline</v>
          </cell>
          <cell r="N2860">
            <v>3.8570000000000002</v>
          </cell>
          <cell r="O2860">
            <v>3.133</v>
          </cell>
        </row>
        <row r="2861">
          <cell r="E2861" t="str">
            <v>CHEM</v>
          </cell>
          <cell r="F2861" t="str">
            <v>CHEM-G</v>
          </cell>
          <cell r="G2861">
            <v>307</v>
          </cell>
          <cell r="H2861" t="str">
            <v>CHEM-G307</v>
          </cell>
          <cell r="K2861" t="str">
            <v>Brown,Laura Caroline</v>
          </cell>
          <cell r="N2861">
            <v>3.556</v>
          </cell>
          <cell r="O2861">
            <v>2.7789999999999999</v>
          </cell>
        </row>
        <row r="2862">
          <cell r="E2862" t="str">
            <v>CHEM</v>
          </cell>
          <cell r="F2862" t="str">
            <v>CHEM-G</v>
          </cell>
          <cell r="G2862">
            <v>410</v>
          </cell>
          <cell r="H2862" t="str">
            <v>CHEM-G410</v>
          </cell>
          <cell r="K2862" t="str">
            <v>Pellerito,Andrea Marie</v>
          </cell>
          <cell r="N2862">
            <v>3.91</v>
          </cell>
          <cell r="O2862">
            <v>3.45</v>
          </cell>
        </row>
        <row r="2863">
          <cell r="E2863" t="str">
            <v>CHEM</v>
          </cell>
          <cell r="F2863" t="str">
            <v>CHEM-G</v>
          </cell>
          <cell r="G2863">
            <v>410</v>
          </cell>
          <cell r="H2863" t="str">
            <v>CHEM-G410</v>
          </cell>
          <cell r="K2863" t="str">
            <v>Reck,Cathrine E.</v>
          </cell>
          <cell r="N2863" t="str">
            <v>NR</v>
          </cell>
          <cell r="O2863" t="str">
            <v>NR</v>
          </cell>
        </row>
        <row r="2864">
          <cell r="E2864" t="str">
            <v>CHEM</v>
          </cell>
          <cell r="F2864" t="str">
            <v>CHEM-G</v>
          </cell>
          <cell r="G2864">
            <v>499</v>
          </cell>
          <cell r="H2864" t="str">
            <v>CHEM-G499</v>
          </cell>
          <cell r="K2864" t="str">
            <v>Reck,Cathrine E.</v>
          </cell>
          <cell r="N2864" t="str">
            <v>NR</v>
          </cell>
          <cell r="O2864" t="str">
            <v>NR</v>
          </cell>
        </row>
        <row r="2865">
          <cell r="E2865" t="str">
            <v>CHEM</v>
          </cell>
          <cell r="F2865" t="str">
            <v>CHEM-G</v>
          </cell>
          <cell r="G2865">
            <v>499</v>
          </cell>
          <cell r="H2865" t="str">
            <v>CHEM-G499</v>
          </cell>
          <cell r="K2865" t="str">
            <v>Reck,Cathrine E.</v>
          </cell>
          <cell r="N2865">
            <v>4</v>
          </cell>
          <cell r="O2865">
            <v>3.7120000000000002</v>
          </cell>
        </row>
        <row r="2866">
          <cell r="E2866" t="str">
            <v>CHEM</v>
          </cell>
          <cell r="F2866" t="str">
            <v>CHEM-G</v>
          </cell>
          <cell r="G2866">
            <v>599</v>
          </cell>
          <cell r="H2866" t="str">
            <v>CHEM-G599</v>
          </cell>
          <cell r="K2866" t="str">
            <v>Jarrold,Caroline Chick</v>
          </cell>
          <cell r="N2866" t="str">
            <v>NR</v>
          </cell>
          <cell r="O2866" t="str">
            <v>NR</v>
          </cell>
        </row>
        <row r="2867">
          <cell r="E2867" t="str">
            <v>CHEM</v>
          </cell>
          <cell r="F2867" t="str">
            <v>CHEM-G</v>
          </cell>
          <cell r="G2867">
            <v>901</v>
          </cell>
          <cell r="H2867" t="str">
            <v>CHEM-G901</v>
          </cell>
          <cell r="K2867" t="str">
            <v>Jarrold,Caroline Chick</v>
          </cell>
          <cell r="N2867">
            <v>3.8889999999999998</v>
          </cell>
          <cell r="O2867">
            <v>3.58</v>
          </cell>
        </row>
        <row r="2868">
          <cell r="E2868" t="str">
            <v>CHEM</v>
          </cell>
          <cell r="F2868" t="str">
            <v>CHEM-G</v>
          </cell>
          <cell r="G2868">
            <v>901</v>
          </cell>
          <cell r="H2868" t="str">
            <v>CHEM-G901</v>
          </cell>
          <cell r="K2868" t="str">
            <v>Wilson,Rebecca</v>
          </cell>
          <cell r="N2868">
            <v>4</v>
          </cell>
          <cell r="O2868">
            <v>3.5</v>
          </cell>
        </row>
        <row r="2869">
          <cell r="E2869" t="str">
            <v>CHEM</v>
          </cell>
          <cell r="F2869" t="str">
            <v>CHEM-M</v>
          </cell>
          <cell r="G2869">
            <v>501</v>
          </cell>
          <cell r="H2869" t="str">
            <v>CHEM-M501</v>
          </cell>
          <cell r="K2869" t="str">
            <v>Dragnea,Bogdan G</v>
          </cell>
          <cell r="N2869">
            <v>3.77</v>
          </cell>
          <cell r="O2869">
            <v>3.55</v>
          </cell>
        </row>
        <row r="2870">
          <cell r="E2870" t="str">
            <v>CHEM</v>
          </cell>
          <cell r="F2870" t="str">
            <v>CHEM-M</v>
          </cell>
          <cell r="G2870">
            <v>502</v>
          </cell>
          <cell r="H2870" t="str">
            <v>CHEM-M502</v>
          </cell>
          <cell r="K2870" t="str">
            <v>Skrabalak,Sara</v>
          </cell>
          <cell r="N2870">
            <v>3.2730000000000001</v>
          </cell>
          <cell r="O2870">
            <v>3.3719999999999999</v>
          </cell>
        </row>
        <row r="2871">
          <cell r="E2871" t="str">
            <v>CHEM</v>
          </cell>
          <cell r="F2871" t="str">
            <v>CHEM-M</v>
          </cell>
          <cell r="G2871">
            <v>608</v>
          </cell>
          <cell r="H2871" t="str">
            <v>CHEM-M608</v>
          </cell>
          <cell r="K2871" t="str">
            <v>Baker,Lane Allen</v>
          </cell>
          <cell r="N2871">
            <v>3.59</v>
          </cell>
          <cell r="O2871">
            <v>3.5150000000000001</v>
          </cell>
        </row>
        <row r="2872">
          <cell r="E2872" t="str">
            <v>CHEM</v>
          </cell>
          <cell r="F2872" t="str">
            <v>CHEM-M</v>
          </cell>
          <cell r="G2872">
            <v>800</v>
          </cell>
          <cell r="H2872" t="str">
            <v>CHEM-M800</v>
          </cell>
          <cell r="K2872" t="str">
            <v>Dragnea,Bogdan G</v>
          </cell>
          <cell r="N2872">
            <v>4</v>
          </cell>
          <cell r="O2872">
            <v>3.4470000000000001</v>
          </cell>
        </row>
        <row r="2873">
          <cell r="E2873" t="str">
            <v>CHEM</v>
          </cell>
          <cell r="F2873" t="str">
            <v>CHEM-M</v>
          </cell>
          <cell r="G2873">
            <v>800</v>
          </cell>
          <cell r="H2873" t="str">
            <v>CHEM-M800</v>
          </cell>
          <cell r="K2873" t="str">
            <v>Skrabalak,Sara</v>
          </cell>
          <cell r="N2873">
            <v>4</v>
          </cell>
          <cell r="O2873">
            <v>3.5680000000000001</v>
          </cell>
        </row>
        <row r="2874">
          <cell r="E2874" t="str">
            <v>CHEM</v>
          </cell>
          <cell r="F2874" t="str">
            <v>CHEM-N</v>
          </cell>
          <cell r="G2874">
            <v>330</v>
          </cell>
          <cell r="H2874" t="str">
            <v>CHEM-N330</v>
          </cell>
          <cell r="K2874" t="str">
            <v>Baik,Mu-Hyun</v>
          </cell>
          <cell r="N2874">
            <v>2.7890000000000001</v>
          </cell>
          <cell r="O2874">
            <v>3.4550000000000001</v>
          </cell>
        </row>
        <row r="2875">
          <cell r="E2875" t="str">
            <v>CHEM</v>
          </cell>
          <cell r="F2875" t="str">
            <v>CHEM-N</v>
          </cell>
          <cell r="G2875">
            <v>330</v>
          </cell>
          <cell r="H2875" t="str">
            <v>CHEM-N330</v>
          </cell>
          <cell r="K2875" t="str">
            <v>Mindiola,Daniel J.</v>
          </cell>
          <cell r="N2875">
            <v>3.0409999999999999</v>
          </cell>
          <cell r="O2875">
            <v>3.55</v>
          </cell>
        </row>
        <row r="2876">
          <cell r="E2876" t="str">
            <v>CHEM</v>
          </cell>
          <cell r="F2876" t="str">
            <v>CHEM-N</v>
          </cell>
          <cell r="G2876">
            <v>800</v>
          </cell>
          <cell r="H2876" t="str">
            <v>CHEM-N800</v>
          </cell>
          <cell r="K2876" t="str">
            <v>Caulton,Kenneth G.</v>
          </cell>
          <cell r="N2876">
            <v>4</v>
          </cell>
          <cell r="O2876">
            <v>3.395</v>
          </cell>
        </row>
        <row r="2877">
          <cell r="E2877" t="str">
            <v>CHEM</v>
          </cell>
          <cell r="F2877" t="str">
            <v>CHEM-N</v>
          </cell>
          <cell r="G2877">
            <v>800</v>
          </cell>
          <cell r="H2877" t="str">
            <v>CHEM-N800</v>
          </cell>
          <cell r="K2877" t="str">
            <v>Lee,Dongwhan</v>
          </cell>
          <cell r="N2877" t="str">
            <v>NR</v>
          </cell>
          <cell r="O2877" t="str">
            <v>NR</v>
          </cell>
        </row>
        <row r="2878">
          <cell r="E2878" t="str">
            <v>CHEM</v>
          </cell>
          <cell r="F2878" t="str">
            <v>CHEM-P</v>
          </cell>
          <cell r="G2878">
            <v>364</v>
          </cell>
          <cell r="H2878" t="str">
            <v>CHEM-P364</v>
          </cell>
          <cell r="K2878" t="str">
            <v>Li,Liang-shi</v>
          </cell>
          <cell r="N2878">
            <v>2.6110000000000002</v>
          </cell>
          <cell r="O2878">
            <v>3.419</v>
          </cell>
        </row>
        <row r="2879">
          <cell r="E2879" t="str">
            <v>CHEM</v>
          </cell>
          <cell r="F2879" t="str">
            <v>CHEM-P</v>
          </cell>
          <cell r="G2879">
            <v>464</v>
          </cell>
          <cell r="H2879" t="str">
            <v>CHEM-P464</v>
          </cell>
          <cell r="K2879" t="str">
            <v>Li,Liang-shi</v>
          </cell>
          <cell r="N2879">
            <v>3.177</v>
          </cell>
          <cell r="O2879">
            <v>3.4140000000000001</v>
          </cell>
        </row>
        <row r="2880">
          <cell r="E2880" t="str">
            <v>CHEM</v>
          </cell>
          <cell r="F2880" t="str">
            <v>CHEM-P</v>
          </cell>
          <cell r="G2880">
            <v>800</v>
          </cell>
          <cell r="H2880" t="str">
            <v>CHEM-P800</v>
          </cell>
          <cell r="K2880" t="str">
            <v>Iyengar,Srinivasan S</v>
          </cell>
          <cell r="N2880" t="str">
            <v>NR</v>
          </cell>
          <cell r="O2880" t="str">
            <v>NR</v>
          </cell>
        </row>
        <row r="2881">
          <cell r="E2881" t="str">
            <v>CHEM</v>
          </cell>
          <cell r="F2881" t="str">
            <v>CHEM-P</v>
          </cell>
          <cell r="G2881">
            <v>800</v>
          </cell>
          <cell r="H2881" t="str">
            <v>CHEM-P800</v>
          </cell>
          <cell r="K2881" t="str">
            <v>Jarrold,Caroline Chick</v>
          </cell>
          <cell r="N2881" t="str">
            <v>NR</v>
          </cell>
          <cell r="O2881" t="str">
            <v>NR</v>
          </cell>
        </row>
        <row r="2882">
          <cell r="E2882" t="str">
            <v>CHEM</v>
          </cell>
          <cell r="F2882" t="str">
            <v>CHEM-R</v>
          </cell>
          <cell r="G2882">
            <v>340</v>
          </cell>
          <cell r="H2882" t="str">
            <v>CHEM-R340</v>
          </cell>
          <cell r="K2882" t="str">
            <v>Burlingham,Benjamin Todd</v>
          </cell>
          <cell r="N2882">
            <v>2.7090000000000001</v>
          </cell>
          <cell r="O2882">
            <v>3.1579999999999999</v>
          </cell>
        </row>
        <row r="2883">
          <cell r="E2883" t="str">
            <v>CHEM</v>
          </cell>
          <cell r="F2883" t="str">
            <v>CHEM-R</v>
          </cell>
          <cell r="G2883">
            <v>800</v>
          </cell>
          <cell r="H2883" t="str">
            <v>CHEM-R800</v>
          </cell>
          <cell r="K2883" t="str">
            <v>Aron,Zach</v>
          </cell>
          <cell r="N2883" t="str">
            <v>NR</v>
          </cell>
          <cell r="O2883" t="str">
            <v>NR</v>
          </cell>
        </row>
        <row r="2884">
          <cell r="E2884" t="str">
            <v>CHEM</v>
          </cell>
          <cell r="F2884" t="str">
            <v>CHEM-R</v>
          </cell>
          <cell r="G2884">
            <v>800</v>
          </cell>
          <cell r="H2884" t="str">
            <v>CHEM-R800</v>
          </cell>
          <cell r="K2884" t="str">
            <v>Van Nieuwenhze,Michael</v>
          </cell>
          <cell r="N2884" t="str">
            <v>NR</v>
          </cell>
          <cell r="O2884" t="str">
            <v>NR</v>
          </cell>
        </row>
        <row r="2885">
          <cell r="E2885" t="str">
            <v>CHEM</v>
          </cell>
          <cell r="F2885" t="str">
            <v>CHEM-S</v>
          </cell>
          <cell r="G2885">
            <v>117</v>
          </cell>
          <cell r="H2885" t="str">
            <v>CHEM-S117</v>
          </cell>
          <cell r="K2885" t="str">
            <v>De Souza,Romualdo T</v>
          </cell>
          <cell r="N2885">
            <v>3.4929999999999999</v>
          </cell>
          <cell r="O2885">
            <v>3.5030000000000001</v>
          </cell>
        </row>
        <row r="2886">
          <cell r="E2886" t="str">
            <v>CHEM</v>
          </cell>
          <cell r="F2886" t="str">
            <v>CHEM-S</v>
          </cell>
          <cell r="G2886">
            <v>341</v>
          </cell>
          <cell r="H2886" t="str">
            <v>CHEM-S341</v>
          </cell>
          <cell r="K2886" t="str">
            <v>Burlingham,Benjamin Todd</v>
          </cell>
          <cell r="N2886">
            <v>3.3559999999999999</v>
          </cell>
          <cell r="O2886">
            <v>3.7160000000000002</v>
          </cell>
        </row>
        <row r="2887">
          <cell r="E2887" t="str">
            <v>CHEM</v>
          </cell>
          <cell r="F2887" t="str">
            <v>CHEM-S</v>
          </cell>
          <cell r="G2887">
            <v>342</v>
          </cell>
          <cell r="H2887" t="str">
            <v>CHEM-S342</v>
          </cell>
          <cell r="K2887" t="str">
            <v>Van Nieuwenhze,Michael</v>
          </cell>
          <cell r="N2887">
            <v>3.3410000000000002</v>
          </cell>
          <cell r="O2887">
            <v>3.758</v>
          </cell>
        </row>
        <row r="2888">
          <cell r="E2888" t="str">
            <v>CHEM</v>
          </cell>
          <cell r="F2888" t="str">
            <v>CHEM-S</v>
          </cell>
          <cell r="G2888">
            <v>343</v>
          </cell>
          <cell r="H2888" t="str">
            <v>CHEM-S343</v>
          </cell>
          <cell r="K2888" t="str">
            <v>Brown,Laura Caroline</v>
          </cell>
          <cell r="N2888">
            <v>3.2130000000000001</v>
          </cell>
          <cell r="O2888">
            <v>3.5569999999999999</v>
          </cell>
        </row>
        <row r="2889">
          <cell r="E2889" t="str">
            <v>CHEM</v>
          </cell>
          <cell r="F2889" t="str">
            <v>CHEM-S</v>
          </cell>
          <cell r="G2889">
            <v>343</v>
          </cell>
          <cell r="H2889" t="str">
            <v>CHEM-S343</v>
          </cell>
          <cell r="K2889" t="str">
            <v>Brown,Laura Caroline</v>
          </cell>
          <cell r="N2889">
            <v>2.984</v>
          </cell>
          <cell r="O2889">
            <v>3.3410000000000002</v>
          </cell>
        </row>
        <row r="2890">
          <cell r="E2890" t="str">
            <v>CHEM</v>
          </cell>
          <cell r="F2890" t="str">
            <v>CHEM-Y</v>
          </cell>
          <cell r="G2890">
            <v>398</v>
          </cell>
          <cell r="H2890" t="str">
            <v>CHEM-Y398</v>
          </cell>
          <cell r="K2890" t="str">
            <v>Reck,Cathrine E.</v>
          </cell>
          <cell r="N2890" t="str">
            <v>NR</v>
          </cell>
          <cell r="O2890" t="str">
            <v>NR</v>
          </cell>
        </row>
        <row r="2891">
          <cell r="E2891" t="str">
            <v>CJUS</v>
          </cell>
          <cell r="F2891" t="str">
            <v>CJUS-G</v>
          </cell>
          <cell r="G2891">
            <v>901</v>
          </cell>
          <cell r="H2891" t="str">
            <v>CJUS-G901</v>
          </cell>
          <cell r="K2891" t="str">
            <v>Grossberg,Michael C.</v>
          </cell>
          <cell r="N2891" t="str">
            <v>NR</v>
          </cell>
          <cell r="O2891" t="str">
            <v>NR</v>
          </cell>
        </row>
        <row r="2892">
          <cell r="E2892" t="str">
            <v>CJUS</v>
          </cell>
          <cell r="F2892" t="str">
            <v>CJUS-G</v>
          </cell>
          <cell r="G2892">
            <v>901</v>
          </cell>
          <cell r="H2892" t="str">
            <v>CJUS-G901</v>
          </cell>
          <cell r="K2892" t="str">
            <v>Grossberg,Michael C.</v>
          </cell>
          <cell r="N2892" t="str">
            <v>NR</v>
          </cell>
          <cell r="O2892" t="str">
            <v>NR</v>
          </cell>
        </row>
        <row r="2893">
          <cell r="E2893" t="str">
            <v>CJUS</v>
          </cell>
          <cell r="F2893" t="str">
            <v>CJUS-G</v>
          </cell>
          <cell r="G2893">
            <v>901</v>
          </cell>
          <cell r="H2893" t="str">
            <v>CJUS-G901</v>
          </cell>
          <cell r="K2893" t="str">
            <v>Levesque,Roger J. R.</v>
          </cell>
          <cell r="N2893" t="str">
            <v>NR</v>
          </cell>
          <cell r="O2893" t="str">
            <v>NR</v>
          </cell>
        </row>
        <row r="2894">
          <cell r="E2894" t="str">
            <v>CJUS</v>
          </cell>
          <cell r="F2894" t="str">
            <v>CJUS-K</v>
          </cell>
          <cell r="G2894">
            <v>300</v>
          </cell>
          <cell r="H2894" t="str">
            <v>CJUS-K300</v>
          </cell>
          <cell r="K2894" t="str">
            <v>Levesque,Helen L</v>
          </cell>
          <cell r="N2894">
            <v>3.7869999999999999</v>
          </cell>
          <cell r="O2894">
            <v>3.1720000000000002</v>
          </cell>
        </row>
        <row r="2895">
          <cell r="E2895" t="str">
            <v>CJUS</v>
          </cell>
          <cell r="F2895" t="str">
            <v>CJUS-K</v>
          </cell>
          <cell r="G2895">
            <v>300</v>
          </cell>
          <cell r="H2895" t="str">
            <v>CJUS-K300</v>
          </cell>
          <cell r="K2895" t="str">
            <v>Levesque,Helen L</v>
          </cell>
          <cell r="N2895">
            <v>3.5489999999999999</v>
          </cell>
          <cell r="O2895">
            <v>3.125</v>
          </cell>
        </row>
        <row r="2896">
          <cell r="E2896" t="str">
            <v>CJUS</v>
          </cell>
          <cell r="F2896" t="str">
            <v>CJUS-P</v>
          </cell>
          <cell r="G2896">
            <v>100</v>
          </cell>
          <cell r="H2896" t="str">
            <v>CJUS-P100</v>
          </cell>
          <cell r="K2896" t="str">
            <v>Head,William Bruce</v>
          </cell>
          <cell r="N2896">
            <v>2.827</v>
          </cell>
          <cell r="O2896">
            <v>2.78</v>
          </cell>
        </row>
        <row r="2897">
          <cell r="E2897" t="str">
            <v>CJUS</v>
          </cell>
          <cell r="F2897" t="str">
            <v>CJUS-P</v>
          </cell>
          <cell r="G2897">
            <v>100</v>
          </cell>
          <cell r="H2897" t="str">
            <v>CJUS-P100</v>
          </cell>
          <cell r="K2897" t="str">
            <v>Head,William Bruce</v>
          </cell>
          <cell r="N2897">
            <v>2.6669999999999998</v>
          </cell>
          <cell r="O2897">
            <v>2.7610000000000001</v>
          </cell>
        </row>
        <row r="2898">
          <cell r="E2898" t="str">
            <v>CJUS</v>
          </cell>
          <cell r="F2898" t="str">
            <v>CJUS-P</v>
          </cell>
          <cell r="G2898">
            <v>100</v>
          </cell>
          <cell r="H2898" t="str">
            <v>CJUS-P100</v>
          </cell>
          <cell r="K2898" t="str">
            <v>Spano,Richard</v>
          </cell>
          <cell r="N2898">
            <v>2.62</v>
          </cell>
          <cell r="O2898">
            <v>2.9740000000000002</v>
          </cell>
        </row>
        <row r="2899">
          <cell r="E2899" t="str">
            <v>CJUS</v>
          </cell>
          <cell r="F2899" t="str">
            <v>CJUS-P</v>
          </cell>
          <cell r="G2899">
            <v>100</v>
          </cell>
          <cell r="H2899" t="str">
            <v>CJUS-P100</v>
          </cell>
          <cell r="K2899" t="str">
            <v>Spano,Richard</v>
          </cell>
          <cell r="N2899">
            <v>2.4870000000000001</v>
          </cell>
          <cell r="O2899">
            <v>2.81</v>
          </cell>
        </row>
        <row r="2900">
          <cell r="E2900" t="str">
            <v>CJUS</v>
          </cell>
          <cell r="F2900" t="str">
            <v>CJUS-P</v>
          </cell>
          <cell r="G2900">
            <v>200</v>
          </cell>
          <cell r="H2900" t="str">
            <v>CJUS-P200</v>
          </cell>
          <cell r="K2900" t="str">
            <v>Schlegel,Kip</v>
          </cell>
          <cell r="N2900">
            <v>2.89</v>
          </cell>
          <cell r="O2900">
            <v>2.8969999999999998</v>
          </cell>
        </row>
        <row r="2901">
          <cell r="E2901" t="str">
            <v>CJUS</v>
          </cell>
          <cell r="F2901" t="str">
            <v>CJUS-P</v>
          </cell>
          <cell r="G2901">
            <v>200</v>
          </cell>
          <cell r="H2901" t="str">
            <v>CJUS-P200</v>
          </cell>
          <cell r="K2901" t="str">
            <v>Schlegel,Kip</v>
          </cell>
          <cell r="N2901">
            <v>3.0129999999999999</v>
          </cell>
          <cell r="O2901">
            <v>2.7480000000000002</v>
          </cell>
        </row>
        <row r="2902">
          <cell r="E2902" t="str">
            <v>CJUS</v>
          </cell>
          <cell r="F2902" t="str">
            <v>CJUS-P</v>
          </cell>
          <cell r="G2902">
            <v>200</v>
          </cell>
          <cell r="H2902" t="str">
            <v>CJUS-P200</v>
          </cell>
          <cell r="K2902" t="str">
            <v>Schlegel,Kip</v>
          </cell>
          <cell r="N2902">
            <v>4</v>
          </cell>
          <cell r="O2902">
            <v>3.7530000000000001</v>
          </cell>
        </row>
        <row r="2903">
          <cell r="E2903" t="str">
            <v>CJUS</v>
          </cell>
          <cell r="F2903" t="str">
            <v>CJUS-P</v>
          </cell>
          <cell r="G2903">
            <v>202</v>
          </cell>
          <cell r="H2903" t="str">
            <v>CJUS-P202</v>
          </cell>
          <cell r="K2903" t="str">
            <v>Sales,Bruce D.</v>
          </cell>
          <cell r="N2903">
            <v>2.8279999999999998</v>
          </cell>
          <cell r="O2903">
            <v>2.7639999999999998</v>
          </cell>
        </row>
        <row r="2904">
          <cell r="E2904" t="str">
            <v>CJUS</v>
          </cell>
          <cell r="F2904" t="str">
            <v>CJUS-P</v>
          </cell>
          <cell r="G2904">
            <v>202</v>
          </cell>
          <cell r="H2904" t="str">
            <v>CJUS-P202</v>
          </cell>
          <cell r="K2904" t="str">
            <v>Sales,Bruce D.</v>
          </cell>
          <cell r="N2904">
            <v>2.9079999999999999</v>
          </cell>
          <cell r="O2904">
            <v>2.8559999999999999</v>
          </cell>
        </row>
        <row r="2905">
          <cell r="E2905" t="str">
            <v>CJUS</v>
          </cell>
          <cell r="F2905" t="str">
            <v>CJUS-P</v>
          </cell>
          <cell r="G2905">
            <v>290</v>
          </cell>
          <cell r="H2905" t="str">
            <v>CJUS-P290</v>
          </cell>
          <cell r="K2905" t="str">
            <v>Berg,Mark</v>
          </cell>
          <cell r="N2905">
            <v>2.302</v>
          </cell>
          <cell r="O2905">
            <v>2.9340000000000002</v>
          </cell>
        </row>
        <row r="2906">
          <cell r="E2906" t="str">
            <v>CJUS</v>
          </cell>
          <cell r="F2906" t="str">
            <v>CJUS-P</v>
          </cell>
          <cell r="G2906">
            <v>290</v>
          </cell>
          <cell r="H2906" t="str">
            <v>CJUS-P290</v>
          </cell>
          <cell r="K2906" t="str">
            <v>Sandys,Marla Rita</v>
          </cell>
          <cell r="N2906">
            <v>3.0609999999999999</v>
          </cell>
          <cell r="O2906">
            <v>2.95</v>
          </cell>
        </row>
        <row r="2907">
          <cell r="E2907" t="str">
            <v>CJUS</v>
          </cell>
          <cell r="F2907" t="str">
            <v>CJUS-P</v>
          </cell>
          <cell r="G2907">
            <v>300</v>
          </cell>
          <cell r="H2907" t="str">
            <v>CJUS-P300</v>
          </cell>
          <cell r="K2907" t="str">
            <v>DeBrota,Steven D</v>
          </cell>
          <cell r="N2907">
            <v>3.8010000000000002</v>
          </cell>
          <cell r="O2907">
            <v>3.1589999999999998</v>
          </cell>
        </row>
        <row r="2908">
          <cell r="E2908" t="str">
            <v>CJUS</v>
          </cell>
          <cell r="F2908" t="str">
            <v>CJUS-P</v>
          </cell>
          <cell r="G2908">
            <v>300</v>
          </cell>
          <cell r="H2908" t="str">
            <v>CJUS-P300</v>
          </cell>
          <cell r="K2908" t="str">
            <v>Diekhoff,Mary Ellen</v>
          </cell>
          <cell r="N2908">
            <v>3.306</v>
          </cell>
          <cell r="O2908">
            <v>2.9329999999999998</v>
          </cell>
        </row>
        <row r="2909">
          <cell r="E2909" t="str">
            <v>CJUS</v>
          </cell>
          <cell r="F2909" t="str">
            <v>CJUS-P</v>
          </cell>
          <cell r="G2909">
            <v>300</v>
          </cell>
          <cell r="H2909" t="str">
            <v>CJUS-P300</v>
          </cell>
          <cell r="K2909" t="str">
            <v>Diekhoff,Mary Ellen</v>
          </cell>
          <cell r="N2909">
            <v>3.1509999999999998</v>
          </cell>
          <cell r="O2909">
            <v>3.1</v>
          </cell>
        </row>
        <row r="2910">
          <cell r="E2910" t="str">
            <v>CJUS</v>
          </cell>
          <cell r="F2910" t="str">
            <v>CJUS-P</v>
          </cell>
          <cell r="G2910">
            <v>300</v>
          </cell>
          <cell r="H2910" t="str">
            <v>CJUS-P300</v>
          </cell>
          <cell r="K2910" t="str">
            <v>Head,William Bruce</v>
          </cell>
          <cell r="N2910">
            <v>2.927</v>
          </cell>
          <cell r="O2910">
            <v>2.8450000000000002</v>
          </cell>
        </row>
        <row r="2911">
          <cell r="E2911" t="str">
            <v>CJUS</v>
          </cell>
          <cell r="F2911" t="str">
            <v>CJUS-P</v>
          </cell>
          <cell r="G2911">
            <v>301</v>
          </cell>
          <cell r="H2911" t="str">
            <v>CJUS-P301</v>
          </cell>
          <cell r="K2911" t="str">
            <v>Verma,Arvind</v>
          </cell>
          <cell r="N2911">
            <v>2.8220000000000001</v>
          </cell>
          <cell r="O2911">
            <v>2.8290000000000002</v>
          </cell>
        </row>
        <row r="2912">
          <cell r="E2912" t="str">
            <v>CJUS</v>
          </cell>
          <cell r="F2912" t="str">
            <v>CJUS-P</v>
          </cell>
          <cell r="G2912">
            <v>302</v>
          </cell>
          <cell r="H2912" t="str">
            <v>CJUS-P302</v>
          </cell>
          <cell r="K2912" t="str">
            <v>Pruss,Heather Christine</v>
          </cell>
          <cell r="N2912">
            <v>2.8090000000000002</v>
          </cell>
          <cell r="O2912">
            <v>2.9009999999999998</v>
          </cell>
        </row>
        <row r="2913">
          <cell r="E2913" t="str">
            <v>CJUS</v>
          </cell>
          <cell r="F2913" t="str">
            <v>CJUS-P</v>
          </cell>
          <cell r="G2913">
            <v>303</v>
          </cell>
          <cell r="H2913" t="str">
            <v>CJUS-P303</v>
          </cell>
          <cell r="K2913" t="str">
            <v>DeLeeuw,Joseph Gregory</v>
          </cell>
          <cell r="N2913">
            <v>3.31</v>
          </cell>
          <cell r="O2913">
            <v>2.8780000000000001</v>
          </cell>
        </row>
        <row r="2914">
          <cell r="E2914" t="str">
            <v>CJUS</v>
          </cell>
          <cell r="F2914" t="str">
            <v>CJUS-P</v>
          </cell>
          <cell r="G2914">
            <v>304</v>
          </cell>
          <cell r="H2914" t="str">
            <v>CJUS-P304</v>
          </cell>
          <cell r="K2914" t="str">
            <v>Bingham,Robert Lawrence</v>
          </cell>
          <cell r="N2914">
            <v>2.2999999999999998</v>
          </cell>
          <cell r="O2914">
            <v>2.74</v>
          </cell>
        </row>
        <row r="2915">
          <cell r="E2915" t="str">
            <v>CJUS</v>
          </cell>
          <cell r="F2915" t="str">
            <v>CJUS-P</v>
          </cell>
          <cell r="G2915">
            <v>305</v>
          </cell>
          <cell r="H2915" t="str">
            <v>CJUS-P305</v>
          </cell>
          <cell r="K2915" t="str">
            <v>Kane,Stephanie C.</v>
          </cell>
          <cell r="N2915">
            <v>3.0259999999999998</v>
          </cell>
          <cell r="O2915">
            <v>2.86</v>
          </cell>
        </row>
        <row r="2916">
          <cell r="E2916" t="str">
            <v>CJUS</v>
          </cell>
          <cell r="F2916" t="str">
            <v>CJUS-P</v>
          </cell>
          <cell r="G2916">
            <v>305</v>
          </cell>
          <cell r="H2916" t="str">
            <v>CJUS-P305</v>
          </cell>
          <cell r="K2916" t="str">
            <v>Kane,Stephanie C.</v>
          </cell>
          <cell r="N2916">
            <v>3.07</v>
          </cell>
          <cell r="O2916">
            <v>2.8660000000000001</v>
          </cell>
        </row>
        <row r="2917">
          <cell r="E2917" t="str">
            <v>CJUS</v>
          </cell>
          <cell r="F2917" t="str">
            <v>CJUS-P</v>
          </cell>
          <cell r="G2917">
            <v>306</v>
          </cell>
          <cell r="H2917" t="str">
            <v>CJUS-P306</v>
          </cell>
          <cell r="K2917" t="str">
            <v>Snowden,Aleksandra Jovanovic</v>
          </cell>
          <cell r="N2917">
            <v>2.556</v>
          </cell>
          <cell r="O2917">
            <v>3.0289999999999999</v>
          </cell>
        </row>
        <row r="2918">
          <cell r="E2918" t="str">
            <v>CJUS</v>
          </cell>
          <cell r="F2918" t="str">
            <v>CJUS-P</v>
          </cell>
          <cell r="G2918">
            <v>307</v>
          </cell>
          <cell r="H2918" t="str">
            <v>CJUS-P307</v>
          </cell>
          <cell r="K2918" t="str">
            <v>Verma,Arvind</v>
          </cell>
          <cell r="N2918">
            <v>3.1960000000000002</v>
          </cell>
          <cell r="O2918">
            <v>2.8180000000000001</v>
          </cell>
        </row>
        <row r="2919">
          <cell r="E2919" t="str">
            <v>CJUS</v>
          </cell>
          <cell r="F2919" t="str">
            <v>CJUS-P</v>
          </cell>
          <cell r="G2919">
            <v>308</v>
          </cell>
          <cell r="H2919" t="str">
            <v>CJUS-P308</v>
          </cell>
          <cell r="K2919" t="str">
            <v>Levesque,Helen L</v>
          </cell>
          <cell r="N2919">
            <v>3.516</v>
          </cell>
          <cell r="O2919">
            <v>3.0329999999999999</v>
          </cell>
        </row>
        <row r="2920">
          <cell r="E2920" t="str">
            <v>CJUS</v>
          </cell>
          <cell r="F2920" t="str">
            <v>CJUS-P</v>
          </cell>
          <cell r="G2920">
            <v>320</v>
          </cell>
          <cell r="H2920" t="str">
            <v>CJUS-P320</v>
          </cell>
          <cell r="K2920" t="str">
            <v>Cohen,Charles Lee</v>
          </cell>
          <cell r="N2920">
            <v>3.355</v>
          </cell>
          <cell r="O2920">
            <v>3.0920000000000001</v>
          </cell>
        </row>
        <row r="2921">
          <cell r="E2921" t="str">
            <v>CJUS</v>
          </cell>
          <cell r="F2921" t="str">
            <v>CJUS-P</v>
          </cell>
          <cell r="G2921">
            <v>340</v>
          </cell>
          <cell r="H2921" t="str">
            <v>CJUS-P340</v>
          </cell>
          <cell r="K2921" t="str">
            <v>Parnell,Philip C.</v>
          </cell>
          <cell r="N2921">
            <v>3.6520000000000001</v>
          </cell>
          <cell r="O2921">
            <v>3.1909999999999998</v>
          </cell>
        </row>
        <row r="2922">
          <cell r="E2922" t="str">
            <v>CJUS</v>
          </cell>
          <cell r="F2922" t="str">
            <v>CJUS-P</v>
          </cell>
          <cell r="G2922">
            <v>340</v>
          </cell>
          <cell r="H2922" t="str">
            <v>CJUS-P340</v>
          </cell>
          <cell r="K2922" t="str">
            <v>Parnell,Philip C.</v>
          </cell>
          <cell r="N2922">
            <v>3.5830000000000002</v>
          </cell>
          <cell r="O2922">
            <v>3.1509999999999998</v>
          </cell>
        </row>
        <row r="2923">
          <cell r="E2923" t="str">
            <v>CJUS</v>
          </cell>
          <cell r="F2923" t="str">
            <v>CJUS-P</v>
          </cell>
          <cell r="G2923">
            <v>362</v>
          </cell>
          <cell r="H2923" t="str">
            <v>CJUS-P362</v>
          </cell>
          <cell r="K2923" t="str">
            <v>Turrentine,Jennifer L</v>
          </cell>
          <cell r="N2923">
            <v>2.9249999999999998</v>
          </cell>
          <cell r="O2923">
            <v>3.0030000000000001</v>
          </cell>
        </row>
        <row r="2924">
          <cell r="E2924" t="str">
            <v>CJUS</v>
          </cell>
          <cell r="F2924" t="str">
            <v>CJUS-P</v>
          </cell>
          <cell r="G2924">
            <v>370</v>
          </cell>
          <cell r="H2924" t="str">
            <v>CJUS-P370</v>
          </cell>
          <cell r="K2924" t="str">
            <v>Morrison,Timothy Marshall</v>
          </cell>
          <cell r="N2924">
            <v>3.5329999999999999</v>
          </cell>
          <cell r="O2924">
            <v>2.8090000000000002</v>
          </cell>
        </row>
        <row r="2925">
          <cell r="E2925" t="str">
            <v>CJUS</v>
          </cell>
          <cell r="F2925" t="str">
            <v>CJUS-P</v>
          </cell>
          <cell r="G2925">
            <v>371</v>
          </cell>
          <cell r="H2925" t="str">
            <v>CJUS-P371</v>
          </cell>
          <cell r="K2925" t="str">
            <v>Morrison,Timothy Marshall</v>
          </cell>
          <cell r="N2925">
            <v>3.391</v>
          </cell>
          <cell r="O2925">
            <v>2.8610000000000002</v>
          </cell>
        </row>
        <row r="2926">
          <cell r="E2926" t="str">
            <v>CJUS</v>
          </cell>
          <cell r="F2926" t="str">
            <v>CJUS-P</v>
          </cell>
          <cell r="G2926">
            <v>375</v>
          </cell>
          <cell r="H2926" t="str">
            <v>CJUS-P375</v>
          </cell>
          <cell r="K2926" t="str">
            <v>Bingham,Robert Lawrence</v>
          </cell>
          <cell r="N2926">
            <v>2.9169999999999998</v>
          </cell>
          <cell r="O2926">
            <v>2.9580000000000002</v>
          </cell>
        </row>
        <row r="2927">
          <cell r="E2927" t="str">
            <v>CJUS</v>
          </cell>
          <cell r="F2927" t="str">
            <v>CJUS-P</v>
          </cell>
          <cell r="G2927">
            <v>381</v>
          </cell>
          <cell r="H2927" t="str">
            <v>CJUS-P381</v>
          </cell>
          <cell r="K2927" t="str">
            <v>Tillotson,Stephen</v>
          </cell>
          <cell r="N2927">
            <v>2.3759999999999999</v>
          </cell>
          <cell r="O2927">
            <v>2.847</v>
          </cell>
        </row>
        <row r="2928">
          <cell r="E2928" t="str">
            <v>CJUS</v>
          </cell>
          <cell r="F2928" t="str">
            <v>CJUS-P</v>
          </cell>
          <cell r="G2928">
            <v>401</v>
          </cell>
          <cell r="H2928" t="str">
            <v>CJUS-P401</v>
          </cell>
          <cell r="K2928" t="str">
            <v>Kane,Stephanie C.</v>
          </cell>
          <cell r="N2928">
            <v>3.0630000000000002</v>
          </cell>
          <cell r="O2928">
            <v>2.8279999999999998</v>
          </cell>
        </row>
        <row r="2929">
          <cell r="E2929" t="str">
            <v>CJUS</v>
          </cell>
          <cell r="F2929" t="str">
            <v>CJUS-P</v>
          </cell>
          <cell r="G2929">
            <v>402</v>
          </cell>
          <cell r="H2929" t="str">
            <v>CJUS-P402</v>
          </cell>
          <cell r="K2929" t="str">
            <v>Spano,Richard</v>
          </cell>
          <cell r="N2929">
            <v>3.1840000000000002</v>
          </cell>
          <cell r="O2929">
            <v>3.1720000000000002</v>
          </cell>
        </row>
        <row r="2930">
          <cell r="E2930" t="str">
            <v>CJUS</v>
          </cell>
          <cell r="F2930" t="str">
            <v>CJUS-P</v>
          </cell>
          <cell r="G2930">
            <v>405</v>
          </cell>
          <cell r="H2930" t="str">
            <v>CJUS-P405</v>
          </cell>
          <cell r="K2930" t="str">
            <v>Fontaine,Nathalie</v>
          </cell>
          <cell r="N2930">
            <v>3.1309999999999998</v>
          </cell>
          <cell r="O2930">
            <v>3.254</v>
          </cell>
        </row>
        <row r="2931">
          <cell r="E2931" t="str">
            <v>CJUS</v>
          </cell>
          <cell r="F2931" t="str">
            <v>CJUS-P</v>
          </cell>
          <cell r="G2931">
            <v>406</v>
          </cell>
          <cell r="H2931" t="str">
            <v>CJUS-P406</v>
          </cell>
          <cell r="K2931" t="str">
            <v>Oliver,William</v>
          </cell>
          <cell r="N2931">
            <v>2.99</v>
          </cell>
          <cell r="O2931">
            <v>3.0779999999999998</v>
          </cell>
        </row>
        <row r="2932">
          <cell r="E2932" t="str">
            <v>CJUS</v>
          </cell>
          <cell r="F2932" t="str">
            <v>CJUS-P</v>
          </cell>
          <cell r="G2932">
            <v>407</v>
          </cell>
          <cell r="H2932" t="str">
            <v>CJUS-P407</v>
          </cell>
          <cell r="K2932" t="str">
            <v>Verma,Arvind</v>
          </cell>
          <cell r="N2932">
            <v>2.8679999999999999</v>
          </cell>
          <cell r="O2932">
            <v>3.1190000000000002</v>
          </cell>
        </row>
        <row r="2933">
          <cell r="E2933" t="str">
            <v>CJUS</v>
          </cell>
          <cell r="F2933" t="str">
            <v>CJUS-P</v>
          </cell>
          <cell r="G2933">
            <v>411</v>
          </cell>
          <cell r="H2933" t="str">
            <v>CJUS-P411</v>
          </cell>
          <cell r="K2933" t="str">
            <v>Head,William Bruce</v>
          </cell>
          <cell r="N2933">
            <v>3.8039999999999998</v>
          </cell>
          <cell r="O2933">
            <v>3.0670000000000002</v>
          </cell>
        </row>
        <row r="2934">
          <cell r="E2934" t="str">
            <v>CJUS</v>
          </cell>
          <cell r="F2934" t="str">
            <v>CJUS-P</v>
          </cell>
          <cell r="G2934">
            <v>414</v>
          </cell>
          <cell r="H2934" t="str">
            <v>CJUS-P414</v>
          </cell>
          <cell r="K2934" t="str">
            <v>Levesque,Roger J. R.</v>
          </cell>
          <cell r="N2934">
            <v>3.1379999999999999</v>
          </cell>
          <cell r="O2934">
            <v>3.2389999999999999</v>
          </cell>
        </row>
        <row r="2935">
          <cell r="E2935" t="str">
            <v>CJUS</v>
          </cell>
          <cell r="F2935" t="str">
            <v>CJUS-P</v>
          </cell>
          <cell r="G2935">
            <v>415</v>
          </cell>
          <cell r="H2935" t="str">
            <v>CJUS-P415</v>
          </cell>
          <cell r="K2935" t="str">
            <v>Deaton,Rodney James S</v>
          </cell>
          <cell r="N2935">
            <v>3.8839999999999999</v>
          </cell>
          <cell r="O2935">
            <v>3.452</v>
          </cell>
        </row>
        <row r="2936">
          <cell r="E2936" t="str">
            <v>CJUS</v>
          </cell>
          <cell r="F2936" t="str">
            <v>CJUS-P</v>
          </cell>
          <cell r="G2936">
            <v>415</v>
          </cell>
          <cell r="H2936" t="str">
            <v>CJUS-P415</v>
          </cell>
          <cell r="K2936" t="str">
            <v>Deaton,Rodney James S</v>
          </cell>
          <cell r="N2936">
            <v>3.92</v>
          </cell>
          <cell r="O2936">
            <v>3.282</v>
          </cell>
        </row>
        <row r="2937">
          <cell r="E2937" t="str">
            <v>CJUS</v>
          </cell>
          <cell r="F2937" t="str">
            <v>CJUS-P</v>
          </cell>
          <cell r="G2937">
            <v>417</v>
          </cell>
          <cell r="H2937" t="str">
            <v>CJUS-P417</v>
          </cell>
          <cell r="K2937" t="str">
            <v>Pettiway,Leon E.</v>
          </cell>
          <cell r="N2937">
            <v>2.7930000000000001</v>
          </cell>
          <cell r="O2937">
            <v>2.7639999999999998</v>
          </cell>
        </row>
        <row r="2938">
          <cell r="E2938" t="str">
            <v>CJUS</v>
          </cell>
          <cell r="F2938" t="str">
            <v>CJUS-P</v>
          </cell>
          <cell r="G2938">
            <v>419</v>
          </cell>
          <cell r="H2938" t="str">
            <v>CJUS-P419</v>
          </cell>
          <cell r="K2938" t="str">
            <v>Pettiway,Leon E.</v>
          </cell>
          <cell r="N2938">
            <v>3.278</v>
          </cell>
          <cell r="O2938">
            <v>2.9260000000000002</v>
          </cell>
        </row>
        <row r="2939">
          <cell r="E2939" t="str">
            <v>CJUS</v>
          </cell>
          <cell r="F2939" t="str">
            <v>CJUS-P</v>
          </cell>
          <cell r="G2939">
            <v>421</v>
          </cell>
          <cell r="H2939" t="str">
            <v>CJUS-P421</v>
          </cell>
          <cell r="K2939" t="str">
            <v>Verma,Arvind</v>
          </cell>
          <cell r="N2939">
            <v>2.9079999999999999</v>
          </cell>
          <cell r="O2939">
            <v>2.8010000000000002</v>
          </cell>
        </row>
        <row r="2940">
          <cell r="E2940" t="str">
            <v>CJUS</v>
          </cell>
          <cell r="F2940" t="str">
            <v>CJUS-P</v>
          </cell>
          <cell r="G2940">
            <v>427</v>
          </cell>
          <cell r="H2940" t="str">
            <v>CJUS-P427</v>
          </cell>
          <cell r="K2940" t="str">
            <v>Fontaine,Nathalie</v>
          </cell>
          <cell r="N2940">
            <v>3.129</v>
          </cell>
          <cell r="O2940">
            <v>3.0680000000000001</v>
          </cell>
        </row>
        <row r="2941">
          <cell r="E2941" t="str">
            <v>CJUS</v>
          </cell>
          <cell r="F2941" t="str">
            <v>CJUS-P</v>
          </cell>
          <cell r="G2941">
            <v>428</v>
          </cell>
          <cell r="H2941" t="str">
            <v>CJUS-P428</v>
          </cell>
          <cell r="K2941" t="str">
            <v>Spano,Richard</v>
          </cell>
          <cell r="N2941">
            <v>3.4569999999999999</v>
          </cell>
          <cell r="O2941">
            <v>3.2850000000000001</v>
          </cell>
        </row>
        <row r="2942">
          <cell r="E2942" t="str">
            <v>CJUS</v>
          </cell>
          <cell r="F2942" t="str">
            <v>CJUS-P</v>
          </cell>
          <cell r="G2942">
            <v>439</v>
          </cell>
          <cell r="H2942" t="str">
            <v>CJUS-P439</v>
          </cell>
          <cell r="K2942" t="str">
            <v>Oliver,William</v>
          </cell>
          <cell r="N2942">
            <v>3.0960000000000001</v>
          </cell>
          <cell r="O2942">
            <v>2.9119999999999999</v>
          </cell>
        </row>
        <row r="2943">
          <cell r="E2943" t="str">
            <v>CJUS</v>
          </cell>
          <cell r="F2943" t="str">
            <v>CJUS-P</v>
          </cell>
          <cell r="G2943">
            <v>439</v>
          </cell>
          <cell r="H2943" t="str">
            <v>CJUS-P439</v>
          </cell>
          <cell r="K2943" t="str">
            <v>Oliver,William</v>
          </cell>
          <cell r="N2943">
            <v>2.5529999999999999</v>
          </cell>
          <cell r="O2943">
            <v>2.7269999999999999</v>
          </cell>
        </row>
        <row r="2944">
          <cell r="E2944" t="str">
            <v>CJUS</v>
          </cell>
          <cell r="F2944" t="str">
            <v>CJUS-P</v>
          </cell>
          <cell r="G2944">
            <v>444</v>
          </cell>
          <cell r="H2944" t="str">
            <v>CJUS-P444</v>
          </cell>
          <cell r="K2944" t="str">
            <v>Berg,Mark</v>
          </cell>
          <cell r="N2944">
            <v>2.64</v>
          </cell>
          <cell r="O2944">
            <v>2.8250000000000002</v>
          </cell>
        </row>
        <row r="2945">
          <cell r="E2945" t="str">
            <v>CJUS</v>
          </cell>
          <cell r="F2945" t="str">
            <v>CJUS-P</v>
          </cell>
          <cell r="G2945">
            <v>444</v>
          </cell>
          <cell r="H2945" t="str">
            <v>CJUS-P444</v>
          </cell>
          <cell r="K2945" t="str">
            <v>Berg,Mark</v>
          </cell>
          <cell r="N2945">
            <v>2.5310000000000001</v>
          </cell>
          <cell r="O2945">
            <v>3.02</v>
          </cell>
        </row>
        <row r="2946">
          <cell r="E2946" t="str">
            <v>CJUS</v>
          </cell>
          <cell r="F2946" t="str">
            <v>CJUS-P</v>
          </cell>
          <cell r="G2946">
            <v>457</v>
          </cell>
          <cell r="H2946" t="str">
            <v>CJUS-P457</v>
          </cell>
          <cell r="K2946" t="str">
            <v>Schlegel,Kip</v>
          </cell>
          <cell r="N2946">
            <v>3.6640000000000001</v>
          </cell>
          <cell r="O2946">
            <v>3.1429999999999998</v>
          </cell>
        </row>
        <row r="2947">
          <cell r="E2947" t="str">
            <v>CJUS</v>
          </cell>
          <cell r="F2947" t="str">
            <v>CJUS-P</v>
          </cell>
          <cell r="G2947">
            <v>481</v>
          </cell>
          <cell r="H2947" t="str">
            <v>CJUS-P481</v>
          </cell>
          <cell r="K2947" t="str">
            <v>Head,William Bruce</v>
          </cell>
          <cell r="N2947">
            <v>3.8570000000000002</v>
          </cell>
          <cell r="O2947">
            <v>3.1160000000000001</v>
          </cell>
        </row>
        <row r="2948">
          <cell r="E2948" t="str">
            <v>CJUS</v>
          </cell>
          <cell r="F2948" t="str">
            <v>CJUS-P</v>
          </cell>
          <cell r="G2948">
            <v>481</v>
          </cell>
          <cell r="H2948" t="str">
            <v>CJUS-P481</v>
          </cell>
          <cell r="K2948" t="str">
            <v>Head,William Bruce</v>
          </cell>
          <cell r="N2948">
            <v>3.9910000000000001</v>
          </cell>
          <cell r="O2948">
            <v>3.1419999999999999</v>
          </cell>
        </row>
        <row r="2949">
          <cell r="E2949" t="str">
            <v>CJUS</v>
          </cell>
          <cell r="F2949" t="str">
            <v>CJUS-P</v>
          </cell>
          <cell r="G2949">
            <v>493</v>
          </cell>
          <cell r="H2949" t="str">
            <v>CJUS-P493</v>
          </cell>
          <cell r="K2949" t="str">
            <v>Lippke,Richard L.</v>
          </cell>
          <cell r="N2949">
            <v>2.7090000000000001</v>
          </cell>
          <cell r="O2949">
            <v>2.87</v>
          </cell>
        </row>
        <row r="2950">
          <cell r="E2950" t="str">
            <v>CJUS</v>
          </cell>
          <cell r="F2950" t="str">
            <v>CJUS-P</v>
          </cell>
          <cell r="G2950">
            <v>493</v>
          </cell>
          <cell r="H2950" t="str">
            <v>CJUS-P493</v>
          </cell>
          <cell r="K2950" t="str">
            <v>Oliver,William</v>
          </cell>
          <cell r="N2950">
            <v>2.2000000000000002</v>
          </cell>
          <cell r="O2950">
            <v>2.5790000000000002</v>
          </cell>
        </row>
        <row r="2951">
          <cell r="E2951" t="str">
            <v>CJUS</v>
          </cell>
          <cell r="F2951" t="str">
            <v>CJUS-P</v>
          </cell>
          <cell r="G2951">
            <v>493</v>
          </cell>
          <cell r="H2951" t="str">
            <v>CJUS-P493</v>
          </cell>
          <cell r="K2951" t="str">
            <v>Parnell,Philip C.</v>
          </cell>
          <cell r="N2951">
            <v>3.5169999999999999</v>
          </cell>
          <cell r="O2951">
            <v>3.113</v>
          </cell>
        </row>
        <row r="2952">
          <cell r="E2952" t="str">
            <v>CJUS</v>
          </cell>
          <cell r="F2952" t="str">
            <v>CJUS-P</v>
          </cell>
          <cell r="G2952">
            <v>493</v>
          </cell>
          <cell r="H2952" t="str">
            <v>CJUS-P493</v>
          </cell>
          <cell r="K2952" t="str">
            <v>Sandys,Marla Rita</v>
          </cell>
          <cell r="N2952">
            <v>3.4609999999999999</v>
          </cell>
          <cell r="O2952">
            <v>3.0880000000000001</v>
          </cell>
        </row>
        <row r="2953">
          <cell r="E2953" t="str">
            <v>CJUS</v>
          </cell>
          <cell r="F2953" t="str">
            <v>CJUS-P</v>
          </cell>
          <cell r="G2953">
            <v>493</v>
          </cell>
          <cell r="H2953" t="str">
            <v>CJUS-P493</v>
          </cell>
          <cell r="K2953" t="str">
            <v>Schlegel,Kip</v>
          </cell>
          <cell r="N2953" t="str">
            <v>NR</v>
          </cell>
          <cell r="O2953" t="str">
            <v>NR</v>
          </cell>
        </row>
        <row r="2954">
          <cell r="E2954" t="str">
            <v>CJUS</v>
          </cell>
          <cell r="F2954" t="str">
            <v>CJUS-P</v>
          </cell>
          <cell r="G2954">
            <v>495</v>
          </cell>
          <cell r="H2954" t="str">
            <v>CJUS-P495</v>
          </cell>
          <cell r="K2954" t="str">
            <v>Grossberg,Michael C.</v>
          </cell>
          <cell r="N2954" t="str">
            <v>NR</v>
          </cell>
          <cell r="O2954" t="str">
            <v>NR</v>
          </cell>
        </row>
        <row r="2955">
          <cell r="E2955" t="str">
            <v>CJUS</v>
          </cell>
          <cell r="F2955" t="str">
            <v>CJUS-P</v>
          </cell>
          <cell r="G2955">
            <v>495</v>
          </cell>
          <cell r="H2955" t="str">
            <v>CJUS-P495</v>
          </cell>
          <cell r="K2955" t="str">
            <v>Levesque,Roger J. R.</v>
          </cell>
          <cell r="N2955" t="str">
            <v>NR</v>
          </cell>
          <cell r="O2955" t="str">
            <v>NR</v>
          </cell>
        </row>
        <row r="2956">
          <cell r="E2956" t="str">
            <v>CJUS</v>
          </cell>
          <cell r="F2956" t="str">
            <v>CJUS-P</v>
          </cell>
          <cell r="G2956">
            <v>496</v>
          </cell>
          <cell r="H2956" t="str">
            <v>CJUS-P496</v>
          </cell>
          <cell r="K2956" t="str">
            <v>Levesque,Roger J. R.</v>
          </cell>
          <cell r="N2956" t="str">
            <v>NR</v>
          </cell>
          <cell r="O2956" t="str">
            <v>NR</v>
          </cell>
        </row>
        <row r="2957">
          <cell r="E2957" t="str">
            <v>CJUS</v>
          </cell>
          <cell r="F2957" t="str">
            <v>CJUS-P</v>
          </cell>
          <cell r="G2957">
            <v>497</v>
          </cell>
          <cell r="H2957" t="str">
            <v>CJUS-P497</v>
          </cell>
          <cell r="K2957" t="str">
            <v>Grossberg,Michael C.</v>
          </cell>
          <cell r="N2957" t="str">
            <v>NR</v>
          </cell>
          <cell r="O2957" t="str">
            <v>NR</v>
          </cell>
        </row>
        <row r="2958">
          <cell r="E2958" t="str">
            <v>CJUS</v>
          </cell>
          <cell r="F2958" t="str">
            <v>CJUS-P</v>
          </cell>
          <cell r="G2958">
            <v>499</v>
          </cell>
          <cell r="H2958" t="str">
            <v>CJUS-P499</v>
          </cell>
          <cell r="K2958" t="str">
            <v>Levesque,Roger J. R.</v>
          </cell>
          <cell r="N2958" t="str">
            <v>NR</v>
          </cell>
          <cell r="O2958" t="str">
            <v>NR</v>
          </cell>
        </row>
        <row r="2959">
          <cell r="E2959" t="str">
            <v>CJUS</v>
          </cell>
          <cell r="F2959" t="str">
            <v>CJUS-P</v>
          </cell>
          <cell r="G2959">
            <v>502</v>
          </cell>
          <cell r="H2959" t="str">
            <v>CJUS-P502</v>
          </cell>
          <cell r="K2959" t="str">
            <v>Pridemore,William Alex</v>
          </cell>
          <cell r="N2959" t="str">
            <v>NR</v>
          </cell>
          <cell r="O2959" t="str">
            <v>NR</v>
          </cell>
        </row>
        <row r="2960">
          <cell r="E2960" t="str">
            <v>CJUS</v>
          </cell>
          <cell r="F2960" t="str">
            <v>CJUS-P</v>
          </cell>
          <cell r="G2960">
            <v>599</v>
          </cell>
          <cell r="H2960" t="str">
            <v>CJUS-P599</v>
          </cell>
          <cell r="K2960" t="str">
            <v>Grossberg,Michael C.</v>
          </cell>
          <cell r="N2960" t="str">
            <v>NR</v>
          </cell>
          <cell r="O2960" t="str">
            <v>NR</v>
          </cell>
        </row>
        <row r="2961">
          <cell r="E2961" t="str">
            <v>CJUS</v>
          </cell>
          <cell r="F2961" t="str">
            <v>CJUS-P</v>
          </cell>
          <cell r="G2961">
            <v>610</v>
          </cell>
          <cell r="H2961" t="str">
            <v>CJUS-P610</v>
          </cell>
          <cell r="K2961" t="str">
            <v>Parnell,Philip C.</v>
          </cell>
          <cell r="N2961">
            <v>4</v>
          </cell>
          <cell r="O2961">
            <v>3.8730000000000002</v>
          </cell>
        </row>
        <row r="2962">
          <cell r="E2962" t="str">
            <v>CJUS</v>
          </cell>
          <cell r="F2962" t="str">
            <v>CJUS-P</v>
          </cell>
          <cell r="G2962">
            <v>680</v>
          </cell>
          <cell r="H2962" t="str">
            <v>CJUS-P680</v>
          </cell>
          <cell r="K2962" t="str">
            <v>Berg,Mark</v>
          </cell>
          <cell r="N2962">
            <v>3.6749999999999998</v>
          </cell>
          <cell r="O2962">
            <v>3.7370000000000001</v>
          </cell>
        </row>
        <row r="2963">
          <cell r="E2963" t="str">
            <v>CJUS</v>
          </cell>
          <cell r="F2963" t="str">
            <v>CJUS-P</v>
          </cell>
          <cell r="G2963">
            <v>680</v>
          </cell>
          <cell r="H2963" t="str">
            <v>CJUS-P680</v>
          </cell>
          <cell r="K2963" t="str">
            <v>Kane,Stephanie C.</v>
          </cell>
          <cell r="N2963">
            <v>4</v>
          </cell>
          <cell r="O2963">
            <v>3.742</v>
          </cell>
        </row>
        <row r="2964">
          <cell r="E2964" t="str">
            <v>CJUS</v>
          </cell>
          <cell r="F2964" t="str">
            <v>CJUS-P</v>
          </cell>
          <cell r="G2964">
            <v>851</v>
          </cell>
          <cell r="H2964" t="str">
            <v>CJUS-P851</v>
          </cell>
          <cell r="K2964" t="str">
            <v>Grossberg,Michael C.</v>
          </cell>
          <cell r="N2964" t="str">
            <v>NR</v>
          </cell>
          <cell r="O2964" t="str">
            <v>NR</v>
          </cell>
        </row>
        <row r="2965">
          <cell r="E2965" t="str">
            <v>CJUS</v>
          </cell>
          <cell r="F2965" t="str">
            <v>CJUS-P</v>
          </cell>
          <cell r="G2965">
            <v>851</v>
          </cell>
          <cell r="H2965" t="str">
            <v>CJUS-P851</v>
          </cell>
          <cell r="K2965" t="str">
            <v>Levesque,Roger J. R.</v>
          </cell>
          <cell r="N2965" t="str">
            <v>NR</v>
          </cell>
          <cell r="O2965" t="str">
            <v>NR</v>
          </cell>
        </row>
        <row r="2966">
          <cell r="E2966" t="str">
            <v>CJUS</v>
          </cell>
          <cell r="F2966" t="str">
            <v>CJUS-P</v>
          </cell>
          <cell r="G2966">
            <v>855</v>
          </cell>
          <cell r="H2966" t="str">
            <v>CJUS-P855</v>
          </cell>
          <cell r="K2966" t="str">
            <v>Grossberg,Michael C.</v>
          </cell>
          <cell r="N2966" t="str">
            <v>NR</v>
          </cell>
          <cell r="O2966" t="str">
            <v>NR</v>
          </cell>
        </row>
        <row r="2967">
          <cell r="E2967" t="str">
            <v>CJUS</v>
          </cell>
          <cell r="F2967" t="str">
            <v>CJUS-P</v>
          </cell>
          <cell r="G2967">
            <v>855</v>
          </cell>
          <cell r="H2967" t="str">
            <v>CJUS-P855</v>
          </cell>
          <cell r="K2967" t="str">
            <v>Levesque,Roger J. R.</v>
          </cell>
          <cell r="N2967" t="str">
            <v>NR</v>
          </cell>
          <cell r="O2967" t="str">
            <v>NR</v>
          </cell>
        </row>
        <row r="2968">
          <cell r="E2968" t="str">
            <v>CJUS</v>
          </cell>
          <cell r="F2968" t="str">
            <v>CJUS-P</v>
          </cell>
          <cell r="G2968">
            <v>859</v>
          </cell>
          <cell r="H2968" t="str">
            <v>CJUS-P859</v>
          </cell>
          <cell r="K2968" t="str">
            <v>Grossberg,Michael C.</v>
          </cell>
          <cell r="N2968" t="str">
            <v>NR</v>
          </cell>
          <cell r="O2968" t="str">
            <v>NR</v>
          </cell>
        </row>
        <row r="2969">
          <cell r="E2969" t="str">
            <v>CJUS</v>
          </cell>
          <cell r="F2969" t="str">
            <v>CJUS-P</v>
          </cell>
          <cell r="G2969">
            <v>859</v>
          </cell>
          <cell r="H2969" t="str">
            <v>CJUS-P859</v>
          </cell>
          <cell r="K2969" t="str">
            <v>Grossberg,Michael C.</v>
          </cell>
          <cell r="N2969" t="str">
            <v>NR</v>
          </cell>
          <cell r="O2969" t="str">
            <v>NR</v>
          </cell>
        </row>
        <row r="2970">
          <cell r="E2970" t="str">
            <v>CJUS</v>
          </cell>
          <cell r="F2970" t="str">
            <v>CJUS-P</v>
          </cell>
          <cell r="G2970">
            <v>859</v>
          </cell>
          <cell r="H2970" t="str">
            <v>CJUS-P859</v>
          </cell>
          <cell r="K2970" t="str">
            <v>Levesque,Roger J. R.</v>
          </cell>
          <cell r="N2970" t="str">
            <v>NR</v>
          </cell>
          <cell r="O2970" t="str">
            <v>NR</v>
          </cell>
        </row>
        <row r="2971">
          <cell r="E2971" t="str">
            <v>CJUS</v>
          </cell>
          <cell r="F2971" t="str">
            <v>CJUS-P</v>
          </cell>
          <cell r="G2971">
            <v>859</v>
          </cell>
          <cell r="H2971" t="str">
            <v>CJUS-P859</v>
          </cell>
          <cell r="K2971" t="str">
            <v>Levesque,Roger J. R.</v>
          </cell>
          <cell r="N2971" t="str">
            <v>NR</v>
          </cell>
          <cell r="O2971" t="str">
            <v>NR</v>
          </cell>
        </row>
        <row r="2972">
          <cell r="E2972" t="str">
            <v>CLAS</v>
          </cell>
          <cell r="F2972" t="str">
            <v>CLAS-C</v>
          </cell>
          <cell r="G2972">
            <v>101</v>
          </cell>
          <cell r="H2972" t="str">
            <v>CLAS-C101</v>
          </cell>
          <cell r="K2972" t="str">
            <v>Foster,Margaret Cecilia</v>
          </cell>
          <cell r="N2972">
            <v>3.2109999999999999</v>
          </cell>
          <cell r="O2972">
            <v>3.14</v>
          </cell>
        </row>
        <row r="2973">
          <cell r="E2973" t="str">
            <v>CLAS</v>
          </cell>
          <cell r="F2973" t="str">
            <v>CLAS-C</v>
          </cell>
          <cell r="G2973">
            <v>101</v>
          </cell>
          <cell r="H2973" t="str">
            <v>CLAS-C101</v>
          </cell>
          <cell r="K2973" t="str">
            <v>Ready,Jonathan</v>
          </cell>
          <cell r="N2973">
            <v>2.855</v>
          </cell>
          <cell r="O2973">
            <v>3.0830000000000002</v>
          </cell>
        </row>
        <row r="2974">
          <cell r="E2974" t="str">
            <v>CLAS</v>
          </cell>
          <cell r="F2974" t="str">
            <v>CLAS-C</v>
          </cell>
          <cell r="G2974">
            <v>102</v>
          </cell>
          <cell r="H2974" t="str">
            <v>CLAS-C102</v>
          </cell>
          <cell r="K2974" t="str">
            <v>Balint,Bridget Kennedy</v>
          </cell>
          <cell r="N2974">
            <v>2.6819999999999999</v>
          </cell>
          <cell r="O2974">
            <v>3.1070000000000002</v>
          </cell>
        </row>
        <row r="2975">
          <cell r="E2975" t="str">
            <v>CLAS</v>
          </cell>
          <cell r="F2975" t="str">
            <v>CLAS-C</v>
          </cell>
          <cell r="G2975">
            <v>102</v>
          </cell>
          <cell r="H2975" t="str">
            <v>CLAS-C102</v>
          </cell>
          <cell r="K2975" t="str">
            <v>Osland,Daniel</v>
          </cell>
          <cell r="N2975">
            <v>2.9279999999999999</v>
          </cell>
          <cell r="O2975">
            <v>3.1</v>
          </cell>
        </row>
        <row r="2976">
          <cell r="E2976" t="str">
            <v>CLAS</v>
          </cell>
          <cell r="F2976" t="str">
            <v>CLAS-C</v>
          </cell>
          <cell r="G2976">
            <v>205</v>
          </cell>
          <cell r="H2976" t="str">
            <v>CLAS-C205</v>
          </cell>
          <cell r="K2976" t="str">
            <v>Lundell,Michael W.</v>
          </cell>
          <cell r="N2976">
            <v>2.4820000000000002</v>
          </cell>
          <cell r="O2976">
            <v>3.0910000000000002</v>
          </cell>
        </row>
        <row r="2977">
          <cell r="E2977" t="str">
            <v>CLAS</v>
          </cell>
          <cell r="F2977" t="str">
            <v>CLAS-C</v>
          </cell>
          <cell r="G2977">
            <v>205</v>
          </cell>
          <cell r="H2977" t="str">
            <v>CLAS-C205</v>
          </cell>
          <cell r="K2977" t="str">
            <v>Nagle,Betty Rose</v>
          </cell>
          <cell r="N2977">
            <v>2.99</v>
          </cell>
          <cell r="O2977">
            <v>3.1040000000000001</v>
          </cell>
        </row>
        <row r="2978">
          <cell r="E2978" t="str">
            <v>CLAS</v>
          </cell>
          <cell r="F2978" t="str">
            <v>CLAS-C</v>
          </cell>
          <cell r="G2978">
            <v>205</v>
          </cell>
          <cell r="H2978" t="str">
            <v>CLAS-C205</v>
          </cell>
          <cell r="K2978" t="str">
            <v>Regan,Amanda Rose</v>
          </cell>
          <cell r="N2978">
            <v>3.1219999999999999</v>
          </cell>
          <cell r="O2978">
            <v>3.0030000000000001</v>
          </cell>
        </row>
        <row r="2979">
          <cell r="E2979" t="str">
            <v>CLAS</v>
          </cell>
          <cell r="F2979" t="str">
            <v>CLAS-C</v>
          </cell>
          <cell r="G2979">
            <v>205</v>
          </cell>
          <cell r="H2979" t="str">
            <v>CLAS-C205</v>
          </cell>
          <cell r="K2979" t="str">
            <v>Regan,Amanda Rose</v>
          </cell>
          <cell r="N2979">
            <v>3.113</v>
          </cell>
          <cell r="O2979">
            <v>3.0790000000000002</v>
          </cell>
        </row>
        <row r="2980">
          <cell r="E2980" t="str">
            <v>CLAS</v>
          </cell>
          <cell r="F2980" t="str">
            <v>CLAS-C</v>
          </cell>
          <cell r="G2980">
            <v>206</v>
          </cell>
          <cell r="H2980" t="str">
            <v>CLAS-C206</v>
          </cell>
          <cell r="K2980" t="str">
            <v>Kramer,Margaretha</v>
          </cell>
          <cell r="N2980">
            <v>2.9</v>
          </cell>
          <cell r="O2980">
            <v>3.1779999999999999</v>
          </cell>
        </row>
        <row r="2981">
          <cell r="E2981" t="str">
            <v>CLAS</v>
          </cell>
          <cell r="F2981" t="str">
            <v>CLAS-C</v>
          </cell>
          <cell r="G2981">
            <v>206</v>
          </cell>
          <cell r="H2981" t="str">
            <v>CLAS-C206</v>
          </cell>
          <cell r="K2981" t="str">
            <v>Kramer,Margaretha</v>
          </cell>
          <cell r="N2981">
            <v>2.891</v>
          </cell>
          <cell r="O2981">
            <v>3.1259999999999999</v>
          </cell>
        </row>
        <row r="2982">
          <cell r="E2982" t="str">
            <v>CLAS</v>
          </cell>
          <cell r="F2982" t="str">
            <v>CLAS-C</v>
          </cell>
          <cell r="G2982">
            <v>206</v>
          </cell>
          <cell r="H2982" t="str">
            <v>CLAS-C206</v>
          </cell>
          <cell r="K2982" t="str">
            <v>Osland,Daniel</v>
          </cell>
          <cell r="N2982">
            <v>3.238</v>
          </cell>
          <cell r="O2982">
            <v>3.1760000000000002</v>
          </cell>
        </row>
        <row r="2983">
          <cell r="E2983" t="str">
            <v>CLAS</v>
          </cell>
          <cell r="F2983" t="str">
            <v>CLAS-C</v>
          </cell>
          <cell r="G2983">
            <v>209</v>
          </cell>
          <cell r="H2983" t="str">
            <v>CLAS-C209</v>
          </cell>
          <cell r="K2983" t="str">
            <v>Draper,Kenneth Merton</v>
          </cell>
          <cell r="N2983">
            <v>3.3170000000000002</v>
          </cell>
          <cell r="O2983">
            <v>3.19</v>
          </cell>
        </row>
        <row r="2984">
          <cell r="E2984" t="str">
            <v>CLAS</v>
          </cell>
          <cell r="F2984" t="str">
            <v>CLAS-C</v>
          </cell>
          <cell r="G2984">
            <v>209</v>
          </cell>
          <cell r="H2984" t="str">
            <v>CLAS-C209</v>
          </cell>
          <cell r="K2984" t="str">
            <v>Grothoff,Kyle Guenther</v>
          </cell>
          <cell r="N2984">
            <v>3.4460000000000002</v>
          </cell>
          <cell r="O2984">
            <v>3.202</v>
          </cell>
        </row>
        <row r="2985">
          <cell r="E2985" t="str">
            <v>CLAS</v>
          </cell>
          <cell r="F2985" t="str">
            <v>CLAS-C</v>
          </cell>
          <cell r="G2985">
            <v>209</v>
          </cell>
          <cell r="H2985" t="str">
            <v>CLAS-C209</v>
          </cell>
          <cell r="K2985" t="str">
            <v>Howland,Benjamin</v>
          </cell>
          <cell r="N2985">
            <v>3.722</v>
          </cell>
          <cell r="O2985">
            <v>3.2320000000000002</v>
          </cell>
        </row>
        <row r="2986">
          <cell r="E2986" t="str">
            <v>CLAS</v>
          </cell>
          <cell r="F2986" t="str">
            <v>CLAS-C</v>
          </cell>
          <cell r="G2986">
            <v>209</v>
          </cell>
          <cell r="H2986" t="str">
            <v>CLAS-C209</v>
          </cell>
          <cell r="K2986" t="str">
            <v>Trygstad,Emily Jean</v>
          </cell>
          <cell r="N2986">
            <v>3.8639999999999999</v>
          </cell>
          <cell r="O2986">
            <v>3.335</v>
          </cell>
        </row>
        <row r="2987">
          <cell r="E2987" t="str">
            <v>CLAS</v>
          </cell>
          <cell r="F2987" t="str">
            <v>CLAS-C</v>
          </cell>
          <cell r="G2987">
            <v>209</v>
          </cell>
          <cell r="H2987" t="str">
            <v>CLAS-C209</v>
          </cell>
          <cell r="K2987" t="str">
            <v>Trygstad,Emily Jean</v>
          </cell>
          <cell r="N2987">
            <v>3.617</v>
          </cell>
          <cell r="O2987">
            <v>3.2090000000000001</v>
          </cell>
        </row>
        <row r="2988">
          <cell r="E2988" t="str">
            <v>CLAS</v>
          </cell>
          <cell r="F2988" t="str">
            <v>CLAS-C</v>
          </cell>
          <cell r="G2988">
            <v>209</v>
          </cell>
          <cell r="H2988" t="str">
            <v>CLAS-C209</v>
          </cell>
          <cell r="K2988" t="str">
            <v>Yarnell,Amy Melissa</v>
          </cell>
          <cell r="N2988">
            <v>3.754</v>
          </cell>
          <cell r="O2988">
            <v>3.2970000000000002</v>
          </cell>
        </row>
        <row r="2989">
          <cell r="E2989" t="str">
            <v>CLAS</v>
          </cell>
          <cell r="F2989" t="str">
            <v>CLAS-C</v>
          </cell>
          <cell r="G2989">
            <v>308</v>
          </cell>
          <cell r="H2989" t="str">
            <v>CLAS-C308</v>
          </cell>
          <cell r="K2989" t="str">
            <v>Bannon,Cynthia</v>
          </cell>
          <cell r="N2989">
            <v>2.4830000000000001</v>
          </cell>
          <cell r="O2989">
            <v>2.8980000000000001</v>
          </cell>
        </row>
        <row r="2990">
          <cell r="E2990" t="str">
            <v>CLAS</v>
          </cell>
          <cell r="F2990" t="str">
            <v>CLAS-C</v>
          </cell>
          <cell r="G2990">
            <v>308</v>
          </cell>
          <cell r="H2990" t="str">
            <v>CLAS-C308</v>
          </cell>
          <cell r="K2990" t="str">
            <v>Bannon,Cynthia</v>
          </cell>
          <cell r="N2990" t="str">
            <v>NR</v>
          </cell>
          <cell r="O2990" t="str">
            <v>NR</v>
          </cell>
        </row>
        <row r="2991">
          <cell r="E2991" t="str">
            <v>CLAS</v>
          </cell>
          <cell r="F2991" t="str">
            <v>CLAS-C</v>
          </cell>
          <cell r="G2991">
            <v>310</v>
          </cell>
          <cell r="H2991" t="str">
            <v>CLAS-C310</v>
          </cell>
          <cell r="K2991" t="str">
            <v>Foster,Margaret Cecilia</v>
          </cell>
          <cell r="N2991">
            <v>3.5619999999999998</v>
          </cell>
          <cell r="O2991">
            <v>3.3679999999999999</v>
          </cell>
        </row>
        <row r="2992">
          <cell r="E2992" t="str">
            <v>CLAS</v>
          </cell>
          <cell r="F2992" t="str">
            <v>CLAS-C</v>
          </cell>
          <cell r="G2992">
            <v>310</v>
          </cell>
          <cell r="H2992" t="str">
            <v>CLAS-C310</v>
          </cell>
          <cell r="K2992" t="str">
            <v>Foster,Margaret Cecilia</v>
          </cell>
          <cell r="N2992">
            <v>3.609</v>
          </cell>
          <cell r="O2992">
            <v>3.0960000000000001</v>
          </cell>
        </row>
        <row r="2993">
          <cell r="E2993" t="str">
            <v>CLAS</v>
          </cell>
          <cell r="F2993" t="str">
            <v>CLAS-C</v>
          </cell>
          <cell r="G2993">
            <v>310</v>
          </cell>
          <cell r="H2993" t="str">
            <v>CLAS-C310</v>
          </cell>
          <cell r="K2993" t="str">
            <v>Regan,Amanda Rose</v>
          </cell>
          <cell r="N2993">
            <v>3.2519999999999998</v>
          </cell>
          <cell r="O2993">
            <v>3.1840000000000002</v>
          </cell>
        </row>
        <row r="2994">
          <cell r="E2994" t="str">
            <v>CLAS</v>
          </cell>
          <cell r="F2994" t="str">
            <v>CLAS-C</v>
          </cell>
          <cell r="G2994">
            <v>311</v>
          </cell>
          <cell r="H2994" t="str">
            <v>CLAS-C311</v>
          </cell>
          <cell r="K2994" t="str">
            <v>Regan,Amanda Rose</v>
          </cell>
          <cell r="N2994">
            <v>3.2189999999999999</v>
          </cell>
          <cell r="O2994">
            <v>3.0979999999999999</v>
          </cell>
        </row>
        <row r="2995">
          <cell r="E2995" t="str">
            <v>CLAS</v>
          </cell>
          <cell r="F2995" t="str">
            <v>CLAS-C</v>
          </cell>
          <cell r="G2995">
            <v>321</v>
          </cell>
          <cell r="H2995" t="str">
            <v>CLAS-C321</v>
          </cell>
          <cell r="K2995" t="str">
            <v>Nagle,Betty Rose</v>
          </cell>
          <cell r="N2995">
            <v>3.4</v>
          </cell>
          <cell r="O2995">
            <v>3.0760000000000001</v>
          </cell>
        </row>
        <row r="2996">
          <cell r="E2996" t="str">
            <v>CLAS</v>
          </cell>
          <cell r="F2996" t="str">
            <v>CLAS-C</v>
          </cell>
          <cell r="G2996">
            <v>321</v>
          </cell>
          <cell r="H2996" t="str">
            <v>CLAS-C321</v>
          </cell>
          <cell r="K2996" t="str">
            <v>Nagle,Betty Rose</v>
          </cell>
          <cell r="N2996">
            <v>3.5720000000000001</v>
          </cell>
          <cell r="O2996">
            <v>3.4020000000000001</v>
          </cell>
        </row>
        <row r="2997">
          <cell r="E2997" t="str">
            <v>CLAS</v>
          </cell>
          <cell r="F2997" t="str">
            <v>CLAS-C</v>
          </cell>
          <cell r="G2997">
            <v>360</v>
          </cell>
          <cell r="H2997" t="str">
            <v>CLAS-C360</v>
          </cell>
          <cell r="K2997" t="str">
            <v>Balint,Bridget Kennedy</v>
          </cell>
          <cell r="N2997">
            <v>3.71</v>
          </cell>
          <cell r="O2997">
            <v>3.351</v>
          </cell>
        </row>
        <row r="2998">
          <cell r="E2998" t="str">
            <v>CLAS</v>
          </cell>
          <cell r="F2998" t="str">
            <v>CLAS-C</v>
          </cell>
          <cell r="G2998">
            <v>395</v>
          </cell>
          <cell r="H2998" t="str">
            <v>CLAS-C395</v>
          </cell>
          <cell r="K2998" t="str">
            <v>Osland,Daniel</v>
          </cell>
          <cell r="N2998">
            <v>3.3889999999999998</v>
          </cell>
          <cell r="O2998">
            <v>3.0760000000000001</v>
          </cell>
        </row>
        <row r="2999">
          <cell r="E2999" t="str">
            <v>CLAS</v>
          </cell>
          <cell r="F2999" t="str">
            <v>CLAS-C</v>
          </cell>
          <cell r="G2999">
            <v>412</v>
          </cell>
          <cell r="H2999" t="str">
            <v>CLAS-C412</v>
          </cell>
          <cell r="K2999" t="str">
            <v>Kramer,Margaretha</v>
          </cell>
          <cell r="N2999">
            <v>3.8559999999999999</v>
          </cell>
          <cell r="O2999">
            <v>3.8479999999999999</v>
          </cell>
        </row>
        <row r="3000">
          <cell r="E3000" t="str">
            <v>CLAS</v>
          </cell>
          <cell r="F3000" t="str">
            <v>CLAS-C</v>
          </cell>
          <cell r="G3000">
            <v>412</v>
          </cell>
          <cell r="H3000" t="str">
            <v>CLAS-C412</v>
          </cell>
          <cell r="K3000" t="str">
            <v>Kramer,Margaretha</v>
          </cell>
          <cell r="N3000" t="str">
            <v>NR</v>
          </cell>
          <cell r="O3000" t="str">
            <v>NR</v>
          </cell>
        </row>
        <row r="3001">
          <cell r="E3001" t="str">
            <v>CLAS</v>
          </cell>
          <cell r="F3001" t="str">
            <v>CLAS-C</v>
          </cell>
          <cell r="G3001">
            <v>412</v>
          </cell>
          <cell r="H3001" t="str">
            <v>CLAS-C412</v>
          </cell>
          <cell r="K3001" t="str">
            <v>Kramer,Margaretha</v>
          </cell>
          <cell r="N3001" t="str">
            <v>NR</v>
          </cell>
          <cell r="O3001" t="str">
            <v>NR</v>
          </cell>
        </row>
        <row r="3002">
          <cell r="E3002" t="str">
            <v>CLAS</v>
          </cell>
          <cell r="F3002" t="str">
            <v>CLAS-C</v>
          </cell>
          <cell r="G3002">
            <v>414</v>
          </cell>
          <cell r="H3002" t="str">
            <v>CLAS-C414</v>
          </cell>
          <cell r="K3002" t="str">
            <v>Osland,Daniel</v>
          </cell>
          <cell r="N3002">
            <v>3.3109999999999999</v>
          </cell>
          <cell r="O3002">
            <v>3.258</v>
          </cell>
        </row>
        <row r="3003">
          <cell r="E3003" t="str">
            <v>CLAS</v>
          </cell>
          <cell r="F3003" t="str">
            <v>CLAS-C</v>
          </cell>
          <cell r="G3003">
            <v>414</v>
          </cell>
          <cell r="H3003" t="str">
            <v>CLAS-C414</v>
          </cell>
          <cell r="K3003" t="str">
            <v>Osland,Daniel</v>
          </cell>
          <cell r="N3003" t="str">
            <v>NR</v>
          </cell>
          <cell r="O3003" t="str">
            <v>NR</v>
          </cell>
        </row>
        <row r="3004">
          <cell r="E3004" t="str">
            <v>CLAS</v>
          </cell>
          <cell r="F3004" t="str">
            <v>CLAS-C</v>
          </cell>
          <cell r="G3004">
            <v>420</v>
          </cell>
          <cell r="H3004" t="str">
            <v>CLAS-C420</v>
          </cell>
          <cell r="K3004" t="str">
            <v>Kramer,Margaretha</v>
          </cell>
          <cell r="N3004">
            <v>3.3410000000000002</v>
          </cell>
          <cell r="O3004">
            <v>3.2869999999999999</v>
          </cell>
        </row>
        <row r="3005">
          <cell r="E3005" t="str">
            <v>CLAS</v>
          </cell>
          <cell r="F3005" t="str">
            <v>CLAS-C</v>
          </cell>
          <cell r="G3005">
            <v>420</v>
          </cell>
          <cell r="H3005" t="str">
            <v>CLAS-C420</v>
          </cell>
          <cell r="K3005" t="str">
            <v>Kramer,Margaretha</v>
          </cell>
          <cell r="N3005" t="str">
            <v>NR</v>
          </cell>
          <cell r="O3005" t="str">
            <v>NR</v>
          </cell>
        </row>
        <row r="3006">
          <cell r="E3006" t="str">
            <v>CLAS</v>
          </cell>
          <cell r="F3006" t="str">
            <v>CLAS-C</v>
          </cell>
          <cell r="G3006">
            <v>494</v>
          </cell>
          <cell r="H3006" t="str">
            <v>CLAS-C494</v>
          </cell>
          <cell r="K3006" t="str">
            <v>Leach,Eleanor W.</v>
          </cell>
          <cell r="N3006">
            <v>3.742</v>
          </cell>
          <cell r="O3006">
            <v>3.2509999999999999</v>
          </cell>
        </row>
        <row r="3007">
          <cell r="E3007" t="str">
            <v>CLAS</v>
          </cell>
          <cell r="F3007" t="str">
            <v>CLAS-C</v>
          </cell>
          <cell r="G3007">
            <v>499</v>
          </cell>
          <cell r="H3007" t="str">
            <v>CLAS-C499</v>
          </cell>
          <cell r="K3007" t="str">
            <v>Christ,Matthew R.</v>
          </cell>
          <cell r="N3007" t="str">
            <v>NR</v>
          </cell>
          <cell r="O3007" t="str">
            <v>NR</v>
          </cell>
        </row>
        <row r="3008">
          <cell r="E3008" t="str">
            <v>CLAS</v>
          </cell>
          <cell r="F3008" t="str">
            <v>CLAS-C</v>
          </cell>
          <cell r="G3008">
            <v>502</v>
          </cell>
          <cell r="H3008" t="str">
            <v>CLAS-C502</v>
          </cell>
          <cell r="K3008" t="str">
            <v>Leach,Eleanor W.</v>
          </cell>
          <cell r="N3008" t="str">
            <v>NR</v>
          </cell>
          <cell r="O3008" t="str">
            <v>NR</v>
          </cell>
        </row>
        <row r="3009">
          <cell r="E3009" t="str">
            <v>CLAS</v>
          </cell>
          <cell r="F3009" t="str">
            <v>CLAS-C</v>
          </cell>
          <cell r="G3009">
            <v>503</v>
          </cell>
          <cell r="H3009" t="str">
            <v>CLAS-C503</v>
          </cell>
          <cell r="K3009" t="str">
            <v>Kramer,Margaretha</v>
          </cell>
          <cell r="N3009" t="str">
            <v>NR</v>
          </cell>
          <cell r="O3009" t="str">
            <v>NR</v>
          </cell>
        </row>
        <row r="3010">
          <cell r="E3010" t="str">
            <v>CLAS</v>
          </cell>
          <cell r="F3010" t="str">
            <v>CLAS-C</v>
          </cell>
          <cell r="G3010">
            <v>875</v>
          </cell>
          <cell r="H3010" t="str">
            <v>CLAS-C875</v>
          </cell>
          <cell r="K3010" t="str">
            <v>Christ,Matthew R.</v>
          </cell>
          <cell r="N3010" t="str">
            <v>NR</v>
          </cell>
          <cell r="O3010" t="str">
            <v>NR</v>
          </cell>
        </row>
        <row r="3011">
          <cell r="E3011" t="str">
            <v>CLAS</v>
          </cell>
          <cell r="F3011" t="str">
            <v>CLAS-C</v>
          </cell>
          <cell r="G3011">
            <v>875</v>
          </cell>
          <cell r="H3011" t="str">
            <v>CLAS-C875</v>
          </cell>
          <cell r="K3011" t="str">
            <v>Osland,Daniel</v>
          </cell>
          <cell r="N3011" t="str">
            <v>NR</v>
          </cell>
          <cell r="O3011" t="str">
            <v>NR</v>
          </cell>
        </row>
        <row r="3012">
          <cell r="E3012" t="str">
            <v>CLAS</v>
          </cell>
          <cell r="F3012" t="str">
            <v>CLAS-C</v>
          </cell>
          <cell r="G3012">
            <v>880</v>
          </cell>
          <cell r="H3012" t="str">
            <v>CLAS-C880</v>
          </cell>
          <cell r="K3012" t="str">
            <v>Christ,Matthew R.</v>
          </cell>
          <cell r="N3012" t="str">
            <v>NR</v>
          </cell>
          <cell r="O3012" t="str">
            <v>NR</v>
          </cell>
        </row>
        <row r="3013">
          <cell r="E3013" t="str">
            <v>CLAS</v>
          </cell>
          <cell r="F3013" t="str">
            <v>CLAS-C</v>
          </cell>
          <cell r="G3013">
            <v>880</v>
          </cell>
          <cell r="H3013" t="str">
            <v>CLAS-C880</v>
          </cell>
          <cell r="K3013" t="str">
            <v>Christ,Matthew R.</v>
          </cell>
          <cell r="N3013" t="str">
            <v>NR</v>
          </cell>
          <cell r="O3013" t="str">
            <v>NR</v>
          </cell>
        </row>
        <row r="3014">
          <cell r="E3014" t="str">
            <v>CLAS</v>
          </cell>
          <cell r="F3014" t="str">
            <v>CLAS-G</v>
          </cell>
          <cell r="G3014">
            <v>100</v>
          </cell>
          <cell r="H3014" t="str">
            <v>CLAS-G100</v>
          </cell>
          <cell r="K3014" t="str">
            <v>Draper,Kenneth Merton</v>
          </cell>
          <cell r="N3014">
            <v>2.827</v>
          </cell>
          <cell r="O3014">
            <v>2.84</v>
          </cell>
        </row>
        <row r="3015">
          <cell r="E3015" t="str">
            <v>CLAS</v>
          </cell>
          <cell r="F3015" t="str">
            <v>CLAS-G</v>
          </cell>
          <cell r="G3015">
            <v>150</v>
          </cell>
          <cell r="H3015" t="str">
            <v>CLAS-G150</v>
          </cell>
          <cell r="K3015" t="str">
            <v>Fleming,Alan Christopher</v>
          </cell>
          <cell r="N3015">
            <v>3.6219999999999999</v>
          </cell>
          <cell r="O3015">
            <v>3.6669999999999998</v>
          </cell>
        </row>
        <row r="3016">
          <cell r="E3016" t="str">
            <v>CLAS</v>
          </cell>
          <cell r="F3016" t="str">
            <v>CLAS-G</v>
          </cell>
          <cell r="G3016">
            <v>200</v>
          </cell>
          <cell r="H3016" t="str">
            <v>CLAS-G200</v>
          </cell>
          <cell r="K3016" t="str">
            <v>Christ,Matthew R.</v>
          </cell>
          <cell r="N3016" t="str">
            <v>NR</v>
          </cell>
          <cell r="O3016" t="str">
            <v>NR</v>
          </cell>
        </row>
        <row r="3017">
          <cell r="E3017" t="str">
            <v>CLAS</v>
          </cell>
          <cell r="F3017" t="str">
            <v>CLAS-G</v>
          </cell>
          <cell r="G3017">
            <v>250</v>
          </cell>
          <cell r="H3017" t="str">
            <v>CLAS-G250</v>
          </cell>
          <cell r="K3017" t="str">
            <v>Foster,Margaret Cecilia</v>
          </cell>
          <cell r="N3017">
            <v>3.4710000000000001</v>
          </cell>
          <cell r="O3017">
            <v>3.577</v>
          </cell>
        </row>
        <row r="3018">
          <cell r="E3018" t="str">
            <v>CLAS</v>
          </cell>
          <cell r="F3018" t="str">
            <v>CLAS-G</v>
          </cell>
          <cell r="G3018">
            <v>305</v>
          </cell>
          <cell r="H3018" t="str">
            <v>CLAS-G305</v>
          </cell>
          <cell r="K3018" t="str">
            <v>Regan,Amanda Rose</v>
          </cell>
          <cell r="N3018" t="str">
            <v>NR</v>
          </cell>
          <cell r="O3018" t="str">
            <v>NR</v>
          </cell>
        </row>
        <row r="3019">
          <cell r="E3019" t="str">
            <v>CLAS</v>
          </cell>
          <cell r="F3019" t="str">
            <v>CLAS-G</v>
          </cell>
          <cell r="G3019">
            <v>406</v>
          </cell>
          <cell r="H3019" t="str">
            <v>CLAS-G406</v>
          </cell>
          <cell r="K3019" t="str">
            <v>Ready,Jonathan</v>
          </cell>
          <cell r="N3019">
            <v>4</v>
          </cell>
          <cell r="O3019">
            <v>3.907</v>
          </cell>
        </row>
        <row r="3020">
          <cell r="E3020" t="str">
            <v>CLAS</v>
          </cell>
          <cell r="F3020" t="str">
            <v>CLAS-G</v>
          </cell>
          <cell r="G3020">
            <v>495</v>
          </cell>
          <cell r="H3020" t="str">
            <v>CLAS-G495</v>
          </cell>
          <cell r="K3020" t="str">
            <v>Christ,Matthew R.</v>
          </cell>
          <cell r="N3020" t="str">
            <v>NR</v>
          </cell>
          <cell r="O3020" t="str">
            <v>NR</v>
          </cell>
        </row>
        <row r="3021">
          <cell r="E3021" t="str">
            <v>CLAS</v>
          </cell>
          <cell r="F3021" t="str">
            <v>CLAS-G</v>
          </cell>
          <cell r="G3021">
            <v>500</v>
          </cell>
          <cell r="H3021" t="str">
            <v>CLAS-G500</v>
          </cell>
          <cell r="K3021" t="str">
            <v>Draper,Kenneth Merton</v>
          </cell>
          <cell r="N3021" t="str">
            <v>NR</v>
          </cell>
          <cell r="O3021" t="str">
            <v>NR</v>
          </cell>
        </row>
        <row r="3022">
          <cell r="E3022" t="str">
            <v>CLAS</v>
          </cell>
          <cell r="F3022" t="str">
            <v>CLAS-G</v>
          </cell>
          <cell r="G3022">
            <v>536</v>
          </cell>
          <cell r="H3022" t="str">
            <v>CLAS-G536</v>
          </cell>
          <cell r="K3022" t="str">
            <v>Foster,Margaret Cecilia</v>
          </cell>
          <cell r="N3022" t="str">
            <v>NR</v>
          </cell>
          <cell r="O3022" t="str">
            <v>NR</v>
          </cell>
        </row>
        <row r="3023">
          <cell r="E3023" t="str">
            <v>CLAS</v>
          </cell>
          <cell r="F3023" t="str">
            <v>CLAS-G</v>
          </cell>
          <cell r="G3023">
            <v>550</v>
          </cell>
          <cell r="H3023" t="str">
            <v>CLAS-G550</v>
          </cell>
          <cell r="K3023" t="str">
            <v>Fleming,Alan Christopher</v>
          </cell>
          <cell r="N3023" t="str">
            <v>NR</v>
          </cell>
          <cell r="O3023" t="str">
            <v>NR</v>
          </cell>
        </row>
        <row r="3024">
          <cell r="E3024" t="str">
            <v>CLAS</v>
          </cell>
          <cell r="F3024" t="str">
            <v>CLAS-G</v>
          </cell>
          <cell r="G3024">
            <v>600</v>
          </cell>
          <cell r="H3024" t="str">
            <v>CLAS-G600</v>
          </cell>
          <cell r="K3024" t="str">
            <v>Christ,Matthew R.</v>
          </cell>
          <cell r="N3024" t="str">
            <v>NR</v>
          </cell>
          <cell r="O3024" t="str">
            <v>NR</v>
          </cell>
        </row>
        <row r="3025">
          <cell r="E3025" t="str">
            <v>CLAS</v>
          </cell>
          <cell r="F3025" t="str">
            <v>CLAS-G</v>
          </cell>
          <cell r="G3025">
            <v>650</v>
          </cell>
          <cell r="H3025" t="str">
            <v>CLAS-G650</v>
          </cell>
          <cell r="K3025" t="str">
            <v>Foster,Margaret Cecilia</v>
          </cell>
          <cell r="N3025">
            <v>3.95</v>
          </cell>
          <cell r="O3025">
            <v>3.9289999999999998</v>
          </cell>
        </row>
        <row r="3026">
          <cell r="E3026" t="str">
            <v>CLAS</v>
          </cell>
          <cell r="F3026" t="str">
            <v>CLAS-G</v>
          </cell>
          <cell r="G3026">
            <v>901</v>
          </cell>
          <cell r="H3026" t="str">
            <v>CLAS-G901</v>
          </cell>
          <cell r="K3026" t="str">
            <v>Christ,Matthew R.</v>
          </cell>
          <cell r="N3026" t="str">
            <v>NR</v>
          </cell>
          <cell r="O3026" t="str">
            <v>NR</v>
          </cell>
        </row>
        <row r="3027">
          <cell r="E3027" t="str">
            <v>CLAS</v>
          </cell>
          <cell r="F3027" t="str">
            <v>CLAS-G</v>
          </cell>
          <cell r="G3027">
            <v>901</v>
          </cell>
          <cell r="H3027" t="str">
            <v>CLAS-G901</v>
          </cell>
          <cell r="K3027" t="str">
            <v>Christ,Matthew R.</v>
          </cell>
          <cell r="N3027" t="str">
            <v>NR</v>
          </cell>
          <cell r="O3027" t="str">
            <v>NR</v>
          </cell>
        </row>
        <row r="3028">
          <cell r="E3028" t="str">
            <v>CLAS</v>
          </cell>
          <cell r="F3028" t="str">
            <v>CLAS-L</v>
          </cell>
          <cell r="G3028">
            <v>100</v>
          </cell>
          <cell r="H3028" t="str">
            <v>CLAS-L100</v>
          </cell>
          <cell r="K3028" t="str">
            <v>Illias,Christina Ioana</v>
          </cell>
          <cell r="N3028">
            <v>2.605</v>
          </cell>
          <cell r="O3028">
            <v>2.7210000000000001</v>
          </cell>
        </row>
        <row r="3029">
          <cell r="E3029" t="str">
            <v>CLAS</v>
          </cell>
          <cell r="F3029" t="str">
            <v>CLAS-L</v>
          </cell>
          <cell r="G3029">
            <v>100</v>
          </cell>
          <cell r="H3029" t="str">
            <v>CLAS-L100</v>
          </cell>
          <cell r="K3029" t="str">
            <v>Shedd,Martin P</v>
          </cell>
          <cell r="N3029">
            <v>2.9470000000000001</v>
          </cell>
          <cell r="O3029">
            <v>3.02</v>
          </cell>
        </row>
        <row r="3030">
          <cell r="E3030" t="str">
            <v>CLAS</v>
          </cell>
          <cell r="F3030" t="str">
            <v>CLAS-L</v>
          </cell>
          <cell r="G3030">
            <v>100</v>
          </cell>
          <cell r="H3030" t="str">
            <v>CLAS-L100</v>
          </cell>
          <cell r="K3030" t="str">
            <v>Talmage,Matthew Lloyd</v>
          </cell>
          <cell r="N3030">
            <v>2.8260000000000001</v>
          </cell>
          <cell r="O3030">
            <v>3.0289999999999999</v>
          </cell>
        </row>
        <row r="3031">
          <cell r="E3031" t="str">
            <v>CLAS</v>
          </cell>
          <cell r="F3031" t="str">
            <v>CLAS-L</v>
          </cell>
          <cell r="G3031">
            <v>100</v>
          </cell>
          <cell r="H3031" t="str">
            <v>CLAS-L100</v>
          </cell>
          <cell r="K3031" t="str">
            <v>Tandy,Sean Michael</v>
          </cell>
          <cell r="N3031">
            <v>3.1</v>
          </cell>
          <cell r="O3031">
            <v>2.7509999999999999</v>
          </cell>
        </row>
        <row r="3032">
          <cell r="E3032" t="str">
            <v>CLAS</v>
          </cell>
          <cell r="F3032" t="str">
            <v>CLAS-L</v>
          </cell>
          <cell r="G3032">
            <v>150</v>
          </cell>
          <cell r="H3032" t="str">
            <v>CLAS-L150</v>
          </cell>
          <cell r="K3032" t="str">
            <v>Aull,Charles Nicholas</v>
          </cell>
          <cell r="N3032">
            <v>3.1309999999999998</v>
          </cell>
          <cell r="O3032">
            <v>3.1040000000000001</v>
          </cell>
        </row>
        <row r="3033">
          <cell r="E3033" t="str">
            <v>CLAS</v>
          </cell>
          <cell r="F3033" t="str">
            <v>CLAS-L</v>
          </cell>
          <cell r="G3033">
            <v>150</v>
          </cell>
          <cell r="H3033" t="str">
            <v>CLAS-L150</v>
          </cell>
          <cell r="K3033" t="str">
            <v>Hayward,Catherine Smith</v>
          </cell>
          <cell r="N3033">
            <v>3.67</v>
          </cell>
          <cell r="O3033">
            <v>3.202</v>
          </cell>
        </row>
        <row r="3034">
          <cell r="E3034" t="str">
            <v>CLAS</v>
          </cell>
          <cell r="F3034" t="str">
            <v>CLAS-L</v>
          </cell>
          <cell r="G3034">
            <v>150</v>
          </cell>
          <cell r="H3034" t="str">
            <v>CLAS-L150</v>
          </cell>
          <cell r="K3034" t="str">
            <v>Illias,Christina Ioana</v>
          </cell>
          <cell r="N3034">
            <v>3.33</v>
          </cell>
          <cell r="O3034">
            <v>3.302</v>
          </cell>
        </row>
        <row r="3035">
          <cell r="E3035" t="str">
            <v>CLAS</v>
          </cell>
          <cell r="F3035" t="str">
            <v>CLAS-L</v>
          </cell>
          <cell r="G3035">
            <v>150</v>
          </cell>
          <cell r="H3035" t="str">
            <v>CLAS-L150</v>
          </cell>
          <cell r="K3035" t="str">
            <v>Krill,Aleda Laura</v>
          </cell>
          <cell r="N3035">
            <v>3.1920000000000002</v>
          </cell>
          <cell r="O3035">
            <v>3.327</v>
          </cell>
        </row>
        <row r="3036">
          <cell r="E3036" t="str">
            <v>CLAS</v>
          </cell>
          <cell r="F3036" t="str">
            <v>CLAS-L</v>
          </cell>
          <cell r="G3036">
            <v>200</v>
          </cell>
          <cell r="H3036" t="str">
            <v>CLAS-L200</v>
          </cell>
          <cell r="K3036" t="str">
            <v>Grundtisch,Megan Elizabeth</v>
          </cell>
          <cell r="N3036">
            <v>3.4129999999999998</v>
          </cell>
          <cell r="O3036">
            <v>3.2210000000000001</v>
          </cell>
        </row>
        <row r="3037">
          <cell r="E3037" t="str">
            <v>CLAS</v>
          </cell>
          <cell r="F3037" t="str">
            <v>CLAS-L</v>
          </cell>
          <cell r="G3037">
            <v>200</v>
          </cell>
          <cell r="H3037" t="str">
            <v>CLAS-L200</v>
          </cell>
          <cell r="K3037" t="str">
            <v>Hawkins,Margaret Elizabeth</v>
          </cell>
          <cell r="N3037">
            <v>3.1080000000000001</v>
          </cell>
          <cell r="O3037">
            <v>3.1389999999999998</v>
          </cell>
        </row>
        <row r="3038">
          <cell r="E3038" t="str">
            <v>CLAS</v>
          </cell>
          <cell r="F3038" t="str">
            <v>CLAS-L</v>
          </cell>
          <cell r="G3038">
            <v>200</v>
          </cell>
          <cell r="H3038" t="str">
            <v>CLAS-L200</v>
          </cell>
          <cell r="K3038" t="str">
            <v>Smith,Mariah Elaine</v>
          </cell>
          <cell r="N3038">
            <v>3.2389999999999999</v>
          </cell>
          <cell r="O3038">
            <v>3.4169999999999998</v>
          </cell>
        </row>
        <row r="3039">
          <cell r="E3039" t="str">
            <v>CLAS</v>
          </cell>
          <cell r="F3039" t="str">
            <v>CLAS-L</v>
          </cell>
          <cell r="G3039">
            <v>250</v>
          </cell>
          <cell r="H3039" t="str">
            <v>CLAS-L250</v>
          </cell>
          <cell r="K3039" t="str">
            <v>Aull,Charles Nicholas</v>
          </cell>
          <cell r="N3039">
            <v>2.9830000000000001</v>
          </cell>
          <cell r="O3039">
            <v>3.1549999999999998</v>
          </cell>
        </row>
        <row r="3040">
          <cell r="E3040" t="str">
            <v>CLAS</v>
          </cell>
          <cell r="F3040" t="str">
            <v>CLAS-L</v>
          </cell>
          <cell r="G3040">
            <v>250</v>
          </cell>
          <cell r="H3040" t="str">
            <v>CLAS-L250</v>
          </cell>
          <cell r="K3040" t="str">
            <v>Grundtisch,Megan Elizabeth</v>
          </cell>
          <cell r="N3040">
            <v>2.6920000000000002</v>
          </cell>
          <cell r="O3040">
            <v>2.6909999999999998</v>
          </cell>
        </row>
        <row r="3041">
          <cell r="E3041" t="str">
            <v>CLAS</v>
          </cell>
          <cell r="F3041" t="str">
            <v>CLAS-L</v>
          </cell>
          <cell r="G3041">
            <v>250</v>
          </cell>
          <cell r="H3041" t="str">
            <v>CLAS-L250</v>
          </cell>
          <cell r="K3041" t="str">
            <v>Krill,Aleda Laura</v>
          </cell>
          <cell r="N3041">
            <v>2.74</v>
          </cell>
          <cell r="O3041">
            <v>3.1320000000000001</v>
          </cell>
        </row>
        <row r="3042">
          <cell r="E3042" t="str">
            <v>CLAS</v>
          </cell>
          <cell r="F3042" t="str">
            <v>CLAS-L</v>
          </cell>
          <cell r="G3042">
            <v>300</v>
          </cell>
          <cell r="H3042" t="str">
            <v>CLAS-L300</v>
          </cell>
          <cell r="K3042" t="str">
            <v>Brant,Laura Leola</v>
          </cell>
          <cell r="N3042">
            <v>3.867</v>
          </cell>
          <cell r="O3042">
            <v>3.46</v>
          </cell>
        </row>
        <row r="3043">
          <cell r="E3043" t="str">
            <v>CLAS</v>
          </cell>
          <cell r="F3043" t="str">
            <v>CLAS-L</v>
          </cell>
          <cell r="G3043">
            <v>304</v>
          </cell>
          <cell r="H3043" t="str">
            <v>CLAS-L304</v>
          </cell>
          <cell r="K3043" t="str">
            <v>Nagle,Betty Rose</v>
          </cell>
          <cell r="N3043">
            <v>3.4430000000000001</v>
          </cell>
          <cell r="O3043">
            <v>3.44</v>
          </cell>
        </row>
        <row r="3044">
          <cell r="E3044" t="str">
            <v>CLAS</v>
          </cell>
          <cell r="F3044" t="str">
            <v>CLAS-L</v>
          </cell>
          <cell r="G3044">
            <v>307</v>
          </cell>
          <cell r="H3044" t="str">
            <v>CLAS-L307</v>
          </cell>
          <cell r="K3044" t="str">
            <v>Leach,Eleanor W.</v>
          </cell>
          <cell r="N3044">
            <v>4</v>
          </cell>
          <cell r="O3044">
            <v>3.8740000000000001</v>
          </cell>
        </row>
        <row r="3045">
          <cell r="E3045" t="str">
            <v>CLAS</v>
          </cell>
          <cell r="F3045" t="str">
            <v>CLAS-L</v>
          </cell>
          <cell r="G3045">
            <v>400</v>
          </cell>
          <cell r="H3045" t="str">
            <v>CLAS-L400</v>
          </cell>
          <cell r="K3045" t="str">
            <v>Grothoff,Kyle Guenther</v>
          </cell>
          <cell r="N3045" t="str">
            <v>NR</v>
          </cell>
          <cell r="O3045" t="str">
            <v>NR</v>
          </cell>
        </row>
        <row r="3046">
          <cell r="E3046" t="str">
            <v>CLAS</v>
          </cell>
          <cell r="F3046" t="str">
            <v>CLAS-L</v>
          </cell>
          <cell r="G3046">
            <v>400</v>
          </cell>
          <cell r="H3046" t="str">
            <v>CLAS-L400</v>
          </cell>
          <cell r="K3046" t="str">
            <v>Grothoff,Kyle Guenther</v>
          </cell>
          <cell r="N3046">
            <v>4</v>
          </cell>
          <cell r="O3046">
            <v>3.9359999999999999</v>
          </cell>
        </row>
        <row r="3047">
          <cell r="E3047" t="str">
            <v>CLAS</v>
          </cell>
          <cell r="F3047" t="str">
            <v>CLAS-L</v>
          </cell>
          <cell r="G3047">
            <v>409</v>
          </cell>
          <cell r="H3047" t="str">
            <v>CLAS-L409</v>
          </cell>
          <cell r="K3047" t="str">
            <v>Balint,Bridget Kennedy</v>
          </cell>
          <cell r="N3047">
            <v>3.71</v>
          </cell>
          <cell r="O3047">
            <v>3.512</v>
          </cell>
        </row>
        <row r="3048">
          <cell r="E3048" t="str">
            <v>CLAS</v>
          </cell>
          <cell r="F3048" t="str">
            <v>CLAS-L</v>
          </cell>
          <cell r="G3048">
            <v>423</v>
          </cell>
          <cell r="H3048" t="str">
            <v>CLAS-L423</v>
          </cell>
          <cell r="K3048" t="str">
            <v>Balint,Bridget Kennedy</v>
          </cell>
          <cell r="N3048">
            <v>3.6779999999999999</v>
          </cell>
          <cell r="O3048">
            <v>3.6890000000000001</v>
          </cell>
        </row>
        <row r="3049">
          <cell r="E3049" t="str">
            <v>CLAS</v>
          </cell>
          <cell r="F3049" t="str">
            <v>CLAS-L</v>
          </cell>
          <cell r="G3049">
            <v>505</v>
          </cell>
          <cell r="H3049" t="str">
            <v>CLAS-L505</v>
          </cell>
          <cell r="K3049" t="str">
            <v>Bannon,Cynthia</v>
          </cell>
          <cell r="N3049">
            <v>3.75</v>
          </cell>
          <cell r="O3049">
            <v>3.794</v>
          </cell>
        </row>
        <row r="3050">
          <cell r="E3050" t="str">
            <v>CLAS</v>
          </cell>
          <cell r="F3050" t="str">
            <v>CLAS-L</v>
          </cell>
          <cell r="G3050">
            <v>509</v>
          </cell>
          <cell r="H3050" t="str">
            <v>CLAS-L509</v>
          </cell>
          <cell r="K3050" t="str">
            <v>Bannon,Cynthia</v>
          </cell>
          <cell r="N3050">
            <v>3.7829999999999999</v>
          </cell>
          <cell r="O3050">
            <v>3.899</v>
          </cell>
        </row>
        <row r="3051">
          <cell r="E3051" t="str">
            <v>CLAS</v>
          </cell>
          <cell r="F3051" t="str">
            <v>CLAS-L</v>
          </cell>
          <cell r="G3051">
            <v>537</v>
          </cell>
          <cell r="H3051" t="str">
            <v>CLAS-L537</v>
          </cell>
          <cell r="K3051" t="str">
            <v>Leach,Eleanor W.</v>
          </cell>
          <cell r="N3051">
            <v>3.9569999999999999</v>
          </cell>
          <cell r="O3051">
            <v>3.7389999999999999</v>
          </cell>
        </row>
        <row r="3052">
          <cell r="E3052" t="str">
            <v>CLAS</v>
          </cell>
          <cell r="F3052" t="str">
            <v>CLAS-L</v>
          </cell>
          <cell r="G3052">
            <v>600</v>
          </cell>
          <cell r="H3052" t="str">
            <v>CLAS-L600</v>
          </cell>
          <cell r="K3052" t="str">
            <v>Leach,Eleanor W.</v>
          </cell>
          <cell r="N3052">
            <v>3.8570000000000002</v>
          </cell>
          <cell r="O3052">
            <v>3.911</v>
          </cell>
        </row>
        <row r="3053">
          <cell r="E3053" t="str">
            <v>CLAS</v>
          </cell>
          <cell r="F3053" t="str">
            <v>CLAS-L</v>
          </cell>
          <cell r="G3053">
            <v>803</v>
          </cell>
          <cell r="H3053" t="str">
            <v>CLAS-L803</v>
          </cell>
          <cell r="K3053" t="str">
            <v>Christ,Matthew R.</v>
          </cell>
          <cell r="N3053" t="str">
            <v>NR</v>
          </cell>
          <cell r="O3053" t="str">
            <v>NR</v>
          </cell>
        </row>
        <row r="3054">
          <cell r="E3054" t="str">
            <v>CLLC</v>
          </cell>
          <cell r="F3054" t="str">
            <v>CLLC-L</v>
          </cell>
          <cell r="G3054">
            <v>100</v>
          </cell>
          <cell r="H3054" t="str">
            <v>CLLC-L100</v>
          </cell>
          <cell r="K3054" t="str">
            <v>Bertuccio,Lucille J.</v>
          </cell>
          <cell r="N3054">
            <v>3.9460000000000002</v>
          </cell>
          <cell r="O3054">
            <v>3.4159999999999999</v>
          </cell>
        </row>
        <row r="3055">
          <cell r="E3055" t="str">
            <v>CLLC</v>
          </cell>
          <cell r="F3055" t="str">
            <v>CLLC-L</v>
          </cell>
          <cell r="G3055">
            <v>100</v>
          </cell>
          <cell r="H3055" t="str">
            <v>CLLC-L100</v>
          </cell>
          <cell r="K3055" t="str">
            <v>Bertuccio,Lucille J.</v>
          </cell>
          <cell r="N3055">
            <v>4</v>
          </cell>
          <cell r="O3055">
            <v>3.157</v>
          </cell>
        </row>
        <row r="3056">
          <cell r="E3056" t="str">
            <v>CLLC</v>
          </cell>
          <cell r="F3056" t="str">
            <v>CLLC-L</v>
          </cell>
          <cell r="G3056">
            <v>100</v>
          </cell>
          <cell r="H3056" t="str">
            <v>CLLC-L100</v>
          </cell>
          <cell r="K3056" t="str">
            <v>Engberding,Reinhold</v>
          </cell>
          <cell r="N3056">
            <v>3.2639999999999998</v>
          </cell>
          <cell r="O3056">
            <v>2.8010000000000002</v>
          </cell>
        </row>
        <row r="3057">
          <cell r="E3057" t="str">
            <v>CLLC</v>
          </cell>
          <cell r="F3057" t="str">
            <v>CLLC-L</v>
          </cell>
          <cell r="G3057">
            <v>100</v>
          </cell>
          <cell r="H3057" t="str">
            <v>CLLC-L100</v>
          </cell>
          <cell r="K3057" t="str">
            <v>Hanvey,Doug</v>
          </cell>
          <cell r="N3057">
            <v>3.2759999999999998</v>
          </cell>
          <cell r="O3057">
            <v>3.1469999999999998</v>
          </cell>
        </row>
        <row r="3058">
          <cell r="E3058" t="str">
            <v>CLLC</v>
          </cell>
          <cell r="F3058" t="str">
            <v>CLLC-L</v>
          </cell>
          <cell r="G3058">
            <v>100</v>
          </cell>
          <cell r="H3058" t="str">
            <v>CLLC-L100</v>
          </cell>
          <cell r="K3058" t="str">
            <v>Hlynsdottir,Berglind Jona</v>
          </cell>
          <cell r="N3058">
            <v>3.2770000000000001</v>
          </cell>
          <cell r="O3058">
            <v>3.1150000000000002</v>
          </cell>
        </row>
        <row r="3059">
          <cell r="E3059" t="str">
            <v>CLLC</v>
          </cell>
          <cell r="F3059" t="str">
            <v>CLLC-L</v>
          </cell>
          <cell r="G3059">
            <v>100</v>
          </cell>
          <cell r="H3059" t="str">
            <v>CLLC-L100</v>
          </cell>
          <cell r="K3059" t="str">
            <v>Simonton Jr,Monte Masters</v>
          </cell>
          <cell r="N3059">
            <v>4</v>
          </cell>
          <cell r="O3059">
            <v>3.2549999999999999</v>
          </cell>
        </row>
        <row r="3060">
          <cell r="E3060" t="str">
            <v>CLLC</v>
          </cell>
          <cell r="F3060" t="str">
            <v>CLLC-L</v>
          </cell>
          <cell r="G3060">
            <v>120</v>
          </cell>
          <cell r="H3060" t="str">
            <v>CLLC-L120</v>
          </cell>
          <cell r="K3060" t="str">
            <v>Clarkson,Nicholas Lee</v>
          </cell>
          <cell r="N3060">
            <v>3.153</v>
          </cell>
          <cell r="O3060">
            <v>3.1240000000000001</v>
          </cell>
        </row>
        <row r="3061">
          <cell r="E3061" t="str">
            <v>CLLC</v>
          </cell>
          <cell r="F3061" t="str">
            <v>CLLC-L</v>
          </cell>
          <cell r="G3061">
            <v>120</v>
          </cell>
          <cell r="H3061" t="str">
            <v>CLLC-L120</v>
          </cell>
          <cell r="K3061" t="str">
            <v>Nguyen,David Hoa Khoa</v>
          </cell>
          <cell r="N3061">
            <v>3.8889999999999998</v>
          </cell>
          <cell r="O3061">
            <v>3.2050000000000001</v>
          </cell>
        </row>
        <row r="3062">
          <cell r="E3062" t="str">
            <v>CLLC</v>
          </cell>
          <cell r="F3062" t="str">
            <v>CLLC-L</v>
          </cell>
          <cell r="G3062">
            <v>120</v>
          </cell>
          <cell r="H3062" t="str">
            <v>CLLC-L120</v>
          </cell>
          <cell r="K3062" t="str">
            <v>Ouassini,Nabil</v>
          </cell>
          <cell r="N3062">
            <v>3.5049999999999999</v>
          </cell>
          <cell r="O3062">
            <v>3.125</v>
          </cell>
        </row>
        <row r="3063">
          <cell r="E3063" t="str">
            <v>CLLC</v>
          </cell>
          <cell r="F3063" t="str">
            <v>CLLC-L</v>
          </cell>
          <cell r="G3063">
            <v>210</v>
          </cell>
          <cell r="H3063" t="str">
            <v>CLLC-L210</v>
          </cell>
          <cell r="K3063" t="str">
            <v>Bilczewski,Tomasz Jozef</v>
          </cell>
          <cell r="N3063">
            <v>4</v>
          </cell>
          <cell r="O3063">
            <v>3.3769999999999998</v>
          </cell>
        </row>
        <row r="3064">
          <cell r="E3064" t="str">
            <v>CLLC</v>
          </cell>
          <cell r="F3064" t="str">
            <v>CLLC-L</v>
          </cell>
          <cell r="G3064">
            <v>210</v>
          </cell>
          <cell r="H3064" t="str">
            <v>CLLC-L210</v>
          </cell>
          <cell r="K3064" t="str">
            <v>Brasher,Ryan Stuart</v>
          </cell>
          <cell r="N3064">
            <v>3.4380000000000002</v>
          </cell>
          <cell r="O3064">
            <v>3.29</v>
          </cell>
        </row>
        <row r="3065">
          <cell r="E3065" t="str">
            <v>CLLC</v>
          </cell>
          <cell r="F3065" t="str">
            <v>CLLC-L</v>
          </cell>
          <cell r="G3065">
            <v>210</v>
          </cell>
          <cell r="H3065" t="str">
            <v>CLLC-L210</v>
          </cell>
          <cell r="K3065" t="str">
            <v>Cluver,Yara Ferreira</v>
          </cell>
          <cell r="N3065">
            <v>3.3940000000000001</v>
          </cell>
          <cell r="O3065">
            <v>3.0350000000000001</v>
          </cell>
        </row>
        <row r="3066">
          <cell r="E3066" t="str">
            <v>CLLC</v>
          </cell>
          <cell r="F3066" t="str">
            <v>CLLC-L</v>
          </cell>
          <cell r="G3066">
            <v>210</v>
          </cell>
          <cell r="H3066" t="str">
            <v>CLLC-L210</v>
          </cell>
          <cell r="K3066" t="str">
            <v>Seaver,James Boyd</v>
          </cell>
          <cell r="N3066">
            <v>3.323</v>
          </cell>
          <cell r="O3066">
            <v>3.3740000000000001</v>
          </cell>
        </row>
        <row r="3067">
          <cell r="E3067" t="str">
            <v>CLLC</v>
          </cell>
          <cell r="F3067" t="str">
            <v>CLLC-L</v>
          </cell>
          <cell r="G3067">
            <v>210</v>
          </cell>
          <cell r="H3067" t="str">
            <v>CLLC-L210</v>
          </cell>
          <cell r="K3067" t="str">
            <v>Stoll,Jeremy Joseph</v>
          </cell>
          <cell r="N3067">
            <v>2.65</v>
          </cell>
          <cell r="O3067">
            <v>3.2719999999999998</v>
          </cell>
        </row>
        <row r="3068">
          <cell r="E3068" t="str">
            <v>CLLC</v>
          </cell>
          <cell r="F3068" t="str">
            <v>CLLC-L</v>
          </cell>
          <cell r="G3068">
            <v>220</v>
          </cell>
          <cell r="H3068" t="str">
            <v>CLLC-L220</v>
          </cell>
          <cell r="K3068" t="str">
            <v>Kerchner,Matthew Richard</v>
          </cell>
          <cell r="N3068">
            <v>3.879</v>
          </cell>
          <cell r="O3068">
            <v>2.94</v>
          </cell>
        </row>
        <row r="3069">
          <cell r="E3069" t="str">
            <v>CLLC</v>
          </cell>
          <cell r="F3069" t="str">
            <v>CLLC-L</v>
          </cell>
          <cell r="G3069">
            <v>220</v>
          </cell>
          <cell r="H3069" t="str">
            <v>CLLC-L220</v>
          </cell>
          <cell r="K3069" t="str">
            <v>Polegato,Andrea</v>
          </cell>
          <cell r="N3069">
            <v>3.5939999999999999</v>
          </cell>
          <cell r="O3069">
            <v>3.0880000000000001</v>
          </cell>
        </row>
        <row r="3070">
          <cell r="E3070" t="str">
            <v>CLLC</v>
          </cell>
          <cell r="F3070" t="str">
            <v>CLLC-L</v>
          </cell>
          <cell r="G3070">
            <v>225</v>
          </cell>
          <cell r="H3070" t="str">
            <v>CLLC-L225</v>
          </cell>
          <cell r="K3070" t="str">
            <v>St.Onge,Jeffrey William</v>
          </cell>
          <cell r="N3070">
            <v>3.2679999999999998</v>
          </cell>
          <cell r="O3070">
            <v>3.0089999999999999</v>
          </cell>
        </row>
        <row r="3071">
          <cell r="E3071" t="str">
            <v>CLLC</v>
          </cell>
          <cell r="F3071" t="str">
            <v>CLLC-L</v>
          </cell>
          <cell r="G3071">
            <v>225</v>
          </cell>
          <cell r="H3071" t="str">
            <v>CLLC-L225</v>
          </cell>
          <cell r="K3071" t="str">
            <v>Waggoner Denton,Ashley Susanne</v>
          </cell>
          <cell r="N3071">
            <v>3.5670000000000002</v>
          </cell>
          <cell r="O3071">
            <v>3.2850000000000001</v>
          </cell>
        </row>
        <row r="3072">
          <cell r="E3072" t="str">
            <v>CLLC</v>
          </cell>
          <cell r="F3072" t="str">
            <v>CLLC-L</v>
          </cell>
          <cell r="G3072">
            <v>230</v>
          </cell>
          <cell r="H3072" t="str">
            <v>CLLC-L230</v>
          </cell>
          <cell r="K3072" t="str">
            <v>Harrison,Jessica Lou</v>
          </cell>
          <cell r="N3072">
            <v>3.653</v>
          </cell>
          <cell r="O3072">
            <v>3.3090000000000002</v>
          </cell>
        </row>
        <row r="3073">
          <cell r="E3073" t="str">
            <v>CLLC</v>
          </cell>
          <cell r="F3073" t="str">
            <v>CLLC-L</v>
          </cell>
          <cell r="G3073">
            <v>230</v>
          </cell>
          <cell r="H3073" t="str">
            <v>CLLC-L230</v>
          </cell>
          <cell r="K3073" t="str">
            <v>York,William Wesley</v>
          </cell>
          <cell r="N3073">
            <v>3.4950000000000001</v>
          </cell>
          <cell r="O3073">
            <v>3.3610000000000002</v>
          </cell>
        </row>
        <row r="3074">
          <cell r="E3074" t="str">
            <v>CLLC</v>
          </cell>
          <cell r="F3074" t="str">
            <v>CLLC-L</v>
          </cell>
          <cell r="G3074">
            <v>300</v>
          </cell>
          <cell r="H3074" t="str">
            <v>CLLC-L300</v>
          </cell>
          <cell r="K3074" t="str">
            <v>Levy,Anne Gloger</v>
          </cell>
          <cell r="N3074">
            <v>3.5</v>
          </cell>
          <cell r="O3074">
            <v>3.2810000000000001</v>
          </cell>
        </row>
        <row r="3075">
          <cell r="E3075" t="str">
            <v>CLLC</v>
          </cell>
          <cell r="F3075" t="str">
            <v>CLLC-L</v>
          </cell>
          <cell r="G3075">
            <v>310</v>
          </cell>
          <cell r="H3075" t="str">
            <v>CLLC-L310</v>
          </cell>
          <cell r="K3075" t="str">
            <v>Cluver,Yara Ferreira</v>
          </cell>
          <cell r="N3075">
            <v>3.371</v>
          </cell>
          <cell r="O3075">
            <v>3.355</v>
          </cell>
        </row>
        <row r="3076">
          <cell r="E3076" t="str">
            <v>CLLC</v>
          </cell>
          <cell r="F3076" t="str">
            <v>CLLC-L</v>
          </cell>
          <cell r="G3076">
            <v>310</v>
          </cell>
          <cell r="H3076" t="str">
            <v>CLLC-L310</v>
          </cell>
          <cell r="K3076" t="str">
            <v>Johnson,Colin R.</v>
          </cell>
          <cell r="N3076">
            <v>3.036</v>
          </cell>
          <cell r="O3076">
            <v>3.1930000000000001</v>
          </cell>
        </row>
        <row r="3077">
          <cell r="E3077" t="str">
            <v>CLLC</v>
          </cell>
          <cell r="F3077" t="str">
            <v>CLLC-L</v>
          </cell>
          <cell r="G3077">
            <v>320</v>
          </cell>
          <cell r="H3077" t="str">
            <v>CLLC-L320</v>
          </cell>
          <cell r="K3077" t="str">
            <v>Jarjoura,G Roger</v>
          </cell>
          <cell r="N3077" t="str">
            <v>NR</v>
          </cell>
          <cell r="O3077" t="str">
            <v>NR</v>
          </cell>
        </row>
        <row r="3078">
          <cell r="E3078" t="str">
            <v>CLLC</v>
          </cell>
          <cell r="F3078" t="str">
            <v>CLLC-Q</v>
          </cell>
          <cell r="G3078">
            <v>199</v>
          </cell>
          <cell r="H3078" t="str">
            <v>CLLC-Q199</v>
          </cell>
          <cell r="K3078" t="str">
            <v>Cluver,Yara Ferreira</v>
          </cell>
          <cell r="N3078">
            <v>4</v>
          </cell>
          <cell r="O3078">
            <v>3.3959999999999999</v>
          </cell>
        </row>
        <row r="3079">
          <cell r="E3079" t="str">
            <v>CLLC</v>
          </cell>
          <cell r="F3079" t="str">
            <v>CLLC-Q</v>
          </cell>
          <cell r="G3079">
            <v>199</v>
          </cell>
          <cell r="H3079" t="str">
            <v>CLLC-Q199</v>
          </cell>
          <cell r="K3079" t="str">
            <v>Cluver,Yara Ferreira</v>
          </cell>
          <cell r="N3079">
            <v>3.6139999999999999</v>
          </cell>
          <cell r="O3079">
            <v>3.004</v>
          </cell>
        </row>
        <row r="3080">
          <cell r="E3080" t="str">
            <v>CLLC</v>
          </cell>
          <cell r="F3080" t="str">
            <v>CLLC-Q</v>
          </cell>
          <cell r="G3080">
            <v>199</v>
          </cell>
          <cell r="H3080" t="str">
            <v>CLLC-Q199</v>
          </cell>
          <cell r="K3080" t="str">
            <v>Cluver,Yara Ferreira</v>
          </cell>
          <cell r="N3080">
            <v>4</v>
          </cell>
          <cell r="O3080">
            <v>3.3370000000000002</v>
          </cell>
        </row>
        <row r="3081">
          <cell r="E3081" t="str">
            <v>CLLC</v>
          </cell>
          <cell r="F3081" t="str">
            <v>CLLC-Q</v>
          </cell>
          <cell r="G3081">
            <v>199</v>
          </cell>
          <cell r="H3081" t="str">
            <v>CLLC-Q199</v>
          </cell>
          <cell r="K3081" t="str">
            <v>Cluver,Yara Ferreira</v>
          </cell>
          <cell r="N3081">
            <v>3.5230000000000001</v>
          </cell>
          <cell r="O3081">
            <v>3.3730000000000002</v>
          </cell>
        </row>
        <row r="3082">
          <cell r="E3082" t="str">
            <v>CLLC</v>
          </cell>
          <cell r="F3082" t="str">
            <v>CLLC-Q</v>
          </cell>
          <cell r="G3082">
            <v>199</v>
          </cell>
          <cell r="H3082" t="str">
            <v>CLLC-Q199</v>
          </cell>
          <cell r="K3082" t="str">
            <v>Cluver,Yara Ferreira</v>
          </cell>
          <cell r="N3082">
            <v>3.97</v>
          </cell>
          <cell r="O3082">
            <v>2.9220000000000002</v>
          </cell>
        </row>
        <row r="3083">
          <cell r="E3083" t="str">
            <v>CLLC</v>
          </cell>
          <cell r="F3083" t="str">
            <v>CLLC-Q</v>
          </cell>
          <cell r="G3083">
            <v>199</v>
          </cell>
          <cell r="H3083" t="str">
            <v>CLLC-Q199</v>
          </cell>
          <cell r="K3083" t="str">
            <v>Cluver,Yara Ferreira</v>
          </cell>
          <cell r="N3083">
            <v>3.9329999999999998</v>
          </cell>
          <cell r="O3083">
            <v>3.0710000000000002</v>
          </cell>
        </row>
        <row r="3084">
          <cell r="E3084" t="str">
            <v>CLLC</v>
          </cell>
          <cell r="F3084" t="str">
            <v>CLLC-Q</v>
          </cell>
          <cell r="G3084">
            <v>199</v>
          </cell>
          <cell r="H3084" t="str">
            <v>CLLC-Q199</v>
          </cell>
          <cell r="K3084" t="str">
            <v>Cluver,Yara Ferreira</v>
          </cell>
          <cell r="N3084">
            <v>2.8420000000000001</v>
          </cell>
          <cell r="O3084">
            <v>2.988</v>
          </cell>
        </row>
        <row r="3085">
          <cell r="E3085" t="str">
            <v>CLLC</v>
          </cell>
          <cell r="F3085" t="str">
            <v>CLLC-Q</v>
          </cell>
          <cell r="G3085">
            <v>199</v>
          </cell>
          <cell r="H3085" t="str">
            <v>CLLC-Q199</v>
          </cell>
          <cell r="K3085" t="str">
            <v>Cluver,Yara Ferreira</v>
          </cell>
          <cell r="N3085" t="str">
            <v>NR</v>
          </cell>
          <cell r="O3085" t="str">
            <v>NR</v>
          </cell>
        </row>
        <row r="3086">
          <cell r="E3086" t="str">
            <v>CLLC</v>
          </cell>
          <cell r="F3086" t="str">
            <v>CLLC-Q</v>
          </cell>
          <cell r="G3086">
            <v>199</v>
          </cell>
          <cell r="H3086" t="str">
            <v>CLLC-Q199</v>
          </cell>
          <cell r="K3086" t="str">
            <v>Cluver,Yara Ferreira</v>
          </cell>
          <cell r="N3086">
            <v>4</v>
          </cell>
          <cell r="O3086">
            <v>3.0750000000000002</v>
          </cell>
        </row>
        <row r="3087">
          <cell r="E3087" t="str">
            <v>CLLC</v>
          </cell>
          <cell r="F3087" t="str">
            <v>CLLC-Q</v>
          </cell>
          <cell r="G3087">
            <v>199</v>
          </cell>
          <cell r="H3087" t="str">
            <v>CLLC-Q199</v>
          </cell>
          <cell r="K3087" t="str">
            <v>Cluver,Yara Ferreira</v>
          </cell>
          <cell r="N3087" t="str">
            <v>NR</v>
          </cell>
          <cell r="O3087" t="str">
            <v>NR</v>
          </cell>
        </row>
        <row r="3088">
          <cell r="E3088" t="str">
            <v>CLLC</v>
          </cell>
          <cell r="F3088" t="str">
            <v>CLLC-Q</v>
          </cell>
          <cell r="G3088">
            <v>199</v>
          </cell>
          <cell r="H3088" t="str">
            <v>CLLC-Q199</v>
          </cell>
          <cell r="K3088" t="str">
            <v>Cluver,Yara Ferreira</v>
          </cell>
          <cell r="N3088">
            <v>3.7</v>
          </cell>
          <cell r="O3088">
            <v>3.173</v>
          </cell>
        </row>
        <row r="3089">
          <cell r="E3089" t="str">
            <v>CLLC</v>
          </cell>
          <cell r="F3089" t="str">
            <v>CLLC-Q</v>
          </cell>
          <cell r="G3089">
            <v>199</v>
          </cell>
          <cell r="H3089" t="str">
            <v>CLLC-Q199</v>
          </cell>
          <cell r="K3089" t="str">
            <v>Cluver,Yara Ferreira</v>
          </cell>
          <cell r="N3089">
            <v>3.45</v>
          </cell>
          <cell r="O3089">
            <v>2.7850000000000001</v>
          </cell>
        </row>
        <row r="3090">
          <cell r="E3090" t="str">
            <v>CLLC</v>
          </cell>
          <cell r="F3090" t="str">
            <v>CLLC-Q</v>
          </cell>
          <cell r="G3090">
            <v>199</v>
          </cell>
          <cell r="H3090" t="str">
            <v>CLLC-Q199</v>
          </cell>
          <cell r="K3090" t="str">
            <v>Cluver,Yara Ferreira</v>
          </cell>
          <cell r="N3090">
            <v>3.8079999999999998</v>
          </cell>
          <cell r="O3090">
            <v>3.2970000000000002</v>
          </cell>
        </row>
        <row r="3091">
          <cell r="E3091" t="str">
            <v>CLLC</v>
          </cell>
          <cell r="F3091" t="str">
            <v>CLLC-Q</v>
          </cell>
          <cell r="G3091">
            <v>199</v>
          </cell>
          <cell r="H3091" t="str">
            <v>CLLC-Q199</v>
          </cell>
          <cell r="K3091" t="str">
            <v>Cluver,Yara Ferreira</v>
          </cell>
          <cell r="N3091">
            <v>3.407</v>
          </cell>
          <cell r="O3091">
            <v>3.1429999999999998</v>
          </cell>
        </row>
        <row r="3092">
          <cell r="E3092" t="str">
            <v>CLLC</v>
          </cell>
          <cell r="F3092" t="str">
            <v>CLLC-Q</v>
          </cell>
          <cell r="G3092">
            <v>199</v>
          </cell>
          <cell r="H3092" t="str">
            <v>CLLC-Q199</v>
          </cell>
          <cell r="K3092" t="str">
            <v>Cluver,Yara Ferreira</v>
          </cell>
          <cell r="N3092">
            <v>3.714</v>
          </cell>
          <cell r="O3092">
            <v>3.133</v>
          </cell>
        </row>
        <row r="3093">
          <cell r="E3093" t="str">
            <v>CLLC</v>
          </cell>
          <cell r="F3093" t="str">
            <v>CLLC-Q</v>
          </cell>
          <cell r="G3093">
            <v>199</v>
          </cell>
          <cell r="H3093" t="str">
            <v>CLLC-Q199</v>
          </cell>
          <cell r="K3093" t="str">
            <v>Cluver,Yara Ferreira</v>
          </cell>
          <cell r="N3093" t="str">
            <v>NR</v>
          </cell>
          <cell r="O3093" t="str">
            <v>NR</v>
          </cell>
        </row>
        <row r="3094">
          <cell r="E3094" t="str">
            <v>CLLC</v>
          </cell>
          <cell r="F3094" t="str">
            <v>CLLC-Q</v>
          </cell>
          <cell r="G3094">
            <v>199</v>
          </cell>
          <cell r="H3094" t="str">
            <v>CLLC-Q199</v>
          </cell>
          <cell r="K3094" t="str">
            <v>Cluver,Yara Ferreira</v>
          </cell>
          <cell r="N3094" t="str">
            <v>NR</v>
          </cell>
          <cell r="O3094" t="str">
            <v>NR</v>
          </cell>
        </row>
        <row r="3095">
          <cell r="E3095" t="str">
            <v>CLLC</v>
          </cell>
          <cell r="F3095" t="str">
            <v>CLLC-Q</v>
          </cell>
          <cell r="G3095">
            <v>199</v>
          </cell>
          <cell r="H3095" t="str">
            <v>CLLC-Q199</v>
          </cell>
          <cell r="K3095" t="str">
            <v>Cluver,Yara Ferreira</v>
          </cell>
          <cell r="N3095">
            <v>3.625</v>
          </cell>
          <cell r="O3095">
            <v>3.1629999999999998</v>
          </cell>
        </row>
        <row r="3096">
          <cell r="E3096" t="str">
            <v>CLLC</v>
          </cell>
          <cell r="F3096" t="str">
            <v>CLLC-Q</v>
          </cell>
          <cell r="G3096">
            <v>199</v>
          </cell>
          <cell r="H3096" t="str">
            <v>CLLC-Q199</v>
          </cell>
          <cell r="K3096" t="str">
            <v>Cluver,Yara Ferreira</v>
          </cell>
          <cell r="N3096">
            <v>3.6920000000000002</v>
          </cell>
          <cell r="O3096">
            <v>3.37</v>
          </cell>
        </row>
        <row r="3097">
          <cell r="E3097" t="str">
            <v>CLLC</v>
          </cell>
          <cell r="F3097" t="str">
            <v>CLLC-Q</v>
          </cell>
          <cell r="G3097">
            <v>299</v>
          </cell>
          <cell r="H3097" t="str">
            <v>CLLC-Q299</v>
          </cell>
          <cell r="K3097" t="str">
            <v>Cluver,Yara Ferreira</v>
          </cell>
          <cell r="N3097">
            <v>4</v>
          </cell>
          <cell r="O3097">
            <v>3.2810000000000001</v>
          </cell>
        </row>
        <row r="3098">
          <cell r="E3098" t="str">
            <v>CMCL</v>
          </cell>
          <cell r="F3098" t="str">
            <v>CMCL-C</v>
          </cell>
          <cell r="G3098">
            <v>121</v>
          </cell>
          <cell r="H3098" t="str">
            <v>CMCL-C121</v>
          </cell>
          <cell r="K3098" t="str">
            <v>Barker,Cory Andrew</v>
          </cell>
          <cell r="N3098">
            <v>3.0209999999999999</v>
          </cell>
          <cell r="O3098">
            <v>2.9289999999999998</v>
          </cell>
        </row>
        <row r="3099">
          <cell r="E3099" t="str">
            <v>CMCL</v>
          </cell>
          <cell r="F3099" t="str">
            <v>CMCL-C</v>
          </cell>
          <cell r="G3099">
            <v>121</v>
          </cell>
          <cell r="H3099" t="str">
            <v>CMCL-C121</v>
          </cell>
          <cell r="K3099" t="str">
            <v>Barnett,Joshua Trey</v>
          </cell>
          <cell r="N3099">
            <v>2.9049999999999998</v>
          </cell>
          <cell r="O3099">
            <v>2.95</v>
          </cell>
        </row>
        <row r="3100">
          <cell r="E3100" t="str">
            <v>CMCL</v>
          </cell>
          <cell r="F3100" t="str">
            <v>CMCL-C</v>
          </cell>
          <cell r="G3100">
            <v>121</v>
          </cell>
          <cell r="H3100" t="str">
            <v>CMCL-C121</v>
          </cell>
          <cell r="K3100" t="str">
            <v>Braverman,Lisa C</v>
          </cell>
          <cell r="N3100">
            <v>3</v>
          </cell>
          <cell r="O3100">
            <v>2.9470000000000001</v>
          </cell>
        </row>
        <row r="3101">
          <cell r="E3101" t="str">
            <v>CMCL</v>
          </cell>
          <cell r="F3101" t="str">
            <v>CMCL-C</v>
          </cell>
          <cell r="G3101">
            <v>121</v>
          </cell>
          <cell r="H3101" t="str">
            <v>CMCL-C121</v>
          </cell>
          <cell r="K3101" t="str">
            <v>Braverman,Lisa C</v>
          </cell>
          <cell r="N3101">
            <v>3.29</v>
          </cell>
          <cell r="O3101">
            <v>2.8559999999999999</v>
          </cell>
        </row>
        <row r="3102">
          <cell r="E3102" t="str">
            <v>CMCL</v>
          </cell>
          <cell r="F3102" t="str">
            <v>CMCL-C</v>
          </cell>
          <cell r="G3102">
            <v>121</v>
          </cell>
          <cell r="H3102" t="str">
            <v>CMCL-C121</v>
          </cell>
          <cell r="K3102" t="str">
            <v>Budziszewski,Przemyslaw Konrad</v>
          </cell>
          <cell r="N3102">
            <v>3.33</v>
          </cell>
          <cell r="O3102">
            <v>3.1930000000000001</v>
          </cell>
        </row>
        <row r="3103">
          <cell r="E3103" t="str">
            <v>CMCL</v>
          </cell>
          <cell r="F3103" t="str">
            <v>CMCL-C</v>
          </cell>
          <cell r="G3103">
            <v>121</v>
          </cell>
          <cell r="H3103" t="str">
            <v>CMCL-C121</v>
          </cell>
          <cell r="K3103" t="str">
            <v>Budziszewski,Przemyslaw Konrad</v>
          </cell>
          <cell r="N3103">
            <v>3.4169999999999998</v>
          </cell>
          <cell r="O3103">
            <v>3.117</v>
          </cell>
        </row>
        <row r="3104">
          <cell r="E3104" t="str">
            <v>CMCL</v>
          </cell>
          <cell r="F3104" t="str">
            <v>CMCL-C</v>
          </cell>
          <cell r="G3104">
            <v>121</v>
          </cell>
          <cell r="H3104" t="str">
            <v>CMCL-C121</v>
          </cell>
          <cell r="K3104" t="str">
            <v>Butorac,Rebecca</v>
          </cell>
          <cell r="N3104">
            <v>3.25</v>
          </cell>
          <cell r="O3104">
            <v>2.9940000000000002</v>
          </cell>
        </row>
        <row r="3105">
          <cell r="E3105" t="str">
            <v>CMCL</v>
          </cell>
          <cell r="F3105" t="str">
            <v>CMCL-C</v>
          </cell>
          <cell r="G3105">
            <v>121</v>
          </cell>
          <cell r="H3105" t="str">
            <v>CMCL-C121</v>
          </cell>
          <cell r="K3105" t="str">
            <v>Fleming,Amanda C</v>
          </cell>
          <cell r="N3105">
            <v>2.7080000000000002</v>
          </cell>
          <cell r="O3105">
            <v>2.63</v>
          </cell>
        </row>
        <row r="3106">
          <cell r="E3106" t="str">
            <v>CMCL</v>
          </cell>
          <cell r="F3106" t="str">
            <v>CMCL-C</v>
          </cell>
          <cell r="G3106">
            <v>121</v>
          </cell>
          <cell r="H3106" t="str">
            <v>CMCL-C121</v>
          </cell>
          <cell r="K3106" t="str">
            <v>Fleming,Amanda C</v>
          </cell>
          <cell r="N3106">
            <v>3.0910000000000002</v>
          </cell>
          <cell r="O3106">
            <v>2.831</v>
          </cell>
        </row>
        <row r="3107">
          <cell r="E3107" t="str">
            <v>CMCL</v>
          </cell>
          <cell r="F3107" t="str">
            <v>CMCL-C</v>
          </cell>
          <cell r="G3107">
            <v>121</v>
          </cell>
          <cell r="H3107" t="str">
            <v>CMCL-C121</v>
          </cell>
          <cell r="K3107" t="str">
            <v>Fleming,Amanda C</v>
          </cell>
          <cell r="N3107">
            <v>2.7130000000000001</v>
          </cell>
          <cell r="O3107">
            <v>2.9020000000000001</v>
          </cell>
        </row>
        <row r="3108">
          <cell r="E3108" t="str">
            <v>CMCL</v>
          </cell>
          <cell r="F3108" t="str">
            <v>CMCL-C</v>
          </cell>
          <cell r="G3108">
            <v>121</v>
          </cell>
          <cell r="H3108" t="str">
            <v>CMCL-C121</v>
          </cell>
          <cell r="K3108" t="str">
            <v>Golan Jr,Antonio</v>
          </cell>
          <cell r="N3108">
            <v>3.2770000000000001</v>
          </cell>
          <cell r="O3108">
            <v>3.2850000000000001</v>
          </cell>
        </row>
        <row r="3109">
          <cell r="E3109" t="str">
            <v>CMCL</v>
          </cell>
          <cell r="F3109" t="str">
            <v>CMCL-C</v>
          </cell>
          <cell r="G3109">
            <v>121</v>
          </cell>
          <cell r="H3109" t="str">
            <v>CMCL-C121</v>
          </cell>
          <cell r="K3109" t="str">
            <v>Golan Jr,Antonio</v>
          </cell>
          <cell r="N3109">
            <v>3.0329999999999999</v>
          </cell>
          <cell r="O3109">
            <v>2.6659999999999999</v>
          </cell>
        </row>
        <row r="3110">
          <cell r="E3110" t="str">
            <v>CMCL</v>
          </cell>
          <cell r="F3110" t="str">
            <v>CMCL-C</v>
          </cell>
          <cell r="G3110">
            <v>121</v>
          </cell>
          <cell r="H3110" t="str">
            <v>CMCL-C121</v>
          </cell>
          <cell r="K3110" t="str">
            <v>Gordon,Jeremy Gail</v>
          </cell>
          <cell r="N3110">
            <v>3.3149999999999999</v>
          </cell>
          <cell r="O3110">
            <v>3.3620000000000001</v>
          </cell>
        </row>
        <row r="3111">
          <cell r="E3111" t="str">
            <v>CMCL</v>
          </cell>
          <cell r="F3111" t="str">
            <v>CMCL-C</v>
          </cell>
          <cell r="G3111">
            <v>121</v>
          </cell>
          <cell r="H3111" t="str">
            <v>CMCL-C121</v>
          </cell>
          <cell r="K3111" t="str">
            <v>Gordon,Jeremy Gail</v>
          </cell>
          <cell r="N3111">
            <v>3.3140000000000001</v>
          </cell>
          <cell r="O3111">
            <v>3.2559999999999998</v>
          </cell>
        </row>
        <row r="3112">
          <cell r="E3112" t="str">
            <v>CMCL</v>
          </cell>
          <cell r="F3112" t="str">
            <v>CMCL-C</v>
          </cell>
          <cell r="G3112">
            <v>121</v>
          </cell>
          <cell r="H3112" t="str">
            <v>CMCL-C121</v>
          </cell>
          <cell r="K3112" t="str">
            <v>Gray,Sara Marin</v>
          </cell>
          <cell r="N3112">
            <v>2.891</v>
          </cell>
          <cell r="O3112">
            <v>2.7949999999999999</v>
          </cell>
        </row>
        <row r="3113">
          <cell r="E3113" t="str">
            <v>CMCL</v>
          </cell>
          <cell r="F3113" t="str">
            <v>CMCL-C</v>
          </cell>
          <cell r="G3113">
            <v>121</v>
          </cell>
          <cell r="H3113" t="str">
            <v>CMCL-C121</v>
          </cell>
          <cell r="K3113" t="str">
            <v>Gray,Sara Marin</v>
          </cell>
          <cell r="N3113">
            <v>2.8759999999999999</v>
          </cell>
          <cell r="O3113">
            <v>2.871</v>
          </cell>
        </row>
        <row r="3114">
          <cell r="E3114" t="str">
            <v>CMCL</v>
          </cell>
          <cell r="F3114" t="str">
            <v>CMCL-C</v>
          </cell>
          <cell r="G3114">
            <v>121</v>
          </cell>
          <cell r="H3114" t="str">
            <v>CMCL-C121</v>
          </cell>
          <cell r="K3114" t="str">
            <v>Griffis,Aron Noelle</v>
          </cell>
          <cell r="N3114">
            <v>3.2040000000000002</v>
          </cell>
          <cell r="O3114">
            <v>3.121</v>
          </cell>
        </row>
        <row r="3115">
          <cell r="E3115" t="str">
            <v>CMCL</v>
          </cell>
          <cell r="F3115" t="str">
            <v>CMCL-C</v>
          </cell>
          <cell r="G3115">
            <v>121</v>
          </cell>
          <cell r="H3115" t="str">
            <v>CMCL-C121</v>
          </cell>
          <cell r="K3115" t="str">
            <v>Griffis,Aron Noelle</v>
          </cell>
          <cell r="N3115">
            <v>3.476</v>
          </cell>
          <cell r="O3115">
            <v>2.8340000000000001</v>
          </cell>
        </row>
        <row r="3116">
          <cell r="E3116" t="str">
            <v>CMCL</v>
          </cell>
          <cell r="F3116" t="str">
            <v>CMCL-C</v>
          </cell>
          <cell r="G3116">
            <v>121</v>
          </cell>
          <cell r="H3116" t="str">
            <v>CMCL-C121</v>
          </cell>
          <cell r="K3116" t="str">
            <v>Grimwood,Benjamin Russell</v>
          </cell>
          <cell r="N3116">
            <v>2.9</v>
          </cell>
          <cell r="O3116">
            <v>2.8839999999999999</v>
          </cell>
        </row>
        <row r="3117">
          <cell r="E3117" t="str">
            <v>CMCL</v>
          </cell>
          <cell r="F3117" t="str">
            <v>CMCL-C</v>
          </cell>
          <cell r="G3117">
            <v>121</v>
          </cell>
          <cell r="H3117" t="str">
            <v>CMCL-C121</v>
          </cell>
          <cell r="K3117" t="str">
            <v>Grimwood,Benjamin Russell</v>
          </cell>
          <cell r="N3117">
            <v>3.0270000000000001</v>
          </cell>
          <cell r="O3117">
            <v>2.7770000000000001</v>
          </cell>
        </row>
        <row r="3118">
          <cell r="E3118" t="str">
            <v>CMCL</v>
          </cell>
          <cell r="F3118" t="str">
            <v>CMCL-C</v>
          </cell>
          <cell r="G3118">
            <v>121</v>
          </cell>
          <cell r="H3118" t="str">
            <v>CMCL-C121</v>
          </cell>
          <cell r="K3118" t="str">
            <v>Grimwood,Benjamin Russell</v>
          </cell>
          <cell r="N3118">
            <v>3.03</v>
          </cell>
          <cell r="O3118">
            <v>3.0049999999999999</v>
          </cell>
        </row>
        <row r="3119">
          <cell r="E3119" t="str">
            <v>CMCL</v>
          </cell>
          <cell r="F3119" t="str">
            <v>CMCL-C</v>
          </cell>
          <cell r="G3119">
            <v>121</v>
          </cell>
          <cell r="H3119" t="str">
            <v>CMCL-C121</v>
          </cell>
          <cell r="K3119" t="str">
            <v>Grimwood,Benjamin Russell</v>
          </cell>
          <cell r="N3119">
            <v>3.2770000000000001</v>
          </cell>
          <cell r="O3119">
            <v>3.0329999999999999</v>
          </cell>
        </row>
        <row r="3120">
          <cell r="E3120" t="str">
            <v>CMCL</v>
          </cell>
          <cell r="F3120" t="str">
            <v>CMCL-C</v>
          </cell>
          <cell r="G3120">
            <v>121</v>
          </cell>
          <cell r="H3120" t="str">
            <v>CMCL-C121</v>
          </cell>
          <cell r="K3120" t="str">
            <v>Grinberg Jr,Daniel Ray</v>
          </cell>
          <cell r="N3120">
            <v>2.8450000000000002</v>
          </cell>
          <cell r="O3120">
            <v>2.7890000000000001</v>
          </cell>
        </row>
        <row r="3121">
          <cell r="E3121" t="str">
            <v>CMCL</v>
          </cell>
          <cell r="F3121" t="str">
            <v>CMCL-C</v>
          </cell>
          <cell r="G3121">
            <v>121</v>
          </cell>
          <cell r="H3121" t="str">
            <v>CMCL-C121</v>
          </cell>
          <cell r="K3121" t="str">
            <v>Hale,Matthew Lee</v>
          </cell>
          <cell r="N3121">
            <v>3.1960000000000002</v>
          </cell>
          <cell r="O3121">
            <v>3.0259999999999998</v>
          </cell>
        </row>
        <row r="3122">
          <cell r="E3122" t="str">
            <v>CMCL</v>
          </cell>
          <cell r="F3122" t="str">
            <v>CMCL-C</v>
          </cell>
          <cell r="G3122">
            <v>121</v>
          </cell>
          <cell r="H3122" t="str">
            <v>CMCL-C121</v>
          </cell>
          <cell r="K3122" t="str">
            <v>Hallinan,Blake Elizabeth</v>
          </cell>
          <cell r="N3122">
            <v>3.1389999999999998</v>
          </cell>
          <cell r="O3122">
            <v>3.1539999999999999</v>
          </cell>
        </row>
        <row r="3123">
          <cell r="E3123" t="str">
            <v>CMCL</v>
          </cell>
          <cell r="F3123" t="str">
            <v>CMCL-C</v>
          </cell>
          <cell r="G3123">
            <v>121</v>
          </cell>
          <cell r="H3123" t="str">
            <v>CMCL-C121</v>
          </cell>
          <cell r="K3123" t="str">
            <v>Harvey,Eric Donald</v>
          </cell>
          <cell r="N3123">
            <v>3.391</v>
          </cell>
          <cell r="O3123">
            <v>2.96</v>
          </cell>
        </row>
        <row r="3124">
          <cell r="E3124" t="str">
            <v>CMCL</v>
          </cell>
          <cell r="F3124" t="str">
            <v>CMCL-C</v>
          </cell>
          <cell r="G3124">
            <v>121</v>
          </cell>
          <cell r="H3124" t="str">
            <v>CMCL-C121</v>
          </cell>
          <cell r="K3124" t="str">
            <v>Harvey,Eric Donald</v>
          </cell>
          <cell r="N3124">
            <v>3.2959999999999998</v>
          </cell>
          <cell r="O3124">
            <v>3.0579999999999998</v>
          </cell>
        </row>
        <row r="3125">
          <cell r="E3125" t="str">
            <v>CMCL</v>
          </cell>
          <cell r="F3125" t="str">
            <v>CMCL-C</v>
          </cell>
          <cell r="G3125">
            <v>121</v>
          </cell>
          <cell r="H3125" t="str">
            <v>CMCL-C121</v>
          </cell>
          <cell r="K3125" t="str">
            <v>Harvey,Eric Donald</v>
          </cell>
          <cell r="N3125">
            <v>3.581</v>
          </cell>
          <cell r="O3125">
            <v>3.0209999999999999</v>
          </cell>
        </row>
        <row r="3126">
          <cell r="E3126" t="str">
            <v>CMCL</v>
          </cell>
          <cell r="F3126" t="str">
            <v>CMCL-C</v>
          </cell>
          <cell r="G3126">
            <v>121</v>
          </cell>
          <cell r="H3126" t="str">
            <v>CMCL-C121</v>
          </cell>
          <cell r="K3126" t="str">
            <v>Heil,Meredith Paige</v>
          </cell>
          <cell r="N3126">
            <v>3.29</v>
          </cell>
          <cell r="O3126">
            <v>2.8420000000000001</v>
          </cell>
        </row>
        <row r="3127">
          <cell r="E3127" t="str">
            <v>CMCL</v>
          </cell>
          <cell r="F3127" t="str">
            <v>CMCL-C</v>
          </cell>
          <cell r="G3127">
            <v>121</v>
          </cell>
          <cell r="H3127" t="str">
            <v>CMCL-C121</v>
          </cell>
          <cell r="K3127" t="str">
            <v>Heil,Meredith Paige</v>
          </cell>
          <cell r="N3127">
            <v>2.5680000000000001</v>
          </cell>
          <cell r="O3127">
            <v>2.73</v>
          </cell>
        </row>
        <row r="3128">
          <cell r="E3128" t="str">
            <v>CMCL</v>
          </cell>
          <cell r="F3128" t="str">
            <v>CMCL-C</v>
          </cell>
          <cell r="G3128">
            <v>121</v>
          </cell>
          <cell r="H3128" t="str">
            <v>CMCL-C121</v>
          </cell>
          <cell r="K3128" t="str">
            <v>Hook,James R</v>
          </cell>
          <cell r="N3128">
            <v>3.4430000000000001</v>
          </cell>
          <cell r="O3128">
            <v>3.1379999999999999</v>
          </cell>
        </row>
        <row r="3129">
          <cell r="E3129" t="str">
            <v>CMCL</v>
          </cell>
          <cell r="F3129" t="str">
            <v>CMCL-C</v>
          </cell>
          <cell r="G3129">
            <v>121</v>
          </cell>
          <cell r="H3129" t="str">
            <v>CMCL-C121</v>
          </cell>
          <cell r="K3129" t="str">
            <v>Hook,James R</v>
          </cell>
          <cell r="N3129">
            <v>3.1619999999999999</v>
          </cell>
          <cell r="O3129">
            <v>2.9049999999999998</v>
          </cell>
        </row>
        <row r="3130">
          <cell r="E3130" t="str">
            <v>CMCL</v>
          </cell>
          <cell r="F3130" t="str">
            <v>CMCL-C</v>
          </cell>
          <cell r="G3130">
            <v>121</v>
          </cell>
          <cell r="H3130" t="str">
            <v>CMCL-C121</v>
          </cell>
          <cell r="K3130" t="str">
            <v>Horsley,Marsha Nicole</v>
          </cell>
          <cell r="N3130">
            <v>3.3</v>
          </cell>
          <cell r="O3130">
            <v>2.9529999999999998</v>
          </cell>
        </row>
        <row r="3131">
          <cell r="E3131" t="str">
            <v>CMCL</v>
          </cell>
          <cell r="F3131" t="str">
            <v>CMCL-C</v>
          </cell>
          <cell r="G3131">
            <v>121</v>
          </cell>
          <cell r="H3131" t="str">
            <v>CMCL-C121</v>
          </cell>
          <cell r="K3131" t="str">
            <v>Horsley,Marsha Nicole</v>
          </cell>
          <cell r="N3131">
            <v>3.37</v>
          </cell>
          <cell r="O3131">
            <v>3.0870000000000002</v>
          </cell>
        </row>
        <row r="3132">
          <cell r="E3132" t="str">
            <v>CMCL</v>
          </cell>
          <cell r="F3132" t="str">
            <v>CMCL-C</v>
          </cell>
          <cell r="G3132">
            <v>121</v>
          </cell>
          <cell r="H3132" t="str">
            <v>CMCL-C121</v>
          </cell>
          <cell r="K3132" t="str">
            <v>Kaszynski,Elizabeth Ann</v>
          </cell>
          <cell r="N3132">
            <v>3.4870000000000001</v>
          </cell>
          <cell r="O3132">
            <v>3.13</v>
          </cell>
        </row>
        <row r="3133">
          <cell r="E3133" t="str">
            <v>CMCL</v>
          </cell>
          <cell r="F3133" t="str">
            <v>CMCL-C</v>
          </cell>
          <cell r="G3133">
            <v>121</v>
          </cell>
          <cell r="H3133" t="str">
            <v>CMCL-C121</v>
          </cell>
          <cell r="K3133" t="str">
            <v>Kutnicki,Saul Davis</v>
          </cell>
          <cell r="N3133">
            <v>3.173</v>
          </cell>
          <cell r="O3133">
            <v>3.0750000000000002</v>
          </cell>
        </row>
        <row r="3134">
          <cell r="E3134" t="str">
            <v>CMCL</v>
          </cell>
          <cell r="F3134" t="str">
            <v>CMCL-C</v>
          </cell>
          <cell r="G3134">
            <v>121</v>
          </cell>
          <cell r="H3134" t="str">
            <v>CMCL-C121</v>
          </cell>
          <cell r="K3134" t="str">
            <v>Law,Martin Peter</v>
          </cell>
          <cell r="N3134">
            <v>3.0790000000000002</v>
          </cell>
          <cell r="O3134">
            <v>3.1080000000000001</v>
          </cell>
        </row>
        <row r="3135">
          <cell r="E3135" t="str">
            <v>CMCL</v>
          </cell>
          <cell r="F3135" t="str">
            <v>CMCL-C</v>
          </cell>
          <cell r="G3135">
            <v>121</v>
          </cell>
          <cell r="H3135" t="str">
            <v>CMCL-C121</v>
          </cell>
          <cell r="K3135" t="str">
            <v>Law,Martin Peter</v>
          </cell>
          <cell r="N3135">
            <v>2.73</v>
          </cell>
          <cell r="O3135">
            <v>2.617</v>
          </cell>
        </row>
        <row r="3136">
          <cell r="E3136" t="str">
            <v>CMCL</v>
          </cell>
          <cell r="F3136" t="str">
            <v>CMCL-C</v>
          </cell>
          <cell r="G3136">
            <v>121</v>
          </cell>
          <cell r="H3136" t="str">
            <v>CMCL-C121</v>
          </cell>
          <cell r="K3136" t="str">
            <v>Lind,Katherine Dominique</v>
          </cell>
          <cell r="N3136">
            <v>2.9430000000000001</v>
          </cell>
          <cell r="O3136">
            <v>2.903</v>
          </cell>
        </row>
        <row r="3137">
          <cell r="E3137" t="str">
            <v>CMCL</v>
          </cell>
          <cell r="F3137" t="str">
            <v>CMCL-C</v>
          </cell>
          <cell r="G3137">
            <v>121</v>
          </cell>
          <cell r="H3137" t="str">
            <v>CMCL-C121</v>
          </cell>
          <cell r="K3137" t="str">
            <v>Mack,Abigail Jane</v>
          </cell>
          <cell r="N3137">
            <v>3.5739999999999998</v>
          </cell>
          <cell r="O3137">
            <v>3.1469999999999998</v>
          </cell>
        </row>
        <row r="3138">
          <cell r="E3138" t="str">
            <v>CMCL</v>
          </cell>
          <cell r="F3138" t="str">
            <v>CMCL-C</v>
          </cell>
          <cell r="G3138">
            <v>121</v>
          </cell>
          <cell r="H3138" t="str">
            <v>CMCL-C121</v>
          </cell>
          <cell r="K3138" t="str">
            <v>Mack,Abigail Jane</v>
          </cell>
          <cell r="N3138">
            <v>3.2429999999999999</v>
          </cell>
          <cell r="O3138">
            <v>2.9460000000000002</v>
          </cell>
        </row>
        <row r="3139">
          <cell r="E3139" t="str">
            <v>CMCL</v>
          </cell>
          <cell r="F3139" t="str">
            <v>CMCL-C</v>
          </cell>
          <cell r="G3139">
            <v>121</v>
          </cell>
          <cell r="H3139" t="str">
            <v>CMCL-C121</v>
          </cell>
          <cell r="K3139" t="str">
            <v>Maxson,James David</v>
          </cell>
          <cell r="N3139">
            <v>3.3149999999999999</v>
          </cell>
          <cell r="O3139">
            <v>2.99</v>
          </cell>
        </row>
        <row r="3140">
          <cell r="E3140" t="str">
            <v>CMCL</v>
          </cell>
          <cell r="F3140" t="str">
            <v>CMCL-C</v>
          </cell>
          <cell r="G3140">
            <v>121</v>
          </cell>
          <cell r="H3140" t="str">
            <v>CMCL-C121</v>
          </cell>
          <cell r="K3140" t="str">
            <v>Maxson,James David</v>
          </cell>
          <cell r="N3140">
            <v>3.3039999999999998</v>
          </cell>
          <cell r="O3140">
            <v>2.9289999999999998</v>
          </cell>
        </row>
        <row r="3141">
          <cell r="E3141" t="str">
            <v>CMCL</v>
          </cell>
          <cell r="F3141" t="str">
            <v>CMCL-C</v>
          </cell>
          <cell r="G3141">
            <v>121</v>
          </cell>
          <cell r="H3141" t="str">
            <v>CMCL-C121</v>
          </cell>
          <cell r="K3141" t="str">
            <v>McSwiggen,Hannah Trombley</v>
          </cell>
          <cell r="N3141">
            <v>3.1669999999999998</v>
          </cell>
          <cell r="O3141">
            <v>2.8959999999999999</v>
          </cell>
        </row>
        <row r="3142">
          <cell r="E3142" t="str">
            <v>CMCL</v>
          </cell>
          <cell r="F3142" t="str">
            <v>CMCL-C</v>
          </cell>
          <cell r="G3142">
            <v>121</v>
          </cell>
          <cell r="H3142" t="str">
            <v>CMCL-C121</v>
          </cell>
          <cell r="K3142" t="str">
            <v>McSwiggen,Hannah Trombley</v>
          </cell>
          <cell r="N3142">
            <v>3.4129999999999998</v>
          </cell>
          <cell r="O3142">
            <v>3.0840000000000001</v>
          </cell>
        </row>
        <row r="3143">
          <cell r="E3143" t="str">
            <v>CMCL</v>
          </cell>
          <cell r="F3143" t="str">
            <v>CMCL-C</v>
          </cell>
          <cell r="G3143">
            <v>121</v>
          </cell>
          <cell r="H3143" t="str">
            <v>CMCL-C121</v>
          </cell>
          <cell r="K3143" t="str">
            <v>McSwiggen,Hannah Trombley</v>
          </cell>
          <cell r="N3143">
            <v>3.2450000000000001</v>
          </cell>
          <cell r="O3143">
            <v>2.9830000000000001</v>
          </cell>
        </row>
        <row r="3144">
          <cell r="E3144" t="str">
            <v>CMCL</v>
          </cell>
          <cell r="F3144" t="str">
            <v>CMCL-C</v>
          </cell>
          <cell r="G3144">
            <v>121</v>
          </cell>
          <cell r="H3144" t="str">
            <v>CMCL-C121</v>
          </cell>
          <cell r="K3144" t="str">
            <v>McSwiggen,Hannah Trombley</v>
          </cell>
          <cell r="N3144">
            <v>3.4830000000000001</v>
          </cell>
          <cell r="O3144">
            <v>3.3660000000000001</v>
          </cell>
        </row>
        <row r="3145">
          <cell r="E3145" t="str">
            <v>CMCL</v>
          </cell>
          <cell r="F3145" t="str">
            <v>CMCL-C</v>
          </cell>
          <cell r="G3145">
            <v>121</v>
          </cell>
          <cell r="H3145" t="str">
            <v>CMCL-C121</v>
          </cell>
          <cell r="K3145" t="str">
            <v>Miles,Christopher</v>
          </cell>
          <cell r="N3145">
            <v>3.0609999999999999</v>
          </cell>
          <cell r="O3145">
            <v>3.0339999999999998</v>
          </cell>
        </row>
        <row r="3146">
          <cell r="E3146" t="str">
            <v>CMCL</v>
          </cell>
          <cell r="F3146" t="str">
            <v>CMCL-C</v>
          </cell>
          <cell r="G3146">
            <v>121</v>
          </cell>
          <cell r="H3146" t="str">
            <v>CMCL-C121</v>
          </cell>
          <cell r="K3146" t="str">
            <v>Musi,Norma</v>
          </cell>
          <cell r="N3146">
            <v>2.8140000000000001</v>
          </cell>
          <cell r="O3146">
            <v>2.98</v>
          </cell>
        </row>
        <row r="3147">
          <cell r="E3147" t="str">
            <v>CMCL</v>
          </cell>
          <cell r="F3147" t="str">
            <v>CMCL-C</v>
          </cell>
          <cell r="G3147">
            <v>121</v>
          </cell>
          <cell r="H3147" t="str">
            <v>CMCL-C121</v>
          </cell>
          <cell r="K3147" t="str">
            <v>Nagle,Mark Sherman</v>
          </cell>
          <cell r="N3147">
            <v>3.3860000000000001</v>
          </cell>
          <cell r="O3147">
            <v>2.9969999999999999</v>
          </cell>
        </row>
        <row r="3148">
          <cell r="E3148" t="str">
            <v>CMCL</v>
          </cell>
          <cell r="F3148" t="str">
            <v>CMCL-C</v>
          </cell>
          <cell r="G3148">
            <v>121</v>
          </cell>
          <cell r="H3148" t="str">
            <v>CMCL-C121</v>
          </cell>
          <cell r="K3148" t="str">
            <v>Nagle,Mark Sherman</v>
          </cell>
          <cell r="N3148">
            <v>3.2629999999999999</v>
          </cell>
          <cell r="O3148">
            <v>2.8959999999999999</v>
          </cell>
        </row>
        <row r="3149">
          <cell r="E3149" t="str">
            <v>CMCL</v>
          </cell>
          <cell r="F3149" t="str">
            <v>CMCL-C</v>
          </cell>
          <cell r="G3149">
            <v>121</v>
          </cell>
          <cell r="H3149" t="str">
            <v>CMCL-C121</v>
          </cell>
          <cell r="K3149" t="str">
            <v>Nguyen,Jason Robert</v>
          </cell>
          <cell r="N3149">
            <v>3.125</v>
          </cell>
          <cell r="O3149">
            <v>2.9820000000000002</v>
          </cell>
        </row>
        <row r="3150">
          <cell r="E3150" t="str">
            <v>CMCL</v>
          </cell>
          <cell r="F3150" t="str">
            <v>CMCL-C</v>
          </cell>
          <cell r="G3150">
            <v>121</v>
          </cell>
          <cell r="H3150" t="str">
            <v>CMCL-C121</v>
          </cell>
          <cell r="K3150" t="str">
            <v>Perdue,Philip David</v>
          </cell>
          <cell r="N3150">
            <v>3.0230000000000001</v>
          </cell>
          <cell r="O3150">
            <v>2.97</v>
          </cell>
        </row>
        <row r="3151">
          <cell r="E3151" t="str">
            <v>CMCL</v>
          </cell>
          <cell r="F3151" t="str">
            <v>CMCL-C</v>
          </cell>
          <cell r="G3151">
            <v>121</v>
          </cell>
          <cell r="H3151" t="str">
            <v>CMCL-C121</v>
          </cell>
          <cell r="K3151" t="str">
            <v>Perdue,Philip David</v>
          </cell>
          <cell r="N3151">
            <v>3.3130000000000002</v>
          </cell>
          <cell r="O3151">
            <v>3.056</v>
          </cell>
        </row>
        <row r="3152">
          <cell r="E3152" t="str">
            <v>CMCL</v>
          </cell>
          <cell r="F3152" t="str">
            <v>CMCL-C</v>
          </cell>
          <cell r="G3152">
            <v>121</v>
          </cell>
          <cell r="H3152" t="str">
            <v>CMCL-C121</v>
          </cell>
          <cell r="K3152" t="str">
            <v>Plassman,Jessica Nicole</v>
          </cell>
          <cell r="N3152">
            <v>2.73</v>
          </cell>
          <cell r="O3152">
            <v>2.9870000000000001</v>
          </cell>
        </row>
        <row r="3153">
          <cell r="E3153" t="str">
            <v>CMCL</v>
          </cell>
          <cell r="F3153" t="str">
            <v>CMCL-C</v>
          </cell>
          <cell r="G3153">
            <v>121</v>
          </cell>
          <cell r="H3153" t="str">
            <v>CMCL-C121</v>
          </cell>
          <cell r="K3153" t="str">
            <v>Plassman,Jessica Nicole</v>
          </cell>
          <cell r="N3153">
            <v>2.9910000000000001</v>
          </cell>
          <cell r="O3153">
            <v>2.8690000000000002</v>
          </cell>
        </row>
        <row r="3154">
          <cell r="E3154" t="str">
            <v>CMCL</v>
          </cell>
          <cell r="F3154" t="str">
            <v>CMCL-C</v>
          </cell>
          <cell r="G3154">
            <v>121</v>
          </cell>
          <cell r="H3154" t="str">
            <v>CMCL-C121</v>
          </cell>
          <cell r="K3154" t="str">
            <v>Rizzo,Julia Elizabeth</v>
          </cell>
          <cell r="N3154">
            <v>2.9590000000000001</v>
          </cell>
          <cell r="O3154">
            <v>2.9129999999999998</v>
          </cell>
        </row>
        <row r="3155">
          <cell r="E3155" t="str">
            <v>CMCL</v>
          </cell>
          <cell r="F3155" t="str">
            <v>CMCL-C</v>
          </cell>
          <cell r="G3155">
            <v>121</v>
          </cell>
          <cell r="H3155" t="str">
            <v>CMCL-C121</v>
          </cell>
          <cell r="K3155" t="str">
            <v>Rooks,Isaac James</v>
          </cell>
          <cell r="N3155">
            <v>2.9790000000000001</v>
          </cell>
          <cell r="O3155">
            <v>2.718</v>
          </cell>
        </row>
        <row r="3156">
          <cell r="E3156" t="str">
            <v>CMCL</v>
          </cell>
          <cell r="F3156" t="str">
            <v>CMCL-C</v>
          </cell>
          <cell r="G3156">
            <v>121</v>
          </cell>
          <cell r="H3156" t="str">
            <v>CMCL-C121</v>
          </cell>
          <cell r="K3156" t="str">
            <v>Rooks,Isaac James</v>
          </cell>
          <cell r="N3156">
            <v>2.7170000000000001</v>
          </cell>
          <cell r="O3156">
            <v>2.585</v>
          </cell>
        </row>
        <row r="3157">
          <cell r="E3157" t="str">
            <v>CMCL</v>
          </cell>
          <cell r="F3157" t="str">
            <v>CMCL-C</v>
          </cell>
          <cell r="G3157">
            <v>121</v>
          </cell>
          <cell r="H3157" t="str">
            <v>CMCL-C121</v>
          </cell>
          <cell r="K3157" t="str">
            <v>Scheibel Jr,Leonard William</v>
          </cell>
          <cell r="N3157">
            <v>3.4569999999999999</v>
          </cell>
          <cell r="O3157">
            <v>3.0369999999999999</v>
          </cell>
        </row>
        <row r="3158">
          <cell r="E3158" t="str">
            <v>CMCL</v>
          </cell>
          <cell r="F3158" t="str">
            <v>CMCL-C</v>
          </cell>
          <cell r="G3158">
            <v>121</v>
          </cell>
          <cell r="H3158" t="str">
            <v>CMCL-C121</v>
          </cell>
          <cell r="K3158" t="str">
            <v>Scheibel Jr,Leonard William</v>
          </cell>
          <cell r="N3158">
            <v>3.4129999999999998</v>
          </cell>
          <cell r="O3158">
            <v>3.0259999999999998</v>
          </cell>
        </row>
        <row r="3159">
          <cell r="E3159" t="str">
            <v>CMCL</v>
          </cell>
          <cell r="F3159" t="str">
            <v>CMCL-C</v>
          </cell>
          <cell r="G3159">
            <v>121</v>
          </cell>
          <cell r="H3159" t="str">
            <v>CMCL-C121</v>
          </cell>
          <cell r="K3159" t="str">
            <v>Shannon,Jacquelyn Marie</v>
          </cell>
          <cell r="N3159">
            <v>3.5680000000000001</v>
          </cell>
          <cell r="O3159">
            <v>3.036</v>
          </cell>
        </row>
        <row r="3160">
          <cell r="E3160" t="str">
            <v>CMCL</v>
          </cell>
          <cell r="F3160" t="str">
            <v>CMCL-C</v>
          </cell>
          <cell r="G3160">
            <v>121</v>
          </cell>
          <cell r="H3160" t="str">
            <v>CMCL-C121</v>
          </cell>
          <cell r="K3160" t="str">
            <v>Shannon,Jacquelyn Marie</v>
          </cell>
          <cell r="N3160">
            <v>3.125</v>
          </cell>
          <cell r="O3160">
            <v>2.7650000000000001</v>
          </cell>
        </row>
        <row r="3161">
          <cell r="E3161" t="str">
            <v>CMCL</v>
          </cell>
          <cell r="F3161" t="str">
            <v>CMCL-C</v>
          </cell>
          <cell r="G3161">
            <v>121</v>
          </cell>
          <cell r="H3161" t="str">
            <v>CMCL-C121</v>
          </cell>
          <cell r="K3161" t="str">
            <v>Sheaffer,Russell</v>
          </cell>
          <cell r="N3161">
            <v>3.4830000000000001</v>
          </cell>
          <cell r="O3161">
            <v>3.2639999999999998</v>
          </cell>
        </row>
        <row r="3162">
          <cell r="E3162" t="str">
            <v>CMCL</v>
          </cell>
          <cell r="F3162" t="str">
            <v>CMCL-C</v>
          </cell>
          <cell r="G3162">
            <v>121</v>
          </cell>
          <cell r="H3162" t="str">
            <v>CMCL-C121</v>
          </cell>
          <cell r="K3162" t="str">
            <v>Sheaffer,Russell</v>
          </cell>
          <cell r="N3162">
            <v>3.169</v>
          </cell>
          <cell r="O3162">
            <v>2.7280000000000002</v>
          </cell>
        </row>
        <row r="3163">
          <cell r="E3163" t="str">
            <v>CMCL</v>
          </cell>
          <cell r="F3163" t="str">
            <v>CMCL-C</v>
          </cell>
          <cell r="G3163">
            <v>121</v>
          </cell>
          <cell r="H3163" t="str">
            <v>CMCL-C121</v>
          </cell>
          <cell r="K3163" t="str">
            <v>Smith,Cynthia Duquette</v>
          </cell>
          <cell r="N3163">
            <v>3.254</v>
          </cell>
          <cell r="O3163">
            <v>2.9870000000000001</v>
          </cell>
        </row>
        <row r="3164">
          <cell r="E3164" t="str">
            <v>CMCL</v>
          </cell>
          <cell r="F3164" t="str">
            <v>CMCL-C</v>
          </cell>
          <cell r="G3164">
            <v>121</v>
          </cell>
          <cell r="H3164" t="str">
            <v>CMCL-C121</v>
          </cell>
          <cell r="K3164" t="str">
            <v>Sutherland,Bridget Anne</v>
          </cell>
          <cell r="N3164">
            <v>3.0950000000000002</v>
          </cell>
          <cell r="O3164">
            <v>3.1240000000000001</v>
          </cell>
        </row>
        <row r="3165">
          <cell r="E3165" t="str">
            <v>CMCL</v>
          </cell>
          <cell r="F3165" t="str">
            <v>CMCL-C</v>
          </cell>
          <cell r="G3165">
            <v>121</v>
          </cell>
          <cell r="H3165" t="str">
            <v>CMCL-C121</v>
          </cell>
          <cell r="K3165" t="str">
            <v>Sutherland,Bridget Anne</v>
          </cell>
          <cell r="N3165">
            <v>3.09</v>
          </cell>
          <cell r="O3165">
            <v>2.722</v>
          </cell>
        </row>
        <row r="3166">
          <cell r="E3166" t="str">
            <v>CMCL</v>
          </cell>
          <cell r="F3166" t="str">
            <v>CMCL-C</v>
          </cell>
          <cell r="G3166">
            <v>121</v>
          </cell>
          <cell r="H3166" t="str">
            <v>CMCL-C121</v>
          </cell>
          <cell r="K3166" t="str">
            <v>Tedholm,Miranda Joy</v>
          </cell>
          <cell r="N3166">
            <v>3.0350000000000001</v>
          </cell>
          <cell r="O3166">
            <v>3.11</v>
          </cell>
        </row>
        <row r="3167">
          <cell r="E3167" t="str">
            <v>CMCL</v>
          </cell>
          <cell r="F3167" t="str">
            <v>CMCL-C</v>
          </cell>
          <cell r="G3167">
            <v>121</v>
          </cell>
          <cell r="H3167" t="str">
            <v>CMCL-C121</v>
          </cell>
          <cell r="K3167" t="str">
            <v>Tedholm,Miranda Joy</v>
          </cell>
          <cell r="N3167">
            <v>3.1859999999999999</v>
          </cell>
          <cell r="O3167">
            <v>3.2160000000000002</v>
          </cell>
        </row>
        <row r="3168">
          <cell r="E3168" t="str">
            <v>CMCL</v>
          </cell>
          <cell r="F3168" t="str">
            <v>CMCL-C</v>
          </cell>
          <cell r="G3168">
            <v>121</v>
          </cell>
          <cell r="H3168" t="str">
            <v>CMCL-C121</v>
          </cell>
          <cell r="K3168" t="str">
            <v>Uhrich,Jonathan Andrew</v>
          </cell>
          <cell r="N3168">
            <v>3.145</v>
          </cell>
          <cell r="O3168">
            <v>2.907</v>
          </cell>
        </row>
        <row r="3169">
          <cell r="E3169" t="str">
            <v>CMCL</v>
          </cell>
          <cell r="F3169" t="str">
            <v>CMCL-C</v>
          </cell>
          <cell r="G3169">
            <v>121</v>
          </cell>
          <cell r="H3169" t="str">
            <v>CMCL-C121</v>
          </cell>
          <cell r="K3169" t="str">
            <v>Uhrich,Jonathan Andrew</v>
          </cell>
          <cell r="N3169">
            <v>3.0449999999999999</v>
          </cell>
          <cell r="O3169">
            <v>2.8839999999999999</v>
          </cell>
        </row>
        <row r="3170">
          <cell r="E3170" t="str">
            <v>CMCL</v>
          </cell>
          <cell r="F3170" t="str">
            <v>CMCL-C</v>
          </cell>
          <cell r="G3170">
            <v>121</v>
          </cell>
          <cell r="H3170" t="str">
            <v>CMCL-C121</v>
          </cell>
          <cell r="K3170" t="str">
            <v>Vasquez,Joshua Reade</v>
          </cell>
          <cell r="N3170">
            <v>3.5219999999999998</v>
          </cell>
          <cell r="O3170">
            <v>3.0550000000000002</v>
          </cell>
        </row>
        <row r="3171">
          <cell r="E3171" t="str">
            <v>CMCL</v>
          </cell>
          <cell r="F3171" t="str">
            <v>CMCL-C</v>
          </cell>
          <cell r="G3171">
            <v>121</v>
          </cell>
          <cell r="H3171" t="str">
            <v>CMCL-C121</v>
          </cell>
          <cell r="K3171" t="str">
            <v>Vasquez,Joshua Reade</v>
          </cell>
          <cell r="N3171">
            <v>3.2730000000000001</v>
          </cell>
          <cell r="O3171">
            <v>2.911</v>
          </cell>
        </row>
        <row r="3172">
          <cell r="E3172" t="str">
            <v>CMCL</v>
          </cell>
          <cell r="F3172" t="str">
            <v>CMCL-C</v>
          </cell>
          <cell r="G3172">
            <v>121</v>
          </cell>
          <cell r="H3172" t="str">
            <v>CMCL-C121</v>
          </cell>
          <cell r="K3172" t="str">
            <v>Vasquez,Joshua Reade</v>
          </cell>
          <cell r="N3172">
            <v>3.51</v>
          </cell>
          <cell r="O3172">
            <v>3.1160000000000001</v>
          </cell>
        </row>
        <row r="3173">
          <cell r="E3173" t="str">
            <v>CMCL</v>
          </cell>
          <cell r="F3173" t="str">
            <v>CMCL-C</v>
          </cell>
          <cell r="G3173">
            <v>121</v>
          </cell>
          <cell r="H3173" t="str">
            <v>CMCL-C121</v>
          </cell>
          <cell r="K3173" t="str">
            <v>Waddill,Alyssa Christine</v>
          </cell>
          <cell r="N3173">
            <v>2.87</v>
          </cell>
          <cell r="O3173">
            <v>2.8319999999999999</v>
          </cell>
        </row>
        <row r="3174">
          <cell r="E3174" t="str">
            <v>CMCL</v>
          </cell>
          <cell r="F3174" t="str">
            <v>CMCL-C</v>
          </cell>
          <cell r="G3174">
            <v>121</v>
          </cell>
          <cell r="H3174" t="str">
            <v>CMCL-C121</v>
          </cell>
          <cell r="K3174" t="str">
            <v>Woo,Yun Jin</v>
          </cell>
          <cell r="N3174">
            <v>2.97</v>
          </cell>
          <cell r="O3174">
            <v>2.9119999999999999</v>
          </cell>
        </row>
        <row r="3175">
          <cell r="E3175" t="str">
            <v>CMCL</v>
          </cell>
          <cell r="F3175" t="str">
            <v>CMCL-C</v>
          </cell>
          <cell r="G3175">
            <v>121</v>
          </cell>
          <cell r="H3175" t="str">
            <v>CMCL-C121</v>
          </cell>
          <cell r="K3175" t="str">
            <v>Zale,Jennifer Ann</v>
          </cell>
          <cell r="N3175">
            <v>3.56</v>
          </cell>
          <cell r="O3175">
            <v>3.202</v>
          </cell>
        </row>
        <row r="3176">
          <cell r="E3176" t="str">
            <v>CMCL</v>
          </cell>
          <cell r="F3176" t="str">
            <v>CMCL-C</v>
          </cell>
          <cell r="G3176">
            <v>121</v>
          </cell>
          <cell r="H3176" t="str">
            <v>CMCL-C121</v>
          </cell>
          <cell r="K3176" t="str">
            <v>Zale,Jennifer Ann</v>
          </cell>
          <cell r="N3176">
            <v>3.4620000000000002</v>
          </cell>
          <cell r="O3176">
            <v>2.9740000000000002</v>
          </cell>
        </row>
        <row r="3177">
          <cell r="E3177" t="str">
            <v>CMCL</v>
          </cell>
          <cell r="F3177" t="str">
            <v>CMCL-C</v>
          </cell>
          <cell r="G3177">
            <v>122</v>
          </cell>
          <cell r="H3177" t="str">
            <v>CMCL-C122</v>
          </cell>
          <cell r="K3177" t="str">
            <v>Bridges,Shana Marie</v>
          </cell>
          <cell r="N3177">
            <v>3.1669999999999998</v>
          </cell>
          <cell r="O3177">
            <v>2.5430000000000001</v>
          </cell>
        </row>
        <row r="3178">
          <cell r="E3178" t="str">
            <v>CMCL</v>
          </cell>
          <cell r="F3178" t="str">
            <v>CMCL-C</v>
          </cell>
          <cell r="G3178">
            <v>122</v>
          </cell>
          <cell r="H3178" t="str">
            <v>CMCL-C122</v>
          </cell>
          <cell r="K3178" t="str">
            <v>Bridges,Shana Marie</v>
          </cell>
          <cell r="N3178">
            <v>3.2170000000000001</v>
          </cell>
          <cell r="O3178">
            <v>2.9369999999999998</v>
          </cell>
        </row>
        <row r="3179">
          <cell r="E3179" t="str">
            <v>CMCL</v>
          </cell>
          <cell r="F3179" t="str">
            <v>CMCL-C</v>
          </cell>
          <cell r="G3179">
            <v>122</v>
          </cell>
          <cell r="H3179" t="str">
            <v>CMCL-C122</v>
          </cell>
          <cell r="K3179" t="str">
            <v>Campbell-Badger,Lindsey Nicole</v>
          </cell>
          <cell r="N3179">
            <v>3.2949999999999999</v>
          </cell>
          <cell r="O3179">
            <v>3.1139999999999999</v>
          </cell>
        </row>
        <row r="3180">
          <cell r="E3180" t="str">
            <v>CMCL</v>
          </cell>
          <cell r="F3180" t="str">
            <v>CMCL-C</v>
          </cell>
          <cell r="G3180">
            <v>122</v>
          </cell>
          <cell r="H3180" t="str">
            <v>CMCL-C122</v>
          </cell>
          <cell r="K3180" t="str">
            <v>Campbell-Badger,Lindsey Nicole</v>
          </cell>
          <cell r="N3180">
            <v>3.2040000000000002</v>
          </cell>
          <cell r="O3180">
            <v>3.2170000000000001</v>
          </cell>
        </row>
        <row r="3181">
          <cell r="E3181" t="str">
            <v>CMCL</v>
          </cell>
          <cell r="F3181" t="str">
            <v>CMCL-C</v>
          </cell>
          <cell r="G3181">
            <v>122</v>
          </cell>
          <cell r="H3181" t="str">
            <v>CMCL-C122</v>
          </cell>
          <cell r="K3181" t="str">
            <v>Chia,Aleena Leng An</v>
          </cell>
          <cell r="N3181">
            <v>2.4380000000000002</v>
          </cell>
          <cell r="O3181">
            <v>2.6379999999999999</v>
          </cell>
        </row>
        <row r="3182">
          <cell r="E3182" t="str">
            <v>CMCL</v>
          </cell>
          <cell r="F3182" t="str">
            <v>CMCL-C</v>
          </cell>
          <cell r="G3182">
            <v>122</v>
          </cell>
          <cell r="H3182" t="str">
            <v>CMCL-C122</v>
          </cell>
          <cell r="K3182" t="str">
            <v>Chia,Aleena Leng An</v>
          </cell>
          <cell r="N3182">
            <v>3.056</v>
          </cell>
          <cell r="O3182">
            <v>3.11</v>
          </cell>
        </row>
        <row r="3183">
          <cell r="E3183" t="str">
            <v>CMCL</v>
          </cell>
          <cell r="F3183" t="str">
            <v>CMCL-C</v>
          </cell>
          <cell r="G3183">
            <v>122</v>
          </cell>
          <cell r="H3183" t="str">
            <v>CMCL-C122</v>
          </cell>
          <cell r="K3183" t="str">
            <v>Chmielewska,Katarzyna</v>
          </cell>
          <cell r="N3183">
            <v>3.5</v>
          </cell>
          <cell r="O3183">
            <v>3.08</v>
          </cell>
        </row>
        <row r="3184">
          <cell r="E3184" t="str">
            <v>CMCL</v>
          </cell>
          <cell r="F3184" t="str">
            <v>CMCL-C</v>
          </cell>
          <cell r="G3184">
            <v>122</v>
          </cell>
          <cell r="H3184" t="str">
            <v>CMCL-C122</v>
          </cell>
          <cell r="K3184" t="str">
            <v>Chmielewska,Katarzyna</v>
          </cell>
          <cell r="N3184">
            <v>3.496</v>
          </cell>
          <cell r="O3184">
            <v>3.0329999999999999</v>
          </cell>
        </row>
        <row r="3185">
          <cell r="E3185" t="str">
            <v>CMCL</v>
          </cell>
          <cell r="F3185" t="str">
            <v>CMCL-C</v>
          </cell>
          <cell r="G3185">
            <v>122</v>
          </cell>
          <cell r="H3185" t="str">
            <v>CMCL-C122</v>
          </cell>
          <cell r="K3185" t="str">
            <v>Feaster,Patrick David</v>
          </cell>
          <cell r="N3185">
            <v>3.145</v>
          </cell>
          <cell r="O3185">
            <v>2.992</v>
          </cell>
        </row>
        <row r="3186">
          <cell r="E3186" t="str">
            <v>CMCL</v>
          </cell>
          <cell r="F3186" t="str">
            <v>CMCL-C</v>
          </cell>
          <cell r="G3186">
            <v>122</v>
          </cell>
          <cell r="H3186" t="str">
            <v>CMCL-C122</v>
          </cell>
          <cell r="K3186" t="str">
            <v>Feaster,Patrick David</v>
          </cell>
          <cell r="N3186">
            <v>3.1869999999999998</v>
          </cell>
          <cell r="O3186">
            <v>2.8980000000000001</v>
          </cell>
        </row>
        <row r="3187">
          <cell r="E3187" t="str">
            <v>CMCL</v>
          </cell>
          <cell r="F3187" t="str">
            <v>CMCL-C</v>
          </cell>
          <cell r="G3187">
            <v>122</v>
          </cell>
          <cell r="H3187" t="str">
            <v>CMCL-C122</v>
          </cell>
          <cell r="K3187" t="str">
            <v>Florini,Sarah Lynn</v>
          </cell>
          <cell r="N3187">
            <v>3.05</v>
          </cell>
          <cell r="O3187">
            <v>2.8439999999999999</v>
          </cell>
        </row>
        <row r="3188">
          <cell r="E3188" t="str">
            <v>CMCL</v>
          </cell>
          <cell r="F3188" t="str">
            <v>CMCL-C</v>
          </cell>
          <cell r="G3188">
            <v>122</v>
          </cell>
          <cell r="H3188" t="str">
            <v>CMCL-C122</v>
          </cell>
          <cell r="K3188" t="str">
            <v>Florini,Sarah Lynn</v>
          </cell>
          <cell r="N3188">
            <v>3.613</v>
          </cell>
          <cell r="O3188">
            <v>3.1379999999999999</v>
          </cell>
        </row>
        <row r="3189">
          <cell r="E3189" t="str">
            <v>CMCL</v>
          </cell>
          <cell r="F3189" t="str">
            <v>CMCL-C</v>
          </cell>
          <cell r="G3189">
            <v>122</v>
          </cell>
          <cell r="H3189" t="str">
            <v>CMCL-C122</v>
          </cell>
          <cell r="K3189" t="str">
            <v>Gray,Sara Marin</v>
          </cell>
          <cell r="N3189">
            <v>3.1960000000000002</v>
          </cell>
          <cell r="O3189">
            <v>2.9329999999999998</v>
          </cell>
        </row>
        <row r="3190">
          <cell r="E3190" t="str">
            <v>CMCL</v>
          </cell>
          <cell r="F3190" t="str">
            <v>CMCL-C</v>
          </cell>
          <cell r="G3190">
            <v>122</v>
          </cell>
          <cell r="H3190" t="str">
            <v>CMCL-C122</v>
          </cell>
          <cell r="K3190" t="str">
            <v>Gray,Sara Marin</v>
          </cell>
          <cell r="N3190">
            <v>3.1520000000000001</v>
          </cell>
          <cell r="O3190">
            <v>3.11</v>
          </cell>
        </row>
        <row r="3191">
          <cell r="E3191" t="str">
            <v>CMCL</v>
          </cell>
          <cell r="F3191" t="str">
            <v>CMCL-C</v>
          </cell>
          <cell r="G3191">
            <v>122</v>
          </cell>
          <cell r="H3191" t="str">
            <v>CMCL-C122</v>
          </cell>
          <cell r="K3191" t="str">
            <v>Hook,James R</v>
          </cell>
          <cell r="N3191">
            <v>3.516</v>
          </cell>
          <cell r="O3191">
            <v>3.044</v>
          </cell>
        </row>
        <row r="3192">
          <cell r="E3192" t="str">
            <v>CMCL</v>
          </cell>
          <cell r="F3192" t="str">
            <v>CMCL-C</v>
          </cell>
          <cell r="G3192">
            <v>122</v>
          </cell>
          <cell r="H3192" t="str">
            <v>CMCL-C122</v>
          </cell>
          <cell r="K3192" t="str">
            <v>Hook,James R</v>
          </cell>
          <cell r="N3192">
            <v>3.5</v>
          </cell>
          <cell r="O3192">
            <v>3.09</v>
          </cell>
        </row>
        <row r="3193">
          <cell r="E3193" t="str">
            <v>CMCL</v>
          </cell>
          <cell r="F3193" t="str">
            <v>CMCL-C</v>
          </cell>
          <cell r="G3193">
            <v>122</v>
          </cell>
          <cell r="H3193" t="str">
            <v>CMCL-C122</v>
          </cell>
          <cell r="K3193" t="str">
            <v>Law,Martin Peter</v>
          </cell>
          <cell r="N3193">
            <v>3.0579999999999998</v>
          </cell>
          <cell r="O3193">
            <v>3.1859999999999999</v>
          </cell>
        </row>
        <row r="3194">
          <cell r="E3194" t="str">
            <v>CMCL</v>
          </cell>
          <cell r="F3194" t="str">
            <v>CMCL-C</v>
          </cell>
          <cell r="G3194">
            <v>122</v>
          </cell>
          <cell r="H3194" t="str">
            <v>CMCL-C122</v>
          </cell>
          <cell r="K3194" t="str">
            <v>Law,Martin Peter</v>
          </cell>
          <cell r="N3194">
            <v>3.0779999999999998</v>
          </cell>
          <cell r="O3194">
            <v>2.944</v>
          </cell>
        </row>
        <row r="3195">
          <cell r="E3195" t="str">
            <v>CMCL</v>
          </cell>
          <cell r="F3195" t="str">
            <v>CMCL-C</v>
          </cell>
          <cell r="G3195">
            <v>122</v>
          </cell>
          <cell r="H3195" t="str">
            <v>CMCL-C122</v>
          </cell>
          <cell r="K3195" t="str">
            <v>Mack,Abigail Jane</v>
          </cell>
          <cell r="N3195">
            <v>3.395</v>
          </cell>
          <cell r="O3195">
            <v>2.9729999999999999</v>
          </cell>
        </row>
        <row r="3196">
          <cell r="E3196" t="str">
            <v>CMCL</v>
          </cell>
          <cell r="F3196" t="str">
            <v>CMCL-C</v>
          </cell>
          <cell r="G3196">
            <v>122</v>
          </cell>
          <cell r="H3196" t="str">
            <v>CMCL-C122</v>
          </cell>
          <cell r="K3196" t="str">
            <v>Mack,Abigail Jane</v>
          </cell>
          <cell r="N3196">
            <v>2.891</v>
          </cell>
          <cell r="O3196">
            <v>2.8559999999999999</v>
          </cell>
        </row>
        <row r="3197">
          <cell r="E3197" t="str">
            <v>CMCL</v>
          </cell>
          <cell r="F3197" t="str">
            <v>CMCL-C</v>
          </cell>
          <cell r="G3197">
            <v>122</v>
          </cell>
          <cell r="H3197" t="str">
            <v>CMCL-C122</v>
          </cell>
          <cell r="K3197" t="str">
            <v>Mudiwa,Rudo Robin</v>
          </cell>
          <cell r="N3197">
            <v>2.95</v>
          </cell>
          <cell r="O3197">
            <v>2.7</v>
          </cell>
        </row>
        <row r="3198">
          <cell r="E3198" t="str">
            <v>CMCL</v>
          </cell>
          <cell r="F3198" t="str">
            <v>CMCL-C</v>
          </cell>
          <cell r="G3198">
            <v>122</v>
          </cell>
          <cell r="H3198" t="str">
            <v>CMCL-C122</v>
          </cell>
          <cell r="K3198" t="str">
            <v>Mudiwa,Rudo Robin</v>
          </cell>
          <cell r="N3198">
            <v>3.0619999999999998</v>
          </cell>
          <cell r="O3198">
            <v>2.6850000000000001</v>
          </cell>
        </row>
        <row r="3199">
          <cell r="E3199" t="str">
            <v>CMCL</v>
          </cell>
          <cell r="F3199" t="str">
            <v>CMCL-C</v>
          </cell>
          <cell r="G3199">
            <v>122</v>
          </cell>
          <cell r="H3199" t="str">
            <v>CMCL-C122</v>
          </cell>
          <cell r="K3199" t="str">
            <v>Perdue,Philip David</v>
          </cell>
          <cell r="N3199">
            <v>3.4430000000000001</v>
          </cell>
          <cell r="O3199">
            <v>3.2389999999999999</v>
          </cell>
        </row>
        <row r="3200">
          <cell r="E3200" t="str">
            <v>CMCL</v>
          </cell>
          <cell r="F3200" t="str">
            <v>CMCL-C</v>
          </cell>
          <cell r="G3200">
            <v>122</v>
          </cell>
          <cell r="H3200" t="str">
            <v>CMCL-C122</v>
          </cell>
          <cell r="K3200" t="str">
            <v>Perdue,Philip David</v>
          </cell>
          <cell r="N3200">
            <v>3.1819999999999999</v>
          </cell>
          <cell r="O3200">
            <v>2.9</v>
          </cell>
        </row>
        <row r="3201">
          <cell r="E3201" t="str">
            <v>CMCL</v>
          </cell>
          <cell r="F3201" t="str">
            <v>CMCL-C</v>
          </cell>
          <cell r="G3201">
            <v>122</v>
          </cell>
          <cell r="H3201" t="str">
            <v>CMCL-C122</v>
          </cell>
          <cell r="K3201" t="str">
            <v>Robinson,Jennifer Meta</v>
          </cell>
          <cell r="N3201">
            <v>3.0190000000000001</v>
          </cell>
          <cell r="O3201">
            <v>2.8919999999999999</v>
          </cell>
        </row>
        <row r="3202">
          <cell r="E3202" t="str">
            <v>CMCL</v>
          </cell>
          <cell r="F3202" t="str">
            <v>CMCL-C</v>
          </cell>
          <cell r="G3202">
            <v>122</v>
          </cell>
          <cell r="H3202" t="str">
            <v>CMCL-C122</v>
          </cell>
          <cell r="K3202" t="str">
            <v>Rooks,Isaac James</v>
          </cell>
          <cell r="N3202">
            <v>3.4620000000000002</v>
          </cell>
          <cell r="O3202">
            <v>2.7970000000000002</v>
          </cell>
        </row>
        <row r="3203">
          <cell r="E3203" t="str">
            <v>CMCL</v>
          </cell>
          <cell r="F3203" t="str">
            <v>CMCL-C</v>
          </cell>
          <cell r="G3203">
            <v>122</v>
          </cell>
          <cell r="H3203" t="str">
            <v>CMCL-C122</v>
          </cell>
          <cell r="K3203" t="str">
            <v>Rooks,Isaac James</v>
          </cell>
          <cell r="N3203">
            <v>3.5049999999999999</v>
          </cell>
          <cell r="O3203">
            <v>2.927</v>
          </cell>
        </row>
        <row r="3204">
          <cell r="E3204" t="str">
            <v>CMCL</v>
          </cell>
          <cell r="F3204" t="str">
            <v>CMCL-C</v>
          </cell>
          <cell r="G3204">
            <v>122</v>
          </cell>
          <cell r="H3204" t="str">
            <v>CMCL-C122</v>
          </cell>
          <cell r="K3204" t="str">
            <v>Rosplock,Daniel Joseph</v>
          </cell>
          <cell r="N3204">
            <v>3.0249999999999999</v>
          </cell>
          <cell r="O3204">
            <v>2.8460000000000001</v>
          </cell>
        </row>
        <row r="3205">
          <cell r="E3205" t="str">
            <v>CMCL</v>
          </cell>
          <cell r="F3205" t="str">
            <v>CMCL-C</v>
          </cell>
          <cell r="G3205">
            <v>122</v>
          </cell>
          <cell r="H3205" t="str">
            <v>CMCL-C122</v>
          </cell>
          <cell r="K3205" t="str">
            <v>Rosplock,Daniel Joseph</v>
          </cell>
          <cell r="N3205">
            <v>3.4220000000000002</v>
          </cell>
          <cell r="O3205">
            <v>3.024</v>
          </cell>
        </row>
        <row r="3206">
          <cell r="E3206" t="str">
            <v>CMCL</v>
          </cell>
          <cell r="F3206" t="str">
            <v>CMCL-C</v>
          </cell>
          <cell r="G3206">
            <v>122</v>
          </cell>
          <cell r="H3206" t="str">
            <v>CMCL-C122</v>
          </cell>
          <cell r="K3206" t="str">
            <v>Shannon,Jacquelyn Marie</v>
          </cell>
          <cell r="N3206">
            <v>3.1360000000000001</v>
          </cell>
          <cell r="O3206">
            <v>3.024</v>
          </cell>
        </row>
        <row r="3207">
          <cell r="E3207" t="str">
            <v>CMCL</v>
          </cell>
          <cell r="F3207" t="str">
            <v>CMCL-C</v>
          </cell>
          <cell r="G3207">
            <v>122</v>
          </cell>
          <cell r="H3207" t="str">
            <v>CMCL-C122</v>
          </cell>
          <cell r="K3207" t="str">
            <v>Shannon,Jacquelyn Marie</v>
          </cell>
          <cell r="N3207">
            <v>3.2389999999999999</v>
          </cell>
          <cell r="O3207">
            <v>3.0459999999999998</v>
          </cell>
        </row>
        <row r="3208">
          <cell r="E3208" t="str">
            <v>CMCL</v>
          </cell>
          <cell r="F3208" t="str">
            <v>CMCL-C</v>
          </cell>
          <cell r="G3208">
            <v>122</v>
          </cell>
          <cell r="H3208" t="str">
            <v>CMCL-C122</v>
          </cell>
          <cell r="K3208" t="str">
            <v>Wieskamp,Valerie Nicole</v>
          </cell>
          <cell r="N3208">
            <v>3.2909999999999999</v>
          </cell>
          <cell r="O3208">
            <v>2.8730000000000002</v>
          </cell>
        </row>
        <row r="3209">
          <cell r="E3209" t="str">
            <v>CMCL</v>
          </cell>
          <cell r="F3209" t="str">
            <v>CMCL-C</v>
          </cell>
          <cell r="G3209">
            <v>122</v>
          </cell>
          <cell r="H3209" t="str">
            <v>CMCL-C122</v>
          </cell>
          <cell r="K3209" t="str">
            <v>Wieskamp,Valerie Nicole</v>
          </cell>
          <cell r="N3209">
            <v>3.1880000000000002</v>
          </cell>
          <cell r="O3209">
            <v>2.5110000000000001</v>
          </cell>
        </row>
        <row r="3210">
          <cell r="E3210" t="str">
            <v>CMCL</v>
          </cell>
          <cell r="F3210" t="str">
            <v>CMCL-C</v>
          </cell>
          <cell r="G3210">
            <v>122</v>
          </cell>
          <cell r="H3210" t="str">
            <v>CMCL-C122</v>
          </cell>
          <cell r="K3210" t="str">
            <v>Williams,Katherine Hicks</v>
          </cell>
          <cell r="N3210">
            <v>3.2519999999999998</v>
          </cell>
          <cell r="O3210">
            <v>2.7919999999999998</v>
          </cell>
        </row>
        <row r="3211">
          <cell r="E3211" t="str">
            <v>CMCL</v>
          </cell>
          <cell r="F3211" t="str">
            <v>CMCL-C</v>
          </cell>
          <cell r="G3211">
            <v>122</v>
          </cell>
          <cell r="H3211" t="str">
            <v>CMCL-C122</v>
          </cell>
          <cell r="K3211" t="str">
            <v>Williams,Katherine Hicks</v>
          </cell>
          <cell r="N3211">
            <v>3.3450000000000002</v>
          </cell>
          <cell r="O3211">
            <v>2.9609999999999999</v>
          </cell>
        </row>
        <row r="3212">
          <cell r="E3212" t="str">
            <v>CMCL</v>
          </cell>
          <cell r="F3212" t="str">
            <v>CMCL-C</v>
          </cell>
          <cell r="G3212">
            <v>122</v>
          </cell>
          <cell r="H3212" t="str">
            <v>CMCL-C122</v>
          </cell>
          <cell r="K3212" t="str">
            <v>Young,Bryan-Mitchell</v>
          </cell>
          <cell r="N3212">
            <v>3.53</v>
          </cell>
          <cell r="O3212">
            <v>2.992</v>
          </cell>
        </row>
        <row r="3213">
          <cell r="E3213" t="str">
            <v>CMCL</v>
          </cell>
          <cell r="F3213" t="str">
            <v>CMCL-C</v>
          </cell>
          <cell r="G3213">
            <v>122</v>
          </cell>
          <cell r="H3213" t="str">
            <v>CMCL-C122</v>
          </cell>
          <cell r="K3213" t="str">
            <v>Young,Bryan-Mitchell</v>
          </cell>
          <cell r="N3213">
            <v>3.4359999999999999</v>
          </cell>
          <cell r="O3213">
            <v>2.855</v>
          </cell>
        </row>
        <row r="3214">
          <cell r="E3214" t="str">
            <v>CMCL</v>
          </cell>
          <cell r="F3214" t="str">
            <v>CMCL-C</v>
          </cell>
          <cell r="G3214">
            <v>122</v>
          </cell>
          <cell r="H3214" t="str">
            <v>CMCL-C122</v>
          </cell>
          <cell r="K3214" t="str">
            <v>Young,Bryan-Mitchell</v>
          </cell>
          <cell r="N3214">
            <v>3.359</v>
          </cell>
          <cell r="O3214">
            <v>3.1930000000000001</v>
          </cell>
        </row>
        <row r="3215">
          <cell r="E3215" t="str">
            <v>CMCL</v>
          </cell>
          <cell r="F3215" t="str">
            <v>CMCL-C</v>
          </cell>
          <cell r="G3215">
            <v>122</v>
          </cell>
          <cell r="H3215" t="str">
            <v>CMCL-C122</v>
          </cell>
          <cell r="K3215" t="str">
            <v>Young,Bryan-Mitchell</v>
          </cell>
          <cell r="N3215">
            <v>3.1429999999999998</v>
          </cell>
          <cell r="O3215">
            <v>2.8050000000000002</v>
          </cell>
        </row>
        <row r="3216">
          <cell r="E3216" t="str">
            <v>CMCL</v>
          </cell>
          <cell r="F3216" t="str">
            <v>CMCL-C</v>
          </cell>
          <cell r="G3216">
            <v>122</v>
          </cell>
          <cell r="H3216" t="str">
            <v>CMCL-C122</v>
          </cell>
          <cell r="K3216" t="str">
            <v>Zobel,George Eric</v>
          </cell>
          <cell r="N3216">
            <v>3.157</v>
          </cell>
          <cell r="O3216">
            <v>3.0790000000000002</v>
          </cell>
        </row>
        <row r="3217">
          <cell r="E3217" t="str">
            <v>CMCL</v>
          </cell>
          <cell r="F3217" t="str">
            <v>CMCL-C</v>
          </cell>
          <cell r="G3217">
            <v>122</v>
          </cell>
          <cell r="H3217" t="str">
            <v>CMCL-C122</v>
          </cell>
          <cell r="K3217" t="str">
            <v>Zobel,George Eric</v>
          </cell>
          <cell r="N3217">
            <v>3.4129999999999998</v>
          </cell>
          <cell r="O3217">
            <v>3.0990000000000002</v>
          </cell>
        </row>
        <row r="3218">
          <cell r="E3218" t="str">
            <v>CMCL</v>
          </cell>
          <cell r="F3218" t="str">
            <v>CMCL-C</v>
          </cell>
          <cell r="G3218">
            <v>190</v>
          </cell>
          <cell r="H3218" t="str">
            <v>CMCL-C190</v>
          </cell>
          <cell r="K3218" t="str">
            <v>Church,David Ryan</v>
          </cell>
          <cell r="N3218">
            <v>3.2250000000000001</v>
          </cell>
          <cell r="O3218">
            <v>2.58</v>
          </cell>
        </row>
        <row r="3219">
          <cell r="E3219" t="str">
            <v>CMCL</v>
          </cell>
          <cell r="F3219" t="str">
            <v>CMCL-C</v>
          </cell>
          <cell r="G3219">
            <v>190</v>
          </cell>
          <cell r="H3219" t="str">
            <v>CMCL-C190</v>
          </cell>
          <cell r="K3219" t="str">
            <v>Church,David Ryan</v>
          </cell>
          <cell r="N3219">
            <v>3.2829999999999999</v>
          </cell>
          <cell r="O3219">
            <v>3.0019999999999998</v>
          </cell>
        </row>
        <row r="3220">
          <cell r="E3220" t="str">
            <v>CMCL</v>
          </cell>
          <cell r="F3220" t="str">
            <v>CMCL-C</v>
          </cell>
          <cell r="G3220">
            <v>190</v>
          </cell>
          <cell r="H3220" t="str">
            <v>CMCL-C190</v>
          </cell>
          <cell r="K3220" t="str">
            <v>Coonrod,Joshua Ryan</v>
          </cell>
          <cell r="N3220">
            <v>2.6890000000000001</v>
          </cell>
          <cell r="O3220">
            <v>2.867</v>
          </cell>
        </row>
        <row r="3221">
          <cell r="E3221" t="str">
            <v>CMCL</v>
          </cell>
          <cell r="F3221" t="str">
            <v>CMCL-C</v>
          </cell>
          <cell r="G3221">
            <v>190</v>
          </cell>
          <cell r="H3221" t="str">
            <v>CMCL-C190</v>
          </cell>
          <cell r="K3221" t="str">
            <v>Coonrod,Joshua Ryan</v>
          </cell>
          <cell r="N3221">
            <v>2.59</v>
          </cell>
          <cell r="O3221">
            <v>2.9470000000000001</v>
          </cell>
        </row>
        <row r="3222">
          <cell r="E3222" t="str">
            <v>CMCL</v>
          </cell>
          <cell r="F3222" t="str">
            <v>CMCL-C</v>
          </cell>
          <cell r="G3222">
            <v>190</v>
          </cell>
          <cell r="H3222" t="str">
            <v>CMCL-C190</v>
          </cell>
          <cell r="K3222" t="str">
            <v>Coonrod,Joshua Ryan</v>
          </cell>
          <cell r="N3222">
            <v>2.4220000000000002</v>
          </cell>
          <cell r="O3222">
            <v>2.9449999999999998</v>
          </cell>
        </row>
        <row r="3223">
          <cell r="E3223" t="str">
            <v>CMCL</v>
          </cell>
          <cell r="F3223" t="str">
            <v>CMCL-C</v>
          </cell>
          <cell r="G3223">
            <v>190</v>
          </cell>
          <cell r="H3223" t="str">
            <v>CMCL-C190</v>
          </cell>
          <cell r="K3223" t="str">
            <v>Coonrod,Joshua Ryan</v>
          </cell>
          <cell r="N3223">
            <v>2.6779999999999999</v>
          </cell>
          <cell r="O3223">
            <v>3.1379999999999999</v>
          </cell>
        </row>
        <row r="3224">
          <cell r="E3224" t="str">
            <v>CMCL</v>
          </cell>
          <cell r="F3224" t="str">
            <v>CMCL-C</v>
          </cell>
          <cell r="G3224">
            <v>190</v>
          </cell>
          <cell r="H3224" t="str">
            <v>CMCL-C190</v>
          </cell>
          <cell r="K3224" t="str">
            <v>Lavelle,Julie A</v>
          </cell>
          <cell r="N3224">
            <v>2.613</v>
          </cell>
          <cell r="O3224">
            <v>2.746</v>
          </cell>
        </row>
        <row r="3225">
          <cell r="E3225" t="str">
            <v>CMCL</v>
          </cell>
          <cell r="F3225" t="str">
            <v>CMCL-C</v>
          </cell>
          <cell r="G3225">
            <v>190</v>
          </cell>
          <cell r="H3225" t="str">
            <v>CMCL-C190</v>
          </cell>
          <cell r="K3225" t="str">
            <v>Lavelle,Julie A</v>
          </cell>
          <cell r="N3225">
            <v>2.98</v>
          </cell>
          <cell r="O3225">
            <v>2.956</v>
          </cell>
        </row>
        <row r="3226">
          <cell r="E3226" t="str">
            <v>CMCL</v>
          </cell>
          <cell r="F3226" t="str">
            <v>CMCL-C</v>
          </cell>
          <cell r="G3226">
            <v>190</v>
          </cell>
          <cell r="H3226" t="str">
            <v>CMCL-C190</v>
          </cell>
          <cell r="K3226" t="str">
            <v>Lavelle,Julie A</v>
          </cell>
          <cell r="N3226">
            <v>3.2480000000000002</v>
          </cell>
          <cell r="O3226">
            <v>3.069</v>
          </cell>
        </row>
        <row r="3227">
          <cell r="E3227" t="str">
            <v>CMCL</v>
          </cell>
          <cell r="F3227" t="str">
            <v>CMCL-C</v>
          </cell>
          <cell r="G3227">
            <v>190</v>
          </cell>
          <cell r="H3227" t="str">
            <v>CMCL-C190</v>
          </cell>
          <cell r="K3227" t="str">
            <v>Lavelle,Julie A</v>
          </cell>
          <cell r="N3227">
            <v>3.1459999999999999</v>
          </cell>
          <cell r="O3227">
            <v>2.9710000000000001</v>
          </cell>
        </row>
        <row r="3228">
          <cell r="E3228" t="str">
            <v>CMCL</v>
          </cell>
          <cell r="F3228" t="str">
            <v>CMCL-C</v>
          </cell>
          <cell r="G3228">
            <v>190</v>
          </cell>
          <cell r="H3228" t="str">
            <v>CMCL-C190</v>
          </cell>
          <cell r="K3228" t="str">
            <v>Palmer,Landon A</v>
          </cell>
          <cell r="N3228">
            <v>3.1779999999999999</v>
          </cell>
          <cell r="O3228">
            <v>3.012</v>
          </cell>
        </row>
        <row r="3229">
          <cell r="E3229" t="str">
            <v>CMCL</v>
          </cell>
          <cell r="F3229" t="str">
            <v>CMCL-C</v>
          </cell>
          <cell r="G3229">
            <v>190</v>
          </cell>
          <cell r="H3229" t="str">
            <v>CMCL-C190</v>
          </cell>
          <cell r="K3229" t="str">
            <v>Palmer,Landon A</v>
          </cell>
          <cell r="N3229">
            <v>3.0139999999999998</v>
          </cell>
          <cell r="O3229">
            <v>2.9470000000000001</v>
          </cell>
        </row>
        <row r="3230">
          <cell r="E3230" t="str">
            <v>CMCL</v>
          </cell>
          <cell r="F3230" t="str">
            <v>CMCL-C</v>
          </cell>
          <cell r="G3230">
            <v>190</v>
          </cell>
          <cell r="H3230" t="str">
            <v>CMCL-C190</v>
          </cell>
          <cell r="K3230" t="str">
            <v>Rossman,Margaret Marian</v>
          </cell>
          <cell r="N3230">
            <v>2.859</v>
          </cell>
          <cell r="O3230">
            <v>3.0329999999999999</v>
          </cell>
        </row>
        <row r="3231">
          <cell r="E3231" t="str">
            <v>CMCL</v>
          </cell>
          <cell r="F3231" t="str">
            <v>CMCL-C</v>
          </cell>
          <cell r="G3231">
            <v>190</v>
          </cell>
          <cell r="H3231" t="str">
            <v>CMCL-C190</v>
          </cell>
          <cell r="K3231" t="str">
            <v>Rossman,Margaret Marian</v>
          </cell>
          <cell r="N3231">
            <v>2.4449999999999998</v>
          </cell>
          <cell r="O3231">
            <v>2.7909999999999999</v>
          </cell>
        </row>
        <row r="3232">
          <cell r="E3232" t="str">
            <v>CMCL</v>
          </cell>
          <cell r="F3232" t="str">
            <v>CMCL-C</v>
          </cell>
          <cell r="G3232">
            <v>190</v>
          </cell>
          <cell r="H3232" t="str">
            <v>CMCL-C190</v>
          </cell>
          <cell r="K3232" t="str">
            <v>Yasar,Sabahat Zeynep</v>
          </cell>
          <cell r="N3232">
            <v>2.2679999999999998</v>
          </cell>
          <cell r="O3232">
            <v>2.7410000000000001</v>
          </cell>
        </row>
        <row r="3233">
          <cell r="E3233" t="str">
            <v>CMCL</v>
          </cell>
          <cell r="F3233" t="str">
            <v>CMCL-C</v>
          </cell>
          <cell r="G3233">
            <v>190</v>
          </cell>
          <cell r="H3233" t="str">
            <v>CMCL-C190</v>
          </cell>
          <cell r="K3233" t="str">
            <v>Yasar,Sabahat Zeynep</v>
          </cell>
          <cell r="N3233">
            <v>2.6459999999999999</v>
          </cell>
          <cell r="O3233">
            <v>2.8130000000000002</v>
          </cell>
        </row>
        <row r="3234">
          <cell r="E3234" t="str">
            <v>CMCL</v>
          </cell>
          <cell r="F3234" t="str">
            <v>CMCL-C</v>
          </cell>
          <cell r="G3234">
            <v>190</v>
          </cell>
          <cell r="H3234" t="str">
            <v>CMCL-C190</v>
          </cell>
          <cell r="K3234" t="str">
            <v>Yasar,Sabahat Zeynep</v>
          </cell>
          <cell r="N3234">
            <v>2.2570000000000001</v>
          </cell>
          <cell r="O3234">
            <v>2.552</v>
          </cell>
        </row>
        <row r="3235">
          <cell r="E3235" t="str">
            <v>CMCL</v>
          </cell>
          <cell r="F3235" t="str">
            <v>CMCL-C</v>
          </cell>
          <cell r="G3235">
            <v>190</v>
          </cell>
          <cell r="H3235" t="str">
            <v>CMCL-C190</v>
          </cell>
          <cell r="K3235" t="str">
            <v>Yasar,Sabahat Zeynep</v>
          </cell>
          <cell r="N3235">
            <v>2.391</v>
          </cell>
          <cell r="O3235">
            <v>2.831</v>
          </cell>
        </row>
        <row r="3236">
          <cell r="E3236" t="str">
            <v>CMCL</v>
          </cell>
          <cell r="F3236" t="str">
            <v>CMCL-C</v>
          </cell>
          <cell r="G3236">
            <v>190</v>
          </cell>
          <cell r="H3236" t="str">
            <v>CMCL-C190</v>
          </cell>
          <cell r="K3236" t="str">
            <v>Zale,Jennifer Ann</v>
          </cell>
          <cell r="N3236">
            <v>3.1749999999999998</v>
          </cell>
          <cell r="O3236">
            <v>2.9710000000000001</v>
          </cell>
        </row>
        <row r="3237">
          <cell r="E3237" t="str">
            <v>CMCL</v>
          </cell>
          <cell r="F3237" t="str">
            <v>CMCL-C</v>
          </cell>
          <cell r="G3237">
            <v>190</v>
          </cell>
          <cell r="H3237" t="str">
            <v>CMCL-C190</v>
          </cell>
          <cell r="K3237" t="str">
            <v>Zale,Jennifer Ann</v>
          </cell>
          <cell r="N3237">
            <v>3.1379999999999999</v>
          </cell>
          <cell r="O3237">
            <v>3.157</v>
          </cell>
        </row>
        <row r="3238">
          <cell r="E3238" t="str">
            <v>CMCL</v>
          </cell>
          <cell r="F3238" t="str">
            <v>CMCL-C</v>
          </cell>
          <cell r="G3238">
            <v>190</v>
          </cell>
          <cell r="H3238" t="str">
            <v>CMCL-C190</v>
          </cell>
          <cell r="K3238" t="str">
            <v>Zobel,George Eric</v>
          </cell>
          <cell r="N3238">
            <v>3.2610000000000001</v>
          </cell>
          <cell r="O3238">
            <v>3.0379999999999998</v>
          </cell>
        </row>
        <row r="3239">
          <cell r="E3239" t="str">
            <v>CMCL</v>
          </cell>
          <cell r="F3239" t="str">
            <v>CMCL-C</v>
          </cell>
          <cell r="G3239">
            <v>190</v>
          </cell>
          <cell r="H3239" t="str">
            <v>CMCL-C190</v>
          </cell>
          <cell r="K3239" t="str">
            <v>Zobel,George Eric</v>
          </cell>
          <cell r="N3239">
            <v>3.3570000000000002</v>
          </cell>
          <cell r="O3239">
            <v>3.0939999999999999</v>
          </cell>
        </row>
        <row r="3240">
          <cell r="E3240" t="str">
            <v>CMCL</v>
          </cell>
          <cell r="F3240" t="str">
            <v>CMCL-C</v>
          </cell>
          <cell r="G3240">
            <v>201</v>
          </cell>
          <cell r="H3240" t="str">
            <v>CMCL-C201</v>
          </cell>
          <cell r="K3240" t="str">
            <v>Jones,Jennifer Lynn</v>
          </cell>
          <cell r="N3240">
            <v>2.8809999999999998</v>
          </cell>
          <cell r="O3240">
            <v>2.8260000000000001</v>
          </cell>
        </row>
        <row r="3241">
          <cell r="E3241" t="str">
            <v>CMCL</v>
          </cell>
          <cell r="F3241" t="str">
            <v>CMCL-C</v>
          </cell>
          <cell r="G3241">
            <v>201</v>
          </cell>
          <cell r="H3241" t="str">
            <v>CMCL-C201</v>
          </cell>
          <cell r="K3241" t="str">
            <v>Palmer,Lorrie</v>
          </cell>
          <cell r="N3241">
            <v>3.1030000000000002</v>
          </cell>
          <cell r="O3241">
            <v>2.9060000000000001</v>
          </cell>
        </row>
        <row r="3242">
          <cell r="E3242" t="str">
            <v>CMCL</v>
          </cell>
          <cell r="F3242" t="str">
            <v>CMCL-C</v>
          </cell>
          <cell r="G3242">
            <v>202</v>
          </cell>
          <cell r="H3242" t="str">
            <v>CMCL-C202</v>
          </cell>
          <cell r="K3242" t="str">
            <v>Feaster,Patrick David</v>
          </cell>
          <cell r="N3242">
            <v>2.9809999999999999</v>
          </cell>
          <cell r="O3242">
            <v>2.9990000000000001</v>
          </cell>
        </row>
        <row r="3243">
          <cell r="E3243" t="str">
            <v>CMCL</v>
          </cell>
          <cell r="F3243" t="str">
            <v>CMCL-C</v>
          </cell>
          <cell r="G3243">
            <v>203</v>
          </cell>
          <cell r="H3243" t="str">
            <v>CMCL-C203</v>
          </cell>
          <cell r="K3243" t="str">
            <v>Vasquez,Joshua Reade</v>
          </cell>
          <cell r="N3243">
            <v>3.2360000000000002</v>
          </cell>
          <cell r="O3243">
            <v>2.948</v>
          </cell>
        </row>
        <row r="3244">
          <cell r="E3244" t="str">
            <v>CMCL</v>
          </cell>
          <cell r="F3244" t="str">
            <v>CMCL-C</v>
          </cell>
          <cell r="G3244">
            <v>204</v>
          </cell>
          <cell r="H3244" t="str">
            <v>CMCL-C204</v>
          </cell>
          <cell r="K3244" t="str">
            <v>Rivers,Jessica Alice</v>
          </cell>
          <cell r="N3244">
            <v>2.976</v>
          </cell>
          <cell r="O3244">
            <v>2.944</v>
          </cell>
        </row>
        <row r="3245">
          <cell r="E3245" t="str">
            <v>CMCL</v>
          </cell>
          <cell r="F3245" t="str">
            <v>CMCL-C</v>
          </cell>
          <cell r="G3245">
            <v>205</v>
          </cell>
          <cell r="H3245" t="str">
            <v>CMCL-C205</v>
          </cell>
          <cell r="K3245" t="str">
            <v>Bridges,Shana Marie</v>
          </cell>
          <cell r="N3245">
            <v>3.4319999999999999</v>
          </cell>
          <cell r="O3245">
            <v>3.1459999999999999</v>
          </cell>
        </row>
        <row r="3246">
          <cell r="E3246" t="str">
            <v>CMCL</v>
          </cell>
          <cell r="F3246" t="str">
            <v>CMCL-C</v>
          </cell>
          <cell r="G3246">
            <v>205</v>
          </cell>
          <cell r="H3246" t="str">
            <v>CMCL-C205</v>
          </cell>
          <cell r="K3246" t="str">
            <v>Golan Jr,Antonio</v>
          </cell>
          <cell r="N3246">
            <v>2.7480000000000002</v>
          </cell>
          <cell r="O3246">
            <v>2.98</v>
          </cell>
        </row>
        <row r="3247">
          <cell r="E3247" t="str">
            <v>CMCL</v>
          </cell>
          <cell r="F3247" t="str">
            <v>CMCL-C</v>
          </cell>
          <cell r="G3247">
            <v>205</v>
          </cell>
          <cell r="H3247" t="str">
            <v>CMCL-C205</v>
          </cell>
          <cell r="K3247" t="str">
            <v>Gordon,Jeremy Gail</v>
          </cell>
          <cell r="N3247">
            <v>2.7890000000000001</v>
          </cell>
          <cell r="O3247">
            <v>2.9750000000000001</v>
          </cell>
        </row>
        <row r="3248">
          <cell r="E3248" t="str">
            <v>CMCL</v>
          </cell>
          <cell r="F3248" t="str">
            <v>CMCL-C</v>
          </cell>
          <cell r="G3248">
            <v>205</v>
          </cell>
          <cell r="H3248" t="str">
            <v>CMCL-C205</v>
          </cell>
          <cell r="K3248" t="str">
            <v>McGuffey,James Coleman</v>
          </cell>
          <cell r="N3248">
            <v>2.7909999999999999</v>
          </cell>
          <cell r="O3248">
            <v>3.1440000000000001</v>
          </cell>
        </row>
        <row r="3249">
          <cell r="E3249" t="str">
            <v>CMCL</v>
          </cell>
          <cell r="F3249" t="str">
            <v>CMCL-C</v>
          </cell>
          <cell r="G3249">
            <v>205</v>
          </cell>
          <cell r="H3249" t="str">
            <v>CMCL-C205</v>
          </cell>
          <cell r="K3249" t="str">
            <v>Terrill,Robert E.</v>
          </cell>
          <cell r="N3249">
            <v>2.7490000000000001</v>
          </cell>
          <cell r="O3249">
            <v>2.927</v>
          </cell>
        </row>
        <row r="3250">
          <cell r="E3250" t="str">
            <v>CMCL</v>
          </cell>
          <cell r="F3250" t="str">
            <v>CMCL-C</v>
          </cell>
          <cell r="G3250">
            <v>205</v>
          </cell>
          <cell r="H3250" t="str">
            <v>CMCL-C205</v>
          </cell>
          <cell r="K3250" t="str">
            <v>Walsh,Bryan Thomas</v>
          </cell>
          <cell r="N3250">
            <v>3.5259999999999998</v>
          </cell>
          <cell r="O3250">
            <v>3.1160000000000001</v>
          </cell>
        </row>
        <row r="3251">
          <cell r="E3251" t="str">
            <v>CMCL</v>
          </cell>
          <cell r="F3251" t="str">
            <v>CMCL-C</v>
          </cell>
          <cell r="G3251">
            <v>207</v>
          </cell>
          <cell r="H3251" t="str">
            <v>CMCL-C207</v>
          </cell>
          <cell r="K3251" t="str">
            <v>Chmielewska,Katarzyna</v>
          </cell>
          <cell r="N3251">
            <v>3.2170000000000001</v>
          </cell>
          <cell r="O3251">
            <v>3.105</v>
          </cell>
        </row>
        <row r="3252">
          <cell r="E3252" t="str">
            <v>CMCL</v>
          </cell>
          <cell r="F3252" t="str">
            <v>CMCL-C</v>
          </cell>
          <cell r="G3252">
            <v>207</v>
          </cell>
          <cell r="H3252" t="str">
            <v>CMCL-C207</v>
          </cell>
          <cell r="K3252" t="str">
            <v>Lepselter,Susan Claudia</v>
          </cell>
          <cell r="N3252">
            <v>3.7290000000000001</v>
          </cell>
          <cell r="O3252">
            <v>3.117</v>
          </cell>
        </row>
        <row r="3253">
          <cell r="E3253" t="str">
            <v>CMCL</v>
          </cell>
          <cell r="F3253" t="str">
            <v>CMCL-C</v>
          </cell>
          <cell r="G3253">
            <v>208</v>
          </cell>
          <cell r="H3253" t="str">
            <v>CMCL-C208</v>
          </cell>
          <cell r="K3253" t="str">
            <v>Simons,Jon</v>
          </cell>
          <cell r="N3253">
            <v>3.3180000000000001</v>
          </cell>
          <cell r="O3253">
            <v>3.0430000000000001</v>
          </cell>
        </row>
        <row r="3254">
          <cell r="E3254" t="str">
            <v>CMCL</v>
          </cell>
          <cell r="F3254" t="str">
            <v>CMCL-C</v>
          </cell>
          <cell r="G3254">
            <v>209</v>
          </cell>
          <cell r="H3254" t="str">
            <v>CMCL-C209</v>
          </cell>
          <cell r="K3254" t="str">
            <v>Gilbert,Christopher John</v>
          </cell>
          <cell r="N3254">
            <v>3.258</v>
          </cell>
          <cell r="O3254">
            <v>3.0760000000000001</v>
          </cell>
        </row>
        <row r="3255">
          <cell r="E3255" t="str">
            <v>CMCL</v>
          </cell>
          <cell r="F3255" t="str">
            <v>CMCL-C</v>
          </cell>
          <cell r="G3255">
            <v>209</v>
          </cell>
          <cell r="H3255" t="str">
            <v>CMCL-C209</v>
          </cell>
          <cell r="K3255" t="str">
            <v>Terrill,Robert E.</v>
          </cell>
          <cell r="N3255">
            <v>3.3079999999999998</v>
          </cell>
          <cell r="O3255">
            <v>3.0139999999999998</v>
          </cell>
        </row>
        <row r="3256">
          <cell r="E3256" t="str">
            <v>CMCL</v>
          </cell>
          <cell r="F3256" t="str">
            <v>CMCL-C</v>
          </cell>
          <cell r="G3256">
            <v>212</v>
          </cell>
          <cell r="H3256" t="str">
            <v>CMCL-C212</v>
          </cell>
          <cell r="K3256" t="str">
            <v>Pezzullo,Phaedra C.</v>
          </cell>
          <cell r="N3256">
            <v>2.4249999999999998</v>
          </cell>
          <cell r="O3256">
            <v>2.8610000000000002</v>
          </cell>
        </row>
        <row r="3257">
          <cell r="E3257" t="str">
            <v>CMCL</v>
          </cell>
          <cell r="F3257" t="str">
            <v>CMCL-C</v>
          </cell>
          <cell r="G3257">
            <v>220</v>
          </cell>
          <cell r="H3257" t="str">
            <v>CMCL-C220</v>
          </cell>
          <cell r="K3257" t="str">
            <v>Robinson,Jennifer Meta</v>
          </cell>
          <cell r="N3257">
            <v>3.0539999999999998</v>
          </cell>
          <cell r="O3257">
            <v>2.8690000000000002</v>
          </cell>
        </row>
        <row r="3258">
          <cell r="E3258" t="str">
            <v>CMCL</v>
          </cell>
          <cell r="F3258" t="str">
            <v>CMCL-C</v>
          </cell>
          <cell r="G3258">
            <v>222</v>
          </cell>
          <cell r="H3258" t="str">
            <v>CMCL-C222</v>
          </cell>
          <cell r="K3258" t="str">
            <v>Rahko,Stephen Eric</v>
          </cell>
          <cell r="N3258">
            <v>3.4390000000000001</v>
          </cell>
          <cell r="O3258">
            <v>3.069</v>
          </cell>
        </row>
        <row r="3259">
          <cell r="E3259" t="str">
            <v>CMCL</v>
          </cell>
          <cell r="F3259" t="str">
            <v>CMCL-C</v>
          </cell>
          <cell r="G3259">
            <v>222</v>
          </cell>
          <cell r="H3259" t="str">
            <v>CMCL-C222</v>
          </cell>
          <cell r="K3259" t="str">
            <v>Rudy,Jessica Blair</v>
          </cell>
          <cell r="N3259">
            <v>3.1619999999999999</v>
          </cell>
          <cell r="O3259">
            <v>2.9239999999999999</v>
          </cell>
        </row>
        <row r="3260">
          <cell r="E3260" t="str">
            <v>CMCL</v>
          </cell>
          <cell r="F3260" t="str">
            <v>CMCL-C</v>
          </cell>
          <cell r="G3260">
            <v>228</v>
          </cell>
          <cell r="H3260" t="str">
            <v>CMCL-C228</v>
          </cell>
          <cell r="K3260" t="str">
            <v>Amsden,Brian Scott</v>
          </cell>
          <cell r="N3260">
            <v>2.8439999999999999</v>
          </cell>
          <cell r="O3260">
            <v>2.8250000000000002</v>
          </cell>
        </row>
        <row r="3261">
          <cell r="E3261" t="str">
            <v>CMCL</v>
          </cell>
          <cell r="F3261" t="str">
            <v>CMCL-C</v>
          </cell>
          <cell r="G3261">
            <v>228</v>
          </cell>
          <cell r="H3261" t="str">
            <v>CMCL-C228</v>
          </cell>
          <cell r="K3261" t="str">
            <v>Gilbert,Christopher John</v>
          </cell>
          <cell r="N3261">
            <v>2.9169999999999998</v>
          </cell>
          <cell r="O3261">
            <v>3.2240000000000002</v>
          </cell>
        </row>
        <row r="3262">
          <cell r="E3262" t="str">
            <v>CMCL</v>
          </cell>
          <cell r="F3262" t="str">
            <v>CMCL-C</v>
          </cell>
          <cell r="G3262">
            <v>228</v>
          </cell>
          <cell r="H3262" t="str">
            <v>CMCL-C228</v>
          </cell>
          <cell r="K3262" t="str">
            <v>Smith,Cortney Layne</v>
          </cell>
          <cell r="N3262">
            <v>3.1339999999999999</v>
          </cell>
          <cell r="O3262">
            <v>3.0169999999999999</v>
          </cell>
        </row>
        <row r="3263">
          <cell r="E3263" t="str">
            <v>CMCL</v>
          </cell>
          <cell r="F3263" t="str">
            <v>CMCL-C</v>
          </cell>
          <cell r="G3263">
            <v>229</v>
          </cell>
          <cell r="H3263" t="str">
            <v>CMCL-C229</v>
          </cell>
          <cell r="K3263" t="str">
            <v>Johnson Searcy,Julie</v>
          </cell>
          <cell r="N3263">
            <v>3.5139999999999998</v>
          </cell>
          <cell r="O3263">
            <v>3.2330000000000001</v>
          </cell>
        </row>
        <row r="3264">
          <cell r="E3264" t="str">
            <v>CMCL</v>
          </cell>
          <cell r="F3264" t="str">
            <v>CMCL-C</v>
          </cell>
          <cell r="G3264">
            <v>290</v>
          </cell>
          <cell r="H3264" t="str">
            <v>CMCL-C290</v>
          </cell>
          <cell r="K3264" t="str">
            <v>Waller,Gregory A</v>
          </cell>
          <cell r="N3264">
            <v>2.6309999999999998</v>
          </cell>
          <cell r="O3264">
            <v>2.9540000000000002</v>
          </cell>
        </row>
        <row r="3265">
          <cell r="E3265" t="str">
            <v>CMCL</v>
          </cell>
          <cell r="F3265" t="str">
            <v>CMCL-C</v>
          </cell>
          <cell r="G3265">
            <v>292</v>
          </cell>
          <cell r="H3265" t="str">
            <v>CMCL-C292</v>
          </cell>
          <cell r="K3265" t="str">
            <v>Klinger,Barbara</v>
          </cell>
          <cell r="N3265">
            <v>2.141</v>
          </cell>
          <cell r="O3265">
            <v>2.9220000000000002</v>
          </cell>
        </row>
        <row r="3266">
          <cell r="E3266" t="str">
            <v>CMCL</v>
          </cell>
          <cell r="F3266" t="str">
            <v>CMCL-C</v>
          </cell>
          <cell r="G3266">
            <v>308</v>
          </cell>
          <cell r="H3266" t="str">
            <v>CMCL-C308</v>
          </cell>
          <cell r="K3266" t="str">
            <v>Ivie,Robert L.</v>
          </cell>
          <cell r="N3266">
            <v>2.7629999999999999</v>
          </cell>
          <cell r="O3266">
            <v>3.044</v>
          </cell>
        </row>
        <row r="3267">
          <cell r="E3267" t="str">
            <v>CMCL</v>
          </cell>
          <cell r="F3267" t="str">
            <v>CMCL-C</v>
          </cell>
          <cell r="G3267">
            <v>313</v>
          </cell>
          <cell r="H3267" t="str">
            <v>CMCL-C313</v>
          </cell>
          <cell r="K3267" t="str">
            <v>Robinson,Jennifer Meta</v>
          </cell>
          <cell r="N3267">
            <v>3.1259999999999999</v>
          </cell>
          <cell r="O3267">
            <v>3.0259999999999998</v>
          </cell>
        </row>
        <row r="3268">
          <cell r="E3268" t="str">
            <v>CMCL</v>
          </cell>
          <cell r="F3268" t="str">
            <v>CMCL-C</v>
          </cell>
          <cell r="G3268">
            <v>314</v>
          </cell>
          <cell r="H3268" t="str">
            <v>CMCL-C314</v>
          </cell>
          <cell r="K3268" t="str">
            <v>Gershon,Ilana M.</v>
          </cell>
          <cell r="N3268">
            <v>3.3690000000000002</v>
          </cell>
          <cell r="O3268">
            <v>3.1320000000000001</v>
          </cell>
        </row>
        <row r="3269">
          <cell r="E3269" t="str">
            <v>CMCL</v>
          </cell>
          <cell r="F3269" t="str">
            <v>CMCL-C</v>
          </cell>
          <cell r="G3269">
            <v>315</v>
          </cell>
          <cell r="H3269" t="str">
            <v>CMCL-C315</v>
          </cell>
          <cell r="K3269" t="str">
            <v>Donovan,Jeremiah Scott</v>
          </cell>
          <cell r="N3269">
            <v>2.706</v>
          </cell>
          <cell r="O3269">
            <v>2.9470000000000001</v>
          </cell>
        </row>
        <row r="3270">
          <cell r="E3270" t="str">
            <v>CMCL</v>
          </cell>
          <cell r="F3270" t="str">
            <v>CMCL-C</v>
          </cell>
          <cell r="G3270">
            <v>315</v>
          </cell>
          <cell r="H3270" t="str">
            <v>CMCL-C315</v>
          </cell>
          <cell r="K3270" t="str">
            <v>Donovan,Jeremiah Scott</v>
          </cell>
          <cell r="N3270">
            <v>2.7069999999999999</v>
          </cell>
          <cell r="O3270">
            <v>2.8109999999999999</v>
          </cell>
        </row>
        <row r="3271">
          <cell r="E3271" t="str">
            <v>CMCL</v>
          </cell>
          <cell r="F3271" t="str">
            <v>CMCL-C</v>
          </cell>
          <cell r="G3271">
            <v>315</v>
          </cell>
          <cell r="H3271" t="str">
            <v>CMCL-C315</v>
          </cell>
          <cell r="K3271" t="str">
            <v>Griffis,Aron Noelle</v>
          </cell>
          <cell r="N3271">
            <v>3.3239999999999998</v>
          </cell>
          <cell r="O3271">
            <v>3.153</v>
          </cell>
        </row>
        <row r="3272">
          <cell r="E3272" t="str">
            <v>CMCL</v>
          </cell>
          <cell r="F3272" t="str">
            <v>CMCL-C</v>
          </cell>
          <cell r="G3272">
            <v>315</v>
          </cell>
          <cell r="H3272" t="str">
            <v>CMCL-C315</v>
          </cell>
          <cell r="K3272" t="str">
            <v>Kelley,Andrea J.</v>
          </cell>
          <cell r="N3272">
            <v>2.8380000000000001</v>
          </cell>
          <cell r="O3272">
            <v>2.9969999999999999</v>
          </cell>
        </row>
        <row r="3273">
          <cell r="E3273" t="str">
            <v>CMCL</v>
          </cell>
          <cell r="F3273" t="str">
            <v>CMCL-C</v>
          </cell>
          <cell r="G3273">
            <v>315</v>
          </cell>
          <cell r="H3273" t="str">
            <v>CMCL-C315</v>
          </cell>
          <cell r="K3273" t="str">
            <v>Palmer,Landon A</v>
          </cell>
          <cell r="N3273">
            <v>3.355</v>
          </cell>
          <cell r="O3273">
            <v>3.1549999999999998</v>
          </cell>
        </row>
        <row r="3274">
          <cell r="E3274" t="str">
            <v>CMCL</v>
          </cell>
          <cell r="F3274" t="str">
            <v>CMCL-C</v>
          </cell>
          <cell r="G3274">
            <v>323</v>
          </cell>
          <cell r="H3274" t="str">
            <v>CMCL-C323</v>
          </cell>
          <cell r="K3274" t="str">
            <v>Cram,Emily Dianne</v>
          </cell>
          <cell r="N3274">
            <v>2.4700000000000002</v>
          </cell>
          <cell r="O3274">
            <v>2.7730000000000001</v>
          </cell>
        </row>
        <row r="3275">
          <cell r="E3275" t="str">
            <v>CMCL</v>
          </cell>
          <cell r="F3275" t="str">
            <v>CMCL-C</v>
          </cell>
          <cell r="G3275">
            <v>323</v>
          </cell>
          <cell r="H3275" t="str">
            <v>CMCL-C323</v>
          </cell>
          <cell r="K3275" t="str">
            <v>Walsh,Bryan Thomas</v>
          </cell>
          <cell r="N3275">
            <v>3.6389999999999998</v>
          </cell>
          <cell r="O3275">
            <v>3.0219999999999998</v>
          </cell>
        </row>
        <row r="3276">
          <cell r="E3276" t="str">
            <v>CMCL</v>
          </cell>
          <cell r="F3276" t="str">
            <v>CMCL-C</v>
          </cell>
          <cell r="G3276">
            <v>324</v>
          </cell>
          <cell r="H3276" t="str">
            <v>CMCL-C324</v>
          </cell>
          <cell r="K3276" t="str">
            <v>Rahko,Stephen Eric</v>
          </cell>
          <cell r="N3276">
            <v>3.5379999999999998</v>
          </cell>
          <cell r="O3276">
            <v>3.129</v>
          </cell>
        </row>
        <row r="3277">
          <cell r="E3277" t="str">
            <v>CMCL</v>
          </cell>
          <cell r="F3277" t="str">
            <v>CMCL-C</v>
          </cell>
          <cell r="G3277">
            <v>324</v>
          </cell>
          <cell r="H3277" t="str">
            <v>CMCL-C324</v>
          </cell>
          <cell r="K3277" t="str">
            <v>Rudy,Jessica Blair</v>
          </cell>
          <cell r="N3277">
            <v>3.3439999999999999</v>
          </cell>
          <cell r="O3277">
            <v>3.12</v>
          </cell>
        </row>
        <row r="3278">
          <cell r="E3278" t="str">
            <v>CMCL</v>
          </cell>
          <cell r="F3278" t="str">
            <v>CMCL-C</v>
          </cell>
          <cell r="G3278">
            <v>324</v>
          </cell>
          <cell r="H3278" t="str">
            <v>CMCL-C324</v>
          </cell>
          <cell r="K3278" t="str">
            <v>Smith,Cortney Layne</v>
          </cell>
          <cell r="N3278">
            <v>3.3140000000000001</v>
          </cell>
          <cell r="O3278">
            <v>3.0960000000000001</v>
          </cell>
        </row>
        <row r="3279">
          <cell r="E3279" t="str">
            <v>CMCL</v>
          </cell>
          <cell r="F3279" t="str">
            <v>CMCL-C</v>
          </cell>
          <cell r="G3279">
            <v>326</v>
          </cell>
          <cell r="H3279" t="str">
            <v>CMCL-C326</v>
          </cell>
          <cell r="K3279" t="str">
            <v>Malitsky,Joshua Seth</v>
          </cell>
          <cell r="N3279">
            <v>3.004</v>
          </cell>
          <cell r="O3279">
            <v>2.8820000000000001</v>
          </cell>
        </row>
        <row r="3280">
          <cell r="E3280" t="str">
            <v>CMCL</v>
          </cell>
          <cell r="F3280" t="str">
            <v>CMCL-C</v>
          </cell>
          <cell r="G3280">
            <v>326</v>
          </cell>
          <cell r="H3280" t="str">
            <v>CMCL-C326</v>
          </cell>
          <cell r="K3280" t="str">
            <v>Sperb,Jason Paul</v>
          </cell>
          <cell r="N3280">
            <v>2.8079999999999998</v>
          </cell>
          <cell r="O3280">
            <v>2.7879999999999998</v>
          </cell>
        </row>
        <row r="3281">
          <cell r="E3281" t="str">
            <v>CMCL</v>
          </cell>
          <cell r="F3281" t="str">
            <v>CMCL-C</v>
          </cell>
          <cell r="G3281">
            <v>334</v>
          </cell>
          <cell r="H3281" t="str">
            <v>CMCL-C334</v>
          </cell>
          <cell r="K3281" t="str">
            <v>Bowdre,Karen Michelle</v>
          </cell>
          <cell r="N3281">
            <v>2.6720000000000002</v>
          </cell>
          <cell r="O3281">
            <v>3.0950000000000002</v>
          </cell>
        </row>
        <row r="3282">
          <cell r="E3282" t="str">
            <v>CMCL</v>
          </cell>
          <cell r="F3282" t="str">
            <v>CMCL-C</v>
          </cell>
          <cell r="G3282">
            <v>334</v>
          </cell>
          <cell r="H3282" t="str">
            <v>CMCL-C334</v>
          </cell>
          <cell r="K3282" t="str">
            <v>Ellcessor,Elizabeth</v>
          </cell>
          <cell r="N3282">
            <v>3.4039999999999999</v>
          </cell>
          <cell r="O3282">
            <v>2.9390000000000001</v>
          </cell>
        </row>
        <row r="3283">
          <cell r="E3283" t="str">
            <v>CMCL</v>
          </cell>
          <cell r="F3283" t="str">
            <v>CMCL-C</v>
          </cell>
          <cell r="G3283">
            <v>334</v>
          </cell>
          <cell r="H3283" t="str">
            <v>CMCL-C334</v>
          </cell>
          <cell r="K3283" t="str">
            <v>Smith,Cynthia Duquette</v>
          </cell>
          <cell r="N3283">
            <v>3.0819999999999999</v>
          </cell>
          <cell r="O3283">
            <v>3.052</v>
          </cell>
        </row>
        <row r="3284">
          <cell r="E3284" t="str">
            <v>CMCL</v>
          </cell>
          <cell r="F3284" t="str">
            <v>CMCL-C</v>
          </cell>
          <cell r="G3284">
            <v>334</v>
          </cell>
          <cell r="H3284" t="str">
            <v>CMCL-C334</v>
          </cell>
          <cell r="K3284" t="str">
            <v>Sperb,Jason Paul</v>
          </cell>
          <cell r="N3284">
            <v>3.077</v>
          </cell>
          <cell r="O3284">
            <v>2.9089999999999998</v>
          </cell>
        </row>
        <row r="3285">
          <cell r="E3285" t="str">
            <v>CMCL</v>
          </cell>
          <cell r="F3285" t="str">
            <v>CMCL-C</v>
          </cell>
          <cell r="G3285">
            <v>334</v>
          </cell>
          <cell r="H3285" t="str">
            <v>CMCL-C334</v>
          </cell>
          <cell r="K3285" t="str">
            <v>Weber,Brenda</v>
          </cell>
          <cell r="N3285" t="str">
            <v>NR</v>
          </cell>
          <cell r="O3285" t="str">
            <v>NR</v>
          </cell>
        </row>
        <row r="3286">
          <cell r="E3286" t="str">
            <v>CMCL</v>
          </cell>
          <cell r="F3286" t="str">
            <v>CMCL-C</v>
          </cell>
          <cell r="G3286">
            <v>335</v>
          </cell>
          <cell r="H3286" t="str">
            <v>CMCL-C335</v>
          </cell>
          <cell r="K3286" t="str">
            <v>Ivins-Hulley,Laura Leighanne</v>
          </cell>
          <cell r="N3286">
            <v>3.22</v>
          </cell>
          <cell r="O3286">
            <v>2.9049999999999998</v>
          </cell>
        </row>
        <row r="3287">
          <cell r="E3287" t="str">
            <v>CMCL</v>
          </cell>
          <cell r="F3287" t="str">
            <v>CMCL-C</v>
          </cell>
          <cell r="G3287">
            <v>335</v>
          </cell>
          <cell r="H3287" t="str">
            <v>CMCL-C335</v>
          </cell>
          <cell r="K3287" t="str">
            <v>Jones,Jennifer Lynn</v>
          </cell>
          <cell r="N3287">
            <v>3.5579999999999998</v>
          </cell>
          <cell r="O3287">
            <v>3.1579999999999999</v>
          </cell>
        </row>
        <row r="3288">
          <cell r="E3288" t="str">
            <v>CMCL</v>
          </cell>
          <cell r="F3288" t="str">
            <v>CMCL-C</v>
          </cell>
          <cell r="G3288">
            <v>337</v>
          </cell>
          <cell r="H3288" t="str">
            <v>CMCL-C337</v>
          </cell>
          <cell r="K3288" t="str">
            <v>Budziszewski,Przemyslaw Konrad</v>
          </cell>
          <cell r="N3288">
            <v>2.9969999999999999</v>
          </cell>
          <cell r="O3288">
            <v>2.637</v>
          </cell>
        </row>
        <row r="3289">
          <cell r="E3289" t="str">
            <v>CMCL</v>
          </cell>
          <cell r="F3289" t="str">
            <v>CMCL-C</v>
          </cell>
          <cell r="G3289">
            <v>337</v>
          </cell>
          <cell r="H3289" t="str">
            <v>CMCL-C337</v>
          </cell>
          <cell r="K3289" t="str">
            <v>Ellcessor,Elizabeth</v>
          </cell>
          <cell r="N3289">
            <v>3.2669999999999999</v>
          </cell>
          <cell r="O3289">
            <v>2.992</v>
          </cell>
        </row>
        <row r="3290">
          <cell r="E3290" t="str">
            <v>CMCL</v>
          </cell>
          <cell r="F3290" t="str">
            <v>CMCL-C</v>
          </cell>
          <cell r="G3290">
            <v>339</v>
          </cell>
          <cell r="H3290" t="str">
            <v>CMCL-C339</v>
          </cell>
          <cell r="K3290" t="str">
            <v>Amsden,Brian Scott</v>
          </cell>
          <cell r="N3290">
            <v>2.7389999999999999</v>
          </cell>
          <cell r="O3290">
            <v>2.8620000000000001</v>
          </cell>
        </row>
        <row r="3291">
          <cell r="E3291" t="str">
            <v>CMCL</v>
          </cell>
          <cell r="F3291" t="str">
            <v>CMCL-C</v>
          </cell>
          <cell r="G3291">
            <v>339</v>
          </cell>
          <cell r="H3291" t="str">
            <v>CMCL-C339</v>
          </cell>
          <cell r="K3291" t="str">
            <v>St.Onge,Jeffrey William</v>
          </cell>
          <cell r="N3291">
            <v>3.3559999999999999</v>
          </cell>
          <cell r="O3291">
            <v>3.0049999999999999</v>
          </cell>
        </row>
        <row r="3292">
          <cell r="E3292" t="str">
            <v>CMCL</v>
          </cell>
          <cell r="F3292" t="str">
            <v>CMCL-C</v>
          </cell>
          <cell r="G3292">
            <v>340</v>
          </cell>
          <cell r="H3292" t="str">
            <v>CMCL-C340</v>
          </cell>
          <cell r="K3292" t="str">
            <v>Pezzullo,Phaedra C.</v>
          </cell>
          <cell r="N3292">
            <v>3.1760000000000002</v>
          </cell>
          <cell r="O3292">
            <v>3.0409999999999999</v>
          </cell>
        </row>
        <row r="3293">
          <cell r="E3293" t="str">
            <v>CMCL</v>
          </cell>
          <cell r="F3293" t="str">
            <v>CMCL-C</v>
          </cell>
          <cell r="G3293">
            <v>342</v>
          </cell>
          <cell r="H3293" t="str">
            <v>CMCL-C342</v>
          </cell>
          <cell r="K3293" t="str">
            <v>Terrill,Robert E.</v>
          </cell>
          <cell r="N3293">
            <v>2.8969999999999998</v>
          </cell>
          <cell r="O3293">
            <v>3.0579999999999998</v>
          </cell>
        </row>
        <row r="3294">
          <cell r="E3294" t="str">
            <v>CMCL</v>
          </cell>
          <cell r="F3294" t="str">
            <v>CMCL-C</v>
          </cell>
          <cell r="G3294">
            <v>355</v>
          </cell>
          <cell r="H3294" t="str">
            <v>CMCL-C355</v>
          </cell>
          <cell r="K3294" t="str">
            <v>Smith,Cynthia Duquette</v>
          </cell>
          <cell r="N3294">
            <v>3.3849999999999998</v>
          </cell>
          <cell r="O3294">
            <v>3.0409999999999999</v>
          </cell>
        </row>
        <row r="3295">
          <cell r="E3295" t="str">
            <v>CMCL</v>
          </cell>
          <cell r="F3295" t="str">
            <v>CMCL-C</v>
          </cell>
          <cell r="G3295">
            <v>360</v>
          </cell>
          <cell r="H3295" t="str">
            <v>CMCL-C360</v>
          </cell>
          <cell r="K3295" t="str">
            <v>Fleming,Amanda C</v>
          </cell>
          <cell r="N3295">
            <v>3.1890000000000001</v>
          </cell>
          <cell r="O3295">
            <v>3.0920000000000001</v>
          </cell>
        </row>
        <row r="3296">
          <cell r="E3296" t="str">
            <v>CMCL</v>
          </cell>
          <cell r="F3296" t="str">
            <v>CMCL-C</v>
          </cell>
          <cell r="G3296">
            <v>360</v>
          </cell>
          <cell r="H3296" t="str">
            <v>CMCL-C360</v>
          </cell>
          <cell r="K3296" t="str">
            <v>Lahey,Michael Devere</v>
          </cell>
          <cell r="N3296">
            <v>2.9169999999999998</v>
          </cell>
          <cell r="O3296">
            <v>2.742</v>
          </cell>
        </row>
        <row r="3297">
          <cell r="E3297" t="str">
            <v>CMCL</v>
          </cell>
          <cell r="F3297" t="str">
            <v>CMCL-C</v>
          </cell>
          <cell r="G3297">
            <v>360</v>
          </cell>
          <cell r="H3297" t="str">
            <v>CMCL-C360</v>
          </cell>
          <cell r="K3297" t="str">
            <v>Ramirez,Javier Gerardo</v>
          </cell>
          <cell r="N3297">
            <v>3.0859999999999999</v>
          </cell>
          <cell r="O3297">
            <v>2.91</v>
          </cell>
        </row>
        <row r="3298">
          <cell r="E3298" t="str">
            <v>CMCL</v>
          </cell>
          <cell r="F3298" t="str">
            <v>CMCL-C</v>
          </cell>
          <cell r="G3298">
            <v>360</v>
          </cell>
          <cell r="H3298" t="str">
            <v>CMCL-C360</v>
          </cell>
          <cell r="K3298" t="str">
            <v>Rossman,Margaret Marian</v>
          </cell>
          <cell r="N3298">
            <v>3.3639999999999999</v>
          </cell>
          <cell r="O3298">
            <v>2.9319999999999999</v>
          </cell>
        </row>
        <row r="3299">
          <cell r="E3299" t="str">
            <v>CMCL</v>
          </cell>
          <cell r="F3299" t="str">
            <v>CMCL-C</v>
          </cell>
          <cell r="G3299">
            <v>361</v>
          </cell>
          <cell r="H3299" t="str">
            <v>CMCL-C361</v>
          </cell>
          <cell r="K3299" t="str">
            <v>Schwibs,Susanne K</v>
          </cell>
          <cell r="N3299">
            <v>3.21</v>
          </cell>
          <cell r="O3299">
            <v>2.8479999999999999</v>
          </cell>
        </row>
        <row r="3300">
          <cell r="E3300" t="str">
            <v>CMCL</v>
          </cell>
          <cell r="F3300" t="str">
            <v>CMCL-C</v>
          </cell>
          <cell r="G3300">
            <v>382</v>
          </cell>
          <cell r="H3300" t="str">
            <v>CMCL-C382</v>
          </cell>
          <cell r="K3300" t="str">
            <v>Seizer,Susan Amy</v>
          </cell>
          <cell r="N3300" t="str">
            <v>NR</v>
          </cell>
          <cell r="O3300" t="str">
            <v>NR</v>
          </cell>
        </row>
        <row r="3301">
          <cell r="E3301" t="str">
            <v>CMCL</v>
          </cell>
          <cell r="F3301" t="str">
            <v>CMCL-C</v>
          </cell>
          <cell r="G3301">
            <v>382</v>
          </cell>
          <cell r="H3301" t="str">
            <v>CMCL-C382</v>
          </cell>
          <cell r="K3301" t="str">
            <v>Seizer,Susan Amy</v>
          </cell>
          <cell r="N3301" t="str">
            <v>NR</v>
          </cell>
          <cell r="O3301" t="str">
            <v>NR</v>
          </cell>
        </row>
        <row r="3302">
          <cell r="E3302" t="str">
            <v>CMCL</v>
          </cell>
          <cell r="F3302" t="str">
            <v>CMCL-C</v>
          </cell>
          <cell r="G3302">
            <v>382</v>
          </cell>
          <cell r="H3302" t="str">
            <v>CMCL-C382</v>
          </cell>
          <cell r="K3302" t="str">
            <v>Seizer,Susan Amy</v>
          </cell>
          <cell r="N3302" t="str">
            <v>NR</v>
          </cell>
          <cell r="O3302" t="str">
            <v>NR</v>
          </cell>
        </row>
        <row r="3303">
          <cell r="E3303" t="str">
            <v>CMCL</v>
          </cell>
          <cell r="F3303" t="str">
            <v>CMCL-C</v>
          </cell>
          <cell r="G3303">
            <v>382</v>
          </cell>
          <cell r="H3303" t="str">
            <v>CMCL-C382</v>
          </cell>
          <cell r="K3303" t="str">
            <v>Terrill,Robert E.</v>
          </cell>
          <cell r="N3303" t="str">
            <v>NR</v>
          </cell>
          <cell r="O3303" t="str">
            <v>NR</v>
          </cell>
        </row>
        <row r="3304">
          <cell r="E3304" t="str">
            <v>CMCL</v>
          </cell>
          <cell r="F3304" t="str">
            <v>CMCL-C</v>
          </cell>
          <cell r="G3304">
            <v>382</v>
          </cell>
          <cell r="H3304" t="str">
            <v>CMCL-C382</v>
          </cell>
          <cell r="K3304" t="str">
            <v>Terrill,Robert E.</v>
          </cell>
          <cell r="N3304" t="str">
            <v>NR</v>
          </cell>
          <cell r="O3304" t="str">
            <v>NR</v>
          </cell>
        </row>
        <row r="3305">
          <cell r="E3305" t="str">
            <v>CMCL</v>
          </cell>
          <cell r="F3305" t="str">
            <v>CMCL-C</v>
          </cell>
          <cell r="G3305">
            <v>391</v>
          </cell>
          <cell r="H3305" t="str">
            <v>CMCL-C391</v>
          </cell>
          <cell r="K3305" t="str">
            <v>Klinger,Barbara</v>
          </cell>
          <cell r="N3305">
            <v>2.9340000000000002</v>
          </cell>
          <cell r="O3305">
            <v>3.0209999999999999</v>
          </cell>
        </row>
        <row r="3306">
          <cell r="E3306" t="str">
            <v>CMCL</v>
          </cell>
          <cell r="F3306" t="str">
            <v>CMCL-C</v>
          </cell>
          <cell r="G3306">
            <v>392</v>
          </cell>
          <cell r="H3306" t="str">
            <v>CMCL-C392</v>
          </cell>
          <cell r="K3306" t="str">
            <v>Bowdre,Karen Michelle</v>
          </cell>
          <cell r="N3306">
            <v>2.9950000000000001</v>
          </cell>
          <cell r="O3306">
            <v>3.08</v>
          </cell>
        </row>
        <row r="3307">
          <cell r="E3307" t="str">
            <v>CMCL</v>
          </cell>
          <cell r="F3307" t="str">
            <v>CMCL-C</v>
          </cell>
          <cell r="G3307">
            <v>392</v>
          </cell>
          <cell r="H3307" t="str">
            <v>CMCL-C392</v>
          </cell>
          <cell r="K3307" t="str">
            <v>Guschwan,Matthew Christopher</v>
          </cell>
          <cell r="N3307">
            <v>3.536</v>
          </cell>
          <cell r="O3307">
            <v>3.0369999999999999</v>
          </cell>
        </row>
        <row r="3308">
          <cell r="E3308" t="str">
            <v>CMCL</v>
          </cell>
          <cell r="F3308" t="str">
            <v>CMCL-C</v>
          </cell>
          <cell r="G3308">
            <v>392</v>
          </cell>
          <cell r="H3308" t="str">
            <v>CMCL-C392</v>
          </cell>
          <cell r="K3308" t="str">
            <v>Malitsky,Joshua Seth</v>
          </cell>
          <cell r="N3308">
            <v>3.0169999999999999</v>
          </cell>
          <cell r="O3308">
            <v>2.972</v>
          </cell>
        </row>
        <row r="3309">
          <cell r="E3309" t="str">
            <v>CMCL</v>
          </cell>
          <cell r="F3309" t="str">
            <v>CMCL-C</v>
          </cell>
          <cell r="G3309">
            <v>392</v>
          </cell>
          <cell r="H3309" t="str">
            <v>CMCL-C392</v>
          </cell>
          <cell r="K3309" t="str">
            <v>Paasche,James Calvin</v>
          </cell>
          <cell r="N3309">
            <v>3.0609999999999999</v>
          </cell>
          <cell r="O3309">
            <v>2.9289999999999998</v>
          </cell>
        </row>
        <row r="3310">
          <cell r="E3310" t="str">
            <v>CMCL</v>
          </cell>
          <cell r="F3310" t="str">
            <v>CMCL-C</v>
          </cell>
          <cell r="G3310">
            <v>398</v>
          </cell>
          <cell r="H3310" t="str">
            <v>CMCL-C398</v>
          </cell>
          <cell r="K3310" t="str">
            <v>Bowles,Brett</v>
          </cell>
          <cell r="N3310">
            <v>3.0089999999999999</v>
          </cell>
          <cell r="O3310">
            <v>3.1419999999999999</v>
          </cell>
        </row>
        <row r="3311">
          <cell r="E3311" t="str">
            <v>CMCL</v>
          </cell>
          <cell r="F3311" t="str">
            <v>CMCL-C</v>
          </cell>
          <cell r="G3311">
            <v>398</v>
          </cell>
          <cell r="H3311" t="str">
            <v>CMCL-C398</v>
          </cell>
          <cell r="K3311" t="str">
            <v>Hooker,Lynn Marie</v>
          </cell>
          <cell r="N3311">
            <v>2.8580000000000001</v>
          </cell>
          <cell r="O3311">
            <v>2.8610000000000002</v>
          </cell>
        </row>
        <row r="3312">
          <cell r="E3312" t="str">
            <v>CMCL</v>
          </cell>
          <cell r="F3312" t="str">
            <v>CMCL-C</v>
          </cell>
          <cell r="G3312">
            <v>398</v>
          </cell>
          <cell r="H3312" t="str">
            <v>CMCL-C398</v>
          </cell>
          <cell r="K3312" t="str">
            <v>Schilb,John Lincoln</v>
          </cell>
          <cell r="N3312">
            <v>3.8</v>
          </cell>
          <cell r="O3312">
            <v>3.0310000000000001</v>
          </cell>
        </row>
        <row r="3313">
          <cell r="E3313" t="str">
            <v>CMCL</v>
          </cell>
          <cell r="F3313" t="str">
            <v>CMCL-C</v>
          </cell>
          <cell r="G3313">
            <v>398</v>
          </cell>
          <cell r="H3313" t="str">
            <v>CMCL-C398</v>
          </cell>
          <cell r="K3313" t="str">
            <v>Vitti,Antonio Carlo</v>
          </cell>
          <cell r="N3313">
            <v>3.0169999999999999</v>
          </cell>
          <cell r="O3313">
            <v>3.149</v>
          </cell>
        </row>
        <row r="3314">
          <cell r="E3314" t="str">
            <v>CMCL</v>
          </cell>
          <cell r="F3314" t="str">
            <v>CMCL-C</v>
          </cell>
          <cell r="G3314">
            <v>399</v>
          </cell>
          <cell r="H3314" t="str">
            <v>CMCL-C399</v>
          </cell>
          <cell r="K3314" t="str">
            <v>Terrill,Robert E.</v>
          </cell>
          <cell r="N3314" t="str">
            <v>NR</v>
          </cell>
          <cell r="O3314" t="str">
            <v>NR</v>
          </cell>
        </row>
        <row r="3315">
          <cell r="E3315" t="str">
            <v>CMCL</v>
          </cell>
          <cell r="F3315" t="str">
            <v>CMCL-C</v>
          </cell>
          <cell r="G3315">
            <v>406</v>
          </cell>
          <cell r="H3315" t="str">
            <v>CMCL-C406</v>
          </cell>
          <cell r="K3315" t="str">
            <v>Calloway-Thomas,Carolyn</v>
          </cell>
          <cell r="N3315">
            <v>3.09</v>
          </cell>
          <cell r="O3315">
            <v>3.2090000000000001</v>
          </cell>
        </row>
        <row r="3316">
          <cell r="E3316" t="str">
            <v>CMCL</v>
          </cell>
          <cell r="F3316" t="str">
            <v>CMCL-C</v>
          </cell>
          <cell r="G3316">
            <v>411</v>
          </cell>
          <cell r="H3316" t="str">
            <v>CMCL-C411</v>
          </cell>
          <cell r="K3316" t="str">
            <v>Guschwan,Matthew Christopher</v>
          </cell>
          <cell r="N3316">
            <v>3.4550000000000001</v>
          </cell>
          <cell r="O3316">
            <v>3.2069999999999999</v>
          </cell>
        </row>
        <row r="3317">
          <cell r="E3317" t="str">
            <v>CMCL</v>
          </cell>
          <cell r="F3317" t="str">
            <v>CMCL-C</v>
          </cell>
          <cell r="G3317">
            <v>414</v>
          </cell>
          <cell r="H3317" t="str">
            <v>CMCL-C414</v>
          </cell>
          <cell r="K3317" t="str">
            <v>Seizer,Susan Amy</v>
          </cell>
          <cell r="N3317">
            <v>3.1709999999999998</v>
          </cell>
          <cell r="O3317">
            <v>3.0510000000000002</v>
          </cell>
        </row>
        <row r="3318">
          <cell r="E3318" t="str">
            <v>CMCL</v>
          </cell>
          <cell r="F3318" t="str">
            <v>CMCL-C</v>
          </cell>
          <cell r="G3318">
            <v>417</v>
          </cell>
          <cell r="H3318" t="str">
            <v>CMCL-C417</v>
          </cell>
          <cell r="K3318" t="str">
            <v>Goodman,Jane E.</v>
          </cell>
          <cell r="N3318">
            <v>3.2290000000000001</v>
          </cell>
          <cell r="O3318">
            <v>3.1120000000000001</v>
          </cell>
        </row>
        <row r="3319">
          <cell r="E3319" t="str">
            <v>CMCL</v>
          </cell>
          <cell r="F3319" t="str">
            <v>CMCL-C</v>
          </cell>
          <cell r="G3319">
            <v>420</v>
          </cell>
          <cell r="H3319" t="str">
            <v>CMCL-C420</v>
          </cell>
          <cell r="K3319" t="str">
            <v>De Boer,Stephanie Ann</v>
          </cell>
          <cell r="N3319">
            <v>3.4430000000000001</v>
          </cell>
          <cell r="O3319">
            <v>2.9279999999999999</v>
          </cell>
        </row>
        <row r="3320">
          <cell r="E3320" t="str">
            <v>CMCL</v>
          </cell>
          <cell r="F3320" t="str">
            <v>CMCL-C</v>
          </cell>
          <cell r="G3320">
            <v>420</v>
          </cell>
          <cell r="H3320" t="str">
            <v>CMCL-C420</v>
          </cell>
          <cell r="K3320" t="str">
            <v>Martin,Michael T</v>
          </cell>
          <cell r="N3320">
            <v>2.9140000000000001</v>
          </cell>
          <cell r="O3320">
            <v>2.8660000000000001</v>
          </cell>
        </row>
        <row r="3321">
          <cell r="E3321" t="str">
            <v>CMCL</v>
          </cell>
          <cell r="F3321" t="str">
            <v>CMCL-C</v>
          </cell>
          <cell r="G3321">
            <v>420</v>
          </cell>
          <cell r="H3321" t="str">
            <v>CMCL-C420</v>
          </cell>
          <cell r="K3321" t="str">
            <v>Palmer,Lorrie</v>
          </cell>
          <cell r="N3321">
            <v>3.1920000000000002</v>
          </cell>
          <cell r="O3321">
            <v>2.7589999999999999</v>
          </cell>
        </row>
        <row r="3322">
          <cell r="E3322" t="str">
            <v>CMCL</v>
          </cell>
          <cell r="F3322" t="str">
            <v>CMCL-C</v>
          </cell>
          <cell r="G3322">
            <v>420</v>
          </cell>
          <cell r="H3322" t="str">
            <v>CMCL-C420</v>
          </cell>
          <cell r="K3322" t="str">
            <v>Waller,Gregory A</v>
          </cell>
          <cell r="N3322">
            <v>2.875</v>
          </cell>
          <cell r="O3322">
            <v>3.0139999999999998</v>
          </cell>
        </row>
        <row r="3323">
          <cell r="E3323" t="str">
            <v>CMCL</v>
          </cell>
          <cell r="F3323" t="str">
            <v>CMCL-C</v>
          </cell>
          <cell r="G3323">
            <v>422</v>
          </cell>
          <cell r="H3323" t="str">
            <v>CMCL-C422</v>
          </cell>
          <cell r="K3323" t="str">
            <v>Goodman,Jane E.</v>
          </cell>
          <cell r="N3323">
            <v>3.2709999999999999</v>
          </cell>
          <cell r="O3323">
            <v>3.2650000000000001</v>
          </cell>
        </row>
        <row r="3324">
          <cell r="E3324" t="str">
            <v>CMCL</v>
          </cell>
          <cell r="F3324" t="str">
            <v>CMCL-C</v>
          </cell>
          <cell r="G3324">
            <v>425</v>
          </cell>
          <cell r="H3324" t="str">
            <v>CMCL-C425</v>
          </cell>
          <cell r="K3324" t="str">
            <v>Smith,Cynthia Duquette</v>
          </cell>
          <cell r="N3324">
            <v>3.1960000000000002</v>
          </cell>
          <cell r="O3324">
            <v>3.0009999999999999</v>
          </cell>
        </row>
        <row r="3325">
          <cell r="E3325" t="str">
            <v>CMCL</v>
          </cell>
          <cell r="F3325" t="str">
            <v>CMCL-C</v>
          </cell>
          <cell r="G3325">
            <v>427</v>
          </cell>
          <cell r="H3325" t="str">
            <v>CMCL-C427</v>
          </cell>
          <cell r="K3325" t="str">
            <v>Calloway-Thomas,Carolyn</v>
          </cell>
          <cell r="N3325">
            <v>3.15</v>
          </cell>
          <cell r="O3325">
            <v>3.0270000000000001</v>
          </cell>
        </row>
        <row r="3326">
          <cell r="E3326" t="str">
            <v>CMCL</v>
          </cell>
          <cell r="F3326" t="str">
            <v>CMCL-C</v>
          </cell>
          <cell r="G3326">
            <v>427</v>
          </cell>
          <cell r="H3326" t="str">
            <v>CMCL-C427</v>
          </cell>
          <cell r="K3326" t="str">
            <v>Calloway-Thomas,Carolyn</v>
          </cell>
          <cell r="N3326">
            <v>2.948</v>
          </cell>
          <cell r="O3326">
            <v>2.9119999999999999</v>
          </cell>
        </row>
        <row r="3327">
          <cell r="E3327" t="str">
            <v>CMCL</v>
          </cell>
          <cell r="F3327" t="str">
            <v>CMCL-C</v>
          </cell>
          <cell r="G3327">
            <v>430</v>
          </cell>
          <cell r="H3327" t="str">
            <v>CMCL-C430</v>
          </cell>
          <cell r="K3327" t="str">
            <v>Lepselter,Susan Claudia</v>
          </cell>
          <cell r="N3327">
            <v>3.5430000000000001</v>
          </cell>
          <cell r="O3327">
            <v>3.0129999999999999</v>
          </cell>
        </row>
        <row r="3328">
          <cell r="E3328" t="str">
            <v>CMCL</v>
          </cell>
          <cell r="F3328" t="str">
            <v>CMCL-C</v>
          </cell>
          <cell r="G3328">
            <v>433</v>
          </cell>
          <cell r="H3328" t="str">
            <v>CMCL-C433</v>
          </cell>
          <cell r="K3328" t="str">
            <v>Robinson,Jennifer Meta</v>
          </cell>
          <cell r="N3328">
            <v>3.3860000000000001</v>
          </cell>
          <cell r="O3328">
            <v>3.1989999999999998</v>
          </cell>
        </row>
        <row r="3329">
          <cell r="E3329" t="str">
            <v>CMCL</v>
          </cell>
          <cell r="F3329" t="str">
            <v>CMCL-C</v>
          </cell>
          <cell r="G3329">
            <v>435</v>
          </cell>
          <cell r="H3329" t="str">
            <v>CMCL-C435</v>
          </cell>
          <cell r="K3329" t="str">
            <v>Benedetti,Mark Drew</v>
          </cell>
          <cell r="N3329">
            <v>3.25</v>
          </cell>
          <cell r="O3329">
            <v>3.125</v>
          </cell>
        </row>
        <row r="3330">
          <cell r="E3330" t="str">
            <v>CMCL</v>
          </cell>
          <cell r="F3330" t="str">
            <v>CMCL-C</v>
          </cell>
          <cell r="G3330">
            <v>446</v>
          </cell>
          <cell r="H3330" t="str">
            <v>CMCL-C446</v>
          </cell>
          <cell r="K3330" t="str">
            <v>Gershon,Ilana M.</v>
          </cell>
          <cell r="N3330">
            <v>3.37</v>
          </cell>
          <cell r="O3330">
            <v>3.0990000000000002</v>
          </cell>
        </row>
        <row r="3331">
          <cell r="E3331" t="str">
            <v>CMCL</v>
          </cell>
          <cell r="F3331" t="str">
            <v>CMCL-C</v>
          </cell>
          <cell r="G3331">
            <v>460</v>
          </cell>
          <cell r="H3331" t="str">
            <v>CMCL-C460</v>
          </cell>
          <cell r="K3331" t="str">
            <v>Schwibs,Susanne K</v>
          </cell>
          <cell r="N3331">
            <v>2.4300000000000002</v>
          </cell>
          <cell r="O3331">
            <v>2.8620000000000001</v>
          </cell>
        </row>
        <row r="3332">
          <cell r="E3332" t="str">
            <v>CMCL</v>
          </cell>
          <cell r="F3332" t="str">
            <v>CMCL-C</v>
          </cell>
          <cell r="G3332">
            <v>497</v>
          </cell>
          <cell r="H3332" t="str">
            <v>CMCL-C497</v>
          </cell>
          <cell r="K3332" t="str">
            <v>Seizer,Susan Amy</v>
          </cell>
          <cell r="N3332" t="str">
            <v>NR</v>
          </cell>
          <cell r="O3332" t="str">
            <v>NR</v>
          </cell>
        </row>
        <row r="3333">
          <cell r="E3333" t="str">
            <v>CMCL</v>
          </cell>
          <cell r="F3333" t="str">
            <v>CMCL-C</v>
          </cell>
          <cell r="G3333">
            <v>497</v>
          </cell>
          <cell r="H3333" t="str">
            <v>CMCL-C497</v>
          </cell>
          <cell r="K3333" t="str">
            <v>Terrill,Robert E.</v>
          </cell>
          <cell r="N3333" t="str">
            <v>NR</v>
          </cell>
          <cell r="O3333" t="str">
            <v>NR</v>
          </cell>
        </row>
        <row r="3334">
          <cell r="E3334" t="str">
            <v>CMCL</v>
          </cell>
          <cell r="F3334" t="str">
            <v>CMCL-C</v>
          </cell>
          <cell r="G3334">
            <v>499</v>
          </cell>
          <cell r="H3334" t="str">
            <v>CMCL-C499</v>
          </cell>
          <cell r="K3334" t="str">
            <v>Seizer,Susan Amy</v>
          </cell>
          <cell r="N3334" t="str">
            <v>NR</v>
          </cell>
          <cell r="O3334" t="str">
            <v>NR</v>
          </cell>
        </row>
        <row r="3335">
          <cell r="E3335" t="str">
            <v>CMCL</v>
          </cell>
          <cell r="F3335" t="str">
            <v>CMCL-C</v>
          </cell>
          <cell r="G3335">
            <v>501</v>
          </cell>
          <cell r="H3335" t="str">
            <v>CMCL-C501</v>
          </cell>
          <cell r="K3335" t="str">
            <v>Terrill,Robert E.</v>
          </cell>
          <cell r="N3335">
            <v>3.8919999999999999</v>
          </cell>
          <cell r="O3335">
            <v>3.9009999999999998</v>
          </cell>
        </row>
        <row r="3336">
          <cell r="E3336" t="str">
            <v>CMCL</v>
          </cell>
          <cell r="F3336" t="str">
            <v>CMCL-C</v>
          </cell>
          <cell r="G3336">
            <v>502</v>
          </cell>
          <cell r="H3336" t="str">
            <v>CMCL-C502</v>
          </cell>
          <cell r="K3336" t="str">
            <v>Goodman,Jane E.</v>
          </cell>
          <cell r="N3336">
            <v>3.9540000000000002</v>
          </cell>
          <cell r="O3336">
            <v>3.87</v>
          </cell>
        </row>
        <row r="3337">
          <cell r="E3337" t="str">
            <v>CMCL</v>
          </cell>
          <cell r="F3337" t="str">
            <v>CMCL-C</v>
          </cell>
          <cell r="G3337">
            <v>503</v>
          </cell>
          <cell r="H3337" t="str">
            <v>CMCL-C503</v>
          </cell>
          <cell r="K3337" t="str">
            <v>Malitsky,Joshua Seth</v>
          </cell>
          <cell r="N3337">
            <v>3.8889999999999998</v>
          </cell>
          <cell r="O3337">
            <v>3.9580000000000002</v>
          </cell>
        </row>
        <row r="3338">
          <cell r="E3338" t="str">
            <v>CMCL</v>
          </cell>
          <cell r="F3338" t="str">
            <v>CMCL-C</v>
          </cell>
          <cell r="G3338">
            <v>506</v>
          </cell>
          <cell r="H3338" t="str">
            <v>CMCL-C506</v>
          </cell>
          <cell r="K3338" t="str">
            <v>Waller,Gregory A</v>
          </cell>
          <cell r="N3338">
            <v>3.4910000000000001</v>
          </cell>
          <cell r="O3338">
            <v>3.8559999999999999</v>
          </cell>
        </row>
        <row r="3339">
          <cell r="E3339" t="str">
            <v>CMCL</v>
          </cell>
          <cell r="F3339" t="str">
            <v>CMCL-C</v>
          </cell>
          <cell r="G3339">
            <v>512</v>
          </cell>
          <cell r="H3339" t="str">
            <v>CMCL-C512</v>
          </cell>
          <cell r="K3339" t="str">
            <v>Ivie,Robert L.</v>
          </cell>
          <cell r="N3339">
            <v>3.9079999999999999</v>
          </cell>
          <cell r="O3339">
            <v>3.8919999999999999</v>
          </cell>
        </row>
        <row r="3340">
          <cell r="E3340" t="str">
            <v>CMCL</v>
          </cell>
          <cell r="F3340" t="str">
            <v>CMCL-C</v>
          </cell>
          <cell r="G3340">
            <v>545</v>
          </cell>
          <cell r="H3340" t="str">
            <v>CMCL-C545</v>
          </cell>
          <cell r="K3340" t="str">
            <v>Pezzullo,Phaedra C.</v>
          </cell>
          <cell r="N3340">
            <v>4</v>
          </cell>
          <cell r="O3340">
            <v>3.9689999999999999</v>
          </cell>
        </row>
        <row r="3341">
          <cell r="E3341" t="str">
            <v>CMCL</v>
          </cell>
          <cell r="F3341" t="str">
            <v>CMCL-C</v>
          </cell>
          <cell r="G3341">
            <v>552</v>
          </cell>
          <cell r="H3341" t="str">
            <v>CMCL-C552</v>
          </cell>
          <cell r="K3341" t="str">
            <v>Striphas,Ted George</v>
          </cell>
          <cell r="N3341" t="str">
            <v>NR</v>
          </cell>
          <cell r="O3341" t="str">
            <v>NR</v>
          </cell>
        </row>
        <row r="3342">
          <cell r="E3342" t="str">
            <v>CMCL</v>
          </cell>
          <cell r="F3342" t="str">
            <v>CMCL-C</v>
          </cell>
          <cell r="G3342">
            <v>560</v>
          </cell>
          <cell r="H3342" t="str">
            <v>CMCL-C560</v>
          </cell>
          <cell r="K3342" t="str">
            <v>Fleming,Amanda C</v>
          </cell>
          <cell r="N3342" t="str">
            <v>NR</v>
          </cell>
          <cell r="O3342" t="str">
            <v>NR</v>
          </cell>
        </row>
        <row r="3343">
          <cell r="E3343" t="str">
            <v>CMCL</v>
          </cell>
          <cell r="F3343" t="str">
            <v>CMCL-C</v>
          </cell>
          <cell r="G3343">
            <v>560</v>
          </cell>
          <cell r="H3343" t="str">
            <v>CMCL-C560</v>
          </cell>
          <cell r="K3343" t="str">
            <v>Ramirez,Javier Gerardo</v>
          </cell>
          <cell r="N3343" t="str">
            <v>NR</v>
          </cell>
          <cell r="O3343" t="str">
            <v>NR</v>
          </cell>
        </row>
        <row r="3344">
          <cell r="E3344" t="str">
            <v>CMCL</v>
          </cell>
          <cell r="F3344" t="str">
            <v>CMCL-C</v>
          </cell>
          <cell r="G3344">
            <v>592</v>
          </cell>
          <cell r="H3344" t="str">
            <v>CMCL-C592</v>
          </cell>
          <cell r="K3344" t="str">
            <v>Bowdre,Karen Michelle</v>
          </cell>
          <cell r="N3344">
            <v>3.9569999999999999</v>
          </cell>
          <cell r="O3344">
            <v>3.931</v>
          </cell>
        </row>
        <row r="3345">
          <cell r="E3345" t="str">
            <v>CMCL</v>
          </cell>
          <cell r="F3345" t="str">
            <v>CMCL-C</v>
          </cell>
          <cell r="G3345">
            <v>596</v>
          </cell>
          <cell r="H3345" t="str">
            <v>CMCL-C596</v>
          </cell>
          <cell r="K3345" t="str">
            <v>Breger,Claudia</v>
          </cell>
          <cell r="N3345" t="str">
            <v>NR</v>
          </cell>
          <cell r="O3345" t="str">
            <v>NR</v>
          </cell>
        </row>
        <row r="3346">
          <cell r="E3346" t="str">
            <v>CMCL</v>
          </cell>
          <cell r="F3346" t="str">
            <v>CMCL-C</v>
          </cell>
          <cell r="G3346">
            <v>596</v>
          </cell>
          <cell r="H3346" t="str">
            <v>CMCL-C596</v>
          </cell>
          <cell r="K3346" t="str">
            <v>Martin,Michael T</v>
          </cell>
          <cell r="N3346">
            <v>3.6709999999999998</v>
          </cell>
          <cell r="O3346">
            <v>3.798</v>
          </cell>
        </row>
        <row r="3347">
          <cell r="E3347" t="str">
            <v>CMCL</v>
          </cell>
          <cell r="F3347" t="str">
            <v>CMCL-C</v>
          </cell>
          <cell r="G3347">
            <v>606</v>
          </cell>
          <cell r="H3347" t="str">
            <v>CMCL-C606</v>
          </cell>
          <cell r="K3347" t="str">
            <v>Malitsky,Joshua Seth</v>
          </cell>
          <cell r="N3347">
            <v>4</v>
          </cell>
          <cell r="O3347">
            <v>3.8639999999999999</v>
          </cell>
        </row>
        <row r="3348">
          <cell r="E3348" t="str">
            <v>CMCL</v>
          </cell>
          <cell r="F3348" t="str">
            <v>CMCL-C</v>
          </cell>
          <cell r="G3348">
            <v>616</v>
          </cell>
          <cell r="H3348" t="str">
            <v>CMCL-C616</v>
          </cell>
          <cell r="K3348" t="str">
            <v>Ivie,Robert L.</v>
          </cell>
          <cell r="N3348">
            <v>3.7629999999999999</v>
          </cell>
          <cell r="O3348">
            <v>3.8319999999999999</v>
          </cell>
        </row>
        <row r="3349">
          <cell r="E3349" t="str">
            <v>CMCL</v>
          </cell>
          <cell r="F3349" t="str">
            <v>CMCL-C</v>
          </cell>
          <cell r="G3349">
            <v>620</v>
          </cell>
          <cell r="H3349" t="str">
            <v>CMCL-C620</v>
          </cell>
          <cell r="K3349" t="str">
            <v>Gray,Mary Louise</v>
          </cell>
          <cell r="N3349">
            <v>3.9809999999999999</v>
          </cell>
          <cell r="O3349">
            <v>3.9180000000000001</v>
          </cell>
        </row>
        <row r="3350">
          <cell r="E3350" t="str">
            <v>CMCL</v>
          </cell>
          <cell r="F3350" t="str">
            <v>CMCL-C</v>
          </cell>
          <cell r="G3350">
            <v>622</v>
          </cell>
          <cell r="H3350" t="str">
            <v>CMCL-C622</v>
          </cell>
          <cell r="K3350" t="str">
            <v>Hawkins,Joan C.</v>
          </cell>
          <cell r="N3350">
            <v>3.96</v>
          </cell>
          <cell r="O3350">
            <v>3.9039999999999999</v>
          </cell>
        </row>
        <row r="3351">
          <cell r="E3351" t="str">
            <v>CMCL</v>
          </cell>
          <cell r="F3351" t="str">
            <v>CMCL-C</v>
          </cell>
          <cell r="G3351">
            <v>626</v>
          </cell>
          <cell r="H3351" t="str">
            <v>CMCL-C626</v>
          </cell>
          <cell r="K3351" t="str">
            <v>Gershon,Ilana M.</v>
          </cell>
          <cell r="N3351">
            <v>4</v>
          </cell>
          <cell r="O3351">
            <v>3.931</v>
          </cell>
        </row>
        <row r="3352">
          <cell r="E3352" t="str">
            <v>CMCL</v>
          </cell>
          <cell r="F3352" t="str">
            <v>CMCL-C</v>
          </cell>
          <cell r="G3352">
            <v>626</v>
          </cell>
          <cell r="H3352" t="str">
            <v>CMCL-C626</v>
          </cell>
          <cell r="K3352" t="str">
            <v>Hawkins,Joan C.</v>
          </cell>
          <cell r="N3352">
            <v>3.9249999999999998</v>
          </cell>
          <cell r="O3352">
            <v>3.8820000000000001</v>
          </cell>
        </row>
        <row r="3353">
          <cell r="E3353" t="str">
            <v>CMCL</v>
          </cell>
          <cell r="F3353" t="str">
            <v>CMCL-C</v>
          </cell>
          <cell r="G3353">
            <v>626</v>
          </cell>
          <cell r="H3353" t="str">
            <v>CMCL-C626</v>
          </cell>
          <cell r="K3353" t="str">
            <v>Lepselter,Susan Claudia</v>
          </cell>
          <cell r="N3353">
            <v>4</v>
          </cell>
          <cell r="O3353">
            <v>3.9359999999999999</v>
          </cell>
        </row>
        <row r="3354">
          <cell r="E3354" t="str">
            <v>CMCL</v>
          </cell>
          <cell r="F3354" t="str">
            <v>CMCL-C</v>
          </cell>
          <cell r="G3354">
            <v>645</v>
          </cell>
          <cell r="H3354" t="str">
            <v>CMCL-C645</v>
          </cell>
          <cell r="K3354" t="str">
            <v>Goodman,Jane E.</v>
          </cell>
          <cell r="N3354">
            <v>3.95</v>
          </cell>
          <cell r="O3354">
            <v>3.94</v>
          </cell>
        </row>
        <row r="3355">
          <cell r="E3355" t="str">
            <v>CMCL</v>
          </cell>
          <cell r="F3355" t="str">
            <v>CMCL-C</v>
          </cell>
          <cell r="G3355">
            <v>646</v>
          </cell>
          <cell r="H3355" t="str">
            <v>CMCL-C646</v>
          </cell>
          <cell r="K3355" t="str">
            <v>Goodman,Jane E.</v>
          </cell>
          <cell r="N3355" t="str">
            <v>NR</v>
          </cell>
          <cell r="O3355" t="str">
            <v>NR</v>
          </cell>
        </row>
        <row r="3356">
          <cell r="E3356" t="str">
            <v>CMCL</v>
          </cell>
          <cell r="F3356" t="str">
            <v>CMCL-C</v>
          </cell>
          <cell r="G3356">
            <v>646</v>
          </cell>
          <cell r="H3356" t="str">
            <v>CMCL-C646</v>
          </cell>
          <cell r="K3356" t="str">
            <v>Striphas,Ted George</v>
          </cell>
          <cell r="N3356" t="str">
            <v>NR</v>
          </cell>
          <cell r="O3356" t="str">
            <v>NR</v>
          </cell>
        </row>
        <row r="3357">
          <cell r="E3357" t="str">
            <v>CMCL</v>
          </cell>
          <cell r="F3357" t="str">
            <v>CMCL-C</v>
          </cell>
          <cell r="G3357">
            <v>652</v>
          </cell>
          <cell r="H3357" t="str">
            <v>CMCL-C652</v>
          </cell>
          <cell r="K3357" t="str">
            <v>De Boer,Stephanie Ann</v>
          </cell>
          <cell r="N3357">
            <v>4</v>
          </cell>
          <cell r="O3357">
            <v>3.4489999999999998</v>
          </cell>
        </row>
        <row r="3358">
          <cell r="E3358" t="str">
            <v>CMCL</v>
          </cell>
          <cell r="F3358" t="str">
            <v>CMCL-C</v>
          </cell>
          <cell r="G3358">
            <v>660</v>
          </cell>
          <cell r="H3358" t="str">
            <v>CMCL-C660</v>
          </cell>
          <cell r="K3358" t="str">
            <v>Schwibs,Susanne K</v>
          </cell>
          <cell r="N3358" t="str">
            <v>NR</v>
          </cell>
          <cell r="O3358" t="str">
            <v>NR</v>
          </cell>
        </row>
        <row r="3359">
          <cell r="E3359" t="str">
            <v>CMCL</v>
          </cell>
          <cell r="F3359" t="str">
            <v>CMCL-C</v>
          </cell>
          <cell r="G3359">
            <v>661</v>
          </cell>
          <cell r="H3359" t="str">
            <v>CMCL-C661</v>
          </cell>
          <cell r="K3359" t="str">
            <v>Pezzullo,Phaedra C.</v>
          </cell>
          <cell r="N3359">
            <v>3.9140000000000001</v>
          </cell>
          <cell r="O3359">
            <v>3.9239999999999999</v>
          </cell>
        </row>
        <row r="3360">
          <cell r="E3360" t="str">
            <v>CMCL</v>
          </cell>
          <cell r="F3360" t="str">
            <v>CMCL-C</v>
          </cell>
          <cell r="G3360">
            <v>662</v>
          </cell>
          <cell r="H3360" t="str">
            <v>CMCL-C662</v>
          </cell>
          <cell r="K3360" t="str">
            <v>Klinger,Barbara</v>
          </cell>
          <cell r="N3360">
            <v>3.8639999999999999</v>
          </cell>
          <cell r="O3360">
            <v>3.923</v>
          </cell>
        </row>
        <row r="3361">
          <cell r="E3361" t="str">
            <v>CMCL</v>
          </cell>
          <cell r="F3361" t="str">
            <v>CMCL-C</v>
          </cell>
          <cell r="G3361">
            <v>700</v>
          </cell>
          <cell r="H3361" t="str">
            <v>CMCL-C700</v>
          </cell>
          <cell r="K3361" t="str">
            <v>Doty,Alex</v>
          </cell>
          <cell r="N3361" t="str">
            <v>NR</v>
          </cell>
          <cell r="O3361" t="str">
            <v>NR</v>
          </cell>
        </row>
        <row r="3362">
          <cell r="E3362" t="str">
            <v>CMCL</v>
          </cell>
          <cell r="F3362" t="str">
            <v>CMCL-C</v>
          </cell>
          <cell r="G3362">
            <v>700</v>
          </cell>
          <cell r="H3362" t="str">
            <v>CMCL-C700</v>
          </cell>
          <cell r="K3362" t="str">
            <v>Goodman,Jane E.</v>
          </cell>
          <cell r="N3362" t="str">
            <v>NR</v>
          </cell>
          <cell r="O3362" t="str">
            <v>NR</v>
          </cell>
        </row>
        <row r="3363">
          <cell r="E3363" t="str">
            <v>CMCL</v>
          </cell>
          <cell r="F3363" t="str">
            <v>CMCL-C</v>
          </cell>
          <cell r="G3363">
            <v>705</v>
          </cell>
          <cell r="H3363" t="str">
            <v>CMCL-C705</v>
          </cell>
          <cell r="K3363" t="str">
            <v>Lucaites,John Louis</v>
          </cell>
          <cell r="N3363">
            <v>3.94</v>
          </cell>
          <cell r="O3363">
            <v>3.9470000000000001</v>
          </cell>
        </row>
        <row r="3364">
          <cell r="E3364" t="str">
            <v>CMCL</v>
          </cell>
          <cell r="F3364" t="str">
            <v>CMCL-C</v>
          </cell>
          <cell r="G3364">
            <v>710</v>
          </cell>
          <cell r="H3364" t="str">
            <v>CMCL-C710</v>
          </cell>
          <cell r="K3364" t="str">
            <v>Doty,Alex</v>
          </cell>
          <cell r="N3364">
            <v>3.95</v>
          </cell>
          <cell r="O3364">
            <v>3.891</v>
          </cell>
        </row>
        <row r="3365">
          <cell r="E3365" t="str">
            <v>CMCL</v>
          </cell>
          <cell r="F3365" t="str">
            <v>CMCL-C</v>
          </cell>
          <cell r="G3365">
            <v>710</v>
          </cell>
          <cell r="H3365" t="str">
            <v>CMCL-C710</v>
          </cell>
          <cell r="K3365" t="str">
            <v>Goodman,Jane E.</v>
          </cell>
          <cell r="N3365">
            <v>3.9</v>
          </cell>
          <cell r="O3365">
            <v>3.7189999999999999</v>
          </cell>
        </row>
        <row r="3366">
          <cell r="E3366" t="str">
            <v>CMCL</v>
          </cell>
          <cell r="F3366" t="str">
            <v>CMCL-C</v>
          </cell>
          <cell r="G3366">
            <v>793</v>
          </cell>
          <cell r="H3366" t="str">
            <v>CMCL-C793</v>
          </cell>
          <cell r="K3366" t="str">
            <v>Waller,Gregory A</v>
          </cell>
          <cell r="N3366">
            <v>3.9630000000000001</v>
          </cell>
          <cell r="O3366">
            <v>3.9369999999999998</v>
          </cell>
        </row>
        <row r="3367">
          <cell r="E3367" t="str">
            <v>CMCL</v>
          </cell>
          <cell r="F3367" t="str">
            <v>CMCL-C</v>
          </cell>
          <cell r="G3367">
            <v>810</v>
          </cell>
          <cell r="H3367" t="str">
            <v>CMCL-C810</v>
          </cell>
          <cell r="K3367" t="str">
            <v>Doty,Alex</v>
          </cell>
          <cell r="N3367" t="str">
            <v>NR</v>
          </cell>
          <cell r="O3367" t="str">
            <v>NR</v>
          </cell>
        </row>
        <row r="3368">
          <cell r="E3368" t="str">
            <v>CMCL</v>
          </cell>
          <cell r="F3368" t="str">
            <v>CMCL-C</v>
          </cell>
          <cell r="G3368">
            <v>810</v>
          </cell>
          <cell r="H3368" t="str">
            <v>CMCL-C810</v>
          </cell>
          <cell r="K3368" t="str">
            <v>Doty,Alex</v>
          </cell>
          <cell r="N3368" t="str">
            <v>NR</v>
          </cell>
          <cell r="O3368" t="str">
            <v>NR</v>
          </cell>
        </row>
        <row r="3369">
          <cell r="E3369" t="str">
            <v>CMCL</v>
          </cell>
          <cell r="F3369" t="str">
            <v>CMCL-C</v>
          </cell>
          <cell r="G3369">
            <v>810</v>
          </cell>
          <cell r="H3369" t="str">
            <v>CMCL-C810</v>
          </cell>
          <cell r="K3369" t="str">
            <v>Goodman,Jane E.</v>
          </cell>
          <cell r="N3369" t="str">
            <v>NR</v>
          </cell>
          <cell r="O3369" t="str">
            <v>NR</v>
          </cell>
        </row>
        <row r="3370">
          <cell r="E3370" t="str">
            <v>CMCL</v>
          </cell>
          <cell r="F3370" t="str">
            <v>CMCL-C</v>
          </cell>
          <cell r="G3370">
            <v>810</v>
          </cell>
          <cell r="H3370" t="str">
            <v>CMCL-C810</v>
          </cell>
          <cell r="K3370" t="str">
            <v>Goodman,Jane E.</v>
          </cell>
          <cell r="N3370" t="str">
            <v>NR</v>
          </cell>
          <cell r="O3370" t="str">
            <v>NR</v>
          </cell>
        </row>
        <row r="3371">
          <cell r="E3371" t="str">
            <v>CMCL</v>
          </cell>
          <cell r="F3371" t="str">
            <v>CMCL-G</v>
          </cell>
          <cell r="G3371">
            <v>901</v>
          </cell>
          <cell r="H3371" t="str">
            <v>CMCL-G901</v>
          </cell>
          <cell r="K3371" t="str">
            <v>Doty,Alex</v>
          </cell>
          <cell r="N3371" t="str">
            <v>NR</v>
          </cell>
          <cell r="O3371" t="str">
            <v>NR</v>
          </cell>
        </row>
        <row r="3372">
          <cell r="E3372" t="str">
            <v>CMCL</v>
          </cell>
          <cell r="F3372" t="str">
            <v>CMCL-G</v>
          </cell>
          <cell r="G3372">
            <v>901</v>
          </cell>
          <cell r="H3372" t="str">
            <v>CMCL-G901</v>
          </cell>
          <cell r="K3372" t="str">
            <v>Goodman,Jane E.</v>
          </cell>
          <cell r="N3372" t="str">
            <v>NR</v>
          </cell>
          <cell r="O3372" t="str">
            <v>NR</v>
          </cell>
        </row>
        <row r="3373">
          <cell r="E3373" t="str">
            <v>CMCL</v>
          </cell>
          <cell r="F3373" t="str">
            <v>CMCL-OS</v>
          </cell>
          <cell r="G3373">
            <v>100</v>
          </cell>
          <cell r="H3373" t="str">
            <v>CMCL-OS100</v>
          </cell>
          <cell r="N3373" t="str">
            <v>NR</v>
          </cell>
          <cell r="O3373" t="str">
            <v>NR</v>
          </cell>
        </row>
        <row r="3374">
          <cell r="E3374" t="str">
            <v>CMLT</v>
          </cell>
          <cell r="F3374" t="str">
            <v>CMLT-C</v>
          </cell>
          <cell r="G3374">
            <v>110</v>
          </cell>
          <cell r="H3374" t="str">
            <v>CMLT-C110</v>
          </cell>
          <cell r="K3374" t="str">
            <v>Arenberg,Meg Elizabeth</v>
          </cell>
          <cell r="N3374">
            <v>2.4500000000000002</v>
          </cell>
          <cell r="O3374">
            <v>2.556</v>
          </cell>
        </row>
        <row r="3375">
          <cell r="E3375" t="str">
            <v>CMLT</v>
          </cell>
          <cell r="F3375" t="str">
            <v>CMLT-C</v>
          </cell>
          <cell r="G3375">
            <v>110</v>
          </cell>
          <cell r="H3375" t="str">
            <v>CMLT-C110</v>
          </cell>
          <cell r="K3375" t="str">
            <v>Cruz Rios,Yari E</v>
          </cell>
          <cell r="N3375">
            <v>2.2290000000000001</v>
          </cell>
          <cell r="O3375">
            <v>2.6739999999999999</v>
          </cell>
        </row>
        <row r="3376">
          <cell r="E3376" t="str">
            <v>CMLT</v>
          </cell>
          <cell r="F3376" t="str">
            <v>CMLT-C</v>
          </cell>
          <cell r="G3376">
            <v>110</v>
          </cell>
          <cell r="H3376" t="str">
            <v>CMLT-C110</v>
          </cell>
          <cell r="K3376" t="str">
            <v>Dance,Sheldon August</v>
          </cell>
          <cell r="N3376">
            <v>2.835</v>
          </cell>
          <cell r="O3376">
            <v>2.9180000000000001</v>
          </cell>
        </row>
        <row r="3377">
          <cell r="E3377" t="str">
            <v>CMLT</v>
          </cell>
          <cell r="F3377" t="str">
            <v>CMLT-C</v>
          </cell>
          <cell r="G3377">
            <v>110</v>
          </cell>
          <cell r="H3377" t="str">
            <v>CMLT-C110</v>
          </cell>
          <cell r="K3377" t="str">
            <v>Dragu,Ana Maria Magdalena</v>
          </cell>
          <cell r="N3377">
            <v>2.8479999999999999</v>
          </cell>
          <cell r="O3377">
            <v>2.4820000000000002</v>
          </cell>
        </row>
        <row r="3378">
          <cell r="E3378" t="str">
            <v>CMLT</v>
          </cell>
          <cell r="F3378" t="str">
            <v>CMLT-C</v>
          </cell>
          <cell r="G3378">
            <v>110</v>
          </cell>
          <cell r="H3378" t="str">
            <v>CMLT-C110</v>
          </cell>
          <cell r="K3378" t="str">
            <v>Frauman,Alexandria</v>
          </cell>
          <cell r="N3378">
            <v>2.782</v>
          </cell>
          <cell r="O3378">
            <v>3.032</v>
          </cell>
        </row>
        <row r="3379">
          <cell r="E3379" t="str">
            <v>CMLT</v>
          </cell>
          <cell r="F3379" t="str">
            <v>CMLT-C</v>
          </cell>
          <cell r="G3379">
            <v>110</v>
          </cell>
          <cell r="H3379" t="str">
            <v>CMLT-C110</v>
          </cell>
          <cell r="K3379" t="str">
            <v>Garceau,Benjamin Francis</v>
          </cell>
          <cell r="N3379">
            <v>2.9569999999999999</v>
          </cell>
          <cell r="O3379">
            <v>2.915</v>
          </cell>
        </row>
        <row r="3380">
          <cell r="E3380" t="str">
            <v>CMLT</v>
          </cell>
          <cell r="F3380" t="str">
            <v>CMLT-C</v>
          </cell>
          <cell r="G3380">
            <v>110</v>
          </cell>
          <cell r="H3380" t="str">
            <v>CMLT-C110</v>
          </cell>
          <cell r="K3380" t="str">
            <v>Geballe,Elizabeth Frances</v>
          </cell>
          <cell r="N3380">
            <v>3.2480000000000002</v>
          </cell>
          <cell r="O3380">
            <v>3.0539999999999998</v>
          </cell>
        </row>
        <row r="3381">
          <cell r="E3381" t="str">
            <v>CMLT</v>
          </cell>
          <cell r="F3381" t="str">
            <v>CMLT-C</v>
          </cell>
          <cell r="G3381">
            <v>110</v>
          </cell>
          <cell r="H3381" t="str">
            <v>CMLT-C110</v>
          </cell>
          <cell r="K3381" t="str">
            <v>Hine,Lucas</v>
          </cell>
          <cell r="N3381">
            <v>3.395</v>
          </cell>
          <cell r="O3381">
            <v>3.044</v>
          </cell>
        </row>
        <row r="3382">
          <cell r="E3382" t="str">
            <v>CMLT</v>
          </cell>
          <cell r="F3382" t="str">
            <v>CMLT-C</v>
          </cell>
          <cell r="G3382">
            <v>110</v>
          </cell>
          <cell r="H3382" t="str">
            <v>CMLT-C110</v>
          </cell>
          <cell r="K3382" t="str">
            <v>Johnson,Jeffrey William</v>
          </cell>
          <cell r="N3382">
            <v>2.6779999999999999</v>
          </cell>
          <cell r="O3382">
            <v>2.778</v>
          </cell>
        </row>
        <row r="3383">
          <cell r="E3383" t="str">
            <v>CMLT</v>
          </cell>
          <cell r="F3383" t="str">
            <v>CMLT-C</v>
          </cell>
          <cell r="G3383">
            <v>110</v>
          </cell>
          <cell r="H3383" t="str">
            <v>CMLT-C110</v>
          </cell>
          <cell r="K3383" t="str">
            <v>Johnson,Jeffrey William</v>
          </cell>
          <cell r="N3383">
            <v>2.8879999999999999</v>
          </cell>
          <cell r="O3383">
            <v>2.9340000000000002</v>
          </cell>
        </row>
        <row r="3384">
          <cell r="E3384" t="str">
            <v>CMLT</v>
          </cell>
          <cell r="F3384" t="str">
            <v>CMLT-C</v>
          </cell>
          <cell r="G3384">
            <v>110</v>
          </cell>
          <cell r="H3384" t="str">
            <v>CMLT-C110</v>
          </cell>
          <cell r="K3384" t="str">
            <v>Kendall,Nzingha</v>
          </cell>
          <cell r="N3384">
            <v>2.2949999999999999</v>
          </cell>
          <cell r="O3384">
            <v>2.3370000000000002</v>
          </cell>
        </row>
        <row r="3385">
          <cell r="E3385" t="str">
            <v>CMLT</v>
          </cell>
          <cell r="F3385" t="str">
            <v>CMLT-C</v>
          </cell>
          <cell r="G3385">
            <v>110</v>
          </cell>
          <cell r="H3385" t="str">
            <v>CMLT-C110</v>
          </cell>
          <cell r="K3385" t="str">
            <v>Morrell,Sarah Anne</v>
          </cell>
          <cell r="N3385">
            <v>3.181</v>
          </cell>
          <cell r="O3385">
            <v>2.9180000000000001</v>
          </cell>
        </row>
        <row r="3386">
          <cell r="E3386" t="str">
            <v>CMLT</v>
          </cell>
          <cell r="F3386" t="str">
            <v>CMLT-C</v>
          </cell>
          <cell r="G3386">
            <v>110</v>
          </cell>
          <cell r="H3386" t="str">
            <v>CMLT-C110</v>
          </cell>
          <cell r="K3386" t="str">
            <v>Posner,Allison Kendrick</v>
          </cell>
          <cell r="N3386">
            <v>3.4039999999999999</v>
          </cell>
          <cell r="O3386">
            <v>3.13</v>
          </cell>
        </row>
        <row r="3387">
          <cell r="E3387" t="str">
            <v>CMLT</v>
          </cell>
          <cell r="F3387" t="str">
            <v>CMLT-C</v>
          </cell>
          <cell r="G3387">
            <v>147</v>
          </cell>
          <cell r="H3387" t="str">
            <v>CMLT-C147</v>
          </cell>
          <cell r="K3387" t="str">
            <v>Wu,Tsaiyi</v>
          </cell>
          <cell r="N3387">
            <v>3.6520000000000001</v>
          </cell>
          <cell r="O3387">
            <v>3.0489999999999999</v>
          </cell>
        </row>
        <row r="3388">
          <cell r="E3388" t="str">
            <v>CMLT</v>
          </cell>
          <cell r="F3388" t="str">
            <v>CMLT-C</v>
          </cell>
          <cell r="G3388">
            <v>151</v>
          </cell>
          <cell r="H3388" t="str">
            <v>CMLT-C151</v>
          </cell>
          <cell r="K3388" t="str">
            <v>Chen,Yu-Min</v>
          </cell>
          <cell r="N3388">
            <v>3.7210000000000001</v>
          </cell>
          <cell r="O3388">
            <v>3.109</v>
          </cell>
        </row>
        <row r="3389">
          <cell r="E3389" t="str">
            <v>CMLT</v>
          </cell>
          <cell r="F3389" t="str">
            <v>CMLT-C</v>
          </cell>
          <cell r="G3389">
            <v>151</v>
          </cell>
          <cell r="H3389" t="str">
            <v>CMLT-C151</v>
          </cell>
          <cell r="K3389" t="str">
            <v>Lang,Avi</v>
          </cell>
          <cell r="N3389">
            <v>3.4969999999999999</v>
          </cell>
          <cell r="O3389">
            <v>3.298</v>
          </cell>
        </row>
        <row r="3390">
          <cell r="E3390" t="str">
            <v>CMLT</v>
          </cell>
          <cell r="F3390" t="str">
            <v>CMLT-C</v>
          </cell>
          <cell r="G3390">
            <v>151</v>
          </cell>
          <cell r="H3390" t="str">
            <v>CMLT-C151</v>
          </cell>
          <cell r="K3390" t="str">
            <v>Le H_x001A_arat,Julie</v>
          </cell>
          <cell r="N3390">
            <v>2.9670000000000001</v>
          </cell>
          <cell r="O3390">
            <v>3.016</v>
          </cell>
        </row>
        <row r="3391">
          <cell r="E3391" t="str">
            <v>CMLT</v>
          </cell>
          <cell r="F3391" t="str">
            <v>CMLT-C</v>
          </cell>
          <cell r="G3391">
            <v>151</v>
          </cell>
          <cell r="H3391" t="str">
            <v>CMLT-C151</v>
          </cell>
          <cell r="K3391" t="str">
            <v>Ndour,Moustapha</v>
          </cell>
          <cell r="N3391">
            <v>3.13</v>
          </cell>
          <cell r="O3391">
            <v>3.0470000000000002</v>
          </cell>
        </row>
        <row r="3392">
          <cell r="E3392" t="str">
            <v>CMLT</v>
          </cell>
          <cell r="F3392" t="str">
            <v>CMLT-C</v>
          </cell>
          <cell r="G3392">
            <v>151</v>
          </cell>
          <cell r="H3392" t="str">
            <v>CMLT-C151</v>
          </cell>
          <cell r="K3392" t="str">
            <v>SERVAIN,CYRIL</v>
          </cell>
          <cell r="N3392">
            <v>3.6320000000000001</v>
          </cell>
          <cell r="O3392">
            <v>3.226</v>
          </cell>
        </row>
        <row r="3393">
          <cell r="E3393" t="str">
            <v>CMLT</v>
          </cell>
          <cell r="F3393" t="str">
            <v>CMLT-C</v>
          </cell>
          <cell r="G3393">
            <v>151</v>
          </cell>
          <cell r="H3393" t="str">
            <v>CMLT-C151</v>
          </cell>
          <cell r="K3393" t="str">
            <v>volkova,olga anatolyevna</v>
          </cell>
          <cell r="N3393">
            <v>3.024</v>
          </cell>
          <cell r="O3393">
            <v>3.1829999999999998</v>
          </cell>
        </row>
        <row r="3394">
          <cell r="E3394" t="str">
            <v>CMLT</v>
          </cell>
          <cell r="F3394" t="str">
            <v>CMLT-C</v>
          </cell>
          <cell r="G3394">
            <v>155</v>
          </cell>
          <cell r="H3394" t="str">
            <v>CMLT-C155</v>
          </cell>
          <cell r="K3394" t="str">
            <v>Jallatyan,Karen</v>
          </cell>
          <cell r="N3394">
            <v>3.714</v>
          </cell>
          <cell r="O3394">
            <v>3.1040000000000001</v>
          </cell>
        </row>
        <row r="3395">
          <cell r="E3395" t="str">
            <v>CMLT</v>
          </cell>
          <cell r="F3395" t="str">
            <v>CMLT-C</v>
          </cell>
          <cell r="G3395">
            <v>155</v>
          </cell>
          <cell r="H3395" t="str">
            <v>CMLT-C155</v>
          </cell>
          <cell r="K3395" t="str">
            <v>Thiao,Moussa</v>
          </cell>
          <cell r="N3395">
            <v>3.1840000000000002</v>
          </cell>
          <cell r="O3395">
            <v>3.024</v>
          </cell>
        </row>
        <row r="3396">
          <cell r="E3396" t="str">
            <v>CMLT</v>
          </cell>
          <cell r="F3396" t="str">
            <v>CMLT-C</v>
          </cell>
          <cell r="G3396">
            <v>200</v>
          </cell>
          <cell r="H3396" t="str">
            <v>CMLT-C200</v>
          </cell>
          <cell r="K3396" t="str">
            <v>Emery,Jacob</v>
          </cell>
          <cell r="N3396" t="str">
            <v>NR</v>
          </cell>
          <cell r="O3396" t="str">
            <v>NR</v>
          </cell>
        </row>
        <row r="3397">
          <cell r="E3397" t="str">
            <v>CMLT</v>
          </cell>
          <cell r="F3397" t="str">
            <v>CMLT-C</v>
          </cell>
          <cell r="G3397">
            <v>200</v>
          </cell>
          <cell r="H3397" t="str">
            <v>CMLT-C200</v>
          </cell>
          <cell r="K3397" t="str">
            <v>Marks,Herbert J.</v>
          </cell>
          <cell r="N3397" t="str">
            <v>NR</v>
          </cell>
          <cell r="O3397" t="str">
            <v>NR</v>
          </cell>
        </row>
        <row r="3398">
          <cell r="E3398" t="str">
            <v>CMLT</v>
          </cell>
          <cell r="F3398" t="str">
            <v>CMLT-C</v>
          </cell>
          <cell r="G3398">
            <v>205</v>
          </cell>
          <cell r="H3398" t="str">
            <v>CMLT-C205</v>
          </cell>
          <cell r="K3398" t="str">
            <v>Adesokan,Akinwumi</v>
          </cell>
          <cell r="N3398">
            <v>3.4119999999999999</v>
          </cell>
          <cell r="O3398">
            <v>2.907</v>
          </cell>
        </row>
        <row r="3399">
          <cell r="E3399" t="str">
            <v>CMLT</v>
          </cell>
          <cell r="F3399" t="str">
            <v>CMLT-C</v>
          </cell>
          <cell r="G3399">
            <v>205</v>
          </cell>
          <cell r="H3399" t="str">
            <v>CMLT-C205</v>
          </cell>
          <cell r="K3399" t="str">
            <v>Sokol,Alina</v>
          </cell>
          <cell r="N3399">
            <v>3.5179999999999998</v>
          </cell>
          <cell r="O3399">
            <v>3.0419999999999998</v>
          </cell>
        </row>
        <row r="3400">
          <cell r="E3400" t="str">
            <v>CMLT</v>
          </cell>
          <cell r="F3400" t="str">
            <v>CMLT-C</v>
          </cell>
          <cell r="G3400">
            <v>205</v>
          </cell>
          <cell r="H3400" t="str">
            <v>CMLT-C205</v>
          </cell>
          <cell r="K3400" t="str">
            <v>Van der Laan,Sarah Phillips</v>
          </cell>
          <cell r="N3400">
            <v>2.52</v>
          </cell>
          <cell r="O3400">
            <v>2.8620000000000001</v>
          </cell>
        </row>
        <row r="3401">
          <cell r="E3401" t="str">
            <v>CMLT</v>
          </cell>
          <cell r="F3401" t="str">
            <v>CMLT-C</v>
          </cell>
          <cell r="G3401">
            <v>216</v>
          </cell>
          <cell r="H3401" t="str">
            <v>CMLT-C216</v>
          </cell>
          <cell r="K3401" t="str">
            <v>Nichols III,William Duane</v>
          </cell>
          <cell r="N3401">
            <v>2.4089999999999998</v>
          </cell>
          <cell r="O3401">
            <v>2.8359999999999999</v>
          </cell>
        </row>
        <row r="3402">
          <cell r="E3402" t="str">
            <v>CMLT</v>
          </cell>
          <cell r="F3402" t="str">
            <v>CMLT-C</v>
          </cell>
          <cell r="G3402">
            <v>217</v>
          </cell>
          <cell r="H3402" t="str">
            <v>CMLT-C217</v>
          </cell>
          <cell r="K3402" t="str">
            <v>Mosier,Michael T</v>
          </cell>
          <cell r="N3402">
            <v>3.4350000000000001</v>
          </cell>
          <cell r="O3402">
            <v>3.1509999999999998</v>
          </cell>
        </row>
        <row r="3403">
          <cell r="E3403" t="str">
            <v>CMLT</v>
          </cell>
          <cell r="F3403" t="str">
            <v>CMLT-C</v>
          </cell>
          <cell r="G3403">
            <v>219</v>
          </cell>
          <cell r="H3403" t="str">
            <v>CMLT-C219</v>
          </cell>
          <cell r="K3403" t="str">
            <v>Geballe,Elizabeth Frances</v>
          </cell>
          <cell r="N3403">
            <v>3.367</v>
          </cell>
          <cell r="O3403">
            <v>3.0139999999999998</v>
          </cell>
        </row>
        <row r="3404">
          <cell r="E3404" t="str">
            <v>CMLT</v>
          </cell>
          <cell r="F3404" t="str">
            <v>CMLT-C</v>
          </cell>
          <cell r="G3404">
            <v>251</v>
          </cell>
          <cell r="H3404" t="str">
            <v>CMLT-C251</v>
          </cell>
          <cell r="K3404" t="str">
            <v>Hertz,David M</v>
          </cell>
          <cell r="N3404">
            <v>3.444</v>
          </cell>
          <cell r="O3404">
            <v>3.073</v>
          </cell>
        </row>
        <row r="3405">
          <cell r="E3405" t="str">
            <v>CMLT</v>
          </cell>
          <cell r="F3405" t="str">
            <v>CMLT-C</v>
          </cell>
          <cell r="G3405">
            <v>252</v>
          </cell>
          <cell r="H3405" t="str">
            <v>CMLT-C252</v>
          </cell>
          <cell r="K3405" t="str">
            <v>Le H_x001A_arat,Julie</v>
          </cell>
          <cell r="N3405">
            <v>2.879</v>
          </cell>
          <cell r="O3405">
            <v>3.109</v>
          </cell>
        </row>
        <row r="3406">
          <cell r="E3406" t="str">
            <v>CMLT</v>
          </cell>
          <cell r="F3406" t="str">
            <v>CMLT-C</v>
          </cell>
          <cell r="G3406">
            <v>255</v>
          </cell>
          <cell r="H3406" t="str">
            <v>CMLT-C255</v>
          </cell>
          <cell r="K3406" t="str">
            <v>Hertz,David M</v>
          </cell>
          <cell r="N3406">
            <v>3.41</v>
          </cell>
          <cell r="O3406">
            <v>3.0920000000000001</v>
          </cell>
        </row>
        <row r="3407">
          <cell r="E3407" t="str">
            <v>CMLT</v>
          </cell>
          <cell r="F3407" t="str">
            <v>CMLT-C</v>
          </cell>
          <cell r="G3407">
            <v>255</v>
          </cell>
          <cell r="H3407" t="str">
            <v>CMLT-C255</v>
          </cell>
          <cell r="K3407" t="str">
            <v>Riccio,Catherine Adele</v>
          </cell>
          <cell r="N3407">
            <v>3.5</v>
          </cell>
          <cell r="O3407">
            <v>3.1030000000000002</v>
          </cell>
        </row>
        <row r="3408">
          <cell r="E3408" t="str">
            <v>CMLT</v>
          </cell>
          <cell r="F3408" t="str">
            <v>CMLT-C</v>
          </cell>
          <cell r="G3408">
            <v>255</v>
          </cell>
          <cell r="H3408" t="str">
            <v>CMLT-C255</v>
          </cell>
          <cell r="K3408" t="str">
            <v>Riccio,Catherine Adele</v>
          </cell>
          <cell r="N3408">
            <v>2.7349999999999999</v>
          </cell>
          <cell r="O3408">
            <v>3.0510000000000002</v>
          </cell>
        </row>
        <row r="3409">
          <cell r="E3409" t="str">
            <v>CMLT</v>
          </cell>
          <cell r="F3409" t="str">
            <v>CMLT-C</v>
          </cell>
          <cell r="G3409">
            <v>265</v>
          </cell>
          <cell r="H3409" t="str">
            <v>CMLT-C265</v>
          </cell>
          <cell r="K3409" t="str">
            <v>Tsai,Kevin</v>
          </cell>
          <cell r="N3409">
            <v>3.9159999999999999</v>
          </cell>
          <cell r="O3409">
            <v>2.907</v>
          </cell>
        </row>
        <row r="3410">
          <cell r="E3410" t="str">
            <v>CMLT</v>
          </cell>
          <cell r="F3410" t="str">
            <v>CMLT-C</v>
          </cell>
          <cell r="G3410">
            <v>301</v>
          </cell>
          <cell r="H3410" t="str">
            <v>CMLT-C301</v>
          </cell>
          <cell r="K3410" t="str">
            <v>Johnson,Jeffrey William</v>
          </cell>
          <cell r="N3410">
            <v>3.7</v>
          </cell>
          <cell r="O3410">
            <v>3.141</v>
          </cell>
        </row>
        <row r="3411">
          <cell r="E3411" t="str">
            <v>CMLT</v>
          </cell>
          <cell r="F3411" t="str">
            <v>CMLT-C</v>
          </cell>
          <cell r="G3411">
            <v>301</v>
          </cell>
          <cell r="H3411" t="str">
            <v>CMLT-C301</v>
          </cell>
          <cell r="K3411" t="str">
            <v>Van der Laan,Sarah Phillips</v>
          </cell>
          <cell r="N3411">
            <v>3.1909999999999998</v>
          </cell>
          <cell r="O3411">
            <v>3.28</v>
          </cell>
        </row>
        <row r="3412">
          <cell r="E3412" t="str">
            <v>CMLT</v>
          </cell>
          <cell r="F3412" t="str">
            <v>CMLT-C</v>
          </cell>
          <cell r="G3412">
            <v>305</v>
          </cell>
          <cell r="H3412" t="str">
            <v>CMLT-C305</v>
          </cell>
          <cell r="K3412" t="str">
            <v>Pao,Angela C.</v>
          </cell>
          <cell r="N3412">
            <v>3.85</v>
          </cell>
          <cell r="O3412">
            <v>3.1190000000000002</v>
          </cell>
        </row>
        <row r="3413">
          <cell r="E3413" t="str">
            <v>CMLT</v>
          </cell>
          <cell r="F3413" t="str">
            <v>CMLT-C</v>
          </cell>
          <cell r="G3413">
            <v>310</v>
          </cell>
          <cell r="H3413" t="str">
            <v>CMLT-C310</v>
          </cell>
          <cell r="K3413" t="str">
            <v>Rowland,Clara</v>
          </cell>
          <cell r="N3413">
            <v>3.2829999999999999</v>
          </cell>
          <cell r="O3413">
            <v>2.847</v>
          </cell>
        </row>
        <row r="3414">
          <cell r="E3414" t="str">
            <v>CMLT</v>
          </cell>
          <cell r="F3414" t="str">
            <v>CMLT-C</v>
          </cell>
          <cell r="G3414">
            <v>313</v>
          </cell>
          <cell r="H3414" t="str">
            <v>CMLT-C313</v>
          </cell>
          <cell r="K3414" t="str">
            <v>Marks,Herbert J.</v>
          </cell>
          <cell r="N3414" t="str">
            <v>NR</v>
          </cell>
          <cell r="O3414" t="str">
            <v>NR</v>
          </cell>
        </row>
        <row r="3415">
          <cell r="E3415" t="str">
            <v>CMLT</v>
          </cell>
          <cell r="F3415" t="str">
            <v>CMLT-C</v>
          </cell>
          <cell r="G3415">
            <v>318</v>
          </cell>
          <cell r="H3415" t="str">
            <v>CMLT-C318</v>
          </cell>
          <cell r="K3415" t="str">
            <v>Adesokan,Akinwumi</v>
          </cell>
          <cell r="N3415">
            <v>2.1800000000000002</v>
          </cell>
          <cell r="O3415">
            <v>2.5379999999999998</v>
          </cell>
        </row>
        <row r="3416">
          <cell r="E3416" t="str">
            <v>CMLT</v>
          </cell>
          <cell r="F3416" t="str">
            <v>CMLT-C</v>
          </cell>
          <cell r="G3416">
            <v>321</v>
          </cell>
          <cell r="H3416" t="str">
            <v>CMLT-C321</v>
          </cell>
          <cell r="K3416" t="str">
            <v>McGerr,Rosemarie</v>
          </cell>
          <cell r="N3416">
            <v>3.379</v>
          </cell>
          <cell r="O3416">
            <v>2.9820000000000002</v>
          </cell>
        </row>
        <row r="3417">
          <cell r="E3417" t="str">
            <v>CMLT</v>
          </cell>
          <cell r="F3417" t="str">
            <v>CMLT-C</v>
          </cell>
          <cell r="G3417">
            <v>335</v>
          </cell>
          <cell r="H3417" t="str">
            <v>CMLT-C335</v>
          </cell>
          <cell r="K3417" t="str">
            <v>Pao,Angela C.</v>
          </cell>
          <cell r="N3417">
            <v>3.2309999999999999</v>
          </cell>
          <cell r="O3417">
            <v>3.2330000000000001</v>
          </cell>
        </row>
        <row r="3418">
          <cell r="E3418" t="str">
            <v>CMLT</v>
          </cell>
          <cell r="F3418" t="str">
            <v>CMLT-C</v>
          </cell>
          <cell r="G3418">
            <v>340</v>
          </cell>
          <cell r="H3418" t="str">
            <v>CMLT-C340</v>
          </cell>
          <cell r="K3418" t="str">
            <v>Schreiber,Holly E</v>
          </cell>
          <cell r="N3418">
            <v>3.2959999999999998</v>
          </cell>
          <cell r="O3418">
            <v>3.3410000000000002</v>
          </cell>
        </row>
        <row r="3419">
          <cell r="E3419" t="str">
            <v>CMLT</v>
          </cell>
          <cell r="F3419" t="str">
            <v>CMLT-C</v>
          </cell>
          <cell r="G3419">
            <v>345</v>
          </cell>
          <cell r="H3419" t="str">
            <v>CMLT-C345</v>
          </cell>
          <cell r="K3419" t="str">
            <v>Johnson,Jeffrey William</v>
          </cell>
          <cell r="N3419">
            <v>3.085</v>
          </cell>
          <cell r="O3419">
            <v>3.2749999999999999</v>
          </cell>
        </row>
        <row r="3420">
          <cell r="E3420" t="str">
            <v>CMLT</v>
          </cell>
          <cell r="F3420" t="str">
            <v>CMLT-C</v>
          </cell>
          <cell r="G3420">
            <v>355</v>
          </cell>
          <cell r="H3420" t="str">
            <v>CMLT-C355</v>
          </cell>
          <cell r="K3420" t="str">
            <v>Hertz,David M</v>
          </cell>
          <cell r="N3420">
            <v>3.3879999999999999</v>
          </cell>
          <cell r="O3420">
            <v>2.8439999999999999</v>
          </cell>
        </row>
        <row r="3421">
          <cell r="E3421" t="str">
            <v>CMLT</v>
          </cell>
          <cell r="F3421" t="str">
            <v>CMLT-C</v>
          </cell>
          <cell r="G3421">
            <v>357</v>
          </cell>
          <cell r="H3421" t="str">
            <v>CMLT-C357</v>
          </cell>
          <cell r="K3421" t="str">
            <v>Pao,Angela C.</v>
          </cell>
          <cell r="N3421">
            <v>3.6</v>
          </cell>
          <cell r="O3421">
            <v>3.2879999999999998</v>
          </cell>
        </row>
        <row r="3422">
          <cell r="E3422" t="str">
            <v>CMLT</v>
          </cell>
          <cell r="F3422" t="str">
            <v>CMLT-C</v>
          </cell>
          <cell r="G3422">
            <v>360</v>
          </cell>
          <cell r="H3422" t="str">
            <v>CMLT-C360</v>
          </cell>
          <cell r="K3422" t="str">
            <v>Pao,Angela C.</v>
          </cell>
          <cell r="N3422">
            <v>3.3940000000000001</v>
          </cell>
          <cell r="O3422">
            <v>3.0640000000000001</v>
          </cell>
        </row>
        <row r="3423">
          <cell r="E3423" t="str">
            <v>CMLT</v>
          </cell>
          <cell r="F3423" t="str">
            <v>CMLT-C</v>
          </cell>
          <cell r="G3423">
            <v>363</v>
          </cell>
          <cell r="H3423" t="str">
            <v>CMLT-C363</v>
          </cell>
          <cell r="K3423" t="str">
            <v>Julien,Eileen</v>
          </cell>
          <cell r="N3423">
            <v>3.157</v>
          </cell>
          <cell r="O3423">
            <v>3.4249999999999998</v>
          </cell>
        </row>
        <row r="3424">
          <cell r="E3424" t="str">
            <v>CMLT</v>
          </cell>
          <cell r="F3424" t="str">
            <v>CMLT-C</v>
          </cell>
          <cell r="G3424">
            <v>377</v>
          </cell>
          <cell r="H3424" t="str">
            <v>CMLT-C377</v>
          </cell>
          <cell r="K3424" t="str">
            <v>Kerler,Dov-Ber Boris</v>
          </cell>
          <cell r="N3424">
            <v>3.7</v>
          </cell>
          <cell r="O3424">
            <v>2.9540000000000002</v>
          </cell>
        </row>
        <row r="3425">
          <cell r="E3425" t="str">
            <v>CMLT</v>
          </cell>
          <cell r="F3425" t="str">
            <v>CMLT-C</v>
          </cell>
          <cell r="G3425">
            <v>377</v>
          </cell>
          <cell r="H3425" t="str">
            <v>CMLT-C377</v>
          </cell>
          <cell r="K3425" t="str">
            <v>Kerler,Dov-Ber Boris</v>
          </cell>
          <cell r="N3425">
            <v>2.38</v>
          </cell>
          <cell r="O3425">
            <v>2.7250000000000001</v>
          </cell>
        </row>
        <row r="3426">
          <cell r="E3426" t="str">
            <v>CMLT</v>
          </cell>
          <cell r="F3426" t="str">
            <v>CMLT-C</v>
          </cell>
          <cell r="G3426">
            <v>378</v>
          </cell>
          <cell r="H3426" t="str">
            <v>CMLT-C378</v>
          </cell>
          <cell r="K3426" t="str">
            <v>Kerler,Dov-Ber Boris</v>
          </cell>
          <cell r="N3426" t="str">
            <v>NR</v>
          </cell>
          <cell r="O3426" t="str">
            <v>NR</v>
          </cell>
        </row>
        <row r="3427">
          <cell r="E3427" t="str">
            <v>CMLT</v>
          </cell>
          <cell r="F3427" t="str">
            <v>CMLT-C</v>
          </cell>
          <cell r="G3427">
            <v>378</v>
          </cell>
          <cell r="H3427" t="str">
            <v>CMLT-C378</v>
          </cell>
          <cell r="K3427" t="str">
            <v>Kerler,Dov-Ber Boris</v>
          </cell>
          <cell r="N3427">
            <v>1.375</v>
          </cell>
          <cell r="O3427">
            <v>2.4279999999999999</v>
          </cell>
        </row>
        <row r="3428">
          <cell r="E3428" t="str">
            <v>CMLT</v>
          </cell>
          <cell r="F3428" t="str">
            <v>CMLT-C</v>
          </cell>
          <cell r="G3428">
            <v>495</v>
          </cell>
          <cell r="H3428" t="str">
            <v>CMLT-C495</v>
          </cell>
          <cell r="K3428" t="str">
            <v>Johnston,Bill</v>
          </cell>
          <cell r="N3428" t="str">
            <v>NR</v>
          </cell>
          <cell r="O3428" t="str">
            <v>NR</v>
          </cell>
        </row>
        <row r="3429">
          <cell r="E3429" t="str">
            <v>CMLT</v>
          </cell>
          <cell r="F3429" t="str">
            <v>CMLT-C</v>
          </cell>
          <cell r="G3429">
            <v>495</v>
          </cell>
          <cell r="H3429" t="str">
            <v>CMLT-C495</v>
          </cell>
          <cell r="K3429" t="str">
            <v>Johnston,Bill</v>
          </cell>
          <cell r="N3429" t="str">
            <v>NR</v>
          </cell>
          <cell r="O3429" t="str">
            <v>NR</v>
          </cell>
        </row>
        <row r="3430">
          <cell r="E3430" t="str">
            <v>CMLT</v>
          </cell>
          <cell r="F3430" t="str">
            <v>CMLT-C</v>
          </cell>
          <cell r="G3430">
            <v>499</v>
          </cell>
          <cell r="H3430" t="str">
            <v>CMLT-C499</v>
          </cell>
          <cell r="K3430" t="str">
            <v>Johnston,Bill</v>
          </cell>
          <cell r="N3430" t="str">
            <v>NR</v>
          </cell>
          <cell r="O3430" t="str">
            <v>NR</v>
          </cell>
        </row>
        <row r="3431">
          <cell r="E3431" t="str">
            <v>CMLT</v>
          </cell>
          <cell r="F3431" t="str">
            <v>CMLT-C</v>
          </cell>
          <cell r="G3431">
            <v>499</v>
          </cell>
          <cell r="H3431" t="str">
            <v>CMLT-C499</v>
          </cell>
          <cell r="K3431" t="str">
            <v>Johnston,Bill</v>
          </cell>
          <cell r="N3431" t="str">
            <v>NR</v>
          </cell>
          <cell r="O3431" t="str">
            <v>NR</v>
          </cell>
        </row>
        <row r="3432">
          <cell r="E3432" t="str">
            <v>CMLT</v>
          </cell>
          <cell r="F3432" t="str">
            <v>CMLT-C</v>
          </cell>
          <cell r="G3432">
            <v>501</v>
          </cell>
          <cell r="H3432" t="str">
            <v>CMLT-C501</v>
          </cell>
          <cell r="K3432" t="str">
            <v>Peretz,Eyal</v>
          </cell>
          <cell r="N3432">
            <v>3.6560000000000001</v>
          </cell>
          <cell r="O3432">
            <v>3.3370000000000002</v>
          </cell>
        </row>
        <row r="3433">
          <cell r="E3433" t="str">
            <v>CMLT</v>
          </cell>
          <cell r="F3433" t="str">
            <v>CMLT-C</v>
          </cell>
          <cell r="G3433">
            <v>502</v>
          </cell>
          <cell r="H3433" t="str">
            <v>CMLT-C502</v>
          </cell>
          <cell r="K3433" t="str">
            <v>Peretz,Eyal</v>
          </cell>
          <cell r="N3433">
            <v>4</v>
          </cell>
          <cell r="O3433">
            <v>3.8879999999999999</v>
          </cell>
        </row>
        <row r="3434">
          <cell r="E3434" t="str">
            <v>CMLT</v>
          </cell>
          <cell r="F3434" t="str">
            <v>CMLT-C</v>
          </cell>
          <cell r="G3434">
            <v>508</v>
          </cell>
          <cell r="H3434" t="str">
            <v>CMLT-C508</v>
          </cell>
          <cell r="K3434" t="str">
            <v>Johnson,Jeffrey William</v>
          </cell>
          <cell r="N3434" t="str">
            <v>NR</v>
          </cell>
          <cell r="O3434" t="str">
            <v>NR</v>
          </cell>
        </row>
        <row r="3435">
          <cell r="E3435" t="str">
            <v>CMLT</v>
          </cell>
          <cell r="F3435" t="str">
            <v>CMLT-C</v>
          </cell>
          <cell r="G3435">
            <v>523</v>
          </cell>
          <cell r="H3435" t="str">
            <v>CMLT-C523</v>
          </cell>
          <cell r="K3435" t="str">
            <v>McGerr,Rosemarie</v>
          </cell>
          <cell r="N3435" t="str">
            <v>NR</v>
          </cell>
          <cell r="O3435" t="str">
            <v>NR</v>
          </cell>
        </row>
        <row r="3436">
          <cell r="E3436" t="str">
            <v>CMLT</v>
          </cell>
          <cell r="F3436" t="str">
            <v>CMLT-C</v>
          </cell>
          <cell r="G3436">
            <v>537</v>
          </cell>
          <cell r="H3436" t="str">
            <v>CMLT-C537</v>
          </cell>
          <cell r="K3436" t="str">
            <v>Julien,Eileen</v>
          </cell>
          <cell r="N3436">
            <v>3.7330000000000001</v>
          </cell>
          <cell r="O3436">
            <v>3.8940000000000001</v>
          </cell>
        </row>
        <row r="3437">
          <cell r="E3437" t="str">
            <v>CMLT</v>
          </cell>
          <cell r="F3437" t="str">
            <v>CMLT-C</v>
          </cell>
          <cell r="G3437">
            <v>545</v>
          </cell>
          <cell r="H3437" t="str">
            <v>CMLT-C545</v>
          </cell>
          <cell r="K3437" t="str">
            <v>Marks,Herbert J.</v>
          </cell>
          <cell r="N3437" t="str">
            <v>NR</v>
          </cell>
          <cell r="O3437" t="str">
            <v>NR</v>
          </cell>
        </row>
        <row r="3438">
          <cell r="E3438" t="str">
            <v>CMLT</v>
          </cell>
          <cell r="F3438" t="str">
            <v>CMLT-C</v>
          </cell>
          <cell r="G3438">
            <v>580</v>
          </cell>
          <cell r="H3438" t="str">
            <v>CMLT-C580</v>
          </cell>
          <cell r="K3438" t="str">
            <v>Losensky,Paul Edward</v>
          </cell>
          <cell r="N3438">
            <v>3.8879999999999999</v>
          </cell>
          <cell r="O3438">
            <v>3.8620000000000001</v>
          </cell>
        </row>
        <row r="3439">
          <cell r="E3439" t="str">
            <v>CMLT</v>
          </cell>
          <cell r="F3439" t="str">
            <v>CMLT-C</v>
          </cell>
          <cell r="G3439">
            <v>601</v>
          </cell>
          <cell r="H3439" t="str">
            <v>CMLT-C601</v>
          </cell>
          <cell r="K3439" t="str">
            <v>Tsai,Kevin</v>
          </cell>
          <cell r="N3439" t="str">
            <v>NR</v>
          </cell>
          <cell r="O3439" t="str">
            <v>NR</v>
          </cell>
        </row>
        <row r="3440">
          <cell r="E3440" t="str">
            <v>CMLT</v>
          </cell>
          <cell r="F3440" t="str">
            <v>CMLT-C</v>
          </cell>
          <cell r="G3440">
            <v>604</v>
          </cell>
          <cell r="H3440" t="str">
            <v>CMLT-C604</v>
          </cell>
          <cell r="K3440" t="str">
            <v>Johnston,Bill</v>
          </cell>
          <cell r="N3440" t="str">
            <v>NR</v>
          </cell>
          <cell r="O3440" t="str">
            <v>NR</v>
          </cell>
        </row>
        <row r="3441">
          <cell r="E3441" t="str">
            <v>CMLT</v>
          </cell>
          <cell r="F3441" t="str">
            <v>CMLT-C</v>
          </cell>
          <cell r="G3441">
            <v>604</v>
          </cell>
          <cell r="H3441" t="str">
            <v>CMLT-C604</v>
          </cell>
          <cell r="K3441" t="str">
            <v>Johnston,Bill</v>
          </cell>
          <cell r="N3441">
            <v>4</v>
          </cell>
          <cell r="O3441">
            <v>3.9020000000000001</v>
          </cell>
        </row>
        <row r="3442">
          <cell r="E3442" t="str">
            <v>CMLT</v>
          </cell>
          <cell r="F3442" t="str">
            <v>CMLT-C</v>
          </cell>
          <cell r="G3442">
            <v>611</v>
          </cell>
          <cell r="H3442" t="str">
            <v>CMLT-C611</v>
          </cell>
          <cell r="K3442" t="str">
            <v>Julien,Eileen</v>
          </cell>
          <cell r="N3442">
            <v>3.625</v>
          </cell>
          <cell r="O3442">
            <v>3.8479999999999999</v>
          </cell>
        </row>
        <row r="3443">
          <cell r="E3443" t="str">
            <v>CMLT</v>
          </cell>
          <cell r="F3443" t="str">
            <v>CMLT-C</v>
          </cell>
          <cell r="G3443">
            <v>655</v>
          </cell>
          <cell r="H3443" t="str">
            <v>CMLT-C655</v>
          </cell>
          <cell r="K3443" t="str">
            <v>Hertz,David M</v>
          </cell>
          <cell r="N3443" t="str">
            <v>NR</v>
          </cell>
          <cell r="O3443" t="str">
            <v>NR</v>
          </cell>
        </row>
        <row r="3444">
          <cell r="E3444" t="str">
            <v>CMLT</v>
          </cell>
          <cell r="F3444" t="str">
            <v>CMLT-C</v>
          </cell>
          <cell r="G3444">
            <v>680</v>
          </cell>
          <cell r="H3444" t="str">
            <v>CMLT-C680</v>
          </cell>
          <cell r="K3444" t="str">
            <v>Johnston,Bill</v>
          </cell>
          <cell r="N3444" t="str">
            <v>NR</v>
          </cell>
          <cell r="O3444" t="str">
            <v>NR</v>
          </cell>
        </row>
        <row r="3445">
          <cell r="E3445" t="str">
            <v>CMLT</v>
          </cell>
          <cell r="F3445" t="str">
            <v>CMLT-C</v>
          </cell>
          <cell r="G3445">
            <v>801</v>
          </cell>
          <cell r="H3445" t="str">
            <v>CMLT-C801</v>
          </cell>
          <cell r="K3445" t="str">
            <v>Johnston,Bill</v>
          </cell>
          <cell r="N3445" t="str">
            <v>NR</v>
          </cell>
          <cell r="O3445" t="str">
            <v>NR</v>
          </cell>
        </row>
        <row r="3446">
          <cell r="E3446" t="str">
            <v>CMLT</v>
          </cell>
          <cell r="F3446" t="str">
            <v>CMLT-C</v>
          </cell>
          <cell r="G3446">
            <v>801</v>
          </cell>
          <cell r="H3446" t="str">
            <v>CMLT-C801</v>
          </cell>
          <cell r="K3446" t="str">
            <v>Johnston,Bill</v>
          </cell>
          <cell r="N3446" t="str">
            <v>NR</v>
          </cell>
          <cell r="O3446" t="str">
            <v>NR</v>
          </cell>
        </row>
        <row r="3447">
          <cell r="E3447" t="str">
            <v>CMLT</v>
          </cell>
          <cell r="F3447" t="str">
            <v>CMLT-C</v>
          </cell>
          <cell r="G3447">
            <v>805</v>
          </cell>
          <cell r="H3447" t="str">
            <v>CMLT-C805</v>
          </cell>
          <cell r="K3447" t="str">
            <v>Johnston,Bill</v>
          </cell>
          <cell r="N3447" t="str">
            <v>NR</v>
          </cell>
          <cell r="O3447" t="str">
            <v>NR</v>
          </cell>
        </row>
        <row r="3448">
          <cell r="E3448" t="str">
            <v>CMLT</v>
          </cell>
          <cell r="F3448" t="str">
            <v>CMLT-C</v>
          </cell>
          <cell r="G3448">
            <v>810</v>
          </cell>
          <cell r="H3448" t="str">
            <v>CMLT-C810</v>
          </cell>
          <cell r="K3448" t="str">
            <v>Johnston,Bill</v>
          </cell>
          <cell r="N3448" t="str">
            <v>NR</v>
          </cell>
          <cell r="O3448" t="str">
            <v>NR</v>
          </cell>
        </row>
        <row r="3449">
          <cell r="E3449" t="str">
            <v>CMLT</v>
          </cell>
          <cell r="F3449" t="str">
            <v>CMLT-C</v>
          </cell>
          <cell r="G3449">
            <v>810</v>
          </cell>
          <cell r="H3449" t="str">
            <v>CMLT-C810</v>
          </cell>
          <cell r="K3449" t="str">
            <v>Johnston,Bill</v>
          </cell>
          <cell r="N3449" t="str">
            <v>NR</v>
          </cell>
          <cell r="O3449" t="str">
            <v>NR</v>
          </cell>
        </row>
        <row r="3450">
          <cell r="E3450" t="str">
            <v>CMLT</v>
          </cell>
          <cell r="F3450" t="str">
            <v>CMLT-G</v>
          </cell>
          <cell r="G3450">
            <v>901</v>
          </cell>
          <cell r="H3450" t="str">
            <v>CMLT-G901</v>
          </cell>
          <cell r="K3450" t="str">
            <v>Johnston,Bill</v>
          </cell>
          <cell r="N3450" t="str">
            <v>NR</v>
          </cell>
          <cell r="O3450" t="str">
            <v>NR</v>
          </cell>
        </row>
        <row r="3451">
          <cell r="E3451" t="str">
            <v>CMLT</v>
          </cell>
          <cell r="F3451" t="str">
            <v>CMLT-G</v>
          </cell>
          <cell r="G3451">
            <v>901</v>
          </cell>
          <cell r="H3451" t="str">
            <v>CMLT-G901</v>
          </cell>
          <cell r="K3451" t="str">
            <v>Johnston,Bill</v>
          </cell>
          <cell r="N3451" t="str">
            <v>NR</v>
          </cell>
          <cell r="O3451" t="str">
            <v>NR</v>
          </cell>
        </row>
        <row r="3452">
          <cell r="E3452" t="str">
            <v>CMLT</v>
          </cell>
          <cell r="F3452" t="str">
            <v>CMLT-OS</v>
          </cell>
          <cell r="G3452">
            <v>100</v>
          </cell>
          <cell r="H3452" t="str">
            <v>CMLT-OS100</v>
          </cell>
          <cell r="N3452" t="str">
            <v>NR</v>
          </cell>
          <cell r="O3452" t="str">
            <v>NR</v>
          </cell>
        </row>
        <row r="3453">
          <cell r="E3453" t="str">
            <v>COGS</v>
          </cell>
          <cell r="F3453" t="str">
            <v>COGS-G</v>
          </cell>
          <cell r="G3453">
            <v>901</v>
          </cell>
          <cell r="H3453" t="str">
            <v>COGS-G901</v>
          </cell>
          <cell r="K3453" t="str">
            <v>Gasser,Michael Edward</v>
          </cell>
          <cell r="N3453" t="str">
            <v>NR</v>
          </cell>
          <cell r="O3453" t="str">
            <v>NR</v>
          </cell>
        </row>
        <row r="3454">
          <cell r="E3454" t="str">
            <v>COGS</v>
          </cell>
          <cell r="F3454" t="str">
            <v>COGS-G</v>
          </cell>
          <cell r="G3454">
            <v>901</v>
          </cell>
          <cell r="H3454" t="str">
            <v>COGS-G901</v>
          </cell>
          <cell r="K3454" t="str">
            <v>Todd,Peter Martin</v>
          </cell>
          <cell r="N3454" t="str">
            <v>NR</v>
          </cell>
          <cell r="O3454" t="str">
            <v>NR</v>
          </cell>
        </row>
        <row r="3455">
          <cell r="E3455" t="str">
            <v>COGS</v>
          </cell>
          <cell r="F3455" t="str">
            <v>COGS-Q</v>
          </cell>
          <cell r="G3455">
            <v>101</v>
          </cell>
          <cell r="H3455" t="str">
            <v>COGS-Q101</v>
          </cell>
          <cell r="K3455" t="str">
            <v>Allen,Colin  Frederick</v>
          </cell>
          <cell r="N3455">
            <v>2.8159999999999998</v>
          </cell>
          <cell r="O3455">
            <v>2.81</v>
          </cell>
        </row>
        <row r="3456">
          <cell r="E3456" t="str">
            <v>COGS</v>
          </cell>
          <cell r="F3456" t="str">
            <v>COGS-Q</v>
          </cell>
          <cell r="G3456">
            <v>101</v>
          </cell>
          <cell r="H3456" t="str">
            <v>COGS-Q101</v>
          </cell>
          <cell r="K3456" t="str">
            <v>Allen,Colin  Frederick</v>
          </cell>
          <cell r="N3456">
            <v>2.65</v>
          </cell>
          <cell r="O3456">
            <v>2.8010000000000002</v>
          </cell>
        </row>
        <row r="3457">
          <cell r="E3457" t="str">
            <v>COGS</v>
          </cell>
          <cell r="F3457" t="str">
            <v>COGS-Q</v>
          </cell>
          <cell r="G3457">
            <v>240</v>
          </cell>
          <cell r="H3457" t="str">
            <v>COGS-Q240</v>
          </cell>
          <cell r="K3457" t="str">
            <v>Eberle,Ruth M</v>
          </cell>
          <cell r="N3457">
            <v>2.835</v>
          </cell>
          <cell r="O3457">
            <v>3.0009999999999999</v>
          </cell>
        </row>
        <row r="3458">
          <cell r="E3458" t="str">
            <v>COGS</v>
          </cell>
          <cell r="F3458" t="str">
            <v>COGS-Q</v>
          </cell>
          <cell r="G3458">
            <v>240</v>
          </cell>
          <cell r="H3458" t="str">
            <v>COGS-Q240</v>
          </cell>
          <cell r="K3458" t="str">
            <v>Eberle,Ruth M</v>
          </cell>
          <cell r="N3458" t="str">
            <v>NR</v>
          </cell>
          <cell r="O3458" t="str">
            <v>NR</v>
          </cell>
        </row>
        <row r="3459">
          <cell r="E3459" t="str">
            <v>COGS</v>
          </cell>
          <cell r="F3459" t="str">
            <v>COGS-Q</v>
          </cell>
          <cell r="G3459">
            <v>240</v>
          </cell>
          <cell r="H3459" t="str">
            <v>COGS-Q240</v>
          </cell>
          <cell r="K3459" t="str">
            <v>Eberle,Ruth M</v>
          </cell>
          <cell r="N3459">
            <v>3.09</v>
          </cell>
          <cell r="O3459">
            <v>3.23</v>
          </cell>
        </row>
        <row r="3460">
          <cell r="E3460" t="str">
            <v>COGS</v>
          </cell>
          <cell r="F3460" t="str">
            <v>COGS-Q</v>
          </cell>
          <cell r="G3460">
            <v>250</v>
          </cell>
          <cell r="H3460" t="str">
            <v>COGS-Q250</v>
          </cell>
          <cell r="K3460" t="str">
            <v>Izquierdo - Torres,Eduardo Jose</v>
          </cell>
          <cell r="N3460">
            <v>2.7890000000000001</v>
          </cell>
          <cell r="O3460">
            <v>3.0979999999999999</v>
          </cell>
        </row>
        <row r="3461">
          <cell r="E3461" t="str">
            <v>COGS</v>
          </cell>
          <cell r="F3461" t="str">
            <v>COGS-Q</v>
          </cell>
          <cell r="G3461">
            <v>260</v>
          </cell>
          <cell r="H3461" t="str">
            <v>COGS-Q260</v>
          </cell>
          <cell r="K3461" t="str">
            <v>Gasser,Michael Edward</v>
          </cell>
          <cell r="N3461">
            <v>3.512</v>
          </cell>
          <cell r="O3461">
            <v>3.1680000000000001</v>
          </cell>
        </row>
        <row r="3462">
          <cell r="E3462" t="str">
            <v>COGS</v>
          </cell>
          <cell r="F3462" t="str">
            <v>COGS-Q</v>
          </cell>
          <cell r="G3462">
            <v>270</v>
          </cell>
          <cell r="H3462" t="str">
            <v>COGS-Q270</v>
          </cell>
          <cell r="K3462" t="str">
            <v>Goldstone,Robert L.</v>
          </cell>
          <cell r="N3462">
            <v>3.5449999999999999</v>
          </cell>
          <cell r="O3462">
            <v>3.45</v>
          </cell>
        </row>
        <row r="3463">
          <cell r="E3463" t="str">
            <v>COGS</v>
          </cell>
          <cell r="F3463" t="str">
            <v>COGS-Q</v>
          </cell>
          <cell r="G3463">
            <v>270</v>
          </cell>
          <cell r="H3463" t="str">
            <v>COGS-Q270</v>
          </cell>
          <cell r="K3463" t="str">
            <v>Goldstone,Robert L.</v>
          </cell>
          <cell r="N3463" t="str">
            <v>NR</v>
          </cell>
          <cell r="O3463" t="str">
            <v>NR</v>
          </cell>
        </row>
        <row r="3464">
          <cell r="E3464" t="str">
            <v>COGS</v>
          </cell>
          <cell r="F3464" t="str">
            <v>COGS-Q</v>
          </cell>
          <cell r="G3464">
            <v>301</v>
          </cell>
          <cell r="H3464" t="str">
            <v>COGS-Q301</v>
          </cell>
          <cell r="K3464" t="str">
            <v>Brown,Joshua William</v>
          </cell>
          <cell r="N3464">
            <v>2.653</v>
          </cell>
          <cell r="O3464">
            <v>3.117</v>
          </cell>
        </row>
        <row r="3465">
          <cell r="E3465" t="str">
            <v>COGS</v>
          </cell>
          <cell r="F3465" t="str">
            <v>COGS-Q</v>
          </cell>
          <cell r="G3465">
            <v>320</v>
          </cell>
          <cell r="H3465" t="str">
            <v>COGS-Q320</v>
          </cell>
          <cell r="K3465" t="str">
            <v>Gasser,Michael Edward</v>
          </cell>
          <cell r="N3465">
            <v>3.6960000000000002</v>
          </cell>
          <cell r="O3465">
            <v>3.2069999999999999</v>
          </cell>
        </row>
        <row r="3466">
          <cell r="E3466" t="str">
            <v>COGS</v>
          </cell>
          <cell r="F3466" t="str">
            <v>COGS-Q</v>
          </cell>
          <cell r="G3466">
            <v>351</v>
          </cell>
          <cell r="H3466" t="str">
            <v>COGS-Q351</v>
          </cell>
          <cell r="K3466" t="str">
            <v>Leake,David B.</v>
          </cell>
          <cell r="N3466" t="str">
            <v>NR</v>
          </cell>
          <cell r="O3466" t="str">
            <v>NR</v>
          </cell>
        </row>
        <row r="3467">
          <cell r="E3467" t="str">
            <v>COGS</v>
          </cell>
          <cell r="F3467" t="str">
            <v>COGS-Q</v>
          </cell>
          <cell r="G3467">
            <v>360</v>
          </cell>
          <cell r="H3467" t="str">
            <v>COGS-Q360</v>
          </cell>
          <cell r="K3467" t="str">
            <v>Beer,Randall D</v>
          </cell>
          <cell r="N3467">
            <v>3.617</v>
          </cell>
          <cell r="O3467">
            <v>3.4769999999999999</v>
          </cell>
        </row>
        <row r="3468">
          <cell r="E3468" t="str">
            <v>COGS</v>
          </cell>
          <cell r="F3468" t="str">
            <v>COGS-Q</v>
          </cell>
          <cell r="G3468">
            <v>493</v>
          </cell>
          <cell r="H3468" t="str">
            <v>COGS-Q493</v>
          </cell>
          <cell r="K3468" t="str">
            <v>Busey,Thomas Andrew</v>
          </cell>
          <cell r="N3468" t="str">
            <v>NR</v>
          </cell>
          <cell r="O3468" t="str">
            <v>NR</v>
          </cell>
        </row>
        <row r="3469">
          <cell r="E3469" t="str">
            <v>COGS</v>
          </cell>
          <cell r="F3469" t="str">
            <v>COGS-Q</v>
          </cell>
          <cell r="G3469">
            <v>493</v>
          </cell>
          <cell r="H3469" t="str">
            <v>COGS-Q493</v>
          </cell>
          <cell r="K3469" t="str">
            <v>Busey,Thomas Andrew</v>
          </cell>
          <cell r="N3469" t="str">
            <v>NR</v>
          </cell>
          <cell r="O3469" t="str">
            <v>NR</v>
          </cell>
        </row>
        <row r="3470">
          <cell r="E3470" t="str">
            <v>COGS</v>
          </cell>
          <cell r="F3470" t="str">
            <v>COGS-Q</v>
          </cell>
          <cell r="G3470">
            <v>493</v>
          </cell>
          <cell r="H3470" t="str">
            <v>COGS-Q493</v>
          </cell>
          <cell r="K3470" t="str">
            <v>Crystal,Jonathon</v>
          </cell>
          <cell r="N3470" t="str">
            <v>NR</v>
          </cell>
          <cell r="O3470" t="str">
            <v>NR</v>
          </cell>
        </row>
        <row r="3471">
          <cell r="E3471" t="str">
            <v>COGS</v>
          </cell>
          <cell r="F3471" t="str">
            <v>COGS-Q</v>
          </cell>
          <cell r="G3471">
            <v>493</v>
          </cell>
          <cell r="H3471" t="str">
            <v>COGS-Q493</v>
          </cell>
          <cell r="K3471" t="str">
            <v>Crystal,Jonathon</v>
          </cell>
          <cell r="N3471" t="str">
            <v>NR</v>
          </cell>
          <cell r="O3471" t="str">
            <v>NR</v>
          </cell>
        </row>
        <row r="3472">
          <cell r="E3472" t="str">
            <v>COGS</v>
          </cell>
          <cell r="F3472" t="str">
            <v>COGS-Q</v>
          </cell>
          <cell r="G3472">
            <v>493</v>
          </cell>
          <cell r="H3472" t="str">
            <v>COGS-Q493</v>
          </cell>
          <cell r="K3472" t="str">
            <v>Crystal,Jonathon</v>
          </cell>
          <cell r="N3472" t="str">
            <v>NR</v>
          </cell>
          <cell r="O3472" t="str">
            <v>NR</v>
          </cell>
        </row>
        <row r="3473">
          <cell r="E3473" t="str">
            <v>COGS</v>
          </cell>
          <cell r="F3473" t="str">
            <v>COGS-Q</v>
          </cell>
          <cell r="G3473">
            <v>498</v>
          </cell>
          <cell r="H3473" t="str">
            <v>COGS-Q498</v>
          </cell>
          <cell r="K3473" t="str">
            <v>Busey,Thomas Andrew</v>
          </cell>
          <cell r="N3473" t="str">
            <v>NR</v>
          </cell>
          <cell r="O3473" t="str">
            <v>NR</v>
          </cell>
        </row>
        <row r="3474">
          <cell r="E3474" t="str">
            <v>COGS</v>
          </cell>
          <cell r="F3474" t="str">
            <v>COGS-Q</v>
          </cell>
          <cell r="G3474">
            <v>498</v>
          </cell>
          <cell r="H3474" t="str">
            <v>COGS-Q498</v>
          </cell>
          <cell r="K3474" t="str">
            <v>Crystal,Jonathon</v>
          </cell>
          <cell r="N3474" t="str">
            <v>NR</v>
          </cell>
          <cell r="O3474" t="str">
            <v>NR</v>
          </cell>
        </row>
        <row r="3475">
          <cell r="E3475" t="str">
            <v>COGS</v>
          </cell>
          <cell r="F3475" t="str">
            <v>COGS-Q</v>
          </cell>
          <cell r="G3475">
            <v>499</v>
          </cell>
          <cell r="H3475" t="str">
            <v>COGS-Q499</v>
          </cell>
          <cell r="K3475" t="str">
            <v>Busey,Thomas Andrew</v>
          </cell>
          <cell r="N3475" t="str">
            <v>NR</v>
          </cell>
          <cell r="O3475" t="str">
            <v>NR</v>
          </cell>
        </row>
        <row r="3476">
          <cell r="E3476" t="str">
            <v>COGS</v>
          </cell>
          <cell r="F3476" t="str">
            <v>COGS-Q</v>
          </cell>
          <cell r="G3476">
            <v>510</v>
          </cell>
          <cell r="H3476" t="str">
            <v>COGS-Q510</v>
          </cell>
          <cell r="K3476" t="str">
            <v>Todd,Peter Martin</v>
          </cell>
          <cell r="N3476">
            <v>4</v>
          </cell>
          <cell r="O3476">
            <v>3.8149999999999999</v>
          </cell>
        </row>
        <row r="3477">
          <cell r="E3477" t="str">
            <v>COGS</v>
          </cell>
          <cell r="F3477" t="str">
            <v>COGS-Q</v>
          </cell>
          <cell r="G3477">
            <v>511</v>
          </cell>
          <cell r="H3477" t="str">
            <v>COGS-Q511</v>
          </cell>
          <cell r="K3477" t="str">
            <v>Beer,Randall D</v>
          </cell>
          <cell r="N3477">
            <v>3.754</v>
          </cell>
          <cell r="O3477">
            <v>3.7440000000000002</v>
          </cell>
        </row>
        <row r="3478">
          <cell r="E3478" t="str">
            <v>COGS</v>
          </cell>
          <cell r="F3478" t="str">
            <v>COGS-Q</v>
          </cell>
          <cell r="G3478">
            <v>520</v>
          </cell>
          <cell r="H3478" t="str">
            <v>COGS-Q520</v>
          </cell>
          <cell r="K3478" t="str">
            <v>Moss,Lawrence S.</v>
          </cell>
          <cell r="N3478">
            <v>3.8290000000000002</v>
          </cell>
          <cell r="O3478">
            <v>3.79</v>
          </cell>
        </row>
        <row r="3479">
          <cell r="E3479" t="str">
            <v>COGS</v>
          </cell>
          <cell r="F3479" t="str">
            <v>COGS-Q</v>
          </cell>
          <cell r="G3479">
            <v>530</v>
          </cell>
          <cell r="H3479" t="str">
            <v>COGS-Q530</v>
          </cell>
          <cell r="K3479" t="str">
            <v>Izquierdo - Torres,Eduardo Jose</v>
          </cell>
          <cell r="N3479">
            <v>3.7690000000000001</v>
          </cell>
          <cell r="O3479">
            <v>3.883</v>
          </cell>
        </row>
        <row r="3480">
          <cell r="E3480" t="str">
            <v>COGS</v>
          </cell>
          <cell r="F3480" t="str">
            <v>COGS-Q</v>
          </cell>
          <cell r="G3480">
            <v>551</v>
          </cell>
          <cell r="H3480" t="str">
            <v>COGS-Q551</v>
          </cell>
          <cell r="K3480" t="str">
            <v>James,Karin Harman</v>
          </cell>
          <cell r="N3480">
            <v>3.9129999999999998</v>
          </cell>
          <cell r="O3480">
            <v>3.8559999999999999</v>
          </cell>
        </row>
        <row r="3481">
          <cell r="E3481" t="str">
            <v>COGS</v>
          </cell>
          <cell r="F3481" t="str">
            <v>COGS-Q</v>
          </cell>
          <cell r="G3481">
            <v>560</v>
          </cell>
          <cell r="H3481" t="str">
            <v>COGS-Q560</v>
          </cell>
          <cell r="K3481" t="str">
            <v>Jones,Michael</v>
          </cell>
          <cell r="N3481">
            <v>3.7330000000000001</v>
          </cell>
          <cell r="O3481">
            <v>3.778</v>
          </cell>
        </row>
        <row r="3482">
          <cell r="E3482" t="str">
            <v>COGS</v>
          </cell>
          <cell r="F3482" t="str">
            <v>COGS-Q</v>
          </cell>
          <cell r="G3482">
            <v>580</v>
          </cell>
          <cell r="H3482" t="str">
            <v>COGS-Q580</v>
          </cell>
          <cell r="K3482" t="str">
            <v>Beer,Randall D</v>
          </cell>
          <cell r="N3482">
            <v>3.3639999999999999</v>
          </cell>
          <cell r="O3482">
            <v>3.7050000000000001</v>
          </cell>
        </row>
        <row r="3483">
          <cell r="E3483" t="str">
            <v>COGS</v>
          </cell>
          <cell r="F3483" t="str">
            <v>COGS-Q</v>
          </cell>
          <cell r="G3483">
            <v>580</v>
          </cell>
          <cell r="H3483" t="str">
            <v>COGS-Q580</v>
          </cell>
          <cell r="K3483" t="str">
            <v>Townsend,James T.</v>
          </cell>
          <cell r="N3483" t="str">
            <v>NR</v>
          </cell>
          <cell r="O3483" t="str">
            <v>NR</v>
          </cell>
        </row>
        <row r="3484">
          <cell r="E3484" t="str">
            <v>COGS</v>
          </cell>
          <cell r="F3484" t="str">
            <v>COGS-Q</v>
          </cell>
          <cell r="G3484">
            <v>700</v>
          </cell>
          <cell r="H3484" t="str">
            <v>COGS-Q700</v>
          </cell>
          <cell r="K3484" t="str">
            <v>Hofstadter,Douglas Richard</v>
          </cell>
          <cell r="N3484">
            <v>3.9670000000000001</v>
          </cell>
          <cell r="O3484">
            <v>3.5640000000000001</v>
          </cell>
        </row>
        <row r="3485">
          <cell r="E3485" t="str">
            <v>COGS</v>
          </cell>
          <cell r="F3485" t="str">
            <v>COGS-Q</v>
          </cell>
          <cell r="G3485">
            <v>733</v>
          </cell>
          <cell r="H3485" t="str">
            <v>COGS-Q733</v>
          </cell>
          <cell r="K3485" t="str">
            <v>Goldstone,Robert L.</v>
          </cell>
          <cell r="N3485" t="str">
            <v>NR</v>
          </cell>
          <cell r="O3485" t="str">
            <v>NR</v>
          </cell>
        </row>
        <row r="3486">
          <cell r="E3486" t="str">
            <v>COGS</v>
          </cell>
          <cell r="F3486" t="str">
            <v>COGS-Q</v>
          </cell>
          <cell r="G3486">
            <v>733</v>
          </cell>
          <cell r="H3486" t="str">
            <v>COGS-Q733</v>
          </cell>
          <cell r="K3486" t="str">
            <v>Jones,Michael</v>
          </cell>
          <cell r="N3486" t="str">
            <v>NR</v>
          </cell>
          <cell r="O3486" t="str">
            <v>NR</v>
          </cell>
        </row>
        <row r="3487">
          <cell r="E3487" t="str">
            <v>COGS</v>
          </cell>
          <cell r="F3487" t="str">
            <v>COGS-Q</v>
          </cell>
          <cell r="G3487">
            <v>799</v>
          </cell>
          <cell r="H3487" t="str">
            <v>COGS-Q799</v>
          </cell>
          <cell r="K3487" t="str">
            <v>Gasser,Michael Edward</v>
          </cell>
          <cell r="N3487">
            <v>4</v>
          </cell>
          <cell r="O3487">
            <v>3.8719999999999999</v>
          </cell>
        </row>
        <row r="3488">
          <cell r="E3488" t="str">
            <v>COGS</v>
          </cell>
          <cell r="F3488" t="str">
            <v>COGS-Q</v>
          </cell>
          <cell r="G3488">
            <v>799</v>
          </cell>
          <cell r="H3488" t="str">
            <v>COGS-Q799</v>
          </cell>
          <cell r="K3488" t="str">
            <v>Gasser,Michael Edward</v>
          </cell>
          <cell r="N3488" t="str">
            <v>NR</v>
          </cell>
          <cell r="O3488" t="str">
            <v>NR</v>
          </cell>
        </row>
        <row r="3489">
          <cell r="E3489" t="str">
            <v>COGS</v>
          </cell>
          <cell r="F3489" t="str">
            <v>COGS-Q</v>
          </cell>
          <cell r="G3489">
            <v>799</v>
          </cell>
          <cell r="H3489" t="str">
            <v>COGS-Q799</v>
          </cell>
          <cell r="K3489" t="str">
            <v>Todd,Peter Martin</v>
          </cell>
          <cell r="N3489">
            <v>4</v>
          </cell>
          <cell r="O3489">
            <v>3.7989999999999999</v>
          </cell>
        </row>
        <row r="3490">
          <cell r="E3490" t="str">
            <v>COGS</v>
          </cell>
          <cell r="F3490" t="str">
            <v>COGS-Q</v>
          </cell>
          <cell r="G3490">
            <v>899</v>
          </cell>
          <cell r="H3490" t="str">
            <v>COGS-Q899</v>
          </cell>
          <cell r="K3490" t="str">
            <v>Gasser,Michael Edward</v>
          </cell>
          <cell r="N3490" t="str">
            <v>NR</v>
          </cell>
          <cell r="O3490" t="str">
            <v>NR</v>
          </cell>
        </row>
        <row r="3491">
          <cell r="E3491" t="str">
            <v>COGS</v>
          </cell>
          <cell r="F3491" t="str">
            <v>COGS-Q</v>
          </cell>
          <cell r="G3491">
            <v>899</v>
          </cell>
          <cell r="H3491" t="str">
            <v>COGS-Q899</v>
          </cell>
          <cell r="K3491" t="str">
            <v>Todd,Peter Martin</v>
          </cell>
          <cell r="N3491" t="str">
            <v>NR</v>
          </cell>
          <cell r="O3491" t="str">
            <v>NR</v>
          </cell>
        </row>
        <row r="3492">
          <cell r="E3492" t="str">
            <v>COLL</v>
          </cell>
          <cell r="F3492" t="str">
            <v>COLL-C</v>
          </cell>
          <cell r="G3492">
            <v>101</v>
          </cell>
          <cell r="H3492" t="str">
            <v>COLL-C101</v>
          </cell>
          <cell r="K3492" t="str">
            <v>Volan,Stephen G</v>
          </cell>
          <cell r="N3492" t="str">
            <v>NR</v>
          </cell>
          <cell r="O3492" t="str">
            <v>NR</v>
          </cell>
        </row>
        <row r="3493">
          <cell r="E3493" t="str">
            <v>COLL</v>
          </cell>
          <cell r="F3493" t="str">
            <v>COLL-C</v>
          </cell>
          <cell r="G3493">
            <v>101</v>
          </cell>
          <cell r="H3493" t="str">
            <v>COLL-C101</v>
          </cell>
          <cell r="K3493" t="str">
            <v>Volan,Stephen G</v>
          </cell>
          <cell r="N3493" t="str">
            <v>NR</v>
          </cell>
          <cell r="O3493" t="str">
            <v>NR</v>
          </cell>
        </row>
        <row r="3494">
          <cell r="E3494" t="str">
            <v>COLL</v>
          </cell>
          <cell r="F3494" t="str">
            <v>COLL-C</v>
          </cell>
          <cell r="G3494">
            <v>101</v>
          </cell>
          <cell r="H3494" t="str">
            <v>COLL-C101</v>
          </cell>
          <cell r="K3494" t="str">
            <v>Volan,Stephen G</v>
          </cell>
          <cell r="N3494" t="str">
            <v>NR</v>
          </cell>
          <cell r="O3494" t="str">
            <v>NR</v>
          </cell>
        </row>
        <row r="3495">
          <cell r="E3495" t="str">
            <v>COLL</v>
          </cell>
          <cell r="F3495" t="str">
            <v>COLL-C</v>
          </cell>
          <cell r="G3495">
            <v>101</v>
          </cell>
          <cell r="H3495" t="str">
            <v>COLL-C101</v>
          </cell>
          <cell r="K3495" t="str">
            <v>Volan,Stephen G</v>
          </cell>
          <cell r="N3495" t="str">
            <v>NR</v>
          </cell>
          <cell r="O3495" t="str">
            <v>NR</v>
          </cell>
        </row>
        <row r="3496">
          <cell r="E3496" t="str">
            <v>COLL</v>
          </cell>
          <cell r="F3496" t="str">
            <v>COLL-C</v>
          </cell>
          <cell r="G3496">
            <v>103</v>
          </cell>
          <cell r="H3496" t="str">
            <v>COLL-C103</v>
          </cell>
          <cell r="K3496" t="str">
            <v>Anderson,Dana Larson</v>
          </cell>
          <cell r="N3496">
            <v>3.8620000000000001</v>
          </cell>
          <cell r="O3496">
            <v>3.2349999999999999</v>
          </cell>
        </row>
        <row r="3497">
          <cell r="E3497" t="str">
            <v>COLL</v>
          </cell>
          <cell r="F3497" t="str">
            <v>COLL-C</v>
          </cell>
          <cell r="G3497">
            <v>103</v>
          </cell>
          <cell r="H3497" t="str">
            <v>COLL-C103</v>
          </cell>
          <cell r="K3497" t="str">
            <v>Arnaudo,Marco</v>
          </cell>
          <cell r="N3497">
            <v>3.6680000000000001</v>
          </cell>
          <cell r="O3497">
            <v>3.202</v>
          </cell>
        </row>
        <row r="3498">
          <cell r="E3498" t="str">
            <v>COLL</v>
          </cell>
          <cell r="F3498" t="str">
            <v>COLL-C</v>
          </cell>
          <cell r="G3498">
            <v>103</v>
          </cell>
          <cell r="H3498" t="str">
            <v>COLL-C103</v>
          </cell>
          <cell r="K3498" t="str">
            <v>Bassett,Sarah E</v>
          </cell>
          <cell r="N3498">
            <v>2.5310000000000001</v>
          </cell>
          <cell r="O3498">
            <v>2.88</v>
          </cell>
        </row>
        <row r="3499">
          <cell r="E3499" t="str">
            <v>COLL</v>
          </cell>
          <cell r="F3499" t="str">
            <v>COLL-C</v>
          </cell>
          <cell r="G3499">
            <v>103</v>
          </cell>
          <cell r="H3499" t="str">
            <v>COLL-C103</v>
          </cell>
          <cell r="K3499" t="str">
            <v>Buggenhagen,Beth Anne</v>
          </cell>
          <cell r="N3499">
            <v>3.4239999999999999</v>
          </cell>
          <cell r="O3499">
            <v>3.0219999999999998</v>
          </cell>
        </row>
        <row r="3500">
          <cell r="E3500" t="str">
            <v>COLL</v>
          </cell>
          <cell r="F3500" t="str">
            <v>COLL-C</v>
          </cell>
          <cell r="G3500">
            <v>103</v>
          </cell>
          <cell r="H3500" t="str">
            <v>COLL-C103</v>
          </cell>
          <cell r="K3500" t="str">
            <v>Cohen,Judah M</v>
          </cell>
          <cell r="N3500">
            <v>3.4169999999999998</v>
          </cell>
          <cell r="O3500">
            <v>3.004</v>
          </cell>
        </row>
        <row r="3501">
          <cell r="E3501" t="str">
            <v>COLL</v>
          </cell>
          <cell r="F3501" t="str">
            <v>COLL-C</v>
          </cell>
          <cell r="G3501">
            <v>103</v>
          </cell>
          <cell r="H3501" t="str">
            <v>COLL-C103</v>
          </cell>
          <cell r="K3501" t="str">
            <v>Comentale,Edward Paul</v>
          </cell>
          <cell r="N3501">
            <v>2.9079999999999999</v>
          </cell>
          <cell r="O3501">
            <v>3.0489999999999999</v>
          </cell>
        </row>
        <row r="3502">
          <cell r="E3502" t="str">
            <v>COLL</v>
          </cell>
          <cell r="F3502" t="str">
            <v>COLL-C</v>
          </cell>
          <cell r="G3502">
            <v>103</v>
          </cell>
          <cell r="H3502" t="str">
            <v>COLL-C103</v>
          </cell>
          <cell r="K3502" t="str">
            <v>Davis,Stuart</v>
          </cell>
          <cell r="N3502">
            <v>3.4740000000000002</v>
          </cell>
          <cell r="O3502">
            <v>3.0230000000000001</v>
          </cell>
        </row>
        <row r="3503">
          <cell r="E3503" t="str">
            <v>COLL</v>
          </cell>
          <cell r="F3503" t="str">
            <v>COLL-C</v>
          </cell>
          <cell r="G3503">
            <v>103</v>
          </cell>
          <cell r="H3503" t="str">
            <v>COLL-C103</v>
          </cell>
          <cell r="K3503" t="str">
            <v>Fowler,George H.</v>
          </cell>
          <cell r="N3503">
            <v>3.3239999999999998</v>
          </cell>
          <cell r="O3503">
            <v>3.1019999999999999</v>
          </cell>
        </row>
        <row r="3504">
          <cell r="E3504" t="str">
            <v>COLL</v>
          </cell>
          <cell r="F3504" t="str">
            <v>COLL-C</v>
          </cell>
          <cell r="G3504">
            <v>103</v>
          </cell>
          <cell r="H3504" t="str">
            <v>COLL-C103</v>
          </cell>
          <cell r="K3504" t="str">
            <v>Fowler,George H.</v>
          </cell>
          <cell r="N3504">
            <v>3.2080000000000002</v>
          </cell>
          <cell r="O3504">
            <v>3.0939999999999999</v>
          </cell>
        </row>
        <row r="3505">
          <cell r="E3505" t="str">
            <v>COLL</v>
          </cell>
          <cell r="F3505" t="str">
            <v>COLL-C</v>
          </cell>
          <cell r="G3505">
            <v>103</v>
          </cell>
          <cell r="H3505" t="str">
            <v>COLL-C103</v>
          </cell>
          <cell r="K3505" t="str">
            <v>Halloran,Vivian</v>
          </cell>
          <cell r="N3505">
            <v>3.109</v>
          </cell>
          <cell r="O3505">
            <v>3.093</v>
          </cell>
        </row>
        <row r="3506">
          <cell r="E3506" t="str">
            <v>COLL</v>
          </cell>
          <cell r="F3506" t="str">
            <v>COLL-C</v>
          </cell>
          <cell r="G3506">
            <v>103</v>
          </cell>
          <cell r="H3506" t="str">
            <v>COLL-C103</v>
          </cell>
          <cell r="K3506" t="str">
            <v>Johnston,Bill</v>
          </cell>
          <cell r="N3506">
            <v>2.984</v>
          </cell>
          <cell r="O3506">
            <v>2.9740000000000002</v>
          </cell>
        </row>
        <row r="3507">
          <cell r="E3507" t="str">
            <v>COLL</v>
          </cell>
          <cell r="F3507" t="str">
            <v>COLL-C</v>
          </cell>
          <cell r="G3507">
            <v>103</v>
          </cell>
          <cell r="H3507" t="str">
            <v>COLL-C103</v>
          </cell>
          <cell r="K3507" t="str">
            <v>Jose,Brian</v>
          </cell>
          <cell r="N3507">
            <v>2.609</v>
          </cell>
          <cell r="O3507">
            <v>3.0329999999999999</v>
          </cell>
        </row>
        <row r="3508">
          <cell r="E3508" t="str">
            <v>COLL</v>
          </cell>
          <cell r="F3508" t="str">
            <v>COLL-C</v>
          </cell>
          <cell r="G3508">
            <v>103</v>
          </cell>
          <cell r="H3508" t="str">
            <v>COLL-C103</v>
          </cell>
          <cell r="K3508" t="str">
            <v>Levene,Nancy Karin</v>
          </cell>
          <cell r="N3508">
            <v>2.8069999999999999</v>
          </cell>
          <cell r="O3508">
            <v>3.0470000000000002</v>
          </cell>
        </row>
        <row r="3509">
          <cell r="E3509" t="str">
            <v>COLL</v>
          </cell>
          <cell r="F3509" t="str">
            <v>COLL-C</v>
          </cell>
          <cell r="G3509">
            <v>103</v>
          </cell>
          <cell r="H3509" t="str">
            <v>COLL-C103</v>
          </cell>
          <cell r="K3509" t="str">
            <v>McCarty,David Charles</v>
          </cell>
          <cell r="N3509">
            <v>3.9830000000000001</v>
          </cell>
          <cell r="O3509">
            <v>2.9849999999999999</v>
          </cell>
        </row>
        <row r="3510">
          <cell r="E3510" t="str">
            <v>COLL</v>
          </cell>
          <cell r="F3510" t="str">
            <v>COLL-C</v>
          </cell>
          <cell r="G3510">
            <v>103</v>
          </cell>
          <cell r="H3510" t="str">
            <v>COLL-C103</v>
          </cell>
          <cell r="K3510" t="str">
            <v>McDonald,David Anthony</v>
          </cell>
          <cell r="N3510">
            <v>3.7240000000000002</v>
          </cell>
          <cell r="O3510">
            <v>3.1579999999999999</v>
          </cell>
        </row>
        <row r="3511">
          <cell r="E3511" t="str">
            <v>COLL</v>
          </cell>
          <cell r="F3511" t="str">
            <v>COLL-C</v>
          </cell>
          <cell r="G3511">
            <v>103</v>
          </cell>
          <cell r="H3511" t="str">
            <v>COLL-C103</v>
          </cell>
          <cell r="K3511" t="str">
            <v>McNaughton,Patrick R.</v>
          </cell>
          <cell r="N3511">
            <v>2.9729999999999999</v>
          </cell>
          <cell r="O3511">
            <v>2.9929999999999999</v>
          </cell>
        </row>
        <row r="3512">
          <cell r="E3512" t="str">
            <v>COLL</v>
          </cell>
          <cell r="F3512" t="str">
            <v>COLL-C</v>
          </cell>
          <cell r="G3512">
            <v>103</v>
          </cell>
          <cell r="H3512" t="str">
            <v>COLL-C103</v>
          </cell>
          <cell r="K3512" t="str">
            <v>Mickel,Emanuel J.</v>
          </cell>
          <cell r="N3512">
            <v>2.5939999999999999</v>
          </cell>
          <cell r="O3512">
            <v>3.0859999999999999</v>
          </cell>
        </row>
        <row r="3513">
          <cell r="E3513" t="str">
            <v>COLL</v>
          </cell>
          <cell r="F3513" t="str">
            <v>COLL-C</v>
          </cell>
          <cell r="G3513">
            <v>103</v>
          </cell>
          <cell r="H3513" t="str">
            <v>COLL-C103</v>
          </cell>
          <cell r="K3513" t="str">
            <v>Orejuela,Fernando</v>
          </cell>
          <cell r="N3513">
            <v>2.8180000000000001</v>
          </cell>
          <cell r="O3513">
            <v>2.9529999999999998</v>
          </cell>
        </row>
        <row r="3514">
          <cell r="E3514" t="str">
            <v>COLL</v>
          </cell>
          <cell r="F3514" t="str">
            <v>COLL-C</v>
          </cell>
          <cell r="G3514">
            <v>103</v>
          </cell>
          <cell r="H3514" t="str">
            <v>COLL-C103</v>
          </cell>
          <cell r="K3514" t="str">
            <v>Robinson,Benjamin Butt</v>
          </cell>
          <cell r="N3514">
            <v>3.09</v>
          </cell>
          <cell r="O3514">
            <v>3.052</v>
          </cell>
        </row>
        <row r="3515">
          <cell r="E3515" t="str">
            <v>COLL</v>
          </cell>
          <cell r="F3515" t="str">
            <v>COLL-C</v>
          </cell>
          <cell r="G3515">
            <v>103</v>
          </cell>
          <cell r="H3515" t="str">
            <v>COLL-C103</v>
          </cell>
          <cell r="K3515" t="str">
            <v>Sideris,Lisa H</v>
          </cell>
          <cell r="N3515">
            <v>3.081</v>
          </cell>
          <cell r="O3515">
            <v>3.0009999999999999</v>
          </cell>
        </row>
        <row r="3516">
          <cell r="E3516" t="str">
            <v>COLL</v>
          </cell>
          <cell r="F3516" t="str">
            <v>COLL-C</v>
          </cell>
          <cell r="G3516">
            <v>103</v>
          </cell>
          <cell r="H3516" t="str">
            <v>COLL-C103</v>
          </cell>
          <cell r="K3516" t="str">
            <v>Stalnaker,Aaron Dean</v>
          </cell>
          <cell r="N3516">
            <v>2.5569999999999999</v>
          </cell>
          <cell r="O3516">
            <v>2.601</v>
          </cell>
        </row>
        <row r="3517">
          <cell r="E3517" t="str">
            <v>COLL</v>
          </cell>
          <cell r="F3517" t="str">
            <v>COLL-C</v>
          </cell>
          <cell r="G3517">
            <v>103</v>
          </cell>
          <cell r="H3517" t="str">
            <v>COLL-C103</v>
          </cell>
          <cell r="K3517" t="str">
            <v>Stalnaker,Aaron Dean</v>
          </cell>
          <cell r="N3517">
            <v>3.3359999999999999</v>
          </cell>
          <cell r="O3517">
            <v>3.089</v>
          </cell>
        </row>
        <row r="3518">
          <cell r="E3518" t="str">
            <v>COLL</v>
          </cell>
          <cell r="F3518" t="str">
            <v>COLL-C</v>
          </cell>
          <cell r="G3518">
            <v>103</v>
          </cell>
          <cell r="H3518" t="str">
            <v>COLL-C103</v>
          </cell>
          <cell r="K3518" t="str">
            <v>Stalnaker,Aaron Dean</v>
          </cell>
          <cell r="N3518">
            <v>3.048</v>
          </cell>
          <cell r="O3518">
            <v>2.86</v>
          </cell>
        </row>
        <row r="3519">
          <cell r="E3519" t="str">
            <v>COLL</v>
          </cell>
          <cell r="F3519" t="str">
            <v>COLL-C</v>
          </cell>
          <cell r="G3519">
            <v>103</v>
          </cell>
          <cell r="H3519" t="str">
            <v>COLL-C103</v>
          </cell>
          <cell r="K3519" t="str">
            <v>Stalnaker,Aaron Dean</v>
          </cell>
          <cell r="N3519">
            <v>2.8719999999999999</v>
          </cell>
          <cell r="O3519">
            <v>2.8279999999999998</v>
          </cell>
        </row>
        <row r="3520">
          <cell r="E3520" t="str">
            <v>COLL</v>
          </cell>
          <cell r="F3520" t="str">
            <v>COLL-C</v>
          </cell>
          <cell r="G3520">
            <v>104</v>
          </cell>
          <cell r="H3520" t="str">
            <v>COLL-C104</v>
          </cell>
          <cell r="K3520" t="str">
            <v>Bovingdon,Gardner</v>
          </cell>
          <cell r="N3520">
            <v>2.758</v>
          </cell>
          <cell r="O3520">
            <v>2.758</v>
          </cell>
        </row>
        <row r="3521">
          <cell r="E3521" t="str">
            <v>COLL</v>
          </cell>
          <cell r="F3521" t="str">
            <v>COLL-C</v>
          </cell>
          <cell r="G3521">
            <v>104</v>
          </cell>
          <cell r="H3521" t="str">
            <v>COLL-C104</v>
          </cell>
          <cell r="K3521" t="str">
            <v>Breithaupt,Fritz Alwin</v>
          </cell>
          <cell r="N3521">
            <v>3.617</v>
          </cell>
          <cell r="O3521">
            <v>2.952</v>
          </cell>
        </row>
        <row r="3522">
          <cell r="E3522" t="str">
            <v>COLL</v>
          </cell>
          <cell r="F3522" t="str">
            <v>COLL-C</v>
          </cell>
          <cell r="G3522">
            <v>104</v>
          </cell>
          <cell r="H3522" t="str">
            <v>COLL-C104</v>
          </cell>
          <cell r="K3522" t="str">
            <v>Brown,Candy Gunther</v>
          </cell>
          <cell r="N3522">
            <v>3.012</v>
          </cell>
          <cell r="O3522">
            <v>3.0920000000000001</v>
          </cell>
        </row>
        <row r="3523">
          <cell r="E3523" t="str">
            <v>COLL</v>
          </cell>
          <cell r="F3523" t="str">
            <v>COLL-C</v>
          </cell>
          <cell r="G3523">
            <v>104</v>
          </cell>
          <cell r="H3523" t="str">
            <v>COLL-C104</v>
          </cell>
          <cell r="K3523" t="str">
            <v>Brown,Candy Gunther</v>
          </cell>
          <cell r="N3523">
            <v>3.3090000000000002</v>
          </cell>
          <cell r="O3523">
            <v>2.99</v>
          </cell>
        </row>
        <row r="3524">
          <cell r="E3524" t="str">
            <v>COLL</v>
          </cell>
          <cell r="F3524" t="str">
            <v>COLL-C</v>
          </cell>
          <cell r="G3524">
            <v>104</v>
          </cell>
          <cell r="H3524" t="str">
            <v>COLL-C104</v>
          </cell>
          <cell r="K3524" t="str">
            <v>Cat,Jordi</v>
          </cell>
          <cell r="N3524">
            <v>2.7909999999999999</v>
          </cell>
          <cell r="O3524">
            <v>2.6880000000000002</v>
          </cell>
        </row>
        <row r="3525">
          <cell r="E3525" t="str">
            <v>COLL</v>
          </cell>
          <cell r="F3525" t="str">
            <v>COLL-C</v>
          </cell>
          <cell r="G3525">
            <v>104</v>
          </cell>
          <cell r="H3525" t="str">
            <v>COLL-C104</v>
          </cell>
          <cell r="K3525" t="str">
            <v>Christiansen,Deborah Lynn</v>
          </cell>
          <cell r="N3525">
            <v>3.847</v>
          </cell>
          <cell r="O3525">
            <v>3.222</v>
          </cell>
        </row>
        <row r="3526">
          <cell r="E3526" t="str">
            <v>COLL</v>
          </cell>
          <cell r="F3526" t="str">
            <v>COLL-C</v>
          </cell>
          <cell r="G3526">
            <v>104</v>
          </cell>
          <cell r="H3526" t="str">
            <v>COLL-C104</v>
          </cell>
          <cell r="K3526" t="str">
            <v>Lloyd,Elisabeth A.</v>
          </cell>
          <cell r="N3526">
            <v>2.6560000000000001</v>
          </cell>
          <cell r="O3526">
            <v>2.9460000000000002</v>
          </cell>
        </row>
        <row r="3527">
          <cell r="E3527" t="str">
            <v>COLL</v>
          </cell>
          <cell r="F3527" t="str">
            <v>COLL-C</v>
          </cell>
          <cell r="G3527">
            <v>104</v>
          </cell>
          <cell r="H3527" t="str">
            <v>COLL-C104</v>
          </cell>
          <cell r="K3527" t="str">
            <v>McGregor,Michael</v>
          </cell>
          <cell r="N3527">
            <v>3.8</v>
          </cell>
          <cell r="O3527">
            <v>3.1339999999999999</v>
          </cell>
        </row>
        <row r="3528">
          <cell r="E3528" t="str">
            <v>COLL</v>
          </cell>
          <cell r="F3528" t="str">
            <v>COLL-C</v>
          </cell>
          <cell r="G3528">
            <v>104</v>
          </cell>
          <cell r="H3528" t="str">
            <v>COLL-C104</v>
          </cell>
          <cell r="K3528" t="str">
            <v>Pace,David</v>
          </cell>
          <cell r="N3528">
            <v>3.7440000000000002</v>
          </cell>
          <cell r="O3528">
            <v>3.4420000000000002</v>
          </cell>
        </row>
        <row r="3529">
          <cell r="E3529" t="str">
            <v>COLL</v>
          </cell>
          <cell r="F3529" t="str">
            <v>COLL-C</v>
          </cell>
          <cell r="G3529">
            <v>104</v>
          </cell>
          <cell r="H3529" t="str">
            <v>COLL-C104</v>
          </cell>
          <cell r="K3529" t="str">
            <v>Robinson,Benjamin Butt</v>
          </cell>
          <cell r="N3529">
            <v>4</v>
          </cell>
          <cell r="O3529">
            <v>3.4689999999999999</v>
          </cell>
        </row>
        <row r="3530">
          <cell r="E3530" t="str">
            <v>COLL</v>
          </cell>
          <cell r="F3530" t="str">
            <v>COLL-C</v>
          </cell>
          <cell r="G3530">
            <v>104</v>
          </cell>
          <cell r="H3530" t="str">
            <v>COLL-C104</v>
          </cell>
          <cell r="K3530" t="str">
            <v>Sandys,Marla Rita</v>
          </cell>
          <cell r="N3530">
            <v>2.8929999999999998</v>
          </cell>
          <cell r="O3530">
            <v>2.8969999999999998</v>
          </cell>
        </row>
        <row r="3531">
          <cell r="E3531" t="str">
            <v>COLL</v>
          </cell>
          <cell r="F3531" t="str">
            <v>COLL-C</v>
          </cell>
          <cell r="G3531">
            <v>104</v>
          </cell>
          <cell r="H3531" t="str">
            <v>COLL-C104</v>
          </cell>
          <cell r="K3531" t="str">
            <v>Sandys,Marla Rita</v>
          </cell>
          <cell r="N3531">
            <v>3.3969999999999998</v>
          </cell>
          <cell r="O3531">
            <v>3.0409999999999999</v>
          </cell>
        </row>
        <row r="3532">
          <cell r="E3532" t="str">
            <v>COLL</v>
          </cell>
          <cell r="F3532" t="str">
            <v>COLL-C</v>
          </cell>
          <cell r="G3532">
            <v>104</v>
          </cell>
          <cell r="H3532" t="str">
            <v>COLL-C104</v>
          </cell>
          <cell r="K3532" t="str">
            <v>Scheiber,Laura Lee</v>
          </cell>
          <cell r="N3532">
            <v>2.9710000000000001</v>
          </cell>
          <cell r="O3532">
            <v>3.004</v>
          </cell>
        </row>
        <row r="3533">
          <cell r="E3533" t="str">
            <v>COLL</v>
          </cell>
          <cell r="F3533" t="str">
            <v>COLL-C</v>
          </cell>
          <cell r="G3533">
            <v>104</v>
          </cell>
          <cell r="H3533" t="str">
            <v>COLL-C104</v>
          </cell>
          <cell r="K3533" t="str">
            <v>Schickore,Jutta</v>
          </cell>
          <cell r="N3533">
            <v>2.8980000000000001</v>
          </cell>
          <cell r="O3533">
            <v>3.0289999999999999</v>
          </cell>
        </row>
        <row r="3534">
          <cell r="E3534" t="str">
            <v>COLL</v>
          </cell>
          <cell r="F3534" t="str">
            <v>COLL-C</v>
          </cell>
          <cell r="G3534">
            <v>104</v>
          </cell>
          <cell r="H3534" t="str">
            <v>COLL-C104</v>
          </cell>
          <cell r="K3534" t="str">
            <v>Weaver,Andrew Joseph</v>
          </cell>
          <cell r="N3534">
            <v>3.95</v>
          </cell>
          <cell r="O3534">
            <v>3.258</v>
          </cell>
        </row>
        <row r="3535">
          <cell r="E3535" t="str">
            <v>COLL</v>
          </cell>
          <cell r="F3535" t="str">
            <v>COLL-C</v>
          </cell>
          <cell r="G3535">
            <v>105</v>
          </cell>
          <cell r="H3535" t="str">
            <v>COLL-C105</v>
          </cell>
          <cell r="K3535" t="str">
            <v>Basu,Abhijit</v>
          </cell>
          <cell r="N3535">
            <v>2.895</v>
          </cell>
          <cell r="O3535">
            <v>2.9609999999999999</v>
          </cell>
        </row>
        <row r="3536">
          <cell r="E3536" t="str">
            <v>COLL</v>
          </cell>
          <cell r="F3536" t="str">
            <v>COLL-C</v>
          </cell>
          <cell r="G3536">
            <v>105</v>
          </cell>
          <cell r="H3536" t="str">
            <v>COLL-C105</v>
          </cell>
          <cell r="K3536" t="str">
            <v>Bent,Tessa</v>
          </cell>
          <cell r="N3536">
            <v>3.911</v>
          </cell>
          <cell r="O3536">
            <v>3.3620000000000001</v>
          </cell>
        </row>
        <row r="3537">
          <cell r="E3537" t="str">
            <v>COLL</v>
          </cell>
          <cell r="F3537" t="str">
            <v>COLL-C</v>
          </cell>
          <cell r="G3537">
            <v>105</v>
          </cell>
          <cell r="H3537" t="str">
            <v>COLL-C105</v>
          </cell>
          <cell r="K3537" t="str">
            <v>Bonner,James Jose</v>
          </cell>
          <cell r="N3537">
            <v>3.431</v>
          </cell>
          <cell r="O3537">
            <v>3.294</v>
          </cell>
        </row>
        <row r="3538">
          <cell r="E3538" t="str">
            <v>COLL</v>
          </cell>
          <cell r="F3538" t="str">
            <v>COLL-C</v>
          </cell>
          <cell r="G3538">
            <v>105</v>
          </cell>
          <cell r="H3538" t="str">
            <v>COLL-C105</v>
          </cell>
          <cell r="K3538" t="str">
            <v>Brassell,Simon Christopher</v>
          </cell>
          <cell r="N3538">
            <v>2.7839999999999998</v>
          </cell>
          <cell r="O3538">
            <v>2.9369999999999998</v>
          </cell>
        </row>
        <row r="3539">
          <cell r="E3539" t="str">
            <v>COLL</v>
          </cell>
          <cell r="F3539" t="str">
            <v>COLL-C</v>
          </cell>
          <cell r="G3539">
            <v>105</v>
          </cell>
          <cell r="H3539" t="str">
            <v>COLL-C105</v>
          </cell>
          <cell r="K3539" t="str">
            <v>Cook,Della C.</v>
          </cell>
          <cell r="N3539">
            <v>2.66</v>
          </cell>
          <cell r="O3539">
            <v>2.766</v>
          </cell>
        </row>
        <row r="3540">
          <cell r="E3540" t="str">
            <v>COLL</v>
          </cell>
          <cell r="F3540" t="str">
            <v>COLL-C</v>
          </cell>
          <cell r="G3540">
            <v>105</v>
          </cell>
          <cell r="H3540" t="str">
            <v>COLL-C105</v>
          </cell>
          <cell r="K3540" t="str">
            <v>Evans,Harold G.</v>
          </cell>
          <cell r="N3540">
            <v>2.6539999999999999</v>
          </cell>
          <cell r="O3540">
            <v>3.0590000000000002</v>
          </cell>
        </row>
        <row r="3541">
          <cell r="E3541" t="str">
            <v>COLL</v>
          </cell>
          <cell r="F3541" t="str">
            <v>COLL-C</v>
          </cell>
          <cell r="G3541">
            <v>105</v>
          </cell>
          <cell r="H3541" t="str">
            <v>COLL-C105</v>
          </cell>
          <cell r="K3541" t="str">
            <v>Gershkoff,Lisa</v>
          </cell>
          <cell r="N3541">
            <v>2.8420000000000001</v>
          </cell>
          <cell r="O3541">
            <v>3.0939999999999999</v>
          </cell>
        </row>
        <row r="3542">
          <cell r="E3542" t="str">
            <v>COLL</v>
          </cell>
          <cell r="F3542" t="str">
            <v>COLL-C</v>
          </cell>
          <cell r="G3542">
            <v>105</v>
          </cell>
          <cell r="H3542" t="str">
            <v>COLL-C105</v>
          </cell>
          <cell r="K3542" t="str">
            <v>Hanratty,Pamela</v>
          </cell>
          <cell r="N3542">
            <v>3.2440000000000002</v>
          </cell>
          <cell r="O3542">
            <v>3.274</v>
          </cell>
        </row>
        <row r="3543">
          <cell r="E3543" t="str">
            <v>COLL</v>
          </cell>
          <cell r="F3543" t="str">
            <v>COLL-C</v>
          </cell>
          <cell r="G3543">
            <v>105</v>
          </cell>
          <cell r="H3543" t="str">
            <v>COLL-C105</v>
          </cell>
          <cell r="K3543" t="str">
            <v>Hullinger,Richard Alan</v>
          </cell>
          <cell r="N3543">
            <v>3.323</v>
          </cell>
          <cell r="O3543">
            <v>3.113</v>
          </cell>
        </row>
        <row r="3544">
          <cell r="E3544" t="str">
            <v>COLL</v>
          </cell>
          <cell r="F3544" t="str">
            <v>COLL-C</v>
          </cell>
          <cell r="G3544">
            <v>105</v>
          </cell>
          <cell r="H3544" t="str">
            <v>COLL-C105</v>
          </cell>
          <cell r="K3544" t="str">
            <v>Kaestle,Frederika Ann</v>
          </cell>
          <cell r="N3544">
            <v>3.895</v>
          </cell>
          <cell r="O3544">
            <v>2.9089999999999998</v>
          </cell>
        </row>
        <row r="3545">
          <cell r="E3545" t="str">
            <v>COLL</v>
          </cell>
          <cell r="F3545" t="str">
            <v>COLL-C</v>
          </cell>
          <cell r="G3545">
            <v>105</v>
          </cell>
          <cell r="H3545" t="str">
            <v>COLL-C105</v>
          </cell>
          <cell r="K3545" t="str">
            <v>Lentz,Jennifer J</v>
          </cell>
          <cell r="N3545">
            <v>2.9780000000000002</v>
          </cell>
          <cell r="O3545">
            <v>3.0590000000000002</v>
          </cell>
        </row>
        <row r="3546">
          <cell r="E3546" t="str">
            <v>COLL</v>
          </cell>
          <cell r="F3546" t="str">
            <v>COLL-C</v>
          </cell>
          <cell r="G3546">
            <v>105</v>
          </cell>
          <cell r="H3546" t="str">
            <v>COLL-C105</v>
          </cell>
          <cell r="K3546" t="str">
            <v>Malacinski,George M.</v>
          </cell>
          <cell r="N3546">
            <v>3.4470000000000001</v>
          </cell>
          <cell r="O3546">
            <v>3.1909999999999998</v>
          </cell>
        </row>
        <row r="3547">
          <cell r="E3547" t="str">
            <v>COLL</v>
          </cell>
          <cell r="F3547" t="str">
            <v>COLL-C</v>
          </cell>
          <cell r="G3547">
            <v>105</v>
          </cell>
          <cell r="H3547" t="str">
            <v>COLL-C105</v>
          </cell>
          <cell r="K3547" t="str">
            <v>Motz,Benjamin Alan</v>
          </cell>
          <cell r="N3547">
            <v>3.1589999999999998</v>
          </cell>
          <cell r="O3547">
            <v>2.9929999999999999</v>
          </cell>
        </row>
        <row r="3548">
          <cell r="E3548" t="str">
            <v>COLL</v>
          </cell>
          <cell r="F3548" t="str">
            <v>COLL-C</v>
          </cell>
          <cell r="G3548">
            <v>105</v>
          </cell>
          <cell r="H3548" t="str">
            <v>COLL-C105</v>
          </cell>
          <cell r="K3548" t="str">
            <v>Potter,Rob</v>
          </cell>
          <cell r="N3548">
            <v>3.5169999999999999</v>
          </cell>
          <cell r="O3548">
            <v>3.0950000000000002</v>
          </cell>
        </row>
        <row r="3549">
          <cell r="E3549" t="str">
            <v>COLL</v>
          </cell>
          <cell r="F3549" t="str">
            <v>COLL-C</v>
          </cell>
          <cell r="G3549">
            <v>105</v>
          </cell>
          <cell r="H3549" t="str">
            <v>COLL-C105</v>
          </cell>
          <cell r="K3549" t="str">
            <v>Pyburn,K. Anne</v>
          </cell>
          <cell r="N3549">
            <v>3.4849999999999999</v>
          </cell>
          <cell r="O3549">
            <v>2.89</v>
          </cell>
        </row>
        <row r="3550">
          <cell r="E3550" t="str">
            <v>COLL</v>
          </cell>
          <cell r="F3550" t="str">
            <v>COLL-C</v>
          </cell>
          <cell r="G3550">
            <v>105</v>
          </cell>
          <cell r="H3550" t="str">
            <v>COLL-C105</v>
          </cell>
          <cell r="K3550" t="str">
            <v>Rahman,Faiz Faizur</v>
          </cell>
          <cell r="N3550">
            <v>3.133</v>
          </cell>
          <cell r="O3550">
            <v>2.976</v>
          </cell>
        </row>
        <row r="3551">
          <cell r="E3551" t="str">
            <v>COLL</v>
          </cell>
          <cell r="F3551" t="str">
            <v>COLL-C</v>
          </cell>
          <cell r="G3551">
            <v>105</v>
          </cell>
          <cell r="H3551" t="str">
            <v>COLL-C105</v>
          </cell>
          <cell r="K3551" t="str">
            <v>Reck,Cathrine E.</v>
          </cell>
          <cell r="N3551">
            <v>3.3620000000000001</v>
          </cell>
          <cell r="O3551">
            <v>3.0720000000000001</v>
          </cell>
        </row>
        <row r="3552">
          <cell r="E3552" t="str">
            <v>COLL</v>
          </cell>
          <cell r="F3552" t="str">
            <v>COLL-C</v>
          </cell>
          <cell r="G3552">
            <v>105</v>
          </cell>
          <cell r="H3552" t="str">
            <v>COLL-C105</v>
          </cell>
          <cell r="K3552" t="str">
            <v>Schlegel,Whitney M</v>
          </cell>
          <cell r="N3552">
            <v>3.0920000000000001</v>
          </cell>
          <cell r="O3552">
            <v>2.988</v>
          </cell>
        </row>
        <row r="3553">
          <cell r="E3553" t="str">
            <v>COLL</v>
          </cell>
          <cell r="F3553" t="str">
            <v>COLL-C</v>
          </cell>
          <cell r="G3553">
            <v>105</v>
          </cell>
          <cell r="H3553" t="str">
            <v>COLL-C105</v>
          </cell>
          <cell r="K3553" t="str">
            <v>Schoenemann,P. Thomas</v>
          </cell>
          <cell r="N3553">
            <v>2.8159999999999998</v>
          </cell>
          <cell r="O3553">
            <v>3.0009999999999999</v>
          </cell>
        </row>
        <row r="3554">
          <cell r="E3554" t="str">
            <v>COLL</v>
          </cell>
          <cell r="F3554" t="str">
            <v>COLL-C</v>
          </cell>
          <cell r="G3554">
            <v>222</v>
          </cell>
          <cell r="H3554" t="str">
            <v>COLL-C222</v>
          </cell>
          <cell r="K3554" t="str">
            <v>Grossman,Justin Robert</v>
          </cell>
          <cell r="N3554" t="str">
            <v>NR</v>
          </cell>
          <cell r="O3554" t="str">
            <v>NR</v>
          </cell>
        </row>
        <row r="3555">
          <cell r="E3555" t="str">
            <v>COLL</v>
          </cell>
          <cell r="F3555" t="str">
            <v>COLL-C</v>
          </cell>
          <cell r="G3555">
            <v>500</v>
          </cell>
          <cell r="H3555" t="str">
            <v>COLL-C500</v>
          </cell>
          <cell r="K3555" t="str">
            <v>Sandilands,Chintana</v>
          </cell>
          <cell r="N3555" t="str">
            <v>NR</v>
          </cell>
          <cell r="O3555" t="str">
            <v>NR</v>
          </cell>
        </row>
        <row r="3556">
          <cell r="E3556" t="str">
            <v>COLL</v>
          </cell>
          <cell r="F3556" t="str">
            <v>COLL-C</v>
          </cell>
          <cell r="G3556">
            <v>555</v>
          </cell>
          <cell r="H3556" t="str">
            <v>COLL-C555</v>
          </cell>
          <cell r="N3556" t="str">
            <v>NR</v>
          </cell>
          <cell r="O3556" t="str">
            <v>NR</v>
          </cell>
        </row>
        <row r="3557">
          <cell r="E3557" t="str">
            <v>COLL</v>
          </cell>
          <cell r="F3557" t="str">
            <v>COLL-G</v>
          </cell>
          <cell r="G3557">
            <v>113</v>
          </cell>
          <cell r="H3557" t="str">
            <v>COLL-G113</v>
          </cell>
          <cell r="K3557" t="str">
            <v>Archer,Vernon</v>
          </cell>
          <cell r="N3557" t="str">
            <v>NR</v>
          </cell>
          <cell r="O3557" t="str">
            <v>NR</v>
          </cell>
        </row>
        <row r="3558">
          <cell r="E3558" t="str">
            <v>COLL</v>
          </cell>
          <cell r="F3558" t="str">
            <v>COLL-G</v>
          </cell>
          <cell r="G3558">
            <v>113</v>
          </cell>
          <cell r="H3558" t="str">
            <v>COLL-G113</v>
          </cell>
          <cell r="K3558" t="str">
            <v>Davis,G. Leah</v>
          </cell>
          <cell r="N3558" t="str">
            <v>NR</v>
          </cell>
          <cell r="O3558" t="str">
            <v>NR</v>
          </cell>
        </row>
        <row r="3559">
          <cell r="E3559" t="str">
            <v>COLL</v>
          </cell>
          <cell r="F3559" t="str">
            <v>COLL-G</v>
          </cell>
          <cell r="G3559">
            <v>113</v>
          </cell>
          <cell r="H3559" t="str">
            <v>COLL-G113</v>
          </cell>
          <cell r="K3559" t="str">
            <v>Isom,Vincent E</v>
          </cell>
          <cell r="N3559">
            <v>2.98</v>
          </cell>
          <cell r="O3559">
            <v>2.6230000000000002</v>
          </cell>
        </row>
        <row r="3560">
          <cell r="E3560" t="str">
            <v>COLL</v>
          </cell>
          <cell r="F3560" t="str">
            <v>COLL-G</v>
          </cell>
          <cell r="G3560">
            <v>113</v>
          </cell>
          <cell r="H3560" t="str">
            <v>COLL-G113</v>
          </cell>
          <cell r="K3560" t="str">
            <v>Isom,Vincent E</v>
          </cell>
          <cell r="N3560">
            <v>3.1309999999999998</v>
          </cell>
          <cell r="O3560">
            <v>2.2109999999999999</v>
          </cell>
        </row>
        <row r="3561">
          <cell r="E3561" t="str">
            <v>COLL</v>
          </cell>
          <cell r="F3561" t="str">
            <v>COLL-G</v>
          </cell>
          <cell r="G3561">
            <v>113</v>
          </cell>
          <cell r="H3561" t="str">
            <v>COLL-G113</v>
          </cell>
          <cell r="K3561" t="str">
            <v>Jefferies,Latisha Renae</v>
          </cell>
          <cell r="N3561">
            <v>3.327</v>
          </cell>
          <cell r="O3561">
            <v>2.6560000000000001</v>
          </cell>
        </row>
        <row r="3562">
          <cell r="E3562" t="str">
            <v>COLL</v>
          </cell>
          <cell r="F3562" t="str">
            <v>COLL-G</v>
          </cell>
          <cell r="G3562">
            <v>113</v>
          </cell>
          <cell r="H3562" t="str">
            <v>COLL-G113</v>
          </cell>
          <cell r="K3562" t="str">
            <v>Jenkins,Kimberly Marie</v>
          </cell>
          <cell r="N3562">
            <v>3.286</v>
          </cell>
          <cell r="O3562">
            <v>2.5499999999999998</v>
          </cell>
        </row>
        <row r="3563">
          <cell r="E3563" t="str">
            <v>COLL</v>
          </cell>
          <cell r="F3563" t="str">
            <v>COLL-T</v>
          </cell>
          <cell r="G3563">
            <v>299</v>
          </cell>
          <cell r="H3563" t="str">
            <v>COLL-T299</v>
          </cell>
          <cell r="K3563" t="str">
            <v>Bee,Tracy K</v>
          </cell>
          <cell r="N3563" t="str">
            <v>NR</v>
          </cell>
          <cell r="O3563" t="str">
            <v>NR</v>
          </cell>
        </row>
        <row r="3564">
          <cell r="E3564" t="str">
            <v>COLL</v>
          </cell>
          <cell r="F3564" t="str">
            <v>COLL-X</v>
          </cell>
          <cell r="G3564">
            <v>112</v>
          </cell>
          <cell r="H3564" t="str">
            <v>COLL-X112</v>
          </cell>
          <cell r="K3564" t="str">
            <v>Hershey,R G</v>
          </cell>
          <cell r="N3564">
            <v>3.0139999999999998</v>
          </cell>
          <cell r="O3564">
            <v>2.875</v>
          </cell>
        </row>
        <row r="3565">
          <cell r="E3565" t="str">
            <v>COLL</v>
          </cell>
          <cell r="F3565" t="str">
            <v>COLL-X</v>
          </cell>
          <cell r="G3565">
            <v>112</v>
          </cell>
          <cell r="H3565" t="str">
            <v>COLL-X112</v>
          </cell>
          <cell r="K3565" t="str">
            <v>Hershey,R G</v>
          </cell>
          <cell r="N3565">
            <v>3.2850000000000001</v>
          </cell>
          <cell r="O3565">
            <v>3.0739999999999998</v>
          </cell>
        </row>
        <row r="3566">
          <cell r="E3566" t="str">
            <v>COLL</v>
          </cell>
          <cell r="F3566" t="str">
            <v>COLL-X</v>
          </cell>
          <cell r="G3566">
            <v>112</v>
          </cell>
          <cell r="H3566" t="str">
            <v>COLL-X112</v>
          </cell>
          <cell r="K3566" t="str">
            <v>Nichols,Eric J</v>
          </cell>
          <cell r="N3566">
            <v>3.1850000000000001</v>
          </cell>
          <cell r="O3566">
            <v>3.077</v>
          </cell>
        </row>
        <row r="3567">
          <cell r="E3567" t="str">
            <v>COLL</v>
          </cell>
          <cell r="F3567" t="str">
            <v>COLL-X</v>
          </cell>
          <cell r="G3567">
            <v>112</v>
          </cell>
          <cell r="H3567" t="str">
            <v>COLL-X112</v>
          </cell>
          <cell r="K3567" t="str">
            <v>Nichols,Eric J</v>
          </cell>
          <cell r="N3567">
            <v>3.2</v>
          </cell>
          <cell r="O3567">
            <v>2.9540000000000002</v>
          </cell>
        </row>
        <row r="3568">
          <cell r="E3568" t="str">
            <v>COLL</v>
          </cell>
          <cell r="F3568" t="str">
            <v>COLL-X</v>
          </cell>
          <cell r="G3568">
            <v>112</v>
          </cell>
          <cell r="H3568" t="str">
            <v>COLL-X112</v>
          </cell>
          <cell r="K3568" t="str">
            <v>Nichols,Eric J</v>
          </cell>
          <cell r="N3568">
            <v>3.2589999999999999</v>
          </cell>
          <cell r="O3568">
            <v>3.0779999999999998</v>
          </cell>
        </row>
        <row r="3569">
          <cell r="E3569" t="str">
            <v>CSCI</v>
          </cell>
          <cell r="F3569" t="str">
            <v>CSCI-A</v>
          </cell>
          <cell r="G3569">
            <v>110</v>
          </cell>
          <cell r="H3569" t="str">
            <v>CSCI-A110</v>
          </cell>
          <cell r="K3569" t="str">
            <v>Pope,Charles E</v>
          </cell>
          <cell r="N3569">
            <v>3.21</v>
          </cell>
          <cell r="O3569">
            <v>2.8809999999999998</v>
          </cell>
        </row>
        <row r="3570">
          <cell r="E3570" t="str">
            <v>CSCI</v>
          </cell>
          <cell r="F3570" t="str">
            <v>CSCI-A</v>
          </cell>
          <cell r="G3570">
            <v>110</v>
          </cell>
          <cell r="H3570" t="str">
            <v>CSCI-A110</v>
          </cell>
          <cell r="K3570" t="str">
            <v>Pope,Charles E</v>
          </cell>
          <cell r="N3570">
            <v>3.3380000000000001</v>
          </cell>
          <cell r="O3570">
            <v>2.9489999999999998</v>
          </cell>
        </row>
        <row r="3571">
          <cell r="E3571" t="str">
            <v>CSCI</v>
          </cell>
          <cell r="F3571" t="str">
            <v>CSCI-A</v>
          </cell>
          <cell r="G3571">
            <v>110</v>
          </cell>
          <cell r="H3571" t="str">
            <v>CSCI-A110</v>
          </cell>
          <cell r="K3571" t="str">
            <v>Pope,Charles E</v>
          </cell>
          <cell r="N3571">
            <v>3.306</v>
          </cell>
          <cell r="O3571">
            <v>2.9369999999999998</v>
          </cell>
        </row>
        <row r="3572">
          <cell r="E3572" t="str">
            <v>CSCI</v>
          </cell>
          <cell r="F3572" t="str">
            <v>CSCI-A</v>
          </cell>
          <cell r="G3572">
            <v>110</v>
          </cell>
          <cell r="H3572" t="str">
            <v>CSCI-A110</v>
          </cell>
          <cell r="K3572" t="str">
            <v>Pope,Charles E</v>
          </cell>
          <cell r="N3572">
            <v>3.09</v>
          </cell>
          <cell r="O3572">
            <v>2.944</v>
          </cell>
        </row>
        <row r="3573">
          <cell r="E3573" t="str">
            <v>CSCI</v>
          </cell>
          <cell r="F3573" t="str">
            <v>CSCI-A</v>
          </cell>
          <cell r="G3573">
            <v>110</v>
          </cell>
          <cell r="H3573" t="str">
            <v>CSCI-A110</v>
          </cell>
          <cell r="K3573" t="str">
            <v>Pope,Charles E</v>
          </cell>
          <cell r="N3573">
            <v>3.1280000000000001</v>
          </cell>
          <cell r="O3573">
            <v>2.911</v>
          </cell>
        </row>
        <row r="3574">
          <cell r="E3574" t="str">
            <v>CSCI</v>
          </cell>
          <cell r="F3574" t="str">
            <v>CSCI-A</v>
          </cell>
          <cell r="G3574">
            <v>110</v>
          </cell>
          <cell r="H3574" t="str">
            <v>CSCI-A110</v>
          </cell>
          <cell r="K3574" t="str">
            <v>Pope,Charles E</v>
          </cell>
          <cell r="N3574">
            <v>3.133</v>
          </cell>
          <cell r="O3574">
            <v>2.9249999999999998</v>
          </cell>
        </row>
        <row r="3575">
          <cell r="E3575" t="str">
            <v>CSCI</v>
          </cell>
          <cell r="F3575" t="str">
            <v>CSCI-A</v>
          </cell>
          <cell r="G3575">
            <v>201</v>
          </cell>
          <cell r="H3575" t="str">
            <v>CSCI-A201</v>
          </cell>
          <cell r="K3575" t="str">
            <v>Mutsuddi,Adity Upoma</v>
          </cell>
          <cell r="N3575">
            <v>3.2829999999999999</v>
          </cell>
          <cell r="O3575">
            <v>2.9980000000000002</v>
          </cell>
        </row>
        <row r="3576">
          <cell r="E3576" t="str">
            <v>CSCI</v>
          </cell>
          <cell r="F3576" t="str">
            <v>CSCI-A</v>
          </cell>
          <cell r="G3576">
            <v>201</v>
          </cell>
          <cell r="H3576" t="str">
            <v>CSCI-A201</v>
          </cell>
          <cell r="K3576" t="str">
            <v>Mutsuddi,Adity Upoma</v>
          </cell>
          <cell r="N3576">
            <v>3.3380000000000001</v>
          </cell>
          <cell r="O3576">
            <v>3.1280000000000001</v>
          </cell>
        </row>
        <row r="3577">
          <cell r="E3577" t="str">
            <v>CSCI</v>
          </cell>
          <cell r="F3577" t="str">
            <v>CSCI-A</v>
          </cell>
          <cell r="G3577">
            <v>201</v>
          </cell>
          <cell r="H3577" t="str">
            <v>CSCI-A201</v>
          </cell>
          <cell r="K3577" t="str">
            <v>Mutsuddi,Adity Upoma</v>
          </cell>
          <cell r="N3577">
            <v>3.4870000000000001</v>
          </cell>
          <cell r="O3577">
            <v>3.2429999999999999</v>
          </cell>
        </row>
        <row r="3578">
          <cell r="E3578" t="str">
            <v>CSCI</v>
          </cell>
          <cell r="F3578" t="str">
            <v>CSCI-A</v>
          </cell>
          <cell r="G3578">
            <v>202</v>
          </cell>
          <cell r="H3578" t="str">
            <v>CSCI-A202</v>
          </cell>
          <cell r="K3578" t="str">
            <v>German,Dan-Adrian</v>
          </cell>
          <cell r="N3578">
            <v>4</v>
          </cell>
          <cell r="O3578">
            <v>3.0619999999999998</v>
          </cell>
        </row>
        <row r="3579">
          <cell r="E3579" t="str">
            <v>CSCI</v>
          </cell>
          <cell r="F3579" t="str">
            <v>CSCI-A</v>
          </cell>
          <cell r="G3579">
            <v>216</v>
          </cell>
          <cell r="H3579" t="str">
            <v>CSCI-A216</v>
          </cell>
          <cell r="K3579" t="str">
            <v>Whitmer,Jeffrey Michael</v>
          </cell>
          <cell r="N3579">
            <v>3.0640000000000001</v>
          </cell>
          <cell r="O3579">
            <v>3.052</v>
          </cell>
        </row>
        <row r="3580">
          <cell r="E3580" t="str">
            <v>CSCI</v>
          </cell>
          <cell r="F3580" t="str">
            <v>CSCI-A</v>
          </cell>
          <cell r="G3580">
            <v>290</v>
          </cell>
          <cell r="H3580" t="str">
            <v>CSCI-A290</v>
          </cell>
          <cell r="K3580" t="str">
            <v>Byrd,William Edward</v>
          </cell>
          <cell r="N3580">
            <v>3.9609999999999999</v>
          </cell>
          <cell r="O3580">
            <v>3.2050000000000001</v>
          </cell>
        </row>
        <row r="3581">
          <cell r="E3581" t="str">
            <v>CSCI</v>
          </cell>
          <cell r="F3581" t="str">
            <v>CSCI-A</v>
          </cell>
          <cell r="G3581">
            <v>290</v>
          </cell>
          <cell r="H3581" t="str">
            <v>CSCI-A290</v>
          </cell>
          <cell r="K3581" t="str">
            <v>German,Dan-Adrian</v>
          </cell>
          <cell r="N3581">
            <v>4</v>
          </cell>
          <cell r="O3581">
            <v>3.0409999999999999</v>
          </cell>
        </row>
        <row r="3582">
          <cell r="E3582" t="str">
            <v>CSCI</v>
          </cell>
          <cell r="F3582" t="str">
            <v>CSCI-A</v>
          </cell>
          <cell r="G3582">
            <v>290</v>
          </cell>
          <cell r="H3582" t="str">
            <v>CSCI-A290</v>
          </cell>
          <cell r="K3582" t="str">
            <v>German,Dan-Adrian</v>
          </cell>
          <cell r="N3582">
            <v>4</v>
          </cell>
          <cell r="O3582">
            <v>3.0830000000000002</v>
          </cell>
        </row>
        <row r="3583">
          <cell r="E3583" t="str">
            <v>CSCI</v>
          </cell>
          <cell r="F3583" t="str">
            <v>CSCI-A</v>
          </cell>
          <cell r="G3583">
            <v>290</v>
          </cell>
          <cell r="H3583" t="str">
            <v>CSCI-A290</v>
          </cell>
          <cell r="K3583" t="str">
            <v>Mills,Jonathan Wayne</v>
          </cell>
          <cell r="N3583">
            <v>3.609</v>
          </cell>
          <cell r="O3583">
            <v>3.0960000000000001</v>
          </cell>
        </row>
        <row r="3584">
          <cell r="E3584" t="str">
            <v>CSCI</v>
          </cell>
          <cell r="F3584" t="str">
            <v>CSCI-A</v>
          </cell>
          <cell r="G3584">
            <v>290</v>
          </cell>
          <cell r="H3584" t="str">
            <v>CSCI-A290</v>
          </cell>
          <cell r="K3584" t="str">
            <v>Mutsuddi,Adity Upoma</v>
          </cell>
          <cell r="N3584">
            <v>3.6949999999999998</v>
          </cell>
          <cell r="O3584">
            <v>3.234</v>
          </cell>
        </row>
        <row r="3585">
          <cell r="E3585" t="str">
            <v>CSCI</v>
          </cell>
          <cell r="F3585" t="str">
            <v>CSCI-A</v>
          </cell>
          <cell r="G3585">
            <v>290</v>
          </cell>
          <cell r="H3585" t="str">
            <v>CSCI-A290</v>
          </cell>
          <cell r="K3585" t="str">
            <v>Whitmer,Jeffrey Michael</v>
          </cell>
          <cell r="N3585">
            <v>3.33</v>
          </cell>
          <cell r="O3585">
            <v>3.1819999999999999</v>
          </cell>
        </row>
        <row r="3586">
          <cell r="E3586" t="str">
            <v>CSCI</v>
          </cell>
          <cell r="F3586" t="str">
            <v>CSCI-A</v>
          </cell>
          <cell r="G3586">
            <v>290</v>
          </cell>
          <cell r="H3586" t="str">
            <v>CSCI-A290</v>
          </cell>
          <cell r="K3586" t="str">
            <v>Whitmer,Jeffrey Michael</v>
          </cell>
          <cell r="N3586">
            <v>3.3220000000000001</v>
          </cell>
          <cell r="O3586">
            <v>3.0609999999999999</v>
          </cell>
        </row>
        <row r="3587">
          <cell r="E3587" t="str">
            <v>CSCI</v>
          </cell>
          <cell r="F3587" t="str">
            <v>CSCI-A</v>
          </cell>
          <cell r="G3587">
            <v>290</v>
          </cell>
          <cell r="H3587" t="str">
            <v>CSCI-A290</v>
          </cell>
          <cell r="K3587" t="str">
            <v>Whitmer,Jeffrey Michael</v>
          </cell>
          <cell r="N3587">
            <v>3.0430000000000001</v>
          </cell>
          <cell r="O3587">
            <v>3.2949999999999999</v>
          </cell>
        </row>
        <row r="3588">
          <cell r="E3588" t="str">
            <v>CSCI</v>
          </cell>
          <cell r="F3588" t="str">
            <v>CSCI-A</v>
          </cell>
          <cell r="G3588">
            <v>290</v>
          </cell>
          <cell r="H3588" t="str">
            <v>CSCI-A290</v>
          </cell>
          <cell r="K3588" t="str">
            <v>Whitmer,Jeffrey Michael</v>
          </cell>
          <cell r="N3588">
            <v>2.8839999999999999</v>
          </cell>
          <cell r="O3588">
            <v>3.04</v>
          </cell>
        </row>
        <row r="3589">
          <cell r="E3589" t="str">
            <v>CSCI</v>
          </cell>
          <cell r="F3589" t="str">
            <v>CSCI-A</v>
          </cell>
          <cell r="G3589">
            <v>321</v>
          </cell>
          <cell r="H3589" t="str">
            <v>CSCI-A321</v>
          </cell>
          <cell r="K3589" t="str">
            <v>Bramley,Randall Barry</v>
          </cell>
          <cell r="N3589">
            <v>3.6150000000000002</v>
          </cell>
          <cell r="O3589">
            <v>3.06</v>
          </cell>
        </row>
        <row r="3590">
          <cell r="E3590" t="str">
            <v>CSCI</v>
          </cell>
          <cell r="F3590" t="str">
            <v>CSCI-A</v>
          </cell>
          <cell r="G3590">
            <v>338</v>
          </cell>
          <cell r="H3590" t="str">
            <v>CSCI-A338</v>
          </cell>
          <cell r="K3590" t="str">
            <v>Whitmer,Jeffrey Michael</v>
          </cell>
          <cell r="N3590">
            <v>3.0419999999999998</v>
          </cell>
          <cell r="O3590">
            <v>3.109</v>
          </cell>
        </row>
        <row r="3591">
          <cell r="E3591" t="str">
            <v>CSCI</v>
          </cell>
          <cell r="F3591" t="str">
            <v>CSCI-A</v>
          </cell>
          <cell r="G3591">
            <v>521</v>
          </cell>
          <cell r="H3591" t="str">
            <v>CSCI-A521</v>
          </cell>
          <cell r="K3591" t="str">
            <v>Bramley,Randall Barry</v>
          </cell>
          <cell r="N3591" t="str">
            <v>NR</v>
          </cell>
          <cell r="O3591" t="str">
            <v>NR</v>
          </cell>
        </row>
        <row r="3592">
          <cell r="E3592" t="str">
            <v>CSCI</v>
          </cell>
          <cell r="F3592" t="str">
            <v>CSCI-A</v>
          </cell>
          <cell r="G3592">
            <v>538</v>
          </cell>
          <cell r="H3592" t="str">
            <v>CSCI-A538</v>
          </cell>
          <cell r="K3592" t="str">
            <v>Whitmer,Jeffrey Michael</v>
          </cell>
          <cell r="N3592">
            <v>3.7290000000000001</v>
          </cell>
          <cell r="O3592">
            <v>3.3969999999999998</v>
          </cell>
        </row>
        <row r="3593">
          <cell r="E3593" t="str">
            <v>CSCI</v>
          </cell>
          <cell r="F3593" t="str">
            <v>CSCI-A</v>
          </cell>
          <cell r="G3593">
            <v>590</v>
          </cell>
          <cell r="H3593" t="str">
            <v>CSCI-A590</v>
          </cell>
          <cell r="K3593" t="str">
            <v>German,Dan-Adrian</v>
          </cell>
          <cell r="N3593" t="str">
            <v>NR</v>
          </cell>
          <cell r="O3593" t="str">
            <v>NR</v>
          </cell>
        </row>
        <row r="3594">
          <cell r="E3594" t="str">
            <v>CSCI</v>
          </cell>
          <cell r="F3594" t="str">
            <v>CSCI-A</v>
          </cell>
          <cell r="G3594">
            <v>590</v>
          </cell>
          <cell r="H3594" t="str">
            <v>CSCI-A590</v>
          </cell>
          <cell r="K3594" t="str">
            <v>Mills,Jonathan Wayne</v>
          </cell>
          <cell r="N3594" t="str">
            <v>NR</v>
          </cell>
          <cell r="O3594" t="str">
            <v>NR</v>
          </cell>
        </row>
        <row r="3595">
          <cell r="E3595" t="str">
            <v>CSCI</v>
          </cell>
          <cell r="F3595" t="str">
            <v>CSCI-A</v>
          </cell>
          <cell r="G3595">
            <v>590</v>
          </cell>
          <cell r="H3595" t="str">
            <v>CSCI-A590</v>
          </cell>
          <cell r="K3595" t="str">
            <v>Mutsuddi,Adity Upoma</v>
          </cell>
          <cell r="N3595" t="str">
            <v>NR</v>
          </cell>
          <cell r="O3595" t="str">
            <v>NR</v>
          </cell>
        </row>
        <row r="3596">
          <cell r="E3596" t="str">
            <v>CSCI</v>
          </cell>
          <cell r="F3596" t="str">
            <v>CSCI-A</v>
          </cell>
          <cell r="G3596">
            <v>590</v>
          </cell>
          <cell r="H3596" t="str">
            <v>CSCI-A590</v>
          </cell>
          <cell r="K3596" t="str">
            <v>Whitmer,Jeffrey Michael</v>
          </cell>
          <cell r="N3596" t="str">
            <v>NR</v>
          </cell>
          <cell r="O3596" t="str">
            <v>NR</v>
          </cell>
        </row>
        <row r="3597">
          <cell r="E3597" t="str">
            <v>CSCI</v>
          </cell>
          <cell r="F3597" t="str">
            <v>CSCI-A</v>
          </cell>
          <cell r="G3597">
            <v>590</v>
          </cell>
          <cell r="H3597" t="str">
            <v>CSCI-A590</v>
          </cell>
          <cell r="K3597" t="str">
            <v>Whitmer,Jeffrey Michael</v>
          </cell>
          <cell r="N3597" t="str">
            <v>NR</v>
          </cell>
          <cell r="O3597" t="str">
            <v>NR</v>
          </cell>
        </row>
        <row r="3598">
          <cell r="E3598" t="str">
            <v>CSCI</v>
          </cell>
          <cell r="F3598" t="str">
            <v>CSCI-A</v>
          </cell>
          <cell r="G3598">
            <v>590</v>
          </cell>
          <cell r="H3598" t="str">
            <v>CSCI-A590</v>
          </cell>
          <cell r="K3598" t="str">
            <v>Whitmer,Jeffrey Michael</v>
          </cell>
          <cell r="N3598" t="str">
            <v>NR</v>
          </cell>
          <cell r="O3598" t="str">
            <v>NR</v>
          </cell>
        </row>
        <row r="3599">
          <cell r="E3599" t="str">
            <v>CSCI</v>
          </cell>
          <cell r="F3599" t="str">
            <v>CSCI-A</v>
          </cell>
          <cell r="G3599">
            <v>591</v>
          </cell>
          <cell r="H3599" t="str">
            <v>CSCI-A591</v>
          </cell>
          <cell r="K3599" t="str">
            <v>Menzel,Suzanne</v>
          </cell>
          <cell r="N3599" t="str">
            <v>NR</v>
          </cell>
          <cell r="O3599" t="str">
            <v>NR</v>
          </cell>
        </row>
        <row r="3600">
          <cell r="E3600" t="str">
            <v>CSCI</v>
          </cell>
          <cell r="F3600" t="str">
            <v>CSCI-A</v>
          </cell>
          <cell r="G3600">
            <v>591</v>
          </cell>
          <cell r="H3600" t="str">
            <v>CSCI-A591</v>
          </cell>
          <cell r="K3600" t="str">
            <v>Menzel,Suzanne</v>
          </cell>
          <cell r="N3600" t="str">
            <v>NR</v>
          </cell>
          <cell r="O3600" t="str">
            <v>NR</v>
          </cell>
        </row>
        <row r="3601">
          <cell r="E3601" t="str">
            <v>CSCI</v>
          </cell>
          <cell r="F3601" t="str">
            <v>CSCI-A</v>
          </cell>
          <cell r="G3601">
            <v>591</v>
          </cell>
          <cell r="H3601" t="str">
            <v>CSCI-A591</v>
          </cell>
          <cell r="K3601" t="str">
            <v>Menzel,Suzanne</v>
          </cell>
          <cell r="N3601" t="str">
            <v>NR</v>
          </cell>
          <cell r="O3601" t="str">
            <v>NR</v>
          </cell>
        </row>
        <row r="3602">
          <cell r="E3602" t="str">
            <v>CSCI</v>
          </cell>
          <cell r="F3602" t="str">
            <v>CSCI-A</v>
          </cell>
          <cell r="G3602">
            <v>591</v>
          </cell>
          <cell r="H3602" t="str">
            <v>CSCI-A591</v>
          </cell>
          <cell r="K3602" t="str">
            <v>Sabry,Amr A.</v>
          </cell>
          <cell r="N3602" t="str">
            <v>NR</v>
          </cell>
          <cell r="O3602" t="str">
            <v>NR</v>
          </cell>
        </row>
        <row r="3603">
          <cell r="E3603" t="str">
            <v>CSCI</v>
          </cell>
          <cell r="F3603" t="str">
            <v>CSCI-A</v>
          </cell>
          <cell r="G3603">
            <v>592</v>
          </cell>
          <cell r="H3603" t="str">
            <v>CSCI-A592</v>
          </cell>
          <cell r="K3603" t="str">
            <v>German,Dan-Adrian</v>
          </cell>
          <cell r="N3603" t="str">
            <v>NR</v>
          </cell>
          <cell r="O3603" t="str">
            <v>NR</v>
          </cell>
        </row>
        <row r="3604">
          <cell r="E3604" t="str">
            <v>CSCI</v>
          </cell>
          <cell r="F3604" t="str">
            <v>CSCI-A</v>
          </cell>
          <cell r="G3604">
            <v>592</v>
          </cell>
          <cell r="H3604" t="str">
            <v>CSCI-A592</v>
          </cell>
          <cell r="K3604" t="str">
            <v>German,Dan-Adrian</v>
          </cell>
          <cell r="N3604" t="str">
            <v>NR</v>
          </cell>
          <cell r="O3604" t="str">
            <v>NR</v>
          </cell>
        </row>
        <row r="3605">
          <cell r="E3605" t="str">
            <v>CSCI</v>
          </cell>
          <cell r="F3605" t="str">
            <v>CSCI-A</v>
          </cell>
          <cell r="G3605">
            <v>594</v>
          </cell>
          <cell r="H3605" t="str">
            <v>CSCI-A594</v>
          </cell>
          <cell r="K3605" t="str">
            <v>Mills,Jonathan Wayne</v>
          </cell>
          <cell r="N3605" t="str">
            <v>NR</v>
          </cell>
          <cell r="O3605" t="str">
            <v>NR</v>
          </cell>
        </row>
        <row r="3606">
          <cell r="E3606" t="str">
            <v>CSCI</v>
          </cell>
          <cell r="F3606" t="str">
            <v>CSCI-A</v>
          </cell>
          <cell r="G3606">
            <v>594</v>
          </cell>
          <cell r="H3606" t="str">
            <v>CSCI-A594</v>
          </cell>
          <cell r="K3606" t="str">
            <v>Rawlins,Gregory J.e.</v>
          </cell>
          <cell r="N3606" t="str">
            <v>NR</v>
          </cell>
          <cell r="O3606" t="str">
            <v>NR</v>
          </cell>
        </row>
        <row r="3607">
          <cell r="E3607" t="str">
            <v>CSCI</v>
          </cell>
          <cell r="F3607" t="str">
            <v>CSCI-A</v>
          </cell>
          <cell r="G3607">
            <v>596</v>
          </cell>
          <cell r="H3607" t="str">
            <v>CSCI-A596</v>
          </cell>
          <cell r="K3607" t="str">
            <v>Friedman,Daniel P</v>
          </cell>
          <cell r="N3607" t="str">
            <v>NR</v>
          </cell>
          <cell r="O3607" t="str">
            <v>NR</v>
          </cell>
        </row>
        <row r="3608">
          <cell r="E3608" t="str">
            <v>CSCI</v>
          </cell>
          <cell r="F3608" t="str">
            <v>CSCI-A</v>
          </cell>
          <cell r="G3608">
            <v>597</v>
          </cell>
          <cell r="H3608" t="str">
            <v>CSCI-A597</v>
          </cell>
          <cell r="K3608" t="str">
            <v>Mutsuddi,Adity Upoma</v>
          </cell>
          <cell r="N3608" t="str">
            <v>NR</v>
          </cell>
          <cell r="O3608" t="str">
            <v>NR</v>
          </cell>
        </row>
        <row r="3609">
          <cell r="E3609" t="str">
            <v>CSCI</v>
          </cell>
          <cell r="F3609" t="str">
            <v>CSCI-A</v>
          </cell>
          <cell r="G3609">
            <v>597</v>
          </cell>
          <cell r="H3609" t="str">
            <v>CSCI-A597</v>
          </cell>
          <cell r="K3609" t="str">
            <v>Mutsuddi,Adity Upoma</v>
          </cell>
          <cell r="N3609" t="str">
            <v>NR</v>
          </cell>
          <cell r="O3609" t="str">
            <v>NR</v>
          </cell>
        </row>
        <row r="3610">
          <cell r="E3610" t="str">
            <v>CSCI</v>
          </cell>
          <cell r="F3610" t="str">
            <v>CSCI-B</v>
          </cell>
          <cell r="G3610">
            <v>351</v>
          </cell>
          <cell r="H3610" t="str">
            <v>CSCI-B351</v>
          </cell>
          <cell r="K3610" t="str">
            <v>Leake,David B.</v>
          </cell>
          <cell r="N3610">
            <v>2.843</v>
          </cell>
          <cell r="O3610">
            <v>3.2480000000000002</v>
          </cell>
        </row>
        <row r="3611">
          <cell r="E3611" t="str">
            <v>CSCI</v>
          </cell>
          <cell r="F3611" t="str">
            <v>CSCI-B</v>
          </cell>
          <cell r="G3611">
            <v>355</v>
          </cell>
          <cell r="H3611" t="str">
            <v>CSCI-B355</v>
          </cell>
          <cell r="K3611" t="str">
            <v>Beer,Randall D</v>
          </cell>
          <cell r="N3611">
            <v>3.153</v>
          </cell>
          <cell r="O3611">
            <v>3.2029999999999998</v>
          </cell>
        </row>
        <row r="3612">
          <cell r="E3612" t="str">
            <v>CSCI</v>
          </cell>
          <cell r="F3612" t="str">
            <v>CSCI-B</v>
          </cell>
          <cell r="G3612">
            <v>401</v>
          </cell>
          <cell r="H3612" t="str">
            <v>CSCI-B401</v>
          </cell>
          <cell r="K3612" t="str">
            <v>Chauhan,Arun</v>
          </cell>
          <cell r="N3612">
            <v>2.597</v>
          </cell>
          <cell r="O3612">
            <v>3.0459999999999998</v>
          </cell>
        </row>
        <row r="3613">
          <cell r="E3613" t="str">
            <v>CSCI</v>
          </cell>
          <cell r="F3613" t="str">
            <v>CSCI-B</v>
          </cell>
          <cell r="G3613">
            <v>401</v>
          </cell>
          <cell r="H3613" t="str">
            <v>CSCI-B401</v>
          </cell>
          <cell r="K3613" t="str">
            <v>Leivant,Daniel Maurice</v>
          </cell>
          <cell r="N3613">
            <v>2.8069999999999999</v>
          </cell>
          <cell r="O3613">
            <v>3.0979999999999999</v>
          </cell>
        </row>
        <row r="3614">
          <cell r="E3614" t="str">
            <v>CSCI</v>
          </cell>
          <cell r="F3614" t="str">
            <v>CSCI-B</v>
          </cell>
          <cell r="G3614">
            <v>443</v>
          </cell>
          <cell r="H3614" t="str">
            <v>CSCI-B443</v>
          </cell>
          <cell r="K3614" t="str">
            <v>Mills,Jonathan Wayne</v>
          </cell>
          <cell r="N3614">
            <v>3.5</v>
          </cell>
          <cell r="O3614">
            <v>3.1789999999999998</v>
          </cell>
        </row>
        <row r="3615">
          <cell r="E3615" t="str">
            <v>CSCI</v>
          </cell>
          <cell r="F3615" t="str">
            <v>CSCI-B</v>
          </cell>
          <cell r="G3615">
            <v>461</v>
          </cell>
          <cell r="H3615" t="str">
            <v>CSCI-B461</v>
          </cell>
          <cell r="K3615" t="str">
            <v>Van Gucht,Dirk</v>
          </cell>
          <cell r="N3615">
            <v>3.1760000000000002</v>
          </cell>
          <cell r="O3615">
            <v>3.1520000000000001</v>
          </cell>
        </row>
        <row r="3616">
          <cell r="E3616" t="str">
            <v>CSCI</v>
          </cell>
          <cell r="F3616" t="str">
            <v>CSCI-B</v>
          </cell>
          <cell r="G3616">
            <v>490</v>
          </cell>
          <cell r="H3616" t="str">
            <v>CSCI-B490</v>
          </cell>
          <cell r="K3616" t="str">
            <v>Gasser,Michael Edward</v>
          </cell>
          <cell r="N3616">
            <v>3.1</v>
          </cell>
          <cell r="O3616">
            <v>3.109</v>
          </cell>
        </row>
        <row r="3617">
          <cell r="E3617" t="str">
            <v>CSCI</v>
          </cell>
          <cell r="F3617" t="str">
            <v>CSCI-B</v>
          </cell>
          <cell r="G3617">
            <v>490</v>
          </cell>
          <cell r="H3617" t="str">
            <v>CSCI-B490</v>
          </cell>
          <cell r="K3617" t="str">
            <v>Rudnick,Alexander James</v>
          </cell>
          <cell r="N3617">
            <v>3.5230000000000001</v>
          </cell>
          <cell r="O3617">
            <v>3.0790000000000002</v>
          </cell>
        </row>
        <row r="3618">
          <cell r="E3618" t="str">
            <v>CSCI</v>
          </cell>
          <cell r="F3618" t="str">
            <v>CSCI-B</v>
          </cell>
          <cell r="G3618">
            <v>501</v>
          </cell>
          <cell r="H3618" t="str">
            <v>CSCI-B501</v>
          </cell>
          <cell r="K3618" t="str">
            <v>Van Gucht,Dirk</v>
          </cell>
          <cell r="N3618">
            <v>3.2149999999999999</v>
          </cell>
          <cell r="O3618">
            <v>3.3580000000000001</v>
          </cell>
        </row>
        <row r="3619">
          <cell r="E3619" t="str">
            <v>CSCI</v>
          </cell>
          <cell r="F3619" t="str">
            <v>CSCI-B</v>
          </cell>
          <cell r="G3619">
            <v>501</v>
          </cell>
          <cell r="H3619" t="str">
            <v>CSCI-B501</v>
          </cell>
          <cell r="K3619" t="str">
            <v>Van Gucht,Dirk</v>
          </cell>
          <cell r="N3619">
            <v>3.1869999999999998</v>
          </cell>
          <cell r="O3619">
            <v>3.1960000000000002</v>
          </cell>
        </row>
        <row r="3620">
          <cell r="E3620" t="str">
            <v>CSCI</v>
          </cell>
          <cell r="F3620" t="str">
            <v>CSCI-B</v>
          </cell>
          <cell r="G3620">
            <v>501</v>
          </cell>
          <cell r="H3620" t="str">
            <v>CSCI-B501</v>
          </cell>
          <cell r="K3620" t="str">
            <v>Van Gucht,Dirk</v>
          </cell>
          <cell r="N3620">
            <v>3.27</v>
          </cell>
          <cell r="O3620">
            <v>3.34</v>
          </cell>
        </row>
        <row r="3621">
          <cell r="E3621" t="str">
            <v>CSCI</v>
          </cell>
          <cell r="F3621" t="str">
            <v>CSCI-B</v>
          </cell>
          <cell r="G3621">
            <v>501</v>
          </cell>
          <cell r="H3621" t="str">
            <v>CSCI-B501</v>
          </cell>
          <cell r="K3621" t="str">
            <v>Van Gucht,Dirk</v>
          </cell>
          <cell r="N3621">
            <v>3.3119999999999998</v>
          </cell>
          <cell r="O3621">
            <v>3.2210000000000001</v>
          </cell>
        </row>
        <row r="3622">
          <cell r="E3622" t="str">
            <v>CSCI</v>
          </cell>
          <cell r="F3622" t="str">
            <v>CSCI-B</v>
          </cell>
          <cell r="G3622">
            <v>502</v>
          </cell>
          <cell r="H3622" t="str">
            <v>CSCI-B502</v>
          </cell>
          <cell r="K3622" t="str">
            <v>Myers,Steven Andrew</v>
          </cell>
          <cell r="N3622">
            <v>3.34</v>
          </cell>
          <cell r="O3622">
            <v>3.488</v>
          </cell>
        </row>
        <row r="3623">
          <cell r="E3623" t="str">
            <v>CSCI</v>
          </cell>
          <cell r="F3623" t="str">
            <v>CSCI-B</v>
          </cell>
          <cell r="G3623">
            <v>503</v>
          </cell>
          <cell r="H3623" t="str">
            <v>CSCI-B503</v>
          </cell>
          <cell r="K3623" t="str">
            <v>Purdom Jr,Paul W.</v>
          </cell>
          <cell r="N3623">
            <v>3.43</v>
          </cell>
          <cell r="O3623">
            <v>3.2829999999999999</v>
          </cell>
        </row>
        <row r="3624">
          <cell r="E3624" t="str">
            <v>CSCI</v>
          </cell>
          <cell r="F3624" t="str">
            <v>CSCI-B</v>
          </cell>
          <cell r="G3624">
            <v>503</v>
          </cell>
          <cell r="H3624" t="str">
            <v>CSCI-B503</v>
          </cell>
          <cell r="K3624" t="str">
            <v>Purdom Jr,Paul W.</v>
          </cell>
          <cell r="N3624">
            <v>3.2919999999999998</v>
          </cell>
          <cell r="O3624">
            <v>3.3719999999999999</v>
          </cell>
        </row>
        <row r="3625">
          <cell r="E3625" t="str">
            <v>CSCI</v>
          </cell>
          <cell r="F3625" t="str">
            <v>CSCI-B</v>
          </cell>
          <cell r="G3625">
            <v>510</v>
          </cell>
          <cell r="H3625" t="str">
            <v>CSCI-B510</v>
          </cell>
          <cell r="K3625" t="str">
            <v>Leivant,Daniel Maurice</v>
          </cell>
          <cell r="N3625">
            <v>3.5139999999999998</v>
          </cell>
          <cell r="O3625">
            <v>3.6120000000000001</v>
          </cell>
        </row>
        <row r="3626">
          <cell r="E3626" t="str">
            <v>CSCI</v>
          </cell>
          <cell r="F3626" t="str">
            <v>CSCI-B</v>
          </cell>
          <cell r="G3626">
            <v>521</v>
          </cell>
          <cell r="H3626" t="str">
            <v>CSCI-B521</v>
          </cell>
          <cell r="K3626" t="str">
            <v>Friedman,Daniel P</v>
          </cell>
          <cell r="N3626">
            <v>3.6360000000000001</v>
          </cell>
          <cell r="O3626">
            <v>3.5649999999999999</v>
          </cell>
        </row>
        <row r="3627">
          <cell r="E3627" t="str">
            <v>CSCI</v>
          </cell>
          <cell r="F3627" t="str">
            <v>CSCI-B</v>
          </cell>
          <cell r="G3627">
            <v>522</v>
          </cell>
          <cell r="H3627" t="str">
            <v>CSCI-B522</v>
          </cell>
          <cell r="K3627" t="str">
            <v>Sabry,Amr A.</v>
          </cell>
          <cell r="N3627">
            <v>3.54</v>
          </cell>
          <cell r="O3627">
            <v>3.548</v>
          </cell>
        </row>
        <row r="3628">
          <cell r="E3628" t="str">
            <v>CSCI</v>
          </cell>
          <cell r="F3628" t="str">
            <v>CSCI-B</v>
          </cell>
          <cell r="G3628">
            <v>524</v>
          </cell>
          <cell r="H3628" t="str">
            <v>CSCI-B524</v>
          </cell>
          <cell r="K3628" t="str">
            <v>Lumsdaine,Andrew</v>
          </cell>
          <cell r="N3628">
            <v>3.556</v>
          </cell>
          <cell r="O3628">
            <v>3.6040000000000001</v>
          </cell>
        </row>
        <row r="3629">
          <cell r="E3629" t="str">
            <v>CSCI</v>
          </cell>
          <cell r="F3629" t="str">
            <v>CSCI-B</v>
          </cell>
          <cell r="G3629">
            <v>534</v>
          </cell>
          <cell r="H3629" t="str">
            <v>CSCI-B534</v>
          </cell>
          <cell r="K3629" t="str">
            <v>Qiu,Judy</v>
          </cell>
          <cell r="N3629">
            <v>3.6259999999999999</v>
          </cell>
          <cell r="O3629">
            <v>3.3769999999999998</v>
          </cell>
        </row>
        <row r="3630">
          <cell r="E3630" t="str">
            <v>CSCI</v>
          </cell>
          <cell r="F3630" t="str">
            <v>CSCI-B</v>
          </cell>
          <cell r="G3630">
            <v>534</v>
          </cell>
          <cell r="H3630" t="str">
            <v>CSCI-B534</v>
          </cell>
          <cell r="K3630" t="str">
            <v>Qiu,Judy</v>
          </cell>
          <cell r="N3630">
            <v>3.8</v>
          </cell>
          <cell r="O3630">
            <v>3.4089999999999998</v>
          </cell>
        </row>
        <row r="3631">
          <cell r="E3631" t="str">
            <v>CSCI</v>
          </cell>
          <cell r="F3631" t="str">
            <v>CSCI-B</v>
          </cell>
          <cell r="G3631">
            <v>551</v>
          </cell>
          <cell r="H3631" t="str">
            <v>CSCI-B551</v>
          </cell>
          <cell r="K3631" t="str">
            <v>Hauser,Kris</v>
          </cell>
          <cell r="N3631">
            <v>3.4350000000000001</v>
          </cell>
          <cell r="O3631">
            <v>3.464</v>
          </cell>
        </row>
        <row r="3632">
          <cell r="E3632" t="str">
            <v>CSCI</v>
          </cell>
          <cell r="F3632" t="str">
            <v>CSCI-B</v>
          </cell>
          <cell r="G3632">
            <v>552</v>
          </cell>
          <cell r="H3632" t="str">
            <v>CSCI-B552</v>
          </cell>
          <cell r="K3632" t="str">
            <v>Leake,David B.</v>
          </cell>
          <cell r="N3632">
            <v>3.6789999999999998</v>
          </cell>
          <cell r="O3632">
            <v>3.5489999999999999</v>
          </cell>
        </row>
        <row r="3633">
          <cell r="E3633" t="str">
            <v>CSCI</v>
          </cell>
          <cell r="F3633" t="str">
            <v>CSCI-B</v>
          </cell>
          <cell r="G3633">
            <v>553</v>
          </cell>
          <cell r="H3633" t="str">
            <v>CSCI-B553</v>
          </cell>
          <cell r="K3633" t="str">
            <v>Hauser,Kris</v>
          </cell>
          <cell r="N3633">
            <v>3.633</v>
          </cell>
          <cell r="O3633">
            <v>3.7589999999999999</v>
          </cell>
        </row>
        <row r="3634">
          <cell r="E3634" t="str">
            <v>CSCI</v>
          </cell>
          <cell r="F3634" t="str">
            <v>CSCI-B</v>
          </cell>
          <cell r="G3634">
            <v>561</v>
          </cell>
          <cell r="H3634" t="str">
            <v>CSCI-B561</v>
          </cell>
          <cell r="K3634" t="str">
            <v>Wu,Yuqing</v>
          </cell>
          <cell r="N3634">
            <v>3.5169999999999999</v>
          </cell>
          <cell r="O3634">
            <v>3.4209999999999998</v>
          </cell>
        </row>
        <row r="3635">
          <cell r="E3635" t="str">
            <v>CSCI</v>
          </cell>
          <cell r="F3635" t="str">
            <v>CSCI-B</v>
          </cell>
          <cell r="G3635">
            <v>561</v>
          </cell>
          <cell r="H3635" t="str">
            <v>CSCI-B561</v>
          </cell>
          <cell r="K3635" t="str">
            <v>Wu,Yuqing</v>
          </cell>
          <cell r="N3635">
            <v>3.4079999999999999</v>
          </cell>
          <cell r="O3635">
            <v>3.218</v>
          </cell>
        </row>
        <row r="3636">
          <cell r="E3636" t="str">
            <v>CSCI</v>
          </cell>
          <cell r="F3636" t="str">
            <v>CSCI-B</v>
          </cell>
          <cell r="G3636">
            <v>565</v>
          </cell>
          <cell r="H3636" t="str">
            <v>CSCI-B565</v>
          </cell>
          <cell r="K3636" t="str">
            <v>Dalkilic,Mehmet M.</v>
          </cell>
          <cell r="N3636">
            <v>3.371</v>
          </cell>
          <cell r="O3636">
            <v>3.508</v>
          </cell>
        </row>
        <row r="3637">
          <cell r="E3637" t="str">
            <v>CSCI</v>
          </cell>
          <cell r="F3637" t="str">
            <v>CSCI-B</v>
          </cell>
          <cell r="G3637">
            <v>565</v>
          </cell>
          <cell r="H3637" t="str">
            <v>CSCI-B565</v>
          </cell>
          <cell r="K3637" t="str">
            <v>Dalkilic,Mehmet M.</v>
          </cell>
          <cell r="N3637">
            <v>3.4180000000000001</v>
          </cell>
          <cell r="O3637">
            <v>3.5859999999999999</v>
          </cell>
        </row>
        <row r="3638">
          <cell r="E3638" t="str">
            <v>CSCI</v>
          </cell>
          <cell r="F3638" t="str">
            <v>CSCI-B</v>
          </cell>
          <cell r="G3638">
            <v>609</v>
          </cell>
          <cell r="H3638" t="str">
            <v>CSCI-B609</v>
          </cell>
          <cell r="K3638" t="str">
            <v>Dalkilic,Mehmet M.</v>
          </cell>
          <cell r="N3638">
            <v>3.5390000000000001</v>
          </cell>
          <cell r="O3638">
            <v>3.415</v>
          </cell>
        </row>
        <row r="3639">
          <cell r="E3639" t="str">
            <v>CSCI</v>
          </cell>
          <cell r="F3639" t="str">
            <v>CSCI-B</v>
          </cell>
          <cell r="G3639">
            <v>621</v>
          </cell>
          <cell r="H3639" t="str">
            <v>CSCI-B621</v>
          </cell>
          <cell r="K3639" t="str">
            <v>Friedman,Daniel P</v>
          </cell>
          <cell r="N3639">
            <v>4</v>
          </cell>
          <cell r="O3639">
            <v>3.7570000000000001</v>
          </cell>
        </row>
        <row r="3640">
          <cell r="E3640" t="str">
            <v>CSCI</v>
          </cell>
          <cell r="F3640" t="str">
            <v>CSCI-B</v>
          </cell>
          <cell r="G3640">
            <v>629</v>
          </cell>
          <cell r="H3640" t="str">
            <v>CSCI-B629</v>
          </cell>
          <cell r="K3640" t="str">
            <v>Newton,Ryan Rhodes</v>
          </cell>
          <cell r="N3640" t="str">
            <v>NR</v>
          </cell>
          <cell r="O3640" t="str">
            <v>NR</v>
          </cell>
        </row>
        <row r="3641">
          <cell r="E3641" t="str">
            <v>CSCI</v>
          </cell>
          <cell r="F3641" t="str">
            <v>CSCI-B</v>
          </cell>
          <cell r="G3641">
            <v>629</v>
          </cell>
          <cell r="H3641" t="str">
            <v>CSCI-B629</v>
          </cell>
          <cell r="K3641" t="str">
            <v>Sabry,Amr A.</v>
          </cell>
          <cell r="N3641" t="str">
            <v>NR</v>
          </cell>
          <cell r="O3641" t="str">
            <v>NR</v>
          </cell>
        </row>
        <row r="3642">
          <cell r="E3642" t="str">
            <v>CSCI</v>
          </cell>
          <cell r="F3642" t="str">
            <v>CSCI-B</v>
          </cell>
          <cell r="G3642">
            <v>649</v>
          </cell>
          <cell r="H3642" t="str">
            <v>CSCI-B649</v>
          </cell>
          <cell r="K3642" t="str">
            <v>Chauhan,Arun</v>
          </cell>
          <cell r="N3642">
            <v>3.0670000000000002</v>
          </cell>
          <cell r="O3642">
            <v>3.2909999999999999</v>
          </cell>
        </row>
        <row r="3643">
          <cell r="E3643" t="str">
            <v>CSCI</v>
          </cell>
          <cell r="F3643" t="str">
            <v>CSCI-B</v>
          </cell>
          <cell r="G3643">
            <v>649</v>
          </cell>
          <cell r="H3643" t="str">
            <v>CSCI-B649</v>
          </cell>
          <cell r="K3643" t="str">
            <v>Gupta,Minaxi</v>
          </cell>
          <cell r="N3643">
            <v>3.5</v>
          </cell>
          <cell r="O3643">
            <v>3.59</v>
          </cell>
        </row>
        <row r="3644">
          <cell r="E3644" t="str">
            <v>CSCI</v>
          </cell>
          <cell r="F3644" t="str">
            <v>CSCI-B</v>
          </cell>
          <cell r="G3644">
            <v>649</v>
          </cell>
          <cell r="H3644" t="str">
            <v>CSCI-B649</v>
          </cell>
          <cell r="K3644" t="str">
            <v>Kapadia,Apu Chandrasen</v>
          </cell>
          <cell r="N3644">
            <v>3.464</v>
          </cell>
          <cell r="O3644">
            <v>3.3980000000000001</v>
          </cell>
        </row>
        <row r="3645">
          <cell r="E3645" t="str">
            <v>CSCI</v>
          </cell>
          <cell r="F3645" t="str">
            <v>CSCI-B</v>
          </cell>
          <cell r="G3645">
            <v>649</v>
          </cell>
          <cell r="H3645" t="str">
            <v>CSCI-B649</v>
          </cell>
          <cell r="K3645" t="str">
            <v>Myers,Steven Andrew</v>
          </cell>
          <cell r="N3645">
            <v>3.44</v>
          </cell>
          <cell r="O3645">
            <v>3.3860000000000001</v>
          </cell>
        </row>
        <row r="3646">
          <cell r="E3646" t="str">
            <v>CSCI</v>
          </cell>
          <cell r="F3646" t="str">
            <v>CSCI-B</v>
          </cell>
          <cell r="G3646">
            <v>649</v>
          </cell>
          <cell r="H3646" t="str">
            <v>CSCI-B649</v>
          </cell>
          <cell r="K3646" t="str">
            <v>Swany,Martin</v>
          </cell>
          <cell r="N3646">
            <v>3.972</v>
          </cell>
          <cell r="O3646">
            <v>3.5859999999999999</v>
          </cell>
        </row>
        <row r="3647">
          <cell r="E3647" t="str">
            <v>CSCI</v>
          </cell>
          <cell r="F3647" t="str">
            <v>CSCI-B</v>
          </cell>
          <cell r="G3647">
            <v>649</v>
          </cell>
          <cell r="H3647" t="str">
            <v>CSCI-B649</v>
          </cell>
          <cell r="K3647" t="str">
            <v>Swany,Martin</v>
          </cell>
          <cell r="N3647">
            <v>3.9710000000000001</v>
          </cell>
          <cell r="O3647">
            <v>3.6320000000000001</v>
          </cell>
        </row>
        <row r="3648">
          <cell r="E3648" t="str">
            <v>CSCI</v>
          </cell>
          <cell r="F3648" t="str">
            <v>CSCI-B</v>
          </cell>
          <cell r="G3648">
            <v>651</v>
          </cell>
          <cell r="H3648" t="str">
            <v>CSCI-B651</v>
          </cell>
          <cell r="K3648" t="str">
            <v>Gasser,Michael Edward</v>
          </cell>
          <cell r="N3648">
            <v>3.7890000000000001</v>
          </cell>
          <cell r="O3648">
            <v>3.653</v>
          </cell>
        </row>
        <row r="3649">
          <cell r="E3649" t="str">
            <v>CSCI</v>
          </cell>
          <cell r="F3649" t="str">
            <v>CSCI-B</v>
          </cell>
          <cell r="G3649">
            <v>656</v>
          </cell>
          <cell r="H3649" t="str">
            <v>CSCI-B656</v>
          </cell>
          <cell r="K3649" t="str">
            <v>Menczer,Filippo</v>
          </cell>
          <cell r="N3649">
            <v>2.85</v>
          </cell>
          <cell r="O3649">
            <v>3.43</v>
          </cell>
        </row>
        <row r="3650">
          <cell r="E3650" t="str">
            <v>CSCI</v>
          </cell>
          <cell r="F3650" t="str">
            <v>CSCI-B</v>
          </cell>
          <cell r="G3650">
            <v>657</v>
          </cell>
          <cell r="H3650" t="str">
            <v>CSCI-B657</v>
          </cell>
          <cell r="K3650" t="str">
            <v>Crandall,David</v>
          </cell>
          <cell r="N3650">
            <v>3.6190000000000002</v>
          </cell>
          <cell r="O3650">
            <v>3.5750000000000002</v>
          </cell>
        </row>
        <row r="3651">
          <cell r="E3651" t="str">
            <v>CSCI</v>
          </cell>
          <cell r="F3651" t="str">
            <v>CSCI-B</v>
          </cell>
          <cell r="G3651">
            <v>657</v>
          </cell>
          <cell r="H3651" t="str">
            <v>CSCI-B657</v>
          </cell>
          <cell r="K3651" t="str">
            <v>Yu,Chen</v>
          </cell>
          <cell r="N3651">
            <v>3.7080000000000002</v>
          </cell>
          <cell r="O3651">
            <v>3.145</v>
          </cell>
        </row>
        <row r="3652">
          <cell r="E3652" t="str">
            <v>CSCI</v>
          </cell>
          <cell r="F3652" t="str">
            <v>CSCI-B</v>
          </cell>
          <cell r="G3652">
            <v>659</v>
          </cell>
          <cell r="H3652" t="str">
            <v>CSCI-B659</v>
          </cell>
          <cell r="K3652" t="str">
            <v>Kuebler,Sandra Claudia</v>
          </cell>
          <cell r="N3652" t="str">
            <v>NR</v>
          </cell>
          <cell r="O3652" t="str">
            <v>NR</v>
          </cell>
        </row>
        <row r="3653">
          <cell r="E3653" t="str">
            <v>CSCI</v>
          </cell>
          <cell r="F3653" t="str">
            <v>CSCI-B</v>
          </cell>
          <cell r="G3653">
            <v>659</v>
          </cell>
          <cell r="H3653" t="str">
            <v>CSCI-B659</v>
          </cell>
          <cell r="K3653" t="str">
            <v>Raphael,Christopher S.</v>
          </cell>
          <cell r="N3653" t="str">
            <v>NR</v>
          </cell>
          <cell r="O3653" t="str">
            <v>NR</v>
          </cell>
        </row>
        <row r="3654">
          <cell r="E3654" t="str">
            <v>CSCI</v>
          </cell>
          <cell r="F3654" t="str">
            <v>CSCI-B</v>
          </cell>
          <cell r="G3654">
            <v>669</v>
          </cell>
          <cell r="H3654" t="str">
            <v>CSCI-B669</v>
          </cell>
          <cell r="K3654" t="str">
            <v>Van Gucht,Dirk</v>
          </cell>
          <cell r="N3654">
            <v>3.53</v>
          </cell>
          <cell r="O3654">
            <v>3.4529999999999998</v>
          </cell>
        </row>
        <row r="3655">
          <cell r="E3655" t="str">
            <v>CSCI</v>
          </cell>
          <cell r="F3655" t="str">
            <v>CSCI-B</v>
          </cell>
          <cell r="G3655">
            <v>673</v>
          </cell>
          <cell r="H3655" t="str">
            <v>CSCI-B673</v>
          </cell>
          <cell r="K3655" t="str">
            <v>Bramley,Randall Barry</v>
          </cell>
          <cell r="N3655">
            <v>3.7890000000000001</v>
          </cell>
          <cell r="O3655">
            <v>3.4329999999999998</v>
          </cell>
        </row>
        <row r="3656">
          <cell r="E3656" t="str">
            <v>CSCI</v>
          </cell>
          <cell r="F3656" t="str">
            <v>CSCI-B</v>
          </cell>
          <cell r="G3656">
            <v>689</v>
          </cell>
          <cell r="H3656" t="str">
            <v>CSCI-B689</v>
          </cell>
          <cell r="K3656" t="str">
            <v>Hanson,Andrew J.</v>
          </cell>
          <cell r="N3656">
            <v>3.956</v>
          </cell>
          <cell r="O3656">
            <v>3.4689999999999999</v>
          </cell>
        </row>
        <row r="3657">
          <cell r="E3657" t="str">
            <v>CSCI</v>
          </cell>
          <cell r="F3657" t="str">
            <v>CSCI-C</v>
          </cell>
          <cell r="G3657">
            <v>211</v>
          </cell>
          <cell r="H3657" t="str">
            <v>CSCI-C211</v>
          </cell>
          <cell r="K3657" t="str">
            <v>Menzel,Suzanne</v>
          </cell>
          <cell r="N3657">
            <v>2.7229999999999999</v>
          </cell>
          <cell r="O3657">
            <v>2.754</v>
          </cell>
        </row>
        <row r="3658">
          <cell r="E3658" t="str">
            <v>CSCI</v>
          </cell>
          <cell r="F3658" t="str">
            <v>CSCI-C</v>
          </cell>
          <cell r="G3658">
            <v>211</v>
          </cell>
          <cell r="H3658" t="str">
            <v>CSCI-C211</v>
          </cell>
          <cell r="K3658" t="str">
            <v>Menzel,Suzanne</v>
          </cell>
          <cell r="N3658">
            <v>3.1880000000000002</v>
          </cell>
          <cell r="O3658">
            <v>3.024</v>
          </cell>
        </row>
        <row r="3659">
          <cell r="E3659" t="str">
            <v>CSCI</v>
          </cell>
          <cell r="F3659" t="str">
            <v>CSCI-C</v>
          </cell>
          <cell r="G3659">
            <v>211</v>
          </cell>
          <cell r="H3659" t="str">
            <v>CSCI-C211</v>
          </cell>
          <cell r="K3659" t="str">
            <v>Menzel,Suzanne</v>
          </cell>
          <cell r="N3659">
            <v>2.512</v>
          </cell>
          <cell r="O3659">
            <v>2.7480000000000002</v>
          </cell>
        </row>
        <row r="3660">
          <cell r="E3660" t="str">
            <v>CSCI</v>
          </cell>
          <cell r="F3660" t="str">
            <v>CSCI-C</v>
          </cell>
          <cell r="G3660">
            <v>211</v>
          </cell>
          <cell r="H3660" t="str">
            <v>CSCI-C211</v>
          </cell>
          <cell r="K3660" t="str">
            <v>Menzel,Suzanne</v>
          </cell>
          <cell r="N3660">
            <v>2.6720000000000002</v>
          </cell>
          <cell r="O3660">
            <v>2.831</v>
          </cell>
        </row>
        <row r="3661">
          <cell r="E3661" t="str">
            <v>CSCI</v>
          </cell>
          <cell r="F3661" t="str">
            <v>CSCI-C</v>
          </cell>
          <cell r="G3661">
            <v>211</v>
          </cell>
          <cell r="H3661" t="str">
            <v>CSCI-C211</v>
          </cell>
          <cell r="K3661" t="str">
            <v>Sabry,Amr A.</v>
          </cell>
          <cell r="N3661">
            <v>2.3759999999999999</v>
          </cell>
          <cell r="O3661">
            <v>2.7360000000000002</v>
          </cell>
        </row>
        <row r="3662">
          <cell r="E3662" t="str">
            <v>CSCI</v>
          </cell>
          <cell r="F3662" t="str">
            <v>CSCI-C</v>
          </cell>
          <cell r="G3662">
            <v>212</v>
          </cell>
          <cell r="H3662" t="str">
            <v>CSCI-C212</v>
          </cell>
          <cell r="K3662" t="str">
            <v>German,Dan-Adrian</v>
          </cell>
          <cell r="N3662">
            <v>3.5470000000000002</v>
          </cell>
          <cell r="O3662">
            <v>3.089</v>
          </cell>
        </row>
        <row r="3663">
          <cell r="E3663" t="str">
            <v>CSCI</v>
          </cell>
          <cell r="F3663" t="str">
            <v>CSCI-C</v>
          </cell>
          <cell r="G3663">
            <v>212</v>
          </cell>
          <cell r="H3663" t="str">
            <v>CSCI-C212</v>
          </cell>
          <cell r="K3663" t="str">
            <v>German,Dan-Adrian</v>
          </cell>
          <cell r="N3663">
            <v>2.7669999999999999</v>
          </cell>
          <cell r="O3663">
            <v>3.02</v>
          </cell>
        </row>
        <row r="3664">
          <cell r="E3664" t="str">
            <v>CSCI</v>
          </cell>
          <cell r="F3664" t="str">
            <v>CSCI-C</v>
          </cell>
          <cell r="G3664">
            <v>212</v>
          </cell>
          <cell r="H3664" t="str">
            <v>CSCI-C212</v>
          </cell>
          <cell r="K3664" t="str">
            <v>German,Dan-Adrian</v>
          </cell>
          <cell r="N3664">
            <v>2.6920000000000002</v>
          </cell>
          <cell r="O3664">
            <v>3.0009999999999999</v>
          </cell>
        </row>
        <row r="3665">
          <cell r="E3665" t="str">
            <v>CSCI</v>
          </cell>
          <cell r="F3665" t="str">
            <v>CSCI-C</v>
          </cell>
          <cell r="G3665">
            <v>241</v>
          </cell>
          <cell r="H3665" t="str">
            <v>CSCI-C241</v>
          </cell>
          <cell r="K3665" t="str">
            <v>Haghverdi,Esfandiar</v>
          </cell>
          <cell r="N3665">
            <v>2.89</v>
          </cell>
          <cell r="O3665">
            <v>3.1080000000000001</v>
          </cell>
        </row>
        <row r="3666">
          <cell r="E3666" t="str">
            <v>CSCI</v>
          </cell>
          <cell r="F3666" t="str">
            <v>CSCI-C</v>
          </cell>
          <cell r="G3666">
            <v>241</v>
          </cell>
          <cell r="H3666" t="str">
            <v>CSCI-C241</v>
          </cell>
          <cell r="K3666" t="str">
            <v>Johnson,Steven D.</v>
          </cell>
          <cell r="N3666">
            <v>2.722</v>
          </cell>
          <cell r="O3666">
            <v>3.194</v>
          </cell>
        </row>
        <row r="3667">
          <cell r="E3667" t="str">
            <v>CSCI</v>
          </cell>
          <cell r="F3667" t="str">
            <v>CSCI-C</v>
          </cell>
          <cell r="G3667">
            <v>311</v>
          </cell>
          <cell r="H3667" t="str">
            <v>CSCI-C311</v>
          </cell>
          <cell r="K3667" t="str">
            <v>Friedman,Daniel P</v>
          </cell>
          <cell r="N3667">
            <v>2.7360000000000002</v>
          </cell>
          <cell r="O3667">
            <v>2.97</v>
          </cell>
        </row>
        <row r="3668">
          <cell r="E3668" t="str">
            <v>CSCI</v>
          </cell>
          <cell r="F3668" t="str">
            <v>CSCI-C</v>
          </cell>
          <cell r="G3668">
            <v>311</v>
          </cell>
          <cell r="H3668" t="str">
            <v>CSCI-C311</v>
          </cell>
          <cell r="K3668" t="str">
            <v>Friedman,Daniel P</v>
          </cell>
          <cell r="N3668">
            <v>2.75</v>
          </cell>
          <cell r="O3668">
            <v>3.177</v>
          </cell>
        </row>
        <row r="3669">
          <cell r="E3669" t="str">
            <v>CSCI</v>
          </cell>
          <cell r="F3669" t="str">
            <v>CSCI-C</v>
          </cell>
          <cell r="G3669">
            <v>335</v>
          </cell>
          <cell r="H3669" t="str">
            <v>CSCI-C335</v>
          </cell>
          <cell r="K3669" t="str">
            <v>Brown,Geoffrey Morris</v>
          </cell>
          <cell r="N3669">
            <v>3.0529999999999999</v>
          </cell>
          <cell r="O3669">
            <v>3.278</v>
          </cell>
        </row>
        <row r="3670">
          <cell r="E3670" t="str">
            <v>CSCI</v>
          </cell>
          <cell r="F3670" t="str">
            <v>CSCI-C</v>
          </cell>
          <cell r="G3670">
            <v>335</v>
          </cell>
          <cell r="H3670" t="str">
            <v>CSCI-C335</v>
          </cell>
          <cell r="K3670" t="str">
            <v>Kovitz,Ben Louis</v>
          </cell>
          <cell r="N3670">
            <v>2.8559999999999999</v>
          </cell>
          <cell r="O3670">
            <v>3.23</v>
          </cell>
        </row>
        <row r="3671">
          <cell r="E3671" t="str">
            <v>CSCI</v>
          </cell>
          <cell r="F3671" t="str">
            <v>CSCI-C</v>
          </cell>
          <cell r="G3671">
            <v>343</v>
          </cell>
          <cell r="H3671" t="str">
            <v>CSCI-C343</v>
          </cell>
          <cell r="K3671" t="str">
            <v>Mills,Jonathan Wayne</v>
          </cell>
          <cell r="N3671">
            <v>3.7509999999999999</v>
          </cell>
          <cell r="O3671">
            <v>3.1560000000000001</v>
          </cell>
        </row>
        <row r="3672">
          <cell r="E3672" t="str">
            <v>CSCI</v>
          </cell>
          <cell r="F3672" t="str">
            <v>CSCI-C</v>
          </cell>
          <cell r="G3672">
            <v>343</v>
          </cell>
          <cell r="H3672" t="str">
            <v>CSCI-C343</v>
          </cell>
          <cell r="K3672" t="str">
            <v>Rawlins,Gregory J.e.</v>
          </cell>
          <cell r="N3672">
            <v>2.6539999999999999</v>
          </cell>
          <cell r="O3672">
            <v>3.117</v>
          </cell>
        </row>
        <row r="3673">
          <cell r="E3673" t="str">
            <v>CSCI</v>
          </cell>
          <cell r="F3673" t="str">
            <v>CSCI-G</v>
          </cell>
          <cell r="G3673">
            <v>901</v>
          </cell>
          <cell r="H3673" t="str">
            <v>CSCI-G901</v>
          </cell>
          <cell r="K3673" t="str">
            <v>Radivojac,Predrag</v>
          </cell>
          <cell r="N3673" t="str">
            <v>NR</v>
          </cell>
          <cell r="O3673" t="str">
            <v>NR</v>
          </cell>
        </row>
        <row r="3674">
          <cell r="E3674" t="str">
            <v>CSCI</v>
          </cell>
          <cell r="F3674" t="str">
            <v>CSCI-G</v>
          </cell>
          <cell r="G3674">
            <v>901</v>
          </cell>
          <cell r="H3674" t="str">
            <v>CSCI-G901</v>
          </cell>
          <cell r="K3674" t="str">
            <v>Wu,Yuqing</v>
          </cell>
          <cell r="N3674" t="str">
            <v>NR</v>
          </cell>
          <cell r="O3674" t="str">
            <v>NR</v>
          </cell>
        </row>
        <row r="3675">
          <cell r="E3675" t="str">
            <v>CSCI</v>
          </cell>
          <cell r="F3675" t="str">
            <v>CSCI-H</v>
          </cell>
          <cell r="G3675">
            <v>211</v>
          </cell>
          <cell r="H3675" t="str">
            <v>CSCI-H211</v>
          </cell>
          <cell r="K3675" t="str">
            <v>Raphael,Christopher S.</v>
          </cell>
          <cell r="N3675">
            <v>3.7930000000000001</v>
          </cell>
          <cell r="O3675">
            <v>3.7389999999999999</v>
          </cell>
        </row>
        <row r="3676">
          <cell r="E3676" t="str">
            <v>CSCI</v>
          </cell>
          <cell r="F3676" t="str">
            <v>CSCI-H</v>
          </cell>
          <cell r="G3676">
            <v>212</v>
          </cell>
          <cell r="H3676" t="str">
            <v>CSCI-H212</v>
          </cell>
          <cell r="K3676" t="str">
            <v>German,Dan-Adrian</v>
          </cell>
          <cell r="N3676">
            <v>3.7949999999999999</v>
          </cell>
          <cell r="O3676">
            <v>3.4689999999999999</v>
          </cell>
        </row>
        <row r="3677">
          <cell r="E3677" t="str">
            <v>CSCI</v>
          </cell>
          <cell r="F3677" t="str">
            <v>CSCI-H</v>
          </cell>
          <cell r="G3677">
            <v>241</v>
          </cell>
          <cell r="H3677" t="str">
            <v>CSCI-H241</v>
          </cell>
          <cell r="K3677" t="str">
            <v>Johnson,Steven D.</v>
          </cell>
          <cell r="N3677">
            <v>3.1539999999999999</v>
          </cell>
          <cell r="O3677">
            <v>3.5390000000000001</v>
          </cell>
        </row>
        <row r="3678">
          <cell r="E3678" t="str">
            <v>CSCI</v>
          </cell>
          <cell r="F3678" t="str">
            <v>CSCI-H</v>
          </cell>
          <cell r="G3678">
            <v>311</v>
          </cell>
          <cell r="H3678" t="str">
            <v>CSCI-H311</v>
          </cell>
          <cell r="K3678" t="str">
            <v>Friedman,Daniel P</v>
          </cell>
          <cell r="N3678">
            <v>3.7</v>
          </cell>
          <cell r="O3678">
            <v>3.6549999999999998</v>
          </cell>
        </row>
        <row r="3679">
          <cell r="E3679" t="str">
            <v>CSCI</v>
          </cell>
          <cell r="F3679" t="str">
            <v>CSCI-H</v>
          </cell>
          <cell r="G3679">
            <v>335</v>
          </cell>
          <cell r="H3679" t="str">
            <v>CSCI-H335</v>
          </cell>
          <cell r="K3679" t="str">
            <v>Brown,Geoffrey Morris</v>
          </cell>
          <cell r="N3679" t="str">
            <v>NR</v>
          </cell>
          <cell r="O3679" t="str">
            <v>NR</v>
          </cell>
        </row>
        <row r="3680">
          <cell r="E3680" t="str">
            <v>CSCI</v>
          </cell>
          <cell r="F3680" t="str">
            <v>CSCI-H</v>
          </cell>
          <cell r="G3680">
            <v>343</v>
          </cell>
          <cell r="H3680" t="str">
            <v>CSCI-H343</v>
          </cell>
          <cell r="K3680" t="str">
            <v>Hill,Raquel Loran</v>
          </cell>
          <cell r="N3680">
            <v>3.0830000000000002</v>
          </cell>
          <cell r="O3680">
            <v>3.3279999999999998</v>
          </cell>
        </row>
        <row r="3681">
          <cell r="E3681" t="str">
            <v>CSCI</v>
          </cell>
          <cell r="F3681" t="str">
            <v>CSCI-P</v>
          </cell>
          <cell r="G3681">
            <v>415</v>
          </cell>
          <cell r="H3681" t="str">
            <v>CSCI-P415</v>
          </cell>
          <cell r="K3681" t="str">
            <v>Johnson,Steven D.</v>
          </cell>
          <cell r="N3681">
            <v>2.548</v>
          </cell>
          <cell r="O3681">
            <v>3.0950000000000002</v>
          </cell>
        </row>
        <row r="3682">
          <cell r="E3682" t="str">
            <v>CSCI</v>
          </cell>
          <cell r="F3682" t="str">
            <v>CSCI-P</v>
          </cell>
          <cell r="G3682">
            <v>423</v>
          </cell>
          <cell r="H3682" t="str">
            <v>CSCI-P423</v>
          </cell>
          <cell r="K3682" t="str">
            <v>Newton,Ryan Rhodes</v>
          </cell>
          <cell r="N3682">
            <v>3.39</v>
          </cell>
          <cell r="O3682">
            <v>3.298</v>
          </cell>
        </row>
        <row r="3683">
          <cell r="E3683" t="str">
            <v>CSCI</v>
          </cell>
          <cell r="F3683" t="str">
            <v>CSCI-P</v>
          </cell>
          <cell r="G3683">
            <v>434</v>
          </cell>
          <cell r="H3683" t="str">
            <v>CSCI-P434</v>
          </cell>
          <cell r="K3683" t="str">
            <v>Jensen,Scott</v>
          </cell>
          <cell r="N3683">
            <v>3.2469999999999999</v>
          </cell>
          <cell r="O3683">
            <v>2.8359999999999999</v>
          </cell>
        </row>
        <row r="3684">
          <cell r="E3684" t="str">
            <v>CSCI</v>
          </cell>
          <cell r="F3684" t="str">
            <v>CSCI-P</v>
          </cell>
          <cell r="G3684">
            <v>434</v>
          </cell>
          <cell r="H3684" t="str">
            <v>CSCI-P434</v>
          </cell>
          <cell r="K3684" t="str">
            <v>Plale,Beth A.</v>
          </cell>
          <cell r="N3684">
            <v>3.11</v>
          </cell>
          <cell r="O3684">
            <v>3.262</v>
          </cell>
        </row>
        <row r="3685">
          <cell r="E3685" t="str">
            <v>CSCI</v>
          </cell>
          <cell r="F3685" t="str">
            <v>CSCI-P</v>
          </cell>
          <cell r="G3685">
            <v>436</v>
          </cell>
          <cell r="H3685" t="str">
            <v>CSCI-P436</v>
          </cell>
          <cell r="K3685" t="str">
            <v>Chauhan,Arun</v>
          </cell>
          <cell r="N3685">
            <v>2.9289999999999998</v>
          </cell>
          <cell r="O3685">
            <v>3.2120000000000002</v>
          </cell>
        </row>
        <row r="3686">
          <cell r="E3686" t="str">
            <v>CSCI</v>
          </cell>
          <cell r="F3686" t="str">
            <v>CSCI-P</v>
          </cell>
          <cell r="G3686">
            <v>438</v>
          </cell>
          <cell r="H3686" t="str">
            <v>CSCI-P438</v>
          </cell>
          <cell r="K3686" t="str">
            <v>Hill,Raquel Loran</v>
          </cell>
          <cell r="N3686">
            <v>3.0470000000000002</v>
          </cell>
          <cell r="O3686">
            <v>3.173</v>
          </cell>
        </row>
        <row r="3687">
          <cell r="E3687" t="str">
            <v>CSCI</v>
          </cell>
          <cell r="F3687" t="str">
            <v>CSCI-P</v>
          </cell>
          <cell r="G3687">
            <v>515</v>
          </cell>
          <cell r="H3687" t="str">
            <v>CSCI-P515</v>
          </cell>
          <cell r="K3687" t="str">
            <v>Johnson,Steven D.</v>
          </cell>
          <cell r="N3687">
            <v>3.4780000000000002</v>
          </cell>
          <cell r="O3687">
            <v>3.508</v>
          </cell>
        </row>
        <row r="3688">
          <cell r="E3688" t="str">
            <v>CSCI</v>
          </cell>
          <cell r="F3688" t="str">
            <v>CSCI-P</v>
          </cell>
          <cell r="G3688">
            <v>523</v>
          </cell>
          <cell r="H3688" t="str">
            <v>CSCI-P523</v>
          </cell>
          <cell r="K3688" t="str">
            <v>Chauhan,Arun</v>
          </cell>
          <cell r="N3688" t="str">
            <v>NR</v>
          </cell>
          <cell r="O3688" t="str">
            <v>NR</v>
          </cell>
        </row>
        <row r="3689">
          <cell r="E3689" t="str">
            <v>CSCI</v>
          </cell>
          <cell r="F3689" t="str">
            <v>CSCI-P</v>
          </cell>
          <cell r="G3689">
            <v>532</v>
          </cell>
          <cell r="H3689" t="str">
            <v>CSCI-P532</v>
          </cell>
          <cell r="K3689" t="str">
            <v>Rawlins,Gregory J.e.</v>
          </cell>
          <cell r="N3689">
            <v>3.7</v>
          </cell>
          <cell r="O3689">
            <v>3.5430000000000001</v>
          </cell>
        </row>
        <row r="3690">
          <cell r="E3690" t="str">
            <v>CSCI</v>
          </cell>
          <cell r="F3690" t="str">
            <v>CSCI-P</v>
          </cell>
          <cell r="G3690">
            <v>535</v>
          </cell>
          <cell r="H3690" t="str">
            <v>CSCI-P535</v>
          </cell>
          <cell r="K3690" t="str">
            <v>Connelly,Katherine Hane</v>
          </cell>
          <cell r="N3690">
            <v>3.8420000000000001</v>
          </cell>
          <cell r="O3690">
            <v>3.468</v>
          </cell>
        </row>
        <row r="3691">
          <cell r="E3691" t="str">
            <v>CSCI</v>
          </cell>
          <cell r="F3691" t="str">
            <v>CSCI-P</v>
          </cell>
          <cell r="G3691">
            <v>536</v>
          </cell>
          <cell r="H3691" t="str">
            <v>CSCI-P536</v>
          </cell>
          <cell r="K3691" t="str">
            <v>Lumsdaine,Andrew</v>
          </cell>
          <cell r="N3691">
            <v>2.9</v>
          </cell>
          <cell r="O3691">
            <v>3.2770000000000001</v>
          </cell>
        </row>
        <row r="3692">
          <cell r="E3692" t="str">
            <v>CSCI</v>
          </cell>
          <cell r="F3692" t="str">
            <v>CSCI-P</v>
          </cell>
          <cell r="G3692">
            <v>538</v>
          </cell>
          <cell r="H3692" t="str">
            <v>CSCI-P538</v>
          </cell>
          <cell r="K3692" t="str">
            <v>Gupta,Minaxi</v>
          </cell>
          <cell r="N3692">
            <v>3.12</v>
          </cell>
          <cell r="O3692">
            <v>3.3820000000000001</v>
          </cell>
        </row>
        <row r="3693">
          <cell r="E3693" t="str">
            <v>CSCI</v>
          </cell>
          <cell r="F3693" t="str">
            <v>CSCI-P</v>
          </cell>
          <cell r="G3693">
            <v>573</v>
          </cell>
          <cell r="H3693" t="str">
            <v>CSCI-P573</v>
          </cell>
          <cell r="K3693" t="str">
            <v>Bramley,Randall Barry</v>
          </cell>
          <cell r="N3693">
            <v>3.7</v>
          </cell>
          <cell r="O3693">
            <v>3.4809999999999999</v>
          </cell>
        </row>
        <row r="3694">
          <cell r="E3694" t="str">
            <v>CSCI</v>
          </cell>
          <cell r="F3694" t="str">
            <v>CSCI-P</v>
          </cell>
          <cell r="G3694">
            <v>632</v>
          </cell>
          <cell r="H3694" t="str">
            <v>CSCI-P632</v>
          </cell>
          <cell r="K3694" t="str">
            <v>Rawlins,Gregory J.e.</v>
          </cell>
          <cell r="N3694">
            <v>3.97</v>
          </cell>
          <cell r="O3694">
            <v>3.621</v>
          </cell>
        </row>
        <row r="3695">
          <cell r="E3695" t="str">
            <v>CSCI</v>
          </cell>
          <cell r="F3695" t="str">
            <v>CSCI-Y</v>
          </cell>
          <cell r="G3695">
            <v>390</v>
          </cell>
          <cell r="H3695" t="str">
            <v>CSCI-Y390</v>
          </cell>
          <cell r="K3695" t="str">
            <v>Haghverdi,Esfandiar</v>
          </cell>
          <cell r="N3695" t="str">
            <v>NR</v>
          </cell>
          <cell r="O3695" t="str">
            <v>NR</v>
          </cell>
        </row>
        <row r="3696">
          <cell r="E3696" t="str">
            <v>CSCI</v>
          </cell>
          <cell r="F3696" t="str">
            <v>CSCI-Y</v>
          </cell>
          <cell r="G3696">
            <v>390</v>
          </cell>
          <cell r="H3696" t="str">
            <v>CSCI-Y390</v>
          </cell>
          <cell r="K3696" t="str">
            <v>Rawlins,Gregory J.e.</v>
          </cell>
          <cell r="N3696">
            <v>3.9729999999999999</v>
          </cell>
          <cell r="O3696">
            <v>3.37</v>
          </cell>
        </row>
        <row r="3697">
          <cell r="E3697" t="str">
            <v>CSCI</v>
          </cell>
          <cell r="F3697" t="str">
            <v>CSCI-Y</v>
          </cell>
          <cell r="G3697">
            <v>391</v>
          </cell>
          <cell r="H3697" t="str">
            <v>CSCI-Y391</v>
          </cell>
          <cell r="K3697" t="str">
            <v>Haghverdi,Esfandiar</v>
          </cell>
          <cell r="N3697" t="str">
            <v>NR</v>
          </cell>
          <cell r="O3697" t="str">
            <v>NR</v>
          </cell>
        </row>
        <row r="3698">
          <cell r="E3698" t="str">
            <v>CSCI</v>
          </cell>
          <cell r="F3698" t="str">
            <v>CSCI-Y</v>
          </cell>
          <cell r="G3698">
            <v>391</v>
          </cell>
          <cell r="H3698" t="str">
            <v>CSCI-Y391</v>
          </cell>
          <cell r="K3698" t="str">
            <v>Rawlins,Gregory J.e.</v>
          </cell>
          <cell r="N3698" t="str">
            <v>NR</v>
          </cell>
          <cell r="O3698" t="str">
            <v>NR</v>
          </cell>
        </row>
        <row r="3699">
          <cell r="E3699" t="str">
            <v>CSCI</v>
          </cell>
          <cell r="F3699" t="str">
            <v>CSCI-Y</v>
          </cell>
          <cell r="G3699">
            <v>399</v>
          </cell>
          <cell r="H3699" t="str">
            <v>CSCI-Y399</v>
          </cell>
          <cell r="K3699" t="str">
            <v>Hottell,Matthew</v>
          </cell>
          <cell r="N3699" t="str">
            <v>NR</v>
          </cell>
          <cell r="O3699" t="str">
            <v>NR</v>
          </cell>
        </row>
        <row r="3700">
          <cell r="E3700" t="str">
            <v>CSCI</v>
          </cell>
          <cell r="F3700" t="str">
            <v>CSCI-Y</v>
          </cell>
          <cell r="G3700">
            <v>399</v>
          </cell>
          <cell r="H3700" t="str">
            <v>CSCI-Y399</v>
          </cell>
          <cell r="K3700" t="str">
            <v>Hottell,Matthew</v>
          </cell>
          <cell r="N3700" t="str">
            <v>NR</v>
          </cell>
          <cell r="O3700" t="str">
            <v>NR</v>
          </cell>
        </row>
        <row r="3701">
          <cell r="E3701" t="str">
            <v>CSCI</v>
          </cell>
          <cell r="F3701" t="str">
            <v>CSCI-Y</v>
          </cell>
          <cell r="G3701">
            <v>399</v>
          </cell>
          <cell r="H3701" t="str">
            <v>CSCI-Y399</v>
          </cell>
          <cell r="K3701" t="str">
            <v>Hottell,Matthew</v>
          </cell>
          <cell r="N3701" t="str">
            <v>NR</v>
          </cell>
          <cell r="O3701" t="str">
            <v>NR</v>
          </cell>
        </row>
        <row r="3702">
          <cell r="E3702" t="str">
            <v>CSCI</v>
          </cell>
          <cell r="F3702" t="str">
            <v>CSCI-Y</v>
          </cell>
          <cell r="G3702">
            <v>399</v>
          </cell>
          <cell r="H3702" t="str">
            <v>CSCI-Y399</v>
          </cell>
          <cell r="K3702" t="str">
            <v>Hottell,Matthew</v>
          </cell>
          <cell r="N3702" t="str">
            <v>NR</v>
          </cell>
          <cell r="O3702" t="str">
            <v>NR</v>
          </cell>
        </row>
        <row r="3703">
          <cell r="E3703" t="str">
            <v>CSCI</v>
          </cell>
          <cell r="F3703" t="str">
            <v>CSCI-Y</v>
          </cell>
          <cell r="G3703">
            <v>499</v>
          </cell>
          <cell r="H3703" t="str">
            <v>CSCI-Y499</v>
          </cell>
          <cell r="K3703" t="str">
            <v>Rawlins,Gregory J.e.</v>
          </cell>
          <cell r="N3703" t="str">
            <v>NR</v>
          </cell>
          <cell r="O3703" t="str">
            <v>NR</v>
          </cell>
        </row>
        <row r="3704">
          <cell r="E3704" t="str">
            <v>CSCI</v>
          </cell>
          <cell r="F3704" t="str">
            <v>CSCI-Y</v>
          </cell>
          <cell r="G3704">
            <v>790</v>
          </cell>
          <cell r="H3704" t="str">
            <v>CSCI-Y790</v>
          </cell>
          <cell r="K3704" t="str">
            <v>Radivojac,Predrag</v>
          </cell>
          <cell r="N3704">
            <v>3.976</v>
          </cell>
          <cell r="O3704">
            <v>3.8039999999999998</v>
          </cell>
        </row>
        <row r="3705">
          <cell r="E3705" t="str">
            <v>CSCI</v>
          </cell>
          <cell r="F3705" t="str">
            <v>CSCI-Y</v>
          </cell>
          <cell r="G3705">
            <v>790</v>
          </cell>
          <cell r="H3705" t="str">
            <v>CSCI-Y790</v>
          </cell>
          <cell r="K3705" t="str">
            <v>Radivojac,Predrag</v>
          </cell>
          <cell r="N3705">
            <v>4</v>
          </cell>
          <cell r="O3705">
            <v>3.883</v>
          </cell>
        </row>
        <row r="3706">
          <cell r="E3706" t="str">
            <v>CSCI</v>
          </cell>
          <cell r="F3706" t="str">
            <v>CSCI-Y</v>
          </cell>
          <cell r="G3706">
            <v>790</v>
          </cell>
          <cell r="H3706" t="str">
            <v>CSCI-Y790</v>
          </cell>
          <cell r="K3706" t="str">
            <v>Sabry,Amr A.</v>
          </cell>
          <cell r="N3706">
            <v>3.96</v>
          </cell>
          <cell r="O3706">
            <v>3.7410000000000001</v>
          </cell>
        </row>
        <row r="3707">
          <cell r="E3707" t="str">
            <v>CSCI</v>
          </cell>
          <cell r="F3707" t="str">
            <v>CSCI-Y</v>
          </cell>
          <cell r="G3707">
            <v>790</v>
          </cell>
          <cell r="H3707" t="str">
            <v>CSCI-Y790</v>
          </cell>
          <cell r="K3707" t="str">
            <v>Sabry,Amr A.</v>
          </cell>
          <cell r="N3707">
            <v>4</v>
          </cell>
          <cell r="O3707">
            <v>3.8220000000000001</v>
          </cell>
        </row>
        <row r="3708">
          <cell r="E3708" t="str">
            <v>CSCI</v>
          </cell>
          <cell r="F3708" t="str">
            <v>CSCI-Y</v>
          </cell>
          <cell r="G3708">
            <v>792</v>
          </cell>
          <cell r="H3708" t="str">
            <v>CSCI-Y792</v>
          </cell>
          <cell r="K3708" t="str">
            <v>Sabry,Amr A.</v>
          </cell>
          <cell r="N3708" t="str">
            <v>NR</v>
          </cell>
          <cell r="O3708" t="str">
            <v>NR</v>
          </cell>
        </row>
        <row r="3709">
          <cell r="E3709" t="str">
            <v>CSCI</v>
          </cell>
          <cell r="F3709" t="str">
            <v>CSCI-Y</v>
          </cell>
          <cell r="G3709">
            <v>798</v>
          </cell>
          <cell r="H3709" t="str">
            <v>CSCI-Y798</v>
          </cell>
          <cell r="K3709" t="str">
            <v>Dalkilic,Mehmet M.</v>
          </cell>
          <cell r="N3709" t="str">
            <v>NR</v>
          </cell>
          <cell r="O3709" t="str">
            <v>NR</v>
          </cell>
        </row>
        <row r="3710">
          <cell r="E3710" t="str">
            <v>CSCI</v>
          </cell>
          <cell r="F3710" t="str">
            <v>CSCI-Y</v>
          </cell>
          <cell r="G3710">
            <v>798</v>
          </cell>
          <cell r="H3710" t="str">
            <v>CSCI-Y798</v>
          </cell>
          <cell r="K3710" t="str">
            <v>Sabry,Amr A.</v>
          </cell>
          <cell r="N3710" t="str">
            <v>NR</v>
          </cell>
          <cell r="O3710" t="str">
            <v>NR</v>
          </cell>
        </row>
        <row r="3711">
          <cell r="E3711" t="str">
            <v>CSCI</v>
          </cell>
          <cell r="F3711" t="str">
            <v>CSCI-Y</v>
          </cell>
          <cell r="G3711">
            <v>890</v>
          </cell>
          <cell r="H3711" t="str">
            <v>CSCI-Y890</v>
          </cell>
          <cell r="K3711" t="str">
            <v>Radivojac,Predrag</v>
          </cell>
          <cell r="N3711" t="str">
            <v>NR</v>
          </cell>
          <cell r="O3711" t="str">
            <v>NR</v>
          </cell>
        </row>
        <row r="3712">
          <cell r="E3712" t="str">
            <v>CSCI</v>
          </cell>
          <cell r="F3712" t="str">
            <v>CSCI-Y</v>
          </cell>
          <cell r="G3712">
            <v>890</v>
          </cell>
          <cell r="H3712" t="str">
            <v>CSCI-Y890</v>
          </cell>
          <cell r="K3712" t="str">
            <v>Wu,Yuqing</v>
          </cell>
          <cell r="N3712">
            <v>4</v>
          </cell>
          <cell r="O3712">
            <v>3.875</v>
          </cell>
        </row>
        <row r="3713">
          <cell r="E3713" t="str">
            <v>CSCI</v>
          </cell>
          <cell r="F3713" t="str">
            <v>CSCI-Y</v>
          </cell>
          <cell r="G3713">
            <v>890</v>
          </cell>
          <cell r="H3713" t="str">
            <v>CSCI-Y890</v>
          </cell>
          <cell r="K3713" t="str">
            <v>Wu,Yuqing</v>
          </cell>
          <cell r="N3713" t="str">
            <v>NR</v>
          </cell>
          <cell r="O3713" t="str">
            <v>NR</v>
          </cell>
        </row>
        <row r="3714">
          <cell r="E3714" t="str">
            <v>CULS</v>
          </cell>
          <cell r="F3714" t="str">
            <v>CULS-C</v>
          </cell>
          <cell r="G3714">
            <v>601</v>
          </cell>
          <cell r="H3714" t="str">
            <v>CULS-C601</v>
          </cell>
          <cell r="K3714" t="str">
            <v>Bose,Purnima</v>
          </cell>
          <cell r="N3714" t="str">
            <v>NR</v>
          </cell>
          <cell r="O3714" t="str">
            <v>NR</v>
          </cell>
        </row>
        <row r="3715">
          <cell r="E3715" t="str">
            <v>CULS</v>
          </cell>
          <cell r="F3715" t="str">
            <v>CULS-C</v>
          </cell>
          <cell r="G3715">
            <v>601</v>
          </cell>
          <cell r="H3715" t="str">
            <v>CULS-C601</v>
          </cell>
          <cell r="K3715" t="str">
            <v>Hawkins,Joan C.</v>
          </cell>
          <cell r="N3715" t="str">
            <v>NR</v>
          </cell>
          <cell r="O3715" t="str">
            <v>NR</v>
          </cell>
        </row>
        <row r="3716">
          <cell r="E3716" t="str">
            <v>CULS</v>
          </cell>
          <cell r="F3716" t="str">
            <v>CULS-C</v>
          </cell>
          <cell r="G3716">
            <v>701</v>
          </cell>
          <cell r="H3716" t="str">
            <v>CULS-C701</v>
          </cell>
          <cell r="K3716" t="str">
            <v>Bahloul,Joelle</v>
          </cell>
          <cell r="N3716" t="str">
            <v>NR</v>
          </cell>
          <cell r="O3716" t="str">
            <v>NR</v>
          </cell>
        </row>
        <row r="3717">
          <cell r="E3717" t="str">
            <v>CULS</v>
          </cell>
          <cell r="F3717" t="str">
            <v>CULS-C</v>
          </cell>
          <cell r="G3717">
            <v>701</v>
          </cell>
          <cell r="H3717" t="str">
            <v>CULS-C701</v>
          </cell>
          <cell r="K3717" t="str">
            <v>Bailey,Marlon M</v>
          </cell>
          <cell r="N3717" t="str">
            <v>NR</v>
          </cell>
          <cell r="O3717" t="str">
            <v>NR</v>
          </cell>
        </row>
        <row r="3718">
          <cell r="E3718" t="str">
            <v>CULS</v>
          </cell>
          <cell r="F3718" t="str">
            <v>CULS-C</v>
          </cell>
          <cell r="G3718">
            <v>701</v>
          </cell>
          <cell r="H3718" t="str">
            <v>CULS-C701</v>
          </cell>
          <cell r="K3718" t="str">
            <v>Bose,Purnima</v>
          </cell>
          <cell r="N3718" t="str">
            <v>NR</v>
          </cell>
          <cell r="O3718" t="str">
            <v>NR</v>
          </cell>
        </row>
        <row r="3719">
          <cell r="E3719" t="str">
            <v>CULS</v>
          </cell>
          <cell r="F3719" t="str">
            <v>CULS-C</v>
          </cell>
          <cell r="G3719">
            <v>701</v>
          </cell>
          <cell r="H3719" t="str">
            <v>CULS-C701</v>
          </cell>
          <cell r="K3719" t="str">
            <v>Breger,Claudia</v>
          </cell>
          <cell r="N3719" t="str">
            <v>NR</v>
          </cell>
          <cell r="O3719" t="str">
            <v>NR</v>
          </cell>
        </row>
        <row r="3720">
          <cell r="E3720" t="str">
            <v>CULS</v>
          </cell>
          <cell r="F3720" t="str">
            <v>CULS-C</v>
          </cell>
          <cell r="G3720">
            <v>701</v>
          </cell>
          <cell r="H3720" t="str">
            <v>CULS-C701</v>
          </cell>
          <cell r="K3720" t="str">
            <v>Breger,Claudia</v>
          </cell>
          <cell r="N3720" t="str">
            <v>NR</v>
          </cell>
          <cell r="O3720" t="str">
            <v>NR</v>
          </cell>
        </row>
        <row r="3721">
          <cell r="E3721" t="str">
            <v>CULS</v>
          </cell>
          <cell r="F3721" t="str">
            <v>CULS-C</v>
          </cell>
          <cell r="G3721">
            <v>701</v>
          </cell>
          <cell r="H3721" t="str">
            <v>CULS-C701</v>
          </cell>
          <cell r="K3721" t="str">
            <v>Charnes,Linda Anne</v>
          </cell>
          <cell r="N3721" t="str">
            <v>NR</v>
          </cell>
          <cell r="O3721" t="str">
            <v>NR</v>
          </cell>
        </row>
        <row r="3722">
          <cell r="E3722" t="str">
            <v>CULS</v>
          </cell>
          <cell r="F3722" t="str">
            <v>CULS-C</v>
          </cell>
          <cell r="G3722">
            <v>701</v>
          </cell>
          <cell r="H3722" t="str">
            <v>CULS-C701</v>
          </cell>
          <cell r="K3722" t="str">
            <v>Friedman,Sara Lizbeth</v>
          </cell>
          <cell r="N3722" t="str">
            <v>NR</v>
          </cell>
          <cell r="O3722" t="str">
            <v>NR</v>
          </cell>
        </row>
        <row r="3723">
          <cell r="E3723" t="str">
            <v>CULS</v>
          </cell>
          <cell r="F3723" t="str">
            <v>CULS-C</v>
          </cell>
          <cell r="G3723">
            <v>701</v>
          </cell>
          <cell r="H3723" t="str">
            <v>CULS-C701</v>
          </cell>
          <cell r="K3723" t="str">
            <v>Gershon,Ilana M.</v>
          </cell>
          <cell r="N3723" t="str">
            <v>NR</v>
          </cell>
          <cell r="O3723" t="str">
            <v>NR</v>
          </cell>
        </row>
        <row r="3724">
          <cell r="E3724" t="str">
            <v>CULS</v>
          </cell>
          <cell r="F3724" t="str">
            <v>CULS-C</v>
          </cell>
          <cell r="G3724">
            <v>701</v>
          </cell>
          <cell r="H3724" t="str">
            <v>CULS-C701</v>
          </cell>
          <cell r="K3724" t="str">
            <v>Goodman,Jane E.</v>
          </cell>
          <cell r="N3724" t="str">
            <v>NR</v>
          </cell>
          <cell r="O3724" t="str">
            <v>NR</v>
          </cell>
        </row>
        <row r="3725">
          <cell r="E3725" t="str">
            <v>CULS</v>
          </cell>
          <cell r="F3725" t="str">
            <v>CULS-C</v>
          </cell>
          <cell r="G3725">
            <v>701</v>
          </cell>
          <cell r="H3725" t="str">
            <v>CULS-C701</v>
          </cell>
          <cell r="K3725" t="str">
            <v>Ivie,Robert L.</v>
          </cell>
          <cell r="N3725" t="str">
            <v>NR</v>
          </cell>
          <cell r="O3725" t="str">
            <v>NR</v>
          </cell>
        </row>
        <row r="3726">
          <cell r="E3726" t="str">
            <v>CULS</v>
          </cell>
          <cell r="F3726" t="str">
            <v>CULS-C</v>
          </cell>
          <cell r="G3726">
            <v>701</v>
          </cell>
          <cell r="H3726" t="str">
            <v>CULS-C701</v>
          </cell>
          <cell r="K3726" t="str">
            <v>Klinger,Barbara</v>
          </cell>
          <cell r="N3726" t="str">
            <v>NR</v>
          </cell>
          <cell r="O3726" t="str">
            <v>NR</v>
          </cell>
        </row>
        <row r="3727">
          <cell r="E3727" t="str">
            <v>CULS</v>
          </cell>
          <cell r="F3727" t="str">
            <v>CULS-C</v>
          </cell>
          <cell r="G3727">
            <v>701</v>
          </cell>
          <cell r="H3727" t="str">
            <v>CULS-C701</v>
          </cell>
          <cell r="K3727" t="str">
            <v>McDonald,David Anthony</v>
          </cell>
          <cell r="N3727" t="str">
            <v>NR</v>
          </cell>
          <cell r="O3727" t="str">
            <v>NR</v>
          </cell>
        </row>
        <row r="3728">
          <cell r="E3728" t="str">
            <v>CULS</v>
          </cell>
          <cell r="F3728" t="str">
            <v>CULS-C</v>
          </cell>
          <cell r="G3728">
            <v>701</v>
          </cell>
          <cell r="H3728" t="str">
            <v>CULS-C701</v>
          </cell>
          <cell r="K3728" t="str">
            <v>Moorman,Marissa J</v>
          </cell>
          <cell r="N3728" t="str">
            <v>NR</v>
          </cell>
          <cell r="O3728" t="str">
            <v>NR</v>
          </cell>
        </row>
        <row r="3729">
          <cell r="E3729" t="str">
            <v>CULS</v>
          </cell>
          <cell r="F3729" t="str">
            <v>CULS-C</v>
          </cell>
          <cell r="G3729">
            <v>701</v>
          </cell>
          <cell r="H3729" t="str">
            <v>CULS-C701</v>
          </cell>
          <cell r="K3729" t="str">
            <v>Samantrai,Ranu</v>
          </cell>
          <cell r="N3729" t="str">
            <v>NR</v>
          </cell>
          <cell r="O3729" t="str">
            <v>NR</v>
          </cell>
        </row>
        <row r="3730">
          <cell r="E3730" t="str">
            <v>EALC</v>
          </cell>
          <cell r="F3730" t="str">
            <v>EALC-C</v>
          </cell>
          <cell r="G3730">
            <v>101</v>
          </cell>
          <cell r="H3730" t="str">
            <v>EALC-C101</v>
          </cell>
          <cell r="K3730" t="str">
            <v>Bao,Yingling</v>
          </cell>
          <cell r="N3730">
            <v>3.2210000000000001</v>
          </cell>
          <cell r="O3730">
            <v>3.1360000000000001</v>
          </cell>
        </row>
        <row r="3731">
          <cell r="E3731" t="str">
            <v>EALC</v>
          </cell>
          <cell r="F3731" t="str">
            <v>EALC-C</v>
          </cell>
          <cell r="G3731">
            <v>101</v>
          </cell>
          <cell r="H3731" t="str">
            <v>EALC-C101</v>
          </cell>
          <cell r="K3731" t="str">
            <v>Bao,Yingling</v>
          </cell>
          <cell r="N3731">
            <v>3.3660000000000001</v>
          </cell>
          <cell r="O3731">
            <v>3.121</v>
          </cell>
        </row>
        <row r="3732">
          <cell r="E3732" t="str">
            <v>EALC</v>
          </cell>
          <cell r="F3732" t="str">
            <v>EALC-C</v>
          </cell>
          <cell r="G3732">
            <v>101</v>
          </cell>
          <cell r="H3732" t="str">
            <v>EALC-C101</v>
          </cell>
          <cell r="K3732" t="str">
            <v>Bao,Yingling</v>
          </cell>
          <cell r="N3732">
            <v>3.0609999999999999</v>
          </cell>
          <cell r="O3732">
            <v>2.9409999999999998</v>
          </cell>
        </row>
        <row r="3733">
          <cell r="E3733" t="str">
            <v>EALC</v>
          </cell>
          <cell r="F3733" t="str">
            <v>EALC-C</v>
          </cell>
          <cell r="G3733">
            <v>101</v>
          </cell>
          <cell r="H3733" t="str">
            <v>EALC-C101</v>
          </cell>
          <cell r="K3733" t="str">
            <v>Bao,Yingling</v>
          </cell>
          <cell r="N3733" t="str">
            <v>NR</v>
          </cell>
          <cell r="O3733" t="str">
            <v>NR</v>
          </cell>
        </row>
        <row r="3734">
          <cell r="E3734" t="str">
            <v>EALC</v>
          </cell>
          <cell r="F3734" t="str">
            <v>EALC-C</v>
          </cell>
          <cell r="G3734">
            <v>102</v>
          </cell>
          <cell r="H3734" t="str">
            <v>EALC-C102</v>
          </cell>
          <cell r="K3734" t="str">
            <v>Bao,Yingling</v>
          </cell>
          <cell r="N3734">
            <v>3.2709999999999999</v>
          </cell>
          <cell r="O3734">
            <v>3.2650000000000001</v>
          </cell>
        </row>
        <row r="3735">
          <cell r="E3735" t="str">
            <v>EALC</v>
          </cell>
          <cell r="F3735" t="str">
            <v>EALC-C</v>
          </cell>
          <cell r="G3735">
            <v>102</v>
          </cell>
          <cell r="H3735" t="str">
            <v>EALC-C102</v>
          </cell>
          <cell r="K3735" t="str">
            <v>Bao,Yingling</v>
          </cell>
          <cell r="N3735" t="str">
            <v>NR</v>
          </cell>
          <cell r="O3735" t="str">
            <v>NR</v>
          </cell>
        </row>
        <row r="3736">
          <cell r="E3736" t="str">
            <v>EALC</v>
          </cell>
          <cell r="F3736" t="str">
            <v>EALC-C</v>
          </cell>
          <cell r="G3736">
            <v>102</v>
          </cell>
          <cell r="H3736" t="str">
            <v>EALC-C102</v>
          </cell>
          <cell r="K3736" t="str">
            <v>Bao,Yingling</v>
          </cell>
          <cell r="N3736">
            <v>2.9710000000000001</v>
          </cell>
          <cell r="O3736">
            <v>3.0950000000000002</v>
          </cell>
        </row>
        <row r="3737">
          <cell r="E3737" t="str">
            <v>EALC</v>
          </cell>
          <cell r="F3737" t="str">
            <v>EALC-C</v>
          </cell>
          <cell r="G3737">
            <v>102</v>
          </cell>
          <cell r="H3737" t="str">
            <v>EALC-C102</v>
          </cell>
          <cell r="K3737" t="str">
            <v>Bao,Yingling</v>
          </cell>
          <cell r="N3737" t="str">
            <v>NR</v>
          </cell>
          <cell r="O3737" t="str">
            <v>NR</v>
          </cell>
        </row>
        <row r="3738">
          <cell r="E3738" t="str">
            <v>EALC</v>
          </cell>
          <cell r="F3738" t="str">
            <v>EALC-C</v>
          </cell>
          <cell r="G3738">
            <v>102</v>
          </cell>
          <cell r="H3738" t="str">
            <v>EALC-C102</v>
          </cell>
          <cell r="K3738" t="str">
            <v>Bao,Yingling</v>
          </cell>
          <cell r="N3738">
            <v>2.996</v>
          </cell>
          <cell r="O3738">
            <v>3.1539999999999999</v>
          </cell>
        </row>
        <row r="3739">
          <cell r="E3739" t="str">
            <v>EALC</v>
          </cell>
          <cell r="F3739" t="str">
            <v>EALC-C</v>
          </cell>
          <cell r="G3739">
            <v>102</v>
          </cell>
          <cell r="H3739" t="str">
            <v>EALC-C102</v>
          </cell>
          <cell r="K3739" t="str">
            <v>Bao,Yingling</v>
          </cell>
          <cell r="N3739" t="str">
            <v>NR</v>
          </cell>
          <cell r="O3739" t="str">
            <v>NR</v>
          </cell>
        </row>
        <row r="3740">
          <cell r="E3740" t="str">
            <v>EALC</v>
          </cell>
          <cell r="F3740" t="str">
            <v>EALC-C</v>
          </cell>
          <cell r="G3740">
            <v>201</v>
          </cell>
          <cell r="H3740" t="str">
            <v>EALC-C201</v>
          </cell>
          <cell r="K3740" t="str">
            <v>Yu,Pei-Shan</v>
          </cell>
          <cell r="N3740">
            <v>3.4369999999999998</v>
          </cell>
          <cell r="O3740">
            <v>3.3330000000000002</v>
          </cell>
        </row>
        <row r="3741">
          <cell r="E3741" t="str">
            <v>EALC</v>
          </cell>
          <cell r="F3741" t="str">
            <v>EALC-C</v>
          </cell>
          <cell r="G3741">
            <v>201</v>
          </cell>
          <cell r="H3741" t="str">
            <v>EALC-C201</v>
          </cell>
          <cell r="K3741" t="str">
            <v>Yu,Pei-Shan</v>
          </cell>
          <cell r="N3741">
            <v>3.3860000000000001</v>
          </cell>
          <cell r="O3741">
            <v>3.4</v>
          </cell>
        </row>
        <row r="3742">
          <cell r="E3742" t="str">
            <v>EALC</v>
          </cell>
          <cell r="F3742" t="str">
            <v>EALC-C</v>
          </cell>
          <cell r="G3742">
            <v>201</v>
          </cell>
          <cell r="H3742" t="str">
            <v>EALC-C201</v>
          </cell>
          <cell r="K3742" t="str">
            <v>Yu,Pei-Shan</v>
          </cell>
          <cell r="N3742" t="str">
            <v>NR</v>
          </cell>
          <cell r="O3742" t="str">
            <v>NR</v>
          </cell>
        </row>
        <row r="3743">
          <cell r="E3743" t="str">
            <v>EALC</v>
          </cell>
          <cell r="F3743" t="str">
            <v>EALC-C</v>
          </cell>
          <cell r="G3743">
            <v>202</v>
          </cell>
          <cell r="H3743" t="str">
            <v>EALC-C202</v>
          </cell>
          <cell r="K3743" t="str">
            <v>Yu,Pei-Shan</v>
          </cell>
          <cell r="N3743">
            <v>3.4809999999999999</v>
          </cell>
          <cell r="O3743">
            <v>3.4430000000000001</v>
          </cell>
        </row>
        <row r="3744">
          <cell r="E3744" t="str">
            <v>EALC</v>
          </cell>
          <cell r="F3744" t="str">
            <v>EALC-C</v>
          </cell>
          <cell r="G3744">
            <v>202</v>
          </cell>
          <cell r="H3744" t="str">
            <v>EALC-C202</v>
          </cell>
          <cell r="K3744" t="str">
            <v>Yu,Pei-Shan</v>
          </cell>
          <cell r="N3744" t="str">
            <v>NR</v>
          </cell>
          <cell r="O3744" t="str">
            <v>NR</v>
          </cell>
        </row>
        <row r="3745">
          <cell r="E3745" t="str">
            <v>EALC</v>
          </cell>
          <cell r="F3745" t="str">
            <v>EALC-C</v>
          </cell>
          <cell r="G3745">
            <v>202</v>
          </cell>
          <cell r="H3745" t="str">
            <v>EALC-C202</v>
          </cell>
          <cell r="K3745" t="str">
            <v>Yu,Pei-Shan</v>
          </cell>
          <cell r="N3745">
            <v>3.327</v>
          </cell>
          <cell r="O3745">
            <v>3.3849999999999998</v>
          </cell>
        </row>
        <row r="3746">
          <cell r="E3746" t="str">
            <v>EALC</v>
          </cell>
          <cell r="F3746" t="str">
            <v>EALC-C</v>
          </cell>
          <cell r="G3746">
            <v>202</v>
          </cell>
          <cell r="H3746" t="str">
            <v>EALC-C202</v>
          </cell>
          <cell r="K3746" t="str">
            <v>Yu,Pei-Shan</v>
          </cell>
          <cell r="N3746" t="str">
            <v>NR</v>
          </cell>
          <cell r="O3746" t="str">
            <v>NR</v>
          </cell>
        </row>
        <row r="3747">
          <cell r="E3747" t="str">
            <v>EALC</v>
          </cell>
          <cell r="F3747" t="str">
            <v>EALC-C</v>
          </cell>
          <cell r="G3747">
            <v>301</v>
          </cell>
          <cell r="H3747" t="str">
            <v>EALC-C301</v>
          </cell>
          <cell r="K3747" t="str">
            <v>Su,Henghua</v>
          </cell>
          <cell r="N3747">
            <v>3.605</v>
          </cell>
          <cell r="O3747">
            <v>3.415</v>
          </cell>
        </row>
        <row r="3748">
          <cell r="E3748" t="str">
            <v>EALC</v>
          </cell>
          <cell r="F3748" t="str">
            <v>EALC-C</v>
          </cell>
          <cell r="G3748">
            <v>302</v>
          </cell>
          <cell r="H3748" t="str">
            <v>EALC-C302</v>
          </cell>
          <cell r="K3748" t="str">
            <v>Lin,Chien-Jer Charles</v>
          </cell>
          <cell r="N3748">
            <v>3.218</v>
          </cell>
          <cell r="O3748">
            <v>3.351</v>
          </cell>
        </row>
        <row r="3749">
          <cell r="E3749" t="str">
            <v>EALC</v>
          </cell>
          <cell r="F3749" t="str">
            <v>EALC-C</v>
          </cell>
          <cell r="G3749">
            <v>306</v>
          </cell>
          <cell r="H3749" t="str">
            <v>EALC-C306</v>
          </cell>
          <cell r="K3749" t="str">
            <v>Eno,Robert J.</v>
          </cell>
          <cell r="N3749" t="str">
            <v>NR</v>
          </cell>
          <cell r="O3749" t="str">
            <v>NR</v>
          </cell>
        </row>
        <row r="3750">
          <cell r="E3750" t="str">
            <v>EALC</v>
          </cell>
          <cell r="F3750" t="str">
            <v>EALC-C</v>
          </cell>
          <cell r="G3750">
            <v>401</v>
          </cell>
          <cell r="H3750" t="str">
            <v>EALC-C401</v>
          </cell>
          <cell r="K3750" t="str">
            <v>Bao,Yingling</v>
          </cell>
          <cell r="N3750">
            <v>3.2160000000000002</v>
          </cell>
          <cell r="O3750">
            <v>3.26</v>
          </cell>
        </row>
        <row r="3751">
          <cell r="E3751" t="str">
            <v>EALC</v>
          </cell>
          <cell r="F3751" t="str">
            <v>EALC-C</v>
          </cell>
          <cell r="G3751">
            <v>402</v>
          </cell>
          <cell r="H3751" t="str">
            <v>EALC-C402</v>
          </cell>
          <cell r="K3751" t="str">
            <v>Bao,Yingling</v>
          </cell>
          <cell r="N3751">
            <v>3.4630000000000001</v>
          </cell>
          <cell r="O3751">
            <v>3.536</v>
          </cell>
        </row>
        <row r="3752">
          <cell r="E3752" t="str">
            <v>EALC</v>
          </cell>
          <cell r="F3752" t="str">
            <v>EALC-C</v>
          </cell>
          <cell r="G3752">
            <v>457</v>
          </cell>
          <cell r="H3752" t="str">
            <v>EALC-C457</v>
          </cell>
          <cell r="K3752" t="str">
            <v>Luo,Chia-Li</v>
          </cell>
          <cell r="N3752" t="str">
            <v>NR</v>
          </cell>
          <cell r="O3752" t="str">
            <v>NR</v>
          </cell>
        </row>
        <row r="3753">
          <cell r="E3753" t="str">
            <v>EALC</v>
          </cell>
          <cell r="F3753" t="str">
            <v>EALC-C</v>
          </cell>
          <cell r="G3753">
            <v>467</v>
          </cell>
          <cell r="H3753" t="str">
            <v>EALC-C467</v>
          </cell>
          <cell r="K3753" t="str">
            <v>Ling,Vivian</v>
          </cell>
          <cell r="N3753" t="str">
            <v>NR</v>
          </cell>
          <cell r="O3753" t="str">
            <v>NR</v>
          </cell>
        </row>
        <row r="3754">
          <cell r="E3754" t="str">
            <v>EALC</v>
          </cell>
          <cell r="F3754" t="str">
            <v>EALC-C</v>
          </cell>
          <cell r="G3754">
            <v>467</v>
          </cell>
          <cell r="H3754" t="str">
            <v>EALC-C467</v>
          </cell>
          <cell r="K3754" t="str">
            <v>Ling,Vivian</v>
          </cell>
          <cell r="N3754">
            <v>3.75</v>
          </cell>
          <cell r="O3754">
            <v>3.6739999999999999</v>
          </cell>
        </row>
        <row r="3755">
          <cell r="E3755" t="str">
            <v>EALC</v>
          </cell>
          <cell r="F3755" t="str">
            <v>EALC-C</v>
          </cell>
          <cell r="G3755">
            <v>467</v>
          </cell>
          <cell r="H3755" t="str">
            <v>EALC-C467</v>
          </cell>
          <cell r="K3755" t="str">
            <v>Luo,Chia-Li</v>
          </cell>
          <cell r="N3755" t="str">
            <v>NR</v>
          </cell>
          <cell r="O3755" t="str">
            <v>NR</v>
          </cell>
        </row>
        <row r="3756">
          <cell r="E3756" t="str">
            <v>EALC</v>
          </cell>
          <cell r="F3756" t="str">
            <v>EALC-C</v>
          </cell>
          <cell r="G3756">
            <v>506</v>
          </cell>
          <cell r="H3756" t="str">
            <v>EALC-C506</v>
          </cell>
          <cell r="K3756" t="str">
            <v>Eno,Robert J.</v>
          </cell>
          <cell r="N3756" t="str">
            <v>NR</v>
          </cell>
          <cell r="O3756" t="str">
            <v>NR</v>
          </cell>
        </row>
        <row r="3757">
          <cell r="E3757" t="str">
            <v>EALC</v>
          </cell>
          <cell r="F3757" t="str">
            <v>EALC-C</v>
          </cell>
          <cell r="G3757">
            <v>521</v>
          </cell>
          <cell r="H3757" t="str">
            <v>EALC-C521</v>
          </cell>
          <cell r="K3757" t="str">
            <v>Luo,Manling</v>
          </cell>
          <cell r="N3757" t="str">
            <v>NR</v>
          </cell>
          <cell r="O3757" t="str">
            <v>NR</v>
          </cell>
        </row>
        <row r="3758">
          <cell r="E3758" t="str">
            <v>EALC</v>
          </cell>
          <cell r="F3758" t="str">
            <v>EALC-C</v>
          </cell>
          <cell r="G3758">
            <v>525</v>
          </cell>
          <cell r="H3758" t="str">
            <v>EALC-C525</v>
          </cell>
          <cell r="K3758" t="str">
            <v>Su,Henghua</v>
          </cell>
          <cell r="N3758" t="str">
            <v>NR</v>
          </cell>
          <cell r="O3758" t="str">
            <v>NR</v>
          </cell>
        </row>
        <row r="3759">
          <cell r="E3759" t="str">
            <v>EALC</v>
          </cell>
          <cell r="F3759" t="str">
            <v>EALC-C</v>
          </cell>
          <cell r="G3759">
            <v>533</v>
          </cell>
          <cell r="H3759" t="str">
            <v>EALC-C533</v>
          </cell>
          <cell r="K3759" t="str">
            <v>Su,Henghua</v>
          </cell>
          <cell r="N3759" t="str">
            <v>NR</v>
          </cell>
          <cell r="O3759" t="str">
            <v>NR</v>
          </cell>
        </row>
        <row r="3760">
          <cell r="E3760" t="str">
            <v>EALC</v>
          </cell>
          <cell r="F3760" t="str">
            <v>EALC-C</v>
          </cell>
          <cell r="G3760">
            <v>534</v>
          </cell>
          <cell r="H3760" t="str">
            <v>EALC-C534</v>
          </cell>
          <cell r="K3760" t="str">
            <v>Lin,Chien-Jer Charles</v>
          </cell>
          <cell r="N3760" t="str">
            <v>NR</v>
          </cell>
          <cell r="O3760" t="str">
            <v>NR</v>
          </cell>
        </row>
        <row r="3761">
          <cell r="E3761" t="str">
            <v>EALC</v>
          </cell>
          <cell r="F3761" t="str">
            <v>EALC-C</v>
          </cell>
          <cell r="G3761">
            <v>543</v>
          </cell>
          <cell r="H3761" t="str">
            <v>EALC-C543</v>
          </cell>
          <cell r="K3761" t="str">
            <v>Bao,Yingling</v>
          </cell>
          <cell r="N3761" t="str">
            <v>NR</v>
          </cell>
          <cell r="O3761" t="str">
            <v>NR</v>
          </cell>
        </row>
        <row r="3762">
          <cell r="E3762" t="str">
            <v>EALC</v>
          </cell>
          <cell r="F3762" t="str">
            <v>EALC-C</v>
          </cell>
          <cell r="G3762">
            <v>544</v>
          </cell>
          <cell r="H3762" t="str">
            <v>EALC-C544</v>
          </cell>
          <cell r="K3762" t="str">
            <v>Bao,Yingling</v>
          </cell>
          <cell r="N3762" t="str">
            <v>NR</v>
          </cell>
          <cell r="O3762" t="str">
            <v>NR</v>
          </cell>
        </row>
        <row r="3763">
          <cell r="E3763" t="str">
            <v>EALC</v>
          </cell>
          <cell r="F3763" t="str">
            <v>EALC-C</v>
          </cell>
          <cell r="G3763">
            <v>557</v>
          </cell>
          <cell r="H3763" t="str">
            <v>EALC-C557</v>
          </cell>
          <cell r="K3763" t="str">
            <v>Luo,Chia-Li</v>
          </cell>
          <cell r="N3763" t="str">
            <v>NR</v>
          </cell>
          <cell r="O3763" t="str">
            <v>NR</v>
          </cell>
        </row>
        <row r="3764">
          <cell r="E3764" t="str">
            <v>EALC</v>
          </cell>
          <cell r="F3764" t="str">
            <v>EALC-C</v>
          </cell>
          <cell r="G3764">
            <v>567</v>
          </cell>
          <cell r="H3764" t="str">
            <v>EALC-C567</v>
          </cell>
          <cell r="K3764" t="str">
            <v>Ling,Vivian</v>
          </cell>
          <cell r="N3764" t="str">
            <v>NR</v>
          </cell>
          <cell r="O3764" t="str">
            <v>NR</v>
          </cell>
        </row>
        <row r="3765">
          <cell r="E3765" t="str">
            <v>EALC</v>
          </cell>
          <cell r="F3765" t="str">
            <v>EALC-C</v>
          </cell>
          <cell r="G3765">
            <v>567</v>
          </cell>
          <cell r="H3765" t="str">
            <v>EALC-C567</v>
          </cell>
          <cell r="K3765" t="str">
            <v>Luo,Chia-Li</v>
          </cell>
          <cell r="N3765" t="str">
            <v>NR</v>
          </cell>
          <cell r="O3765" t="str">
            <v>NR</v>
          </cell>
        </row>
        <row r="3766">
          <cell r="E3766" t="str">
            <v>EALC</v>
          </cell>
          <cell r="F3766" t="str">
            <v>EALC-C</v>
          </cell>
          <cell r="G3766">
            <v>598</v>
          </cell>
          <cell r="H3766" t="str">
            <v>EALC-C598</v>
          </cell>
          <cell r="K3766" t="str">
            <v>O'Bryan,Scott Patrick</v>
          </cell>
          <cell r="N3766" t="str">
            <v>NR</v>
          </cell>
          <cell r="O3766" t="str">
            <v>NR</v>
          </cell>
        </row>
        <row r="3767">
          <cell r="E3767" t="str">
            <v>EALC</v>
          </cell>
          <cell r="F3767" t="str">
            <v>EALC-C</v>
          </cell>
          <cell r="G3767">
            <v>701</v>
          </cell>
          <cell r="H3767" t="str">
            <v>EALC-C701</v>
          </cell>
          <cell r="K3767" t="str">
            <v>Eno,Robert J.</v>
          </cell>
          <cell r="N3767" t="str">
            <v>NR</v>
          </cell>
          <cell r="O3767" t="str">
            <v>NR</v>
          </cell>
        </row>
        <row r="3768">
          <cell r="E3768" t="str">
            <v>EALC</v>
          </cell>
          <cell r="F3768" t="str">
            <v>EALC-C</v>
          </cell>
          <cell r="G3768">
            <v>701</v>
          </cell>
          <cell r="H3768" t="str">
            <v>EALC-C701</v>
          </cell>
          <cell r="K3768" t="str">
            <v>O'Bryan,Scott Patrick</v>
          </cell>
          <cell r="N3768" t="str">
            <v>NR</v>
          </cell>
          <cell r="O3768" t="str">
            <v>NR</v>
          </cell>
        </row>
        <row r="3769">
          <cell r="E3769" t="str">
            <v>EALC</v>
          </cell>
          <cell r="F3769" t="str">
            <v>EALC-C</v>
          </cell>
          <cell r="G3769">
            <v>801</v>
          </cell>
          <cell r="H3769" t="str">
            <v>EALC-C801</v>
          </cell>
          <cell r="K3769" t="str">
            <v>Eno,Robert J.</v>
          </cell>
          <cell r="N3769" t="str">
            <v>NR</v>
          </cell>
          <cell r="O3769" t="str">
            <v>NR</v>
          </cell>
        </row>
        <row r="3770">
          <cell r="E3770" t="str">
            <v>EALC</v>
          </cell>
          <cell r="F3770" t="str">
            <v>EALC-C</v>
          </cell>
          <cell r="G3770">
            <v>801</v>
          </cell>
          <cell r="H3770" t="str">
            <v>EALC-C801</v>
          </cell>
          <cell r="K3770" t="str">
            <v>O'Bryan,Scott Patrick</v>
          </cell>
          <cell r="N3770" t="str">
            <v>NR</v>
          </cell>
          <cell r="O3770" t="str">
            <v>NR</v>
          </cell>
        </row>
        <row r="3771">
          <cell r="E3771" t="str">
            <v>EALC</v>
          </cell>
          <cell r="F3771" t="str">
            <v>EALC-E</v>
          </cell>
          <cell r="G3771">
            <v>100</v>
          </cell>
          <cell r="H3771" t="str">
            <v>EALC-E100</v>
          </cell>
          <cell r="K3771" t="str">
            <v>O'Bryan,Scott Patrick</v>
          </cell>
          <cell r="N3771">
            <v>2.4969999999999999</v>
          </cell>
          <cell r="O3771">
            <v>2.8919999999999999</v>
          </cell>
        </row>
        <row r="3772">
          <cell r="E3772" t="str">
            <v>EALC</v>
          </cell>
          <cell r="F3772" t="str">
            <v>EALC-E</v>
          </cell>
          <cell r="G3772">
            <v>110</v>
          </cell>
          <cell r="H3772" t="str">
            <v>EALC-E110</v>
          </cell>
          <cell r="K3772" t="str">
            <v>Robinson,Michael E.</v>
          </cell>
          <cell r="N3772">
            <v>2.9670000000000001</v>
          </cell>
          <cell r="O3772">
            <v>2.9670000000000001</v>
          </cell>
        </row>
        <row r="3773">
          <cell r="E3773" t="str">
            <v>EALC</v>
          </cell>
          <cell r="F3773" t="str">
            <v>EALC-E</v>
          </cell>
          <cell r="G3773">
            <v>120</v>
          </cell>
          <cell r="H3773" t="str">
            <v>EALC-E120</v>
          </cell>
          <cell r="K3773" t="str">
            <v>Kasza,Gregory J.</v>
          </cell>
          <cell r="N3773">
            <v>2.7909999999999999</v>
          </cell>
          <cell r="O3773">
            <v>2.6680000000000001</v>
          </cell>
        </row>
        <row r="3774">
          <cell r="E3774" t="str">
            <v>EALC</v>
          </cell>
          <cell r="F3774" t="str">
            <v>EALC-E</v>
          </cell>
          <cell r="G3774">
            <v>200</v>
          </cell>
          <cell r="H3774" t="str">
            <v>EALC-E200</v>
          </cell>
          <cell r="K3774" t="str">
            <v>Eno,Robert J.</v>
          </cell>
          <cell r="N3774">
            <v>3.49</v>
          </cell>
          <cell r="O3774">
            <v>3.26</v>
          </cell>
        </row>
        <row r="3775">
          <cell r="E3775" t="str">
            <v>EALC</v>
          </cell>
          <cell r="F3775" t="str">
            <v>EALC-E</v>
          </cell>
          <cell r="G3775">
            <v>200</v>
          </cell>
          <cell r="H3775" t="str">
            <v>EALC-E200</v>
          </cell>
          <cell r="K3775" t="str">
            <v>Kasza,Gregory J.</v>
          </cell>
          <cell r="N3775">
            <v>3.07</v>
          </cell>
          <cell r="O3775">
            <v>3.4260000000000002</v>
          </cell>
        </row>
        <row r="3776">
          <cell r="E3776" t="str">
            <v>EALC</v>
          </cell>
          <cell r="F3776" t="str">
            <v>EALC-E</v>
          </cell>
          <cell r="G3776">
            <v>201</v>
          </cell>
          <cell r="H3776" t="str">
            <v>EALC-E201</v>
          </cell>
          <cell r="K3776" t="str">
            <v>Sarra,Edith Lorraine</v>
          </cell>
          <cell r="N3776">
            <v>3.21</v>
          </cell>
          <cell r="O3776">
            <v>2.9820000000000002</v>
          </cell>
        </row>
        <row r="3777">
          <cell r="E3777" t="str">
            <v>EALC</v>
          </cell>
          <cell r="F3777" t="str">
            <v>EALC-E</v>
          </cell>
          <cell r="G3777">
            <v>251</v>
          </cell>
          <cell r="H3777" t="str">
            <v>EALC-E251</v>
          </cell>
          <cell r="K3777" t="str">
            <v>Eno,Robert J.</v>
          </cell>
          <cell r="N3777">
            <v>2.5579999999999998</v>
          </cell>
          <cell r="O3777">
            <v>2.774</v>
          </cell>
        </row>
        <row r="3778">
          <cell r="E3778" t="str">
            <v>EALC</v>
          </cell>
          <cell r="F3778" t="str">
            <v>EALC-E</v>
          </cell>
          <cell r="G3778">
            <v>300</v>
          </cell>
          <cell r="H3778" t="str">
            <v>EALC-E300</v>
          </cell>
          <cell r="K3778" t="str">
            <v>Sarra,Edith Lorraine</v>
          </cell>
          <cell r="N3778">
            <v>3.1629999999999998</v>
          </cell>
          <cell r="O3778">
            <v>3.1619999999999999</v>
          </cell>
        </row>
        <row r="3779">
          <cell r="E3779" t="str">
            <v>EALC</v>
          </cell>
          <cell r="F3779" t="str">
            <v>EALC-E</v>
          </cell>
          <cell r="G3779">
            <v>300</v>
          </cell>
          <cell r="H3779" t="str">
            <v>EALC-E300</v>
          </cell>
          <cell r="K3779" t="str">
            <v>Suzuki,Michiko</v>
          </cell>
          <cell r="N3779">
            <v>3</v>
          </cell>
          <cell r="O3779">
            <v>2.9750000000000001</v>
          </cell>
        </row>
        <row r="3780">
          <cell r="E3780" t="str">
            <v>EALC</v>
          </cell>
          <cell r="F3780" t="str">
            <v>EALC-E</v>
          </cell>
          <cell r="G3780">
            <v>300</v>
          </cell>
          <cell r="H3780" t="str">
            <v>EALC-E300</v>
          </cell>
          <cell r="K3780" t="str">
            <v>Xiao,Tie</v>
          </cell>
          <cell r="N3780">
            <v>3.1779999999999999</v>
          </cell>
          <cell r="O3780">
            <v>2.8879999999999999</v>
          </cell>
        </row>
        <row r="3781">
          <cell r="E3781" t="str">
            <v>EALC</v>
          </cell>
          <cell r="F3781" t="str">
            <v>EALC-E</v>
          </cell>
          <cell r="G3781">
            <v>322</v>
          </cell>
          <cell r="H3781" t="str">
            <v>EALC-E322</v>
          </cell>
          <cell r="K3781" t="str">
            <v>Suzuki,Michiko</v>
          </cell>
          <cell r="N3781">
            <v>3.32</v>
          </cell>
          <cell r="O3781">
            <v>3.0950000000000002</v>
          </cell>
        </row>
        <row r="3782">
          <cell r="E3782" t="str">
            <v>EALC</v>
          </cell>
          <cell r="F3782" t="str">
            <v>EALC-E</v>
          </cell>
          <cell r="G3782">
            <v>332</v>
          </cell>
          <cell r="H3782" t="str">
            <v>EALC-E332</v>
          </cell>
          <cell r="K3782" t="str">
            <v>Xiao,Tie</v>
          </cell>
          <cell r="N3782">
            <v>3.3650000000000002</v>
          </cell>
          <cell r="O3782">
            <v>3.0449999999999999</v>
          </cell>
        </row>
        <row r="3783">
          <cell r="E3783" t="str">
            <v>EALC</v>
          </cell>
          <cell r="F3783" t="str">
            <v>EALC-E</v>
          </cell>
          <cell r="G3783">
            <v>350</v>
          </cell>
          <cell r="H3783" t="str">
            <v>EALC-E350</v>
          </cell>
          <cell r="K3783" t="str">
            <v>Bovingdon,Gardner</v>
          </cell>
          <cell r="N3783">
            <v>3.2829999999999999</v>
          </cell>
          <cell r="O3783">
            <v>2.9020000000000001</v>
          </cell>
        </row>
        <row r="3784">
          <cell r="E3784" t="str">
            <v>EALC</v>
          </cell>
          <cell r="F3784" t="str">
            <v>EALC-E</v>
          </cell>
          <cell r="G3784">
            <v>350</v>
          </cell>
          <cell r="H3784" t="str">
            <v>EALC-E350</v>
          </cell>
          <cell r="K3784" t="str">
            <v>Cornell,Laurel L.</v>
          </cell>
          <cell r="N3784">
            <v>3.427</v>
          </cell>
          <cell r="O3784">
            <v>2.8639999999999999</v>
          </cell>
        </row>
        <row r="3785">
          <cell r="E3785" t="str">
            <v>EALC</v>
          </cell>
          <cell r="F3785" t="str">
            <v>EALC-E</v>
          </cell>
          <cell r="G3785">
            <v>350</v>
          </cell>
          <cell r="H3785" t="str">
            <v>EALC-E350</v>
          </cell>
          <cell r="K3785" t="str">
            <v>Friedman,Sara Lizbeth</v>
          </cell>
          <cell r="N3785" t="str">
            <v>NR</v>
          </cell>
          <cell r="O3785" t="str">
            <v>NR</v>
          </cell>
        </row>
        <row r="3786">
          <cell r="E3786" t="str">
            <v>EALC</v>
          </cell>
          <cell r="F3786" t="str">
            <v>EALC-E</v>
          </cell>
          <cell r="G3786">
            <v>350</v>
          </cell>
          <cell r="H3786" t="str">
            <v>EALC-E350</v>
          </cell>
          <cell r="K3786" t="str">
            <v>Jung,Heon Joo</v>
          </cell>
          <cell r="N3786">
            <v>3.2669999999999999</v>
          </cell>
          <cell r="O3786">
            <v>3.0129999999999999</v>
          </cell>
        </row>
        <row r="3787">
          <cell r="E3787" t="str">
            <v>EALC</v>
          </cell>
          <cell r="F3787" t="str">
            <v>EALC-E</v>
          </cell>
          <cell r="G3787">
            <v>350</v>
          </cell>
          <cell r="H3787" t="str">
            <v>EALC-E350</v>
          </cell>
          <cell r="K3787" t="str">
            <v>Michelson,Ethan</v>
          </cell>
          <cell r="N3787">
            <v>3.8</v>
          </cell>
          <cell r="O3787">
            <v>3.7050000000000001</v>
          </cell>
        </row>
        <row r="3788">
          <cell r="E3788" t="str">
            <v>EALC</v>
          </cell>
          <cell r="F3788" t="str">
            <v>EALC-E</v>
          </cell>
          <cell r="G3788">
            <v>350</v>
          </cell>
          <cell r="H3788" t="str">
            <v>EALC-E350</v>
          </cell>
          <cell r="K3788" t="str">
            <v>Rubinger,Richard</v>
          </cell>
          <cell r="N3788">
            <v>3.0640000000000001</v>
          </cell>
          <cell r="O3788">
            <v>3.07</v>
          </cell>
        </row>
        <row r="3789">
          <cell r="E3789" t="str">
            <v>EALC</v>
          </cell>
          <cell r="F3789" t="str">
            <v>EALC-E</v>
          </cell>
          <cell r="G3789">
            <v>350</v>
          </cell>
          <cell r="H3789" t="str">
            <v>EALC-E350</v>
          </cell>
          <cell r="K3789" t="str">
            <v>Woo,Seongji</v>
          </cell>
          <cell r="N3789">
            <v>3.51</v>
          </cell>
          <cell r="O3789">
            <v>3.0219999999999998</v>
          </cell>
        </row>
        <row r="3790">
          <cell r="E3790" t="str">
            <v>EALC</v>
          </cell>
          <cell r="F3790" t="str">
            <v>EALC-E</v>
          </cell>
          <cell r="G3790">
            <v>351</v>
          </cell>
          <cell r="H3790" t="str">
            <v>EALC-E351</v>
          </cell>
          <cell r="K3790" t="str">
            <v>Luo,Manling</v>
          </cell>
          <cell r="N3790">
            <v>3.1709999999999998</v>
          </cell>
          <cell r="O3790">
            <v>2.9910000000000001</v>
          </cell>
        </row>
        <row r="3791">
          <cell r="E3791" t="str">
            <v>EALC</v>
          </cell>
          <cell r="F3791" t="str">
            <v>EALC-E</v>
          </cell>
          <cell r="G3791">
            <v>352</v>
          </cell>
          <cell r="H3791" t="str">
            <v>EALC-E352</v>
          </cell>
          <cell r="K3791" t="str">
            <v>O'Bryan,Scott Patrick</v>
          </cell>
          <cell r="N3791">
            <v>3.2429999999999999</v>
          </cell>
          <cell r="O3791">
            <v>3.1110000000000002</v>
          </cell>
        </row>
        <row r="3792">
          <cell r="E3792" t="str">
            <v>EALC</v>
          </cell>
          <cell r="F3792" t="str">
            <v>EALC-E</v>
          </cell>
          <cell r="G3792">
            <v>352</v>
          </cell>
          <cell r="H3792" t="str">
            <v>EALC-E352</v>
          </cell>
          <cell r="K3792" t="str">
            <v>Rubinger,Richard</v>
          </cell>
          <cell r="N3792">
            <v>3.3130000000000002</v>
          </cell>
          <cell r="O3792">
            <v>3.0249999999999999</v>
          </cell>
        </row>
        <row r="3793">
          <cell r="E3793" t="str">
            <v>EALC</v>
          </cell>
          <cell r="F3793" t="str">
            <v>EALC-E</v>
          </cell>
          <cell r="G3793">
            <v>354</v>
          </cell>
          <cell r="H3793" t="str">
            <v>EALC-E354</v>
          </cell>
          <cell r="K3793" t="str">
            <v>Rubinger,Richard</v>
          </cell>
          <cell r="N3793">
            <v>3.0190000000000001</v>
          </cell>
          <cell r="O3793">
            <v>3.044</v>
          </cell>
        </row>
        <row r="3794">
          <cell r="E3794" t="str">
            <v>EALC</v>
          </cell>
          <cell r="F3794" t="str">
            <v>EALC-E</v>
          </cell>
          <cell r="G3794">
            <v>372</v>
          </cell>
          <cell r="H3794" t="str">
            <v>EALC-E372</v>
          </cell>
          <cell r="K3794" t="str">
            <v>Suzuki,Michiko</v>
          </cell>
          <cell r="N3794">
            <v>3.496</v>
          </cell>
          <cell r="O3794">
            <v>3.0609999999999999</v>
          </cell>
        </row>
        <row r="3795">
          <cell r="E3795" t="str">
            <v>EALC</v>
          </cell>
          <cell r="F3795" t="str">
            <v>EALC-E</v>
          </cell>
          <cell r="G3795">
            <v>374</v>
          </cell>
          <cell r="H3795" t="str">
            <v>EALC-E374</v>
          </cell>
          <cell r="K3795" t="str">
            <v>Stalnaker,Aaron Dean</v>
          </cell>
          <cell r="N3795">
            <v>2.91</v>
          </cell>
          <cell r="O3795">
            <v>3.03</v>
          </cell>
        </row>
        <row r="3796">
          <cell r="E3796" t="str">
            <v>EALC</v>
          </cell>
          <cell r="F3796" t="str">
            <v>EALC-E</v>
          </cell>
          <cell r="G3796">
            <v>390</v>
          </cell>
          <cell r="H3796" t="str">
            <v>EALC-E390</v>
          </cell>
          <cell r="K3796" t="str">
            <v>Wang,Qun</v>
          </cell>
          <cell r="N3796">
            <v>3.35</v>
          </cell>
          <cell r="O3796">
            <v>3.0259999999999998</v>
          </cell>
        </row>
        <row r="3797">
          <cell r="E3797" t="str">
            <v>EALC</v>
          </cell>
          <cell r="F3797" t="str">
            <v>EALC-E</v>
          </cell>
          <cell r="G3797">
            <v>393</v>
          </cell>
          <cell r="H3797" t="str">
            <v>EALC-E393</v>
          </cell>
          <cell r="K3797" t="str">
            <v>Kennedy,Scott</v>
          </cell>
          <cell r="N3797">
            <v>2.6419999999999999</v>
          </cell>
          <cell r="O3797">
            <v>2.798</v>
          </cell>
        </row>
        <row r="3798">
          <cell r="E3798" t="str">
            <v>EALC</v>
          </cell>
          <cell r="F3798" t="str">
            <v>EALC-E</v>
          </cell>
          <cell r="G3798">
            <v>505</v>
          </cell>
          <cell r="H3798" t="str">
            <v>EALC-E505</v>
          </cell>
          <cell r="K3798" t="str">
            <v>Eno,Robert J.</v>
          </cell>
          <cell r="N3798" t="str">
            <v>NR</v>
          </cell>
          <cell r="O3798" t="str">
            <v>NR</v>
          </cell>
        </row>
        <row r="3799">
          <cell r="E3799" t="str">
            <v>EALC</v>
          </cell>
          <cell r="F3799" t="str">
            <v>EALC-E</v>
          </cell>
          <cell r="G3799">
            <v>505</v>
          </cell>
          <cell r="H3799" t="str">
            <v>EALC-E505</v>
          </cell>
          <cell r="K3799" t="str">
            <v>Friedman,Sara Lizbeth</v>
          </cell>
          <cell r="N3799" t="str">
            <v>NR</v>
          </cell>
          <cell r="O3799" t="str">
            <v>NR</v>
          </cell>
        </row>
        <row r="3800">
          <cell r="E3800" t="str">
            <v>EALC</v>
          </cell>
          <cell r="F3800" t="str">
            <v>EALC-E</v>
          </cell>
          <cell r="G3800">
            <v>505</v>
          </cell>
          <cell r="H3800" t="str">
            <v>EALC-E505</v>
          </cell>
          <cell r="K3800" t="str">
            <v>Jung,Heon Joo</v>
          </cell>
          <cell r="N3800" t="str">
            <v>NR</v>
          </cell>
          <cell r="O3800" t="str">
            <v>NR</v>
          </cell>
        </row>
        <row r="3801">
          <cell r="E3801" t="str">
            <v>EALC</v>
          </cell>
          <cell r="F3801" t="str">
            <v>EALC-E</v>
          </cell>
          <cell r="G3801">
            <v>505</v>
          </cell>
          <cell r="H3801" t="str">
            <v>EALC-E505</v>
          </cell>
          <cell r="K3801" t="str">
            <v>Kang,Hye Seung(Theresa)</v>
          </cell>
          <cell r="N3801" t="str">
            <v>NR</v>
          </cell>
          <cell r="O3801" t="str">
            <v>NR</v>
          </cell>
        </row>
        <row r="3802">
          <cell r="E3802" t="str">
            <v>EALC</v>
          </cell>
          <cell r="F3802" t="str">
            <v>EALC-E</v>
          </cell>
          <cell r="G3802">
            <v>505</v>
          </cell>
          <cell r="H3802" t="str">
            <v>EALC-E505</v>
          </cell>
          <cell r="K3802" t="str">
            <v>Kennedy,Scott</v>
          </cell>
          <cell r="N3802" t="str">
            <v>NR</v>
          </cell>
          <cell r="O3802" t="str">
            <v>NR</v>
          </cell>
        </row>
        <row r="3803">
          <cell r="E3803" t="str">
            <v>EALC</v>
          </cell>
          <cell r="F3803" t="str">
            <v>EALC-E</v>
          </cell>
          <cell r="G3803">
            <v>505</v>
          </cell>
          <cell r="H3803" t="str">
            <v>EALC-E505</v>
          </cell>
          <cell r="K3803" t="str">
            <v>Luo,Manling</v>
          </cell>
          <cell r="N3803" t="str">
            <v>NR</v>
          </cell>
          <cell r="O3803" t="str">
            <v>NR</v>
          </cell>
        </row>
        <row r="3804">
          <cell r="E3804" t="str">
            <v>EALC</v>
          </cell>
          <cell r="F3804" t="str">
            <v>EALC-E</v>
          </cell>
          <cell r="G3804">
            <v>505</v>
          </cell>
          <cell r="H3804" t="str">
            <v>EALC-E505</v>
          </cell>
          <cell r="K3804" t="str">
            <v>Michelson,Ethan</v>
          </cell>
          <cell r="N3804" t="str">
            <v>NR</v>
          </cell>
          <cell r="O3804" t="str">
            <v>NR</v>
          </cell>
        </row>
        <row r="3805">
          <cell r="E3805" t="str">
            <v>EALC</v>
          </cell>
          <cell r="F3805" t="str">
            <v>EALC-E</v>
          </cell>
          <cell r="G3805">
            <v>505</v>
          </cell>
          <cell r="H3805" t="str">
            <v>EALC-E505</v>
          </cell>
          <cell r="K3805" t="str">
            <v>O'Bryan,Scott Patrick</v>
          </cell>
          <cell r="N3805" t="str">
            <v>NR</v>
          </cell>
          <cell r="O3805" t="str">
            <v>NR</v>
          </cell>
        </row>
        <row r="3806">
          <cell r="E3806" t="str">
            <v>EALC</v>
          </cell>
          <cell r="F3806" t="str">
            <v>EALC-E</v>
          </cell>
          <cell r="G3806">
            <v>505</v>
          </cell>
          <cell r="H3806" t="str">
            <v>EALC-E505</v>
          </cell>
          <cell r="K3806" t="str">
            <v>Rubinger,Richard</v>
          </cell>
          <cell r="N3806" t="str">
            <v>NR</v>
          </cell>
          <cell r="O3806" t="str">
            <v>NR</v>
          </cell>
        </row>
        <row r="3807">
          <cell r="E3807" t="str">
            <v>EALC</v>
          </cell>
          <cell r="F3807" t="str">
            <v>EALC-E</v>
          </cell>
          <cell r="G3807">
            <v>505</v>
          </cell>
          <cell r="H3807" t="str">
            <v>EALC-E505</v>
          </cell>
          <cell r="K3807" t="str">
            <v>Rubinger,Richard</v>
          </cell>
          <cell r="N3807" t="str">
            <v>NR</v>
          </cell>
          <cell r="O3807" t="str">
            <v>NR</v>
          </cell>
        </row>
        <row r="3808">
          <cell r="E3808" t="str">
            <v>EALC</v>
          </cell>
          <cell r="F3808" t="str">
            <v>EALC-E</v>
          </cell>
          <cell r="G3808">
            <v>505</v>
          </cell>
          <cell r="H3808" t="str">
            <v>EALC-E505</v>
          </cell>
          <cell r="K3808" t="str">
            <v>Sarra,Edith Lorraine</v>
          </cell>
          <cell r="N3808" t="str">
            <v>NR</v>
          </cell>
          <cell r="O3808" t="str">
            <v>NR</v>
          </cell>
        </row>
        <row r="3809">
          <cell r="E3809" t="str">
            <v>EALC</v>
          </cell>
          <cell r="F3809" t="str">
            <v>EALC-E</v>
          </cell>
          <cell r="G3809">
            <v>505</v>
          </cell>
          <cell r="H3809" t="str">
            <v>EALC-E505</v>
          </cell>
          <cell r="K3809" t="str">
            <v>Suzuki,Michiko</v>
          </cell>
          <cell r="N3809" t="str">
            <v>NR</v>
          </cell>
          <cell r="O3809" t="str">
            <v>NR</v>
          </cell>
        </row>
        <row r="3810">
          <cell r="E3810" t="str">
            <v>EALC</v>
          </cell>
          <cell r="F3810" t="str">
            <v>EALC-E</v>
          </cell>
          <cell r="G3810">
            <v>505</v>
          </cell>
          <cell r="H3810" t="str">
            <v>EALC-E505</v>
          </cell>
          <cell r="K3810" t="str">
            <v>Suzuki,Michiko</v>
          </cell>
          <cell r="N3810" t="str">
            <v>NR</v>
          </cell>
          <cell r="O3810" t="str">
            <v>NR</v>
          </cell>
        </row>
        <row r="3811">
          <cell r="E3811" t="str">
            <v>EALC</v>
          </cell>
          <cell r="F3811" t="str">
            <v>EALC-E</v>
          </cell>
          <cell r="G3811">
            <v>505</v>
          </cell>
          <cell r="H3811" t="str">
            <v>EALC-E505</v>
          </cell>
          <cell r="K3811" t="str">
            <v>Xiao,Tie</v>
          </cell>
          <cell r="N3811" t="str">
            <v>NR</v>
          </cell>
          <cell r="O3811" t="str">
            <v>NR</v>
          </cell>
        </row>
        <row r="3812">
          <cell r="E3812" t="str">
            <v>EALC</v>
          </cell>
          <cell r="F3812" t="str">
            <v>EALC-E</v>
          </cell>
          <cell r="G3812">
            <v>554</v>
          </cell>
          <cell r="H3812" t="str">
            <v>EALC-E554</v>
          </cell>
          <cell r="K3812" t="str">
            <v>Rubinger,Richard</v>
          </cell>
          <cell r="N3812" t="str">
            <v>NR</v>
          </cell>
          <cell r="O3812" t="str">
            <v>NR</v>
          </cell>
        </row>
        <row r="3813">
          <cell r="E3813" t="str">
            <v>EALC</v>
          </cell>
          <cell r="F3813" t="str">
            <v>EALC-E</v>
          </cell>
          <cell r="G3813">
            <v>574</v>
          </cell>
          <cell r="H3813" t="str">
            <v>EALC-E574</v>
          </cell>
          <cell r="K3813" t="str">
            <v>Stalnaker,Aaron Dean</v>
          </cell>
          <cell r="N3813" t="str">
            <v>NR</v>
          </cell>
          <cell r="O3813" t="str">
            <v>NR</v>
          </cell>
        </row>
        <row r="3814">
          <cell r="E3814" t="str">
            <v>EALC</v>
          </cell>
          <cell r="F3814" t="str">
            <v>EALC-E</v>
          </cell>
          <cell r="G3814">
            <v>592</v>
          </cell>
          <cell r="H3814" t="str">
            <v>EALC-E592</v>
          </cell>
          <cell r="K3814" t="str">
            <v>Jung,Heon Joo</v>
          </cell>
          <cell r="N3814" t="str">
            <v>NR</v>
          </cell>
          <cell r="O3814" t="str">
            <v>NR</v>
          </cell>
        </row>
        <row r="3815">
          <cell r="E3815" t="str">
            <v>EALC</v>
          </cell>
          <cell r="F3815" t="str">
            <v>EALC-E</v>
          </cell>
          <cell r="G3815">
            <v>595</v>
          </cell>
          <cell r="H3815" t="str">
            <v>EALC-E595</v>
          </cell>
          <cell r="K3815" t="str">
            <v>Eno,Robert J.</v>
          </cell>
          <cell r="N3815" t="str">
            <v>NR</v>
          </cell>
          <cell r="O3815" t="str">
            <v>NR</v>
          </cell>
        </row>
        <row r="3816">
          <cell r="E3816" t="str">
            <v>EALC</v>
          </cell>
          <cell r="F3816" t="str">
            <v>EALC-E</v>
          </cell>
          <cell r="G3816">
            <v>595</v>
          </cell>
          <cell r="H3816" t="str">
            <v>EALC-E595</v>
          </cell>
          <cell r="K3816" t="str">
            <v>O'Bryan,Scott Patrick</v>
          </cell>
          <cell r="N3816" t="str">
            <v>NR</v>
          </cell>
          <cell r="O3816" t="str">
            <v>NR</v>
          </cell>
        </row>
        <row r="3817">
          <cell r="E3817" t="str">
            <v>EALC</v>
          </cell>
          <cell r="F3817" t="str">
            <v>EALC-E</v>
          </cell>
          <cell r="G3817">
            <v>597</v>
          </cell>
          <cell r="H3817" t="str">
            <v>EALC-E597</v>
          </cell>
          <cell r="K3817" t="str">
            <v>Eno,Robert J.</v>
          </cell>
          <cell r="N3817" t="str">
            <v>NR</v>
          </cell>
          <cell r="O3817" t="str">
            <v>NR</v>
          </cell>
        </row>
        <row r="3818">
          <cell r="E3818" t="str">
            <v>EALC</v>
          </cell>
          <cell r="F3818" t="str">
            <v>EALC-E</v>
          </cell>
          <cell r="G3818">
            <v>597</v>
          </cell>
          <cell r="H3818" t="str">
            <v>EALC-E597</v>
          </cell>
          <cell r="K3818" t="str">
            <v>O'Bryan,Scott Patrick</v>
          </cell>
          <cell r="N3818" t="str">
            <v>NR</v>
          </cell>
          <cell r="O3818" t="str">
            <v>NR</v>
          </cell>
        </row>
        <row r="3819">
          <cell r="E3819" t="str">
            <v>EALC</v>
          </cell>
          <cell r="F3819" t="str">
            <v>EALC-E</v>
          </cell>
          <cell r="G3819">
            <v>600</v>
          </cell>
          <cell r="H3819" t="str">
            <v>EALC-E600</v>
          </cell>
          <cell r="K3819" t="str">
            <v>Kennedy,Scott</v>
          </cell>
          <cell r="N3819" t="str">
            <v>NR</v>
          </cell>
          <cell r="O3819" t="str">
            <v>NR</v>
          </cell>
        </row>
        <row r="3820">
          <cell r="E3820" t="str">
            <v>EALC</v>
          </cell>
          <cell r="F3820" t="str">
            <v>EALC-E</v>
          </cell>
          <cell r="G3820">
            <v>600</v>
          </cell>
          <cell r="H3820" t="str">
            <v>EALC-E600</v>
          </cell>
          <cell r="K3820" t="str">
            <v>Lin,Chien-Jer Charles</v>
          </cell>
          <cell r="N3820" t="str">
            <v>NR</v>
          </cell>
          <cell r="O3820" t="str">
            <v>NR</v>
          </cell>
        </row>
        <row r="3821">
          <cell r="E3821" t="str">
            <v>EALC</v>
          </cell>
          <cell r="F3821" t="str">
            <v>EALC-E</v>
          </cell>
          <cell r="G3821">
            <v>604</v>
          </cell>
          <cell r="H3821" t="str">
            <v>EALC-E604</v>
          </cell>
          <cell r="K3821" t="str">
            <v>O'Bryan,Scott Patrick</v>
          </cell>
          <cell r="N3821">
            <v>3.8879999999999999</v>
          </cell>
          <cell r="O3821">
            <v>3.8519999999999999</v>
          </cell>
        </row>
        <row r="3822">
          <cell r="E3822" t="str">
            <v>EALC</v>
          </cell>
          <cell r="F3822" t="str">
            <v>EALC-E</v>
          </cell>
          <cell r="G3822">
            <v>700</v>
          </cell>
          <cell r="H3822" t="str">
            <v>EALC-E700</v>
          </cell>
          <cell r="K3822" t="str">
            <v>O'Bryan,Scott Patrick</v>
          </cell>
          <cell r="N3822" t="str">
            <v>NR</v>
          </cell>
          <cell r="O3822" t="str">
            <v>NR</v>
          </cell>
        </row>
        <row r="3823">
          <cell r="E3823" t="str">
            <v>EALC</v>
          </cell>
          <cell r="F3823" t="str">
            <v>EALC-G</v>
          </cell>
          <cell r="G3823">
            <v>599</v>
          </cell>
          <cell r="H3823" t="str">
            <v>EALC-G599</v>
          </cell>
          <cell r="K3823" t="str">
            <v>O'Bryan,Scott Patrick</v>
          </cell>
          <cell r="N3823" t="str">
            <v>NR</v>
          </cell>
          <cell r="O3823" t="str">
            <v>NR</v>
          </cell>
        </row>
        <row r="3824">
          <cell r="E3824" t="str">
            <v>EALC</v>
          </cell>
          <cell r="F3824" t="str">
            <v>EALC-G</v>
          </cell>
          <cell r="G3824">
            <v>901</v>
          </cell>
          <cell r="H3824" t="str">
            <v>EALC-G901</v>
          </cell>
          <cell r="K3824" t="str">
            <v>Eno,Robert J.</v>
          </cell>
          <cell r="N3824" t="str">
            <v>NR</v>
          </cell>
          <cell r="O3824" t="str">
            <v>NR</v>
          </cell>
        </row>
        <row r="3825">
          <cell r="E3825" t="str">
            <v>EALC</v>
          </cell>
          <cell r="F3825" t="str">
            <v>EALC-G</v>
          </cell>
          <cell r="G3825">
            <v>901</v>
          </cell>
          <cell r="H3825" t="str">
            <v>EALC-G901</v>
          </cell>
          <cell r="K3825" t="str">
            <v>O'Bryan,Scott Patrick</v>
          </cell>
          <cell r="N3825" t="str">
            <v>NR</v>
          </cell>
          <cell r="O3825" t="str">
            <v>NR</v>
          </cell>
        </row>
        <row r="3826">
          <cell r="E3826" t="str">
            <v>EALC</v>
          </cell>
          <cell r="F3826" t="str">
            <v>EALC-H</v>
          </cell>
          <cell r="G3826">
            <v>399</v>
          </cell>
          <cell r="H3826" t="str">
            <v>EALC-H399</v>
          </cell>
          <cell r="K3826" t="str">
            <v>Kasza,Gregory J.</v>
          </cell>
          <cell r="N3826" t="str">
            <v>NR</v>
          </cell>
          <cell r="O3826" t="str">
            <v>NR</v>
          </cell>
        </row>
        <row r="3827">
          <cell r="E3827" t="str">
            <v>EALC</v>
          </cell>
          <cell r="F3827" t="str">
            <v>EALC-H</v>
          </cell>
          <cell r="G3827">
            <v>499</v>
          </cell>
          <cell r="H3827" t="str">
            <v>EALC-H499</v>
          </cell>
          <cell r="K3827" t="str">
            <v>Suzuki,Michiko</v>
          </cell>
          <cell r="N3827" t="str">
            <v>NR</v>
          </cell>
          <cell r="O3827" t="str">
            <v>NR</v>
          </cell>
        </row>
        <row r="3828">
          <cell r="E3828" t="str">
            <v>EALC</v>
          </cell>
          <cell r="F3828" t="str">
            <v>EALC-J</v>
          </cell>
          <cell r="G3828">
            <v>101</v>
          </cell>
          <cell r="H3828" t="str">
            <v>EALC-J101</v>
          </cell>
          <cell r="K3828" t="str">
            <v>Matsubara,Misako</v>
          </cell>
          <cell r="N3828">
            <v>2.9470000000000001</v>
          </cell>
          <cell r="O3828">
            <v>2.9740000000000002</v>
          </cell>
        </row>
        <row r="3829">
          <cell r="E3829" t="str">
            <v>EALC</v>
          </cell>
          <cell r="F3829" t="str">
            <v>EALC-J</v>
          </cell>
          <cell r="G3829">
            <v>101</v>
          </cell>
          <cell r="H3829" t="str">
            <v>EALC-J101</v>
          </cell>
          <cell r="K3829" t="str">
            <v>Matsubara,Misako</v>
          </cell>
          <cell r="N3829">
            <v>3.19</v>
          </cell>
          <cell r="O3829">
            <v>2.8359999999999999</v>
          </cell>
        </row>
        <row r="3830">
          <cell r="E3830" t="str">
            <v>EALC</v>
          </cell>
          <cell r="F3830" t="str">
            <v>EALC-J</v>
          </cell>
          <cell r="G3830">
            <v>101</v>
          </cell>
          <cell r="H3830" t="str">
            <v>EALC-J101</v>
          </cell>
          <cell r="K3830" t="str">
            <v>Matsubara,Misako</v>
          </cell>
          <cell r="N3830">
            <v>2.5840000000000001</v>
          </cell>
          <cell r="O3830">
            <v>2.641</v>
          </cell>
        </row>
        <row r="3831">
          <cell r="E3831" t="str">
            <v>EALC</v>
          </cell>
          <cell r="F3831" t="str">
            <v>EALC-J</v>
          </cell>
          <cell r="G3831">
            <v>101</v>
          </cell>
          <cell r="H3831" t="str">
            <v>EALC-J101</v>
          </cell>
          <cell r="K3831" t="str">
            <v>Matsubara,Misako</v>
          </cell>
          <cell r="N3831" t="str">
            <v>NR</v>
          </cell>
          <cell r="O3831" t="str">
            <v>NR</v>
          </cell>
        </row>
        <row r="3832">
          <cell r="E3832" t="str">
            <v>EALC</v>
          </cell>
          <cell r="F3832" t="str">
            <v>EALC-J</v>
          </cell>
          <cell r="G3832">
            <v>101</v>
          </cell>
          <cell r="H3832" t="str">
            <v>EALC-J101</v>
          </cell>
          <cell r="K3832" t="str">
            <v>Matsubara,Misako</v>
          </cell>
          <cell r="N3832" t="str">
            <v>NR</v>
          </cell>
          <cell r="O3832" t="str">
            <v>NR</v>
          </cell>
        </row>
        <row r="3833">
          <cell r="E3833" t="str">
            <v>EALC</v>
          </cell>
          <cell r="F3833" t="str">
            <v>EALC-J</v>
          </cell>
          <cell r="G3833">
            <v>102</v>
          </cell>
          <cell r="H3833" t="str">
            <v>EALC-J102</v>
          </cell>
          <cell r="K3833" t="str">
            <v>Kuriyama,Keiko</v>
          </cell>
          <cell r="N3833">
            <v>2.8559999999999999</v>
          </cell>
          <cell r="O3833">
            <v>2.9870000000000001</v>
          </cell>
        </row>
        <row r="3834">
          <cell r="E3834" t="str">
            <v>EALC</v>
          </cell>
          <cell r="F3834" t="str">
            <v>EALC-J</v>
          </cell>
          <cell r="G3834">
            <v>102</v>
          </cell>
          <cell r="H3834" t="str">
            <v>EALC-J102</v>
          </cell>
          <cell r="K3834" t="str">
            <v>Kuriyama,Keiko</v>
          </cell>
          <cell r="N3834">
            <v>2.8879999999999999</v>
          </cell>
          <cell r="O3834">
            <v>3.0259999999999998</v>
          </cell>
        </row>
        <row r="3835">
          <cell r="E3835" t="str">
            <v>EALC</v>
          </cell>
          <cell r="F3835" t="str">
            <v>EALC-J</v>
          </cell>
          <cell r="G3835">
            <v>201</v>
          </cell>
          <cell r="H3835" t="str">
            <v>EALC-J201</v>
          </cell>
          <cell r="K3835" t="str">
            <v>Kuriyama,Keiko</v>
          </cell>
          <cell r="N3835">
            <v>2.7549999999999999</v>
          </cell>
          <cell r="O3835">
            <v>2.9940000000000002</v>
          </cell>
        </row>
        <row r="3836">
          <cell r="E3836" t="str">
            <v>EALC</v>
          </cell>
          <cell r="F3836" t="str">
            <v>EALC-J</v>
          </cell>
          <cell r="G3836">
            <v>201</v>
          </cell>
          <cell r="H3836" t="str">
            <v>EALC-J201</v>
          </cell>
          <cell r="K3836" t="str">
            <v>Kuriyama,Keiko</v>
          </cell>
          <cell r="N3836" t="str">
            <v>NR</v>
          </cell>
          <cell r="O3836" t="str">
            <v>NR</v>
          </cell>
        </row>
        <row r="3837">
          <cell r="E3837" t="str">
            <v>EALC</v>
          </cell>
          <cell r="F3837" t="str">
            <v>EALC-J</v>
          </cell>
          <cell r="G3837">
            <v>201</v>
          </cell>
          <cell r="H3837" t="str">
            <v>EALC-J201</v>
          </cell>
          <cell r="K3837" t="str">
            <v>Kuriyama,Keiko</v>
          </cell>
          <cell r="N3837">
            <v>2.8650000000000002</v>
          </cell>
          <cell r="O3837">
            <v>3.0840000000000001</v>
          </cell>
        </row>
        <row r="3838">
          <cell r="E3838" t="str">
            <v>EALC</v>
          </cell>
          <cell r="F3838" t="str">
            <v>EALC-J</v>
          </cell>
          <cell r="G3838">
            <v>202</v>
          </cell>
          <cell r="H3838" t="str">
            <v>EALC-J202</v>
          </cell>
          <cell r="K3838" t="str">
            <v>Matsubara,Misako</v>
          </cell>
          <cell r="N3838">
            <v>2.9089999999999998</v>
          </cell>
          <cell r="O3838">
            <v>3.2440000000000002</v>
          </cell>
        </row>
        <row r="3839">
          <cell r="E3839" t="str">
            <v>EALC</v>
          </cell>
          <cell r="F3839" t="str">
            <v>EALC-J</v>
          </cell>
          <cell r="G3839">
            <v>202</v>
          </cell>
          <cell r="H3839" t="str">
            <v>EALC-J202</v>
          </cell>
          <cell r="K3839" t="str">
            <v>Matsubara,Misako</v>
          </cell>
          <cell r="N3839">
            <v>2.6579999999999999</v>
          </cell>
          <cell r="O3839">
            <v>3.1269999999999998</v>
          </cell>
        </row>
        <row r="3840">
          <cell r="E3840" t="str">
            <v>EALC</v>
          </cell>
          <cell r="F3840" t="str">
            <v>EALC-J</v>
          </cell>
          <cell r="G3840">
            <v>202</v>
          </cell>
          <cell r="H3840" t="str">
            <v>EALC-J202</v>
          </cell>
          <cell r="K3840" t="str">
            <v>Matsubara,Misako</v>
          </cell>
          <cell r="N3840" t="str">
            <v>NR</v>
          </cell>
          <cell r="O3840" t="str">
            <v>NR</v>
          </cell>
        </row>
        <row r="3841">
          <cell r="E3841" t="str">
            <v>EALC</v>
          </cell>
          <cell r="F3841" t="str">
            <v>EALC-J</v>
          </cell>
          <cell r="G3841">
            <v>301</v>
          </cell>
          <cell r="H3841" t="str">
            <v>EALC-J301</v>
          </cell>
          <cell r="K3841" t="str">
            <v>Matsubara,Misako</v>
          </cell>
          <cell r="N3841">
            <v>3.157</v>
          </cell>
          <cell r="O3841">
            <v>3.351</v>
          </cell>
        </row>
        <row r="3842">
          <cell r="E3842" t="str">
            <v>EALC</v>
          </cell>
          <cell r="F3842" t="str">
            <v>EALC-J</v>
          </cell>
          <cell r="G3842">
            <v>301</v>
          </cell>
          <cell r="H3842" t="str">
            <v>EALC-J301</v>
          </cell>
          <cell r="K3842" t="str">
            <v>Matsubara,Misako</v>
          </cell>
          <cell r="N3842">
            <v>3.3170000000000002</v>
          </cell>
          <cell r="O3842">
            <v>3.2229999999999999</v>
          </cell>
        </row>
        <row r="3843">
          <cell r="E3843" t="str">
            <v>EALC</v>
          </cell>
          <cell r="F3843" t="str">
            <v>EALC-J</v>
          </cell>
          <cell r="G3843">
            <v>302</v>
          </cell>
          <cell r="H3843" t="str">
            <v>EALC-J302</v>
          </cell>
          <cell r="K3843" t="str">
            <v>Matsubara,Misako</v>
          </cell>
          <cell r="N3843">
            <v>3.1789999999999998</v>
          </cell>
          <cell r="O3843">
            <v>3.4420000000000002</v>
          </cell>
        </row>
        <row r="3844">
          <cell r="E3844" t="str">
            <v>EALC</v>
          </cell>
          <cell r="F3844" t="str">
            <v>EALC-J</v>
          </cell>
          <cell r="G3844">
            <v>302</v>
          </cell>
          <cell r="H3844" t="str">
            <v>EALC-J302</v>
          </cell>
          <cell r="K3844" t="str">
            <v>Matsubara,Misako</v>
          </cell>
          <cell r="N3844">
            <v>3.3119999999999998</v>
          </cell>
          <cell r="O3844">
            <v>3.2530000000000001</v>
          </cell>
        </row>
        <row r="3845">
          <cell r="E3845" t="str">
            <v>EALC</v>
          </cell>
          <cell r="F3845" t="str">
            <v>EALC-J</v>
          </cell>
          <cell r="G3845">
            <v>311</v>
          </cell>
          <cell r="H3845" t="str">
            <v>EALC-J311</v>
          </cell>
          <cell r="K3845" t="str">
            <v>Kuriyama,Keiko</v>
          </cell>
          <cell r="N3845" t="str">
            <v>NR</v>
          </cell>
          <cell r="O3845" t="str">
            <v>NR</v>
          </cell>
        </row>
        <row r="3846">
          <cell r="E3846" t="str">
            <v>EALC</v>
          </cell>
          <cell r="F3846" t="str">
            <v>EALC-J</v>
          </cell>
          <cell r="G3846">
            <v>313</v>
          </cell>
          <cell r="H3846" t="str">
            <v>EALC-J313</v>
          </cell>
          <cell r="K3846" t="str">
            <v>Kuriyama,Keiko</v>
          </cell>
          <cell r="N3846">
            <v>2.556</v>
          </cell>
          <cell r="O3846">
            <v>3.2559999999999998</v>
          </cell>
        </row>
        <row r="3847">
          <cell r="E3847" t="str">
            <v>EALC</v>
          </cell>
          <cell r="F3847" t="str">
            <v>EALC-J</v>
          </cell>
          <cell r="G3847">
            <v>401</v>
          </cell>
          <cell r="H3847" t="str">
            <v>EALC-J401</v>
          </cell>
          <cell r="K3847" t="str">
            <v>Watt,Yasuko Ito</v>
          </cell>
          <cell r="N3847">
            <v>3.282</v>
          </cell>
          <cell r="O3847">
            <v>3.4020000000000001</v>
          </cell>
        </row>
        <row r="3848">
          <cell r="E3848" t="str">
            <v>EALC</v>
          </cell>
          <cell r="F3848" t="str">
            <v>EALC-J</v>
          </cell>
          <cell r="G3848">
            <v>402</v>
          </cell>
          <cell r="H3848" t="str">
            <v>EALC-J402</v>
          </cell>
          <cell r="K3848" t="str">
            <v>Tsujimura,Natsuko</v>
          </cell>
          <cell r="N3848">
            <v>2.7570000000000001</v>
          </cell>
          <cell r="O3848">
            <v>3.1739999999999999</v>
          </cell>
        </row>
        <row r="3849">
          <cell r="E3849" t="str">
            <v>EALC</v>
          </cell>
          <cell r="F3849" t="str">
            <v>EALC-J</v>
          </cell>
          <cell r="G3849">
            <v>425</v>
          </cell>
          <cell r="H3849" t="str">
            <v>EALC-J425</v>
          </cell>
          <cell r="K3849" t="str">
            <v>Kuriyama,Keiko</v>
          </cell>
          <cell r="N3849" t="str">
            <v>NR</v>
          </cell>
          <cell r="O3849" t="str">
            <v>NR</v>
          </cell>
        </row>
        <row r="3850">
          <cell r="E3850" t="str">
            <v>EALC</v>
          </cell>
          <cell r="F3850" t="str">
            <v>EALC-J</v>
          </cell>
          <cell r="G3850">
            <v>461</v>
          </cell>
          <cell r="H3850" t="str">
            <v>EALC-J461</v>
          </cell>
          <cell r="K3850" t="str">
            <v>Sarra,Edith Lorraine</v>
          </cell>
          <cell r="N3850" t="str">
            <v>NR</v>
          </cell>
          <cell r="O3850" t="str">
            <v>NR</v>
          </cell>
        </row>
        <row r="3851">
          <cell r="E3851" t="str">
            <v>EALC</v>
          </cell>
          <cell r="F3851" t="str">
            <v>EALC-J</v>
          </cell>
          <cell r="G3851">
            <v>491</v>
          </cell>
          <cell r="H3851" t="str">
            <v>EALC-J491</v>
          </cell>
          <cell r="K3851" t="str">
            <v>Sarra,Edith Lorraine</v>
          </cell>
          <cell r="N3851">
            <v>3.6709999999999998</v>
          </cell>
          <cell r="O3851">
            <v>3.528</v>
          </cell>
        </row>
        <row r="3852">
          <cell r="E3852" t="str">
            <v>EALC</v>
          </cell>
          <cell r="F3852" t="str">
            <v>EALC-J</v>
          </cell>
          <cell r="G3852">
            <v>505</v>
          </cell>
          <cell r="H3852" t="str">
            <v>EALC-J505</v>
          </cell>
          <cell r="K3852" t="str">
            <v>Sarra,Edith Lorraine</v>
          </cell>
          <cell r="N3852" t="str">
            <v>NR</v>
          </cell>
          <cell r="O3852" t="str">
            <v>NR</v>
          </cell>
        </row>
        <row r="3853">
          <cell r="E3853" t="str">
            <v>EALC</v>
          </cell>
          <cell r="F3853" t="str">
            <v>EALC-J</v>
          </cell>
          <cell r="G3853">
            <v>506</v>
          </cell>
          <cell r="H3853" t="str">
            <v>EALC-J506</v>
          </cell>
          <cell r="K3853" t="str">
            <v>Sarra,Edith Lorraine</v>
          </cell>
          <cell r="N3853" t="str">
            <v>NR</v>
          </cell>
          <cell r="O3853" t="str">
            <v>NR</v>
          </cell>
        </row>
        <row r="3854">
          <cell r="E3854" t="str">
            <v>EALC</v>
          </cell>
          <cell r="F3854" t="str">
            <v>EALC-J</v>
          </cell>
          <cell r="G3854">
            <v>511</v>
          </cell>
          <cell r="H3854" t="str">
            <v>EALC-J511</v>
          </cell>
          <cell r="K3854" t="str">
            <v>Suzuki,Michiko</v>
          </cell>
          <cell r="N3854" t="str">
            <v>NR</v>
          </cell>
          <cell r="O3854" t="str">
            <v>NR</v>
          </cell>
        </row>
        <row r="3855">
          <cell r="E3855" t="str">
            <v>EALC</v>
          </cell>
          <cell r="F3855" t="str">
            <v>EALC-J</v>
          </cell>
          <cell r="G3855">
            <v>525</v>
          </cell>
          <cell r="H3855" t="str">
            <v>EALC-J525</v>
          </cell>
          <cell r="K3855" t="str">
            <v>Kuriyama,Keiko</v>
          </cell>
          <cell r="N3855" t="str">
            <v>NR</v>
          </cell>
          <cell r="O3855" t="str">
            <v>NR</v>
          </cell>
        </row>
        <row r="3856">
          <cell r="E3856" t="str">
            <v>EALC</v>
          </cell>
          <cell r="F3856" t="str">
            <v>EALC-J</v>
          </cell>
          <cell r="G3856">
            <v>533</v>
          </cell>
          <cell r="H3856" t="str">
            <v>EALC-J533</v>
          </cell>
          <cell r="K3856" t="str">
            <v>Matsubara,Misako</v>
          </cell>
          <cell r="N3856" t="str">
            <v>NR</v>
          </cell>
          <cell r="O3856" t="str">
            <v>NR</v>
          </cell>
        </row>
        <row r="3857">
          <cell r="E3857" t="str">
            <v>EALC</v>
          </cell>
          <cell r="F3857" t="str">
            <v>EALC-J</v>
          </cell>
          <cell r="G3857">
            <v>533</v>
          </cell>
          <cell r="H3857" t="str">
            <v>EALC-J533</v>
          </cell>
          <cell r="K3857" t="str">
            <v>Matsubara,Misako</v>
          </cell>
          <cell r="N3857" t="str">
            <v>NR</v>
          </cell>
          <cell r="O3857" t="str">
            <v>NR</v>
          </cell>
        </row>
        <row r="3858">
          <cell r="E3858" t="str">
            <v>EALC</v>
          </cell>
          <cell r="F3858" t="str">
            <v>EALC-J</v>
          </cell>
          <cell r="G3858">
            <v>534</v>
          </cell>
          <cell r="H3858" t="str">
            <v>EALC-J534</v>
          </cell>
          <cell r="K3858" t="str">
            <v>Matsubara,Misako</v>
          </cell>
          <cell r="N3858" t="str">
            <v>NR</v>
          </cell>
          <cell r="O3858" t="str">
            <v>NR</v>
          </cell>
        </row>
        <row r="3859">
          <cell r="E3859" t="str">
            <v>EALC</v>
          </cell>
          <cell r="F3859" t="str">
            <v>EALC-J</v>
          </cell>
          <cell r="G3859">
            <v>534</v>
          </cell>
          <cell r="H3859" t="str">
            <v>EALC-J534</v>
          </cell>
          <cell r="K3859" t="str">
            <v>Matsubara,Misako</v>
          </cell>
          <cell r="N3859" t="str">
            <v>NR</v>
          </cell>
          <cell r="O3859" t="str">
            <v>NR</v>
          </cell>
        </row>
        <row r="3860">
          <cell r="E3860" t="str">
            <v>EALC</v>
          </cell>
          <cell r="F3860" t="str">
            <v>EALC-J</v>
          </cell>
          <cell r="G3860">
            <v>543</v>
          </cell>
          <cell r="H3860" t="str">
            <v>EALC-J543</v>
          </cell>
          <cell r="K3860" t="str">
            <v>Watt,Yasuko Ito</v>
          </cell>
          <cell r="N3860" t="str">
            <v>NR</v>
          </cell>
          <cell r="O3860" t="str">
            <v>NR</v>
          </cell>
        </row>
        <row r="3861">
          <cell r="E3861" t="str">
            <v>EALC</v>
          </cell>
          <cell r="F3861" t="str">
            <v>EALC-J</v>
          </cell>
          <cell r="G3861">
            <v>544</v>
          </cell>
          <cell r="H3861" t="str">
            <v>EALC-J544</v>
          </cell>
          <cell r="K3861" t="str">
            <v>Tsujimura,Natsuko</v>
          </cell>
          <cell r="N3861" t="str">
            <v>NR</v>
          </cell>
          <cell r="O3861" t="str">
            <v>NR</v>
          </cell>
        </row>
        <row r="3862">
          <cell r="E3862" t="str">
            <v>EALC</v>
          </cell>
          <cell r="F3862" t="str">
            <v>EALC-J</v>
          </cell>
          <cell r="G3862">
            <v>701</v>
          </cell>
          <cell r="H3862" t="str">
            <v>EALC-J701</v>
          </cell>
          <cell r="K3862" t="str">
            <v>Eno,Robert J.</v>
          </cell>
          <cell r="N3862" t="str">
            <v>NR</v>
          </cell>
          <cell r="O3862" t="str">
            <v>NR</v>
          </cell>
        </row>
        <row r="3863">
          <cell r="E3863" t="str">
            <v>EALC</v>
          </cell>
          <cell r="F3863" t="str">
            <v>EALC-J</v>
          </cell>
          <cell r="G3863">
            <v>701</v>
          </cell>
          <cell r="H3863" t="str">
            <v>EALC-J701</v>
          </cell>
          <cell r="K3863" t="str">
            <v>O'Bryan,Scott Patrick</v>
          </cell>
          <cell r="N3863" t="str">
            <v>NR</v>
          </cell>
          <cell r="O3863" t="str">
            <v>NR</v>
          </cell>
        </row>
        <row r="3864">
          <cell r="E3864" t="str">
            <v>EALC</v>
          </cell>
          <cell r="F3864" t="str">
            <v>EALC-J</v>
          </cell>
          <cell r="G3864">
            <v>801</v>
          </cell>
          <cell r="H3864" t="str">
            <v>EALC-J801</v>
          </cell>
          <cell r="K3864" t="str">
            <v>Eno,Robert J.</v>
          </cell>
          <cell r="N3864" t="str">
            <v>NR</v>
          </cell>
          <cell r="O3864" t="str">
            <v>NR</v>
          </cell>
        </row>
        <row r="3865">
          <cell r="E3865" t="str">
            <v>EALC</v>
          </cell>
          <cell r="F3865" t="str">
            <v>EALC-J</v>
          </cell>
          <cell r="G3865">
            <v>801</v>
          </cell>
          <cell r="H3865" t="str">
            <v>EALC-J801</v>
          </cell>
          <cell r="K3865" t="str">
            <v>O'Bryan,Scott Patrick</v>
          </cell>
          <cell r="N3865" t="str">
            <v>NR</v>
          </cell>
          <cell r="O3865" t="str">
            <v>NR</v>
          </cell>
        </row>
        <row r="3866">
          <cell r="E3866" t="str">
            <v>EALC</v>
          </cell>
          <cell r="F3866" t="str">
            <v>EALC-K</v>
          </cell>
          <cell r="G3866">
            <v>101</v>
          </cell>
          <cell r="H3866" t="str">
            <v>EALC-K101</v>
          </cell>
          <cell r="K3866" t="str">
            <v>Lee,Hyo Sang</v>
          </cell>
          <cell r="N3866">
            <v>3.19</v>
          </cell>
          <cell r="O3866">
            <v>2.968</v>
          </cell>
        </row>
        <row r="3867">
          <cell r="E3867" t="str">
            <v>EALC</v>
          </cell>
          <cell r="F3867" t="str">
            <v>EALC-K</v>
          </cell>
          <cell r="G3867">
            <v>101</v>
          </cell>
          <cell r="H3867" t="str">
            <v>EALC-K101</v>
          </cell>
          <cell r="K3867" t="str">
            <v>Lee,Hyo Sang</v>
          </cell>
          <cell r="N3867" t="str">
            <v>NR</v>
          </cell>
          <cell r="O3867" t="str">
            <v>NR</v>
          </cell>
        </row>
        <row r="3868">
          <cell r="E3868" t="str">
            <v>EALC</v>
          </cell>
          <cell r="F3868" t="str">
            <v>EALC-K</v>
          </cell>
          <cell r="G3868">
            <v>102</v>
          </cell>
          <cell r="H3868" t="str">
            <v>EALC-K102</v>
          </cell>
          <cell r="K3868" t="str">
            <v>Lee,Hyo Sang</v>
          </cell>
          <cell r="N3868">
            <v>3.0169999999999999</v>
          </cell>
          <cell r="O3868">
            <v>2.948</v>
          </cell>
        </row>
        <row r="3869">
          <cell r="E3869" t="str">
            <v>EALC</v>
          </cell>
          <cell r="F3869" t="str">
            <v>EALC-K</v>
          </cell>
          <cell r="G3869">
            <v>201</v>
          </cell>
          <cell r="H3869" t="str">
            <v>EALC-K201</v>
          </cell>
          <cell r="K3869" t="str">
            <v>Kim,Jungsoo</v>
          </cell>
          <cell r="N3869">
            <v>3.6</v>
          </cell>
          <cell r="O3869">
            <v>2.976</v>
          </cell>
        </row>
        <row r="3870">
          <cell r="E3870" t="str">
            <v>EALC</v>
          </cell>
          <cell r="F3870" t="str">
            <v>EALC-K</v>
          </cell>
          <cell r="G3870">
            <v>202</v>
          </cell>
          <cell r="H3870" t="str">
            <v>EALC-K202</v>
          </cell>
          <cell r="K3870" t="str">
            <v>Lee,Jihye</v>
          </cell>
          <cell r="N3870">
            <v>3.427</v>
          </cell>
          <cell r="O3870">
            <v>3.319</v>
          </cell>
        </row>
        <row r="3871">
          <cell r="E3871" t="str">
            <v>EALC</v>
          </cell>
          <cell r="F3871" t="str">
            <v>EALC-K</v>
          </cell>
          <cell r="G3871">
            <v>202</v>
          </cell>
          <cell r="H3871" t="str">
            <v>EALC-K202</v>
          </cell>
          <cell r="K3871" t="str">
            <v>Lee,Jihye</v>
          </cell>
          <cell r="N3871" t="str">
            <v>NR</v>
          </cell>
          <cell r="O3871" t="str">
            <v>NR</v>
          </cell>
        </row>
        <row r="3872">
          <cell r="E3872" t="str">
            <v>EALC</v>
          </cell>
          <cell r="F3872" t="str">
            <v>EALC-K</v>
          </cell>
          <cell r="G3872">
            <v>301</v>
          </cell>
          <cell r="H3872" t="str">
            <v>EALC-K301</v>
          </cell>
          <cell r="K3872" t="str">
            <v>Kim,Jungsoo</v>
          </cell>
          <cell r="N3872">
            <v>3.8140000000000001</v>
          </cell>
          <cell r="O3872">
            <v>3.472</v>
          </cell>
        </row>
        <row r="3873">
          <cell r="E3873" t="str">
            <v>EALC</v>
          </cell>
          <cell r="F3873" t="str">
            <v>EALC-K</v>
          </cell>
          <cell r="G3873">
            <v>302</v>
          </cell>
          <cell r="H3873" t="str">
            <v>EALC-K302</v>
          </cell>
          <cell r="K3873" t="str">
            <v>Lee,Hyo Sang</v>
          </cell>
          <cell r="N3873" t="str">
            <v>NR</v>
          </cell>
          <cell r="O3873" t="str">
            <v>NR</v>
          </cell>
        </row>
        <row r="3874">
          <cell r="E3874" t="str">
            <v>EALC</v>
          </cell>
          <cell r="F3874" t="str">
            <v>EALC-K</v>
          </cell>
          <cell r="G3874">
            <v>401</v>
          </cell>
          <cell r="H3874" t="str">
            <v>EALC-K401</v>
          </cell>
          <cell r="K3874" t="str">
            <v>Lee,Hyo Sang</v>
          </cell>
          <cell r="N3874" t="str">
            <v>NR</v>
          </cell>
          <cell r="O3874" t="str">
            <v>NR</v>
          </cell>
        </row>
        <row r="3875">
          <cell r="E3875" t="str">
            <v>EALC</v>
          </cell>
          <cell r="F3875" t="str">
            <v>EALC-K</v>
          </cell>
          <cell r="G3875">
            <v>401</v>
          </cell>
          <cell r="H3875" t="str">
            <v>EALC-K401</v>
          </cell>
          <cell r="K3875" t="str">
            <v>Lee,Hyo Sang</v>
          </cell>
          <cell r="N3875" t="str">
            <v>NR</v>
          </cell>
          <cell r="O3875" t="str">
            <v>NR</v>
          </cell>
        </row>
        <row r="3876">
          <cell r="E3876" t="str">
            <v>EALC</v>
          </cell>
          <cell r="F3876" t="str">
            <v>EALC-K</v>
          </cell>
          <cell r="G3876">
            <v>402</v>
          </cell>
          <cell r="H3876" t="str">
            <v>EALC-K402</v>
          </cell>
          <cell r="K3876" t="str">
            <v>Lee,Hyo Sang</v>
          </cell>
          <cell r="N3876">
            <v>3.125</v>
          </cell>
          <cell r="O3876">
            <v>3.3140000000000001</v>
          </cell>
        </row>
        <row r="3877">
          <cell r="E3877" t="str">
            <v>EALC</v>
          </cell>
          <cell r="F3877" t="str">
            <v>EALC-K</v>
          </cell>
          <cell r="G3877">
            <v>501</v>
          </cell>
          <cell r="H3877" t="str">
            <v>EALC-K501</v>
          </cell>
          <cell r="K3877" t="str">
            <v>Lee,Hyo Sang</v>
          </cell>
          <cell r="N3877" t="str">
            <v>NR</v>
          </cell>
          <cell r="O3877" t="str">
            <v>NR</v>
          </cell>
        </row>
        <row r="3878">
          <cell r="E3878" t="str">
            <v>EALC</v>
          </cell>
          <cell r="F3878" t="str">
            <v>EALC-K</v>
          </cell>
          <cell r="G3878">
            <v>501</v>
          </cell>
          <cell r="H3878" t="str">
            <v>EALC-K501</v>
          </cell>
          <cell r="K3878" t="str">
            <v>Lee,Hyo Sang</v>
          </cell>
          <cell r="N3878" t="str">
            <v>NR</v>
          </cell>
          <cell r="O3878" t="str">
            <v>NR</v>
          </cell>
        </row>
        <row r="3879">
          <cell r="E3879" t="str">
            <v>EALC</v>
          </cell>
          <cell r="F3879" t="str">
            <v>EALC-K</v>
          </cell>
          <cell r="G3879">
            <v>502</v>
          </cell>
          <cell r="H3879" t="str">
            <v>EALC-K502</v>
          </cell>
          <cell r="K3879" t="str">
            <v>Lee,Hyo Sang</v>
          </cell>
          <cell r="N3879" t="str">
            <v>NR</v>
          </cell>
          <cell r="O3879" t="str">
            <v>NR</v>
          </cell>
        </row>
        <row r="3880">
          <cell r="E3880" t="str">
            <v>ECON</v>
          </cell>
          <cell r="F3880" t="str">
            <v>ECON-E</v>
          </cell>
          <cell r="G3880">
            <v>201</v>
          </cell>
          <cell r="H3880" t="str">
            <v>ECON-E201</v>
          </cell>
          <cell r="K3880" t="str">
            <v>Casto,Casey Elizabeth</v>
          </cell>
          <cell r="N3880">
            <v>2.589</v>
          </cell>
          <cell r="O3880">
            <v>2.94</v>
          </cell>
        </row>
        <row r="3881">
          <cell r="E3881" t="str">
            <v>ECON</v>
          </cell>
          <cell r="F3881" t="str">
            <v>ECON-E</v>
          </cell>
          <cell r="G3881">
            <v>201</v>
          </cell>
          <cell r="H3881" t="str">
            <v>ECON-E201</v>
          </cell>
          <cell r="K3881" t="str">
            <v>Chih,Yao-Yu</v>
          </cell>
          <cell r="N3881">
            <v>2.9260000000000002</v>
          </cell>
          <cell r="O3881">
            <v>3.05</v>
          </cell>
        </row>
        <row r="3882">
          <cell r="E3882" t="str">
            <v>ECON</v>
          </cell>
          <cell r="F3882" t="str">
            <v>ECON-E</v>
          </cell>
          <cell r="G3882">
            <v>201</v>
          </cell>
          <cell r="H3882" t="str">
            <v>ECON-E201</v>
          </cell>
          <cell r="K3882" t="str">
            <v>Chung,Won Suk</v>
          </cell>
          <cell r="N3882">
            <v>2.802</v>
          </cell>
          <cell r="O3882">
            <v>2.8159999999999998</v>
          </cell>
        </row>
        <row r="3883">
          <cell r="E3883" t="str">
            <v>ECON</v>
          </cell>
          <cell r="F3883" t="str">
            <v>ECON-E</v>
          </cell>
          <cell r="G3883">
            <v>201</v>
          </cell>
          <cell r="H3883" t="str">
            <v>ECON-E201</v>
          </cell>
          <cell r="K3883" t="str">
            <v>Graf,Paul</v>
          </cell>
          <cell r="N3883">
            <v>2.2749999999999999</v>
          </cell>
          <cell r="O3883">
            <v>3.04</v>
          </cell>
        </row>
        <row r="3884">
          <cell r="E3884" t="str">
            <v>ECON</v>
          </cell>
          <cell r="F3884" t="str">
            <v>ECON-E</v>
          </cell>
          <cell r="G3884">
            <v>201</v>
          </cell>
          <cell r="H3884" t="str">
            <v>ECON-E201</v>
          </cell>
          <cell r="K3884" t="str">
            <v>Herman,Peter Richards</v>
          </cell>
          <cell r="N3884">
            <v>2.5979999999999999</v>
          </cell>
          <cell r="O3884">
            <v>3.1509999999999998</v>
          </cell>
        </row>
        <row r="3885">
          <cell r="E3885" t="str">
            <v>ECON</v>
          </cell>
          <cell r="F3885" t="str">
            <v>ECON-E</v>
          </cell>
          <cell r="G3885">
            <v>201</v>
          </cell>
          <cell r="H3885" t="str">
            <v>ECON-E201</v>
          </cell>
          <cell r="K3885" t="str">
            <v>Olson,Peter</v>
          </cell>
          <cell r="N3885">
            <v>2.367</v>
          </cell>
          <cell r="O3885">
            <v>3.0070000000000001</v>
          </cell>
        </row>
        <row r="3886">
          <cell r="E3886" t="str">
            <v>ECON</v>
          </cell>
          <cell r="F3886" t="str">
            <v>ECON-E</v>
          </cell>
          <cell r="G3886">
            <v>201</v>
          </cell>
          <cell r="H3886" t="str">
            <v>ECON-E201</v>
          </cell>
          <cell r="K3886" t="str">
            <v>Olson,Peter</v>
          </cell>
          <cell r="N3886">
            <v>2.4060000000000001</v>
          </cell>
          <cell r="O3886">
            <v>3.028</v>
          </cell>
        </row>
        <row r="3887">
          <cell r="E3887" t="str">
            <v>ECON</v>
          </cell>
          <cell r="F3887" t="str">
            <v>ECON-E</v>
          </cell>
          <cell r="G3887">
            <v>201</v>
          </cell>
          <cell r="H3887" t="str">
            <v>ECON-E201</v>
          </cell>
          <cell r="K3887" t="str">
            <v>Olson,Peter</v>
          </cell>
          <cell r="N3887">
            <v>2.4710000000000001</v>
          </cell>
          <cell r="O3887">
            <v>3.07</v>
          </cell>
        </row>
        <row r="3888">
          <cell r="E3888" t="str">
            <v>ECON</v>
          </cell>
          <cell r="F3888" t="str">
            <v>ECON-E</v>
          </cell>
          <cell r="G3888">
            <v>201</v>
          </cell>
          <cell r="H3888" t="str">
            <v>ECON-E201</v>
          </cell>
          <cell r="K3888" t="str">
            <v>Olson,Peter</v>
          </cell>
          <cell r="N3888">
            <v>2.5150000000000001</v>
          </cell>
          <cell r="O3888">
            <v>3.1560000000000001</v>
          </cell>
        </row>
        <row r="3889">
          <cell r="E3889" t="str">
            <v>ECON</v>
          </cell>
          <cell r="F3889" t="str">
            <v>ECON-E</v>
          </cell>
          <cell r="G3889">
            <v>201</v>
          </cell>
          <cell r="H3889" t="str">
            <v>ECON-E201</v>
          </cell>
          <cell r="K3889" t="str">
            <v>Pairolero,Nicholas Anthony</v>
          </cell>
          <cell r="N3889">
            <v>2.593</v>
          </cell>
          <cell r="O3889">
            <v>3.016</v>
          </cell>
        </row>
        <row r="3890">
          <cell r="E3890" t="str">
            <v>ECON</v>
          </cell>
          <cell r="F3890" t="str">
            <v>ECON-E</v>
          </cell>
          <cell r="G3890">
            <v>201</v>
          </cell>
          <cell r="H3890" t="str">
            <v>ECON-E201</v>
          </cell>
          <cell r="K3890" t="str">
            <v>Pham,Van Hai</v>
          </cell>
          <cell r="N3890">
            <v>2.4089999999999998</v>
          </cell>
          <cell r="O3890">
            <v>3.1480000000000001</v>
          </cell>
        </row>
        <row r="3891">
          <cell r="E3891" t="str">
            <v>ECON</v>
          </cell>
          <cell r="F3891" t="str">
            <v>ECON-E</v>
          </cell>
          <cell r="G3891">
            <v>201</v>
          </cell>
          <cell r="H3891" t="str">
            <v>ECON-E201</v>
          </cell>
          <cell r="K3891" t="str">
            <v>Ridwan,Endrizal</v>
          </cell>
          <cell r="N3891">
            <v>2.6059999999999999</v>
          </cell>
          <cell r="O3891">
            <v>2.8460000000000001</v>
          </cell>
        </row>
        <row r="3892">
          <cell r="E3892" t="str">
            <v>ECON</v>
          </cell>
          <cell r="F3892" t="str">
            <v>ECON-E</v>
          </cell>
          <cell r="G3892">
            <v>201</v>
          </cell>
          <cell r="H3892" t="str">
            <v>ECON-E201</v>
          </cell>
          <cell r="K3892" t="str">
            <v>Self,James K.</v>
          </cell>
          <cell r="N3892">
            <v>2.3620000000000001</v>
          </cell>
          <cell r="O3892">
            <v>2.8879999999999999</v>
          </cell>
        </row>
        <row r="3893">
          <cell r="E3893" t="str">
            <v>ECON</v>
          </cell>
          <cell r="F3893" t="str">
            <v>ECON-E</v>
          </cell>
          <cell r="G3893">
            <v>201</v>
          </cell>
          <cell r="H3893" t="str">
            <v>ECON-E201</v>
          </cell>
          <cell r="K3893" t="str">
            <v>Self,James K.</v>
          </cell>
          <cell r="N3893">
            <v>2.5089999999999999</v>
          </cell>
          <cell r="O3893">
            <v>3</v>
          </cell>
        </row>
        <row r="3894">
          <cell r="E3894" t="str">
            <v>ECON</v>
          </cell>
          <cell r="F3894" t="str">
            <v>ECON-E</v>
          </cell>
          <cell r="G3894">
            <v>201</v>
          </cell>
          <cell r="H3894" t="str">
            <v>ECON-E201</v>
          </cell>
          <cell r="K3894" t="str">
            <v>Self,James K.</v>
          </cell>
          <cell r="N3894">
            <v>2.0830000000000002</v>
          </cell>
          <cell r="O3894">
            <v>2.74</v>
          </cell>
        </row>
        <row r="3895">
          <cell r="E3895" t="str">
            <v>ECON</v>
          </cell>
          <cell r="F3895" t="str">
            <v>ECON-E</v>
          </cell>
          <cell r="G3895">
            <v>201</v>
          </cell>
          <cell r="H3895" t="str">
            <v>ECON-E201</v>
          </cell>
          <cell r="K3895" t="str">
            <v>Tan,Fei</v>
          </cell>
          <cell r="N3895">
            <v>2.9590000000000001</v>
          </cell>
          <cell r="O3895">
            <v>2.8069999999999999</v>
          </cell>
        </row>
        <row r="3896">
          <cell r="E3896" t="str">
            <v>ECON</v>
          </cell>
          <cell r="F3896" t="str">
            <v>ECON-E</v>
          </cell>
          <cell r="G3896">
            <v>201</v>
          </cell>
          <cell r="H3896" t="str">
            <v>ECON-E201</v>
          </cell>
          <cell r="K3896" t="str">
            <v>Throckmorton,Nathaniel Alan</v>
          </cell>
          <cell r="N3896">
            <v>2.6629999999999998</v>
          </cell>
          <cell r="O3896">
            <v>3.056</v>
          </cell>
        </row>
        <row r="3897">
          <cell r="E3897" t="str">
            <v>ECON</v>
          </cell>
          <cell r="F3897" t="str">
            <v>ECON-E</v>
          </cell>
          <cell r="G3897">
            <v>202</v>
          </cell>
          <cell r="H3897" t="str">
            <v>ECON-E202</v>
          </cell>
          <cell r="K3897" t="str">
            <v>Chu,Ka Lok</v>
          </cell>
          <cell r="N3897">
            <v>2.2370000000000001</v>
          </cell>
          <cell r="O3897">
            <v>3.044</v>
          </cell>
        </row>
        <row r="3898">
          <cell r="E3898" t="str">
            <v>ECON</v>
          </cell>
          <cell r="F3898" t="str">
            <v>ECON-E</v>
          </cell>
          <cell r="G3898">
            <v>202</v>
          </cell>
          <cell r="H3898" t="str">
            <v>ECON-E202</v>
          </cell>
          <cell r="K3898" t="str">
            <v>Das,Piyali</v>
          </cell>
          <cell r="N3898">
            <v>2.7709999999999999</v>
          </cell>
          <cell r="O3898">
            <v>2.968</v>
          </cell>
        </row>
        <row r="3899">
          <cell r="E3899" t="str">
            <v>ECON</v>
          </cell>
          <cell r="F3899" t="str">
            <v>ECON-E</v>
          </cell>
          <cell r="G3899">
            <v>202</v>
          </cell>
          <cell r="H3899" t="str">
            <v>ECON-E202</v>
          </cell>
          <cell r="K3899" t="str">
            <v>Das,Piyali</v>
          </cell>
          <cell r="N3899">
            <v>2.593</v>
          </cell>
          <cell r="O3899">
            <v>3.1709999999999998</v>
          </cell>
        </row>
        <row r="3900">
          <cell r="E3900" t="str">
            <v>ECON</v>
          </cell>
          <cell r="F3900" t="str">
            <v>ECON-E</v>
          </cell>
          <cell r="G3900">
            <v>202</v>
          </cell>
          <cell r="H3900" t="str">
            <v>ECON-E202</v>
          </cell>
          <cell r="K3900" t="str">
            <v>Graf,Paul</v>
          </cell>
          <cell r="N3900">
            <v>2.4420000000000002</v>
          </cell>
          <cell r="O3900">
            <v>3.153</v>
          </cell>
        </row>
        <row r="3901">
          <cell r="E3901" t="str">
            <v>ECON</v>
          </cell>
          <cell r="F3901" t="str">
            <v>ECON-E</v>
          </cell>
          <cell r="G3901">
            <v>202</v>
          </cell>
          <cell r="H3901" t="str">
            <v>ECON-E202</v>
          </cell>
          <cell r="K3901" t="str">
            <v>Graf,Paul</v>
          </cell>
          <cell r="N3901">
            <v>2.4750000000000001</v>
          </cell>
          <cell r="O3901">
            <v>3.2429999999999999</v>
          </cell>
        </row>
        <row r="3902">
          <cell r="E3902" t="str">
            <v>ECON</v>
          </cell>
          <cell r="F3902" t="str">
            <v>ECON-E</v>
          </cell>
          <cell r="G3902">
            <v>202</v>
          </cell>
          <cell r="H3902" t="str">
            <v>ECON-E202</v>
          </cell>
          <cell r="K3902" t="str">
            <v>Graf,Paul</v>
          </cell>
          <cell r="N3902">
            <v>2.1429999999999998</v>
          </cell>
          <cell r="O3902">
            <v>3.0960000000000001</v>
          </cell>
        </row>
        <row r="3903">
          <cell r="E3903" t="str">
            <v>ECON</v>
          </cell>
          <cell r="F3903" t="str">
            <v>ECON-E</v>
          </cell>
          <cell r="G3903">
            <v>202</v>
          </cell>
          <cell r="H3903" t="str">
            <v>ECON-E202</v>
          </cell>
          <cell r="K3903" t="str">
            <v>Jin,Hao</v>
          </cell>
          <cell r="N3903">
            <v>2.6930000000000001</v>
          </cell>
          <cell r="O3903">
            <v>3.0089999999999999</v>
          </cell>
        </row>
        <row r="3904">
          <cell r="E3904" t="str">
            <v>ECON</v>
          </cell>
          <cell r="F3904" t="str">
            <v>ECON-E</v>
          </cell>
          <cell r="G3904">
            <v>202</v>
          </cell>
          <cell r="H3904" t="str">
            <v>ECON-E202</v>
          </cell>
          <cell r="K3904" t="str">
            <v>Kim,In Kyung</v>
          </cell>
          <cell r="N3904">
            <v>2.7290000000000001</v>
          </cell>
          <cell r="O3904">
            <v>2.899</v>
          </cell>
        </row>
        <row r="3905">
          <cell r="E3905" t="str">
            <v>ECON</v>
          </cell>
          <cell r="F3905" t="str">
            <v>ECON-E</v>
          </cell>
          <cell r="G3905">
            <v>202</v>
          </cell>
          <cell r="H3905" t="str">
            <v>ECON-E202</v>
          </cell>
          <cell r="K3905" t="str">
            <v>Lopez Cruz,Ivan Guillermo</v>
          </cell>
          <cell r="N3905">
            <v>2.4550000000000001</v>
          </cell>
          <cell r="O3905">
            <v>2.8530000000000002</v>
          </cell>
        </row>
        <row r="3906">
          <cell r="E3906" t="str">
            <v>ECON</v>
          </cell>
          <cell r="F3906" t="str">
            <v>ECON-E</v>
          </cell>
          <cell r="G3906">
            <v>202</v>
          </cell>
          <cell r="H3906" t="str">
            <v>ECON-E202</v>
          </cell>
          <cell r="K3906" t="str">
            <v>Pham,Van Hai</v>
          </cell>
          <cell r="N3906">
            <v>2.4390000000000001</v>
          </cell>
          <cell r="O3906">
            <v>3.1389999999999998</v>
          </cell>
        </row>
        <row r="3907">
          <cell r="E3907" t="str">
            <v>ECON</v>
          </cell>
          <cell r="F3907" t="str">
            <v>ECON-E</v>
          </cell>
          <cell r="G3907">
            <v>202</v>
          </cell>
          <cell r="H3907" t="str">
            <v>ECON-E202</v>
          </cell>
          <cell r="K3907" t="str">
            <v>Ridwan,Endrizal</v>
          </cell>
          <cell r="N3907">
            <v>2.4700000000000002</v>
          </cell>
          <cell r="O3907">
            <v>2.8130000000000002</v>
          </cell>
        </row>
        <row r="3908">
          <cell r="E3908" t="str">
            <v>ECON</v>
          </cell>
          <cell r="F3908" t="str">
            <v>ECON-E</v>
          </cell>
          <cell r="G3908">
            <v>202</v>
          </cell>
          <cell r="H3908" t="str">
            <v>ECON-E202</v>
          </cell>
          <cell r="K3908" t="str">
            <v>Self,James K.</v>
          </cell>
          <cell r="N3908">
            <v>2.278</v>
          </cell>
          <cell r="O3908">
            <v>2.956</v>
          </cell>
        </row>
        <row r="3909">
          <cell r="E3909" t="str">
            <v>ECON</v>
          </cell>
          <cell r="F3909" t="str">
            <v>ECON-E</v>
          </cell>
          <cell r="G3909">
            <v>202</v>
          </cell>
          <cell r="H3909" t="str">
            <v>ECON-E202</v>
          </cell>
          <cell r="K3909" t="str">
            <v>Wang,Shu-Ling</v>
          </cell>
          <cell r="N3909">
            <v>2.79</v>
          </cell>
          <cell r="O3909">
            <v>3.1779999999999999</v>
          </cell>
        </row>
        <row r="3910">
          <cell r="E3910" t="str">
            <v>ECON</v>
          </cell>
          <cell r="F3910" t="str">
            <v>ECON-E</v>
          </cell>
          <cell r="G3910">
            <v>303</v>
          </cell>
          <cell r="H3910" t="str">
            <v>ECON-E303</v>
          </cell>
          <cell r="K3910" t="str">
            <v>Baghestanian,Sascha</v>
          </cell>
          <cell r="N3910">
            <v>2.774</v>
          </cell>
          <cell r="O3910">
            <v>2.9449999999999998</v>
          </cell>
        </row>
        <row r="3911">
          <cell r="E3911" t="str">
            <v>ECON</v>
          </cell>
          <cell r="F3911" t="str">
            <v>ECON-E</v>
          </cell>
          <cell r="G3911">
            <v>303</v>
          </cell>
          <cell r="H3911" t="str">
            <v>ECON-E303</v>
          </cell>
          <cell r="K3911" t="str">
            <v>Graf,Paul</v>
          </cell>
          <cell r="N3911">
            <v>2.1680000000000001</v>
          </cell>
          <cell r="O3911">
            <v>2.8410000000000002</v>
          </cell>
        </row>
        <row r="3912">
          <cell r="E3912" t="str">
            <v>ECON</v>
          </cell>
          <cell r="F3912" t="str">
            <v>ECON-E</v>
          </cell>
          <cell r="G3912">
            <v>305</v>
          </cell>
          <cell r="H3912" t="str">
            <v>ECON-E305</v>
          </cell>
          <cell r="K3912" t="str">
            <v>Eiben,Ryan Scott</v>
          </cell>
          <cell r="N3912">
            <v>2.5</v>
          </cell>
          <cell r="O3912">
            <v>2.8679999999999999</v>
          </cell>
        </row>
        <row r="3913">
          <cell r="E3913" t="str">
            <v>ECON</v>
          </cell>
          <cell r="F3913" t="str">
            <v>ECON-E</v>
          </cell>
          <cell r="G3913">
            <v>305</v>
          </cell>
          <cell r="H3913" t="str">
            <v>ECON-E305</v>
          </cell>
          <cell r="K3913" t="str">
            <v>Throckmorton,Nathaniel Alan</v>
          </cell>
          <cell r="N3913">
            <v>2.5979999999999999</v>
          </cell>
          <cell r="O3913">
            <v>2.895</v>
          </cell>
        </row>
        <row r="3914">
          <cell r="E3914" t="str">
            <v>ECON</v>
          </cell>
          <cell r="F3914" t="str">
            <v>ECON-E</v>
          </cell>
          <cell r="G3914">
            <v>308</v>
          </cell>
          <cell r="H3914" t="str">
            <v>ECON-E308</v>
          </cell>
          <cell r="K3914" t="str">
            <v>Lockhart,Andrea Meredith</v>
          </cell>
          <cell r="N3914">
            <v>2.9359999999999999</v>
          </cell>
          <cell r="O3914">
            <v>2.8039999999999998</v>
          </cell>
        </row>
        <row r="3915">
          <cell r="E3915" t="str">
            <v>ECON</v>
          </cell>
          <cell r="F3915" t="str">
            <v>ECON-E</v>
          </cell>
          <cell r="G3915">
            <v>308</v>
          </cell>
          <cell r="H3915" t="str">
            <v>ECON-E308</v>
          </cell>
          <cell r="K3915" t="str">
            <v>Shane,Dan</v>
          </cell>
          <cell r="N3915">
            <v>3.0680000000000001</v>
          </cell>
          <cell r="O3915">
            <v>3.0209999999999999</v>
          </cell>
        </row>
        <row r="3916">
          <cell r="E3916" t="str">
            <v>ECON</v>
          </cell>
          <cell r="F3916" t="str">
            <v>ECON-E</v>
          </cell>
          <cell r="G3916">
            <v>321</v>
          </cell>
          <cell r="H3916" t="str">
            <v>ECON-E321</v>
          </cell>
          <cell r="K3916" t="str">
            <v>Chang,Fwu-Ranq</v>
          </cell>
          <cell r="N3916">
            <v>2.5670000000000002</v>
          </cell>
          <cell r="O3916">
            <v>2.8420000000000001</v>
          </cell>
        </row>
        <row r="3917">
          <cell r="E3917" t="str">
            <v>ECON</v>
          </cell>
          <cell r="F3917" t="str">
            <v>ECON-E</v>
          </cell>
          <cell r="G3917">
            <v>321</v>
          </cell>
          <cell r="H3917" t="str">
            <v>ECON-E321</v>
          </cell>
          <cell r="K3917" t="str">
            <v>Glomm,Gerhard</v>
          </cell>
          <cell r="N3917">
            <v>2.0419999999999998</v>
          </cell>
          <cell r="O3917">
            <v>2.9220000000000002</v>
          </cell>
        </row>
        <row r="3918">
          <cell r="E3918" t="str">
            <v>ECON</v>
          </cell>
          <cell r="F3918" t="str">
            <v>ECON-E</v>
          </cell>
          <cell r="G3918">
            <v>321</v>
          </cell>
          <cell r="H3918" t="str">
            <v>ECON-E321</v>
          </cell>
          <cell r="K3918" t="str">
            <v>Herman,Peter Richards</v>
          </cell>
          <cell r="N3918">
            <v>2.4239999999999999</v>
          </cell>
          <cell r="O3918">
            <v>2.6949999999999998</v>
          </cell>
        </row>
        <row r="3919">
          <cell r="E3919" t="str">
            <v>ECON</v>
          </cell>
          <cell r="F3919" t="str">
            <v>ECON-E</v>
          </cell>
          <cell r="G3919">
            <v>321</v>
          </cell>
          <cell r="H3919" t="str">
            <v>ECON-E321</v>
          </cell>
          <cell r="K3919" t="str">
            <v>Stoddard,Brock V</v>
          </cell>
          <cell r="N3919">
            <v>2.4670000000000001</v>
          </cell>
          <cell r="O3919">
            <v>2.8239999999999998</v>
          </cell>
        </row>
        <row r="3920">
          <cell r="E3920" t="str">
            <v>ECON</v>
          </cell>
          <cell r="F3920" t="str">
            <v>ECON-E</v>
          </cell>
          <cell r="G3920">
            <v>321</v>
          </cell>
          <cell r="H3920" t="str">
            <v>ECON-E321</v>
          </cell>
          <cell r="K3920" t="str">
            <v>Stone III,John Thomas</v>
          </cell>
          <cell r="N3920">
            <v>2.581</v>
          </cell>
          <cell r="O3920">
            <v>2.8090000000000002</v>
          </cell>
        </row>
        <row r="3921">
          <cell r="E3921" t="str">
            <v>ECON</v>
          </cell>
          <cell r="F3921" t="str">
            <v>ECON-E</v>
          </cell>
          <cell r="G3921">
            <v>321</v>
          </cell>
          <cell r="H3921" t="str">
            <v>ECON-E321</v>
          </cell>
          <cell r="K3921" t="str">
            <v>Williams,Arlington W.</v>
          </cell>
          <cell r="N3921">
            <v>2.3530000000000002</v>
          </cell>
          <cell r="O3921">
            <v>2.9329999999999998</v>
          </cell>
        </row>
        <row r="3922">
          <cell r="E3922" t="str">
            <v>ECON</v>
          </cell>
          <cell r="F3922" t="str">
            <v>ECON-E</v>
          </cell>
          <cell r="G3922">
            <v>321</v>
          </cell>
          <cell r="H3922" t="str">
            <v>ECON-E321</v>
          </cell>
          <cell r="K3922" t="str">
            <v>Williams,Arlington W.</v>
          </cell>
          <cell r="N3922">
            <v>2.395</v>
          </cell>
          <cell r="O3922">
            <v>2.976</v>
          </cell>
        </row>
        <row r="3923">
          <cell r="E3923" t="str">
            <v>ECON</v>
          </cell>
          <cell r="F3923" t="str">
            <v>ECON-E</v>
          </cell>
          <cell r="G3923">
            <v>321</v>
          </cell>
          <cell r="H3923" t="str">
            <v>ECON-E321</v>
          </cell>
          <cell r="K3923" t="str">
            <v>Williams,Arlington W.</v>
          </cell>
          <cell r="N3923">
            <v>2.427</v>
          </cell>
          <cell r="O3923">
            <v>3.0880000000000001</v>
          </cell>
        </row>
        <row r="3924">
          <cell r="E3924" t="str">
            <v>ECON</v>
          </cell>
          <cell r="F3924" t="str">
            <v>ECON-E</v>
          </cell>
          <cell r="G3924">
            <v>322</v>
          </cell>
          <cell r="H3924" t="str">
            <v>ECON-E322</v>
          </cell>
          <cell r="K3924" t="str">
            <v>Buffie,Edward Frederick</v>
          </cell>
          <cell r="N3924">
            <v>2.3420000000000001</v>
          </cell>
          <cell r="O3924">
            <v>2.895</v>
          </cell>
        </row>
        <row r="3925">
          <cell r="E3925" t="str">
            <v>ECON</v>
          </cell>
          <cell r="F3925" t="str">
            <v>ECON-E</v>
          </cell>
          <cell r="G3925">
            <v>322</v>
          </cell>
          <cell r="H3925" t="str">
            <v>ECON-E322</v>
          </cell>
          <cell r="K3925" t="str">
            <v>Buffie,Edward Frederick</v>
          </cell>
          <cell r="N3925">
            <v>2.6720000000000002</v>
          </cell>
          <cell r="O3925">
            <v>3.06</v>
          </cell>
        </row>
        <row r="3926">
          <cell r="E3926" t="str">
            <v>ECON</v>
          </cell>
          <cell r="F3926" t="str">
            <v>ECON-E</v>
          </cell>
          <cell r="G3926">
            <v>322</v>
          </cell>
          <cell r="H3926" t="str">
            <v>ECON-E322</v>
          </cell>
          <cell r="K3926" t="str">
            <v>Guler,Bulent</v>
          </cell>
          <cell r="N3926">
            <v>2.7629999999999999</v>
          </cell>
          <cell r="O3926">
            <v>2.8690000000000002</v>
          </cell>
        </row>
        <row r="3927">
          <cell r="E3927" t="str">
            <v>ECON</v>
          </cell>
          <cell r="F3927" t="str">
            <v>ECON-E</v>
          </cell>
          <cell r="G3927">
            <v>322</v>
          </cell>
          <cell r="H3927" t="str">
            <v>ECON-E322</v>
          </cell>
          <cell r="K3927" t="str">
            <v>Guler,Bulent</v>
          </cell>
          <cell r="N3927">
            <v>2.9220000000000002</v>
          </cell>
          <cell r="O3927">
            <v>2.92</v>
          </cell>
        </row>
        <row r="3928">
          <cell r="E3928" t="str">
            <v>ECON</v>
          </cell>
          <cell r="F3928" t="str">
            <v>ECON-E</v>
          </cell>
          <cell r="G3928">
            <v>322</v>
          </cell>
          <cell r="H3928" t="str">
            <v>ECON-E322</v>
          </cell>
          <cell r="K3928" t="str">
            <v>Le,Nhan</v>
          </cell>
          <cell r="N3928">
            <v>2.3220000000000001</v>
          </cell>
          <cell r="O3928">
            <v>3.024</v>
          </cell>
        </row>
        <row r="3929">
          <cell r="E3929" t="str">
            <v>ECON</v>
          </cell>
          <cell r="F3929" t="str">
            <v>ECON-E</v>
          </cell>
          <cell r="G3929">
            <v>327</v>
          </cell>
          <cell r="H3929" t="str">
            <v>ECON-E327</v>
          </cell>
          <cell r="K3929" t="str">
            <v>Puzzello,Daniela</v>
          </cell>
          <cell r="N3929">
            <v>2.379</v>
          </cell>
          <cell r="O3929">
            <v>2.956</v>
          </cell>
        </row>
        <row r="3930">
          <cell r="E3930" t="str">
            <v>ECON</v>
          </cell>
          <cell r="F3930" t="str">
            <v>ECON-E</v>
          </cell>
          <cell r="G3930">
            <v>327</v>
          </cell>
          <cell r="H3930" t="str">
            <v>ECON-E327</v>
          </cell>
          <cell r="K3930" t="str">
            <v>Puzzello,Daniela</v>
          </cell>
          <cell r="N3930">
            <v>2.8719999999999999</v>
          </cell>
          <cell r="O3930">
            <v>3</v>
          </cell>
        </row>
        <row r="3931">
          <cell r="E3931" t="str">
            <v>ECON</v>
          </cell>
          <cell r="F3931" t="str">
            <v>ECON-E</v>
          </cell>
          <cell r="G3931">
            <v>327</v>
          </cell>
          <cell r="H3931" t="str">
            <v>ECON-E327</v>
          </cell>
          <cell r="K3931" t="str">
            <v>Tucker,Steven</v>
          </cell>
          <cell r="N3931">
            <v>2.8780000000000001</v>
          </cell>
          <cell r="O3931">
            <v>3.056</v>
          </cell>
        </row>
        <row r="3932">
          <cell r="E3932" t="str">
            <v>ECON</v>
          </cell>
          <cell r="F3932" t="str">
            <v>ECON-E</v>
          </cell>
          <cell r="G3932">
            <v>327</v>
          </cell>
          <cell r="H3932" t="str">
            <v>ECON-E327</v>
          </cell>
          <cell r="K3932" t="str">
            <v>Tucker,Steven</v>
          </cell>
          <cell r="N3932">
            <v>2.6389999999999998</v>
          </cell>
          <cell r="O3932">
            <v>3.0059999999999998</v>
          </cell>
        </row>
        <row r="3933">
          <cell r="E3933" t="str">
            <v>ECON</v>
          </cell>
          <cell r="F3933" t="str">
            <v>ECON-E</v>
          </cell>
          <cell r="G3933">
            <v>331</v>
          </cell>
          <cell r="H3933" t="str">
            <v>ECON-E331</v>
          </cell>
          <cell r="K3933" t="str">
            <v>Lugovskyy,Volodymyr</v>
          </cell>
          <cell r="N3933">
            <v>3.125</v>
          </cell>
          <cell r="O3933">
            <v>3.121</v>
          </cell>
        </row>
        <row r="3934">
          <cell r="E3934" t="str">
            <v>ECON</v>
          </cell>
          <cell r="F3934" t="str">
            <v>ECON-E</v>
          </cell>
          <cell r="G3934">
            <v>331</v>
          </cell>
          <cell r="H3934" t="str">
            <v>ECON-E331</v>
          </cell>
          <cell r="K3934" t="str">
            <v>Lugovskyy,Volodymyr</v>
          </cell>
          <cell r="N3934">
            <v>3.258</v>
          </cell>
          <cell r="O3934">
            <v>3.1789999999999998</v>
          </cell>
        </row>
        <row r="3935">
          <cell r="E3935" t="str">
            <v>ECON</v>
          </cell>
          <cell r="F3935" t="str">
            <v>ECON-E</v>
          </cell>
          <cell r="G3935">
            <v>332</v>
          </cell>
          <cell r="H3935" t="str">
            <v>ECON-E332</v>
          </cell>
          <cell r="K3935" t="str">
            <v>Hatchondo,Juan Carlos</v>
          </cell>
          <cell r="N3935">
            <v>2.5880000000000001</v>
          </cell>
          <cell r="O3935">
            <v>2.9649999999999999</v>
          </cell>
        </row>
        <row r="3936">
          <cell r="E3936" t="str">
            <v>ECON</v>
          </cell>
          <cell r="F3936" t="str">
            <v>ECON-E</v>
          </cell>
          <cell r="G3936">
            <v>332</v>
          </cell>
          <cell r="H3936" t="str">
            <v>ECON-E332</v>
          </cell>
          <cell r="K3936" t="str">
            <v>Lugovskyy,Volodymyr</v>
          </cell>
          <cell r="N3936">
            <v>3.0190000000000001</v>
          </cell>
          <cell r="O3936">
            <v>2.9119999999999999</v>
          </cell>
        </row>
        <row r="3937">
          <cell r="E3937" t="str">
            <v>ECON</v>
          </cell>
          <cell r="F3937" t="str">
            <v>ECON-E</v>
          </cell>
          <cell r="G3937">
            <v>337</v>
          </cell>
          <cell r="H3937" t="str">
            <v>ECON-E337</v>
          </cell>
          <cell r="K3937" t="str">
            <v>Buffie,Edward Frederick</v>
          </cell>
          <cell r="N3937">
            <v>2.2959999999999998</v>
          </cell>
          <cell r="O3937">
            <v>3.0470000000000002</v>
          </cell>
        </row>
        <row r="3938">
          <cell r="E3938" t="str">
            <v>ECON</v>
          </cell>
          <cell r="F3938" t="str">
            <v>ECON-E</v>
          </cell>
          <cell r="G3938">
            <v>341</v>
          </cell>
          <cell r="H3938" t="str">
            <v>ECON-E341</v>
          </cell>
          <cell r="K3938" t="str">
            <v>Olson,Peter</v>
          </cell>
          <cell r="N3938">
            <v>2.1859999999999999</v>
          </cell>
          <cell r="O3938">
            <v>2.7829999999999999</v>
          </cell>
        </row>
        <row r="3939">
          <cell r="E3939" t="str">
            <v>ECON</v>
          </cell>
          <cell r="F3939" t="str">
            <v>ECON-E</v>
          </cell>
          <cell r="G3939">
            <v>341</v>
          </cell>
          <cell r="H3939" t="str">
            <v>ECON-E341</v>
          </cell>
          <cell r="K3939" t="str">
            <v>Olson,Peter</v>
          </cell>
          <cell r="N3939">
            <v>2.448</v>
          </cell>
          <cell r="O3939">
            <v>3.008</v>
          </cell>
        </row>
        <row r="3940">
          <cell r="E3940" t="str">
            <v>ECON</v>
          </cell>
          <cell r="F3940" t="str">
            <v>ECON-E</v>
          </cell>
          <cell r="G3940">
            <v>351</v>
          </cell>
          <cell r="H3940" t="str">
            <v>ECON-E351</v>
          </cell>
          <cell r="K3940" t="str">
            <v>Alexeev,Michael V.</v>
          </cell>
          <cell r="N3940">
            <v>1.6379999999999999</v>
          </cell>
          <cell r="O3940">
            <v>2.8410000000000002</v>
          </cell>
        </row>
        <row r="3941">
          <cell r="E3941" t="str">
            <v>ECON</v>
          </cell>
          <cell r="F3941" t="str">
            <v>ECON-E</v>
          </cell>
          <cell r="G3941">
            <v>361</v>
          </cell>
          <cell r="H3941" t="str">
            <v>ECON-E361</v>
          </cell>
          <cell r="K3941" t="str">
            <v>Self,James K.</v>
          </cell>
          <cell r="N3941">
            <v>2.206</v>
          </cell>
          <cell r="O3941">
            <v>2.7759999999999998</v>
          </cell>
        </row>
        <row r="3942">
          <cell r="E3942" t="str">
            <v>ECON</v>
          </cell>
          <cell r="F3942" t="str">
            <v>ECON-E</v>
          </cell>
          <cell r="G3942">
            <v>362</v>
          </cell>
          <cell r="H3942" t="str">
            <v>ECON-E362</v>
          </cell>
          <cell r="K3942" t="str">
            <v>Self,James K.</v>
          </cell>
          <cell r="N3942">
            <v>2.2759999999999998</v>
          </cell>
          <cell r="O3942">
            <v>2.8679999999999999</v>
          </cell>
        </row>
        <row r="3943">
          <cell r="E3943" t="str">
            <v>ECON</v>
          </cell>
          <cell r="F3943" t="str">
            <v>ECON-E</v>
          </cell>
          <cell r="G3943">
            <v>370</v>
          </cell>
          <cell r="H3943" t="str">
            <v>ECON-E370</v>
          </cell>
          <cell r="K3943" t="str">
            <v>Camp,Mary Elizabeth</v>
          </cell>
          <cell r="N3943">
            <v>2.7869999999999999</v>
          </cell>
          <cell r="O3943">
            <v>3.0939999999999999</v>
          </cell>
        </row>
        <row r="3944">
          <cell r="E3944" t="str">
            <v>ECON</v>
          </cell>
          <cell r="F3944" t="str">
            <v>ECON-E</v>
          </cell>
          <cell r="G3944">
            <v>370</v>
          </cell>
          <cell r="H3944" t="str">
            <v>ECON-E370</v>
          </cell>
          <cell r="K3944" t="str">
            <v>Camp,Mary Elizabeth</v>
          </cell>
          <cell r="N3944">
            <v>2.6909999999999998</v>
          </cell>
          <cell r="O3944">
            <v>2.9449999999999998</v>
          </cell>
        </row>
        <row r="3945">
          <cell r="E3945" t="str">
            <v>ECON</v>
          </cell>
          <cell r="F3945" t="str">
            <v>ECON-E</v>
          </cell>
          <cell r="G3945">
            <v>370</v>
          </cell>
          <cell r="H3945" t="str">
            <v>ECON-E370</v>
          </cell>
          <cell r="K3945" t="str">
            <v>Camp,Mary Elizabeth</v>
          </cell>
          <cell r="N3945">
            <v>2.9649999999999999</v>
          </cell>
          <cell r="O3945">
            <v>3.1869999999999998</v>
          </cell>
        </row>
        <row r="3946">
          <cell r="E3946" t="str">
            <v>ECON</v>
          </cell>
          <cell r="F3946" t="str">
            <v>ECON-E</v>
          </cell>
          <cell r="G3946">
            <v>370</v>
          </cell>
          <cell r="H3946" t="str">
            <v>ECON-E370</v>
          </cell>
          <cell r="K3946" t="str">
            <v>Camp,Mary Elizabeth</v>
          </cell>
          <cell r="N3946">
            <v>3.0150000000000001</v>
          </cell>
          <cell r="O3946">
            <v>3.1429999999999998</v>
          </cell>
        </row>
        <row r="3947">
          <cell r="E3947" t="str">
            <v>ECON</v>
          </cell>
          <cell r="F3947" t="str">
            <v>ECON-E</v>
          </cell>
          <cell r="G3947">
            <v>370</v>
          </cell>
          <cell r="H3947" t="str">
            <v>ECON-E370</v>
          </cell>
          <cell r="K3947" t="str">
            <v>Chung,Michael Jinsei</v>
          </cell>
          <cell r="N3947">
            <v>3.141</v>
          </cell>
          <cell r="O3947">
            <v>3.0310000000000001</v>
          </cell>
        </row>
        <row r="3948">
          <cell r="E3948" t="str">
            <v>ECON</v>
          </cell>
          <cell r="F3948" t="str">
            <v>ECON-E</v>
          </cell>
          <cell r="G3948">
            <v>370</v>
          </cell>
          <cell r="H3948" t="str">
            <v>ECON-E370</v>
          </cell>
          <cell r="K3948" t="str">
            <v>Suh,Hyunduk</v>
          </cell>
          <cell r="N3948">
            <v>3.05</v>
          </cell>
          <cell r="O3948">
            <v>3.1360000000000001</v>
          </cell>
        </row>
        <row r="3949">
          <cell r="E3949" t="str">
            <v>ECON</v>
          </cell>
          <cell r="F3949" t="str">
            <v>ECON-E</v>
          </cell>
          <cell r="G3949">
            <v>385</v>
          </cell>
          <cell r="H3949" t="str">
            <v>ECON-E385</v>
          </cell>
          <cell r="K3949" t="str">
            <v>Garcia,Filomena</v>
          </cell>
          <cell r="N3949">
            <v>3.0489999999999999</v>
          </cell>
          <cell r="O3949">
            <v>2.9990000000000001</v>
          </cell>
        </row>
        <row r="3950">
          <cell r="E3950" t="str">
            <v>ECON</v>
          </cell>
          <cell r="F3950" t="str">
            <v>ECON-E</v>
          </cell>
          <cell r="G3950">
            <v>385</v>
          </cell>
          <cell r="H3950" t="str">
            <v>ECON-E385</v>
          </cell>
          <cell r="K3950" t="str">
            <v>Garcia,Filomena</v>
          </cell>
          <cell r="N3950">
            <v>3.4950000000000001</v>
          </cell>
          <cell r="O3950">
            <v>2.9860000000000002</v>
          </cell>
        </row>
        <row r="3951">
          <cell r="E3951" t="str">
            <v>ECON</v>
          </cell>
          <cell r="F3951" t="str">
            <v>ECON-E</v>
          </cell>
          <cell r="G3951">
            <v>390</v>
          </cell>
          <cell r="H3951" t="str">
            <v>ECON-E390</v>
          </cell>
          <cell r="K3951" t="str">
            <v>Glomm,Gerhard</v>
          </cell>
          <cell r="N3951">
            <v>2.9359999999999999</v>
          </cell>
          <cell r="O3951">
            <v>2.8780000000000001</v>
          </cell>
        </row>
        <row r="3952">
          <cell r="E3952" t="str">
            <v>ECON</v>
          </cell>
          <cell r="F3952" t="str">
            <v>ECON-E</v>
          </cell>
          <cell r="G3952">
            <v>390</v>
          </cell>
          <cell r="H3952" t="str">
            <v>ECON-E390</v>
          </cell>
          <cell r="K3952" t="str">
            <v>Maldonado Carrizosa,Dario</v>
          </cell>
          <cell r="N3952">
            <v>3.7890000000000001</v>
          </cell>
          <cell r="O3952">
            <v>3.121</v>
          </cell>
        </row>
        <row r="3953">
          <cell r="E3953" t="str">
            <v>ECON</v>
          </cell>
          <cell r="F3953" t="str">
            <v>ECON-E</v>
          </cell>
          <cell r="G3953">
            <v>390</v>
          </cell>
          <cell r="H3953" t="str">
            <v>ECON-E390</v>
          </cell>
          <cell r="K3953" t="str">
            <v>Spechler,Martin C.</v>
          </cell>
          <cell r="N3953">
            <v>2.6</v>
          </cell>
          <cell r="O3953">
            <v>2.8660000000000001</v>
          </cell>
        </row>
        <row r="3954">
          <cell r="E3954" t="str">
            <v>ECON</v>
          </cell>
          <cell r="F3954" t="str">
            <v>ECON-E</v>
          </cell>
          <cell r="G3954">
            <v>390</v>
          </cell>
          <cell r="H3954" t="str">
            <v>ECON-E390</v>
          </cell>
          <cell r="K3954" t="str">
            <v>Spechler,Martin C.</v>
          </cell>
          <cell r="N3954" t="str">
            <v>NR</v>
          </cell>
          <cell r="O3954" t="str">
            <v>NR</v>
          </cell>
        </row>
        <row r="3955">
          <cell r="E3955" t="str">
            <v>ECON</v>
          </cell>
          <cell r="F3955" t="str">
            <v>ECON-E</v>
          </cell>
          <cell r="G3955">
            <v>391</v>
          </cell>
          <cell r="H3955" t="str">
            <v>ECON-E391</v>
          </cell>
          <cell r="K3955" t="str">
            <v>Kaganovich,Michael</v>
          </cell>
          <cell r="N3955" t="str">
            <v>NR</v>
          </cell>
          <cell r="O3955" t="str">
            <v>NR</v>
          </cell>
        </row>
        <row r="3956">
          <cell r="E3956" t="str">
            <v>ECON</v>
          </cell>
          <cell r="F3956" t="str">
            <v>ECON-E</v>
          </cell>
          <cell r="G3956">
            <v>391</v>
          </cell>
          <cell r="H3956" t="str">
            <v>ECON-E391</v>
          </cell>
          <cell r="K3956" t="str">
            <v>Kaganovich,Michael</v>
          </cell>
          <cell r="N3956" t="str">
            <v>NR</v>
          </cell>
          <cell r="O3956" t="str">
            <v>NR</v>
          </cell>
        </row>
        <row r="3957">
          <cell r="E3957" t="str">
            <v>ECON</v>
          </cell>
          <cell r="F3957" t="str">
            <v>ECON-E</v>
          </cell>
          <cell r="G3957">
            <v>425</v>
          </cell>
          <cell r="H3957" t="str">
            <v>ECON-E425</v>
          </cell>
          <cell r="K3957" t="str">
            <v>Becker,Robert A.</v>
          </cell>
          <cell r="N3957">
            <v>3.2839999999999998</v>
          </cell>
          <cell r="O3957">
            <v>3.0910000000000002</v>
          </cell>
        </row>
        <row r="3958">
          <cell r="E3958" t="str">
            <v>ECON</v>
          </cell>
          <cell r="F3958" t="str">
            <v>ECON-E</v>
          </cell>
          <cell r="G3958">
            <v>425</v>
          </cell>
          <cell r="H3958" t="str">
            <v>ECON-E425</v>
          </cell>
          <cell r="K3958" t="str">
            <v>Page,Frank H. Jr.</v>
          </cell>
          <cell r="N3958">
            <v>3.1520000000000001</v>
          </cell>
          <cell r="O3958">
            <v>3.242</v>
          </cell>
        </row>
        <row r="3959">
          <cell r="E3959" t="str">
            <v>ECON</v>
          </cell>
          <cell r="F3959" t="str">
            <v>ECON-E</v>
          </cell>
          <cell r="G3959">
            <v>471</v>
          </cell>
          <cell r="H3959" t="str">
            <v>ECON-E471</v>
          </cell>
          <cell r="K3959" t="str">
            <v>Choi,Yongok</v>
          </cell>
          <cell r="N3959">
            <v>3.093</v>
          </cell>
          <cell r="O3959">
            <v>3.19</v>
          </cell>
        </row>
        <row r="3960">
          <cell r="E3960" t="str">
            <v>ECON</v>
          </cell>
          <cell r="F3960" t="str">
            <v>ECON-E</v>
          </cell>
          <cell r="G3960">
            <v>471</v>
          </cell>
          <cell r="H3960" t="str">
            <v>ECON-E471</v>
          </cell>
          <cell r="K3960" t="str">
            <v>Choi,Yongok</v>
          </cell>
          <cell r="N3960">
            <v>3.0830000000000002</v>
          </cell>
          <cell r="O3960">
            <v>3.202</v>
          </cell>
        </row>
        <row r="3961">
          <cell r="E3961" t="str">
            <v>ECON</v>
          </cell>
          <cell r="F3961" t="str">
            <v>ECON-E</v>
          </cell>
          <cell r="G3961">
            <v>471</v>
          </cell>
          <cell r="H3961" t="str">
            <v>ECON-E471</v>
          </cell>
          <cell r="K3961" t="str">
            <v>Escanciano,Juan Carlos</v>
          </cell>
          <cell r="N3961">
            <v>3.254</v>
          </cell>
          <cell r="O3961">
            <v>3.089</v>
          </cell>
        </row>
        <row r="3962">
          <cell r="E3962" t="str">
            <v>ECON</v>
          </cell>
          <cell r="F3962" t="str">
            <v>ECON-E</v>
          </cell>
          <cell r="G3962">
            <v>471</v>
          </cell>
          <cell r="H3962" t="str">
            <v>ECON-E471</v>
          </cell>
          <cell r="K3962" t="str">
            <v>Lee,Yoon-Jin</v>
          </cell>
          <cell r="N3962">
            <v>2.7130000000000001</v>
          </cell>
          <cell r="O3962">
            <v>3.294</v>
          </cell>
        </row>
        <row r="3963">
          <cell r="E3963" t="str">
            <v>ECON</v>
          </cell>
          <cell r="F3963" t="str">
            <v>ECON-E</v>
          </cell>
          <cell r="G3963">
            <v>472</v>
          </cell>
          <cell r="H3963" t="str">
            <v>ECON-E472</v>
          </cell>
          <cell r="K3963" t="str">
            <v>Choi,Yongok</v>
          </cell>
          <cell r="N3963">
            <v>3.1110000000000002</v>
          </cell>
          <cell r="O3963">
            <v>3.0939999999999999</v>
          </cell>
        </row>
        <row r="3964">
          <cell r="E3964" t="str">
            <v>ECON</v>
          </cell>
          <cell r="F3964" t="str">
            <v>ECON-E</v>
          </cell>
          <cell r="G3964">
            <v>472</v>
          </cell>
          <cell r="H3964" t="str">
            <v>ECON-E472</v>
          </cell>
          <cell r="K3964" t="str">
            <v>Hur,Joonyoung</v>
          </cell>
          <cell r="N3964">
            <v>3.6429999999999998</v>
          </cell>
          <cell r="O3964">
            <v>3.3740000000000001</v>
          </cell>
        </row>
        <row r="3965">
          <cell r="E3965" t="str">
            <v>ECON</v>
          </cell>
          <cell r="F3965" t="str">
            <v>ECON-E</v>
          </cell>
          <cell r="G3965">
            <v>499</v>
          </cell>
          <cell r="H3965" t="str">
            <v>ECON-E499</v>
          </cell>
          <cell r="K3965" t="str">
            <v>Kaganovich,Michael</v>
          </cell>
          <cell r="N3965" t="str">
            <v>NR</v>
          </cell>
          <cell r="O3965" t="str">
            <v>NR</v>
          </cell>
        </row>
        <row r="3966">
          <cell r="E3966" t="str">
            <v>ECON</v>
          </cell>
          <cell r="F3966" t="str">
            <v>ECON-E</v>
          </cell>
          <cell r="G3966">
            <v>501</v>
          </cell>
          <cell r="H3966" t="str">
            <v>ECON-E501</v>
          </cell>
          <cell r="K3966" t="str">
            <v>Williams,Arlington W.</v>
          </cell>
          <cell r="N3966" t="str">
            <v>NR</v>
          </cell>
          <cell r="O3966" t="str">
            <v>NR</v>
          </cell>
        </row>
        <row r="3967">
          <cell r="E3967" t="str">
            <v>ECON</v>
          </cell>
          <cell r="F3967" t="str">
            <v>ECON-E</v>
          </cell>
          <cell r="G3967">
            <v>502</v>
          </cell>
          <cell r="H3967" t="str">
            <v>ECON-E502</v>
          </cell>
          <cell r="K3967" t="str">
            <v>Walker,James M.</v>
          </cell>
          <cell r="N3967" t="str">
            <v>NR</v>
          </cell>
          <cell r="O3967" t="str">
            <v>NR</v>
          </cell>
        </row>
        <row r="3968">
          <cell r="E3968" t="str">
            <v>ECON</v>
          </cell>
          <cell r="F3968" t="str">
            <v>ECON-E</v>
          </cell>
          <cell r="G3968">
            <v>520</v>
          </cell>
          <cell r="H3968" t="str">
            <v>ECON-E520</v>
          </cell>
          <cell r="K3968" t="str">
            <v>Kaganovich,Michael</v>
          </cell>
          <cell r="N3968">
            <v>2.9079999999999999</v>
          </cell>
          <cell r="O3968">
            <v>3.343</v>
          </cell>
        </row>
        <row r="3969">
          <cell r="E3969" t="str">
            <v>ECON</v>
          </cell>
          <cell r="F3969" t="str">
            <v>ECON-E</v>
          </cell>
          <cell r="G3969">
            <v>521</v>
          </cell>
          <cell r="H3969" t="str">
            <v>ECON-E521</v>
          </cell>
          <cell r="K3969" t="str">
            <v>Becker,Robert A.</v>
          </cell>
          <cell r="N3969">
            <v>3.238</v>
          </cell>
          <cell r="O3969">
            <v>3.3090000000000002</v>
          </cell>
        </row>
        <row r="3970">
          <cell r="E3970" t="str">
            <v>ECON</v>
          </cell>
          <cell r="F3970" t="str">
            <v>ECON-E</v>
          </cell>
          <cell r="G3970">
            <v>522</v>
          </cell>
          <cell r="H3970" t="str">
            <v>ECON-E522</v>
          </cell>
          <cell r="K3970" t="str">
            <v>Michaud,Amanda</v>
          </cell>
          <cell r="N3970">
            <v>3.411</v>
          </cell>
          <cell r="O3970">
            <v>3.077</v>
          </cell>
        </row>
        <row r="3971">
          <cell r="E3971" t="str">
            <v>ECON</v>
          </cell>
          <cell r="F3971" t="str">
            <v>ECON-E</v>
          </cell>
          <cell r="G3971">
            <v>550</v>
          </cell>
          <cell r="H3971" t="str">
            <v>ECON-E550</v>
          </cell>
          <cell r="K3971" t="str">
            <v>Walker,Todd Bruce</v>
          </cell>
          <cell r="N3971">
            <v>4</v>
          </cell>
          <cell r="O3971">
            <v>3.7559999999999998</v>
          </cell>
        </row>
        <row r="3972">
          <cell r="E3972" t="str">
            <v>ECON</v>
          </cell>
          <cell r="F3972" t="str">
            <v>ECON-E</v>
          </cell>
          <cell r="G3972">
            <v>550</v>
          </cell>
          <cell r="H3972" t="str">
            <v>ECON-E550</v>
          </cell>
          <cell r="K3972" t="str">
            <v>Walker,Todd Bruce</v>
          </cell>
          <cell r="N3972" t="str">
            <v>NR</v>
          </cell>
          <cell r="O3972" t="str">
            <v>NR</v>
          </cell>
        </row>
        <row r="3973">
          <cell r="E3973" t="str">
            <v>ECON</v>
          </cell>
          <cell r="F3973" t="str">
            <v>ECON-E</v>
          </cell>
          <cell r="G3973">
            <v>571</v>
          </cell>
          <cell r="H3973" t="str">
            <v>ECON-E571</v>
          </cell>
          <cell r="K3973" t="str">
            <v>Park,Joon</v>
          </cell>
          <cell r="N3973">
            <v>3.2789999999999999</v>
          </cell>
          <cell r="O3973">
            <v>3.2509999999999999</v>
          </cell>
        </row>
        <row r="3974">
          <cell r="E3974" t="str">
            <v>ECON</v>
          </cell>
          <cell r="F3974" t="str">
            <v>ECON-E</v>
          </cell>
          <cell r="G3974">
            <v>572</v>
          </cell>
          <cell r="H3974" t="str">
            <v>ECON-E572</v>
          </cell>
          <cell r="K3974" t="str">
            <v>Chang,Yoosoon</v>
          </cell>
          <cell r="N3974">
            <v>3.4449999999999998</v>
          </cell>
          <cell r="O3974">
            <v>3.5019999999999998</v>
          </cell>
        </row>
        <row r="3975">
          <cell r="E3975" t="str">
            <v>ECON</v>
          </cell>
          <cell r="F3975" t="str">
            <v>ECON-E</v>
          </cell>
          <cell r="G3975">
            <v>621</v>
          </cell>
          <cell r="H3975" t="str">
            <v>ECON-E621</v>
          </cell>
          <cell r="K3975" t="str">
            <v>Puzzello,Daniela</v>
          </cell>
          <cell r="N3975">
            <v>3.2709999999999999</v>
          </cell>
          <cell r="O3975">
            <v>3.4750000000000001</v>
          </cell>
        </row>
        <row r="3976">
          <cell r="E3976" t="str">
            <v>ECON</v>
          </cell>
          <cell r="F3976" t="str">
            <v>ECON-E</v>
          </cell>
          <cell r="G3976">
            <v>622</v>
          </cell>
          <cell r="H3976" t="str">
            <v>ECON-E622</v>
          </cell>
          <cell r="K3976" t="str">
            <v>Leeper,Eric Michael</v>
          </cell>
          <cell r="N3976">
            <v>3.6749999999999998</v>
          </cell>
          <cell r="O3976">
            <v>3.4590000000000001</v>
          </cell>
        </row>
        <row r="3977">
          <cell r="E3977" t="str">
            <v>ECON</v>
          </cell>
          <cell r="F3977" t="str">
            <v>ECON-E</v>
          </cell>
          <cell r="G3977">
            <v>626</v>
          </cell>
          <cell r="H3977" t="str">
            <v>ECON-E626</v>
          </cell>
          <cell r="K3977" t="str">
            <v>Garcia,Filomena</v>
          </cell>
          <cell r="N3977">
            <v>3.9750000000000001</v>
          </cell>
          <cell r="O3977">
            <v>3.6859999999999999</v>
          </cell>
        </row>
        <row r="3978">
          <cell r="E3978" t="str">
            <v>ECON</v>
          </cell>
          <cell r="F3978" t="str">
            <v>ECON-E</v>
          </cell>
          <cell r="G3978">
            <v>627</v>
          </cell>
          <cell r="H3978" t="str">
            <v>ECON-E627</v>
          </cell>
          <cell r="K3978" t="str">
            <v>Walker,James M.</v>
          </cell>
          <cell r="N3978">
            <v>3.371</v>
          </cell>
          <cell r="O3978">
            <v>3.6850000000000001</v>
          </cell>
        </row>
        <row r="3979">
          <cell r="E3979" t="str">
            <v>ECON</v>
          </cell>
          <cell r="F3979" t="str">
            <v>ECON-E</v>
          </cell>
          <cell r="G3979">
            <v>672</v>
          </cell>
          <cell r="H3979" t="str">
            <v>ECON-E672</v>
          </cell>
          <cell r="K3979" t="str">
            <v>Chang,Yoosoon</v>
          </cell>
          <cell r="N3979" t="str">
            <v>NR</v>
          </cell>
          <cell r="O3979" t="str">
            <v>NR</v>
          </cell>
        </row>
        <row r="3980">
          <cell r="E3980" t="str">
            <v>ECON</v>
          </cell>
          <cell r="F3980" t="str">
            <v>ECON-E</v>
          </cell>
          <cell r="G3980">
            <v>672</v>
          </cell>
          <cell r="H3980" t="str">
            <v>ECON-E672</v>
          </cell>
          <cell r="K3980" t="str">
            <v>Chang,Yoosoon</v>
          </cell>
          <cell r="N3980" t="str">
            <v>NR</v>
          </cell>
          <cell r="O3980" t="str">
            <v>NR</v>
          </cell>
        </row>
        <row r="3981">
          <cell r="E3981" t="str">
            <v>ECON</v>
          </cell>
          <cell r="F3981" t="str">
            <v>ECON-E</v>
          </cell>
          <cell r="G3981">
            <v>724</v>
          </cell>
          <cell r="H3981" t="str">
            <v>ECON-E724</v>
          </cell>
          <cell r="K3981" t="str">
            <v>Alexeev,Michael V.</v>
          </cell>
          <cell r="N3981" t="str">
            <v>NR</v>
          </cell>
          <cell r="O3981" t="str">
            <v>NR</v>
          </cell>
        </row>
        <row r="3982">
          <cell r="E3982" t="str">
            <v>ECON</v>
          </cell>
          <cell r="F3982" t="str">
            <v>ECON-E</v>
          </cell>
          <cell r="G3982">
            <v>724</v>
          </cell>
          <cell r="H3982" t="str">
            <v>ECON-E724</v>
          </cell>
          <cell r="K3982" t="str">
            <v>Escanciano,Juan Carlos</v>
          </cell>
          <cell r="N3982" t="str">
            <v>NR</v>
          </cell>
          <cell r="O3982" t="str">
            <v>NR</v>
          </cell>
        </row>
        <row r="3983">
          <cell r="E3983" t="str">
            <v>ECON</v>
          </cell>
          <cell r="F3983" t="str">
            <v>ECON-E</v>
          </cell>
          <cell r="G3983">
            <v>724</v>
          </cell>
          <cell r="H3983" t="str">
            <v>ECON-E724</v>
          </cell>
          <cell r="K3983" t="str">
            <v>Gordon,Grey</v>
          </cell>
          <cell r="N3983">
            <v>3.63</v>
          </cell>
          <cell r="O3983">
            <v>3.6859999999999999</v>
          </cell>
        </row>
        <row r="3984">
          <cell r="E3984" t="str">
            <v>ECON</v>
          </cell>
          <cell r="F3984" t="str">
            <v>ECON-E</v>
          </cell>
          <cell r="G3984">
            <v>724</v>
          </cell>
          <cell r="H3984" t="str">
            <v>ECON-E724</v>
          </cell>
          <cell r="K3984" t="str">
            <v>Guler,Bulent</v>
          </cell>
          <cell r="N3984">
            <v>4</v>
          </cell>
          <cell r="O3984">
            <v>3.569</v>
          </cell>
        </row>
        <row r="3985">
          <cell r="E3985" t="str">
            <v>ECON</v>
          </cell>
          <cell r="F3985" t="str">
            <v>ECON-E</v>
          </cell>
          <cell r="G3985">
            <v>724</v>
          </cell>
          <cell r="H3985" t="str">
            <v>ECON-E724</v>
          </cell>
          <cell r="K3985" t="str">
            <v>Kaganovich,Michael</v>
          </cell>
          <cell r="N3985">
            <v>3.5670000000000002</v>
          </cell>
          <cell r="O3985">
            <v>3.621</v>
          </cell>
        </row>
        <row r="3986">
          <cell r="E3986" t="str">
            <v>ECON</v>
          </cell>
          <cell r="F3986" t="str">
            <v>ECON-E</v>
          </cell>
          <cell r="G3986">
            <v>724</v>
          </cell>
          <cell r="H3986" t="str">
            <v>ECON-E724</v>
          </cell>
          <cell r="K3986" t="str">
            <v>Kaganovich,Michael</v>
          </cell>
          <cell r="N3986" t="str">
            <v>NR</v>
          </cell>
          <cell r="O3986" t="str">
            <v>NR</v>
          </cell>
        </row>
        <row r="3987">
          <cell r="E3987" t="str">
            <v>ECON</v>
          </cell>
          <cell r="F3987" t="str">
            <v>ECON-E</v>
          </cell>
          <cell r="G3987">
            <v>724</v>
          </cell>
          <cell r="H3987" t="str">
            <v>ECON-E724</v>
          </cell>
          <cell r="K3987" t="str">
            <v>Lee,Yoon-Jin</v>
          </cell>
          <cell r="N3987" t="str">
            <v>NR</v>
          </cell>
          <cell r="O3987" t="str">
            <v>NR</v>
          </cell>
        </row>
        <row r="3988">
          <cell r="E3988" t="str">
            <v>ECON</v>
          </cell>
          <cell r="F3988" t="str">
            <v>ECON-E</v>
          </cell>
          <cell r="G3988">
            <v>724</v>
          </cell>
          <cell r="H3988" t="str">
            <v>ECON-E724</v>
          </cell>
          <cell r="K3988" t="str">
            <v>Page,Frank H. Jr.</v>
          </cell>
          <cell r="N3988">
            <v>4</v>
          </cell>
          <cell r="O3988">
            <v>3.6869999999999998</v>
          </cell>
        </row>
        <row r="3989">
          <cell r="E3989" t="str">
            <v>ECON</v>
          </cell>
          <cell r="F3989" t="str">
            <v>ECON-E</v>
          </cell>
          <cell r="G3989">
            <v>724</v>
          </cell>
          <cell r="H3989" t="str">
            <v>ECON-E724</v>
          </cell>
          <cell r="K3989" t="str">
            <v>Page,Frank H. Jr.</v>
          </cell>
          <cell r="N3989">
            <v>3.9670000000000001</v>
          </cell>
          <cell r="O3989">
            <v>3.6360000000000001</v>
          </cell>
        </row>
        <row r="3990">
          <cell r="E3990" t="str">
            <v>ECON</v>
          </cell>
          <cell r="F3990" t="str">
            <v>ECON-E</v>
          </cell>
          <cell r="G3990">
            <v>724</v>
          </cell>
          <cell r="H3990" t="str">
            <v>ECON-E724</v>
          </cell>
          <cell r="K3990" t="str">
            <v>Park,Joon</v>
          </cell>
          <cell r="N3990" t="str">
            <v>NR</v>
          </cell>
          <cell r="O3990" t="str">
            <v>NR</v>
          </cell>
        </row>
        <row r="3991">
          <cell r="E3991" t="str">
            <v>ECON</v>
          </cell>
          <cell r="F3991" t="str">
            <v>ECON-E</v>
          </cell>
          <cell r="G3991">
            <v>724</v>
          </cell>
          <cell r="H3991" t="str">
            <v>ECON-E724</v>
          </cell>
          <cell r="K3991" t="str">
            <v>Walker,Todd Bruce</v>
          </cell>
          <cell r="N3991">
            <v>3.8570000000000002</v>
          </cell>
          <cell r="O3991">
            <v>3.6139999999999999</v>
          </cell>
        </row>
        <row r="3992">
          <cell r="E3992" t="str">
            <v>ECON</v>
          </cell>
          <cell r="F3992" t="str">
            <v>ECON-E</v>
          </cell>
          <cell r="G3992">
            <v>752</v>
          </cell>
          <cell r="H3992" t="str">
            <v>ECON-E752</v>
          </cell>
          <cell r="K3992" t="str">
            <v>Walker,Todd Bruce</v>
          </cell>
          <cell r="N3992">
            <v>4</v>
          </cell>
          <cell r="O3992">
            <v>3.7170000000000001</v>
          </cell>
        </row>
        <row r="3993">
          <cell r="E3993" t="str">
            <v>ECON</v>
          </cell>
          <cell r="F3993" t="str">
            <v>ECON-E</v>
          </cell>
          <cell r="G3993">
            <v>809</v>
          </cell>
          <cell r="H3993" t="str">
            <v>ECON-E809</v>
          </cell>
          <cell r="K3993" t="str">
            <v>Kaganovich,Michael</v>
          </cell>
          <cell r="N3993" t="str">
            <v>NR</v>
          </cell>
          <cell r="O3993" t="str">
            <v>NR</v>
          </cell>
        </row>
        <row r="3994">
          <cell r="E3994" t="str">
            <v>ECON</v>
          </cell>
          <cell r="F3994" t="str">
            <v>ECON-E</v>
          </cell>
          <cell r="G3994">
            <v>809</v>
          </cell>
          <cell r="H3994" t="str">
            <v>ECON-E809</v>
          </cell>
          <cell r="K3994" t="str">
            <v>Kaganovich,Michael</v>
          </cell>
          <cell r="N3994" t="str">
            <v>NR</v>
          </cell>
          <cell r="O3994" t="str">
            <v>NR</v>
          </cell>
        </row>
        <row r="3995">
          <cell r="E3995" t="str">
            <v>ECON</v>
          </cell>
          <cell r="F3995" t="str">
            <v>ECON-E</v>
          </cell>
          <cell r="G3995">
            <v>824</v>
          </cell>
          <cell r="H3995" t="str">
            <v>ECON-E824</v>
          </cell>
          <cell r="K3995" t="str">
            <v>Kaganovich,Michael</v>
          </cell>
          <cell r="N3995" t="str">
            <v>NR</v>
          </cell>
          <cell r="O3995" t="str">
            <v>NR</v>
          </cell>
        </row>
        <row r="3996">
          <cell r="E3996" t="str">
            <v>ECON</v>
          </cell>
          <cell r="F3996" t="str">
            <v>ECON-E</v>
          </cell>
          <cell r="G3996">
            <v>850</v>
          </cell>
          <cell r="H3996" t="str">
            <v>ECON-E850</v>
          </cell>
          <cell r="K3996" t="str">
            <v>Kaganovich,Michael</v>
          </cell>
          <cell r="N3996" t="str">
            <v>NR</v>
          </cell>
          <cell r="O3996" t="str">
            <v>NR</v>
          </cell>
        </row>
        <row r="3997">
          <cell r="E3997" t="str">
            <v>ECON</v>
          </cell>
          <cell r="F3997" t="str">
            <v>ECON-E</v>
          </cell>
          <cell r="G3997">
            <v>870</v>
          </cell>
          <cell r="H3997" t="str">
            <v>ECON-E870</v>
          </cell>
          <cell r="K3997" t="str">
            <v>Kaganovich,Michael</v>
          </cell>
          <cell r="N3997" t="str">
            <v>NR</v>
          </cell>
          <cell r="O3997" t="str">
            <v>NR</v>
          </cell>
        </row>
        <row r="3998">
          <cell r="E3998" t="str">
            <v>ECON</v>
          </cell>
          <cell r="F3998" t="str">
            <v>ECON-G</v>
          </cell>
          <cell r="G3998">
            <v>901</v>
          </cell>
          <cell r="H3998" t="str">
            <v>ECON-G901</v>
          </cell>
          <cell r="K3998" t="str">
            <v>Kaganovich,Michael</v>
          </cell>
          <cell r="N3998" t="str">
            <v>NR</v>
          </cell>
          <cell r="O3998" t="str">
            <v>NR</v>
          </cell>
        </row>
        <row r="3999">
          <cell r="E3999" t="str">
            <v>ECON</v>
          </cell>
          <cell r="F3999" t="str">
            <v>ECON-G</v>
          </cell>
          <cell r="G3999">
            <v>901</v>
          </cell>
          <cell r="H3999" t="str">
            <v>ECON-G901</v>
          </cell>
          <cell r="K3999" t="str">
            <v>Kaganovich,Michael</v>
          </cell>
          <cell r="N3999">
            <v>4</v>
          </cell>
          <cell r="O3999">
            <v>3.7189999999999999</v>
          </cell>
        </row>
        <row r="4000">
          <cell r="E4000" t="str">
            <v>ECON</v>
          </cell>
          <cell r="F4000" t="str">
            <v>ECON-S</v>
          </cell>
          <cell r="G4000">
            <v>201</v>
          </cell>
          <cell r="H4000" t="str">
            <v>ECON-S201</v>
          </cell>
          <cell r="K4000" t="str">
            <v>Glomm,Gerhard</v>
          </cell>
          <cell r="N4000">
            <v>3.3359999999999999</v>
          </cell>
          <cell r="O4000">
            <v>3.5950000000000002</v>
          </cell>
        </row>
        <row r="4001">
          <cell r="E4001" t="str">
            <v>ECON</v>
          </cell>
          <cell r="F4001" t="str">
            <v>ECON-S</v>
          </cell>
          <cell r="G4001">
            <v>201</v>
          </cell>
          <cell r="H4001" t="str">
            <v>ECON-S201</v>
          </cell>
          <cell r="K4001" t="str">
            <v>Graf,Paul</v>
          </cell>
          <cell r="N4001">
            <v>3.177</v>
          </cell>
          <cell r="O4001">
            <v>3.5230000000000001</v>
          </cell>
        </row>
        <row r="4002">
          <cell r="E4002" t="str">
            <v>ECON</v>
          </cell>
          <cell r="F4002" t="str">
            <v>ECON-S</v>
          </cell>
          <cell r="G4002">
            <v>202</v>
          </cell>
          <cell r="H4002" t="str">
            <v>ECON-S202</v>
          </cell>
          <cell r="K4002" t="str">
            <v>Leeper,Eric Michael</v>
          </cell>
          <cell r="N4002">
            <v>3.3570000000000002</v>
          </cell>
          <cell r="O4002">
            <v>3.7280000000000002</v>
          </cell>
        </row>
        <row r="4003">
          <cell r="E4003" t="str">
            <v>ECON</v>
          </cell>
          <cell r="F4003" t="str">
            <v>ECON-Y</v>
          </cell>
          <cell r="G4003">
            <v>398</v>
          </cell>
          <cell r="H4003" t="str">
            <v>ECON-Y398</v>
          </cell>
          <cell r="K4003" t="str">
            <v>Glomm,Gerhard</v>
          </cell>
          <cell r="N4003">
            <v>3.3679999999999999</v>
          </cell>
          <cell r="O4003">
            <v>3.016</v>
          </cell>
        </row>
        <row r="4004">
          <cell r="E4004" t="str">
            <v>ECON</v>
          </cell>
          <cell r="F4004" t="str">
            <v>ECON-Y</v>
          </cell>
          <cell r="G4004">
            <v>398</v>
          </cell>
          <cell r="H4004" t="str">
            <v>ECON-Y398</v>
          </cell>
          <cell r="K4004" t="str">
            <v>Kaganovich,Michael</v>
          </cell>
          <cell r="N4004" t="str">
            <v>NR</v>
          </cell>
          <cell r="O4004" t="str">
            <v>NR</v>
          </cell>
        </row>
        <row r="4005">
          <cell r="E4005" t="str">
            <v>EDUC</v>
          </cell>
          <cell r="F4005" t="str">
            <v>EDUC-A</v>
          </cell>
          <cell r="G4005">
            <v>308</v>
          </cell>
          <cell r="H4005" t="str">
            <v>EDUC-A308</v>
          </cell>
          <cell r="K4005" t="str">
            <v>Eckes,Suzanne E.</v>
          </cell>
          <cell r="N4005">
            <v>3.3849999999999998</v>
          </cell>
          <cell r="O4005">
            <v>3.41</v>
          </cell>
        </row>
        <row r="4006">
          <cell r="E4006" t="str">
            <v>EDUC</v>
          </cell>
          <cell r="F4006" t="str">
            <v>EDUC-A</v>
          </cell>
          <cell r="G4006">
            <v>308</v>
          </cell>
          <cell r="H4006" t="str">
            <v>EDUC-A308</v>
          </cell>
          <cell r="K4006" t="str">
            <v>Eckes,Suzanne E.</v>
          </cell>
          <cell r="N4006">
            <v>3.49</v>
          </cell>
          <cell r="O4006">
            <v>3.3860000000000001</v>
          </cell>
        </row>
        <row r="4007">
          <cell r="E4007" t="str">
            <v>EDUC</v>
          </cell>
          <cell r="F4007" t="str">
            <v>EDUC-A</v>
          </cell>
          <cell r="G4007">
            <v>500</v>
          </cell>
          <cell r="H4007" t="str">
            <v>EDUC-A500</v>
          </cell>
          <cell r="K4007" t="str">
            <v>Erwin,Barbara Jeanne</v>
          </cell>
          <cell r="N4007">
            <v>3.8</v>
          </cell>
          <cell r="O4007">
            <v>3.8330000000000002</v>
          </cell>
        </row>
        <row r="4008">
          <cell r="E4008" t="str">
            <v>EDUC</v>
          </cell>
          <cell r="F4008" t="str">
            <v>EDUC-A</v>
          </cell>
          <cell r="G4008">
            <v>500</v>
          </cell>
          <cell r="H4008" t="str">
            <v>EDUC-A500</v>
          </cell>
          <cell r="K4008" t="str">
            <v>Erwin,Barbara Jeanne</v>
          </cell>
          <cell r="N4008">
            <v>3.9169999999999998</v>
          </cell>
          <cell r="O4008">
            <v>3.9249999999999998</v>
          </cell>
        </row>
        <row r="4009">
          <cell r="E4009" t="str">
            <v>EDUC</v>
          </cell>
          <cell r="F4009" t="str">
            <v>EDUC-A</v>
          </cell>
          <cell r="G4009">
            <v>508</v>
          </cell>
          <cell r="H4009" t="str">
            <v>EDUC-A508</v>
          </cell>
          <cell r="K4009" t="str">
            <v>Eckes,Suzanne E.</v>
          </cell>
          <cell r="N4009" t="str">
            <v>NR</v>
          </cell>
          <cell r="O4009" t="str">
            <v>NR</v>
          </cell>
        </row>
        <row r="4010">
          <cell r="E4010" t="str">
            <v>EDUC</v>
          </cell>
          <cell r="F4010" t="str">
            <v>EDUC-A</v>
          </cell>
          <cell r="G4010">
            <v>510</v>
          </cell>
          <cell r="H4010" t="str">
            <v>EDUC-A510</v>
          </cell>
          <cell r="K4010" t="str">
            <v>Scribner,Samantha M. Paredes</v>
          </cell>
          <cell r="N4010">
            <v>3.867</v>
          </cell>
          <cell r="O4010">
            <v>3.88</v>
          </cell>
        </row>
        <row r="4011">
          <cell r="E4011" t="str">
            <v>EDUC</v>
          </cell>
          <cell r="F4011" t="str">
            <v>EDUC-A</v>
          </cell>
          <cell r="G4011">
            <v>510</v>
          </cell>
          <cell r="H4011" t="str">
            <v>EDUC-A510</v>
          </cell>
          <cell r="K4011" t="str">
            <v>Scribner,Samantha M. Paredes</v>
          </cell>
          <cell r="N4011">
            <v>4</v>
          </cell>
          <cell r="O4011">
            <v>3.9409999999999998</v>
          </cell>
        </row>
        <row r="4012">
          <cell r="E4012" t="str">
            <v>EDUC</v>
          </cell>
          <cell r="F4012" t="str">
            <v>EDUC-A</v>
          </cell>
          <cell r="G4012">
            <v>515</v>
          </cell>
          <cell r="H4012" t="str">
            <v>EDUC-A515</v>
          </cell>
          <cell r="K4012" t="str">
            <v>Erwin,Barbara Jeanne</v>
          </cell>
          <cell r="N4012">
            <v>3.9729999999999999</v>
          </cell>
          <cell r="O4012">
            <v>3.8479999999999999</v>
          </cell>
        </row>
        <row r="4013">
          <cell r="E4013" t="str">
            <v>EDUC</v>
          </cell>
          <cell r="F4013" t="str">
            <v>EDUC-A</v>
          </cell>
          <cell r="G4013">
            <v>515</v>
          </cell>
          <cell r="H4013" t="str">
            <v>EDUC-A515</v>
          </cell>
          <cell r="K4013" t="str">
            <v>Fish,Deborah Lynn</v>
          </cell>
          <cell r="N4013">
            <v>4</v>
          </cell>
          <cell r="O4013">
            <v>3.919</v>
          </cell>
        </row>
        <row r="4014">
          <cell r="E4014" t="str">
            <v>EDUC</v>
          </cell>
          <cell r="F4014" t="str">
            <v>EDUC-A</v>
          </cell>
          <cell r="G4014">
            <v>590</v>
          </cell>
          <cell r="H4014" t="str">
            <v>EDUC-A590</v>
          </cell>
          <cell r="K4014" t="str">
            <v>Maxcy,Brendan</v>
          </cell>
          <cell r="N4014" t="str">
            <v>NR</v>
          </cell>
          <cell r="O4014" t="str">
            <v>NR</v>
          </cell>
        </row>
        <row r="4015">
          <cell r="E4015" t="str">
            <v>EDUC</v>
          </cell>
          <cell r="F4015" t="str">
            <v>EDUC-A</v>
          </cell>
          <cell r="G4015">
            <v>590</v>
          </cell>
          <cell r="H4015" t="str">
            <v>EDUC-A590</v>
          </cell>
          <cell r="K4015" t="str">
            <v>Maxcy,Brendan</v>
          </cell>
          <cell r="N4015" t="str">
            <v>NR</v>
          </cell>
          <cell r="O4015" t="str">
            <v>NR</v>
          </cell>
        </row>
        <row r="4016">
          <cell r="E4016" t="str">
            <v>EDUC</v>
          </cell>
          <cell r="F4016" t="str">
            <v>EDUC-A</v>
          </cell>
          <cell r="G4016">
            <v>600</v>
          </cell>
          <cell r="H4016" t="str">
            <v>EDUC-A600</v>
          </cell>
          <cell r="K4016" t="str">
            <v>Crow,Gary M.</v>
          </cell>
          <cell r="N4016">
            <v>3.7130000000000001</v>
          </cell>
          <cell r="O4016">
            <v>3.7450000000000001</v>
          </cell>
        </row>
        <row r="4017">
          <cell r="E4017" t="str">
            <v>EDUC</v>
          </cell>
          <cell r="F4017" t="str">
            <v>EDUC-A</v>
          </cell>
          <cell r="G4017">
            <v>608</v>
          </cell>
          <cell r="H4017" t="str">
            <v>EDUC-A608</v>
          </cell>
          <cell r="K4017" t="str">
            <v>Decker,Janet R.</v>
          </cell>
          <cell r="N4017">
            <v>3.8330000000000002</v>
          </cell>
          <cell r="O4017">
            <v>3.738</v>
          </cell>
        </row>
        <row r="4018">
          <cell r="E4018" t="str">
            <v>EDUC</v>
          </cell>
          <cell r="F4018" t="str">
            <v>EDUC-A</v>
          </cell>
          <cell r="G4018">
            <v>631</v>
          </cell>
          <cell r="H4018" t="str">
            <v>EDUC-A631</v>
          </cell>
          <cell r="K4018" t="str">
            <v>Guarino,Cassandra Marie</v>
          </cell>
          <cell r="N4018">
            <v>3.3879999999999999</v>
          </cell>
          <cell r="O4018">
            <v>3.738</v>
          </cell>
        </row>
        <row r="4019">
          <cell r="E4019" t="str">
            <v>EDUC</v>
          </cell>
          <cell r="F4019" t="str">
            <v>EDUC-A</v>
          </cell>
          <cell r="G4019">
            <v>631</v>
          </cell>
          <cell r="H4019" t="str">
            <v>EDUC-A631</v>
          </cell>
          <cell r="K4019" t="str">
            <v>Guarino,Cassandra Marie</v>
          </cell>
          <cell r="N4019">
            <v>3.544</v>
          </cell>
          <cell r="O4019">
            <v>3.8639999999999999</v>
          </cell>
        </row>
        <row r="4020">
          <cell r="E4020" t="str">
            <v>EDUC</v>
          </cell>
          <cell r="F4020" t="str">
            <v>EDUC-A</v>
          </cell>
          <cell r="G4020">
            <v>635</v>
          </cell>
          <cell r="H4020" t="str">
            <v>EDUC-A635</v>
          </cell>
          <cell r="K4020" t="str">
            <v>Little,Charles Lewis</v>
          </cell>
          <cell r="N4020">
            <v>3.6669999999999998</v>
          </cell>
          <cell r="O4020">
            <v>3.8239999999999998</v>
          </cell>
        </row>
        <row r="4021">
          <cell r="E4021" t="str">
            <v>EDUC</v>
          </cell>
          <cell r="F4021" t="str">
            <v>EDUC-A</v>
          </cell>
          <cell r="G4021">
            <v>635</v>
          </cell>
          <cell r="H4021" t="str">
            <v>EDUC-A635</v>
          </cell>
          <cell r="K4021" t="str">
            <v>Little,Charles Lewis</v>
          </cell>
          <cell r="N4021" t="str">
            <v>NR</v>
          </cell>
          <cell r="O4021" t="str">
            <v>NR</v>
          </cell>
        </row>
        <row r="4022">
          <cell r="E4022" t="str">
            <v>EDUC</v>
          </cell>
          <cell r="F4022" t="str">
            <v>EDUC-A</v>
          </cell>
          <cell r="G4022">
            <v>638</v>
          </cell>
          <cell r="H4022" t="str">
            <v>EDUC-A638</v>
          </cell>
          <cell r="K4022" t="str">
            <v>Erwin,Barbara Jeanne</v>
          </cell>
          <cell r="N4022">
            <v>3.9769999999999999</v>
          </cell>
          <cell r="O4022">
            <v>3.855</v>
          </cell>
        </row>
        <row r="4023">
          <cell r="E4023" t="str">
            <v>EDUC</v>
          </cell>
          <cell r="F4023" t="str">
            <v>EDUC-A</v>
          </cell>
          <cell r="G4023">
            <v>670</v>
          </cell>
          <cell r="H4023" t="str">
            <v>EDUC-A670</v>
          </cell>
          <cell r="K4023" t="str">
            <v>Scribner,Samantha M. Paredes</v>
          </cell>
          <cell r="N4023" t="str">
            <v>NR</v>
          </cell>
          <cell r="O4023" t="str">
            <v>NR</v>
          </cell>
        </row>
        <row r="4024">
          <cell r="E4024" t="str">
            <v>EDUC</v>
          </cell>
          <cell r="F4024" t="str">
            <v>EDUC-A</v>
          </cell>
          <cell r="G4024">
            <v>672</v>
          </cell>
          <cell r="H4024" t="str">
            <v>EDUC-A672</v>
          </cell>
          <cell r="K4024" t="str">
            <v>Scribner,Samantha M. Paredes</v>
          </cell>
          <cell r="N4024">
            <v>3.9790000000000001</v>
          </cell>
          <cell r="O4024">
            <v>3.8780000000000001</v>
          </cell>
        </row>
        <row r="4025">
          <cell r="E4025" t="str">
            <v>EDUC</v>
          </cell>
          <cell r="F4025" t="str">
            <v>EDUC-A</v>
          </cell>
          <cell r="G4025">
            <v>675</v>
          </cell>
          <cell r="H4025" t="str">
            <v>EDUC-A675</v>
          </cell>
          <cell r="K4025" t="str">
            <v>Cole,Cassandra M.</v>
          </cell>
          <cell r="N4025" t="str">
            <v>NR</v>
          </cell>
          <cell r="O4025" t="str">
            <v>NR</v>
          </cell>
        </row>
        <row r="4026">
          <cell r="E4026" t="str">
            <v>EDUC</v>
          </cell>
          <cell r="F4026" t="str">
            <v>EDUC-A</v>
          </cell>
          <cell r="G4026">
            <v>695</v>
          </cell>
          <cell r="H4026" t="str">
            <v>EDUC-A695</v>
          </cell>
          <cell r="K4026" t="str">
            <v>Cole,Cassandra M.</v>
          </cell>
          <cell r="N4026">
            <v>4</v>
          </cell>
          <cell r="O4026">
            <v>3.9159999999999999</v>
          </cell>
        </row>
        <row r="4027">
          <cell r="E4027" t="str">
            <v>EDUC</v>
          </cell>
          <cell r="F4027" t="str">
            <v>EDUC-A</v>
          </cell>
          <cell r="G4027">
            <v>695</v>
          </cell>
          <cell r="H4027" t="str">
            <v>EDUC-A695</v>
          </cell>
          <cell r="K4027" t="str">
            <v>Erwin,Barbara Jeanne</v>
          </cell>
          <cell r="N4027" t="str">
            <v>NR</v>
          </cell>
          <cell r="O4027" t="str">
            <v>NR</v>
          </cell>
        </row>
        <row r="4028">
          <cell r="E4028" t="str">
            <v>EDUC</v>
          </cell>
          <cell r="F4028" t="str">
            <v>EDUC-A</v>
          </cell>
          <cell r="G4028">
            <v>695</v>
          </cell>
          <cell r="H4028" t="str">
            <v>EDUC-A695</v>
          </cell>
          <cell r="K4028" t="str">
            <v>Erwin,Barbara Jeanne</v>
          </cell>
          <cell r="N4028" t="str">
            <v>NR</v>
          </cell>
          <cell r="O4028" t="str">
            <v>NR</v>
          </cell>
        </row>
        <row r="4029">
          <cell r="E4029" t="str">
            <v>EDUC</v>
          </cell>
          <cell r="F4029" t="str">
            <v>EDUC-A</v>
          </cell>
          <cell r="G4029">
            <v>754</v>
          </cell>
          <cell r="H4029" t="str">
            <v>EDUC-A754</v>
          </cell>
          <cell r="K4029" t="str">
            <v>Crow,Gary M.</v>
          </cell>
          <cell r="N4029">
            <v>3.8580000000000001</v>
          </cell>
          <cell r="O4029">
            <v>3.8809999999999998</v>
          </cell>
        </row>
        <row r="4030">
          <cell r="E4030" t="str">
            <v>EDUC</v>
          </cell>
          <cell r="F4030" t="str">
            <v>EDUC-A</v>
          </cell>
          <cell r="G4030">
            <v>795</v>
          </cell>
          <cell r="H4030" t="str">
            <v>EDUC-A795</v>
          </cell>
          <cell r="K4030" t="str">
            <v>Scribner,Samantha M. Paredes</v>
          </cell>
          <cell r="N4030" t="str">
            <v>NR</v>
          </cell>
          <cell r="O4030" t="str">
            <v>NR</v>
          </cell>
        </row>
        <row r="4031">
          <cell r="E4031" t="str">
            <v>EDUC</v>
          </cell>
          <cell r="F4031" t="str">
            <v>EDUC-A</v>
          </cell>
          <cell r="G4031">
            <v>799</v>
          </cell>
          <cell r="H4031" t="str">
            <v>EDUC-A799</v>
          </cell>
          <cell r="K4031" t="str">
            <v>Eckes,Suzanne E.</v>
          </cell>
          <cell r="N4031" t="str">
            <v>NR</v>
          </cell>
          <cell r="O4031" t="str">
            <v>NR</v>
          </cell>
        </row>
        <row r="4032">
          <cell r="E4032" t="str">
            <v>EDUC</v>
          </cell>
          <cell r="F4032" t="str">
            <v>EDUC-A</v>
          </cell>
          <cell r="G4032">
            <v>799</v>
          </cell>
          <cell r="H4032" t="str">
            <v>EDUC-A799</v>
          </cell>
          <cell r="K4032" t="str">
            <v>Eckes,Suzanne E.</v>
          </cell>
          <cell r="N4032" t="str">
            <v>NR</v>
          </cell>
          <cell r="O4032" t="str">
            <v>NR</v>
          </cell>
        </row>
        <row r="4033">
          <cell r="E4033" t="str">
            <v>EDUC</v>
          </cell>
          <cell r="F4033" t="str">
            <v>EDUC-A</v>
          </cell>
          <cell r="G4033">
            <v>799</v>
          </cell>
          <cell r="H4033" t="str">
            <v>EDUC-A799</v>
          </cell>
          <cell r="K4033" t="str">
            <v>Eckes,Suzanne E.</v>
          </cell>
          <cell r="N4033" t="str">
            <v>NR</v>
          </cell>
          <cell r="O4033" t="str">
            <v>NR</v>
          </cell>
        </row>
        <row r="4034">
          <cell r="E4034" t="str">
            <v>EDUC</v>
          </cell>
          <cell r="F4034" t="str">
            <v>EDUC-A</v>
          </cell>
          <cell r="G4034">
            <v>799</v>
          </cell>
          <cell r="H4034" t="str">
            <v>EDUC-A799</v>
          </cell>
          <cell r="K4034" t="str">
            <v>Eckes,Suzanne E.</v>
          </cell>
          <cell r="N4034" t="str">
            <v>NR</v>
          </cell>
          <cell r="O4034" t="str">
            <v>NR</v>
          </cell>
        </row>
        <row r="4035">
          <cell r="E4035" t="str">
            <v>EDUC</v>
          </cell>
          <cell r="F4035" t="str">
            <v>EDUC-C</v>
          </cell>
          <cell r="G4035">
            <v>565</v>
          </cell>
          <cell r="H4035" t="str">
            <v>EDUC-C565</v>
          </cell>
          <cell r="K4035" t="str">
            <v>LePeau,Lucy Anne</v>
          </cell>
          <cell r="N4035">
            <v>3.89</v>
          </cell>
          <cell r="O4035">
            <v>3.8679999999999999</v>
          </cell>
        </row>
        <row r="4036">
          <cell r="E4036" t="str">
            <v>EDUC</v>
          </cell>
          <cell r="F4036" t="str">
            <v>EDUC-C</v>
          </cell>
          <cell r="G4036">
            <v>620</v>
          </cell>
          <cell r="H4036" t="str">
            <v>EDUC-C620</v>
          </cell>
          <cell r="K4036" t="str">
            <v>Hughes,Robin Lee</v>
          </cell>
          <cell r="N4036">
            <v>4</v>
          </cell>
          <cell r="O4036">
            <v>3.4660000000000002</v>
          </cell>
        </row>
        <row r="4037">
          <cell r="E4037" t="str">
            <v>EDUC</v>
          </cell>
          <cell r="F4037" t="str">
            <v>EDUC-C</v>
          </cell>
          <cell r="G4037">
            <v>664</v>
          </cell>
          <cell r="H4037" t="str">
            <v>EDUC-C664</v>
          </cell>
          <cell r="K4037" t="str">
            <v>McCormick,Alexander C.</v>
          </cell>
          <cell r="N4037">
            <v>3.7250000000000001</v>
          </cell>
          <cell r="O4037">
            <v>3.782</v>
          </cell>
        </row>
        <row r="4038">
          <cell r="E4038" t="str">
            <v>EDUC</v>
          </cell>
          <cell r="F4038" t="str">
            <v>EDUC-C</v>
          </cell>
          <cell r="G4038">
            <v>670</v>
          </cell>
          <cell r="H4038" t="str">
            <v>EDUC-C670</v>
          </cell>
          <cell r="K4038" t="str">
            <v>Priest,Douglas Maynard</v>
          </cell>
          <cell r="N4038">
            <v>3.8940000000000001</v>
          </cell>
          <cell r="O4038">
            <v>3.7149999999999999</v>
          </cell>
        </row>
        <row r="4039">
          <cell r="E4039" t="str">
            <v>EDUC</v>
          </cell>
          <cell r="F4039" t="str">
            <v>EDUC-C</v>
          </cell>
          <cell r="G4039">
            <v>675</v>
          </cell>
          <cell r="H4039" t="str">
            <v>EDUC-C675</v>
          </cell>
          <cell r="K4039" t="str">
            <v>Nelson Laird,Thomas F</v>
          </cell>
          <cell r="N4039" t="str">
            <v>NR</v>
          </cell>
          <cell r="O4039" t="str">
            <v>NR</v>
          </cell>
        </row>
        <row r="4040">
          <cell r="E4040" t="str">
            <v>EDUC</v>
          </cell>
          <cell r="F4040" t="str">
            <v>EDUC-C</v>
          </cell>
          <cell r="G4040">
            <v>675</v>
          </cell>
          <cell r="H4040" t="str">
            <v>EDUC-C675</v>
          </cell>
          <cell r="K4040" t="str">
            <v>Nelson Laird,Thomas F</v>
          </cell>
          <cell r="N4040" t="str">
            <v>NR</v>
          </cell>
          <cell r="O4040" t="str">
            <v>NR</v>
          </cell>
        </row>
        <row r="4041">
          <cell r="E4041" t="str">
            <v>EDUC</v>
          </cell>
          <cell r="F4041" t="str">
            <v>EDUC-C</v>
          </cell>
          <cell r="G4041">
            <v>690</v>
          </cell>
          <cell r="H4041" t="str">
            <v>EDUC-C690</v>
          </cell>
          <cell r="K4041" t="str">
            <v>Nelson Laird,Thomas F</v>
          </cell>
          <cell r="N4041" t="str">
            <v>NR</v>
          </cell>
          <cell r="O4041" t="str">
            <v>NR</v>
          </cell>
        </row>
        <row r="4042">
          <cell r="E4042" t="str">
            <v>EDUC</v>
          </cell>
          <cell r="F4042" t="str">
            <v>EDUC-C</v>
          </cell>
          <cell r="G4042">
            <v>690</v>
          </cell>
          <cell r="H4042" t="str">
            <v>EDUC-C690</v>
          </cell>
          <cell r="K4042" t="str">
            <v>Nelson Laird,Thomas F</v>
          </cell>
          <cell r="N4042" t="str">
            <v>NR</v>
          </cell>
          <cell r="O4042" t="str">
            <v>NR</v>
          </cell>
        </row>
        <row r="4043">
          <cell r="E4043" t="str">
            <v>EDUC</v>
          </cell>
          <cell r="F4043" t="str">
            <v>EDUC-C</v>
          </cell>
          <cell r="G4043">
            <v>747</v>
          </cell>
          <cell r="H4043" t="str">
            <v>EDUC-C747</v>
          </cell>
          <cell r="K4043" t="str">
            <v>Nelson Laird,Thomas F</v>
          </cell>
          <cell r="N4043" t="str">
            <v>NR</v>
          </cell>
          <cell r="O4043" t="str">
            <v>NR</v>
          </cell>
        </row>
        <row r="4044">
          <cell r="E4044" t="str">
            <v>EDUC</v>
          </cell>
          <cell r="F4044" t="str">
            <v>EDUC-C</v>
          </cell>
          <cell r="G4044">
            <v>750</v>
          </cell>
          <cell r="H4044" t="str">
            <v>EDUC-C750</v>
          </cell>
          <cell r="K4044" t="str">
            <v>Borden,Victor M.H.</v>
          </cell>
          <cell r="N4044" t="str">
            <v>NR</v>
          </cell>
          <cell r="O4044" t="str">
            <v>NR</v>
          </cell>
        </row>
        <row r="4045">
          <cell r="E4045" t="str">
            <v>EDUC</v>
          </cell>
          <cell r="F4045" t="str">
            <v>EDUC-C</v>
          </cell>
          <cell r="G4045">
            <v>750</v>
          </cell>
          <cell r="H4045" t="str">
            <v>EDUC-C750</v>
          </cell>
          <cell r="K4045" t="str">
            <v>Borden,Victor M.H.</v>
          </cell>
          <cell r="N4045">
            <v>4</v>
          </cell>
          <cell r="O4045">
            <v>3.8660000000000001</v>
          </cell>
        </row>
        <row r="4046">
          <cell r="E4046" t="str">
            <v>EDUC</v>
          </cell>
          <cell r="F4046" t="str">
            <v>EDUC-C</v>
          </cell>
          <cell r="G4046">
            <v>750</v>
          </cell>
          <cell r="H4046" t="str">
            <v>EDUC-C750</v>
          </cell>
          <cell r="K4046" t="str">
            <v>Hossler,Donald</v>
          </cell>
          <cell r="N4046">
            <v>3.8</v>
          </cell>
          <cell r="O4046">
            <v>3.84</v>
          </cell>
        </row>
        <row r="4047">
          <cell r="E4047" t="str">
            <v>EDUC</v>
          </cell>
          <cell r="F4047" t="str">
            <v>EDUC-C</v>
          </cell>
          <cell r="G4047">
            <v>750</v>
          </cell>
          <cell r="H4047" t="str">
            <v>EDUC-C750</v>
          </cell>
          <cell r="K4047" t="str">
            <v>Middendorf,Joan K</v>
          </cell>
          <cell r="N4047">
            <v>4</v>
          </cell>
          <cell r="O4047">
            <v>3.9489999999999998</v>
          </cell>
        </row>
        <row r="4048">
          <cell r="E4048" t="str">
            <v>EDUC</v>
          </cell>
          <cell r="F4048" t="str">
            <v>EDUC-C</v>
          </cell>
          <cell r="G4048">
            <v>750</v>
          </cell>
          <cell r="H4048" t="str">
            <v>EDUC-C750</v>
          </cell>
          <cell r="K4048" t="str">
            <v>Nelson Laird,Thomas F</v>
          </cell>
          <cell r="N4048">
            <v>3.536</v>
          </cell>
          <cell r="O4048">
            <v>3.762</v>
          </cell>
        </row>
        <row r="4049">
          <cell r="E4049" t="str">
            <v>EDUC</v>
          </cell>
          <cell r="F4049" t="str">
            <v>EDUC-C</v>
          </cell>
          <cell r="G4049">
            <v>750</v>
          </cell>
          <cell r="H4049" t="str">
            <v>EDUC-C750</v>
          </cell>
          <cell r="K4049" t="str">
            <v>Rosario,Jose R</v>
          </cell>
          <cell r="N4049" t="str">
            <v>NR</v>
          </cell>
          <cell r="O4049" t="str">
            <v>NR</v>
          </cell>
        </row>
        <row r="4050">
          <cell r="E4050" t="str">
            <v>EDUC</v>
          </cell>
          <cell r="F4050" t="str">
            <v>EDUC-C</v>
          </cell>
          <cell r="G4050">
            <v>788</v>
          </cell>
          <cell r="H4050" t="str">
            <v>EDUC-C788</v>
          </cell>
          <cell r="K4050" t="str">
            <v>Torres,Vasti</v>
          </cell>
          <cell r="N4050">
            <v>3.8290000000000002</v>
          </cell>
          <cell r="O4050">
            <v>3.7450000000000001</v>
          </cell>
        </row>
        <row r="4051">
          <cell r="E4051" t="str">
            <v>EDUC</v>
          </cell>
          <cell r="F4051" t="str">
            <v>EDUC-C</v>
          </cell>
          <cell r="G4051">
            <v>790</v>
          </cell>
          <cell r="H4051" t="str">
            <v>EDUC-C790</v>
          </cell>
          <cell r="K4051" t="str">
            <v>Nelson Laird,Thomas F</v>
          </cell>
          <cell r="N4051" t="str">
            <v>NR</v>
          </cell>
          <cell r="O4051" t="str">
            <v>NR</v>
          </cell>
        </row>
        <row r="4052">
          <cell r="E4052" t="str">
            <v>EDUC</v>
          </cell>
          <cell r="F4052" t="str">
            <v>EDUC-C</v>
          </cell>
          <cell r="G4052">
            <v>790</v>
          </cell>
          <cell r="H4052" t="str">
            <v>EDUC-C790</v>
          </cell>
          <cell r="K4052" t="str">
            <v>Nelson Laird,Thomas F</v>
          </cell>
          <cell r="N4052" t="str">
            <v>NR</v>
          </cell>
          <cell r="O4052" t="str">
            <v>NR</v>
          </cell>
        </row>
        <row r="4053">
          <cell r="E4053" t="str">
            <v>EDUC</v>
          </cell>
          <cell r="F4053" t="str">
            <v>EDUC-C</v>
          </cell>
          <cell r="G4053">
            <v>795</v>
          </cell>
          <cell r="H4053" t="str">
            <v>EDUC-C795</v>
          </cell>
          <cell r="K4053" t="str">
            <v>Nelson Laird,Thomas F</v>
          </cell>
          <cell r="N4053">
            <v>3.85</v>
          </cell>
          <cell r="O4053">
            <v>3.746</v>
          </cell>
        </row>
        <row r="4054">
          <cell r="E4054" t="str">
            <v>EDUC</v>
          </cell>
          <cell r="F4054" t="str">
            <v>EDUC-C</v>
          </cell>
          <cell r="G4054">
            <v>799</v>
          </cell>
          <cell r="H4054" t="str">
            <v>EDUC-C799</v>
          </cell>
          <cell r="K4054" t="str">
            <v>Nelson Laird,Thomas F</v>
          </cell>
          <cell r="N4054" t="str">
            <v>NR</v>
          </cell>
          <cell r="O4054" t="str">
            <v>NR</v>
          </cell>
        </row>
        <row r="4055">
          <cell r="E4055" t="str">
            <v>EDUC</v>
          </cell>
          <cell r="F4055" t="str">
            <v>EDUC-C</v>
          </cell>
          <cell r="G4055">
            <v>799</v>
          </cell>
          <cell r="H4055" t="str">
            <v>EDUC-C799</v>
          </cell>
          <cell r="K4055" t="str">
            <v>Nelson Laird,Thomas F</v>
          </cell>
          <cell r="N4055" t="str">
            <v>NR</v>
          </cell>
          <cell r="O4055" t="str">
            <v>NR</v>
          </cell>
        </row>
        <row r="4056">
          <cell r="E4056" t="str">
            <v>EDUC</v>
          </cell>
          <cell r="F4056" t="str">
            <v>EDUC-C</v>
          </cell>
          <cell r="G4056">
            <v>799</v>
          </cell>
          <cell r="H4056" t="str">
            <v>EDUC-C799</v>
          </cell>
          <cell r="K4056" t="str">
            <v>Nelson Laird,Thomas F</v>
          </cell>
          <cell r="N4056" t="str">
            <v>NR</v>
          </cell>
          <cell r="O4056" t="str">
            <v>NR</v>
          </cell>
        </row>
        <row r="4057">
          <cell r="E4057" t="str">
            <v>EDUC</v>
          </cell>
          <cell r="F4057" t="str">
            <v>EDUC-C</v>
          </cell>
          <cell r="G4057">
            <v>799</v>
          </cell>
          <cell r="H4057" t="str">
            <v>EDUC-C799</v>
          </cell>
          <cell r="K4057" t="str">
            <v>Nelson Laird,Thomas F</v>
          </cell>
          <cell r="N4057" t="str">
            <v>NR</v>
          </cell>
          <cell r="O4057" t="str">
            <v>NR</v>
          </cell>
        </row>
        <row r="4058">
          <cell r="E4058" t="str">
            <v>EDUC</v>
          </cell>
          <cell r="F4058" t="str">
            <v>EDUC-E</v>
          </cell>
          <cell r="G4058">
            <v>300</v>
          </cell>
          <cell r="H4058" t="str">
            <v>EDUC-E300</v>
          </cell>
          <cell r="K4058" t="str">
            <v>Beeman-Cadwallader,Nicole Marie</v>
          </cell>
          <cell r="N4058">
            <v>3.3650000000000002</v>
          </cell>
          <cell r="O4058">
            <v>3.2109999999999999</v>
          </cell>
        </row>
        <row r="4059">
          <cell r="E4059" t="str">
            <v>EDUC</v>
          </cell>
          <cell r="F4059" t="str">
            <v>EDUC-E</v>
          </cell>
          <cell r="G4059">
            <v>300</v>
          </cell>
          <cell r="H4059" t="str">
            <v>EDUC-E300</v>
          </cell>
          <cell r="K4059" t="str">
            <v>Davies,Thomas Edward</v>
          </cell>
          <cell r="N4059">
            <v>3.91</v>
          </cell>
          <cell r="O4059">
            <v>3.379</v>
          </cell>
        </row>
        <row r="4060">
          <cell r="E4060" t="str">
            <v>EDUC</v>
          </cell>
          <cell r="F4060" t="str">
            <v>EDUC-E</v>
          </cell>
          <cell r="G4060">
            <v>300</v>
          </cell>
          <cell r="H4060" t="str">
            <v>EDUC-E300</v>
          </cell>
          <cell r="K4060" t="str">
            <v>Davies,Thomas Edward</v>
          </cell>
          <cell r="N4060">
            <v>3.9129999999999998</v>
          </cell>
          <cell r="O4060">
            <v>3.4239999999999999</v>
          </cell>
        </row>
        <row r="4061">
          <cell r="E4061" t="str">
            <v>EDUC</v>
          </cell>
          <cell r="F4061" t="str">
            <v>EDUC-E</v>
          </cell>
          <cell r="G4061">
            <v>300</v>
          </cell>
          <cell r="H4061" t="str">
            <v>EDUC-E300</v>
          </cell>
          <cell r="K4061" t="str">
            <v>Engebretson,Kathryn Ellerhoff</v>
          </cell>
          <cell r="N4061">
            <v>3.871</v>
          </cell>
          <cell r="O4061">
            <v>3.6120000000000001</v>
          </cell>
        </row>
        <row r="4062">
          <cell r="E4062" t="str">
            <v>EDUC</v>
          </cell>
          <cell r="F4062" t="str">
            <v>EDUC-E</v>
          </cell>
          <cell r="G4062">
            <v>300</v>
          </cell>
          <cell r="H4062" t="str">
            <v>EDUC-E300</v>
          </cell>
          <cell r="K4062" t="str">
            <v>Gambill,Rhonda</v>
          </cell>
          <cell r="N4062">
            <v>3.605</v>
          </cell>
          <cell r="O4062">
            <v>3.4820000000000002</v>
          </cell>
        </row>
        <row r="4063">
          <cell r="E4063" t="str">
            <v>EDUC</v>
          </cell>
          <cell r="F4063" t="str">
            <v>EDUC-E</v>
          </cell>
          <cell r="G4063">
            <v>300</v>
          </cell>
          <cell r="H4063" t="str">
            <v>EDUC-E300</v>
          </cell>
          <cell r="K4063" t="str">
            <v>Hagan,Heather Nicole</v>
          </cell>
          <cell r="N4063">
            <v>3.7429999999999999</v>
          </cell>
          <cell r="O4063">
            <v>3.47</v>
          </cell>
        </row>
        <row r="4064">
          <cell r="E4064" t="str">
            <v>EDUC</v>
          </cell>
          <cell r="F4064" t="str">
            <v>EDUC-E</v>
          </cell>
          <cell r="G4064">
            <v>300</v>
          </cell>
          <cell r="H4064" t="str">
            <v>EDUC-E300</v>
          </cell>
          <cell r="K4064" t="str">
            <v>Harris-Hasan,Alandra J</v>
          </cell>
          <cell r="N4064">
            <v>3.3</v>
          </cell>
          <cell r="O4064">
            <v>2.9969999999999999</v>
          </cell>
        </row>
        <row r="4065">
          <cell r="E4065" t="str">
            <v>EDUC</v>
          </cell>
          <cell r="F4065" t="str">
            <v>EDUC-E</v>
          </cell>
          <cell r="G4065">
            <v>300</v>
          </cell>
          <cell r="H4065" t="str">
            <v>EDUC-E300</v>
          </cell>
          <cell r="K4065" t="str">
            <v>Hossler,Carol-Anne Hughes</v>
          </cell>
          <cell r="N4065">
            <v>3.669</v>
          </cell>
          <cell r="O4065">
            <v>3.36</v>
          </cell>
        </row>
        <row r="4066">
          <cell r="E4066" t="str">
            <v>EDUC</v>
          </cell>
          <cell r="F4066" t="str">
            <v>EDUC-E</v>
          </cell>
          <cell r="G4066">
            <v>300</v>
          </cell>
          <cell r="H4066" t="str">
            <v>EDUC-E300</v>
          </cell>
          <cell r="K4066" t="str">
            <v>Hurley,Ellie Renae</v>
          </cell>
          <cell r="N4066">
            <v>3.988</v>
          </cell>
          <cell r="O4066">
            <v>3.4220000000000002</v>
          </cell>
        </row>
        <row r="4067">
          <cell r="E4067" t="str">
            <v>EDUC</v>
          </cell>
          <cell r="F4067" t="str">
            <v>EDUC-E</v>
          </cell>
          <cell r="G4067">
            <v>300</v>
          </cell>
          <cell r="H4067" t="str">
            <v>EDUC-E300</v>
          </cell>
          <cell r="K4067" t="str">
            <v>Kigamwa,James C.</v>
          </cell>
          <cell r="N4067">
            <v>3.9049999999999998</v>
          </cell>
          <cell r="O4067">
            <v>3.5459999999999998</v>
          </cell>
        </row>
        <row r="4068">
          <cell r="E4068" t="str">
            <v>EDUC</v>
          </cell>
          <cell r="F4068" t="str">
            <v>EDUC-E</v>
          </cell>
          <cell r="G4068">
            <v>300</v>
          </cell>
          <cell r="H4068" t="str">
            <v>EDUC-E300</v>
          </cell>
          <cell r="K4068" t="str">
            <v>Torres,Heidi Jo</v>
          </cell>
          <cell r="N4068">
            <v>3.84</v>
          </cell>
          <cell r="O4068">
            <v>3.3980000000000001</v>
          </cell>
        </row>
        <row r="4069">
          <cell r="E4069" t="str">
            <v>EDUC</v>
          </cell>
          <cell r="F4069" t="str">
            <v>EDUC-E</v>
          </cell>
          <cell r="G4069">
            <v>300</v>
          </cell>
          <cell r="H4069" t="str">
            <v>EDUC-E300</v>
          </cell>
          <cell r="K4069" t="str">
            <v>Vesperman,Dean Patrick</v>
          </cell>
          <cell r="N4069">
            <v>3.6869999999999998</v>
          </cell>
          <cell r="O4069">
            <v>3.3929999999999998</v>
          </cell>
        </row>
        <row r="4070">
          <cell r="E4070" t="str">
            <v>EDUC</v>
          </cell>
          <cell r="F4070" t="str">
            <v>EDUC-E</v>
          </cell>
          <cell r="G4070">
            <v>325</v>
          </cell>
          <cell r="H4070" t="str">
            <v>EDUC-E325</v>
          </cell>
          <cell r="K4070" t="str">
            <v>Engebretson,Kathryn Ellerhoff</v>
          </cell>
          <cell r="N4070">
            <v>3.774</v>
          </cell>
          <cell r="O4070">
            <v>3.3639999999999999</v>
          </cell>
        </row>
        <row r="4071">
          <cell r="E4071" t="str">
            <v>EDUC</v>
          </cell>
          <cell r="F4071" t="str">
            <v>EDUC-E</v>
          </cell>
          <cell r="G4071">
            <v>325</v>
          </cell>
          <cell r="H4071" t="str">
            <v>EDUC-E325</v>
          </cell>
          <cell r="K4071" t="str">
            <v>Fife,Veronica Marie</v>
          </cell>
          <cell r="N4071">
            <v>3.786</v>
          </cell>
          <cell r="O4071">
            <v>3.4470000000000001</v>
          </cell>
        </row>
        <row r="4072">
          <cell r="E4072" t="str">
            <v>EDUC</v>
          </cell>
          <cell r="F4072" t="str">
            <v>EDUC-E</v>
          </cell>
          <cell r="G4072">
            <v>325</v>
          </cell>
          <cell r="H4072" t="str">
            <v>EDUC-E325</v>
          </cell>
          <cell r="K4072" t="str">
            <v>Hagan,Heather Nicole</v>
          </cell>
          <cell r="N4072">
            <v>4</v>
          </cell>
          <cell r="O4072">
            <v>3.593</v>
          </cell>
        </row>
        <row r="4073">
          <cell r="E4073" t="str">
            <v>EDUC</v>
          </cell>
          <cell r="F4073" t="str">
            <v>EDUC-E</v>
          </cell>
          <cell r="G4073">
            <v>325</v>
          </cell>
          <cell r="H4073" t="str">
            <v>EDUC-E325</v>
          </cell>
          <cell r="K4073" t="str">
            <v>Hossler,Carol-Anne Hughes</v>
          </cell>
          <cell r="N4073">
            <v>3.508</v>
          </cell>
          <cell r="O4073">
            <v>3.5470000000000002</v>
          </cell>
        </row>
        <row r="4074">
          <cell r="E4074" t="str">
            <v>EDUC</v>
          </cell>
          <cell r="F4074" t="str">
            <v>EDUC-E</v>
          </cell>
          <cell r="G4074">
            <v>325</v>
          </cell>
          <cell r="H4074" t="str">
            <v>EDUC-E325</v>
          </cell>
          <cell r="K4074" t="str">
            <v>McClain,Leana Brunson</v>
          </cell>
          <cell r="N4074">
            <v>3.7919999999999998</v>
          </cell>
          <cell r="O4074">
            <v>3.5830000000000002</v>
          </cell>
        </row>
        <row r="4075">
          <cell r="E4075" t="str">
            <v>EDUC</v>
          </cell>
          <cell r="F4075" t="str">
            <v>EDUC-E</v>
          </cell>
          <cell r="G4075">
            <v>325</v>
          </cell>
          <cell r="H4075" t="str">
            <v>EDUC-E325</v>
          </cell>
          <cell r="K4075" t="str">
            <v>McClain,Leana Brunson</v>
          </cell>
          <cell r="N4075">
            <v>3.8679999999999999</v>
          </cell>
          <cell r="O4075">
            <v>3.4449999999999998</v>
          </cell>
        </row>
        <row r="4076">
          <cell r="E4076" t="str">
            <v>EDUC</v>
          </cell>
          <cell r="F4076" t="str">
            <v>EDUC-E</v>
          </cell>
          <cell r="G4076">
            <v>325</v>
          </cell>
          <cell r="H4076" t="str">
            <v>EDUC-E325</v>
          </cell>
          <cell r="K4076" t="str">
            <v>Torres,Heidi Jo</v>
          </cell>
          <cell r="N4076">
            <v>3.548</v>
          </cell>
          <cell r="O4076">
            <v>3.4950000000000001</v>
          </cell>
        </row>
        <row r="4077">
          <cell r="E4077" t="str">
            <v>EDUC</v>
          </cell>
          <cell r="F4077" t="str">
            <v>EDUC-E</v>
          </cell>
          <cell r="G4077">
            <v>325</v>
          </cell>
          <cell r="H4077" t="str">
            <v>EDUC-E325</v>
          </cell>
          <cell r="K4077" t="str">
            <v>Torres,Heidi Jo</v>
          </cell>
          <cell r="N4077">
            <v>3.7770000000000001</v>
          </cell>
          <cell r="O4077">
            <v>3.3919999999999999</v>
          </cell>
        </row>
        <row r="4078">
          <cell r="E4078" t="str">
            <v>EDUC</v>
          </cell>
          <cell r="F4078" t="str">
            <v>EDUC-E</v>
          </cell>
          <cell r="G4078">
            <v>325</v>
          </cell>
          <cell r="H4078" t="str">
            <v>EDUC-E325</v>
          </cell>
          <cell r="K4078" t="str">
            <v>Weber,Carolyn Ann</v>
          </cell>
          <cell r="N4078">
            <v>3.77</v>
          </cell>
          <cell r="O4078">
            <v>3.5259999999999998</v>
          </cell>
        </row>
        <row r="4079">
          <cell r="E4079" t="str">
            <v>EDUC</v>
          </cell>
          <cell r="F4079" t="str">
            <v>EDUC-E</v>
          </cell>
          <cell r="G4079">
            <v>325</v>
          </cell>
          <cell r="H4079" t="str">
            <v>EDUC-E325</v>
          </cell>
          <cell r="K4079" t="str">
            <v>Weber,Carolyn Ann</v>
          </cell>
          <cell r="N4079">
            <v>3.9620000000000002</v>
          </cell>
          <cell r="O4079">
            <v>3.5920000000000001</v>
          </cell>
        </row>
        <row r="4080">
          <cell r="E4080" t="str">
            <v>EDUC</v>
          </cell>
          <cell r="F4080" t="str">
            <v>EDUC-E</v>
          </cell>
          <cell r="G4080">
            <v>325</v>
          </cell>
          <cell r="H4080" t="str">
            <v>EDUC-E325</v>
          </cell>
          <cell r="K4080" t="str">
            <v>Wood,Lisa D</v>
          </cell>
          <cell r="N4080">
            <v>3.9420000000000002</v>
          </cell>
          <cell r="O4080">
            <v>3.5539999999999998</v>
          </cell>
        </row>
        <row r="4081">
          <cell r="E4081" t="str">
            <v>EDUC</v>
          </cell>
          <cell r="F4081" t="str">
            <v>EDUC-E</v>
          </cell>
          <cell r="G4081">
            <v>328</v>
          </cell>
          <cell r="H4081" t="str">
            <v>EDUC-E328</v>
          </cell>
          <cell r="K4081" t="str">
            <v>Akerson,Valarie</v>
          </cell>
          <cell r="N4081">
            <v>3.9</v>
          </cell>
          <cell r="O4081">
            <v>3.5539999999999998</v>
          </cell>
        </row>
        <row r="4082">
          <cell r="E4082" t="str">
            <v>EDUC</v>
          </cell>
          <cell r="F4082" t="str">
            <v>EDUC-E</v>
          </cell>
          <cell r="G4082">
            <v>328</v>
          </cell>
          <cell r="H4082" t="str">
            <v>EDUC-E328</v>
          </cell>
          <cell r="K4082" t="str">
            <v>Baer,Lisa Jo</v>
          </cell>
          <cell r="N4082">
            <v>3.6</v>
          </cell>
          <cell r="O4082">
            <v>3.4180000000000001</v>
          </cell>
        </row>
        <row r="4083">
          <cell r="E4083" t="str">
            <v>EDUC</v>
          </cell>
          <cell r="F4083" t="str">
            <v>EDUC-E</v>
          </cell>
          <cell r="G4083">
            <v>328</v>
          </cell>
          <cell r="H4083" t="str">
            <v>EDUC-E328</v>
          </cell>
          <cell r="K4083" t="str">
            <v>Hawkins,Susan Ruth</v>
          </cell>
          <cell r="N4083">
            <v>3.6110000000000002</v>
          </cell>
          <cell r="O4083">
            <v>3.4769999999999999</v>
          </cell>
        </row>
        <row r="4084">
          <cell r="E4084" t="str">
            <v>EDUC</v>
          </cell>
          <cell r="F4084" t="str">
            <v>EDUC-E</v>
          </cell>
          <cell r="G4084">
            <v>328</v>
          </cell>
          <cell r="H4084" t="str">
            <v>EDUC-E328</v>
          </cell>
          <cell r="K4084" t="str">
            <v>Park Rogers,Meredith</v>
          </cell>
          <cell r="N4084">
            <v>3.5710000000000002</v>
          </cell>
          <cell r="O4084">
            <v>3.573</v>
          </cell>
        </row>
        <row r="4085">
          <cell r="E4085" t="str">
            <v>EDUC</v>
          </cell>
          <cell r="F4085" t="str">
            <v>EDUC-E</v>
          </cell>
          <cell r="G4085">
            <v>328</v>
          </cell>
          <cell r="H4085" t="str">
            <v>EDUC-E328</v>
          </cell>
          <cell r="K4085" t="str">
            <v>Park Rogers,Meredith Anne</v>
          </cell>
          <cell r="N4085">
            <v>3.6640000000000001</v>
          </cell>
          <cell r="O4085">
            <v>3.3839999999999999</v>
          </cell>
        </row>
        <row r="4086">
          <cell r="E4086" t="str">
            <v>EDUC</v>
          </cell>
          <cell r="F4086" t="str">
            <v>EDUC-E</v>
          </cell>
          <cell r="G4086">
            <v>328</v>
          </cell>
          <cell r="H4086" t="str">
            <v>EDUC-E328</v>
          </cell>
          <cell r="K4086" t="str">
            <v>Wang,Jianlan</v>
          </cell>
          <cell r="N4086">
            <v>3.633</v>
          </cell>
          <cell r="O4086">
            <v>3.48</v>
          </cell>
        </row>
        <row r="4087">
          <cell r="E4087" t="str">
            <v>EDUC</v>
          </cell>
          <cell r="F4087" t="str">
            <v>EDUC-E</v>
          </cell>
          <cell r="G4087">
            <v>328</v>
          </cell>
          <cell r="H4087" t="str">
            <v>EDUC-E328</v>
          </cell>
          <cell r="K4087" t="str">
            <v>Wiebke,Heidi Lynn</v>
          </cell>
          <cell r="N4087">
            <v>3.4</v>
          </cell>
          <cell r="O4087">
            <v>3.3660000000000001</v>
          </cell>
        </row>
        <row r="4088">
          <cell r="E4088" t="str">
            <v>EDUC</v>
          </cell>
          <cell r="F4088" t="str">
            <v>EDUC-E</v>
          </cell>
          <cell r="G4088">
            <v>328</v>
          </cell>
          <cell r="H4088" t="str">
            <v>EDUC-E328</v>
          </cell>
          <cell r="K4088" t="str">
            <v>Wiebke,Heidi Lynn</v>
          </cell>
          <cell r="N4088">
            <v>3.3119999999999998</v>
          </cell>
          <cell r="O4088">
            <v>3.2749999999999999</v>
          </cell>
        </row>
        <row r="4089">
          <cell r="E4089" t="str">
            <v>EDUC</v>
          </cell>
          <cell r="F4089" t="str">
            <v>EDUC-E</v>
          </cell>
          <cell r="G4089">
            <v>328</v>
          </cell>
          <cell r="H4089" t="str">
            <v>EDUC-E328</v>
          </cell>
          <cell r="K4089" t="str">
            <v>Wiebke,Heidi Lynn</v>
          </cell>
          <cell r="N4089">
            <v>3.6429999999999998</v>
          </cell>
          <cell r="O4089">
            <v>3.3929999999999998</v>
          </cell>
        </row>
        <row r="4090">
          <cell r="E4090" t="str">
            <v>EDUC</v>
          </cell>
          <cell r="F4090" t="str">
            <v>EDUC-E</v>
          </cell>
          <cell r="G4090">
            <v>328</v>
          </cell>
          <cell r="H4090" t="str">
            <v>EDUC-E328</v>
          </cell>
          <cell r="K4090" t="str">
            <v>Yin,Xinying</v>
          </cell>
          <cell r="N4090">
            <v>3.8540000000000001</v>
          </cell>
          <cell r="O4090">
            <v>3.5710000000000002</v>
          </cell>
        </row>
        <row r="4091">
          <cell r="E4091" t="str">
            <v>EDUC</v>
          </cell>
          <cell r="F4091" t="str">
            <v>EDUC-E</v>
          </cell>
          <cell r="G4091">
            <v>328</v>
          </cell>
          <cell r="H4091" t="str">
            <v>EDUC-E328</v>
          </cell>
          <cell r="K4091" t="str">
            <v>Zoretic-Goodwin,Maria</v>
          </cell>
          <cell r="N4091">
            <v>3.819</v>
          </cell>
          <cell r="O4091">
            <v>3.6309999999999998</v>
          </cell>
        </row>
        <row r="4092">
          <cell r="E4092" t="str">
            <v>EDUC</v>
          </cell>
          <cell r="F4092" t="str">
            <v>EDUC-E</v>
          </cell>
          <cell r="G4092">
            <v>339</v>
          </cell>
          <cell r="H4092" t="str">
            <v>EDUC-E339</v>
          </cell>
          <cell r="K4092" t="str">
            <v>Coggin,Linda Skidmore</v>
          </cell>
          <cell r="N4092">
            <v>3.7549999999999999</v>
          </cell>
          <cell r="O4092">
            <v>3.2909999999999999</v>
          </cell>
        </row>
        <row r="4093">
          <cell r="E4093" t="str">
            <v>EDUC</v>
          </cell>
          <cell r="F4093" t="str">
            <v>EDUC-E</v>
          </cell>
          <cell r="G4093">
            <v>339</v>
          </cell>
          <cell r="H4093" t="str">
            <v>EDUC-E339</v>
          </cell>
          <cell r="K4093" t="str">
            <v>Daley,Sharon Lynn</v>
          </cell>
          <cell r="N4093">
            <v>3.7679999999999998</v>
          </cell>
          <cell r="O4093">
            <v>3.496</v>
          </cell>
        </row>
        <row r="4094">
          <cell r="E4094" t="str">
            <v>EDUC</v>
          </cell>
          <cell r="F4094" t="str">
            <v>EDUC-E</v>
          </cell>
          <cell r="G4094">
            <v>339</v>
          </cell>
          <cell r="H4094" t="str">
            <v>EDUC-E339</v>
          </cell>
          <cell r="K4094" t="str">
            <v>Powell,Elise Hott</v>
          </cell>
          <cell r="N4094">
            <v>3.3319999999999999</v>
          </cell>
          <cell r="O4094">
            <v>3.2810000000000001</v>
          </cell>
        </row>
        <row r="4095">
          <cell r="E4095" t="str">
            <v>EDUC</v>
          </cell>
          <cell r="F4095" t="str">
            <v>EDUC-E</v>
          </cell>
          <cell r="G4095">
            <v>339</v>
          </cell>
          <cell r="H4095" t="str">
            <v>EDUC-E339</v>
          </cell>
          <cell r="K4095" t="str">
            <v>Wessel-Powell,Christy Lynn</v>
          </cell>
          <cell r="N4095">
            <v>3.8039999999999998</v>
          </cell>
          <cell r="O4095">
            <v>3.48</v>
          </cell>
        </row>
        <row r="4096">
          <cell r="E4096" t="str">
            <v>EDUC</v>
          </cell>
          <cell r="F4096" t="str">
            <v>EDUC-E</v>
          </cell>
          <cell r="G4096">
            <v>339</v>
          </cell>
          <cell r="H4096" t="str">
            <v>EDUC-E339</v>
          </cell>
          <cell r="K4096" t="str">
            <v>Wessel-Powell,Christy Lynn</v>
          </cell>
          <cell r="N4096">
            <v>3.645</v>
          </cell>
          <cell r="O4096">
            <v>3.3330000000000002</v>
          </cell>
        </row>
        <row r="4097">
          <cell r="E4097" t="str">
            <v>EDUC</v>
          </cell>
          <cell r="F4097" t="str">
            <v>EDUC-E</v>
          </cell>
          <cell r="G4097">
            <v>339</v>
          </cell>
          <cell r="H4097" t="str">
            <v>EDUC-E339</v>
          </cell>
          <cell r="K4097" t="str">
            <v>Wohlwend,Karen E.</v>
          </cell>
          <cell r="N4097">
            <v>3.8250000000000002</v>
          </cell>
          <cell r="O4097">
            <v>3.3420000000000001</v>
          </cell>
        </row>
        <row r="4098">
          <cell r="E4098" t="str">
            <v>EDUC</v>
          </cell>
          <cell r="F4098" t="str">
            <v>EDUC-E</v>
          </cell>
          <cell r="G4098">
            <v>340</v>
          </cell>
          <cell r="H4098" t="str">
            <v>EDUC-E340</v>
          </cell>
          <cell r="K4098" t="str">
            <v>Buchholz,Beth Anne</v>
          </cell>
          <cell r="N4098">
            <v>3.59</v>
          </cell>
          <cell r="O4098">
            <v>3.3420000000000001</v>
          </cell>
        </row>
        <row r="4099">
          <cell r="E4099" t="str">
            <v>EDUC</v>
          </cell>
          <cell r="F4099" t="str">
            <v>EDUC-E</v>
          </cell>
          <cell r="G4099">
            <v>340</v>
          </cell>
          <cell r="H4099" t="str">
            <v>EDUC-E340</v>
          </cell>
          <cell r="K4099" t="str">
            <v>Monts,Michael David</v>
          </cell>
          <cell r="N4099">
            <v>3.8410000000000002</v>
          </cell>
          <cell r="O4099">
            <v>3.496</v>
          </cell>
        </row>
        <row r="4100">
          <cell r="E4100" t="str">
            <v>EDUC</v>
          </cell>
          <cell r="F4100" t="str">
            <v>EDUC-E</v>
          </cell>
          <cell r="G4100">
            <v>340</v>
          </cell>
          <cell r="H4100" t="str">
            <v>EDUC-E340</v>
          </cell>
          <cell r="K4100" t="str">
            <v>Monts,Michael David</v>
          </cell>
          <cell r="N4100">
            <v>3.774</v>
          </cell>
          <cell r="O4100">
            <v>3.48</v>
          </cell>
        </row>
        <row r="4101">
          <cell r="E4101" t="str">
            <v>EDUC</v>
          </cell>
          <cell r="F4101" t="str">
            <v>EDUC-E</v>
          </cell>
          <cell r="G4101">
            <v>340</v>
          </cell>
          <cell r="H4101" t="str">
            <v>EDUC-E340</v>
          </cell>
          <cell r="K4101" t="str">
            <v>Pomeroy,Kathleen Harpole</v>
          </cell>
          <cell r="N4101">
            <v>3.5529999999999999</v>
          </cell>
          <cell r="O4101">
            <v>3.2810000000000001</v>
          </cell>
        </row>
        <row r="4102">
          <cell r="E4102" t="str">
            <v>EDUC</v>
          </cell>
          <cell r="F4102" t="str">
            <v>EDUC-E</v>
          </cell>
          <cell r="G4102">
            <v>340</v>
          </cell>
          <cell r="H4102" t="str">
            <v>EDUC-E340</v>
          </cell>
          <cell r="K4102" t="str">
            <v>Pomeroy,Kathleen Harpole</v>
          </cell>
          <cell r="N4102">
            <v>3.8849999999999998</v>
          </cell>
          <cell r="O4102">
            <v>3.3330000000000002</v>
          </cell>
        </row>
        <row r="4103">
          <cell r="E4103" t="str">
            <v>EDUC</v>
          </cell>
          <cell r="F4103" t="str">
            <v>EDUC-E</v>
          </cell>
          <cell r="G4103">
            <v>340</v>
          </cell>
          <cell r="H4103" t="str">
            <v>EDUC-E340</v>
          </cell>
          <cell r="K4103" t="str">
            <v>Wessel,Deborah Andres</v>
          </cell>
          <cell r="N4103">
            <v>3.8359999999999999</v>
          </cell>
          <cell r="O4103">
            <v>3.2909999999999999</v>
          </cell>
        </row>
        <row r="4104">
          <cell r="E4104" t="str">
            <v>EDUC</v>
          </cell>
          <cell r="F4104" t="str">
            <v>EDUC-E</v>
          </cell>
          <cell r="G4104">
            <v>341</v>
          </cell>
          <cell r="H4104" t="str">
            <v>EDUC-E341</v>
          </cell>
          <cell r="K4104" t="str">
            <v>Coggin,Linda Skidmore</v>
          </cell>
          <cell r="N4104">
            <v>3.7349999999999999</v>
          </cell>
          <cell r="O4104">
            <v>3.3919999999999999</v>
          </cell>
        </row>
        <row r="4105">
          <cell r="E4105" t="str">
            <v>EDUC</v>
          </cell>
          <cell r="F4105" t="str">
            <v>EDUC-E</v>
          </cell>
          <cell r="G4105">
            <v>341</v>
          </cell>
          <cell r="H4105" t="str">
            <v>EDUC-E341</v>
          </cell>
          <cell r="K4105" t="str">
            <v>Davis,Tammi R</v>
          </cell>
          <cell r="N4105">
            <v>3.915</v>
          </cell>
          <cell r="O4105">
            <v>3.5259999999999998</v>
          </cell>
        </row>
        <row r="4106">
          <cell r="E4106" t="str">
            <v>EDUC</v>
          </cell>
          <cell r="F4106" t="str">
            <v>EDUC-E</v>
          </cell>
          <cell r="G4106">
            <v>341</v>
          </cell>
          <cell r="H4106" t="str">
            <v>EDUC-E341</v>
          </cell>
          <cell r="K4106" t="str">
            <v>Davis,Tammi R</v>
          </cell>
          <cell r="N4106">
            <v>3.8690000000000002</v>
          </cell>
          <cell r="O4106">
            <v>3.5920000000000001</v>
          </cell>
        </row>
        <row r="4107">
          <cell r="E4107" t="str">
            <v>EDUC</v>
          </cell>
          <cell r="F4107" t="str">
            <v>EDUC-E</v>
          </cell>
          <cell r="G4107">
            <v>341</v>
          </cell>
          <cell r="H4107" t="str">
            <v>EDUC-E341</v>
          </cell>
          <cell r="K4107" t="str">
            <v>Davis,Tammi R</v>
          </cell>
          <cell r="N4107">
            <v>3.968</v>
          </cell>
          <cell r="O4107">
            <v>3.593</v>
          </cell>
        </row>
        <row r="4108">
          <cell r="E4108" t="str">
            <v>EDUC</v>
          </cell>
          <cell r="F4108" t="str">
            <v>EDUC-E</v>
          </cell>
          <cell r="G4108">
            <v>341</v>
          </cell>
          <cell r="H4108" t="str">
            <v>EDUC-E341</v>
          </cell>
          <cell r="K4108" t="str">
            <v>Farahan,Sylvia Jane</v>
          </cell>
          <cell r="N4108">
            <v>3.988</v>
          </cell>
          <cell r="O4108">
            <v>3.4950000000000001</v>
          </cell>
        </row>
        <row r="4109">
          <cell r="E4109" t="str">
            <v>EDUC</v>
          </cell>
          <cell r="F4109" t="str">
            <v>EDUC-E</v>
          </cell>
          <cell r="G4109">
            <v>341</v>
          </cell>
          <cell r="H4109" t="str">
            <v>EDUC-E341</v>
          </cell>
          <cell r="K4109" t="str">
            <v>McClain,Leana Brunson</v>
          </cell>
          <cell r="N4109">
            <v>3.5920000000000001</v>
          </cell>
          <cell r="O4109">
            <v>3.5830000000000002</v>
          </cell>
        </row>
        <row r="4110">
          <cell r="E4110" t="str">
            <v>EDUC</v>
          </cell>
          <cell r="F4110" t="str">
            <v>EDUC-E</v>
          </cell>
          <cell r="G4110">
            <v>341</v>
          </cell>
          <cell r="H4110" t="str">
            <v>EDUC-E341</v>
          </cell>
          <cell r="K4110" t="str">
            <v>McClain,Leana Brunson</v>
          </cell>
          <cell r="N4110">
            <v>3.64</v>
          </cell>
          <cell r="O4110">
            <v>3.4449999999999998</v>
          </cell>
        </row>
        <row r="4111">
          <cell r="E4111" t="str">
            <v>EDUC</v>
          </cell>
          <cell r="F4111" t="str">
            <v>EDUC-E</v>
          </cell>
          <cell r="G4111">
            <v>341</v>
          </cell>
          <cell r="H4111" t="str">
            <v>EDUC-E341</v>
          </cell>
          <cell r="K4111" t="str">
            <v>Sydnor,Jacqueline Terese</v>
          </cell>
          <cell r="N4111">
            <v>3.887</v>
          </cell>
          <cell r="O4111">
            <v>3.3639999999999999</v>
          </cell>
        </row>
        <row r="4112">
          <cell r="E4112" t="str">
            <v>EDUC</v>
          </cell>
          <cell r="F4112" t="str">
            <v>EDUC-E</v>
          </cell>
          <cell r="G4112">
            <v>341</v>
          </cell>
          <cell r="H4112" t="str">
            <v>EDUC-E341</v>
          </cell>
          <cell r="K4112" t="str">
            <v>Sydnor,Jacqueline Terese</v>
          </cell>
          <cell r="N4112">
            <v>4</v>
          </cell>
          <cell r="O4112">
            <v>3.5470000000000002</v>
          </cell>
        </row>
        <row r="4113">
          <cell r="E4113" t="str">
            <v>EDUC</v>
          </cell>
          <cell r="F4113" t="str">
            <v>EDUC-E</v>
          </cell>
          <cell r="G4113">
            <v>341</v>
          </cell>
          <cell r="H4113" t="str">
            <v>EDUC-E341</v>
          </cell>
          <cell r="K4113" t="str">
            <v>Sydnor,Jacqueline Terese</v>
          </cell>
          <cell r="N4113">
            <v>3.8140000000000001</v>
          </cell>
          <cell r="O4113">
            <v>3.431</v>
          </cell>
        </row>
        <row r="4114">
          <cell r="E4114" t="str">
            <v>EDUC</v>
          </cell>
          <cell r="F4114" t="str">
            <v>EDUC-E</v>
          </cell>
          <cell r="G4114">
            <v>341</v>
          </cell>
          <cell r="H4114" t="str">
            <v>EDUC-E341</v>
          </cell>
          <cell r="K4114" t="str">
            <v>Wohlwend,Karen E.</v>
          </cell>
          <cell r="N4114">
            <v>3.8919999999999999</v>
          </cell>
          <cell r="O4114">
            <v>3.5539999999999998</v>
          </cell>
        </row>
        <row r="4115">
          <cell r="E4115" t="str">
            <v>EDUC</v>
          </cell>
          <cell r="F4115" t="str">
            <v>EDUC-E</v>
          </cell>
          <cell r="G4115">
            <v>342</v>
          </cell>
          <cell r="H4115" t="str">
            <v>EDUC-E342</v>
          </cell>
          <cell r="K4115" t="str">
            <v>Buchholz,Beth Anne</v>
          </cell>
          <cell r="N4115">
            <v>3.7290000000000001</v>
          </cell>
          <cell r="O4115">
            <v>3.4830000000000001</v>
          </cell>
        </row>
        <row r="4116">
          <cell r="E4116" t="str">
            <v>EDUC</v>
          </cell>
          <cell r="F4116" t="str">
            <v>EDUC-E</v>
          </cell>
          <cell r="G4116">
            <v>342</v>
          </cell>
          <cell r="H4116" t="str">
            <v>EDUC-E342</v>
          </cell>
          <cell r="K4116" t="str">
            <v>Coggin,Linda Skidmore</v>
          </cell>
          <cell r="N4116">
            <v>4</v>
          </cell>
          <cell r="O4116">
            <v>3.6669999999999998</v>
          </cell>
        </row>
        <row r="4117">
          <cell r="E4117" t="str">
            <v>EDUC</v>
          </cell>
          <cell r="F4117" t="str">
            <v>EDUC-E</v>
          </cell>
          <cell r="G4117">
            <v>342</v>
          </cell>
          <cell r="H4117" t="str">
            <v>EDUC-E342</v>
          </cell>
          <cell r="K4117" t="str">
            <v>Coggin,Linda Skidmore</v>
          </cell>
          <cell r="N4117">
            <v>3.8780000000000001</v>
          </cell>
          <cell r="O4117">
            <v>3.569</v>
          </cell>
        </row>
        <row r="4118">
          <cell r="E4118" t="str">
            <v>EDUC</v>
          </cell>
          <cell r="F4118" t="str">
            <v>EDUC-E</v>
          </cell>
          <cell r="G4118">
            <v>343</v>
          </cell>
          <cell r="H4118" t="str">
            <v>EDUC-E343</v>
          </cell>
          <cell r="K4118" t="str">
            <v>Creager,Mark Andrew</v>
          </cell>
          <cell r="N4118">
            <v>3.4359999999999999</v>
          </cell>
          <cell r="O4118">
            <v>3.3879999999999999</v>
          </cell>
        </row>
        <row r="4119">
          <cell r="E4119" t="str">
            <v>EDUC</v>
          </cell>
          <cell r="F4119" t="str">
            <v>EDUC-E</v>
          </cell>
          <cell r="G4119">
            <v>343</v>
          </cell>
          <cell r="H4119" t="str">
            <v>EDUC-E343</v>
          </cell>
          <cell r="K4119" t="str">
            <v>Cross,Dionne</v>
          </cell>
          <cell r="N4119">
            <v>3.2170000000000001</v>
          </cell>
          <cell r="O4119">
            <v>3.48</v>
          </cell>
        </row>
        <row r="4120">
          <cell r="E4120" t="str">
            <v>EDUC</v>
          </cell>
          <cell r="F4120" t="str">
            <v>EDUC-E</v>
          </cell>
          <cell r="G4120">
            <v>343</v>
          </cell>
          <cell r="H4120" t="str">
            <v>EDUC-E343</v>
          </cell>
          <cell r="K4120" t="str">
            <v>Hackenberg,Amy Jeanne</v>
          </cell>
          <cell r="N4120">
            <v>3.5249999999999999</v>
          </cell>
          <cell r="O4120">
            <v>3.3660000000000001</v>
          </cell>
        </row>
        <row r="4121">
          <cell r="E4121" t="str">
            <v>EDUC</v>
          </cell>
          <cell r="F4121" t="str">
            <v>EDUC-E</v>
          </cell>
          <cell r="G4121">
            <v>343</v>
          </cell>
          <cell r="H4121" t="str">
            <v>EDUC-E343</v>
          </cell>
          <cell r="K4121" t="str">
            <v>Hackenberg,Amy Jeanne</v>
          </cell>
          <cell r="N4121">
            <v>3.4060000000000001</v>
          </cell>
          <cell r="O4121">
            <v>3.2749999999999999</v>
          </cell>
        </row>
        <row r="4122">
          <cell r="E4122" t="str">
            <v>EDUC</v>
          </cell>
          <cell r="F4122" t="str">
            <v>EDUC-E</v>
          </cell>
          <cell r="G4122">
            <v>343</v>
          </cell>
          <cell r="H4122" t="str">
            <v>EDUC-E343</v>
          </cell>
          <cell r="K4122" t="str">
            <v>Kloosterman,Peter W.</v>
          </cell>
          <cell r="N4122">
            <v>3.5049999999999999</v>
          </cell>
          <cell r="O4122">
            <v>3.4769999999999999</v>
          </cell>
        </row>
        <row r="4123">
          <cell r="E4123" t="str">
            <v>EDUC</v>
          </cell>
          <cell r="F4123" t="str">
            <v>EDUC-E</v>
          </cell>
          <cell r="G4123">
            <v>343</v>
          </cell>
          <cell r="H4123" t="str">
            <v>EDUC-E343</v>
          </cell>
          <cell r="K4123" t="str">
            <v>Kloosterman,Peter W.</v>
          </cell>
          <cell r="N4123">
            <v>3.61</v>
          </cell>
          <cell r="O4123">
            <v>3.6309999999999998</v>
          </cell>
        </row>
        <row r="4124">
          <cell r="E4124" t="str">
            <v>EDUC</v>
          </cell>
          <cell r="F4124" t="str">
            <v>EDUC-E</v>
          </cell>
          <cell r="G4124">
            <v>343</v>
          </cell>
          <cell r="H4124" t="str">
            <v>EDUC-E343</v>
          </cell>
          <cell r="K4124" t="str">
            <v>Kloosterman,Peter W.</v>
          </cell>
          <cell r="N4124">
            <v>3.5760000000000001</v>
          </cell>
          <cell r="O4124">
            <v>3.5070000000000001</v>
          </cell>
        </row>
        <row r="4125">
          <cell r="E4125" t="str">
            <v>EDUC</v>
          </cell>
          <cell r="F4125" t="str">
            <v>EDUC-E</v>
          </cell>
          <cell r="G4125">
            <v>343</v>
          </cell>
          <cell r="H4125" t="str">
            <v>EDUC-E343</v>
          </cell>
          <cell r="K4125" t="str">
            <v>Kloosterman,Peter W.</v>
          </cell>
          <cell r="N4125">
            <v>3.3</v>
          </cell>
          <cell r="O4125">
            <v>3.5710000000000002</v>
          </cell>
        </row>
        <row r="4126">
          <cell r="E4126" t="str">
            <v>EDUC</v>
          </cell>
          <cell r="F4126" t="str">
            <v>EDUC-E</v>
          </cell>
          <cell r="G4126">
            <v>343</v>
          </cell>
          <cell r="H4126" t="str">
            <v>EDUC-E343</v>
          </cell>
          <cell r="K4126" t="str">
            <v>Kloosterman,Peter W.</v>
          </cell>
          <cell r="N4126">
            <v>4</v>
          </cell>
          <cell r="O4126">
            <v>3.5539999999999998</v>
          </cell>
        </row>
        <row r="4127">
          <cell r="E4127" t="str">
            <v>EDUC</v>
          </cell>
          <cell r="F4127" t="str">
            <v>EDUC-E</v>
          </cell>
          <cell r="G4127">
            <v>343</v>
          </cell>
          <cell r="H4127" t="str">
            <v>EDUC-E343</v>
          </cell>
          <cell r="K4127" t="str">
            <v>Vesperman,Crystal Marie</v>
          </cell>
          <cell r="N4127">
            <v>3.3210000000000002</v>
          </cell>
          <cell r="O4127">
            <v>3.4180000000000001</v>
          </cell>
        </row>
        <row r="4128">
          <cell r="E4128" t="str">
            <v>EDUC</v>
          </cell>
          <cell r="F4128" t="str">
            <v>EDUC-E</v>
          </cell>
          <cell r="G4128">
            <v>348</v>
          </cell>
          <cell r="H4128" t="str">
            <v>EDUC-E348</v>
          </cell>
          <cell r="K4128" t="str">
            <v>Walton,Andrea</v>
          </cell>
          <cell r="N4128">
            <v>3.617</v>
          </cell>
          <cell r="O4128">
            <v>3.5179999999999998</v>
          </cell>
        </row>
        <row r="4129">
          <cell r="E4129" t="str">
            <v>EDUC</v>
          </cell>
          <cell r="F4129" t="str">
            <v>EDUC-E</v>
          </cell>
          <cell r="G4129">
            <v>349</v>
          </cell>
          <cell r="H4129" t="str">
            <v>EDUC-E349</v>
          </cell>
          <cell r="K4129" t="str">
            <v>Friesen,Amber Marie</v>
          </cell>
          <cell r="N4129">
            <v>3.883</v>
          </cell>
          <cell r="O4129">
            <v>3.5179999999999998</v>
          </cell>
        </row>
        <row r="4130">
          <cell r="E4130" t="str">
            <v>EDUC</v>
          </cell>
          <cell r="F4130" t="str">
            <v>EDUC-E</v>
          </cell>
          <cell r="G4130">
            <v>351</v>
          </cell>
          <cell r="H4130" t="str">
            <v>EDUC-E351</v>
          </cell>
          <cell r="K4130" t="str">
            <v>McMullen,Mary B.</v>
          </cell>
          <cell r="N4130">
            <v>3.6669999999999998</v>
          </cell>
          <cell r="O4130">
            <v>3.5609999999999999</v>
          </cell>
        </row>
        <row r="4131">
          <cell r="E4131" t="str">
            <v>EDUC</v>
          </cell>
          <cell r="F4131" t="str">
            <v>EDUC-E</v>
          </cell>
          <cell r="G4131">
            <v>352</v>
          </cell>
          <cell r="H4131" t="str">
            <v>EDUC-E352</v>
          </cell>
          <cell r="K4131" t="str">
            <v>McCormick,Kathleen Isabel</v>
          </cell>
          <cell r="N4131">
            <v>3.633</v>
          </cell>
          <cell r="O4131">
            <v>3.5609999999999999</v>
          </cell>
        </row>
        <row r="4132">
          <cell r="E4132" t="str">
            <v>EDUC</v>
          </cell>
          <cell r="F4132" t="str">
            <v>EDUC-E</v>
          </cell>
          <cell r="G4132">
            <v>353</v>
          </cell>
          <cell r="H4132" t="str">
            <v>EDUC-E353</v>
          </cell>
          <cell r="K4132" t="str">
            <v>Mihai,Alina</v>
          </cell>
          <cell r="N4132">
            <v>3.95</v>
          </cell>
          <cell r="O4132">
            <v>3.5539999999999998</v>
          </cell>
        </row>
        <row r="4133">
          <cell r="E4133" t="str">
            <v>EDUC</v>
          </cell>
          <cell r="F4133" t="str">
            <v>EDUC-E</v>
          </cell>
          <cell r="G4133">
            <v>450</v>
          </cell>
          <cell r="H4133" t="str">
            <v>EDUC-E450</v>
          </cell>
          <cell r="K4133" t="str">
            <v>Stachowski,Laura L.</v>
          </cell>
          <cell r="N4133" t="str">
            <v>NR</v>
          </cell>
          <cell r="O4133" t="str">
            <v>NR</v>
          </cell>
        </row>
        <row r="4134">
          <cell r="E4134" t="str">
            <v>EDUC</v>
          </cell>
          <cell r="F4134" t="str">
            <v>EDUC-E</v>
          </cell>
          <cell r="G4134">
            <v>450</v>
          </cell>
          <cell r="H4134" t="str">
            <v>EDUC-E450</v>
          </cell>
          <cell r="K4134" t="str">
            <v>Wood,Lisa D</v>
          </cell>
          <cell r="N4134" t="str">
            <v>NR</v>
          </cell>
          <cell r="O4134" t="str">
            <v>NR</v>
          </cell>
        </row>
        <row r="4135">
          <cell r="E4135" t="str">
            <v>EDUC</v>
          </cell>
          <cell r="F4135" t="str">
            <v>EDUC-E</v>
          </cell>
          <cell r="G4135">
            <v>450</v>
          </cell>
          <cell r="H4135" t="str">
            <v>EDUC-E450</v>
          </cell>
          <cell r="K4135" t="str">
            <v>Wood,Lisa D</v>
          </cell>
          <cell r="N4135" t="str">
            <v>NR</v>
          </cell>
          <cell r="O4135" t="str">
            <v>NR</v>
          </cell>
        </row>
        <row r="4136">
          <cell r="E4136" t="str">
            <v>EDUC</v>
          </cell>
          <cell r="F4136" t="str">
            <v>EDUC-E</v>
          </cell>
          <cell r="G4136">
            <v>451</v>
          </cell>
          <cell r="H4136" t="str">
            <v>EDUC-E451</v>
          </cell>
          <cell r="K4136" t="str">
            <v>Brailsford,Ashley Yolanda</v>
          </cell>
          <cell r="N4136" t="str">
            <v>NR</v>
          </cell>
          <cell r="O4136" t="str">
            <v>NR</v>
          </cell>
        </row>
        <row r="4137">
          <cell r="E4137" t="str">
            <v>EDUC</v>
          </cell>
          <cell r="F4137" t="str">
            <v>EDUC-E</v>
          </cell>
          <cell r="G4137">
            <v>451</v>
          </cell>
          <cell r="H4137" t="str">
            <v>EDUC-E451</v>
          </cell>
          <cell r="K4137" t="str">
            <v>Brailsford,Ashley Yolanda</v>
          </cell>
          <cell r="N4137">
            <v>4</v>
          </cell>
          <cell r="O4137">
            <v>3.4239999999999999</v>
          </cell>
        </row>
        <row r="4138">
          <cell r="E4138" t="str">
            <v>EDUC</v>
          </cell>
          <cell r="F4138" t="str">
            <v>EDUC-E</v>
          </cell>
          <cell r="G4138">
            <v>451</v>
          </cell>
          <cell r="H4138" t="str">
            <v>EDUC-E451</v>
          </cell>
          <cell r="K4138" t="str">
            <v>Brailsford,Ashley Yolanda</v>
          </cell>
          <cell r="N4138" t="str">
            <v>NR</v>
          </cell>
          <cell r="O4138" t="str">
            <v>NR</v>
          </cell>
        </row>
        <row r="4139">
          <cell r="E4139" t="str">
            <v>EDUC</v>
          </cell>
          <cell r="F4139" t="str">
            <v>EDUC-E</v>
          </cell>
          <cell r="G4139">
            <v>451</v>
          </cell>
          <cell r="H4139" t="str">
            <v>EDUC-E451</v>
          </cell>
          <cell r="K4139" t="str">
            <v>Brailsford,Ashley Yolanda</v>
          </cell>
          <cell r="N4139" t="str">
            <v>NR</v>
          </cell>
          <cell r="O4139" t="str">
            <v>NR</v>
          </cell>
        </row>
        <row r="4140">
          <cell r="E4140" t="str">
            <v>EDUC</v>
          </cell>
          <cell r="F4140" t="str">
            <v>EDUC-E</v>
          </cell>
          <cell r="G4140">
            <v>490</v>
          </cell>
          <cell r="H4140" t="str">
            <v>EDUC-E490</v>
          </cell>
          <cell r="K4140" t="str">
            <v>Mason,Terrence Craig</v>
          </cell>
          <cell r="N4140" t="str">
            <v>NR</v>
          </cell>
          <cell r="O4140" t="str">
            <v>NR</v>
          </cell>
        </row>
        <row r="4141">
          <cell r="E4141" t="str">
            <v>EDUC</v>
          </cell>
          <cell r="F4141" t="str">
            <v>EDUC-E</v>
          </cell>
          <cell r="G4141">
            <v>505</v>
          </cell>
          <cell r="H4141" t="str">
            <v>EDUC-E505</v>
          </cell>
          <cell r="K4141" t="str">
            <v>Brailsford,Ashley Yolanda</v>
          </cell>
          <cell r="N4141" t="str">
            <v>NR</v>
          </cell>
          <cell r="O4141" t="str">
            <v>NR</v>
          </cell>
        </row>
        <row r="4142">
          <cell r="E4142" t="str">
            <v>EDUC</v>
          </cell>
          <cell r="F4142" t="str">
            <v>EDUC-E</v>
          </cell>
          <cell r="G4142">
            <v>506</v>
          </cell>
          <cell r="H4142" t="str">
            <v>EDUC-E506</v>
          </cell>
          <cell r="K4142" t="str">
            <v>Blackwell,Jacqueline</v>
          </cell>
          <cell r="N4142">
            <v>3.9630000000000001</v>
          </cell>
          <cell r="O4142">
            <v>3.7869999999999999</v>
          </cell>
        </row>
        <row r="4143">
          <cell r="E4143" t="str">
            <v>EDUC</v>
          </cell>
          <cell r="F4143" t="str">
            <v>EDUC-E</v>
          </cell>
          <cell r="G4143">
            <v>525</v>
          </cell>
          <cell r="H4143" t="str">
            <v>EDUC-E525</v>
          </cell>
          <cell r="K4143" t="str">
            <v>Buzzelli,Cary Anthony</v>
          </cell>
          <cell r="N4143">
            <v>3.617</v>
          </cell>
          <cell r="O4143">
            <v>3.8570000000000002</v>
          </cell>
        </row>
        <row r="4144">
          <cell r="E4144" t="str">
            <v>EDUC</v>
          </cell>
          <cell r="F4144" t="str">
            <v>EDUC-E</v>
          </cell>
          <cell r="G4144">
            <v>543</v>
          </cell>
          <cell r="H4144" t="str">
            <v>EDUC-E543</v>
          </cell>
          <cell r="K4144" t="str">
            <v>Cross,Dionne</v>
          </cell>
          <cell r="N4144">
            <v>3.669</v>
          </cell>
          <cell r="O4144">
            <v>3.6789999999999998</v>
          </cell>
        </row>
        <row r="4145">
          <cell r="E4145" t="str">
            <v>EDUC</v>
          </cell>
          <cell r="F4145" t="str">
            <v>EDUC-E</v>
          </cell>
          <cell r="G4145">
            <v>547</v>
          </cell>
          <cell r="H4145" t="str">
            <v>EDUC-E547</v>
          </cell>
          <cell r="K4145" t="str">
            <v>Mason,Terrence Craig</v>
          </cell>
          <cell r="N4145">
            <v>3.9049999999999998</v>
          </cell>
          <cell r="O4145">
            <v>3.9289999999999998</v>
          </cell>
        </row>
        <row r="4146">
          <cell r="E4146" t="str">
            <v>EDUC</v>
          </cell>
          <cell r="F4146" t="str">
            <v>EDUC-E</v>
          </cell>
          <cell r="G4146">
            <v>548</v>
          </cell>
          <cell r="H4146" t="str">
            <v>EDUC-E548</v>
          </cell>
          <cell r="K4146" t="str">
            <v>Akerson,Valarie</v>
          </cell>
          <cell r="N4146">
            <v>4</v>
          </cell>
          <cell r="O4146">
            <v>3.6629999999999998</v>
          </cell>
        </row>
        <row r="4147">
          <cell r="E4147" t="str">
            <v>EDUC</v>
          </cell>
          <cell r="F4147" t="str">
            <v>EDUC-E</v>
          </cell>
          <cell r="G4147">
            <v>548</v>
          </cell>
          <cell r="H4147" t="str">
            <v>EDUC-E548</v>
          </cell>
          <cell r="K4147" t="str">
            <v>Park Rogers,Meredith</v>
          </cell>
          <cell r="N4147">
            <v>3.9</v>
          </cell>
          <cell r="O4147">
            <v>3.8540000000000001</v>
          </cell>
        </row>
        <row r="4148">
          <cell r="E4148" t="str">
            <v>EDUC</v>
          </cell>
          <cell r="F4148" t="str">
            <v>EDUC-E</v>
          </cell>
          <cell r="G4148">
            <v>555</v>
          </cell>
          <cell r="H4148" t="str">
            <v>EDUC-E555</v>
          </cell>
          <cell r="K4148" t="str">
            <v>Keller,Melissa</v>
          </cell>
          <cell r="N4148">
            <v>3.9630000000000001</v>
          </cell>
          <cell r="O4148">
            <v>3.677</v>
          </cell>
        </row>
        <row r="4149">
          <cell r="E4149" t="str">
            <v>EDUC</v>
          </cell>
          <cell r="F4149" t="str">
            <v>EDUC-E</v>
          </cell>
          <cell r="G4149">
            <v>555</v>
          </cell>
          <cell r="H4149" t="str">
            <v>EDUC-E555</v>
          </cell>
          <cell r="K4149" t="str">
            <v>Ndemanu,Michael Takafor</v>
          </cell>
          <cell r="N4149">
            <v>3.9809999999999999</v>
          </cell>
          <cell r="O4149">
            <v>3.9740000000000002</v>
          </cell>
        </row>
        <row r="4150">
          <cell r="E4150" t="str">
            <v>EDUC</v>
          </cell>
          <cell r="F4150" t="str">
            <v>EDUC-E</v>
          </cell>
          <cell r="G4150">
            <v>579</v>
          </cell>
          <cell r="H4150" t="str">
            <v>EDUC-E579</v>
          </cell>
          <cell r="K4150" t="str">
            <v>Goral,Mary Barr</v>
          </cell>
          <cell r="N4150" t="str">
            <v>NR</v>
          </cell>
          <cell r="O4150" t="str">
            <v>NR</v>
          </cell>
        </row>
        <row r="4151">
          <cell r="E4151" t="str">
            <v>EDUC</v>
          </cell>
          <cell r="F4151" t="str">
            <v>EDUC-E</v>
          </cell>
          <cell r="G4151">
            <v>590</v>
          </cell>
          <cell r="H4151" t="str">
            <v>EDUC-E590</v>
          </cell>
          <cell r="K4151" t="str">
            <v>Cole,Cassandra M.</v>
          </cell>
          <cell r="N4151" t="str">
            <v>NR</v>
          </cell>
          <cell r="O4151" t="str">
            <v>NR</v>
          </cell>
        </row>
        <row r="4152">
          <cell r="E4152" t="str">
            <v>EDUC</v>
          </cell>
          <cell r="F4152" t="str">
            <v>EDUC-E</v>
          </cell>
          <cell r="G4152">
            <v>590</v>
          </cell>
          <cell r="H4152" t="str">
            <v>EDUC-E590</v>
          </cell>
          <cell r="K4152" t="str">
            <v>McMullen,Mary B.</v>
          </cell>
          <cell r="N4152" t="str">
            <v>NR</v>
          </cell>
          <cell r="O4152" t="str">
            <v>NR</v>
          </cell>
        </row>
        <row r="4153">
          <cell r="E4153" t="str">
            <v>EDUC</v>
          </cell>
          <cell r="F4153" t="str">
            <v>EDUC-E</v>
          </cell>
          <cell r="G4153">
            <v>590</v>
          </cell>
          <cell r="H4153" t="str">
            <v>EDUC-E590</v>
          </cell>
          <cell r="K4153" t="str">
            <v>McMullen,Mary B.</v>
          </cell>
          <cell r="N4153" t="str">
            <v>NR</v>
          </cell>
          <cell r="O4153" t="str">
            <v>NR</v>
          </cell>
        </row>
        <row r="4154">
          <cell r="E4154" t="str">
            <v>EDUC</v>
          </cell>
          <cell r="F4154" t="str">
            <v>EDUC-E</v>
          </cell>
          <cell r="G4154">
            <v>590</v>
          </cell>
          <cell r="H4154" t="str">
            <v>EDUC-E590</v>
          </cell>
          <cell r="K4154" t="str">
            <v>McMullen,Mary B.</v>
          </cell>
          <cell r="N4154" t="str">
            <v>NR</v>
          </cell>
          <cell r="O4154" t="str">
            <v>NR</v>
          </cell>
        </row>
        <row r="4155">
          <cell r="E4155" t="str">
            <v>EDUC</v>
          </cell>
          <cell r="F4155" t="str">
            <v>EDUC-E</v>
          </cell>
          <cell r="G4155">
            <v>594</v>
          </cell>
          <cell r="H4155" t="str">
            <v>EDUC-E594</v>
          </cell>
          <cell r="K4155" t="str">
            <v>Huston,Thomas Patrick</v>
          </cell>
          <cell r="N4155">
            <v>3.8809999999999998</v>
          </cell>
          <cell r="O4155">
            <v>3.931</v>
          </cell>
        </row>
        <row r="4156">
          <cell r="E4156" t="str">
            <v>EDUC</v>
          </cell>
          <cell r="F4156" t="str">
            <v>EDUC-E</v>
          </cell>
          <cell r="G4156">
            <v>595</v>
          </cell>
          <cell r="H4156" t="str">
            <v>EDUC-E595</v>
          </cell>
          <cell r="K4156" t="str">
            <v>McMullen,Mary B.</v>
          </cell>
          <cell r="N4156" t="str">
            <v>NR</v>
          </cell>
          <cell r="O4156" t="str">
            <v>NR</v>
          </cell>
        </row>
        <row r="4157">
          <cell r="E4157" t="str">
            <v>EDUC</v>
          </cell>
          <cell r="F4157" t="str">
            <v>EDUC-F</v>
          </cell>
          <cell r="G4157">
            <v>200</v>
          </cell>
          <cell r="H4157" t="str">
            <v>EDUC-F200</v>
          </cell>
          <cell r="K4157" t="str">
            <v>Lieber,Frederic William</v>
          </cell>
          <cell r="N4157">
            <v>3.6429999999999998</v>
          </cell>
          <cell r="O4157">
            <v>3.044</v>
          </cell>
        </row>
        <row r="4158">
          <cell r="E4158" t="str">
            <v>EDUC</v>
          </cell>
          <cell r="F4158" t="str">
            <v>EDUC-F</v>
          </cell>
          <cell r="G4158">
            <v>200</v>
          </cell>
          <cell r="H4158" t="str">
            <v>EDUC-F200</v>
          </cell>
          <cell r="K4158" t="str">
            <v>Middendorf,Katharine Gabriel</v>
          </cell>
          <cell r="N4158">
            <v>3.6859999999999999</v>
          </cell>
          <cell r="O4158">
            <v>3.1269999999999998</v>
          </cell>
        </row>
        <row r="4159">
          <cell r="E4159" t="str">
            <v>EDUC</v>
          </cell>
          <cell r="F4159" t="str">
            <v>EDUC-F</v>
          </cell>
          <cell r="G4159">
            <v>200</v>
          </cell>
          <cell r="H4159" t="str">
            <v>EDUC-F200</v>
          </cell>
          <cell r="K4159" t="str">
            <v>Middendorf,Katharine Gabriel</v>
          </cell>
          <cell r="N4159">
            <v>2.9590000000000001</v>
          </cell>
          <cell r="O4159">
            <v>2.742</v>
          </cell>
        </row>
        <row r="4160">
          <cell r="E4160" t="str">
            <v>EDUC</v>
          </cell>
          <cell r="F4160" t="str">
            <v>EDUC-F</v>
          </cell>
          <cell r="G4160">
            <v>200</v>
          </cell>
          <cell r="H4160" t="str">
            <v>EDUC-F200</v>
          </cell>
          <cell r="K4160" t="str">
            <v>Stannard,Travis Andrew Totten</v>
          </cell>
          <cell r="N4160">
            <v>3.548</v>
          </cell>
          <cell r="O4160">
            <v>3.01</v>
          </cell>
        </row>
        <row r="4161">
          <cell r="E4161" t="str">
            <v>EDUC</v>
          </cell>
          <cell r="F4161" t="str">
            <v>EDUC-F</v>
          </cell>
          <cell r="G4161">
            <v>200</v>
          </cell>
          <cell r="H4161" t="str">
            <v>EDUC-F200</v>
          </cell>
          <cell r="K4161" t="str">
            <v>Stannard,Travis Andrew Totten</v>
          </cell>
          <cell r="N4161">
            <v>3.3420000000000001</v>
          </cell>
          <cell r="O4161">
            <v>3.0350000000000001</v>
          </cell>
        </row>
        <row r="4162">
          <cell r="E4162" t="str">
            <v>EDUC</v>
          </cell>
          <cell r="F4162" t="str">
            <v>EDUC-F</v>
          </cell>
          <cell r="G4162">
            <v>200</v>
          </cell>
          <cell r="H4162" t="str">
            <v>EDUC-F200</v>
          </cell>
          <cell r="K4162" t="str">
            <v>Stannard,Travis Andrew Totten</v>
          </cell>
          <cell r="N4162">
            <v>3.258</v>
          </cell>
          <cell r="O4162">
            <v>2.79</v>
          </cell>
        </row>
        <row r="4163">
          <cell r="E4163" t="str">
            <v>EDUC</v>
          </cell>
          <cell r="F4163" t="str">
            <v>EDUC-F</v>
          </cell>
          <cell r="G4163">
            <v>203</v>
          </cell>
          <cell r="H4163" t="str">
            <v>EDUC-F203</v>
          </cell>
          <cell r="K4163" t="str">
            <v>Ochoa,Theresa A</v>
          </cell>
          <cell r="N4163">
            <v>3.7669999999999999</v>
          </cell>
          <cell r="O4163">
            <v>2.907</v>
          </cell>
        </row>
        <row r="4164">
          <cell r="E4164" t="str">
            <v>EDUC</v>
          </cell>
          <cell r="F4164" t="str">
            <v>EDUC-F</v>
          </cell>
          <cell r="G4164">
            <v>401</v>
          </cell>
          <cell r="H4164" t="str">
            <v>EDUC-F401</v>
          </cell>
          <cell r="K4164" t="str">
            <v>Hyatt,Cate Hart</v>
          </cell>
          <cell r="N4164" t="str">
            <v>NR</v>
          </cell>
          <cell r="O4164" t="str">
            <v>NR</v>
          </cell>
        </row>
        <row r="4165">
          <cell r="E4165" t="str">
            <v>EDUC</v>
          </cell>
          <cell r="F4165" t="str">
            <v>EDUC-F</v>
          </cell>
          <cell r="G4165">
            <v>500</v>
          </cell>
          <cell r="H4165" t="str">
            <v>EDUC-F500</v>
          </cell>
          <cell r="K4165" t="str">
            <v>Branon,Rovy Frost</v>
          </cell>
          <cell r="N4165" t="str">
            <v>NR</v>
          </cell>
          <cell r="O4165" t="str">
            <v>NR</v>
          </cell>
        </row>
        <row r="4166">
          <cell r="E4166" t="str">
            <v>EDUC</v>
          </cell>
          <cell r="F4166" t="str">
            <v>EDUC-F</v>
          </cell>
          <cell r="G4166">
            <v>500</v>
          </cell>
          <cell r="H4166" t="str">
            <v>EDUC-F500</v>
          </cell>
          <cell r="K4166" t="str">
            <v>Branon,Rovy Frost</v>
          </cell>
          <cell r="N4166" t="str">
            <v>NR</v>
          </cell>
          <cell r="O4166" t="str">
            <v>NR</v>
          </cell>
        </row>
        <row r="4167">
          <cell r="E4167" t="str">
            <v>EDUC</v>
          </cell>
          <cell r="F4167" t="str">
            <v>EDUC-F</v>
          </cell>
          <cell r="G4167">
            <v>500</v>
          </cell>
          <cell r="H4167" t="str">
            <v>EDUC-F500</v>
          </cell>
          <cell r="K4167" t="str">
            <v>Edmonds,Ben C.</v>
          </cell>
          <cell r="N4167" t="str">
            <v>NR</v>
          </cell>
          <cell r="O4167" t="str">
            <v>NR</v>
          </cell>
        </row>
        <row r="4168">
          <cell r="E4168" t="str">
            <v>EDUC</v>
          </cell>
          <cell r="F4168" t="str">
            <v>EDUC-F</v>
          </cell>
          <cell r="G4168">
            <v>500</v>
          </cell>
          <cell r="H4168" t="str">
            <v>EDUC-F500</v>
          </cell>
          <cell r="K4168" t="str">
            <v>Glazewski,Krista D.</v>
          </cell>
          <cell r="N4168">
            <v>3.67</v>
          </cell>
          <cell r="O4168">
            <v>3.8250000000000002</v>
          </cell>
        </row>
        <row r="4169">
          <cell r="E4169" t="str">
            <v>EDUC</v>
          </cell>
          <cell r="F4169" t="str">
            <v>EDUC-F</v>
          </cell>
          <cell r="G4169">
            <v>500</v>
          </cell>
          <cell r="H4169" t="str">
            <v>EDUC-F500</v>
          </cell>
          <cell r="K4169" t="str">
            <v>Leftwich,Anne Todd</v>
          </cell>
          <cell r="N4169">
            <v>4</v>
          </cell>
          <cell r="O4169">
            <v>3.8420000000000001</v>
          </cell>
        </row>
        <row r="4170">
          <cell r="E4170" t="str">
            <v>EDUC</v>
          </cell>
          <cell r="F4170" t="str">
            <v>EDUC-F</v>
          </cell>
          <cell r="G4170">
            <v>500</v>
          </cell>
          <cell r="H4170" t="str">
            <v>EDUC-F500</v>
          </cell>
          <cell r="K4170" t="str">
            <v>Modell,Micah Gideon</v>
          </cell>
          <cell r="N4170" t="str">
            <v>NR</v>
          </cell>
          <cell r="O4170" t="str">
            <v>NR</v>
          </cell>
        </row>
        <row r="4171">
          <cell r="E4171" t="str">
            <v>EDUC</v>
          </cell>
          <cell r="F4171" t="str">
            <v>EDUC-G</v>
          </cell>
          <cell r="G4171">
            <v>203</v>
          </cell>
          <cell r="H4171" t="str">
            <v>EDUC-G203</v>
          </cell>
          <cell r="K4171" t="str">
            <v>D'Argent,Julie</v>
          </cell>
          <cell r="N4171">
            <v>3.6829999999999998</v>
          </cell>
          <cell r="O4171">
            <v>3.1549999999999998</v>
          </cell>
        </row>
        <row r="4172">
          <cell r="E4172" t="str">
            <v>EDUC</v>
          </cell>
          <cell r="F4172" t="str">
            <v>EDUC-G</v>
          </cell>
          <cell r="G4172">
            <v>203</v>
          </cell>
          <cell r="H4172" t="str">
            <v>EDUC-G203</v>
          </cell>
          <cell r="K4172" t="str">
            <v>Gray,Catherine</v>
          </cell>
          <cell r="N4172">
            <v>3.7130000000000001</v>
          </cell>
          <cell r="O4172">
            <v>3.581</v>
          </cell>
        </row>
        <row r="4173">
          <cell r="E4173" t="str">
            <v>EDUC</v>
          </cell>
          <cell r="F4173" t="str">
            <v>EDUC-G</v>
          </cell>
          <cell r="G4173">
            <v>203</v>
          </cell>
          <cell r="H4173" t="str">
            <v>EDUC-G203</v>
          </cell>
          <cell r="K4173" t="str">
            <v>Maffini,Cara Suzanne</v>
          </cell>
          <cell r="N4173">
            <v>3.9329999999999998</v>
          </cell>
          <cell r="O4173">
            <v>2.964</v>
          </cell>
        </row>
        <row r="4174">
          <cell r="E4174" t="str">
            <v>EDUC</v>
          </cell>
          <cell r="F4174" t="str">
            <v>EDUC-G</v>
          </cell>
          <cell r="G4174">
            <v>203</v>
          </cell>
          <cell r="H4174" t="str">
            <v>EDUC-G203</v>
          </cell>
          <cell r="K4174" t="str">
            <v>Nguyen,Chi Phuong</v>
          </cell>
          <cell r="N4174">
            <v>3.4929999999999999</v>
          </cell>
          <cell r="O4174">
            <v>3.2450000000000001</v>
          </cell>
        </row>
        <row r="4175">
          <cell r="E4175" t="str">
            <v>EDUC</v>
          </cell>
          <cell r="F4175" t="str">
            <v>EDUC-G</v>
          </cell>
          <cell r="G4175">
            <v>203</v>
          </cell>
          <cell r="H4175" t="str">
            <v>EDUC-G203</v>
          </cell>
          <cell r="K4175" t="str">
            <v>Nguyen,Chi Phuong</v>
          </cell>
          <cell r="N4175">
            <v>3.4790000000000001</v>
          </cell>
          <cell r="O4175">
            <v>3.2250000000000001</v>
          </cell>
        </row>
        <row r="4176">
          <cell r="E4176" t="str">
            <v>EDUC</v>
          </cell>
          <cell r="F4176" t="str">
            <v>EDUC-G</v>
          </cell>
          <cell r="G4176">
            <v>203</v>
          </cell>
          <cell r="H4176" t="str">
            <v>EDUC-G203</v>
          </cell>
          <cell r="K4176" t="str">
            <v>Nguyen,Chi Phuong</v>
          </cell>
          <cell r="N4176">
            <v>3.3879999999999999</v>
          </cell>
          <cell r="O4176">
            <v>3.1280000000000001</v>
          </cell>
        </row>
        <row r="4177">
          <cell r="E4177" t="str">
            <v>EDUC</v>
          </cell>
          <cell r="F4177" t="str">
            <v>EDUC-G</v>
          </cell>
          <cell r="G4177">
            <v>203</v>
          </cell>
          <cell r="H4177" t="str">
            <v>EDUC-G203</v>
          </cell>
          <cell r="K4177" t="str">
            <v>Rose,Ciemone Samatura</v>
          </cell>
          <cell r="N4177">
            <v>3.8140000000000001</v>
          </cell>
          <cell r="O4177">
            <v>3.1779999999999999</v>
          </cell>
        </row>
        <row r="4178">
          <cell r="E4178" t="str">
            <v>EDUC</v>
          </cell>
          <cell r="F4178" t="str">
            <v>EDUC-G</v>
          </cell>
          <cell r="G4178">
            <v>203</v>
          </cell>
          <cell r="H4178" t="str">
            <v>EDUC-G203</v>
          </cell>
          <cell r="K4178" t="str">
            <v>Rose,Ciemone Samatura</v>
          </cell>
          <cell r="N4178">
            <v>3.36</v>
          </cell>
          <cell r="O4178">
            <v>3.1280000000000001</v>
          </cell>
        </row>
        <row r="4179">
          <cell r="E4179" t="str">
            <v>EDUC</v>
          </cell>
          <cell r="F4179" t="str">
            <v>EDUC-G</v>
          </cell>
          <cell r="G4179">
            <v>203</v>
          </cell>
          <cell r="H4179" t="str">
            <v>EDUC-G203</v>
          </cell>
          <cell r="K4179" t="str">
            <v>Rose,Ciemone Samatura</v>
          </cell>
          <cell r="N4179">
            <v>3.2170000000000001</v>
          </cell>
          <cell r="O4179">
            <v>2.8490000000000002</v>
          </cell>
        </row>
        <row r="4180">
          <cell r="E4180" t="str">
            <v>EDUC</v>
          </cell>
          <cell r="F4180" t="str">
            <v>EDUC-G</v>
          </cell>
          <cell r="G4180">
            <v>203</v>
          </cell>
          <cell r="H4180" t="str">
            <v>EDUC-G203</v>
          </cell>
          <cell r="K4180" t="str">
            <v>Spegel,Kelly Marie</v>
          </cell>
          <cell r="N4180">
            <v>3.3620000000000001</v>
          </cell>
          <cell r="O4180">
            <v>3.0990000000000002</v>
          </cell>
        </row>
        <row r="4181">
          <cell r="E4181" t="str">
            <v>EDUC</v>
          </cell>
          <cell r="F4181" t="str">
            <v>EDUC-G</v>
          </cell>
          <cell r="G4181">
            <v>203</v>
          </cell>
          <cell r="H4181" t="str">
            <v>EDUC-G203</v>
          </cell>
          <cell r="K4181" t="str">
            <v>Spegel,Kelly Marie</v>
          </cell>
          <cell r="N4181">
            <v>3.4420000000000002</v>
          </cell>
          <cell r="O4181">
            <v>3.0950000000000002</v>
          </cell>
        </row>
        <row r="4182">
          <cell r="E4182" t="str">
            <v>EDUC</v>
          </cell>
          <cell r="F4182" t="str">
            <v>EDUC-G</v>
          </cell>
          <cell r="G4182">
            <v>203</v>
          </cell>
          <cell r="H4182" t="str">
            <v>EDUC-G203</v>
          </cell>
          <cell r="K4182" t="str">
            <v>Spegel,Kelly Marie</v>
          </cell>
          <cell r="N4182">
            <v>3.6859999999999999</v>
          </cell>
          <cell r="O4182">
            <v>3.1869999999999998</v>
          </cell>
        </row>
        <row r="4183">
          <cell r="E4183" t="str">
            <v>EDUC</v>
          </cell>
          <cell r="F4183" t="str">
            <v>EDUC-G</v>
          </cell>
          <cell r="G4183">
            <v>203</v>
          </cell>
          <cell r="H4183" t="str">
            <v>EDUC-G203</v>
          </cell>
          <cell r="K4183" t="str">
            <v>Zaitsoff,Andrew Mark</v>
          </cell>
          <cell r="N4183">
            <v>3.645</v>
          </cell>
          <cell r="O4183">
            <v>3.3519999999999999</v>
          </cell>
        </row>
        <row r="4184">
          <cell r="E4184" t="str">
            <v>EDUC</v>
          </cell>
          <cell r="F4184" t="str">
            <v>EDUC-G</v>
          </cell>
          <cell r="G4184">
            <v>203</v>
          </cell>
          <cell r="H4184" t="str">
            <v>EDUC-G203</v>
          </cell>
          <cell r="K4184" t="str">
            <v>Zaitsoff,Andrew Mark</v>
          </cell>
          <cell r="N4184">
            <v>3.7069999999999999</v>
          </cell>
          <cell r="O4184">
            <v>3.2789999999999999</v>
          </cell>
        </row>
        <row r="4185">
          <cell r="E4185" t="str">
            <v>EDUC</v>
          </cell>
          <cell r="F4185" t="str">
            <v>EDUC-G</v>
          </cell>
          <cell r="G4185">
            <v>203</v>
          </cell>
          <cell r="H4185" t="str">
            <v>EDUC-G203</v>
          </cell>
          <cell r="K4185" t="str">
            <v>Zaitsoff,Andrew Mark</v>
          </cell>
          <cell r="N4185">
            <v>3.762</v>
          </cell>
          <cell r="O4185">
            <v>3.2309999999999999</v>
          </cell>
        </row>
        <row r="4186">
          <cell r="E4186" t="str">
            <v>EDUC</v>
          </cell>
          <cell r="F4186" t="str">
            <v>EDUC-G</v>
          </cell>
          <cell r="G4186">
            <v>206</v>
          </cell>
          <cell r="H4186" t="str">
            <v>EDUC-G206</v>
          </cell>
          <cell r="K4186" t="str">
            <v>Horn,Angela Janet</v>
          </cell>
          <cell r="N4186">
            <v>3.504</v>
          </cell>
          <cell r="O4186">
            <v>3.0329999999999999</v>
          </cell>
        </row>
        <row r="4187">
          <cell r="E4187" t="str">
            <v>EDUC</v>
          </cell>
          <cell r="F4187" t="str">
            <v>EDUC-G</v>
          </cell>
          <cell r="G4187">
            <v>206</v>
          </cell>
          <cell r="H4187" t="str">
            <v>EDUC-G206</v>
          </cell>
          <cell r="K4187" t="str">
            <v>Maffini,Cara Suzanne</v>
          </cell>
          <cell r="N4187">
            <v>3.7810000000000001</v>
          </cell>
          <cell r="O4187">
            <v>3.1970000000000001</v>
          </cell>
        </row>
        <row r="4188">
          <cell r="E4188" t="str">
            <v>EDUC</v>
          </cell>
          <cell r="F4188" t="str">
            <v>EDUC-G</v>
          </cell>
          <cell r="G4188">
            <v>206</v>
          </cell>
          <cell r="H4188" t="str">
            <v>EDUC-G206</v>
          </cell>
          <cell r="K4188" t="str">
            <v>Maffini,Cara Suzanne</v>
          </cell>
          <cell r="N4188">
            <v>3.75</v>
          </cell>
          <cell r="O4188">
            <v>3.157</v>
          </cell>
        </row>
        <row r="4189">
          <cell r="E4189" t="str">
            <v>EDUC</v>
          </cell>
          <cell r="F4189" t="str">
            <v>EDUC-G</v>
          </cell>
          <cell r="G4189">
            <v>207</v>
          </cell>
          <cell r="H4189" t="str">
            <v>EDUC-G207</v>
          </cell>
          <cell r="K4189" t="str">
            <v>Steinfeldt,Jesse Andrew</v>
          </cell>
          <cell r="N4189">
            <v>3.7650000000000001</v>
          </cell>
          <cell r="O4189">
            <v>3.4430000000000001</v>
          </cell>
        </row>
        <row r="4190">
          <cell r="E4190" t="str">
            <v>EDUC</v>
          </cell>
          <cell r="F4190" t="str">
            <v>EDUC-G</v>
          </cell>
          <cell r="G4190">
            <v>502</v>
          </cell>
          <cell r="H4190" t="str">
            <v>EDUC-G502</v>
          </cell>
          <cell r="K4190" t="str">
            <v>Steinfeldt,Jesse Andrew</v>
          </cell>
          <cell r="N4190">
            <v>3.9630000000000001</v>
          </cell>
          <cell r="O4190">
            <v>3.948</v>
          </cell>
        </row>
        <row r="4191">
          <cell r="E4191" t="str">
            <v>EDUC</v>
          </cell>
          <cell r="F4191" t="str">
            <v>EDUC-G</v>
          </cell>
          <cell r="G4191">
            <v>502</v>
          </cell>
          <cell r="H4191" t="str">
            <v>EDUC-G502</v>
          </cell>
          <cell r="K4191" t="str">
            <v>Steinfeldt,Jesse Andrew</v>
          </cell>
          <cell r="N4191">
            <v>3.9039999999999999</v>
          </cell>
          <cell r="O4191">
            <v>3.7370000000000001</v>
          </cell>
        </row>
        <row r="4192">
          <cell r="E4192" t="str">
            <v>EDUC</v>
          </cell>
          <cell r="F4192" t="str">
            <v>EDUC-G</v>
          </cell>
          <cell r="G4192">
            <v>505</v>
          </cell>
          <cell r="H4192" t="str">
            <v>EDUC-G505</v>
          </cell>
          <cell r="K4192" t="str">
            <v>Whiston,Susan</v>
          </cell>
          <cell r="N4192">
            <v>3.8220000000000001</v>
          </cell>
          <cell r="O4192">
            <v>3.7469999999999999</v>
          </cell>
        </row>
        <row r="4193">
          <cell r="E4193" t="str">
            <v>EDUC</v>
          </cell>
          <cell r="F4193" t="str">
            <v>EDUC-G</v>
          </cell>
          <cell r="G4193">
            <v>505</v>
          </cell>
          <cell r="H4193" t="str">
            <v>EDUC-G505</v>
          </cell>
          <cell r="K4193" t="str">
            <v>Whiston,Susan</v>
          </cell>
          <cell r="N4193">
            <v>3.8290000000000002</v>
          </cell>
          <cell r="O4193">
            <v>3.8940000000000001</v>
          </cell>
        </row>
        <row r="4194">
          <cell r="E4194" t="str">
            <v>EDUC</v>
          </cell>
          <cell r="F4194" t="str">
            <v>EDUC-G</v>
          </cell>
          <cell r="G4194">
            <v>509</v>
          </cell>
          <cell r="H4194" t="str">
            <v>EDUC-G509</v>
          </cell>
          <cell r="K4194" t="str">
            <v>Steinfeldt,Jesse Andrew</v>
          </cell>
          <cell r="N4194">
            <v>4</v>
          </cell>
          <cell r="O4194">
            <v>3.9119999999999999</v>
          </cell>
        </row>
        <row r="4195">
          <cell r="E4195" t="str">
            <v>EDUC</v>
          </cell>
          <cell r="F4195" t="str">
            <v>EDUC-G</v>
          </cell>
          <cell r="G4195">
            <v>510</v>
          </cell>
          <cell r="H4195" t="str">
            <v>EDUC-G510</v>
          </cell>
          <cell r="K4195" t="str">
            <v>Vaughan,Ellen Lee</v>
          </cell>
          <cell r="N4195">
            <v>3.76</v>
          </cell>
          <cell r="O4195">
            <v>3.7690000000000001</v>
          </cell>
        </row>
        <row r="4196">
          <cell r="E4196" t="str">
            <v>EDUC</v>
          </cell>
          <cell r="F4196" t="str">
            <v>EDUC-G</v>
          </cell>
          <cell r="G4196">
            <v>510</v>
          </cell>
          <cell r="H4196" t="str">
            <v>EDUC-G510</v>
          </cell>
          <cell r="K4196" t="str">
            <v>Vaughan,Ellen Lee</v>
          </cell>
          <cell r="N4196">
            <v>3.7229999999999999</v>
          </cell>
          <cell r="O4196">
            <v>3.8740000000000001</v>
          </cell>
        </row>
        <row r="4197">
          <cell r="E4197" t="str">
            <v>EDUC</v>
          </cell>
          <cell r="F4197" t="str">
            <v>EDUC-G</v>
          </cell>
          <cell r="G4197">
            <v>522</v>
          </cell>
          <cell r="H4197" t="str">
            <v>EDUC-G522</v>
          </cell>
          <cell r="K4197" t="str">
            <v>Hornibrook,Lisa Kiare</v>
          </cell>
          <cell r="N4197">
            <v>3.9670000000000001</v>
          </cell>
          <cell r="O4197">
            <v>3.69</v>
          </cell>
        </row>
        <row r="4198">
          <cell r="E4198" t="str">
            <v>EDUC</v>
          </cell>
          <cell r="F4198" t="str">
            <v>EDUC-G</v>
          </cell>
          <cell r="G4198">
            <v>522</v>
          </cell>
          <cell r="H4198" t="str">
            <v>EDUC-G522</v>
          </cell>
          <cell r="K4198" t="str">
            <v>Hornibrook,Lisa Kiare</v>
          </cell>
          <cell r="N4198">
            <v>3.9710000000000001</v>
          </cell>
          <cell r="O4198">
            <v>3.9670000000000001</v>
          </cell>
        </row>
        <row r="4199">
          <cell r="E4199" t="str">
            <v>EDUC</v>
          </cell>
          <cell r="F4199" t="str">
            <v>EDUC-G</v>
          </cell>
          <cell r="G4199">
            <v>523</v>
          </cell>
          <cell r="H4199" t="str">
            <v>EDUC-G523</v>
          </cell>
          <cell r="K4199" t="str">
            <v>Toth,Paul Louis</v>
          </cell>
          <cell r="N4199">
            <v>4</v>
          </cell>
          <cell r="O4199">
            <v>3.968</v>
          </cell>
        </row>
        <row r="4200">
          <cell r="E4200" t="str">
            <v>EDUC</v>
          </cell>
          <cell r="F4200" t="str">
            <v>EDUC-G</v>
          </cell>
          <cell r="G4200">
            <v>523</v>
          </cell>
          <cell r="H4200" t="str">
            <v>EDUC-G523</v>
          </cell>
          <cell r="K4200" t="str">
            <v>Vaughan,Ellen Lee</v>
          </cell>
          <cell r="N4200">
            <v>3.9830000000000001</v>
          </cell>
          <cell r="O4200">
            <v>3.69</v>
          </cell>
        </row>
        <row r="4201">
          <cell r="E4201" t="str">
            <v>EDUC</v>
          </cell>
          <cell r="F4201" t="str">
            <v>EDUC-G</v>
          </cell>
          <cell r="G4201">
            <v>524</v>
          </cell>
          <cell r="H4201" t="str">
            <v>EDUC-G524</v>
          </cell>
          <cell r="K4201" t="str">
            <v>Gray,Catherine</v>
          </cell>
          <cell r="N4201">
            <v>4</v>
          </cell>
          <cell r="O4201">
            <v>3.9220000000000002</v>
          </cell>
        </row>
        <row r="4202">
          <cell r="E4202" t="str">
            <v>EDUC</v>
          </cell>
          <cell r="F4202" t="str">
            <v>EDUC-G</v>
          </cell>
          <cell r="G4202">
            <v>524</v>
          </cell>
          <cell r="H4202" t="str">
            <v>EDUC-G524</v>
          </cell>
          <cell r="K4202" t="str">
            <v>Shure,Lauren Ann</v>
          </cell>
          <cell r="N4202">
            <v>4</v>
          </cell>
          <cell r="O4202">
            <v>3.9180000000000001</v>
          </cell>
        </row>
        <row r="4203">
          <cell r="E4203" t="str">
            <v>EDUC</v>
          </cell>
          <cell r="F4203" t="str">
            <v>EDUC-G</v>
          </cell>
          <cell r="G4203">
            <v>532</v>
          </cell>
          <cell r="H4203" t="str">
            <v>EDUC-G532</v>
          </cell>
          <cell r="K4203" t="str">
            <v>Steinfeldt,Jesse Andrew</v>
          </cell>
          <cell r="N4203">
            <v>3.919</v>
          </cell>
          <cell r="O4203">
            <v>3.93</v>
          </cell>
        </row>
        <row r="4204">
          <cell r="E4204" t="str">
            <v>EDUC</v>
          </cell>
          <cell r="F4204" t="str">
            <v>EDUC-G</v>
          </cell>
          <cell r="G4204">
            <v>542</v>
          </cell>
          <cell r="H4204" t="str">
            <v>EDUC-G542</v>
          </cell>
          <cell r="K4204" t="str">
            <v>Yarber,Sharon Jane</v>
          </cell>
          <cell r="N4204">
            <v>4</v>
          </cell>
          <cell r="O4204">
            <v>3.9689999999999999</v>
          </cell>
        </row>
        <row r="4205">
          <cell r="E4205" t="str">
            <v>EDUC</v>
          </cell>
          <cell r="F4205" t="str">
            <v>EDUC-G</v>
          </cell>
          <cell r="G4205">
            <v>550</v>
          </cell>
          <cell r="H4205" t="str">
            <v>EDUC-G550</v>
          </cell>
          <cell r="K4205" t="str">
            <v>Batka,Cathy</v>
          </cell>
          <cell r="N4205">
            <v>4</v>
          </cell>
          <cell r="O4205">
            <v>3.9569999999999999</v>
          </cell>
        </row>
        <row r="4206">
          <cell r="E4206" t="str">
            <v>EDUC</v>
          </cell>
          <cell r="F4206" t="str">
            <v>EDUC-G</v>
          </cell>
          <cell r="G4206">
            <v>550</v>
          </cell>
          <cell r="H4206" t="str">
            <v>EDUC-G550</v>
          </cell>
          <cell r="K4206" t="str">
            <v>Gilman,Lynn</v>
          </cell>
          <cell r="N4206">
            <v>4</v>
          </cell>
          <cell r="O4206">
            <v>3.8839999999999999</v>
          </cell>
        </row>
        <row r="4207">
          <cell r="E4207" t="str">
            <v>EDUC</v>
          </cell>
          <cell r="F4207" t="str">
            <v>EDUC-G</v>
          </cell>
          <cell r="G4207">
            <v>550</v>
          </cell>
          <cell r="H4207" t="str">
            <v>EDUC-G550</v>
          </cell>
          <cell r="K4207" t="str">
            <v>Maritano,Heather Leigh</v>
          </cell>
          <cell r="N4207">
            <v>4</v>
          </cell>
          <cell r="O4207">
            <v>3.8969999999999998</v>
          </cell>
        </row>
        <row r="4208">
          <cell r="E4208" t="str">
            <v>EDUC</v>
          </cell>
          <cell r="F4208" t="str">
            <v>EDUC-G</v>
          </cell>
          <cell r="G4208">
            <v>550</v>
          </cell>
          <cell r="H4208" t="str">
            <v>EDUC-G550</v>
          </cell>
          <cell r="K4208" t="str">
            <v>Stockton,Rex A.</v>
          </cell>
          <cell r="N4208">
            <v>4</v>
          </cell>
          <cell r="O4208">
            <v>3.9449999999999998</v>
          </cell>
        </row>
        <row r="4209">
          <cell r="E4209" t="str">
            <v>EDUC</v>
          </cell>
          <cell r="F4209" t="str">
            <v>EDUC-G</v>
          </cell>
          <cell r="G4209">
            <v>550</v>
          </cell>
          <cell r="H4209" t="str">
            <v>EDUC-G550</v>
          </cell>
          <cell r="K4209" t="str">
            <v>Stockton,Rex A.</v>
          </cell>
          <cell r="N4209">
            <v>4</v>
          </cell>
          <cell r="O4209">
            <v>3.944</v>
          </cell>
        </row>
        <row r="4210">
          <cell r="E4210" t="str">
            <v>EDUC</v>
          </cell>
          <cell r="F4210" t="str">
            <v>EDUC-G</v>
          </cell>
          <cell r="G4210">
            <v>550</v>
          </cell>
          <cell r="H4210" t="str">
            <v>EDUC-G550</v>
          </cell>
          <cell r="K4210" t="str">
            <v>Tracy,Michael L.</v>
          </cell>
          <cell r="N4210">
            <v>4</v>
          </cell>
          <cell r="O4210">
            <v>3.8839999999999999</v>
          </cell>
        </row>
        <row r="4211">
          <cell r="E4211" t="str">
            <v>EDUC</v>
          </cell>
          <cell r="F4211" t="str">
            <v>EDUC-G</v>
          </cell>
          <cell r="G4211">
            <v>550</v>
          </cell>
          <cell r="H4211" t="str">
            <v>EDUC-G550</v>
          </cell>
          <cell r="K4211" t="str">
            <v>Tracy,Michael L.</v>
          </cell>
          <cell r="N4211">
            <v>4</v>
          </cell>
          <cell r="O4211">
            <v>3.8820000000000001</v>
          </cell>
        </row>
        <row r="4212">
          <cell r="E4212" t="str">
            <v>EDUC</v>
          </cell>
          <cell r="F4212" t="str">
            <v>EDUC-G</v>
          </cell>
          <cell r="G4212">
            <v>550</v>
          </cell>
          <cell r="H4212" t="str">
            <v>EDUC-G550</v>
          </cell>
          <cell r="K4212" t="str">
            <v>Tracy,Michael L.</v>
          </cell>
          <cell r="N4212">
            <v>4</v>
          </cell>
          <cell r="O4212">
            <v>3.9550000000000001</v>
          </cell>
        </row>
        <row r="4213">
          <cell r="E4213" t="str">
            <v>EDUC</v>
          </cell>
          <cell r="F4213" t="str">
            <v>EDUC-G</v>
          </cell>
          <cell r="G4213">
            <v>552</v>
          </cell>
          <cell r="H4213" t="str">
            <v>EDUC-G552</v>
          </cell>
          <cell r="K4213" t="str">
            <v>Whiston,Susan</v>
          </cell>
          <cell r="N4213">
            <v>3.5920000000000001</v>
          </cell>
          <cell r="O4213">
            <v>3.8330000000000002</v>
          </cell>
        </row>
        <row r="4214">
          <cell r="E4214" t="str">
            <v>EDUC</v>
          </cell>
          <cell r="F4214" t="str">
            <v>EDUC-G</v>
          </cell>
          <cell r="G4214">
            <v>563</v>
          </cell>
          <cell r="H4214" t="str">
            <v>EDUC-G563</v>
          </cell>
          <cell r="K4214" t="str">
            <v>Gilman,Lynn</v>
          </cell>
          <cell r="N4214">
            <v>3.8530000000000002</v>
          </cell>
          <cell r="O4214">
            <v>3.8820000000000001</v>
          </cell>
        </row>
        <row r="4215">
          <cell r="E4215" t="str">
            <v>EDUC</v>
          </cell>
          <cell r="F4215" t="str">
            <v>EDUC-G</v>
          </cell>
          <cell r="G4215">
            <v>573</v>
          </cell>
          <cell r="H4215" t="str">
            <v>EDUC-G573</v>
          </cell>
          <cell r="K4215" t="str">
            <v>Reed,Richard Bernard</v>
          </cell>
          <cell r="N4215">
            <v>3.9649999999999999</v>
          </cell>
          <cell r="O4215">
            <v>3.9380000000000002</v>
          </cell>
        </row>
        <row r="4216">
          <cell r="E4216" t="str">
            <v>EDUC</v>
          </cell>
          <cell r="F4216" t="str">
            <v>EDUC-G</v>
          </cell>
          <cell r="G4216">
            <v>573</v>
          </cell>
          <cell r="H4216" t="str">
            <v>EDUC-G573</v>
          </cell>
          <cell r="K4216" t="str">
            <v>Reed,Richard Bernard</v>
          </cell>
          <cell r="N4216">
            <v>3.9329999999999998</v>
          </cell>
          <cell r="O4216">
            <v>3.8980000000000001</v>
          </cell>
        </row>
        <row r="4217">
          <cell r="E4217" t="str">
            <v>EDUC</v>
          </cell>
          <cell r="F4217" t="str">
            <v>EDUC-G</v>
          </cell>
          <cell r="G4217">
            <v>575</v>
          </cell>
          <cell r="H4217" t="str">
            <v>EDUC-G575</v>
          </cell>
          <cell r="K4217" t="str">
            <v>Greenberg,Stefanie</v>
          </cell>
          <cell r="N4217">
            <v>3.7810000000000001</v>
          </cell>
          <cell r="O4217">
            <v>3.802</v>
          </cell>
        </row>
        <row r="4218">
          <cell r="E4218" t="str">
            <v>EDUC</v>
          </cell>
          <cell r="F4218" t="str">
            <v>EDUC-G</v>
          </cell>
          <cell r="G4218">
            <v>575</v>
          </cell>
          <cell r="H4218" t="str">
            <v>EDUC-G575</v>
          </cell>
          <cell r="K4218" t="str">
            <v>Vaughan,Ellen Lee</v>
          </cell>
          <cell r="N4218">
            <v>3.9430000000000001</v>
          </cell>
          <cell r="O4218">
            <v>3.9209999999999998</v>
          </cell>
        </row>
        <row r="4219">
          <cell r="E4219" t="str">
            <v>EDUC</v>
          </cell>
          <cell r="F4219" t="str">
            <v>EDUC-G</v>
          </cell>
          <cell r="G4219">
            <v>580</v>
          </cell>
          <cell r="H4219" t="str">
            <v>EDUC-G580</v>
          </cell>
          <cell r="K4219" t="str">
            <v>Carr,Christopher M</v>
          </cell>
          <cell r="N4219">
            <v>4</v>
          </cell>
          <cell r="O4219">
            <v>3.9239999999999999</v>
          </cell>
        </row>
        <row r="4220">
          <cell r="E4220" t="str">
            <v>EDUC</v>
          </cell>
          <cell r="F4220" t="str">
            <v>EDUC-G</v>
          </cell>
          <cell r="G4220">
            <v>581</v>
          </cell>
          <cell r="H4220" t="str">
            <v>EDUC-G581</v>
          </cell>
          <cell r="K4220" t="str">
            <v>Gray,Catherine</v>
          </cell>
          <cell r="N4220" t="str">
            <v>NR</v>
          </cell>
          <cell r="O4220" t="str">
            <v>NR</v>
          </cell>
        </row>
        <row r="4221">
          <cell r="E4221" t="str">
            <v>EDUC</v>
          </cell>
          <cell r="F4221" t="str">
            <v>EDUC-G</v>
          </cell>
          <cell r="G4221">
            <v>590</v>
          </cell>
          <cell r="H4221" t="str">
            <v>EDUC-G590</v>
          </cell>
          <cell r="K4221" t="str">
            <v>Delandshere,Ginette</v>
          </cell>
          <cell r="N4221" t="str">
            <v>NR</v>
          </cell>
          <cell r="O4221" t="str">
            <v>NR</v>
          </cell>
        </row>
        <row r="4222">
          <cell r="E4222" t="str">
            <v>EDUC</v>
          </cell>
          <cell r="F4222" t="str">
            <v>EDUC-G</v>
          </cell>
          <cell r="G4222">
            <v>590</v>
          </cell>
          <cell r="H4222" t="str">
            <v>EDUC-G590</v>
          </cell>
          <cell r="K4222" t="str">
            <v>Delandshere,Ginette</v>
          </cell>
          <cell r="N4222" t="str">
            <v>NR</v>
          </cell>
          <cell r="O4222" t="str">
            <v>NR</v>
          </cell>
        </row>
        <row r="4223">
          <cell r="E4223" t="str">
            <v>EDUC</v>
          </cell>
          <cell r="F4223" t="str">
            <v>EDUC-G</v>
          </cell>
          <cell r="G4223">
            <v>598</v>
          </cell>
          <cell r="H4223" t="str">
            <v>EDUC-G598</v>
          </cell>
          <cell r="K4223" t="str">
            <v>Donovan,Timothy John</v>
          </cell>
          <cell r="N4223">
            <v>4</v>
          </cell>
          <cell r="O4223">
            <v>3.923</v>
          </cell>
        </row>
        <row r="4224">
          <cell r="E4224" t="str">
            <v>EDUC</v>
          </cell>
          <cell r="F4224" t="str">
            <v>EDUC-G</v>
          </cell>
          <cell r="G4224">
            <v>599</v>
          </cell>
          <cell r="H4224" t="str">
            <v>EDUC-G599</v>
          </cell>
          <cell r="K4224" t="str">
            <v>Boling,Elizabeth</v>
          </cell>
          <cell r="N4224" t="str">
            <v>NR</v>
          </cell>
          <cell r="O4224" t="str">
            <v>NR</v>
          </cell>
        </row>
        <row r="4225">
          <cell r="E4225" t="str">
            <v>EDUC</v>
          </cell>
          <cell r="F4225" t="str">
            <v>EDUC-G</v>
          </cell>
          <cell r="G4225">
            <v>600</v>
          </cell>
          <cell r="H4225" t="str">
            <v>EDUC-G600</v>
          </cell>
          <cell r="K4225" t="str">
            <v>Chung,Y. Barry</v>
          </cell>
          <cell r="N4225">
            <v>3.9249999999999998</v>
          </cell>
          <cell r="O4225">
            <v>3.86</v>
          </cell>
        </row>
        <row r="4226">
          <cell r="E4226" t="str">
            <v>EDUC</v>
          </cell>
          <cell r="F4226" t="str">
            <v>EDUC-G</v>
          </cell>
          <cell r="G4226">
            <v>600</v>
          </cell>
          <cell r="H4226" t="str">
            <v>EDUC-G600</v>
          </cell>
          <cell r="K4226" t="str">
            <v>Whiston,Susan</v>
          </cell>
          <cell r="N4226">
            <v>4</v>
          </cell>
          <cell r="O4226">
            <v>3.93</v>
          </cell>
        </row>
        <row r="4227">
          <cell r="E4227" t="str">
            <v>EDUC</v>
          </cell>
          <cell r="F4227" t="str">
            <v>EDUC-G</v>
          </cell>
          <cell r="G4227">
            <v>615</v>
          </cell>
          <cell r="H4227" t="str">
            <v>EDUC-G615</v>
          </cell>
          <cell r="K4227" t="str">
            <v>Hornibrook,Lisa Kiare</v>
          </cell>
          <cell r="N4227">
            <v>3.9670000000000001</v>
          </cell>
          <cell r="O4227">
            <v>3.9089999999999998</v>
          </cell>
        </row>
        <row r="4228">
          <cell r="E4228" t="str">
            <v>EDUC</v>
          </cell>
          <cell r="F4228" t="str">
            <v>EDUC-G</v>
          </cell>
          <cell r="G4228">
            <v>615</v>
          </cell>
          <cell r="H4228" t="str">
            <v>EDUC-G615</v>
          </cell>
          <cell r="K4228" t="str">
            <v>Robison,Flip</v>
          </cell>
          <cell r="N4228">
            <v>4</v>
          </cell>
          <cell r="O4228">
            <v>3.851</v>
          </cell>
        </row>
        <row r="4229">
          <cell r="E4229" t="str">
            <v>EDUC</v>
          </cell>
          <cell r="F4229" t="str">
            <v>EDUC-G</v>
          </cell>
          <cell r="G4229">
            <v>622</v>
          </cell>
          <cell r="H4229" t="str">
            <v>EDUC-G622</v>
          </cell>
          <cell r="K4229" t="str">
            <v>Wong,Joel</v>
          </cell>
          <cell r="N4229">
            <v>3.9630000000000001</v>
          </cell>
          <cell r="O4229">
            <v>3.8679999999999999</v>
          </cell>
        </row>
        <row r="4230">
          <cell r="E4230" t="str">
            <v>EDUC</v>
          </cell>
          <cell r="F4230" t="str">
            <v>EDUC-G</v>
          </cell>
          <cell r="G4230">
            <v>624</v>
          </cell>
          <cell r="H4230" t="str">
            <v>EDUC-G624</v>
          </cell>
          <cell r="K4230" t="str">
            <v>Sexton,Thomas Lee</v>
          </cell>
          <cell r="N4230" t="str">
            <v>NR</v>
          </cell>
          <cell r="O4230" t="str">
            <v>NR</v>
          </cell>
        </row>
        <row r="4231">
          <cell r="E4231" t="str">
            <v>EDUC</v>
          </cell>
          <cell r="F4231" t="str">
            <v>EDUC-G</v>
          </cell>
          <cell r="G4231">
            <v>624</v>
          </cell>
          <cell r="H4231" t="str">
            <v>EDUC-G624</v>
          </cell>
          <cell r="K4231" t="str">
            <v>Sexton,Thomas Lee</v>
          </cell>
          <cell r="N4231" t="str">
            <v>NR</v>
          </cell>
          <cell r="O4231" t="str">
            <v>NR</v>
          </cell>
        </row>
        <row r="4232">
          <cell r="E4232" t="str">
            <v>EDUC</v>
          </cell>
          <cell r="F4232" t="str">
            <v>EDUC-G</v>
          </cell>
          <cell r="G4232">
            <v>624</v>
          </cell>
          <cell r="H4232" t="str">
            <v>EDUC-G624</v>
          </cell>
          <cell r="K4232" t="str">
            <v>Stockton,Rex A.</v>
          </cell>
          <cell r="N4232">
            <v>4</v>
          </cell>
          <cell r="O4232">
            <v>3.8679999999999999</v>
          </cell>
        </row>
        <row r="4233">
          <cell r="E4233" t="str">
            <v>EDUC</v>
          </cell>
          <cell r="F4233" t="str">
            <v>EDUC-G</v>
          </cell>
          <cell r="G4233">
            <v>624</v>
          </cell>
          <cell r="H4233" t="str">
            <v>EDUC-G624</v>
          </cell>
          <cell r="K4233" t="str">
            <v>Stockton,Rex A.</v>
          </cell>
          <cell r="N4233">
            <v>4</v>
          </cell>
          <cell r="O4233">
            <v>3.895</v>
          </cell>
        </row>
        <row r="4234">
          <cell r="E4234" t="str">
            <v>EDUC</v>
          </cell>
          <cell r="F4234" t="str">
            <v>EDUC-G</v>
          </cell>
          <cell r="G4234">
            <v>624</v>
          </cell>
          <cell r="H4234" t="str">
            <v>EDUC-G624</v>
          </cell>
          <cell r="K4234" t="str">
            <v>Stockton,Rex A.</v>
          </cell>
          <cell r="N4234" t="str">
            <v>NR</v>
          </cell>
          <cell r="O4234" t="str">
            <v>NR</v>
          </cell>
        </row>
        <row r="4235">
          <cell r="E4235" t="str">
            <v>EDUC</v>
          </cell>
          <cell r="F4235" t="str">
            <v>EDUC-G</v>
          </cell>
          <cell r="G4235">
            <v>624</v>
          </cell>
          <cell r="H4235" t="str">
            <v>EDUC-G624</v>
          </cell>
          <cell r="K4235" t="str">
            <v>Stockton,Rex A.</v>
          </cell>
          <cell r="N4235">
            <v>4</v>
          </cell>
          <cell r="O4235">
            <v>3.9009999999999998</v>
          </cell>
        </row>
        <row r="4236">
          <cell r="E4236" t="str">
            <v>EDUC</v>
          </cell>
          <cell r="F4236" t="str">
            <v>EDUC-G</v>
          </cell>
          <cell r="G4236">
            <v>647</v>
          </cell>
          <cell r="H4236" t="str">
            <v>EDUC-G647</v>
          </cell>
          <cell r="K4236" t="str">
            <v>Tracy,Michael L.</v>
          </cell>
          <cell r="N4236" t="str">
            <v>NR</v>
          </cell>
          <cell r="O4236" t="str">
            <v>NR</v>
          </cell>
        </row>
        <row r="4237">
          <cell r="E4237" t="str">
            <v>EDUC</v>
          </cell>
          <cell r="F4237" t="str">
            <v>EDUC-G</v>
          </cell>
          <cell r="G4237">
            <v>647</v>
          </cell>
          <cell r="H4237" t="str">
            <v>EDUC-G647</v>
          </cell>
          <cell r="K4237" t="str">
            <v>Tracy,Michael L.</v>
          </cell>
          <cell r="N4237">
            <v>4</v>
          </cell>
          <cell r="O4237">
            <v>3.85</v>
          </cell>
        </row>
        <row r="4238">
          <cell r="E4238" t="str">
            <v>EDUC</v>
          </cell>
          <cell r="F4238" t="str">
            <v>EDUC-G</v>
          </cell>
          <cell r="G4238">
            <v>685</v>
          </cell>
          <cell r="H4238" t="str">
            <v>EDUC-G685</v>
          </cell>
          <cell r="K4238" t="str">
            <v>Sexton,Thomas Lee</v>
          </cell>
          <cell r="N4238">
            <v>3.7669999999999999</v>
          </cell>
          <cell r="O4238">
            <v>3.919</v>
          </cell>
        </row>
        <row r="4239">
          <cell r="E4239" t="str">
            <v>EDUC</v>
          </cell>
          <cell r="F4239" t="str">
            <v>EDUC-G</v>
          </cell>
          <cell r="G4239">
            <v>763</v>
          </cell>
          <cell r="H4239" t="str">
            <v>EDUC-G763</v>
          </cell>
          <cell r="K4239" t="str">
            <v>Gilman,Lynn</v>
          </cell>
          <cell r="N4239">
            <v>4</v>
          </cell>
          <cell r="O4239">
            <v>3.923</v>
          </cell>
        </row>
        <row r="4240">
          <cell r="E4240" t="str">
            <v>EDUC</v>
          </cell>
          <cell r="F4240" t="str">
            <v>EDUC-G</v>
          </cell>
          <cell r="G4240">
            <v>763</v>
          </cell>
          <cell r="H4240" t="str">
            <v>EDUC-G763</v>
          </cell>
          <cell r="K4240" t="str">
            <v>Gilman,Lynn</v>
          </cell>
          <cell r="N4240" t="str">
            <v>NR</v>
          </cell>
          <cell r="O4240" t="str">
            <v>NR</v>
          </cell>
        </row>
        <row r="4241">
          <cell r="E4241" t="str">
            <v>EDUC</v>
          </cell>
          <cell r="F4241" t="str">
            <v>EDUC-G</v>
          </cell>
          <cell r="G4241">
            <v>795</v>
          </cell>
          <cell r="H4241" t="str">
            <v>EDUC-G795</v>
          </cell>
          <cell r="K4241" t="str">
            <v>Delandshere,Ginette</v>
          </cell>
          <cell r="N4241" t="str">
            <v>NR</v>
          </cell>
          <cell r="O4241" t="str">
            <v>NR</v>
          </cell>
        </row>
        <row r="4242">
          <cell r="E4242" t="str">
            <v>EDUC</v>
          </cell>
          <cell r="F4242" t="str">
            <v>EDUC-G</v>
          </cell>
          <cell r="G4242">
            <v>795</v>
          </cell>
          <cell r="H4242" t="str">
            <v>EDUC-G795</v>
          </cell>
          <cell r="K4242" t="str">
            <v>Delandshere,Ginette</v>
          </cell>
          <cell r="N4242" t="str">
            <v>NR</v>
          </cell>
          <cell r="O4242" t="str">
            <v>NR</v>
          </cell>
        </row>
        <row r="4243">
          <cell r="E4243" t="str">
            <v>EDUC</v>
          </cell>
          <cell r="F4243" t="str">
            <v>EDUC-G</v>
          </cell>
          <cell r="G4243">
            <v>799</v>
          </cell>
          <cell r="H4243" t="str">
            <v>EDUC-G799</v>
          </cell>
          <cell r="K4243" t="str">
            <v>Delandshere,Ginette</v>
          </cell>
          <cell r="N4243" t="str">
            <v>NR</v>
          </cell>
          <cell r="O4243" t="str">
            <v>NR</v>
          </cell>
        </row>
        <row r="4244">
          <cell r="E4244" t="str">
            <v>EDUC</v>
          </cell>
          <cell r="F4244" t="str">
            <v>EDUC-G</v>
          </cell>
          <cell r="G4244">
            <v>799</v>
          </cell>
          <cell r="H4244" t="str">
            <v>EDUC-G799</v>
          </cell>
          <cell r="K4244" t="str">
            <v>Delandshere,Ginette</v>
          </cell>
          <cell r="N4244" t="str">
            <v>NR</v>
          </cell>
          <cell r="O4244" t="str">
            <v>NR</v>
          </cell>
        </row>
        <row r="4245">
          <cell r="E4245" t="str">
            <v>EDUC</v>
          </cell>
          <cell r="F4245" t="str">
            <v>EDUC-G</v>
          </cell>
          <cell r="G4245">
            <v>799</v>
          </cell>
          <cell r="H4245" t="str">
            <v>EDUC-G799</v>
          </cell>
          <cell r="K4245" t="str">
            <v>Delandshere,Ginette</v>
          </cell>
          <cell r="N4245" t="str">
            <v>NR</v>
          </cell>
          <cell r="O4245" t="str">
            <v>NR</v>
          </cell>
        </row>
        <row r="4246">
          <cell r="E4246" t="str">
            <v>EDUC</v>
          </cell>
          <cell r="F4246" t="str">
            <v>EDUC-G</v>
          </cell>
          <cell r="G4246">
            <v>799</v>
          </cell>
          <cell r="H4246" t="str">
            <v>EDUC-G799</v>
          </cell>
          <cell r="K4246" t="str">
            <v>Delandshere,Ginette</v>
          </cell>
          <cell r="N4246" t="str">
            <v>NR</v>
          </cell>
          <cell r="O4246" t="str">
            <v>NR</v>
          </cell>
        </row>
        <row r="4247">
          <cell r="E4247" t="str">
            <v>EDUC</v>
          </cell>
          <cell r="F4247" t="str">
            <v>EDUC-G</v>
          </cell>
          <cell r="G4247">
            <v>799</v>
          </cell>
          <cell r="H4247" t="str">
            <v>EDUC-G799</v>
          </cell>
          <cell r="K4247" t="str">
            <v>Thompson,Chalmer Elaine</v>
          </cell>
          <cell r="N4247" t="str">
            <v>NR</v>
          </cell>
          <cell r="O4247" t="str">
            <v>NR</v>
          </cell>
        </row>
        <row r="4248">
          <cell r="E4248" t="str">
            <v>EDUC</v>
          </cell>
          <cell r="F4248" t="str">
            <v>EDUC-G</v>
          </cell>
          <cell r="G4248">
            <v>901</v>
          </cell>
          <cell r="H4248" t="str">
            <v>EDUC-G901</v>
          </cell>
          <cell r="K4248" t="str">
            <v>Boling,Elizabeth</v>
          </cell>
          <cell r="N4248">
            <v>4</v>
          </cell>
          <cell r="O4248">
            <v>3.871</v>
          </cell>
        </row>
        <row r="4249">
          <cell r="E4249" t="str">
            <v>EDUC</v>
          </cell>
          <cell r="F4249" t="str">
            <v>EDUC-G</v>
          </cell>
          <cell r="G4249">
            <v>901</v>
          </cell>
          <cell r="H4249" t="str">
            <v>EDUC-G901</v>
          </cell>
          <cell r="K4249" t="str">
            <v>Boling,Elizabeth</v>
          </cell>
          <cell r="N4249">
            <v>4</v>
          </cell>
          <cell r="O4249">
            <v>3.8570000000000002</v>
          </cell>
        </row>
        <row r="4250">
          <cell r="E4250" t="str">
            <v>EDUC</v>
          </cell>
          <cell r="F4250" t="str">
            <v>EDUC-H</v>
          </cell>
          <cell r="G4250">
            <v>205</v>
          </cell>
          <cell r="H4250" t="str">
            <v>EDUC-H205</v>
          </cell>
          <cell r="K4250" t="str">
            <v>DeCesare,Anthony Joseph</v>
          </cell>
          <cell r="N4250">
            <v>3.153</v>
          </cell>
          <cell r="O4250">
            <v>2.8650000000000002</v>
          </cell>
        </row>
        <row r="4251">
          <cell r="E4251" t="str">
            <v>EDUC</v>
          </cell>
          <cell r="F4251" t="str">
            <v>EDUC-H</v>
          </cell>
          <cell r="G4251">
            <v>205</v>
          </cell>
          <cell r="H4251" t="str">
            <v>EDUC-H205</v>
          </cell>
          <cell r="K4251" t="str">
            <v>DeCesare,Anthony Joseph</v>
          </cell>
          <cell r="N4251">
            <v>3.59</v>
          </cell>
          <cell r="O4251">
            <v>3.51</v>
          </cell>
        </row>
        <row r="4252">
          <cell r="E4252" t="str">
            <v>EDUC</v>
          </cell>
          <cell r="F4252" t="str">
            <v>EDUC-H</v>
          </cell>
          <cell r="G4252">
            <v>205</v>
          </cell>
          <cell r="H4252" t="str">
            <v>EDUC-H205</v>
          </cell>
          <cell r="K4252" t="str">
            <v>Graham,Abigail Gundlach</v>
          </cell>
          <cell r="N4252">
            <v>3.74</v>
          </cell>
          <cell r="O4252">
            <v>3.4489999999999998</v>
          </cell>
        </row>
        <row r="4253">
          <cell r="E4253" t="str">
            <v>EDUC</v>
          </cell>
          <cell r="F4253" t="str">
            <v>EDUC-H</v>
          </cell>
          <cell r="G4253">
            <v>205</v>
          </cell>
          <cell r="H4253" t="str">
            <v>EDUC-H205</v>
          </cell>
          <cell r="K4253" t="str">
            <v>Graham,Abigail Gundlach</v>
          </cell>
          <cell r="N4253">
            <v>2.8140000000000001</v>
          </cell>
          <cell r="O4253">
            <v>2.9359999999999999</v>
          </cell>
        </row>
        <row r="4254">
          <cell r="E4254" t="str">
            <v>EDUC</v>
          </cell>
          <cell r="F4254" t="str">
            <v>EDUC-H</v>
          </cell>
          <cell r="G4254">
            <v>205</v>
          </cell>
          <cell r="H4254" t="str">
            <v>EDUC-H205</v>
          </cell>
          <cell r="K4254" t="str">
            <v>Hardesty,Jacob Whelchel</v>
          </cell>
          <cell r="N4254">
            <v>3.8839999999999999</v>
          </cell>
          <cell r="O4254">
            <v>3.468</v>
          </cell>
        </row>
        <row r="4255">
          <cell r="E4255" t="str">
            <v>EDUC</v>
          </cell>
          <cell r="F4255" t="str">
            <v>EDUC-H</v>
          </cell>
          <cell r="G4255">
            <v>205</v>
          </cell>
          <cell r="H4255" t="str">
            <v>EDUC-H205</v>
          </cell>
          <cell r="K4255" t="str">
            <v>McCarty,Luise Prior</v>
          </cell>
          <cell r="N4255">
            <v>3.7629999999999999</v>
          </cell>
          <cell r="O4255">
            <v>3.6549999999999998</v>
          </cell>
        </row>
        <row r="4256">
          <cell r="E4256" t="str">
            <v>EDUC</v>
          </cell>
          <cell r="F4256" t="str">
            <v>EDUC-H</v>
          </cell>
          <cell r="G4256">
            <v>205</v>
          </cell>
          <cell r="H4256" t="str">
            <v>EDUC-H205</v>
          </cell>
          <cell r="K4256" t="str">
            <v>Rappaport,Adam David</v>
          </cell>
          <cell r="N4256">
            <v>3.4470000000000001</v>
          </cell>
          <cell r="O4256">
            <v>3.294</v>
          </cell>
        </row>
        <row r="4257">
          <cell r="E4257" t="str">
            <v>EDUC</v>
          </cell>
          <cell r="F4257" t="str">
            <v>EDUC-H</v>
          </cell>
          <cell r="G4257">
            <v>205</v>
          </cell>
          <cell r="H4257" t="str">
            <v>EDUC-H205</v>
          </cell>
          <cell r="K4257" t="str">
            <v>Rappaport,Adam David</v>
          </cell>
          <cell r="N4257">
            <v>3.343</v>
          </cell>
          <cell r="O4257">
            <v>3.294</v>
          </cell>
        </row>
        <row r="4258">
          <cell r="E4258" t="str">
            <v>EDUC</v>
          </cell>
          <cell r="F4258" t="str">
            <v>EDUC-H</v>
          </cell>
          <cell r="G4258">
            <v>205</v>
          </cell>
          <cell r="H4258" t="str">
            <v>EDUC-H205</v>
          </cell>
          <cell r="K4258" t="str">
            <v>Rappaport,Adam David</v>
          </cell>
          <cell r="N4258">
            <v>3.5329999999999999</v>
          </cell>
          <cell r="O4258">
            <v>3.387</v>
          </cell>
        </row>
        <row r="4259">
          <cell r="E4259" t="str">
            <v>EDUC</v>
          </cell>
          <cell r="F4259" t="str">
            <v>EDUC-H</v>
          </cell>
          <cell r="G4259">
            <v>205</v>
          </cell>
          <cell r="H4259" t="str">
            <v>EDUC-H205</v>
          </cell>
          <cell r="K4259" t="str">
            <v>Rappaport,Adam David</v>
          </cell>
          <cell r="N4259">
            <v>3.367</v>
          </cell>
          <cell r="O4259">
            <v>3.2930000000000001</v>
          </cell>
        </row>
        <row r="4260">
          <cell r="E4260" t="str">
            <v>EDUC</v>
          </cell>
          <cell r="F4260" t="str">
            <v>EDUC-H</v>
          </cell>
          <cell r="G4260">
            <v>340</v>
          </cell>
          <cell r="H4260" t="str">
            <v>EDUC-H340</v>
          </cell>
          <cell r="K4260" t="str">
            <v>Call-Cummings,Meagan</v>
          </cell>
          <cell r="N4260">
            <v>3.532</v>
          </cell>
          <cell r="O4260">
            <v>3.1040000000000001</v>
          </cell>
        </row>
        <row r="4261">
          <cell r="E4261" t="str">
            <v>EDUC</v>
          </cell>
          <cell r="F4261" t="str">
            <v>EDUC-H</v>
          </cell>
          <cell r="G4261">
            <v>340</v>
          </cell>
          <cell r="H4261" t="str">
            <v>EDUC-H340</v>
          </cell>
          <cell r="K4261" t="str">
            <v>Call-Cummings,Meagan</v>
          </cell>
          <cell r="N4261">
            <v>3.65</v>
          </cell>
          <cell r="O4261">
            <v>3.202</v>
          </cell>
        </row>
        <row r="4262">
          <cell r="E4262" t="str">
            <v>EDUC</v>
          </cell>
          <cell r="F4262" t="str">
            <v>EDUC-H</v>
          </cell>
          <cell r="G4262">
            <v>340</v>
          </cell>
          <cell r="H4262" t="str">
            <v>EDUC-H340</v>
          </cell>
          <cell r="K4262" t="str">
            <v>Cervera,Yesenia Lucia</v>
          </cell>
          <cell r="N4262">
            <v>3.383</v>
          </cell>
          <cell r="O4262">
            <v>3.2189999999999999</v>
          </cell>
        </row>
        <row r="4263">
          <cell r="E4263" t="str">
            <v>EDUC</v>
          </cell>
          <cell r="F4263" t="str">
            <v>EDUC-H</v>
          </cell>
          <cell r="G4263">
            <v>340</v>
          </cell>
          <cell r="H4263" t="str">
            <v>EDUC-H340</v>
          </cell>
          <cell r="K4263" t="str">
            <v>Cervera,Yesenia Lucia</v>
          </cell>
          <cell r="N4263">
            <v>3.31</v>
          </cell>
          <cell r="O4263">
            <v>3.2320000000000002</v>
          </cell>
        </row>
        <row r="4264">
          <cell r="E4264" t="str">
            <v>EDUC</v>
          </cell>
          <cell r="F4264" t="str">
            <v>EDUC-H</v>
          </cell>
          <cell r="G4264">
            <v>340</v>
          </cell>
          <cell r="H4264" t="str">
            <v>EDUC-H340</v>
          </cell>
          <cell r="K4264" t="str">
            <v>Cervera,Yesenia Lucia</v>
          </cell>
          <cell r="N4264">
            <v>3.2320000000000002</v>
          </cell>
          <cell r="O4264">
            <v>3.153</v>
          </cell>
        </row>
        <row r="4265">
          <cell r="E4265" t="str">
            <v>EDUC</v>
          </cell>
          <cell r="F4265" t="str">
            <v>EDUC-H</v>
          </cell>
          <cell r="G4265">
            <v>340</v>
          </cell>
          <cell r="H4265" t="str">
            <v>EDUC-H340</v>
          </cell>
          <cell r="K4265" t="str">
            <v>Danns,Dionne A</v>
          </cell>
          <cell r="N4265">
            <v>3.2330000000000001</v>
          </cell>
          <cell r="O4265">
            <v>3.2909999999999999</v>
          </cell>
        </row>
        <row r="4266">
          <cell r="E4266" t="str">
            <v>EDUC</v>
          </cell>
          <cell r="F4266" t="str">
            <v>EDUC-H</v>
          </cell>
          <cell r="G4266">
            <v>340</v>
          </cell>
          <cell r="H4266" t="str">
            <v>EDUC-H340</v>
          </cell>
          <cell r="K4266" t="str">
            <v>Dethrow,Daniel Joseph</v>
          </cell>
          <cell r="N4266">
            <v>3.1280000000000001</v>
          </cell>
          <cell r="O4266">
            <v>3.1549999999999998</v>
          </cell>
        </row>
        <row r="4267">
          <cell r="E4267" t="str">
            <v>EDUC</v>
          </cell>
          <cell r="F4267" t="str">
            <v>EDUC-H</v>
          </cell>
          <cell r="G4267">
            <v>340</v>
          </cell>
          <cell r="H4267" t="str">
            <v>EDUC-H340</v>
          </cell>
          <cell r="K4267" t="str">
            <v>Dethrow,Daniel Joseph</v>
          </cell>
          <cell r="N4267">
            <v>3.4329999999999998</v>
          </cell>
          <cell r="O4267">
            <v>3.2509999999999999</v>
          </cell>
        </row>
        <row r="4268">
          <cell r="E4268" t="str">
            <v>EDUC</v>
          </cell>
          <cell r="F4268" t="str">
            <v>EDUC-H</v>
          </cell>
          <cell r="G4268">
            <v>340</v>
          </cell>
          <cell r="H4268" t="str">
            <v>EDUC-H340</v>
          </cell>
          <cell r="K4268" t="str">
            <v>Dethrow,Daniel Joseph</v>
          </cell>
          <cell r="N4268">
            <v>3.5</v>
          </cell>
          <cell r="O4268">
            <v>3.1059999999999999</v>
          </cell>
        </row>
        <row r="4269">
          <cell r="E4269" t="str">
            <v>EDUC</v>
          </cell>
          <cell r="F4269" t="str">
            <v>EDUC-H</v>
          </cell>
          <cell r="G4269">
            <v>340</v>
          </cell>
          <cell r="H4269" t="str">
            <v>EDUC-H340</v>
          </cell>
          <cell r="K4269" t="str">
            <v>Rias,Hope Cherie</v>
          </cell>
          <cell r="N4269">
            <v>2.8849999999999998</v>
          </cell>
          <cell r="O4269">
            <v>3.38</v>
          </cell>
        </row>
        <row r="4270">
          <cell r="E4270" t="str">
            <v>EDUC</v>
          </cell>
          <cell r="F4270" t="str">
            <v>EDUC-H</v>
          </cell>
          <cell r="G4270">
            <v>340</v>
          </cell>
          <cell r="H4270" t="str">
            <v>EDUC-H340</v>
          </cell>
          <cell r="K4270" t="str">
            <v>Rias,Hope Cherie</v>
          </cell>
          <cell r="N4270">
            <v>2.8849999999999998</v>
          </cell>
          <cell r="O4270">
            <v>3.2549999999999999</v>
          </cell>
        </row>
        <row r="4271">
          <cell r="E4271" t="str">
            <v>EDUC</v>
          </cell>
          <cell r="F4271" t="str">
            <v>EDUC-H</v>
          </cell>
          <cell r="G4271">
            <v>340</v>
          </cell>
          <cell r="H4271" t="str">
            <v>EDUC-H340</v>
          </cell>
          <cell r="K4271" t="str">
            <v>Sutton,Margaret</v>
          </cell>
          <cell r="N4271">
            <v>3.6</v>
          </cell>
          <cell r="O4271">
            <v>3.2549999999999999</v>
          </cell>
        </row>
        <row r="4272">
          <cell r="E4272" t="str">
            <v>EDUC</v>
          </cell>
          <cell r="F4272" t="str">
            <v>EDUC-H</v>
          </cell>
          <cell r="G4272">
            <v>340</v>
          </cell>
          <cell r="H4272" t="str">
            <v>EDUC-H340</v>
          </cell>
          <cell r="K4272" t="str">
            <v>Whiteman,Rod</v>
          </cell>
          <cell r="N4272">
            <v>3.3719999999999999</v>
          </cell>
          <cell r="O4272">
            <v>3.0110000000000001</v>
          </cell>
        </row>
        <row r="4273">
          <cell r="E4273" t="str">
            <v>EDUC</v>
          </cell>
          <cell r="F4273" t="str">
            <v>EDUC-H</v>
          </cell>
          <cell r="G4273">
            <v>504</v>
          </cell>
          <cell r="H4273" t="str">
            <v>EDUC-H504</v>
          </cell>
          <cell r="K4273" t="str">
            <v>Danns,Dionne A</v>
          </cell>
          <cell r="N4273">
            <v>3.7309999999999999</v>
          </cell>
          <cell r="O4273">
            <v>3.831</v>
          </cell>
        </row>
        <row r="4274">
          <cell r="E4274" t="str">
            <v>EDUC</v>
          </cell>
          <cell r="F4274" t="str">
            <v>EDUC-H</v>
          </cell>
          <cell r="G4274">
            <v>510</v>
          </cell>
          <cell r="H4274" t="str">
            <v>EDUC-H510</v>
          </cell>
          <cell r="K4274" t="str">
            <v>Carspecken,Phil Francis</v>
          </cell>
          <cell r="N4274">
            <v>4</v>
          </cell>
          <cell r="O4274">
            <v>3.9140000000000001</v>
          </cell>
        </row>
        <row r="4275">
          <cell r="E4275" t="str">
            <v>EDUC</v>
          </cell>
          <cell r="F4275" t="str">
            <v>EDUC-H</v>
          </cell>
          <cell r="G4275">
            <v>520</v>
          </cell>
          <cell r="H4275" t="str">
            <v>EDUC-H520</v>
          </cell>
          <cell r="K4275" t="str">
            <v>Sutton,Margaret</v>
          </cell>
          <cell r="N4275">
            <v>3.9049999999999998</v>
          </cell>
          <cell r="O4275">
            <v>3.839</v>
          </cell>
        </row>
        <row r="4276">
          <cell r="E4276" t="str">
            <v>EDUC</v>
          </cell>
          <cell r="F4276" t="str">
            <v>EDUC-H</v>
          </cell>
          <cell r="G4276">
            <v>525</v>
          </cell>
          <cell r="H4276" t="str">
            <v>EDUC-H525</v>
          </cell>
          <cell r="K4276" t="str">
            <v>Levinson,Bradley Adam Unger</v>
          </cell>
          <cell r="N4276">
            <v>3.871</v>
          </cell>
          <cell r="O4276">
            <v>3.9510000000000001</v>
          </cell>
        </row>
        <row r="4277">
          <cell r="E4277" t="str">
            <v>EDUC</v>
          </cell>
          <cell r="F4277" t="str">
            <v>EDUC-H</v>
          </cell>
          <cell r="G4277">
            <v>530</v>
          </cell>
          <cell r="H4277" t="str">
            <v>EDUC-H530</v>
          </cell>
          <cell r="K4277" t="str">
            <v>Bull,Barry L.</v>
          </cell>
          <cell r="N4277">
            <v>3.7829999999999999</v>
          </cell>
          <cell r="O4277">
            <v>3.851</v>
          </cell>
        </row>
        <row r="4278">
          <cell r="E4278" t="str">
            <v>EDUC</v>
          </cell>
          <cell r="F4278" t="str">
            <v>EDUC-H</v>
          </cell>
          <cell r="G4278">
            <v>540</v>
          </cell>
          <cell r="H4278" t="str">
            <v>EDUC-H540</v>
          </cell>
          <cell r="K4278" t="str">
            <v>Martinez,Sylvia</v>
          </cell>
          <cell r="N4278">
            <v>3.6419999999999999</v>
          </cell>
          <cell r="O4278">
            <v>3.7869999999999999</v>
          </cell>
        </row>
        <row r="4279">
          <cell r="E4279" t="str">
            <v>EDUC</v>
          </cell>
          <cell r="F4279" t="str">
            <v>EDUC-H</v>
          </cell>
          <cell r="G4279">
            <v>540</v>
          </cell>
          <cell r="H4279" t="str">
            <v>EDUC-H540</v>
          </cell>
          <cell r="K4279" t="str">
            <v>Martinez,Sylvia</v>
          </cell>
          <cell r="N4279">
            <v>3.7</v>
          </cell>
          <cell r="O4279">
            <v>3.57</v>
          </cell>
        </row>
        <row r="4280">
          <cell r="E4280" t="str">
            <v>EDUC</v>
          </cell>
          <cell r="F4280" t="str">
            <v>EDUC-H</v>
          </cell>
          <cell r="G4280">
            <v>551</v>
          </cell>
          <cell r="H4280" t="str">
            <v>EDUC-H551</v>
          </cell>
          <cell r="K4280" t="str">
            <v>Sutton,Margaret</v>
          </cell>
          <cell r="N4280">
            <v>3.97</v>
          </cell>
          <cell r="O4280">
            <v>3.8490000000000002</v>
          </cell>
        </row>
        <row r="4281">
          <cell r="E4281" t="str">
            <v>EDUC</v>
          </cell>
          <cell r="F4281" t="str">
            <v>EDUC-H</v>
          </cell>
          <cell r="G4281">
            <v>552</v>
          </cell>
          <cell r="H4281" t="str">
            <v>EDUC-H552</v>
          </cell>
          <cell r="K4281" t="str">
            <v>Ross,Heidi Ann</v>
          </cell>
          <cell r="N4281">
            <v>3.5920000000000001</v>
          </cell>
          <cell r="O4281">
            <v>3.758</v>
          </cell>
        </row>
        <row r="4282">
          <cell r="E4282" t="str">
            <v>EDUC</v>
          </cell>
          <cell r="F4282" t="str">
            <v>EDUC-H</v>
          </cell>
          <cell r="G4282">
            <v>590</v>
          </cell>
          <cell r="H4282" t="str">
            <v>EDUC-H590</v>
          </cell>
          <cell r="K4282" t="str">
            <v>Sutton,Margaret</v>
          </cell>
          <cell r="N4282" t="str">
            <v>NR</v>
          </cell>
          <cell r="O4282" t="str">
            <v>NR</v>
          </cell>
        </row>
        <row r="4283">
          <cell r="E4283" t="str">
            <v>EDUC</v>
          </cell>
          <cell r="F4283" t="str">
            <v>EDUC-H</v>
          </cell>
          <cell r="G4283">
            <v>590</v>
          </cell>
          <cell r="H4283" t="str">
            <v>EDUC-H590</v>
          </cell>
          <cell r="K4283" t="str">
            <v>Sutton,Margaret</v>
          </cell>
          <cell r="N4283" t="str">
            <v>NR</v>
          </cell>
          <cell r="O4283" t="str">
            <v>NR</v>
          </cell>
        </row>
        <row r="4284">
          <cell r="E4284" t="str">
            <v>EDUC</v>
          </cell>
          <cell r="F4284" t="str">
            <v>EDUC-H</v>
          </cell>
          <cell r="G4284">
            <v>590</v>
          </cell>
          <cell r="H4284" t="str">
            <v>EDUC-H590</v>
          </cell>
          <cell r="K4284" t="str">
            <v>Sutton,Margaret</v>
          </cell>
          <cell r="N4284" t="str">
            <v>NR</v>
          </cell>
          <cell r="O4284" t="str">
            <v>NR</v>
          </cell>
        </row>
        <row r="4285">
          <cell r="E4285" t="str">
            <v>EDUC</v>
          </cell>
          <cell r="F4285" t="str">
            <v>EDUC-H</v>
          </cell>
          <cell r="G4285">
            <v>620</v>
          </cell>
          <cell r="H4285" t="str">
            <v>EDUC-H620</v>
          </cell>
          <cell r="K4285" t="str">
            <v>Bull,Barry L.</v>
          </cell>
          <cell r="N4285">
            <v>3.6139999999999999</v>
          </cell>
          <cell r="O4285">
            <v>3.835</v>
          </cell>
        </row>
        <row r="4286">
          <cell r="E4286" t="str">
            <v>EDUC</v>
          </cell>
          <cell r="F4286" t="str">
            <v>EDUC-H</v>
          </cell>
          <cell r="G4286">
            <v>622</v>
          </cell>
          <cell r="H4286" t="str">
            <v>EDUC-H622</v>
          </cell>
          <cell r="K4286" t="str">
            <v>Sutton,Margaret</v>
          </cell>
          <cell r="N4286">
            <v>3.6629999999999998</v>
          </cell>
          <cell r="O4286">
            <v>3.698</v>
          </cell>
        </row>
        <row r="4287">
          <cell r="E4287" t="str">
            <v>EDUC</v>
          </cell>
          <cell r="F4287" t="str">
            <v>EDUC-H</v>
          </cell>
          <cell r="G4287">
            <v>623</v>
          </cell>
          <cell r="H4287" t="str">
            <v>EDUC-H623</v>
          </cell>
          <cell r="K4287" t="str">
            <v>Rutkowski,David Joseph</v>
          </cell>
          <cell r="N4287">
            <v>4</v>
          </cell>
          <cell r="O4287">
            <v>3.8959999999999999</v>
          </cell>
        </row>
        <row r="4288">
          <cell r="E4288" t="str">
            <v>EDUC</v>
          </cell>
          <cell r="F4288" t="str">
            <v>EDUC-H</v>
          </cell>
          <cell r="G4288">
            <v>623</v>
          </cell>
          <cell r="H4288" t="str">
            <v>EDUC-H623</v>
          </cell>
          <cell r="K4288" t="str">
            <v>Rutkowski,David Joseph</v>
          </cell>
          <cell r="N4288">
            <v>3.94</v>
          </cell>
          <cell r="O4288">
            <v>3.8260000000000001</v>
          </cell>
        </row>
        <row r="4289">
          <cell r="E4289" t="str">
            <v>EDUC</v>
          </cell>
          <cell r="F4289" t="str">
            <v>EDUC-H</v>
          </cell>
          <cell r="G4289">
            <v>637</v>
          </cell>
          <cell r="H4289" t="str">
            <v>EDUC-H637</v>
          </cell>
          <cell r="K4289" t="str">
            <v>Levinson,Bradley Adam Unger</v>
          </cell>
          <cell r="N4289">
            <v>3.9</v>
          </cell>
          <cell r="O4289">
            <v>3.8210000000000002</v>
          </cell>
        </row>
        <row r="4290">
          <cell r="E4290" t="str">
            <v>EDUC</v>
          </cell>
          <cell r="F4290" t="str">
            <v>EDUC-H</v>
          </cell>
          <cell r="G4290">
            <v>637</v>
          </cell>
          <cell r="H4290" t="str">
            <v>EDUC-H637</v>
          </cell>
          <cell r="K4290" t="str">
            <v>Ross,Heidi Ann</v>
          </cell>
          <cell r="N4290">
            <v>3.8330000000000002</v>
          </cell>
          <cell r="O4290">
            <v>3.871</v>
          </cell>
        </row>
        <row r="4291">
          <cell r="E4291" t="str">
            <v>EDUC</v>
          </cell>
          <cell r="F4291" t="str">
            <v>EDUC-H</v>
          </cell>
          <cell r="G4291">
            <v>637</v>
          </cell>
          <cell r="H4291" t="str">
            <v>EDUC-H637</v>
          </cell>
          <cell r="K4291" t="str">
            <v>Warren,Donald</v>
          </cell>
          <cell r="N4291">
            <v>3.8380000000000001</v>
          </cell>
          <cell r="O4291">
            <v>3.8220000000000001</v>
          </cell>
        </row>
        <row r="4292">
          <cell r="E4292" t="str">
            <v>EDUC</v>
          </cell>
          <cell r="F4292" t="str">
            <v>EDUC-H</v>
          </cell>
          <cell r="G4292">
            <v>637</v>
          </cell>
          <cell r="H4292" t="str">
            <v>EDUC-H637</v>
          </cell>
          <cell r="K4292" t="str">
            <v>Warren,Donald</v>
          </cell>
          <cell r="N4292">
            <v>4</v>
          </cell>
          <cell r="O4292">
            <v>3.823</v>
          </cell>
        </row>
        <row r="4293">
          <cell r="E4293" t="str">
            <v>EDUC</v>
          </cell>
          <cell r="F4293" t="str">
            <v>EDUC-H</v>
          </cell>
          <cell r="G4293">
            <v>638</v>
          </cell>
          <cell r="H4293" t="str">
            <v>EDUC-H638</v>
          </cell>
          <cell r="K4293" t="str">
            <v>McCarty,Luise Prior</v>
          </cell>
          <cell r="N4293">
            <v>3.8639999999999999</v>
          </cell>
          <cell r="O4293">
            <v>3.8420000000000001</v>
          </cell>
        </row>
        <row r="4294">
          <cell r="E4294" t="str">
            <v>EDUC</v>
          </cell>
          <cell r="F4294" t="str">
            <v>EDUC-H</v>
          </cell>
          <cell r="G4294">
            <v>750</v>
          </cell>
          <cell r="H4294" t="str">
            <v>EDUC-H750</v>
          </cell>
          <cell r="K4294" t="str">
            <v>Warren,Donald</v>
          </cell>
          <cell r="N4294" t="str">
            <v>NR</v>
          </cell>
          <cell r="O4294" t="str">
            <v>NR</v>
          </cell>
        </row>
        <row r="4295">
          <cell r="E4295" t="str">
            <v>EDUC</v>
          </cell>
          <cell r="F4295" t="str">
            <v>EDUC-H</v>
          </cell>
          <cell r="G4295">
            <v>795</v>
          </cell>
          <cell r="H4295" t="str">
            <v>EDUC-H795</v>
          </cell>
          <cell r="K4295" t="str">
            <v>Sutton,Margaret</v>
          </cell>
          <cell r="N4295" t="str">
            <v>NR</v>
          </cell>
          <cell r="O4295" t="str">
            <v>NR</v>
          </cell>
        </row>
        <row r="4296">
          <cell r="E4296" t="str">
            <v>EDUC</v>
          </cell>
          <cell r="F4296" t="str">
            <v>EDUC-H</v>
          </cell>
          <cell r="G4296">
            <v>795</v>
          </cell>
          <cell r="H4296" t="str">
            <v>EDUC-H795</v>
          </cell>
          <cell r="K4296" t="str">
            <v>Sutton,Margaret</v>
          </cell>
          <cell r="N4296" t="str">
            <v>NR</v>
          </cell>
          <cell r="O4296" t="str">
            <v>NR</v>
          </cell>
        </row>
        <row r="4297">
          <cell r="E4297" t="str">
            <v>EDUC</v>
          </cell>
          <cell r="F4297" t="str">
            <v>EDUC-H</v>
          </cell>
          <cell r="G4297">
            <v>799</v>
          </cell>
          <cell r="H4297" t="str">
            <v>EDUC-H799</v>
          </cell>
          <cell r="K4297" t="str">
            <v>Sutton,Margaret</v>
          </cell>
          <cell r="N4297" t="str">
            <v>NR</v>
          </cell>
          <cell r="O4297" t="str">
            <v>NR</v>
          </cell>
        </row>
        <row r="4298">
          <cell r="E4298" t="str">
            <v>EDUC</v>
          </cell>
          <cell r="F4298" t="str">
            <v>EDUC-H</v>
          </cell>
          <cell r="G4298">
            <v>799</v>
          </cell>
          <cell r="H4298" t="str">
            <v>EDUC-H799</v>
          </cell>
          <cell r="K4298" t="str">
            <v>Sutton,Margaret</v>
          </cell>
          <cell r="N4298" t="str">
            <v>NR</v>
          </cell>
          <cell r="O4298" t="str">
            <v>NR</v>
          </cell>
        </row>
        <row r="4299">
          <cell r="E4299" t="str">
            <v>EDUC</v>
          </cell>
          <cell r="F4299" t="str">
            <v>EDUC-H</v>
          </cell>
          <cell r="G4299">
            <v>799</v>
          </cell>
          <cell r="H4299" t="str">
            <v>EDUC-H799</v>
          </cell>
          <cell r="K4299" t="str">
            <v>Sutton,Margaret</v>
          </cell>
          <cell r="N4299" t="str">
            <v>NR</v>
          </cell>
          <cell r="O4299" t="str">
            <v>NR</v>
          </cell>
        </row>
        <row r="4300">
          <cell r="E4300" t="str">
            <v>EDUC</v>
          </cell>
          <cell r="F4300" t="str">
            <v>EDUC-H</v>
          </cell>
          <cell r="G4300">
            <v>799</v>
          </cell>
          <cell r="H4300" t="str">
            <v>EDUC-H799</v>
          </cell>
          <cell r="K4300" t="str">
            <v>Sutton,Margaret</v>
          </cell>
          <cell r="N4300" t="str">
            <v>NR</v>
          </cell>
          <cell r="O4300" t="str">
            <v>NR</v>
          </cell>
        </row>
        <row r="4301">
          <cell r="E4301" t="str">
            <v>EDUC</v>
          </cell>
          <cell r="F4301" t="str">
            <v>EDUC-J</v>
          </cell>
          <cell r="G4301">
            <v>500</v>
          </cell>
          <cell r="H4301" t="str">
            <v>EDUC-J500</v>
          </cell>
          <cell r="K4301" t="str">
            <v>Buzzelli,Cary Anthony</v>
          </cell>
          <cell r="N4301">
            <v>3.9</v>
          </cell>
          <cell r="O4301">
            <v>3.8420000000000001</v>
          </cell>
        </row>
        <row r="4302">
          <cell r="E4302" t="str">
            <v>EDUC</v>
          </cell>
          <cell r="F4302" t="str">
            <v>EDUC-J</v>
          </cell>
          <cell r="G4302">
            <v>500</v>
          </cell>
          <cell r="H4302" t="str">
            <v>EDUC-J500</v>
          </cell>
          <cell r="K4302" t="str">
            <v>Heimer Dadds,Julia Mary</v>
          </cell>
          <cell r="N4302">
            <v>3.9369999999999998</v>
          </cell>
          <cell r="O4302">
            <v>3.7480000000000002</v>
          </cell>
        </row>
        <row r="4303">
          <cell r="E4303" t="str">
            <v>EDUC</v>
          </cell>
          <cell r="F4303" t="str">
            <v>EDUC-J</v>
          </cell>
          <cell r="G4303">
            <v>500</v>
          </cell>
          <cell r="H4303" t="str">
            <v>EDUC-J500</v>
          </cell>
          <cell r="K4303" t="str">
            <v>Walter-Bailey,Wendy L.</v>
          </cell>
          <cell r="N4303" t="str">
            <v>NR</v>
          </cell>
          <cell r="O4303" t="str">
            <v>NR</v>
          </cell>
        </row>
        <row r="4304">
          <cell r="E4304" t="str">
            <v>EDUC</v>
          </cell>
          <cell r="F4304" t="str">
            <v>EDUC-J</v>
          </cell>
          <cell r="G4304">
            <v>602</v>
          </cell>
          <cell r="H4304" t="str">
            <v>EDUC-J602</v>
          </cell>
          <cell r="K4304" t="str">
            <v>McMullen,Mary B.</v>
          </cell>
          <cell r="N4304">
            <v>4</v>
          </cell>
          <cell r="O4304">
            <v>3.9369999999999998</v>
          </cell>
        </row>
        <row r="4305">
          <cell r="E4305" t="str">
            <v>EDUC</v>
          </cell>
          <cell r="F4305" t="str">
            <v>EDUC-J</v>
          </cell>
          <cell r="G4305">
            <v>602</v>
          </cell>
          <cell r="H4305" t="str">
            <v>EDUC-J602</v>
          </cell>
          <cell r="K4305" t="str">
            <v>McMullen,Mary B.</v>
          </cell>
          <cell r="N4305">
            <v>4</v>
          </cell>
          <cell r="O4305">
            <v>3.8849999999999998</v>
          </cell>
        </row>
        <row r="4306">
          <cell r="E4306" t="str">
            <v>EDUC</v>
          </cell>
          <cell r="F4306" t="str">
            <v>EDUC-J</v>
          </cell>
          <cell r="G4306">
            <v>605</v>
          </cell>
          <cell r="H4306" t="str">
            <v>EDUC-J605</v>
          </cell>
          <cell r="K4306" t="str">
            <v>McMullen,Mary B.</v>
          </cell>
          <cell r="N4306" t="str">
            <v>NR</v>
          </cell>
          <cell r="O4306" t="str">
            <v>NR</v>
          </cell>
        </row>
        <row r="4307">
          <cell r="E4307" t="str">
            <v>EDUC</v>
          </cell>
          <cell r="F4307" t="str">
            <v>EDUC-J</v>
          </cell>
          <cell r="G4307">
            <v>605</v>
          </cell>
          <cell r="H4307" t="str">
            <v>EDUC-J605</v>
          </cell>
          <cell r="K4307" t="str">
            <v>McMullen,Mary B.</v>
          </cell>
          <cell r="N4307" t="str">
            <v>NR</v>
          </cell>
          <cell r="O4307" t="str">
            <v>NR</v>
          </cell>
        </row>
        <row r="4308">
          <cell r="E4308" t="str">
            <v>EDUC</v>
          </cell>
          <cell r="F4308" t="str">
            <v>EDUC-J</v>
          </cell>
          <cell r="G4308">
            <v>630</v>
          </cell>
          <cell r="H4308" t="str">
            <v>EDUC-J630</v>
          </cell>
          <cell r="K4308" t="str">
            <v>Barton,Keith Casey</v>
          </cell>
          <cell r="N4308" t="str">
            <v>NR</v>
          </cell>
          <cell r="O4308" t="str">
            <v>NR</v>
          </cell>
        </row>
        <row r="4309">
          <cell r="E4309" t="str">
            <v>EDUC</v>
          </cell>
          <cell r="F4309" t="str">
            <v>EDUC-J</v>
          </cell>
          <cell r="G4309">
            <v>630</v>
          </cell>
          <cell r="H4309" t="str">
            <v>EDUC-J630</v>
          </cell>
          <cell r="K4309" t="str">
            <v>Maxcy,Brendan</v>
          </cell>
          <cell r="N4309">
            <v>3.4910000000000001</v>
          </cell>
          <cell r="O4309">
            <v>3.8740000000000001</v>
          </cell>
        </row>
        <row r="4310">
          <cell r="E4310" t="str">
            <v>EDUC</v>
          </cell>
          <cell r="F4310" t="str">
            <v>EDUC-J</v>
          </cell>
          <cell r="G4310">
            <v>650</v>
          </cell>
          <cell r="H4310" t="str">
            <v>EDUC-J650</v>
          </cell>
          <cell r="K4310" t="str">
            <v>Hossler,Carol-Anne Hughes</v>
          </cell>
          <cell r="N4310" t="str">
            <v>NR</v>
          </cell>
          <cell r="O4310" t="str">
            <v>NR</v>
          </cell>
        </row>
        <row r="4311">
          <cell r="E4311" t="str">
            <v>EDUC</v>
          </cell>
          <cell r="F4311" t="str">
            <v>EDUC-J</v>
          </cell>
          <cell r="G4311">
            <v>650</v>
          </cell>
          <cell r="H4311" t="str">
            <v>EDUC-J650</v>
          </cell>
          <cell r="K4311" t="str">
            <v>McMullen,Mary B.</v>
          </cell>
          <cell r="N4311" t="str">
            <v>NR</v>
          </cell>
          <cell r="O4311" t="str">
            <v>NR</v>
          </cell>
        </row>
        <row r="4312">
          <cell r="E4312" t="str">
            <v>EDUC</v>
          </cell>
          <cell r="F4312" t="str">
            <v>EDUC-J</v>
          </cell>
          <cell r="G4312">
            <v>650</v>
          </cell>
          <cell r="H4312" t="str">
            <v>EDUC-J650</v>
          </cell>
          <cell r="K4312" t="str">
            <v>McMullen,Mary B.</v>
          </cell>
          <cell r="N4312" t="str">
            <v>NR</v>
          </cell>
          <cell r="O4312" t="str">
            <v>NR</v>
          </cell>
        </row>
        <row r="4313">
          <cell r="E4313" t="str">
            <v>EDUC</v>
          </cell>
          <cell r="F4313" t="str">
            <v>EDUC-J</v>
          </cell>
          <cell r="G4313">
            <v>664</v>
          </cell>
          <cell r="H4313" t="str">
            <v>EDUC-J664</v>
          </cell>
          <cell r="K4313" t="str">
            <v>Goodman,Jesse H.</v>
          </cell>
          <cell r="N4313">
            <v>3.754</v>
          </cell>
          <cell r="O4313">
            <v>3.8340000000000001</v>
          </cell>
        </row>
        <row r="4314">
          <cell r="E4314" t="str">
            <v>EDUC</v>
          </cell>
          <cell r="F4314" t="str">
            <v>EDUC-J</v>
          </cell>
          <cell r="G4314">
            <v>690</v>
          </cell>
          <cell r="H4314" t="str">
            <v>EDUC-J690</v>
          </cell>
          <cell r="K4314" t="str">
            <v>McMullen,Mary B.</v>
          </cell>
          <cell r="N4314" t="str">
            <v>NR</v>
          </cell>
          <cell r="O4314" t="str">
            <v>NR</v>
          </cell>
        </row>
        <row r="4315">
          <cell r="E4315" t="str">
            <v>EDUC</v>
          </cell>
          <cell r="F4315" t="str">
            <v>EDUC-J</v>
          </cell>
          <cell r="G4315">
            <v>700</v>
          </cell>
          <cell r="H4315" t="str">
            <v>EDUC-J700</v>
          </cell>
          <cell r="K4315" t="str">
            <v>Goodman,Jesse H.</v>
          </cell>
          <cell r="N4315">
            <v>4</v>
          </cell>
          <cell r="O4315">
            <v>3.95</v>
          </cell>
        </row>
        <row r="4316">
          <cell r="E4316" t="str">
            <v>EDUC</v>
          </cell>
          <cell r="F4316" t="str">
            <v>EDUC-J</v>
          </cell>
          <cell r="G4316">
            <v>705</v>
          </cell>
          <cell r="H4316" t="str">
            <v>EDUC-J705</v>
          </cell>
          <cell r="K4316" t="str">
            <v>Akerson,Valarie</v>
          </cell>
          <cell r="N4316">
            <v>4</v>
          </cell>
          <cell r="O4316">
            <v>3.9329999999999998</v>
          </cell>
        </row>
        <row r="4317">
          <cell r="E4317" t="str">
            <v>EDUC</v>
          </cell>
          <cell r="F4317" t="str">
            <v>EDUC-J</v>
          </cell>
          <cell r="G4317">
            <v>705</v>
          </cell>
          <cell r="H4317" t="str">
            <v>EDUC-J705</v>
          </cell>
          <cell r="K4317" t="str">
            <v>McMullen,Mary B.</v>
          </cell>
          <cell r="N4317">
            <v>4</v>
          </cell>
          <cell r="O4317">
            <v>3.8879999999999999</v>
          </cell>
        </row>
        <row r="4318">
          <cell r="E4318" t="str">
            <v>EDUC</v>
          </cell>
          <cell r="F4318" t="str">
            <v>EDUC-J</v>
          </cell>
          <cell r="G4318">
            <v>710</v>
          </cell>
          <cell r="H4318" t="str">
            <v>EDUC-J710</v>
          </cell>
          <cell r="K4318" t="str">
            <v>Mason,Terrence Craig</v>
          </cell>
          <cell r="N4318">
            <v>3.6629999999999998</v>
          </cell>
          <cell r="O4318">
            <v>3.8260000000000001</v>
          </cell>
        </row>
        <row r="4319">
          <cell r="E4319" t="str">
            <v>EDUC</v>
          </cell>
          <cell r="F4319" t="str">
            <v>EDUC-J</v>
          </cell>
          <cell r="G4319">
            <v>760</v>
          </cell>
          <cell r="H4319" t="str">
            <v>EDUC-J760</v>
          </cell>
          <cell r="K4319" t="str">
            <v>Goodman,Jesse H.</v>
          </cell>
          <cell r="N4319">
            <v>3.8929999999999998</v>
          </cell>
          <cell r="O4319">
            <v>3.9369999999999998</v>
          </cell>
        </row>
        <row r="4320">
          <cell r="E4320" t="str">
            <v>EDUC</v>
          </cell>
          <cell r="F4320" t="str">
            <v>EDUC-J</v>
          </cell>
          <cell r="G4320">
            <v>762</v>
          </cell>
          <cell r="H4320" t="str">
            <v>EDUC-J762</v>
          </cell>
          <cell r="K4320" t="str">
            <v>Buck,Gayle Anne</v>
          </cell>
          <cell r="N4320">
            <v>4</v>
          </cell>
          <cell r="O4320">
            <v>3.746</v>
          </cell>
        </row>
        <row r="4321">
          <cell r="E4321" t="str">
            <v>EDUC</v>
          </cell>
          <cell r="F4321" t="str">
            <v>EDUC-J</v>
          </cell>
          <cell r="G4321">
            <v>762</v>
          </cell>
          <cell r="H4321" t="str">
            <v>EDUC-J762</v>
          </cell>
          <cell r="K4321" t="str">
            <v>Kunzman,Robert</v>
          </cell>
          <cell r="N4321">
            <v>3.7669999999999999</v>
          </cell>
          <cell r="O4321">
            <v>3.8740000000000001</v>
          </cell>
        </row>
        <row r="4322">
          <cell r="E4322" t="str">
            <v>EDUC</v>
          </cell>
          <cell r="F4322" t="str">
            <v>EDUC-J</v>
          </cell>
          <cell r="G4322">
            <v>795</v>
          </cell>
          <cell r="H4322" t="str">
            <v>EDUC-J795</v>
          </cell>
          <cell r="K4322" t="str">
            <v>Kloosterman,Peter W.</v>
          </cell>
          <cell r="N4322" t="str">
            <v>NR</v>
          </cell>
          <cell r="O4322" t="str">
            <v>NR</v>
          </cell>
        </row>
        <row r="4323">
          <cell r="E4323" t="str">
            <v>EDUC</v>
          </cell>
          <cell r="F4323" t="str">
            <v>EDUC-J</v>
          </cell>
          <cell r="G4323">
            <v>795</v>
          </cell>
          <cell r="H4323" t="str">
            <v>EDUC-J795</v>
          </cell>
          <cell r="K4323" t="str">
            <v>McMullen,Mary B.</v>
          </cell>
          <cell r="N4323" t="str">
            <v>NR</v>
          </cell>
          <cell r="O4323" t="str">
            <v>NR</v>
          </cell>
        </row>
        <row r="4324">
          <cell r="E4324" t="str">
            <v>EDUC</v>
          </cell>
          <cell r="F4324" t="str">
            <v>EDUC-J</v>
          </cell>
          <cell r="G4324">
            <v>795</v>
          </cell>
          <cell r="H4324" t="str">
            <v>EDUC-J795</v>
          </cell>
          <cell r="K4324" t="str">
            <v>McMullen,Mary B.</v>
          </cell>
          <cell r="N4324" t="str">
            <v>NR</v>
          </cell>
          <cell r="O4324" t="str">
            <v>NR</v>
          </cell>
        </row>
        <row r="4325">
          <cell r="E4325" t="str">
            <v>EDUC</v>
          </cell>
          <cell r="F4325" t="str">
            <v>EDUC-J</v>
          </cell>
          <cell r="G4325">
            <v>795</v>
          </cell>
          <cell r="H4325" t="str">
            <v>EDUC-J795</v>
          </cell>
          <cell r="K4325" t="str">
            <v>McMullen,Mary B.</v>
          </cell>
          <cell r="N4325" t="str">
            <v>NR</v>
          </cell>
          <cell r="O4325" t="str">
            <v>NR</v>
          </cell>
        </row>
        <row r="4326">
          <cell r="E4326" t="str">
            <v>EDUC</v>
          </cell>
          <cell r="F4326" t="str">
            <v>EDUC-J</v>
          </cell>
          <cell r="G4326">
            <v>795</v>
          </cell>
          <cell r="H4326" t="str">
            <v>EDUC-J795</v>
          </cell>
          <cell r="K4326" t="str">
            <v>Park Rogers,Meredith Anne</v>
          </cell>
          <cell r="N4326" t="str">
            <v>NR</v>
          </cell>
          <cell r="O4326" t="str">
            <v>NR</v>
          </cell>
        </row>
        <row r="4327">
          <cell r="E4327" t="str">
            <v>EDUC</v>
          </cell>
          <cell r="F4327" t="str">
            <v>EDUC-J</v>
          </cell>
          <cell r="G4327">
            <v>799</v>
          </cell>
          <cell r="H4327" t="str">
            <v>EDUC-J799</v>
          </cell>
          <cell r="K4327" t="str">
            <v>Akerson,Valarie</v>
          </cell>
          <cell r="N4327" t="str">
            <v>NR</v>
          </cell>
          <cell r="O4327" t="str">
            <v>NR</v>
          </cell>
        </row>
        <row r="4328">
          <cell r="E4328" t="str">
            <v>EDUC</v>
          </cell>
          <cell r="F4328" t="str">
            <v>EDUC-J</v>
          </cell>
          <cell r="G4328">
            <v>799</v>
          </cell>
          <cell r="H4328" t="str">
            <v>EDUC-J799</v>
          </cell>
          <cell r="K4328" t="str">
            <v>Akerson,Valarie</v>
          </cell>
          <cell r="N4328" t="str">
            <v>NR</v>
          </cell>
          <cell r="O4328" t="str">
            <v>NR</v>
          </cell>
        </row>
        <row r="4329">
          <cell r="E4329" t="str">
            <v>EDUC</v>
          </cell>
          <cell r="F4329" t="str">
            <v>EDUC-J</v>
          </cell>
          <cell r="G4329">
            <v>799</v>
          </cell>
          <cell r="H4329" t="str">
            <v>EDUC-J799</v>
          </cell>
          <cell r="K4329" t="str">
            <v>Akerson,Valarie</v>
          </cell>
          <cell r="N4329" t="str">
            <v>NR</v>
          </cell>
          <cell r="O4329" t="str">
            <v>NR</v>
          </cell>
        </row>
        <row r="4330">
          <cell r="E4330" t="str">
            <v>EDUC</v>
          </cell>
          <cell r="F4330" t="str">
            <v>EDUC-J</v>
          </cell>
          <cell r="G4330">
            <v>799</v>
          </cell>
          <cell r="H4330" t="str">
            <v>EDUC-J799</v>
          </cell>
          <cell r="K4330" t="str">
            <v>Kloosterman,Peter W.</v>
          </cell>
          <cell r="N4330" t="str">
            <v>NR</v>
          </cell>
          <cell r="O4330" t="str">
            <v>NR</v>
          </cell>
        </row>
        <row r="4331">
          <cell r="E4331" t="str">
            <v>EDUC</v>
          </cell>
          <cell r="F4331" t="str">
            <v>EDUC-J</v>
          </cell>
          <cell r="G4331">
            <v>799</v>
          </cell>
          <cell r="H4331" t="str">
            <v>EDUC-J799</v>
          </cell>
          <cell r="K4331" t="str">
            <v>Kloosterman,Peter W.</v>
          </cell>
          <cell r="N4331" t="str">
            <v>NR</v>
          </cell>
          <cell r="O4331" t="str">
            <v>NR</v>
          </cell>
        </row>
        <row r="4332">
          <cell r="E4332" t="str">
            <v>EDUC</v>
          </cell>
          <cell r="F4332" t="str">
            <v>EDUC-J</v>
          </cell>
          <cell r="G4332">
            <v>799</v>
          </cell>
          <cell r="H4332" t="str">
            <v>EDUC-J799</v>
          </cell>
          <cell r="K4332" t="str">
            <v>Kloosterman,Peter W.</v>
          </cell>
          <cell r="N4332" t="str">
            <v>NR</v>
          </cell>
          <cell r="O4332" t="str">
            <v>NR</v>
          </cell>
        </row>
        <row r="4333">
          <cell r="E4333" t="str">
            <v>EDUC</v>
          </cell>
          <cell r="F4333" t="str">
            <v>EDUC-J</v>
          </cell>
          <cell r="G4333">
            <v>799</v>
          </cell>
          <cell r="H4333" t="str">
            <v>EDUC-J799</v>
          </cell>
          <cell r="K4333" t="str">
            <v>Lackey,Lara M</v>
          </cell>
          <cell r="N4333" t="str">
            <v>NR</v>
          </cell>
          <cell r="O4333" t="str">
            <v>NR</v>
          </cell>
        </row>
        <row r="4334">
          <cell r="E4334" t="str">
            <v>EDUC</v>
          </cell>
          <cell r="F4334" t="str">
            <v>EDUC-J</v>
          </cell>
          <cell r="G4334">
            <v>799</v>
          </cell>
          <cell r="H4334" t="str">
            <v>EDUC-J799</v>
          </cell>
          <cell r="K4334" t="str">
            <v>Lackey,Lara M</v>
          </cell>
          <cell r="N4334" t="str">
            <v>NR</v>
          </cell>
          <cell r="O4334" t="str">
            <v>NR</v>
          </cell>
        </row>
        <row r="4335">
          <cell r="E4335" t="str">
            <v>EDUC</v>
          </cell>
          <cell r="F4335" t="str">
            <v>EDUC-J</v>
          </cell>
          <cell r="G4335">
            <v>799</v>
          </cell>
          <cell r="H4335" t="str">
            <v>EDUC-J799</v>
          </cell>
          <cell r="K4335" t="str">
            <v>McMullen,Mary B.</v>
          </cell>
          <cell r="N4335" t="str">
            <v>NR</v>
          </cell>
          <cell r="O4335" t="str">
            <v>NR</v>
          </cell>
        </row>
        <row r="4336">
          <cell r="E4336" t="str">
            <v>EDUC</v>
          </cell>
          <cell r="F4336" t="str">
            <v>EDUC-J</v>
          </cell>
          <cell r="G4336">
            <v>799</v>
          </cell>
          <cell r="H4336" t="str">
            <v>EDUC-J799</v>
          </cell>
          <cell r="K4336" t="str">
            <v>McMullen,Mary B.</v>
          </cell>
          <cell r="N4336" t="str">
            <v>NR</v>
          </cell>
          <cell r="O4336" t="str">
            <v>NR</v>
          </cell>
        </row>
        <row r="4337">
          <cell r="E4337" t="str">
            <v>EDUC</v>
          </cell>
          <cell r="F4337" t="str">
            <v>EDUC-J</v>
          </cell>
          <cell r="G4337">
            <v>799</v>
          </cell>
          <cell r="H4337" t="str">
            <v>EDUC-J799</v>
          </cell>
          <cell r="K4337" t="str">
            <v>McMullen,Mary B.</v>
          </cell>
          <cell r="N4337" t="str">
            <v>NR</v>
          </cell>
          <cell r="O4337" t="str">
            <v>NR</v>
          </cell>
        </row>
        <row r="4338">
          <cell r="E4338" t="str">
            <v>EDUC</v>
          </cell>
          <cell r="F4338" t="str">
            <v>EDUC-K</v>
          </cell>
          <cell r="G4338">
            <v>205</v>
          </cell>
          <cell r="H4338" t="str">
            <v>EDUC-K205</v>
          </cell>
          <cell r="K4338" t="str">
            <v>Brannan,Ana Maria</v>
          </cell>
          <cell r="N4338" t="str">
            <v>NR</v>
          </cell>
          <cell r="O4338" t="str">
            <v>NR</v>
          </cell>
        </row>
        <row r="4339">
          <cell r="E4339" t="str">
            <v>EDUC</v>
          </cell>
          <cell r="F4339" t="str">
            <v>EDUC-K</v>
          </cell>
          <cell r="G4339">
            <v>205</v>
          </cell>
          <cell r="H4339" t="str">
            <v>EDUC-K205</v>
          </cell>
          <cell r="K4339" t="str">
            <v>Brannan,Ana Maria</v>
          </cell>
          <cell r="N4339">
            <v>3.2570000000000001</v>
          </cell>
          <cell r="O4339">
            <v>3.3730000000000002</v>
          </cell>
        </row>
        <row r="4340">
          <cell r="E4340" t="str">
            <v>EDUC</v>
          </cell>
          <cell r="F4340" t="str">
            <v>EDUC-K</v>
          </cell>
          <cell r="G4340">
            <v>205</v>
          </cell>
          <cell r="H4340" t="str">
            <v>EDUC-K205</v>
          </cell>
          <cell r="K4340" t="str">
            <v>Goral,Mary Barr</v>
          </cell>
          <cell r="N4340">
            <v>3.6150000000000002</v>
          </cell>
          <cell r="O4340">
            <v>3.476</v>
          </cell>
        </row>
        <row r="4341">
          <cell r="E4341" t="str">
            <v>EDUC</v>
          </cell>
          <cell r="F4341" t="str">
            <v>EDUC-K</v>
          </cell>
          <cell r="G4341">
            <v>305</v>
          </cell>
          <cell r="H4341" t="str">
            <v>EDUC-K305</v>
          </cell>
          <cell r="K4341" t="str">
            <v>Bari,Barbara Selkirk</v>
          </cell>
          <cell r="N4341">
            <v>3.8</v>
          </cell>
          <cell r="O4341">
            <v>3.5649999999999999</v>
          </cell>
        </row>
        <row r="4342">
          <cell r="E4342" t="str">
            <v>EDUC</v>
          </cell>
          <cell r="F4342" t="str">
            <v>EDUC-K</v>
          </cell>
          <cell r="G4342">
            <v>305</v>
          </cell>
          <cell r="H4342" t="str">
            <v>EDUC-K305</v>
          </cell>
          <cell r="K4342" t="str">
            <v>Kanitkar,Anjali Shridhar</v>
          </cell>
          <cell r="N4342">
            <v>3.536</v>
          </cell>
          <cell r="O4342">
            <v>3.41</v>
          </cell>
        </row>
        <row r="4343">
          <cell r="E4343" t="str">
            <v>EDUC</v>
          </cell>
          <cell r="F4343" t="str">
            <v>EDUC-K</v>
          </cell>
          <cell r="G4343">
            <v>305</v>
          </cell>
          <cell r="H4343" t="str">
            <v>EDUC-K305</v>
          </cell>
          <cell r="K4343" t="str">
            <v>Ochoa,Theresa A</v>
          </cell>
          <cell r="N4343">
            <v>3.085</v>
          </cell>
          <cell r="O4343">
            <v>3.3660000000000001</v>
          </cell>
        </row>
        <row r="4344">
          <cell r="E4344" t="str">
            <v>EDUC</v>
          </cell>
          <cell r="F4344" t="str">
            <v>EDUC-K</v>
          </cell>
          <cell r="G4344">
            <v>305</v>
          </cell>
          <cell r="H4344" t="str">
            <v>EDUC-K305</v>
          </cell>
          <cell r="K4344" t="str">
            <v>Ochoa,Theresa A</v>
          </cell>
          <cell r="N4344">
            <v>2.468</v>
          </cell>
          <cell r="O4344">
            <v>3.2669999999999999</v>
          </cell>
        </row>
        <row r="4345">
          <cell r="E4345" t="str">
            <v>EDUC</v>
          </cell>
          <cell r="F4345" t="str">
            <v>EDUC-K</v>
          </cell>
          <cell r="G4345">
            <v>305</v>
          </cell>
          <cell r="H4345" t="str">
            <v>EDUC-K305</v>
          </cell>
          <cell r="K4345" t="str">
            <v>Otero,Tiffany Lynne</v>
          </cell>
          <cell r="N4345">
            <v>3.331</v>
          </cell>
          <cell r="O4345">
            <v>3.3940000000000001</v>
          </cell>
        </row>
        <row r="4346">
          <cell r="E4346" t="str">
            <v>EDUC</v>
          </cell>
          <cell r="F4346" t="str">
            <v>EDUC-K</v>
          </cell>
          <cell r="G4346">
            <v>305</v>
          </cell>
          <cell r="H4346" t="str">
            <v>EDUC-K305</v>
          </cell>
          <cell r="K4346" t="str">
            <v>Raynor,Cori J.</v>
          </cell>
          <cell r="N4346">
            <v>3.625</v>
          </cell>
          <cell r="O4346">
            <v>3.48</v>
          </cell>
        </row>
        <row r="4347">
          <cell r="E4347" t="str">
            <v>EDUC</v>
          </cell>
          <cell r="F4347" t="str">
            <v>EDUC-K</v>
          </cell>
          <cell r="G4347">
            <v>306</v>
          </cell>
          <cell r="H4347" t="str">
            <v>EDUC-K306</v>
          </cell>
          <cell r="K4347" t="str">
            <v>Cornell,Heidi Renee</v>
          </cell>
          <cell r="N4347">
            <v>3.597</v>
          </cell>
          <cell r="O4347">
            <v>3.36</v>
          </cell>
        </row>
        <row r="4348">
          <cell r="E4348" t="str">
            <v>EDUC</v>
          </cell>
          <cell r="F4348" t="str">
            <v>EDUC-K</v>
          </cell>
          <cell r="G4348">
            <v>306</v>
          </cell>
          <cell r="H4348" t="str">
            <v>EDUC-K306</v>
          </cell>
          <cell r="K4348" t="str">
            <v>Hauss,Sharon A</v>
          </cell>
          <cell r="N4348">
            <v>3.5030000000000001</v>
          </cell>
          <cell r="O4348">
            <v>3.5070000000000001</v>
          </cell>
        </row>
        <row r="4349">
          <cell r="E4349" t="str">
            <v>EDUC</v>
          </cell>
          <cell r="F4349" t="str">
            <v>EDUC-K</v>
          </cell>
          <cell r="G4349">
            <v>306</v>
          </cell>
          <cell r="H4349" t="str">
            <v>EDUC-K306</v>
          </cell>
          <cell r="K4349" t="str">
            <v>Hauss,Sharon A</v>
          </cell>
          <cell r="N4349">
            <v>3.3759999999999999</v>
          </cell>
          <cell r="O4349">
            <v>3.323</v>
          </cell>
        </row>
        <row r="4350">
          <cell r="E4350" t="str">
            <v>EDUC</v>
          </cell>
          <cell r="F4350" t="str">
            <v>EDUC-K</v>
          </cell>
          <cell r="G4350">
            <v>306</v>
          </cell>
          <cell r="H4350" t="str">
            <v>EDUC-K306</v>
          </cell>
          <cell r="K4350" t="str">
            <v>McMahon,Camilla</v>
          </cell>
          <cell r="N4350">
            <v>3.1040000000000001</v>
          </cell>
          <cell r="O4350">
            <v>3.4830000000000001</v>
          </cell>
        </row>
        <row r="4351">
          <cell r="E4351" t="str">
            <v>EDUC</v>
          </cell>
          <cell r="F4351" t="str">
            <v>EDUC-K</v>
          </cell>
          <cell r="G4351">
            <v>306</v>
          </cell>
          <cell r="H4351" t="str">
            <v>EDUC-K306</v>
          </cell>
          <cell r="K4351" t="str">
            <v>McMahon,Camilla</v>
          </cell>
          <cell r="N4351">
            <v>3.0169999999999999</v>
          </cell>
          <cell r="O4351">
            <v>3.28</v>
          </cell>
        </row>
        <row r="4352">
          <cell r="E4352" t="str">
            <v>EDUC</v>
          </cell>
          <cell r="F4352" t="str">
            <v>EDUC-K</v>
          </cell>
          <cell r="G4352">
            <v>343</v>
          </cell>
          <cell r="H4352" t="str">
            <v>EDUC-K343</v>
          </cell>
          <cell r="K4352" t="str">
            <v>Anderson,Jeffrey A.</v>
          </cell>
          <cell r="N4352">
            <v>3.7909999999999999</v>
          </cell>
          <cell r="O4352">
            <v>3.379</v>
          </cell>
        </row>
        <row r="4353">
          <cell r="E4353" t="str">
            <v>EDUC</v>
          </cell>
          <cell r="F4353" t="str">
            <v>EDUC-K</v>
          </cell>
          <cell r="G4353">
            <v>343</v>
          </cell>
          <cell r="H4353" t="str">
            <v>EDUC-K343</v>
          </cell>
          <cell r="K4353" t="str">
            <v>Stephens,Jessie A. R.</v>
          </cell>
          <cell r="N4353">
            <v>3.8959999999999999</v>
          </cell>
          <cell r="O4353">
            <v>3.415</v>
          </cell>
        </row>
        <row r="4354">
          <cell r="E4354" t="str">
            <v>EDUC</v>
          </cell>
          <cell r="F4354" t="str">
            <v>EDUC-K</v>
          </cell>
          <cell r="G4354">
            <v>343</v>
          </cell>
          <cell r="H4354" t="str">
            <v>EDUC-K343</v>
          </cell>
          <cell r="K4354" t="str">
            <v>Verde II,John Michael</v>
          </cell>
          <cell r="N4354">
            <v>3.948</v>
          </cell>
          <cell r="O4354">
            <v>3.581</v>
          </cell>
        </row>
        <row r="4355">
          <cell r="E4355" t="str">
            <v>EDUC</v>
          </cell>
          <cell r="F4355" t="str">
            <v>EDUC-K</v>
          </cell>
          <cell r="G4355">
            <v>344</v>
          </cell>
          <cell r="H4355" t="str">
            <v>EDUC-K344</v>
          </cell>
          <cell r="K4355" t="str">
            <v>Bailey,Dustin A.</v>
          </cell>
          <cell r="N4355">
            <v>4</v>
          </cell>
          <cell r="O4355">
            <v>3.6829999999999998</v>
          </cell>
        </row>
        <row r="4356">
          <cell r="E4356" t="str">
            <v>EDUC</v>
          </cell>
          <cell r="F4356" t="str">
            <v>EDUC-K</v>
          </cell>
          <cell r="G4356">
            <v>344</v>
          </cell>
          <cell r="H4356" t="str">
            <v>EDUC-K344</v>
          </cell>
          <cell r="K4356" t="str">
            <v>Cornell,Heidi Renee</v>
          </cell>
          <cell r="N4356">
            <v>3.9569999999999999</v>
          </cell>
          <cell r="O4356">
            <v>3.641</v>
          </cell>
        </row>
        <row r="4357">
          <cell r="E4357" t="str">
            <v>EDUC</v>
          </cell>
          <cell r="F4357" t="str">
            <v>EDUC-K</v>
          </cell>
          <cell r="G4357">
            <v>344</v>
          </cell>
          <cell r="H4357" t="str">
            <v>EDUC-K344</v>
          </cell>
          <cell r="K4357" t="str">
            <v>Ruich,Lawrence Joseph</v>
          </cell>
          <cell r="N4357">
            <v>3.8140000000000001</v>
          </cell>
          <cell r="O4357">
            <v>3.2530000000000001</v>
          </cell>
        </row>
        <row r="4358">
          <cell r="E4358" t="str">
            <v>EDUC</v>
          </cell>
          <cell r="F4358" t="str">
            <v>EDUC-K</v>
          </cell>
          <cell r="G4358">
            <v>344</v>
          </cell>
          <cell r="H4358" t="str">
            <v>EDUC-K344</v>
          </cell>
          <cell r="K4358" t="str">
            <v>Shea,Phyllis Jean</v>
          </cell>
          <cell r="N4358">
            <v>3.9860000000000002</v>
          </cell>
          <cell r="O4358">
            <v>3.524</v>
          </cell>
        </row>
        <row r="4359">
          <cell r="E4359" t="str">
            <v>EDUC</v>
          </cell>
          <cell r="F4359" t="str">
            <v>EDUC-K</v>
          </cell>
          <cell r="G4359">
            <v>352</v>
          </cell>
          <cell r="H4359" t="str">
            <v>EDUC-K352</v>
          </cell>
          <cell r="K4359" t="str">
            <v>Clay,Jill Christine</v>
          </cell>
          <cell r="N4359">
            <v>3.774</v>
          </cell>
          <cell r="O4359">
            <v>3.569</v>
          </cell>
        </row>
        <row r="4360">
          <cell r="E4360" t="str">
            <v>EDUC</v>
          </cell>
          <cell r="F4360" t="str">
            <v>EDUC-K</v>
          </cell>
          <cell r="G4360">
            <v>352</v>
          </cell>
          <cell r="H4360" t="str">
            <v>EDUC-K352</v>
          </cell>
          <cell r="K4360" t="str">
            <v>Clay,Jill Christine</v>
          </cell>
          <cell r="N4360">
            <v>3.7050000000000001</v>
          </cell>
          <cell r="O4360">
            <v>3.4830000000000001</v>
          </cell>
        </row>
        <row r="4361">
          <cell r="E4361" t="str">
            <v>EDUC</v>
          </cell>
          <cell r="F4361" t="str">
            <v>EDUC-K</v>
          </cell>
          <cell r="G4361">
            <v>352</v>
          </cell>
          <cell r="H4361" t="str">
            <v>EDUC-K352</v>
          </cell>
          <cell r="K4361" t="str">
            <v>Heimer Dadds,Julia Mary</v>
          </cell>
          <cell r="N4361">
            <v>3.984</v>
          </cell>
          <cell r="O4361">
            <v>3.593</v>
          </cell>
        </row>
        <row r="4362">
          <cell r="E4362" t="str">
            <v>EDUC</v>
          </cell>
          <cell r="F4362" t="str">
            <v>EDUC-K</v>
          </cell>
          <cell r="G4362">
            <v>352</v>
          </cell>
          <cell r="H4362" t="str">
            <v>EDUC-K352</v>
          </cell>
          <cell r="K4362" t="str">
            <v>Keller,Melissa</v>
          </cell>
          <cell r="N4362">
            <v>3.835</v>
          </cell>
          <cell r="O4362">
            <v>3.5259999999999998</v>
          </cell>
        </row>
        <row r="4363">
          <cell r="E4363" t="str">
            <v>EDUC</v>
          </cell>
          <cell r="F4363" t="str">
            <v>EDUC-K</v>
          </cell>
          <cell r="G4363">
            <v>352</v>
          </cell>
          <cell r="H4363" t="str">
            <v>EDUC-K352</v>
          </cell>
          <cell r="K4363" t="str">
            <v>Keller,Melissa</v>
          </cell>
          <cell r="N4363">
            <v>3.8380000000000001</v>
          </cell>
          <cell r="O4363">
            <v>3.5920000000000001</v>
          </cell>
        </row>
        <row r="4364">
          <cell r="E4364" t="str">
            <v>EDUC</v>
          </cell>
          <cell r="F4364" t="str">
            <v>EDUC-K</v>
          </cell>
          <cell r="G4364">
            <v>352</v>
          </cell>
          <cell r="H4364" t="str">
            <v>EDUC-K352</v>
          </cell>
          <cell r="K4364" t="str">
            <v>Ruich,Lawrence Joseph</v>
          </cell>
          <cell r="N4364">
            <v>3.883</v>
          </cell>
          <cell r="O4364">
            <v>3.456</v>
          </cell>
        </row>
        <row r="4365">
          <cell r="E4365" t="str">
            <v>EDUC</v>
          </cell>
          <cell r="F4365" t="str">
            <v>EDUC-K</v>
          </cell>
          <cell r="G4365">
            <v>352</v>
          </cell>
          <cell r="H4365" t="str">
            <v>EDUC-K352</v>
          </cell>
          <cell r="K4365" t="str">
            <v>Schreiber,Timothy</v>
          </cell>
          <cell r="N4365">
            <v>4</v>
          </cell>
          <cell r="O4365">
            <v>3.6669999999999998</v>
          </cell>
        </row>
        <row r="4366">
          <cell r="E4366" t="str">
            <v>EDUC</v>
          </cell>
          <cell r="F4366" t="str">
            <v>EDUC-K</v>
          </cell>
          <cell r="G4366">
            <v>361</v>
          </cell>
          <cell r="H4366" t="str">
            <v>EDUC-K361</v>
          </cell>
          <cell r="K4366" t="str">
            <v>Grimmet,Kharon Denise</v>
          </cell>
          <cell r="N4366">
            <v>3.0880000000000001</v>
          </cell>
          <cell r="O4366">
            <v>2.9860000000000002</v>
          </cell>
        </row>
        <row r="4367">
          <cell r="E4367" t="str">
            <v>EDUC</v>
          </cell>
          <cell r="F4367" t="str">
            <v>EDUC-K</v>
          </cell>
          <cell r="G4367">
            <v>361</v>
          </cell>
          <cell r="H4367" t="str">
            <v>EDUC-K361</v>
          </cell>
          <cell r="K4367" t="str">
            <v>Kanitkar,Anjali Shridhar</v>
          </cell>
          <cell r="N4367">
            <v>3.895</v>
          </cell>
          <cell r="O4367">
            <v>3.6829999999999998</v>
          </cell>
        </row>
        <row r="4368">
          <cell r="E4368" t="str">
            <v>EDUC</v>
          </cell>
          <cell r="F4368" t="str">
            <v>EDUC-K</v>
          </cell>
          <cell r="G4368">
            <v>361</v>
          </cell>
          <cell r="H4368" t="str">
            <v>EDUC-K361</v>
          </cell>
          <cell r="K4368" t="str">
            <v>Kanitkar,Anjali Shridhar</v>
          </cell>
          <cell r="N4368">
            <v>3.6629999999999998</v>
          </cell>
          <cell r="O4368">
            <v>3.6230000000000002</v>
          </cell>
        </row>
        <row r="4369">
          <cell r="E4369" t="str">
            <v>EDUC</v>
          </cell>
          <cell r="F4369" t="str">
            <v>EDUC-K</v>
          </cell>
          <cell r="G4369">
            <v>361</v>
          </cell>
          <cell r="H4369" t="str">
            <v>EDUC-K361</v>
          </cell>
          <cell r="K4369" t="str">
            <v>Zheng,Wenjing</v>
          </cell>
          <cell r="N4369">
            <v>4</v>
          </cell>
          <cell r="O4369">
            <v>3.524</v>
          </cell>
        </row>
        <row r="4370">
          <cell r="E4370" t="str">
            <v>EDUC</v>
          </cell>
          <cell r="F4370" t="str">
            <v>EDUC-K</v>
          </cell>
          <cell r="G4370">
            <v>362</v>
          </cell>
          <cell r="H4370" t="str">
            <v>EDUC-K362</v>
          </cell>
          <cell r="K4370" t="str">
            <v>Boucher Jr,Michael Lee</v>
          </cell>
          <cell r="N4370">
            <v>4</v>
          </cell>
          <cell r="O4370">
            <v>3.6829999999999998</v>
          </cell>
        </row>
        <row r="4371">
          <cell r="E4371" t="str">
            <v>EDUC</v>
          </cell>
          <cell r="F4371" t="str">
            <v>EDUC-K</v>
          </cell>
          <cell r="G4371">
            <v>362</v>
          </cell>
          <cell r="H4371" t="str">
            <v>EDUC-K362</v>
          </cell>
          <cell r="K4371" t="str">
            <v>Hurley,Ellie Renae</v>
          </cell>
          <cell r="N4371">
            <v>3.8069999999999999</v>
          </cell>
          <cell r="O4371">
            <v>3.3959999999999999</v>
          </cell>
        </row>
        <row r="4372">
          <cell r="E4372" t="str">
            <v>EDUC</v>
          </cell>
          <cell r="F4372" t="str">
            <v>EDUC-K</v>
          </cell>
          <cell r="G4372">
            <v>362</v>
          </cell>
          <cell r="H4372" t="str">
            <v>EDUC-K362</v>
          </cell>
          <cell r="K4372" t="str">
            <v>Keller,Melissa</v>
          </cell>
          <cell r="N4372">
            <v>3.92</v>
          </cell>
          <cell r="O4372">
            <v>3.5960000000000001</v>
          </cell>
        </row>
        <row r="4373">
          <cell r="E4373" t="str">
            <v>EDUC</v>
          </cell>
          <cell r="F4373" t="str">
            <v>EDUC-K</v>
          </cell>
          <cell r="G4373">
            <v>370</v>
          </cell>
          <cell r="H4373" t="str">
            <v>EDUC-K370</v>
          </cell>
          <cell r="K4373" t="str">
            <v>Alant,Erna</v>
          </cell>
          <cell r="N4373">
            <v>3.6859999999999999</v>
          </cell>
          <cell r="O4373">
            <v>3.4289999999999998</v>
          </cell>
        </row>
        <row r="4374">
          <cell r="E4374" t="str">
            <v>EDUC</v>
          </cell>
          <cell r="F4374" t="str">
            <v>EDUC-K</v>
          </cell>
          <cell r="G4374">
            <v>370</v>
          </cell>
          <cell r="H4374" t="str">
            <v>EDUC-K370</v>
          </cell>
          <cell r="K4374" t="str">
            <v>Weiss,Stacy Lynn</v>
          </cell>
          <cell r="N4374">
            <v>3.5430000000000001</v>
          </cell>
          <cell r="O4374">
            <v>3.5179999999999998</v>
          </cell>
        </row>
        <row r="4375">
          <cell r="E4375" t="str">
            <v>EDUC</v>
          </cell>
          <cell r="F4375" t="str">
            <v>EDUC-K</v>
          </cell>
          <cell r="G4375">
            <v>370</v>
          </cell>
          <cell r="H4375" t="str">
            <v>EDUC-K370</v>
          </cell>
          <cell r="K4375" t="str">
            <v>Weiss,Stacy Lynn</v>
          </cell>
          <cell r="N4375">
            <v>3.5819999999999999</v>
          </cell>
          <cell r="O4375">
            <v>3.6349999999999998</v>
          </cell>
        </row>
        <row r="4376">
          <cell r="E4376" t="str">
            <v>EDUC</v>
          </cell>
          <cell r="F4376" t="str">
            <v>EDUC-K</v>
          </cell>
          <cell r="G4376">
            <v>371</v>
          </cell>
          <cell r="H4376" t="str">
            <v>EDUC-K371</v>
          </cell>
          <cell r="K4376" t="str">
            <v>Edmonds,Ben C.</v>
          </cell>
          <cell r="N4376">
            <v>3.585</v>
          </cell>
          <cell r="O4376">
            <v>3.5259999999999998</v>
          </cell>
        </row>
        <row r="4377">
          <cell r="E4377" t="str">
            <v>EDUC</v>
          </cell>
          <cell r="F4377" t="str">
            <v>EDUC-K</v>
          </cell>
          <cell r="G4377">
            <v>371</v>
          </cell>
          <cell r="H4377" t="str">
            <v>EDUC-K371</v>
          </cell>
          <cell r="K4377" t="str">
            <v>Edmonds,Ben C.</v>
          </cell>
          <cell r="N4377">
            <v>3.8679999999999999</v>
          </cell>
          <cell r="O4377">
            <v>3.593</v>
          </cell>
        </row>
        <row r="4378">
          <cell r="E4378" t="str">
            <v>EDUC</v>
          </cell>
          <cell r="F4378" t="str">
            <v>EDUC-K</v>
          </cell>
          <cell r="G4378">
            <v>371</v>
          </cell>
          <cell r="H4378" t="str">
            <v>EDUC-K371</v>
          </cell>
          <cell r="K4378" t="str">
            <v>Wall-Marencik,Wendy Kay</v>
          </cell>
          <cell r="N4378">
            <v>3.7</v>
          </cell>
          <cell r="O4378">
            <v>3.5920000000000001</v>
          </cell>
        </row>
        <row r="4379">
          <cell r="E4379" t="str">
            <v>EDUC</v>
          </cell>
          <cell r="F4379" t="str">
            <v>EDUC-K</v>
          </cell>
          <cell r="G4379">
            <v>371</v>
          </cell>
          <cell r="H4379" t="str">
            <v>EDUC-K371</v>
          </cell>
          <cell r="K4379" t="str">
            <v>Wall-Marencik,Wendy Kay</v>
          </cell>
          <cell r="N4379">
            <v>3.5</v>
          </cell>
          <cell r="O4379">
            <v>3.3450000000000002</v>
          </cell>
        </row>
        <row r="4380">
          <cell r="E4380" t="str">
            <v>EDUC</v>
          </cell>
          <cell r="F4380" t="str">
            <v>EDUC-K</v>
          </cell>
          <cell r="G4380">
            <v>405</v>
          </cell>
          <cell r="H4380" t="str">
            <v>EDUC-K405</v>
          </cell>
          <cell r="K4380" t="str">
            <v>Butera,Gretchen Digman</v>
          </cell>
          <cell r="N4380">
            <v>3.7130000000000001</v>
          </cell>
          <cell r="O4380">
            <v>3.1389999999999998</v>
          </cell>
        </row>
        <row r="4381">
          <cell r="E4381" t="str">
            <v>EDUC</v>
          </cell>
          <cell r="F4381" t="str">
            <v>EDUC-K</v>
          </cell>
          <cell r="G4381">
            <v>441</v>
          </cell>
          <cell r="H4381" t="str">
            <v>EDUC-K441</v>
          </cell>
          <cell r="K4381" t="str">
            <v>Grossi,Teresa Ann</v>
          </cell>
          <cell r="N4381">
            <v>3.2879999999999998</v>
          </cell>
          <cell r="O4381">
            <v>3.202</v>
          </cell>
        </row>
        <row r="4382">
          <cell r="E4382" t="str">
            <v>EDUC</v>
          </cell>
          <cell r="F4382" t="str">
            <v>EDUC-K</v>
          </cell>
          <cell r="G4382">
            <v>480</v>
          </cell>
          <cell r="H4382" t="str">
            <v>EDUC-K480</v>
          </cell>
          <cell r="K4382" t="str">
            <v>Shedd,Jill Denise</v>
          </cell>
          <cell r="N4382" t="str">
            <v>NR</v>
          </cell>
          <cell r="O4382" t="str">
            <v>NR</v>
          </cell>
        </row>
        <row r="4383">
          <cell r="E4383" t="str">
            <v>EDUC</v>
          </cell>
          <cell r="F4383" t="str">
            <v>EDUC-K</v>
          </cell>
          <cell r="G4383">
            <v>480</v>
          </cell>
          <cell r="H4383" t="str">
            <v>EDUC-K480</v>
          </cell>
          <cell r="K4383" t="str">
            <v>Shedd,Jill Denise</v>
          </cell>
          <cell r="N4383" t="str">
            <v>NR</v>
          </cell>
          <cell r="O4383" t="str">
            <v>NR</v>
          </cell>
        </row>
        <row r="4384">
          <cell r="E4384" t="str">
            <v>EDUC</v>
          </cell>
          <cell r="F4384" t="str">
            <v>EDUC-K</v>
          </cell>
          <cell r="G4384">
            <v>480</v>
          </cell>
          <cell r="H4384" t="str">
            <v>EDUC-K480</v>
          </cell>
          <cell r="K4384" t="str">
            <v>Stachowski,Laura L.</v>
          </cell>
          <cell r="N4384" t="str">
            <v>NR</v>
          </cell>
          <cell r="O4384" t="str">
            <v>NR</v>
          </cell>
        </row>
        <row r="4385">
          <cell r="E4385" t="str">
            <v>EDUC</v>
          </cell>
          <cell r="F4385" t="str">
            <v>EDUC-K</v>
          </cell>
          <cell r="G4385">
            <v>480</v>
          </cell>
          <cell r="H4385" t="str">
            <v>EDUC-K480</v>
          </cell>
          <cell r="K4385" t="str">
            <v>Stachowski,Laura L.</v>
          </cell>
          <cell r="N4385" t="str">
            <v>NR</v>
          </cell>
          <cell r="O4385" t="str">
            <v>NR</v>
          </cell>
        </row>
        <row r="4386">
          <cell r="E4386" t="str">
            <v>EDUC</v>
          </cell>
          <cell r="F4386" t="str">
            <v>EDUC-K</v>
          </cell>
          <cell r="G4386">
            <v>488</v>
          </cell>
          <cell r="H4386" t="str">
            <v>EDUC-K488</v>
          </cell>
          <cell r="K4386" t="str">
            <v>Butera,Gretchen Digman</v>
          </cell>
          <cell r="N4386" t="str">
            <v>NR</v>
          </cell>
          <cell r="O4386" t="str">
            <v>NR</v>
          </cell>
        </row>
        <row r="4387">
          <cell r="E4387" t="str">
            <v>EDUC</v>
          </cell>
          <cell r="F4387" t="str">
            <v>EDUC-K</v>
          </cell>
          <cell r="G4387">
            <v>488</v>
          </cell>
          <cell r="H4387" t="str">
            <v>EDUC-K488</v>
          </cell>
          <cell r="K4387" t="str">
            <v>Butera,Gretchen Digman</v>
          </cell>
          <cell r="N4387" t="str">
            <v>NR</v>
          </cell>
          <cell r="O4387" t="str">
            <v>NR</v>
          </cell>
        </row>
        <row r="4388">
          <cell r="E4388" t="str">
            <v>EDUC</v>
          </cell>
          <cell r="F4388" t="str">
            <v>EDUC-K</v>
          </cell>
          <cell r="G4388">
            <v>490</v>
          </cell>
          <cell r="H4388" t="str">
            <v>EDUC-K490</v>
          </cell>
          <cell r="K4388" t="str">
            <v>Butera,Gretchen Digman</v>
          </cell>
          <cell r="N4388" t="str">
            <v>NR</v>
          </cell>
          <cell r="O4388" t="str">
            <v>NR</v>
          </cell>
        </row>
        <row r="4389">
          <cell r="E4389" t="str">
            <v>EDUC</v>
          </cell>
          <cell r="F4389" t="str">
            <v>EDUC-K</v>
          </cell>
          <cell r="G4389">
            <v>495</v>
          </cell>
          <cell r="H4389" t="str">
            <v>EDUC-K495</v>
          </cell>
          <cell r="K4389" t="str">
            <v>Bailey,Dustin A.</v>
          </cell>
          <cell r="N4389">
            <v>3.984</v>
          </cell>
          <cell r="O4389">
            <v>3.6829999999999998</v>
          </cell>
        </row>
        <row r="4390">
          <cell r="E4390" t="str">
            <v>EDUC</v>
          </cell>
          <cell r="F4390" t="str">
            <v>EDUC-K</v>
          </cell>
          <cell r="G4390">
            <v>495</v>
          </cell>
          <cell r="H4390" t="str">
            <v>EDUC-K495</v>
          </cell>
          <cell r="K4390" t="str">
            <v>Bailey,Dustin A.</v>
          </cell>
          <cell r="N4390">
            <v>3.9140000000000001</v>
          </cell>
          <cell r="O4390">
            <v>3.524</v>
          </cell>
        </row>
        <row r="4391">
          <cell r="E4391" t="str">
            <v>EDUC</v>
          </cell>
          <cell r="F4391" t="str">
            <v>EDUC-K</v>
          </cell>
          <cell r="G4391">
            <v>495</v>
          </cell>
          <cell r="H4391" t="str">
            <v>EDUC-K495</v>
          </cell>
          <cell r="K4391" t="str">
            <v>Bailey,Dustin A.</v>
          </cell>
          <cell r="N4391">
            <v>3.9740000000000002</v>
          </cell>
          <cell r="O4391">
            <v>3.641</v>
          </cell>
        </row>
        <row r="4392">
          <cell r="E4392" t="str">
            <v>EDUC</v>
          </cell>
          <cell r="F4392" t="str">
            <v>EDUC-K</v>
          </cell>
          <cell r="G4392">
            <v>495</v>
          </cell>
          <cell r="H4392" t="str">
            <v>EDUC-K495</v>
          </cell>
          <cell r="K4392" t="str">
            <v>Keller,Melissa</v>
          </cell>
          <cell r="N4392">
            <v>3.9</v>
          </cell>
          <cell r="O4392">
            <v>3.5259999999999998</v>
          </cell>
        </row>
        <row r="4393">
          <cell r="E4393" t="str">
            <v>EDUC</v>
          </cell>
          <cell r="F4393" t="str">
            <v>EDUC-K</v>
          </cell>
          <cell r="G4393">
            <v>495</v>
          </cell>
          <cell r="H4393" t="str">
            <v>EDUC-K495</v>
          </cell>
          <cell r="K4393" t="str">
            <v>Keller,Melissa</v>
          </cell>
          <cell r="N4393">
            <v>3.95</v>
          </cell>
          <cell r="O4393">
            <v>3.5920000000000001</v>
          </cell>
        </row>
        <row r="4394">
          <cell r="E4394" t="str">
            <v>EDUC</v>
          </cell>
          <cell r="F4394" t="str">
            <v>EDUC-K</v>
          </cell>
          <cell r="G4394">
            <v>495</v>
          </cell>
          <cell r="H4394" t="str">
            <v>EDUC-K495</v>
          </cell>
          <cell r="K4394" t="str">
            <v>Keller,Melissa</v>
          </cell>
          <cell r="N4394">
            <v>4</v>
          </cell>
          <cell r="O4394">
            <v>3.593</v>
          </cell>
        </row>
        <row r="4395">
          <cell r="E4395" t="str">
            <v>EDUC</v>
          </cell>
          <cell r="F4395" t="str">
            <v>EDUC-K</v>
          </cell>
          <cell r="G4395">
            <v>500</v>
          </cell>
          <cell r="H4395" t="str">
            <v>EDUC-K500</v>
          </cell>
          <cell r="K4395" t="str">
            <v>Alant,Erna</v>
          </cell>
          <cell r="N4395" t="str">
            <v>NR</v>
          </cell>
          <cell r="O4395" t="str">
            <v>NR</v>
          </cell>
        </row>
        <row r="4396">
          <cell r="E4396" t="str">
            <v>EDUC</v>
          </cell>
          <cell r="F4396" t="str">
            <v>EDUC-K</v>
          </cell>
          <cell r="G4396">
            <v>500</v>
          </cell>
          <cell r="H4396" t="str">
            <v>EDUC-K500</v>
          </cell>
          <cell r="K4396" t="str">
            <v>Friesen,Amber Marie</v>
          </cell>
          <cell r="N4396">
            <v>4</v>
          </cell>
          <cell r="O4396">
            <v>3.875</v>
          </cell>
        </row>
        <row r="4397">
          <cell r="E4397" t="str">
            <v>EDUC</v>
          </cell>
          <cell r="F4397" t="str">
            <v>EDUC-K</v>
          </cell>
          <cell r="G4397">
            <v>500</v>
          </cell>
          <cell r="H4397" t="str">
            <v>EDUC-K500</v>
          </cell>
          <cell r="K4397" t="str">
            <v>Schertz,Hannah H.</v>
          </cell>
          <cell r="N4397">
            <v>3.6139999999999999</v>
          </cell>
          <cell r="O4397">
            <v>3.73</v>
          </cell>
        </row>
        <row r="4398">
          <cell r="E4398" t="str">
            <v>EDUC</v>
          </cell>
          <cell r="F4398" t="str">
            <v>EDUC-K</v>
          </cell>
          <cell r="G4398">
            <v>500</v>
          </cell>
          <cell r="H4398" t="str">
            <v>EDUC-K500</v>
          </cell>
          <cell r="K4398" t="str">
            <v>Schertz,Hannah H.</v>
          </cell>
          <cell r="N4398">
            <v>3.8889999999999998</v>
          </cell>
          <cell r="O4398">
            <v>3.8039999999999998</v>
          </cell>
        </row>
        <row r="4399">
          <cell r="E4399" t="str">
            <v>EDUC</v>
          </cell>
          <cell r="F4399" t="str">
            <v>EDUC-K</v>
          </cell>
          <cell r="G4399">
            <v>505</v>
          </cell>
          <cell r="H4399" t="str">
            <v>EDUC-K505</v>
          </cell>
          <cell r="K4399" t="str">
            <v>Backler,Barbara Jean</v>
          </cell>
          <cell r="N4399">
            <v>4</v>
          </cell>
          <cell r="O4399">
            <v>3.923</v>
          </cell>
        </row>
        <row r="4400">
          <cell r="E4400" t="str">
            <v>EDUC</v>
          </cell>
          <cell r="F4400" t="str">
            <v>EDUC-K</v>
          </cell>
          <cell r="G4400">
            <v>510</v>
          </cell>
          <cell r="H4400" t="str">
            <v>EDUC-K510</v>
          </cell>
          <cell r="K4400" t="str">
            <v>Grimmet,Kharon Denise</v>
          </cell>
          <cell r="N4400" t="str">
            <v>NR</v>
          </cell>
          <cell r="O4400" t="str">
            <v>NR</v>
          </cell>
        </row>
        <row r="4401">
          <cell r="E4401" t="str">
            <v>EDUC</v>
          </cell>
          <cell r="F4401" t="str">
            <v>EDUC-K</v>
          </cell>
          <cell r="G4401">
            <v>535</v>
          </cell>
          <cell r="H4401" t="str">
            <v>EDUC-K535</v>
          </cell>
          <cell r="K4401" t="str">
            <v>Wall-Marencik,Wendy Kay</v>
          </cell>
          <cell r="N4401">
            <v>2.9140000000000001</v>
          </cell>
          <cell r="O4401">
            <v>3.3159999999999998</v>
          </cell>
        </row>
        <row r="4402">
          <cell r="E4402" t="str">
            <v>EDUC</v>
          </cell>
          <cell r="F4402" t="str">
            <v>EDUC-K</v>
          </cell>
          <cell r="G4402">
            <v>535</v>
          </cell>
          <cell r="H4402" t="str">
            <v>EDUC-K535</v>
          </cell>
          <cell r="K4402" t="str">
            <v>Wall-Marencik,Wendy Kay</v>
          </cell>
          <cell r="N4402" t="str">
            <v>NR</v>
          </cell>
          <cell r="O4402" t="str">
            <v>NR</v>
          </cell>
        </row>
        <row r="4403">
          <cell r="E4403" t="str">
            <v>EDUC</v>
          </cell>
          <cell r="F4403" t="str">
            <v>EDUC-K</v>
          </cell>
          <cell r="G4403">
            <v>536</v>
          </cell>
          <cell r="H4403" t="str">
            <v>EDUC-K536</v>
          </cell>
          <cell r="K4403" t="str">
            <v>Ruich,Lawrence Joseph</v>
          </cell>
          <cell r="N4403">
            <v>3.4630000000000001</v>
          </cell>
          <cell r="O4403">
            <v>3.6560000000000001</v>
          </cell>
        </row>
        <row r="4404">
          <cell r="E4404" t="str">
            <v>EDUC</v>
          </cell>
          <cell r="F4404" t="str">
            <v>EDUC-K</v>
          </cell>
          <cell r="G4404">
            <v>541</v>
          </cell>
          <cell r="H4404" t="str">
            <v>EDUC-K541</v>
          </cell>
          <cell r="K4404" t="str">
            <v>Grossi,Teresa Ann</v>
          </cell>
          <cell r="N4404" t="str">
            <v>NR</v>
          </cell>
          <cell r="O4404" t="str">
            <v>NR</v>
          </cell>
        </row>
        <row r="4405">
          <cell r="E4405" t="str">
            <v>EDUC</v>
          </cell>
          <cell r="F4405" t="str">
            <v>EDUC-K</v>
          </cell>
          <cell r="G4405">
            <v>553</v>
          </cell>
          <cell r="H4405" t="str">
            <v>EDUC-K553</v>
          </cell>
          <cell r="K4405" t="str">
            <v>Ruich,Lawrence Joseph</v>
          </cell>
          <cell r="N4405" t="str">
            <v>NR</v>
          </cell>
          <cell r="O4405" t="str">
            <v>NR</v>
          </cell>
        </row>
        <row r="4406">
          <cell r="E4406" t="str">
            <v>EDUC</v>
          </cell>
          <cell r="F4406" t="str">
            <v>EDUC-K</v>
          </cell>
          <cell r="G4406">
            <v>553</v>
          </cell>
          <cell r="H4406" t="str">
            <v>EDUC-K553</v>
          </cell>
          <cell r="K4406" t="str">
            <v>Weir,Regina Marie</v>
          </cell>
          <cell r="N4406">
            <v>3.3250000000000002</v>
          </cell>
          <cell r="O4406">
            <v>3.484</v>
          </cell>
        </row>
        <row r="4407">
          <cell r="E4407" t="str">
            <v>EDUC</v>
          </cell>
          <cell r="F4407" t="str">
            <v>EDUC-K</v>
          </cell>
          <cell r="G4407">
            <v>565</v>
          </cell>
          <cell r="H4407" t="str">
            <v>EDUC-K565</v>
          </cell>
          <cell r="K4407" t="str">
            <v>Conn-Powers,Michael</v>
          </cell>
          <cell r="N4407">
            <v>3.456</v>
          </cell>
          <cell r="O4407">
            <v>3.6840000000000002</v>
          </cell>
        </row>
        <row r="4408">
          <cell r="E4408" t="str">
            <v>EDUC</v>
          </cell>
          <cell r="F4408" t="str">
            <v>EDUC-K</v>
          </cell>
          <cell r="G4408">
            <v>590</v>
          </cell>
          <cell r="H4408" t="str">
            <v>EDUC-K590</v>
          </cell>
          <cell r="K4408" t="str">
            <v>Alant,Erna</v>
          </cell>
          <cell r="N4408" t="str">
            <v>NR</v>
          </cell>
          <cell r="O4408" t="str">
            <v>NR</v>
          </cell>
        </row>
        <row r="4409">
          <cell r="E4409" t="str">
            <v>EDUC</v>
          </cell>
          <cell r="F4409" t="str">
            <v>EDUC-K</v>
          </cell>
          <cell r="G4409">
            <v>590</v>
          </cell>
          <cell r="H4409" t="str">
            <v>EDUC-K590</v>
          </cell>
          <cell r="K4409" t="str">
            <v>Butera,Gretchen Digman</v>
          </cell>
          <cell r="N4409" t="str">
            <v>NR</v>
          </cell>
          <cell r="O4409" t="str">
            <v>NR</v>
          </cell>
        </row>
        <row r="4410">
          <cell r="E4410" t="str">
            <v>EDUC</v>
          </cell>
          <cell r="F4410" t="str">
            <v>EDUC-K</v>
          </cell>
          <cell r="G4410">
            <v>590</v>
          </cell>
          <cell r="H4410" t="str">
            <v>EDUC-K590</v>
          </cell>
          <cell r="K4410" t="str">
            <v>Butera,Gretchen Digman</v>
          </cell>
          <cell r="N4410" t="str">
            <v>NR</v>
          </cell>
          <cell r="O4410" t="str">
            <v>NR</v>
          </cell>
        </row>
        <row r="4411">
          <cell r="E4411" t="str">
            <v>EDUC</v>
          </cell>
          <cell r="F4411" t="str">
            <v>EDUC-K</v>
          </cell>
          <cell r="G4411">
            <v>590</v>
          </cell>
          <cell r="H4411" t="str">
            <v>EDUC-K590</v>
          </cell>
          <cell r="K4411" t="str">
            <v>Butera,Gretchen Digman</v>
          </cell>
          <cell r="N4411" t="str">
            <v>NR</v>
          </cell>
          <cell r="O4411" t="str">
            <v>NR</v>
          </cell>
        </row>
        <row r="4412">
          <cell r="E4412" t="str">
            <v>EDUC</v>
          </cell>
          <cell r="F4412" t="str">
            <v>EDUC-K</v>
          </cell>
          <cell r="G4412">
            <v>590</v>
          </cell>
          <cell r="H4412" t="str">
            <v>EDUC-K590</v>
          </cell>
          <cell r="K4412" t="str">
            <v>Grimmet,Kharon Denise</v>
          </cell>
          <cell r="N4412">
            <v>3.8570000000000002</v>
          </cell>
          <cell r="O4412">
            <v>3.766</v>
          </cell>
        </row>
        <row r="4413">
          <cell r="E4413" t="str">
            <v>EDUC</v>
          </cell>
          <cell r="F4413" t="str">
            <v>EDUC-K</v>
          </cell>
          <cell r="G4413">
            <v>599</v>
          </cell>
          <cell r="H4413" t="str">
            <v>EDUC-K599</v>
          </cell>
          <cell r="K4413" t="str">
            <v>Butera,Gretchen Digman</v>
          </cell>
          <cell r="N4413" t="str">
            <v>NR</v>
          </cell>
          <cell r="O4413" t="str">
            <v>NR</v>
          </cell>
        </row>
        <row r="4414">
          <cell r="E4414" t="str">
            <v>EDUC</v>
          </cell>
          <cell r="F4414" t="str">
            <v>EDUC-K</v>
          </cell>
          <cell r="G4414">
            <v>601</v>
          </cell>
          <cell r="H4414" t="str">
            <v>EDUC-K601</v>
          </cell>
          <cell r="K4414" t="str">
            <v>Alant,Erna</v>
          </cell>
          <cell r="N4414" t="str">
            <v>NR</v>
          </cell>
          <cell r="O4414" t="str">
            <v>NR</v>
          </cell>
        </row>
        <row r="4415">
          <cell r="E4415" t="str">
            <v>EDUC</v>
          </cell>
          <cell r="F4415" t="str">
            <v>EDUC-K</v>
          </cell>
          <cell r="G4415">
            <v>650</v>
          </cell>
          <cell r="H4415" t="str">
            <v>EDUC-K650</v>
          </cell>
          <cell r="K4415" t="str">
            <v>Ochoa,Theresa A</v>
          </cell>
          <cell r="N4415" t="str">
            <v>NR</v>
          </cell>
          <cell r="O4415" t="str">
            <v>NR</v>
          </cell>
        </row>
        <row r="4416">
          <cell r="E4416" t="str">
            <v>EDUC</v>
          </cell>
          <cell r="F4416" t="str">
            <v>EDUC-K</v>
          </cell>
          <cell r="G4416">
            <v>650</v>
          </cell>
          <cell r="H4416" t="str">
            <v>EDUC-K650</v>
          </cell>
          <cell r="K4416" t="str">
            <v>Ochoa,Theresa A</v>
          </cell>
          <cell r="N4416" t="str">
            <v>NR</v>
          </cell>
          <cell r="O4416" t="str">
            <v>NR</v>
          </cell>
        </row>
        <row r="4417">
          <cell r="E4417" t="str">
            <v>EDUC</v>
          </cell>
          <cell r="F4417" t="str">
            <v>EDUC-K</v>
          </cell>
          <cell r="G4417">
            <v>780</v>
          </cell>
          <cell r="H4417" t="str">
            <v>EDUC-K780</v>
          </cell>
          <cell r="K4417" t="str">
            <v>Alant,Erna</v>
          </cell>
          <cell r="N4417" t="str">
            <v>NR</v>
          </cell>
          <cell r="O4417" t="str">
            <v>NR</v>
          </cell>
        </row>
        <row r="4418">
          <cell r="E4418" t="str">
            <v>EDUC</v>
          </cell>
          <cell r="F4418" t="str">
            <v>EDUC-K</v>
          </cell>
          <cell r="G4418">
            <v>780</v>
          </cell>
          <cell r="H4418" t="str">
            <v>EDUC-K780</v>
          </cell>
          <cell r="K4418" t="str">
            <v>Schertz,Hannah H.</v>
          </cell>
          <cell r="N4418">
            <v>3.7890000000000001</v>
          </cell>
          <cell r="O4418">
            <v>3.8039999999999998</v>
          </cell>
        </row>
        <row r="4419">
          <cell r="E4419" t="str">
            <v>EDUC</v>
          </cell>
          <cell r="F4419" t="str">
            <v>EDUC-K</v>
          </cell>
          <cell r="G4419">
            <v>785</v>
          </cell>
          <cell r="H4419" t="str">
            <v>EDUC-K785</v>
          </cell>
          <cell r="K4419" t="str">
            <v>Alant,Erna</v>
          </cell>
          <cell r="N4419" t="str">
            <v>NR</v>
          </cell>
          <cell r="O4419" t="str">
            <v>NR</v>
          </cell>
        </row>
        <row r="4420">
          <cell r="E4420" t="str">
            <v>EDUC</v>
          </cell>
          <cell r="F4420" t="str">
            <v>EDUC-K</v>
          </cell>
          <cell r="G4420">
            <v>785</v>
          </cell>
          <cell r="H4420" t="str">
            <v>EDUC-K785</v>
          </cell>
          <cell r="K4420" t="str">
            <v>Alant,Erna</v>
          </cell>
          <cell r="N4420" t="str">
            <v>NR</v>
          </cell>
          <cell r="O4420" t="str">
            <v>NR</v>
          </cell>
        </row>
        <row r="4421">
          <cell r="E4421" t="str">
            <v>EDUC</v>
          </cell>
          <cell r="F4421" t="str">
            <v>EDUC-K</v>
          </cell>
          <cell r="G4421">
            <v>795</v>
          </cell>
          <cell r="H4421" t="str">
            <v>EDUC-K795</v>
          </cell>
          <cell r="K4421" t="str">
            <v>Alant,Erna</v>
          </cell>
          <cell r="N4421" t="str">
            <v>NR</v>
          </cell>
          <cell r="O4421" t="str">
            <v>NR</v>
          </cell>
        </row>
        <row r="4422">
          <cell r="E4422" t="str">
            <v>EDUC</v>
          </cell>
          <cell r="F4422" t="str">
            <v>EDUC-K</v>
          </cell>
          <cell r="G4422">
            <v>795</v>
          </cell>
          <cell r="H4422" t="str">
            <v>EDUC-K795</v>
          </cell>
          <cell r="K4422" t="str">
            <v>Alant,Erna</v>
          </cell>
          <cell r="N4422" t="str">
            <v>NR</v>
          </cell>
          <cell r="O4422" t="str">
            <v>NR</v>
          </cell>
        </row>
        <row r="4423">
          <cell r="E4423" t="str">
            <v>EDUC</v>
          </cell>
          <cell r="F4423" t="str">
            <v>EDUC-K</v>
          </cell>
          <cell r="G4423">
            <v>799</v>
          </cell>
          <cell r="H4423" t="str">
            <v>EDUC-K799</v>
          </cell>
          <cell r="K4423" t="str">
            <v>Alant,Erna</v>
          </cell>
          <cell r="N4423" t="str">
            <v>NR</v>
          </cell>
          <cell r="O4423" t="str">
            <v>NR</v>
          </cell>
        </row>
        <row r="4424">
          <cell r="E4424" t="str">
            <v>EDUC</v>
          </cell>
          <cell r="F4424" t="str">
            <v>EDUC-K</v>
          </cell>
          <cell r="G4424">
            <v>799</v>
          </cell>
          <cell r="H4424" t="str">
            <v>EDUC-K799</v>
          </cell>
          <cell r="K4424" t="str">
            <v>Alant,Erna</v>
          </cell>
          <cell r="N4424" t="str">
            <v>NR</v>
          </cell>
          <cell r="O4424" t="str">
            <v>NR</v>
          </cell>
        </row>
        <row r="4425">
          <cell r="E4425" t="str">
            <v>EDUC</v>
          </cell>
          <cell r="F4425" t="str">
            <v>EDUC-K</v>
          </cell>
          <cell r="G4425">
            <v>799</v>
          </cell>
          <cell r="H4425" t="str">
            <v>EDUC-K799</v>
          </cell>
          <cell r="K4425" t="str">
            <v>Alant,Erna</v>
          </cell>
          <cell r="N4425" t="str">
            <v>NR</v>
          </cell>
          <cell r="O4425" t="str">
            <v>NR</v>
          </cell>
        </row>
        <row r="4426">
          <cell r="E4426" t="str">
            <v>EDUC</v>
          </cell>
          <cell r="F4426" t="str">
            <v>EDUC-K</v>
          </cell>
          <cell r="G4426">
            <v>799</v>
          </cell>
          <cell r="H4426" t="str">
            <v>EDUC-K799</v>
          </cell>
          <cell r="K4426" t="str">
            <v>Alant,Erna</v>
          </cell>
          <cell r="N4426" t="str">
            <v>NR</v>
          </cell>
          <cell r="O4426" t="str">
            <v>NR</v>
          </cell>
        </row>
        <row r="4427">
          <cell r="E4427" t="str">
            <v>EDUC</v>
          </cell>
          <cell r="F4427" t="str">
            <v>EDUC-L</v>
          </cell>
          <cell r="G4427">
            <v>407</v>
          </cell>
          <cell r="H4427" t="str">
            <v>EDUC-L407</v>
          </cell>
          <cell r="K4427" t="str">
            <v>Coronel-Molina,Serafin M.</v>
          </cell>
          <cell r="N4427">
            <v>3.7370000000000001</v>
          </cell>
          <cell r="O4427">
            <v>3.2650000000000001</v>
          </cell>
        </row>
        <row r="4428">
          <cell r="E4428" t="str">
            <v>EDUC</v>
          </cell>
          <cell r="F4428" t="str">
            <v>EDUC-L</v>
          </cell>
          <cell r="G4428">
            <v>407</v>
          </cell>
          <cell r="H4428" t="str">
            <v>EDUC-L407</v>
          </cell>
          <cell r="K4428" t="str">
            <v>Hines,Mary Beth</v>
          </cell>
          <cell r="N4428">
            <v>3.1139999999999999</v>
          </cell>
          <cell r="O4428">
            <v>3.0670000000000002</v>
          </cell>
        </row>
        <row r="4429">
          <cell r="E4429" t="str">
            <v>EDUC</v>
          </cell>
          <cell r="F4429" t="str">
            <v>EDUC-L</v>
          </cell>
          <cell r="G4429">
            <v>407</v>
          </cell>
          <cell r="H4429" t="str">
            <v>EDUC-L407</v>
          </cell>
          <cell r="K4429" t="str">
            <v>Kuo,Hsiao-Chin</v>
          </cell>
          <cell r="N4429">
            <v>3.9180000000000001</v>
          </cell>
          <cell r="O4429">
            <v>3.56</v>
          </cell>
        </row>
        <row r="4430">
          <cell r="E4430" t="str">
            <v>EDUC</v>
          </cell>
          <cell r="F4430" t="str">
            <v>EDUC-L</v>
          </cell>
          <cell r="G4430">
            <v>407</v>
          </cell>
          <cell r="H4430" t="str">
            <v>EDUC-L407</v>
          </cell>
          <cell r="K4430" t="str">
            <v>Lemrow,Erin Moira</v>
          </cell>
          <cell r="N4430">
            <v>3.4950000000000001</v>
          </cell>
          <cell r="O4430">
            <v>3.4649999999999999</v>
          </cell>
        </row>
        <row r="4431">
          <cell r="E4431" t="str">
            <v>EDUC</v>
          </cell>
          <cell r="F4431" t="str">
            <v>EDUC-L</v>
          </cell>
          <cell r="G4431">
            <v>407</v>
          </cell>
          <cell r="H4431" t="str">
            <v>EDUC-L407</v>
          </cell>
          <cell r="K4431" t="str">
            <v>Samuelson,Beth Lewis</v>
          </cell>
          <cell r="N4431">
            <v>3.07</v>
          </cell>
          <cell r="O4431">
            <v>3.1040000000000001</v>
          </cell>
        </row>
        <row r="4432">
          <cell r="E4432" t="str">
            <v>EDUC</v>
          </cell>
          <cell r="F4432" t="str">
            <v>EDUC-L</v>
          </cell>
          <cell r="G4432">
            <v>408</v>
          </cell>
          <cell r="H4432" t="str">
            <v>EDUC-L408</v>
          </cell>
          <cell r="K4432" t="str">
            <v>Rust,Julie Elizabeth</v>
          </cell>
          <cell r="N4432">
            <v>3.6859999999999999</v>
          </cell>
          <cell r="O4432">
            <v>3.21</v>
          </cell>
        </row>
        <row r="4433">
          <cell r="E4433" t="str">
            <v>EDUC</v>
          </cell>
          <cell r="F4433" t="str">
            <v>EDUC-L</v>
          </cell>
          <cell r="G4433">
            <v>409</v>
          </cell>
          <cell r="H4433" t="str">
            <v>EDUC-L409</v>
          </cell>
          <cell r="K4433" t="str">
            <v>Hall,Darryl Ted</v>
          </cell>
          <cell r="N4433">
            <v>4</v>
          </cell>
          <cell r="O4433">
            <v>3.5489999999999999</v>
          </cell>
        </row>
        <row r="4434">
          <cell r="E4434" t="str">
            <v>EDUC</v>
          </cell>
          <cell r="F4434" t="str">
            <v>EDUC-L</v>
          </cell>
          <cell r="G4434">
            <v>409</v>
          </cell>
          <cell r="H4434" t="str">
            <v>EDUC-L409</v>
          </cell>
          <cell r="K4434" t="str">
            <v>Medina,Carmen L.</v>
          </cell>
          <cell r="N4434">
            <v>3.7749999999999999</v>
          </cell>
          <cell r="O4434">
            <v>3.4220000000000002</v>
          </cell>
        </row>
        <row r="4435">
          <cell r="E4435" t="str">
            <v>EDUC</v>
          </cell>
          <cell r="F4435" t="str">
            <v>EDUC-L</v>
          </cell>
          <cell r="G4435">
            <v>409</v>
          </cell>
          <cell r="H4435" t="str">
            <v>EDUC-L409</v>
          </cell>
          <cell r="K4435" t="str">
            <v>Medina,Carmen L.</v>
          </cell>
          <cell r="N4435">
            <v>3.46</v>
          </cell>
          <cell r="O4435">
            <v>3.2370000000000001</v>
          </cell>
        </row>
        <row r="4436">
          <cell r="E4436" t="str">
            <v>EDUC</v>
          </cell>
          <cell r="F4436" t="str">
            <v>EDUC-L</v>
          </cell>
          <cell r="G4436">
            <v>441</v>
          </cell>
          <cell r="H4436" t="str">
            <v>EDUC-L441</v>
          </cell>
          <cell r="K4436" t="str">
            <v>Kelley,Tara Alana</v>
          </cell>
          <cell r="N4436">
            <v>3.6560000000000001</v>
          </cell>
          <cell r="O4436">
            <v>3.5510000000000002</v>
          </cell>
        </row>
        <row r="4437">
          <cell r="E4437" t="str">
            <v>EDUC</v>
          </cell>
          <cell r="F4437" t="str">
            <v>EDUC-L</v>
          </cell>
          <cell r="G4437">
            <v>490</v>
          </cell>
          <cell r="H4437" t="str">
            <v>EDUC-L490</v>
          </cell>
          <cell r="K4437" t="str">
            <v>Burke,Molly Ann</v>
          </cell>
          <cell r="N4437">
            <v>3.6640000000000001</v>
          </cell>
          <cell r="O4437">
            <v>2.6259999999999999</v>
          </cell>
        </row>
        <row r="4438">
          <cell r="E4438" t="str">
            <v>EDUC</v>
          </cell>
          <cell r="F4438" t="str">
            <v>EDUC-L</v>
          </cell>
          <cell r="G4438">
            <v>490</v>
          </cell>
          <cell r="H4438" t="str">
            <v>EDUC-L490</v>
          </cell>
          <cell r="K4438" t="str">
            <v>Burke,Molly Ann</v>
          </cell>
          <cell r="N4438">
            <v>3.77</v>
          </cell>
          <cell r="O4438">
            <v>2.3940000000000001</v>
          </cell>
        </row>
        <row r="4439">
          <cell r="E4439" t="str">
            <v>EDUC</v>
          </cell>
          <cell r="F4439" t="str">
            <v>EDUC-L</v>
          </cell>
          <cell r="G4439">
            <v>490</v>
          </cell>
          <cell r="H4439" t="str">
            <v>EDUC-L490</v>
          </cell>
          <cell r="K4439" t="str">
            <v>Malone,Wakisha C</v>
          </cell>
          <cell r="N4439">
            <v>4</v>
          </cell>
          <cell r="O4439">
            <v>2.9550000000000001</v>
          </cell>
        </row>
        <row r="4440">
          <cell r="E4440" t="str">
            <v>EDUC</v>
          </cell>
          <cell r="F4440" t="str">
            <v>EDUC-L</v>
          </cell>
          <cell r="G4440">
            <v>500</v>
          </cell>
          <cell r="H4440" t="str">
            <v>EDUC-L500</v>
          </cell>
          <cell r="K4440" t="str">
            <v>Hines,Mary Beth</v>
          </cell>
          <cell r="N4440">
            <v>3.4929999999999999</v>
          </cell>
          <cell r="O4440">
            <v>3.5680000000000001</v>
          </cell>
        </row>
        <row r="4441">
          <cell r="E4441" t="str">
            <v>EDUC</v>
          </cell>
          <cell r="F4441" t="str">
            <v>EDUC-L</v>
          </cell>
          <cell r="G4441">
            <v>500</v>
          </cell>
          <cell r="H4441" t="str">
            <v>EDUC-L500</v>
          </cell>
          <cell r="K4441" t="str">
            <v>Hines,Mary Beth</v>
          </cell>
          <cell r="N4441">
            <v>3.8290000000000002</v>
          </cell>
          <cell r="O4441">
            <v>3.7930000000000001</v>
          </cell>
        </row>
        <row r="4442">
          <cell r="E4442" t="str">
            <v>EDUC</v>
          </cell>
          <cell r="F4442" t="str">
            <v>EDUC-L</v>
          </cell>
          <cell r="G4442">
            <v>501</v>
          </cell>
          <cell r="H4442" t="str">
            <v>EDUC-L501</v>
          </cell>
          <cell r="K4442" t="str">
            <v>Mikulecky,Larry J.</v>
          </cell>
          <cell r="N4442" t="str">
            <v>NR</v>
          </cell>
          <cell r="O4442" t="str">
            <v>NR</v>
          </cell>
        </row>
        <row r="4443">
          <cell r="E4443" t="str">
            <v>EDUC</v>
          </cell>
          <cell r="F4443" t="str">
            <v>EDUC-L</v>
          </cell>
          <cell r="G4443">
            <v>502</v>
          </cell>
          <cell r="H4443" t="str">
            <v>EDUC-L502</v>
          </cell>
          <cell r="K4443" t="str">
            <v>Coronel-Molina,Serafin M.</v>
          </cell>
          <cell r="N4443" t="str">
            <v>NR</v>
          </cell>
          <cell r="O4443" t="str">
            <v>NR</v>
          </cell>
        </row>
        <row r="4444">
          <cell r="E4444" t="str">
            <v>EDUC</v>
          </cell>
          <cell r="F4444" t="str">
            <v>EDUC-L</v>
          </cell>
          <cell r="G4444">
            <v>502</v>
          </cell>
          <cell r="H4444" t="str">
            <v>EDUC-L502</v>
          </cell>
          <cell r="K4444" t="str">
            <v>Coronel-Molina,Serafin M.</v>
          </cell>
          <cell r="N4444" t="str">
            <v>NR</v>
          </cell>
          <cell r="O4444" t="str">
            <v>NR</v>
          </cell>
        </row>
        <row r="4445">
          <cell r="E4445" t="str">
            <v>EDUC</v>
          </cell>
          <cell r="F4445" t="str">
            <v>EDUC-L</v>
          </cell>
          <cell r="G4445">
            <v>502</v>
          </cell>
          <cell r="H4445" t="str">
            <v>EDUC-L502</v>
          </cell>
          <cell r="K4445" t="str">
            <v>Cross,Valerie Kay</v>
          </cell>
          <cell r="N4445">
            <v>4</v>
          </cell>
          <cell r="O4445">
            <v>3.8039999999999998</v>
          </cell>
        </row>
        <row r="4446">
          <cell r="E4446" t="str">
            <v>EDUC</v>
          </cell>
          <cell r="F4446" t="str">
            <v>EDUC-L</v>
          </cell>
          <cell r="G4446">
            <v>502</v>
          </cell>
          <cell r="H4446" t="str">
            <v>EDUC-L502</v>
          </cell>
          <cell r="K4446" t="str">
            <v>Kuo,Hsiao-Chin</v>
          </cell>
          <cell r="N4446">
            <v>4</v>
          </cell>
          <cell r="O4446">
            <v>3.1680000000000001</v>
          </cell>
        </row>
        <row r="4447">
          <cell r="E4447" t="str">
            <v>EDUC</v>
          </cell>
          <cell r="F4447" t="str">
            <v>EDUC-L</v>
          </cell>
          <cell r="G4447">
            <v>504</v>
          </cell>
          <cell r="H4447" t="str">
            <v>EDUC-L504</v>
          </cell>
          <cell r="K4447" t="str">
            <v>Lawrence,Donna Bretz</v>
          </cell>
          <cell r="N4447" t="str">
            <v>NR</v>
          </cell>
          <cell r="O4447" t="str">
            <v>NR</v>
          </cell>
        </row>
        <row r="4448">
          <cell r="E4448" t="str">
            <v>EDUC</v>
          </cell>
          <cell r="F4448" t="str">
            <v>EDUC-L</v>
          </cell>
          <cell r="G4448">
            <v>504</v>
          </cell>
          <cell r="H4448" t="str">
            <v>EDUC-L504</v>
          </cell>
          <cell r="K4448" t="str">
            <v>Lawrence,Donna Bretz</v>
          </cell>
          <cell r="N4448" t="str">
            <v>NR</v>
          </cell>
          <cell r="O4448" t="str">
            <v>NR</v>
          </cell>
        </row>
        <row r="4449">
          <cell r="E4449" t="str">
            <v>EDUC</v>
          </cell>
          <cell r="F4449" t="str">
            <v>EDUC-L</v>
          </cell>
          <cell r="G4449">
            <v>507</v>
          </cell>
          <cell r="H4449" t="str">
            <v>EDUC-L507</v>
          </cell>
          <cell r="K4449" t="str">
            <v>Coronel-Molina,Serafin M.</v>
          </cell>
          <cell r="N4449" t="str">
            <v>NR</v>
          </cell>
          <cell r="O4449" t="str">
            <v>NR</v>
          </cell>
        </row>
        <row r="4450">
          <cell r="E4450" t="str">
            <v>EDUC</v>
          </cell>
          <cell r="F4450" t="str">
            <v>EDUC-L</v>
          </cell>
          <cell r="G4450">
            <v>507</v>
          </cell>
          <cell r="H4450" t="str">
            <v>EDUC-L507</v>
          </cell>
          <cell r="K4450" t="str">
            <v>Hines,Mary Beth</v>
          </cell>
          <cell r="N4450" t="str">
            <v>NR</v>
          </cell>
          <cell r="O4450" t="str">
            <v>NR</v>
          </cell>
        </row>
        <row r="4451">
          <cell r="E4451" t="str">
            <v>EDUC</v>
          </cell>
          <cell r="F4451" t="str">
            <v>EDUC-L</v>
          </cell>
          <cell r="G4451">
            <v>507</v>
          </cell>
          <cell r="H4451" t="str">
            <v>EDUC-L507</v>
          </cell>
          <cell r="K4451" t="str">
            <v>Samuelson,Beth Lewis</v>
          </cell>
          <cell r="N4451" t="str">
            <v>NR</v>
          </cell>
          <cell r="O4451" t="str">
            <v>NR</v>
          </cell>
        </row>
        <row r="4452">
          <cell r="E4452" t="str">
            <v>EDUC</v>
          </cell>
          <cell r="F4452" t="str">
            <v>EDUC-L</v>
          </cell>
          <cell r="G4452">
            <v>508</v>
          </cell>
          <cell r="H4452" t="str">
            <v>EDUC-L508</v>
          </cell>
          <cell r="K4452" t="str">
            <v>Rust,Julie Elizabeth</v>
          </cell>
          <cell r="N4452" t="str">
            <v>NR</v>
          </cell>
          <cell r="O4452" t="str">
            <v>NR</v>
          </cell>
        </row>
        <row r="4453">
          <cell r="E4453" t="str">
            <v>EDUC</v>
          </cell>
          <cell r="F4453" t="str">
            <v>EDUC-L</v>
          </cell>
          <cell r="G4453">
            <v>512</v>
          </cell>
          <cell r="H4453" t="str">
            <v>EDUC-L512</v>
          </cell>
          <cell r="K4453" t="str">
            <v>Ivanova,Christina Louise</v>
          </cell>
          <cell r="N4453" t="str">
            <v>NR</v>
          </cell>
          <cell r="O4453" t="str">
            <v>NR</v>
          </cell>
        </row>
        <row r="4454">
          <cell r="E4454" t="str">
            <v>EDUC</v>
          </cell>
          <cell r="F4454" t="str">
            <v>EDUC-L</v>
          </cell>
          <cell r="G4454">
            <v>516</v>
          </cell>
          <cell r="H4454" t="str">
            <v>EDUC-L516</v>
          </cell>
          <cell r="K4454" t="str">
            <v>Power-Carter,Stephanie Michelle</v>
          </cell>
          <cell r="N4454" t="str">
            <v>NR</v>
          </cell>
          <cell r="O4454" t="str">
            <v>NR</v>
          </cell>
        </row>
        <row r="4455">
          <cell r="E4455" t="str">
            <v>EDUC</v>
          </cell>
          <cell r="F4455" t="str">
            <v>EDUC-L</v>
          </cell>
          <cell r="G4455">
            <v>516</v>
          </cell>
          <cell r="H4455" t="str">
            <v>EDUC-L516</v>
          </cell>
          <cell r="K4455" t="str">
            <v>Power-Carter,Stephanie Michelle</v>
          </cell>
          <cell r="N4455" t="str">
            <v>NR</v>
          </cell>
          <cell r="O4455" t="str">
            <v>NR</v>
          </cell>
        </row>
        <row r="4456">
          <cell r="E4456" t="str">
            <v>EDUC</v>
          </cell>
          <cell r="F4456" t="str">
            <v>EDUC-L</v>
          </cell>
          <cell r="G4456">
            <v>517</v>
          </cell>
          <cell r="H4456" t="str">
            <v>EDUC-L517</v>
          </cell>
          <cell r="K4456" t="str">
            <v>Koshino,Kako</v>
          </cell>
          <cell r="N4456" t="str">
            <v>NR</v>
          </cell>
          <cell r="O4456" t="str">
            <v>NR</v>
          </cell>
        </row>
        <row r="4457">
          <cell r="E4457" t="str">
            <v>EDUC</v>
          </cell>
          <cell r="F4457" t="str">
            <v>EDUC-L</v>
          </cell>
          <cell r="G4457">
            <v>517</v>
          </cell>
          <cell r="H4457" t="str">
            <v>EDUC-L517</v>
          </cell>
          <cell r="K4457" t="str">
            <v>Slaughter,Sandra K.</v>
          </cell>
          <cell r="N4457">
            <v>3.633</v>
          </cell>
          <cell r="O4457">
            <v>3.6760000000000002</v>
          </cell>
        </row>
        <row r="4458">
          <cell r="E4458" t="str">
            <v>EDUC</v>
          </cell>
          <cell r="F4458" t="str">
            <v>EDUC-L</v>
          </cell>
          <cell r="G4458">
            <v>517</v>
          </cell>
          <cell r="H4458" t="str">
            <v>EDUC-L517</v>
          </cell>
          <cell r="K4458" t="str">
            <v>Slaughter,Sandra K.</v>
          </cell>
          <cell r="N4458">
            <v>3.4529999999999998</v>
          </cell>
          <cell r="O4458">
            <v>3.3460000000000001</v>
          </cell>
        </row>
        <row r="4459">
          <cell r="E4459" t="str">
            <v>EDUC</v>
          </cell>
          <cell r="F4459" t="str">
            <v>EDUC-L</v>
          </cell>
          <cell r="G4459">
            <v>517</v>
          </cell>
          <cell r="H4459" t="str">
            <v>EDUC-L517</v>
          </cell>
          <cell r="K4459" t="str">
            <v>Smith,Walter Raymond</v>
          </cell>
          <cell r="N4459" t="str">
            <v>NR</v>
          </cell>
          <cell r="O4459" t="str">
            <v>NR</v>
          </cell>
        </row>
        <row r="4460">
          <cell r="E4460" t="str">
            <v>EDUC</v>
          </cell>
          <cell r="F4460" t="str">
            <v>EDUC-L</v>
          </cell>
          <cell r="G4460">
            <v>517</v>
          </cell>
          <cell r="H4460" t="str">
            <v>EDUC-L517</v>
          </cell>
          <cell r="K4460" t="str">
            <v>Warren,Amber Nichelle</v>
          </cell>
          <cell r="N4460" t="str">
            <v>NR</v>
          </cell>
          <cell r="O4460" t="str">
            <v>NR</v>
          </cell>
        </row>
        <row r="4461">
          <cell r="E4461" t="str">
            <v>EDUC</v>
          </cell>
          <cell r="F4461" t="str">
            <v>EDUC-L</v>
          </cell>
          <cell r="G4461">
            <v>520</v>
          </cell>
          <cell r="H4461" t="str">
            <v>EDUC-L520</v>
          </cell>
          <cell r="K4461" t="str">
            <v>Corbitt,William Keith</v>
          </cell>
          <cell r="N4461" t="str">
            <v>NR</v>
          </cell>
          <cell r="O4461" t="str">
            <v>NR</v>
          </cell>
        </row>
        <row r="4462">
          <cell r="E4462" t="str">
            <v>EDUC</v>
          </cell>
          <cell r="F4462" t="str">
            <v>EDUC-L</v>
          </cell>
          <cell r="G4462">
            <v>520</v>
          </cell>
          <cell r="H4462" t="str">
            <v>EDUC-L520</v>
          </cell>
          <cell r="K4462" t="str">
            <v>Corbitt,William Keith</v>
          </cell>
          <cell r="N4462">
            <v>4</v>
          </cell>
          <cell r="O4462">
            <v>3.9140000000000001</v>
          </cell>
        </row>
        <row r="4463">
          <cell r="E4463" t="str">
            <v>EDUC</v>
          </cell>
          <cell r="F4463" t="str">
            <v>EDUC-L</v>
          </cell>
          <cell r="G4463">
            <v>520</v>
          </cell>
          <cell r="H4463" t="str">
            <v>EDUC-L520</v>
          </cell>
          <cell r="K4463" t="str">
            <v>Nyikos,Martha</v>
          </cell>
          <cell r="N4463">
            <v>3.8570000000000002</v>
          </cell>
          <cell r="O4463">
            <v>3.8959999999999999</v>
          </cell>
        </row>
        <row r="4464">
          <cell r="E4464" t="str">
            <v>EDUC</v>
          </cell>
          <cell r="F4464" t="str">
            <v>EDUC-L</v>
          </cell>
          <cell r="G4464">
            <v>524</v>
          </cell>
          <cell r="H4464" t="str">
            <v>EDUC-L524</v>
          </cell>
          <cell r="K4464" t="str">
            <v>Kelley,Tara Alana</v>
          </cell>
          <cell r="N4464">
            <v>3.9</v>
          </cell>
          <cell r="O4464">
            <v>3.32</v>
          </cell>
        </row>
        <row r="4465">
          <cell r="E4465" t="str">
            <v>EDUC</v>
          </cell>
          <cell r="F4465" t="str">
            <v>EDUC-L</v>
          </cell>
          <cell r="G4465">
            <v>525</v>
          </cell>
          <cell r="H4465" t="str">
            <v>EDUC-L525</v>
          </cell>
          <cell r="K4465" t="str">
            <v>Lawrence,Donna Bretz</v>
          </cell>
          <cell r="N4465">
            <v>3.9769999999999999</v>
          </cell>
          <cell r="O4465">
            <v>3.919</v>
          </cell>
        </row>
        <row r="4466">
          <cell r="E4466" t="str">
            <v>EDUC</v>
          </cell>
          <cell r="F4466" t="str">
            <v>EDUC-L</v>
          </cell>
          <cell r="G4466">
            <v>528</v>
          </cell>
          <cell r="H4466" t="str">
            <v>EDUC-L528</v>
          </cell>
          <cell r="K4466" t="str">
            <v>Poage,Kristin L</v>
          </cell>
          <cell r="N4466" t="str">
            <v>NR</v>
          </cell>
          <cell r="O4466" t="str">
            <v>NR</v>
          </cell>
        </row>
        <row r="4467">
          <cell r="E4467" t="str">
            <v>EDUC</v>
          </cell>
          <cell r="F4467" t="str">
            <v>EDUC-L</v>
          </cell>
          <cell r="G4467">
            <v>530</v>
          </cell>
          <cell r="H4467" t="str">
            <v>EDUC-L530</v>
          </cell>
          <cell r="K4467" t="str">
            <v>Cotton,Eileen Giuffre</v>
          </cell>
          <cell r="N4467">
            <v>3.8330000000000002</v>
          </cell>
          <cell r="O4467">
            <v>3.895</v>
          </cell>
        </row>
        <row r="4468">
          <cell r="E4468" t="str">
            <v>EDUC</v>
          </cell>
          <cell r="F4468" t="str">
            <v>EDUC-L</v>
          </cell>
          <cell r="G4468">
            <v>530</v>
          </cell>
          <cell r="H4468" t="str">
            <v>EDUC-L530</v>
          </cell>
          <cell r="K4468" t="str">
            <v>Hendryanti,Retno</v>
          </cell>
          <cell r="N4468">
            <v>3.9329999999999998</v>
          </cell>
          <cell r="O4468">
            <v>3.8980000000000001</v>
          </cell>
        </row>
        <row r="4469">
          <cell r="E4469" t="str">
            <v>EDUC</v>
          </cell>
          <cell r="F4469" t="str">
            <v>EDUC-L</v>
          </cell>
          <cell r="G4469">
            <v>530</v>
          </cell>
          <cell r="H4469" t="str">
            <v>EDUC-L530</v>
          </cell>
          <cell r="K4469" t="str">
            <v>Waggoner,Lottie L</v>
          </cell>
          <cell r="N4469" t="str">
            <v>NR</v>
          </cell>
          <cell r="O4469" t="str">
            <v>NR</v>
          </cell>
        </row>
        <row r="4470">
          <cell r="E4470" t="str">
            <v>EDUC</v>
          </cell>
          <cell r="F4470" t="str">
            <v>EDUC-L</v>
          </cell>
          <cell r="G4470">
            <v>530</v>
          </cell>
          <cell r="H4470" t="str">
            <v>EDUC-L530</v>
          </cell>
          <cell r="K4470" t="str">
            <v>Waggoner,Lottie L</v>
          </cell>
          <cell r="N4470" t="str">
            <v>NR</v>
          </cell>
          <cell r="O4470" t="str">
            <v>NR</v>
          </cell>
        </row>
        <row r="4471">
          <cell r="E4471" t="str">
            <v>EDUC</v>
          </cell>
          <cell r="F4471" t="str">
            <v>EDUC-L</v>
          </cell>
          <cell r="G4471">
            <v>539</v>
          </cell>
          <cell r="H4471" t="str">
            <v>EDUC-L539</v>
          </cell>
          <cell r="K4471" t="str">
            <v>Samuelson,Beth Lewis</v>
          </cell>
          <cell r="N4471">
            <v>3.609</v>
          </cell>
          <cell r="O4471">
            <v>3.54</v>
          </cell>
        </row>
        <row r="4472">
          <cell r="E4472" t="str">
            <v>EDUC</v>
          </cell>
          <cell r="F4472" t="str">
            <v>EDUC-L</v>
          </cell>
          <cell r="G4472">
            <v>539</v>
          </cell>
          <cell r="H4472" t="str">
            <v>EDUC-L539</v>
          </cell>
          <cell r="K4472" t="str">
            <v>Samuelson,Beth Lewis</v>
          </cell>
          <cell r="N4472">
            <v>3.7</v>
          </cell>
          <cell r="O4472">
            <v>3.7719999999999998</v>
          </cell>
        </row>
        <row r="4473">
          <cell r="E4473" t="str">
            <v>EDUC</v>
          </cell>
          <cell r="F4473" t="str">
            <v>EDUC-L</v>
          </cell>
          <cell r="G4473">
            <v>540</v>
          </cell>
          <cell r="H4473" t="str">
            <v>EDUC-L540</v>
          </cell>
          <cell r="K4473" t="str">
            <v>Pawan,Faridah</v>
          </cell>
          <cell r="N4473">
            <v>3.7360000000000002</v>
          </cell>
          <cell r="O4473">
            <v>3.8929999999999998</v>
          </cell>
        </row>
        <row r="4474">
          <cell r="E4474" t="str">
            <v>EDUC</v>
          </cell>
          <cell r="F4474" t="str">
            <v>EDUC-L</v>
          </cell>
          <cell r="G4474">
            <v>540</v>
          </cell>
          <cell r="H4474" t="str">
            <v>EDUC-L540</v>
          </cell>
          <cell r="K4474" t="str">
            <v>Pawan,Faridah</v>
          </cell>
          <cell r="N4474">
            <v>3.835</v>
          </cell>
          <cell r="O4474">
            <v>3.8620000000000001</v>
          </cell>
        </row>
        <row r="4475">
          <cell r="E4475" t="str">
            <v>EDUC</v>
          </cell>
          <cell r="F4475" t="str">
            <v>EDUC-L</v>
          </cell>
          <cell r="G4475">
            <v>541</v>
          </cell>
          <cell r="H4475" t="str">
            <v>EDUC-L541</v>
          </cell>
          <cell r="K4475" t="str">
            <v>Warren,Amber Nichelle</v>
          </cell>
          <cell r="N4475">
            <v>3.9</v>
          </cell>
          <cell r="O4475">
            <v>3.8879999999999999</v>
          </cell>
        </row>
        <row r="4476">
          <cell r="E4476" t="str">
            <v>EDUC</v>
          </cell>
          <cell r="F4476" t="str">
            <v>EDUC-L</v>
          </cell>
          <cell r="G4476">
            <v>541</v>
          </cell>
          <cell r="H4476" t="str">
            <v>EDUC-L541</v>
          </cell>
          <cell r="K4476" t="str">
            <v>Warren,Amber Nichelle</v>
          </cell>
          <cell r="N4476">
            <v>3.54</v>
          </cell>
          <cell r="O4476">
            <v>3.7730000000000001</v>
          </cell>
        </row>
        <row r="4477">
          <cell r="E4477" t="str">
            <v>EDUC</v>
          </cell>
          <cell r="F4477" t="str">
            <v>EDUC-L</v>
          </cell>
          <cell r="G4477">
            <v>543</v>
          </cell>
          <cell r="H4477" t="str">
            <v>EDUC-L543</v>
          </cell>
          <cell r="K4477" t="str">
            <v>Park,Jaehan</v>
          </cell>
          <cell r="N4477">
            <v>3.87</v>
          </cell>
          <cell r="O4477">
            <v>3.8130000000000002</v>
          </cell>
        </row>
        <row r="4478">
          <cell r="E4478" t="str">
            <v>EDUC</v>
          </cell>
          <cell r="F4478" t="str">
            <v>EDUC-L</v>
          </cell>
          <cell r="G4478">
            <v>545</v>
          </cell>
          <cell r="H4478" t="str">
            <v>EDUC-L545</v>
          </cell>
          <cell r="K4478" t="str">
            <v>Hall,Darryl Ted</v>
          </cell>
          <cell r="N4478">
            <v>4</v>
          </cell>
          <cell r="O4478">
            <v>3.6909999999999998</v>
          </cell>
        </row>
        <row r="4479">
          <cell r="E4479" t="str">
            <v>EDUC</v>
          </cell>
          <cell r="F4479" t="str">
            <v>EDUC-L</v>
          </cell>
          <cell r="G4479">
            <v>545</v>
          </cell>
          <cell r="H4479" t="str">
            <v>EDUC-L545</v>
          </cell>
          <cell r="K4479" t="str">
            <v>Hall,Darryl Ted</v>
          </cell>
          <cell r="N4479">
            <v>4</v>
          </cell>
          <cell r="O4479">
            <v>3.9279999999999999</v>
          </cell>
        </row>
        <row r="4480">
          <cell r="E4480" t="str">
            <v>EDUC</v>
          </cell>
          <cell r="F4480" t="str">
            <v>EDUC-L</v>
          </cell>
          <cell r="G4480">
            <v>545</v>
          </cell>
          <cell r="H4480" t="str">
            <v>EDUC-L545</v>
          </cell>
          <cell r="K4480" t="str">
            <v>Mullin,Margaret Boling</v>
          </cell>
          <cell r="N4480">
            <v>3.9569999999999999</v>
          </cell>
          <cell r="O4480">
            <v>3.9889999999999999</v>
          </cell>
        </row>
        <row r="4481">
          <cell r="E4481" t="str">
            <v>EDUC</v>
          </cell>
          <cell r="F4481" t="str">
            <v>EDUC-L</v>
          </cell>
          <cell r="G4481">
            <v>546</v>
          </cell>
          <cell r="H4481" t="str">
            <v>EDUC-L546</v>
          </cell>
          <cell r="K4481" t="str">
            <v>Smedley,Bryce Seaman</v>
          </cell>
          <cell r="N4481">
            <v>3.9630000000000001</v>
          </cell>
          <cell r="O4481">
            <v>3.85</v>
          </cell>
        </row>
        <row r="4482">
          <cell r="E4482" t="str">
            <v>EDUC</v>
          </cell>
          <cell r="F4482" t="str">
            <v>EDUC-L</v>
          </cell>
          <cell r="G4482">
            <v>546</v>
          </cell>
          <cell r="H4482" t="str">
            <v>EDUC-L546</v>
          </cell>
          <cell r="K4482" t="str">
            <v>Warren,Amber Nichelle</v>
          </cell>
          <cell r="N4482" t="str">
            <v>NR</v>
          </cell>
          <cell r="O4482" t="str">
            <v>NR</v>
          </cell>
        </row>
        <row r="4483">
          <cell r="E4483" t="str">
            <v>EDUC</v>
          </cell>
          <cell r="F4483" t="str">
            <v>EDUC-L</v>
          </cell>
          <cell r="G4483">
            <v>559</v>
          </cell>
          <cell r="H4483" t="str">
            <v>EDUC-L559</v>
          </cell>
          <cell r="K4483" t="str">
            <v>Lewison,Mitzi A.</v>
          </cell>
          <cell r="N4483" t="str">
            <v>NR</v>
          </cell>
          <cell r="O4483" t="str">
            <v>NR</v>
          </cell>
        </row>
        <row r="4484">
          <cell r="E4484" t="str">
            <v>EDUC</v>
          </cell>
          <cell r="F4484" t="str">
            <v>EDUC-L</v>
          </cell>
          <cell r="G4484">
            <v>590</v>
          </cell>
          <cell r="H4484" t="str">
            <v>EDUC-L590</v>
          </cell>
          <cell r="K4484" t="str">
            <v>Hines,Mary Beth</v>
          </cell>
          <cell r="N4484" t="str">
            <v>NR</v>
          </cell>
          <cell r="O4484" t="str">
            <v>NR</v>
          </cell>
        </row>
        <row r="4485">
          <cell r="E4485" t="str">
            <v>EDUC</v>
          </cell>
          <cell r="F4485" t="str">
            <v>EDUC-L</v>
          </cell>
          <cell r="G4485">
            <v>590</v>
          </cell>
          <cell r="H4485" t="str">
            <v>EDUC-L590</v>
          </cell>
          <cell r="K4485" t="str">
            <v>Mikulecky,Larry J.</v>
          </cell>
          <cell r="N4485" t="str">
            <v>NR</v>
          </cell>
          <cell r="O4485" t="str">
            <v>NR</v>
          </cell>
        </row>
        <row r="4486">
          <cell r="E4486" t="str">
            <v>EDUC</v>
          </cell>
          <cell r="F4486" t="str">
            <v>EDUC-L</v>
          </cell>
          <cell r="G4486">
            <v>590</v>
          </cell>
          <cell r="H4486" t="str">
            <v>EDUC-L590</v>
          </cell>
          <cell r="K4486" t="str">
            <v>Mikulecky,Larry J.</v>
          </cell>
          <cell r="N4486" t="str">
            <v>NR</v>
          </cell>
          <cell r="O4486" t="str">
            <v>NR</v>
          </cell>
        </row>
        <row r="4487">
          <cell r="E4487" t="str">
            <v>EDUC</v>
          </cell>
          <cell r="F4487" t="str">
            <v>EDUC-L</v>
          </cell>
          <cell r="G4487">
            <v>599</v>
          </cell>
          <cell r="H4487" t="str">
            <v>EDUC-L599</v>
          </cell>
          <cell r="K4487" t="str">
            <v>Coronel-Molina,Serafin M.</v>
          </cell>
          <cell r="N4487" t="str">
            <v>NR</v>
          </cell>
          <cell r="O4487" t="str">
            <v>NR</v>
          </cell>
        </row>
        <row r="4488">
          <cell r="E4488" t="str">
            <v>EDUC</v>
          </cell>
          <cell r="F4488" t="str">
            <v>EDUC-L</v>
          </cell>
          <cell r="G4488">
            <v>599</v>
          </cell>
          <cell r="H4488" t="str">
            <v>EDUC-L599</v>
          </cell>
          <cell r="K4488" t="str">
            <v>Hines,Mary Beth</v>
          </cell>
          <cell r="N4488" t="str">
            <v>NR</v>
          </cell>
          <cell r="O4488" t="str">
            <v>NR</v>
          </cell>
        </row>
        <row r="4489">
          <cell r="E4489" t="str">
            <v>EDUC</v>
          </cell>
          <cell r="F4489" t="str">
            <v>EDUC-L</v>
          </cell>
          <cell r="G4489">
            <v>599</v>
          </cell>
          <cell r="H4489" t="str">
            <v>EDUC-L599</v>
          </cell>
          <cell r="K4489" t="str">
            <v>Hines,Mary Beth</v>
          </cell>
          <cell r="N4489" t="str">
            <v>NR</v>
          </cell>
          <cell r="O4489" t="str">
            <v>NR</v>
          </cell>
        </row>
        <row r="4490">
          <cell r="E4490" t="str">
            <v>EDUC</v>
          </cell>
          <cell r="F4490" t="str">
            <v>EDUC-L</v>
          </cell>
          <cell r="G4490">
            <v>600</v>
          </cell>
          <cell r="H4490" t="str">
            <v>EDUC-L600</v>
          </cell>
          <cell r="K4490" t="str">
            <v>Smith,Walter Raymond</v>
          </cell>
          <cell r="N4490">
            <v>3.944</v>
          </cell>
          <cell r="O4490">
            <v>3.6539999999999999</v>
          </cell>
        </row>
        <row r="4491">
          <cell r="E4491" t="str">
            <v>EDUC</v>
          </cell>
          <cell r="F4491" t="str">
            <v>EDUC-L</v>
          </cell>
          <cell r="G4491">
            <v>601</v>
          </cell>
          <cell r="H4491" t="str">
            <v>EDUC-L601</v>
          </cell>
          <cell r="K4491" t="str">
            <v>Samuelson,Beth Lewis</v>
          </cell>
          <cell r="N4491">
            <v>4</v>
          </cell>
          <cell r="O4491">
            <v>3.8620000000000001</v>
          </cell>
        </row>
        <row r="4492">
          <cell r="E4492" t="str">
            <v>EDUC</v>
          </cell>
          <cell r="F4492" t="str">
            <v>EDUC-L</v>
          </cell>
          <cell r="G4492">
            <v>605</v>
          </cell>
          <cell r="H4492" t="str">
            <v>EDUC-L605</v>
          </cell>
          <cell r="K4492" t="str">
            <v>Damico,James</v>
          </cell>
          <cell r="N4492">
            <v>3.9249999999999998</v>
          </cell>
          <cell r="O4492">
            <v>3.819</v>
          </cell>
        </row>
        <row r="4493">
          <cell r="E4493" t="str">
            <v>EDUC</v>
          </cell>
          <cell r="F4493" t="str">
            <v>EDUC-L</v>
          </cell>
          <cell r="G4493">
            <v>605</v>
          </cell>
          <cell r="H4493" t="str">
            <v>EDUC-L605</v>
          </cell>
          <cell r="K4493" t="str">
            <v>Damico,James</v>
          </cell>
          <cell r="N4493">
            <v>4</v>
          </cell>
          <cell r="O4493">
            <v>3.6469999999999998</v>
          </cell>
        </row>
        <row r="4494">
          <cell r="E4494" t="str">
            <v>EDUC</v>
          </cell>
          <cell r="F4494" t="str">
            <v>EDUC-L</v>
          </cell>
          <cell r="G4494">
            <v>630</v>
          </cell>
          <cell r="H4494" t="str">
            <v>EDUC-L630</v>
          </cell>
          <cell r="K4494" t="str">
            <v>Adomat,Donna</v>
          </cell>
          <cell r="N4494" t="str">
            <v>NR</v>
          </cell>
          <cell r="O4494" t="str">
            <v>NR</v>
          </cell>
        </row>
        <row r="4495">
          <cell r="E4495" t="str">
            <v>EDUC</v>
          </cell>
          <cell r="F4495" t="str">
            <v>EDUC-L</v>
          </cell>
          <cell r="G4495">
            <v>630</v>
          </cell>
          <cell r="H4495" t="str">
            <v>EDUC-L630</v>
          </cell>
          <cell r="K4495" t="str">
            <v>Coronel-Molina,Serafin M.</v>
          </cell>
          <cell r="N4495" t="str">
            <v>NR</v>
          </cell>
          <cell r="O4495" t="str">
            <v>NR</v>
          </cell>
        </row>
        <row r="4496">
          <cell r="E4496" t="str">
            <v>EDUC</v>
          </cell>
          <cell r="F4496" t="str">
            <v>EDUC-L</v>
          </cell>
          <cell r="G4496">
            <v>630</v>
          </cell>
          <cell r="H4496" t="str">
            <v>EDUC-L630</v>
          </cell>
          <cell r="K4496" t="str">
            <v>Damico,James</v>
          </cell>
          <cell r="N4496" t="str">
            <v>NR</v>
          </cell>
          <cell r="O4496" t="str">
            <v>NR</v>
          </cell>
        </row>
        <row r="4497">
          <cell r="E4497" t="str">
            <v>EDUC</v>
          </cell>
          <cell r="F4497" t="str">
            <v>EDUC-L</v>
          </cell>
          <cell r="G4497">
            <v>630</v>
          </cell>
          <cell r="H4497" t="str">
            <v>EDUC-L630</v>
          </cell>
          <cell r="K4497" t="str">
            <v>Wohlwend,Karen E.</v>
          </cell>
          <cell r="N4497" t="str">
            <v>NR</v>
          </cell>
          <cell r="O4497" t="str">
            <v>NR</v>
          </cell>
        </row>
        <row r="4498">
          <cell r="E4498" t="str">
            <v>EDUC</v>
          </cell>
          <cell r="F4498" t="str">
            <v>EDUC-L</v>
          </cell>
          <cell r="G4498">
            <v>650</v>
          </cell>
          <cell r="H4498" t="str">
            <v>EDUC-L650</v>
          </cell>
          <cell r="K4498" t="str">
            <v>Hall,Darryl Ted</v>
          </cell>
          <cell r="N4498">
            <v>3.875</v>
          </cell>
          <cell r="O4498">
            <v>3.4849999999999999</v>
          </cell>
        </row>
        <row r="4499">
          <cell r="E4499" t="str">
            <v>EDUC</v>
          </cell>
          <cell r="F4499" t="str">
            <v>EDUC-L</v>
          </cell>
          <cell r="G4499">
            <v>650</v>
          </cell>
          <cell r="H4499" t="str">
            <v>EDUC-L650</v>
          </cell>
          <cell r="K4499" t="str">
            <v>Mikulecky,Larry J.</v>
          </cell>
          <cell r="N4499" t="str">
            <v>NR</v>
          </cell>
          <cell r="O4499" t="str">
            <v>NR</v>
          </cell>
        </row>
        <row r="4500">
          <cell r="E4500" t="str">
            <v>EDUC</v>
          </cell>
          <cell r="F4500" t="str">
            <v>EDUC-L</v>
          </cell>
          <cell r="G4500">
            <v>690</v>
          </cell>
          <cell r="H4500" t="str">
            <v>EDUC-L690</v>
          </cell>
          <cell r="K4500" t="str">
            <v>Hines,Mary Beth</v>
          </cell>
          <cell r="N4500" t="str">
            <v>NR</v>
          </cell>
          <cell r="O4500" t="str">
            <v>NR</v>
          </cell>
        </row>
        <row r="4501">
          <cell r="E4501" t="str">
            <v>EDUC</v>
          </cell>
          <cell r="F4501" t="str">
            <v>EDUC-L</v>
          </cell>
          <cell r="G4501">
            <v>690</v>
          </cell>
          <cell r="H4501" t="str">
            <v>EDUC-L690</v>
          </cell>
          <cell r="K4501" t="str">
            <v>Mikulecky,Larry J.</v>
          </cell>
          <cell r="N4501" t="str">
            <v>NR</v>
          </cell>
          <cell r="O4501" t="str">
            <v>NR</v>
          </cell>
        </row>
        <row r="4502">
          <cell r="E4502" t="str">
            <v>EDUC</v>
          </cell>
          <cell r="F4502" t="str">
            <v>EDUC-L</v>
          </cell>
          <cell r="G4502">
            <v>690</v>
          </cell>
          <cell r="H4502" t="str">
            <v>EDUC-L690</v>
          </cell>
          <cell r="K4502" t="str">
            <v>Mikulecky,Larry J.</v>
          </cell>
          <cell r="N4502" t="str">
            <v>NR</v>
          </cell>
          <cell r="O4502" t="str">
            <v>NR</v>
          </cell>
        </row>
        <row r="4503">
          <cell r="E4503" t="str">
            <v>EDUC</v>
          </cell>
          <cell r="F4503" t="str">
            <v>EDUC-L</v>
          </cell>
          <cell r="G4503">
            <v>700</v>
          </cell>
          <cell r="H4503" t="str">
            <v>EDUC-L700</v>
          </cell>
          <cell r="K4503" t="str">
            <v>Nyikos,Martha</v>
          </cell>
          <cell r="N4503">
            <v>3.7440000000000002</v>
          </cell>
          <cell r="O4503">
            <v>3.9049999999999998</v>
          </cell>
        </row>
        <row r="4504">
          <cell r="E4504" t="str">
            <v>EDUC</v>
          </cell>
          <cell r="F4504" t="str">
            <v>EDUC-L</v>
          </cell>
          <cell r="G4504">
            <v>750</v>
          </cell>
          <cell r="H4504" t="str">
            <v>EDUC-L750</v>
          </cell>
          <cell r="K4504" t="str">
            <v>Adomat,Donna</v>
          </cell>
          <cell r="N4504">
            <v>3.9249999999999998</v>
          </cell>
          <cell r="O4504">
            <v>3.85</v>
          </cell>
        </row>
        <row r="4505">
          <cell r="E4505" t="str">
            <v>EDUC</v>
          </cell>
          <cell r="F4505" t="str">
            <v>EDUC-L</v>
          </cell>
          <cell r="G4505">
            <v>750</v>
          </cell>
          <cell r="H4505" t="str">
            <v>EDUC-L750</v>
          </cell>
          <cell r="K4505" t="str">
            <v>Damico,James</v>
          </cell>
          <cell r="N4505">
            <v>3.2</v>
          </cell>
          <cell r="O4505">
            <v>3.7530000000000001</v>
          </cell>
        </row>
        <row r="4506">
          <cell r="E4506" t="str">
            <v>EDUC</v>
          </cell>
          <cell r="F4506" t="str">
            <v>EDUC-L</v>
          </cell>
          <cell r="G4506">
            <v>750</v>
          </cell>
          <cell r="H4506" t="str">
            <v>EDUC-L750</v>
          </cell>
          <cell r="K4506" t="str">
            <v>Wohlwend,Karen E.</v>
          </cell>
          <cell r="N4506" t="str">
            <v>NR</v>
          </cell>
          <cell r="O4506" t="str">
            <v>NR</v>
          </cell>
        </row>
        <row r="4507">
          <cell r="E4507" t="str">
            <v>EDUC</v>
          </cell>
          <cell r="F4507" t="str">
            <v>EDUC-L</v>
          </cell>
          <cell r="G4507">
            <v>795</v>
          </cell>
          <cell r="H4507" t="str">
            <v>EDUC-L795</v>
          </cell>
          <cell r="K4507" t="str">
            <v>Hines,Mary Beth</v>
          </cell>
          <cell r="N4507" t="str">
            <v>NR</v>
          </cell>
          <cell r="O4507" t="str">
            <v>NR</v>
          </cell>
        </row>
        <row r="4508">
          <cell r="E4508" t="str">
            <v>EDUC</v>
          </cell>
          <cell r="F4508" t="str">
            <v>EDUC-L</v>
          </cell>
          <cell r="G4508">
            <v>795</v>
          </cell>
          <cell r="H4508" t="str">
            <v>EDUC-L795</v>
          </cell>
          <cell r="K4508" t="str">
            <v>Mikulecky,Larry J.</v>
          </cell>
          <cell r="N4508" t="str">
            <v>NR</v>
          </cell>
          <cell r="O4508" t="str">
            <v>NR</v>
          </cell>
        </row>
        <row r="4509">
          <cell r="E4509" t="str">
            <v>EDUC</v>
          </cell>
          <cell r="F4509" t="str">
            <v>EDUC-L</v>
          </cell>
          <cell r="G4509">
            <v>795</v>
          </cell>
          <cell r="H4509" t="str">
            <v>EDUC-L795</v>
          </cell>
          <cell r="K4509" t="str">
            <v>Mikulecky,Larry J.</v>
          </cell>
          <cell r="N4509" t="str">
            <v>NR</v>
          </cell>
          <cell r="O4509" t="str">
            <v>NR</v>
          </cell>
        </row>
        <row r="4510">
          <cell r="E4510" t="str">
            <v>EDUC</v>
          </cell>
          <cell r="F4510" t="str">
            <v>EDUC-L</v>
          </cell>
          <cell r="G4510">
            <v>799</v>
          </cell>
          <cell r="H4510" t="str">
            <v>EDUC-L799</v>
          </cell>
          <cell r="K4510" t="str">
            <v>Hines,Mary Beth</v>
          </cell>
          <cell r="N4510" t="str">
            <v>NR</v>
          </cell>
          <cell r="O4510" t="str">
            <v>NR</v>
          </cell>
        </row>
        <row r="4511">
          <cell r="E4511" t="str">
            <v>EDUC</v>
          </cell>
          <cell r="F4511" t="str">
            <v>EDUC-L</v>
          </cell>
          <cell r="G4511">
            <v>799</v>
          </cell>
          <cell r="H4511" t="str">
            <v>EDUC-L799</v>
          </cell>
          <cell r="K4511" t="str">
            <v>Hines,Mary Beth</v>
          </cell>
          <cell r="N4511" t="str">
            <v>NR</v>
          </cell>
          <cell r="O4511" t="str">
            <v>NR</v>
          </cell>
        </row>
        <row r="4512">
          <cell r="E4512" t="str">
            <v>EDUC</v>
          </cell>
          <cell r="F4512" t="str">
            <v>EDUC-L</v>
          </cell>
          <cell r="G4512">
            <v>799</v>
          </cell>
          <cell r="H4512" t="str">
            <v>EDUC-L799</v>
          </cell>
          <cell r="K4512" t="str">
            <v>Mikulecky,Larry J.</v>
          </cell>
          <cell r="N4512" t="str">
            <v>NR</v>
          </cell>
          <cell r="O4512" t="str">
            <v>NR</v>
          </cell>
        </row>
        <row r="4513">
          <cell r="E4513" t="str">
            <v>EDUC</v>
          </cell>
          <cell r="F4513" t="str">
            <v>EDUC-L</v>
          </cell>
          <cell r="G4513">
            <v>799</v>
          </cell>
          <cell r="H4513" t="str">
            <v>EDUC-L799</v>
          </cell>
          <cell r="K4513" t="str">
            <v>Mikulecky,Larry J.</v>
          </cell>
          <cell r="N4513" t="str">
            <v>NR</v>
          </cell>
          <cell r="O4513" t="str">
            <v>NR</v>
          </cell>
        </row>
        <row r="4514">
          <cell r="E4514" t="str">
            <v>EDUC</v>
          </cell>
          <cell r="F4514" t="str">
            <v>EDUC-M</v>
          </cell>
          <cell r="G4514">
            <v>101</v>
          </cell>
          <cell r="H4514" t="str">
            <v>EDUC-M101</v>
          </cell>
          <cell r="K4514" t="str">
            <v>Barnes,Jacqueline Leanne</v>
          </cell>
          <cell r="N4514" t="str">
            <v>NR</v>
          </cell>
          <cell r="O4514" t="str">
            <v>NR</v>
          </cell>
        </row>
        <row r="4515">
          <cell r="E4515" t="str">
            <v>EDUC</v>
          </cell>
          <cell r="F4515" t="str">
            <v>EDUC-M</v>
          </cell>
          <cell r="G4515">
            <v>101</v>
          </cell>
          <cell r="H4515" t="str">
            <v>EDUC-M101</v>
          </cell>
          <cell r="K4515" t="str">
            <v>Carpenter,Laura J.</v>
          </cell>
          <cell r="N4515" t="str">
            <v>NR</v>
          </cell>
          <cell r="O4515" t="str">
            <v>NR</v>
          </cell>
        </row>
        <row r="4516">
          <cell r="E4516" t="str">
            <v>EDUC</v>
          </cell>
          <cell r="F4516" t="str">
            <v>EDUC-M</v>
          </cell>
          <cell r="G4516">
            <v>101</v>
          </cell>
          <cell r="H4516" t="str">
            <v>EDUC-M101</v>
          </cell>
          <cell r="K4516" t="str">
            <v>Carpenter,Laura J.</v>
          </cell>
          <cell r="N4516" t="str">
            <v>NR</v>
          </cell>
          <cell r="O4516" t="str">
            <v>NR</v>
          </cell>
        </row>
        <row r="4517">
          <cell r="E4517" t="str">
            <v>EDUC</v>
          </cell>
          <cell r="F4517" t="str">
            <v>EDUC-M</v>
          </cell>
          <cell r="G4517">
            <v>101</v>
          </cell>
          <cell r="H4517" t="str">
            <v>EDUC-M101</v>
          </cell>
          <cell r="K4517" t="str">
            <v>Chamberlain,Jessica Marie</v>
          </cell>
          <cell r="N4517" t="str">
            <v>NR</v>
          </cell>
          <cell r="O4517" t="str">
            <v>NR</v>
          </cell>
        </row>
        <row r="4518">
          <cell r="E4518" t="str">
            <v>EDUC</v>
          </cell>
          <cell r="F4518" t="str">
            <v>EDUC-M</v>
          </cell>
          <cell r="G4518">
            <v>101</v>
          </cell>
          <cell r="H4518" t="str">
            <v>EDUC-M101</v>
          </cell>
          <cell r="K4518" t="str">
            <v>Danish,Joshua Adam</v>
          </cell>
          <cell r="N4518" t="str">
            <v>NR</v>
          </cell>
          <cell r="O4518" t="str">
            <v>NR</v>
          </cell>
        </row>
        <row r="4519">
          <cell r="E4519" t="str">
            <v>EDUC</v>
          </cell>
          <cell r="F4519" t="str">
            <v>EDUC-M</v>
          </cell>
          <cell r="G4519">
            <v>101</v>
          </cell>
          <cell r="H4519" t="str">
            <v>EDUC-M101</v>
          </cell>
          <cell r="K4519" t="str">
            <v>Gault,Brent Michael</v>
          </cell>
          <cell r="N4519" t="str">
            <v>NR</v>
          </cell>
          <cell r="O4519" t="str">
            <v>NR</v>
          </cell>
        </row>
        <row r="4520">
          <cell r="E4520" t="str">
            <v>EDUC</v>
          </cell>
          <cell r="F4520" t="str">
            <v>EDUC-M</v>
          </cell>
          <cell r="G4520">
            <v>101</v>
          </cell>
          <cell r="H4520" t="str">
            <v>EDUC-M101</v>
          </cell>
          <cell r="K4520" t="str">
            <v>Gordon,Leon I.</v>
          </cell>
          <cell r="N4520" t="str">
            <v>NR</v>
          </cell>
          <cell r="O4520" t="str">
            <v>NR</v>
          </cell>
        </row>
        <row r="4521">
          <cell r="E4521" t="str">
            <v>EDUC</v>
          </cell>
          <cell r="F4521" t="str">
            <v>EDUC-M</v>
          </cell>
          <cell r="G4521">
            <v>101</v>
          </cell>
          <cell r="H4521" t="str">
            <v>EDUC-M101</v>
          </cell>
          <cell r="K4521" t="str">
            <v>Hunnicutt,Tyna Adel</v>
          </cell>
          <cell r="N4521" t="str">
            <v>NR</v>
          </cell>
          <cell r="O4521" t="str">
            <v>NR</v>
          </cell>
        </row>
        <row r="4522">
          <cell r="E4522" t="str">
            <v>EDUC</v>
          </cell>
          <cell r="F4522" t="str">
            <v>EDUC-M</v>
          </cell>
          <cell r="G4522">
            <v>101</v>
          </cell>
          <cell r="H4522" t="str">
            <v>EDUC-M101</v>
          </cell>
          <cell r="K4522" t="str">
            <v>Jones,Hallie DeCatherine</v>
          </cell>
          <cell r="N4522" t="str">
            <v>NR</v>
          </cell>
          <cell r="O4522" t="str">
            <v>NR</v>
          </cell>
        </row>
        <row r="4523">
          <cell r="E4523" t="str">
            <v>EDUC</v>
          </cell>
          <cell r="F4523" t="str">
            <v>EDUC-M</v>
          </cell>
          <cell r="G4523">
            <v>101</v>
          </cell>
          <cell r="H4523" t="str">
            <v>EDUC-M101</v>
          </cell>
          <cell r="K4523" t="str">
            <v>Jones,Hallie DeCatherine</v>
          </cell>
          <cell r="N4523" t="str">
            <v>NR</v>
          </cell>
          <cell r="O4523" t="str">
            <v>NR</v>
          </cell>
        </row>
        <row r="4524">
          <cell r="E4524" t="str">
            <v>EDUC</v>
          </cell>
          <cell r="F4524" t="str">
            <v>EDUC-M</v>
          </cell>
          <cell r="G4524">
            <v>101</v>
          </cell>
          <cell r="H4524" t="str">
            <v>EDUC-M101</v>
          </cell>
          <cell r="K4524" t="str">
            <v>Keene,Johanna Beth</v>
          </cell>
          <cell r="N4524" t="str">
            <v>NR</v>
          </cell>
          <cell r="O4524" t="str">
            <v>NR</v>
          </cell>
        </row>
        <row r="4525">
          <cell r="E4525" t="str">
            <v>EDUC</v>
          </cell>
          <cell r="F4525" t="str">
            <v>EDUC-M</v>
          </cell>
          <cell r="G4525">
            <v>101</v>
          </cell>
          <cell r="H4525" t="str">
            <v>EDUC-M101</v>
          </cell>
          <cell r="K4525" t="str">
            <v>McWilliams,Jenna Marie</v>
          </cell>
          <cell r="N4525" t="str">
            <v>NR</v>
          </cell>
          <cell r="O4525" t="str">
            <v>NR</v>
          </cell>
        </row>
        <row r="4526">
          <cell r="E4526" t="str">
            <v>EDUC</v>
          </cell>
          <cell r="F4526" t="str">
            <v>EDUC-M</v>
          </cell>
          <cell r="G4526">
            <v>101</v>
          </cell>
          <cell r="H4526" t="str">
            <v>EDUC-M101</v>
          </cell>
          <cell r="K4526" t="str">
            <v>McWilliams,Jenna Marie</v>
          </cell>
          <cell r="N4526" t="str">
            <v>NR</v>
          </cell>
          <cell r="O4526" t="str">
            <v>NR</v>
          </cell>
        </row>
        <row r="4527">
          <cell r="E4527" t="str">
            <v>EDUC</v>
          </cell>
          <cell r="F4527" t="str">
            <v>EDUC-M</v>
          </cell>
          <cell r="G4527">
            <v>101</v>
          </cell>
          <cell r="H4527" t="str">
            <v>EDUC-M101</v>
          </cell>
          <cell r="K4527" t="str">
            <v>Miksza,Peter John</v>
          </cell>
          <cell r="N4527" t="str">
            <v>NR</v>
          </cell>
          <cell r="O4527" t="str">
            <v>NR</v>
          </cell>
        </row>
        <row r="4528">
          <cell r="E4528" t="str">
            <v>EDUC</v>
          </cell>
          <cell r="F4528" t="str">
            <v>EDUC-M</v>
          </cell>
          <cell r="G4528">
            <v>101</v>
          </cell>
          <cell r="H4528" t="str">
            <v>EDUC-M101</v>
          </cell>
          <cell r="K4528" t="str">
            <v>Saleh,Asmalina</v>
          </cell>
          <cell r="N4528" t="str">
            <v>NR</v>
          </cell>
          <cell r="O4528" t="str">
            <v>NR</v>
          </cell>
        </row>
        <row r="4529">
          <cell r="E4529" t="str">
            <v>EDUC</v>
          </cell>
          <cell r="F4529" t="str">
            <v>EDUC-M</v>
          </cell>
          <cell r="G4529">
            <v>130</v>
          </cell>
          <cell r="H4529" t="str">
            <v>EDUC-M130</v>
          </cell>
          <cell r="K4529" t="str">
            <v>Jones,Hallie DeCatherine</v>
          </cell>
          <cell r="N4529">
            <v>4</v>
          </cell>
          <cell r="O4529">
            <v>2.9169999999999998</v>
          </cell>
        </row>
        <row r="4530">
          <cell r="E4530" t="str">
            <v>EDUC</v>
          </cell>
          <cell r="F4530" t="str">
            <v>EDUC-M</v>
          </cell>
          <cell r="G4530">
            <v>135</v>
          </cell>
          <cell r="H4530" t="str">
            <v>EDUC-M135</v>
          </cell>
          <cell r="K4530" t="str">
            <v>De,Mousumi</v>
          </cell>
          <cell r="N4530">
            <v>3.956</v>
          </cell>
          <cell r="O4530">
            <v>3.4580000000000002</v>
          </cell>
        </row>
        <row r="4531">
          <cell r="E4531" t="str">
            <v>EDUC</v>
          </cell>
          <cell r="F4531" t="str">
            <v>EDUC-M</v>
          </cell>
          <cell r="G4531">
            <v>135</v>
          </cell>
          <cell r="H4531" t="str">
            <v>EDUC-M135</v>
          </cell>
          <cell r="K4531" t="str">
            <v>De,Mousumi</v>
          </cell>
          <cell r="N4531">
            <v>3.9140000000000001</v>
          </cell>
          <cell r="O4531">
            <v>3.2810000000000001</v>
          </cell>
        </row>
        <row r="4532">
          <cell r="E4532" t="str">
            <v>EDUC</v>
          </cell>
          <cell r="F4532" t="str">
            <v>EDUC-M</v>
          </cell>
          <cell r="G4532">
            <v>135</v>
          </cell>
          <cell r="H4532" t="str">
            <v>EDUC-M135</v>
          </cell>
          <cell r="K4532" t="str">
            <v>De,Mousumi</v>
          </cell>
          <cell r="N4532">
            <v>3.915</v>
          </cell>
          <cell r="O4532">
            <v>3.5910000000000002</v>
          </cell>
        </row>
        <row r="4533">
          <cell r="E4533" t="str">
            <v>EDUC</v>
          </cell>
          <cell r="F4533" t="str">
            <v>EDUC-M</v>
          </cell>
          <cell r="G4533">
            <v>135</v>
          </cell>
          <cell r="H4533" t="str">
            <v>EDUC-M135</v>
          </cell>
          <cell r="K4533" t="str">
            <v>De,Mousumi</v>
          </cell>
          <cell r="N4533">
            <v>3.8820000000000001</v>
          </cell>
          <cell r="O4533">
            <v>3.4359999999999999</v>
          </cell>
        </row>
        <row r="4534">
          <cell r="E4534" t="str">
            <v>EDUC</v>
          </cell>
          <cell r="F4534" t="str">
            <v>EDUC-M</v>
          </cell>
          <cell r="G4534">
            <v>135</v>
          </cell>
          <cell r="H4534" t="str">
            <v>EDUC-M135</v>
          </cell>
          <cell r="K4534" t="str">
            <v>De,Mousumi</v>
          </cell>
          <cell r="N4534">
            <v>3.9289999999999998</v>
          </cell>
          <cell r="O4534">
            <v>3.492</v>
          </cell>
        </row>
        <row r="4535">
          <cell r="E4535" t="str">
            <v>EDUC</v>
          </cell>
          <cell r="F4535" t="str">
            <v>EDUC-M</v>
          </cell>
          <cell r="G4535">
            <v>135</v>
          </cell>
          <cell r="H4535" t="str">
            <v>EDUC-M135</v>
          </cell>
          <cell r="K4535" t="str">
            <v>De,Mousumi</v>
          </cell>
          <cell r="N4535" t="str">
            <v>NR</v>
          </cell>
          <cell r="O4535" t="str">
            <v>NR</v>
          </cell>
        </row>
        <row r="4536">
          <cell r="E4536" t="str">
            <v>EDUC</v>
          </cell>
          <cell r="F4536" t="str">
            <v>EDUC-M</v>
          </cell>
          <cell r="G4536">
            <v>135</v>
          </cell>
          <cell r="H4536" t="str">
            <v>EDUC-M135</v>
          </cell>
          <cell r="K4536" t="str">
            <v>Lim,Kyungeun</v>
          </cell>
          <cell r="N4536">
            <v>3.9159999999999999</v>
          </cell>
          <cell r="O4536">
            <v>3.4119999999999999</v>
          </cell>
        </row>
        <row r="4537">
          <cell r="E4537" t="str">
            <v>EDUC</v>
          </cell>
          <cell r="F4537" t="str">
            <v>EDUC-M</v>
          </cell>
          <cell r="G4537">
            <v>135</v>
          </cell>
          <cell r="H4537" t="str">
            <v>EDUC-M135</v>
          </cell>
          <cell r="K4537" t="str">
            <v>Lim,Kyungeun</v>
          </cell>
          <cell r="N4537">
            <v>3.9670000000000001</v>
          </cell>
          <cell r="O4537">
            <v>3.1659999999999999</v>
          </cell>
        </row>
        <row r="4538">
          <cell r="E4538" t="str">
            <v>EDUC</v>
          </cell>
          <cell r="F4538" t="str">
            <v>EDUC-M</v>
          </cell>
          <cell r="G4538">
            <v>135</v>
          </cell>
          <cell r="H4538" t="str">
            <v>EDUC-M135</v>
          </cell>
          <cell r="K4538" t="str">
            <v>Manifold,Marjorie</v>
          </cell>
          <cell r="N4538">
            <v>3.6890000000000001</v>
          </cell>
          <cell r="O4538">
            <v>3.234</v>
          </cell>
        </row>
        <row r="4539">
          <cell r="E4539" t="str">
            <v>EDUC</v>
          </cell>
          <cell r="F4539" t="str">
            <v>EDUC-M</v>
          </cell>
          <cell r="G4539">
            <v>135</v>
          </cell>
          <cell r="H4539" t="str">
            <v>EDUC-M135</v>
          </cell>
          <cell r="K4539" t="str">
            <v>Manifold,Marjorie</v>
          </cell>
          <cell r="N4539">
            <v>3.8170000000000002</v>
          </cell>
          <cell r="O4539">
            <v>3.15</v>
          </cell>
        </row>
        <row r="4540">
          <cell r="E4540" t="str">
            <v>EDUC</v>
          </cell>
          <cell r="F4540" t="str">
            <v>EDUC-M</v>
          </cell>
          <cell r="G4540">
            <v>135</v>
          </cell>
          <cell r="H4540" t="str">
            <v>EDUC-M135</v>
          </cell>
          <cell r="K4540" t="str">
            <v>Manifold,Marjorie</v>
          </cell>
          <cell r="N4540">
            <v>3.7759999999999998</v>
          </cell>
          <cell r="O4540">
            <v>3.1539999999999999</v>
          </cell>
        </row>
        <row r="4541">
          <cell r="E4541" t="str">
            <v>EDUC</v>
          </cell>
          <cell r="F4541" t="str">
            <v>EDUC-M</v>
          </cell>
          <cell r="G4541">
            <v>200</v>
          </cell>
          <cell r="H4541" t="str">
            <v>EDUC-M200</v>
          </cell>
          <cell r="K4541" t="str">
            <v>Vallance,Elizabeth (Beau)</v>
          </cell>
          <cell r="N4541">
            <v>3.67</v>
          </cell>
          <cell r="O4541">
            <v>3.2930000000000001</v>
          </cell>
        </row>
        <row r="4542">
          <cell r="E4542" t="str">
            <v>EDUC</v>
          </cell>
          <cell r="F4542" t="str">
            <v>EDUC-M</v>
          </cell>
          <cell r="G4542">
            <v>200</v>
          </cell>
          <cell r="H4542" t="str">
            <v>EDUC-M200</v>
          </cell>
          <cell r="K4542" t="str">
            <v>Vallance,Elizabeth (Beau)</v>
          </cell>
          <cell r="N4542">
            <v>3.3</v>
          </cell>
          <cell r="O4542">
            <v>2.903</v>
          </cell>
        </row>
        <row r="4543">
          <cell r="E4543" t="str">
            <v>EDUC</v>
          </cell>
          <cell r="F4543" t="str">
            <v>EDUC-M</v>
          </cell>
          <cell r="G4543">
            <v>200</v>
          </cell>
          <cell r="H4543" t="str">
            <v>EDUC-M200</v>
          </cell>
          <cell r="K4543" t="str">
            <v>Vallance,Elizabeth (Beau)</v>
          </cell>
          <cell r="N4543">
            <v>3.6230000000000002</v>
          </cell>
          <cell r="O4543">
            <v>3.2890000000000001</v>
          </cell>
        </row>
        <row r="4544">
          <cell r="E4544" t="str">
            <v>EDUC</v>
          </cell>
          <cell r="F4544" t="str">
            <v>EDUC-M</v>
          </cell>
          <cell r="G4544">
            <v>200</v>
          </cell>
          <cell r="H4544" t="str">
            <v>EDUC-M200</v>
          </cell>
          <cell r="K4544" t="str">
            <v>Vallance,Elizabeth (Beau)</v>
          </cell>
          <cell r="N4544">
            <v>3.39</v>
          </cell>
          <cell r="O4544">
            <v>3.2559999999999998</v>
          </cell>
        </row>
        <row r="4545">
          <cell r="E4545" t="str">
            <v>EDUC</v>
          </cell>
          <cell r="F4545" t="str">
            <v>EDUC-M</v>
          </cell>
          <cell r="G4545">
            <v>201</v>
          </cell>
          <cell r="H4545" t="str">
            <v>EDUC-M201</v>
          </cell>
          <cell r="K4545" t="str">
            <v>Barnes,Jacqueline Leanne</v>
          </cell>
          <cell r="N4545" t="str">
            <v>NR</v>
          </cell>
          <cell r="O4545" t="str">
            <v>NR</v>
          </cell>
        </row>
        <row r="4546">
          <cell r="E4546" t="str">
            <v>EDUC</v>
          </cell>
          <cell r="F4546" t="str">
            <v>EDUC-M</v>
          </cell>
          <cell r="G4546">
            <v>201</v>
          </cell>
          <cell r="H4546" t="str">
            <v>EDUC-M201</v>
          </cell>
          <cell r="K4546" t="str">
            <v>Carpenter,Laura J.</v>
          </cell>
          <cell r="N4546" t="str">
            <v>NR</v>
          </cell>
          <cell r="O4546" t="str">
            <v>NR</v>
          </cell>
        </row>
        <row r="4547">
          <cell r="E4547" t="str">
            <v>EDUC</v>
          </cell>
          <cell r="F4547" t="str">
            <v>EDUC-M</v>
          </cell>
          <cell r="G4547">
            <v>201</v>
          </cell>
          <cell r="H4547" t="str">
            <v>EDUC-M201</v>
          </cell>
          <cell r="K4547" t="str">
            <v>Creager,Mark Andrew</v>
          </cell>
          <cell r="N4547" t="str">
            <v>NR</v>
          </cell>
          <cell r="O4547" t="str">
            <v>NR</v>
          </cell>
        </row>
        <row r="4548">
          <cell r="E4548" t="str">
            <v>EDUC</v>
          </cell>
          <cell r="F4548" t="str">
            <v>EDUC-M</v>
          </cell>
          <cell r="G4548">
            <v>201</v>
          </cell>
          <cell r="H4548" t="str">
            <v>EDUC-M201</v>
          </cell>
          <cell r="K4548" t="str">
            <v>Daiga,Michael Christopher</v>
          </cell>
          <cell r="N4548" t="str">
            <v>NR</v>
          </cell>
          <cell r="O4548" t="str">
            <v>NR</v>
          </cell>
        </row>
        <row r="4549">
          <cell r="E4549" t="str">
            <v>EDUC</v>
          </cell>
          <cell r="F4549" t="str">
            <v>EDUC-M</v>
          </cell>
          <cell r="G4549">
            <v>201</v>
          </cell>
          <cell r="H4549" t="str">
            <v>EDUC-M201</v>
          </cell>
          <cell r="K4549" t="str">
            <v>Daiga,Michael Christopher</v>
          </cell>
          <cell r="N4549" t="str">
            <v>NR</v>
          </cell>
          <cell r="O4549" t="str">
            <v>NR</v>
          </cell>
        </row>
        <row r="4550">
          <cell r="E4550" t="str">
            <v>EDUC</v>
          </cell>
          <cell r="F4550" t="str">
            <v>EDUC-M</v>
          </cell>
          <cell r="G4550">
            <v>201</v>
          </cell>
          <cell r="H4550" t="str">
            <v>EDUC-M201</v>
          </cell>
          <cell r="K4550" t="str">
            <v>Downton,Michael Paul</v>
          </cell>
          <cell r="N4550" t="str">
            <v>NR</v>
          </cell>
          <cell r="O4550" t="str">
            <v>NR</v>
          </cell>
        </row>
        <row r="4551">
          <cell r="E4551" t="str">
            <v>EDUC</v>
          </cell>
          <cell r="F4551" t="str">
            <v>EDUC-M</v>
          </cell>
          <cell r="G4551">
            <v>201</v>
          </cell>
          <cell r="H4551" t="str">
            <v>EDUC-M201</v>
          </cell>
          <cell r="K4551" t="str">
            <v>Glosson,Diane Lynn</v>
          </cell>
          <cell r="N4551" t="str">
            <v>NR</v>
          </cell>
          <cell r="O4551" t="str">
            <v>NR</v>
          </cell>
        </row>
        <row r="4552">
          <cell r="E4552" t="str">
            <v>EDUC</v>
          </cell>
          <cell r="F4552" t="str">
            <v>EDUC-M</v>
          </cell>
          <cell r="G4552">
            <v>201</v>
          </cell>
          <cell r="H4552" t="str">
            <v>EDUC-M201</v>
          </cell>
          <cell r="K4552" t="str">
            <v>Lee,Mi Yeon</v>
          </cell>
          <cell r="N4552" t="str">
            <v>NR</v>
          </cell>
          <cell r="O4552" t="str">
            <v>NR</v>
          </cell>
        </row>
        <row r="4553">
          <cell r="E4553" t="str">
            <v>EDUC</v>
          </cell>
          <cell r="F4553" t="str">
            <v>EDUC-M</v>
          </cell>
          <cell r="G4553">
            <v>201</v>
          </cell>
          <cell r="H4553" t="str">
            <v>EDUC-M201</v>
          </cell>
          <cell r="K4553" t="str">
            <v>Nargund,Vanashri Shripati</v>
          </cell>
          <cell r="N4553" t="str">
            <v>NR</v>
          </cell>
          <cell r="O4553" t="str">
            <v>NR</v>
          </cell>
        </row>
        <row r="4554">
          <cell r="E4554" t="str">
            <v>EDUC</v>
          </cell>
          <cell r="F4554" t="str">
            <v>EDUC-M</v>
          </cell>
          <cell r="G4554">
            <v>201</v>
          </cell>
          <cell r="H4554" t="str">
            <v>EDUC-M201</v>
          </cell>
          <cell r="K4554" t="str">
            <v>Strand,Katherine Dagmar</v>
          </cell>
          <cell r="N4554" t="str">
            <v>NR</v>
          </cell>
          <cell r="O4554" t="str">
            <v>NR</v>
          </cell>
        </row>
        <row r="4555">
          <cell r="E4555" t="str">
            <v>EDUC</v>
          </cell>
          <cell r="F4555" t="str">
            <v>EDUC-M</v>
          </cell>
          <cell r="G4555">
            <v>201</v>
          </cell>
          <cell r="H4555" t="str">
            <v>EDUC-M201</v>
          </cell>
          <cell r="K4555" t="str">
            <v>Strand,Katherine Dagmar</v>
          </cell>
          <cell r="N4555" t="str">
            <v>NR</v>
          </cell>
          <cell r="O4555" t="str">
            <v>NR</v>
          </cell>
        </row>
        <row r="4556">
          <cell r="E4556" t="str">
            <v>EDUC</v>
          </cell>
          <cell r="F4556" t="str">
            <v>EDUC-M</v>
          </cell>
          <cell r="G4556">
            <v>201</v>
          </cell>
          <cell r="H4556" t="str">
            <v>EDUC-M201</v>
          </cell>
          <cell r="K4556" t="str">
            <v>Wang,Jianlan</v>
          </cell>
          <cell r="N4556" t="str">
            <v>NR</v>
          </cell>
          <cell r="O4556" t="str">
            <v>NR</v>
          </cell>
        </row>
        <row r="4557">
          <cell r="E4557" t="str">
            <v>EDUC</v>
          </cell>
          <cell r="F4557" t="str">
            <v>EDUC-M</v>
          </cell>
          <cell r="G4557">
            <v>201</v>
          </cell>
          <cell r="H4557" t="str">
            <v>EDUC-M201</v>
          </cell>
          <cell r="K4557" t="str">
            <v>Wang,Jianlan</v>
          </cell>
          <cell r="N4557" t="str">
            <v>NR</v>
          </cell>
          <cell r="O4557" t="str">
            <v>NR</v>
          </cell>
        </row>
        <row r="4558">
          <cell r="E4558" t="str">
            <v>EDUC</v>
          </cell>
          <cell r="F4558" t="str">
            <v>EDUC-M</v>
          </cell>
          <cell r="G4558">
            <v>201</v>
          </cell>
          <cell r="H4558" t="str">
            <v>EDUC-M201</v>
          </cell>
          <cell r="K4558" t="str">
            <v>Yin,Xinying</v>
          </cell>
          <cell r="N4558" t="str">
            <v>NR</v>
          </cell>
          <cell r="O4558" t="str">
            <v>NR</v>
          </cell>
        </row>
        <row r="4559">
          <cell r="E4559" t="str">
            <v>EDUC</v>
          </cell>
          <cell r="F4559" t="str">
            <v>EDUC-M</v>
          </cell>
          <cell r="G4559">
            <v>201</v>
          </cell>
          <cell r="H4559" t="str">
            <v>EDUC-M201</v>
          </cell>
          <cell r="K4559" t="str">
            <v>Zeybek,Zulfiye</v>
          </cell>
          <cell r="N4559" t="str">
            <v>NR</v>
          </cell>
          <cell r="O4559" t="str">
            <v>NR</v>
          </cell>
        </row>
        <row r="4560">
          <cell r="E4560" t="str">
            <v>EDUC</v>
          </cell>
          <cell r="F4560" t="str">
            <v>EDUC-M</v>
          </cell>
          <cell r="G4560">
            <v>202</v>
          </cell>
          <cell r="H4560" t="str">
            <v>EDUC-M202</v>
          </cell>
          <cell r="K4560" t="str">
            <v>James,Barbara Elizabeth</v>
          </cell>
          <cell r="N4560" t="str">
            <v>NR</v>
          </cell>
          <cell r="O4560" t="str">
            <v>NR</v>
          </cell>
        </row>
        <row r="4561">
          <cell r="E4561" t="str">
            <v>EDUC</v>
          </cell>
          <cell r="F4561" t="str">
            <v>EDUC-M</v>
          </cell>
          <cell r="G4561">
            <v>202</v>
          </cell>
          <cell r="H4561" t="str">
            <v>EDUC-M202</v>
          </cell>
          <cell r="K4561" t="str">
            <v>James,Barbara Elizabeth</v>
          </cell>
          <cell r="N4561" t="str">
            <v>NR</v>
          </cell>
          <cell r="O4561" t="str">
            <v>NR</v>
          </cell>
        </row>
        <row r="4562">
          <cell r="E4562" t="str">
            <v>EDUC</v>
          </cell>
          <cell r="F4562" t="str">
            <v>EDUC-M</v>
          </cell>
          <cell r="G4562">
            <v>202</v>
          </cell>
          <cell r="H4562" t="str">
            <v>EDUC-M202</v>
          </cell>
          <cell r="K4562" t="str">
            <v>James,Barbara Elizabeth</v>
          </cell>
          <cell r="N4562" t="str">
            <v>NR</v>
          </cell>
          <cell r="O4562" t="str">
            <v>NR</v>
          </cell>
        </row>
        <row r="4563">
          <cell r="E4563" t="str">
            <v>EDUC</v>
          </cell>
          <cell r="F4563" t="str">
            <v>EDUC-M</v>
          </cell>
          <cell r="G4563">
            <v>202</v>
          </cell>
          <cell r="H4563" t="str">
            <v>EDUC-M202</v>
          </cell>
          <cell r="K4563" t="str">
            <v>Richardson,Lisa Marie</v>
          </cell>
          <cell r="N4563" t="str">
            <v>NR</v>
          </cell>
          <cell r="O4563" t="str">
            <v>NR</v>
          </cell>
        </row>
        <row r="4564">
          <cell r="E4564" t="str">
            <v>EDUC</v>
          </cell>
          <cell r="F4564" t="str">
            <v>EDUC-M</v>
          </cell>
          <cell r="G4564">
            <v>202</v>
          </cell>
          <cell r="H4564" t="str">
            <v>EDUC-M202</v>
          </cell>
          <cell r="K4564" t="str">
            <v>Richardson,Lisa Marie</v>
          </cell>
          <cell r="N4564" t="str">
            <v>NR</v>
          </cell>
          <cell r="O4564" t="str">
            <v>NR</v>
          </cell>
        </row>
        <row r="4565">
          <cell r="E4565" t="str">
            <v>EDUC</v>
          </cell>
          <cell r="F4565" t="str">
            <v>EDUC-M</v>
          </cell>
          <cell r="G4565">
            <v>202</v>
          </cell>
          <cell r="H4565" t="str">
            <v>EDUC-M202</v>
          </cell>
          <cell r="K4565" t="str">
            <v>Sanborn,Erin Kathleen</v>
          </cell>
          <cell r="N4565" t="str">
            <v>NR</v>
          </cell>
          <cell r="O4565" t="str">
            <v>NR</v>
          </cell>
        </row>
        <row r="4566">
          <cell r="E4566" t="str">
            <v>EDUC</v>
          </cell>
          <cell r="F4566" t="str">
            <v>EDUC-M</v>
          </cell>
          <cell r="G4566">
            <v>202</v>
          </cell>
          <cell r="H4566" t="str">
            <v>EDUC-M202</v>
          </cell>
          <cell r="K4566" t="str">
            <v>Sanborn,Erin Kathleen</v>
          </cell>
          <cell r="N4566" t="str">
            <v>NR</v>
          </cell>
          <cell r="O4566" t="str">
            <v>NR</v>
          </cell>
        </row>
        <row r="4567">
          <cell r="E4567" t="str">
            <v>EDUC</v>
          </cell>
          <cell r="F4567" t="str">
            <v>EDUC-M</v>
          </cell>
          <cell r="G4567">
            <v>202</v>
          </cell>
          <cell r="H4567" t="str">
            <v>EDUC-M202</v>
          </cell>
          <cell r="K4567" t="str">
            <v>Turner-Shear,Marsha Rose</v>
          </cell>
          <cell r="N4567" t="str">
            <v>NR</v>
          </cell>
          <cell r="O4567" t="str">
            <v>NR</v>
          </cell>
        </row>
        <row r="4568">
          <cell r="E4568" t="str">
            <v>EDUC</v>
          </cell>
          <cell r="F4568" t="str">
            <v>EDUC-M</v>
          </cell>
          <cell r="G4568">
            <v>202</v>
          </cell>
          <cell r="H4568" t="str">
            <v>EDUC-M202</v>
          </cell>
          <cell r="K4568" t="str">
            <v>Turner-Shear,Marsha Rose</v>
          </cell>
          <cell r="N4568" t="str">
            <v>NR</v>
          </cell>
          <cell r="O4568" t="str">
            <v>NR</v>
          </cell>
        </row>
        <row r="4569">
          <cell r="E4569" t="str">
            <v>EDUC</v>
          </cell>
          <cell r="F4569" t="str">
            <v>EDUC-M</v>
          </cell>
          <cell r="G4569">
            <v>300</v>
          </cell>
          <cell r="H4569" t="str">
            <v>EDUC-M300</v>
          </cell>
          <cell r="K4569" t="str">
            <v>Davies,Thomas Edward</v>
          </cell>
          <cell r="N4569">
            <v>3.95</v>
          </cell>
          <cell r="O4569">
            <v>3.3820000000000001</v>
          </cell>
        </row>
        <row r="4570">
          <cell r="E4570" t="str">
            <v>EDUC</v>
          </cell>
          <cell r="F4570" t="str">
            <v>EDUC-M</v>
          </cell>
          <cell r="G4570">
            <v>300</v>
          </cell>
          <cell r="H4570" t="str">
            <v>EDUC-M300</v>
          </cell>
          <cell r="K4570" t="str">
            <v>Engebretson,Kathryn Ellerhoff</v>
          </cell>
          <cell r="N4570">
            <v>2.7360000000000002</v>
          </cell>
          <cell r="O4570">
            <v>2.9289999999999998</v>
          </cell>
        </row>
        <row r="4571">
          <cell r="E4571" t="str">
            <v>EDUC</v>
          </cell>
          <cell r="F4571" t="str">
            <v>EDUC-M</v>
          </cell>
          <cell r="G4571">
            <v>300</v>
          </cell>
          <cell r="H4571" t="str">
            <v>EDUC-M300</v>
          </cell>
          <cell r="K4571" t="str">
            <v>Gambill,Rhonda</v>
          </cell>
          <cell r="N4571">
            <v>3.2269999999999999</v>
          </cell>
          <cell r="O4571">
            <v>3.0089999999999999</v>
          </cell>
        </row>
        <row r="4572">
          <cell r="E4572" t="str">
            <v>EDUC</v>
          </cell>
          <cell r="F4572" t="str">
            <v>EDUC-M</v>
          </cell>
          <cell r="G4572">
            <v>300</v>
          </cell>
          <cell r="H4572" t="str">
            <v>EDUC-M300</v>
          </cell>
          <cell r="K4572" t="str">
            <v>Gambill,Rhonda</v>
          </cell>
          <cell r="N4572">
            <v>3.52</v>
          </cell>
          <cell r="O4572">
            <v>3.1429999999999998</v>
          </cell>
        </row>
        <row r="4573">
          <cell r="E4573" t="str">
            <v>EDUC</v>
          </cell>
          <cell r="F4573" t="str">
            <v>EDUC-M</v>
          </cell>
          <cell r="G4573">
            <v>300</v>
          </cell>
          <cell r="H4573" t="str">
            <v>EDUC-M300</v>
          </cell>
          <cell r="K4573" t="str">
            <v>Hagan,Heather Nicole</v>
          </cell>
          <cell r="N4573">
            <v>3.883</v>
          </cell>
          <cell r="O4573">
            <v>3.3170000000000002</v>
          </cell>
        </row>
        <row r="4574">
          <cell r="E4574" t="str">
            <v>EDUC</v>
          </cell>
          <cell r="F4574" t="str">
            <v>EDUC-M</v>
          </cell>
          <cell r="G4574">
            <v>300</v>
          </cell>
          <cell r="H4574" t="str">
            <v>EDUC-M300</v>
          </cell>
          <cell r="K4574" t="str">
            <v>Huston,Thomas Patrick</v>
          </cell>
          <cell r="N4574">
            <v>3.7829999999999999</v>
          </cell>
          <cell r="O4574">
            <v>3.0449999999999999</v>
          </cell>
        </row>
        <row r="4575">
          <cell r="E4575" t="str">
            <v>EDUC</v>
          </cell>
          <cell r="F4575" t="str">
            <v>EDUC-M</v>
          </cell>
          <cell r="G4575">
            <v>300</v>
          </cell>
          <cell r="H4575" t="str">
            <v>EDUC-M300</v>
          </cell>
          <cell r="K4575" t="str">
            <v>Jernigan,Jeremy Andrew</v>
          </cell>
          <cell r="N4575">
            <v>3.3109999999999999</v>
          </cell>
          <cell r="O4575">
            <v>2.5489999999999999</v>
          </cell>
        </row>
        <row r="4576">
          <cell r="E4576" t="str">
            <v>EDUC</v>
          </cell>
          <cell r="F4576" t="str">
            <v>EDUC-M</v>
          </cell>
          <cell r="G4576">
            <v>300</v>
          </cell>
          <cell r="H4576" t="str">
            <v>EDUC-M300</v>
          </cell>
          <cell r="K4576" t="str">
            <v>Jordan,Sheri</v>
          </cell>
          <cell r="N4576">
            <v>3.1760000000000002</v>
          </cell>
          <cell r="O4576">
            <v>3.0169999999999999</v>
          </cell>
        </row>
        <row r="4577">
          <cell r="E4577" t="str">
            <v>EDUC</v>
          </cell>
          <cell r="F4577" t="str">
            <v>EDUC-M</v>
          </cell>
          <cell r="G4577">
            <v>300</v>
          </cell>
          <cell r="H4577" t="str">
            <v>EDUC-M300</v>
          </cell>
          <cell r="K4577" t="str">
            <v>Kigamwa,James C.</v>
          </cell>
          <cell r="N4577" t="str">
            <v>NR</v>
          </cell>
          <cell r="O4577" t="str">
            <v>NR</v>
          </cell>
        </row>
        <row r="4578">
          <cell r="E4578" t="str">
            <v>EDUC</v>
          </cell>
          <cell r="F4578" t="str">
            <v>EDUC-M</v>
          </cell>
          <cell r="G4578">
            <v>300</v>
          </cell>
          <cell r="H4578" t="str">
            <v>EDUC-M300</v>
          </cell>
          <cell r="K4578" t="str">
            <v>Vesperman,Dean Patrick</v>
          </cell>
          <cell r="N4578" t="str">
            <v>NR</v>
          </cell>
          <cell r="O4578" t="str">
            <v>NR</v>
          </cell>
        </row>
        <row r="4579">
          <cell r="E4579" t="str">
            <v>EDUC</v>
          </cell>
          <cell r="F4579" t="str">
            <v>EDUC-M</v>
          </cell>
          <cell r="G4579">
            <v>300</v>
          </cell>
          <cell r="H4579" t="str">
            <v>EDUC-M300</v>
          </cell>
          <cell r="K4579" t="str">
            <v>Weiss,Allie</v>
          </cell>
          <cell r="N4579">
            <v>3.4060000000000001</v>
          </cell>
          <cell r="O4579">
            <v>3.2629999999999999</v>
          </cell>
        </row>
        <row r="4580">
          <cell r="E4580" t="str">
            <v>EDUC</v>
          </cell>
          <cell r="F4580" t="str">
            <v>EDUC-M</v>
          </cell>
          <cell r="G4580">
            <v>300</v>
          </cell>
          <cell r="H4580" t="str">
            <v>EDUC-M300</v>
          </cell>
          <cell r="K4580" t="str">
            <v>Weiss,Allie</v>
          </cell>
          <cell r="N4580">
            <v>3.5710000000000002</v>
          </cell>
          <cell r="O4580">
            <v>3.1429999999999998</v>
          </cell>
        </row>
        <row r="4581">
          <cell r="E4581" t="str">
            <v>EDUC</v>
          </cell>
          <cell r="F4581" t="str">
            <v>EDUC-M</v>
          </cell>
          <cell r="G4581">
            <v>300</v>
          </cell>
          <cell r="H4581" t="str">
            <v>EDUC-M300</v>
          </cell>
          <cell r="K4581" t="str">
            <v>Weiss,Allie</v>
          </cell>
          <cell r="N4581" t="str">
            <v>NR</v>
          </cell>
          <cell r="O4581" t="str">
            <v>NR</v>
          </cell>
        </row>
        <row r="4582">
          <cell r="E4582" t="str">
            <v>EDUC</v>
          </cell>
          <cell r="F4582" t="str">
            <v>EDUC-M</v>
          </cell>
          <cell r="G4582">
            <v>301</v>
          </cell>
          <cell r="H4582" t="str">
            <v>EDUC-M301</v>
          </cell>
          <cell r="K4582" t="str">
            <v>Daley,Sharon Lynn</v>
          </cell>
          <cell r="N4582" t="str">
            <v>NR</v>
          </cell>
          <cell r="O4582" t="str">
            <v>NR</v>
          </cell>
        </row>
        <row r="4583">
          <cell r="E4583" t="str">
            <v>EDUC</v>
          </cell>
          <cell r="F4583" t="str">
            <v>EDUC-M</v>
          </cell>
          <cell r="G4583">
            <v>301</v>
          </cell>
          <cell r="H4583" t="str">
            <v>EDUC-M301</v>
          </cell>
          <cell r="K4583" t="str">
            <v>Daley,Sharon Lynn</v>
          </cell>
          <cell r="N4583" t="str">
            <v>NR</v>
          </cell>
          <cell r="O4583" t="str">
            <v>NR</v>
          </cell>
        </row>
        <row r="4584">
          <cell r="E4584" t="str">
            <v>EDUC</v>
          </cell>
          <cell r="F4584" t="str">
            <v>EDUC-M</v>
          </cell>
          <cell r="G4584">
            <v>301</v>
          </cell>
          <cell r="H4584" t="str">
            <v>EDUC-M301</v>
          </cell>
          <cell r="K4584" t="str">
            <v>Daley,Sharon Lynn</v>
          </cell>
          <cell r="N4584" t="str">
            <v>NR</v>
          </cell>
          <cell r="O4584" t="str">
            <v>NR</v>
          </cell>
        </row>
        <row r="4585">
          <cell r="E4585" t="str">
            <v>EDUC</v>
          </cell>
          <cell r="F4585" t="str">
            <v>EDUC-M</v>
          </cell>
          <cell r="G4585">
            <v>301</v>
          </cell>
          <cell r="H4585" t="str">
            <v>EDUC-M301</v>
          </cell>
          <cell r="K4585" t="str">
            <v>Daley,Sharon Lynn</v>
          </cell>
          <cell r="N4585" t="str">
            <v>NR</v>
          </cell>
          <cell r="O4585" t="str">
            <v>NR</v>
          </cell>
        </row>
        <row r="4586">
          <cell r="E4586" t="str">
            <v>EDUC</v>
          </cell>
          <cell r="F4586" t="str">
            <v>EDUC-M</v>
          </cell>
          <cell r="G4586">
            <v>301</v>
          </cell>
          <cell r="H4586" t="str">
            <v>EDUC-M301</v>
          </cell>
          <cell r="K4586" t="str">
            <v>Daley,Sharon Lynn</v>
          </cell>
          <cell r="N4586" t="str">
            <v>NR</v>
          </cell>
          <cell r="O4586" t="str">
            <v>NR</v>
          </cell>
        </row>
        <row r="4587">
          <cell r="E4587" t="str">
            <v>EDUC</v>
          </cell>
          <cell r="F4587" t="str">
            <v>EDUC-M</v>
          </cell>
          <cell r="G4587">
            <v>301</v>
          </cell>
          <cell r="H4587" t="str">
            <v>EDUC-M301</v>
          </cell>
          <cell r="K4587" t="str">
            <v>Huffman,Carol C</v>
          </cell>
          <cell r="N4587" t="str">
            <v>NR</v>
          </cell>
          <cell r="O4587" t="str">
            <v>NR</v>
          </cell>
        </row>
        <row r="4588">
          <cell r="E4588" t="str">
            <v>EDUC</v>
          </cell>
          <cell r="F4588" t="str">
            <v>EDUC-M</v>
          </cell>
          <cell r="G4588">
            <v>301</v>
          </cell>
          <cell r="H4588" t="str">
            <v>EDUC-M301</v>
          </cell>
          <cell r="K4588" t="str">
            <v>Huxhold,Dianna Marie</v>
          </cell>
          <cell r="N4588" t="str">
            <v>NR</v>
          </cell>
          <cell r="O4588" t="str">
            <v>NR</v>
          </cell>
        </row>
        <row r="4589">
          <cell r="E4589" t="str">
            <v>EDUC</v>
          </cell>
          <cell r="F4589" t="str">
            <v>EDUC-M</v>
          </cell>
          <cell r="G4589">
            <v>301</v>
          </cell>
          <cell r="H4589" t="str">
            <v>EDUC-M301</v>
          </cell>
          <cell r="K4589" t="str">
            <v>Huxhold,Dianna Marie</v>
          </cell>
          <cell r="N4589" t="str">
            <v>NR</v>
          </cell>
          <cell r="O4589" t="str">
            <v>NR</v>
          </cell>
        </row>
        <row r="4590">
          <cell r="E4590" t="str">
            <v>EDUC</v>
          </cell>
          <cell r="F4590" t="str">
            <v>EDUC-M</v>
          </cell>
          <cell r="G4590">
            <v>301</v>
          </cell>
          <cell r="H4590" t="str">
            <v>EDUC-M301</v>
          </cell>
          <cell r="K4590" t="str">
            <v>Madura,Patrice</v>
          </cell>
          <cell r="N4590" t="str">
            <v>NR</v>
          </cell>
          <cell r="O4590" t="str">
            <v>NR</v>
          </cell>
        </row>
        <row r="4591">
          <cell r="E4591" t="str">
            <v>EDUC</v>
          </cell>
          <cell r="F4591" t="str">
            <v>EDUC-M</v>
          </cell>
          <cell r="G4591">
            <v>301</v>
          </cell>
          <cell r="H4591" t="str">
            <v>EDUC-M301</v>
          </cell>
          <cell r="K4591" t="str">
            <v>May,Lissa Fleming</v>
          </cell>
          <cell r="N4591" t="str">
            <v>NR</v>
          </cell>
          <cell r="O4591" t="str">
            <v>NR</v>
          </cell>
        </row>
        <row r="4592">
          <cell r="E4592" t="str">
            <v>EDUC</v>
          </cell>
          <cell r="F4592" t="str">
            <v>EDUC-M</v>
          </cell>
          <cell r="G4592">
            <v>301</v>
          </cell>
          <cell r="H4592" t="str">
            <v>EDUC-M301</v>
          </cell>
          <cell r="K4592" t="str">
            <v>Reinier,Rise M</v>
          </cell>
          <cell r="N4592" t="str">
            <v>NR</v>
          </cell>
          <cell r="O4592" t="str">
            <v>NR</v>
          </cell>
        </row>
        <row r="4593">
          <cell r="E4593" t="str">
            <v>EDUC</v>
          </cell>
          <cell r="F4593" t="str">
            <v>EDUC-M</v>
          </cell>
          <cell r="G4593">
            <v>302</v>
          </cell>
          <cell r="H4593" t="str">
            <v>EDUC-M302</v>
          </cell>
          <cell r="K4593" t="str">
            <v>Galindo,Enrique</v>
          </cell>
          <cell r="N4593" t="str">
            <v>NR</v>
          </cell>
          <cell r="O4593" t="str">
            <v>NR</v>
          </cell>
        </row>
        <row r="4594">
          <cell r="E4594" t="str">
            <v>EDUC</v>
          </cell>
          <cell r="F4594" t="str">
            <v>EDUC-M</v>
          </cell>
          <cell r="G4594">
            <v>302</v>
          </cell>
          <cell r="H4594" t="str">
            <v>EDUC-M302</v>
          </cell>
          <cell r="K4594" t="str">
            <v>Lesh Jr,Richard Arthur</v>
          </cell>
          <cell r="N4594" t="str">
            <v>NR</v>
          </cell>
          <cell r="O4594" t="str">
            <v>NR</v>
          </cell>
        </row>
        <row r="4595">
          <cell r="E4595" t="str">
            <v>EDUC</v>
          </cell>
          <cell r="F4595" t="str">
            <v>EDUC-M</v>
          </cell>
          <cell r="G4595">
            <v>302</v>
          </cell>
          <cell r="H4595" t="str">
            <v>EDUC-M302</v>
          </cell>
          <cell r="K4595" t="str">
            <v>Nowlin,Dale E</v>
          </cell>
          <cell r="N4595" t="str">
            <v>NR</v>
          </cell>
          <cell r="O4595" t="str">
            <v>NR</v>
          </cell>
        </row>
        <row r="4596">
          <cell r="E4596" t="str">
            <v>EDUC</v>
          </cell>
          <cell r="F4596" t="str">
            <v>EDUC-M</v>
          </cell>
          <cell r="G4596">
            <v>302</v>
          </cell>
          <cell r="H4596" t="str">
            <v>EDUC-M302</v>
          </cell>
          <cell r="K4596" t="str">
            <v>Nowlin,Dale E</v>
          </cell>
          <cell r="N4596" t="str">
            <v>NR</v>
          </cell>
          <cell r="O4596" t="str">
            <v>NR</v>
          </cell>
        </row>
        <row r="4597">
          <cell r="E4597" t="str">
            <v>EDUC</v>
          </cell>
          <cell r="F4597" t="str">
            <v>EDUC-M</v>
          </cell>
          <cell r="G4597">
            <v>303</v>
          </cell>
          <cell r="H4597" t="str">
            <v>EDUC-M303</v>
          </cell>
          <cell r="K4597" t="str">
            <v>Boucher Jr,Michael Lee</v>
          </cell>
          <cell r="N4597">
            <v>3.9350000000000001</v>
          </cell>
          <cell r="O4597">
            <v>3.2909999999999999</v>
          </cell>
        </row>
        <row r="4598">
          <cell r="E4598" t="str">
            <v>EDUC</v>
          </cell>
          <cell r="F4598" t="str">
            <v>EDUC-M</v>
          </cell>
          <cell r="G4598">
            <v>303</v>
          </cell>
          <cell r="H4598" t="str">
            <v>EDUC-M303</v>
          </cell>
          <cell r="K4598" t="str">
            <v>Brown,James Scott</v>
          </cell>
          <cell r="N4598">
            <v>4</v>
          </cell>
          <cell r="O4598">
            <v>3.1840000000000002</v>
          </cell>
        </row>
        <row r="4599">
          <cell r="E4599" t="str">
            <v>EDUC</v>
          </cell>
          <cell r="F4599" t="str">
            <v>EDUC-M</v>
          </cell>
          <cell r="G4599">
            <v>303</v>
          </cell>
          <cell r="H4599" t="str">
            <v>EDUC-M303</v>
          </cell>
          <cell r="K4599" t="str">
            <v>Hunnicutt,Tyna Adel</v>
          </cell>
          <cell r="N4599" t="str">
            <v>NR</v>
          </cell>
          <cell r="O4599" t="str">
            <v>NR</v>
          </cell>
        </row>
        <row r="4600">
          <cell r="E4600" t="str">
            <v>EDUC</v>
          </cell>
          <cell r="F4600" t="str">
            <v>EDUC-M</v>
          </cell>
          <cell r="G4600">
            <v>303</v>
          </cell>
          <cell r="H4600" t="str">
            <v>EDUC-M303</v>
          </cell>
          <cell r="K4600" t="str">
            <v>Lahann,Paula Elmer</v>
          </cell>
          <cell r="N4600" t="str">
            <v>NR</v>
          </cell>
          <cell r="O4600" t="str">
            <v>NR</v>
          </cell>
        </row>
        <row r="4601">
          <cell r="E4601" t="str">
            <v>EDUC</v>
          </cell>
          <cell r="F4601" t="str">
            <v>EDUC-M</v>
          </cell>
          <cell r="G4601">
            <v>303</v>
          </cell>
          <cell r="H4601" t="str">
            <v>EDUC-M303</v>
          </cell>
          <cell r="K4601" t="str">
            <v>Nyikos,Martha</v>
          </cell>
          <cell r="N4601" t="str">
            <v>NR</v>
          </cell>
          <cell r="O4601" t="str">
            <v>NR</v>
          </cell>
        </row>
        <row r="4602">
          <cell r="E4602" t="str">
            <v>EDUC</v>
          </cell>
          <cell r="F4602" t="str">
            <v>EDUC-M</v>
          </cell>
          <cell r="G4602">
            <v>303</v>
          </cell>
          <cell r="H4602" t="str">
            <v>EDUC-M303</v>
          </cell>
          <cell r="K4602" t="str">
            <v>Poage,Kristin L</v>
          </cell>
          <cell r="N4602" t="str">
            <v>NR</v>
          </cell>
          <cell r="O4602" t="str">
            <v>NR</v>
          </cell>
        </row>
        <row r="4603">
          <cell r="E4603" t="str">
            <v>EDUC</v>
          </cell>
          <cell r="F4603" t="str">
            <v>EDUC-M</v>
          </cell>
          <cell r="G4603">
            <v>303</v>
          </cell>
          <cell r="H4603" t="str">
            <v>EDUC-M303</v>
          </cell>
          <cell r="K4603" t="str">
            <v>Trauth-Nare,Amy Elizabeth</v>
          </cell>
          <cell r="N4603" t="str">
            <v>NR</v>
          </cell>
          <cell r="O4603" t="str">
            <v>NR</v>
          </cell>
        </row>
        <row r="4604">
          <cell r="E4604" t="str">
            <v>EDUC</v>
          </cell>
          <cell r="F4604" t="str">
            <v>EDUC-M</v>
          </cell>
          <cell r="G4604">
            <v>321</v>
          </cell>
          <cell r="H4604" t="str">
            <v>EDUC-M321</v>
          </cell>
          <cell r="K4604" t="str">
            <v>Hackenberg,Amy Jeanne</v>
          </cell>
          <cell r="N4604">
            <v>3.681</v>
          </cell>
          <cell r="O4604">
            <v>3.4830000000000001</v>
          </cell>
        </row>
        <row r="4605">
          <cell r="E4605" t="str">
            <v>EDUC</v>
          </cell>
          <cell r="F4605" t="str">
            <v>EDUC-M</v>
          </cell>
          <cell r="G4605">
            <v>323</v>
          </cell>
          <cell r="H4605" t="str">
            <v>EDUC-M323</v>
          </cell>
          <cell r="K4605" t="str">
            <v>Strand,Katherine Dagmar</v>
          </cell>
          <cell r="N4605">
            <v>3.7450000000000001</v>
          </cell>
          <cell r="O4605">
            <v>3.411</v>
          </cell>
        </row>
        <row r="4606">
          <cell r="E4606" t="str">
            <v>EDUC</v>
          </cell>
          <cell r="F4606" t="str">
            <v>EDUC-M</v>
          </cell>
          <cell r="G4606">
            <v>323</v>
          </cell>
          <cell r="H4606" t="str">
            <v>EDUC-M323</v>
          </cell>
          <cell r="K4606" t="str">
            <v>Strand,Katherine Dagmar</v>
          </cell>
          <cell r="N4606" t="str">
            <v>NR</v>
          </cell>
          <cell r="O4606" t="str">
            <v>NR</v>
          </cell>
        </row>
        <row r="4607">
          <cell r="E4607" t="str">
            <v>EDUC</v>
          </cell>
          <cell r="F4607" t="str">
            <v>EDUC-M</v>
          </cell>
          <cell r="G4607">
            <v>323</v>
          </cell>
          <cell r="H4607" t="str">
            <v>EDUC-M323</v>
          </cell>
          <cell r="K4607" t="str">
            <v>Strand,Katherine Dagmar</v>
          </cell>
          <cell r="N4607">
            <v>3.8639999999999999</v>
          </cell>
          <cell r="O4607">
            <v>3.2</v>
          </cell>
        </row>
        <row r="4608">
          <cell r="E4608" t="str">
            <v>EDUC</v>
          </cell>
          <cell r="F4608" t="str">
            <v>EDUC-M</v>
          </cell>
          <cell r="G4608">
            <v>323</v>
          </cell>
          <cell r="H4608" t="str">
            <v>EDUC-M323</v>
          </cell>
          <cell r="K4608" t="str">
            <v>Strand,Katherine Dagmar</v>
          </cell>
          <cell r="N4608">
            <v>3.8610000000000002</v>
          </cell>
          <cell r="O4608">
            <v>3.339</v>
          </cell>
        </row>
        <row r="4609">
          <cell r="E4609" t="str">
            <v>EDUC</v>
          </cell>
          <cell r="F4609" t="str">
            <v>EDUC-M</v>
          </cell>
          <cell r="G4609">
            <v>323</v>
          </cell>
          <cell r="H4609" t="str">
            <v>EDUC-M323</v>
          </cell>
          <cell r="K4609" t="str">
            <v>Strand,Katherine Dagmar</v>
          </cell>
          <cell r="N4609">
            <v>4</v>
          </cell>
          <cell r="O4609">
            <v>3.6110000000000002</v>
          </cell>
        </row>
        <row r="4610">
          <cell r="E4610" t="str">
            <v>EDUC</v>
          </cell>
          <cell r="F4610" t="str">
            <v>EDUC-M</v>
          </cell>
          <cell r="G4610">
            <v>323</v>
          </cell>
          <cell r="H4610" t="str">
            <v>EDUC-M323</v>
          </cell>
          <cell r="K4610" t="str">
            <v>Strand,Katherine Dagmar</v>
          </cell>
          <cell r="N4610">
            <v>3.6709999999999998</v>
          </cell>
          <cell r="O4610">
            <v>2.6970000000000001</v>
          </cell>
        </row>
        <row r="4611">
          <cell r="E4611" t="str">
            <v>EDUC</v>
          </cell>
          <cell r="F4611" t="str">
            <v>EDUC-M</v>
          </cell>
          <cell r="G4611">
            <v>323</v>
          </cell>
          <cell r="H4611" t="str">
            <v>EDUC-M323</v>
          </cell>
          <cell r="K4611" t="str">
            <v>Strand,Katherine Dagmar</v>
          </cell>
          <cell r="N4611">
            <v>3.9060000000000001</v>
          </cell>
          <cell r="O4611">
            <v>3.5150000000000001</v>
          </cell>
        </row>
        <row r="4612">
          <cell r="E4612" t="str">
            <v>EDUC</v>
          </cell>
          <cell r="F4612" t="str">
            <v>EDUC-M</v>
          </cell>
          <cell r="G4612">
            <v>323</v>
          </cell>
          <cell r="H4612" t="str">
            <v>EDUC-M323</v>
          </cell>
          <cell r="K4612" t="str">
            <v>Strand,Katherine Dagmar</v>
          </cell>
          <cell r="N4612">
            <v>3.7360000000000002</v>
          </cell>
          <cell r="O4612">
            <v>3.165</v>
          </cell>
        </row>
        <row r="4613">
          <cell r="E4613" t="str">
            <v>EDUC</v>
          </cell>
          <cell r="F4613" t="str">
            <v>EDUC-M</v>
          </cell>
          <cell r="G4613">
            <v>323</v>
          </cell>
          <cell r="H4613" t="str">
            <v>EDUC-M323</v>
          </cell>
          <cell r="K4613" t="str">
            <v>Strand,Katherine Dagmar</v>
          </cell>
          <cell r="N4613">
            <v>3.8580000000000001</v>
          </cell>
          <cell r="O4613">
            <v>3.5209999999999999</v>
          </cell>
        </row>
        <row r="4614">
          <cell r="E4614" t="str">
            <v>EDUC</v>
          </cell>
          <cell r="F4614" t="str">
            <v>EDUC-M</v>
          </cell>
          <cell r="G4614">
            <v>323</v>
          </cell>
          <cell r="H4614" t="str">
            <v>EDUC-M323</v>
          </cell>
          <cell r="K4614" t="str">
            <v>Strand,Katherine Dagmar</v>
          </cell>
          <cell r="N4614">
            <v>3.8820000000000001</v>
          </cell>
          <cell r="O4614">
            <v>3.274</v>
          </cell>
        </row>
        <row r="4615">
          <cell r="E4615" t="str">
            <v>EDUC</v>
          </cell>
          <cell r="F4615" t="str">
            <v>EDUC-M</v>
          </cell>
          <cell r="G4615">
            <v>323</v>
          </cell>
          <cell r="H4615" t="str">
            <v>EDUC-M323</v>
          </cell>
          <cell r="K4615" t="str">
            <v>Strand,Katherine Dagmar</v>
          </cell>
          <cell r="N4615">
            <v>3.706</v>
          </cell>
          <cell r="O4615">
            <v>3.32</v>
          </cell>
        </row>
        <row r="4616">
          <cell r="E4616" t="str">
            <v>EDUC</v>
          </cell>
          <cell r="F4616" t="str">
            <v>EDUC-M</v>
          </cell>
          <cell r="G4616">
            <v>330</v>
          </cell>
          <cell r="H4616" t="str">
            <v>EDUC-M330</v>
          </cell>
          <cell r="K4616" t="str">
            <v>Lackey,Lara M</v>
          </cell>
          <cell r="N4616">
            <v>3.5</v>
          </cell>
          <cell r="O4616">
            <v>3.544</v>
          </cell>
        </row>
        <row r="4617">
          <cell r="E4617" t="str">
            <v>EDUC</v>
          </cell>
          <cell r="F4617" t="str">
            <v>EDUC-M</v>
          </cell>
          <cell r="G4617">
            <v>333</v>
          </cell>
          <cell r="H4617" t="str">
            <v>EDUC-M333</v>
          </cell>
          <cell r="K4617" t="str">
            <v>Brinn,Virginia Hope</v>
          </cell>
          <cell r="N4617">
            <v>4</v>
          </cell>
          <cell r="O4617">
            <v>3.4910000000000001</v>
          </cell>
        </row>
        <row r="4618">
          <cell r="E4618" t="str">
            <v>EDUC</v>
          </cell>
          <cell r="F4618" t="str">
            <v>EDUC-M</v>
          </cell>
          <cell r="G4618">
            <v>333</v>
          </cell>
          <cell r="H4618" t="str">
            <v>EDUC-M333</v>
          </cell>
          <cell r="K4618" t="str">
            <v>Brinn,Virginia Hope</v>
          </cell>
          <cell r="N4618">
            <v>4</v>
          </cell>
          <cell r="O4618">
            <v>3.59</v>
          </cell>
        </row>
        <row r="4619">
          <cell r="E4619" t="str">
            <v>EDUC</v>
          </cell>
          <cell r="F4619" t="str">
            <v>EDUC-M</v>
          </cell>
          <cell r="G4619">
            <v>333</v>
          </cell>
          <cell r="H4619" t="str">
            <v>EDUC-M333</v>
          </cell>
          <cell r="K4619" t="str">
            <v>Brinn,Virginia Hope</v>
          </cell>
          <cell r="N4619">
            <v>3.9769999999999999</v>
          </cell>
          <cell r="O4619">
            <v>3.5110000000000001</v>
          </cell>
        </row>
        <row r="4620">
          <cell r="E4620" t="str">
            <v>EDUC</v>
          </cell>
          <cell r="F4620" t="str">
            <v>EDUC-M</v>
          </cell>
          <cell r="G4620">
            <v>333</v>
          </cell>
          <cell r="H4620" t="str">
            <v>EDUC-M333</v>
          </cell>
          <cell r="K4620" t="str">
            <v>Huxhold,Dianna Marie</v>
          </cell>
          <cell r="N4620">
            <v>3.7949999999999999</v>
          </cell>
          <cell r="O4620">
            <v>3.3079999999999998</v>
          </cell>
        </row>
        <row r="4621">
          <cell r="E4621" t="str">
            <v>EDUC</v>
          </cell>
          <cell r="F4621" t="str">
            <v>EDUC-M</v>
          </cell>
          <cell r="G4621">
            <v>333</v>
          </cell>
          <cell r="H4621" t="str">
            <v>EDUC-M333</v>
          </cell>
          <cell r="K4621" t="str">
            <v>Huxhold,Dianna Marie</v>
          </cell>
          <cell r="N4621">
            <v>3.835</v>
          </cell>
          <cell r="O4621">
            <v>3.3929999999999998</v>
          </cell>
        </row>
        <row r="4622">
          <cell r="E4622" t="str">
            <v>EDUC</v>
          </cell>
          <cell r="F4622" t="str">
            <v>EDUC-M</v>
          </cell>
          <cell r="G4622">
            <v>333</v>
          </cell>
          <cell r="H4622" t="str">
            <v>EDUC-M333</v>
          </cell>
          <cell r="K4622" t="str">
            <v>Jones,Hallie DeCatherine</v>
          </cell>
          <cell r="N4622">
            <v>3.839</v>
          </cell>
          <cell r="O4622">
            <v>3.2360000000000002</v>
          </cell>
        </row>
        <row r="4623">
          <cell r="E4623" t="str">
            <v>EDUC</v>
          </cell>
          <cell r="F4623" t="str">
            <v>EDUC-M</v>
          </cell>
          <cell r="G4623">
            <v>333</v>
          </cell>
          <cell r="H4623" t="str">
            <v>EDUC-M333</v>
          </cell>
          <cell r="K4623" t="str">
            <v>Jones,Hallie DeCatherine</v>
          </cell>
          <cell r="N4623">
            <v>3.915</v>
          </cell>
          <cell r="O4623">
            <v>3.5379999999999998</v>
          </cell>
        </row>
        <row r="4624">
          <cell r="E4624" t="str">
            <v>EDUC</v>
          </cell>
          <cell r="F4624" t="str">
            <v>EDUC-M</v>
          </cell>
          <cell r="G4624">
            <v>333</v>
          </cell>
          <cell r="H4624" t="str">
            <v>EDUC-M333</v>
          </cell>
          <cell r="K4624" t="str">
            <v>Lackey,Lara M</v>
          </cell>
          <cell r="N4624">
            <v>3.7269999999999999</v>
          </cell>
          <cell r="O4624">
            <v>3.5169999999999999</v>
          </cell>
        </row>
        <row r="4625">
          <cell r="E4625" t="str">
            <v>EDUC</v>
          </cell>
          <cell r="F4625" t="str">
            <v>EDUC-M</v>
          </cell>
          <cell r="G4625">
            <v>333</v>
          </cell>
          <cell r="H4625" t="str">
            <v>EDUC-M333</v>
          </cell>
          <cell r="K4625" t="str">
            <v>Willcox,Sarah Elizabeth</v>
          </cell>
          <cell r="N4625">
            <v>3.7770000000000001</v>
          </cell>
          <cell r="O4625">
            <v>3.3980000000000001</v>
          </cell>
        </row>
        <row r="4626">
          <cell r="E4626" t="str">
            <v>EDUC</v>
          </cell>
          <cell r="F4626" t="str">
            <v>EDUC-M</v>
          </cell>
          <cell r="G4626">
            <v>333</v>
          </cell>
          <cell r="H4626" t="str">
            <v>EDUC-M333</v>
          </cell>
          <cell r="K4626" t="str">
            <v>Willcox,Sarah Elizabeth</v>
          </cell>
          <cell r="N4626">
            <v>3.96</v>
          </cell>
          <cell r="O4626">
            <v>3.57</v>
          </cell>
        </row>
        <row r="4627">
          <cell r="E4627" t="str">
            <v>EDUC</v>
          </cell>
          <cell r="F4627" t="str">
            <v>EDUC-M</v>
          </cell>
          <cell r="G4627">
            <v>333</v>
          </cell>
          <cell r="H4627" t="str">
            <v>EDUC-M333</v>
          </cell>
          <cell r="K4627" t="str">
            <v>Willcox,Sarah Elizabeth</v>
          </cell>
          <cell r="N4627">
            <v>3.74</v>
          </cell>
          <cell r="O4627">
            <v>3.3109999999999999</v>
          </cell>
        </row>
        <row r="4628">
          <cell r="E4628" t="str">
            <v>EDUC</v>
          </cell>
          <cell r="F4628" t="str">
            <v>EDUC-M</v>
          </cell>
          <cell r="G4628">
            <v>341</v>
          </cell>
          <cell r="H4628" t="str">
            <v>EDUC-M341</v>
          </cell>
          <cell r="K4628" t="str">
            <v>Barton,Keith Casey</v>
          </cell>
          <cell r="N4628">
            <v>2.411</v>
          </cell>
          <cell r="O4628">
            <v>3.1840000000000002</v>
          </cell>
        </row>
        <row r="4629">
          <cell r="E4629" t="str">
            <v>EDUC</v>
          </cell>
          <cell r="F4629" t="str">
            <v>EDUC-M</v>
          </cell>
          <cell r="G4629">
            <v>341</v>
          </cell>
          <cell r="H4629" t="str">
            <v>EDUC-M341</v>
          </cell>
          <cell r="K4629" t="str">
            <v>Gambill,Rhonda</v>
          </cell>
          <cell r="N4629">
            <v>3.5150000000000001</v>
          </cell>
          <cell r="O4629">
            <v>3.2909999999999999</v>
          </cell>
        </row>
        <row r="4630">
          <cell r="E4630" t="str">
            <v>EDUC</v>
          </cell>
          <cell r="F4630" t="str">
            <v>EDUC-M</v>
          </cell>
          <cell r="G4630">
            <v>342</v>
          </cell>
          <cell r="H4630" t="str">
            <v>EDUC-M342</v>
          </cell>
          <cell r="K4630" t="str">
            <v>Huffman,Carol C</v>
          </cell>
          <cell r="N4630">
            <v>3.6</v>
          </cell>
          <cell r="O4630">
            <v>3.5550000000000002</v>
          </cell>
        </row>
        <row r="4631">
          <cell r="E4631" t="str">
            <v>EDUC</v>
          </cell>
          <cell r="F4631" t="str">
            <v>EDUC-M</v>
          </cell>
          <cell r="G4631">
            <v>343</v>
          </cell>
          <cell r="H4631" t="str">
            <v>EDUC-M343</v>
          </cell>
          <cell r="K4631" t="str">
            <v>Madura,Patrice</v>
          </cell>
          <cell r="N4631">
            <v>3.8879999999999999</v>
          </cell>
          <cell r="O4631">
            <v>3.8050000000000002</v>
          </cell>
        </row>
        <row r="4632">
          <cell r="E4632" t="str">
            <v>EDUC</v>
          </cell>
          <cell r="F4632" t="str">
            <v>EDUC-M</v>
          </cell>
          <cell r="G4632">
            <v>344</v>
          </cell>
          <cell r="H4632" t="str">
            <v>EDUC-M344</v>
          </cell>
          <cell r="K4632" t="str">
            <v>May,Lissa Fleming</v>
          </cell>
          <cell r="N4632">
            <v>3.5760000000000001</v>
          </cell>
          <cell r="O4632">
            <v>3.6030000000000002</v>
          </cell>
        </row>
        <row r="4633">
          <cell r="E4633" t="str">
            <v>EDUC</v>
          </cell>
          <cell r="F4633" t="str">
            <v>EDUC-M</v>
          </cell>
          <cell r="G4633">
            <v>346</v>
          </cell>
          <cell r="H4633" t="str">
            <v>EDUC-M346</v>
          </cell>
          <cell r="K4633" t="str">
            <v>Buck,Gayle Anne</v>
          </cell>
          <cell r="N4633">
            <v>3.746</v>
          </cell>
          <cell r="O4633">
            <v>3.407</v>
          </cell>
        </row>
        <row r="4634">
          <cell r="E4634" t="str">
            <v>EDUC</v>
          </cell>
          <cell r="F4634" t="str">
            <v>EDUC-M</v>
          </cell>
          <cell r="G4634">
            <v>401</v>
          </cell>
          <cell r="H4634" t="str">
            <v>EDUC-M401</v>
          </cell>
          <cell r="K4634" t="str">
            <v>Fife,Veronica Marie</v>
          </cell>
          <cell r="N4634" t="str">
            <v>NR</v>
          </cell>
          <cell r="O4634" t="str">
            <v>NR</v>
          </cell>
        </row>
        <row r="4635">
          <cell r="E4635" t="str">
            <v>EDUC</v>
          </cell>
          <cell r="F4635" t="str">
            <v>EDUC-M</v>
          </cell>
          <cell r="G4635">
            <v>401</v>
          </cell>
          <cell r="H4635" t="str">
            <v>EDUC-M401</v>
          </cell>
          <cell r="K4635" t="str">
            <v>Hagan,Heather Nicole</v>
          </cell>
          <cell r="N4635" t="str">
            <v>NR</v>
          </cell>
          <cell r="O4635" t="str">
            <v>NR</v>
          </cell>
        </row>
        <row r="4636">
          <cell r="E4636" t="str">
            <v>EDUC</v>
          </cell>
          <cell r="F4636" t="str">
            <v>EDUC-M</v>
          </cell>
          <cell r="G4636">
            <v>401</v>
          </cell>
          <cell r="H4636" t="str">
            <v>EDUC-M401</v>
          </cell>
          <cell r="K4636" t="str">
            <v>Hagan,Heather Nicole</v>
          </cell>
          <cell r="N4636" t="str">
            <v>NR</v>
          </cell>
          <cell r="O4636" t="str">
            <v>NR</v>
          </cell>
        </row>
        <row r="4637">
          <cell r="E4637" t="str">
            <v>EDUC</v>
          </cell>
          <cell r="F4637" t="str">
            <v>EDUC-M</v>
          </cell>
          <cell r="G4637">
            <v>401</v>
          </cell>
          <cell r="H4637" t="str">
            <v>EDUC-M401</v>
          </cell>
          <cell r="K4637" t="str">
            <v>Hossler,Carol-Anne Hughes</v>
          </cell>
          <cell r="N4637" t="str">
            <v>NR</v>
          </cell>
          <cell r="O4637" t="str">
            <v>NR</v>
          </cell>
        </row>
        <row r="4638">
          <cell r="E4638" t="str">
            <v>EDUC</v>
          </cell>
          <cell r="F4638" t="str">
            <v>EDUC-M</v>
          </cell>
          <cell r="G4638">
            <v>401</v>
          </cell>
          <cell r="H4638" t="str">
            <v>EDUC-M401</v>
          </cell>
          <cell r="K4638" t="str">
            <v>Hunnicutt,Tyna Adel</v>
          </cell>
          <cell r="N4638" t="str">
            <v>NR</v>
          </cell>
          <cell r="O4638" t="str">
            <v>NR</v>
          </cell>
        </row>
        <row r="4639">
          <cell r="E4639" t="str">
            <v>EDUC</v>
          </cell>
          <cell r="F4639" t="str">
            <v>EDUC-M</v>
          </cell>
          <cell r="G4639">
            <v>401</v>
          </cell>
          <cell r="H4639" t="str">
            <v>EDUC-M401</v>
          </cell>
          <cell r="K4639" t="str">
            <v>Manifold,Marjorie</v>
          </cell>
          <cell r="N4639" t="str">
            <v>NR</v>
          </cell>
          <cell r="O4639" t="str">
            <v>NR</v>
          </cell>
        </row>
        <row r="4640">
          <cell r="E4640" t="str">
            <v>EDUC</v>
          </cell>
          <cell r="F4640" t="str">
            <v>EDUC-M</v>
          </cell>
          <cell r="G4640">
            <v>401</v>
          </cell>
          <cell r="H4640" t="str">
            <v>EDUC-M401</v>
          </cell>
          <cell r="K4640" t="str">
            <v>Manifold,Marjorie</v>
          </cell>
          <cell r="N4640" t="str">
            <v>NR</v>
          </cell>
          <cell r="O4640" t="str">
            <v>NR</v>
          </cell>
        </row>
        <row r="4641">
          <cell r="E4641" t="str">
            <v>EDUC</v>
          </cell>
          <cell r="F4641" t="str">
            <v>EDUC-M</v>
          </cell>
          <cell r="G4641">
            <v>401</v>
          </cell>
          <cell r="H4641" t="str">
            <v>EDUC-M401</v>
          </cell>
          <cell r="K4641" t="str">
            <v>McClain,Leana Brunson</v>
          </cell>
          <cell r="N4641" t="str">
            <v>NR</v>
          </cell>
          <cell r="O4641" t="str">
            <v>NR</v>
          </cell>
        </row>
        <row r="4642">
          <cell r="E4642" t="str">
            <v>EDUC</v>
          </cell>
          <cell r="F4642" t="str">
            <v>EDUC-M</v>
          </cell>
          <cell r="G4642">
            <v>401</v>
          </cell>
          <cell r="H4642" t="str">
            <v>EDUC-M401</v>
          </cell>
          <cell r="K4642" t="str">
            <v>McClain,Leana Brunson</v>
          </cell>
          <cell r="N4642" t="str">
            <v>NR</v>
          </cell>
          <cell r="O4642" t="str">
            <v>NR</v>
          </cell>
        </row>
        <row r="4643">
          <cell r="E4643" t="str">
            <v>EDUC</v>
          </cell>
          <cell r="F4643" t="str">
            <v>EDUC-M</v>
          </cell>
          <cell r="G4643">
            <v>401</v>
          </cell>
          <cell r="H4643" t="str">
            <v>EDUC-M401</v>
          </cell>
          <cell r="K4643" t="str">
            <v>Piper,Amy Wickizer</v>
          </cell>
          <cell r="N4643" t="str">
            <v>NR</v>
          </cell>
          <cell r="O4643" t="str">
            <v>NR</v>
          </cell>
        </row>
        <row r="4644">
          <cell r="E4644" t="str">
            <v>EDUC</v>
          </cell>
          <cell r="F4644" t="str">
            <v>EDUC-M</v>
          </cell>
          <cell r="G4644">
            <v>401</v>
          </cell>
          <cell r="H4644" t="str">
            <v>EDUC-M401</v>
          </cell>
          <cell r="K4644" t="str">
            <v>Torres,Heidi Jo</v>
          </cell>
          <cell r="N4644" t="str">
            <v>NR</v>
          </cell>
          <cell r="O4644" t="str">
            <v>NR</v>
          </cell>
        </row>
        <row r="4645">
          <cell r="E4645" t="str">
            <v>EDUC</v>
          </cell>
          <cell r="F4645" t="str">
            <v>EDUC-M</v>
          </cell>
          <cell r="G4645">
            <v>403</v>
          </cell>
          <cell r="H4645" t="str">
            <v>EDUC-M403</v>
          </cell>
          <cell r="K4645" t="str">
            <v>Brown,James Scott</v>
          </cell>
          <cell r="N4645">
            <v>3.8620000000000001</v>
          </cell>
          <cell r="O4645">
            <v>3.3090000000000002</v>
          </cell>
        </row>
        <row r="4646">
          <cell r="E4646" t="str">
            <v>EDUC</v>
          </cell>
          <cell r="F4646" t="str">
            <v>EDUC-M</v>
          </cell>
          <cell r="G4646">
            <v>403</v>
          </cell>
          <cell r="H4646" t="str">
            <v>EDUC-M403</v>
          </cell>
          <cell r="K4646" t="str">
            <v>Brown,James Scott</v>
          </cell>
          <cell r="N4646">
            <v>3.9830000000000001</v>
          </cell>
          <cell r="O4646">
            <v>3.2629999999999999</v>
          </cell>
        </row>
        <row r="4647">
          <cell r="E4647" t="str">
            <v>EDUC</v>
          </cell>
          <cell r="F4647" t="str">
            <v>EDUC-M</v>
          </cell>
          <cell r="G4647">
            <v>403</v>
          </cell>
          <cell r="H4647" t="str">
            <v>EDUC-M403</v>
          </cell>
          <cell r="K4647" t="str">
            <v>Chapin,G Keith</v>
          </cell>
          <cell r="N4647" t="str">
            <v>NR</v>
          </cell>
          <cell r="O4647" t="str">
            <v>NR</v>
          </cell>
        </row>
        <row r="4648">
          <cell r="E4648" t="str">
            <v>EDUC</v>
          </cell>
          <cell r="F4648" t="str">
            <v>EDUC-M</v>
          </cell>
          <cell r="G4648">
            <v>403</v>
          </cell>
          <cell r="H4648" t="str">
            <v>EDUC-M403</v>
          </cell>
          <cell r="K4648" t="str">
            <v>Hunnicutt,Tyna Adel</v>
          </cell>
          <cell r="N4648" t="str">
            <v>NR</v>
          </cell>
          <cell r="O4648" t="str">
            <v>NR</v>
          </cell>
        </row>
        <row r="4649">
          <cell r="E4649" t="str">
            <v>EDUC</v>
          </cell>
          <cell r="F4649" t="str">
            <v>EDUC-M</v>
          </cell>
          <cell r="G4649">
            <v>403</v>
          </cell>
          <cell r="H4649" t="str">
            <v>EDUC-M403</v>
          </cell>
          <cell r="K4649" t="str">
            <v>Ivanova,Christina Louise</v>
          </cell>
          <cell r="N4649" t="str">
            <v>NR</v>
          </cell>
          <cell r="O4649" t="str">
            <v>NR</v>
          </cell>
        </row>
        <row r="4650">
          <cell r="E4650" t="str">
            <v>EDUC</v>
          </cell>
          <cell r="F4650" t="str">
            <v>EDUC-M</v>
          </cell>
          <cell r="G4650">
            <v>403</v>
          </cell>
          <cell r="H4650" t="str">
            <v>EDUC-M403</v>
          </cell>
          <cell r="K4650" t="str">
            <v>Ivanova,Christina Louise</v>
          </cell>
          <cell r="N4650" t="str">
            <v>NR</v>
          </cell>
          <cell r="O4650" t="str">
            <v>NR</v>
          </cell>
        </row>
        <row r="4651">
          <cell r="E4651" t="str">
            <v>EDUC</v>
          </cell>
          <cell r="F4651" t="str">
            <v>EDUC-M</v>
          </cell>
          <cell r="G4651">
            <v>403</v>
          </cell>
          <cell r="H4651" t="str">
            <v>EDUC-M403</v>
          </cell>
          <cell r="K4651" t="str">
            <v>McGregor,Carol Carew</v>
          </cell>
          <cell r="N4651" t="str">
            <v>NR</v>
          </cell>
          <cell r="O4651" t="str">
            <v>NR</v>
          </cell>
        </row>
        <row r="4652">
          <cell r="E4652" t="str">
            <v>EDUC</v>
          </cell>
          <cell r="F4652" t="str">
            <v>EDUC-M</v>
          </cell>
          <cell r="G4652">
            <v>403</v>
          </cell>
          <cell r="H4652" t="str">
            <v>EDUC-M403</v>
          </cell>
          <cell r="K4652" t="str">
            <v>Nyikos,Martha</v>
          </cell>
          <cell r="N4652" t="str">
            <v>NR</v>
          </cell>
          <cell r="O4652" t="str">
            <v>NR</v>
          </cell>
        </row>
        <row r="4653">
          <cell r="E4653" t="str">
            <v>EDUC</v>
          </cell>
          <cell r="F4653" t="str">
            <v>EDUC-M</v>
          </cell>
          <cell r="G4653">
            <v>403</v>
          </cell>
          <cell r="H4653" t="str">
            <v>EDUC-M403</v>
          </cell>
          <cell r="K4653" t="str">
            <v>Wilson,Patricia Jane</v>
          </cell>
          <cell r="N4653">
            <v>3.9849999999999999</v>
          </cell>
          <cell r="O4653">
            <v>3.2829999999999999</v>
          </cell>
        </row>
        <row r="4654">
          <cell r="E4654" t="str">
            <v>EDUC</v>
          </cell>
          <cell r="F4654" t="str">
            <v>EDUC-M</v>
          </cell>
          <cell r="G4654">
            <v>403</v>
          </cell>
          <cell r="H4654" t="str">
            <v>EDUC-M403</v>
          </cell>
          <cell r="K4654" t="str">
            <v>Yin,Xinying</v>
          </cell>
          <cell r="N4654">
            <v>3.9079999999999999</v>
          </cell>
          <cell r="O4654">
            <v>3.415</v>
          </cell>
        </row>
        <row r="4655">
          <cell r="E4655" t="str">
            <v>EDUC</v>
          </cell>
          <cell r="F4655" t="str">
            <v>EDUC-M</v>
          </cell>
          <cell r="G4655">
            <v>412</v>
          </cell>
          <cell r="H4655" t="str">
            <v>EDUC-M412</v>
          </cell>
          <cell r="K4655" t="str">
            <v>Ivanova,Christina Louise</v>
          </cell>
          <cell r="N4655">
            <v>3.6840000000000002</v>
          </cell>
          <cell r="O4655">
            <v>3.4929999999999999</v>
          </cell>
        </row>
        <row r="4656">
          <cell r="E4656" t="str">
            <v>EDUC</v>
          </cell>
          <cell r="F4656" t="str">
            <v>EDUC-M</v>
          </cell>
          <cell r="G4656">
            <v>412</v>
          </cell>
          <cell r="H4656" t="str">
            <v>EDUC-M412</v>
          </cell>
          <cell r="K4656" t="str">
            <v>Rust,Julie Elizabeth</v>
          </cell>
          <cell r="N4656">
            <v>3.6949999999999998</v>
          </cell>
          <cell r="O4656">
            <v>3.4510000000000001</v>
          </cell>
        </row>
        <row r="4657">
          <cell r="E4657" t="str">
            <v>EDUC</v>
          </cell>
          <cell r="F4657" t="str">
            <v>EDUC-M</v>
          </cell>
          <cell r="G4657">
            <v>416</v>
          </cell>
          <cell r="H4657" t="str">
            <v>EDUC-M416</v>
          </cell>
          <cell r="K4657" t="str">
            <v>Power-Carter,Stephanie Michelle</v>
          </cell>
          <cell r="N4657">
            <v>3.919</v>
          </cell>
          <cell r="O4657">
            <v>3.6019999999999999</v>
          </cell>
        </row>
        <row r="4658">
          <cell r="E4658" t="str">
            <v>EDUC</v>
          </cell>
          <cell r="F4658" t="str">
            <v>EDUC-M</v>
          </cell>
          <cell r="G4658">
            <v>416</v>
          </cell>
          <cell r="H4658" t="str">
            <v>EDUC-M416</v>
          </cell>
          <cell r="K4658" t="str">
            <v>Power-Carter,Stephanie Michelle</v>
          </cell>
          <cell r="N4658">
            <v>3.98</v>
          </cell>
          <cell r="O4658">
            <v>3.4169999999999998</v>
          </cell>
        </row>
        <row r="4659">
          <cell r="E4659" t="str">
            <v>EDUC</v>
          </cell>
          <cell r="F4659" t="str">
            <v>EDUC-M</v>
          </cell>
          <cell r="G4659">
            <v>420</v>
          </cell>
          <cell r="H4659" t="str">
            <v>EDUC-M420</v>
          </cell>
          <cell r="K4659" t="str">
            <v>Keller,Melissa</v>
          </cell>
          <cell r="N4659" t="str">
            <v>NR</v>
          </cell>
          <cell r="O4659" t="str">
            <v>NR</v>
          </cell>
        </row>
        <row r="4660">
          <cell r="E4660" t="str">
            <v>EDUC</v>
          </cell>
          <cell r="F4660" t="str">
            <v>EDUC-M</v>
          </cell>
          <cell r="G4660">
            <v>420</v>
          </cell>
          <cell r="H4660" t="str">
            <v>EDUC-M420</v>
          </cell>
          <cell r="K4660" t="str">
            <v>Keller,Melissa</v>
          </cell>
          <cell r="N4660" t="str">
            <v>NR</v>
          </cell>
          <cell r="O4660" t="str">
            <v>NR</v>
          </cell>
        </row>
        <row r="4661">
          <cell r="E4661" t="str">
            <v>EDUC</v>
          </cell>
          <cell r="F4661" t="str">
            <v>EDUC-M</v>
          </cell>
          <cell r="G4661">
            <v>420</v>
          </cell>
          <cell r="H4661" t="str">
            <v>EDUC-M420</v>
          </cell>
          <cell r="K4661" t="str">
            <v>Keller,Melissa</v>
          </cell>
          <cell r="N4661" t="str">
            <v>NR</v>
          </cell>
          <cell r="O4661" t="str">
            <v>NR</v>
          </cell>
        </row>
        <row r="4662">
          <cell r="E4662" t="str">
            <v>EDUC</v>
          </cell>
          <cell r="F4662" t="str">
            <v>EDUC-M</v>
          </cell>
          <cell r="G4662">
            <v>420</v>
          </cell>
          <cell r="H4662" t="str">
            <v>EDUC-M420</v>
          </cell>
          <cell r="K4662" t="str">
            <v>Shedd,Jill Denise</v>
          </cell>
          <cell r="N4662" t="str">
            <v>NR</v>
          </cell>
          <cell r="O4662" t="str">
            <v>NR</v>
          </cell>
        </row>
        <row r="4663">
          <cell r="E4663" t="str">
            <v>EDUC</v>
          </cell>
          <cell r="F4663" t="str">
            <v>EDUC-M</v>
          </cell>
          <cell r="G4663">
            <v>420</v>
          </cell>
          <cell r="H4663" t="str">
            <v>EDUC-M420</v>
          </cell>
          <cell r="K4663" t="str">
            <v>Shedd,Jill Denise</v>
          </cell>
          <cell r="N4663" t="str">
            <v>NR</v>
          </cell>
          <cell r="O4663" t="str">
            <v>NR</v>
          </cell>
        </row>
        <row r="4664">
          <cell r="E4664" t="str">
            <v>EDUC</v>
          </cell>
          <cell r="F4664" t="str">
            <v>EDUC-M</v>
          </cell>
          <cell r="G4664">
            <v>420</v>
          </cell>
          <cell r="H4664" t="str">
            <v>EDUC-M420</v>
          </cell>
          <cell r="K4664" t="str">
            <v>Shedd,Jill Denise</v>
          </cell>
          <cell r="N4664" t="str">
            <v>NR</v>
          </cell>
          <cell r="O4664" t="str">
            <v>NR</v>
          </cell>
        </row>
        <row r="4665">
          <cell r="E4665" t="str">
            <v>EDUC</v>
          </cell>
          <cell r="F4665" t="str">
            <v>EDUC-M</v>
          </cell>
          <cell r="G4665">
            <v>420</v>
          </cell>
          <cell r="H4665" t="str">
            <v>EDUC-M420</v>
          </cell>
          <cell r="K4665" t="str">
            <v>Shedd,Jill Denise</v>
          </cell>
          <cell r="N4665" t="str">
            <v>NR</v>
          </cell>
          <cell r="O4665" t="str">
            <v>NR</v>
          </cell>
        </row>
        <row r="4666">
          <cell r="E4666" t="str">
            <v>EDUC</v>
          </cell>
          <cell r="F4666" t="str">
            <v>EDUC-M</v>
          </cell>
          <cell r="G4666">
            <v>420</v>
          </cell>
          <cell r="H4666" t="str">
            <v>EDUC-M420</v>
          </cell>
          <cell r="K4666" t="str">
            <v>Shedd,Jill Denise</v>
          </cell>
          <cell r="N4666" t="str">
            <v>NR</v>
          </cell>
          <cell r="O4666" t="str">
            <v>NR</v>
          </cell>
        </row>
        <row r="4667">
          <cell r="E4667" t="str">
            <v>EDUC</v>
          </cell>
          <cell r="F4667" t="str">
            <v>EDUC-M</v>
          </cell>
          <cell r="G4667">
            <v>420</v>
          </cell>
          <cell r="H4667" t="str">
            <v>EDUC-M420</v>
          </cell>
          <cell r="K4667" t="str">
            <v>Wall-Marencik,Wendy Kay</v>
          </cell>
          <cell r="N4667" t="str">
            <v>NR</v>
          </cell>
          <cell r="O4667" t="str">
            <v>NR</v>
          </cell>
        </row>
        <row r="4668">
          <cell r="E4668" t="str">
            <v>EDUC</v>
          </cell>
          <cell r="F4668" t="str">
            <v>EDUC-M</v>
          </cell>
          <cell r="G4668">
            <v>421</v>
          </cell>
          <cell r="H4668" t="str">
            <v>EDUC-M421</v>
          </cell>
          <cell r="K4668" t="str">
            <v>Vesperman,Dean Patrick</v>
          </cell>
          <cell r="N4668">
            <v>3.7309999999999999</v>
          </cell>
          <cell r="O4668">
            <v>3.3090000000000002</v>
          </cell>
        </row>
        <row r="4669">
          <cell r="E4669" t="str">
            <v>EDUC</v>
          </cell>
          <cell r="F4669" t="str">
            <v>EDUC-M</v>
          </cell>
          <cell r="G4669">
            <v>421</v>
          </cell>
          <cell r="H4669" t="str">
            <v>EDUC-M421</v>
          </cell>
          <cell r="K4669" t="str">
            <v>Vesperman,Dean Patrick</v>
          </cell>
          <cell r="N4669">
            <v>3.9470000000000001</v>
          </cell>
          <cell r="O4669">
            <v>3.24</v>
          </cell>
        </row>
        <row r="4670">
          <cell r="E4670" t="str">
            <v>EDUC</v>
          </cell>
          <cell r="F4670" t="str">
            <v>EDUC-M</v>
          </cell>
          <cell r="G4670">
            <v>421</v>
          </cell>
          <cell r="H4670" t="str">
            <v>EDUC-M421</v>
          </cell>
          <cell r="K4670" t="str">
            <v>Vesperman,Dean Patrick</v>
          </cell>
          <cell r="N4670">
            <v>3.9</v>
          </cell>
          <cell r="O4670">
            <v>3.2829999999999999</v>
          </cell>
        </row>
        <row r="4671">
          <cell r="E4671" t="str">
            <v>EDUC</v>
          </cell>
          <cell r="F4671" t="str">
            <v>EDUC-M</v>
          </cell>
          <cell r="G4671">
            <v>422</v>
          </cell>
          <cell r="H4671" t="str">
            <v>EDUC-M422</v>
          </cell>
          <cell r="K4671" t="str">
            <v>Galindo,Enrique</v>
          </cell>
          <cell r="N4671">
            <v>3.95</v>
          </cell>
          <cell r="O4671">
            <v>3.5049999999999999</v>
          </cell>
        </row>
        <row r="4672">
          <cell r="E4672" t="str">
            <v>EDUC</v>
          </cell>
          <cell r="F4672" t="str">
            <v>EDUC-M</v>
          </cell>
          <cell r="G4672">
            <v>424</v>
          </cell>
          <cell r="H4672" t="str">
            <v>EDUC-M424</v>
          </cell>
          <cell r="K4672" t="str">
            <v>Shedd,Jill Denise</v>
          </cell>
          <cell r="N4672" t="str">
            <v>NR</v>
          </cell>
          <cell r="O4672" t="str">
            <v>NR</v>
          </cell>
        </row>
        <row r="4673">
          <cell r="E4673" t="str">
            <v>EDUC</v>
          </cell>
          <cell r="F4673" t="str">
            <v>EDUC-M</v>
          </cell>
          <cell r="G4673">
            <v>424</v>
          </cell>
          <cell r="H4673" t="str">
            <v>EDUC-M424</v>
          </cell>
          <cell r="K4673" t="str">
            <v>Shedd,Jill Denise</v>
          </cell>
          <cell r="N4673" t="str">
            <v>NR</v>
          </cell>
          <cell r="O4673" t="str">
            <v>NR</v>
          </cell>
        </row>
        <row r="4674">
          <cell r="E4674" t="str">
            <v>EDUC</v>
          </cell>
          <cell r="F4674" t="str">
            <v>EDUC-M</v>
          </cell>
          <cell r="G4674">
            <v>424</v>
          </cell>
          <cell r="H4674" t="str">
            <v>EDUC-M424</v>
          </cell>
          <cell r="K4674" t="str">
            <v>Stachowski,Laura L.</v>
          </cell>
          <cell r="N4674" t="str">
            <v>NR</v>
          </cell>
          <cell r="O4674" t="str">
            <v>NR</v>
          </cell>
        </row>
        <row r="4675">
          <cell r="E4675" t="str">
            <v>EDUC</v>
          </cell>
          <cell r="F4675" t="str">
            <v>EDUC-M</v>
          </cell>
          <cell r="G4675">
            <v>425</v>
          </cell>
          <cell r="H4675" t="str">
            <v>EDUC-M425</v>
          </cell>
          <cell r="K4675" t="str">
            <v>Shedd,Jill Denise</v>
          </cell>
          <cell r="N4675" t="str">
            <v>NR</v>
          </cell>
          <cell r="O4675" t="str">
            <v>NR</v>
          </cell>
        </row>
        <row r="4676">
          <cell r="E4676" t="str">
            <v>EDUC</v>
          </cell>
          <cell r="F4676" t="str">
            <v>EDUC-M</v>
          </cell>
          <cell r="G4676">
            <v>425</v>
          </cell>
          <cell r="H4676" t="str">
            <v>EDUC-M425</v>
          </cell>
          <cell r="K4676" t="str">
            <v>Shedd,Jill Denise</v>
          </cell>
          <cell r="N4676" t="str">
            <v>NR</v>
          </cell>
          <cell r="O4676" t="str">
            <v>NR</v>
          </cell>
        </row>
        <row r="4677">
          <cell r="E4677" t="str">
            <v>EDUC</v>
          </cell>
          <cell r="F4677" t="str">
            <v>EDUC-M</v>
          </cell>
          <cell r="G4677">
            <v>425</v>
          </cell>
          <cell r="H4677" t="str">
            <v>EDUC-M425</v>
          </cell>
          <cell r="K4677" t="str">
            <v>Shedd,Jill Denise</v>
          </cell>
          <cell r="N4677" t="str">
            <v>NR</v>
          </cell>
          <cell r="O4677" t="str">
            <v>NR</v>
          </cell>
        </row>
        <row r="4678">
          <cell r="E4678" t="str">
            <v>EDUC</v>
          </cell>
          <cell r="F4678" t="str">
            <v>EDUC-M</v>
          </cell>
          <cell r="G4678">
            <v>425</v>
          </cell>
          <cell r="H4678" t="str">
            <v>EDUC-M425</v>
          </cell>
          <cell r="K4678" t="str">
            <v>Shedd,Jill Denise</v>
          </cell>
          <cell r="N4678" t="str">
            <v>NR</v>
          </cell>
          <cell r="O4678" t="str">
            <v>NR</v>
          </cell>
        </row>
        <row r="4679">
          <cell r="E4679" t="str">
            <v>EDUC</v>
          </cell>
          <cell r="F4679" t="str">
            <v>EDUC-M</v>
          </cell>
          <cell r="G4679">
            <v>425</v>
          </cell>
          <cell r="H4679" t="str">
            <v>EDUC-M425</v>
          </cell>
          <cell r="K4679" t="str">
            <v>Shedd,Jill Denise</v>
          </cell>
          <cell r="N4679" t="str">
            <v>NR</v>
          </cell>
          <cell r="O4679" t="str">
            <v>NR</v>
          </cell>
        </row>
        <row r="4680">
          <cell r="E4680" t="str">
            <v>EDUC</v>
          </cell>
          <cell r="F4680" t="str">
            <v>EDUC-M</v>
          </cell>
          <cell r="G4680">
            <v>425</v>
          </cell>
          <cell r="H4680" t="str">
            <v>EDUC-M425</v>
          </cell>
          <cell r="K4680" t="str">
            <v>Shedd,Jill Denise</v>
          </cell>
          <cell r="N4680" t="str">
            <v>NR</v>
          </cell>
          <cell r="O4680" t="str">
            <v>NR</v>
          </cell>
        </row>
        <row r="4681">
          <cell r="E4681" t="str">
            <v>EDUC</v>
          </cell>
          <cell r="F4681" t="str">
            <v>EDUC-M</v>
          </cell>
          <cell r="G4681">
            <v>425</v>
          </cell>
          <cell r="H4681" t="str">
            <v>EDUC-M425</v>
          </cell>
          <cell r="K4681" t="str">
            <v>Shedd,Jill Denise</v>
          </cell>
          <cell r="N4681" t="str">
            <v>NR</v>
          </cell>
          <cell r="O4681" t="str">
            <v>NR</v>
          </cell>
        </row>
        <row r="4682">
          <cell r="E4682" t="str">
            <v>EDUC</v>
          </cell>
          <cell r="F4682" t="str">
            <v>EDUC-M</v>
          </cell>
          <cell r="G4682">
            <v>425</v>
          </cell>
          <cell r="H4682" t="str">
            <v>EDUC-M425</v>
          </cell>
          <cell r="K4682" t="str">
            <v>Stachowski,Laura L.</v>
          </cell>
          <cell r="N4682" t="str">
            <v>NR</v>
          </cell>
          <cell r="O4682" t="str">
            <v>NR</v>
          </cell>
        </row>
        <row r="4683">
          <cell r="E4683" t="str">
            <v>EDUC</v>
          </cell>
          <cell r="F4683" t="str">
            <v>EDUC-M</v>
          </cell>
          <cell r="G4683">
            <v>425</v>
          </cell>
          <cell r="H4683" t="str">
            <v>EDUC-M425</v>
          </cell>
          <cell r="K4683" t="str">
            <v>Stachowski,Laura L.</v>
          </cell>
          <cell r="N4683" t="str">
            <v>NR</v>
          </cell>
          <cell r="O4683" t="str">
            <v>NR</v>
          </cell>
        </row>
        <row r="4684">
          <cell r="E4684" t="str">
            <v>EDUC</v>
          </cell>
          <cell r="F4684" t="str">
            <v>EDUC-M</v>
          </cell>
          <cell r="G4684">
            <v>425</v>
          </cell>
          <cell r="H4684" t="str">
            <v>EDUC-M425</v>
          </cell>
          <cell r="K4684" t="str">
            <v>Stachowski,Laura L.</v>
          </cell>
          <cell r="N4684" t="str">
            <v>NR</v>
          </cell>
          <cell r="O4684" t="str">
            <v>NR</v>
          </cell>
        </row>
        <row r="4685">
          <cell r="E4685" t="str">
            <v>EDUC</v>
          </cell>
          <cell r="F4685" t="str">
            <v>EDUC-M</v>
          </cell>
          <cell r="G4685">
            <v>425</v>
          </cell>
          <cell r="H4685" t="str">
            <v>EDUC-M425</v>
          </cell>
          <cell r="K4685" t="str">
            <v>Stachowski,Laura L.</v>
          </cell>
          <cell r="N4685" t="str">
            <v>NR</v>
          </cell>
          <cell r="O4685" t="str">
            <v>NR</v>
          </cell>
        </row>
        <row r="4686">
          <cell r="E4686" t="str">
            <v>EDUC</v>
          </cell>
          <cell r="F4686" t="str">
            <v>EDUC-M</v>
          </cell>
          <cell r="G4686">
            <v>428</v>
          </cell>
          <cell r="H4686" t="str">
            <v>EDUC-M428</v>
          </cell>
          <cell r="K4686" t="str">
            <v>Poage,Kristin L</v>
          </cell>
          <cell r="N4686">
            <v>4</v>
          </cell>
          <cell r="O4686">
            <v>3.4860000000000002</v>
          </cell>
        </row>
        <row r="4687">
          <cell r="E4687" t="str">
            <v>EDUC</v>
          </cell>
          <cell r="F4687" t="str">
            <v>EDUC-M</v>
          </cell>
          <cell r="G4687">
            <v>430</v>
          </cell>
          <cell r="H4687" t="str">
            <v>EDUC-M430</v>
          </cell>
          <cell r="K4687" t="str">
            <v>Manifold,Marjorie</v>
          </cell>
          <cell r="N4687">
            <v>4</v>
          </cell>
          <cell r="O4687">
            <v>3.2709999999999999</v>
          </cell>
        </row>
        <row r="4688">
          <cell r="E4688" t="str">
            <v>EDUC</v>
          </cell>
          <cell r="F4688" t="str">
            <v>EDUC-M</v>
          </cell>
          <cell r="G4688">
            <v>432</v>
          </cell>
          <cell r="H4688" t="str">
            <v>EDUC-M432</v>
          </cell>
          <cell r="K4688" t="str">
            <v>Bastos,Maria-Thereza Xavier</v>
          </cell>
          <cell r="N4688">
            <v>3.8359999999999999</v>
          </cell>
          <cell r="O4688">
            <v>3.5</v>
          </cell>
        </row>
        <row r="4689">
          <cell r="E4689" t="str">
            <v>EDUC</v>
          </cell>
          <cell r="F4689" t="str">
            <v>EDUC-M</v>
          </cell>
          <cell r="G4689">
            <v>434</v>
          </cell>
          <cell r="H4689" t="str">
            <v>EDUC-M434</v>
          </cell>
          <cell r="K4689" t="str">
            <v>Gershman,Jeff</v>
          </cell>
          <cell r="N4689">
            <v>3.5920000000000001</v>
          </cell>
          <cell r="O4689">
            <v>3.6659999999999999</v>
          </cell>
        </row>
        <row r="4690">
          <cell r="E4690" t="str">
            <v>EDUC</v>
          </cell>
          <cell r="F4690" t="str">
            <v>EDUC-M</v>
          </cell>
          <cell r="G4690">
            <v>434</v>
          </cell>
          <cell r="H4690" t="str">
            <v>EDUC-M434</v>
          </cell>
          <cell r="K4690" t="str">
            <v>Gershman,Jeff</v>
          </cell>
          <cell r="N4690" t="str">
            <v>NR</v>
          </cell>
          <cell r="O4690" t="str">
            <v>NR</v>
          </cell>
        </row>
        <row r="4691">
          <cell r="E4691" t="str">
            <v>EDUC</v>
          </cell>
          <cell r="F4691" t="str">
            <v>EDUC-M</v>
          </cell>
          <cell r="G4691">
            <v>436</v>
          </cell>
          <cell r="H4691" t="str">
            <v>EDUC-M436</v>
          </cell>
          <cell r="K4691" t="str">
            <v>Gershman,Jeff</v>
          </cell>
          <cell r="N4691" t="str">
            <v>NR</v>
          </cell>
          <cell r="O4691" t="str">
            <v>NR</v>
          </cell>
        </row>
        <row r="4692">
          <cell r="E4692" t="str">
            <v>EDUC</v>
          </cell>
          <cell r="F4692" t="str">
            <v>EDUC-M</v>
          </cell>
          <cell r="G4692">
            <v>436</v>
          </cell>
          <cell r="H4692" t="str">
            <v>EDUC-M436</v>
          </cell>
          <cell r="K4692" t="str">
            <v>Gershman,Jeff</v>
          </cell>
          <cell r="N4692" t="str">
            <v>NR</v>
          </cell>
          <cell r="O4692" t="str">
            <v>NR</v>
          </cell>
        </row>
        <row r="4693">
          <cell r="E4693" t="str">
            <v>EDUC</v>
          </cell>
          <cell r="F4693" t="str">
            <v>EDUC-M</v>
          </cell>
          <cell r="G4693">
            <v>441</v>
          </cell>
          <cell r="H4693" t="str">
            <v>EDUC-M441</v>
          </cell>
          <cell r="K4693" t="str">
            <v>Barton,Keith Casey</v>
          </cell>
          <cell r="N4693" t="str">
            <v>NR</v>
          </cell>
          <cell r="O4693" t="str">
            <v>NR</v>
          </cell>
        </row>
        <row r="4694">
          <cell r="E4694" t="str">
            <v>EDUC</v>
          </cell>
          <cell r="F4694" t="str">
            <v>EDUC-M</v>
          </cell>
          <cell r="G4694">
            <v>445</v>
          </cell>
          <cell r="H4694" t="str">
            <v>EDUC-M445</v>
          </cell>
          <cell r="K4694" t="str">
            <v>Nyikos,Martha</v>
          </cell>
          <cell r="N4694">
            <v>3.617</v>
          </cell>
          <cell r="O4694">
            <v>3.5030000000000001</v>
          </cell>
        </row>
        <row r="4695">
          <cell r="E4695" t="str">
            <v>EDUC</v>
          </cell>
          <cell r="F4695" t="str">
            <v>EDUC-M</v>
          </cell>
          <cell r="G4695">
            <v>446</v>
          </cell>
          <cell r="H4695" t="str">
            <v>EDUC-M446</v>
          </cell>
          <cell r="K4695" t="str">
            <v>Schick,Jean Katherine</v>
          </cell>
          <cell r="N4695">
            <v>3.38</v>
          </cell>
          <cell r="O4695">
            <v>3.3780000000000001</v>
          </cell>
        </row>
        <row r="4696">
          <cell r="E4696" t="str">
            <v>EDUC</v>
          </cell>
          <cell r="F4696" t="str">
            <v>EDUC-M</v>
          </cell>
          <cell r="G4696">
            <v>454</v>
          </cell>
          <cell r="H4696" t="str">
            <v>EDUC-M454</v>
          </cell>
          <cell r="K4696" t="str">
            <v>Waggoner,Lottie L</v>
          </cell>
          <cell r="N4696">
            <v>3.93</v>
          </cell>
          <cell r="O4696">
            <v>3.24</v>
          </cell>
        </row>
        <row r="4697">
          <cell r="E4697" t="str">
            <v>EDUC</v>
          </cell>
          <cell r="F4697" t="str">
            <v>EDUC-M</v>
          </cell>
          <cell r="G4697">
            <v>454</v>
          </cell>
          <cell r="H4697" t="str">
            <v>EDUC-M454</v>
          </cell>
          <cell r="K4697" t="str">
            <v>Waggoner,Lottie L</v>
          </cell>
          <cell r="N4697">
            <v>3.883</v>
          </cell>
          <cell r="O4697">
            <v>3.1920000000000002</v>
          </cell>
        </row>
        <row r="4698">
          <cell r="E4698" t="str">
            <v>EDUC</v>
          </cell>
          <cell r="F4698" t="str">
            <v>EDUC-M</v>
          </cell>
          <cell r="G4698">
            <v>456</v>
          </cell>
          <cell r="H4698" t="str">
            <v>EDUC-M456</v>
          </cell>
          <cell r="K4698" t="str">
            <v>Chapin,G Keith</v>
          </cell>
          <cell r="N4698">
            <v>3.2930000000000001</v>
          </cell>
          <cell r="O4698">
            <v>3.1549999999999998</v>
          </cell>
        </row>
        <row r="4699">
          <cell r="E4699" t="str">
            <v>EDUC</v>
          </cell>
          <cell r="F4699" t="str">
            <v>EDUC-M</v>
          </cell>
          <cell r="G4699">
            <v>463</v>
          </cell>
          <cell r="H4699" t="str">
            <v>EDUC-M463</v>
          </cell>
          <cell r="K4699" t="str">
            <v>Piper,Amy Wickizer</v>
          </cell>
          <cell r="N4699">
            <v>3.74</v>
          </cell>
          <cell r="O4699">
            <v>3.7610000000000001</v>
          </cell>
        </row>
        <row r="4700">
          <cell r="E4700" t="str">
            <v>EDUC</v>
          </cell>
          <cell r="F4700" t="str">
            <v>EDUC-M</v>
          </cell>
          <cell r="G4700">
            <v>464</v>
          </cell>
          <cell r="H4700" t="str">
            <v>EDUC-M464</v>
          </cell>
          <cell r="K4700" t="str">
            <v>Koshino,Kako</v>
          </cell>
          <cell r="N4700">
            <v>3.931</v>
          </cell>
          <cell r="O4700">
            <v>3.3340000000000001</v>
          </cell>
        </row>
        <row r="4701">
          <cell r="E4701" t="str">
            <v>EDUC</v>
          </cell>
          <cell r="F4701" t="str">
            <v>EDUC-M</v>
          </cell>
          <cell r="G4701">
            <v>464</v>
          </cell>
          <cell r="H4701" t="str">
            <v>EDUC-M464</v>
          </cell>
          <cell r="K4701" t="str">
            <v>Smith,Walter Raymond</v>
          </cell>
          <cell r="N4701">
            <v>3.7570000000000001</v>
          </cell>
          <cell r="O4701">
            <v>3.431</v>
          </cell>
        </row>
        <row r="4702">
          <cell r="E4702" t="str">
            <v>EDUC</v>
          </cell>
          <cell r="F4702" t="str">
            <v>EDUC-M</v>
          </cell>
          <cell r="G4702">
            <v>469</v>
          </cell>
          <cell r="H4702" t="str">
            <v>EDUC-M469</v>
          </cell>
          <cell r="K4702" t="str">
            <v>Jordan,Sheri</v>
          </cell>
          <cell r="N4702">
            <v>3.5670000000000002</v>
          </cell>
          <cell r="O4702">
            <v>3.1840000000000002</v>
          </cell>
        </row>
        <row r="4703">
          <cell r="E4703" t="str">
            <v>EDUC</v>
          </cell>
          <cell r="F4703" t="str">
            <v>EDUC-M</v>
          </cell>
          <cell r="G4703">
            <v>469</v>
          </cell>
          <cell r="H4703" t="str">
            <v>EDUC-M469</v>
          </cell>
          <cell r="K4703" t="str">
            <v>Jordan,Sheri</v>
          </cell>
          <cell r="N4703">
            <v>3.6</v>
          </cell>
          <cell r="O4703">
            <v>3.5009999999999999</v>
          </cell>
        </row>
        <row r="4704">
          <cell r="E4704" t="str">
            <v>EDUC</v>
          </cell>
          <cell r="F4704" t="str">
            <v>EDUC-M</v>
          </cell>
          <cell r="G4704">
            <v>469</v>
          </cell>
          <cell r="H4704" t="str">
            <v>EDUC-M469</v>
          </cell>
          <cell r="K4704" t="str">
            <v>Rust,Julie Elizabeth</v>
          </cell>
          <cell r="N4704">
            <v>3.8420000000000001</v>
          </cell>
          <cell r="O4704">
            <v>3.4969999999999999</v>
          </cell>
        </row>
        <row r="4705">
          <cell r="E4705" t="str">
            <v>EDUC</v>
          </cell>
          <cell r="F4705" t="str">
            <v>EDUC-M</v>
          </cell>
          <cell r="G4705">
            <v>469</v>
          </cell>
          <cell r="H4705" t="str">
            <v>EDUC-M469</v>
          </cell>
          <cell r="K4705" t="str">
            <v>Smith,Walter Raymond</v>
          </cell>
          <cell r="N4705">
            <v>3.738</v>
          </cell>
          <cell r="O4705">
            <v>3.4260000000000002</v>
          </cell>
        </row>
        <row r="4706">
          <cell r="E4706" t="str">
            <v>EDUC</v>
          </cell>
          <cell r="F4706" t="str">
            <v>EDUC-M</v>
          </cell>
          <cell r="G4706">
            <v>469</v>
          </cell>
          <cell r="H4706" t="str">
            <v>EDUC-M469</v>
          </cell>
          <cell r="K4706" t="str">
            <v>Smith,Walter Raymond</v>
          </cell>
          <cell r="N4706">
            <v>3.94</v>
          </cell>
          <cell r="O4706">
            <v>3.472</v>
          </cell>
        </row>
        <row r="4707">
          <cell r="E4707" t="str">
            <v>EDUC</v>
          </cell>
          <cell r="F4707" t="str">
            <v>EDUC-M</v>
          </cell>
          <cell r="G4707">
            <v>469</v>
          </cell>
          <cell r="H4707" t="str">
            <v>EDUC-M469</v>
          </cell>
          <cell r="K4707" t="str">
            <v>Smith,Walter Raymond</v>
          </cell>
          <cell r="N4707">
            <v>3.8580000000000001</v>
          </cell>
          <cell r="O4707">
            <v>3.2909999999999999</v>
          </cell>
        </row>
        <row r="4708">
          <cell r="E4708" t="str">
            <v>EDUC</v>
          </cell>
          <cell r="F4708" t="str">
            <v>EDUC-M</v>
          </cell>
          <cell r="G4708">
            <v>469</v>
          </cell>
          <cell r="H4708" t="str">
            <v>EDUC-M469</v>
          </cell>
          <cell r="K4708" t="str">
            <v>Warren,Amber Nichelle</v>
          </cell>
          <cell r="N4708">
            <v>3.5230000000000001</v>
          </cell>
          <cell r="O4708">
            <v>3.5249999999999999</v>
          </cell>
        </row>
        <row r="4709">
          <cell r="E4709" t="str">
            <v>EDUC</v>
          </cell>
          <cell r="F4709" t="str">
            <v>EDUC-M</v>
          </cell>
          <cell r="G4709">
            <v>470</v>
          </cell>
          <cell r="H4709" t="str">
            <v>EDUC-M470</v>
          </cell>
          <cell r="K4709" t="str">
            <v>Butera,Gretchen Digman</v>
          </cell>
          <cell r="N4709" t="str">
            <v>NR</v>
          </cell>
          <cell r="O4709" t="str">
            <v>NR</v>
          </cell>
        </row>
        <row r="4710">
          <cell r="E4710" t="str">
            <v>EDUC</v>
          </cell>
          <cell r="F4710" t="str">
            <v>EDUC-M</v>
          </cell>
          <cell r="G4710">
            <v>470</v>
          </cell>
          <cell r="H4710" t="str">
            <v>EDUC-M470</v>
          </cell>
          <cell r="K4710" t="str">
            <v>Butera,Gretchen Digman</v>
          </cell>
          <cell r="N4710" t="str">
            <v>NR</v>
          </cell>
          <cell r="O4710" t="str">
            <v>NR</v>
          </cell>
        </row>
        <row r="4711">
          <cell r="E4711" t="str">
            <v>EDUC</v>
          </cell>
          <cell r="F4711" t="str">
            <v>EDUC-M</v>
          </cell>
          <cell r="G4711">
            <v>470</v>
          </cell>
          <cell r="H4711" t="str">
            <v>EDUC-M470</v>
          </cell>
          <cell r="K4711" t="str">
            <v>Shedd,Jill Denise</v>
          </cell>
          <cell r="N4711" t="str">
            <v>NR</v>
          </cell>
          <cell r="O4711" t="str">
            <v>NR</v>
          </cell>
        </row>
        <row r="4712">
          <cell r="E4712" t="str">
            <v>EDUC</v>
          </cell>
          <cell r="F4712" t="str">
            <v>EDUC-M</v>
          </cell>
          <cell r="G4712">
            <v>470</v>
          </cell>
          <cell r="H4712" t="str">
            <v>EDUC-M470</v>
          </cell>
          <cell r="K4712" t="str">
            <v>Shedd,Jill Denise</v>
          </cell>
          <cell r="N4712" t="str">
            <v>NR</v>
          </cell>
          <cell r="O4712" t="str">
            <v>NR</v>
          </cell>
        </row>
        <row r="4713">
          <cell r="E4713" t="str">
            <v>EDUC</v>
          </cell>
          <cell r="F4713" t="str">
            <v>EDUC-M</v>
          </cell>
          <cell r="G4713">
            <v>470</v>
          </cell>
          <cell r="H4713" t="str">
            <v>EDUC-M470</v>
          </cell>
          <cell r="K4713" t="str">
            <v>Shedd,Jill Denise</v>
          </cell>
          <cell r="N4713" t="str">
            <v>NR</v>
          </cell>
          <cell r="O4713" t="str">
            <v>NR</v>
          </cell>
        </row>
        <row r="4714">
          <cell r="E4714" t="str">
            <v>EDUC</v>
          </cell>
          <cell r="F4714" t="str">
            <v>EDUC-M</v>
          </cell>
          <cell r="G4714">
            <v>470</v>
          </cell>
          <cell r="H4714" t="str">
            <v>EDUC-M470</v>
          </cell>
          <cell r="K4714" t="str">
            <v>Shedd,Jill Denise</v>
          </cell>
          <cell r="N4714" t="str">
            <v>NR</v>
          </cell>
          <cell r="O4714" t="str">
            <v>NR</v>
          </cell>
        </row>
        <row r="4715">
          <cell r="E4715" t="str">
            <v>EDUC</v>
          </cell>
          <cell r="F4715" t="str">
            <v>EDUC-M</v>
          </cell>
          <cell r="G4715">
            <v>470</v>
          </cell>
          <cell r="H4715" t="str">
            <v>EDUC-M470</v>
          </cell>
          <cell r="K4715" t="str">
            <v>Shedd,Jill Denise</v>
          </cell>
          <cell r="N4715" t="str">
            <v>NR</v>
          </cell>
          <cell r="O4715" t="str">
            <v>NR</v>
          </cell>
        </row>
        <row r="4716">
          <cell r="E4716" t="str">
            <v>EDUC</v>
          </cell>
          <cell r="F4716" t="str">
            <v>EDUC-M</v>
          </cell>
          <cell r="G4716">
            <v>470</v>
          </cell>
          <cell r="H4716" t="str">
            <v>EDUC-M470</v>
          </cell>
          <cell r="K4716" t="str">
            <v>Shedd,Jill Denise</v>
          </cell>
          <cell r="N4716" t="str">
            <v>NR</v>
          </cell>
          <cell r="O4716" t="str">
            <v>NR</v>
          </cell>
        </row>
        <row r="4717">
          <cell r="E4717" t="str">
            <v>EDUC</v>
          </cell>
          <cell r="F4717" t="str">
            <v>EDUC-M</v>
          </cell>
          <cell r="G4717">
            <v>470</v>
          </cell>
          <cell r="H4717" t="str">
            <v>EDUC-M470</v>
          </cell>
          <cell r="K4717" t="str">
            <v>Shedd,Jill Denise</v>
          </cell>
          <cell r="N4717" t="str">
            <v>NR</v>
          </cell>
          <cell r="O4717" t="str">
            <v>NR</v>
          </cell>
        </row>
        <row r="4718">
          <cell r="E4718" t="str">
            <v>EDUC</v>
          </cell>
          <cell r="F4718" t="str">
            <v>EDUC-M</v>
          </cell>
          <cell r="G4718">
            <v>470</v>
          </cell>
          <cell r="H4718" t="str">
            <v>EDUC-M470</v>
          </cell>
          <cell r="K4718" t="str">
            <v>Shedd,Jill Denise</v>
          </cell>
          <cell r="N4718" t="str">
            <v>NR</v>
          </cell>
          <cell r="O4718" t="str">
            <v>NR</v>
          </cell>
        </row>
        <row r="4719">
          <cell r="E4719" t="str">
            <v>EDUC</v>
          </cell>
          <cell r="F4719" t="str">
            <v>EDUC-M</v>
          </cell>
          <cell r="G4719">
            <v>470</v>
          </cell>
          <cell r="H4719" t="str">
            <v>EDUC-M470</v>
          </cell>
          <cell r="K4719" t="str">
            <v>Stachowski,Laura L.</v>
          </cell>
          <cell r="N4719" t="str">
            <v>NR</v>
          </cell>
          <cell r="O4719" t="str">
            <v>NR</v>
          </cell>
        </row>
        <row r="4720">
          <cell r="E4720" t="str">
            <v>EDUC</v>
          </cell>
          <cell r="F4720" t="str">
            <v>EDUC-M</v>
          </cell>
          <cell r="G4720">
            <v>470</v>
          </cell>
          <cell r="H4720" t="str">
            <v>EDUC-M470</v>
          </cell>
          <cell r="K4720" t="str">
            <v>Stachowski,Laura L.</v>
          </cell>
          <cell r="N4720" t="str">
            <v>NR</v>
          </cell>
          <cell r="O4720" t="str">
            <v>NR</v>
          </cell>
        </row>
        <row r="4721">
          <cell r="E4721" t="str">
            <v>EDUC</v>
          </cell>
          <cell r="F4721" t="str">
            <v>EDUC-M</v>
          </cell>
          <cell r="G4721">
            <v>470</v>
          </cell>
          <cell r="H4721" t="str">
            <v>EDUC-M470</v>
          </cell>
          <cell r="K4721" t="str">
            <v>Stachowski,Laura L.</v>
          </cell>
          <cell r="N4721" t="str">
            <v>NR</v>
          </cell>
          <cell r="O4721" t="str">
            <v>NR</v>
          </cell>
        </row>
        <row r="4722">
          <cell r="E4722" t="str">
            <v>EDUC</v>
          </cell>
          <cell r="F4722" t="str">
            <v>EDUC-M</v>
          </cell>
          <cell r="G4722">
            <v>470</v>
          </cell>
          <cell r="H4722" t="str">
            <v>EDUC-M470</v>
          </cell>
          <cell r="K4722" t="str">
            <v>Stachowski,Laura L.</v>
          </cell>
          <cell r="N4722" t="str">
            <v>NR</v>
          </cell>
          <cell r="O4722" t="str">
            <v>NR</v>
          </cell>
        </row>
        <row r="4723">
          <cell r="E4723" t="str">
            <v>EDUC</v>
          </cell>
          <cell r="F4723" t="str">
            <v>EDUC-M</v>
          </cell>
          <cell r="G4723">
            <v>470</v>
          </cell>
          <cell r="H4723" t="str">
            <v>EDUC-M470</v>
          </cell>
          <cell r="K4723" t="str">
            <v>Stachowski,Laura L.</v>
          </cell>
          <cell r="N4723" t="str">
            <v>NR</v>
          </cell>
          <cell r="O4723" t="str">
            <v>NR</v>
          </cell>
        </row>
        <row r="4724">
          <cell r="E4724" t="str">
            <v>EDUC</v>
          </cell>
          <cell r="F4724" t="str">
            <v>EDUC-M</v>
          </cell>
          <cell r="G4724">
            <v>470</v>
          </cell>
          <cell r="H4724" t="str">
            <v>EDUC-M470</v>
          </cell>
          <cell r="K4724" t="str">
            <v>Stachowski,Laura L.</v>
          </cell>
          <cell r="N4724" t="str">
            <v>NR</v>
          </cell>
          <cell r="O4724" t="str">
            <v>NR</v>
          </cell>
        </row>
        <row r="4725">
          <cell r="E4725" t="str">
            <v>EDUC</v>
          </cell>
          <cell r="F4725" t="str">
            <v>EDUC-M</v>
          </cell>
          <cell r="G4725">
            <v>470</v>
          </cell>
          <cell r="H4725" t="str">
            <v>EDUC-M470</v>
          </cell>
          <cell r="K4725" t="str">
            <v>Stachowski,Laura L.</v>
          </cell>
          <cell r="N4725" t="str">
            <v>NR</v>
          </cell>
          <cell r="O4725" t="str">
            <v>NR</v>
          </cell>
        </row>
        <row r="4726">
          <cell r="E4726" t="str">
            <v>EDUC</v>
          </cell>
          <cell r="F4726" t="str">
            <v>EDUC-M</v>
          </cell>
          <cell r="G4726">
            <v>470</v>
          </cell>
          <cell r="H4726" t="str">
            <v>EDUC-M470</v>
          </cell>
          <cell r="K4726" t="str">
            <v>Stachowski,Laura L.</v>
          </cell>
          <cell r="N4726" t="str">
            <v>NR</v>
          </cell>
          <cell r="O4726" t="str">
            <v>NR</v>
          </cell>
        </row>
        <row r="4727">
          <cell r="E4727" t="str">
            <v>EDUC</v>
          </cell>
          <cell r="F4727" t="str">
            <v>EDUC-M</v>
          </cell>
          <cell r="G4727">
            <v>480</v>
          </cell>
          <cell r="H4727" t="str">
            <v>EDUC-M480</v>
          </cell>
          <cell r="K4727" t="str">
            <v>Butera,Gretchen Digman</v>
          </cell>
          <cell r="N4727" t="str">
            <v>NR</v>
          </cell>
          <cell r="O4727" t="str">
            <v>NR</v>
          </cell>
        </row>
        <row r="4728">
          <cell r="E4728" t="str">
            <v>EDUC</v>
          </cell>
          <cell r="F4728" t="str">
            <v>EDUC-M</v>
          </cell>
          <cell r="G4728">
            <v>480</v>
          </cell>
          <cell r="H4728" t="str">
            <v>EDUC-M480</v>
          </cell>
          <cell r="K4728" t="str">
            <v>Kunzman,Robert</v>
          </cell>
          <cell r="N4728" t="str">
            <v>NR</v>
          </cell>
          <cell r="O4728" t="str">
            <v>NR</v>
          </cell>
        </row>
        <row r="4729">
          <cell r="E4729" t="str">
            <v>EDUC</v>
          </cell>
          <cell r="F4729" t="str">
            <v>EDUC-M</v>
          </cell>
          <cell r="G4729">
            <v>480</v>
          </cell>
          <cell r="H4729" t="str">
            <v>EDUC-M480</v>
          </cell>
          <cell r="K4729" t="str">
            <v>Shedd,Jill Denise</v>
          </cell>
          <cell r="N4729" t="str">
            <v>NR</v>
          </cell>
          <cell r="O4729" t="str">
            <v>NR</v>
          </cell>
        </row>
        <row r="4730">
          <cell r="E4730" t="str">
            <v>EDUC</v>
          </cell>
          <cell r="F4730" t="str">
            <v>EDUC-M</v>
          </cell>
          <cell r="G4730">
            <v>480</v>
          </cell>
          <cell r="H4730" t="str">
            <v>EDUC-M480</v>
          </cell>
          <cell r="K4730" t="str">
            <v>Shedd,Jill Denise</v>
          </cell>
          <cell r="N4730" t="str">
            <v>NR</v>
          </cell>
          <cell r="O4730" t="str">
            <v>NR</v>
          </cell>
        </row>
        <row r="4731">
          <cell r="E4731" t="str">
            <v>EDUC</v>
          </cell>
          <cell r="F4731" t="str">
            <v>EDUC-M</v>
          </cell>
          <cell r="G4731">
            <v>480</v>
          </cell>
          <cell r="H4731" t="str">
            <v>EDUC-M480</v>
          </cell>
          <cell r="K4731" t="str">
            <v>Shedd,Jill Denise</v>
          </cell>
          <cell r="N4731" t="str">
            <v>NR</v>
          </cell>
          <cell r="O4731" t="str">
            <v>NR</v>
          </cell>
        </row>
        <row r="4732">
          <cell r="E4732" t="str">
            <v>EDUC</v>
          </cell>
          <cell r="F4732" t="str">
            <v>EDUC-M</v>
          </cell>
          <cell r="G4732">
            <v>480</v>
          </cell>
          <cell r="H4732" t="str">
            <v>EDUC-M480</v>
          </cell>
          <cell r="K4732" t="str">
            <v>Shedd,Jill Denise</v>
          </cell>
          <cell r="N4732" t="str">
            <v>NR</v>
          </cell>
          <cell r="O4732" t="str">
            <v>NR</v>
          </cell>
        </row>
        <row r="4733">
          <cell r="E4733" t="str">
            <v>EDUC</v>
          </cell>
          <cell r="F4733" t="str">
            <v>EDUC-M</v>
          </cell>
          <cell r="G4733">
            <v>480</v>
          </cell>
          <cell r="H4733" t="str">
            <v>EDUC-M480</v>
          </cell>
          <cell r="K4733" t="str">
            <v>Stachowski,Laura L.</v>
          </cell>
          <cell r="N4733" t="str">
            <v>NR</v>
          </cell>
          <cell r="O4733" t="str">
            <v>NR</v>
          </cell>
        </row>
        <row r="4734">
          <cell r="E4734" t="str">
            <v>EDUC</v>
          </cell>
          <cell r="F4734" t="str">
            <v>EDUC-M</v>
          </cell>
          <cell r="G4734">
            <v>480</v>
          </cell>
          <cell r="H4734" t="str">
            <v>EDUC-M480</v>
          </cell>
          <cell r="K4734" t="str">
            <v>Stachowski,Laura L.</v>
          </cell>
          <cell r="N4734" t="str">
            <v>NR</v>
          </cell>
          <cell r="O4734" t="str">
            <v>NR</v>
          </cell>
        </row>
        <row r="4735">
          <cell r="E4735" t="str">
            <v>EDUC</v>
          </cell>
          <cell r="F4735" t="str">
            <v>EDUC-M</v>
          </cell>
          <cell r="G4735">
            <v>482</v>
          </cell>
          <cell r="H4735" t="str">
            <v>EDUC-M482</v>
          </cell>
          <cell r="K4735" t="str">
            <v>Shedd,Jill Denise</v>
          </cell>
          <cell r="N4735" t="str">
            <v>NR</v>
          </cell>
          <cell r="O4735" t="str">
            <v>NR</v>
          </cell>
        </row>
        <row r="4736">
          <cell r="E4736" t="str">
            <v>EDUC</v>
          </cell>
          <cell r="F4736" t="str">
            <v>EDUC-M</v>
          </cell>
          <cell r="G4736">
            <v>482</v>
          </cell>
          <cell r="H4736" t="str">
            <v>EDUC-M482</v>
          </cell>
          <cell r="K4736" t="str">
            <v>Shedd,Jill Denise</v>
          </cell>
          <cell r="N4736" t="str">
            <v>NR</v>
          </cell>
          <cell r="O4736" t="str">
            <v>NR</v>
          </cell>
        </row>
        <row r="4737">
          <cell r="E4737" t="str">
            <v>EDUC</v>
          </cell>
          <cell r="F4737" t="str">
            <v>EDUC-M</v>
          </cell>
          <cell r="G4737">
            <v>482</v>
          </cell>
          <cell r="H4737" t="str">
            <v>EDUC-M482</v>
          </cell>
          <cell r="K4737" t="str">
            <v>Stachowski,Laura L.</v>
          </cell>
          <cell r="N4737" t="str">
            <v>NR</v>
          </cell>
          <cell r="O4737" t="str">
            <v>NR</v>
          </cell>
        </row>
        <row r="4738">
          <cell r="E4738" t="str">
            <v>EDUC</v>
          </cell>
          <cell r="F4738" t="str">
            <v>EDUC-M</v>
          </cell>
          <cell r="G4738">
            <v>482</v>
          </cell>
          <cell r="H4738" t="str">
            <v>EDUC-M482</v>
          </cell>
          <cell r="K4738" t="str">
            <v>Stachowski,Laura L.</v>
          </cell>
          <cell r="N4738" t="str">
            <v>NR</v>
          </cell>
          <cell r="O4738" t="str">
            <v>NR</v>
          </cell>
        </row>
        <row r="4739">
          <cell r="E4739" t="str">
            <v>EDUC</v>
          </cell>
          <cell r="F4739" t="str">
            <v>EDUC-M</v>
          </cell>
          <cell r="G4739">
            <v>500</v>
          </cell>
          <cell r="H4739" t="str">
            <v>EDUC-M500</v>
          </cell>
          <cell r="K4739" t="str">
            <v>Edmonds,Ben C.</v>
          </cell>
          <cell r="N4739" t="str">
            <v>NR</v>
          </cell>
          <cell r="O4739" t="str">
            <v>NR</v>
          </cell>
        </row>
        <row r="4740">
          <cell r="E4740" t="str">
            <v>EDUC</v>
          </cell>
          <cell r="F4740" t="str">
            <v>EDUC-M</v>
          </cell>
          <cell r="G4740">
            <v>500</v>
          </cell>
          <cell r="H4740" t="str">
            <v>EDUC-M500</v>
          </cell>
          <cell r="K4740" t="str">
            <v>Edmonds,Ben C.</v>
          </cell>
          <cell r="N4740" t="str">
            <v>NR</v>
          </cell>
          <cell r="O4740" t="str">
            <v>NR</v>
          </cell>
        </row>
        <row r="4741">
          <cell r="E4741" t="str">
            <v>EDUC</v>
          </cell>
          <cell r="F4741" t="str">
            <v>EDUC-M</v>
          </cell>
          <cell r="G4741">
            <v>500</v>
          </cell>
          <cell r="H4741" t="str">
            <v>EDUC-M500</v>
          </cell>
          <cell r="K4741" t="str">
            <v>Edmonds,Ben C.</v>
          </cell>
          <cell r="N4741" t="str">
            <v>NR</v>
          </cell>
          <cell r="O4741" t="str">
            <v>NR</v>
          </cell>
        </row>
        <row r="4742">
          <cell r="E4742" t="str">
            <v>EDUC</v>
          </cell>
          <cell r="F4742" t="str">
            <v>EDUC-M</v>
          </cell>
          <cell r="G4742">
            <v>500</v>
          </cell>
          <cell r="H4742" t="str">
            <v>EDUC-M500</v>
          </cell>
          <cell r="K4742" t="str">
            <v>Goodman,Jesse H.</v>
          </cell>
          <cell r="N4742" t="str">
            <v>NR</v>
          </cell>
          <cell r="O4742" t="str">
            <v>NR</v>
          </cell>
        </row>
        <row r="4743">
          <cell r="E4743" t="str">
            <v>EDUC</v>
          </cell>
          <cell r="F4743" t="str">
            <v>EDUC-M</v>
          </cell>
          <cell r="G4743">
            <v>501</v>
          </cell>
          <cell r="H4743" t="str">
            <v>EDUC-M501</v>
          </cell>
          <cell r="K4743" t="str">
            <v>Akerson,Valarie</v>
          </cell>
          <cell r="N4743" t="str">
            <v>NR</v>
          </cell>
          <cell r="O4743" t="str">
            <v>NR</v>
          </cell>
        </row>
        <row r="4744">
          <cell r="E4744" t="str">
            <v>EDUC</v>
          </cell>
          <cell r="F4744" t="str">
            <v>EDUC-M</v>
          </cell>
          <cell r="G4744">
            <v>501</v>
          </cell>
          <cell r="H4744" t="str">
            <v>EDUC-M501</v>
          </cell>
          <cell r="K4744" t="str">
            <v>Gault,Brent Michael</v>
          </cell>
          <cell r="N4744" t="str">
            <v>NR</v>
          </cell>
          <cell r="O4744" t="str">
            <v>NR</v>
          </cell>
        </row>
        <row r="4745">
          <cell r="E4745" t="str">
            <v>EDUC</v>
          </cell>
          <cell r="F4745" t="str">
            <v>EDUC-M</v>
          </cell>
          <cell r="G4745">
            <v>501</v>
          </cell>
          <cell r="H4745" t="str">
            <v>EDUC-M501</v>
          </cell>
          <cell r="K4745" t="str">
            <v>Gault,Brent Michael</v>
          </cell>
          <cell r="N4745" t="str">
            <v>NR</v>
          </cell>
          <cell r="O4745" t="str">
            <v>NR</v>
          </cell>
        </row>
        <row r="4746">
          <cell r="E4746" t="str">
            <v>EDUC</v>
          </cell>
          <cell r="F4746" t="str">
            <v>EDUC-M</v>
          </cell>
          <cell r="G4746">
            <v>501</v>
          </cell>
          <cell r="H4746" t="str">
            <v>EDUC-M501</v>
          </cell>
          <cell r="K4746" t="str">
            <v>Goodman,Jesse H.</v>
          </cell>
          <cell r="N4746" t="str">
            <v>NR</v>
          </cell>
          <cell r="O4746" t="str">
            <v>NR</v>
          </cell>
        </row>
        <row r="4747">
          <cell r="E4747" t="str">
            <v>EDUC</v>
          </cell>
          <cell r="F4747" t="str">
            <v>EDUC-M</v>
          </cell>
          <cell r="G4747">
            <v>501</v>
          </cell>
          <cell r="H4747" t="str">
            <v>EDUC-M501</v>
          </cell>
          <cell r="K4747" t="str">
            <v>Hunnicutt,Tyna Adel</v>
          </cell>
          <cell r="N4747" t="str">
            <v>NR</v>
          </cell>
          <cell r="O4747" t="str">
            <v>NR</v>
          </cell>
        </row>
        <row r="4748">
          <cell r="E4748" t="str">
            <v>EDUC</v>
          </cell>
          <cell r="F4748" t="str">
            <v>EDUC-M</v>
          </cell>
          <cell r="G4748">
            <v>501</v>
          </cell>
          <cell r="H4748" t="str">
            <v>EDUC-M501</v>
          </cell>
          <cell r="K4748" t="str">
            <v>Hunnicutt,Tyna Adel</v>
          </cell>
          <cell r="N4748" t="str">
            <v>NR</v>
          </cell>
          <cell r="O4748" t="str">
            <v>NR</v>
          </cell>
        </row>
        <row r="4749">
          <cell r="E4749" t="str">
            <v>EDUC</v>
          </cell>
          <cell r="F4749" t="str">
            <v>EDUC-M</v>
          </cell>
          <cell r="G4749">
            <v>501</v>
          </cell>
          <cell r="H4749" t="str">
            <v>EDUC-M501</v>
          </cell>
          <cell r="K4749" t="str">
            <v>Hunnicutt,Tyna Adel</v>
          </cell>
          <cell r="N4749" t="str">
            <v>NR</v>
          </cell>
          <cell r="O4749" t="str">
            <v>NR</v>
          </cell>
        </row>
        <row r="4750">
          <cell r="E4750" t="str">
            <v>EDUC</v>
          </cell>
          <cell r="F4750" t="str">
            <v>EDUC-M</v>
          </cell>
          <cell r="G4750">
            <v>501</v>
          </cell>
          <cell r="H4750" t="str">
            <v>EDUC-M501</v>
          </cell>
          <cell r="K4750" t="str">
            <v>Nyikos,Martha</v>
          </cell>
          <cell r="N4750" t="str">
            <v>NR</v>
          </cell>
          <cell r="O4750" t="str">
            <v>NR</v>
          </cell>
        </row>
        <row r="4751">
          <cell r="E4751" t="str">
            <v>EDUC</v>
          </cell>
          <cell r="F4751" t="str">
            <v>EDUC-M</v>
          </cell>
          <cell r="G4751">
            <v>502</v>
          </cell>
          <cell r="H4751" t="str">
            <v>EDUC-M502</v>
          </cell>
          <cell r="K4751" t="str">
            <v>Galindo,Enrique</v>
          </cell>
          <cell r="N4751" t="str">
            <v>NR</v>
          </cell>
          <cell r="O4751" t="str">
            <v>NR</v>
          </cell>
        </row>
        <row r="4752">
          <cell r="E4752" t="str">
            <v>EDUC</v>
          </cell>
          <cell r="F4752" t="str">
            <v>EDUC-M</v>
          </cell>
          <cell r="G4752">
            <v>502</v>
          </cell>
          <cell r="H4752" t="str">
            <v>EDUC-M502</v>
          </cell>
          <cell r="K4752" t="str">
            <v>Lesh Jr,Richard Arthur</v>
          </cell>
          <cell r="N4752" t="str">
            <v>NR</v>
          </cell>
          <cell r="O4752" t="str">
            <v>NR</v>
          </cell>
        </row>
        <row r="4753">
          <cell r="E4753" t="str">
            <v>EDUC</v>
          </cell>
          <cell r="F4753" t="str">
            <v>EDUC-M</v>
          </cell>
          <cell r="G4753">
            <v>522</v>
          </cell>
          <cell r="H4753" t="str">
            <v>EDUC-M522</v>
          </cell>
          <cell r="K4753" t="str">
            <v>Galindo,Enrique</v>
          </cell>
          <cell r="N4753" t="str">
            <v>NR</v>
          </cell>
          <cell r="O4753" t="str">
            <v>NR</v>
          </cell>
        </row>
        <row r="4754">
          <cell r="E4754" t="str">
            <v>EDUC</v>
          </cell>
          <cell r="F4754" t="str">
            <v>EDUC-M</v>
          </cell>
          <cell r="G4754">
            <v>550</v>
          </cell>
          <cell r="H4754" t="str">
            <v>EDUC-M550</v>
          </cell>
          <cell r="K4754" t="str">
            <v>Butera,Gretchen Digman</v>
          </cell>
          <cell r="N4754" t="str">
            <v>NR</v>
          </cell>
          <cell r="O4754" t="str">
            <v>NR</v>
          </cell>
        </row>
        <row r="4755">
          <cell r="E4755" t="str">
            <v>EDUC</v>
          </cell>
          <cell r="F4755" t="str">
            <v>EDUC-M</v>
          </cell>
          <cell r="G4755">
            <v>550</v>
          </cell>
          <cell r="H4755" t="str">
            <v>EDUC-M550</v>
          </cell>
          <cell r="K4755" t="str">
            <v>Butera,Gretchen Digman</v>
          </cell>
          <cell r="N4755" t="str">
            <v>NR</v>
          </cell>
          <cell r="O4755" t="str">
            <v>NR</v>
          </cell>
        </row>
        <row r="4756">
          <cell r="E4756" t="str">
            <v>EDUC</v>
          </cell>
          <cell r="F4756" t="str">
            <v>EDUC-M</v>
          </cell>
          <cell r="G4756">
            <v>550</v>
          </cell>
          <cell r="H4756" t="str">
            <v>EDUC-M550</v>
          </cell>
          <cell r="K4756" t="str">
            <v>Goodman,Jesse H.</v>
          </cell>
          <cell r="N4756" t="str">
            <v>NR</v>
          </cell>
          <cell r="O4756" t="str">
            <v>NR</v>
          </cell>
        </row>
        <row r="4757">
          <cell r="E4757" t="str">
            <v>EDUC</v>
          </cell>
          <cell r="F4757" t="str">
            <v>EDUC-M</v>
          </cell>
          <cell r="G4757">
            <v>550</v>
          </cell>
          <cell r="H4757" t="str">
            <v>EDUC-M550</v>
          </cell>
          <cell r="K4757" t="str">
            <v>Kunzman,Robert</v>
          </cell>
          <cell r="N4757" t="str">
            <v>NR</v>
          </cell>
          <cell r="O4757" t="str">
            <v>NR</v>
          </cell>
        </row>
        <row r="4758">
          <cell r="E4758" t="str">
            <v>EDUC</v>
          </cell>
          <cell r="F4758" t="str">
            <v>EDUC-M</v>
          </cell>
          <cell r="G4758">
            <v>550</v>
          </cell>
          <cell r="H4758" t="str">
            <v>EDUC-M550</v>
          </cell>
          <cell r="K4758" t="str">
            <v>Piper,Amy Wickizer</v>
          </cell>
          <cell r="N4758" t="str">
            <v>NR</v>
          </cell>
          <cell r="O4758" t="str">
            <v>NR</v>
          </cell>
        </row>
        <row r="4759">
          <cell r="E4759" t="str">
            <v>EDUC</v>
          </cell>
          <cell r="F4759" t="str">
            <v>EDUC-M</v>
          </cell>
          <cell r="G4759">
            <v>550</v>
          </cell>
          <cell r="H4759" t="str">
            <v>EDUC-M550</v>
          </cell>
          <cell r="K4759" t="str">
            <v>Piper,Amy Wickizer</v>
          </cell>
          <cell r="N4759" t="str">
            <v>NR</v>
          </cell>
          <cell r="O4759" t="str">
            <v>NR</v>
          </cell>
        </row>
        <row r="4760">
          <cell r="E4760" t="str">
            <v>EDUC</v>
          </cell>
          <cell r="F4760" t="str">
            <v>EDUC-M</v>
          </cell>
          <cell r="G4760">
            <v>550</v>
          </cell>
          <cell r="H4760" t="str">
            <v>EDUC-M550</v>
          </cell>
          <cell r="K4760" t="str">
            <v>Piper,Amy Wickizer</v>
          </cell>
          <cell r="N4760" t="str">
            <v>NR</v>
          </cell>
          <cell r="O4760" t="str">
            <v>NR</v>
          </cell>
        </row>
        <row r="4761">
          <cell r="E4761" t="str">
            <v>EDUC</v>
          </cell>
          <cell r="F4761" t="str">
            <v>EDUC-M</v>
          </cell>
          <cell r="G4761">
            <v>550</v>
          </cell>
          <cell r="H4761" t="str">
            <v>EDUC-M550</v>
          </cell>
          <cell r="K4761" t="str">
            <v>Shedd,Jill Denise</v>
          </cell>
          <cell r="N4761" t="str">
            <v>NR</v>
          </cell>
          <cell r="O4761" t="str">
            <v>NR</v>
          </cell>
        </row>
        <row r="4762">
          <cell r="E4762" t="str">
            <v>EDUC</v>
          </cell>
          <cell r="F4762" t="str">
            <v>EDUC-M</v>
          </cell>
          <cell r="G4762">
            <v>550</v>
          </cell>
          <cell r="H4762" t="str">
            <v>EDUC-M550</v>
          </cell>
          <cell r="K4762" t="str">
            <v>Shedd,Jill Denise</v>
          </cell>
          <cell r="N4762" t="str">
            <v>NR</v>
          </cell>
          <cell r="O4762" t="str">
            <v>NR</v>
          </cell>
        </row>
        <row r="4763">
          <cell r="E4763" t="str">
            <v>EDUC</v>
          </cell>
          <cell r="F4763" t="str">
            <v>EDUC-M</v>
          </cell>
          <cell r="G4763">
            <v>550</v>
          </cell>
          <cell r="H4763" t="str">
            <v>EDUC-M550</v>
          </cell>
          <cell r="K4763" t="str">
            <v>Shedd,Jill Denise</v>
          </cell>
          <cell r="N4763" t="str">
            <v>NR</v>
          </cell>
          <cell r="O4763" t="str">
            <v>NR</v>
          </cell>
        </row>
        <row r="4764">
          <cell r="E4764" t="str">
            <v>EDUC</v>
          </cell>
          <cell r="F4764" t="str">
            <v>EDUC-M</v>
          </cell>
          <cell r="G4764">
            <v>550</v>
          </cell>
          <cell r="H4764" t="str">
            <v>EDUC-M550</v>
          </cell>
          <cell r="K4764" t="str">
            <v>Shedd,Jill Denise</v>
          </cell>
          <cell r="N4764" t="str">
            <v>NR</v>
          </cell>
          <cell r="O4764" t="str">
            <v>NR</v>
          </cell>
        </row>
        <row r="4765">
          <cell r="E4765" t="str">
            <v>EDUC</v>
          </cell>
          <cell r="F4765" t="str">
            <v>EDUC-M</v>
          </cell>
          <cell r="G4765">
            <v>550</v>
          </cell>
          <cell r="H4765" t="str">
            <v>EDUC-M550</v>
          </cell>
          <cell r="K4765" t="str">
            <v>Stachowski,Laura L.</v>
          </cell>
          <cell r="N4765">
            <v>3.8159999999999998</v>
          </cell>
          <cell r="O4765">
            <v>3.4649999999999999</v>
          </cell>
        </row>
        <row r="4766">
          <cell r="E4766" t="str">
            <v>EDUC</v>
          </cell>
          <cell r="F4766" t="str">
            <v>EDUC-M</v>
          </cell>
          <cell r="G4766">
            <v>550</v>
          </cell>
          <cell r="H4766" t="str">
            <v>EDUC-M550</v>
          </cell>
          <cell r="K4766" t="str">
            <v>Stachowski,Laura L.</v>
          </cell>
          <cell r="N4766" t="str">
            <v>NR</v>
          </cell>
          <cell r="O4766" t="str">
            <v>NR</v>
          </cell>
        </row>
        <row r="4767">
          <cell r="E4767" t="str">
            <v>EDUC</v>
          </cell>
          <cell r="F4767" t="str">
            <v>EDUC-M</v>
          </cell>
          <cell r="G4767">
            <v>550</v>
          </cell>
          <cell r="H4767" t="str">
            <v>EDUC-M550</v>
          </cell>
          <cell r="K4767" t="str">
            <v>Stachowski,Laura L.</v>
          </cell>
          <cell r="N4767">
            <v>3.8050000000000002</v>
          </cell>
          <cell r="O4767">
            <v>3.585</v>
          </cell>
        </row>
        <row r="4768">
          <cell r="E4768" t="str">
            <v>EDUC</v>
          </cell>
          <cell r="F4768" t="str">
            <v>EDUC-M</v>
          </cell>
          <cell r="G4768">
            <v>550</v>
          </cell>
          <cell r="H4768" t="str">
            <v>EDUC-M550</v>
          </cell>
          <cell r="K4768" t="str">
            <v>Stachowski,Laura L.</v>
          </cell>
          <cell r="N4768">
            <v>3.9180000000000001</v>
          </cell>
          <cell r="O4768">
            <v>3.4820000000000002</v>
          </cell>
        </row>
        <row r="4769">
          <cell r="E4769" t="str">
            <v>EDUC</v>
          </cell>
          <cell r="F4769" t="str">
            <v>EDUC-M</v>
          </cell>
          <cell r="G4769">
            <v>550</v>
          </cell>
          <cell r="H4769" t="str">
            <v>EDUC-M550</v>
          </cell>
          <cell r="K4769" t="str">
            <v>Stachowski,Laura L.</v>
          </cell>
          <cell r="N4769">
            <v>3.984</v>
          </cell>
          <cell r="O4769">
            <v>3.625</v>
          </cell>
        </row>
        <row r="4770">
          <cell r="E4770" t="str">
            <v>EDUC</v>
          </cell>
          <cell r="F4770" t="str">
            <v>EDUC-M</v>
          </cell>
          <cell r="G4770">
            <v>550</v>
          </cell>
          <cell r="H4770" t="str">
            <v>EDUC-M550</v>
          </cell>
          <cell r="N4770" t="str">
            <v>NR</v>
          </cell>
          <cell r="O4770" t="str">
            <v>NR</v>
          </cell>
        </row>
        <row r="4771">
          <cell r="E4771" t="str">
            <v>EDUC</v>
          </cell>
          <cell r="F4771" t="str">
            <v>EDUC-M</v>
          </cell>
          <cell r="G4771">
            <v>580</v>
          </cell>
          <cell r="H4771" t="str">
            <v>EDUC-M580</v>
          </cell>
          <cell r="K4771" t="str">
            <v>May,Lissa Fleming</v>
          </cell>
          <cell r="N4771" t="str">
            <v>NR</v>
          </cell>
          <cell r="O4771" t="str">
            <v>NR</v>
          </cell>
        </row>
        <row r="4772">
          <cell r="E4772" t="str">
            <v>EDUC</v>
          </cell>
          <cell r="F4772" t="str">
            <v>EDUC-M</v>
          </cell>
          <cell r="G4772">
            <v>580</v>
          </cell>
          <cell r="H4772" t="str">
            <v>EDUC-M580</v>
          </cell>
          <cell r="K4772" t="str">
            <v>May,Lissa Fleming</v>
          </cell>
          <cell r="N4772" t="str">
            <v>NR</v>
          </cell>
          <cell r="O4772" t="str">
            <v>NR</v>
          </cell>
        </row>
        <row r="4773">
          <cell r="E4773" t="str">
            <v>EDUC</v>
          </cell>
          <cell r="F4773" t="str">
            <v>EDUC-M</v>
          </cell>
          <cell r="G4773">
            <v>590</v>
          </cell>
          <cell r="H4773" t="str">
            <v>EDUC-M590</v>
          </cell>
          <cell r="K4773" t="str">
            <v>Barton,Keith Casey</v>
          </cell>
          <cell r="N4773" t="str">
            <v>NR</v>
          </cell>
          <cell r="O4773" t="str">
            <v>NR</v>
          </cell>
        </row>
        <row r="4774">
          <cell r="E4774" t="str">
            <v>EDUC</v>
          </cell>
          <cell r="F4774" t="str">
            <v>EDUC-M</v>
          </cell>
          <cell r="G4774">
            <v>590</v>
          </cell>
          <cell r="H4774" t="str">
            <v>EDUC-M590</v>
          </cell>
          <cell r="K4774" t="str">
            <v>Barton,Keith Casey</v>
          </cell>
          <cell r="N4774" t="str">
            <v>NR</v>
          </cell>
          <cell r="O4774" t="str">
            <v>NR</v>
          </cell>
        </row>
        <row r="4775">
          <cell r="E4775" t="str">
            <v>EDUC</v>
          </cell>
          <cell r="F4775" t="str">
            <v>EDUC-M</v>
          </cell>
          <cell r="G4775">
            <v>653</v>
          </cell>
          <cell r="H4775" t="str">
            <v>EDUC-M653</v>
          </cell>
          <cell r="K4775" t="str">
            <v>Barton,Keith Casey</v>
          </cell>
          <cell r="N4775" t="str">
            <v>NR</v>
          </cell>
          <cell r="O4775" t="str">
            <v>NR</v>
          </cell>
        </row>
        <row r="4776">
          <cell r="E4776" t="str">
            <v>EDUC</v>
          </cell>
          <cell r="F4776" t="str">
            <v>EDUC-N</v>
          </cell>
          <cell r="G4776">
            <v>101</v>
          </cell>
          <cell r="H4776" t="str">
            <v>EDUC-N101</v>
          </cell>
          <cell r="K4776" t="str">
            <v>Rapacki,Lauren Jon</v>
          </cell>
          <cell r="N4776">
            <v>3.45</v>
          </cell>
          <cell r="O4776">
            <v>3.286</v>
          </cell>
        </row>
        <row r="4777">
          <cell r="E4777" t="str">
            <v>EDUC</v>
          </cell>
          <cell r="F4777" t="str">
            <v>EDUC-N</v>
          </cell>
          <cell r="G4777">
            <v>101</v>
          </cell>
          <cell r="H4777" t="str">
            <v>EDUC-N101</v>
          </cell>
          <cell r="K4777" t="str">
            <v>Rapacki,Lauren Jon</v>
          </cell>
          <cell r="N4777">
            <v>3.121</v>
          </cell>
          <cell r="O4777">
            <v>3.0289999999999999</v>
          </cell>
        </row>
        <row r="4778">
          <cell r="E4778" t="str">
            <v>EDUC</v>
          </cell>
          <cell r="F4778" t="str">
            <v>EDUC-N</v>
          </cell>
          <cell r="G4778">
            <v>101</v>
          </cell>
          <cell r="H4778" t="str">
            <v>EDUC-N101</v>
          </cell>
          <cell r="K4778" t="str">
            <v>Rapacki,Lauren Jon</v>
          </cell>
          <cell r="N4778">
            <v>3.4039999999999999</v>
          </cell>
          <cell r="O4778">
            <v>3.177</v>
          </cell>
        </row>
        <row r="4779">
          <cell r="E4779" t="str">
            <v>EDUC</v>
          </cell>
          <cell r="F4779" t="str">
            <v>EDUC-N</v>
          </cell>
          <cell r="G4779">
            <v>101</v>
          </cell>
          <cell r="H4779" t="str">
            <v>EDUC-N101</v>
          </cell>
          <cell r="K4779" t="str">
            <v>Rapacki,Lauren Jon</v>
          </cell>
          <cell r="N4779">
            <v>3.1480000000000001</v>
          </cell>
          <cell r="O4779">
            <v>3.1539999999999999</v>
          </cell>
        </row>
        <row r="4780">
          <cell r="E4780" t="str">
            <v>EDUC</v>
          </cell>
          <cell r="F4780" t="str">
            <v>EDUC-N</v>
          </cell>
          <cell r="G4780">
            <v>103</v>
          </cell>
          <cell r="H4780" t="str">
            <v>EDUC-N103</v>
          </cell>
          <cell r="K4780" t="str">
            <v>Creager,Mark Andrew</v>
          </cell>
          <cell r="N4780">
            <v>3.44</v>
          </cell>
          <cell r="O4780">
            <v>3.2949999999999999</v>
          </cell>
        </row>
        <row r="4781">
          <cell r="E4781" t="str">
            <v>EDUC</v>
          </cell>
          <cell r="F4781" t="str">
            <v>EDUC-N</v>
          </cell>
          <cell r="G4781">
            <v>103</v>
          </cell>
          <cell r="H4781" t="str">
            <v>EDUC-N103</v>
          </cell>
          <cell r="K4781" t="str">
            <v>Creager,Mark Andrew</v>
          </cell>
          <cell r="N4781">
            <v>3.6110000000000002</v>
          </cell>
          <cell r="O4781">
            <v>3.2149999999999999</v>
          </cell>
        </row>
        <row r="4782">
          <cell r="E4782" t="str">
            <v>EDUC</v>
          </cell>
          <cell r="F4782" t="str">
            <v>EDUC-N</v>
          </cell>
          <cell r="G4782">
            <v>103</v>
          </cell>
          <cell r="H4782" t="str">
            <v>EDUC-N103</v>
          </cell>
          <cell r="K4782" t="str">
            <v>Cross,Dionne</v>
          </cell>
          <cell r="N4782">
            <v>2.94</v>
          </cell>
          <cell r="O4782">
            <v>3.4340000000000002</v>
          </cell>
        </row>
        <row r="4783">
          <cell r="E4783" t="str">
            <v>EDUC</v>
          </cell>
          <cell r="F4783" t="str">
            <v>EDUC-N</v>
          </cell>
          <cell r="G4783">
            <v>103</v>
          </cell>
          <cell r="H4783" t="str">
            <v>EDUC-N103</v>
          </cell>
          <cell r="K4783" t="str">
            <v>Galindo,Enrique</v>
          </cell>
          <cell r="N4783">
            <v>2.97</v>
          </cell>
          <cell r="O4783">
            <v>3.3610000000000002</v>
          </cell>
        </row>
        <row r="4784">
          <cell r="E4784" t="str">
            <v>EDUC</v>
          </cell>
          <cell r="F4784" t="str">
            <v>EDUC-N</v>
          </cell>
          <cell r="G4784">
            <v>103</v>
          </cell>
          <cell r="H4784" t="str">
            <v>EDUC-N103</v>
          </cell>
          <cell r="K4784" t="str">
            <v>Lee,Mi Yeon</v>
          </cell>
          <cell r="N4784">
            <v>3.262</v>
          </cell>
          <cell r="O4784">
            <v>3.3079999999999998</v>
          </cell>
        </row>
        <row r="4785">
          <cell r="E4785" t="str">
            <v>EDUC</v>
          </cell>
          <cell r="F4785" t="str">
            <v>EDUC-N</v>
          </cell>
          <cell r="G4785">
            <v>103</v>
          </cell>
          <cell r="H4785" t="str">
            <v>EDUC-N103</v>
          </cell>
          <cell r="K4785" t="str">
            <v>Lee,Mi Yeon</v>
          </cell>
          <cell r="N4785">
            <v>3.11</v>
          </cell>
          <cell r="O4785">
            <v>3.3879999999999999</v>
          </cell>
        </row>
        <row r="4786">
          <cell r="E4786" t="str">
            <v>EDUC</v>
          </cell>
          <cell r="F4786" t="str">
            <v>EDUC-N</v>
          </cell>
          <cell r="G4786">
            <v>103</v>
          </cell>
          <cell r="H4786" t="str">
            <v>EDUC-N103</v>
          </cell>
          <cell r="K4786" t="str">
            <v>Zeybek,Zulfiye</v>
          </cell>
          <cell r="N4786">
            <v>3.3380000000000001</v>
          </cell>
          <cell r="O4786">
            <v>3.4039999999999999</v>
          </cell>
        </row>
        <row r="4787">
          <cell r="E4787" t="str">
            <v>EDUC</v>
          </cell>
          <cell r="F4787" t="str">
            <v>EDUC-N</v>
          </cell>
          <cell r="G4787">
            <v>103</v>
          </cell>
          <cell r="H4787" t="str">
            <v>EDUC-N103</v>
          </cell>
          <cell r="K4787" t="str">
            <v>Zeybek,Zulfiye</v>
          </cell>
          <cell r="N4787">
            <v>3.1629999999999998</v>
          </cell>
          <cell r="O4787">
            <v>3.3370000000000002</v>
          </cell>
        </row>
        <row r="4788">
          <cell r="E4788" t="str">
            <v>EDUC</v>
          </cell>
          <cell r="F4788" t="str">
            <v>EDUC-N</v>
          </cell>
          <cell r="G4788">
            <v>310</v>
          </cell>
          <cell r="H4788" t="str">
            <v>EDUC-N310</v>
          </cell>
          <cell r="K4788" t="str">
            <v>Perez,Arnulfo</v>
          </cell>
          <cell r="N4788">
            <v>3.5710000000000002</v>
          </cell>
          <cell r="O4788">
            <v>3.7170000000000001</v>
          </cell>
        </row>
        <row r="4789">
          <cell r="E4789" t="str">
            <v>EDUC</v>
          </cell>
          <cell r="F4789" t="str">
            <v>EDUC-N</v>
          </cell>
          <cell r="G4789">
            <v>443</v>
          </cell>
          <cell r="H4789" t="str">
            <v>EDUC-N443</v>
          </cell>
          <cell r="K4789" t="str">
            <v>Schoolcraft,Nancy Kay</v>
          </cell>
          <cell r="N4789">
            <v>3.669</v>
          </cell>
          <cell r="O4789">
            <v>3.6120000000000001</v>
          </cell>
        </row>
        <row r="4790">
          <cell r="E4790" t="str">
            <v>EDUC</v>
          </cell>
          <cell r="F4790" t="str">
            <v>EDUC-N</v>
          </cell>
          <cell r="G4790">
            <v>517</v>
          </cell>
          <cell r="H4790" t="str">
            <v>EDUC-N517</v>
          </cell>
          <cell r="K4790" t="str">
            <v>Hackenberg,Amy Jeanne</v>
          </cell>
          <cell r="N4790" t="str">
            <v>NR</v>
          </cell>
          <cell r="O4790" t="str">
            <v>NR</v>
          </cell>
        </row>
        <row r="4791">
          <cell r="E4791" t="str">
            <v>EDUC</v>
          </cell>
          <cell r="F4791" t="str">
            <v>EDUC-N</v>
          </cell>
          <cell r="G4791">
            <v>590</v>
          </cell>
          <cell r="H4791" t="str">
            <v>EDUC-N590</v>
          </cell>
          <cell r="K4791" t="str">
            <v>Kloosterman,Peter W.</v>
          </cell>
          <cell r="N4791" t="str">
            <v>NR</v>
          </cell>
          <cell r="O4791" t="str">
            <v>NR</v>
          </cell>
        </row>
        <row r="4792">
          <cell r="E4792" t="str">
            <v>EDUC</v>
          </cell>
          <cell r="F4792" t="str">
            <v>EDUC-N</v>
          </cell>
          <cell r="G4792">
            <v>590</v>
          </cell>
          <cell r="H4792" t="str">
            <v>EDUC-N590</v>
          </cell>
          <cell r="K4792" t="str">
            <v>Kloosterman,Peter W.</v>
          </cell>
          <cell r="N4792" t="str">
            <v>NR</v>
          </cell>
          <cell r="O4792" t="str">
            <v>NR</v>
          </cell>
        </row>
        <row r="4793">
          <cell r="E4793" t="str">
            <v>EDUC</v>
          </cell>
          <cell r="F4793" t="str">
            <v>EDUC-N</v>
          </cell>
          <cell r="G4793">
            <v>590</v>
          </cell>
          <cell r="H4793" t="str">
            <v>EDUC-N590</v>
          </cell>
          <cell r="K4793" t="str">
            <v>Kloosterman,Peter W.</v>
          </cell>
          <cell r="N4793" t="str">
            <v>NR</v>
          </cell>
          <cell r="O4793" t="str">
            <v>NR</v>
          </cell>
        </row>
        <row r="4794">
          <cell r="E4794" t="str">
            <v>EDUC</v>
          </cell>
          <cell r="F4794" t="str">
            <v>EDUC-N</v>
          </cell>
          <cell r="G4794">
            <v>590</v>
          </cell>
          <cell r="H4794" t="str">
            <v>EDUC-N590</v>
          </cell>
          <cell r="K4794" t="str">
            <v>Kloosterman,Peter W.</v>
          </cell>
          <cell r="N4794" t="str">
            <v>NR</v>
          </cell>
          <cell r="O4794" t="str">
            <v>NR</v>
          </cell>
        </row>
        <row r="4795">
          <cell r="E4795" t="str">
            <v>EDUC</v>
          </cell>
          <cell r="F4795" t="str">
            <v>EDUC-N</v>
          </cell>
          <cell r="G4795">
            <v>610</v>
          </cell>
          <cell r="H4795" t="str">
            <v>EDUC-N610</v>
          </cell>
          <cell r="K4795" t="str">
            <v>Kloosterman,Peter W.</v>
          </cell>
          <cell r="N4795" t="str">
            <v>NR</v>
          </cell>
          <cell r="O4795" t="str">
            <v>NR</v>
          </cell>
        </row>
        <row r="4796">
          <cell r="E4796" t="str">
            <v>EDUC</v>
          </cell>
          <cell r="F4796" t="str">
            <v>EDUC-N</v>
          </cell>
          <cell r="G4796">
            <v>610</v>
          </cell>
          <cell r="H4796" t="str">
            <v>EDUC-N610</v>
          </cell>
          <cell r="K4796" t="str">
            <v>Kloosterman,Peter W.</v>
          </cell>
          <cell r="N4796">
            <v>4</v>
          </cell>
          <cell r="O4796">
            <v>3.9239999999999999</v>
          </cell>
        </row>
        <row r="4797">
          <cell r="E4797" t="str">
            <v>EDUC</v>
          </cell>
          <cell r="F4797" t="str">
            <v>EDUC-N</v>
          </cell>
          <cell r="G4797">
            <v>716</v>
          </cell>
          <cell r="H4797" t="str">
            <v>EDUC-N716</v>
          </cell>
          <cell r="K4797" t="str">
            <v>Cross,Dionne</v>
          </cell>
          <cell r="N4797">
            <v>3.85</v>
          </cell>
          <cell r="O4797">
            <v>3.899</v>
          </cell>
        </row>
        <row r="4798">
          <cell r="E4798" t="str">
            <v>EDUC</v>
          </cell>
          <cell r="F4798" t="str">
            <v>EDUC-N</v>
          </cell>
          <cell r="G4798">
            <v>716</v>
          </cell>
          <cell r="H4798" t="str">
            <v>EDUC-N716</v>
          </cell>
          <cell r="K4798" t="str">
            <v>Hackenberg,Amy Jeanne</v>
          </cell>
          <cell r="N4798">
            <v>3.9</v>
          </cell>
          <cell r="O4798">
            <v>3.9129999999999998</v>
          </cell>
        </row>
        <row r="4799">
          <cell r="E4799" t="str">
            <v>EDUC</v>
          </cell>
          <cell r="F4799" t="str">
            <v>EDUC-P</v>
          </cell>
          <cell r="G4799">
            <v>248</v>
          </cell>
          <cell r="H4799" t="str">
            <v>EDUC-P248</v>
          </cell>
          <cell r="K4799" t="str">
            <v>Erichsen,Luke Webster</v>
          </cell>
          <cell r="N4799">
            <v>3.7749999999999999</v>
          </cell>
          <cell r="O4799">
            <v>3.2080000000000002</v>
          </cell>
        </row>
        <row r="4800">
          <cell r="E4800" t="str">
            <v>EDUC</v>
          </cell>
          <cell r="F4800" t="str">
            <v>EDUC-P</v>
          </cell>
          <cell r="G4800">
            <v>248</v>
          </cell>
          <cell r="H4800" t="str">
            <v>EDUC-P248</v>
          </cell>
          <cell r="K4800" t="str">
            <v>Erichsen,Luke Webster</v>
          </cell>
          <cell r="N4800">
            <v>3.35</v>
          </cell>
          <cell r="O4800">
            <v>2.97</v>
          </cell>
        </row>
        <row r="4801">
          <cell r="E4801" t="str">
            <v>EDUC</v>
          </cell>
          <cell r="F4801" t="str">
            <v>EDUC-P</v>
          </cell>
          <cell r="G4801">
            <v>248</v>
          </cell>
          <cell r="H4801" t="str">
            <v>EDUC-P248</v>
          </cell>
          <cell r="K4801" t="str">
            <v>Markoff,Kimberly Starr</v>
          </cell>
          <cell r="N4801">
            <v>3.7810000000000001</v>
          </cell>
          <cell r="O4801">
            <v>3.17</v>
          </cell>
        </row>
        <row r="4802">
          <cell r="E4802" t="str">
            <v>EDUC</v>
          </cell>
          <cell r="F4802" t="str">
            <v>EDUC-P</v>
          </cell>
          <cell r="G4802">
            <v>248</v>
          </cell>
          <cell r="H4802" t="str">
            <v>EDUC-P248</v>
          </cell>
          <cell r="K4802" t="str">
            <v>Markoff,Kimberly Starr</v>
          </cell>
          <cell r="N4802">
            <v>3.5430000000000001</v>
          </cell>
          <cell r="O4802">
            <v>3.1309999999999998</v>
          </cell>
        </row>
        <row r="4803">
          <cell r="E4803" t="str">
            <v>EDUC</v>
          </cell>
          <cell r="F4803" t="str">
            <v>EDUC-P</v>
          </cell>
          <cell r="G4803">
            <v>248</v>
          </cell>
          <cell r="H4803" t="str">
            <v>EDUC-P248</v>
          </cell>
          <cell r="K4803" t="str">
            <v>Murphy,Michelle</v>
          </cell>
          <cell r="N4803">
            <v>2.8359999999999999</v>
          </cell>
          <cell r="O4803">
            <v>2.968</v>
          </cell>
        </row>
        <row r="4804">
          <cell r="E4804" t="str">
            <v>EDUC</v>
          </cell>
          <cell r="F4804" t="str">
            <v>EDUC-P</v>
          </cell>
          <cell r="G4804">
            <v>248</v>
          </cell>
          <cell r="H4804" t="str">
            <v>EDUC-P248</v>
          </cell>
          <cell r="K4804" t="str">
            <v>Murphy,Michelle</v>
          </cell>
          <cell r="N4804">
            <v>2.96</v>
          </cell>
          <cell r="O4804">
            <v>3.0550000000000002</v>
          </cell>
        </row>
        <row r="4805">
          <cell r="E4805" t="str">
            <v>EDUC</v>
          </cell>
          <cell r="F4805" t="str">
            <v>EDUC-P</v>
          </cell>
          <cell r="G4805">
            <v>248</v>
          </cell>
          <cell r="H4805" t="str">
            <v>EDUC-P248</v>
          </cell>
          <cell r="K4805" t="str">
            <v>Sapharas,Nicole</v>
          </cell>
          <cell r="N4805">
            <v>3.5030000000000001</v>
          </cell>
          <cell r="O4805">
            <v>3.0019999999999998</v>
          </cell>
        </row>
        <row r="4806">
          <cell r="E4806" t="str">
            <v>EDUC</v>
          </cell>
          <cell r="F4806" t="str">
            <v>EDUC-P</v>
          </cell>
          <cell r="G4806">
            <v>248</v>
          </cell>
          <cell r="H4806" t="str">
            <v>EDUC-P248</v>
          </cell>
          <cell r="K4806" t="str">
            <v>Shin,Minkyeong</v>
          </cell>
          <cell r="N4806">
            <v>3.7</v>
          </cell>
          <cell r="O4806">
            <v>3.1579999999999999</v>
          </cell>
        </row>
        <row r="4807">
          <cell r="E4807" t="str">
            <v>EDUC</v>
          </cell>
          <cell r="F4807" t="str">
            <v>EDUC-P</v>
          </cell>
          <cell r="G4807">
            <v>248</v>
          </cell>
          <cell r="H4807" t="str">
            <v>EDUC-P248</v>
          </cell>
          <cell r="K4807" t="str">
            <v>White,Stacy Elizabeth</v>
          </cell>
          <cell r="N4807">
            <v>3.2679999999999998</v>
          </cell>
          <cell r="O4807">
            <v>3.1669999999999998</v>
          </cell>
        </row>
        <row r="4808">
          <cell r="E4808" t="str">
            <v>EDUC</v>
          </cell>
          <cell r="F4808" t="str">
            <v>EDUC-P</v>
          </cell>
          <cell r="G4808">
            <v>248</v>
          </cell>
          <cell r="H4808" t="str">
            <v>EDUC-P248</v>
          </cell>
          <cell r="K4808" t="str">
            <v>White,Stacy Elizabeth</v>
          </cell>
          <cell r="N4808">
            <v>3.7</v>
          </cell>
          <cell r="O4808">
            <v>3.3210000000000002</v>
          </cell>
        </row>
        <row r="4809">
          <cell r="E4809" t="str">
            <v>EDUC</v>
          </cell>
          <cell r="F4809" t="str">
            <v>EDUC-P</v>
          </cell>
          <cell r="G4809">
            <v>250</v>
          </cell>
          <cell r="H4809" t="str">
            <v>EDUC-P250</v>
          </cell>
          <cell r="K4809" t="str">
            <v>Danish,Joshua Adam</v>
          </cell>
          <cell r="N4809" t="str">
            <v>NR</v>
          </cell>
          <cell r="O4809" t="str">
            <v>NR</v>
          </cell>
        </row>
        <row r="4810">
          <cell r="E4810" t="str">
            <v>EDUC</v>
          </cell>
          <cell r="F4810" t="str">
            <v>EDUC-P</v>
          </cell>
          <cell r="G4810">
            <v>250</v>
          </cell>
          <cell r="H4810" t="str">
            <v>EDUC-P250</v>
          </cell>
          <cell r="K4810" t="str">
            <v>McWilliams,Jenna Marie</v>
          </cell>
          <cell r="N4810">
            <v>3.8</v>
          </cell>
          <cell r="O4810">
            <v>3.3639999999999999</v>
          </cell>
        </row>
        <row r="4811">
          <cell r="E4811" t="str">
            <v>EDUC</v>
          </cell>
          <cell r="F4811" t="str">
            <v>EDUC-P</v>
          </cell>
          <cell r="G4811">
            <v>251</v>
          </cell>
          <cell r="H4811" t="str">
            <v>EDUC-P251</v>
          </cell>
          <cell r="K4811" t="str">
            <v>Barnes,Jacqueline Leanne</v>
          </cell>
          <cell r="N4811">
            <v>3.6230000000000002</v>
          </cell>
          <cell r="O4811">
            <v>3.49</v>
          </cell>
        </row>
        <row r="4812">
          <cell r="E4812" t="str">
            <v>EDUC</v>
          </cell>
          <cell r="F4812" t="str">
            <v>EDUC-P</v>
          </cell>
          <cell r="G4812">
            <v>251</v>
          </cell>
          <cell r="H4812" t="str">
            <v>EDUC-P251</v>
          </cell>
          <cell r="K4812" t="str">
            <v>Carpenter,Laura J.</v>
          </cell>
          <cell r="N4812">
            <v>3.1059999999999999</v>
          </cell>
          <cell r="O4812">
            <v>3.0779999999999998</v>
          </cell>
        </row>
        <row r="4813">
          <cell r="E4813" t="str">
            <v>EDUC</v>
          </cell>
          <cell r="F4813" t="str">
            <v>EDUC-P</v>
          </cell>
          <cell r="G4813">
            <v>251</v>
          </cell>
          <cell r="H4813" t="str">
            <v>EDUC-P251</v>
          </cell>
          <cell r="K4813" t="str">
            <v>Carpenter,Laura J.</v>
          </cell>
          <cell r="N4813">
            <v>3.7360000000000002</v>
          </cell>
          <cell r="O4813">
            <v>3.4079999999999999</v>
          </cell>
        </row>
        <row r="4814">
          <cell r="E4814" t="str">
            <v>EDUC</v>
          </cell>
          <cell r="F4814" t="str">
            <v>EDUC-P</v>
          </cell>
          <cell r="G4814">
            <v>251</v>
          </cell>
          <cell r="H4814" t="str">
            <v>EDUC-P251</v>
          </cell>
          <cell r="K4814" t="str">
            <v>Chamberlain,Jessica Marie</v>
          </cell>
          <cell r="N4814">
            <v>3.661</v>
          </cell>
          <cell r="O4814">
            <v>3.3740000000000001</v>
          </cell>
        </row>
        <row r="4815">
          <cell r="E4815" t="str">
            <v>EDUC</v>
          </cell>
          <cell r="F4815" t="str">
            <v>EDUC-P</v>
          </cell>
          <cell r="G4815">
            <v>251</v>
          </cell>
          <cell r="H4815" t="str">
            <v>EDUC-P251</v>
          </cell>
          <cell r="K4815" t="str">
            <v>Danish,Joshua Adam</v>
          </cell>
          <cell r="N4815">
            <v>3.7530000000000001</v>
          </cell>
          <cell r="O4815">
            <v>3.2570000000000001</v>
          </cell>
        </row>
        <row r="4816">
          <cell r="E4816" t="str">
            <v>EDUC</v>
          </cell>
          <cell r="F4816" t="str">
            <v>EDUC-P</v>
          </cell>
          <cell r="G4816">
            <v>251</v>
          </cell>
          <cell r="H4816" t="str">
            <v>EDUC-P251</v>
          </cell>
          <cell r="K4816" t="str">
            <v>Gordon,Leon I.</v>
          </cell>
          <cell r="N4816">
            <v>3.5049999999999999</v>
          </cell>
          <cell r="O4816">
            <v>3.339</v>
          </cell>
        </row>
        <row r="4817">
          <cell r="E4817" t="str">
            <v>EDUC</v>
          </cell>
          <cell r="F4817" t="str">
            <v>EDUC-P</v>
          </cell>
          <cell r="G4817">
            <v>251</v>
          </cell>
          <cell r="H4817" t="str">
            <v>EDUC-P251</v>
          </cell>
          <cell r="K4817" t="str">
            <v>Keene,Johanna Beth</v>
          </cell>
          <cell r="N4817">
            <v>3.7</v>
          </cell>
          <cell r="O4817">
            <v>3.1880000000000002</v>
          </cell>
        </row>
        <row r="4818">
          <cell r="E4818" t="str">
            <v>EDUC</v>
          </cell>
          <cell r="F4818" t="str">
            <v>EDUC-P</v>
          </cell>
          <cell r="G4818">
            <v>251</v>
          </cell>
          <cell r="H4818" t="str">
            <v>EDUC-P251</v>
          </cell>
          <cell r="K4818" t="str">
            <v>McWilliams,Jenna Marie</v>
          </cell>
          <cell r="N4818">
            <v>3.5379999999999998</v>
          </cell>
          <cell r="O4818">
            <v>3.403</v>
          </cell>
        </row>
        <row r="4819">
          <cell r="E4819" t="str">
            <v>EDUC</v>
          </cell>
          <cell r="F4819" t="str">
            <v>EDUC-P</v>
          </cell>
          <cell r="G4819">
            <v>251</v>
          </cell>
          <cell r="H4819" t="str">
            <v>EDUC-P251</v>
          </cell>
          <cell r="K4819" t="str">
            <v>McWilliams,Jenna Marie</v>
          </cell>
          <cell r="N4819">
            <v>3.5</v>
          </cell>
          <cell r="O4819">
            <v>3.1880000000000002</v>
          </cell>
        </row>
        <row r="4820">
          <cell r="E4820" t="str">
            <v>EDUC</v>
          </cell>
          <cell r="F4820" t="str">
            <v>EDUC-P</v>
          </cell>
          <cell r="G4820">
            <v>251</v>
          </cell>
          <cell r="H4820" t="str">
            <v>EDUC-P251</v>
          </cell>
          <cell r="K4820" t="str">
            <v>Saleh,Asmalina</v>
          </cell>
          <cell r="N4820">
            <v>3.4470000000000001</v>
          </cell>
          <cell r="O4820">
            <v>3.0880000000000001</v>
          </cell>
        </row>
        <row r="4821">
          <cell r="E4821" t="str">
            <v>EDUC</v>
          </cell>
          <cell r="F4821" t="str">
            <v>EDUC-P</v>
          </cell>
          <cell r="G4821">
            <v>254</v>
          </cell>
          <cell r="H4821" t="str">
            <v>EDUC-P254</v>
          </cell>
          <cell r="K4821" t="str">
            <v>Barnes,Jacqueline Leanne</v>
          </cell>
          <cell r="N4821">
            <v>3.3330000000000002</v>
          </cell>
          <cell r="O4821">
            <v>2.9889999999999999</v>
          </cell>
        </row>
        <row r="4822">
          <cell r="E4822" t="str">
            <v>EDUC</v>
          </cell>
          <cell r="F4822" t="str">
            <v>EDUC-P</v>
          </cell>
          <cell r="G4822">
            <v>254</v>
          </cell>
          <cell r="H4822" t="str">
            <v>EDUC-P254</v>
          </cell>
          <cell r="K4822" t="str">
            <v>Carpenter,Laura J.</v>
          </cell>
          <cell r="N4822">
            <v>3.0640000000000001</v>
          </cell>
          <cell r="O4822">
            <v>3.2360000000000002</v>
          </cell>
        </row>
        <row r="4823">
          <cell r="E4823" t="str">
            <v>EDUC</v>
          </cell>
          <cell r="F4823" t="str">
            <v>EDUC-P</v>
          </cell>
          <cell r="G4823">
            <v>254</v>
          </cell>
          <cell r="H4823" t="str">
            <v>EDUC-P254</v>
          </cell>
          <cell r="K4823" t="str">
            <v>Downton,Michael Paul</v>
          </cell>
          <cell r="N4823">
            <v>3.3439999999999999</v>
          </cell>
          <cell r="O4823">
            <v>3.3759999999999999</v>
          </cell>
        </row>
        <row r="4824">
          <cell r="E4824" t="str">
            <v>EDUC</v>
          </cell>
          <cell r="F4824" t="str">
            <v>EDUC-P</v>
          </cell>
          <cell r="G4824">
            <v>254</v>
          </cell>
          <cell r="H4824" t="str">
            <v>EDUC-P254</v>
          </cell>
          <cell r="K4824" t="str">
            <v>Glosson,Diane Lynn</v>
          </cell>
          <cell r="N4824">
            <v>3.1669999999999998</v>
          </cell>
          <cell r="O4824">
            <v>3.2890000000000001</v>
          </cell>
        </row>
        <row r="4825">
          <cell r="E4825" t="str">
            <v>EDUC</v>
          </cell>
          <cell r="F4825" t="str">
            <v>EDUC-P</v>
          </cell>
          <cell r="G4825">
            <v>312</v>
          </cell>
          <cell r="H4825" t="str">
            <v>EDUC-P312</v>
          </cell>
          <cell r="K4825" t="str">
            <v>Dhanawade,Rosh Joshua</v>
          </cell>
          <cell r="N4825">
            <v>3.6520000000000001</v>
          </cell>
          <cell r="O4825">
            <v>3.161</v>
          </cell>
        </row>
        <row r="4826">
          <cell r="E4826" t="str">
            <v>EDUC</v>
          </cell>
          <cell r="F4826" t="str">
            <v>EDUC-P</v>
          </cell>
          <cell r="G4826">
            <v>312</v>
          </cell>
          <cell r="H4826" t="str">
            <v>EDUC-P312</v>
          </cell>
          <cell r="K4826" t="str">
            <v>Haltom,Aaron Jacob</v>
          </cell>
          <cell r="N4826">
            <v>3.1240000000000001</v>
          </cell>
          <cell r="O4826">
            <v>3.0339999999999998</v>
          </cell>
        </row>
        <row r="4827">
          <cell r="E4827" t="str">
            <v>EDUC</v>
          </cell>
          <cell r="F4827" t="str">
            <v>EDUC-P</v>
          </cell>
          <cell r="G4827">
            <v>312</v>
          </cell>
          <cell r="H4827" t="str">
            <v>EDUC-P312</v>
          </cell>
          <cell r="K4827" t="str">
            <v>Hartley,Kylie Ann</v>
          </cell>
          <cell r="N4827">
            <v>3.653</v>
          </cell>
          <cell r="O4827">
            <v>3.133</v>
          </cell>
        </row>
        <row r="4828">
          <cell r="E4828" t="str">
            <v>EDUC</v>
          </cell>
          <cell r="F4828" t="str">
            <v>EDUC-P</v>
          </cell>
          <cell r="G4828">
            <v>312</v>
          </cell>
          <cell r="H4828" t="str">
            <v>EDUC-P312</v>
          </cell>
          <cell r="K4828" t="str">
            <v>Hartley,Kylie Ann</v>
          </cell>
          <cell r="N4828">
            <v>3.6549999999999998</v>
          </cell>
          <cell r="O4828">
            <v>3.0009999999999999</v>
          </cell>
        </row>
        <row r="4829">
          <cell r="E4829" t="str">
            <v>EDUC</v>
          </cell>
          <cell r="F4829" t="str">
            <v>EDUC-P</v>
          </cell>
          <cell r="G4829">
            <v>312</v>
          </cell>
          <cell r="H4829" t="str">
            <v>EDUC-P312</v>
          </cell>
          <cell r="K4829" t="str">
            <v>Hay,Kenneth E.</v>
          </cell>
          <cell r="N4829">
            <v>3.1589999999999998</v>
          </cell>
          <cell r="O4829">
            <v>2.9670000000000001</v>
          </cell>
        </row>
        <row r="4830">
          <cell r="E4830" t="str">
            <v>EDUC</v>
          </cell>
          <cell r="F4830" t="str">
            <v>EDUC-P</v>
          </cell>
          <cell r="G4830">
            <v>312</v>
          </cell>
          <cell r="H4830" t="str">
            <v>EDUC-P312</v>
          </cell>
          <cell r="K4830" t="str">
            <v>Hay,Kenneth E.</v>
          </cell>
          <cell r="N4830">
            <v>2.7</v>
          </cell>
          <cell r="O4830">
            <v>3.044</v>
          </cell>
        </row>
        <row r="4831">
          <cell r="E4831" t="str">
            <v>EDUC</v>
          </cell>
          <cell r="F4831" t="str">
            <v>EDUC-P</v>
          </cell>
          <cell r="G4831">
            <v>313</v>
          </cell>
          <cell r="H4831" t="str">
            <v>EDUC-P313</v>
          </cell>
          <cell r="K4831" t="str">
            <v>Barnhart,Craig Michael</v>
          </cell>
          <cell r="N4831">
            <v>3.6720000000000002</v>
          </cell>
          <cell r="O4831">
            <v>3.157</v>
          </cell>
        </row>
        <row r="4832">
          <cell r="E4832" t="str">
            <v>EDUC</v>
          </cell>
          <cell r="F4832" t="str">
            <v>EDUC-P</v>
          </cell>
          <cell r="G4832">
            <v>313</v>
          </cell>
          <cell r="H4832" t="str">
            <v>EDUC-P313</v>
          </cell>
          <cell r="K4832" t="str">
            <v>Barnhart,Craig Michael</v>
          </cell>
          <cell r="N4832">
            <v>3.625</v>
          </cell>
          <cell r="O4832">
            <v>2.9580000000000002</v>
          </cell>
        </row>
        <row r="4833">
          <cell r="E4833" t="str">
            <v>EDUC</v>
          </cell>
          <cell r="F4833" t="str">
            <v>EDUC-P</v>
          </cell>
          <cell r="G4833">
            <v>313</v>
          </cell>
          <cell r="H4833" t="str">
            <v>EDUC-P313</v>
          </cell>
          <cell r="K4833" t="str">
            <v>Barnhart,Craig Michael</v>
          </cell>
          <cell r="N4833">
            <v>3.5680000000000001</v>
          </cell>
          <cell r="O4833">
            <v>3.246</v>
          </cell>
        </row>
        <row r="4834">
          <cell r="E4834" t="str">
            <v>EDUC</v>
          </cell>
          <cell r="F4834" t="str">
            <v>EDUC-P</v>
          </cell>
          <cell r="G4834">
            <v>313</v>
          </cell>
          <cell r="H4834" t="str">
            <v>EDUC-P313</v>
          </cell>
          <cell r="K4834" t="str">
            <v>Hickman,Sarah Jane</v>
          </cell>
          <cell r="N4834">
            <v>3.6859999999999999</v>
          </cell>
          <cell r="O4834">
            <v>3.0009999999999999</v>
          </cell>
        </row>
        <row r="4835">
          <cell r="E4835" t="str">
            <v>EDUC</v>
          </cell>
          <cell r="F4835" t="str">
            <v>EDUC-P</v>
          </cell>
          <cell r="G4835">
            <v>313</v>
          </cell>
          <cell r="H4835" t="str">
            <v>EDUC-P313</v>
          </cell>
          <cell r="K4835" t="str">
            <v>Hickman,Sarah Jane</v>
          </cell>
          <cell r="N4835">
            <v>3.5049999999999999</v>
          </cell>
          <cell r="O4835">
            <v>3.0339999999999998</v>
          </cell>
        </row>
        <row r="4836">
          <cell r="E4836" t="str">
            <v>EDUC</v>
          </cell>
          <cell r="F4836" t="str">
            <v>EDUC-P</v>
          </cell>
          <cell r="G4836">
            <v>313</v>
          </cell>
          <cell r="H4836" t="str">
            <v>EDUC-P313</v>
          </cell>
          <cell r="K4836" t="str">
            <v>Hickman,Sarah Jane</v>
          </cell>
          <cell r="N4836">
            <v>3.476</v>
          </cell>
          <cell r="O4836">
            <v>3.0819999999999999</v>
          </cell>
        </row>
        <row r="4837">
          <cell r="E4837" t="str">
            <v>EDUC</v>
          </cell>
          <cell r="F4837" t="str">
            <v>EDUC-P</v>
          </cell>
          <cell r="G4837">
            <v>314</v>
          </cell>
          <cell r="H4837" t="str">
            <v>EDUC-P314</v>
          </cell>
          <cell r="K4837" t="str">
            <v>Stright,Anne Dopkins</v>
          </cell>
          <cell r="N4837">
            <v>3.4950000000000001</v>
          </cell>
          <cell r="O4837">
            <v>3.1869999999999998</v>
          </cell>
        </row>
        <row r="4838">
          <cell r="E4838" t="str">
            <v>EDUC</v>
          </cell>
          <cell r="F4838" t="str">
            <v>EDUC-P</v>
          </cell>
          <cell r="G4838">
            <v>314</v>
          </cell>
          <cell r="H4838" t="str">
            <v>EDUC-P314</v>
          </cell>
          <cell r="K4838" t="str">
            <v>Yu,Christine Imsook</v>
          </cell>
          <cell r="N4838">
            <v>3.3439999999999999</v>
          </cell>
          <cell r="O4838">
            <v>3.1</v>
          </cell>
        </row>
        <row r="4839">
          <cell r="E4839" t="str">
            <v>EDUC</v>
          </cell>
          <cell r="F4839" t="str">
            <v>EDUC-P</v>
          </cell>
          <cell r="G4839">
            <v>348</v>
          </cell>
          <cell r="H4839" t="str">
            <v>EDUC-P348</v>
          </cell>
          <cell r="K4839" t="str">
            <v>Doran,Kelly Ann</v>
          </cell>
          <cell r="N4839">
            <v>3.7829999999999999</v>
          </cell>
          <cell r="O4839">
            <v>3.5179999999999998</v>
          </cell>
        </row>
        <row r="4840">
          <cell r="E4840" t="str">
            <v>EDUC</v>
          </cell>
          <cell r="F4840" t="str">
            <v>EDUC-P</v>
          </cell>
          <cell r="G4840">
            <v>351</v>
          </cell>
          <cell r="H4840" t="str">
            <v>EDUC-P351</v>
          </cell>
          <cell r="K4840" t="str">
            <v>McCormick,Kathleen Isabel</v>
          </cell>
          <cell r="N4840">
            <v>3.8330000000000002</v>
          </cell>
          <cell r="O4840">
            <v>3.5609999999999999</v>
          </cell>
        </row>
        <row r="4841">
          <cell r="E4841" t="str">
            <v>EDUC</v>
          </cell>
          <cell r="F4841" t="str">
            <v>EDUC-P</v>
          </cell>
          <cell r="G4841">
            <v>450</v>
          </cell>
          <cell r="H4841" t="str">
            <v>EDUC-P450</v>
          </cell>
          <cell r="K4841" t="str">
            <v>Alexander,Joyce M.</v>
          </cell>
          <cell r="N4841" t="str">
            <v>NR</v>
          </cell>
          <cell r="O4841" t="str">
            <v>NR</v>
          </cell>
        </row>
        <row r="4842">
          <cell r="E4842" t="str">
            <v>EDUC</v>
          </cell>
          <cell r="F4842" t="str">
            <v>EDUC-P</v>
          </cell>
          <cell r="G4842">
            <v>450</v>
          </cell>
          <cell r="H4842" t="str">
            <v>EDUC-P450</v>
          </cell>
          <cell r="K4842" t="str">
            <v>Alexander,Joyce M.</v>
          </cell>
          <cell r="N4842" t="str">
            <v>NR</v>
          </cell>
          <cell r="O4842" t="str">
            <v>NR</v>
          </cell>
        </row>
        <row r="4843">
          <cell r="E4843" t="str">
            <v>EDUC</v>
          </cell>
          <cell r="F4843" t="str">
            <v>EDUC-P</v>
          </cell>
          <cell r="G4843">
            <v>450</v>
          </cell>
          <cell r="H4843" t="str">
            <v>EDUC-P450</v>
          </cell>
          <cell r="K4843" t="str">
            <v>Alexander,Joyce M.</v>
          </cell>
          <cell r="N4843" t="str">
            <v>NR</v>
          </cell>
          <cell r="O4843" t="str">
            <v>NR</v>
          </cell>
        </row>
        <row r="4844">
          <cell r="E4844" t="str">
            <v>EDUC</v>
          </cell>
          <cell r="F4844" t="str">
            <v>EDUC-P</v>
          </cell>
          <cell r="G4844">
            <v>501</v>
          </cell>
          <cell r="H4844" t="str">
            <v>EDUC-P501</v>
          </cell>
          <cell r="K4844" t="str">
            <v>Peng,Chao-Ying Joanne</v>
          </cell>
          <cell r="N4844">
            <v>3.7170000000000001</v>
          </cell>
          <cell r="O4844">
            <v>3.6909999999999998</v>
          </cell>
        </row>
        <row r="4845">
          <cell r="E4845" t="str">
            <v>EDUC</v>
          </cell>
          <cell r="F4845" t="str">
            <v>EDUC-P</v>
          </cell>
          <cell r="G4845">
            <v>507</v>
          </cell>
          <cell r="H4845" t="str">
            <v>EDUC-P507</v>
          </cell>
          <cell r="K4845" t="str">
            <v>Hickey,Daniel Thomas</v>
          </cell>
          <cell r="N4845">
            <v>4</v>
          </cell>
          <cell r="O4845">
            <v>3.831</v>
          </cell>
        </row>
        <row r="4846">
          <cell r="E4846" t="str">
            <v>EDUC</v>
          </cell>
          <cell r="F4846" t="str">
            <v>EDUC-P</v>
          </cell>
          <cell r="G4846">
            <v>513</v>
          </cell>
          <cell r="H4846" t="str">
            <v>EDUC-P513</v>
          </cell>
          <cell r="K4846" t="str">
            <v>Huber,Lesa</v>
          </cell>
          <cell r="N4846">
            <v>3.85</v>
          </cell>
          <cell r="O4846">
            <v>3.8919999999999999</v>
          </cell>
        </row>
        <row r="4847">
          <cell r="E4847" t="str">
            <v>EDUC</v>
          </cell>
          <cell r="F4847" t="str">
            <v>EDUC-P</v>
          </cell>
          <cell r="G4847">
            <v>514</v>
          </cell>
          <cell r="H4847" t="str">
            <v>EDUC-P514</v>
          </cell>
          <cell r="K4847" t="str">
            <v>Estell,David B.</v>
          </cell>
          <cell r="N4847">
            <v>3.9820000000000002</v>
          </cell>
          <cell r="O4847">
            <v>3.8559999999999999</v>
          </cell>
        </row>
        <row r="4848">
          <cell r="E4848" t="str">
            <v>EDUC</v>
          </cell>
          <cell r="F4848" t="str">
            <v>EDUC-P</v>
          </cell>
          <cell r="G4848">
            <v>515</v>
          </cell>
          <cell r="H4848" t="str">
            <v>EDUC-P515</v>
          </cell>
          <cell r="K4848" t="str">
            <v>Estell,David B.</v>
          </cell>
          <cell r="N4848">
            <v>3.9670000000000001</v>
          </cell>
          <cell r="O4848">
            <v>3.8519999999999999</v>
          </cell>
        </row>
        <row r="4849">
          <cell r="E4849" t="str">
            <v>EDUC</v>
          </cell>
          <cell r="F4849" t="str">
            <v>EDUC-P</v>
          </cell>
          <cell r="G4849">
            <v>516</v>
          </cell>
          <cell r="H4849" t="str">
            <v>EDUC-P516</v>
          </cell>
          <cell r="K4849" t="str">
            <v>Waldron,Mary</v>
          </cell>
          <cell r="N4849">
            <v>3.4630000000000001</v>
          </cell>
          <cell r="O4849">
            <v>3.5840000000000001</v>
          </cell>
        </row>
        <row r="4850">
          <cell r="E4850" t="str">
            <v>EDUC</v>
          </cell>
          <cell r="F4850" t="str">
            <v>EDUC-P</v>
          </cell>
          <cell r="G4850">
            <v>517</v>
          </cell>
          <cell r="H4850" t="str">
            <v>EDUC-P517</v>
          </cell>
          <cell r="K4850" t="str">
            <v>Huber,Lesa</v>
          </cell>
          <cell r="N4850">
            <v>3.9750000000000001</v>
          </cell>
          <cell r="O4850">
            <v>3.5649999999999999</v>
          </cell>
        </row>
        <row r="4851">
          <cell r="E4851" t="str">
            <v>EDUC</v>
          </cell>
          <cell r="F4851" t="str">
            <v>EDUC-P</v>
          </cell>
          <cell r="G4851">
            <v>518</v>
          </cell>
          <cell r="H4851" t="str">
            <v>EDUC-P518</v>
          </cell>
          <cell r="K4851" t="str">
            <v>Huber,Lesa</v>
          </cell>
          <cell r="N4851">
            <v>3.7</v>
          </cell>
          <cell r="O4851">
            <v>3.83</v>
          </cell>
        </row>
        <row r="4852">
          <cell r="E4852" t="str">
            <v>EDUC</v>
          </cell>
          <cell r="F4852" t="str">
            <v>EDUC-P</v>
          </cell>
          <cell r="G4852">
            <v>540</v>
          </cell>
          <cell r="H4852" t="str">
            <v>EDUC-P540</v>
          </cell>
          <cell r="K4852" t="str">
            <v>Bonk,Curtis Jay</v>
          </cell>
          <cell r="N4852">
            <v>3.9529999999999998</v>
          </cell>
          <cell r="O4852">
            <v>3.85</v>
          </cell>
        </row>
        <row r="4853">
          <cell r="E4853" t="str">
            <v>EDUC</v>
          </cell>
          <cell r="F4853" t="str">
            <v>EDUC-P</v>
          </cell>
          <cell r="G4853">
            <v>540</v>
          </cell>
          <cell r="H4853" t="str">
            <v>EDUC-P540</v>
          </cell>
          <cell r="K4853" t="str">
            <v>Hay,Kenneth E.</v>
          </cell>
          <cell r="N4853">
            <v>3.7109999999999999</v>
          </cell>
          <cell r="O4853">
            <v>3.8130000000000002</v>
          </cell>
        </row>
        <row r="4854">
          <cell r="E4854" t="str">
            <v>EDUC</v>
          </cell>
          <cell r="F4854" t="str">
            <v>EDUC-P</v>
          </cell>
          <cell r="G4854">
            <v>540</v>
          </cell>
          <cell r="H4854" t="str">
            <v>EDUC-P540</v>
          </cell>
          <cell r="K4854" t="str">
            <v>Hay,Kenneth E.</v>
          </cell>
          <cell r="N4854">
            <v>3.4449999999999998</v>
          </cell>
          <cell r="O4854">
            <v>3.7930000000000001</v>
          </cell>
        </row>
        <row r="4855">
          <cell r="E4855" t="str">
            <v>EDUC</v>
          </cell>
          <cell r="F4855" t="str">
            <v>EDUC-P</v>
          </cell>
          <cell r="G4855">
            <v>544</v>
          </cell>
          <cell r="H4855" t="str">
            <v>EDUC-P544</v>
          </cell>
          <cell r="K4855" t="str">
            <v>Duncan,Sean C</v>
          </cell>
          <cell r="N4855">
            <v>3.6429999999999998</v>
          </cell>
          <cell r="O4855">
            <v>3.8809999999999998</v>
          </cell>
        </row>
        <row r="4856">
          <cell r="E4856" t="str">
            <v>EDUC</v>
          </cell>
          <cell r="F4856" t="str">
            <v>EDUC-P</v>
          </cell>
          <cell r="G4856">
            <v>566</v>
          </cell>
          <cell r="H4856" t="str">
            <v>EDUC-P566</v>
          </cell>
          <cell r="K4856" t="str">
            <v>Wong,Joel</v>
          </cell>
          <cell r="N4856">
            <v>3.9790000000000001</v>
          </cell>
          <cell r="O4856">
            <v>3.83</v>
          </cell>
        </row>
        <row r="4857">
          <cell r="E4857" t="str">
            <v>EDUC</v>
          </cell>
          <cell r="F4857" t="str">
            <v>EDUC-P</v>
          </cell>
          <cell r="G4857">
            <v>572</v>
          </cell>
          <cell r="H4857" t="str">
            <v>EDUC-P572</v>
          </cell>
          <cell r="K4857" t="str">
            <v>Hickey,Daniel Thomas</v>
          </cell>
          <cell r="N4857">
            <v>3.9169999999999998</v>
          </cell>
          <cell r="O4857">
            <v>3.9049999999999998</v>
          </cell>
        </row>
        <row r="4858">
          <cell r="E4858" t="str">
            <v>EDUC</v>
          </cell>
          <cell r="F4858" t="str">
            <v>EDUC-P</v>
          </cell>
          <cell r="G4858">
            <v>573</v>
          </cell>
          <cell r="H4858" t="str">
            <v>EDUC-P573</v>
          </cell>
          <cell r="K4858" t="str">
            <v>Delandshere,Ginette</v>
          </cell>
          <cell r="N4858">
            <v>4</v>
          </cell>
          <cell r="O4858">
            <v>3.8690000000000002</v>
          </cell>
        </row>
        <row r="4859">
          <cell r="E4859" t="str">
            <v>EDUC</v>
          </cell>
          <cell r="F4859" t="str">
            <v>EDUC-P</v>
          </cell>
          <cell r="G4859">
            <v>573</v>
          </cell>
          <cell r="H4859" t="str">
            <v>EDUC-P573</v>
          </cell>
          <cell r="K4859" t="str">
            <v>Delandshere,Ginette</v>
          </cell>
          <cell r="N4859" t="str">
            <v>NR</v>
          </cell>
          <cell r="O4859" t="str">
            <v>NR</v>
          </cell>
        </row>
        <row r="4860">
          <cell r="E4860" t="str">
            <v>EDUC</v>
          </cell>
          <cell r="F4860" t="str">
            <v>EDUC-P</v>
          </cell>
          <cell r="G4860">
            <v>573</v>
          </cell>
          <cell r="H4860" t="str">
            <v>EDUC-P573</v>
          </cell>
          <cell r="K4860" t="str">
            <v>Delandshere,Ginette</v>
          </cell>
          <cell r="N4860">
            <v>4</v>
          </cell>
          <cell r="O4860">
            <v>3.863</v>
          </cell>
        </row>
        <row r="4861">
          <cell r="E4861" t="str">
            <v>EDUC</v>
          </cell>
          <cell r="F4861" t="str">
            <v>EDUC-P</v>
          </cell>
          <cell r="G4861">
            <v>590</v>
          </cell>
          <cell r="H4861" t="str">
            <v>EDUC-P590</v>
          </cell>
          <cell r="K4861" t="str">
            <v>Delandshere,Ginette</v>
          </cell>
          <cell r="N4861" t="str">
            <v>NR</v>
          </cell>
          <cell r="O4861" t="str">
            <v>NR</v>
          </cell>
        </row>
        <row r="4862">
          <cell r="E4862" t="str">
            <v>EDUC</v>
          </cell>
          <cell r="F4862" t="str">
            <v>EDUC-P</v>
          </cell>
          <cell r="G4862">
            <v>590</v>
          </cell>
          <cell r="H4862" t="str">
            <v>EDUC-P590</v>
          </cell>
          <cell r="K4862" t="str">
            <v>Delandshere,Ginette</v>
          </cell>
          <cell r="N4862" t="str">
            <v>NR</v>
          </cell>
          <cell r="O4862" t="str">
            <v>NR</v>
          </cell>
        </row>
        <row r="4863">
          <cell r="E4863" t="str">
            <v>EDUC</v>
          </cell>
          <cell r="F4863" t="str">
            <v>EDUC-P</v>
          </cell>
          <cell r="G4863">
            <v>590</v>
          </cell>
          <cell r="H4863" t="str">
            <v>EDUC-P590</v>
          </cell>
          <cell r="K4863" t="str">
            <v>Gray,Catherine</v>
          </cell>
          <cell r="N4863" t="str">
            <v>NR</v>
          </cell>
          <cell r="O4863" t="str">
            <v>NR</v>
          </cell>
        </row>
        <row r="4864">
          <cell r="E4864" t="str">
            <v>EDUC</v>
          </cell>
          <cell r="F4864" t="str">
            <v>EDUC-P</v>
          </cell>
          <cell r="G4864">
            <v>592</v>
          </cell>
          <cell r="H4864" t="str">
            <v>EDUC-P592</v>
          </cell>
          <cell r="K4864" t="str">
            <v>Ormiston,Heather Edl</v>
          </cell>
          <cell r="N4864">
            <v>3.7290000000000001</v>
          </cell>
          <cell r="O4864">
            <v>3.76</v>
          </cell>
        </row>
        <row r="4865">
          <cell r="E4865" t="str">
            <v>EDUC</v>
          </cell>
          <cell r="F4865" t="str">
            <v>EDUC-P</v>
          </cell>
          <cell r="G4865">
            <v>595</v>
          </cell>
          <cell r="H4865" t="str">
            <v>EDUC-P595</v>
          </cell>
          <cell r="K4865" t="str">
            <v>Bellini,Scott</v>
          </cell>
          <cell r="N4865" t="str">
            <v>NR</v>
          </cell>
          <cell r="O4865" t="str">
            <v>NR</v>
          </cell>
        </row>
        <row r="4866">
          <cell r="E4866" t="str">
            <v>EDUC</v>
          </cell>
          <cell r="F4866" t="str">
            <v>EDUC-P</v>
          </cell>
          <cell r="G4866">
            <v>596</v>
          </cell>
          <cell r="H4866" t="str">
            <v>EDUC-P596</v>
          </cell>
          <cell r="K4866" t="str">
            <v>Cummings,Jack Alan</v>
          </cell>
          <cell r="N4866" t="str">
            <v>NR</v>
          </cell>
          <cell r="O4866" t="str">
            <v>NR</v>
          </cell>
        </row>
        <row r="4867">
          <cell r="E4867" t="str">
            <v>EDUC</v>
          </cell>
          <cell r="F4867" t="str">
            <v>EDUC-P</v>
          </cell>
          <cell r="G4867">
            <v>596</v>
          </cell>
          <cell r="H4867" t="str">
            <v>EDUC-P596</v>
          </cell>
          <cell r="K4867" t="str">
            <v>Cummings,Jack Alan</v>
          </cell>
          <cell r="N4867" t="str">
            <v>NR</v>
          </cell>
          <cell r="O4867" t="str">
            <v>NR</v>
          </cell>
        </row>
        <row r="4868">
          <cell r="E4868" t="str">
            <v>EDUC</v>
          </cell>
          <cell r="F4868" t="str">
            <v>EDUC-P</v>
          </cell>
          <cell r="G4868">
            <v>601</v>
          </cell>
          <cell r="H4868" t="str">
            <v>EDUC-P601</v>
          </cell>
          <cell r="K4868" t="str">
            <v>Lieber,Frederic William</v>
          </cell>
          <cell r="N4868">
            <v>3.415</v>
          </cell>
          <cell r="O4868">
            <v>3.7869999999999999</v>
          </cell>
        </row>
        <row r="4869">
          <cell r="E4869" t="str">
            <v>EDUC</v>
          </cell>
          <cell r="F4869" t="str">
            <v>EDUC-P</v>
          </cell>
          <cell r="G4869">
            <v>622</v>
          </cell>
          <cell r="H4869" t="str">
            <v>EDUC-P622</v>
          </cell>
          <cell r="K4869" t="str">
            <v>Estell,David B.</v>
          </cell>
          <cell r="N4869">
            <v>3.9319999999999999</v>
          </cell>
          <cell r="O4869">
            <v>3.871</v>
          </cell>
        </row>
        <row r="4870">
          <cell r="E4870" t="str">
            <v>EDUC</v>
          </cell>
          <cell r="F4870" t="str">
            <v>EDUC-P</v>
          </cell>
          <cell r="G4870">
            <v>624</v>
          </cell>
          <cell r="H4870" t="str">
            <v>EDUC-P624</v>
          </cell>
          <cell r="K4870" t="str">
            <v>Estell,David B.</v>
          </cell>
          <cell r="N4870">
            <v>3.9180000000000001</v>
          </cell>
          <cell r="O4870">
            <v>3.8740000000000001</v>
          </cell>
        </row>
        <row r="4871">
          <cell r="E4871" t="str">
            <v>EDUC</v>
          </cell>
          <cell r="F4871" t="str">
            <v>EDUC-P</v>
          </cell>
          <cell r="G4871">
            <v>631</v>
          </cell>
          <cell r="H4871" t="str">
            <v>EDUC-P631</v>
          </cell>
          <cell r="K4871" t="str">
            <v>Duncan,Sean C</v>
          </cell>
          <cell r="N4871">
            <v>3.64</v>
          </cell>
          <cell r="O4871">
            <v>3.8580000000000001</v>
          </cell>
        </row>
        <row r="4872">
          <cell r="E4872" t="str">
            <v>EDUC</v>
          </cell>
          <cell r="F4872" t="str">
            <v>EDUC-P</v>
          </cell>
          <cell r="G4872">
            <v>633</v>
          </cell>
          <cell r="H4872" t="str">
            <v>EDUC-P633</v>
          </cell>
          <cell r="K4872" t="str">
            <v>Brown,Nathaniel</v>
          </cell>
          <cell r="N4872">
            <v>3.7360000000000002</v>
          </cell>
          <cell r="O4872">
            <v>3.9209999999999998</v>
          </cell>
        </row>
        <row r="4873">
          <cell r="E4873" t="str">
            <v>EDUC</v>
          </cell>
          <cell r="F4873" t="str">
            <v>EDUC-P</v>
          </cell>
          <cell r="G4873">
            <v>633</v>
          </cell>
          <cell r="H4873" t="str">
            <v>EDUC-P633</v>
          </cell>
          <cell r="K4873" t="str">
            <v>Hickey,Daniel Thomas</v>
          </cell>
          <cell r="N4873">
            <v>3.5880000000000001</v>
          </cell>
          <cell r="O4873">
            <v>3.8239999999999998</v>
          </cell>
        </row>
        <row r="4874">
          <cell r="E4874" t="str">
            <v>EDUC</v>
          </cell>
          <cell r="F4874" t="str">
            <v>EDUC-P</v>
          </cell>
          <cell r="G4874">
            <v>650</v>
          </cell>
          <cell r="H4874" t="str">
            <v>EDUC-P650</v>
          </cell>
          <cell r="K4874" t="str">
            <v>Danish,Joshua Adam</v>
          </cell>
          <cell r="N4874">
            <v>4</v>
          </cell>
          <cell r="O4874">
            <v>3.8239999999999998</v>
          </cell>
        </row>
        <row r="4875">
          <cell r="E4875" t="str">
            <v>EDUC</v>
          </cell>
          <cell r="F4875" t="str">
            <v>EDUC-P</v>
          </cell>
          <cell r="G4875">
            <v>650</v>
          </cell>
          <cell r="H4875" t="str">
            <v>EDUC-P650</v>
          </cell>
          <cell r="K4875" t="str">
            <v>Estell,David B.</v>
          </cell>
          <cell r="N4875" t="str">
            <v>NR</v>
          </cell>
          <cell r="O4875" t="str">
            <v>NR</v>
          </cell>
        </row>
        <row r="4876">
          <cell r="E4876" t="str">
            <v>EDUC</v>
          </cell>
          <cell r="F4876" t="str">
            <v>EDUC-P</v>
          </cell>
          <cell r="G4876">
            <v>650</v>
          </cell>
          <cell r="H4876" t="str">
            <v>EDUC-P650</v>
          </cell>
          <cell r="K4876" t="str">
            <v>Gray,Catherine</v>
          </cell>
          <cell r="N4876">
            <v>4</v>
          </cell>
          <cell r="O4876">
            <v>3.9009999999999998</v>
          </cell>
        </row>
        <row r="4877">
          <cell r="E4877" t="str">
            <v>EDUC</v>
          </cell>
          <cell r="F4877" t="str">
            <v>EDUC-P</v>
          </cell>
          <cell r="G4877">
            <v>655</v>
          </cell>
          <cell r="H4877" t="str">
            <v>EDUC-P655</v>
          </cell>
          <cell r="K4877" t="str">
            <v>Byers,Julia Ann</v>
          </cell>
          <cell r="N4877">
            <v>3.7639999999999998</v>
          </cell>
          <cell r="O4877">
            <v>3.5880000000000001</v>
          </cell>
        </row>
        <row r="4878">
          <cell r="E4878" t="str">
            <v>EDUC</v>
          </cell>
          <cell r="F4878" t="str">
            <v>EDUC-P</v>
          </cell>
          <cell r="G4878">
            <v>656</v>
          </cell>
          <cell r="H4878" t="str">
            <v>EDUC-P656</v>
          </cell>
          <cell r="K4878" t="str">
            <v>Bellini,Scott</v>
          </cell>
          <cell r="N4878">
            <v>4</v>
          </cell>
          <cell r="O4878">
            <v>3.5880000000000001</v>
          </cell>
        </row>
        <row r="4879">
          <cell r="E4879" t="str">
            <v>EDUC</v>
          </cell>
          <cell r="F4879" t="str">
            <v>EDUC-P</v>
          </cell>
          <cell r="G4879">
            <v>670</v>
          </cell>
          <cell r="H4879" t="str">
            <v>EDUC-P670</v>
          </cell>
          <cell r="K4879" t="str">
            <v>Bellini,Scott</v>
          </cell>
          <cell r="N4879">
            <v>3.923</v>
          </cell>
          <cell r="O4879">
            <v>3.5880000000000001</v>
          </cell>
        </row>
        <row r="4880">
          <cell r="E4880" t="str">
            <v>EDUC</v>
          </cell>
          <cell r="F4880" t="str">
            <v>EDUC-P</v>
          </cell>
          <cell r="G4880">
            <v>674</v>
          </cell>
          <cell r="H4880" t="str">
            <v>EDUC-P674</v>
          </cell>
          <cell r="K4880" t="str">
            <v>Danish,Joshua Adam</v>
          </cell>
          <cell r="N4880">
            <v>4</v>
          </cell>
          <cell r="O4880">
            <v>3.8540000000000001</v>
          </cell>
        </row>
        <row r="4881">
          <cell r="E4881" t="str">
            <v>EDUC</v>
          </cell>
          <cell r="F4881" t="str">
            <v>EDUC-P</v>
          </cell>
          <cell r="G4881">
            <v>680</v>
          </cell>
          <cell r="H4881" t="str">
            <v>EDUC-P680</v>
          </cell>
          <cell r="K4881" t="str">
            <v>Cummings,Jack Alan</v>
          </cell>
          <cell r="N4881">
            <v>3.8769999999999998</v>
          </cell>
          <cell r="O4881">
            <v>3.5880000000000001</v>
          </cell>
        </row>
        <row r="4882">
          <cell r="E4882" t="str">
            <v>EDUC</v>
          </cell>
          <cell r="F4882" t="str">
            <v>EDUC-P</v>
          </cell>
          <cell r="G4882">
            <v>681</v>
          </cell>
          <cell r="H4882" t="str">
            <v>EDUC-P681</v>
          </cell>
          <cell r="K4882" t="str">
            <v>Perez,Becky</v>
          </cell>
          <cell r="N4882">
            <v>3.8380000000000001</v>
          </cell>
          <cell r="O4882">
            <v>3.7650000000000001</v>
          </cell>
        </row>
        <row r="4883">
          <cell r="E4883" t="str">
            <v>EDUC</v>
          </cell>
          <cell r="F4883" t="str">
            <v>EDUC-P</v>
          </cell>
          <cell r="G4883">
            <v>682</v>
          </cell>
          <cell r="H4883" t="str">
            <v>EDUC-P682</v>
          </cell>
          <cell r="K4883" t="str">
            <v>Huberty,Thomas J. Reed</v>
          </cell>
          <cell r="N4883">
            <v>3.85</v>
          </cell>
          <cell r="O4883">
            <v>3.8039999999999998</v>
          </cell>
        </row>
        <row r="4884">
          <cell r="E4884" t="str">
            <v>EDUC</v>
          </cell>
          <cell r="F4884" t="str">
            <v>EDUC-P</v>
          </cell>
          <cell r="G4884">
            <v>690</v>
          </cell>
          <cell r="H4884" t="str">
            <v>EDUC-P690</v>
          </cell>
          <cell r="K4884" t="str">
            <v>Delandshere,Ginette</v>
          </cell>
          <cell r="N4884" t="str">
            <v>NR</v>
          </cell>
          <cell r="O4884" t="str">
            <v>NR</v>
          </cell>
        </row>
        <row r="4885">
          <cell r="E4885" t="str">
            <v>EDUC</v>
          </cell>
          <cell r="F4885" t="str">
            <v>EDUC-P</v>
          </cell>
          <cell r="G4885">
            <v>691</v>
          </cell>
          <cell r="H4885" t="str">
            <v>EDUC-P691</v>
          </cell>
          <cell r="K4885" t="str">
            <v>Huberty,Thomas J. Reed</v>
          </cell>
          <cell r="N4885" t="str">
            <v>NR</v>
          </cell>
          <cell r="O4885" t="str">
            <v>NR</v>
          </cell>
        </row>
        <row r="4886">
          <cell r="E4886" t="str">
            <v>EDUC</v>
          </cell>
          <cell r="F4886" t="str">
            <v>EDUC-P</v>
          </cell>
          <cell r="G4886">
            <v>691</v>
          </cell>
          <cell r="H4886" t="str">
            <v>EDUC-P691</v>
          </cell>
          <cell r="K4886" t="str">
            <v>Tracy,Michael L.</v>
          </cell>
          <cell r="N4886">
            <v>4</v>
          </cell>
          <cell r="O4886">
            <v>3.9089999999999998</v>
          </cell>
        </row>
        <row r="4887">
          <cell r="E4887" t="str">
            <v>EDUC</v>
          </cell>
          <cell r="F4887" t="str">
            <v>EDUC-P</v>
          </cell>
          <cell r="G4887">
            <v>692</v>
          </cell>
          <cell r="H4887" t="str">
            <v>EDUC-P692</v>
          </cell>
          <cell r="K4887" t="str">
            <v>Cummings,Jack Alan</v>
          </cell>
          <cell r="N4887">
            <v>3.87</v>
          </cell>
          <cell r="O4887">
            <v>3.8039999999999998</v>
          </cell>
        </row>
        <row r="4888">
          <cell r="E4888" t="str">
            <v>EDUC</v>
          </cell>
          <cell r="F4888" t="str">
            <v>EDUC-P</v>
          </cell>
          <cell r="G4888">
            <v>695</v>
          </cell>
          <cell r="H4888" t="str">
            <v>EDUC-P695</v>
          </cell>
          <cell r="K4888" t="str">
            <v>Ormiston,Heather Edl</v>
          </cell>
          <cell r="N4888" t="str">
            <v>NR</v>
          </cell>
          <cell r="O4888" t="str">
            <v>NR</v>
          </cell>
        </row>
        <row r="4889">
          <cell r="E4889" t="str">
            <v>EDUC</v>
          </cell>
          <cell r="F4889" t="str">
            <v>EDUC-P</v>
          </cell>
          <cell r="G4889">
            <v>695</v>
          </cell>
          <cell r="H4889" t="str">
            <v>EDUC-P695</v>
          </cell>
          <cell r="K4889" t="str">
            <v>Skiba,Russell</v>
          </cell>
          <cell r="N4889" t="str">
            <v>NR</v>
          </cell>
          <cell r="O4889" t="str">
            <v>NR</v>
          </cell>
        </row>
        <row r="4890">
          <cell r="E4890" t="str">
            <v>EDUC</v>
          </cell>
          <cell r="F4890" t="str">
            <v>EDUC-P</v>
          </cell>
          <cell r="G4890">
            <v>696</v>
          </cell>
          <cell r="H4890" t="str">
            <v>EDUC-P696</v>
          </cell>
          <cell r="K4890" t="str">
            <v>Reiche,Sherry Darlene</v>
          </cell>
          <cell r="N4890" t="str">
            <v>NR</v>
          </cell>
          <cell r="O4890" t="str">
            <v>NR</v>
          </cell>
        </row>
        <row r="4891">
          <cell r="E4891" t="str">
            <v>EDUC</v>
          </cell>
          <cell r="F4891" t="str">
            <v>EDUC-P</v>
          </cell>
          <cell r="G4891">
            <v>696</v>
          </cell>
          <cell r="H4891" t="str">
            <v>EDUC-P696</v>
          </cell>
          <cell r="K4891" t="str">
            <v>Skiba,Russell</v>
          </cell>
          <cell r="N4891" t="str">
            <v>NR</v>
          </cell>
          <cell r="O4891" t="str">
            <v>NR</v>
          </cell>
        </row>
        <row r="4892">
          <cell r="E4892" t="str">
            <v>EDUC</v>
          </cell>
          <cell r="F4892" t="str">
            <v>EDUC-P</v>
          </cell>
          <cell r="G4892">
            <v>697</v>
          </cell>
          <cell r="H4892" t="str">
            <v>EDUC-P697</v>
          </cell>
          <cell r="K4892" t="str">
            <v>Cummings,Jack Alan</v>
          </cell>
          <cell r="N4892" t="str">
            <v>NR</v>
          </cell>
          <cell r="O4892" t="str">
            <v>NR</v>
          </cell>
        </row>
        <row r="4893">
          <cell r="E4893" t="str">
            <v>EDUC</v>
          </cell>
          <cell r="F4893" t="str">
            <v>EDUC-P</v>
          </cell>
          <cell r="G4893">
            <v>697</v>
          </cell>
          <cell r="H4893" t="str">
            <v>EDUC-P697</v>
          </cell>
          <cell r="K4893" t="str">
            <v>Huberty,Thomas J. Reed</v>
          </cell>
          <cell r="N4893" t="str">
            <v>NR</v>
          </cell>
          <cell r="O4893" t="str">
            <v>NR</v>
          </cell>
        </row>
        <row r="4894">
          <cell r="E4894" t="str">
            <v>EDUC</v>
          </cell>
          <cell r="F4894" t="str">
            <v>EDUC-P</v>
          </cell>
          <cell r="G4894">
            <v>697</v>
          </cell>
          <cell r="H4894" t="str">
            <v>EDUC-P697</v>
          </cell>
          <cell r="K4894" t="str">
            <v>Huberty,Thomas J. Reed</v>
          </cell>
          <cell r="N4894" t="str">
            <v>NR</v>
          </cell>
          <cell r="O4894" t="str">
            <v>NR</v>
          </cell>
        </row>
        <row r="4895">
          <cell r="E4895" t="str">
            <v>EDUC</v>
          </cell>
          <cell r="F4895" t="str">
            <v>EDUC-P</v>
          </cell>
          <cell r="G4895">
            <v>699</v>
          </cell>
          <cell r="H4895" t="str">
            <v>EDUC-P699</v>
          </cell>
          <cell r="K4895" t="str">
            <v>Huberty,Thomas J. Reed</v>
          </cell>
          <cell r="N4895" t="str">
            <v>NR</v>
          </cell>
          <cell r="O4895" t="str">
            <v>NR</v>
          </cell>
        </row>
        <row r="4896">
          <cell r="E4896" t="str">
            <v>EDUC</v>
          </cell>
          <cell r="F4896" t="str">
            <v>EDUC-P</v>
          </cell>
          <cell r="G4896">
            <v>699</v>
          </cell>
          <cell r="H4896" t="str">
            <v>EDUC-P699</v>
          </cell>
          <cell r="K4896" t="str">
            <v>Huberty,Thomas J. Reed</v>
          </cell>
          <cell r="N4896" t="str">
            <v>NR</v>
          </cell>
          <cell r="O4896" t="str">
            <v>NR</v>
          </cell>
        </row>
        <row r="4897">
          <cell r="E4897" t="str">
            <v>EDUC</v>
          </cell>
          <cell r="F4897" t="str">
            <v>EDUC-P</v>
          </cell>
          <cell r="G4897">
            <v>795</v>
          </cell>
          <cell r="H4897" t="str">
            <v>EDUC-P795</v>
          </cell>
          <cell r="K4897" t="str">
            <v>Delandshere,Ginette</v>
          </cell>
          <cell r="N4897" t="str">
            <v>NR</v>
          </cell>
          <cell r="O4897" t="str">
            <v>NR</v>
          </cell>
        </row>
        <row r="4898">
          <cell r="E4898" t="str">
            <v>EDUC</v>
          </cell>
          <cell r="F4898" t="str">
            <v>EDUC-P</v>
          </cell>
          <cell r="G4898">
            <v>795</v>
          </cell>
          <cell r="H4898" t="str">
            <v>EDUC-P795</v>
          </cell>
          <cell r="K4898" t="str">
            <v>Delandshere,Ginette</v>
          </cell>
          <cell r="N4898" t="str">
            <v>NR</v>
          </cell>
          <cell r="O4898" t="str">
            <v>NR</v>
          </cell>
        </row>
        <row r="4899">
          <cell r="E4899" t="str">
            <v>EDUC</v>
          </cell>
          <cell r="F4899" t="str">
            <v>EDUC-P</v>
          </cell>
          <cell r="G4899">
            <v>795</v>
          </cell>
          <cell r="H4899" t="str">
            <v>EDUC-P795</v>
          </cell>
          <cell r="K4899" t="str">
            <v>Delandshere,Ginette</v>
          </cell>
          <cell r="N4899" t="str">
            <v>NR</v>
          </cell>
          <cell r="O4899" t="str">
            <v>NR</v>
          </cell>
        </row>
        <row r="4900">
          <cell r="E4900" t="str">
            <v>EDUC</v>
          </cell>
          <cell r="F4900" t="str">
            <v>EDUC-P</v>
          </cell>
          <cell r="G4900">
            <v>799</v>
          </cell>
          <cell r="H4900" t="str">
            <v>EDUC-P799</v>
          </cell>
          <cell r="K4900" t="str">
            <v>Delandshere,Ginette</v>
          </cell>
          <cell r="N4900" t="str">
            <v>NR</v>
          </cell>
          <cell r="O4900" t="str">
            <v>NR</v>
          </cell>
        </row>
        <row r="4901">
          <cell r="E4901" t="str">
            <v>EDUC</v>
          </cell>
          <cell r="F4901" t="str">
            <v>EDUC-P</v>
          </cell>
          <cell r="G4901">
            <v>799</v>
          </cell>
          <cell r="H4901" t="str">
            <v>EDUC-P799</v>
          </cell>
          <cell r="K4901" t="str">
            <v>Delandshere,Ginette</v>
          </cell>
          <cell r="N4901" t="str">
            <v>NR</v>
          </cell>
          <cell r="O4901" t="str">
            <v>NR</v>
          </cell>
        </row>
        <row r="4902">
          <cell r="E4902" t="str">
            <v>EDUC</v>
          </cell>
          <cell r="F4902" t="str">
            <v>EDUC-P</v>
          </cell>
          <cell r="G4902">
            <v>799</v>
          </cell>
          <cell r="H4902" t="str">
            <v>EDUC-P799</v>
          </cell>
          <cell r="K4902" t="str">
            <v>Delandshere,Ginette</v>
          </cell>
          <cell r="N4902" t="str">
            <v>NR</v>
          </cell>
          <cell r="O4902" t="str">
            <v>NR</v>
          </cell>
        </row>
        <row r="4903">
          <cell r="E4903" t="str">
            <v>EDUC</v>
          </cell>
          <cell r="F4903" t="str">
            <v>EDUC-P</v>
          </cell>
          <cell r="G4903">
            <v>799</v>
          </cell>
          <cell r="H4903" t="str">
            <v>EDUC-P799</v>
          </cell>
          <cell r="K4903" t="str">
            <v>Delandshere,Ginette</v>
          </cell>
          <cell r="N4903" t="str">
            <v>NR</v>
          </cell>
          <cell r="O4903" t="str">
            <v>NR</v>
          </cell>
        </row>
        <row r="4904">
          <cell r="E4904" t="str">
            <v>EDUC</v>
          </cell>
          <cell r="F4904" t="str">
            <v>EDUC-Q</v>
          </cell>
          <cell r="G4904">
            <v>200</v>
          </cell>
          <cell r="H4904" t="str">
            <v>EDUC-Q200</v>
          </cell>
          <cell r="K4904" t="str">
            <v>Avsar Erumit,Banu</v>
          </cell>
          <cell r="N4904">
            <v>3.363</v>
          </cell>
          <cell r="O4904">
            <v>2.984</v>
          </cell>
        </row>
        <row r="4905">
          <cell r="E4905" t="str">
            <v>EDUC</v>
          </cell>
          <cell r="F4905" t="str">
            <v>EDUC-Q</v>
          </cell>
          <cell r="G4905">
            <v>200</v>
          </cell>
          <cell r="H4905" t="str">
            <v>EDUC-Q200</v>
          </cell>
          <cell r="K4905" t="str">
            <v>Avsar Erumit,Banu</v>
          </cell>
          <cell r="N4905">
            <v>3.3109999999999999</v>
          </cell>
          <cell r="O4905">
            <v>3.048</v>
          </cell>
        </row>
        <row r="4906">
          <cell r="E4906" t="str">
            <v>EDUC</v>
          </cell>
          <cell r="F4906" t="str">
            <v>EDUC-Q</v>
          </cell>
          <cell r="G4906">
            <v>200</v>
          </cell>
          <cell r="H4906" t="str">
            <v>EDUC-Q200</v>
          </cell>
          <cell r="K4906" t="str">
            <v>Buck,Gayle Anne</v>
          </cell>
          <cell r="N4906">
            <v>3.605</v>
          </cell>
          <cell r="O4906">
            <v>3.2650000000000001</v>
          </cell>
        </row>
        <row r="4907">
          <cell r="E4907" t="str">
            <v>EDUC</v>
          </cell>
          <cell r="F4907" t="str">
            <v>EDUC-Q</v>
          </cell>
          <cell r="G4907">
            <v>200</v>
          </cell>
          <cell r="H4907" t="str">
            <v>EDUC-Q200</v>
          </cell>
          <cell r="K4907" t="str">
            <v>Buck,Gayle Anne</v>
          </cell>
          <cell r="N4907">
            <v>3.4350000000000001</v>
          </cell>
          <cell r="O4907">
            <v>2.9</v>
          </cell>
        </row>
        <row r="4908">
          <cell r="E4908" t="str">
            <v>EDUC</v>
          </cell>
          <cell r="F4908" t="str">
            <v>EDUC-Q</v>
          </cell>
          <cell r="G4908">
            <v>200</v>
          </cell>
          <cell r="H4908" t="str">
            <v>EDUC-Q200</v>
          </cell>
          <cell r="K4908" t="str">
            <v>Buck,Gayle Anne</v>
          </cell>
          <cell r="N4908">
            <v>3.7</v>
          </cell>
          <cell r="O4908">
            <v>3.1789999999999998</v>
          </cell>
        </row>
        <row r="4909">
          <cell r="E4909" t="str">
            <v>EDUC</v>
          </cell>
          <cell r="F4909" t="str">
            <v>EDUC-Q</v>
          </cell>
          <cell r="G4909">
            <v>200</v>
          </cell>
          <cell r="H4909" t="str">
            <v>EDUC-Q200</v>
          </cell>
          <cell r="K4909" t="str">
            <v>Buck,Gayle Anne</v>
          </cell>
          <cell r="N4909">
            <v>3.133</v>
          </cell>
          <cell r="O4909">
            <v>3.0529999999999999</v>
          </cell>
        </row>
        <row r="4910">
          <cell r="E4910" t="str">
            <v>EDUC</v>
          </cell>
          <cell r="F4910" t="str">
            <v>EDUC-Q</v>
          </cell>
          <cell r="G4910">
            <v>200</v>
          </cell>
          <cell r="H4910" t="str">
            <v>EDUC-Q200</v>
          </cell>
          <cell r="K4910" t="str">
            <v>Buck,Gayle Anne</v>
          </cell>
          <cell r="N4910">
            <v>3.093</v>
          </cell>
          <cell r="O4910">
            <v>3.0070000000000001</v>
          </cell>
        </row>
        <row r="4911">
          <cell r="E4911" t="str">
            <v>EDUC</v>
          </cell>
          <cell r="F4911" t="str">
            <v>EDUC-Q</v>
          </cell>
          <cell r="G4911">
            <v>200</v>
          </cell>
          <cell r="H4911" t="str">
            <v>EDUC-Q200</v>
          </cell>
          <cell r="K4911" t="str">
            <v>Buck,Gayle Anne</v>
          </cell>
          <cell r="N4911">
            <v>3.6219999999999999</v>
          </cell>
          <cell r="O4911">
            <v>3.2370000000000001</v>
          </cell>
        </row>
        <row r="4912">
          <cell r="E4912" t="str">
            <v>EDUC</v>
          </cell>
          <cell r="F4912" t="str">
            <v>EDUC-Q</v>
          </cell>
          <cell r="G4912">
            <v>200</v>
          </cell>
          <cell r="H4912" t="str">
            <v>EDUC-Q200</v>
          </cell>
          <cell r="K4912" t="str">
            <v>Buck,Gayle Anne</v>
          </cell>
          <cell r="N4912">
            <v>3.4809999999999999</v>
          </cell>
          <cell r="O4912">
            <v>2.9780000000000002</v>
          </cell>
        </row>
        <row r="4913">
          <cell r="E4913" t="str">
            <v>EDUC</v>
          </cell>
          <cell r="F4913" t="str">
            <v>EDUC-Q</v>
          </cell>
          <cell r="G4913">
            <v>200</v>
          </cell>
          <cell r="H4913" t="str">
            <v>EDUC-Q200</v>
          </cell>
          <cell r="K4913" t="str">
            <v>Buck,Gayle Anne</v>
          </cell>
          <cell r="N4913">
            <v>3.1389999999999998</v>
          </cell>
          <cell r="O4913">
            <v>3.1349999999999998</v>
          </cell>
        </row>
        <row r="4914">
          <cell r="E4914" t="str">
            <v>EDUC</v>
          </cell>
          <cell r="F4914" t="str">
            <v>EDUC-Q</v>
          </cell>
          <cell r="G4914">
            <v>200</v>
          </cell>
          <cell r="H4914" t="str">
            <v>EDUC-Q200</v>
          </cell>
          <cell r="K4914" t="str">
            <v>Fouad,Khadija Engelbrecht</v>
          </cell>
          <cell r="N4914">
            <v>3.7949999999999999</v>
          </cell>
          <cell r="O4914">
            <v>3.5430000000000001</v>
          </cell>
        </row>
        <row r="4915">
          <cell r="E4915" t="str">
            <v>EDUC</v>
          </cell>
          <cell r="F4915" t="str">
            <v>EDUC-Q</v>
          </cell>
          <cell r="G4915">
            <v>200</v>
          </cell>
          <cell r="H4915" t="str">
            <v>EDUC-Q200</v>
          </cell>
          <cell r="K4915" t="str">
            <v>Fouad,Khadija Engelbrecht</v>
          </cell>
          <cell r="N4915">
            <v>3.6320000000000001</v>
          </cell>
          <cell r="O4915">
            <v>3.4420000000000002</v>
          </cell>
        </row>
        <row r="4916">
          <cell r="E4916" t="str">
            <v>EDUC</v>
          </cell>
          <cell r="F4916" t="str">
            <v>EDUC-Q</v>
          </cell>
          <cell r="G4916">
            <v>200</v>
          </cell>
          <cell r="H4916" t="str">
            <v>EDUC-Q200</v>
          </cell>
          <cell r="K4916" t="str">
            <v>Harris,Tina Ann</v>
          </cell>
          <cell r="N4916">
            <v>2.726</v>
          </cell>
          <cell r="O4916">
            <v>2.8650000000000002</v>
          </cell>
        </row>
        <row r="4917">
          <cell r="E4917" t="str">
            <v>EDUC</v>
          </cell>
          <cell r="F4917" t="str">
            <v>EDUC-Q</v>
          </cell>
          <cell r="G4917">
            <v>200</v>
          </cell>
          <cell r="H4917" t="str">
            <v>EDUC-Q200</v>
          </cell>
          <cell r="K4917" t="str">
            <v>Harris,Tina Ann</v>
          </cell>
          <cell r="N4917">
            <v>3.2789999999999999</v>
          </cell>
          <cell r="O4917">
            <v>3.0670000000000002</v>
          </cell>
        </row>
        <row r="4918">
          <cell r="E4918" t="str">
            <v>EDUC</v>
          </cell>
          <cell r="F4918" t="str">
            <v>EDUC-Q</v>
          </cell>
          <cell r="G4918">
            <v>200</v>
          </cell>
          <cell r="H4918" t="str">
            <v>EDUC-Q200</v>
          </cell>
          <cell r="K4918" t="str">
            <v>Mills,Mary Elizabeth</v>
          </cell>
          <cell r="N4918">
            <v>3.6349999999999998</v>
          </cell>
          <cell r="O4918">
            <v>3.34</v>
          </cell>
        </row>
        <row r="4919">
          <cell r="E4919" t="str">
            <v>EDUC</v>
          </cell>
          <cell r="F4919" t="str">
            <v>EDUC-Q</v>
          </cell>
          <cell r="G4919">
            <v>200</v>
          </cell>
          <cell r="H4919" t="str">
            <v>EDUC-Q200</v>
          </cell>
          <cell r="K4919" t="str">
            <v>Mills,Mary Elizabeth</v>
          </cell>
          <cell r="N4919">
            <v>3.7519999999999998</v>
          </cell>
          <cell r="O4919">
            <v>3.3769999999999998</v>
          </cell>
        </row>
        <row r="4920">
          <cell r="E4920" t="str">
            <v>EDUC</v>
          </cell>
          <cell r="F4920" t="str">
            <v>EDUC-Q</v>
          </cell>
          <cell r="G4920">
            <v>405</v>
          </cell>
          <cell r="H4920" t="str">
            <v>EDUC-Q405</v>
          </cell>
          <cell r="K4920" t="str">
            <v>McCormack,Stacy Arleena</v>
          </cell>
          <cell r="N4920" t="str">
            <v>NR</v>
          </cell>
          <cell r="O4920" t="str">
            <v>NR</v>
          </cell>
        </row>
        <row r="4921">
          <cell r="E4921" t="str">
            <v>EDUC</v>
          </cell>
          <cell r="F4921" t="str">
            <v>EDUC-Q</v>
          </cell>
          <cell r="G4921">
            <v>405</v>
          </cell>
          <cell r="H4921" t="str">
            <v>EDUC-Q405</v>
          </cell>
          <cell r="K4921" t="str">
            <v>Park Rogers,Meredith Anne</v>
          </cell>
          <cell r="N4921" t="str">
            <v>NR</v>
          </cell>
          <cell r="O4921" t="str">
            <v>NR</v>
          </cell>
        </row>
        <row r="4922">
          <cell r="E4922" t="str">
            <v>EDUC</v>
          </cell>
          <cell r="F4922" t="str">
            <v>EDUC-Q</v>
          </cell>
          <cell r="G4922">
            <v>506</v>
          </cell>
          <cell r="H4922" t="str">
            <v>EDUC-Q506</v>
          </cell>
          <cell r="K4922" t="str">
            <v>Schick,Jean Katherine</v>
          </cell>
          <cell r="N4922" t="str">
            <v>NR</v>
          </cell>
          <cell r="O4922" t="str">
            <v>NR</v>
          </cell>
        </row>
        <row r="4923">
          <cell r="E4923" t="str">
            <v>EDUC</v>
          </cell>
          <cell r="F4923" t="str">
            <v>EDUC-Q</v>
          </cell>
          <cell r="G4923">
            <v>515</v>
          </cell>
          <cell r="H4923" t="str">
            <v>EDUC-Q515</v>
          </cell>
          <cell r="K4923" t="str">
            <v>Schick,Jean Katherine</v>
          </cell>
          <cell r="N4923">
            <v>3.617</v>
          </cell>
          <cell r="O4923">
            <v>3.653</v>
          </cell>
        </row>
        <row r="4924">
          <cell r="E4924" t="str">
            <v>EDUC</v>
          </cell>
          <cell r="F4924" t="str">
            <v>EDUC-Q</v>
          </cell>
          <cell r="G4924">
            <v>528</v>
          </cell>
          <cell r="H4924" t="str">
            <v>EDUC-Q528</v>
          </cell>
          <cell r="K4924" t="str">
            <v>Maltese,Adam Vincent</v>
          </cell>
          <cell r="N4924">
            <v>3.0670000000000002</v>
          </cell>
          <cell r="O4924">
            <v>3.528</v>
          </cell>
        </row>
        <row r="4925">
          <cell r="E4925" t="str">
            <v>EDUC</v>
          </cell>
          <cell r="F4925" t="str">
            <v>EDUC-Q</v>
          </cell>
          <cell r="G4925">
            <v>546</v>
          </cell>
          <cell r="H4925" t="str">
            <v>EDUC-Q546</v>
          </cell>
          <cell r="K4925" t="str">
            <v>Buck,Gayle Anne</v>
          </cell>
          <cell r="N4925" t="str">
            <v>NR</v>
          </cell>
          <cell r="O4925" t="str">
            <v>NR</v>
          </cell>
        </row>
        <row r="4926">
          <cell r="E4926" t="str">
            <v>EDUC</v>
          </cell>
          <cell r="F4926" t="str">
            <v>EDUC-Q</v>
          </cell>
          <cell r="G4926">
            <v>590</v>
          </cell>
          <cell r="H4926" t="str">
            <v>EDUC-Q590</v>
          </cell>
          <cell r="K4926" t="str">
            <v>Park Rogers,Meredith</v>
          </cell>
          <cell r="N4926" t="str">
            <v>NR</v>
          </cell>
          <cell r="O4926" t="str">
            <v>NR</v>
          </cell>
        </row>
        <row r="4927">
          <cell r="E4927" t="str">
            <v>EDUC</v>
          </cell>
          <cell r="F4927" t="str">
            <v>EDUC-Q</v>
          </cell>
          <cell r="G4927">
            <v>590</v>
          </cell>
          <cell r="H4927" t="str">
            <v>EDUC-Q590</v>
          </cell>
          <cell r="K4927" t="str">
            <v>Sherwood,Robert Dan</v>
          </cell>
          <cell r="N4927" t="str">
            <v>NR</v>
          </cell>
          <cell r="O4927" t="str">
            <v>NR</v>
          </cell>
        </row>
        <row r="4928">
          <cell r="E4928" t="str">
            <v>EDUC</v>
          </cell>
          <cell r="F4928" t="str">
            <v>EDUC-Q</v>
          </cell>
          <cell r="G4928">
            <v>601</v>
          </cell>
          <cell r="H4928" t="str">
            <v>EDUC-Q601</v>
          </cell>
          <cell r="K4928" t="str">
            <v>Maltese,Adam Vincent</v>
          </cell>
          <cell r="N4928" t="str">
            <v>NR</v>
          </cell>
          <cell r="O4928" t="str">
            <v>NR</v>
          </cell>
        </row>
        <row r="4929">
          <cell r="E4929" t="str">
            <v>EDUC</v>
          </cell>
          <cell r="F4929" t="str">
            <v>EDUC-Q</v>
          </cell>
          <cell r="G4929">
            <v>601</v>
          </cell>
          <cell r="H4929" t="str">
            <v>EDUC-Q601</v>
          </cell>
          <cell r="K4929" t="str">
            <v>Park Rogers,Meredith</v>
          </cell>
          <cell r="N4929" t="str">
            <v>NR</v>
          </cell>
          <cell r="O4929" t="str">
            <v>NR</v>
          </cell>
        </row>
        <row r="4930">
          <cell r="E4930" t="str">
            <v>EDUC</v>
          </cell>
          <cell r="F4930" t="str">
            <v>EDUC-Q</v>
          </cell>
          <cell r="G4930">
            <v>612</v>
          </cell>
          <cell r="H4930" t="str">
            <v>EDUC-Q612</v>
          </cell>
          <cell r="K4930" t="str">
            <v>Buck,Gayle Anne</v>
          </cell>
          <cell r="N4930">
            <v>3.9670000000000001</v>
          </cell>
          <cell r="O4930">
            <v>3.839</v>
          </cell>
        </row>
        <row r="4931">
          <cell r="E4931" t="str">
            <v>EDUC</v>
          </cell>
          <cell r="F4931" t="str">
            <v>EDUC-Q</v>
          </cell>
          <cell r="G4931">
            <v>690</v>
          </cell>
          <cell r="H4931" t="str">
            <v>EDUC-Q690</v>
          </cell>
          <cell r="K4931" t="str">
            <v>Akerson,Valarie</v>
          </cell>
          <cell r="N4931" t="str">
            <v>NR</v>
          </cell>
          <cell r="O4931" t="str">
            <v>NR</v>
          </cell>
        </row>
        <row r="4932">
          <cell r="E4932" t="str">
            <v>EDUC</v>
          </cell>
          <cell r="F4932" t="str">
            <v>EDUC-Q</v>
          </cell>
          <cell r="G4932">
            <v>690</v>
          </cell>
          <cell r="H4932" t="str">
            <v>EDUC-Q690</v>
          </cell>
          <cell r="K4932" t="str">
            <v>Park Rogers,Meredith</v>
          </cell>
          <cell r="N4932" t="str">
            <v>NR</v>
          </cell>
          <cell r="O4932" t="str">
            <v>NR</v>
          </cell>
        </row>
        <row r="4933">
          <cell r="E4933" t="str">
            <v>EDUC</v>
          </cell>
          <cell r="F4933" t="str">
            <v>EDUC-R</v>
          </cell>
          <cell r="G4933">
            <v>341</v>
          </cell>
          <cell r="H4933" t="str">
            <v>EDUC-R341</v>
          </cell>
          <cell r="K4933" t="str">
            <v>Modell,Micah Gideon</v>
          </cell>
          <cell r="N4933">
            <v>3.9889999999999999</v>
          </cell>
          <cell r="O4933">
            <v>3.1949999999999998</v>
          </cell>
        </row>
        <row r="4934">
          <cell r="E4934" t="str">
            <v>EDUC</v>
          </cell>
          <cell r="F4934" t="str">
            <v>EDUC-R</v>
          </cell>
          <cell r="G4934">
            <v>341</v>
          </cell>
          <cell r="H4934" t="str">
            <v>EDUC-R341</v>
          </cell>
          <cell r="K4934" t="str">
            <v>Sadik,Olgun</v>
          </cell>
          <cell r="N4934">
            <v>3.7610000000000001</v>
          </cell>
          <cell r="O4934">
            <v>3.1019999999999999</v>
          </cell>
        </row>
        <row r="4935">
          <cell r="E4935" t="str">
            <v>EDUC</v>
          </cell>
          <cell r="F4935" t="str">
            <v>EDUC-R</v>
          </cell>
          <cell r="G4935">
            <v>505</v>
          </cell>
          <cell r="H4935" t="str">
            <v>EDUC-R505</v>
          </cell>
          <cell r="K4935" t="str">
            <v>Callison,Matthew</v>
          </cell>
          <cell r="N4935" t="str">
            <v>NR</v>
          </cell>
          <cell r="O4935" t="str">
            <v>NR</v>
          </cell>
        </row>
        <row r="4936">
          <cell r="E4936" t="str">
            <v>EDUC</v>
          </cell>
          <cell r="F4936" t="str">
            <v>EDUC-R</v>
          </cell>
          <cell r="G4936">
            <v>505</v>
          </cell>
          <cell r="H4936" t="str">
            <v>EDUC-R505</v>
          </cell>
          <cell r="K4936" t="str">
            <v>Easterling,Wylie Vernon</v>
          </cell>
          <cell r="N4936" t="str">
            <v>NR</v>
          </cell>
          <cell r="O4936" t="str">
            <v>NR</v>
          </cell>
        </row>
        <row r="4937">
          <cell r="E4937" t="str">
            <v>EDUC</v>
          </cell>
          <cell r="F4937" t="str">
            <v>EDUC-R</v>
          </cell>
          <cell r="G4937">
            <v>505</v>
          </cell>
          <cell r="H4937" t="str">
            <v>EDUC-R505</v>
          </cell>
          <cell r="K4937" t="str">
            <v>Exter,Marisa Elana</v>
          </cell>
          <cell r="N4937" t="str">
            <v>NR</v>
          </cell>
          <cell r="O4937" t="str">
            <v>NR</v>
          </cell>
        </row>
        <row r="4938">
          <cell r="E4938" t="str">
            <v>EDUC</v>
          </cell>
          <cell r="F4938" t="str">
            <v>EDUC-R</v>
          </cell>
          <cell r="G4938">
            <v>511</v>
          </cell>
          <cell r="H4938" t="str">
            <v>EDUC-R511</v>
          </cell>
          <cell r="K4938" t="str">
            <v>Cho,Yonjoo</v>
          </cell>
          <cell r="N4938">
            <v>3.6920000000000002</v>
          </cell>
          <cell r="O4938">
            <v>3.7549999999999999</v>
          </cell>
        </row>
        <row r="4939">
          <cell r="E4939" t="str">
            <v>EDUC</v>
          </cell>
          <cell r="F4939" t="str">
            <v>EDUC-R</v>
          </cell>
          <cell r="G4939">
            <v>511</v>
          </cell>
          <cell r="H4939" t="str">
            <v>EDUC-R511</v>
          </cell>
          <cell r="K4939" t="str">
            <v>Reigeluth,Charles M.</v>
          </cell>
          <cell r="N4939">
            <v>3.875</v>
          </cell>
          <cell r="O4939">
            <v>3.9260000000000002</v>
          </cell>
        </row>
        <row r="4940">
          <cell r="E4940" t="str">
            <v>EDUC</v>
          </cell>
          <cell r="F4940" t="str">
            <v>EDUC-R</v>
          </cell>
          <cell r="G4940">
            <v>511</v>
          </cell>
          <cell r="H4940" t="str">
            <v>EDUC-R511</v>
          </cell>
          <cell r="K4940" t="str">
            <v>Watson,Carol A</v>
          </cell>
          <cell r="N4940">
            <v>3.133</v>
          </cell>
          <cell r="O4940">
            <v>3.3119999999999998</v>
          </cell>
        </row>
        <row r="4941">
          <cell r="E4941" t="str">
            <v>EDUC</v>
          </cell>
          <cell r="F4941" t="str">
            <v>EDUC-R</v>
          </cell>
          <cell r="G4941">
            <v>519</v>
          </cell>
          <cell r="H4941" t="str">
            <v>EDUC-R519</v>
          </cell>
          <cell r="K4941" t="str">
            <v>Gilmore,Erika Ruth</v>
          </cell>
          <cell r="N4941">
            <v>3.8540000000000001</v>
          </cell>
          <cell r="O4941">
            <v>3.7869999999999999</v>
          </cell>
        </row>
        <row r="4942">
          <cell r="E4942" t="str">
            <v>EDUC</v>
          </cell>
          <cell r="F4942" t="str">
            <v>EDUC-R</v>
          </cell>
          <cell r="G4942">
            <v>521</v>
          </cell>
          <cell r="H4942" t="str">
            <v>EDUC-R521</v>
          </cell>
          <cell r="K4942" t="str">
            <v>Glazewski,Krista D.</v>
          </cell>
          <cell r="N4942">
            <v>3.8</v>
          </cell>
          <cell r="O4942">
            <v>3.819</v>
          </cell>
        </row>
        <row r="4943">
          <cell r="E4943" t="str">
            <v>EDUC</v>
          </cell>
          <cell r="F4943" t="str">
            <v>EDUC-R</v>
          </cell>
          <cell r="G4943">
            <v>521</v>
          </cell>
          <cell r="H4943" t="str">
            <v>EDUC-R521</v>
          </cell>
          <cell r="K4943" t="str">
            <v>Haynes,Ray Kennard</v>
          </cell>
          <cell r="N4943">
            <v>3.72</v>
          </cell>
          <cell r="O4943">
            <v>3.7389999999999999</v>
          </cell>
        </row>
        <row r="4944">
          <cell r="E4944" t="str">
            <v>EDUC</v>
          </cell>
          <cell r="F4944" t="str">
            <v>EDUC-R</v>
          </cell>
          <cell r="G4944">
            <v>541</v>
          </cell>
          <cell r="H4944" t="str">
            <v>EDUC-R541</v>
          </cell>
          <cell r="K4944" t="str">
            <v>Beriswill,Joanne Elizabeth</v>
          </cell>
          <cell r="N4944">
            <v>3.891</v>
          </cell>
          <cell r="O4944">
            <v>3.859</v>
          </cell>
        </row>
        <row r="4945">
          <cell r="E4945" t="str">
            <v>EDUC</v>
          </cell>
          <cell r="F4945" t="str">
            <v>EDUC-R</v>
          </cell>
          <cell r="G4945">
            <v>541</v>
          </cell>
          <cell r="H4945" t="str">
            <v>EDUC-R541</v>
          </cell>
          <cell r="K4945" t="str">
            <v>Glazewski,Krista D.</v>
          </cell>
          <cell r="N4945">
            <v>4</v>
          </cell>
          <cell r="O4945">
            <v>3.93</v>
          </cell>
        </row>
        <row r="4946">
          <cell r="E4946" t="str">
            <v>EDUC</v>
          </cell>
          <cell r="F4946" t="str">
            <v>EDUC-R</v>
          </cell>
          <cell r="G4946">
            <v>546</v>
          </cell>
          <cell r="H4946" t="str">
            <v>EDUC-R546</v>
          </cell>
          <cell r="K4946" t="str">
            <v>Bonk,Curtis Jay</v>
          </cell>
          <cell r="N4946">
            <v>3.911</v>
          </cell>
          <cell r="O4946">
            <v>3.8879999999999999</v>
          </cell>
        </row>
        <row r="4947">
          <cell r="E4947" t="str">
            <v>EDUC</v>
          </cell>
          <cell r="F4947" t="str">
            <v>EDUC-R</v>
          </cell>
          <cell r="G4947">
            <v>561</v>
          </cell>
          <cell r="H4947" t="str">
            <v>EDUC-R561</v>
          </cell>
          <cell r="K4947" t="str">
            <v>Cho,Yonjoo</v>
          </cell>
          <cell r="N4947">
            <v>4</v>
          </cell>
          <cell r="O4947">
            <v>3.9340000000000002</v>
          </cell>
        </row>
        <row r="4948">
          <cell r="E4948" t="str">
            <v>EDUC</v>
          </cell>
          <cell r="F4948" t="str">
            <v>EDUC-R</v>
          </cell>
          <cell r="G4948">
            <v>561</v>
          </cell>
          <cell r="H4948" t="str">
            <v>EDUC-R561</v>
          </cell>
          <cell r="K4948" t="str">
            <v>Haynes,Ray Kennard</v>
          </cell>
          <cell r="N4948">
            <v>3.79</v>
          </cell>
          <cell r="O4948">
            <v>3.843</v>
          </cell>
        </row>
        <row r="4949">
          <cell r="E4949" t="str">
            <v>EDUC</v>
          </cell>
          <cell r="F4949" t="str">
            <v>EDUC-R</v>
          </cell>
          <cell r="G4949">
            <v>586</v>
          </cell>
          <cell r="H4949" t="str">
            <v>EDUC-R586</v>
          </cell>
          <cell r="K4949" t="str">
            <v>Brush,Thomas A.</v>
          </cell>
          <cell r="N4949" t="str">
            <v>NR</v>
          </cell>
          <cell r="O4949" t="str">
            <v>NR</v>
          </cell>
        </row>
        <row r="4950">
          <cell r="E4950" t="str">
            <v>EDUC</v>
          </cell>
          <cell r="F4950" t="str">
            <v>EDUC-R</v>
          </cell>
          <cell r="G4950">
            <v>586</v>
          </cell>
          <cell r="H4950" t="str">
            <v>EDUC-R586</v>
          </cell>
          <cell r="K4950" t="str">
            <v>Frick,Theodore W.</v>
          </cell>
          <cell r="N4950" t="str">
            <v>NR</v>
          </cell>
          <cell r="O4950" t="str">
            <v>NR</v>
          </cell>
        </row>
        <row r="4951">
          <cell r="E4951" t="str">
            <v>EDUC</v>
          </cell>
          <cell r="F4951" t="str">
            <v>EDUC-R</v>
          </cell>
          <cell r="G4951">
            <v>586</v>
          </cell>
          <cell r="H4951" t="str">
            <v>EDUC-R586</v>
          </cell>
          <cell r="K4951" t="str">
            <v>Frick,Theodore W.</v>
          </cell>
          <cell r="N4951" t="str">
            <v>NR</v>
          </cell>
          <cell r="O4951" t="str">
            <v>NR</v>
          </cell>
        </row>
        <row r="4952">
          <cell r="E4952" t="str">
            <v>EDUC</v>
          </cell>
          <cell r="F4952" t="str">
            <v>EDUC-R</v>
          </cell>
          <cell r="G4952">
            <v>590</v>
          </cell>
          <cell r="H4952" t="str">
            <v>EDUC-R590</v>
          </cell>
          <cell r="K4952" t="str">
            <v>Brush,Thomas A.</v>
          </cell>
          <cell r="N4952" t="str">
            <v>NR</v>
          </cell>
          <cell r="O4952" t="str">
            <v>NR</v>
          </cell>
        </row>
        <row r="4953">
          <cell r="E4953" t="str">
            <v>EDUC</v>
          </cell>
          <cell r="F4953" t="str">
            <v>EDUC-R</v>
          </cell>
          <cell r="G4953">
            <v>590</v>
          </cell>
          <cell r="H4953" t="str">
            <v>EDUC-R590</v>
          </cell>
          <cell r="K4953" t="str">
            <v>Frick,Theodore W.</v>
          </cell>
          <cell r="N4953" t="str">
            <v>NR</v>
          </cell>
          <cell r="O4953" t="str">
            <v>NR</v>
          </cell>
        </row>
        <row r="4954">
          <cell r="E4954" t="str">
            <v>EDUC</v>
          </cell>
          <cell r="F4954" t="str">
            <v>EDUC-R</v>
          </cell>
          <cell r="G4954">
            <v>621</v>
          </cell>
          <cell r="H4954" t="str">
            <v>EDUC-R621</v>
          </cell>
          <cell r="K4954" t="str">
            <v>Cho,Yonjoo</v>
          </cell>
          <cell r="N4954" t="str">
            <v>NR</v>
          </cell>
          <cell r="O4954" t="str">
            <v>NR</v>
          </cell>
        </row>
        <row r="4955">
          <cell r="E4955" t="str">
            <v>EDUC</v>
          </cell>
          <cell r="F4955" t="str">
            <v>EDUC-R</v>
          </cell>
          <cell r="G4955">
            <v>621</v>
          </cell>
          <cell r="H4955" t="str">
            <v>EDUC-R621</v>
          </cell>
          <cell r="K4955" t="str">
            <v>Cho,Yonjoo</v>
          </cell>
          <cell r="N4955">
            <v>4</v>
          </cell>
          <cell r="O4955">
            <v>3.8370000000000002</v>
          </cell>
        </row>
        <row r="4956">
          <cell r="E4956" t="str">
            <v>EDUC</v>
          </cell>
          <cell r="F4956" t="str">
            <v>EDUC-R</v>
          </cell>
          <cell r="G4956">
            <v>625</v>
          </cell>
          <cell r="H4956" t="str">
            <v>EDUC-R625</v>
          </cell>
          <cell r="K4956" t="str">
            <v>Honebein,Peter Carlton</v>
          </cell>
          <cell r="N4956">
            <v>3.8180000000000001</v>
          </cell>
          <cell r="O4956">
            <v>3.8220000000000001</v>
          </cell>
        </row>
        <row r="4957">
          <cell r="E4957" t="str">
            <v>EDUC</v>
          </cell>
          <cell r="F4957" t="str">
            <v>EDUC-R</v>
          </cell>
          <cell r="G4957">
            <v>626</v>
          </cell>
          <cell r="H4957" t="str">
            <v>EDUC-R626</v>
          </cell>
          <cell r="K4957" t="str">
            <v>Honebein,Peter Carlton</v>
          </cell>
          <cell r="N4957">
            <v>3.5270000000000001</v>
          </cell>
          <cell r="O4957">
            <v>3.851</v>
          </cell>
        </row>
        <row r="4958">
          <cell r="E4958" t="str">
            <v>EDUC</v>
          </cell>
          <cell r="F4958" t="str">
            <v>EDUC-R</v>
          </cell>
          <cell r="G4958">
            <v>660</v>
          </cell>
          <cell r="H4958" t="str">
            <v>EDUC-R660</v>
          </cell>
          <cell r="K4958" t="str">
            <v>Haynes,Ray Kennard</v>
          </cell>
          <cell r="N4958">
            <v>3.8</v>
          </cell>
          <cell r="O4958">
            <v>3.9489999999999998</v>
          </cell>
        </row>
        <row r="4959">
          <cell r="E4959" t="str">
            <v>EDUC</v>
          </cell>
          <cell r="F4959" t="str">
            <v>EDUC-R</v>
          </cell>
          <cell r="G4959">
            <v>660</v>
          </cell>
          <cell r="H4959" t="str">
            <v>EDUC-R660</v>
          </cell>
          <cell r="K4959" t="str">
            <v>Haynes,Ray Kennard</v>
          </cell>
          <cell r="N4959" t="str">
            <v>NR</v>
          </cell>
          <cell r="O4959" t="str">
            <v>NR</v>
          </cell>
        </row>
        <row r="4960">
          <cell r="E4960" t="str">
            <v>EDUC</v>
          </cell>
          <cell r="F4960" t="str">
            <v>EDUC-R</v>
          </cell>
          <cell r="G4960">
            <v>667</v>
          </cell>
          <cell r="H4960" t="str">
            <v>EDUC-R667</v>
          </cell>
          <cell r="K4960" t="str">
            <v>Reigeluth,Charles M.</v>
          </cell>
          <cell r="N4960">
            <v>3.85</v>
          </cell>
          <cell r="O4960">
            <v>3.78</v>
          </cell>
        </row>
        <row r="4961">
          <cell r="E4961" t="str">
            <v>EDUC</v>
          </cell>
          <cell r="F4961" t="str">
            <v>EDUC-R</v>
          </cell>
          <cell r="G4961">
            <v>685</v>
          </cell>
          <cell r="H4961" t="str">
            <v>EDUC-R685</v>
          </cell>
          <cell r="K4961" t="str">
            <v>Bonk,Curtis Jay</v>
          </cell>
          <cell r="N4961">
            <v>3.931</v>
          </cell>
          <cell r="O4961">
            <v>3.83</v>
          </cell>
        </row>
        <row r="4962">
          <cell r="E4962" t="str">
            <v>EDUC</v>
          </cell>
          <cell r="F4962" t="str">
            <v>EDUC-R</v>
          </cell>
          <cell r="G4962">
            <v>685</v>
          </cell>
          <cell r="H4962" t="str">
            <v>EDUC-R685</v>
          </cell>
          <cell r="K4962" t="str">
            <v>Bonk,Curtis Jay</v>
          </cell>
          <cell r="N4962" t="str">
            <v>NR</v>
          </cell>
          <cell r="O4962" t="str">
            <v>NR</v>
          </cell>
        </row>
        <row r="4963">
          <cell r="E4963" t="str">
            <v>EDUC</v>
          </cell>
          <cell r="F4963" t="str">
            <v>EDUC-R</v>
          </cell>
          <cell r="G4963">
            <v>685</v>
          </cell>
          <cell r="H4963" t="str">
            <v>EDUC-R685</v>
          </cell>
          <cell r="K4963" t="str">
            <v>Glazewski,Krista D.</v>
          </cell>
          <cell r="N4963">
            <v>4</v>
          </cell>
          <cell r="O4963">
            <v>3.4670000000000001</v>
          </cell>
        </row>
        <row r="4964">
          <cell r="E4964" t="str">
            <v>EDUC</v>
          </cell>
          <cell r="F4964" t="str">
            <v>EDUC-R</v>
          </cell>
          <cell r="G4964">
            <v>686</v>
          </cell>
          <cell r="H4964" t="str">
            <v>EDUC-R686</v>
          </cell>
          <cell r="K4964" t="str">
            <v>Brush,Thomas A.</v>
          </cell>
          <cell r="N4964" t="str">
            <v>NR</v>
          </cell>
          <cell r="O4964" t="str">
            <v>NR</v>
          </cell>
        </row>
        <row r="4965">
          <cell r="E4965" t="str">
            <v>EDUC</v>
          </cell>
          <cell r="F4965" t="str">
            <v>EDUC-R</v>
          </cell>
          <cell r="G4965">
            <v>690</v>
          </cell>
          <cell r="H4965" t="str">
            <v>EDUC-R690</v>
          </cell>
          <cell r="K4965" t="str">
            <v>Frick,Theodore W.</v>
          </cell>
          <cell r="N4965">
            <v>3.7629999999999999</v>
          </cell>
          <cell r="O4965">
            <v>3.7429999999999999</v>
          </cell>
        </row>
        <row r="4966">
          <cell r="E4966" t="str">
            <v>EDUC</v>
          </cell>
          <cell r="F4966" t="str">
            <v>EDUC-R</v>
          </cell>
          <cell r="G4966">
            <v>695</v>
          </cell>
          <cell r="H4966" t="str">
            <v>EDUC-R695</v>
          </cell>
          <cell r="K4966" t="str">
            <v>Frick,Theodore W.</v>
          </cell>
          <cell r="N4966">
            <v>3.97</v>
          </cell>
          <cell r="O4966">
            <v>3.8620000000000001</v>
          </cell>
        </row>
        <row r="4967">
          <cell r="E4967" t="str">
            <v>EDUC</v>
          </cell>
          <cell r="F4967" t="str">
            <v>EDUC-R</v>
          </cell>
          <cell r="G4967">
            <v>695</v>
          </cell>
          <cell r="H4967" t="str">
            <v>EDUC-R695</v>
          </cell>
          <cell r="K4967" t="str">
            <v>Frick,Theodore W.</v>
          </cell>
          <cell r="N4967">
            <v>3.9860000000000002</v>
          </cell>
          <cell r="O4967">
            <v>3.851</v>
          </cell>
        </row>
        <row r="4968">
          <cell r="E4968" t="str">
            <v>EDUC</v>
          </cell>
          <cell r="F4968" t="str">
            <v>EDUC-R</v>
          </cell>
          <cell r="G4968">
            <v>695</v>
          </cell>
          <cell r="H4968" t="str">
            <v>EDUC-R695</v>
          </cell>
          <cell r="K4968" t="str">
            <v>Reigeluth,Charles M.</v>
          </cell>
          <cell r="N4968">
            <v>3.94</v>
          </cell>
          <cell r="O4968">
            <v>3.819</v>
          </cell>
        </row>
        <row r="4969">
          <cell r="E4969" t="str">
            <v>EDUC</v>
          </cell>
          <cell r="F4969" t="str">
            <v>EDUC-R</v>
          </cell>
          <cell r="G4969">
            <v>711</v>
          </cell>
          <cell r="H4969" t="str">
            <v>EDUC-R711</v>
          </cell>
          <cell r="K4969" t="str">
            <v>Boling,Elizabeth</v>
          </cell>
          <cell r="N4969">
            <v>3.64</v>
          </cell>
          <cell r="O4969">
            <v>3.8029999999999999</v>
          </cell>
        </row>
        <row r="4970">
          <cell r="E4970" t="str">
            <v>EDUC</v>
          </cell>
          <cell r="F4970" t="str">
            <v>EDUC-R</v>
          </cell>
          <cell r="G4970">
            <v>711</v>
          </cell>
          <cell r="H4970" t="str">
            <v>EDUC-R711</v>
          </cell>
          <cell r="K4970" t="str">
            <v>Brush,Thomas A.</v>
          </cell>
          <cell r="N4970">
            <v>3.5819999999999999</v>
          </cell>
          <cell r="O4970">
            <v>3.5659999999999998</v>
          </cell>
        </row>
        <row r="4971">
          <cell r="E4971" t="str">
            <v>EDUC</v>
          </cell>
          <cell r="F4971" t="str">
            <v>EDUC-R</v>
          </cell>
          <cell r="G4971">
            <v>795</v>
          </cell>
          <cell r="H4971" t="str">
            <v>EDUC-R795</v>
          </cell>
          <cell r="K4971" t="str">
            <v>Frick,Theodore W.</v>
          </cell>
          <cell r="N4971" t="str">
            <v>NR</v>
          </cell>
          <cell r="O4971" t="str">
            <v>NR</v>
          </cell>
        </row>
        <row r="4972">
          <cell r="E4972" t="str">
            <v>EDUC</v>
          </cell>
          <cell r="F4972" t="str">
            <v>EDUC-R</v>
          </cell>
          <cell r="G4972">
            <v>795</v>
          </cell>
          <cell r="H4972" t="str">
            <v>EDUC-R795</v>
          </cell>
          <cell r="K4972" t="str">
            <v>Frick,Theodore W.</v>
          </cell>
          <cell r="N4972" t="str">
            <v>NR</v>
          </cell>
          <cell r="O4972" t="str">
            <v>NR</v>
          </cell>
        </row>
        <row r="4973">
          <cell r="E4973" t="str">
            <v>EDUC</v>
          </cell>
          <cell r="F4973" t="str">
            <v>EDUC-R</v>
          </cell>
          <cell r="G4973">
            <v>799</v>
          </cell>
          <cell r="H4973" t="str">
            <v>EDUC-R799</v>
          </cell>
          <cell r="K4973" t="str">
            <v>Brush,Thomas A.</v>
          </cell>
          <cell r="N4973" t="str">
            <v>NR</v>
          </cell>
          <cell r="O4973" t="str">
            <v>NR</v>
          </cell>
        </row>
        <row r="4974">
          <cell r="E4974" t="str">
            <v>EDUC</v>
          </cell>
          <cell r="F4974" t="str">
            <v>EDUC-R</v>
          </cell>
          <cell r="G4974">
            <v>799</v>
          </cell>
          <cell r="H4974" t="str">
            <v>EDUC-R799</v>
          </cell>
          <cell r="K4974" t="str">
            <v>Brush,Thomas A.</v>
          </cell>
          <cell r="N4974" t="str">
            <v>NR</v>
          </cell>
          <cell r="O4974" t="str">
            <v>NR</v>
          </cell>
        </row>
        <row r="4975">
          <cell r="E4975" t="str">
            <v>EDUC</v>
          </cell>
          <cell r="F4975" t="str">
            <v>EDUC-R</v>
          </cell>
          <cell r="G4975">
            <v>799</v>
          </cell>
          <cell r="H4975" t="str">
            <v>EDUC-R799</v>
          </cell>
          <cell r="K4975" t="str">
            <v>Frick,Theodore W.</v>
          </cell>
          <cell r="N4975" t="str">
            <v>NR</v>
          </cell>
          <cell r="O4975" t="str">
            <v>NR</v>
          </cell>
        </row>
        <row r="4976">
          <cell r="E4976" t="str">
            <v>EDUC</v>
          </cell>
          <cell r="F4976" t="str">
            <v>EDUC-R</v>
          </cell>
          <cell r="G4976">
            <v>799</v>
          </cell>
          <cell r="H4976" t="str">
            <v>EDUC-R799</v>
          </cell>
          <cell r="K4976" t="str">
            <v>Frick,Theodore W.</v>
          </cell>
          <cell r="N4976" t="str">
            <v>NR</v>
          </cell>
          <cell r="O4976" t="str">
            <v>NR</v>
          </cell>
        </row>
        <row r="4977">
          <cell r="E4977" t="str">
            <v>EDUC</v>
          </cell>
          <cell r="F4977" t="str">
            <v>EDUC-S</v>
          </cell>
          <cell r="G4977">
            <v>303</v>
          </cell>
          <cell r="H4977" t="str">
            <v>EDUC-S303</v>
          </cell>
          <cell r="K4977" t="str">
            <v>Brown,James Scott</v>
          </cell>
          <cell r="N4977">
            <v>4</v>
          </cell>
          <cell r="O4977">
            <v>3.2629999999999999</v>
          </cell>
        </row>
        <row r="4978">
          <cell r="E4978" t="str">
            <v>EDUC</v>
          </cell>
          <cell r="F4978" t="str">
            <v>EDUC-S</v>
          </cell>
          <cell r="G4978">
            <v>303</v>
          </cell>
          <cell r="H4978" t="str">
            <v>EDUC-S303</v>
          </cell>
          <cell r="K4978" t="str">
            <v>Ivanova,Christina Louise</v>
          </cell>
          <cell r="N4978">
            <v>3.919</v>
          </cell>
          <cell r="O4978">
            <v>3.6110000000000002</v>
          </cell>
        </row>
        <row r="4979">
          <cell r="E4979" t="str">
            <v>EDUC</v>
          </cell>
          <cell r="F4979" t="str">
            <v>EDUC-S</v>
          </cell>
          <cell r="G4979">
            <v>303</v>
          </cell>
          <cell r="H4979" t="str">
            <v>EDUC-S303</v>
          </cell>
          <cell r="K4979" t="str">
            <v>Ivanova,Christina Louise</v>
          </cell>
          <cell r="N4979">
            <v>3.7269999999999999</v>
          </cell>
          <cell r="O4979">
            <v>3.3889999999999998</v>
          </cell>
        </row>
        <row r="4980">
          <cell r="E4980" t="str">
            <v>EDUC</v>
          </cell>
          <cell r="F4980" t="str">
            <v>EDUC-S</v>
          </cell>
          <cell r="G4980">
            <v>303</v>
          </cell>
          <cell r="H4980" t="str">
            <v>EDUC-S303</v>
          </cell>
          <cell r="K4980" t="str">
            <v>McGregor,Carol Carew</v>
          </cell>
          <cell r="N4980">
            <v>4</v>
          </cell>
          <cell r="O4980">
            <v>3.5169999999999999</v>
          </cell>
        </row>
        <row r="4981">
          <cell r="E4981" t="str">
            <v>EDUC</v>
          </cell>
          <cell r="F4981" t="str">
            <v>EDUC-S</v>
          </cell>
          <cell r="G4981">
            <v>303</v>
          </cell>
          <cell r="H4981" t="str">
            <v>EDUC-S303</v>
          </cell>
          <cell r="K4981" t="str">
            <v>Nyikos,Martha</v>
          </cell>
          <cell r="N4981">
            <v>3.867</v>
          </cell>
          <cell r="O4981">
            <v>3.5249999999999999</v>
          </cell>
        </row>
        <row r="4982">
          <cell r="E4982" t="str">
            <v>EDUC</v>
          </cell>
          <cell r="F4982" t="str">
            <v>EDUC-S</v>
          </cell>
          <cell r="G4982">
            <v>303</v>
          </cell>
          <cell r="H4982" t="str">
            <v>EDUC-S303</v>
          </cell>
          <cell r="K4982" t="str">
            <v>Wilson,Patricia Jane</v>
          </cell>
          <cell r="N4982">
            <v>3.8620000000000001</v>
          </cell>
          <cell r="O4982">
            <v>3.3090000000000002</v>
          </cell>
        </row>
        <row r="4983">
          <cell r="E4983" t="str">
            <v>EDUC</v>
          </cell>
          <cell r="F4983" t="str">
            <v>EDUC-S</v>
          </cell>
          <cell r="G4983">
            <v>303</v>
          </cell>
          <cell r="H4983" t="str">
            <v>EDUC-S303</v>
          </cell>
          <cell r="K4983" t="str">
            <v>Wilson,Patricia Jane</v>
          </cell>
          <cell r="N4983">
            <v>3.9849999999999999</v>
          </cell>
          <cell r="O4983">
            <v>3.2829999999999999</v>
          </cell>
        </row>
        <row r="4984">
          <cell r="E4984" t="str">
            <v>EDUC</v>
          </cell>
          <cell r="F4984" t="str">
            <v>EDUC-S</v>
          </cell>
          <cell r="G4984">
            <v>303</v>
          </cell>
          <cell r="H4984" t="str">
            <v>EDUC-S303</v>
          </cell>
          <cell r="K4984" t="str">
            <v>Yin,Xinying</v>
          </cell>
          <cell r="N4984">
            <v>3.9</v>
          </cell>
          <cell r="O4984">
            <v>3.415</v>
          </cell>
        </row>
        <row r="4985">
          <cell r="E4985" t="str">
            <v>EDUC</v>
          </cell>
          <cell r="F4985" t="str">
            <v>EDUC-S</v>
          </cell>
          <cell r="G4985">
            <v>400</v>
          </cell>
          <cell r="H4985" t="str">
            <v>EDUC-S400</v>
          </cell>
          <cell r="K4985" t="str">
            <v>Butera,Alexis Grey</v>
          </cell>
          <cell r="N4985" t="str">
            <v>NR</v>
          </cell>
          <cell r="O4985" t="str">
            <v>NR</v>
          </cell>
        </row>
        <row r="4986">
          <cell r="E4986" t="str">
            <v>EDUC</v>
          </cell>
          <cell r="F4986" t="str">
            <v>EDUC-S</v>
          </cell>
          <cell r="G4986">
            <v>400</v>
          </cell>
          <cell r="H4986" t="str">
            <v>EDUC-S400</v>
          </cell>
          <cell r="K4986" t="str">
            <v>Butera,Gretchen Digman</v>
          </cell>
          <cell r="N4986" t="str">
            <v>NR</v>
          </cell>
          <cell r="O4986" t="str">
            <v>NR</v>
          </cell>
        </row>
        <row r="4987">
          <cell r="E4987" t="str">
            <v>EDUC</v>
          </cell>
          <cell r="F4987" t="str">
            <v>EDUC-S</v>
          </cell>
          <cell r="G4987">
            <v>400</v>
          </cell>
          <cell r="H4987" t="str">
            <v>EDUC-S400</v>
          </cell>
          <cell r="K4987" t="str">
            <v>Butera,Gretchen Digman</v>
          </cell>
          <cell r="N4987" t="str">
            <v>NR</v>
          </cell>
          <cell r="O4987" t="str">
            <v>NR</v>
          </cell>
        </row>
        <row r="4988">
          <cell r="E4988" t="str">
            <v>EDUC</v>
          </cell>
          <cell r="F4988" t="str">
            <v>EDUC-S</v>
          </cell>
          <cell r="G4988">
            <v>400</v>
          </cell>
          <cell r="H4988" t="str">
            <v>EDUC-S400</v>
          </cell>
          <cell r="K4988" t="str">
            <v>Flinders,David Joseph</v>
          </cell>
          <cell r="N4988" t="str">
            <v>NR</v>
          </cell>
          <cell r="O4988" t="str">
            <v>NR</v>
          </cell>
        </row>
        <row r="4989">
          <cell r="E4989" t="str">
            <v>EDUC</v>
          </cell>
          <cell r="F4989" t="str">
            <v>EDUC-S</v>
          </cell>
          <cell r="G4989">
            <v>400</v>
          </cell>
          <cell r="H4989" t="str">
            <v>EDUC-S400</v>
          </cell>
          <cell r="K4989" t="str">
            <v>Flinders,David Joseph</v>
          </cell>
          <cell r="N4989" t="str">
            <v>NR</v>
          </cell>
          <cell r="O4989" t="str">
            <v>NR</v>
          </cell>
        </row>
        <row r="4990">
          <cell r="E4990" t="str">
            <v>EDUC</v>
          </cell>
          <cell r="F4990" t="str">
            <v>EDUC-S</v>
          </cell>
          <cell r="G4990">
            <v>400</v>
          </cell>
          <cell r="H4990" t="str">
            <v>EDUC-S400</v>
          </cell>
          <cell r="K4990" t="str">
            <v>Kunzman,Robert</v>
          </cell>
          <cell r="N4990" t="str">
            <v>NR</v>
          </cell>
          <cell r="O4990" t="str">
            <v>NR</v>
          </cell>
        </row>
        <row r="4991">
          <cell r="E4991" t="str">
            <v>EDUC</v>
          </cell>
          <cell r="F4991" t="str">
            <v>EDUC-S</v>
          </cell>
          <cell r="G4991">
            <v>400</v>
          </cell>
          <cell r="H4991" t="str">
            <v>EDUC-S400</v>
          </cell>
          <cell r="K4991" t="str">
            <v>Vaiouli,Potheini</v>
          </cell>
          <cell r="N4991" t="str">
            <v>NR</v>
          </cell>
          <cell r="O4991" t="str">
            <v>NR</v>
          </cell>
        </row>
        <row r="4992">
          <cell r="E4992" t="str">
            <v>EDUC</v>
          </cell>
          <cell r="F4992" t="str">
            <v>EDUC-S</v>
          </cell>
          <cell r="G4992">
            <v>400</v>
          </cell>
          <cell r="H4992" t="str">
            <v>EDUC-S400</v>
          </cell>
          <cell r="K4992" t="str">
            <v>Weir,Regina Marie</v>
          </cell>
          <cell r="N4992" t="str">
            <v>NR</v>
          </cell>
          <cell r="O4992" t="str">
            <v>NR</v>
          </cell>
        </row>
        <row r="4993">
          <cell r="E4993" t="str">
            <v>EDUC</v>
          </cell>
          <cell r="F4993" t="str">
            <v>EDUC-S</v>
          </cell>
          <cell r="G4993">
            <v>490</v>
          </cell>
          <cell r="H4993" t="str">
            <v>EDUC-S490</v>
          </cell>
          <cell r="K4993" t="str">
            <v>Flinders,David Joseph</v>
          </cell>
          <cell r="N4993" t="str">
            <v>NR</v>
          </cell>
          <cell r="O4993" t="str">
            <v>NR</v>
          </cell>
        </row>
        <row r="4994">
          <cell r="E4994" t="str">
            <v>EDUC</v>
          </cell>
          <cell r="F4994" t="str">
            <v>EDUC-S</v>
          </cell>
          <cell r="G4994">
            <v>490</v>
          </cell>
          <cell r="H4994" t="str">
            <v>EDUC-S490</v>
          </cell>
          <cell r="K4994" t="str">
            <v>Flinders,David Joseph</v>
          </cell>
          <cell r="N4994" t="str">
            <v>NR</v>
          </cell>
          <cell r="O4994" t="str">
            <v>NR</v>
          </cell>
        </row>
        <row r="4995">
          <cell r="E4995" t="str">
            <v>EDUC</v>
          </cell>
          <cell r="F4995" t="str">
            <v>EDUC-S</v>
          </cell>
          <cell r="G4995">
            <v>490</v>
          </cell>
          <cell r="H4995" t="str">
            <v>EDUC-S490</v>
          </cell>
          <cell r="K4995" t="str">
            <v>Leftwich,Anne Todd</v>
          </cell>
          <cell r="N4995" t="str">
            <v>NR</v>
          </cell>
          <cell r="O4995" t="str">
            <v>NR</v>
          </cell>
        </row>
        <row r="4996">
          <cell r="E4996" t="str">
            <v>EDUC</v>
          </cell>
          <cell r="F4996" t="str">
            <v>EDUC-S</v>
          </cell>
          <cell r="G4996">
            <v>500</v>
          </cell>
          <cell r="H4996" t="str">
            <v>EDUC-S500</v>
          </cell>
          <cell r="K4996" t="str">
            <v>Butera,Alexis Grey</v>
          </cell>
          <cell r="N4996" t="str">
            <v>NR</v>
          </cell>
          <cell r="O4996" t="str">
            <v>NR</v>
          </cell>
        </row>
        <row r="4997">
          <cell r="E4997" t="str">
            <v>EDUC</v>
          </cell>
          <cell r="F4997" t="str">
            <v>EDUC-S</v>
          </cell>
          <cell r="G4997">
            <v>500</v>
          </cell>
          <cell r="H4997" t="str">
            <v>EDUC-S500</v>
          </cell>
          <cell r="K4997" t="str">
            <v>Butera,Gretchen Digman</v>
          </cell>
          <cell r="N4997" t="str">
            <v>NR</v>
          </cell>
          <cell r="O4997" t="str">
            <v>NR</v>
          </cell>
        </row>
        <row r="4998">
          <cell r="E4998" t="str">
            <v>EDUC</v>
          </cell>
          <cell r="F4998" t="str">
            <v>EDUC-S</v>
          </cell>
          <cell r="G4998">
            <v>500</v>
          </cell>
          <cell r="H4998" t="str">
            <v>EDUC-S500</v>
          </cell>
          <cell r="K4998" t="str">
            <v>Butera,Gretchen Digman</v>
          </cell>
          <cell r="N4998">
            <v>3.9329999999999998</v>
          </cell>
          <cell r="O4998">
            <v>3.7429999999999999</v>
          </cell>
        </row>
        <row r="4999">
          <cell r="E4999" t="str">
            <v>EDUC</v>
          </cell>
          <cell r="F4999" t="str">
            <v>EDUC-S</v>
          </cell>
          <cell r="G4999">
            <v>500</v>
          </cell>
          <cell r="H4999" t="str">
            <v>EDUC-S500</v>
          </cell>
          <cell r="K4999" t="str">
            <v>Butera,Gretchen Digman</v>
          </cell>
          <cell r="N4999" t="str">
            <v>NR</v>
          </cell>
          <cell r="O4999" t="str">
            <v>NR</v>
          </cell>
        </row>
        <row r="5000">
          <cell r="E5000" t="str">
            <v>EDUC</v>
          </cell>
          <cell r="F5000" t="str">
            <v>EDUC-S</v>
          </cell>
          <cell r="G5000">
            <v>500</v>
          </cell>
          <cell r="H5000" t="str">
            <v>EDUC-S500</v>
          </cell>
          <cell r="K5000" t="str">
            <v>Flinders,David Joseph</v>
          </cell>
          <cell r="N5000" t="str">
            <v>NR</v>
          </cell>
          <cell r="O5000" t="str">
            <v>NR</v>
          </cell>
        </row>
        <row r="5001">
          <cell r="E5001" t="str">
            <v>EDUC</v>
          </cell>
          <cell r="F5001" t="str">
            <v>EDUC-S</v>
          </cell>
          <cell r="G5001">
            <v>500</v>
          </cell>
          <cell r="H5001" t="str">
            <v>EDUC-S500</v>
          </cell>
          <cell r="K5001" t="str">
            <v>Flinders,David Joseph</v>
          </cell>
          <cell r="N5001" t="str">
            <v>NR</v>
          </cell>
          <cell r="O5001" t="str">
            <v>NR</v>
          </cell>
        </row>
        <row r="5002">
          <cell r="E5002" t="str">
            <v>EDUC</v>
          </cell>
          <cell r="F5002" t="str">
            <v>EDUC-S</v>
          </cell>
          <cell r="G5002">
            <v>500</v>
          </cell>
          <cell r="H5002" t="str">
            <v>EDUC-S500</v>
          </cell>
          <cell r="K5002" t="str">
            <v>Kunzman,Robert</v>
          </cell>
          <cell r="N5002" t="str">
            <v>NR</v>
          </cell>
          <cell r="O5002" t="str">
            <v>NR</v>
          </cell>
        </row>
        <row r="5003">
          <cell r="E5003" t="str">
            <v>EDUC</v>
          </cell>
          <cell r="F5003" t="str">
            <v>EDUC-S</v>
          </cell>
          <cell r="G5003">
            <v>500</v>
          </cell>
          <cell r="H5003" t="str">
            <v>EDUC-S500</v>
          </cell>
          <cell r="K5003" t="str">
            <v>Vaiouli,Potheini</v>
          </cell>
          <cell r="N5003" t="str">
            <v>NR</v>
          </cell>
          <cell r="O5003" t="str">
            <v>NR</v>
          </cell>
        </row>
        <row r="5004">
          <cell r="E5004" t="str">
            <v>EDUC</v>
          </cell>
          <cell r="F5004" t="str">
            <v>EDUC-S</v>
          </cell>
          <cell r="G5004">
            <v>500</v>
          </cell>
          <cell r="H5004" t="str">
            <v>EDUC-S500</v>
          </cell>
          <cell r="K5004" t="str">
            <v>Weir,Regina Marie</v>
          </cell>
          <cell r="N5004" t="str">
            <v>NR</v>
          </cell>
          <cell r="O5004" t="str">
            <v>NR</v>
          </cell>
        </row>
        <row r="5005">
          <cell r="E5005" t="str">
            <v>EDUC</v>
          </cell>
          <cell r="F5005" t="str">
            <v>EDUC-S</v>
          </cell>
          <cell r="G5005">
            <v>519</v>
          </cell>
          <cell r="H5005" t="str">
            <v>EDUC-S519</v>
          </cell>
          <cell r="K5005" t="str">
            <v>Barton,Keith Casey</v>
          </cell>
          <cell r="N5005" t="str">
            <v>NR</v>
          </cell>
          <cell r="O5005" t="str">
            <v>NR</v>
          </cell>
        </row>
        <row r="5006">
          <cell r="E5006" t="str">
            <v>EDUC</v>
          </cell>
          <cell r="F5006" t="str">
            <v>EDUC-S</v>
          </cell>
          <cell r="G5006">
            <v>555</v>
          </cell>
          <cell r="H5006" t="str">
            <v>EDUC-S555</v>
          </cell>
          <cell r="K5006" t="str">
            <v>Edmonds,Ben C.</v>
          </cell>
          <cell r="N5006">
            <v>3.7050000000000001</v>
          </cell>
          <cell r="O5006">
            <v>3.8130000000000002</v>
          </cell>
        </row>
        <row r="5007">
          <cell r="E5007" t="str">
            <v>EDUC</v>
          </cell>
          <cell r="F5007" t="str">
            <v>EDUC-S</v>
          </cell>
          <cell r="G5007">
            <v>590</v>
          </cell>
          <cell r="H5007" t="str">
            <v>EDUC-S590</v>
          </cell>
          <cell r="K5007" t="str">
            <v>Flinders,David Joseph</v>
          </cell>
          <cell r="N5007" t="str">
            <v>NR</v>
          </cell>
          <cell r="O5007" t="str">
            <v>NR</v>
          </cell>
        </row>
        <row r="5008">
          <cell r="E5008" t="str">
            <v>EDUC</v>
          </cell>
          <cell r="F5008" t="str">
            <v>EDUC-S</v>
          </cell>
          <cell r="G5008">
            <v>590</v>
          </cell>
          <cell r="H5008" t="str">
            <v>EDUC-S590</v>
          </cell>
          <cell r="K5008" t="str">
            <v>Flinders,David Joseph</v>
          </cell>
          <cell r="N5008" t="str">
            <v>NR</v>
          </cell>
          <cell r="O5008" t="str">
            <v>NR</v>
          </cell>
        </row>
        <row r="5009">
          <cell r="E5009" t="str">
            <v>EDUC</v>
          </cell>
          <cell r="F5009" t="str">
            <v>EDUC-S</v>
          </cell>
          <cell r="G5009">
            <v>690</v>
          </cell>
          <cell r="H5009" t="str">
            <v>EDUC-S690</v>
          </cell>
          <cell r="K5009" t="str">
            <v>Flinders,David Joseph</v>
          </cell>
          <cell r="N5009" t="str">
            <v>NR</v>
          </cell>
          <cell r="O5009" t="str">
            <v>NR</v>
          </cell>
        </row>
        <row r="5010">
          <cell r="E5010" t="str">
            <v>EDUC</v>
          </cell>
          <cell r="F5010" t="str">
            <v>EDUC-T</v>
          </cell>
          <cell r="G5010">
            <v>550</v>
          </cell>
          <cell r="H5010" t="str">
            <v>EDUC-T550</v>
          </cell>
          <cell r="K5010" t="str">
            <v>Stachowski,Laura L.</v>
          </cell>
          <cell r="N5010">
            <v>3.871</v>
          </cell>
          <cell r="O5010">
            <v>3.335</v>
          </cell>
        </row>
        <row r="5011">
          <cell r="E5011" t="str">
            <v>EDUC</v>
          </cell>
          <cell r="F5011" t="str">
            <v>EDUC-T</v>
          </cell>
          <cell r="G5011">
            <v>550</v>
          </cell>
          <cell r="H5011" t="str">
            <v>EDUC-T550</v>
          </cell>
          <cell r="K5011" t="str">
            <v>Stachowski,Laura L.</v>
          </cell>
          <cell r="N5011">
            <v>3.9569999999999999</v>
          </cell>
          <cell r="O5011">
            <v>3.5379999999999998</v>
          </cell>
        </row>
        <row r="5012">
          <cell r="E5012" t="str">
            <v>EDUC</v>
          </cell>
          <cell r="F5012" t="str">
            <v>EDUC-T</v>
          </cell>
          <cell r="G5012">
            <v>550</v>
          </cell>
          <cell r="H5012" t="str">
            <v>EDUC-T550</v>
          </cell>
          <cell r="K5012" t="str">
            <v>Stachowski,Laura L.</v>
          </cell>
          <cell r="N5012">
            <v>3.7320000000000002</v>
          </cell>
          <cell r="O5012">
            <v>3.5289999999999999</v>
          </cell>
        </row>
        <row r="5013">
          <cell r="E5013" t="str">
            <v>EDUC</v>
          </cell>
          <cell r="F5013" t="str">
            <v>EDUC-T</v>
          </cell>
          <cell r="G5013">
            <v>550</v>
          </cell>
          <cell r="H5013" t="str">
            <v>EDUC-T550</v>
          </cell>
          <cell r="K5013" t="str">
            <v>Stachowski,Laura L.</v>
          </cell>
          <cell r="N5013">
            <v>4</v>
          </cell>
          <cell r="O5013">
            <v>3.3639999999999999</v>
          </cell>
        </row>
        <row r="5014">
          <cell r="E5014" t="str">
            <v>EDUC</v>
          </cell>
          <cell r="F5014" t="str">
            <v>EDUC-T</v>
          </cell>
          <cell r="G5014">
            <v>550</v>
          </cell>
          <cell r="H5014" t="str">
            <v>EDUC-T550</v>
          </cell>
          <cell r="K5014" t="str">
            <v>Stachowski,Laura L.</v>
          </cell>
          <cell r="N5014" t="str">
            <v>NR</v>
          </cell>
          <cell r="O5014" t="str">
            <v>NR</v>
          </cell>
        </row>
        <row r="5015">
          <cell r="E5015" t="str">
            <v>EDUC</v>
          </cell>
          <cell r="F5015" t="str">
            <v>EDUC-T</v>
          </cell>
          <cell r="G5015">
            <v>550</v>
          </cell>
          <cell r="H5015" t="str">
            <v>EDUC-T550</v>
          </cell>
          <cell r="K5015" t="str">
            <v>Stachowski,Laura L.</v>
          </cell>
          <cell r="N5015">
            <v>3.8879999999999999</v>
          </cell>
          <cell r="O5015">
            <v>3.6139999999999999</v>
          </cell>
        </row>
        <row r="5016">
          <cell r="E5016" t="str">
            <v>EDUC</v>
          </cell>
          <cell r="F5016" t="str">
            <v>EDUC-U</v>
          </cell>
          <cell r="G5016">
            <v>205</v>
          </cell>
          <cell r="H5016" t="str">
            <v>EDUC-U205</v>
          </cell>
          <cell r="K5016" t="str">
            <v>Schreiber,Timothy</v>
          </cell>
          <cell r="N5016">
            <v>3.5369999999999999</v>
          </cell>
          <cell r="O5016">
            <v>2.6110000000000002</v>
          </cell>
        </row>
        <row r="5017">
          <cell r="E5017" t="str">
            <v>EDUC</v>
          </cell>
          <cell r="F5017" t="str">
            <v>EDUC-U</v>
          </cell>
          <cell r="G5017">
            <v>205</v>
          </cell>
          <cell r="H5017" t="str">
            <v>EDUC-U205</v>
          </cell>
          <cell r="K5017" t="str">
            <v>Schreiber,Timothy</v>
          </cell>
          <cell r="N5017">
            <v>3.9209999999999998</v>
          </cell>
          <cell r="O5017">
            <v>2.754</v>
          </cell>
        </row>
        <row r="5018">
          <cell r="E5018" t="str">
            <v>EDUC</v>
          </cell>
          <cell r="F5018" t="str">
            <v>EDUC-U</v>
          </cell>
          <cell r="G5018">
            <v>205</v>
          </cell>
          <cell r="H5018" t="str">
            <v>EDUC-U205</v>
          </cell>
          <cell r="K5018" t="str">
            <v>Zill,Samantha Carrie</v>
          </cell>
          <cell r="N5018">
            <v>4</v>
          </cell>
          <cell r="O5018">
            <v>3.0489999999999999</v>
          </cell>
        </row>
        <row r="5019">
          <cell r="E5019" t="str">
            <v>EDUC</v>
          </cell>
          <cell r="F5019" t="str">
            <v>EDUC-U</v>
          </cell>
          <cell r="G5019">
            <v>205</v>
          </cell>
          <cell r="H5019" t="str">
            <v>EDUC-U205</v>
          </cell>
          <cell r="K5019" t="str">
            <v>Zill,Samantha Carrie</v>
          </cell>
          <cell r="N5019">
            <v>3.6920000000000002</v>
          </cell>
          <cell r="O5019">
            <v>2.9590000000000001</v>
          </cell>
        </row>
        <row r="5020">
          <cell r="E5020" t="str">
            <v>EDUC</v>
          </cell>
          <cell r="F5020" t="str">
            <v>EDUC-U</v>
          </cell>
          <cell r="G5020">
            <v>206</v>
          </cell>
          <cell r="H5020" t="str">
            <v>EDUC-U206</v>
          </cell>
          <cell r="K5020" t="str">
            <v>Marcotte,Beth Anne</v>
          </cell>
          <cell r="N5020">
            <v>3.3319999999999999</v>
          </cell>
          <cell r="O5020">
            <v>2.92</v>
          </cell>
        </row>
        <row r="5021">
          <cell r="E5021" t="str">
            <v>EDUC</v>
          </cell>
          <cell r="F5021" t="str">
            <v>EDUC-U</v>
          </cell>
          <cell r="G5021">
            <v>206</v>
          </cell>
          <cell r="H5021" t="str">
            <v>EDUC-U206</v>
          </cell>
          <cell r="K5021" t="str">
            <v>Summerlot,John</v>
          </cell>
          <cell r="N5021" t="str">
            <v>NR</v>
          </cell>
          <cell r="O5021" t="str">
            <v>NR</v>
          </cell>
        </row>
        <row r="5022">
          <cell r="E5022" t="str">
            <v>EDUC</v>
          </cell>
          <cell r="F5022" t="str">
            <v>EDUC-U</v>
          </cell>
          <cell r="G5022">
            <v>206</v>
          </cell>
          <cell r="H5022" t="str">
            <v>EDUC-U206</v>
          </cell>
          <cell r="K5022" t="str">
            <v>Summerlot,John</v>
          </cell>
          <cell r="N5022" t="str">
            <v>NR</v>
          </cell>
          <cell r="O5022" t="str">
            <v>NR</v>
          </cell>
        </row>
        <row r="5023">
          <cell r="E5023" t="str">
            <v>EDUC</v>
          </cell>
          <cell r="F5023" t="str">
            <v>EDUC-U</v>
          </cell>
          <cell r="G5023">
            <v>207</v>
          </cell>
          <cell r="H5023" t="str">
            <v>EDUC-U207</v>
          </cell>
          <cell r="K5023" t="str">
            <v>Casares,Sarah Jane</v>
          </cell>
          <cell r="N5023">
            <v>3.3860000000000001</v>
          </cell>
          <cell r="O5023">
            <v>2.6</v>
          </cell>
        </row>
        <row r="5024">
          <cell r="E5024" t="str">
            <v>EDUC</v>
          </cell>
          <cell r="F5024" t="str">
            <v>EDUC-U</v>
          </cell>
          <cell r="G5024">
            <v>207</v>
          </cell>
          <cell r="H5024" t="str">
            <v>EDUC-U207</v>
          </cell>
          <cell r="K5024" t="str">
            <v>Cummings,Dana Starr</v>
          </cell>
          <cell r="N5024">
            <v>3.4319999999999999</v>
          </cell>
          <cell r="O5024">
            <v>2.6960000000000002</v>
          </cell>
        </row>
        <row r="5025">
          <cell r="E5025" t="str">
            <v>EDUC</v>
          </cell>
          <cell r="F5025" t="str">
            <v>EDUC-U</v>
          </cell>
          <cell r="G5025">
            <v>207</v>
          </cell>
          <cell r="H5025" t="str">
            <v>EDUC-U207</v>
          </cell>
          <cell r="K5025" t="str">
            <v>Dahlgren,Mara Grace</v>
          </cell>
          <cell r="N5025">
            <v>3.3919999999999999</v>
          </cell>
          <cell r="O5025">
            <v>3.0329999999999999</v>
          </cell>
        </row>
        <row r="5026">
          <cell r="E5026" t="str">
            <v>EDUC</v>
          </cell>
          <cell r="F5026" t="str">
            <v>EDUC-U</v>
          </cell>
          <cell r="G5026">
            <v>207</v>
          </cell>
          <cell r="H5026" t="str">
            <v>EDUC-U207</v>
          </cell>
          <cell r="K5026" t="str">
            <v>Goodno,Alan David</v>
          </cell>
          <cell r="N5026">
            <v>3.9649999999999999</v>
          </cell>
          <cell r="O5026">
            <v>3.2930000000000001</v>
          </cell>
        </row>
        <row r="5027">
          <cell r="E5027" t="str">
            <v>EDUC</v>
          </cell>
          <cell r="F5027" t="str">
            <v>EDUC-U</v>
          </cell>
          <cell r="G5027">
            <v>207</v>
          </cell>
          <cell r="H5027" t="str">
            <v>EDUC-U207</v>
          </cell>
          <cell r="K5027" t="str">
            <v>Mayers,Allyson Lynn</v>
          </cell>
          <cell r="N5027">
            <v>3.5910000000000002</v>
          </cell>
          <cell r="O5027">
            <v>2.8410000000000002</v>
          </cell>
        </row>
        <row r="5028">
          <cell r="E5028" t="str">
            <v>EDUC</v>
          </cell>
          <cell r="F5028" t="str">
            <v>EDUC-U</v>
          </cell>
          <cell r="G5028">
            <v>207</v>
          </cell>
          <cell r="H5028" t="str">
            <v>EDUC-U207</v>
          </cell>
          <cell r="K5028" t="str">
            <v>Nagy,Sarah J</v>
          </cell>
          <cell r="N5028">
            <v>3.9380000000000002</v>
          </cell>
          <cell r="O5028">
            <v>2.9319999999999999</v>
          </cell>
        </row>
        <row r="5029">
          <cell r="E5029" t="str">
            <v>EDUC</v>
          </cell>
          <cell r="F5029" t="str">
            <v>EDUC-U</v>
          </cell>
          <cell r="G5029">
            <v>207</v>
          </cell>
          <cell r="H5029" t="str">
            <v>EDUC-U207</v>
          </cell>
          <cell r="K5029" t="str">
            <v>Teel,Tracy Lynn</v>
          </cell>
          <cell r="N5029">
            <v>3.484</v>
          </cell>
          <cell r="O5029">
            <v>2.952</v>
          </cell>
        </row>
        <row r="5030">
          <cell r="E5030" t="str">
            <v>EDUC</v>
          </cell>
          <cell r="F5030" t="str">
            <v>EDUC-U</v>
          </cell>
          <cell r="G5030">
            <v>207</v>
          </cell>
          <cell r="H5030" t="str">
            <v>EDUC-U207</v>
          </cell>
          <cell r="K5030" t="str">
            <v>Vakilian,Cameron</v>
          </cell>
          <cell r="N5030">
            <v>3.2959999999999998</v>
          </cell>
          <cell r="O5030">
            <v>2.8109999999999999</v>
          </cell>
        </row>
        <row r="5031">
          <cell r="E5031" t="str">
            <v>EDUC</v>
          </cell>
          <cell r="F5031" t="str">
            <v>EDUC-U</v>
          </cell>
          <cell r="G5031">
            <v>208</v>
          </cell>
          <cell r="H5031" t="str">
            <v>EDUC-U208</v>
          </cell>
          <cell r="K5031" t="str">
            <v>Gaalema,Brittany Elaine</v>
          </cell>
          <cell r="N5031" t="str">
            <v>NR</v>
          </cell>
          <cell r="O5031" t="str">
            <v>NR</v>
          </cell>
        </row>
        <row r="5032">
          <cell r="E5032" t="str">
            <v>EDUC</v>
          </cell>
          <cell r="F5032" t="str">
            <v>EDUC-U</v>
          </cell>
          <cell r="G5032">
            <v>208</v>
          </cell>
          <cell r="H5032" t="str">
            <v>EDUC-U208</v>
          </cell>
          <cell r="K5032" t="str">
            <v>Knerr,Jessica Nicole</v>
          </cell>
          <cell r="N5032" t="str">
            <v>NR</v>
          </cell>
          <cell r="O5032" t="str">
            <v>NR</v>
          </cell>
        </row>
        <row r="5033">
          <cell r="E5033" t="str">
            <v>EDUC</v>
          </cell>
          <cell r="F5033" t="str">
            <v>EDUC-U</v>
          </cell>
          <cell r="G5033">
            <v>208</v>
          </cell>
          <cell r="H5033" t="str">
            <v>EDUC-U208</v>
          </cell>
          <cell r="K5033" t="str">
            <v>Knerr,Jessica Nicole</v>
          </cell>
          <cell r="N5033" t="str">
            <v>NR</v>
          </cell>
          <cell r="O5033" t="str">
            <v>NR</v>
          </cell>
        </row>
        <row r="5034">
          <cell r="E5034" t="str">
            <v>EDUC</v>
          </cell>
          <cell r="F5034" t="str">
            <v>EDUC-U</v>
          </cell>
          <cell r="G5034">
            <v>208</v>
          </cell>
          <cell r="H5034" t="str">
            <v>EDUC-U208</v>
          </cell>
          <cell r="K5034" t="str">
            <v>Murphy,Daniel W</v>
          </cell>
          <cell r="N5034" t="str">
            <v>NR</v>
          </cell>
          <cell r="O5034" t="str">
            <v>NR</v>
          </cell>
        </row>
        <row r="5035">
          <cell r="E5035" t="str">
            <v>EDUC</v>
          </cell>
          <cell r="F5035" t="str">
            <v>EDUC-U</v>
          </cell>
          <cell r="G5035">
            <v>208</v>
          </cell>
          <cell r="H5035" t="str">
            <v>EDUC-U208</v>
          </cell>
          <cell r="K5035" t="str">
            <v>Myers,Janine Marie</v>
          </cell>
          <cell r="N5035" t="str">
            <v>NR</v>
          </cell>
          <cell r="O5035" t="str">
            <v>NR</v>
          </cell>
        </row>
        <row r="5036">
          <cell r="E5036" t="str">
            <v>EDUC</v>
          </cell>
          <cell r="F5036" t="str">
            <v>EDUC-U</v>
          </cell>
          <cell r="G5036">
            <v>208</v>
          </cell>
          <cell r="H5036" t="str">
            <v>EDUC-U208</v>
          </cell>
          <cell r="K5036" t="str">
            <v>Myers,Janine Marie</v>
          </cell>
          <cell r="N5036">
            <v>4</v>
          </cell>
          <cell r="O5036">
            <v>3.1739999999999999</v>
          </cell>
        </row>
        <row r="5037">
          <cell r="E5037" t="str">
            <v>EDUC</v>
          </cell>
          <cell r="F5037" t="str">
            <v>EDUC-U</v>
          </cell>
          <cell r="G5037">
            <v>208</v>
          </cell>
          <cell r="H5037" t="str">
            <v>EDUC-U208</v>
          </cell>
          <cell r="K5037" t="str">
            <v>Thomas,James C</v>
          </cell>
          <cell r="N5037" t="str">
            <v>NR</v>
          </cell>
          <cell r="O5037" t="str">
            <v>NR</v>
          </cell>
        </row>
        <row r="5038">
          <cell r="E5038" t="str">
            <v>EDUC</v>
          </cell>
          <cell r="F5038" t="str">
            <v>EDUC-U</v>
          </cell>
          <cell r="G5038">
            <v>208</v>
          </cell>
          <cell r="H5038" t="str">
            <v>EDUC-U208</v>
          </cell>
          <cell r="K5038" t="str">
            <v>Woodring,Robert Joseph</v>
          </cell>
          <cell r="N5038">
            <v>3.91</v>
          </cell>
          <cell r="O5038">
            <v>3.1829999999999998</v>
          </cell>
        </row>
        <row r="5039">
          <cell r="E5039" t="str">
            <v>EDUC</v>
          </cell>
          <cell r="F5039" t="str">
            <v>EDUC-U</v>
          </cell>
          <cell r="G5039">
            <v>210</v>
          </cell>
          <cell r="H5039" t="str">
            <v>EDUC-U210</v>
          </cell>
          <cell r="K5039" t="str">
            <v>Habbel,Friederike Irmtraud</v>
          </cell>
          <cell r="N5039">
            <v>3.25</v>
          </cell>
          <cell r="O5039">
            <v>2.8780000000000001</v>
          </cell>
        </row>
        <row r="5040">
          <cell r="E5040" t="str">
            <v>EDUC</v>
          </cell>
          <cell r="F5040" t="str">
            <v>EDUC-U</v>
          </cell>
          <cell r="G5040">
            <v>210</v>
          </cell>
          <cell r="H5040" t="str">
            <v>EDUC-U210</v>
          </cell>
          <cell r="K5040" t="str">
            <v>Meyer,Robert Adam</v>
          </cell>
          <cell r="N5040">
            <v>3.3740000000000001</v>
          </cell>
          <cell r="O5040">
            <v>3.0329999999999999</v>
          </cell>
        </row>
        <row r="5041">
          <cell r="E5041" t="str">
            <v>EDUC</v>
          </cell>
          <cell r="F5041" t="str">
            <v>EDUC-U</v>
          </cell>
          <cell r="G5041">
            <v>210</v>
          </cell>
          <cell r="H5041" t="str">
            <v>EDUC-U210</v>
          </cell>
          <cell r="K5041" t="str">
            <v>Morgan,Demetri Lloyd Livingstone</v>
          </cell>
          <cell r="N5041">
            <v>3.758</v>
          </cell>
          <cell r="O5041">
            <v>2.9089999999999998</v>
          </cell>
        </row>
        <row r="5042">
          <cell r="E5042" t="str">
            <v>EDUC</v>
          </cell>
          <cell r="F5042" t="str">
            <v>EDUC-U</v>
          </cell>
          <cell r="G5042">
            <v>210</v>
          </cell>
          <cell r="H5042" t="str">
            <v>EDUC-U210</v>
          </cell>
          <cell r="K5042" t="str">
            <v>Shuck,Johari Rashida</v>
          </cell>
          <cell r="N5042">
            <v>3.948</v>
          </cell>
          <cell r="O5042">
            <v>2.92</v>
          </cell>
        </row>
        <row r="5043">
          <cell r="E5043" t="str">
            <v>EDUC</v>
          </cell>
          <cell r="F5043" t="str">
            <v>EDUC-U</v>
          </cell>
          <cell r="G5043">
            <v>211</v>
          </cell>
          <cell r="H5043" t="str">
            <v>EDUC-U211</v>
          </cell>
          <cell r="K5043" t="str">
            <v>McCall,Wil</v>
          </cell>
          <cell r="N5043">
            <v>3.367</v>
          </cell>
          <cell r="O5043">
            <v>3.1749999999999998</v>
          </cell>
        </row>
        <row r="5044">
          <cell r="E5044" t="str">
            <v>EDUC</v>
          </cell>
          <cell r="F5044" t="str">
            <v>EDUC-U</v>
          </cell>
          <cell r="G5044">
            <v>212</v>
          </cell>
          <cell r="H5044" t="str">
            <v>EDUC-U212</v>
          </cell>
          <cell r="K5044" t="str">
            <v>Call-Cummings,Meagan</v>
          </cell>
          <cell r="N5044">
            <v>2.294</v>
          </cell>
          <cell r="O5044">
            <v>2.637</v>
          </cell>
        </row>
        <row r="5045">
          <cell r="E5045" t="str">
            <v>EDUC</v>
          </cell>
          <cell r="F5045" t="str">
            <v>EDUC-U</v>
          </cell>
          <cell r="G5045">
            <v>212</v>
          </cell>
          <cell r="H5045" t="str">
            <v>EDUC-U212</v>
          </cell>
          <cell r="K5045" t="str">
            <v>Cole Jr,Eddie Rice</v>
          </cell>
          <cell r="N5045">
            <v>2.524</v>
          </cell>
          <cell r="O5045">
            <v>2.4729999999999999</v>
          </cell>
        </row>
        <row r="5046">
          <cell r="E5046" t="str">
            <v>EDUC</v>
          </cell>
          <cell r="F5046" t="str">
            <v>EDUC-U</v>
          </cell>
          <cell r="G5046">
            <v>212</v>
          </cell>
          <cell r="H5046" t="str">
            <v>EDUC-U212</v>
          </cell>
          <cell r="K5046" t="str">
            <v>Fatten,Kimberly Harris</v>
          </cell>
          <cell r="N5046">
            <v>2.5</v>
          </cell>
          <cell r="O5046">
            <v>2.4900000000000002</v>
          </cell>
        </row>
        <row r="5047">
          <cell r="E5047" t="str">
            <v>EDUC</v>
          </cell>
          <cell r="F5047" t="str">
            <v>EDUC-U</v>
          </cell>
          <cell r="G5047">
            <v>212</v>
          </cell>
          <cell r="H5047" t="str">
            <v>EDUC-U212</v>
          </cell>
          <cell r="K5047" t="str">
            <v>Fatten,Kimberly Harris</v>
          </cell>
          <cell r="N5047">
            <v>3.1579999999999999</v>
          </cell>
          <cell r="O5047">
            <v>2.7829999999999999</v>
          </cell>
        </row>
        <row r="5048">
          <cell r="E5048" t="str">
            <v>EDUC</v>
          </cell>
          <cell r="F5048" t="str">
            <v>EDUC-U</v>
          </cell>
          <cell r="G5048">
            <v>212</v>
          </cell>
          <cell r="H5048" t="str">
            <v>EDUC-U212</v>
          </cell>
          <cell r="K5048" t="str">
            <v>Ferguson,Tomika Latrese</v>
          </cell>
          <cell r="N5048">
            <v>3.4350000000000001</v>
          </cell>
          <cell r="O5048">
            <v>2.629</v>
          </cell>
        </row>
        <row r="5049">
          <cell r="E5049" t="str">
            <v>EDUC</v>
          </cell>
          <cell r="F5049" t="str">
            <v>EDUC-U</v>
          </cell>
          <cell r="G5049">
            <v>212</v>
          </cell>
          <cell r="H5049" t="str">
            <v>EDUC-U212</v>
          </cell>
          <cell r="K5049" t="str">
            <v>Harris,Cameron Jady</v>
          </cell>
          <cell r="N5049">
            <v>3.2669999999999999</v>
          </cell>
          <cell r="O5049">
            <v>2.536</v>
          </cell>
        </row>
        <row r="5050">
          <cell r="E5050" t="str">
            <v>EDUC</v>
          </cell>
          <cell r="F5050" t="str">
            <v>EDUC-U</v>
          </cell>
          <cell r="G5050">
            <v>212</v>
          </cell>
          <cell r="H5050" t="str">
            <v>EDUC-U212</v>
          </cell>
          <cell r="K5050" t="str">
            <v>Holley,Matthew D</v>
          </cell>
          <cell r="N5050">
            <v>3.7469999999999999</v>
          </cell>
          <cell r="O5050">
            <v>2.8290000000000002</v>
          </cell>
        </row>
        <row r="5051">
          <cell r="E5051" t="str">
            <v>EDUC</v>
          </cell>
          <cell r="F5051" t="str">
            <v>EDUC-U</v>
          </cell>
          <cell r="G5051">
            <v>212</v>
          </cell>
          <cell r="H5051" t="str">
            <v>EDUC-U212</v>
          </cell>
          <cell r="K5051" t="str">
            <v>Lower,Aaron Christopher</v>
          </cell>
          <cell r="N5051">
            <v>2.7080000000000002</v>
          </cell>
          <cell r="O5051">
            <v>2.7989999999999999</v>
          </cell>
        </row>
        <row r="5052">
          <cell r="E5052" t="str">
            <v>EDUC</v>
          </cell>
          <cell r="F5052" t="str">
            <v>EDUC-U</v>
          </cell>
          <cell r="G5052">
            <v>212</v>
          </cell>
          <cell r="H5052" t="str">
            <v>EDUC-U212</v>
          </cell>
          <cell r="K5052" t="str">
            <v>Lower,Aaron Christopher</v>
          </cell>
          <cell r="N5052">
            <v>2.5630000000000002</v>
          </cell>
          <cell r="O5052">
            <v>2.5169999999999999</v>
          </cell>
        </row>
        <row r="5053">
          <cell r="E5053" t="str">
            <v>EDUC</v>
          </cell>
          <cell r="F5053" t="str">
            <v>EDUC-U</v>
          </cell>
          <cell r="G5053">
            <v>212</v>
          </cell>
          <cell r="H5053" t="str">
            <v>EDUC-U212</v>
          </cell>
          <cell r="K5053" t="str">
            <v>Medrano,Christianne I.</v>
          </cell>
          <cell r="N5053">
            <v>3.4</v>
          </cell>
          <cell r="O5053">
            <v>2.9660000000000002</v>
          </cell>
        </row>
        <row r="5054">
          <cell r="E5054" t="str">
            <v>EDUC</v>
          </cell>
          <cell r="F5054" t="str">
            <v>EDUC-U</v>
          </cell>
          <cell r="G5054">
            <v>212</v>
          </cell>
          <cell r="H5054" t="str">
            <v>EDUC-U212</v>
          </cell>
          <cell r="K5054" t="str">
            <v>Medrano,Christianne I.</v>
          </cell>
          <cell r="N5054">
            <v>3.5739999999999998</v>
          </cell>
          <cell r="O5054">
            <v>2.726</v>
          </cell>
        </row>
        <row r="5055">
          <cell r="E5055" t="str">
            <v>EDUC</v>
          </cell>
          <cell r="F5055" t="str">
            <v>EDUC-U</v>
          </cell>
          <cell r="G5055">
            <v>212</v>
          </cell>
          <cell r="H5055" t="str">
            <v>EDUC-U212</v>
          </cell>
          <cell r="K5055" t="str">
            <v>Nailos,Jennifer Nicole</v>
          </cell>
          <cell r="N5055">
            <v>3.5739999999999998</v>
          </cell>
          <cell r="O5055">
            <v>2.9079999999999999</v>
          </cell>
        </row>
        <row r="5056">
          <cell r="E5056" t="str">
            <v>EDUC</v>
          </cell>
          <cell r="F5056" t="str">
            <v>EDUC-U</v>
          </cell>
          <cell r="G5056">
            <v>212</v>
          </cell>
          <cell r="H5056" t="str">
            <v>EDUC-U212</v>
          </cell>
          <cell r="K5056" t="str">
            <v>Nguyen,David Hoa Khoa</v>
          </cell>
          <cell r="N5056">
            <v>3.55</v>
          </cell>
          <cell r="O5056">
            <v>2.5190000000000001</v>
          </cell>
        </row>
        <row r="5057">
          <cell r="E5057" t="str">
            <v>EDUC</v>
          </cell>
          <cell r="F5057" t="str">
            <v>EDUC-U</v>
          </cell>
          <cell r="G5057">
            <v>212</v>
          </cell>
          <cell r="H5057" t="str">
            <v>EDUC-U212</v>
          </cell>
          <cell r="K5057" t="str">
            <v>Prusinski,Ellen Louise</v>
          </cell>
          <cell r="N5057">
            <v>3.226</v>
          </cell>
          <cell r="O5057">
            <v>2.6320000000000001</v>
          </cell>
        </row>
        <row r="5058">
          <cell r="E5058" t="str">
            <v>EDUC</v>
          </cell>
          <cell r="F5058" t="str">
            <v>EDUC-U</v>
          </cell>
          <cell r="G5058">
            <v>212</v>
          </cell>
          <cell r="H5058" t="str">
            <v>EDUC-U212</v>
          </cell>
          <cell r="K5058" t="str">
            <v>Rucker,Sydney Young</v>
          </cell>
          <cell r="N5058">
            <v>2.4849999999999999</v>
          </cell>
          <cell r="O5058">
            <v>2.4500000000000002</v>
          </cell>
        </row>
        <row r="5059">
          <cell r="E5059" t="str">
            <v>EDUC</v>
          </cell>
          <cell r="F5059" t="str">
            <v>EDUC-U</v>
          </cell>
          <cell r="G5059">
            <v>212</v>
          </cell>
          <cell r="H5059" t="str">
            <v>EDUC-U212</v>
          </cell>
          <cell r="K5059" t="str">
            <v>Smith,Walter Raymond</v>
          </cell>
          <cell r="N5059">
            <v>3.7959999999999998</v>
          </cell>
          <cell r="O5059">
            <v>3.3839999999999999</v>
          </cell>
        </row>
        <row r="5060">
          <cell r="E5060" t="str">
            <v>EDUC</v>
          </cell>
          <cell r="F5060" t="str">
            <v>EDUC-U</v>
          </cell>
          <cell r="G5060">
            <v>212</v>
          </cell>
          <cell r="H5060" t="str">
            <v>EDUC-U212</v>
          </cell>
          <cell r="K5060" t="str">
            <v>Smith,Walter Raymond</v>
          </cell>
          <cell r="N5060">
            <v>3.6480000000000001</v>
          </cell>
          <cell r="O5060">
            <v>3.1720000000000002</v>
          </cell>
        </row>
        <row r="5061">
          <cell r="E5061" t="str">
            <v>EDUC</v>
          </cell>
          <cell r="F5061" t="str">
            <v>EDUC-U</v>
          </cell>
          <cell r="G5061">
            <v>212</v>
          </cell>
          <cell r="H5061" t="str">
            <v>EDUC-U212</v>
          </cell>
          <cell r="K5061" t="str">
            <v>Troilo,Christopher Joseph</v>
          </cell>
          <cell r="N5061">
            <v>2.7749999999999999</v>
          </cell>
          <cell r="O5061">
            <v>2.5219999999999998</v>
          </cell>
        </row>
        <row r="5062">
          <cell r="E5062" t="str">
            <v>EDUC</v>
          </cell>
          <cell r="F5062" t="str">
            <v>EDUC-U</v>
          </cell>
          <cell r="G5062">
            <v>212</v>
          </cell>
          <cell r="H5062" t="str">
            <v>EDUC-U212</v>
          </cell>
          <cell r="K5062" t="str">
            <v>wang,lei</v>
          </cell>
          <cell r="N5062">
            <v>3.7519999999999998</v>
          </cell>
          <cell r="O5062">
            <v>2.879</v>
          </cell>
        </row>
        <row r="5063">
          <cell r="E5063" t="str">
            <v>EDUC</v>
          </cell>
          <cell r="F5063" t="str">
            <v>EDUC-U</v>
          </cell>
          <cell r="G5063">
            <v>212</v>
          </cell>
          <cell r="H5063" t="str">
            <v>EDUC-U212</v>
          </cell>
          <cell r="K5063" t="str">
            <v>Wang,Yimin</v>
          </cell>
          <cell r="N5063">
            <v>3.895</v>
          </cell>
          <cell r="O5063">
            <v>2.7549999999999999</v>
          </cell>
        </row>
        <row r="5064">
          <cell r="E5064" t="str">
            <v>EDUC</v>
          </cell>
          <cell r="F5064" t="str">
            <v>EDUC-U</v>
          </cell>
          <cell r="G5064">
            <v>212</v>
          </cell>
          <cell r="H5064" t="str">
            <v>EDUC-U212</v>
          </cell>
          <cell r="K5064" t="str">
            <v>Zerquera,Desiree Danielle</v>
          </cell>
          <cell r="N5064">
            <v>3.3380000000000001</v>
          </cell>
          <cell r="O5064">
            <v>2.4329999999999998</v>
          </cell>
        </row>
        <row r="5065">
          <cell r="E5065" t="str">
            <v>EDUC</v>
          </cell>
          <cell r="F5065" t="str">
            <v>EDUC-U</v>
          </cell>
          <cell r="G5065">
            <v>450</v>
          </cell>
          <cell r="H5065" t="str">
            <v>EDUC-U450</v>
          </cell>
          <cell r="K5065" t="str">
            <v>Magee,Barry W</v>
          </cell>
          <cell r="N5065">
            <v>3.9769999999999999</v>
          </cell>
          <cell r="O5065">
            <v>3.3170000000000002</v>
          </cell>
        </row>
        <row r="5066">
          <cell r="E5066" t="str">
            <v>EDUC</v>
          </cell>
          <cell r="F5066" t="str">
            <v>EDUC-U</v>
          </cell>
          <cell r="G5066">
            <v>450</v>
          </cell>
          <cell r="H5066" t="str">
            <v>EDUC-U450</v>
          </cell>
          <cell r="K5066" t="str">
            <v>Magee,Barry W</v>
          </cell>
          <cell r="N5066">
            <v>3.9</v>
          </cell>
          <cell r="O5066">
            <v>3.3149999999999999</v>
          </cell>
        </row>
        <row r="5067">
          <cell r="E5067" t="str">
            <v>EDUC</v>
          </cell>
          <cell r="F5067" t="str">
            <v>EDUC-U</v>
          </cell>
          <cell r="G5067">
            <v>450</v>
          </cell>
          <cell r="H5067" t="str">
            <v>EDUC-U450</v>
          </cell>
          <cell r="K5067" t="str">
            <v>Magee,Barry W</v>
          </cell>
          <cell r="N5067">
            <v>3.875</v>
          </cell>
          <cell r="O5067">
            <v>3.282</v>
          </cell>
        </row>
        <row r="5068">
          <cell r="E5068" t="str">
            <v>EDUC</v>
          </cell>
          <cell r="F5068" t="str">
            <v>EDUC-U</v>
          </cell>
          <cell r="G5068">
            <v>450</v>
          </cell>
          <cell r="H5068" t="str">
            <v>EDUC-U450</v>
          </cell>
          <cell r="K5068" t="str">
            <v>Magee,Barry W</v>
          </cell>
          <cell r="N5068">
            <v>3.9060000000000001</v>
          </cell>
          <cell r="O5068">
            <v>3.3769999999999998</v>
          </cell>
        </row>
        <row r="5069">
          <cell r="E5069" t="str">
            <v>EDUC</v>
          </cell>
          <cell r="F5069" t="str">
            <v>EDUC-U</v>
          </cell>
          <cell r="G5069">
            <v>450</v>
          </cell>
          <cell r="H5069" t="str">
            <v>EDUC-U450</v>
          </cell>
          <cell r="K5069" t="str">
            <v>Magee,Barry W</v>
          </cell>
          <cell r="N5069">
            <v>4</v>
          </cell>
          <cell r="O5069">
            <v>3.5270000000000001</v>
          </cell>
        </row>
        <row r="5070">
          <cell r="E5070" t="str">
            <v>EDUC</v>
          </cell>
          <cell r="F5070" t="str">
            <v>EDUC-U</v>
          </cell>
          <cell r="G5070">
            <v>450</v>
          </cell>
          <cell r="H5070" t="str">
            <v>EDUC-U450</v>
          </cell>
          <cell r="K5070" t="str">
            <v>Magee,Barry W</v>
          </cell>
          <cell r="N5070">
            <v>3.9569999999999999</v>
          </cell>
          <cell r="O5070">
            <v>3.5</v>
          </cell>
        </row>
        <row r="5071">
          <cell r="E5071" t="str">
            <v>EDUC</v>
          </cell>
          <cell r="F5071" t="str">
            <v>EDUC-U</v>
          </cell>
          <cell r="G5071">
            <v>450</v>
          </cell>
          <cell r="H5071" t="str">
            <v>EDUC-U450</v>
          </cell>
          <cell r="K5071" t="str">
            <v>Magee,Barry W</v>
          </cell>
          <cell r="N5071">
            <v>3.8719999999999999</v>
          </cell>
          <cell r="O5071">
            <v>3.2730000000000001</v>
          </cell>
        </row>
        <row r="5072">
          <cell r="E5072" t="str">
            <v>EDUC</v>
          </cell>
          <cell r="F5072" t="str">
            <v>EDUC-U</v>
          </cell>
          <cell r="G5072">
            <v>450</v>
          </cell>
          <cell r="H5072" t="str">
            <v>EDUC-U450</v>
          </cell>
          <cell r="K5072" t="str">
            <v>Magee,Barry W</v>
          </cell>
          <cell r="N5072">
            <v>3.8</v>
          </cell>
          <cell r="O5072">
            <v>3.31</v>
          </cell>
        </row>
        <row r="5073">
          <cell r="E5073" t="str">
            <v>EDUC</v>
          </cell>
          <cell r="F5073" t="str">
            <v>EDUC-U</v>
          </cell>
          <cell r="G5073">
            <v>450</v>
          </cell>
          <cell r="H5073" t="str">
            <v>EDUC-U450</v>
          </cell>
          <cell r="K5073" t="str">
            <v>Magee,Barry W</v>
          </cell>
          <cell r="N5073">
            <v>3.8210000000000002</v>
          </cell>
          <cell r="O5073">
            <v>3.5030000000000001</v>
          </cell>
        </row>
        <row r="5074">
          <cell r="E5074" t="str">
            <v>EDUC</v>
          </cell>
          <cell r="F5074" t="str">
            <v>EDUC-U</v>
          </cell>
          <cell r="G5074">
            <v>450</v>
          </cell>
          <cell r="H5074" t="str">
            <v>EDUC-U450</v>
          </cell>
          <cell r="K5074" t="str">
            <v>Magee,Barry W</v>
          </cell>
          <cell r="N5074">
            <v>3.8330000000000002</v>
          </cell>
          <cell r="O5074">
            <v>3.2629999999999999</v>
          </cell>
        </row>
        <row r="5075">
          <cell r="E5075" t="str">
            <v>EDUC</v>
          </cell>
          <cell r="F5075" t="str">
            <v>EDUC-U</v>
          </cell>
          <cell r="G5075">
            <v>450</v>
          </cell>
          <cell r="H5075" t="str">
            <v>EDUC-U450</v>
          </cell>
          <cell r="K5075" t="str">
            <v>Magee,Barry W</v>
          </cell>
          <cell r="N5075">
            <v>3.4809999999999999</v>
          </cell>
          <cell r="O5075">
            <v>3.33</v>
          </cell>
        </row>
        <row r="5076">
          <cell r="E5076" t="str">
            <v>EDUC</v>
          </cell>
          <cell r="F5076" t="str">
            <v>EDUC-U</v>
          </cell>
          <cell r="G5076">
            <v>450</v>
          </cell>
          <cell r="H5076" t="str">
            <v>EDUC-U450</v>
          </cell>
          <cell r="K5076" t="str">
            <v>Magee,Barry W</v>
          </cell>
          <cell r="N5076">
            <v>3.6429999999999998</v>
          </cell>
          <cell r="O5076">
            <v>3.4049999999999998</v>
          </cell>
        </row>
        <row r="5077">
          <cell r="E5077" t="str">
            <v>EDUC</v>
          </cell>
          <cell r="F5077" t="str">
            <v>EDUC-U</v>
          </cell>
          <cell r="G5077">
            <v>450</v>
          </cell>
          <cell r="H5077" t="str">
            <v>EDUC-U450</v>
          </cell>
          <cell r="K5077" t="str">
            <v>Magee,Barry W</v>
          </cell>
          <cell r="N5077">
            <v>3.9729999999999999</v>
          </cell>
          <cell r="O5077">
            <v>3.2130000000000001</v>
          </cell>
        </row>
        <row r="5078">
          <cell r="E5078" t="str">
            <v>EDUC</v>
          </cell>
          <cell r="F5078" t="str">
            <v>EDUC-U</v>
          </cell>
          <cell r="G5078">
            <v>450</v>
          </cell>
          <cell r="H5078" t="str">
            <v>EDUC-U450</v>
          </cell>
          <cell r="K5078" t="str">
            <v>Magee,Barry W</v>
          </cell>
          <cell r="N5078">
            <v>3.956</v>
          </cell>
          <cell r="O5078">
            <v>3.3210000000000002</v>
          </cell>
        </row>
        <row r="5079">
          <cell r="E5079" t="str">
            <v>EDUC</v>
          </cell>
          <cell r="F5079" t="str">
            <v>EDUC-U</v>
          </cell>
          <cell r="G5079">
            <v>450</v>
          </cell>
          <cell r="H5079" t="str">
            <v>EDUC-U450</v>
          </cell>
          <cell r="K5079" t="str">
            <v>Magee,Barry W</v>
          </cell>
          <cell r="N5079">
            <v>3.96</v>
          </cell>
          <cell r="O5079">
            <v>3.4220000000000002</v>
          </cell>
        </row>
        <row r="5080">
          <cell r="E5080" t="str">
            <v>EDUC</v>
          </cell>
          <cell r="F5080" t="str">
            <v>EDUC-U</v>
          </cell>
          <cell r="G5080">
            <v>495</v>
          </cell>
          <cell r="H5080" t="str">
            <v>EDUC-U495</v>
          </cell>
          <cell r="K5080" t="str">
            <v>Bottoms,Megan Jean</v>
          </cell>
          <cell r="N5080">
            <v>3.8</v>
          </cell>
          <cell r="O5080">
            <v>2.7629999999999999</v>
          </cell>
        </row>
        <row r="5081">
          <cell r="E5081" t="str">
            <v>EDUC</v>
          </cell>
          <cell r="F5081" t="str">
            <v>EDUC-U</v>
          </cell>
          <cell r="G5081">
            <v>495</v>
          </cell>
          <cell r="H5081" t="str">
            <v>EDUC-U495</v>
          </cell>
          <cell r="K5081" t="str">
            <v>Caldarera,Lauren Weinberg</v>
          </cell>
          <cell r="N5081" t="str">
            <v>NR</v>
          </cell>
          <cell r="O5081" t="str">
            <v>NR</v>
          </cell>
        </row>
        <row r="5082">
          <cell r="E5082" t="str">
            <v>EDUC</v>
          </cell>
          <cell r="F5082" t="str">
            <v>EDUC-U</v>
          </cell>
          <cell r="G5082">
            <v>495</v>
          </cell>
          <cell r="H5082" t="str">
            <v>EDUC-U495</v>
          </cell>
          <cell r="K5082" t="str">
            <v>Eakins,Jared Randall</v>
          </cell>
          <cell r="N5082">
            <v>4</v>
          </cell>
          <cell r="O5082">
            <v>3.298</v>
          </cell>
        </row>
        <row r="5083">
          <cell r="E5083" t="str">
            <v>EDUC</v>
          </cell>
          <cell r="F5083" t="str">
            <v>EDUC-U</v>
          </cell>
          <cell r="G5083">
            <v>495</v>
          </cell>
          <cell r="H5083" t="str">
            <v>EDUC-U495</v>
          </cell>
          <cell r="K5083" t="str">
            <v>Gaalema,Brittany Elaine</v>
          </cell>
          <cell r="N5083" t="str">
            <v>NR</v>
          </cell>
          <cell r="O5083" t="str">
            <v>NR</v>
          </cell>
        </row>
        <row r="5084">
          <cell r="E5084" t="str">
            <v>EDUC</v>
          </cell>
          <cell r="F5084" t="str">
            <v>EDUC-U</v>
          </cell>
          <cell r="G5084">
            <v>495</v>
          </cell>
          <cell r="H5084" t="str">
            <v>EDUC-U495</v>
          </cell>
          <cell r="K5084" t="str">
            <v>Goodman,Michael Anthony</v>
          </cell>
          <cell r="N5084">
            <v>3.9390000000000001</v>
          </cell>
          <cell r="O5084">
            <v>3.3780000000000001</v>
          </cell>
        </row>
        <row r="5085">
          <cell r="E5085" t="str">
            <v>EDUC</v>
          </cell>
          <cell r="F5085" t="str">
            <v>EDUC-U</v>
          </cell>
          <cell r="G5085">
            <v>495</v>
          </cell>
          <cell r="H5085" t="str">
            <v>EDUC-U495</v>
          </cell>
          <cell r="K5085" t="str">
            <v>Grove,Kala Ann</v>
          </cell>
          <cell r="N5085">
            <v>3.8690000000000002</v>
          </cell>
          <cell r="O5085">
            <v>3.47</v>
          </cell>
        </row>
        <row r="5086">
          <cell r="E5086" t="str">
            <v>EDUC</v>
          </cell>
          <cell r="F5086" t="str">
            <v>EDUC-U</v>
          </cell>
          <cell r="G5086">
            <v>495</v>
          </cell>
          <cell r="H5086" t="str">
            <v>EDUC-U495</v>
          </cell>
          <cell r="K5086" t="str">
            <v>Looney,Melissa Ryan</v>
          </cell>
          <cell r="N5086">
            <v>4</v>
          </cell>
          <cell r="O5086">
            <v>3.351</v>
          </cell>
        </row>
        <row r="5087">
          <cell r="E5087" t="str">
            <v>EDUC</v>
          </cell>
          <cell r="F5087" t="str">
            <v>EDUC-U</v>
          </cell>
          <cell r="G5087">
            <v>495</v>
          </cell>
          <cell r="H5087" t="str">
            <v>EDUC-U495</v>
          </cell>
          <cell r="K5087" t="str">
            <v>Lyness,Sara Marie</v>
          </cell>
          <cell r="N5087">
            <v>3.7130000000000001</v>
          </cell>
          <cell r="O5087">
            <v>3.0030000000000001</v>
          </cell>
        </row>
        <row r="5088">
          <cell r="E5088" t="str">
            <v>EDUC</v>
          </cell>
          <cell r="F5088" t="str">
            <v>EDUC-U</v>
          </cell>
          <cell r="G5088">
            <v>495</v>
          </cell>
          <cell r="H5088" t="str">
            <v>EDUC-U495</v>
          </cell>
          <cell r="K5088" t="str">
            <v>Meyer,Robert Adam</v>
          </cell>
          <cell r="N5088" t="str">
            <v>NR</v>
          </cell>
          <cell r="O5088" t="str">
            <v>NR</v>
          </cell>
        </row>
        <row r="5089">
          <cell r="E5089" t="str">
            <v>EDUC</v>
          </cell>
          <cell r="F5089" t="str">
            <v>EDUC-U</v>
          </cell>
          <cell r="G5089">
            <v>495</v>
          </cell>
          <cell r="H5089" t="str">
            <v>EDUC-U495</v>
          </cell>
          <cell r="K5089" t="str">
            <v>Morgan,Demetri Lloyd Livingstone</v>
          </cell>
          <cell r="N5089">
            <v>3.5790000000000002</v>
          </cell>
          <cell r="O5089">
            <v>2.8319999999999999</v>
          </cell>
        </row>
        <row r="5090">
          <cell r="E5090" t="str">
            <v>EDUC</v>
          </cell>
          <cell r="F5090" t="str">
            <v>EDUC-U</v>
          </cell>
          <cell r="G5090">
            <v>495</v>
          </cell>
          <cell r="H5090" t="str">
            <v>EDUC-U495</v>
          </cell>
          <cell r="K5090" t="str">
            <v>Murphy,Daniel W</v>
          </cell>
          <cell r="N5090">
            <v>3.85</v>
          </cell>
          <cell r="O5090">
            <v>3.3069999999999999</v>
          </cell>
        </row>
        <row r="5091">
          <cell r="E5091" t="str">
            <v>EDUC</v>
          </cell>
          <cell r="F5091" t="str">
            <v>EDUC-U</v>
          </cell>
          <cell r="G5091">
            <v>495</v>
          </cell>
          <cell r="H5091" t="str">
            <v>EDUC-U495</v>
          </cell>
          <cell r="K5091" t="str">
            <v>Rose,Colleen Michelle</v>
          </cell>
          <cell r="N5091" t="str">
            <v>NR</v>
          </cell>
          <cell r="O5091" t="str">
            <v>NR</v>
          </cell>
        </row>
        <row r="5092">
          <cell r="E5092" t="str">
            <v>EDUC</v>
          </cell>
          <cell r="F5092" t="str">
            <v>EDUC-U</v>
          </cell>
          <cell r="G5092">
            <v>495</v>
          </cell>
          <cell r="H5092" t="str">
            <v>EDUC-U495</v>
          </cell>
          <cell r="K5092" t="str">
            <v>Smith,Patrick Darryl</v>
          </cell>
          <cell r="N5092">
            <v>3.673</v>
          </cell>
          <cell r="O5092">
            <v>3.0630000000000002</v>
          </cell>
        </row>
        <row r="5093">
          <cell r="E5093" t="str">
            <v>EDUC</v>
          </cell>
          <cell r="F5093" t="str">
            <v>EDUC-U</v>
          </cell>
          <cell r="G5093">
            <v>495</v>
          </cell>
          <cell r="H5093" t="str">
            <v>EDUC-U495</v>
          </cell>
          <cell r="K5093" t="str">
            <v>Smith,Patrick Darryl</v>
          </cell>
          <cell r="N5093">
            <v>3.6850000000000001</v>
          </cell>
          <cell r="O5093">
            <v>3.238</v>
          </cell>
        </row>
        <row r="5094">
          <cell r="E5094" t="str">
            <v>EDUC</v>
          </cell>
          <cell r="F5094" t="str">
            <v>EDUC-U</v>
          </cell>
          <cell r="G5094">
            <v>495</v>
          </cell>
          <cell r="H5094" t="str">
            <v>EDUC-U495</v>
          </cell>
          <cell r="K5094" t="str">
            <v>Thomas,James C</v>
          </cell>
          <cell r="N5094">
            <v>3.7650000000000001</v>
          </cell>
          <cell r="O5094">
            <v>3.2389999999999999</v>
          </cell>
        </row>
        <row r="5095">
          <cell r="E5095" t="str">
            <v>EDUC</v>
          </cell>
          <cell r="F5095" t="str">
            <v>EDUC-U</v>
          </cell>
          <cell r="G5095">
            <v>495</v>
          </cell>
          <cell r="H5095" t="str">
            <v>EDUC-U495</v>
          </cell>
          <cell r="K5095" t="str">
            <v>Veldkamp,Stevan</v>
          </cell>
          <cell r="N5095">
            <v>3.75</v>
          </cell>
          <cell r="O5095">
            <v>2.9159999999999999</v>
          </cell>
        </row>
        <row r="5096">
          <cell r="E5096" t="str">
            <v>EDUC</v>
          </cell>
          <cell r="F5096" t="str">
            <v>EDUC-U</v>
          </cell>
          <cell r="G5096">
            <v>495</v>
          </cell>
          <cell r="H5096" t="str">
            <v>EDUC-U495</v>
          </cell>
          <cell r="K5096" t="str">
            <v>Woodring,Robert Joseph</v>
          </cell>
          <cell r="N5096">
            <v>3.8260000000000001</v>
          </cell>
          <cell r="O5096">
            <v>3.4390000000000001</v>
          </cell>
        </row>
        <row r="5097">
          <cell r="E5097" t="str">
            <v>EDUC</v>
          </cell>
          <cell r="F5097" t="str">
            <v>EDUC-U</v>
          </cell>
          <cell r="G5097">
            <v>495</v>
          </cell>
          <cell r="H5097" t="str">
            <v>EDUC-U495</v>
          </cell>
          <cell r="K5097" t="str">
            <v>Woodring,Robert Joseph</v>
          </cell>
          <cell r="N5097" t="str">
            <v>NR</v>
          </cell>
          <cell r="O5097" t="str">
            <v>NR</v>
          </cell>
        </row>
        <row r="5098">
          <cell r="E5098" t="str">
            <v>EDUC</v>
          </cell>
          <cell r="F5098" t="str">
            <v>EDUC-U</v>
          </cell>
          <cell r="G5098">
            <v>495</v>
          </cell>
          <cell r="H5098" t="str">
            <v>EDUC-U495</v>
          </cell>
          <cell r="K5098" t="str">
            <v>Woodring,Robert Joseph</v>
          </cell>
          <cell r="N5098">
            <v>3.3650000000000002</v>
          </cell>
          <cell r="O5098">
            <v>2.7469999999999999</v>
          </cell>
        </row>
        <row r="5099">
          <cell r="E5099" t="str">
            <v>EDUC</v>
          </cell>
          <cell r="F5099" t="str">
            <v>EDUC-U</v>
          </cell>
          <cell r="G5099">
            <v>495</v>
          </cell>
          <cell r="H5099" t="str">
            <v>EDUC-U495</v>
          </cell>
          <cell r="K5099" t="str">
            <v>Zimmerman,Hilary Beth</v>
          </cell>
          <cell r="N5099">
            <v>3.8559999999999999</v>
          </cell>
          <cell r="O5099">
            <v>3.0329999999999999</v>
          </cell>
        </row>
        <row r="5100">
          <cell r="E5100" t="str">
            <v>EDUC</v>
          </cell>
          <cell r="F5100" t="str">
            <v>EDUC-U</v>
          </cell>
          <cell r="G5100">
            <v>546</v>
          </cell>
          <cell r="H5100" t="str">
            <v>EDUC-U546</v>
          </cell>
          <cell r="K5100" t="str">
            <v>Freeman,Pamela W</v>
          </cell>
          <cell r="N5100">
            <v>3.9609999999999999</v>
          </cell>
          <cell r="O5100">
            <v>3.9390000000000001</v>
          </cell>
        </row>
        <row r="5101">
          <cell r="E5101" t="str">
            <v>EDUC</v>
          </cell>
          <cell r="F5101" t="str">
            <v>EDUC-U</v>
          </cell>
          <cell r="G5101">
            <v>547</v>
          </cell>
          <cell r="H5101" t="str">
            <v>EDUC-U547</v>
          </cell>
          <cell r="K5101" t="str">
            <v>Aaron,Robert W</v>
          </cell>
          <cell r="N5101">
            <v>3.9790000000000001</v>
          </cell>
          <cell r="O5101">
            <v>3.9580000000000002</v>
          </cell>
        </row>
        <row r="5102">
          <cell r="E5102" t="str">
            <v>EDUC</v>
          </cell>
          <cell r="F5102" t="str">
            <v>EDUC-U</v>
          </cell>
          <cell r="G5102">
            <v>547</v>
          </cell>
          <cell r="H5102" t="str">
            <v>EDUC-U547</v>
          </cell>
          <cell r="K5102" t="str">
            <v>DeSawal,Danielle Marie</v>
          </cell>
          <cell r="N5102">
            <v>4</v>
          </cell>
          <cell r="O5102">
            <v>3.9129999999999998</v>
          </cell>
        </row>
        <row r="5103">
          <cell r="E5103" t="str">
            <v>EDUC</v>
          </cell>
          <cell r="F5103" t="str">
            <v>EDUC-U</v>
          </cell>
          <cell r="G5103">
            <v>548</v>
          </cell>
          <cell r="H5103" t="str">
            <v>EDUC-U548</v>
          </cell>
          <cell r="K5103" t="str">
            <v>DeSawal,Danielle Marie</v>
          </cell>
          <cell r="N5103">
            <v>3.875</v>
          </cell>
          <cell r="O5103">
            <v>3.875</v>
          </cell>
        </row>
        <row r="5104">
          <cell r="E5104" t="str">
            <v>EDUC</v>
          </cell>
          <cell r="F5104" t="str">
            <v>EDUC-U</v>
          </cell>
          <cell r="G5104">
            <v>549</v>
          </cell>
          <cell r="H5104" t="str">
            <v>EDUC-U549</v>
          </cell>
          <cell r="K5104" t="str">
            <v>Nelson Laird,Thomas F</v>
          </cell>
          <cell r="N5104">
            <v>3.9590000000000001</v>
          </cell>
          <cell r="O5104">
            <v>3.9169999999999998</v>
          </cell>
        </row>
        <row r="5105">
          <cell r="E5105" t="str">
            <v>EDUC</v>
          </cell>
          <cell r="F5105" t="str">
            <v>EDUC-U</v>
          </cell>
          <cell r="G5105">
            <v>550</v>
          </cell>
          <cell r="H5105" t="str">
            <v>EDUC-U550</v>
          </cell>
          <cell r="K5105" t="str">
            <v>Borden,Victor M.H.</v>
          </cell>
          <cell r="N5105" t="str">
            <v>NR</v>
          </cell>
          <cell r="O5105" t="str">
            <v>NR</v>
          </cell>
        </row>
        <row r="5106">
          <cell r="E5106" t="str">
            <v>EDUC</v>
          </cell>
          <cell r="F5106" t="str">
            <v>EDUC-U</v>
          </cell>
          <cell r="G5106">
            <v>550</v>
          </cell>
          <cell r="H5106" t="str">
            <v>EDUC-U550</v>
          </cell>
          <cell r="K5106" t="str">
            <v>DeSawal,Danielle Marie</v>
          </cell>
          <cell r="N5106">
            <v>4</v>
          </cell>
          <cell r="O5106">
            <v>3.9649999999999999</v>
          </cell>
        </row>
        <row r="5107">
          <cell r="E5107" t="str">
            <v>EDUC</v>
          </cell>
          <cell r="F5107" t="str">
            <v>EDUC-U</v>
          </cell>
          <cell r="G5107">
            <v>550</v>
          </cell>
          <cell r="H5107" t="str">
            <v>EDUC-U550</v>
          </cell>
          <cell r="K5107" t="str">
            <v>Hossler,Donald</v>
          </cell>
          <cell r="N5107">
            <v>3.827</v>
          </cell>
          <cell r="O5107">
            <v>3.847</v>
          </cell>
        </row>
        <row r="5108">
          <cell r="E5108" t="str">
            <v>EDUC</v>
          </cell>
          <cell r="F5108" t="str">
            <v>EDUC-U</v>
          </cell>
          <cell r="G5108">
            <v>550</v>
          </cell>
          <cell r="H5108" t="str">
            <v>EDUC-U550</v>
          </cell>
          <cell r="K5108" t="str">
            <v>Nelson Laird,Thomas F</v>
          </cell>
          <cell r="N5108" t="str">
            <v>NR</v>
          </cell>
          <cell r="O5108" t="str">
            <v>NR</v>
          </cell>
        </row>
        <row r="5109">
          <cell r="E5109" t="str">
            <v>EDUC</v>
          </cell>
          <cell r="F5109" t="str">
            <v>EDUC-U</v>
          </cell>
          <cell r="G5109">
            <v>553</v>
          </cell>
          <cell r="H5109" t="str">
            <v>EDUC-U553</v>
          </cell>
          <cell r="K5109" t="str">
            <v>O'Guinn,M Dave</v>
          </cell>
          <cell r="N5109">
            <v>3.6739999999999999</v>
          </cell>
          <cell r="O5109">
            <v>3.923</v>
          </cell>
        </row>
        <row r="5110">
          <cell r="E5110" t="str">
            <v>EDUC</v>
          </cell>
          <cell r="F5110" t="str">
            <v>EDUC-U</v>
          </cell>
          <cell r="G5110">
            <v>553</v>
          </cell>
          <cell r="H5110" t="str">
            <v>EDUC-U553</v>
          </cell>
          <cell r="K5110" t="str">
            <v>O'Guinn,M Dave</v>
          </cell>
          <cell r="N5110">
            <v>3.6419999999999999</v>
          </cell>
          <cell r="O5110">
            <v>3.9220000000000002</v>
          </cell>
        </row>
        <row r="5111">
          <cell r="E5111" t="str">
            <v>EDUC</v>
          </cell>
          <cell r="F5111" t="str">
            <v>EDUC-U</v>
          </cell>
          <cell r="G5111">
            <v>559</v>
          </cell>
          <cell r="H5111" t="str">
            <v>EDUC-U559</v>
          </cell>
          <cell r="K5111" t="str">
            <v>Weith,Robert A</v>
          </cell>
          <cell r="N5111">
            <v>4</v>
          </cell>
          <cell r="O5111">
            <v>3.8820000000000001</v>
          </cell>
        </row>
        <row r="5112">
          <cell r="E5112" t="str">
            <v>EDUC</v>
          </cell>
          <cell r="F5112" t="str">
            <v>EDUC-U</v>
          </cell>
          <cell r="G5112">
            <v>560</v>
          </cell>
          <cell r="H5112" t="str">
            <v>EDUC-U560</v>
          </cell>
          <cell r="K5112" t="str">
            <v>DeSawal,Danielle Marie</v>
          </cell>
          <cell r="N5112" t="str">
            <v>NR</v>
          </cell>
          <cell r="O5112" t="str">
            <v>NR</v>
          </cell>
        </row>
        <row r="5113">
          <cell r="E5113" t="str">
            <v>EDUC</v>
          </cell>
          <cell r="F5113" t="str">
            <v>EDUC-U</v>
          </cell>
          <cell r="G5113">
            <v>560</v>
          </cell>
          <cell r="H5113" t="str">
            <v>EDUC-U560</v>
          </cell>
          <cell r="K5113" t="str">
            <v>DeSawal,Danielle Marie</v>
          </cell>
          <cell r="N5113" t="str">
            <v>NR</v>
          </cell>
          <cell r="O5113" t="str">
            <v>NR</v>
          </cell>
        </row>
        <row r="5114">
          <cell r="E5114" t="str">
            <v>EDUC</v>
          </cell>
          <cell r="F5114" t="str">
            <v>EDUC-U</v>
          </cell>
          <cell r="G5114">
            <v>580</v>
          </cell>
          <cell r="H5114" t="str">
            <v>EDUC-U580</v>
          </cell>
          <cell r="K5114" t="str">
            <v>Torres,Vasti</v>
          </cell>
          <cell r="N5114">
            <v>3.9620000000000002</v>
          </cell>
          <cell r="O5114">
            <v>3.923</v>
          </cell>
        </row>
        <row r="5115">
          <cell r="E5115" t="str">
            <v>EDUC</v>
          </cell>
          <cell r="F5115" t="str">
            <v>EDUC-U</v>
          </cell>
          <cell r="G5115">
            <v>590</v>
          </cell>
          <cell r="H5115" t="str">
            <v>EDUC-U590</v>
          </cell>
          <cell r="K5115" t="str">
            <v>DeSawal,Danielle Marie</v>
          </cell>
          <cell r="N5115" t="str">
            <v>NR</v>
          </cell>
          <cell r="O5115" t="str">
            <v>NR</v>
          </cell>
        </row>
        <row r="5116">
          <cell r="E5116" t="str">
            <v>EDUC</v>
          </cell>
          <cell r="F5116" t="str">
            <v>EDUC-U</v>
          </cell>
          <cell r="G5116">
            <v>590</v>
          </cell>
          <cell r="H5116" t="str">
            <v>EDUC-U590</v>
          </cell>
          <cell r="K5116" t="str">
            <v>DeSawal,Danielle Marie</v>
          </cell>
          <cell r="N5116">
            <v>4</v>
          </cell>
          <cell r="O5116">
            <v>3.9249999999999998</v>
          </cell>
        </row>
        <row r="5117">
          <cell r="E5117" t="str">
            <v>EDUC</v>
          </cell>
          <cell r="F5117" t="str">
            <v>EDUC-W</v>
          </cell>
          <cell r="G5117">
            <v>200</v>
          </cell>
          <cell r="H5117" t="str">
            <v>EDUC-W200</v>
          </cell>
          <cell r="K5117" t="str">
            <v>Glazewski,Krista D.</v>
          </cell>
          <cell r="N5117">
            <v>2.6219999999999999</v>
          </cell>
          <cell r="O5117">
            <v>3.1829999999999998</v>
          </cell>
        </row>
        <row r="5118">
          <cell r="E5118" t="str">
            <v>EDUC</v>
          </cell>
          <cell r="F5118" t="str">
            <v>EDUC-W</v>
          </cell>
          <cell r="G5118">
            <v>200</v>
          </cell>
          <cell r="H5118" t="str">
            <v>EDUC-W200</v>
          </cell>
          <cell r="K5118" t="str">
            <v>Glazewski,Krista D.</v>
          </cell>
          <cell r="N5118">
            <v>3.4220000000000002</v>
          </cell>
          <cell r="O5118">
            <v>3.0619999999999998</v>
          </cell>
        </row>
        <row r="5119">
          <cell r="E5119" t="str">
            <v>EDUC</v>
          </cell>
          <cell r="F5119" t="str">
            <v>EDUC-W</v>
          </cell>
          <cell r="G5119">
            <v>200</v>
          </cell>
          <cell r="H5119" t="str">
            <v>EDUC-W200</v>
          </cell>
          <cell r="K5119" t="str">
            <v>Glazewski,Krista D.</v>
          </cell>
          <cell r="N5119">
            <v>3.05</v>
          </cell>
          <cell r="O5119">
            <v>3.0880000000000001</v>
          </cell>
        </row>
        <row r="5120">
          <cell r="E5120" t="str">
            <v>EDUC</v>
          </cell>
          <cell r="F5120" t="str">
            <v>EDUC-W</v>
          </cell>
          <cell r="G5120">
            <v>200</v>
          </cell>
          <cell r="H5120" t="str">
            <v>EDUC-W200</v>
          </cell>
          <cell r="K5120" t="str">
            <v>Glazewski,Krista D.</v>
          </cell>
          <cell r="N5120">
            <v>3.2759999999999998</v>
          </cell>
          <cell r="O5120">
            <v>3.0539999999999998</v>
          </cell>
        </row>
        <row r="5121">
          <cell r="E5121" t="str">
            <v>EDUC</v>
          </cell>
          <cell r="F5121" t="str">
            <v>EDUC-W</v>
          </cell>
          <cell r="G5121">
            <v>200</v>
          </cell>
          <cell r="H5121" t="str">
            <v>EDUC-W200</v>
          </cell>
          <cell r="K5121" t="str">
            <v>Glazewski,Krista D.</v>
          </cell>
          <cell r="N5121">
            <v>3.3330000000000002</v>
          </cell>
          <cell r="O5121">
            <v>3.0760000000000001</v>
          </cell>
        </row>
        <row r="5122">
          <cell r="E5122" t="str">
            <v>EDUC</v>
          </cell>
          <cell r="F5122" t="str">
            <v>EDUC-W</v>
          </cell>
          <cell r="G5122">
            <v>200</v>
          </cell>
          <cell r="H5122" t="str">
            <v>EDUC-W200</v>
          </cell>
          <cell r="K5122" t="str">
            <v>Glazewski,Krista D.</v>
          </cell>
          <cell r="N5122">
            <v>3.411</v>
          </cell>
          <cell r="O5122">
            <v>3.3740000000000001</v>
          </cell>
        </row>
        <row r="5123">
          <cell r="E5123" t="str">
            <v>EDUC</v>
          </cell>
          <cell r="F5123" t="str">
            <v>EDUC-W</v>
          </cell>
          <cell r="G5123">
            <v>200</v>
          </cell>
          <cell r="H5123" t="str">
            <v>EDUC-W200</v>
          </cell>
          <cell r="K5123" t="str">
            <v>Glazewski,Krista D.</v>
          </cell>
          <cell r="N5123">
            <v>3.4180000000000001</v>
          </cell>
          <cell r="O5123">
            <v>3.15</v>
          </cell>
        </row>
        <row r="5124">
          <cell r="E5124" t="str">
            <v>EDUC</v>
          </cell>
          <cell r="F5124" t="str">
            <v>EDUC-W</v>
          </cell>
          <cell r="G5124">
            <v>200</v>
          </cell>
          <cell r="H5124" t="str">
            <v>EDUC-W200</v>
          </cell>
          <cell r="K5124" t="str">
            <v>Glazewski,Krista D.</v>
          </cell>
          <cell r="N5124">
            <v>3.1219999999999999</v>
          </cell>
          <cell r="O5124">
            <v>2.915</v>
          </cell>
        </row>
        <row r="5125">
          <cell r="E5125" t="str">
            <v>EDUC</v>
          </cell>
          <cell r="F5125" t="str">
            <v>EDUC-W</v>
          </cell>
          <cell r="G5125">
            <v>200</v>
          </cell>
          <cell r="H5125" t="str">
            <v>EDUC-W200</v>
          </cell>
          <cell r="K5125" t="str">
            <v>Glazewski,Krista D.</v>
          </cell>
          <cell r="N5125">
            <v>3.5619999999999998</v>
          </cell>
          <cell r="O5125">
            <v>3.012</v>
          </cell>
        </row>
        <row r="5126">
          <cell r="E5126" t="str">
            <v>EDUC</v>
          </cell>
          <cell r="F5126" t="str">
            <v>EDUC-W</v>
          </cell>
          <cell r="G5126">
            <v>200</v>
          </cell>
          <cell r="H5126" t="str">
            <v>EDUC-W200</v>
          </cell>
          <cell r="K5126" t="str">
            <v>Glazewski,Krista D.</v>
          </cell>
          <cell r="N5126">
            <v>3.569</v>
          </cell>
          <cell r="O5126">
            <v>3.0910000000000002</v>
          </cell>
        </row>
        <row r="5127">
          <cell r="E5127" t="str">
            <v>EDUC</v>
          </cell>
          <cell r="F5127" t="str">
            <v>EDUC-W</v>
          </cell>
          <cell r="G5127">
            <v>200</v>
          </cell>
          <cell r="H5127" t="str">
            <v>EDUC-W200</v>
          </cell>
          <cell r="K5127" t="str">
            <v>Glazewski,Krista D.</v>
          </cell>
          <cell r="N5127">
            <v>2.6589999999999998</v>
          </cell>
          <cell r="O5127">
            <v>3.0510000000000002</v>
          </cell>
        </row>
        <row r="5128">
          <cell r="E5128" t="str">
            <v>EDUC</v>
          </cell>
          <cell r="F5128" t="str">
            <v>EDUC-W</v>
          </cell>
          <cell r="G5128">
            <v>200</v>
          </cell>
          <cell r="H5128" t="str">
            <v>EDUC-W200</v>
          </cell>
          <cell r="K5128" t="str">
            <v>Leftwich,Anne Todd</v>
          </cell>
          <cell r="N5128">
            <v>3.11</v>
          </cell>
          <cell r="O5128">
            <v>3.07</v>
          </cell>
        </row>
        <row r="5129">
          <cell r="E5129" t="str">
            <v>EDUC</v>
          </cell>
          <cell r="F5129" t="str">
            <v>EDUC-W</v>
          </cell>
          <cell r="G5129">
            <v>200</v>
          </cell>
          <cell r="H5129" t="str">
            <v>EDUC-W200</v>
          </cell>
          <cell r="K5129" t="str">
            <v>Leftwich,Anne Todd</v>
          </cell>
          <cell r="N5129">
            <v>2.9460000000000002</v>
          </cell>
          <cell r="O5129">
            <v>2.9420000000000002</v>
          </cell>
        </row>
        <row r="5130">
          <cell r="E5130" t="str">
            <v>EDUC</v>
          </cell>
          <cell r="F5130" t="str">
            <v>EDUC-W</v>
          </cell>
          <cell r="G5130">
            <v>200</v>
          </cell>
          <cell r="H5130" t="str">
            <v>EDUC-W200</v>
          </cell>
          <cell r="K5130" t="str">
            <v>Leftwich,Anne Todd</v>
          </cell>
          <cell r="N5130">
            <v>3.423</v>
          </cell>
          <cell r="O5130">
            <v>3.39</v>
          </cell>
        </row>
        <row r="5131">
          <cell r="E5131" t="str">
            <v>EDUC</v>
          </cell>
          <cell r="F5131" t="str">
            <v>EDUC-W</v>
          </cell>
          <cell r="G5131">
            <v>200</v>
          </cell>
          <cell r="H5131" t="str">
            <v>EDUC-W200</v>
          </cell>
          <cell r="K5131" t="str">
            <v>Leftwich,Anne Todd</v>
          </cell>
          <cell r="N5131">
            <v>3.4039999999999999</v>
          </cell>
          <cell r="O5131">
            <v>3.1160000000000001</v>
          </cell>
        </row>
        <row r="5132">
          <cell r="E5132" t="str">
            <v>EDUC</v>
          </cell>
          <cell r="F5132" t="str">
            <v>EDUC-W</v>
          </cell>
          <cell r="G5132">
            <v>200</v>
          </cell>
          <cell r="H5132" t="str">
            <v>EDUC-W200</v>
          </cell>
          <cell r="K5132" t="str">
            <v>Leftwich,Anne Todd</v>
          </cell>
          <cell r="N5132">
            <v>3.129</v>
          </cell>
          <cell r="O5132">
            <v>3.0939999999999999</v>
          </cell>
        </row>
        <row r="5133">
          <cell r="E5133" t="str">
            <v>EDUC</v>
          </cell>
          <cell r="F5133" t="str">
            <v>EDUC-W</v>
          </cell>
          <cell r="G5133">
            <v>200</v>
          </cell>
          <cell r="H5133" t="str">
            <v>EDUC-W200</v>
          </cell>
          <cell r="K5133" t="str">
            <v>Leftwich,Anne Todd</v>
          </cell>
          <cell r="N5133">
            <v>3.4409999999999998</v>
          </cell>
          <cell r="O5133">
            <v>3.0939999999999999</v>
          </cell>
        </row>
        <row r="5134">
          <cell r="E5134" t="str">
            <v>EDUC</v>
          </cell>
          <cell r="F5134" t="str">
            <v>EDUC-W</v>
          </cell>
          <cell r="G5134">
            <v>200</v>
          </cell>
          <cell r="H5134" t="str">
            <v>EDUC-W200</v>
          </cell>
          <cell r="K5134" t="str">
            <v>Leftwich,Anne Todd</v>
          </cell>
          <cell r="N5134">
            <v>3.3679999999999999</v>
          </cell>
          <cell r="O5134">
            <v>3.153</v>
          </cell>
        </row>
        <row r="5135">
          <cell r="E5135" t="str">
            <v>EDUC</v>
          </cell>
          <cell r="F5135" t="str">
            <v>EDUC-W</v>
          </cell>
          <cell r="G5135">
            <v>200</v>
          </cell>
          <cell r="H5135" t="str">
            <v>EDUC-W200</v>
          </cell>
          <cell r="K5135" t="str">
            <v>Leftwich,Anne Todd</v>
          </cell>
          <cell r="N5135">
            <v>3.25</v>
          </cell>
          <cell r="O5135">
            <v>3.1680000000000001</v>
          </cell>
        </row>
        <row r="5136">
          <cell r="E5136" t="str">
            <v>EDUC</v>
          </cell>
          <cell r="F5136" t="str">
            <v>EDUC-W</v>
          </cell>
          <cell r="G5136">
            <v>200</v>
          </cell>
          <cell r="H5136" t="str">
            <v>EDUC-W200</v>
          </cell>
          <cell r="K5136" t="str">
            <v>Leftwich,Anne Todd</v>
          </cell>
          <cell r="N5136">
            <v>3.0819999999999999</v>
          </cell>
          <cell r="O5136">
            <v>3.109</v>
          </cell>
        </row>
        <row r="5137">
          <cell r="E5137" t="str">
            <v>EDUC</v>
          </cell>
          <cell r="F5137" t="str">
            <v>EDUC-W</v>
          </cell>
          <cell r="G5137">
            <v>200</v>
          </cell>
          <cell r="H5137" t="str">
            <v>EDUC-W200</v>
          </cell>
          <cell r="K5137" t="str">
            <v>Leftwich,Anne Todd</v>
          </cell>
          <cell r="N5137">
            <v>3.3929999999999998</v>
          </cell>
          <cell r="O5137">
            <v>3.032</v>
          </cell>
        </row>
        <row r="5138">
          <cell r="E5138" t="str">
            <v>EDUC</v>
          </cell>
          <cell r="F5138" t="str">
            <v>EDUC-W</v>
          </cell>
          <cell r="G5138">
            <v>200</v>
          </cell>
          <cell r="H5138" t="str">
            <v>EDUC-W200</v>
          </cell>
          <cell r="K5138" t="str">
            <v>Leftwich,Anne Todd</v>
          </cell>
          <cell r="N5138">
            <v>2.84</v>
          </cell>
          <cell r="O5138">
            <v>2.9489999999999998</v>
          </cell>
        </row>
        <row r="5139">
          <cell r="E5139" t="str">
            <v>EDUC</v>
          </cell>
          <cell r="F5139" t="str">
            <v>EDUC-W</v>
          </cell>
          <cell r="G5139">
            <v>210</v>
          </cell>
          <cell r="H5139" t="str">
            <v>EDUC-W210</v>
          </cell>
          <cell r="K5139" t="str">
            <v>Leftwich,Anne Todd</v>
          </cell>
          <cell r="N5139">
            <v>3.2450000000000001</v>
          </cell>
          <cell r="O5139">
            <v>3.17</v>
          </cell>
        </row>
        <row r="5140">
          <cell r="E5140" t="str">
            <v>EDUC</v>
          </cell>
          <cell r="F5140" t="str">
            <v>EDUC-W</v>
          </cell>
          <cell r="G5140">
            <v>220</v>
          </cell>
          <cell r="H5140" t="str">
            <v>EDUC-W220</v>
          </cell>
          <cell r="K5140" t="str">
            <v>Modell,Micah Gideon</v>
          </cell>
          <cell r="N5140">
            <v>3.6669999999999998</v>
          </cell>
          <cell r="O5140">
            <v>3.5529999999999999</v>
          </cell>
        </row>
        <row r="5141">
          <cell r="E5141" t="str">
            <v>EDUC</v>
          </cell>
          <cell r="F5141" t="str">
            <v>EDUC-W</v>
          </cell>
          <cell r="G5141">
            <v>310</v>
          </cell>
          <cell r="H5141" t="str">
            <v>EDUC-W310</v>
          </cell>
          <cell r="K5141" t="str">
            <v>Easterling,Wylie Vernon</v>
          </cell>
          <cell r="N5141" t="str">
            <v>NR</v>
          </cell>
          <cell r="O5141" t="str">
            <v>NR</v>
          </cell>
        </row>
        <row r="5142">
          <cell r="E5142" t="str">
            <v>EDUC</v>
          </cell>
          <cell r="F5142" t="str">
            <v>EDUC-W</v>
          </cell>
          <cell r="G5142">
            <v>410</v>
          </cell>
          <cell r="H5142" t="str">
            <v>EDUC-W410</v>
          </cell>
          <cell r="K5142" t="str">
            <v>Brush,Thomas A.</v>
          </cell>
          <cell r="N5142" t="str">
            <v>NR</v>
          </cell>
          <cell r="O5142" t="str">
            <v>NR</v>
          </cell>
        </row>
        <row r="5143">
          <cell r="E5143" t="str">
            <v>EDUC</v>
          </cell>
          <cell r="F5143" t="str">
            <v>EDUC-W</v>
          </cell>
          <cell r="G5143">
            <v>410</v>
          </cell>
          <cell r="H5143" t="str">
            <v>EDUC-W410</v>
          </cell>
          <cell r="K5143" t="str">
            <v>Shedd,Jill Denise</v>
          </cell>
          <cell r="N5143" t="str">
            <v>NR</v>
          </cell>
          <cell r="O5143" t="str">
            <v>NR</v>
          </cell>
        </row>
        <row r="5144">
          <cell r="E5144" t="str">
            <v>EDUC</v>
          </cell>
          <cell r="F5144" t="str">
            <v>EDUC-W</v>
          </cell>
          <cell r="G5144">
            <v>435</v>
          </cell>
          <cell r="H5144" t="str">
            <v>EDUC-W435</v>
          </cell>
          <cell r="K5144" t="str">
            <v>Callison,Matthew</v>
          </cell>
          <cell r="N5144" t="str">
            <v>NR</v>
          </cell>
          <cell r="O5144" t="str">
            <v>NR</v>
          </cell>
        </row>
        <row r="5145">
          <cell r="E5145" t="str">
            <v>EDUC</v>
          </cell>
          <cell r="F5145" t="str">
            <v>EDUC-W</v>
          </cell>
          <cell r="G5145">
            <v>505</v>
          </cell>
          <cell r="H5145" t="str">
            <v>EDUC-W505</v>
          </cell>
          <cell r="K5145" t="str">
            <v>Boling,Elizabeth</v>
          </cell>
          <cell r="N5145" t="str">
            <v>NR</v>
          </cell>
          <cell r="O5145" t="str">
            <v>NR</v>
          </cell>
        </row>
        <row r="5146">
          <cell r="E5146" t="str">
            <v>EDUC</v>
          </cell>
          <cell r="F5146" t="str">
            <v>EDUC-W</v>
          </cell>
          <cell r="G5146">
            <v>505</v>
          </cell>
          <cell r="H5146" t="str">
            <v>EDUC-W505</v>
          </cell>
          <cell r="K5146" t="str">
            <v>Boling,Elizabeth</v>
          </cell>
          <cell r="N5146">
            <v>4</v>
          </cell>
          <cell r="O5146">
            <v>4</v>
          </cell>
        </row>
        <row r="5147">
          <cell r="E5147" t="str">
            <v>EDUC</v>
          </cell>
          <cell r="F5147" t="str">
            <v>EDUC-W</v>
          </cell>
          <cell r="G5147">
            <v>505</v>
          </cell>
          <cell r="H5147" t="str">
            <v>EDUC-W505</v>
          </cell>
          <cell r="K5147" t="str">
            <v>Boling,Elizabeth</v>
          </cell>
          <cell r="N5147" t="str">
            <v>NR</v>
          </cell>
          <cell r="O5147" t="str">
            <v>NR</v>
          </cell>
        </row>
        <row r="5148">
          <cell r="E5148" t="str">
            <v>EDUC</v>
          </cell>
          <cell r="F5148" t="str">
            <v>EDUC-W</v>
          </cell>
          <cell r="G5148">
            <v>505</v>
          </cell>
          <cell r="H5148" t="str">
            <v>EDUC-W505</v>
          </cell>
          <cell r="K5148" t="str">
            <v>Boling,Elizabeth</v>
          </cell>
          <cell r="N5148" t="str">
            <v>NR</v>
          </cell>
          <cell r="O5148" t="str">
            <v>NR</v>
          </cell>
        </row>
        <row r="5149">
          <cell r="E5149" t="str">
            <v>EDUC</v>
          </cell>
          <cell r="F5149" t="str">
            <v>EDUC-W</v>
          </cell>
          <cell r="G5149">
            <v>505</v>
          </cell>
          <cell r="H5149" t="str">
            <v>EDUC-W505</v>
          </cell>
          <cell r="K5149" t="str">
            <v>Boling,Elizabeth</v>
          </cell>
          <cell r="N5149" t="str">
            <v>NR</v>
          </cell>
          <cell r="O5149" t="str">
            <v>NR</v>
          </cell>
        </row>
        <row r="5150">
          <cell r="E5150" t="str">
            <v>EDUC</v>
          </cell>
          <cell r="F5150" t="str">
            <v>EDUC-W</v>
          </cell>
          <cell r="G5150">
            <v>505</v>
          </cell>
          <cell r="H5150" t="str">
            <v>EDUC-W505</v>
          </cell>
          <cell r="K5150" t="str">
            <v>Boling,Elizabeth</v>
          </cell>
          <cell r="N5150">
            <v>4</v>
          </cell>
          <cell r="O5150">
            <v>3.9550000000000001</v>
          </cell>
        </row>
        <row r="5151">
          <cell r="E5151" t="str">
            <v>EDUC</v>
          </cell>
          <cell r="F5151" t="str">
            <v>EDUC-W</v>
          </cell>
          <cell r="G5151">
            <v>505</v>
          </cell>
          <cell r="H5151" t="str">
            <v>EDUC-W505</v>
          </cell>
          <cell r="K5151" t="str">
            <v>Boling,Elizabeth</v>
          </cell>
          <cell r="N5151" t="str">
            <v>NR</v>
          </cell>
          <cell r="O5151" t="str">
            <v>NR</v>
          </cell>
        </row>
        <row r="5152">
          <cell r="E5152" t="str">
            <v>EDUC</v>
          </cell>
          <cell r="F5152" t="str">
            <v>EDUC-W</v>
          </cell>
          <cell r="G5152">
            <v>505</v>
          </cell>
          <cell r="H5152" t="str">
            <v>EDUC-W505</v>
          </cell>
          <cell r="K5152" t="str">
            <v>Boling,Elizabeth</v>
          </cell>
          <cell r="N5152" t="str">
            <v>NR</v>
          </cell>
          <cell r="O5152" t="str">
            <v>NR</v>
          </cell>
        </row>
        <row r="5153">
          <cell r="E5153" t="str">
            <v>EDUC</v>
          </cell>
          <cell r="F5153" t="str">
            <v>EDUC-W</v>
          </cell>
          <cell r="G5153">
            <v>505</v>
          </cell>
          <cell r="H5153" t="str">
            <v>EDUC-W505</v>
          </cell>
          <cell r="K5153" t="str">
            <v>Boling,Elizabeth</v>
          </cell>
          <cell r="N5153" t="str">
            <v>NR</v>
          </cell>
          <cell r="O5153" t="str">
            <v>NR</v>
          </cell>
        </row>
        <row r="5154">
          <cell r="E5154" t="str">
            <v>EDUC</v>
          </cell>
          <cell r="F5154" t="str">
            <v>EDUC-W</v>
          </cell>
          <cell r="G5154">
            <v>505</v>
          </cell>
          <cell r="H5154" t="str">
            <v>EDUC-W505</v>
          </cell>
          <cell r="K5154" t="str">
            <v>Chong,Nora Ji-Young</v>
          </cell>
          <cell r="N5154">
            <v>4</v>
          </cell>
          <cell r="O5154">
            <v>3.9239999999999999</v>
          </cell>
        </row>
        <row r="5155">
          <cell r="E5155" t="str">
            <v>EDUC</v>
          </cell>
          <cell r="F5155" t="str">
            <v>EDUC-W</v>
          </cell>
          <cell r="G5155">
            <v>505</v>
          </cell>
          <cell r="H5155" t="str">
            <v>EDUC-W505</v>
          </cell>
          <cell r="K5155" t="str">
            <v>Chong,Nora Ji-Young</v>
          </cell>
          <cell r="N5155" t="str">
            <v>NR</v>
          </cell>
          <cell r="O5155" t="str">
            <v>NR</v>
          </cell>
        </row>
        <row r="5156">
          <cell r="E5156" t="str">
            <v>EDUC</v>
          </cell>
          <cell r="F5156" t="str">
            <v>EDUC-W</v>
          </cell>
          <cell r="G5156">
            <v>505</v>
          </cell>
          <cell r="H5156" t="str">
            <v>EDUC-W505</v>
          </cell>
          <cell r="K5156" t="str">
            <v>Hallett-Rupp,Karen</v>
          </cell>
          <cell r="N5156" t="str">
            <v>NR</v>
          </cell>
          <cell r="O5156" t="str">
            <v>NR</v>
          </cell>
        </row>
        <row r="5157">
          <cell r="E5157" t="str">
            <v>EDUC</v>
          </cell>
          <cell r="F5157" t="str">
            <v>EDUC-W</v>
          </cell>
          <cell r="G5157">
            <v>505</v>
          </cell>
          <cell r="H5157" t="str">
            <v>EDUC-W505</v>
          </cell>
          <cell r="K5157" t="str">
            <v>Hyatt,Cate Hart</v>
          </cell>
          <cell r="N5157" t="str">
            <v>NR</v>
          </cell>
          <cell r="O5157" t="str">
            <v>NR</v>
          </cell>
        </row>
        <row r="5158">
          <cell r="E5158" t="str">
            <v>EDUC</v>
          </cell>
          <cell r="F5158" t="str">
            <v>EDUC-W</v>
          </cell>
          <cell r="G5158">
            <v>505</v>
          </cell>
          <cell r="H5158" t="str">
            <v>EDUC-W505</v>
          </cell>
          <cell r="K5158" t="str">
            <v>Pratt,Cathy Lynne</v>
          </cell>
          <cell r="N5158" t="str">
            <v>NR</v>
          </cell>
          <cell r="O5158" t="str">
            <v>NR</v>
          </cell>
        </row>
        <row r="5159">
          <cell r="E5159" t="str">
            <v>EDUC</v>
          </cell>
          <cell r="F5159" t="str">
            <v>EDUC-W</v>
          </cell>
          <cell r="G5159">
            <v>505</v>
          </cell>
          <cell r="H5159" t="str">
            <v>EDUC-W505</v>
          </cell>
          <cell r="K5159" t="str">
            <v>Stachowski,Laura L.</v>
          </cell>
          <cell r="N5159">
            <v>3.91</v>
          </cell>
          <cell r="O5159">
            <v>3.556</v>
          </cell>
        </row>
        <row r="5160">
          <cell r="E5160" t="str">
            <v>EDUC</v>
          </cell>
          <cell r="F5160" t="str">
            <v>EDUC-W</v>
          </cell>
          <cell r="G5160">
            <v>505</v>
          </cell>
          <cell r="H5160" t="str">
            <v>EDUC-W505</v>
          </cell>
          <cell r="K5160" t="str">
            <v>Stachowski,Laura L.</v>
          </cell>
          <cell r="N5160">
            <v>3.7549999999999999</v>
          </cell>
          <cell r="O5160">
            <v>3.3759999999999999</v>
          </cell>
        </row>
        <row r="5161">
          <cell r="E5161" t="str">
            <v>EDUC</v>
          </cell>
          <cell r="F5161" t="str">
            <v>EDUC-W</v>
          </cell>
          <cell r="G5161">
            <v>505</v>
          </cell>
          <cell r="H5161" t="str">
            <v>EDUC-W505</v>
          </cell>
          <cell r="K5161" t="str">
            <v>Watson,Thomas William</v>
          </cell>
          <cell r="N5161" t="str">
            <v>NR</v>
          </cell>
          <cell r="O5161" t="str">
            <v>NR</v>
          </cell>
        </row>
        <row r="5162">
          <cell r="E5162" t="str">
            <v>EDUC</v>
          </cell>
          <cell r="F5162" t="str">
            <v>EDUC-W</v>
          </cell>
          <cell r="G5162">
            <v>505</v>
          </cell>
          <cell r="H5162" t="str">
            <v>EDUC-W505</v>
          </cell>
          <cell r="K5162" t="str">
            <v>Watson,Thomas William</v>
          </cell>
          <cell r="N5162" t="str">
            <v>NR</v>
          </cell>
          <cell r="O5162" t="str">
            <v>NR</v>
          </cell>
        </row>
        <row r="5163">
          <cell r="E5163" t="str">
            <v>EDUC</v>
          </cell>
          <cell r="F5163" t="str">
            <v>EDUC-W</v>
          </cell>
          <cell r="G5163">
            <v>505</v>
          </cell>
          <cell r="H5163" t="str">
            <v>EDUC-W505</v>
          </cell>
          <cell r="K5163" t="str">
            <v>Watson,Thomas William</v>
          </cell>
          <cell r="N5163" t="str">
            <v>NR</v>
          </cell>
          <cell r="O5163" t="str">
            <v>NR</v>
          </cell>
        </row>
        <row r="5164">
          <cell r="E5164" t="str">
            <v>EDUC</v>
          </cell>
          <cell r="F5164" t="str">
            <v>EDUC-W</v>
          </cell>
          <cell r="G5164">
            <v>505</v>
          </cell>
          <cell r="H5164" t="str">
            <v>EDUC-W505</v>
          </cell>
          <cell r="K5164" t="str">
            <v>Watson,Thomas William</v>
          </cell>
          <cell r="N5164">
            <v>4</v>
          </cell>
          <cell r="O5164">
            <v>3.891</v>
          </cell>
        </row>
        <row r="5165">
          <cell r="E5165" t="str">
            <v>EDUC</v>
          </cell>
          <cell r="F5165" t="str">
            <v>EDUC-W</v>
          </cell>
          <cell r="G5165">
            <v>505</v>
          </cell>
          <cell r="H5165" t="str">
            <v>EDUC-W505</v>
          </cell>
          <cell r="K5165" t="str">
            <v>Watson,Thomas William</v>
          </cell>
          <cell r="N5165" t="str">
            <v>NR</v>
          </cell>
          <cell r="O5165" t="str">
            <v>NR</v>
          </cell>
        </row>
        <row r="5166">
          <cell r="E5166" t="str">
            <v>EDUC</v>
          </cell>
          <cell r="F5166" t="str">
            <v>EDUC-X</v>
          </cell>
          <cell r="G5166">
            <v>101</v>
          </cell>
          <cell r="H5166" t="str">
            <v>EDUC-X101</v>
          </cell>
          <cell r="K5166" t="str">
            <v>Fisher,Adam</v>
          </cell>
          <cell r="N5166">
            <v>3.4830000000000001</v>
          </cell>
          <cell r="O5166">
            <v>2.4380000000000002</v>
          </cell>
        </row>
        <row r="5167">
          <cell r="E5167" t="str">
            <v>EDUC</v>
          </cell>
          <cell r="F5167" t="str">
            <v>EDUC-X</v>
          </cell>
          <cell r="G5167">
            <v>101</v>
          </cell>
          <cell r="H5167" t="str">
            <v>EDUC-X101</v>
          </cell>
          <cell r="K5167" t="str">
            <v>Fisher,Adam</v>
          </cell>
          <cell r="N5167" t="str">
            <v>NR</v>
          </cell>
          <cell r="O5167" t="str">
            <v>NR</v>
          </cell>
        </row>
        <row r="5168">
          <cell r="E5168" t="str">
            <v>EDUC</v>
          </cell>
          <cell r="F5168" t="str">
            <v>EDUC-X</v>
          </cell>
          <cell r="G5168">
            <v>101</v>
          </cell>
          <cell r="H5168" t="str">
            <v>EDUC-X101</v>
          </cell>
          <cell r="K5168" t="str">
            <v>Millen,Jordan T</v>
          </cell>
          <cell r="N5168">
            <v>3.0529999999999999</v>
          </cell>
          <cell r="O5168">
            <v>2.552</v>
          </cell>
        </row>
        <row r="5169">
          <cell r="E5169" t="str">
            <v>EDUC</v>
          </cell>
          <cell r="F5169" t="str">
            <v>EDUC-X</v>
          </cell>
          <cell r="G5169">
            <v>101</v>
          </cell>
          <cell r="H5169" t="str">
            <v>EDUC-X101</v>
          </cell>
          <cell r="K5169" t="str">
            <v>Millen,Jordan T</v>
          </cell>
          <cell r="N5169">
            <v>3.5350000000000001</v>
          </cell>
          <cell r="O5169">
            <v>2.76</v>
          </cell>
        </row>
        <row r="5170">
          <cell r="E5170" t="str">
            <v>EDUC</v>
          </cell>
          <cell r="F5170" t="str">
            <v>EDUC-X</v>
          </cell>
          <cell r="G5170">
            <v>101</v>
          </cell>
          <cell r="H5170" t="str">
            <v>EDUC-X101</v>
          </cell>
          <cell r="K5170" t="str">
            <v>Rees,Kristoffer Michael</v>
          </cell>
          <cell r="N5170">
            <v>3.46</v>
          </cell>
          <cell r="O5170">
            <v>2.8650000000000002</v>
          </cell>
        </row>
        <row r="5171">
          <cell r="E5171" t="str">
            <v>EDUC</v>
          </cell>
          <cell r="F5171" t="str">
            <v>EDUC-X</v>
          </cell>
          <cell r="G5171">
            <v>101</v>
          </cell>
          <cell r="H5171" t="str">
            <v>EDUC-X101</v>
          </cell>
          <cell r="K5171" t="str">
            <v>Rees,Kristoffer Michael</v>
          </cell>
          <cell r="N5171">
            <v>3.1429999999999998</v>
          </cell>
          <cell r="O5171">
            <v>2.472</v>
          </cell>
        </row>
        <row r="5172">
          <cell r="E5172" t="str">
            <v>EDUC</v>
          </cell>
          <cell r="F5172" t="str">
            <v>EDUC-X</v>
          </cell>
          <cell r="G5172">
            <v>101</v>
          </cell>
          <cell r="H5172" t="str">
            <v>EDUC-X101</v>
          </cell>
          <cell r="K5172" t="str">
            <v>Rees,Kristoffer Michael</v>
          </cell>
          <cell r="N5172" t="str">
            <v>NR</v>
          </cell>
          <cell r="O5172" t="str">
            <v>NR</v>
          </cell>
        </row>
        <row r="5173">
          <cell r="E5173" t="str">
            <v>EDUC</v>
          </cell>
          <cell r="F5173" t="str">
            <v>EDUC-X</v>
          </cell>
          <cell r="G5173">
            <v>101</v>
          </cell>
          <cell r="H5173" t="str">
            <v>EDUC-X101</v>
          </cell>
          <cell r="K5173" t="str">
            <v>Rees,Kristoffer Michael</v>
          </cell>
          <cell r="N5173">
            <v>2.3860000000000001</v>
          </cell>
          <cell r="O5173">
            <v>2.25</v>
          </cell>
        </row>
        <row r="5174">
          <cell r="E5174" t="str">
            <v>EDUC</v>
          </cell>
          <cell r="F5174" t="str">
            <v>EDUC-X</v>
          </cell>
          <cell r="G5174">
            <v>150</v>
          </cell>
          <cell r="H5174" t="str">
            <v>EDUC-X150</v>
          </cell>
          <cell r="K5174" t="str">
            <v>Anklin,Michael Philipp</v>
          </cell>
          <cell r="N5174">
            <v>3.1110000000000002</v>
          </cell>
          <cell r="O5174">
            <v>2.6019999999999999</v>
          </cell>
        </row>
        <row r="5175">
          <cell r="E5175" t="str">
            <v>EDUC</v>
          </cell>
          <cell r="F5175" t="str">
            <v>EDUC-X</v>
          </cell>
          <cell r="G5175">
            <v>150</v>
          </cell>
          <cell r="H5175" t="str">
            <v>EDUC-X150</v>
          </cell>
          <cell r="K5175" t="str">
            <v>Anklin,Michael Philipp</v>
          </cell>
          <cell r="N5175">
            <v>3.5169999999999999</v>
          </cell>
          <cell r="O5175">
            <v>3.1</v>
          </cell>
        </row>
        <row r="5176">
          <cell r="E5176" t="str">
            <v>EDUC</v>
          </cell>
          <cell r="F5176" t="str">
            <v>EDUC-X</v>
          </cell>
          <cell r="G5176">
            <v>150</v>
          </cell>
          <cell r="H5176" t="str">
            <v>EDUC-X150</v>
          </cell>
          <cell r="K5176" t="str">
            <v>Anklin,Michael Philipp</v>
          </cell>
          <cell r="N5176">
            <v>3.0579999999999998</v>
          </cell>
          <cell r="O5176">
            <v>2.891</v>
          </cell>
        </row>
        <row r="5177">
          <cell r="E5177" t="str">
            <v>EDUC</v>
          </cell>
          <cell r="F5177" t="str">
            <v>EDUC-X</v>
          </cell>
          <cell r="G5177">
            <v>150</v>
          </cell>
          <cell r="H5177" t="str">
            <v>EDUC-X150</v>
          </cell>
          <cell r="K5177" t="str">
            <v>Anklin,Michael Philipp</v>
          </cell>
          <cell r="N5177">
            <v>3.0880000000000001</v>
          </cell>
          <cell r="O5177">
            <v>2.5270000000000001</v>
          </cell>
        </row>
        <row r="5178">
          <cell r="E5178" t="str">
            <v>EDUC</v>
          </cell>
          <cell r="F5178" t="str">
            <v>EDUC-X</v>
          </cell>
          <cell r="G5178">
            <v>150</v>
          </cell>
          <cell r="H5178" t="str">
            <v>EDUC-X150</v>
          </cell>
          <cell r="K5178" t="str">
            <v>Anklin,Michael Philipp</v>
          </cell>
          <cell r="N5178">
            <v>3.45</v>
          </cell>
          <cell r="O5178">
            <v>2.3050000000000002</v>
          </cell>
        </row>
        <row r="5179">
          <cell r="E5179" t="str">
            <v>EDUC</v>
          </cell>
          <cell r="F5179" t="str">
            <v>EDUC-X</v>
          </cell>
          <cell r="G5179">
            <v>150</v>
          </cell>
          <cell r="H5179" t="str">
            <v>EDUC-X150</v>
          </cell>
          <cell r="K5179" t="str">
            <v>Anklin,Michael Philipp</v>
          </cell>
          <cell r="N5179">
            <v>3.1320000000000001</v>
          </cell>
          <cell r="O5179">
            <v>2.2050000000000001</v>
          </cell>
        </row>
        <row r="5180">
          <cell r="E5180" t="str">
            <v>EDUC</v>
          </cell>
          <cell r="F5180" t="str">
            <v>EDUC-X</v>
          </cell>
          <cell r="G5180">
            <v>150</v>
          </cell>
          <cell r="H5180" t="str">
            <v>EDUC-X150</v>
          </cell>
          <cell r="K5180" t="str">
            <v>Anklin,Michael Philipp</v>
          </cell>
          <cell r="N5180">
            <v>2.637</v>
          </cell>
          <cell r="O5180">
            <v>2.2109999999999999</v>
          </cell>
        </row>
        <row r="5181">
          <cell r="E5181" t="str">
            <v>EDUC</v>
          </cell>
          <cell r="F5181" t="str">
            <v>EDUC-X</v>
          </cell>
          <cell r="G5181">
            <v>150</v>
          </cell>
          <cell r="H5181" t="str">
            <v>EDUC-X150</v>
          </cell>
          <cell r="K5181" t="str">
            <v>Anklin,Michael Philipp</v>
          </cell>
          <cell r="N5181">
            <v>3.4</v>
          </cell>
          <cell r="O5181">
            <v>2.85</v>
          </cell>
        </row>
        <row r="5182">
          <cell r="E5182" t="str">
            <v>EDUC</v>
          </cell>
          <cell r="F5182" t="str">
            <v>EDUC-X</v>
          </cell>
          <cell r="G5182">
            <v>150</v>
          </cell>
          <cell r="H5182" t="str">
            <v>EDUC-X150</v>
          </cell>
          <cell r="K5182" t="str">
            <v>Banerjee,Vasabjit</v>
          </cell>
          <cell r="N5182">
            <v>3.339</v>
          </cell>
          <cell r="O5182">
            <v>2.286</v>
          </cell>
        </row>
        <row r="5183">
          <cell r="E5183" t="str">
            <v>EDUC</v>
          </cell>
          <cell r="F5183" t="str">
            <v>EDUC-X</v>
          </cell>
          <cell r="G5183">
            <v>150</v>
          </cell>
          <cell r="H5183" t="str">
            <v>EDUC-X150</v>
          </cell>
          <cell r="K5183" t="str">
            <v>Banerjee,Vasabjit</v>
          </cell>
          <cell r="N5183">
            <v>2.867</v>
          </cell>
          <cell r="O5183">
            <v>2.1070000000000002</v>
          </cell>
        </row>
        <row r="5184">
          <cell r="E5184" t="str">
            <v>EDUC</v>
          </cell>
          <cell r="F5184" t="str">
            <v>EDUC-X</v>
          </cell>
          <cell r="G5184">
            <v>150</v>
          </cell>
          <cell r="H5184" t="str">
            <v>EDUC-X150</v>
          </cell>
          <cell r="K5184" t="str">
            <v>Banerjee,Vasabjit</v>
          </cell>
          <cell r="N5184">
            <v>2.2200000000000002</v>
          </cell>
          <cell r="O5184">
            <v>2.1440000000000001</v>
          </cell>
        </row>
        <row r="5185">
          <cell r="E5185" t="str">
            <v>EDUC</v>
          </cell>
          <cell r="F5185" t="str">
            <v>EDUC-X</v>
          </cell>
          <cell r="G5185">
            <v>150</v>
          </cell>
          <cell r="H5185" t="str">
            <v>EDUC-X150</v>
          </cell>
          <cell r="K5185" t="str">
            <v>Banerjee,Vasabjit</v>
          </cell>
          <cell r="N5185">
            <v>2.7890000000000001</v>
          </cell>
          <cell r="O5185">
            <v>2.3079999999999998</v>
          </cell>
        </row>
        <row r="5186">
          <cell r="E5186" t="str">
            <v>EDUC</v>
          </cell>
          <cell r="F5186" t="str">
            <v>EDUC-X</v>
          </cell>
          <cell r="G5186">
            <v>150</v>
          </cell>
          <cell r="H5186" t="str">
            <v>EDUC-X150</v>
          </cell>
          <cell r="K5186" t="str">
            <v>Freeland,Sally Scott</v>
          </cell>
          <cell r="N5186">
            <v>2.8530000000000002</v>
          </cell>
          <cell r="O5186">
            <v>2.3559999999999999</v>
          </cell>
        </row>
        <row r="5187">
          <cell r="E5187" t="str">
            <v>EDUC</v>
          </cell>
          <cell r="F5187" t="str">
            <v>EDUC-X</v>
          </cell>
          <cell r="G5187">
            <v>150</v>
          </cell>
          <cell r="H5187" t="str">
            <v>EDUC-X150</v>
          </cell>
          <cell r="K5187" t="str">
            <v>Freeland,Sally Scott</v>
          </cell>
          <cell r="N5187">
            <v>2.7709999999999999</v>
          </cell>
          <cell r="O5187">
            <v>2.0950000000000002</v>
          </cell>
        </row>
        <row r="5188">
          <cell r="E5188" t="str">
            <v>EDUC</v>
          </cell>
          <cell r="F5188" t="str">
            <v>EDUC-X</v>
          </cell>
          <cell r="G5188">
            <v>150</v>
          </cell>
          <cell r="H5188" t="str">
            <v>EDUC-X150</v>
          </cell>
          <cell r="K5188" t="str">
            <v>Freeland,Sally Scott</v>
          </cell>
          <cell r="N5188">
            <v>2.3679999999999999</v>
          </cell>
          <cell r="O5188">
            <v>2.0859999999999999</v>
          </cell>
        </row>
        <row r="5189">
          <cell r="E5189" t="str">
            <v>EDUC</v>
          </cell>
          <cell r="F5189" t="str">
            <v>EDUC-X</v>
          </cell>
          <cell r="G5189">
            <v>150</v>
          </cell>
          <cell r="H5189" t="str">
            <v>EDUC-X150</v>
          </cell>
          <cell r="K5189" t="str">
            <v>Freeland,Sally Scott</v>
          </cell>
          <cell r="N5189">
            <v>3.0830000000000002</v>
          </cell>
          <cell r="O5189">
            <v>2.69</v>
          </cell>
        </row>
        <row r="5190">
          <cell r="E5190" t="str">
            <v>EDUC</v>
          </cell>
          <cell r="F5190" t="str">
            <v>EDUC-X</v>
          </cell>
          <cell r="G5190">
            <v>150</v>
          </cell>
          <cell r="H5190" t="str">
            <v>EDUC-X150</v>
          </cell>
          <cell r="K5190" t="str">
            <v>Goldstein,Kathryn Elizabeth</v>
          </cell>
          <cell r="N5190">
            <v>3.6389999999999998</v>
          </cell>
          <cell r="O5190">
            <v>2.7629999999999999</v>
          </cell>
        </row>
        <row r="5191">
          <cell r="E5191" t="str">
            <v>EDUC</v>
          </cell>
          <cell r="F5191" t="str">
            <v>EDUC-X</v>
          </cell>
          <cell r="G5191">
            <v>150</v>
          </cell>
          <cell r="H5191" t="str">
            <v>EDUC-X150</v>
          </cell>
          <cell r="K5191" t="str">
            <v>Goldstein,Kathryn Elizabeth</v>
          </cell>
          <cell r="N5191">
            <v>3.5110000000000001</v>
          </cell>
          <cell r="O5191">
            <v>2.9550000000000001</v>
          </cell>
        </row>
        <row r="5192">
          <cell r="E5192" t="str">
            <v>EDUC</v>
          </cell>
          <cell r="F5192" t="str">
            <v>EDUC-X</v>
          </cell>
          <cell r="G5192">
            <v>150</v>
          </cell>
          <cell r="H5192" t="str">
            <v>EDUC-X150</v>
          </cell>
          <cell r="K5192" t="str">
            <v>Goldstein,Kathryn Elizabeth</v>
          </cell>
          <cell r="N5192">
            <v>3.169</v>
          </cell>
          <cell r="O5192">
            <v>2.5310000000000001</v>
          </cell>
        </row>
        <row r="5193">
          <cell r="E5193" t="str">
            <v>EDUC</v>
          </cell>
          <cell r="F5193" t="str">
            <v>EDUC-X</v>
          </cell>
          <cell r="G5193">
            <v>150</v>
          </cell>
          <cell r="H5193" t="str">
            <v>EDUC-X150</v>
          </cell>
          <cell r="K5193" t="str">
            <v>Goldstein,Kathryn Elizabeth</v>
          </cell>
          <cell r="N5193">
            <v>3.5059999999999998</v>
          </cell>
          <cell r="O5193">
            <v>2.0950000000000002</v>
          </cell>
        </row>
        <row r="5194">
          <cell r="E5194" t="str">
            <v>EDUC</v>
          </cell>
          <cell r="F5194" t="str">
            <v>EDUC-X</v>
          </cell>
          <cell r="G5194">
            <v>150</v>
          </cell>
          <cell r="H5194" t="str">
            <v>EDUC-X150</v>
          </cell>
          <cell r="K5194" t="str">
            <v>Goldstein,Kathryn Elizabeth</v>
          </cell>
          <cell r="N5194">
            <v>3.093</v>
          </cell>
          <cell r="O5194">
            <v>1.883</v>
          </cell>
        </row>
        <row r="5195">
          <cell r="E5195" t="str">
            <v>EDUC</v>
          </cell>
          <cell r="F5195" t="str">
            <v>EDUC-X</v>
          </cell>
          <cell r="G5195">
            <v>150</v>
          </cell>
          <cell r="H5195" t="str">
            <v>EDUC-X150</v>
          </cell>
          <cell r="K5195" t="str">
            <v>Goldstein,Kathryn Elizabeth</v>
          </cell>
          <cell r="N5195">
            <v>2.5609999999999999</v>
          </cell>
          <cell r="O5195">
            <v>2.1280000000000001</v>
          </cell>
        </row>
        <row r="5196">
          <cell r="E5196" t="str">
            <v>EDUC</v>
          </cell>
          <cell r="F5196" t="str">
            <v>EDUC-X</v>
          </cell>
          <cell r="G5196">
            <v>150</v>
          </cell>
          <cell r="H5196" t="str">
            <v>EDUC-X150</v>
          </cell>
          <cell r="K5196" t="str">
            <v>Goldstein,Kathryn Elizabeth</v>
          </cell>
          <cell r="N5196">
            <v>2.7709999999999999</v>
          </cell>
          <cell r="O5196">
            <v>2.2730000000000001</v>
          </cell>
        </row>
        <row r="5197">
          <cell r="E5197" t="str">
            <v>EDUC</v>
          </cell>
          <cell r="F5197" t="str">
            <v>EDUC-X</v>
          </cell>
          <cell r="G5197">
            <v>150</v>
          </cell>
          <cell r="H5197" t="str">
            <v>EDUC-X150</v>
          </cell>
          <cell r="K5197" t="str">
            <v>Johnson Searcy,Julie</v>
          </cell>
          <cell r="N5197">
            <v>3.3860000000000001</v>
          </cell>
          <cell r="O5197">
            <v>2.0699999999999998</v>
          </cell>
        </row>
        <row r="5198">
          <cell r="E5198" t="str">
            <v>EDUC</v>
          </cell>
          <cell r="F5198" t="str">
            <v>EDUC-X</v>
          </cell>
          <cell r="G5198">
            <v>150</v>
          </cell>
          <cell r="H5198" t="str">
            <v>EDUC-X150</v>
          </cell>
          <cell r="K5198" t="str">
            <v>Johnson Searcy,Julie</v>
          </cell>
          <cell r="N5198">
            <v>3.6840000000000002</v>
          </cell>
          <cell r="O5198">
            <v>2.9620000000000002</v>
          </cell>
        </row>
        <row r="5199">
          <cell r="E5199" t="str">
            <v>EDUC</v>
          </cell>
          <cell r="F5199" t="str">
            <v>EDUC-X</v>
          </cell>
          <cell r="G5199">
            <v>150</v>
          </cell>
          <cell r="H5199" t="str">
            <v>EDUC-X150</v>
          </cell>
          <cell r="K5199" t="str">
            <v>Johnson Searcy,Julie</v>
          </cell>
          <cell r="N5199">
            <v>3.3</v>
          </cell>
          <cell r="O5199">
            <v>2.883</v>
          </cell>
        </row>
        <row r="5200">
          <cell r="E5200" t="str">
            <v>EDUC</v>
          </cell>
          <cell r="F5200" t="str">
            <v>EDUC-X</v>
          </cell>
          <cell r="G5200">
            <v>150</v>
          </cell>
          <cell r="H5200" t="str">
            <v>EDUC-X150</v>
          </cell>
          <cell r="K5200" t="str">
            <v>Johnson Searcy,Julie</v>
          </cell>
          <cell r="N5200">
            <v>3.3940000000000001</v>
          </cell>
          <cell r="O5200">
            <v>2.706</v>
          </cell>
        </row>
        <row r="5201">
          <cell r="E5201" t="str">
            <v>EDUC</v>
          </cell>
          <cell r="F5201" t="str">
            <v>EDUC-X</v>
          </cell>
          <cell r="G5201">
            <v>150</v>
          </cell>
          <cell r="H5201" t="str">
            <v>EDUC-X150</v>
          </cell>
          <cell r="K5201" t="str">
            <v>Kersulov,Michael Lee</v>
          </cell>
          <cell r="N5201">
            <v>3.0590000000000002</v>
          </cell>
          <cell r="O5201">
            <v>2.5920000000000001</v>
          </cell>
        </row>
        <row r="5202">
          <cell r="E5202" t="str">
            <v>EDUC</v>
          </cell>
          <cell r="F5202" t="str">
            <v>EDUC-X</v>
          </cell>
          <cell r="G5202">
            <v>150</v>
          </cell>
          <cell r="H5202" t="str">
            <v>EDUC-X150</v>
          </cell>
          <cell r="K5202" t="str">
            <v>Kersulov,Michael Lee</v>
          </cell>
          <cell r="N5202">
            <v>3.4380000000000002</v>
          </cell>
          <cell r="O5202">
            <v>2.7290000000000001</v>
          </cell>
        </row>
        <row r="5203">
          <cell r="E5203" t="str">
            <v>EDUC</v>
          </cell>
          <cell r="F5203" t="str">
            <v>EDUC-X</v>
          </cell>
          <cell r="G5203">
            <v>150</v>
          </cell>
          <cell r="H5203" t="str">
            <v>EDUC-X150</v>
          </cell>
          <cell r="K5203" t="str">
            <v>Kersulov,Michael Lee</v>
          </cell>
          <cell r="N5203">
            <v>3.4889999999999999</v>
          </cell>
          <cell r="O5203">
            <v>2.4750000000000001</v>
          </cell>
        </row>
        <row r="5204">
          <cell r="E5204" t="str">
            <v>EDUC</v>
          </cell>
          <cell r="F5204" t="str">
            <v>EDUC-X</v>
          </cell>
          <cell r="G5204">
            <v>150</v>
          </cell>
          <cell r="H5204" t="str">
            <v>EDUC-X150</v>
          </cell>
          <cell r="K5204" t="str">
            <v>Kersulov,Michael Lee</v>
          </cell>
          <cell r="N5204">
            <v>3.3260000000000001</v>
          </cell>
          <cell r="O5204">
            <v>2.8029999999999999</v>
          </cell>
        </row>
        <row r="5205">
          <cell r="E5205" t="str">
            <v>EDUC</v>
          </cell>
          <cell r="F5205" t="str">
            <v>EDUC-X</v>
          </cell>
          <cell r="G5205">
            <v>150</v>
          </cell>
          <cell r="H5205" t="str">
            <v>EDUC-X150</v>
          </cell>
          <cell r="K5205" t="str">
            <v>Medina,Lindsay Kerrigan</v>
          </cell>
          <cell r="N5205">
            <v>3.2930000000000001</v>
          </cell>
          <cell r="O5205">
            <v>2.1819999999999999</v>
          </cell>
        </row>
        <row r="5206">
          <cell r="E5206" t="str">
            <v>EDUC</v>
          </cell>
          <cell r="F5206" t="str">
            <v>EDUC-X</v>
          </cell>
          <cell r="G5206">
            <v>150</v>
          </cell>
          <cell r="H5206" t="str">
            <v>EDUC-X150</v>
          </cell>
          <cell r="K5206" t="str">
            <v>Medina,Lindsay Kerrigan</v>
          </cell>
          <cell r="N5206">
            <v>3.5880000000000001</v>
          </cell>
          <cell r="O5206">
            <v>2.681</v>
          </cell>
        </row>
        <row r="5207">
          <cell r="E5207" t="str">
            <v>EDUC</v>
          </cell>
          <cell r="F5207" t="str">
            <v>EDUC-X</v>
          </cell>
          <cell r="G5207">
            <v>150</v>
          </cell>
          <cell r="H5207" t="str">
            <v>EDUC-X150</v>
          </cell>
          <cell r="K5207" t="str">
            <v>Medina,Lindsay Kerrigan</v>
          </cell>
          <cell r="N5207">
            <v>3.2559999999999998</v>
          </cell>
          <cell r="O5207">
            <v>2.206</v>
          </cell>
        </row>
        <row r="5208">
          <cell r="E5208" t="str">
            <v>EDUC</v>
          </cell>
          <cell r="F5208" t="str">
            <v>EDUC-X</v>
          </cell>
          <cell r="G5208">
            <v>150</v>
          </cell>
          <cell r="H5208" t="str">
            <v>EDUC-X150</v>
          </cell>
          <cell r="K5208" t="str">
            <v>Medina,Lindsay Kerrigan</v>
          </cell>
          <cell r="N5208">
            <v>2.8260000000000001</v>
          </cell>
          <cell r="O5208">
            <v>2.5369999999999999</v>
          </cell>
        </row>
        <row r="5209">
          <cell r="E5209" t="str">
            <v>EDUC</v>
          </cell>
          <cell r="F5209" t="str">
            <v>EDUC-X</v>
          </cell>
          <cell r="G5209">
            <v>152</v>
          </cell>
          <cell r="H5209" t="str">
            <v>EDUC-X152</v>
          </cell>
          <cell r="K5209" t="str">
            <v>Fisher,Adam</v>
          </cell>
          <cell r="N5209">
            <v>3.2919999999999998</v>
          </cell>
          <cell r="O5209">
            <v>2.8450000000000002</v>
          </cell>
        </row>
        <row r="5210">
          <cell r="E5210" t="str">
            <v>EDUC</v>
          </cell>
          <cell r="F5210" t="str">
            <v>EDUC-X</v>
          </cell>
          <cell r="G5210">
            <v>152</v>
          </cell>
          <cell r="H5210" t="str">
            <v>EDUC-X152</v>
          </cell>
          <cell r="K5210" t="str">
            <v>Fisher,Adam</v>
          </cell>
          <cell r="N5210" t="str">
            <v>NR</v>
          </cell>
          <cell r="O5210" t="str">
            <v>NR</v>
          </cell>
        </row>
        <row r="5211">
          <cell r="E5211" t="str">
            <v>EDUC</v>
          </cell>
          <cell r="F5211" t="str">
            <v>EDUC-X</v>
          </cell>
          <cell r="G5211">
            <v>152</v>
          </cell>
          <cell r="H5211" t="str">
            <v>EDUC-X152</v>
          </cell>
          <cell r="K5211" t="str">
            <v>Goldstein,Kathryn Elizabeth</v>
          </cell>
          <cell r="N5211" t="str">
            <v>NR</v>
          </cell>
          <cell r="O5211" t="str">
            <v>NR</v>
          </cell>
        </row>
        <row r="5212">
          <cell r="E5212" t="str">
            <v>EDUC</v>
          </cell>
          <cell r="F5212" t="str">
            <v>EDUC-X</v>
          </cell>
          <cell r="G5212">
            <v>152</v>
          </cell>
          <cell r="H5212" t="str">
            <v>EDUC-X152</v>
          </cell>
          <cell r="K5212" t="str">
            <v>Halterman,Aaron Wesley</v>
          </cell>
          <cell r="N5212">
            <v>3.1629999999999998</v>
          </cell>
          <cell r="O5212">
            <v>2.5720000000000001</v>
          </cell>
        </row>
        <row r="5213">
          <cell r="E5213" t="str">
            <v>EDUC</v>
          </cell>
          <cell r="F5213" t="str">
            <v>EDUC-X</v>
          </cell>
          <cell r="G5213">
            <v>152</v>
          </cell>
          <cell r="H5213" t="str">
            <v>EDUC-X152</v>
          </cell>
          <cell r="K5213" t="str">
            <v>Halterman,Aaron Wesley</v>
          </cell>
          <cell r="N5213">
            <v>2.8180000000000001</v>
          </cell>
          <cell r="O5213">
            <v>2.5499999999999998</v>
          </cell>
        </row>
        <row r="5214">
          <cell r="E5214" t="str">
            <v>EDUC</v>
          </cell>
          <cell r="F5214" t="str">
            <v>EDUC-X</v>
          </cell>
          <cell r="G5214">
            <v>152</v>
          </cell>
          <cell r="H5214" t="str">
            <v>EDUC-X152</v>
          </cell>
          <cell r="K5214" t="str">
            <v>Koke,Andrew Michael</v>
          </cell>
          <cell r="N5214">
            <v>3.5249999999999999</v>
          </cell>
          <cell r="O5214">
            <v>2.625</v>
          </cell>
        </row>
        <row r="5215">
          <cell r="E5215" t="str">
            <v>EDUC</v>
          </cell>
          <cell r="F5215" t="str">
            <v>EDUC-X</v>
          </cell>
          <cell r="G5215">
            <v>152</v>
          </cell>
          <cell r="H5215" t="str">
            <v>EDUC-X152</v>
          </cell>
          <cell r="K5215" t="str">
            <v>Koke,Andrew Michael</v>
          </cell>
          <cell r="N5215">
            <v>3.5609999999999999</v>
          </cell>
          <cell r="O5215">
            <v>3.0510000000000002</v>
          </cell>
        </row>
        <row r="5216">
          <cell r="E5216" t="str">
            <v>EDUC</v>
          </cell>
          <cell r="F5216" t="str">
            <v>EDUC-X</v>
          </cell>
          <cell r="G5216">
            <v>152</v>
          </cell>
          <cell r="H5216" t="str">
            <v>EDUC-X152</v>
          </cell>
          <cell r="K5216" t="str">
            <v>McGinn,Ashley</v>
          </cell>
          <cell r="N5216">
            <v>3.7749999999999999</v>
          </cell>
          <cell r="O5216">
            <v>3.016</v>
          </cell>
        </row>
        <row r="5217">
          <cell r="E5217" t="str">
            <v>EDUC</v>
          </cell>
          <cell r="F5217" t="str">
            <v>EDUC-X</v>
          </cell>
          <cell r="G5217">
            <v>152</v>
          </cell>
          <cell r="H5217" t="str">
            <v>EDUC-X152</v>
          </cell>
          <cell r="K5217" t="str">
            <v>McGinn,Ashley</v>
          </cell>
          <cell r="N5217">
            <v>3.6920000000000002</v>
          </cell>
          <cell r="O5217">
            <v>3.2160000000000002</v>
          </cell>
        </row>
        <row r="5218">
          <cell r="E5218" t="str">
            <v>EDUC</v>
          </cell>
          <cell r="F5218" t="str">
            <v>EDUC-X</v>
          </cell>
          <cell r="G5218">
            <v>152</v>
          </cell>
          <cell r="H5218" t="str">
            <v>EDUC-X152</v>
          </cell>
          <cell r="K5218" t="str">
            <v>McGinn,Ashley</v>
          </cell>
          <cell r="N5218">
            <v>2.8580000000000001</v>
          </cell>
          <cell r="O5218">
            <v>2.903</v>
          </cell>
        </row>
        <row r="5219">
          <cell r="E5219" t="str">
            <v>EDUC</v>
          </cell>
          <cell r="F5219" t="str">
            <v>EDUC-X</v>
          </cell>
          <cell r="G5219">
            <v>152</v>
          </cell>
          <cell r="H5219" t="str">
            <v>EDUC-X152</v>
          </cell>
          <cell r="K5219" t="str">
            <v>McGinn,Ashley</v>
          </cell>
          <cell r="N5219">
            <v>2.786</v>
          </cell>
          <cell r="O5219">
            <v>2.79</v>
          </cell>
        </row>
        <row r="5220">
          <cell r="E5220" t="str">
            <v>EDUC</v>
          </cell>
          <cell r="F5220" t="str">
            <v>EDUC-X</v>
          </cell>
          <cell r="G5220">
            <v>152</v>
          </cell>
          <cell r="H5220" t="str">
            <v>EDUC-X152</v>
          </cell>
          <cell r="K5220" t="str">
            <v>McGinn,Ashley</v>
          </cell>
          <cell r="N5220">
            <v>3.67</v>
          </cell>
          <cell r="O5220">
            <v>3.1070000000000002</v>
          </cell>
        </row>
        <row r="5221">
          <cell r="E5221" t="str">
            <v>EDUC</v>
          </cell>
          <cell r="F5221" t="str">
            <v>EDUC-X</v>
          </cell>
          <cell r="G5221">
            <v>152</v>
          </cell>
          <cell r="H5221" t="str">
            <v>EDUC-X152</v>
          </cell>
          <cell r="K5221" t="str">
            <v>McGinn,Ashley</v>
          </cell>
          <cell r="N5221">
            <v>3.2429999999999999</v>
          </cell>
          <cell r="O5221">
            <v>2.9809999999999999</v>
          </cell>
        </row>
        <row r="5222">
          <cell r="E5222" t="str">
            <v>EDUC</v>
          </cell>
          <cell r="F5222" t="str">
            <v>EDUC-X</v>
          </cell>
          <cell r="G5222">
            <v>152</v>
          </cell>
          <cell r="H5222" t="str">
            <v>EDUC-X152</v>
          </cell>
          <cell r="K5222" t="str">
            <v>McGinn,Ashley</v>
          </cell>
          <cell r="N5222">
            <v>2.8069999999999999</v>
          </cell>
          <cell r="O5222">
            <v>2.7330000000000001</v>
          </cell>
        </row>
        <row r="5223">
          <cell r="E5223" t="str">
            <v>EDUC</v>
          </cell>
          <cell r="F5223" t="str">
            <v>EDUC-X</v>
          </cell>
          <cell r="G5223">
            <v>152</v>
          </cell>
          <cell r="H5223" t="str">
            <v>EDUC-X152</v>
          </cell>
          <cell r="K5223" t="str">
            <v>McGinn,Ashley</v>
          </cell>
          <cell r="N5223">
            <v>2.9289999999999998</v>
          </cell>
          <cell r="O5223">
            <v>2.6669999999999998</v>
          </cell>
        </row>
        <row r="5224">
          <cell r="E5224" t="str">
            <v>EDUC</v>
          </cell>
          <cell r="F5224" t="str">
            <v>EDUC-X</v>
          </cell>
          <cell r="G5224">
            <v>152</v>
          </cell>
          <cell r="H5224" t="str">
            <v>EDUC-X152</v>
          </cell>
          <cell r="K5224" t="str">
            <v>Williams,Eric D</v>
          </cell>
          <cell r="N5224">
            <v>3.343</v>
          </cell>
          <cell r="O5224">
            <v>2.4390000000000001</v>
          </cell>
        </row>
        <row r="5225">
          <cell r="E5225" t="str">
            <v>EDUC</v>
          </cell>
          <cell r="F5225" t="str">
            <v>EDUC-X</v>
          </cell>
          <cell r="G5225">
            <v>152</v>
          </cell>
          <cell r="H5225" t="str">
            <v>EDUC-X152</v>
          </cell>
          <cell r="K5225" t="str">
            <v>Zakeri,Bita Hazel</v>
          </cell>
          <cell r="N5225">
            <v>3.5249999999999999</v>
          </cell>
          <cell r="O5225">
            <v>3.1560000000000001</v>
          </cell>
        </row>
        <row r="5226">
          <cell r="E5226" t="str">
            <v>EDUC</v>
          </cell>
          <cell r="F5226" t="str">
            <v>EDUC-X</v>
          </cell>
          <cell r="G5226">
            <v>152</v>
          </cell>
          <cell r="H5226" t="str">
            <v>EDUC-X152</v>
          </cell>
          <cell r="K5226" t="str">
            <v>Zakeri,Bita Hazel</v>
          </cell>
          <cell r="N5226">
            <v>3.68</v>
          </cell>
          <cell r="O5226">
            <v>2.6339999999999999</v>
          </cell>
        </row>
        <row r="5227">
          <cell r="E5227" t="str">
            <v>EDUC</v>
          </cell>
          <cell r="F5227" t="str">
            <v>EDUC-X</v>
          </cell>
          <cell r="G5227">
            <v>156</v>
          </cell>
          <cell r="H5227" t="str">
            <v>EDUC-X156</v>
          </cell>
          <cell r="K5227" t="str">
            <v>McEnery,Amanda Marie</v>
          </cell>
          <cell r="N5227" t="str">
            <v>NR</v>
          </cell>
          <cell r="O5227" t="str">
            <v>NR</v>
          </cell>
        </row>
        <row r="5228">
          <cell r="E5228" t="str">
            <v>EDUC</v>
          </cell>
          <cell r="F5228" t="str">
            <v>EDUC-X</v>
          </cell>
          <cell r="G5228">
            <v>156</v>
          </cell>
          <cell r="H5228" t="str">
            <v>EDUC-X156</v>
          </cell>
          <cell r="K5228" t="str">
            <v>McEnery,Amanda Marie</v>
          </cell>
          <cell r="N5228" t="str">
            <v>NR</v>
          </cell>
          <cell r="O5228" t="str">
            <v>NR</v>
          </cell>
        </row>
        <row r="5229">
          <cell r="E5229" t="str">
            <v>EDUC</v>
          </cell>
          <cell r="F5229" t="str">
            <v>EDUC-X</v>
          </cell>
          <cell r="G5229">
            <v>156</v>
          </cell>
          <cell r="H5229" t="str">
            <v>EDUC-X156</v>
          </cell>
          <cell r="K5229" t="str">
            <v>McEnery,Amanda Marie</v>
          </cell>
          <cell r="N5229" t="str">
            <v>NR</v>
          </cell>
          <cell r="O5229" t="str">
            <v>NR</v>
          </cell>
        </row>
        <row r="5230">
          <cell r="E5230" t="str">
            <v>EDUC</v>
          </cell>
          <cell r="F5230" t="str">
            <v>EDUC-X</v>
          </cell>
          <cell r="G5230">
            <v>156</v>
          </cell>
          <cell r="H5230" t="str">
            <v>EDUC-X156</v>
          </cell>
          <cell r="K5230" t="str">
            <v>McEnery,Amanda Marie</v>
          </cell>
          <cell r="N5230" t="str">
            <v>NR</v>
          </cell>
          <cell r="O5230" t="str">
            <v>NR</v>
          </cell>
        </row>
        <row r="5231">
          <cell r="E5231" t="str">
            <v>EDUC</v>
          </cell>
          <cell r="F5231" t="str">
            <v>EDUC-X</v>
          </cell>
          <cell r="G5231">
            <v>158</v>
          </cell>
          <cell r="H5231" t="str">
            <v>EDUC-X158</v>
          </cell>
          <cell r="K5231" t="str">
            <v>Feldwisch,Rachel Paige</v>
          </cell>
          <cell r="N5231">
            <v>3.5209999999999999</v>
          </cell>
          <cell r="O5231">
            <v>2.093</v>
          </cell>
        </row>
        <row r="5232">
          <cell r="E5232" t="str">
            <v>EDUC</v>
          </cell>
          <cell r="F5232" t="str">
            <v>EDUC-X</v>
          </cell>
          <cell r="G5232">
            <v>158</v>
          </cell>
          <cell r="H5232" t="str">
            <v>EDUC-X158</v>
          </cell>
          <cell r="K5232" t="str">
            <v>Feldwisch,Rachel Paige</v>
          </cell>
          <cell r="N5232">
            <v>2.35</v>
          </cell>
          <cell r="O5232">
            <v>1.7250000000000001</v>
          </cell>
        </row>
        <row r="5233">
          <cell r="E5233" t="str">
            <v>EDUC</v>
          </cell>
          <cell r="F5233" t="str">
            <v>EDUC-X</v>
          </cell>
          <cell r="G5233">
            <v>158</v>
          </cell>
          <cell r="H5233" t="str">
            <v>EDUC-X158</v>
          </cell>
          <cell r="K5233" t="str">
            <v>Gonzalez,Rachel Valentina</v>
          </cell>
          <cell r="N5233">
            <v>3.1</v>
          </cell>
          <cell r="O5233">
            <v>1.879</v>
          </cell>
        </row>
        <row r="5234">
          <cell r="E5234" t="str">
            <v>EDUC</v>
          </cell>
          <cell r="F5234" t="str">
            <v>EDUC-X</v>
          </cell>
          <cell r="G5234">
            <v>158</v>
          </cell>
          <cell r="H5234" t="str">
            <v>EDUC-X158</v>
          </cell>
          <cell r="K5234" t="str">
            <v>Gonzalez,Rachel Valentina</v>
          </cell>
          <cell r="N5234">
            <v>3.218</v>
          </cell>
          <cell r="O5234">
            <v>1.804</v>
          </cell>
        </row>
        <row r="5235">
          <cell r="E5235" t="str">
            <v>EDUC</v>
          </cell>
          <cell r="F5235" t="str">
            <v>EDUC-X</v>
          </cell>
          <cell r="G5235">
            <v>158</v>
          </cell>
          <cell r="H5235" t="str">
            <v>EDUC-X158</v>
          </cell>
          <cell r="K5235" t="str">
            <v>Gordon,Sarah Maria</v>
          </cell>
          <cell r="N5235">
            <v>2.706</v>
          </cell>
          <cell r="O5235">
            <v>1.851</v>
          </cell>
        </row>
        <row r="5236">
          <cell r="E5236" t="str">
            <v>EDUC</v>
          </cell>
          <cell r="F5236" t="str">
            <v>EDUC-X</v>
          </cell>
          <cell r="G5236">
            <v>158</v>
          </cell>
          <cell r="H5236" t="str">
            <v>EDUC-X158</v>
          </cell>
          <cell r="K5236" t="str">
            <v>Gordon,Sarah Maria</v>
          </cell>
          <cell r="N5236">
            <v>3.153</v>
          </cell>
          <cell r="O5236">
            <v>1.859</v>
          </cell>
        </row>
        <row r="5237">
          <cell r="E5237" t="str">
            <v>EDUC</v>
          </cell>
          <cell r="F5237" t="str">
            <v>EDUC-X</v>
          </cell>
          <cell r="G5237">
            <v>158</v>
          </cell>
          <cell r="H5237" t="str">
            <v>EDUC-X158</v>
          </cell>
          <cell r="K5237" t="str">
            <v>Harris,Gretchen</v>
          </cell>
          <cell r="N5237">
            <v>2.6059999999999999</v>
          </cell>
          <cell r="O5237">
            <v>2.2650000000000001</v>
          </cell>
        </row>
        <row r="5238">
          <cell r="E5238" t="str">
            <v>EDUC</v>
          </cell>
          <cell r="F5238" t="str">
            <v>EDUC-X</v>
          </cell>
          <cell r="G5238">
            <v>158</v>
          </cell>
          <cell r="H5238" t="str">
            <v>EDUC-X158</v>
          </cell>
          <cell r="K5238" t="str">
            <v>Harris,Gretchen</v>
          </cell>
          <cell r="N5238">
            <v>2.95</v>
          </cell>
          <cell r="O5238">
            <v>2.36</v>
          </cell>
        </row>
        <row r="5239">
          <cell r="E5239" t="str">
            <v>EDUC</v>
          </cell>
          <cell r="F5239" t="str">
            <v>EDUC-X</v>
          </cell>
          <cell r="G5239">
            <v>158</v>
          </cell>
          <cell r="H5239" t="str">
            <v>EDUC-X158</v>
          </cell>
          <cell r="K5239" t="str">
            <v>Harris,Gretchen</v>
          </cell>
          <cell r="N5239">
            <v>2.956</v>
          </cell>
          <cell r="O5239">
            <v>1.9039999999999999</v>
          </cell>
        </row>
        <row r="5240">
          <cell r="E5240" t="str">
            <v>EDUC</v>
          </cell>
          <cell r="F5240" t="str">
            <v>EDUC-X</v>
          </cell>
          <cell r="G5240">
            <v>158</v>
          </cell>
          <cell r="H5240" t="str">
            <v>EDUC-X158</v>
          </cell>
          <cell r="K5240" t="str">
            <v>Harris,Gretchen</v>
          </cell>
          <cell r="N5240">
            <v>3.468</v>
          </cell>
          <cell r="O5240">
            <v>2.1179999999999999</v>
          </cell>
        </row>
        <row r="5241">
          <cell r="E5241" t="str">
            <v>EDUC</v>
          </cell>
          <cell r="F5241" t="str">
            <v>EDUC-X</v>
          </cell>
          <cell r="G5241">
            <v>158</v>
          </cell>
          <cell r="H5241" t="str">
            <v>EDUC-X158</v>
          </cell>
          <cell r="K5241" t="str">
            <v>Koke,Andrew Michael</v>
          </cell>
          <cell r="N5241">
            <v>2.9</v>
          </cell>
          <cell r="O5241">
            <v>1.881</v>
          </cell>
        </row>
        <row r="5242">
          <cell r="E5242" t="str">
            <v>EDUC</v>
          </cell>
          <cell r="F5242" t="str">
            <v>EDUC-X</v>
          </cell>
          <cell r="G5242">
            <v>158</v>
          </cell>
          <cell r="H5242" t="str">
            <v>EDUC-X158</v>
          </cell>
          <cell r="K5242" t="str">
            <v>Koke,Andrew Michael</v>
          </cell>
          <cell r="N5242">
            <v>2.4260000000000002</v>
          </cell>
          <cell r="O5242">
            <v>1.732</v>
          </cell>
        </row>
        <row r="5243">
          <cell r="E5243" t="str">
            <v>EDUC</v>
          </cell>
          <cell r="F5243" t="str">
            <v>EDUC-X</v>
          </cell>
          <cell r="G5243">
            <v>158</v>
          </cell>
          <cell r="H5243" t="str">
            <v>EDUC-X158</v>
          </cell>
          <cell r="K5243" t="str">
            <v>Lester,Alissa Caitlin</v>
          </cell>
          <cell r="N5243">
            <v>2.778</v>
          </cell>
          <cell r="O5243">
            <v>2.0209999999999999</v>
          </cell>
        </row>
        <row r="5244">
          <cell r="E5244" t="str">
            <v>EDUC</v>
          </cell>
          <cell r="F5244" t="str">
            <v>EDUC-X</v>
          </cell>
          <cell r="G5244">
            <v>158</v>
          </cell>
          <cell r="H5244" t="str">
            <v>EDUC-X158</v>
          </cell>
          <cell r="K5244" t="str">
            <v>Lester,Alissa Caitlin</v>
          </cell>
          <cell r="N5244">
            <v>2.7330000000000001</v>
          </cell>
          <cell r="O5244">
            <v>2.073</v>
          </cell>
        </row>
        <row r="5245">
          <cell r="E5245" t="str">
            <v>EDUC</v>
          </cell>
          <cell r="F5245" t="str">
            <v>EDUC-X</v>
          </cell>
          <cell r="G5245">
            <v>158</v>
          </cell>
          <cell r="H5245" t="str">
            <v>EDUC-X158</v>
          </cell>
          <cell r="K5245" t="str">
            <v>Lewis,David Russell</v>
          </cell>
          <cell r="N5245">
            <v>2.5190000000000001</v>
          </cell>
          <cell r="O5245">
            <v>1.863</v>
          </cell>
        </row>
        <row r="5246">
          <cell r="E5246" t="str">
            <v>EDUC</v>
          </cell>
          <cell r="F5246" t="str">
            <v>EDUC-X</v>
          </cell>
          <cell r="G5246">
            <v>158</v>
          </cell>
          <cell r="H5246" t="str">
            <v>EDUC-X158</v>
          </cell>
          <cell r="K5246" t="str">
            <v>Lewis,David Russell</v>
          </cell>
          <cell r="N5246">
            <v>1.75</v>
          </cell>
          <cell r="O5246">
            <v>1.768</v>
          </cell>
        </row>
        <row r="5247">
          <cell r="E5247" t="str">
            <v>EDUC</v>
          </cell>
          <cell r="F5247" t="str">
            <v>EDUC-X</v>
          </cell>
          <cell r="G5247">
            <v>158</v>
          </cell>
          <cell r="H5247" t="str">
            <v>EDUC-X158</v>
          </cell>
          <cell r="K5247" t="str">
            <v>Mace,Joseph Michael</v>
          </cell>
          <cell r="N5247">
            <v>2.8290000000000002</v>
          </cell>
          <cell r="O5247">
            <v>1.657</v>
          </cell>
        </row>
        <row r="5248">
          <cell r="E5248" t="str">
            <v>EDUC</v>
          </cell>
          <cell r="F5248" t="str">
            <v>EDUC-X</v>
          </cell>
          <cell r="G5248">
            <v>158</v>
          </cell>
          <cell r="H5248" t="str">
            <v>EDUC-X158</v>
          </cell>
          <cell r="K5248" t="str">
            <v>Mace,Joseph Michael</v>
          </cell>
          <cell r="N5248">
            <v>2.8820000000000001</v>
          </cell>
          <cell r="O5248">
            <v>1.847</v>
          </cell>
        </row>
        <row r="5249">
          <cell r="E5249" t="str">
            <v>EDUC</v>
          </cell>
          <cell r="F5249" t="str">
            <v>EDUC-X</v>
          </cell>
          <cell r="G5249">
            <v>158</v>
          </cell>
          <cell r="H5249" t="str">
            <v>EDUC-X158</v>
          </cell>
          <cell r="K5249" t="str">
            <v>Meers,Matthew Thomas</v>
          </cell>
          <cell r="N5249">
            <v>3.121</v>
          </cell>
          <cell r="O5249">
            <v>1.8180000000000001</v>
          </cell>
        </row>
        <row r="5250">
          <cell r="E5250" t="str">
            <v>EDUC</v>
          </cell>
          <cell r="F5250" t="str">
            <v>EDUC-X</v>
          </cell>
          <cell r="G5250">
            <v>158</v>
          </cell>
          <cell r="H5250" t="str">
            <v>EDUC-X158</v>
          </cell>
          <cell r="K5250" t="str">
            <v>Meers,Matthew Thomas</v>
          </cell>
          <cell r="N5250">
            <v>3.512</v>
          </cell>
          <cell r="O5250">
            <v>1.9379999999999999</v>
          </cell>
        </row>
        <row r="5251">
          <cell r="E5251" t="str">
            <v>EDUC</v>
          </cell>
          <cell r="F5251" t="str">
            <v>EDUC-X</v>
          </cell>
          <cell r="G5251">
            <v>158</v>
          </cell>
          <cell r="H5251" t="str">
            <v>EDUC-X158</v>
          </cell>
          <cell r="K5251" t="str">
            <v>Robbins,Melanie Jennifer</v>
          </cell>
          <cell r="N5251">
            <v>3.42</v>
          </cell>
          <cell r="O5251">
            <v>1.831</v>
          </cell>
        </row>
        <row r="5252">
          <cell r="E5252" t="str">
            <v>EDUC</v>
          </cell>
          <cell r="F5252" t="str">
            <v>EDUC-X</v>
          </cell>
          <cell r="G5252">
            <v>158</v>
          </cell>
          <cell r="H5252" t="str">
            <v>EDUC-X158</v>
          </cell>
          <cell r="K5252" t="str">
            <v>Robbins,Melanie Jennifer</v>
          </cell>
          <cell r="N5252">
            <v>2.7610000000000001</v>
          </cell>
          <cell r="O5252">
            <v>1.7470000000000001</v>
          </cell>
        </row>
        <row r="5253">
          <cell r="E5253" t="str">
            <v>EDUC</v>
          </cell>
          <cell r="F5253" t="str">
            <v>EDUC-X</v>
          </cell>
          <cell r="G5253">
            <v>158</v>
          </cell>
          <cell r="H5253" t="str">
            <v>EDUC-X158</v>
          </cell>
          <cell r="K5253" t="str">
            <v>Thomas,Kelly Ann</v>
          </cell>
          <cell r="N5253">
            <v>3.4529999999999998</v>
          </cell>
          <cell r="O5253">
            <v>1.9650000000000001</v>
          </cell>
        </row>
        <row r="5254">
          <cell r="E5254" t="str">
            <v>EDUC</v>
          </cell>
          <cell r="F5254" t="str">
            <v>EDUC-X</v>
          </cell>
          <cell r="G5254">
            <v>158</v>
          </cell>
          <cell r="H5254" t="str">
            <v>EDUC-X158</v>
          </cell>
          <cell r="K5254" t="str">
            <v>Thomas,Kelly Ann</v>
          </cell>
          <cell r="N5254">
            <v>3.3420000000000001</v>
          </cell>
          <cell r="O5254">
            <v>1.9339999999999999</v>
          </cell>
        </row>
        <row r="5255">
          <cell r="E5255" t="str">
            <v>EDUC</v>
          </cell>
          <cell r="F5255" t="str">
            <v>EDUC-X</v>
          </cell>
          <cell r="G5255">
            <v>158</v>
          </cell>
          <cell r="H5255" t="str">
            <v>EDUC-X158</v>
          </cell>
          <cell r="K5255" t="str">
            <v>Thomas,Kelly Ann</v>
          </cell>
          <cell r="N5255">
            <v>2.5779999999999998</v>
          </cell>
          <cell r="O5255">
            <v>1.8129999999999999</v>
          </cell>
        </row>
        <row r="5256">
          <cell r="E5256" t="str">
            <v>EDUC</v>
          </cell>
          <cell r="F5256" t="str">
            <v>EDUC-X</v>
          </cell>
          <cell r="G5256">
            <v>158</v>
          </cell>
          <cell r="H5256" t="str">
            <v>EDUC-X158</v>
          </cell>
          <cell r="K5256" t="str">
            <v>Thomas,Kelly Ann</v>
          </cell>
          <cell r="N5256">
            <v>3.2839999999999998</v>
          </cell>
          <cell r="O5256">
            <v>2.0750000000000002</v>
          </cell>
        </row>
        <row r="5257">
          <cell r="E5257" t="str">
            <v>EDUC</v>
          </cell>
          <cell r="F5257" t="str">
            <v>EDUC-X</v>
          </cell>
          <cell r="G5257">
            <v>158</v>
          </cell>
          <cell r="H5257" t="str">
            <v>EDUC-X158</v>
          </cell>
          <cell r="K5257" t="str">
            <v>Waggoner,Lottie L</v>
          </cell>
          <cell r="N5257">
            <v>2.9470000000000001</v>
          </cell>
          <cell r="O5257">
            <v>1.9159999999999999</v>
          </cell>
        </row>
        <row r="5258">
          <cell r="E5258" t="str">
            <v>EDUC</v>
          </cell>
          <cell r="F5258" t="str">
            <v>EDUC-X</v>
          </cell>
          <cell r="G5258">
            <v>158</v>
          </cell>
          <cell r="H5258" t="str">
            <v>EDUC-X158</v>
          </cell>
          <cell r="K5258" t="str">
            <v>Waggoner,Lottie L</v>
          </cell>
          <cell r="N5258">
            <v>2.173</v>
          </cell>
          <cell r="O5258">
            <v>1.885</v>
          </cell>
        </row>
        <row r="5259">
          <cell r="E5259" t="str">
            <v>EDUC</v>
          </cell>
          <cell r="F5259" t="str">
            <v>EDUC-X</v>
          </cell>
          <cell r="G5259">
            <v>158</v>
          </cell>
          <cell r="H5259" t="str">
            <v>EDUC-X158</v>
          </cell>
          <cell r="K5259" t="str">
            <v>Waggoner,Lottie L</v>
          </cell>
          <cell r="N5259">
            <v>2.556</v>
          </cell>
          <cell r="O5259">
            <v>1.6319999999999999</v>
          </cell>
        </row>
        <row r="5260">
          <cell r="E5260" t="str">
            <v>EDUC</v>
          </cell>
          <cell r="F5260" t="str">
            <v>EDUC-X</v>
          </cell>
          <cell r="G5260">
            <v>158</v>
          </cell>
          <cell r="H5260" t="str">
            <v>EDUC-X158</v>
          </cell>
          <cell r="K5260" t="str">
            <v>Waggoner,Lottie L</v>
          </cell>
          <cell r="N5260">
            <v>2.1829999999999998</v>
          </cell>
          <cell r="O5260">
            <v>1.6479999999999999</v>
          </cell>
        </row>
        <row r="5261">
          <cell r="E5261" t="str">
            <v>EDUC</v>
          </cell>
          <cell r="F5261" t="str">
            <v>EDUC-X</v>
          </cell>
          <cell r="G5261">
            <v>158</v>
          </cell>
          <cell r="H5261" t="str">
            <v>EDUC-X158</v>
          </cell>
          <cell r="K5261" t="str">
            <v>Waitman,Grace Regina</v>
          </cell>
          <cell r="N5261">
            <v>3.9790000000000001</v>
          </cell>
          <cell r="O5261">
            <v>2.1120000000000001</v>
          </cell>
        </row>
        <row r="5262">
          <cell r="E5262" t="str">
            <v>EDUC</v>
          </cell>
          <cell r="F5262" t="str">
            <v>EDUC-X</v>
          </cell>
          <cell r="G5262">
            <v>158</v>
          </cell>
          <cell r="H5262" t="str">
            <v>EDUC-X158</v>
          </cell>
          <cell r="K5262" t="str">
            <v>Waitman,Grace Regina</v>
          </cell>
          <cell r="N5262">
            <v>3.8159999999999998</v>
          </cell>
          <cell r="O5262">
            <v>2.0920000000000001</v>
          </cell>
        </row>
        <row r="5263">
          <cell r="E5263" t="str">
            <v>EDUC</v>
          </cell>
          <cell r="F5263" t="str">
            <v>EDUC-X</v>
          </cell>
          <cell r="G5263">
            <v>158</v>
          </cell>
          <cell r="H5263" t="str">
            <v>EDUC-X158</v>
          </cell>
          <cell r="K5263" t="str">
            <v>Waitman,Grace Regina</v>
          </cell>
          <cell r="N5263">
            <v>3.2589999999999999</v>
          </cell>
          <cell r="O5263">
            <v>1.883</v>
          </cell>
        </row>
        <row r="5264">
          <cell r="E5264" t="str">
            <v>EDUC</v>
          </cell>
          <cell r="F5264" t="str">
            <v>EDUC-X</v>
          </cell>
          <cell r="G5264">
            <v>158</v>
          </cell>
          <cell r="H5264" t="str">
            <v>EDUC-X158</v>
          </cell>
          <cell r="K5264" t="str">
            <v>Waitman,Grace Regina</v>
          </cell>
          <cell r="N5264">
            <v>3.8759999999999999</v>
          </cell>
          <cell r="O5264">
            <v>2.1469999999999998</v>
          </cell>
        </row>
        <row r="5265">
          <cell r="E5265" t="str">
            <v>EDUC</v>
          </cell>
          <cell r="F5265" t="str">
            <v>EDUC-X</v>
          </cell>
          <cell r="G5265">
            <v>400</v>
          </cell>
          <cell r="H5265" t="str">
            <v>EDUC-X400</v>
          </cell>
          <cell r="K5265" t="str">
            <v>Lawrence,Donna Bretz</v>
          </cell>
          <cell r="N5265" t="str">
            <v>NR</v>
          </cell>
          <cell r="O5265" t="str">
            <v>NR</v>
          </cell>
        </row>
        <row r="5266">
          <cell r="E5266" t="str">
            <v>EDUC</v>
          </cell>
          <cell r="F5266" t="str">
            <v>EDUC-X</v>
          </cell>
          <cell r="G5266">
            <v>400</v>
          </cell>
          <cell r="H5266" t="str">
            <v>EDUC-X400</v>
          </cell>
          <cell r="K5266" t="str">
            <v>Lawrence,Donna Bretz</v>
          </cell>
          <cell r="N5266" t="str">
            <v>NR</v>
          </cell>
          <cell r="O5266" t="str">
            <v>NR</v>
          </cell>
        </row>
        <row r="5267">
          <cell r="E5267" t="str">
            <v>EDUC</v>
          </cell>
          <cell r="F5267" t="str">
            <v>EDUC-X</v>
          </cell>
          <cell r="G5267">
            <v>425</v>
          </cell>
          <cell r="H5267" t="str">
            <v>EDUC-X425</v>
          </cell>
          <cell r="K5267" t="str">
            <v>Daley,Sharon Lynn</v>
          </cell>
          <cell r="N5267" t="str">
            <v>NR</v>
          </cell>
          <cell r="O5267" t="str">
            <v>NR</v>
          </cell>
        </row>
        <row r="5268">
          <cell r="E5268" t="str">
            <v>EDUC</v>
          </cell>
          <cell r="F5268" t="str">
            <v>EDUC-X</v>
          </cell>
          <cell r="G5268">
            <v>425</v>
          </cell>
          <cell r="H5268" t="str">
            <v>EDUC-X425</v>
          </cell>
          <cell r="K5268" t="str">
            <v>Medina,Carmen L.</v>
          </cell>
          <cell r="N5268" t="str">
            <v>NR</v>
          </cell>
          <cell r="O5268" t="str">
            <v>NR</v>
          </cell>
        </row>
        <row r="5269">
          <cell r="E5269" t="str">
            <v>EDUC</v>
          </cell>
          <cell r="F5269" t="str">
            <v>EDUC-X</v>
          </cell>
          <cell r="G5269">
            <v>425</v>
          </cell>
          <cell r="H5269" t="str">
            <v>EDUC-X425</v>
          </cell>
          <cell r="K5269" t="str">
            <v>Mullin,Margaret Boling</v>
          </cell>
          <cell r="N5269" t="str">
            <v>NR</v>
          </cell>
          <cell r="O5269" t="str">
            <v>NR</v>
          </cell>
        </row>
        <row r="5270">
          <cell r="E5270" t="str">
            <v>EDUC</v>
          </cell>
          <cell r="F5270" t="str">
            <v>EDUC-X</v>
          </cell>
          <cell r="G5270">
            <v>425</v>
          </cell>
          <cell r="H5270" t="str">
            <v>EDUC-X425</v>
          </cell>
          <cell r="K5270" t="str">
            <v>Penalva,Stacy Lee</v>
          </cell>
          <cell r="N5270" t="str">
            <v>NR</v>
          </cell>
          <cell r="O5270" t="str">
            <v>NR</v>
          </cell>
        </row>
        <row r="5271">
          <cell r="E5271" t="str">
            <v>EDUC</v>
          </cell>
          <cell r="F5271" t="str">
            <v>EDUC-X</v>
          </cell>
          <cell r="G5271">
            <v>460</v>
          </cell>
          <cell r="H5271" t="str">
            <v>EDUC-X460</v>
          </cell>
          <cell r="K5271" t="str">
            <v>Adomat,Donna</v>
          </cell>
          <cell r="N5271">
            <v>4</v>
          </cell>
          <cell r="O5271">
            <v>3.5630000000000002</v>
          </cell>
        </row>
        <row r="5272">
          <cell r="E5272" t="str">
            <v>EDUC</v>
          </cell>
          <cell r="F5272" t="str">
            <v>EDUC-X</v>
          </cell>
          <cell r="G5272">
            <v>460</v>
          </cell>
          <cell r="H5272" t="str">
            <v>EDUC-X460</v>
          </cell>
          <cell r="K5272" t="str">
            <v>Adomat,Donna</v>
          </cell>
          <cell r="N5272">
            <v>3.9279999999999999</v>
          </cell>
          <cell r="O5272">
            <v>3.4649999999999999</v>
          </cell>
        </row>
        <row r="5273">
          <cell r="E5273" t="str">
            <v>EDUC</v>
          </cell>
          <cell r="F5273" t="str">
            <v>EDUC-X</v>
          </cell>
          <cell r="G5273">
            <v>460</v>
          </cell>
          <cell r="H5273" t="str">
            <v>EDUC-X460</v>
          </cell>
          <cell r="K5273" t="str">
            <v>Adomat,Donna</v>
          </cell>
          <cell r="N5273">
            <v>3.9380000000000002</v>
          </cell>
          <cell r="O5273">
            <v>3.3050000000000002</v>
          </cell>
        </row>
        <row r="5274">
          <cell r="E5274" t="str">
            <v>EDUC</v>
          </cell>
          <cell r="F5274" t="str">
            <v>EDUC-X</v>
          </cell>
          <cell r="G5274">
            <v>460</v>
          </cell>
          <cell r="H5274" t="str">
            <v>EDUC-X460</v>
          </cell>
          <cell r="K5274" t="str">
            <v>Buchholz,Beth Anne</v>
          </cell>
          <cell r="N5274">
            <v>3.778</v>
          </cell>
          <cell r="O5274">
            <v>3.6160000000000001</v>
          </cell>
        </row>
        <row r="5275">
          <cell r="E5275" t="str">
            <v>EDUC</v>
          </cell>
          <cell r="F5275" t="str">
            <v>EDUC-X</v>
          </cell>
          <cell r="G5275">
            <v>460</v>
          </cell>
          <cell r="H5275" t="str">
            <v>EDUC-X460</v>
          </cell>
          <cell r="K5275" t="str">
            <v>Lewison,Mitzi A.</v>
          </cell>
          <cell r="N5275">
            <v>3.9159999999999999</v>
          </cell>
          <cell r="O5275">
            <v>3.706</v>
          </cell>
        </row>
        <row r="5276">
          <cell r="E5276" t="str">
            <v>EDUC</v>
          </cell>
          <cell r="F5276" t="str">
            <v>EDUC-X</v>
          </cell>
          <cell r="G5276">
            <v>460</v>
          </cell>
          <cell r="H5276" t="str">
            <v>EDUC-X460</v>
          </cell>
          <cell r="K5276" t="str">
            <v>Lewison,Mitzi A.</v>
          </cell>
          <cell r="N5276">
            <v>3.6</v>
          </cell>
          <cell r="O5276">
            <v>3.4239999999999999</v>
          </cell>
        </row>
        <row r="5277">
          <cell r="E5277" t="str">
            <v>EDUC</v>
          </cell>
          <cell r="F5277" t="str">
            <v>EDUC-X</v>
          </cell>
          <cell r="G5277">
            <v>470</v>
          </cell>
          <cell r="H5277" t="str">
            <v>EDUC-X470</v>
          </cell>
          <cell r="K5277" t="str">
            <v>Coronel-Molina,Serafin M.</v>
          </cell>
          <cell r="N5277">
            <v>3.7440000000000002</v>
          </cell>
          <cell r="O5277">
            <v>3.48</v>
          </cell>
        </row>
        <row r="5278">
          <cell r="E5278" t="str">
            <v>EDUC</v>
          </cell>
          <cell r="F5278" t="str">
            <v>EDUC-X</v>
          </cell>
          <cell r="G5278">
            <v>470</v>
          </cell>
          <cell r="H5278" t="str">
            <v>EDUC-X470</v>
          </cell>
          <cell r="K5278" t="str">
            <v>Coronel-Molina,Serafin M.</v>
          </cell>
          <cell r="N5278">
            <v>3.883</v>
          </cell>
          <cell r="O5278">
            <v>3.43</v>
          </cell>
        </row>
        <row r="5279">
          <cell r="E5279" t="str">
            <v>EDUC</v>
          </cell>
          <cell r="F5279" t="str">
            <v>EDUC-X</v>
          </cell>
          <cell r="G5279">
            <v>470</v>
          </cell>
          <cell r="H5279" t="str">
            <v>EDUC-X470</v>
          </cell>
          <cell r="K5279" t="str">
            <v>Dimitrieska,Vesna</v>
          </cell>
          <cell r="N5279">
            <v>3.6859999999999999</v>
          </cell>
          <cell r="O5279">
            <v>3.4860000000000002</v>
          </cell>
        </row>
        <row r="5280">
          <cell r="E5280" t="str">
            <v>EDUC</v>
          </cell>
          <cell r="F5280" t="str">
            <v>EDUC-X</v>
          </cell>
          <cell r="G5280">
            <v>470</v>
          </cell>
          <cell r="H5280" t="str">
            <v>EDUC-X470</v>
          </cell>
          <cell r="K5280" t="str">
            <v>Kuo,Hsiao-Chin</v>
          </cell>
          <cell r="N5280">
            <v>3.8849999999999998</v>
          </cell>
          <cell r="O5280">
            <v>3.359</v>
          </cell>
        </row>
        <row r="5281">
          <cell r="E5281" t="str">
            <v>EDUC</v>
          </cell>
          <cell r="F5281" t="str">
            <v>EDUC-X</v>
          </cell>
          <cell r="G5281">
            <v>470</v>
          </cell>
          <cell r="H5281" t="str">
            <v>EDUC-X470</v>
          </cell>
          <cell r="K5281" t="str">
            <v>Park,Rani</v>
          </cell>
          <cell r="N5281">
            <v>3.91</v>
          </cell>
          <cell r="O5281">
            <v>3.54</v>
          </cell>
        </row>
        <row r="5282">
          <cell r="E5282" t="str">
            <v>EDUC</v>
          </cell>
          <cell r="F5282" t="str">
            <v>EDUC-X</v>
          </cell>
          <cell r="G5282">
            <v>470</v>
          </cell>
          <cell r="H5282" t="str">
            <v>EDUC-X470</v>
          </cell>
          <cell r="K5282" t="str">
            <v>Zakeri,Bita Hazel</v>
          </cell>
          <cell r="N5282">
            <v>3.367</v>
          </cell>
          <cell r="O5282">
            <v>3.5350000000000001</v>
          </cell>
        </row>
        <row r="5283">
          <cell r="E5283" t="str">
            <v>EDUC</v>
          </cell>
          <cell r="F5283" t="str">
            <v>EDUC-X</v>
          </cell>
          <cell r="G5283">
            <v>599</v>
          </cell>
          <cell r="H5283" t="str">
            <v>EDUC-X599</v>
          </cell>
          <cell r="K5283" t="str">
            <v>Kloosterman,Peter W.</v>
          </cell>
          <cell r="N5283" t="str">
            <v>NR</v>
          </cell>
          <cell r="O5283" t="str">
            <v>NR</v>
          </cell>
        </row>
        <row r="5284">
          <cell r="E5284" t="str">
            <v>EDUC</v>
          </cell>
          <cell r="F5284" t="str">
            <v>EDUC-Y</v>
          </cell>
          <cell r="G5284">
            <v>420</v>
          </cell>
          <cell r="H5284" t="str">
            <v>EDUC-Y420</v>
          </cell>
          <cell r="K5284" t="str">
            <v>Li,Peiwei</v>
          </cell>
          <cell r="N5284">
            <v>3.843</v>
          </cell>
          <cell r="O5284">
            <v>3.665</v>
          </cell>
        </row>
        <row r="5285">
          <cell r="E5285" t="str">
            <v>EDUC</v>
          </cell>
          <cell r="F5285" t="str">
            <v>EDUC-Y</v>
          </cell>
          <cell r="G5285">
            <v>420</v>
          </cell>
          <cell r="H5285" t="str">
            <v>EDUC-Y420</v>
          </cell>
          <cell r="K5285" t="str">
            <v>Li,Peiwei</v>
          </cell>
          <cell r="N5285">
            <v>3.81</v>
          </cell>
          <cell r="O5285">
            <v>3.544</v>
          </cell>
        </row>
        <row r="5286">
          <cell r="E5286" t="str">
            <v>EDUC</v>
          </cell>
          <cell r="F5286" t="str">
            <v>EDUC-Y</v>
          </cell>
          <cell r="G5286">
            <v>420</v>
          </cell>
          <cell r="H5286" t="str">
            <v>EDUC-Y420</v>
          </cell>
          <cell r="K5286" t="str">
            <v>Li,Peiwei</v>
          </cell>
          <cell r="N5286">
            <v>3.8149999999999999</v>
          </cell>
          <cell r="O5286">
            <v>3.6269999999999998</v>
          </cell>
        </row>
        <row r="5287">
          <cell r="E5287" t="str">
            <v>EDUC</v>
          </cell>
          <cell r="F5287" t="str">
            <v>EDUC-Y</v>
          </cell>
          <cell r="G5287">
            <v>500</v>
          </cell>
          <cell r="H5287" t="str">
            <v>EDUC-Y500</v>
          </cell>
          <cell r="K5287" t="str">
            <v>Andrade Lotero,Luis Alejandro</v>
          </cell>
          <cell r="N5287" t="str">
            <v>NR</v>
          </cell>
          <cell r="O5287" t="str">
            <v>NR</v>
          </cell>
        </row>
        <row r="5288">
          <cell r="E5288" t="str">
            <v>EDUC</v>
          </cell>
          <cell r="F5288" t="str">
            <v>EDUC-Y</v>
          </cell>
          <cell r="G5288">
            <v>500</v>
          </cell>
          <cell r="H5288" t="str">
            <v>EDUC-Y500</v>
          </cell>
          <cell r="K5288" t="str">
            <v>Andrade Lotero,Luis Alejandro</v>
          </cell>
          <cell r="N5288" t="str">
            <v>NR</v>
          </cell>
          <cell r="O5288" t="str">
            <v>NR</v>
          </cell>
        </row>
        <row r="5289">
          <cell r="E5289" t="str">
            <v>EDUC</v>
          </cell>
          <cell r="F5289" t="str">
            <v>EDUC-Y</v>
          </cell>
          <cell r="G5289">
            <v>500</v>
          </cell>
          <cell r="H5289" t="str">
            <v>EDUC-Y500</v>
          </cell>
          <cell r="K5289" t="str">
            <v>Chen,Li-Ting</v>
          </cell>
          <cell r="N5289" t="str">
            <v>NR</v>
          </cell>
          <cell r="O5289" t="str">
            <v>NR</v>
          </cell>
        </row>
        <row r="5290">
          <cell r="E5290" t="str">
            <v>EDUC</v>
          </cell>
          <cell r="F5290" t="str">
            <v>EDUC-Y</v>
          </cell>
          <cell r="G5290">
            <v>500</v>
          </cell>
          <cell r="H5290" t="str">
            <v>EDUC-Y500</v>
          </cell>
          <cell r="K5290" t="str">
            <v>Chen,Li-Ting</v>
          </cell>
          <cell r="N5290" t="str">
            <v>NR</v>
          </cell>
          <cell r="O5290" t="str">
            <v>NR</v>
          </cell>
        </row>
        <row r="5291">
          <cell r="E5291" t="str">
            <v>EDUC</v>
          </cell>
          <cell r="F5291" t="str">
            <v>EDUC-Y</v>
          </cell>
          <cell r="G5291">
            <v>500</v>
          </cell>
          <cell r="H5291" t="str">
            <v>EDUC-Y500</v>
          </cell>
          <cell r="K5291" t="str">
            <v>Dennis,Barbara</v>
          </cell>
          <cell r="N5291" t="str">
            <v>NR</v>
          </cell>
          <cell r="O5291" t="str">
            <v>NR</v>
          </cell>
        </row>
        <row r="5292">
          <cell r="E5292" t="str">
            <v>EDUC</v>
          </cell>
          <cell r="F5292" t="str">
            <v>EDUC-Y</v>
          </cell>
          <cell r="G5292">
            <v>500</v>
          </cell>
          <cell r="H5292" t="str">
            <v>EDUC-Y500</v>
          </cell>
          <cell r="K5292" t="str">
            <v>Dong,Yiran</v>
          </cell>
          <cell r="N5292" t="str">
            <v>NR</v>
          </cell>
          <cell r="O5292" t="str">
            <v>NR</v>
          </cell>
        </row>
        <row r="5293">
          <cell r="E5293" t="str">
            <v>EDUC</v>
          </cell>
          <cell r="F5293" t="str">
            <v>EDUC-Y</v>
          </cell>
          <cell r="G5293">
            <v>500</v>
          </cell>
          <cell r="H5293" t="str">
            <v>EDUC-Y500</v>
          </cell>
          <cell r="K5293" t="str">
            <v>Qian,Meihua</v>
          </cell>
          <cell r="N5293" t="str">
            <v>NR</v>
          </cell>
          <cell r="O5293" t="str">
            <v>NR</v>
          </cell>
        </row>
        <row r="5294">
          <cell r="E5294" t="str">
            <v>EDUC</v>
          </cell>
          <cell r="F5294" t="str">
            <v>EDUC-Y</v>
          </cell>
          <cell r="G5294">
            <v>500</v>
          </cell>
          <cell r="H5294" t="str">
            <v>EDUC-Y500</v>
          </cell>
          <cell r="K5294" t="str">
            <v>Qian,Meihua</v>
          </cell>
          <cell r="N5294" t="str">
            <v>NR</v>
          </cell>
          <cell r="O5294" t="str">
            <v>NR</v>
          </cell>
        </row>
        <row r="5295">
          <cell r="E5295" t="str">
            <v>EDUC</v>
          </cell>
          <cell r="F5295" t="str">
            <v>EDUC-Y</v>
          </cell>
          <cell r="G5295">
            <v>500</v>
          </cell>
          <cell r="H5295" t="str">
            <v>EDUC-Y500</v>
          </cell>
          <cell r="K5295" t="str">
            <v>Qian,Meihua</v>
          </cell>
          <cell r="N5295" t="str">
            <v>NR</v>
          </cell>
          <cell r="O5295" t="str">
            <v>NR</v>
          </cell>
        </row>
        <row r="5296">
          <cell r="E5296" t="str">
            <v>EDUC</v>
          </cell>
          <cell r="F5296" t="str">
            <v>EDUC-Y</v>
          </cell>
          <cell r="G5296">
            <v>500</v>
          </cell>
          <cell r="H5296" t="str">
            <v>EDUC-Y500</v>
          </cell>
          <cell r="K5296" t="str">
            <v>Qian,Meihua</v>
          </cell>
          <cell r="N5296" t="str">
            <v>NR</v>
          </cell>
          <cell r="O5296" t="str">
            <v>NR</v>
          </cell>
        </row>
        <row r="5297">
          <cell r="E5297" t="str">
            <v>EDUC</v>
          </cell>
          <cell r="F5297" t="str">
            <v>EDUC-Y</v>
          </cell>
          <cell r="G5297">
            <v>500</v>
          </cell>
          <cell r="H5297" t="str">
            <v>EDUC-Y500</v>
          </cell>
          <cell r="K5297" t="str">
            <v>Zhao,Pengfei</v>
          </cell>
          <cell r="N5297" t="str">
            <v>NR</v>
          </cell>
          <cell r="O5297" t="str">
            <v>NR</v>
          </cell>
        </row>
        <row r="5298">
          <cell r="E5298" t="str">
            <v>EDUC</v>
          </cell>
          <cell r="F5298" t="str">
            <v>EDUC-Y</v>
          </cell>
          <cell r="G5298">
            <v>500</v>
          </cell>
          <cell r="H5298" t="str">
            <v>EDUC-Y500</v>
          </cell>
          <cell r="K5298" t="str">
            <v>Zhao,Pengfei</v>
          </cell>
          <cell r="N5298" t="str">
            <v>NR</v>
          </cell>
          <cell r="O5298" t="str">
            <v>NR</v>
          </cell>
        </row>
        <row r="5299">
          <cell r="E5299" t="str">
            <v>EDUC</v>
          </cell>
          <cell r="F5299" t="str">
            <v>EDUC-Y</v>
          </cell>
          <cell r="G5299">
            <v>500</v>
          </cell>
          <cell r="H5299" t="str">
            <v>EDUC-Y500</v>
          </cell>
          <cell r="K5299" t="str">
            <v>Zhao,Pengfei</v>
          </cell>
          <cell r="N5299" t="str">
            <v>NR</v>
          </cell>
          <cell r="O5299" t="str">
            <v>NR</v>
          </cell>
        </row>
        <row r="5300">
          <cell r="E5300" t="str">
            <v>EDUC</v>
          </cell>
          <cell r="F5300" t="str">
            <v>EDUC-Y</v>
          </cell>
          <cell r="G5300">
            <v>500</v>
          </cell>
          <cell r="H5300" t="str">
            <v>EDUC-Y500</v>
          </cell>
          <cell r="K5300" t="str">
            <v>Zhao,Pengfei</v>
          </cell>
          <cell r="N5300" t="str">
            <v>NR</v>
          </cell>
          <cell r="O5300" t="str">
            <v>NR</v>
          </cell>
        </row>
        <row r="5301">
          <cell r="E5301" t="str">
            <v>EDUC</v>
          </cell>
          <cell r="F5301" t="str">
            <v>EDUC-Y</v>
          </cell>
          <cell r="G5301">
            <v>502</v>
          </cell>
          <cell r="H5301" t="str">
            <v>EDUC-Y502</v>
          </cell>
          <cell r="K5301" t="str">
            <v>Abaci,Serdar</v>
          </cell>
          <cell r="N5301">
            <v>3.79</v>
          </cell>
          <cell r="O5301">
            <v>3.6779999999999999</v>
          </cell>
        </row>
        <row r="5302">
          <cell r="E5302" t="str">
            <v>EDUC</v>
          </cell>
          <cell r="F5302" t="str">
            <v>EDUC-Y</v>
          </cell>
          <cell r="G5302">
            <v>502</v>
          </cell>
          <cell r="H5302" t="str">
            <v>EDUC-Y502</v>
          </cell>
          <cell r="K5302" t="str">
            <v>Peng,Chao-Ying Joanne</v>
          </cell>
          <cell r="N5302">
            <v>3.3940000000000001</v>
          </cell>
          <cell r="O5302">
            <v>3.73</v>
          </cell>
        </row>
        <row r="5303">
          <cell r="E5303" t="str">
            <v>EDUC</v>
          </cell>
          <cell r="F5303" t="str">
            <v>EDUC-Y</v>
          </cell>
          <cell r="G5303">
            <v>502</v>
          </cell>
          <cell r="H5303" t="str">
            <v>EDUC-Y502</v>
          </cell>
          <cell r="K5303" t="str">
            <v>Peng,Chao-Ying Joanne</v>
          </cell>
          <cell r="N5303">
            <v>3.419</v>
          </cell>
          <cell r="O5303">
            <v>3.7810000000000001</v>
          </cell>
        </row>
        <row r="5304">
          <cell r="E5304" t="str">
            <v>EDUC</v>
          </cell>
          <cell r="F5304" t="str">
            <v>EDUC-Y</v>
          </cell>
          <cell r="G5304">
            <v>502</v>
          </cell>
          <cell r="H5304" t="str">
            <v>EDUC-Y502</v>
          </cell>
          <cell r="K5304" t="str">
            <v>Svetina,Dubravka</v>
          </cell>
          <cell r="N5304">
            <v>3.2480000000000002</v>
          </cell>
          <cell r="O5304">
            <v>3.762</v>
          </cell>
        </row>
        <row r="5305">
          <cell r="E5305" t="str">
            <v>EDUC</v>
          </cell>
          <cell r="F5305" t="str">
            <v>EDUC-Y</v>
          </cell>
          <cell r="G5305">
            <v>510</v>
          </cell>
          <cell r="H5305" t="str">
            <v>EDUC-Y510</v>
          </cell>
          <cell r="K5305" t="str">
            <v>Dennis,Barbara</v>
          </cell>
          <cell r="N5305">
            <v>4</v>
          </cell>
          <cell r="O5305">
            <v>3.85</v>
          </cell>
        </row>
        <row r="5306">
          <cell r="E5306" t="str">
            <v>EDUC</v>
          </cell>
          <cell r="F5306" t="str">
            <v>EDUC-Y</v>
          </cell>
          <cell r="G5306">
            <v>515</v>
          </cell>
          <cell r="H5306" t="str">
            <v>EDUC-Y515</v>
          </cell>
          <cell r="K5306" t="str">
            <v>Carspecken,Phil Francis</v>
          </cell>
          <cell r="N5306">
            <v>4</v>
          </cell>
          <cell r="O5306">
            <v>3.8050000000000002</v>
          </cell>
        </row>
        <row r="5307">
          <cell r="E5307" t="str">
            <v>EDUC</v>
          </cell>
          <cell r="F5307" t="str">
            <v>EDUC-Y</v>
          </cell>
          <cell r="G5307">
            <v>520</v>
          </cell>
          <cell r="H5307" t="str">
            <v>EDUC-Y520</v>
          </cell>
          <cell r="K5307" t="str">
            <v>Arthur,Ian Thomas</v>
          </cell>
          <cell r="N5307">
            <v>3.7650000000000001</v>
          </cell>
          <cell r="O5307">
            <v>3.8679999999999999</v>
          </cell>
        </row>
        <row r="5308">
          <cell r="E5308" t="str">
            <v>EDUC</v>
          </cell>
          <cell r="F5308" t="str">
            <v>EDUC-Y</v>
          </cell>
          <cell r="G5308">
            <v>520</v>
          </cell>
          <cell r="H5308" t="str">
            <v>EDUC-Y520</v>
          </cell>
          <cell r="K5308" t="str">
            <v>Li,Peiwei</v>
          </cell>
          <cell r="N5308">
            <v>3.8889999999999998</v>
          </cell>
          <cell r="O5308">
            <v>3.92</v>
          </cell>
        </row>
        <row r="5309">
          <cell r="E5309" t="str">
            <v>EDUC</v>
          </cell>
          <cell r="F5309" t="str">
            <v>EDUC-Y</v>
          </cell>
          <cell r="G5309">
            <v>520</v>
          </cell>
          <cell r="H5309" t="str">
            <v>EDUC-Y520</v>
          </cell>
          <cell r="K5309" t="str">
            <v>Li,Peiwei</v>
          </cell>
          <cell r="N5309">
            <v>3.839</v>
          </cell>
          <cell r="O5309">
            <v>3.871</v>
          </cell>
        </row>
        <row r="5310">
          <cell r="E5310" t="str">
            <v>EDUC</v>
          </cell>
          <cell r="F5310" t="str">
            <v>EDUC-Y</v>
          </cell>
          <cell r="G5310">
            <v>520</v>
          </cell>
          <cell r="H5310" t="str">
            <v>EDUC-Y520</v>
          </cell>
          <cell r="K5310" t="str">
            <v>Qi,Wen</v>
          </cell>
          <cell r="N5310">
            <v>4</v>
          </cell>
          <cell r="O5310">
            <v>3.694</v>
          </cell>
        </row>
        <row r="5311">
          <cell r="E5311" t="str">
            <v>EDUC</v>
          </cell>
          <cell r="F5311" t="str">
            <v>EDUC-Y</v>
          </cell>
          <cell r="G5311">
            <v>520</v>
          </cell>
          <cell r="H5311" t="str">
            <v>EDUC-Y520</v>
          </cell>
          <cell r="K5311" t="str">
            <v>Ross,Karen</v>
          </cell>
          <cell r="N5311">
            <v>3.3359999999999999</v>
          </cell>
          <cell r="O5311">
            <v>3.59</v>
          </cell>
        </row>
        <row r="5312">
          <cell r="E5312" t="str">
            <v>EDUC</v>
          </cell>
          <cell r="F5312" t="str">
            <v>EDUC-Y</v>
          </cell>
          <cell r="G5312">
            <v>520</v>
          </cell>
          <cell r="H5312" t="str">
            <v>EDUC-Y520</v>
          </cell>
          <cell r="K5312" t="str">
            <v>Ross,Karen</v>
          </cell>
          <cell r="N5312">
            <v>3.65</v>
          </cell>
          <cell r="O5312">
            <v>3.7469999999999999</v>
          </cell>
        </row>
        <row r="5313">
          <cell r="E5313" t="str">
            <v>EDUC</v>
          </cell>
          <cell r="F5313" t="str">
            <v>EDUC-Y</v>
          </cell>
          <cell r="G5313">
            <v>520</v>
          </cell>
          <cell r="H5313" t="str">
            <v>EDUC-Y520</v>
          </cell>
          <cell r="K5313" t="str">
            <v>Ross,Karen</v>
          </cell>
          <cell r="N5313">
            <v>3.9</v>
          </cell>
          <cell r="O5313">
            <v>3.8660000000000001</v>
          </cell>
        </row>
        <row r="5314">
          <cell r="E5314" t="str">
            <v>EDUC</v>
          </cell>
          <cell r="F5314" t="str">
            <v>EDUC-Y</v>
          </cell>
          <cell r="G5314">
            <v>521</v>
          </cell>
          <cell r="H5314" t="str">
            <v>EDUC-Y521</v>
          </cell>
          <cell r="K5314" t="str">
            <v>Delandshere,Ginette</v>
          </cell>
          <cell r="N5314">
            <v>3.3420000000000001</v>
          </cell>
          <cell r="O5314">
            <v>3.7589999999999999</v>
          </cell>
        </row>
        <row r="5315">
          <cell r="E5315" t="str">
            <v>EDUC</v>
          </cell>
          <cell r="F5315" t="str">
            <v>EDUC-Y</v>
          </cell>
          <cell r="G5315">
            <v>521</v>
          </cell>
          <cell r="H5315" t="str">
            <v>EDUC-Y521</v>
          </cell>
          <cell r="K5315" t="str">
            <v>Ziskin,Mary B</v>
          </cell>
          <cell r="N5315">
            <v>3.8140000000000001</v>
          </cell>
          <cell r="O5315">
            <v>3.8849999999999998</v>
          </cell>
        </row>
        <row r="5316">
          <cell r="E5316" t="str">
            <v>EDUC</v>
          </cell>
          <cell r="F5316" t="str">
            <v>EDUC-Y</v>
          </cell>
          <cell r="G5316">
            <v>525</v>
          </cell>
          <cell r="H5316" t="str">
            <v>EDUC-Y525</v>
          </cell>
          <cell r="K5316" t="str">
            <v>Ziskin,Mary B</v>
          </cell>
          <cell r="N5316">
            <v>3.9140000000000001</v>
          </cell>
          <cell r="O5316">
            <v>3.8050000000000002</v>
          </cell>
        </row>
        <row r="5317">
          <cell r="E5317" t="str">
            <v>EDUC</v>
          </cell>
          <cell r="F5317" t="str">
            <v>EDUC-Y</v>
          </cell>
          <cell r="G5317">
            <v>527</v>
          </cell>
          <cell r="H5317" t="str">
            <v>EDUC-Y527</v>
          </cell>
          <cell r="K5317" t="str">
            <v>Svetina,Dubravka</v>
          </cell>
          <cell r="N5317">
            <v>3.714</v>
          </cell>
          <cell r="O5317">
            <v>3.7919999999999998</v>
          </cell>
        </row>
        <row r="5318">
          <cell r="E5318" t="str">
            <v>EDUC</v>
          </cell>
          <cell r="F5318" t="str">
            <v>EDUC-Y</v>
          </cell>
          <cell r="G5318">
            <v>535</v>
          </cell>
          <cell r="H5318" t="str">
            <v>EDUC-Y535</v>
          </cell>
          <cell r="K5318" t="str">
            <v>Rutkowski,David Joseph</v>
          </cell>
          <cell r="N5318">
            <v>3.9060000000000001</v>
          </cell>
          <cell r="O5318">
            <v>3.8959999999999999</v>
          </cell>
        </row>
        <row r="5319">
          <cell r="E5319" t="str">
            <v>EDUC</v>
          </cell>
          <cell r="F5319" t="str">
            <v>EDUC-Y</v>
          </cell>
          <cell r="G5319">
            <v>590</v>
          </cell>
          <cell r="H5319" t="str">
            <v>EDUC-Y590</v>
          </cell>
          <cell r="K5319" t="str">
            <v>Delandshere,Ginette</v>
          </cell>
          <cell r="N5319" t="str">
            <v>NR</v>
          </cell>
          <cell r="O5319" t="str">
            <v>NR</v>
          </cell>
        </row>
        <row r="5320">
          <cell r="E5320" t="str">
            <v>EDUC</v>
          </cell>
          <cell r="F5320" t="str">
            <v>EDUC-Y</v>
          </cell>
          <cell r="G5320">
            <v>590</v>
          </cell>
          <cell r="H5320" t="str">
            <v>EDUC-Y590</v>
          </cell>
          <cell r="K5320" t="str">
            <v>Delandshere,Ginette</v>
          </cell>
          <cell r="N5320" t="str">
            <v>NR</v>
          </cell>
          <cell r="O5320" t="str">
            <v>NR</v>
          </cell>
        </row>
        <row r="5321">
          <cell r="E5321" t="str">
            <v>EDUC</v>
          </cell>
          <cell r="F5321" t="str">
            <v>EDUC-Y</v>
          </cell>
          <cell r="G5321">
            <v>600</v>
          </cell>
          <cell r="H5321" t="str">
            <v>EDUC-Y600</v>
          </cell>
          <cell r="K5321" t="str">
            <v>Dennis,Barbara</v>
          </cell>
          <cell r="N5321">
            <v>4</v>
          </cell>
          <cell r="O5321">
            <v>3.8490000000000002</v>
          </cell>
        </row>
        <row r="5322">
          <cell r="E5322" t="str">
            <v>EDUC</v>
          </cell>
          <cell r="F5322" t="str">
            <v>EDUC-Y</v>
          </cell>
          <cell r="G5322">
            <v>603</v>
          </cell>
          <cell r="H5322" t="str">
            <v>EDUC-Y603</v>
          </cell>
          <cell r="K5322" t="str">
            <v>Peng,Chao-Ying Joanne</v>
          </cell>
          <cell r="N5322">
            <v>3.6560000000000001</v>
          </cell>
          <cell r="O5322">
            <v>3.766</v>
          </cell>
        </row>
        <row r="5323">
          <cell r="E5323" t="str">
            <v>EDUC</v>
          </cell>
          <cell r="F5323" t="str">
            <v>EDUC-Y</v>
          </cell>
          <cell r="G5323">
            <v>604</v>
          </cell>
          <cell r="H5323" t="str">
            <v>EDUC-Y604</v>
          </cell>
          <cell r="K5323" t="str">
            <v>Delandshere,Ginette</v>
          </cell>
          <cell r="N5323">
            <v>3.5449999999999999</v>
          </cell>
          <cell r="O5323">
            <v>3.8839999999999999</v>
          </cell>
        </row>
        <row r="5324">
          <cell r="E5324" t="str">
            <v>EDUC</v>
          </cell>
          <cell r="F5324" t="str">
            <v>EDUC-Y</v>
          </cell>
          <cell r="G5324">
            <v>604</v>
          </cell>
          <cell r="H5324" t="str">
            <v>EDUC-Y604</v>
          </cell>
          <cell r="K5324" t="str">
            <v>Rutkowski,Leslie Ann</v>
          </cell>
          <cell r="N5324" t="str">
            <v>NR</v>
          </cell>
          <cell r="O5324" t="str">
            <v>NR</v>
          </cell>
        </row>
        <row r="5325">
          <cell r="E5325" t="str">
            <v>EDUC</v>
          </cell>
          <cell r="F5325" t="str">
            <v>EDUC-Y</v>
          </cell>
          <cell r="G5325">
            <v>604</v>
          </cell>
          <cell r="H5325" t="str">
            <v>EDUC-Y604</v>
          </cell>
          <cell r="K5325" t="str">
            <v>Rutkowski,Leslie Ann</v>
          </cell>
          <cell r="N5325">
            <v>3.665</v>
          </cell>
          <cell r="O5325">
            <v>3.8650000000000002</v>
          </cell>
        </row>
        <row r="5326">
          <cell r="E5326" t="str">
            <v>EDUC</v>
          </cell>
          <cell r="F5326" t="str">
            <v>EDUC-Y</v>
          </cell>
          <cell r="G5326">
            <v>611</v>
          </cell>
          <cell r="H5326" t="str">
            <v>EDUC-Y611</v>
          </cell>
          <cell r="K5326" t="str">
            <v>Carspecken,Lucinda Mary</v>
          </cell>
          <cell r="N5326">
            <v>3.98</v>
          </cell>
          <cell r="O5326">
            <v>3.8650000000000002</v>
          </cell>
        </row>
        <row r="5327">
          <cell r="E5327" t="str">
            <v>EDUC</v>
          </cell>
          <cell r="F5327" t="str">
            <v>EDUC-Y</v>
          </cell>
          <cell r="G5327">
            <v>611</v>
          </cell>
          <cell r="H5327" t="str">
            <v>EDUC-Y611</v>
          </cell>
          <cell r="K5327" t="str">
            <v>Carspecken,Lucinda Mary</v>
          </cell>
          <cell r="N5327">
            <v>3.9729999999999999</v>
          </cell>
          <cell r="O5327">
            <v>3.8929999999999998</v>
          </cell>
        </row>
        <row r="5328">
          <cell r="E5328" t="str">
            <v>EDUC</v>
          </cell>
          <cell r="F5328" t="str">
            <v>EDUC-Y</v>
          </cell>
          <cell r="G5328">
            <v>611</v>
          </cell>
          <cell r="H5328" t="str">
            <v>EDUC-Y611</v>
          </cell>
          <cell r="K5328" t="str">
            <v>Carspecken,Lucinda Mary</v>
          </cell>
          <cell r="N5328">
            <v>3.9860000000000002</v>
          </cell>
          <cell r="O5328">
            <v>3.8879999999999999</v>
          </cell>
        </row>
        <row r="5329">
          <cell r="E5329" t="str">
            <v>EDUC</v>
          </cell>
          <cell r="F5329" t="str">
            <v>EDUC-Y</v>
          </cell>
          <cell r="G5329">
            <v>611</v>
          </cell>
          <cell r="H5329" t="str">
            <v>EDUC-Y611</v>
          </cell>
          <cell r="K5329" t="str">
            <v>Carspecken,Lucinda Mary</v>
          </cell>
          <cell r="N5329">
            <v>3.9540000000000002</v>
          </cell>
          <cell r="O5329">
            <v>3.8889999999999998</v>
          </cell>
        </row>
        <row r="5330">
          <cell r="E5330" t="str">
            <v>EDUC</v>
          </cell>
          <cell r="F5330" t="str">
            <v>EDUC-Y</v>
          </cell>
          <cell r="G5330">
            <v>611</v>
          </cell>
          <cell r="H5330" t="str">
            <v>EDUC-Y611</v>
          </cell>
          <cell r="K5330" t="str">
            <v>Flinders,David Joseph</v>
          </cell>
          <cell r="N5330">
            <v>4</v>
          </cell>
          <cell r="O5330">
            <v>3.8490000000000002</v>
          </cell>
        </row>
        <row r="5331">
          <cell r="E5331" t="str">
            <v>EDUC</v>
          </cell>
          <cell r="F5331" t="str">
            <v>EDUC-Y</v>
          </cell>
          <cell r="G5331">
            <v>612</v>
          </cell>
          <cell r="H5331" t="str">
            <v>EDUC-Y612</v>
          </cell>
          <cell r="K5331" t="str">
            <v>Carspecken,Phil Francis</v>
          </cell>
          <cell r="N5331">
            <v>3.9830000000000001</v>
          </cell>
          <cell r="O5331">
            <v>3.8420000000000001</v>
          </cell>
        </row>
        <row r="5332">
          <cell r="E5332" t="str">
            <v>EDUC</v>
          </cell>
          <cell r="F5332" t="str">
            <v>EDUC-Y</v>
          </cell>
          <cell r="G5332">
            <v>612</v>
          </cell>
          <cell r="H5332" t="str">
            <v>EDUC-Y612</v>
          </cell>
          <cell r="K5332" t="str">
            <v>Dennis,Barbara</v>
          </cell>
          <cell r="N5332">
            <v>3.9</v>
          </cell>
          <cell r="O5332">
            <v>3.8290000000000002</v>
          </cell>
        </row>
        <row r="5333">
          <cell r="E5333" t="str">
            <v>EDUC</v>
          </cell>
          <cell r="F5333" t="str">
            <v>EDUC-Y</v>
          </cell>
          <cell r="G5333">
            <v>613</v>
          </cell>
          <cell r="H5333" t="str">
            <v>EDUC-Y613</v>
          </cell>
          <cell r="K5333" t="str">
            <v>Carspecken,Phil Francis</v>
          </cell>
          <cell r="N5333">
            <v>4</v>
          </cell>
          <cell r="O5333">
            <v>3.867</v>
          </cell>
        </row>
        <row r="5334">
          <cell r="E5334" t="str">
            <v>EDUC</v>
          </cell>
          <cell r="F5334" t="str">
            <v>EDUC-Y</v>
          </cell>
          <cell r="G5334">
            <v>613</v>
          </cell>
          <cell r="H5334" t="str">
            <v>EDUC-Y613</v>
          </cell>
          <cell r="K5334" t="str">
            <v>Dennis,Barbara</v>
          </cell>
          <cell r="N5334">
            <v>4</v>
          </cell>
          <cell r="O5334">
            <v>3.8420000000000001</v>
          </cell>
        </row>
        <row r="5335">
          <cell r="E5335" t="str">
            <v>EDUC</v>
          </cell>
          <cell r="F5335" t="str">
            <v>EDUC-Y</v>
          </cell>
          <cell r="G5335">
            <v>617</v>
          </cell>
          <cell r="H5335" t="str">
            <v>EDUC-Y617</v>
          </cell>
          <cell r="K5335" t="str">
            <v>Svetina,Dubravka</v>
          </cell>
          <cell r="N5335">
            <v>3.8820000000000001</v>
          </cell>
          <cell r="O5335">
            <v>3.9350000000000001</v>
          </cell>
        </row>
        <row r="5336">
          <cell r="E5336" t="str">
            <v>EDUC</v>
          </cell>
          <cell r="F5336" t="str">
            <v>EDUC-Y</v>
          </cell>
          <cell r="G5336">
            <v>639</v>
          </cell>
          <cell r="H5336" t="str">
            <v>EDUC-Y639</v>
          </cell>
          <cell r="K5336" t="str">
            <v>Rutkowski,Leslie Ann</v>
          </cell>
          <cell r="N5336">
            <v>3.875</v>
          </cell>
          <cell r="O5336">
            <v>3.8740000000000001</v>
          </cell>
        </row>
        <row r="5337">
          <cell r="E5337" t="str">
            <v>EDUC</v>
          </cell>
          <cell r="F5337" t="str">
            <v>EDUC-Y</v>
          </cell>
          <cell r="G5337">
            <v>645</v>
          </cell>
          <cell r="H5337" t="str">
            <v>EDUC-Y645</v>
          </cell>
          <cell r="K5337" t="str">
            <v>Rutkowski,Leslie Ann</v>
          </cell>
          <cell r="N5337">
            <v>3.895</v>
          </cell>
          <cell r="O5337">
            <v>3.8069999999999999</v>
          </cell>
        </row>
        <row r="5338">
          <cell r="E5338" t="str">
            <v>EDUC</v>
          </cell>
          <cell r="F5338" t="str">
            <v>EDUC-Y</v>
          </cell>
          <cell r="G5338">
            <v>650</v>
          </cell>
          <cell r="H5338" t="str">
            <v>EDUC-Y650</v>
          </cell>
          <cell r="K5338" t="str">
            <v>Wohlwend,Karen E.</v>
          </cell>
          <cell r="N5338" t="str">
            <v>NR</v>
          </cell>
          <cell r="O5338" t="str">
            <v>NR</v>
          </cell>
        </row>
        <row r="5339">
          <cell r="E5339" t="str">
            <v>EDUC</v>
          </cell>
          <cell r="F5339" t="str">
            <v>EDUC-Y</v>
          </cell>
          <cell r="G5339">
            <v>660</v>
          </cell>
          <cell r="H5339" t="str">
            <v>EDUC-Y660</v>
          </cell>
          <cell r="K5339" t="str">
            <v>Dennis,Barbara</v>
          </cell>
          <cell r="N5339">
            <v>4</v>
          </cell>
          <cell r="O5339">
            <v>3.9039999999999999</v>
          </cell>
        </row>
        <row r="5340">
          <cell r="E5340" t="str">
            <v>EDUC</v>
          </cell>
          <cell r="F5340" t="str">
            <v>EDUC-Y</v>
          </cell>
          <cell r="G5340">
            <v>660</v>
          </cell>
          <cell r="H5340" t="str">
            <v>EDUC-Y660</v>
          </cell>
          <cell r="K5340" t="str">
            <v>Dennis,Barbara</v>
          </cell>
          <cell r="N5340">
            <v>4</v>
          </cell>
          <cell r="O5340">
            <v>3.9420000000000002</v>
          </cell>
        </row>
        <row r="5341">
          <cell r="E5341" t="str">
            <v>EDUC</v>
          </cell>
          <cell r="F5341" t="str">
            <v>EDUC-Y</v>
          </cell>
          <cell r="G5341">
            <v>660</v>
          </cell>
          <cell r="H5341" t="str">
            <v>EDUC-Y660</v>
          </cell>
          <cell r="K5341" t="str">
            <v>Peng,Chao-Ying Joanne</v>
          </cell>
          <cell r="N5341" t="str">
            <v>NR</v>
          </cell>
          <cell r="O5341" t="str">
            <v>NR</v>
          </cell>
        </row>
        <row r="5342">
          <cell r="E5342" t="str">
            <v>EDUC</v>
          </cell>
          <cell r="F5342" t="str">
            <v>EDUC-Y</v>
          </cell>
          <cell r="G5342">
            <v>671</v>
          </cell>
          <cell r="H5342" t="str">
            <v>EDUC-Y671</v>
          </cell>
          <cell r="K5342" t="str">
            <v>Carspecken,Phil Francis</v>
          </cell>
          <cell r="N5342">
            <v>4</v>
          </cell>
          <cell r="O5342">
            <v>3.88</v>
          </cell>
        </row>
        <row r="5343">
          <cell r="E5343" t="str">
            <v>EDUC</v>
          </cell>
          <cell r="F5343" t="str">
            <v>EDUC-Y</v>
          </cell>
          <cell r="G5343">
            <v>690</v>
          </cell>
          <cell r="H5343" t="str">
            <v>EDUC-Y690</v>
          </cell>
          <cell r="K5343" t="str">
            <v>Delandshere,Ginette</v>
          </cell>
          <cell r="N5343" t="str">
            <v>NR</v>
          </cell>
          <cell r="O5343" t="str">
            <v>NR</v>
          </cell>
        </row>
        <row r="5344">
          <cell r="E5344" t="str">
            <v>EDUC</v>
          </cell>
          <cell r="F5344" t="str">
            <v>EDUC-Y</v>
          </cell>
          <cell r="G5344">
            <v>690</v>
          </cell>
          <cell r="H5344" t="str">
            <v>EDUC-Y690</v>
          </cell>
          <cell r="K5344" t="str">
            <v>Delandshere,Ginette</v>
          </cell>
          <cell r="N5344" t="str">
            <v>NR</v>
          </cell>
          <cell r="O5344" t="str">
            <v>NR</v>
          </cell>
        </row>
        <row r="5345">
          <cell r="E5345" t="str">
            <v>EDUC</v>
          </cell>
          <cell r="F5345" t="str">
            <v>EDUC-Y</v>
          </cell>
          <cell r="G5345">
            <v>795</v>
          </cell>
          <cell r="H5345" t="str">
            <v>EDUC-Y795</v>
          </cell>
          <cell r="K5345" t="str">
            <v>Delandshere,Ginette</v>
          </cell>
          <cell r="N5345" t="str">
            <v>NR</v>
          </cell>
          <cell r="O5345" t="str">
            <v>NR</v>
          </cell>
        </row>
        <row r="5346">
          <cell r="E5346" t="str">
            <v>EDUC</v>
          </cell>
          <cell r="F5346" t="str">
            <v>EDUC-Y</v>
          </cell>
          <cell r="G5346">
            <v>799</v>
          </cell>
          <cell r="H5346" t="str">
            <v>EDUC-Y799</v>
          </cell>
          <cell r="K5346" t="str">
            <v>Delandshere,Ginette</v>
          </cell>
          <cell r="N5346" t="str">
            <v>NR</v>
          </cell>
          <cell r="O5346" t="str">
            <v>NR</v>
          </cell>
        </row>
        <row r="5347">
          <cell r="E5347" t="str">
            <v>EDUC</v>
          </cell>
          <cell r="F5347" t="str">
            <v>EDUC-Y</v>
          </cell>
          <cell r="G5347">
            <v>799</v>
          </cell>
          <cell r="H5347" t="str">
            <v>EDUC-Y799</v>
          </cell>
          <cell r="K5347" t="str">
            <v>Delandshere,Ginette</v>
          </cell>
          <cell r="N5347" t="str">
            <v>NR</v>
          </cell>
          <cell r="O5347" t="str">
            <v>NR</v>
          </cell>
        </row>
        <row r="5348">
          <cell r="E5348" t="str">
            <v>EDUC</v>
          </cell>
          <cell r="F5348" t="str">
            <v>EDUC-Y</v>
          </cell>
          <cell r="G5348">
            <v>799</v>
          </cell>
          <cell r="H5348" t="str">
            <v>EDUC-Y799</v>
          </cell>
          <cell r="K5348" t="str">
            <v>Delandshere,Ginette</v>
          </cell>
          <cell r="N5348" t="str">
            <v>NR</v>
          </cell>
          <cell r="O5348" t="str">
            <v>NR</v>
          </cell>
        </row>
        <row r="5349">
          <cell r="E5349" t="str">
            <v>EDUC</v>
          </cell>
          <cell r="F5349" t="str">
            <v>EDUC-Z</v>
          </cell>
          <cell r="G5349">
            <v>501</v>
          </cell>
          <cell r="H5349" t="str">
            <v>EDUC-Z501</v>
          </cell>
          <cell r="K5349" t="str">
            <v>Lackey,Lara M</v>
          </cell>
          <cell r="N5349">
            <v>3.9830000000000001</v>
          </cell>
          <cell r="O5349">
            <v>3.9119999999999999</v>
          </cell>
        </row>
        <row r="5350">
          <cell r="E5350" t="str">
            <v>EDUC</v>
          </cell>
          <cell r="F5350" t="str">
            <v>EDUC-Z</v>
          </cell>
          <cell r="G5350">
            <v>511</v>
          </cell>
          <cell r="H5350" t="str">
            <v>EDUC-Z511</v>
          </cell>
          <cell r="K5350" t="str">
            <v>Manifold,Marjorie</v>
          </cell>
          <cell r="N5350" t="str">
            <v>NR</v>
          </cell>
          <cell r="O5350" t="str">
            <v>NR</v>
          </cell>
        </row>
        <row r="5351">
          <cell r="E5351" t="str">
            <v>EDUC</v>
          </cell>
          <cell r="F5351" t="str">
            <v>EDUC-Z</v>
          </cell>
          <cell r="G5351">
            <v>531</v>
          </cell>
          <cell r="H5351" t="str">
            <v>EDUC-Z531</v>
          </cell>
          <cell r="K5351" t="str">
            <v>Lackey,Lara M</v>
          </cell>
          <cell r="N5351" t="str">
            <v>NR</v>
          </cell>
          <cell r="O5351" t="str">
            <v>NR</v>
          </cell>
        </row>
        <row r="5352">
          <cell r="E5352" t="str">
            <v>EDUC</v>
          </cell>
          <cell r="F5352" t="str">
            <v>EDUC-Z</v>
          </cell>
          <cell r="G5352">
            <v>532</v>
          </cell>
          <cell r="H5352" t="str">
            <v>EDUC-Z532</v>
          </cell>
          <cell r="K5352" t="str">
            <v>Manifold,Marjorie</v>
          </cell>
          <cell r="N5352" t="str">
            <v>NR</v>
          </cell>
          <cell r="O5352" t="str">
            <v>NR</v>
          </cell>
        </row>
        <row r="5353">
          <cell r="E5353" t="str">
            <v>EDUC</v>
          </cell>
          <cell r="F5353" t="str">
            <v>EDUC-Z</v>
          </cell>
          <cell r="G5353">
            <v>533</v>
          </cell>
          <cell r="H5353" t="str">
            <v>EDUC-Z533</v>
          </cell>
          <cell r="K5353" t="str">
            <v>Jones,Hallie DeCatherine</v>
          </cell>
          <cell r="N5353" t="str">
            <v>NR</v>
          </cell>
          <cell r="O5353" t="str">
            <v>NR</v>
          </cell>
        </row>
        <row r="5354">
          <cell r="E5354" t="str">
            <v>EDUC</v>
          </cell>
          <cell r="F5354" t="str">
            <v>EDUC-Z</v>
          </cell>
          <cell r="G5354">
            <v>550</v>
          </cell>
          <cell r="H5354" t="str">
            <v>EDUC-Z550</v>
          </cell>
          <cell r="K5354" t="str">
            <v>Vallance,Elizabeth (Beau)</v>
          </cell>
          <cell r="N5354" t="str">
            <v>NR</v>
          </cell>
          <cell r="O5354" t="str">
            <v>NR</v>
          </cell>
        </row>
        <row r="5355">
          <cell r="E5355" t="str">
            <v>EDUC</v>
          </cell>
          <cell r="F5355" t="str">
            <v>EDUC-Z</v>
          </cell>
          <cell r="G5355">
            <v>590</v>
          </cell>
          <cell r="H5355" t="str">
            <v>EDUC-Z590</v>
          </cell>
          <cell r="K5355" t="str">
            <v>Lackey,Lara M</v>
          </cell>
          <cell r="N5355" t="str">
            <v>NR</v>
          </cell>
          <cell r="O5355" t="str">
            <v>NR</v>
          </cell>
        </row>
        <row r="5356">
          <cell r="E5356" t="str">
            <v>EDUC</v>
          </cell>
          <cell r="F5356" t="str">
            <v>EDUC-Z</v>
          </cell>
          <cell r="G5356">
            <v>590</v>
          </cell>
          <cell r="H5356" t="str">
            <v>EDUC-Z590</v>
          </cell>
          <cell r="K5356" t="str">
            <v>Manifold,Marjorie</v>
          </cell>
          <cell r="N5356" t="str">
            <v>NR</v>
          </cell>
          <cell r="O5356" t="str">
            <v>NR</v>
          </cell>
        </row>
        <row r="5357">
          <cell r="E5357" t="str">
            <v>EDUC</v>
          </cell>
          <cell r="F5357" t="str">
            <v>EDUC-Z</v>
          </cell>
          <cell r="G5357">
            <v>590</v>
          </cell>
          <cell r="H5357" t="str">
            <v>EDUC-Z590</v>
          </cell>
          <cell r="K5357" t="str">
            <v>Manifold,Marjorie</v>
          </cell>
          <cell r="N5357" t="str">
            <v>NR</v>
          </cell>
          <cell r="O5357" t="str">
            <v>NR</v>
          </cell>
        </row>
        <row r="5358">
          <cell r="E5358" t="str">
            <v>EDUC</v>
          </cell>
          <cell r="F5358" t="str">
            <v>EDUC-Z</v>
          </cell>
          <cell r="G5358">
            <v>590</v>
          </cell>
          <cell r="H5358" t="str">
            <v>EDUC-Z590</v>
          </cell>
          <cell r="K5358" t="str">
            <v>Vallance,Elizabeth (Beau)</v>
          </cell>
          <cell r="N5358" t="str">
            <v>NR</v>
          </cell>
          <cell r="O5358" t="str">
            <v>NR</v>
          </cell>
        </row>
        <row r="5359">
          <cell r="E5359" t="str">
            <v>EDUC</v>
          </cell>
          <cell r="F5359" t="str">
            <v>EDUC-Z</v>
          </cell>
          <cell r="G5359">
            <v>590</v>
          </cell>
          <cell r="H5359" t="str">
            <v>EDUC-Z590</v>
          </cell>
          <cell r="K5359" t="str">
            <v>Vallance,Elizabeth (Beau)</v>
          </cell>
          <cell r="N5359" t="str">
            <v>NR</v>
          </cell>
          <cell r="O5359" t="str">
            <v>NR</v>
          </cell>
        </row>
        <row r="5360">
          <cell r="E5360" t="str">
            <v>EDUC</v>
          </cell>
          <cell r="F5360" t="str">
            <v>EDUC-Z</v>
          </cell>
          <cell r="G5360">
            <v>700</v>
          </cell>
          <cell r="H5360" t="str">
            <v>EDUC-Z700</v>
          </cell>
          <cell r="K5360" t="str">
            <v>Lackey,Lara M</v>
          </cell>
          <cell r="N5360" t="str">
            <v>NR</v>
          </cell>
          <cell r="O5360" t="str">
            <v>NR</v>
          </cell>
        </row>
        <row r="5361">
          <cell r="E5361" t="str">
            <v>EDUC</v>
          </cell>
          <cell r="F5361" t="str">
            <v>EDUC-Z</v>
          </cell>
          <cell r="G5361">
            <v>700</v>
          </cell>
          <cell r="H5361" t="str">
            <v>EDUC-Z700</v>
          </cell>
          <cell r="K5361" t="str">
            <v>Lackey,Lara M</v>
          </cell>
          <cell r="N5361" t="str">
            <v>NR</v>
          </cell>
          <cell r="O5361" t="str">
            <v>NR</v>
          </cell>
        </row>
        <row r="5362">
          <cell r="E5362" t="str">
            <v>EDUC</v>
          </cell>
          <cell r="F5362" t="str">
            <v>EDUC-Z</v>
          </cell>
          <cell r="G5362">
            <v>700</v>
          </cell>
          <cell r="H5362" t="str">
            <v>EDUC-Z700</v>
          </cell>
          <cell r="K5362" t="str">
            <v>Manifold,Marjorie</v>
          </cell>
          <cell r="N5362" t="str">
            <v>NR</v>
          </cell>
          <cell r="O5362" t="str">
            <v>NR</v>
          </cell>
        </row>
        <row r="5363">
          <cell r="E5363" t="str">
            <v>EDUC</v>
          </cell>
          <cell r="F5363" t="str">
            <v>EDUC-Z</v>
          </cell>
          <cell r="G5363">
            <v>700</v>
          </cell>
          <cell r="H5363" t="str">
            <v>EDUC-Z700</v>
          </cell>
          <cell r="K5363" t="str">
            <v>Vallance,Elizabeth (Beau)</v>
          </cell>
          <cell r="N5363" t="str">
            <v>NR</v>
          </cell>
          <cell r="O5363" t="str">
            <v>NR</v>
          </cell>
        </row>
        <row r="5364">
          <cell r="E5364" t="str">
            <v>EDUC</v>
          </cell>
          <cell r="F5364" t="str">
            <v>EDUC-Z</v>
          </cell>
          <cell r="G5364">
            <v>700</v>
          </cell>
          <cell r="H5364" t="str">
            <v>EDUC-Z700</v>
          </cell>
          <cell r="K5364" t="str">
            <v>Vallance,Elizabeth (Beau)</v>
          </cell>
          <cell r="N5364" t="str">
            <v>NR</v>
          </cell>
          <cell r="O5364" t="str">
            <v>NR</v>
          </cell>
        </row>
        <row r="5365">
          <cell r="E5365" t="str">
            <v>EDUC</v>
          </cell>
          <cell r="F5365" t="str">
            <v>EDUC-Z</v>
          </cell>
          <cell r="G5365">
            <v>750</v>
          </cell>
          <cell r="H5365" t="str">
            <v>EDUC-Z750</v>
          </cell>
          <cell r="K5365" t="str">
            <v>Manifold,Marjorie</v>
          </cell>
          <cell r="N5365" t="str">
            <v>NR</v>
          </cell>
          <cell r="O5365" t="str">
            <v>NR</v>
          </cell>
        </row>
        <row r="5366">
          <cell r="E5366" t="str">
            <v>EDUC</v>
          </cell>
          <cell r="F5366" t="str">
            <v>EDUC-Z</v>
          </cell>
          <cell r="G5366">
            <v>760</v>
          </cell>
          <cell r="H5366" t="str">
            <v>EDUC-Z760</v>
          </cell>
          <cell r="K5366" t="str">
            <v>Manifold,Marjorie</v>
          </cell>
          <cell r="N5366">
            <v>3.9249999999999998</v>
          </cell>
          <cell r="O5366">
            <v>3.8879999999999999</v>
          </cell>
        </row>
        <row r="5367">
          <cell r="E5367" t="str">
            <v>ENG</v>
          </cell>
          <cell r="F5367" t="str">
            <v xml:space="preserve">ENG-E </v>
          </cell>
          <cell r="G5367">
            <v>301</v>
          </cell>
          <cell r="H5367" t="str">
            <v>ENG-E 301</v>
          </cell>
          <cell r="K5367" t="str">
            <v>Jacobs,Lesley Elizabeth</v>
          </cell>
          <cell r="N5367">
            <v>3.0870000000000002</v>
          </cell>
          <cell r="O5367">
            <v>3.14</v>
          </cell>
        </row>
        <row r="5368">
          <cell r="E5368" t="str">
            <v>ENG</v>
          </cell>
          <cell r="F5368" t="str">
            <v xml:space="preserve">ENG-E </v>
          </cell>
          <cell r="G5368">
            <v>302</v>
          </cell>
          <cell r="H5368" t="str">
            <v>ENG-E 302</v>
          </cell>
          <cell r="K5368" t="str">
            <v>Anderson,Penelope</v>
          </cell>
          <cell r="N5368">
            <v>3.1419999999999999</v>
          </cell>
          <cell r="O5368">
            <v>3.1110000000000002</v>
          </cell>
        </row>
        <row r="5369">
          <cell r="E5369" t="str">
            <v>ENG</v>
          </cell>
          <cell r="F5369" t="str">
            <v xml:space="preserve">ENG-E </v>
          </cell>
          <cell r="G5369">
            <v>302</v>
          </cell>
          <cell r="H5369" t="str">
            <v>ENG-E 302</v>
          </cell>
          <cell r="K5369" t="str">
            <v>Charnes,Linda Anne</v>
          </cell>
          <cell r="N5369">
            <v>3.3530000000000002</v>
          </cell>
          <cell r="O5369">
            <v>2.9670000000000001</v>
          </cell>
        </row>
        <row r="5370">
          <cell r="E5370" t="str">
            <v>ENG</v>
          </cell>
          <cell r="F5370" t="str">
            <v xml:space="preserve">ENG-E </v>
          </cell>
          <cell r="G5370">
            <v>303</v>
          </cell>
          <cell r="H5370" t="str">
            <v>ENG-E 303</v>
          </cell>
          <cell r="K5370" t="str">
            <v>Gutjahr,Paul Charles</v>
          </cell>
          <cell r="N5370">
            <v>2.919</v>
          </cell>
          <cell r="O5370">
            <v>3.137</v>
          </cell>
        </row>
        <row r="5371">
          <cell r="E5371" t="str">
            <v>ENG</v>
          </cell>
          <cell r="F5371" t="str">
            <v xml:space="preserve">ENG-E </v>
          </cell>
          <cell r="G5371">
            <v>303</v>
          </cell>
          <cell r="H5371" t="str">
            <v>ENG-E 303</v>
          </cell>
          <cell r="K5371" t="str">
            <v>Kriegel,Lara</v>
          </cell>
          <cell r="N5371">
            <v>3.0219999999999998</v>
          </cell>
          <cell r="O5371">
            <v>3.0219999999999998</v>
          </cell>
        </row>
        <row r="5372">
          <cell r="E5372" t="str">
            <v>ENG</v>
          </cell>
          <cell r="F5372" t="str">
            <v xml:space="preserve">ENG-E </v>
          </cell>
          <cell r="G5372">
            <v>304</v>
          </cell>
          <cell r="H5372" t="str">
            <v>ENG-E 304</v>
          </cell>
          <cell r="K5372" t="str">
            <v>Comentale,Edward Paul</v>
          </cell>
          <cell r="N5372">
            <v>3.395</v>
          </cell>
          <cell r="O5372">
            <v>3.1440000000000001</v>
          </cell>
        </row>
        <row r="5373">
          <cell r="E5373" t="str">
            <v>ENG</v>
          </cell>
          <cell r="F5373" t="str">
            <v xml:space="preserve">ENG-E </v>
          </cell>
          <cell r="G5373">
            <v>304</v>
          </cell>
          <cell r="H5373" t="str">
            <v>ENG-E 304</v>
          </cell>
          <cell r="K5373" t="str">
            <v>Halloran,William David</v>
          </cell>
          <cell r="N5373">
            <v>2.339</v>
          </cell>
          <cell r="O5373">
            <v>2.7450000000000001</v>
          </cell>
        </row>
        <row r="5374">
          <cell r="E5374" t="str">
            <v>ENG</v>
          </cell>
          <cell r="F5374" t="str">
            <v xml:space="preserve">ENG-E </v>
          </cell>
          <cell r="G5374">
            <v>304</v>
          </cell>
          <cell r="H5374" t="str">
            <v>ENG-E 304</v>
          </cell>
          <cell r="K5374" t="str">
            <v>Higgins,David Michael</v>
          </cell>
          <cell r="N5374">
            <v>2.8839999999999999</v>
          </cell>
          <cell r="O5374">
            <v>3.085</v>
          </cell>
        </row>
        <row r="5375">
          <cell r="E5375" t="str">
            <v>ENG</v>
          </cell>
          <cell r="F5375" t="str">
            <v xml:space="preserve">ENG-G </v>
          </cell>
          <cell r="G5375">
            <v>601</v>
          </cell>
          <cell r="H5375" t="str">
            <v>ENG-G 601</v>
          </cell>
          <cell r="K5375" t="str">
            <v>Fulk,Robert Dennis</v>
          </cell>
          <cell r="N5375">
            <v>3.91</v>
          </cell>
          <cell r="O5375">
            <v>3.9369999999999998</v>
          </cell>
        </row>
        <row r="5376">
          <cell r="E5376" t="str">
            <v>ENG</v>
          </cell>
          <cell r="F5376" t="str">
            <v xml:space="preserve">ENG-G </v>
          </cell>
          <cell r="G5376">
            <v>901</v>
          </cell>
          <cell r="H5376" t="str">
            <v>ENG-G 901</v>
          </cell>
          <cell r="K5376" t="str">
            <v>Ingham,Patricia Clare</v>
          </cell>
          <cell r="N5376" t="str">
            <v>NR</v>
          </cell>
          <cell r="O5376" t="str">
            <v>NR</v>
          </cell>
        </row>
        <row r="5377">
          <cell r="E5377" t="str">
            <v>ENG</v>
          </cell>
          <cell r="F5377" t="str">
            <v xml:space="preserve">ENG-G </v>
          </cell>
          <cell r="G5377">
            <v>901</v>
          </cell>
          <cell r="H5377" t="str">
            <v>ENG-G 901</v>
          </cell>
          <cell r="K5377" t="str">
            <v>MacKay,Ellen</v>
          </cell>
          <cell r="N5377" t="str">
            <v>NR</v>
          </cell>
          <cell r="O5377" t="str">
            <v>NR</v>
          </cell>
        </row>
        <row r="5378">
          <cell r="E5378" t="str">
            <v>ENG</v>
          </cell>
          <cell r="F5378" t="str">
            <v xml:space="preserve">ENG-J </v>
          </cell>
          <cell r="G5378">
            <v>102</v>
          </cell>
          <cell r="H5378" t="str">
            <v>ENG-J 102</v>
          </cell>
          <cell r="K5378" t="str">
            <v>Kendall-Morwick,Karalyn L</v>
          </cell>
          <cell r="N5378">
            <v>2.9670000000000001</v>
          </cell>
          <cell r="O5378">
            <v>2.4820000000000002</v>
          </cell>
        </row>
        <row r="5379">
          <cell r="E5379" t="str">
            <v>ENG</v>
          </cell>
          <cell r="F5379" t="str">
            <v xml:space="preserve">ENG-J </v>
          </cell>
          <cell r="G5379">
            <v>102</v>
          </cell>
          <cell r="H5379" t="str">
            <v>ENG-J 102</v>
          </cell>
          <cell r="K5379" t="str">
            <v>Kendall-Morwick,Karalyn L</v>
          </cell>
          <cell r="N5379">
            <v>2.5329999999999999</v>
          </cell>
          <cell r="O5379">
            <v>1.9970000000000001</v>
          </cell>
        </row>
        <row r="5380">
          <cell r="E5380" t="str">
            <v>ENG</v>
          </cell>
          <cell r="F5380" t="str">
            <v xml:space="preserve">ENG-L </v>
          </cell>
          <cell r="G5380">
            <v>111</v>
          </cell>
          <cell r="H5380" t="str">
            <v>ENG-L 111</v>
          </cell>
          <cell r="K5380" t="str">
            <v>Bledsoe,Robert Eugene</v>
          </cell>
          <cell r="N5380">
            <v>3.371</v>
          </cell>
          <cell r="O5380">
            <v>3.282</v>
          </cell>
        </row>
        <row r="5381">
          <cell r="E5381" t="str">
            <v>ENG</v>
          </cell>
          <cell r="F5381" t="str">
            <v xml:space="preserve">ENG-L </v>
          </cell>
          <cell r="G5381">
            <v>111</v>
          </cell>
          <cell r="H5381" t="str">
            <v>ENG-L 111</v>
          </cell>
          <cell r="K5381" t="str">
            <v>Graban,Tarez Samra</v>
          </cell>
          <cell r="N5381">
            <v>2.78</v>
          </cell>
          <cell r="O5381">
            <v>2.5710000000000002</v>
          </cell>
        </row>
        <row r="5382">
          <cell r="E5382" t="str">
            <v>ENG</v>
          </cell>
          <cell r="F5382" t="str">
            <v xml:space="preserve">ENG-L </v>
          </cell>
          <cell r="G5382">
            <v>111</v>
          </cell>
          <cell r="H5382" t="str">
            <v>ENG-L 111</v>
          </cell>
          <cell r="K5382" t="str">
            <v>Gutjahr,Paul Charles</v>
          </cell>
          <cell r="N5382">
            <v>3.2109999999999999</v>
          </cell>
          <cell r="O5382">
            <v>3.1949999999999998</v>
          </cell>
        </row>
        <row r="5383">
          <cell r="E5383" t="str">
            <v>ENG</v>
          </cell>
          <cell r="F5383" t="str">
            <v xml:space="preserve">ENG-L </v>
          </cell>
          <cell r="G5383">
            <v>111</v>
          </cell>
          <cell r="H5383" t="str">
            <v>ENG-L 111</v>
          </cell>
          <cell r="K5383" t="str">
            <v>Harrison,Mark L</v>
          </cell>
          <cell r="N5383">
            <v>3.004</v>
          </cell>
          <cell r="O5383">
            <v>2.9340000000000002</v>
          </cell>
        </row>
        <row r="5384">
          <cell r="E5384" t="str">
            <v>ENG</v>
          </cell>
          <cell r="F5384" t="str">
            <v xml:space="preserve">ENG-L </v>
          </cell>
          <cell r="G5384">
            <v>202</v>
          </cell>
          <cell r="H5384" t="str">
            <v>ENG-L 202</v>
          </cell>
          <cell r="K5384" t="str">
            <v>Bache,Lee Anne</v>
          </cell>
          <cell r="N5384">
            <v>3.41</v>
          </cell>
          <cell r="O5384">
            <v>3.19</v>
          </cell>
        </row>
        <row r="5385">
          <cell r="E5385" t="str">
            <v>ENG</v>
          </cell>
          <cell r="F5385" t="str">
            <v xml:space="preserve">ENG-L </v>
          </cell>
          <cell r="G5385">
            <v>202</v>
          </cell>
          <cell r="H5385" t="str">
            <v>ENG-L 202</v>
          </cell>
          <cell r="K5385" t="str">
            <v>Gayk,Shannon</v>
          </cell>
          <cell r="N5385">
            <v>3.2480000000000002</v>
          </cell>
          <cell r="O5385">
            <v>3.1459999999999999</v>
          </cell>
        </row>
        <row r="5386">
          <cell r="E5386" t="str">
            <v>ENG</v>
          </cell>
          <cell r="F5386" t="str">
            <v xml:space="preserve">ENG-L </v>
          </cell>
          <cell r="G5386">
            <v>202</v>
          </cell>
          <cell r="H5386" t="str">
            <v>ENG-L 202</v>
          </cell>
          <cell r="K5386" t="str">
            <v>Hilson,Mica Ars</v>
          </cell>
          <cell r="N5386">
            <v>3.218</v>
          </cell>
          <cell r="O5386">
            <v>3.0659999999999998</v>
          </cell>
        </row>
        <row r="5387">
          <cell r="E5387" t="str">
            <v>ENG</v>
          </cell>
          <cell r="F5387" t="str">
            <v xml:space="preserve">ENG-L </v>
          </cell>
          <cell r="G5387">
            <v>202</v>
          </cell>
          <cell r="H5387" t="str">
            <v>ENG-L 202</v>
          </cell>
          <cell r="K5387" t="str">
            <v>Irmscher,Christoph</v>
          </cell>
          <cell r="N5387">
            <v>3.7549999999999999</v>
          </cell>
          <cell r="O5387">
            <v>3.64</v>
          </cell>
        </row>
        <row r="5388">
          <cell r="E5388" t="str">
            <v>ENG</v>
          </cell>
          <cell r="F5388" t="str">
            <v xml:space="preserve">ENG-L </v>
          </cell>
          <cell r="G5388">
            <v>202</v>
          </cell>
          <cell r="H5388" t="str">
            <v>ENG-L 202</v>
          </cell>
          <cell r="K5388" t="str">
            <v>Kendall-Morwick,Karalyn L</v>
          </cell>
          <cell r="N5388">
            <v>3.1749999999999998</v>
          </cell>
          <cell r="O5388">
            <v>2.9609999999999999</v>
          </cell>
        </row>
        <row r="5389">
          <cell r="E5389" t="str">
            <v>ENG</v>
          </cell>
          <cell r="F5389" t="str">
            <v xml:space="preserve">ENG-L </v>
          </cell>
          <cell r="G5389">
            <v>202</v>
          </cell>
          <cell r="H5389" t="str">
            <v>ENG-L 202</v>
          </cell>
          <cell r="K5389" t="str">
            <v>Nash,Richard</v>
          </cell>
          <cell r="N5389">
            <v>3.3170000000000002</v>
          </cell>
          <cell r="O5389">
            <v>2.9550000000000001</v>
          </cell>
        </row>
        <row r="5390">
          <cell r="E5390" t="str">
            <v>ENG</v>
          </cell>
          <cell r="F5390" t="str">
            <v xml:space="preserve">ENG-L </v>
          </cell>
          <cell r="G5390">
            <v>202</v>
          </cell>
          <cell r="H5390" t="str">
            <v>ENG-L 202</v>
          </cell>
          <cell r="K5390" t="str">
            <v>Reece,Vanessa Grace</v>
          </cell>
          <cell r="N5390">
            <v>2.4910000000000001</v>
          </cell>
          <cell r="O5390">
            <v>2.7909999999999999</v>
          </cell>
        </row>
        <row r="5391">
          <cell r="E5391" t="str">
            <v>ENG</v>
          </cell>
          <cell r="F5391" t="str">
            <v xml:space="preserve">ENG-L </v>
          </cell>
          <cell r="G5391">
            <v>202</v>
          </cell>
          <cell r="H5391" t="str">
            <v>ENG-L 202</v>
          </cell>
          <cell r="K5391" t="str">
            <v>Samantrai,Ranu</v>
          </cell>
          <cell r="N5391">
            <v>2.9460000000000002</v>
          </cell>
          <cell r="O5391">
            <v>2.8650000000000002</v>
          </cell>
        </row>
        <row r="5392">
          <cell r="E5392" t="str">
            <v>ENG</v>
          </cell>
          <cell r="F5392" t="str">
            <v xml:space="preserve">ENG-L </v>
          </cell>
          <cell r="G5392">
            <v>202</v>
          </cell>
          <cell r="H5392" t="str">
            <v>ENG-L 202</v>
          </cell>
          <cell r="K5392" t="str">
            <v>Samantrai,Ranu</v>
          </cell>
          <cell r="N5392">
            <v>2.629</v>
          </cell>
          <cell r="O5392">
            <v>2.9630000000000001</v>
          </cell>
        </row>
        <row r="5393">
          <cell r="E5393" t="str">
            <v>ENG</v>
          </cell>
          <cell r="F5393" t="str">
            <v xml:space="preserve">ENG-L </v>
          </cell>
          <cell r="G5393">
            <v>202</v>
          </cell>
          <cell r="H5393" t="str">
            <v>ENG-L 202</v>
          </cell>
          <cell r="K5393" t="str">
            <v>Shishko,Bonnie Jean</v>
          </cell>
          <cell r="N5393">
            <v>2.7559999999999998</v>
          </cell>
          <cell r="O5393">
            <v>2.7869999999999999</v>
          </cell>
        </row>
        <row r="5394">
          <cell r="E5394" t="str">
            <v>ENG</v>
          </cell>
          <cell r="F5394" t="str">
            <v xml:space="preserve">ENG-L </v>
          </cell>
          <cell r="G5394">
            <v>202</v>
          </cell>
          <cell r="H5394" t="str">
            <v>ENG-L 202</v>
          </cell>
          <cell r="K5394" t="str">
            <v>Smith,Kathy Overhulse</v>
          </cell>
          <cell r="N5394">
            <v>3.1749999999999998</v>
          </cell>
          <cell r="O5394">
            <v>3.32</v>
          </cell>
        </row>
        <row r="5395">
          <cell r="E5395" t="str">
            <v>ENG</v>
          </cell>
          <cell r="F5395" t="str">
            <v xml:space="preserve">ENG-L </v>
          </cell>
          <cell r="G5395">
            <v>202</v>
          </cell>
          <cell r="H5395" t="str">
            <v>ENG-L 202</v>
          </cell>
          <cell r="K5395" t="str">
            <v>Wennerstrom,Courtney</v>
          </cell>
          <cell r="N5395">
            <v>3.2730000000000001</v>
          </cell>
          <cell r="O5395">
            <v>2.9790000000000001</v>
          </cell>
        </row>
        <row r="5396">
          <cell r="E5396" t="str">
            <v>ENG</v>
          </cell>
          <cell r="F5396" t="str">
            <v xml:space="preserve">ENG-L </v>
          </cell>
          <cell r="G5396">
            <v>202</v>
          </cell>
          <cell r="H5396" t="str">
            <v>ENG-L 202</v>
          </cell>
          <cell r="K5396" t="str">
            <v>Wennerstrom,Courtney</v>
          </cell>
          <cell r="N5396">
            <v>3.0569999999999999</v>
          </cell>
          <cell r="O5396">
            <v>2.9790000000000001</v>
          </cell>
        </row>
        <row r="5397">
          <cell r="E5397" t="str">
            <v>ENG</v>
          </cell>
          <cell r="F5397" t="str">
            <v xml:space="preserve">ENG-L </v>
          </cell>
          <cell r="G5397">
            <v>203</v>
          </cell>
          <cell r="H5397" t="str">
            <v>ENG-L 203</v>
          </cell>
          <cell r="K5397" t="str">
            <v>Ramert,Lynn Marie</v>
          </cell>
          <cell r="N5397">
            <v>2.8610000000000002</v>
          </cell>
          <cell r="O5397">
            <v>2.665</v>
          </cell>
        </row>
        <row r="5398">
          <cell r="E5398" t="str">
            <v>ENG</v>
          </cell>
          <cell r="F5398" t="str">
            <v xml:space="preserve">ENG-L </v>
          </cell>
          <cell r="G5398">
            <v>203</v>
          </cell>
          <cell r="H5398" t="str">
            <v>ENG-L 203</v>
          </cell>
          <cell r="K5398" t="str">
            <v>White,Randy Timothy</v>
          </cell>
          <cell r="N5398">
            <v>3.173</v>
          </cell>
          <cell r="O5398">
            <v>2.7890000000000001</v>
          </cell>
        </row>
        <row r="5399">
          <cell r="E5399" t="str">
            <v>ENG</v>
          </cell>
          <cell r="F5399" t="str">
            <v xml:space="preserve">ENG-L </v>
          </cell>
          <cell r="G5399">
            <v>204</v>
          </cell>
          <cell r="H5399" t="str">
            <v>ENG-L 204</v>
          </cell>
          <cell r="K5399" t="str">
            <v>Bagramyan,Sos</v>
          </cell>
          <cell r="N5399">
            <v>2.629</v>
          </cell>
          <cell r="O5399">
            <v>3.048</v>
          </cell>
        </row>
        <row r="5400">
          <cell r="E5400" t="str">
            <v>ENG</v>
          </cell>
          <cell r="F5400" t="str">
            <v xml:space="preserve">ENG-L </v>
          </cell>
          <cell r="G5400">
            <v>204</v>
          </cell>
          <cell r="H5400" t="str">
            <v>ENG-L 204</v>
          </cell>
          <cell r="K5400" t="str">
            <v>Brezniak,Melanie</v>
          </cell>
          <cell r="N5400">
            <v>2.8519999999999999</v>
          </cell>
          <cell r="O5400">
            <v>3.0579999999999998</v>
          </cell>
        </row>
        <row r="5401">
          <cell r="E5401" t="str">
            <v>ENG</v>
          </cell>
          <cell r="F5401" t="str">
            <v xml:space="preserve">ENG-L </v>
          </cell>
          <cell r="G5401">
            <v>204</v>
          </cell>
          <cell r="H5401" t="str">
            <v>ENG-L 204</v>
          </cell>
          <cell r="K5401" t="str">
            <v>Delgado,L. A.</v>
          </cell>
          <cell r="N5401">
            <v>3.488</v>
          </cell>
          <cell r="O5401">
            <v>3.1859999999999999</v>
          </cell>
        </row>
        <row r="5402">
          <cell r="E5402" t="str">
            <v>ENG</v>
          </cell>
          <cell r="F5402" t="str">
            <v xml:space="preserve">ENG-L </v>
          </cell>
          <cell r="G5402">
            <v>204</v>
          </cell>
          <cell r="H5402" t="str">
            <v>ENG-L 204</v>
          </cell>
          <cell r="K5402" t="str">
            <v>Delgado,L. A.</v>
          </cell>
          <cell r="N5402">
            <v>3.5289999999999999</v>
          </cell>
          <cell r="O5402">
            <v>3.0310000000000001</v>
          </cell>
        </row>
        <row r="5403">
          <cell r="E5403" t="str">
            <v>ENG</v>
          </cell>
          <cell r="F5403" t="str">
            <v xml:space="preserve">ENG-L </v>
          </cell>
          <cell r="G5403">
            <v>204</v>
          </cell>
          <cell r="H5403" t="str">
            <v>ENG-L 204</v>
          </cell>
          <cell r="K5403" t="str">
            <v>Delgado,L. A.</v>
          </cell>
          <cell r="N5403">
            <v>2.2650000000000001</v>
          </cell>
          <cell r="O5403">
            <v>2.569</v>
          </cell>
        </row>
        <row r="5404">
          <cell r="E5404" t="str">
            <v>ENG</v>
          </cell>
          <cell r="F5404" t="str">
            <v xml:space="preserve">ENG-L </v>
          </cell>
          <cell r="G5404">
            <v>204</v>
          </cell>
          <cell r="H5404" t="str">
            <v>ENG-L 204</v>
          </cell>
          <cell r="K5404" t="str">
            <v>Englade,Linda Monette</v>
          </cell>
          <cell r="N5404">
            <v>3.2570000000000001</v>
          </cell>
          <cell r="O5404">
            <v>3.3069999999999999</v>
          </cell>
        </row>
        <row r="5405">
          <cell r="E5405" t="str">
            <v>ENG</v>
          </cell>
          <cell r="F5405" t="str">
            <v xml:space="preserve">ENG-L </v>
          </cell>
          <cell r="G5405">
            <v>204</v>
          </cell>
          <cell r="H5405" t="str">
            <v>ENG-L 204</v>
          </cell>
          <cell r="K5405" t="str">
            <v>Han,John Sung</v>
          </cell>
          <cell r="N5405">
            <v>3.1829999999999998</v>
          </cell>
          <cell r="O5405">
            <v>3.2570000000000001</v>
          </cell>
        </row>
        <row r="5406">
          <cell r="E5406" t="str">
            <v>ENG</v>
          </cell>
          <cell r="F5406" t="str">
            <v xml:space="preserve">ENG-L </v>
          </cell>
          <cell r="G5406">
            <v>204</v>
          </cell>
          <cell r="H5406" t="str">
            <v>ENG-L 204</v>
          </cell>
          <cell r="K5406" t="str">
            <v>Hartnett,Terence</v>
          </cell>
          <cell r="N5406">
            <v>3.504</v>
          </cell>
          <cell r="O5406">
            <v>2.903</v>
          </cell>
        </row>
        <row r="5407">
          <cell r="E5407" t="str">
            <v>ENG</v>
          </cell>
          <cell r="F5407" t="str">
            <v xml:space="preserve">ENG-L </v>
          </cell>
          <cell r="G5407">
            <v>204</v>
          </cell>
          <cell r="H5407" t="str">
            <v>ENG-L 204</v>
          </cell>
          <cell r="K5407" t="str">
            <v>Hartnett,Terence</v>
          </cell>
          <cell r="N5407">
            <v>3.492</v>
          </cell>
          <cell r="O5407">
            <v>3.0129999999999999</v>
          </cell>
        </row>
        <row r="5408">
          <cell r="E5408" t="str">
            <v>ENG</v>
          </cell>
          <cell r="F5408" t="str">
            <v xml:space="preserve">ENG-L </v>
          </cell>
          <cell r="G5408">
            <v>204</v>
          </cell>
          <cell r="H5408" t="str">
            <v>ENG-L 204</v>
          </cell>
          <cell r="K5408" t="str">
            <v>Jankowski,Harmony Elizabeth</v>
          </cell>
          <cell r="N5408">
            <v>3.1240000000000001</v>
          </cell>
          <cell r="O5408">
            <v>3.234</v>
          </cell>
        </row>
        <row r="5409">
          <cell r="E5409" t="str">
            <v>ENG</v>
          </cell>
          <cell r="F5409" t="str">
            <v xml:space="preserve">ENG-L </v>
          </cell>
          <cell r="G5409">
            <v>204</v>
          </cell>
          <cell r="H5409" t="str">
            <v>ENG-L 204</v>
          </cell>
          <cell r="K5409" t="str">
            <v>Kilgore,Dewitt Douglas</v>
          </cell>
          <cell r="N5409">
            <v>3.2130000000000001</v>
          </cell>
          <cell r="O5409">
            <v>3.105</v>
          </cell>
        </row>
        <row r="5410">
          <cell r="E5410" t="str">
            <v>ENG</v>
          </cell>
          <cell r="F5410" t="str">
            <v xml:space="preserve">ENG-L </v>
          </cell>
          <cell r="G5410">
            <v>204</v>
          </cell>
          <cell r="H5410" t="str">
            <v>ENG-L 204</v>
          </cell>
          <cell r="K5410" t="str">
            <v>Kofron,John Alderfer</v>
          </cell>
          <cell r="N5410">
            <v>3.5459999999999998</v>
          </cell>
          <cell r="O5410">
            <v>3.0150000000000001</v>
          </cell>
        </row>
        <row r="5411">
          <cell r="E5411" t="str">
            <v>ENG</v>
          </cell>
          <cell r="F5411" t="str">
            <v xml:space="preserve">ENG-L </v>
          </cell>
          <cell r="G5411">
            <v>204</v>
          </cell>
          <cell r="H5411" t="str">
            <v>ENG-L 204</v>
          </cell>
          <cell r="K5411" t="str">
            <v>Kraft,Julie Kay</v>
          </cell>
          <cell r="N5411">
            <v>2.504</v>
          </cell>
          <cell r="O5411">
            <v>2.9740000000000002</v>
          </cell>
        </row>
        <row r="5412">
          <cell r="E5412" t="str">
            <v>ENG</v>
          </cell>
          <cell r="F5412" t="str">
            <v xml:space="preserve">ENG-L </v>
          </cell>
          <cell r="G5412">
            <v>204</v>
          </cell>
          <cell r="H5412" t="str">
            <v>ENG-L 204</v>
          </cell>
          <cell r="K5412" t="str">
            <v>Kraft,Julie Kay</v>
          </cell>
          <cell r="N5412">
            <v>2.9449999999999998</v>
          </cell>
          <cell r="O5412">
            <v>3.1579999999999999</v>
          </cell>
        </row>
        <row r="5413">
          <cell r="E5413" t="str">
            <v>ENG</v>
          </cell>
          <cell r="F5413" t="str">
            <v xml:space="preserve">ENG-L </v>
          </cell>
          <cell r="G5413">
            <v>204</v>
          </cell>
          <cell r="H5413" t="str">
            <v>ENG-L 204</v>
          </cell>
          <cell r="K5413" t="str">
            <v>Lewis,Michael Jay</v>
          </cell>
          <cell r="N5413">
            <v>2.8479999999999999</v>
          </cell>
          <cell r="O5413">
            <v>3.1880000000000002</v>
          </cell>
        </row>
        <row r="5414">
          <cell r="E5414" t="str">
            <v>ENG</v>
          </cell>
          <cell r="F5414" t="str">
            <v xml:space="preserve">ENG-L </v>
          </cell>
          <cell r="G5414">
            <v>204</v>
          </cell>
          <cell r="H5414" t="str">
            <v>ENG-L 204</v>
          </cell>
          <cell r="K5414" t="str">
            <v>Lewis,Michael Jay</v>
          </cell>
          <cell r="N5414">
            <v>2.5390000000000001</v>
          </cell>
          <cell r="O5414">
            <v>3.242</v>
          </cell>
        </row>
        <row r="5415">
          <cell r="E5415" t="str">
            <v>ENG</v>
          </cell>
          <cell r="F5415" t="str">
            <v xml:space="preserve">ENG-L </v>
          </cell>
          <cell r="G5415">
            <v>204</v>
          </cell>
          <cell r="H5415" t="str">
            <v>ENG-L 204</v>
          </cell>
          <cell r="K5415" t="str">
            <v>Libby,Andrew</v>
          </cell>
          <cell r="N5415">
            <v>3.1</v>
          </cell>
          <cell r="O5415">
            <v>3.0720000000000001</v>
          </cell>
        </row>
        <row r="5416">
          <cell r="E5416" t="str">
            <v>ENG</v>
          </cell>
          <cell r="F5416" t="str">
            <v xml:space="preserve">ENG-L </v>
          </cell>
          <cell r="G5416">
            <v>204</v>
          </cell>
          <cell r="H5416" t="str">
            <v>ENG-L 204</v>
          </cell>
          <cell r="K5416" t="str">
            <v>Lynch,Matthew Thomas</v>
          </cell>
          <cell r="N5416">
            <v>3.27</v>
          </cell>
          <cell r="O5416">
            <v>2.9769999999999999</v>
          </cell>
        </row>
        <row r="5417">
          <cell r="E5417" t="str">
            <v>ENG</v>
          </cell>
          <cell r="F5417" t="str">
            <v xml:space="preserve">ENG-L </v>
          </cell>
          <cell r="G5417">
            <v>204</v>
          </cell>
          <cell r="H5417" t="str">
            <v>ENG-L 204</v>
          </cell>
          <cell r="K5417" t="str">
            <v>Miller,Ashley Marie</v>
          </cell>
          <cell r="N5417">
            <v>3.1880000000000002</v>
          </cell>
          <cell r="O5417">
            <v>3.056</v>
          </cell>
        </row>
        <row r="5418">
          <cell r="E5418" t="str">
            <v>ENG</v>
          </cell>
          <cell r="F5418" t="str">
            <v xml:space="preserve">ENG-L </v>
          </cell>
          <cell r="G5418">
            <v>204</v>
          </cell>
          <cell r="H5418" t="str">
            <v>ENG-L 204</v>
          </cell>
          <cell r="K5418" t="str">
            <v>Nash,Richard</v>
          </cell>
          <cell r="N5418">
            <v>3.1</v>
          </cell>
          <cell r="O5418">
            <v>3.1549999999999998</v>
          </cell>
        </row>
        <row r="5419">
          <cell r="E5419" t="str">
            <v>ENG</v>
          </cell>
          <cell r="F5419" t="str">
            <v xml:space="preserve">ENG-L </v>
          </cell>
          <cell r="G5419">
            <v>204</v>
          </cell>
          <cell r="H5419" t="str">
            <v>ENG-L 204</v>
          </cell>
          <cell r="K5419" t="str">
            <v>Oler,Andy</v>
          </cell>
          <cell r="N5419">
            <v>3.1819999999999999</v>
          </cell>
          <cell r="O5419">
            <v>3.008</v>
          </cell>
        </row>
        <row r="5420">
          <cell r="E5420" t="str">
            <v>ENG</v>
          </cell>
          <cell r="F5420" t="str">
            <v xml:space="preserve">ENG-L </v>
          </cell>
          <cell r="G5420">
            <v>204</v>
          </cell>
          <cell r="H5420" t="str">
            <v>ENG-L 204</v>
          </cell>
          <cell r="K5420" t="str">
            <v>Oler,Andy</v>
          </cell>
          <cell r="N5420">
            <v>3.1230000000000002</v>
          </cell>
          <cell r="O5420">
            <v>3.214</v>
          </cell>
        </row>
        <row r="5421">
          <cell r="E5421" t="str">
            <v>ENG</v>
          </cell>
          <cell r="F5421" t="str">
            <v xml:space="preserve">ENG-L </v>
          </cell>
          <cell r="G5421">
            <v>204</v>
          </cell>
          <cell r="H5421" t="str">
            <v>ENG-L 204</v>
          </cell>
          <cell r="K5421" t="str">
            <v>Ozment,Catherine</v>
          </cell>
          <cell r="N5421">
            <v>3.0880000000000001</v>
          </cell>
          <cell r="O5421">
            <v>3.0960000000000001</v>
          </cell>
        </row>
        <row r="5422">
          <cell r="E5422" t="str">
            <v>ENG</v>
          </cell>
          <cell r="F5422" t="str">
            <v xml:space="preserve">ENG-L </v>
          </cell>
          <cell r="G5422">
            <v>204</v>
          </cell>
          <cell r="H5422" t="str">
            <v>ENG-L 204</v>
          </cell>
          <cell r="K5422" t="str">
            <v>Ozment,Catherine Anne</v>
          </cell>
          <cell r="N5422">
            <v>3.0249999999999999</v>
          </cell>
          <cell r="O5422">
            <v>2.9929999999999999</v>
          </cell>
        </row>
        <row r="5423">
          <cell r="E5423" t="str">
            <v>ENG</v>
          </cell>
          <cell r="F5423" t="str">
            <v xml:space="preserve">ENG-L </v>
          </cell>
          <cell r="G5423">
            <v>204</v>
          </cell>
          <cell r="H5423" t="str">
            <v>ENG-L 204</v>
          </cell>
          <cell r="K5423" t="str">
            <v>Plummer,Laura A</v>
          </cell>
          <cell r="N5423">
            <v>2.823</v>
          </cell>
          <cell r="O5423">
            <v>2.6539999999999999</v>
          </cell>
        </row>
        <row r="5424">
          <cell r="E5424" t="str">
            <v>ENG</v>
          </cell>
          <cell r="F5424" t="str">
            <v xml:space="preserve">ENG-L </v>
          </cell>
          <cell r="G5424">
            <v>204</v>
          </cell>
          <cell r="H5424" t="str">
            <v>ENG-L 204</v>
          </cell>
          <cell r="K5424" t="str">
            <v>Plummer,Laura A</v>
          </cell>
          <cell r="N5424">
            <v>2.9470000000000001</v>
          </cell>
          <cell r="O5424">
            <v>3.0630000000000002</v>
          </cell>
        </row>
        <row r="5425">
          <cell r="E5425" t="str">
            <v>ENG</v>
          </cell>
          <cell r="F5425" t="str">
            <v xml:space="preserve">ENG-L </v>
          </cell>
          <cell r="G5425">
            <v>204</v>
          </cell>
          <cell r="H5425" t="str">
            <v>ENG-L 204</v>
          </cell>
          <cell r="K5425" t="str">
            <v>Pryor Ackerman,Erin Maureen</v>
          </cell>
          <cell r="N5425">
            <v>2.9540000000000002</v>
          </cell>
          <cell r="O5425">
            <v>3.077</v>
          </cell>
        </row>
        <row r="5426">
          <cell r="E5426" t="str">
            <v>ENG</v>
          </cell>
          <cell r="F5426" t="str">
            <v xml:space="preserve">ENG-L </v>
          </cell>
          <cell r="G5426">
            <v>204</v>
          </cell>
          <cell r="H5426" t="str">
            <v>ENG-L 204</v>
          </cell>
          <cell r="K5426" t="str">
            <v>Reece,Vanessa Grace</v>
          </cell>
          <cell r="N5426">
            <v>2.3180000000000001</v>
          </cell>
          <cell r="O5426">
            <v>3.016</v>
          </cell>
        </row>
        <row r="5427">
          <cell r="E5427" t="str">
            <v>ENG</v>
          </cell>
          <cell r="F5427" t="str">
            <v xml:space="preserve">ENG-L </v>
          </cell>
          <cell r="G5427">
            <v>204</v>
          </cell>
          <cell r="H5427" t="str">
            <v>ENG-L 204</v>
          </cell>
          <cell r="K5427" t="str">
            <v>Rogers,Lane</v>
          </cell>
          <cell r="N5427">
            <v>3.367</v>
          </cell>
          <cell r="O5427">
            <v>3.2120000000000002</v>
          </cell>
        </row>
        <row r="5428">
          <cell r="E5428" t="str">
            <v>ENG</v>
          </cell>
          <cell r="F5428" t="str">
            <v xml:space="preserve">ENG-L </v>
          </cell>
          <cell r="G5428">
            <v>204</v>
          </cell>
          <cell r="H5428" t="str">
            <v>ENG-L 204</v>
          </cell>
          <cell r="K5428" t="str">
            <v>Simek,Lauren Elizabeth</v>
          </cell>
          <cell r="N5428">
            <v>2.8959999999999999</v>
          </cell>
          <cell r="O5428">
            <v>2.9340000000000002</v>
          </cell>
        </row>
        <row r="5429">
          <cell r="E5429" t="str">
            <v>ENG</v>
          </cell>
          <cell r="F5429" t="str">
            <v xml:space="preserve">ENG-L </v>
          </cell>
          <cell r="G5429">
            <v>204</v>
          </cell>
          <cell r="H5429" t="str">
            <v>ENG-L 204</v>
          </cell>
          <cell r="K5429" t="str">
            <v>Taylor,A. Arwen</v>
          </cell>
          <cell r="N5429">
            <v>2.7410000000000001</v>
          </cell>
          <cell r="O5429">
            <v>3.016</v>
          </cell>
        </row>
        <row r="5430">
          <cell r="E5430" t="str">
            <v>ENG</v>
          </cell>
          <cell r="F5430" t="str">
            <v xml:space="preserve">ENG-L </v>
          </cell>
          <cell r="G5430">
            <v>204</v>
          </cell>
          <cell r="H5430" t="str">
            <v>ENG-L 204</v>
          </cell>
          <cell r="K5430" t="str">
            <v>Trollinger,Rebekah Kathleen</v>
          </cell>
          <cell r="N5430">
            <v>3.3</v>
          </cell>
          <cell r="O5430">
            <v>3.2240000000000002</v>
          </cell>
        </row>
        <row r="5431">
          <cell r="E5431" t="str">
            <v>ENG</v>
          </cell>
          <cell r="F5431" t="str">
            <v xml:space="preserve">ENG-L </v>
          </cell>
          <cell r="G5431">
            <v>204</v>
          </cell>
          <cell r="H5431" t="str">
            <v>ENG-L 204</v>
          </cell>
          <cell r="K5431" t="str">
            <v>Wilson,Alexis K.</v>
          </cell>
          <cell r="N5431">
            <v>3.1440000000000001</v>
          </cell>
          <cell r="O5431">
            <v>2.9380000000000002</v>
          </cell>
        </row>
        <row r="5432">
          <cell r="E5432" t="str">
            <v>ENG</v>
          </cell>
          <cell r="F5432" t="str">
            <v xml:space="preserve">ENG-L </v>
          </cell>
          <cell r="G5432">
            <v>205</v>
          </cell>
          <cell r="H5432" t="str">
            <v>ENG-L 205</v>
          </cell>
          <cell r="K5432" t="str">
            <v>Englade,Linda Monette</v>
          </cell>
          <cell r="N5432">
            <v>3.03</v>
          </cell>
          <cell r="O5432">
            <v>2.9870000000000001</v>
          </cell>
        </row>
        <row r="5433">
          <cell r="E5433" t="str">
            <v>ENG</v>
          </cell>
          <cell r="F5433" t="str">
            <v xml:space="preserve">ENG-L </v>
          </cell>
          <cell r="G5433">
            <v>205</v>
          </cell>
          <cell r="H5433" t="str">
            <v>ENG-L 205</v>
          </cell>
          <cell r="K5433" t="str">
            <v>Fulk,Robert Dennis</v>
          </cell>
          <cell r="N5433">
            <v>3.121</v>
          </cell>
          <cell r="O5433">
            <v>3.069</v>
          </cell>
        </row>
        <row r="5434">
          <cell r="E5434" t="str">
            <v>ENG</v>
          </cell>
          <cell r="F5434" t="str">
            <v xml:space="preserve">ENG-L </v>
          </cell>
          <cell r="G5434">
            <v>205</v>
          </cell>
          <cell r="H5434" t="str">
            <v>ENG-L 205</v>
          </cell>
          <cell r="K5434" t="str">
            <v>Halloran,William David</v>
          </cell>
          <cell r="N5434">
            <v>3.0169999999999999</v>
          </cell>
          <cell r="O5434">
            <v>3.0110000000000001</v>
          </cell>
        </row>
        <row r="5435">
          <cell r="E5435" t="str">
            <v>ENG</v>
          </cell>
          <cell r="F5435" t="str">
            <v xml:space="preserve">ENG-L </v>
          </cell>
          <cell r="G5435">
            <v>205</v>
          </cell>
          <cell r="H5435" t="str">
            <v>ENG-L 205</v>
          </cell>
          <cell r="K5435" t="str">
            <v>Houlik-Ritchey,Emily Marie</v>
          </cell>
          <cell r="N5435">
            <v>3.0139999999999998</v>
          </cell>
          <cell r="O5435">
            <v>2.9550000000000001</v>
          </cell>
        </row>
        <row r="5436">
          <cell r="E5436" t="str">
            <v>ENG</v>
          </cell>
          <cell r="F5436" t="str">
            <v xml:space="preserve">ENG-L </v>
          </cell>
          <cell r="G5436">
            <v>207</v>
          </cell>
          <cell r="H5436" t="str">
            <v>ENG-L 207</v>
          </cell>
          <cell r="K5436" t="str">
            <v>Farris,Christine Rhoda</v>
          </cell>
          <cell r="N5436">
            <v>3.097</v>
          </cell>
          <cell r="O5436">
            <v>3.258</v>
          </cell>
        </row>
        <row r="5437">
          <cell r="E5437" t="str">
            <v>ENG</v>
          </cell>
          <cell r="F5437" t="str">
            <v xml:space="preserve">ENG-L </v>
          </cell>
          <cell r="G5437">
            <v>208</v>
          </cell>
          <cell r="H5437" t="str">
            <v>ENG-L 208</v>
          </cell>
          <cell r="K5437" t="str">
            <v>Harrison,Mark L</v>
          </cell>
          <cell r="N5437">
            <v>2.8559999999999999</v>
          </cell>
          <cell r="O5437">
            <v>2.7050000000000001</v>
          </cell>
        </row>
        <row r="5438">
          <cell r="E5438" t="str">
            <v>ENG</v>
          </cell>
          <cell r="F5438" t="str">
            <v xml:space="preserve">ENG-L </v>
          </cell>
          <cell r="G5438">
            <v>220</v>
          </cell>
          <cell r="H5438" t="str">
            <v>ENG-L 220</v>
          </cell>
          <cell r="K5438" t="str">
            <v>McAvoy,David Larocque</v>
          </cell>
          <cell r="N5438">
            <v>2.8439999999999999</v>
          </cell>
          <cell r="O5438">
            <v>3.0089999999999999</v>
          </cell>
        </row>
        <row r="5439">
          <cell r="E5439" t="str">
            <v>ENG</v>
          </cell>
          <cell r="F5439" t="str">
            <v xml:space="preserve">ENG-L </v>
          </cell>
          <cell r="G5439">
            <v>220</v>
          </cell>
          <cell r="H5439" t="str">
            <v>ENG-L 220</v>
          </cell>
          <cell r="K5439" t="str">
            <v>McAvoy,David Larocque</v>
          </cell>
          <cell r="N5439">
            <v>2.87</v>
          </cell>
          <cell r="O5439">
            <v>3.004</v>
          </cell>
        </row>
        <row r="5440">
          <cell r="E5440" t="str">
            <v>ENG</v>
          </cell>
          <cell r="F5440" t="str">
            <v xml:space="preserve">ENG-L </v>
          </cell>
          <cell r="G5440">
            <v>223</v>
          </cell>
          <cell r="H5440" t="str">
            <v>ENG-L 223</v>
          </cell>
          <cell r="K5440" t="str">
            <v>Cruz,Denise</v>
          </cell>
          <cell r="N5440">
            <v>3.633</v>
          </cell>
          <cell r="O5440">
            <v>3.1459999999999999</v>
          </cell>
        </row>
        <row r="5441">
          <cell r="E5441" t="str">
            <v>ENG</v>
          </cell>
          <cell r="F5441" t="str">
            <v xml:space="preserve">ENG-L </v>
          </cell>
          <cell r="G5441">
            <v>224</v>
          </cell>
          <cell r="H5441" t="str">
            <v>ENG-L 224</v>
          </cell>
          <cell r="K5441" t="str">
            <v>Bose,Purnima</v>
          </cell>
          <cell r="N5441">
            <v>2.8580000000000001</v>
          </cell>
          <cell r="O5441">
            <v>2.9969999999999999</v>
          </cell>
        </row>
        <row r="5442">
          <cell r="E5442" t="str">
            <v>ENG</v>
          </cell>
          <cell r="F5442" t="str">
            <v xml:space="preserve">ENG-L </v>
          </cell>
          <cell r="G5442">
            <v>240</v>
          </cell>
          <cell r="H5442" t="str">
            <v>ENG-L 240</v>
          </cell>
          <cell r="K5442" t="str">
            <v>Farris,Christine Rhoda</v>
          </cell>
          <cell r="N5442">
            <v>3.371</v>
          </cell>
          <cell r="O5442">
            <v>3.2290000000000001</v>
          </cell>
        </row>
        <row r="5443">
          <cell r="E5443" t="str">
            <v>ENG</v>
          </cell>
          <cell r="F5443" t="str">
            <v xml:space="preserve">ENG-L </v>
          </cell>
          <cell r="G5443">
            <v>249</v>
          </cell>
          <cell r="H5443" t="str">
            <v>ENG-L 249</v>
          </cell>
          <cell r="K5443" t="str">
            <v>Herring,Terrell Scott</v>
          </cell>
          <cell r="N5443">
            <v>3.6749999999999998</v>
          </cell>
          <cell r="O5443">
            <v>3.1869999999999998</v>
          </cell>
        </row>
        <row r="5444">
          <cell r="E5444" t="str">
            <v>ENG</v>
          </cell>
          <cell r="F5444" t="str">
            <v xml:space="preserve">ENG-L </v>
          </cell>
          <cell r="G5444">
            <v>295</v>
          </cell>
          <cell r="H5444" t="str">
            <v>ENG-L 295</v>
          </cell>
          <cell r="K5444" t="str">
            <v>Kilgore,Dewitt Douglas</v>
          </cell>
          <cell r="N5444">
            <v>3.444</v>
          </cell>
          <cell r="O5444">
            <v>3.032</v>
          </cell>
        </row>
        <row r="5445">
          <cell r="E5445" t="str">
            <v>ENG</v>
          </cell>
          <cell r="F5445" t="str">
            <v xml:space="preserve">ENG-L </v>
          </cell>
          <cell r="G5445">
            <v>295</v>
          </cell>
          <cell r="H5445" t="str">
            <v>ENG-L 295</v>
          </cell>
          <cell r="K5445" t="str">
            <v>Schilb,John Lincoln</v>
          </cell>
          <cell r="N5445">
            <v>3.61</v>
          </cell>
          <cell r="O5445">
            <v>2.9369999999999998</v>
          </cell>
        </row>
        <row r="5446">
          <cell r="E5446" t="str">
            <v>ENG</v>
          </cell>
          <cell r="F5446" t="str">
            <v xml:space="preserve">ENG-L </v>
          </cell>
          <cell r="G5446">
            <v>305</v>
          </cell>
          <cell r="H5446" t="str">
            <v>ENG-L 305</v>
          </cell>
          <cell r="K5446" t="str">
            <v>Adams,Michael Paul</v>
          </cell>
          <cell r="N5446">
            <v>3.1059999999999999</v>
          </cell>
          <cell r="O5446">
            <v>3.0760000000000001</v>
          </cell>
        </row>
        <row r="5447">
          <cell r="E5447" t="str">
            <v>ENG</v>
          </cell>
          <cell r="F5447" t="str">
            <v xml:space="preserve">ENG-L </v>
          </cell>
          <cell r="G5447">
            <v>306</v>
          </cell>
          <cell r="H5447" t="str">
            <v>ENG-L 306</v>
          </cell>
          <cell r="K5447" t="str">
            <v>Gayk,Shannon</v>
          </cell>
          <cell r="N5447">
            <v>3.4350000000000001</v>
          </cell>
          <cell r="O5447">
            <v>3.383</v>
          </cell>
        </row>
        <row r="5448">
          <cell r="E5448" t="str">
            <v>ENG</v>
          </cell>
          <cell r="F5448" t="str">
            <v xml:space="preserve">ENG-L </v>
          </cell>
          <cell r="G5448">
            <v>309</v>
          </cell>
          <cell r="H5448" t="str">
            <v>ENG-L 309</v>
          </cell>
          <cell r="K5448" t="str">
            <v>Smith,Kathy Overhulse</v>
          </cell>
          <cell r="N5448">
            <v>2.6579999999999999</v>
          </cell>
          <cell r="O5448">
            <v>3.1179999999999999</v>
          </cell>
        </row>
        <row r="5449">
          <cell r="E5449" t="str">
            <v>ENG</v>
          </cell>
          <cell r="F5449" t="str">
            <v xml:space="preserve">ENG-L </v>
          </cell>
          <cell r="G5449">
            <v>313</v>
          </cell>
          <cell r="H5449" t="str">
            <v>ENG-L 313</v>
          </cell>
          <cell r="K5449" t="str">
            <v>Anderson,Penelope</v>
          </cell>
          <cell r="N5449">
            <v>3.4470000000000001</v>
          </cell>
          <cell r="O5449">
            <v>3.2429999999999999</v>
          </cell>
        </row>
        <row r="5450">
          <cell r="E5450" t="str">
            <v>ENG</v>
          </cell>
          <cell r="F5450" t="str">
            <v xml:space="preserve">ENG-L </v>
          </cell>
          <cell r="G5450">
            <v>313</v>
          </cell>
          <cell r="H5450" t="str">
            <v>ENG-L 313</v>
          </cell>
          <cell r="K5450" t="str">
            <v>Anderson,Penelope</v>
          </cell>
          <cell r="N5450">
            <v>3.2349999999999999</v>
          </cell>
          <cell r="O5450">
            <v>3.2360000000000002</v>
          </cell>
        </row>
        <row r="5451">
          <cell r="E5451" t="str">
            <v>ENG</v>
          </cell>
          <cell r="F5451" t="str">
            <v xml:space="preserve">ENG-L </v>
          </cell>
          <cell r="G5451">
            <v>314</v>
          </cell>
          <cell r="H5451" t="str">
            <v>ENG-L 314</v>
          </cell>
          <cell r="K5451" t="str">
            <v>Charnes,Linda Anne</v>
          </cell>
          <cell r="N5451">
            <v>3.5</v>
          </cell>
          <cell r="O5451">
            <v>3.4079999999999999</v>
          </cell>
        </row>
        <row r="5452">
          <cell r="E5452" t="str">
            <v>ENG</v>
          </cell>
          <cell r="F5452" t="str">
            <v xml:space="preserve">ENG-L </v>
          </cell>
          <cell r="G5452">
            <v>314</v>
          </cell>
          <cell r="H5452" t="str">
            <v>ENG-L 314</v>
          </cell>
          <cell r="K5452" t="str">
            <v>MacKay,Ellen</v>
          </cell>
          <cell r="N5452">
            <v>3.383</v>
          </cell>
          <cell r="O5452">
            <v>3.2789999999999999</v>
          </cell>
        </row>
        <row r="5453">
          <cell r="E5453" t="str">
            <v>ENG</v>
          </cell>
          <cell r="F5453" t="str">
            <v xml:space="preserve">ENG-L </v>
          </cell>
          <cell r="G5453">
            <v>318</v>
          </cell>
          <cell r="H5453" t="str">
            <v>ENG-L 318</v>
          </cell>
          <cell r="K5453" t="str">
            <v>Anderson,Judith H.</v>
          </cell>
          <cell r="N5453">
            <v>2.95</v>
          </cell>
          <cell r="O5453">
            <v>3.0739999999999998</v>
          </cell>
        </row>
        <row r="5454">
          <cell r="E5454" t="str">
            <v>ENG</v>
          </cell>
          <cell r="F5454" t="str">
            <v xml:space="preserve">ENG-L </v>
          </cell>
          <cell r="G5454">
            <v>318</v>
          </cell>
          <cell r="H5454" t="str">
            <v>ENG-L 318</v>
          </cell>
          <cell r="K5454" t="str">
            <v>Anderson,Judith H.</v>
          </cell>
          <cell r="N5454">
            <v>2.7</v>
          </cell>
          <cell r="O5454">
            <v>3.1970000000000001</v>
          </cell>
        </row>
        <row r="5455">
          <cell r="E5455" t="str">
            <v>ENG</v>
          </cell>
          <cell r="F5455" t="str">
            <v xml:space="preserve">ENG-L </v>
          </cell>
          <cell r="G5455">
            <v>328</v>
          </cell>
          <cell r="H5455" t="str">
            <v>ENG-L 328</v>
          </cell>
          <cell r="K5455" t="str">
            <v>Nash,Richard</v>
          </cell>
          <cell r="N5455">
            <v>3.35</v>
          </cell>
          <cell r="O5455">
            <v>3.13</v>
          </cell>
        </row>
        <row r="5456">
          <cell r="E5456" t="str">
            <v>ENG</v>
          </cell>
          <cell r="F5456" t="str">
            <v xml:space="preserve">ENG-L </v>
          </cell>
          <cell r="G5456">
            <v>328</v>
          </cell>
          <cell r="H5456" t="str">
            <v>ENG-L 328</v>
          </cell>
          <cell r="K5456" t="str">
            <v>Nash,Richard</v>
          </cell>
          <cell r="N5456">
            <v>3.0910000000000002</v>
          </cell>
          <cell r="O5456">
            <v>2.9830000000000001</v>
          </cell>
        </row>
        <row r="5457">
          <cell r="E5457" t="str">
            <v>ENG</v>
          </cell>
          <cell r="F5457" t="str">
            <v xml:space="preserve">ENG-L </v>
          </cell>
          <cell r="G5457">
            <v>332</v>
          </cell>
          <cell r="H5457" t="str">
            <v>ENG-L 332</v>
          </cell>
          <cell r="K5457" t="str">
            <v>Favret,Mary Agnes</v>
          </cell>
          <cell r="N5457">
            <v>2.6819999999999999</v>
          </cell>
          <cell r="O5457">
            <v>3.2280000000000002</v>
          </cell>
        </row>
        <row r="5458">
          <cell r="E5458" t="str">
            <v>ENG</v>
          </cell>
          <cell r="F5458" t="str">
            <v xml:space="preserve">ENG-L </v>
          </cell>
          <cell r="G5458">
            <v>335</v>
          </cell>
          <cell r="H5458" t="str">
            <v>ENG-L 335</v>
          </cell>
          <cell r="K5458" t="str">
            <v>Kreilkamp,Ivan</v>
          </cell>
          <cell r="N5458">
            <v>3.11</v>
          </cell>
          <cell r="O5458">
            <v>3.1440000000000001</v>
          </cell>
        </row>
        <row r="5459">
          <cell r="E5459" t="str">
            <v>ENG</v>
          </cell>
          <cell r="F5459" t="str">
            <v xml:space="preserve">ENG-L </v>
          </cell>
          <cell r="G5459">
            <v>335</v>
          </cell>
          <cell r="H5459" t="str">
            <v>ENG-L 335</v>
          </cell>
          <cell r="K5459" t="str">
            <v>Miller,Andrew Horton</v>
          </cell>
          <cell r="N5459">
            <v>2.8740000000000001</v>
          </cell>
          <cell r="O5459">
            <v>3.1360000000000001</v>
          </cell>
        </row>
        <row r="5460">
          <cell r="E5460" t="str">
            <v>ENG</v>
          </cell>
          <cell r="F5460" t="str">
            <v xml:space="preserve">ENG-L </v>
          </cell>
          <cell r="G5460">
            <v>346</v>
          </cell>
          <cell r="H5460" t="str">
            <v>ENG-L 346</v>
          </cell>
          <cell r="K5460" t="str">
            <v>Samantrai,Ranu</v>
          </cell>
          <cell r="N5460">
            <v>3.3740000000000001</v>
          </cell>
          <cell r="O5460">
            <v>3.145</v>
          </cell>
        </row>
        <row r="5461">
          <cell r="E5461" t="str">
            <v>ENG</v>
          </cell>
          <cell r="F5461" t="str">
            <v xml:space="preserve">ENG-L </v>
          </cell>
          <cell r="G5461">
            <v>347</v>
          </cell>
          <cell r="H5461" t="str">
            <v>ENG-L 347</v>
          </cell>
          <cell r="K5461" t="str">
            <v>Molesworth,Jesse Marti</v>
          </cell>
          <cell r="N5461">
            <v>2.8140000000000001</v>
          </cell>
          <cell r="O5461">
            <v>3.0779999999999998</v>
          </cell>
        </row>
        <row r="5462">
          <cell r="E5462" t="str">
            <v>ENG</v>
          </cell>
          <cell r="F5462" t="str">
            <v xml:space="preserve">ENG-L </v>
          </cell>
          <cell r="G5462">
            <v>348</v>
          </cell>
          <cell r="H5462" t="str">
            <v>ENG-L 348</v>
          </cell>
          <cell r="K5462" t="str">
            <v>Higgins,Richard S</v>
          </cell>
          <cell r="N5462">
            <v>3.3</v>
          </cell>
          <cell r="O5462">
            <v>3.129</v>
          </cell>
        </row>
        <row r="5463">
          <cell r="E5463" t="str">
            <v>ENG</v>
          </cell>
          <cell r="F5463" t="str">
            <v xml:space="preserve">ENG-L </v>
          </cell>
          <cell r="G5463">
            <v>351</v>
          </cell>
          <cell r="H5463" t="str">
            <v>ENG-L 351</v>
          </cell>
          <cell r="K5463" t="str">
            <v>Gutjahr,Paul Charles</v>
          </cell>
          <cell r="N5463">
            <v>3.1739999999999999</v>
          </cell>
          <cell r="O5463">
            <v>3.343</v>
          </cell>
        </row>
        <row r="5464">
          <cell r="E5464" t="str">
            <v>ENG</v>
          </cell>
          <cell r="F5464" t="str">
            <v xml:space="preserve">ENG-L </v>
          </cell>
          <cell r="G5464">
            <v>352</v>
          </cell>
          <cell r="H5464" t="str">
            <v>ENG-L 352</v>
          </cell>
          <cell r="K5464" t="str">
            <v>Fleissner,Jennifer Luise</v>
          </cell>
          <cell r="N5464">
            <v>3.3370000000000002</v>
          </cell>
          <cell r="O5464">
            <v>3.1779999999999999</v>
          </cell>
        </row>
        <row r="5465">
          <cell r="E5465" t="str">
            <v>ENG</v>
          </cell>
          <cell r="F5465" t="str">
            <v xml:space="preserve">ENG-L </v>
          </cell>
          <cell r="G5465">
            <v>352</v>
          </cell>
          <cell r="H5465" t="str">
            <v>ENG-L 352</v>
          </cell>
          <cell r="K5465" t="str">
            <v>Irmscher,Christoph</v>
          </cell>
          <cell r="N5465">
            <v>3.3849999999999998</v>
          </cell>
          <cell r="O5465">
            <v>3.3479999999999999</v>
          </cell>
        </row>
        <row r="5466">
          <cell r="E5466" t="str">
            <v>ENG</v>
          </cell>
          <cell r="F5466" t="str">
            <v xml:space="preserve">ENG-L </v>
          </cell>
          <cell r="G5466">
            <v>354</v>
          </cell>
          <cell r="H5466" t="str">
            <v>ENG-L 354</v>
          </cell>
          <cell r="K5466" t="str">
            <v>Herring,Terrell Scott</v>
          </cell>
          <cell r="N5466">
            <v>3.6869999999999998</v>
          </cell>
          <cell r="O5466">
            <v>3.3759999999999999</v>
          </cell>
        </row>
        <row r="5467">
          <cell r="E5467" t="str">
            <v>ENG</v>
          </cell>
          <cell r="F5467" t="str">
            <v xml:space="preserve">ENG-L </v>
          </cell>
          <cell r="G5467">
            <v>357</v>
          </cell>
          <cell r="H5467" t="str">
            <v>ENG-L 357</v>
          </cell>
          <cell r="K5467" t="str">
            <v>Kates,Joshua</v>
          </cell>
          <cell r="N5467">
            <v>3.2170000000000001</v>
          </cell>
          <cell r="O5467">
            <v>3.0579999999999998</v>
          </cell>
        </row>
        <row r="5468">
          <cell r="E5468" t="str">
            <v>ENG</v>
          </cell>
          <cell r="F5468" t="str">
            <v xml:space="preserve">ENG-L </v>
          </cell>
          <cell r="G5468">
            <v>358</v>
          </cell>
          <cell r="H5468" t="str">
            <v>ENG-L 358</v>
          </cell>
          <cell r="K5468" t="str">
            <v>Varon,Alberto</v>
          </cell>
          <cell r="N5468">
            <v>3.1269999999999998</v>
          </cell>
          <cell r="O5468">
            <v>3.0960000000000001</v>
          </cell>
        </row>
        <row r="5469">
          <cell r="E5469" t="str">
            <v>ENG</v>
          </cell>
          <cell r="F5469" t="str">
            <v xml:space="preserve">ENG-L </v>
          </cell>
          <cell r="G5469">
            <v>359</v>
          </cell>
          <cell r="H5469" t="str">
            <v>ENG-L 359</v>
          </cell>
          <cell r="K5469" t="str">
            <v>Cruz,Denise</v>
          </cell>
          <cell r="N5469">
            <v>3.6230000000000002</v>
          </cell>
          <cell r="O5469">
            <v>3.38</v>
          </cell>
        </row>
        <row r="5470">
          <cell r="E5470" t="str">
            <v>ENG</v>
          </cell>
          <cell r="F5470" t="str">
            <v xml:space="preserve">ENG-L </v>
          </cell>
          <cell r="G5470">
            <v>363</v>
          </cell>
          <cell r="H5470" t="str">
            <v>ENG-L 363</v>
          </cell>
          <cell r="K5470" t="str">
            <v>Vogel,Shane</v>
          </cell>
          <cell r="N5470">
            <v>3.35</v>
          </cell>
          <cell r="O5470">
            <v>3.411</v>
          </cell>
        </row>
        <row r="5471">
          <cell r="E5471" t="str">
            <v>ENG</v>
          </cell>
          <cell r="F5471" t="str">
            <v xml:space="preserve">ENG-L </v>
          </cell>
          <cell r="G5471">
            <v>367</v>
          </cell>
          <cell r="H5471" t="str">
            <v>ENG-L 367</v>
          </cell>
          <cell r="K5471" t="str">
            <v>Williams,Nicholas Mark</v>
          </cell>
          <cell r="N5471">
            <v>2.794</v>
          </cell>
          <cell r="O5471">
            <v>3.24</v>
          </cell>
        </row>
        <row r="5472">
          <cell r="E5472" t="str">
            <v>ENG</v>
          </cell>
          <cell r="F5472" t="str">
            <v xml:space="preserve">ENG-L </v>
          </cell>
          <cell r="G5472">
            <v>369</v>
          </cell>
          <cell r="H5472" t="str">
            <v>ENG-L 369</v>
          </cell>
          <cell r="K5472" t="str">
            <v>Kilgore,Dewitt Douglas</v>
          </cell>
          <cell r="N5472">
            <v>3.327</v>
          </cell>
          <cell r="O5472">
            <v>3.121</v>
          </cell>
        </row>
        <row r="5473">
          <cell r="E5473" t="str">
            <v>ENG</v>
          </cell>
          <cell r="F5473" t="str">
            <v xml:space="preserve">ENG-L </v>
          </cell>
          <cell r="G5473">
            <v>369</v>
          </cell>
          <cell r="H5473" t="str">
            <v>ENG-L 369</v>
          </cell>
          <cell r="K5473" t="str">
            <v>Kreilkamp,Ivan</v>
          </cell>
          <cell r="N5473">
            <v>3.4449999999999998</v>
          </cell>
          <cell r="O5473">
            <v>3.2669999999999999</v>
          </cell>
        </row>
        <row r="5474">
          <cell r="E5474" t="str">
            <v>ENG</v>
          </cell>
          <cell r="F5474" t="str">
            <v xml:space="preserve">ENG-L </v>
          </cell>
          <cell r="G5474">
            <v>371</v>
          </cell>
          <cell r="H5474" t="str">
            <v>ENG-L 371</v>
          </cell>
          <cell r="K5474" t="str">
            <v>Brown,Judith Christine</v>
          </cell>
          <cell r="N5474">
            <v>3.23</v>
          </cell>
          <cell r="O5474">
            <v>3.3679999999999999</v>
          </cell>
        </row>
        <row r="5475">
          <cell r="E5475" t="str">
            <v>ENG</v>
          </cell>
          <cell r="F5475" t="str">
            <v xml:space="preserve">ENG-L </v>
          </cell>
          <cell r="G5475">
            <v>371</v>
          </cell>
          <cell r="H5475" t="str">
            <v>ENG-L 371</v>
          </cell>
          <cell r="K5475" t="str">
            <v>Graban,Tarez Samra</v>
          </cell>
          <cell r="N5475">
            <v>2.8570000000000002</v>
          </cell>
          <cell r="O5475">
            <v>3.1509999999999998</v>
          </cell>
        </row>
        <row r="5476">
          <cell r="E5476" t="str">
            <v>ENG</v>
          </cell>
          <cell r="F5476" t="str">
            <v xml:space="preserve">ENG-L </v>
          </cell>
          <cell r="G5476">
            <v>371</v>
          </cell>
          <cell r="H5476" t="str">
            <v>ENG-L 371</v>
          </cell>
          <cell r="K5476" t="str">
            <v>Hilson,Mica Ars</v>
          </cell>
          <cell r="N5476">
            <v>3.0590000000000002</v>
          </cell>
          <cell r="O5476">
            <v>3.028</v>
          </cell>
        </row>
        <row r="5477">
          <cell r="E5477" t="str">
            <v>ENG</v>
          </cell>
          <cell r="F5477" t="str">
            <v xml:space="preserve">ENG-L </v>
          </cell>
          <cell r="G5477">
            <v>371</v>
          </cell>
          <cell r="H5477" t="str">
            <v>ENG-L 371</v>
          </cell>
          <cell r="K5477" t="str">
            <v>Kates,Joshua</v>
          </cell>
          <cell r="N5477">
            <v>2.5619999999999998</v>
          </cell>
          <cell r="O5477">
            <v>3.1230000000000002</v>
          </cell>
        </row>
        <row r="5478">
          <cell r="E5478" t="str">
            <v>ENG</v>
          </cell>
          <cell r="F5478" t="str">
            <v xml:space="preserve">ENG-L </v>
          </cell>
          <cell r="G5478">
            <v>371</v>
          </cell>
          <cell r="H5478" t="str">
            <v>ENG-L 371</v>
          </cell>
          <cell r="K5478" t="str">
            <v>Kreilkamp,Ivan</v>
          </cell>
          <cell r="N5478">
            <v>3.133</v>
          </cell>
          <cell r="O5478">
            <v>3.2450000000000001</v>
          </cell>
        </row>
        <row r="5479">
          <cell r="E5479" t="str">
            <v>ENG</v>
          </cell>
          <cell r="F5479" t="str">
            <v xml:space="preserve">ENG-L </v>
          </cell>
          <cell r="G5479">
            <v>371</v>
          </cell>
          <cell r="H5479" t="str">
            <v>ENG-L 371</v>
          </cell>
          <cell r="K5479" t="str">
            <v>Linton,Joan Pong</v>
          </cell>
          <cell r="N5479">
            <v>3.117</v>
          </cell>
          <cell r="O5479">
            <v>3.1469999999999998</v>
          </cell>
        </row>
        <row r="5480">
          <cell r="E5480" t="str">
            <v>ENG</v>
          </cell>
          <cell r="F5480" t="str">
            <v xml:space="preserve">ENG-L </v>
          </cell>
          <cell r="G5480">
            <v>371</v>
          </cell>
          <cell r="H5480" t="str">
            <v>ENG-L 371</v>
          </cell>
          <cell r="K5480" t="str">
            <v>Sparks,Corey</v>
          </cell>
          <cell r="N5480">
            <v>3.254</v>
          </cell>
          <cell r="O5480">
            <v>3.24</v>
          </cell>
        </row>
        <row r="5481">
          <cell r="E5481" t="str">
            <v>ENG</v>
          </cell>
          <cell r="F5481" t="str">
            <v xml:space="preserve">ENG-L </v>
          </cell>
          <cell r="G5481">
            <v>371</v>
          </cell>
          <cell r="H5481" t="str">
            <v>ENG-L 371</v>
          </cell>
          <cell r="K5481" t="str">
            <v>Vogel,Shane</v>
          </cell>
          <cell r="N5481">
            <v>3.7290000000000001</v>
          </cell>
          <cell r="O5481">
            <v>3.5009999999999999</v>
          </cell>
        </row>
        <row r="5482">
          <cell r="E5482" t="str">
            <v>ENG</v>
          </cell>
          <cell r="F5482" t="str">
            <v xml:space="preserve">ENG-L </v>
          </cell>
          <cell r="G5482">
            <v>380</v>
          </cell>
          <cell r="H5482" t="str">
            <v>ENG-L 380</v>
          </cell>
          <cell r="K5482" t="str">
            <v>Comentale,Edward Paul</v>
          </cell>
          <cell r="N5482">
            <v>3.0030000000000001</v>
          </cell>
          <cell r="O5482">
            <v>3.1480000000000001</v>
          </cell>
        </row>
        <row r="5483">
          <cell r="E5483" t="str">
            <v>ENG</v>
          </cell>
          <cell r="F5483" t="str">
            <v xml:space="preserve">ENG-L </v>
          </cell>
          <cell r="G5483">
            <v>381</v>
          </cell>
          <cell r="H5483" t="str">
            <v>ENG-L 381</v>
          </cell>
          <cell r="K5483" t="str">
            <v>Hedin,Raymond W.</v>
          </cell>
          <cell r="N5483">
            <v>3.4319999999999999</v>
          </cell>
          <cell r="O5483">
            <v>3.2080000000000002</v>
          </cell>
        </row>
        <row r="5484">
          <cell r="E5484" t="str">
            <v>ENG</v>
          </cell>
          <cell r="F5484" t="str">
            <v xml:space="preserve">ENG-L </v>
          </cell>
          <cell r="G5484">
            <v>381</v>
          </cell>
          <cell r="H5484" t="str">
            <v>ENG-L 381</v>
          </cell>
          <cell r="K5484" t="str">
            <v>Hedin,Raymond W.</v>
          </cell>
          <cell r="N5484">
            <v>3.3889999999999998</v>
          </cell>
          <cell r="O5484">
            <v>3.1749999999999998</v>
          </cell>
        </row>
        <row r="5485">
          <cell r="E5485" t="str">
            <v>ENG</v>
          </cell>
          <cell r="F5485" t="str">
            <v xml:space="preserve">ENG-L </v>
          </cell>
          <cell r="G5485">
            <v>389</v>
          </cell>
          <cell r="H5485" t="str">
            <v>ENG-L 389</v>
          </cell>
          <cell r="K5485" t="str">
            <v>Herring,Terrell Scott</v>
          </cell>
          <cell r="N5485">
            <v>3.7349999999999999</v>
          </cell>
          <cell r="O5485">
            <v>3.1960000000000002</v>
          </cell>
        </row>
        <row r="5486">
          <cell r="E5486" t="str">
            <v>ENG</v>
          </cell>
          <cell r="F5486" t="str">
            <v xml:space="preserve">ENG-L </v>
          </cell>
          <cell r="G5486">
            <v>390</v>
          </cell>
          <cell r="H5486" t="str">
            <v>ENG-L 390</v>
          </cell>
          <cell r="K5486" t="str">
            <v>Adams,Michael Paul</v>
          </cell>
          <cell r="N5486">
            <v>2.637</v>
          </cell>
          <cell r="O5486">
            <v>2.9260000000000002</v>
          </cell>
        </row>
        <row r="5487">
          <cell r="E5487" t="str">
            <v>ENG</v>
          </cell>
          <cell r="F5487" t="str">
            <v xml:space="preserve">ENG-L </v>
          </cell>
          <cell r="G5487">
            <v>390</v>
          </cell>
          <cell r="H5487" t="str">
            <v>ENG-L 390</v>
          </cell>
          <cell r="K5487" t="str">
            <v>Hedin,Raymond W.</v>
          </cell>
          <cell r="N5487">
            <v>3.464</v>
          </cell>
          <cell r="O5487">
            <v>3.222</v>
          </cell>
        </row>
        <row r="5488">
          <cell r="E5488" t="str">
            <v>ENG</v>
          </cell>
          <cell r="F5488" t="str">
            <v xml:space="preserve">ENG-L </v>
          </cell>
          <cell r="G5488">
            <v>391</v>
          </cell>
          <cell r="H5488" t="str">
            <v>ENG-L 391</v>
          </cell>
          <cell r="K5488" t="str">
            <v>Hedin,Raymond W.</v>
          </cell>
          <cell r="N5488">
            <v>3.5059999999999998</v>
          </cell>
          <cell r="O5488">
            <v>3.3210000000000002</v>
          </cell>
        </row>
        <row r="5489">
          <cell r="E5489" t="str">
            <v>ENG</v>
          </cell>
          <cell r="F5489" t="str">
            <v xml:space="preserve">ENG-L </v>
          </cell>
          <cell r="G5489">
            <v>391</v>
          </cell>
          <cell r="H5489" t="str">
            <v>ENG-L 391</v>
          </cell>
          <cell r="K5489" t="str">
            <v>Miller,Andrew Horton</v>
          </cell>
          <cell r="N5489">
            <v>2.59</v>
          </cell>
          <cell r="O5489">
            <v>3.0569999999999999</v>
          </cell>
        </row>
        <row r="5490">
          <cell r="E5490" t="str">
            <v>ENG</v>
          </cell>
          <cell r="F5490" t="str">
            <v xml:space="preserve">ENG-L </v>
          </cell>
          <cell r="G5490">
            <v>395</v>
          </cell>
          <cell r="H5490" t="str">
            <v>ENG-L 395</v>
          </cell>
          <cell r="K5490" t="str">
            <v>Schilb,John Lincoln</v>
          </cell>
          <cell r="N5490">
            <v>3.7709999999999999</v>
          </cell>
          <cell r="O5490">
            <v>2.8879999999999999</v>
          </cell>
        </row>
        <row r="5491">
          <cell r="E5491" t="str">
            <v>ENG</v>
          </cell>
          <cell r="F5491" t="str">
            <v xml:space="preserve">ENG-L </v>
          </cell>
          <cell r="G5491">
            <v>396</v>
          </cell>
          <cell r="H5491" t="str">
            <v>ENG-L 396</v>
          </cell>
          <cell r="K5491" t="str">
            <v>Kilgore,Dewitt Douglas</v>
          </cell>
          <cell r="N5491">
            <v>3.2869999999999999</v>
          </cell>
          <cell r="O5491">
            <v>3.0619999999999998</v>
          </cell>
        </row>
        <row r="5492">
          <cell r="E5492" t="str">
            <v>ENG</v>
          </cell>
          <cell r="F5492" t="str">
            <v xml:space="preserve">ENG-L </v>
          </cell>
          <cell r="G5492">
            <v>450</v>
          </cell>
          <cell r="H5492" t="str">
            <v>ENG-L 450</v>
          </cell>
          <cell r="K5492" t="str">
            <v>Elmer,Jonathan E</v>
          </cell>
          <cell r="N5492">
            <v>3.0379999999999998</v>
          </cell>
          <cell r="O5492">
            <v>3.2850000000000001</v>
          </cell>
        </row>
        <row r="5493">
          <cell r="E5493" t="str">
            <v>ENG</v>
          </cell>
          <cell r="F5493" t="str">
            <v xml:space="preserve">ENG-L </v>
          </cell>
          <cell r="G5493">
            <v>460</v>
          </cell>
          <cell r="H5493" t="str">
            <v>ENG-L 460</v>
          </cell>
          <cell r="K5493" t="str">
            <v>Marks,Herbert J.</v>
          </cell>
          <cell r="N5493" t="str">
            <v>NR</v>
          </cell>
          <cell r="O5493" t="str">
            <v>NR</v>
          </cell>
        </row>
        <row r="5494">
          <cell r="E5494" t="str">
            <v>ENG</v>
          </cell>
          <cell r="F5494" t="str">
            <v xml:space="preserve">ENG-L </v>
          </cell>
          <cell r="G5494">
            <v>495</v>
          </cell>
          <cell r="H5494" t="str">
            <v>ENG-L 495</v>
          </cell>
          <cell r="K5494" t="str">
            <v>Adams,Michael Paul</v>
          </cell>
          <cell r="N5494">
            <v>3.875</v>
          </cell>
          <cell r="O5494">
            <v>3.1339999999999999</v>
          </cell>
        </row>
        <row r="5495">
          <cell r="E5495" t="str">
            <v>ENG</v>
          </cell>
          <cell r="F5495" t="str">
            <v xml:space="preserve">ENG-L </v>
          </cell>
          <cell r="G5495">
            <v>495</v>
          </cell>
          <cell r="H5495" t="str">
            <v>ENG-L 495</v>
          </cell>
          <cell r="K5495" t="str">
            <v>Comentale,Edward Paul</v>
          </cell>
          <cell r="N5495">
            <v>3.95</v>
          </cell>
          <cell r="O5495">
            <v>3.65</v>
          </cell>
        </row>
        <row r="5496">
          <cell r="E5496" t="str">
            <v>ENG</v>
          </cell>
          <cell r="F5496" t="str">
            <v xml:space="preserve">ENG-L </v>
          </cell>
          <cell r="G5496">
            <v>498</v>
          </cell>
          <cell r="H5496" t="str">
            <v>ENG-L 498</v>
          </cell>
          <cell r="K5496" t="str">
            <v>Adams,Michael Paul</v>
          </cell>
          <cell r="N5496" t="str">
            <v>NR</v>
          </cell>
          <cell r="O5496" t="str">
            <v>NR</v>
          </cell>
        </row>
        <row r="5497">
          <cell r="E5497" t="str">
            <v>ENG</v>
          </cell>
          <cell r="F5497" t="str">
            <v xml:space="preserve">ENG-L </v>
          </cell>
          <cell r="G5497">
            <v>498</v>
          </cell>
          <cell r="H5497" t="str">
            <v>ENG-L 498</v>
          </cell>
          <cell r="K5497" t="str">
            <v>Comentale,Edward Paul</v>
          </cell>
          <cell r="N5497" t="str">
            <v>NR</v>
          </cell>
          <cell r="O5497" t="str">
            <v>NR</v>
          </cell>
        </row>
        <row r="5498">
          <cell r="E5498" t="str">
            <v>ENG</v>
          </cell>
          <cell r="F5498" t="str">
            <v xml:space="preserve">ENG-L </v>
          </cell>
          <cell r="G5498">
            <v>499</v>
          </cell>
          <cell r="H5498" t="str">
            <v>ENG-L 499</v>
          </cell>
          <cell r="K5498" t="str">
            <v>Comentale,Edward Paul</v>
          </cell>
          <cell r="N5498" t="str">
            <v>NR</v>
          </cell>
          <cell r="O5498" t="str">
            <v>NR</v>
          </cell>
        </row>
        <row r="5499">
          <cell r="E5499" t="str">
            <v>ENG</v>
          </cell>
          <cell r="F5499" t="str">
            <v xml:space="preserve">ENG-L </v>
          </cell>
          <cell r="G5499">
            <v>499</v>
          </cell>
          <cell r="H5499" t="str">
            <v>ENG-L 499</v>
          </cell>
          <cell r="K5499" t="str">
            <v>MacKay,Ellen</v>
          </cell>
          <cell r="N5499">
            <v>3.9449999999999998</v>
          </cell>
          <cell r="O5499">
            <v>3.7469999999999999</v>
          </cell>
        </row>
        <row r="5500">
          <cell r="E5500" t="str">
            <v>ENG</v>
          </cell>
          <cell r="F5500" t="str">
            <v xml:space="preserve">ENG-L </v>
          </cell>
          <cell r="G5500">
            <v>509</v>
          </cell>
          <cell r="H5500" t="str">
            <v>ENG-L 509</v>
          </cell>
          <cell r="K5500" t="str">
            <v>Herring,Terrell Scott</v>
          </cell>
          <cell r="N5500" t="str">
            <v>NR</v>
          </cell>
          <cell r="O5500" t="str">
            <v>NR</v>
          </cell>
        </row>
        <row r="5501">
          <cell r="E5501" t="str">
            <v>ENG</v>
          </cell>
          <cell r="F5501" t="str">
            <v xml:space="preserve">ENG-L </v>
          </cell>
          <cell r="G5501">
            <v>512</v>
          </cell>
          <cell r="H5501" t="str">
            <v>ENG-L 512</v>
          </cell>
          <cell r="K5501" t="str">
            <v>Cook,Amy Elizabeth</v>
          </cell>
          <cell r="N5501">
            <v>4</v>
          </cell>
          <cell r="O5501">
            <v>3.9350000000000001</v>
          </cell>
        </row>
        <row r="5502">
          <cell r="E5502" t="str">
            <v>ENG</v>
          </cell>
          <cell r="F5502" t="str">
            <v xml:space="preserve">ENG-L </v>
          </cell>
          <cell r="G5502">
            <v>599</v>
          </cell>
          <cell r="H5502" t="str">
            <v>ENG-L 599</v>
          </cell>
          <cell r="K5502" t="str">
            <v>Ingham,Patricia Clare</v>
          </cell>
          <cell r="N5502" t="str">
            <v>NR</v>
          </cell>
          <cell r="O5502" t="str">
            <v>NR</v>
          </cell>
        </row>
        <row r="5503">
          <cell r="E5503" t="str">
            <v>ENG</v>
          </cell>
          <cell r="F5503" t="str">
            <v xml:space="preserve">ENG-L </v>
          </cell>
          <cell r="G5503">
            <v>610</v>
          </cell>
          <cell r="H5503" t="str">
            <v>ENG-L 610</v>
          </cell>
          <cell r="K5503" t="str">
            <v>Lochrie,Karma</v>
          </cell>
          <cell r="N5503" t="str">
            <v>NR</v>
          </cell>
          <cell r="O5503" t="str">
            <v>NR</v>
          </cell>
        </row>
        <row r="5504">
          <cell r="E5504" t="str">
            <v>ENG</v>
          </cell>
          <cell r="F5504" t="str">
            <v xml:space="preserve">ENG-L </v>
          </cell>
          <cell r="G5504">
            <v>625</v>
          </cell>
          <cell r="H5504" t="str">
            <v>ENG-L 625</v>
          </cell>
          <cell r="K5504" t="str">
            <v>Charnes,Linda Anne</v>
          </cell>
          <cell r="N5504">
            <v>3.7559999999999998</v>
          </cell>
          <cell r="O5504">
            <v>3.883</v>
          </cell>
        </row>
        <row r="5505">
          <cell r="E5505" t="str">
            <v>ENG</v>
          </cell>
          <cell r="F5505" t="str">
            <v xml:space="preserve">ENG-L </v>
          </cell>
          <cell r="G5505">
            <v>629</v>
          </cell>
          <cell r="H5505" t="str">
            <v>ENG-L 629</v>
          </cell>
          <cell r="K5505" t="str">
            <v>Greiner,Daphna Rae</v>
          </cell>
          <cell r="N5505">
            <v>3.85</v>
          </cell>
          <cell r="O5505">
            <v>3.891</v>
          </cell>
        </row>
        <row r="5506">
          <cell r="E5506" t="str">
            <v>ENG</v>
          </cell>
          <cell r="F5506" t="str">
            <v xml:space="preserve">ENG-L </v>
          </cell>
          <cell r="G5506">
            <v>632</v>
          </cell>
          <cell r="H5506" t="str">
            <v>ENG-L 632</v>
          </cell>
          <cell r="K5506" t="str">
            <v>Gutjahr,Paul Charles</v>
          </cell>
          <cell r="N5506">
            <v>3.8</v>
          </cell>
          <cell r="O5506">
            <v>3.9039999999999999</v>
          </cell>
        </row>
        <row r="5507">
          <cell r="E5507" t="str">
            <v>ENG</v>
          </cell>
          <cell r="F5507" t="str">
            <v xml:space="preserve">ENG-L </v>
          </cell>
          <cell r="G5507">
            <v>652</v>
          </cell>
          <cell r="H5507" t="str">
            <v>ENG-L 652</v>
          </cell>
          <cell r="K5507" t="str">
            <v>Samantrai,Ranu</v>
          </cell>
          <cell r="N5507">
            <v>3.923</v>
          </cell>
          <cell r="O5507">
            <v>3.9289999999999998</v>
          </cell>
        </row>
        <row r="5508">
          <cell r="E5508" t="str">
            <v>ENG</v>
          </cell>
          <cell r="F5508" t="str">
            <v xml:space="preserve">ENG-L </v>
          </cell>
          <cell r="G5508">
            <v>657</v>
          </cell>
          <cell r="H5508" t="str">
            <v>ENG-L 657</v>
          </cell>
          <cell r="K5508" t="str">
            <v>Bose,Purnima</v>
          </cell>
          <cell r="N5508" t="str">
            <v>NR</v>
          </cell>
          <cell r="O5508" t="str">
            <v>NR</v>
          </cell>
        </row>
        <row r="5509">
          <cell r="E5509" t="str">
            <v>ENG</v>
          </cell>
          <cell r="F5509" t="str">
            <v xml:space="preserve">ENG-L </v>
          </cell>
          <cell r="G5509">
            <v>657</v>
          </cell>
          <cell r="H5509" t="str">
            <v>ENG-L 657</v>
          </cell>
          <cell r="K5509" t="str">
            <v>Greiner,Daphna Rae</v>
          </cell>
          <cell r="N5509">
            <v>3.9449999999999998</v>
          </cell>
          <cell r="O5509">
            <v>3.9140000000000001</v>
          </cell>
        </row>
        <row r="5510">
          <cell r="E5510" t="str">
            <v>ENG</v>
          </cell>
          <cell r="F5510" t="str">
            <v xml:space="preserve">ENG-L </v>
          </cell>
          <cell r="G5510">
            <v>663</v>
          </cell>
          <cell r="H5510" t="str">
            <v>ENG-L 663</v>
          </cell>
          <cell r="K5510" t="str">
            <v>Anderson,Penelope</v>
          </cell>
          <cell r="N5510">
            <v>4</v>
          </cell>
          <cell r="O5510">
            <v>3.9239999999999999</v>
          </cell>
        </row>
        <row r="5511">
          <cell r="E5511" t="str">
            <v>ENG</v>
          </cell>
          <cell r="F5511" t="str">
            <v xml:space="preserve">ENG-L </v>
          </cell>
          <cell r="G5511">
            <v>680</v>
          </cell>
          <cell r="H5511" t="str">
            <v>ENG-L 680</v>
          </cell>
          <cell r="K5511" t="str">
            <v>Favret,Mary Agnes</v>
          </cell>
          <cell r="N5511" t="str">
            <v>NR</v>
          </cell>
          <cell r="O5511" t="str">
            <v>NR</v>
          </cell>
        </row>
        <row r="5512">
          <cell r="E5512" t="str">
            <v>ENG</v>
          </cell>
          <cell r="F5512" t="str">
            <v xml:space="preserve">ENG-L </v>
          </cell>
          <cell r="G5512">
            <v>695</v>
          </cell>
          <cell r="H5512" t="str">
            <v>ENG-L 695</v>
          </cell>
          <cell r="K5512" t="str">
            <v>Ingham,Patricia Clare</v>
          </cell>
          <cell r="N5512" t="str">
            <v>NR</v>
          </cell>
          <cell r="O5512" t="str">
            <v>NR</v>
          </cell>
        </row>
        <row r="5513">
          <cell r="E5513" t="str">
            <v>ENG</v>
          </cell>
          <cell r="F5513" t="str">
            <v xml:space="preserve">ENG-L </v>
          </cell>
          <cell r="G5513">
            <v>695</v>
          </cell>
          <cell r="H5513" t="str">
            <v>ENG-L 695</v>
          </cell>
          <cell r="K5513" t="str">
            <v>MacKay,Ellen</v>
          </cell>
          <cell r="N5513" t="str">
            <v>NR</v>
          </cell>
          <cell r="O5513" t="str">
            <v>NR</v>
          </cell>
        </row>
        <row r="5514">
          <cell r="E5514" t="str">
            <v>ENG</v>
          </cell>
          <cell r="F5514" t="str">
            <v xml:space="preserve">ENG-L </v>
          </cell>
          <cell r="G5514">
            <v>699</v>
          </cell>
          <cell r="H5514" t="str">
            <v>ENG-L 699</v>
          </cell>
          <cell r="K5514" t="str">
            <v>Ingham,Patricia Clare</v>
          </cell>
          <cell r="N5514" t="str">
            <v>NR</v>
          </cell>
          <cell r="O5514" t="str">
            <v>NR</v>
          </cell>
        </row>
        <row r="5515">
          <cell r="E5515" t="str">
            <v>ENG</v>
          </cell>
          <cell r="F5515" t="str">
            <v xml:space="preserve">ENG-L </v>
          </cell>
          <cell r="G5515">
            <v>738</v>
          </cell>
          <cell r="H5515" t="str">
            <v>ENG-L 738</v>
          </cell>
          <cell r="K5515" t="str">
            <v>Adams,Michael Paul</v>
          </cell>
          <cell r="N5515" t="str">
            <v>NR</v>
          </cell>
          <cell r="O5515" t="str">
            <v>NR</v>
          </cell>
        </row>
        <row r="5516">
          <cell r="E5516" t="str">
            <v>ENG</v>
          </cell>
          <cell r="F5516" t="str">
            <v xml:space="preserve">ENG-L </v>
          </cell>
          <cell r="G5516">
            <v>740</v>
          </cell>
          <cell r="H5516" t="str">
            <v>ENG-L 740</v>
          </cell>
          <cell r="K5516" t="str">
            <v>Brown,Judith Christine</v>
          </cell>
          <cell r="N5516">
            <v>3.9569999999999999</v>
          </cell>
          <cell r="O5516">
            <v>3.9079999999999999</v>
          </cell>
        </row>
        <row r="5517">
          <cell r="E5517" t="str">
            <v>ENG</v>
          </cell>
          <cell r="F5517" t="str">
            <v xml:space="preserve">ENG-L </v>
          </cell>
          <cell r="G5517">
            <v>740</v>
          </cell>
          <cell r="H5517" t="str">
            <v>ENG-L 740</v>
          </cell>
          <cell r="K5517" t="str">
            <v>Williams,Nicholas Mark</v>
          </cell>
          <cell r="N5517">
            <v>3.891</v>
          </cell>
          <cell r="O5517">
            <v>3.907</v>
          </cell>
        </row>
        <row r="5518">
          <cell r="E5518" t="str">
            <v>ENG</v>
          </cell>
          <cell r="F5518" t="str">
            <v xml:space="preserve">ENG-L </v>
          </cell>
          <cell r="G5518">
            <v>744</v>
          </cell>
          <cell r="H5518" t="str">
            <v>ENG-L 744</v>
          </cell>
          <cell r="K5518" t="str">
            <v>Watt,Stephen Myers</v>
          </cell>
          <cell r="N5518">
            <v>3.85</v>
          </cell>
          <cell r="O5518">
            <v>3.8879999999999999</v>
          </cell>
        </row>
        <row r="5519">
          <cell r="E5519" t="str">
            <v>ENG</v>
          </cell>
          <cell r="F5519" t="str">
            <v xml:space="preserve">ENG-L </v>
          </cell>
          <cell r="G5519">
            <v>748</v>
          </cell>
          <cell r="H5519" t="str">
            <v>ENG-L 748</v>
          </cell>
          <cell r="K5519" t="str">
            <v>Bose,Purnima</v>
          </cell>
          <cell r="N5519">
            <v>3.7250000000000001</v>
          </cell>
          <cell r="O5519">
            <v>3.8340000000000001</v>
          </cell>
        </row>
        <row r="5520">
          <cell r="E5520" t="str">
            <v>ENG</v>
          </cell>
          <cell r="F5520" t="str">
            <v xml:space="preserve">ENG-L </v>
          </cell>
          <cell r="G5520">
            <v>754</v>
          </cell>
          <cell r="H5520" t="str">
            <v>ENG-L 754</v>
          </cell>
          <cell r="K5520" t="str">
            <v>Linton,Joan Pong</v>
          </cell>
          <cell r="N5520">
            <v>4</v>
          </cell>
          <cell r="O5520">
            <v>3.931</v>
          </cell>
        </row>
        <row r="5521">
          <cell r="E5521" t="str">
            <v>ENG</v>
          </cell>
          <cell r="F5521" t="str">
            <v xml:space="preserve">ENG-L </v>
          </cell>
          <cell r="G5521">
            <v>758</v>
          </cell>
          <cell r="H5521" t="str">
            <v>ENG-L 758</v>
          </cell>
          <cell r="K5521" t="str">
            <v>Charnes,Linda Anne</v>
          </cell>
          <cell r="N5521">
            <v>4</v>
          </cell>
          <cell r="O5521">
            <v>3.9430000000000001</v>
          </cell>
        </row>
        <row r="5522">
          <cell r="E5522" t="str">
            <v>ENG</v>
          </cell>
          <cell r="F5522" t="str">
            <v xml:space="preserve">ENG-L </v>
          </cell>
          <cell r="G5522">
            <v>760</v>
          </cell>
          <cell r="H5522" t="str">
            <v>ENG-L 760</v>
          </cell>
          <cell r="K5522" t="str">
            <v>Molesworth,Jesse Marti</v>
          </cell>
          <cell r="N5522" t="str">
            <v>NR</v>
          </cell>
          <cell r="O5522" t="str">
            <v>NR</v>
          </cell>
        </row>
        <row r="5523">
          <cell r="E5523" t="str">
            <v>ENG</v>
          </cell>
          <cell r="F5523" t="str">
            <v xml:space="preserve">ENG-L </v>
          </cell>
          <cell r="G5523">
            <v>764</v>
          </cell>
          <cell r="H5523" t="str">
            <v>ENG-L 764</v>
          </cell>
          <cell r="K5523" t="str">
            <v>Fleissner,Jennifer Luise</v>
          </cell>
          <cell r="N5523">
            <v>3.9180000000000001</v>
          </cell>
          <cell r="O5523">
            <v>3.9340000000000002</v>
          </cell>
        </row>
        <row r="5524">
          <cell r="E5524" t="str">
            <v>ENG</v>
          </cell>
          <cell r="F5524" t="str">
            <v xml:space="preserve">ENG-L </v>
          </cell>
          <cell r="G5524">
            <v>790</v>
          </cell>
          <cell r="H5524" t="str">
            <v>ENG-L 790</v>
          </cell>
          <cell r="K5524" t="str">
            <v>Ingham,Patricia Clare</v>
          </cell>
          <cell r="N5524" t="str">
            <v>NR</v>
          </cell>
          <cell r="O5524" t="str">
            <v>NR</v>
          </cell>
        </row>
        <row r="5525">
          <cell r="E5525" t="str">
            <v>ENG</v>
          </cell>
          <cell r="F5525" t="str">
            <v xml:space="preserve">ENG-L </v>
          </cell>
          <cell r="G5525">
            <v>790</v>
          </cell>
          <cell r="H5525" t="str">
            <v>ENG-L 790</v>
          </cell>
          <cell r="K5525" t="str">
            <v>Ingham,Patricia Clare</v>
          </cell>
          <cell r="N5525" t="str">
            <v>NR</v>
          </cell>
          <cell r="O5525" t="str">
            <v>NR</v>
          </cell>
        </row>
        <row r="5526">
          <cell r="E5526" t="str">
            <v>ENG</v>
          </cell>
          <cell r="F5526" t="str">
            <v xml:space="preserve">ENG-L </v>
          </cell>
          <cell r="G5526">
            <v>799</v>
          </cell>
          <cell r="H5526" t="str">
            <v>ENG-L 799</v>
          </cell>
          <cell r="K5526" t="str">
            <v>Ingham,Patricia Clare</v>
          </cell>
          <cell r="N5526" t="str">
            <v>NR</v>
          </cell>
          <cell r="O5526" t="str">
            <v>NR</v>
          </cell>
        </row>
        <row r="5527">
          <cell r="E5527" t="str">
            <v>ENG</v>
          </cell>
          <cell r="F5527" t="str">
            <v xml:space="preserve">ENG-L </v>
          </cell>
          <cell r="G5527">
            <v>799</v>
          </cell>
          <cell r="H5527" t="str">
            <v>ENG-L 799</v>
          </cell>
          <cell r="K5527" t="str">
            <v>MacKay,Ellen</v>
          </cell>
          <cell r="N5527" t="str">
            <v>NR</v>
          </cell>
          <cell r="O5527" t="str">
            <v>NR</v>
          </cell>
        </row>
        <row r="5528">
          <cell r="E5528" t="str">
            <v>ENG</v>
          </cell>
          <cell r="F5528" t="str">
            <v xml:space="preserve">ENG-W </v>
          </cell>
          <cell r="G5528">
            <v>103</v>
          </cell>
          <cell r="H5528" t="str">
            <v>ENG-W 103</v>
          </cell>
          <cell r="K5528" t="str">
            <v>Bledsoe,Robert Eugene</v>
          </cell>
          <cell r="N5528">
            <v>3.4220000000000002</v>
          </cell>
          <cell r="O5528">
            <v>3.0219999999999998</v>
          </cell>
        </row>
        <row r="5529">
          <cell r="E5529" t="str">
            <v>ENG</v>
          </cell>
          <cell r="F5529" t="str">
            <v xml:space="preserve">ENG-W </v>
          </cell>
          <cell r="G5529">
            <v>103</v>
          </cell>
          <cell r="H5529" t="str">
            <v>ENG-W 103</v>
          </cell>
          <cell r="K5529" t="str">
            <v>Bledsoe,Robert Eugene</v>
          </cell>
          <cell r="N5529">
            <v>3.1909999999999998</v>
          </cell>
          <cell r="O5529">
            <v>2.9489999999999998</v>
          </cell>
        </row>
        <row r="5530">
          <cell r="E5530" t="str">
            <v>ENG</v>
          </cell>
          <cell r="F5530" t="str">
            <v xml:space="preserve">ENG-W </v>
          </cell>
          <cell r="G5530">
            <v>103</v>
          </cell>
          <cell r="H5530" t="str">
            <v>ENG-W 103</v>
          </cell>
          <cell r="K5530" t="str">
            <v>Dorsey,Romayne Rubinas</v>
          </cell>
          <cell r="N5530">
            <v>3.327</v>
          </cell>
          <cell r="O5530">
            <v>2.95</v>
          </cell>
        </row>
        <row r="5531">
          <cell r="E5531" t="str">
            <v>ENG</v>
          </cell>
          <cell r="F5531" t="str">
            <v xml:space="preserve">ENG-W </v>
          </cell>
          <cell r="G5531">
            <v>103</v>
          </cell>
          <cell r="H5531" t="str">
            <v>ENG-W 103</v>
          </cell>
          <cell r="K5531" t="str">
            <v>Gay,Ross A</v>
          </cell>
          <cell r="N5531">
            <v>3.5339999999999998</v>
          </cell>
          <cell r="O5531">
            <v>3.0230000000000001</v>
          </cell>
        </row>
        <row r="5532">
          <cell r="E5532" t="str">
            <v>ENG</v>
          </cell>
          <cell r="F5532" t="str">
            <v xml:space="preserve">ENG-W </v>
          </cell>
          <cell r="G5532">
            <v>131</v>
          </cell>
          <cell r="H5532" t="str">
            <v>ENG-W 131</v>
          </cell>
          <cell r="K5532" t="str">
            <v>Allen,Jerrell Lee</v>
          </cell>
          <cell r="N5532">
            <v>3.3</v>
          </cell>
          <cell r="O5532">
            <v>3.0329999999999999</v>
          </cell>
        </row>
        <row r="5533">
          <cell r="E5533" t="str">
            <v>ENG</v>
          </cell>
          <cell r="F5533" t="str">
            <v xml:space="preserve">ENG-W </v>
          </cell>
          <cell r="G5533">
            <v>131</v>
          </cell>
          <cell r="H5533" t="str">
            <v>ENG-W 131</v>
          </cell>
          <cell r="K5533" t="str">
            <v>Allen,Jerrell Lee</v>
          </cell>
          <cell r="N5533">
            <v>3.153</v>
          </cell>
          <cell r="O5533">
            <v>3.0009999999999999</v>
          </cell>
        </row>
        <row r="5534">
          <cell r="E5534" t="str">
            <v>ENG</v>
          </cell>
          <cell r="F5534" t="str">
            <v xml:space="preserve">ENG-W </v>
          </cell>
          <cell r="G5534">
            <v>131</v>
          </cell>
          <cell r="H5534" t="str">
            <v>ENG-W 131</v>
          </cell>
          <cell r="K5534" t="str">
            <v>Allen,Jerrell Lee</v>
          </cell>
          <cell r="N5534">
            <v>3.4129999999999998</v>
          </cell>
          <cell r="O5534">
            <v>2.7069999999999999</v>
          </cell>
        </row>
        <row r="5535">
          <cell r="E5535" t="str">
            <v>ENG</v>
          </cell>
          <cell r="F5535" t="str">
            <v xml:space="preserve">ENG-W </v>
          </cell>
          <cell r="G5535">
            <v>131</v>
          </cell>
          <cell r="H5535" t="str">
            <v>ENG-W 131</v>
          </cell>
          <cell r="K5535" t="str">
            <v>Archambault,Pauline Louise</v>
          </cell>
          <cell r="N5535">
            <v>3.5</v>
          </cell>
          <cell r="O5535">
            <v>3.1829999999999998</v>
          </cell>
        </row>
        <row r="5536">
          <cell r="E5536" t="str">
            <v>ENG</v>
          </cell>
          <cell r="F5536" t="str">
            <v xml:space="preserve">ENG-W </v>
          </cell>
          <cell r="G5536">
            <v>131</v>
          </cell>
          <cell r="H5536" t="str">
            <v>ENG-W 131</v>
          </cell>
          <cell r="K5536" t="str">
            <v>Babcock,Trevor Stanley</v>
          </cell>
          <cell r="N5536">
            <v>2.63</v>
          </cell>
          <cell r="O5536">
            <v>2.851</v>
          </cell>
        </row>
        <row r="5537">
          <cell r="E5537" t="str">
            <v>ENG</v>
          </cell>
          <cell r="F5537" t="str">
            <v xml:space="preserve">ENG-W </v>
          </cell>
          <cell r="G5537">
            <v>131</v>
          </cell>
          <cell r="H5537" t="str">
            <v>ENG-W 131</v>
          </cell>
          <cell r="K5537" t="str">
            <v>Babcock,Trevor Stanley</v>
          </cell>
          <cell r="N5537">
            <v>3.036</v>
          </cell>
          <cell r="O5537">
            <v>3.1920000000000002</v>
          </cell>
        </row>
        <row r="5538">
          <cell r="E5538" t="str">
            <v>ENG</v>
          </cell>
          <cell r="F5538" t="str">
            <v xml:space="preserve">ENG-W </v>
          </cell>
          <cell r="G5538">
            <v>131</v>
          </cell>
          <cell r="H5538" t="str">
            <v>ENG-W 131</v>
          </cell>
          <cell r="K5538" t="str">
            <v>Babcock,Trevor Stanley</v>
          </cell>
          <cell r="N5538">
            <v>2.8730000000000002</v>
          </cell>
          <cell r="O5538">
            <v>2.891</v>
          </cell>
        </row>
        <row r="5539">
          <cell r="E5539" t="str">
            <v>ENG</v>
          </cell>
          <cell r="F5539" t="str">
            <v xml:space="preserve">ENG-W </v>
          </cell>
          <cell r="G5539">
            <v>131</v>
          </cell>
          <cell r="H5539" t="str">
            <v>ENG-W 131</v>
          </cell>
          <cell r="K5539" t="str">
            <v>Bagocius,Benjamin Douglas</v>
          </cell>
          <cell r="N5539">
            <v>3.0470000000000002</v>
          </cell>
          <cell r="O5539">
            <v>3.44</v>
          </cell>
        </row>
        <row r="5540">
          <cell r="E5540" t="str">
            <v>ENG</v>
          </cell>
          <cell r="F5540" t="str">
            <v xml:space="preserve">ENG-W </v>
          </cell>
          <cell r="G5540">
            <v>131</v>
          </cell>
          <cell r="H5540" t="str">
            <v>ENG-W 131</v>
          </cell>
          <cell r="K5540" t="str">
            <v>Bagramyan,Sos</v>
          </cell>
          <cell r="N5540">
            <v>2.867</v>
          </cell>
          <cell r="O5540">
            <v>2.9710000000000001</v>
          </cell>
        </row>
        <row r="5541">
          <cell r="E5541" t="str">
            <v>ENG</v>
          </cell>
          <cell r="F5541" t="str">
            <v xml:space="preserve">ENG-W </v>
          </cell>
          <cell r="G5541">
            <v>131</v>
          </cell>
          <cell r="H5541" t="str">
            <v>ENG-W 131</v>
          </cell>
          <cell r="K5541" t="str">
            <v>Bainter,Natalie Pearl</v>
          </cell>
          <cell r="N5541">
            <v>2.6520000000000001</v>
          </cell>
          <cell r="O5541">
            <v>2.8570000000000002</v>
          </cell>
        </row>
        <row r="5542">
          <cell r="E5542" t="str">
            <v>ENG</v>
          </cell>
          <cell r="F5542" t="str">
            <v xml:space="preserve">ENG-W </v>
          </cell>
          <cell r="G5542">
            <v>131</v>
          </cell>
          <cell r="H5542" t="str">
            <v>ENG-W 131</v>
          </cell>
          <cell r="K5542" t="str">
            <v>Bainter,Natalie Pearl</v>
          </cell>
          <cell r="N5542">
            <v>2.8359999999999999</v>
          </cell>
          <cell r="O5542">
            <v>2.8879999999999999</v>
          </cell>
        </row>
        <row r="5543">
          <cell r="E5543" t="str">
            <v>ENG</v>
          </cell>
          <cell r="F5543" t="str">
            <v xml:space="preserve">ENG-W </v>
          </cell>
          <cell r="G5543">
            <v>131</v>
          </cell>
          <cell r="H5543" t="str">
            <v>ENG-W 131</v>
          </cell>
          <cell r="K5543" t="str">
            <v>Bainter,Natalie Pearl</v>
          </cell>
          <cell r="N5543">
            <v>2.64</v>
          </cell>
          <cell r="O5543">
            <v>2.6269999999999998</v>
          </cell>
        </row>
        <row r="5544">
          <cell r="E5544" t="str">
            <v>ENG</v>
          </cell>
          <cell r="F5544" t="str">
            <v xml:space="preserve">ENG-W </v>
          </cell>
          <cell r="G5544">
            <v>131</v>
          </cell>
          <cell r="H5544" t="str">
            <v>ENG-W 131</v>
          </cell>
          <cell r="K5544" t="str">
            <v>Bitsis,Jaclyn</v>
          </cell>
          <cell r="N5544">
            <v>3.109</v>
          </cell>
          <cell r="O5544">
            <v>3.1680000000000001</v>
          </cell>
        </row>
        <row r="5545">
          <cell r="E5545" t="str">
            <v>ENG</v>
          </cell>
          <cell r="F5545" t="str">
            <v xml:space="preserve">ENG-W </v>
          </cell>
          <cell r="G5545">
            <v>131</v>
          </cell>
          <cell r="H5545" t="str">
            <v>ENG-W 131</v>
          </cell>
          <cell r="K5545" t="str">
            <v>Bitsis,Jaclyn</v>
          </cell>
          <cell r="N5545">
            <v>3.1549999999999998</v>
          </cell>
          <cell r="O5545">
            <v>3.0979999999999999</v>
          </cell>
        </row>
        <row r="5546">
          <cell r="E5546" t="str">
            <v>ENG</v>
          </cell>
          <cell r="F5546" t="str">
            <v xml:space="preserve">ENG-W </v>
          </cell>
          <cell r="G5546">
            <v>131</v>
          </cell>
          <cell r="H5546" t="str">
            <v>ENG-W 131</v>
          </cell>
          <cell r="K5546" t="str">
            <v>Bitsis,Jaclyn</v>
          </cell>
          <cell r="N5546">
            <v>2.7480000000000002</v>
          </cell>
          <cell r="O5546">
            <v>2.7770000000000001</v>
          </cell>
        </row>
        <row r="5547">
          <cell r="E5547" t="str">
            <v>ENG</v>
          </cell>
          <cell r="F5547" t="str">
            <v xml:space="preserve">ENG-W </v>
          </cell>
          <cell r="G5547">
            <v>131</v>
          </cell>
          <cell r="H5547" t="str">
            <v>ENG-W 131</v>
          </cell>
          <cell r="K5547" t="str">
            <v>Blake,Katherine Elizabeth</v>
          </cell>
          <cell r="N5547">
            <v>3.24</v>
          </cell>
          <cell r="O5547">
            <v>2.8050000000000002</v>
          </cell>
        </row>
        <row r="5548">
          <cell r="E5548" t="str">
            <v>ENG</v>
          </cell>
          <cell r="F5548" t="str">
            <v xml:space="preserve">ENG-W </v>
          </cell>
          <cell r="G5548">
            <v>131</v>
          </cell>
          <cell r="H5548" t="str">
            <v>ENG-W 131</v>
          </cell>
          <cell r="K5548" t="str">
            <v>Blake,Katherine Elizabeth</v>
          </cell>
          <cell r="N5548">
            <v>3.16</v>
          </cell>
          <cell r="O5548">
            <v>2.698</v>
          </cell>
        </row>
        <row r="5549">
          <cell r="E5549" t="str">
            <v>ENG</v>
          </cell>
          <cell r="F5549" t="str">
            <v xml:space="preserve">ENG-W </v>
          </cell>
          <cell r="G5549">
            <v>131</v>
          </cell>
          <cell r="H5549" t="str">
            <v>ENG-W 131</v>
          </cell>
          <cell r="K5549" t="str">
            <v>Blake,Katherine Elizabeth</v>
          </cell>
          <cell r="N5549">
            <v>3.2189999999999999</v>
          </cell>
          <cell r="O5549">
            <v>2.964</v>
          </cell>
        </row>
        <row r="5550">
          <cell r="E5550" t="str">
            <v>ENG</v>
          </cell>
          <cell r="F5550" t="str">
            <v xml:space="preserve">ENG-W </v>
          </cell>
          <cell r="G5550">
            <v>131</v>
          </cell>
          <cell r="H5550" t="str">
            <v>ENG-W 131</v>
          </cell>
          <cell r="K5550" t="str">
            <v>Boggs,Molly Elizabeth</v>
          </cell>
          <cell r="N5550">
            <v>3.48</v>
          </cell>
          <cell r="O5550">
            <v>3.5089999999999999</v>
          </cell>
        </row>
        <row r="5551">
          <cell r="E5551" t="str">
            <v>ENG</v>
          </cell>
          <cell r="F5551" t="str">
            <v xml:space="preserve">ENG-W </v>
          </cell>
          <cell r="G5551">
            <v>131</v>
          </cell>
          <cell r="H5551" t="str">
            <v>ENG-W 131</v>
          </cell>
          <cell r="K5551" t="str">
            <v>Bohman,Erik Raymond</v>
          </cell>
          <cell r="N5551">
            <v>2.839</v>
          </cell>
          <cell r="O5551">
            <v>2.8620000000000001</v>
          </cell>
        </row>
        <row r="5552">
          <cell r="E5552" t="str">
            <v>ENG</v>
          </cell>
          <cell r="F5552" t="str">
            <v xml:space="preserve">ENG-W </v>
          </cell>
          <cell r="G5552">
            <v>131</v>
          </cell>
          <cell r="H5552" t="str">
            <v>ENG-W 131</v>
          </cell>
          <cell r="K5552" t="str">
            <v>Booth,Jon Erich</v>
          </cell>
          <cell r="N5552">
            <v>2.9529999999999998</v>
          </cell>
          <cell r="O5552">
            <v>2.915</v>
          </cell>
        </row>
        <row r="5553">
          <cell r="E5553" t="str">
            <v>ENG</v>
          </cell>
          <cell r="F5553" t="str">
            <v xml:space="preserve">ENG-W </v>
          </cell>
          <cell r="G5553">
            <v>131</v>
          </cell>
          <cell r="H5553" t="str">
            <v>ENG-W 131</v>
          </cell>
          <cell r="K5553" t="str">
            <v>Borgo,Mary Elizabeth</v>
          </cell>
          <cell r="N5553">
            <v>2.621</v>
          </cell>
          <cell r="O5553">
            <v>2.9279999999999999</v>
          </cell>
        </row>
        <row r="5554">
          <cell r="E5554" t="str">
            <v>ENG</v>
          </cell>
          <cell r="F5554" t="str">
            <v xml:space="preserve">ENG-W </v>
          </cell>
          <cell r="G5554">
            <v>131</v>
          </cell>
          <cell r="H5554" t="str">
            <v>ENG-W 131</v>
          </cell>
          <cell r="K5554" t="str">
            <v>Borgo,Mary Elizabeth</v>
          </cell>
          <cell r="N5554">
            <v>2.532</v>
          </cell>
          <cell r="O5554">
            <v>2.7240000000000002</v>
          </cell>
        </row>
        <row r="5555">
          <cell r="E5555" t="str">
            <v>ENG</v>
          </cell>
          <cell r="F5555" t="str">
            <v xml:space="preserve">ENG-W </v>
          </cell>
          <cell r="G5555">
            <v>131</v>
          </cell>
          <cell r="H5555" t="str">
            <v>ENG-W 131</v>
          </cell>
          <cell r="K5555" t="str">
            <v>Bowden,Mary Katherine</v>
          </cell>
          <cell r="N5555">
            <v>2.7</v>
          </cell>
          <cell r="O5555">
            <v>2.8769999999999998</v>
          </cell>
        </row>
        <row r="5556">
          <cell r="E5556" t="str">
            <v>ENG</v>
          </cell>
          <cell r="F5556" t="str">
            <v xml:space="preserve">ENG-W </v>
          </cell>
          <cell r="G5556">
            <v>131</v>
          </cell>
          <cell r="H5556" t="str">
            <v>ENG-W 131</v>
          </cell>
          <cell r="K5556" t="str">
            <v>Boyer,Shannon Leigh</v>
          </cell>
          <cell r="N5556">
            <v>2.5710000000000002</v>
          </cell>
          <cell r="O5556">
            <v>2.5350000000000001</v>
          </cell>
        </row>
        <row r="5557">
          <cell r="E5557" t="str">
            <v>ENG</v>
          </cell>
          <cell r="F5557" t="str">
            <v xml:space="preserve">ENG-W </v>
          </cell>
          <cell r="G5557">
            <v>131</v>
          </cell>
          <cell r="H5557" t="str">
            <v>ENG-W 131</v>
          </cell>
          <cell r="K5557" t="str">
            <v>Boyer,Shannon Leigh</v>
          </cell>
          <cell r="N5557">
            <v>2.907</v>
          </cell>
          <cell r="O5557">
            <v>2.7559999999999998</v>
          </cell>
        </row>
        <row r="5558">
          <cell r="E5558" t="str">
            <v>ENG</v>
          </cell>
          <cell r="F5558" t="str">
            <v xml:space="preserve">ENG-W </v>
          </cell>
          <cell r="G5558">
            <v>131</v>
          </cell>
          <cell r="H5558" t="str">
            <v>ENG-W 131</v>
          </cell>
          <cell r="K5558" t="str">
            <v>Boyer,Shannon Leigh</v>
          </cell>
          <cell r="N5558">
            <v>3.5</v>
          </cell>
          <cell r="O5558">
            <v>3.2690000000000001</v>
          </cell>
        </row>
        <row r="5559">
          <cell r="E5559" t="str">
            <v>ENG</v>
          </cell>
          <cell r="F5559" t="str">
            <v xml:space="preserve">ENG-W </v>
          </cell>
          <cell r="G5559">
            <v>131</v>
          </cell>
          <cell r="H5559" t="str">
            <v>ENG-W 131</v>
          </cell>
          <cell r="K5559" t="str">
            <v>Carney,Connie Landrum</v>
          </cell>
          <cell r="N5559">
            <v>2.867</v>
          </cell>
          <cell r="O5559">
            <v>2.7570000000000001</v>
          </cell>
        </row>
        <row r="5560">
          <cell r="E5560" t="str">
            <v>ENG</v>
          </cell>
          <cell r="F5560" t="str">
            <v xml:space="preserve">ENG-W </v>
          </cell>
          <cell r="G5560">
            <v>131</v>
          </cell>
          <cell r="H5560" t="str">
            <v>ENG-W 131</v>
          </cell>
          <cell r="K5560" t="str">
            <v>Case,Douglas Paul</v>
          </cell>
          <cell r="N5560">
            <v>2.5569999999999999</v>
          </cell>
          <cell r="O5560">
            <v>2.7210000000000001</v>
          </cell>
        </row>
        <row r="5561">
          <cell r="E5561" t="str">
            <v>ENG</v>
          </cell>
          <cell r="F5561" t="str">
            <v xml:space="preserve">ENG-W </v>
          </cell>
          <cell r="G5561">
            <v>131</v>
          </cell>
          <cell r="H5561" t="str">
            <v>ENG-W 131</v>
          </cell>
          <cell r="K5561" t="str">
            <v>Cazan,Roxana Lucia</v>
          </cell>
          <cell r="N5561">
            <v>3.081</v>
          </cell>
          <cell r="O5561">
            <v>2.9060000000000001</v>
          </cell>
        </row>
        <row r="5562">
          <cell r="E5562" t="str">
            <v>ENG</v>
          </cell>
          <cell r="F5562" t="str">
            <v xml:space="preserve">ENG-W </v>
          </cell>
          <cell r="G5562">
            <v>131</v>
          </cell>
          <cell r="H5562" t="str">
            <v>ENG-W 131</v>
          </cell>
          <cell r="K5562" t="str">
            <v>Chambers,Michael Christopher Lee</v>
          </cell>
          <cell r="N5562">
            <v>2.605</v>
          </cell>
          <cell r="O5562">
            <v>2.8610000000000002</v>
          </cell>
        </row>
        <row r="5563">
          <cell r="E5563" t="str">
            <v>ENG</v>
          </cell>
          <cell r="F5563" t="str">
            <v xml:space="preserve">ENG-W </v>
          </cell>
          <cell r="G5563">
            <v>131</v>
          </cell>
          <cell r="H5563" t="str">
            <v>ENG-W 131</v>
          </cell>
          <cell r="K5563" t="str">
            <v>Chasteen,Brandon Scott</v>
          </cell>
          <cell r="N5563">
            <v>3.4</v>
          </cell>
          <cell r="O5563">
            <v>3.2519999999999998</v>
          </cell>
        </row>
        <row r="5564">
          <cell r="E5564" t="str">
            <v>ENG</v>
          </cell>
          <cell r="F5564" t="str">
            <v xml:space="preserve">ENG-W </v>
          </cell>
          <cell r="G5564">
            <v>131</v>
          </cell>
          <cell r="H5564" t="str">
            <v>ENG-W 131</v>
          </cell>
          <cell r="K5564" t="str">
            <v>Christian,Mary Elizabeth</v>
          </cell>
          <cell r="N5564">
            <v>2.9089999999999998</v>
          </cell>
          <cell r="O5564">
            <v>3.125</v>
          </cell>
        </row>
        <row r="5565">
          <cell r="E5565" t="str">
            <v>ENG</v>
          </cell>
          <cell r="F5565" t="str">
            <v xml:space="preserve">ENG-W </v>
          </cell>
          <cell r="G5565">
            <v>131</v>
          </cell>
          <cell r="H5565" t="str">
            <v>ENG-W 131</v>
          </cell>
          <cell r="K5565" t="str">
            <v>Christian,Mary Elizabeth</v>
          </cell>
          <cell r="N5565">
            <v>2.181</v>
          </cell>
          <cell r="O5565">
            <v>2.7629999999999999</v>
          </cell>
        </row>
        <row r="5566">
          <cell r="E5566" t="str">
            <v>ENG</v>
          </cell>
          <cell r="F5566" t="str">
            <v xml:space="preserve">ENG-W </v>
          </cell>
          <cell r="G5566">
            <v>131</v>
          </cell>
          <cell r="H5566" t="str">
            <v>ENG-W 131</v>
          </cell>
          <cell r="K5566" t="str">
            <v>Christian,Mary Elizabeth</v>
          </cell>
          <cell r="N5566">
            <v>2.8929999999999998</v>
          </cell>
          <cell r="O5566">
            <v>3.3759999999999999</v>
          </cell>
        </row>
        <row r="5567">
          <cell r="E5567" t="str">
            <v>ENG</v>
          </cell>
          <cell r="F5567" t="str">
            <v xml:space="preserve">ENG-W </v>
          </cell>
          <cell r="G5567">
            <v>131</v>
          </cell>
          <cell r="H5567" t="str">
            <v>ENG-W 131</v>
          </cell>
          <cell r="K5567" t="str">
            <v>Cohn,Mallory R</v>
          </cell>
          <cell r="N5567">
            <v>3.0590000000000002</v>
          </cell>
          <cell r="O5567">
            <v>2.8860000000000001</v>
          </cell>
        </row>
        <row r="5568">
          <cell r="E5568" t="str">
            <v>ENG</v>
          </cell>
          <cell r="F5568" t="str">
            <v xml:space="preserve">ENG-W </v>
          </cell>
          <cell r="G5568">
            <v>131</v>
          </cell>
          <cell r="H5568" t="str">
            <v>ENG-W 131</v>
          </cell>
          <cell r="K5568" t="str">
            <v>Cohn,Mallory R</v>
          </cell>
          <cell r="N5568">
            <v>3.25</v>
          </cell>
          <cell r="O5568">
            <v>3.0880000000000001</v>
          </cell>
        </row>
        <row r="5569">
          <cell r="E5569" t="str">
            <v>ENG</v>
          </cell>
          <cell r="F5569" t="str">
            <v xml:space="preserve">ENG-W </v>
          </cell>
          <cell r="G5569">
            <v>131</v>
          </cell>
          <cell r="H5569" t="str">
            <v>ENG-W 131</v>
          </cell>
          <cell r="K5569" t="str">
            <v>Cohn,Mallory R</v>
          </cell>
          <cell r="N5569">
            <v>2.948</v>
          </cell>
          <cell r="O5569">
            <v>2.7519999999999998</v>
          </cell>
        </row>
        <row r="5570">
          <cell r="E5570" t="str">
            <v>ENG</v>
          </cell>
          <cell r="F5570" t="str">
            <v xml:space="preserve">ENG-W </v>
          </cell>
          <cell r="G5570">
            <v>131</v>
          </cell>
          <cell r="H5570" t="str">
            <v>ENG-W 131</v>
          </cell>
          <cell r="K5570" t="str">
            <v>Connolly,Joseph Michael</v>
          </cell>
          <cell r="N5570">
            <v>2.8050000000000002</v>
          </cell>
          <cell r="O5570">
            <v>3.1440000000000001</v>
          </cell>
        </row>
        <row r="5571">
          <cell r="E5571" t="str">
            <v>ENG</v>
          </cell>
          <cell r="F5571" t="str">
            <v xml:space="preserve">ENG-W </v>
          </cell>
          <cell r="G5571">
            <v>131</v>
          </cell>
          <cell r="H5571" t="str">
            <v>ENG-W 131</v>
          </cell>
          <cell r="K5571" t="str">
            <v>Coombs,Adam Kendall</v>
          </cell>
          <cell r="N5571">
            <v>2.9409999999999998</v>
          </cell>
          <cell r="O5571">
            <v>2.94</v>
          </cell>
        </row>
        <row r="5572">
          <cell r="E5572" t="str">
            <v>ENG</v>
          </cell>
          <cell r="F5572" t="str">
            <v xml:space="preserve">ENG-W </v>
          </cell>
          <cell r="G5572">
            <v>131</v>
          </cell>
          <cell r="H5572" t="str">
            <v>ENG-W 131</v>
          </cell>
          <cell r="K5572" t="str">
            <v>Coombs,Adam Kendall</v>
          </cell>
          <cell r="N5572">
            <v>2.4319999999999999</v>
          </cell>
          <cell r="O5572">
            <v>2.5089999999999999</v>
          </cell>
        </row>
        <row r="5573">
          <cell r="E5573" t="str">
            <v>ENG</v>
          </cell>
          <cell r="F5573" t="str">
            <v xml:space="preserve">ENG-W </v>
          </cell>
          <cell r="G5573">
            <v>131</v>
          </cell>
          <cell r="H5573" t="str">
            <v>ENG-W 131</v>
          </cell>
          <cell r="K5573" t="str">
            <v>Coombs,Adam Kendall</v>
          </cell>
          <cell r="N5573">
            <v>2.722</v>
          </cell>
          <cell r="O5573">
            <v>2.831</v>
          </cell>
        </row>
        <row r="5574">
          <cell r="E5574" t="str">
            <v>ENG</v>
          </cell>
          <cell r="F5574" t="str">
            <v xml:space="preserve">ENG-W </v>
          </cell>
          <cell r="G5574">
            <v>131</v>
          </cell>
          <cell r="H5574" t="str">
            <v>ENG-W 131</v>
          </cell>
          <cell r="K5574" t="str">
            <v>Coombs,Adam Kendall</v>
          </cell>
          <cell r="N5574">
            <v>3.1360000000000001</v>
          </cell>
          <cell r="O5574">
            <v>3.214</v>
          </cell>
        </row>
        <row r="5575">
          <cell r="E5575" t="str">
            <v>ENG</v>
          </cell>
          <cell r="F5575" t="str">
            <v xml:space="preserve">ENG-W </v>
          </cell>
          <cell r="G5575">
            <v>131</v>
          </cell>
          <cell r="H5575" t="str">
            <v>ENG-W 131</v>
          </cell>
          <cell r="K5575" t="str">
            <v>Cox,Emilie Corrine</v>
          </cell>
          <cell r="N5575">
            <v>3.3130000000000002</v>
          </cell>
          <cell r="O5575">
            <v>2.839</v>
          </cell>
        </row>
        <row r="5576">
          <cell r="E5576" t="str">
            <v>ENG</v>
          </cell>
          <cell r="F5576" t="str">
            <v xml:space="preserve">ENG-W </v>
          </cell>
          <cell r="G5576">
            <v>131</v>
          </cell>
          <cell r="H5576" t="str">
            <v>ENG-W 131</v>
          </cell>
          <cell r="K5576" t="str">
            <v>Davoudi,Dalia</v>
          </cell>
          <cell r="N5576">
            <v>2.8359999999999999</v>
          </cell>
          <cell r="O5576">
            <v>2.66</v>
          </cell>
        </row>
        <row r="5577">
          <cell r="E5577" t="str">
            <v>ENG</v>
          </cell>
          <cell r="F5577" t="str">
            <v xml:space="preserve">ENG-W </v>
          </cell>
          <cell r="G5577">
            <v>131</v>
          </cell>
          <cell r="H5577" t="str">
            <v>ENG-W 131</v>
          </cell>
          <cell r="K5577" t="str">
            <v>Davoudi,Dalia</v>
          </cell>
          <cell r="N5577">
            <v>2.677</v>
          </cell>
          <cell r="O5577">
            <v>2.3170000000000002</v>
          </cell>
        </row>
        <row r="5578">
          <cell r="E5578" t="str">
            <v>ENG</v>
          </cell>
          <cell r="F5578" t="str">
            <v xml:space="preserve">ENG-W </v>
          </cell>
          <cell r="G5578">
            <v>131</v>
          </cell>
          <cell r="H5578" t="str">
            <v>ENG-W 131</v>
          </cell>
          <cell r="K5578" t="str">
            <v>Davoudi,Dalia</v>
          </cell>
          <cell r="N5578">
            <v>3.0169999999999999</v>
          </cell>
          <cell r="O5578">
            <v>3.0089999999999999</v>
          </cell>
        </row>
        <row r="5579">
          <cell r="E5579" t="str">
            <v>ENG</v>
          </cell>
          <cell r="F5579" t="str">
            <v xml:space="preserve">ENG-W </v>
          </cell>
          <cell r="G5579">
            <v>131</v>
          </cell>
          <cell r="H5579" t="str">
            <v>ENG-W 131</v>
          </cell>
          <cell r="K5579" t="str">
            <v>Delgado,L. A.</v>
          </cell>
          <cell r="N5579">
            <v>3.085</v>
          </cell>
          <cell r="O5579">
            <v>2.7650000000000001</v>
          </cell>
        </row>
        <row r="5580">
          <cell r="E5580" t="str">
            <v>ENG</v>
          </cell>
          <cell r="F5580" t="str">
            <v xml:space="preserve">ENG-W </v>
          </cell>
          <cell r="G5580">
            <v>131</v>
          </cell>
          <cell r="H5580" t="str">
            <v>ENG-W 131</v>
          </cell>
          <cell r="K5580" t="str">
            <v>Delgado,L. A.</v>
          </cell>
          <cell r="N5580">
            <v>2.859</v>
          </cell>
          <cell r="O5580">
            <v>2.8029999999999999</v>
          </cell>
        </row>
        <row r="5581">
          <cell r="E5581" t="str">
            <v>ENG</v>
          </cell>
          <cell r="F5581" t="str">
            <v xml:space="preserve">ENG-W </v>
          </cell>
          <cell r="G5581">
            <v>131</v>
          </cell>
          <cell r="H5581" t="str">
            <v>ENG-W 131</v>
          </cell>
          <cell r="K5581" t="str">
            <v>Esola,Emily Johanna</v>
          </cell>
          <cell r="N5581">
            <v>3.02</v>
          </cell>
          <cell r="O5581">
            <v>2.7829999999999999</v>
          </cell>
        </row>
        <row r="5582">
          <cell r="E5582" t="str">
            <v>ENG</v>
          </cell>
          <cell r="F5582" t="str">
            <v xml:space="preserve">ENG-W </v>
          </cell>
          <cell r="G5582">
            <v>131</v>
          </cell>
          <cell r="H5582" t="str">
            <v>ENG-W 131</v>
          </cell>
          <cell r="K5582" t="str">
            <v>Esola,Emily Johanna</v>
          </cell>
          <cell r="N5582">
            <v>2.847</v>
          </cell>
          <cell r="O5582">
            <v>2.6520000000000001</v>
          </cell>
        </row>
        <row r="5583">
          <cell r="E5583" t="str">
            <v>ENG</v>
          </cell>
          <cell r="F5583" t="str">
            <v xml:space="preserve">ENG-W </v>
          </cell>
          <cell r="G5583">
            <v>131</v>
          </cell>
          <cell r="H5583" t="str">
            <v>ENG-W 131</v>
          </cell>
          <cell r="K5583" t="str">
            <v>Esola,Emily Johanna</v>
          </cell>
          <cell r="N5583">
            <v>2.9329999999999998</v>
          </cell>
          <cell r="O5583">
            <v>2.9940000000000002</v>
          </cell>
        </row>
        <row r="5584">
          <cell r="E5584" t="str">
            <v>ENG</v>
          </cell>
          <cell r="F5584" t="str">
            <v xml:space="preserve">ENG-W </v>
          </cell>
          <cell r="G5584">
            <v>131</v>
          </cell>
          <cell r="H5584" t="str">
            <v>ENG-W 131</v>
          </cell>
          <cell r="K5584" t="str">
            <v>Evans,August</v>
          </cell>
          <cell r="N5584">
            <v>3.3690000000000002</v>
          </cell>
          <cell r="O5584">
            <v>3.2930000000000001</v>
          </cell>
        </row>
        <row r="5585">
          <cell r="E5585" t="str">
            <v>ENG</v>
          </cell>
          <cell r="F5585" t="str">
            <v xml:space="preserve">ENG-W </v>
          </cell>
          <cell r="G5585">
            <v>131</v>
          </cell>
          <cell r="H5585" t="str">
            <v>ENG-W 131</v>
          </cell>
          <cell r="K5585" t="str">
            <v>Fajardo,Adam Justin</v>
          </cell>
          <cell r="N5585">
            <v>2.657</v>
          </cell>
          <cell r="O5585">
            <v>2.7410000000000001</v>
          </cell>
        </row>
        <row r="5586">
          <cell r="E5586" t="str">
            <v>ENG</v>
          </cell>
          <cell r="F5586" t="str">
            <v xml:space="preserve">ENG-W </v>
          </cell>
          <cell r="G5586">
            <v>131</v>
          </cell>
          <cell r="H5586" t="str">
            <v>ENG-W 131</v>
          </cell>
          <cell r="K5586" t="str">
            <v>Fajardo,Adam Justin</v>
          </cell>
          <cell r="N5586">
            <v>2.5910000000000002</v>
          </cell>
          <cell r="O5586">
            <v>2.948</v>
          </cell>
        </row>
        <row r="5587">
          <cell r="E5587" t="str">
            <v>ENG</v>
          </cell>
          <cell r="F5587" t="str">
            <v xml:space="preserve">ENG-W </v>
          </cell>
          <cell r="G5587">
            <v>131</v>
          </cell>
          <cell r="H5587" t="str">
            <v>ENG-W 131</v>
          </cell>
          <cell r="K5587" t="str">
            <v>Fitzgerald,Megan Louise</v>
          </cell>
          <cell r="N5587">
            <v>2.69</v>
          </cell>
          <cell r="O5587">
            <v>2.6269999999999998</v>
          </cell>
        </row>
        <row r="5588">
          <cell r="E5588" t="str">
            <v>ENG</v>
          </cell>
          <cell r="F5588" t="str">
            <v xml:space="preserve">ENG-W </v>
          </cell>
          <cell r="G5588">
            <v>131</v>
          </cell>
          <cell r="H5588" t="str">
            <v>ENG-W 131</v>
          </cell>
          <cell r="K5588" t="str">
            <v>Fitzgerald,Megan Louise</v>
          </cell>
          <cell r="N5588">
            <v>2.6589999999999998</v>
          </cell>
          <cell r="O5588">
            <v>2.4870000000000001</v>
          </cell>
        </row>
        <row r="5589">
          <cell r="E5589" t="str">
            <v>ENG</v>
          </cell>
          <cell r="F5589" t="str">
            <v xml:space="preserve">ENG-W </v>
          </cell>
          <cell r="G5589">
            <v>131</v>
          </cell>
          <cell r="H5589" t="str">
            <v>ENG-W 131</v>
          </cell>
          <cell r="K5589" t="str">
            <v>Gallick,Steven Michael</v>
          </cell>
          <cell r="N5589">
            <v>2.952</v>
          </cell>
          <cell r="O5589">
            <v>2.7770000000000001</v>
          </cell>
        </row>
        <row r="5590">
          <cell r="E5590" t="str">
            <v>ENG</v>
          </cell>
          <cell r="F5590" t="str">
            <v xml:space="preserve">ENG-W </v>
          </cell>
          <cell r="G5590">
            <v>131</v>
          </cell>
          <cell r="H5590" t="str">
            <v>ENG-W 131</v>
          </cell>
          <cell r="K5590" t="str">
            <v>Gallick,Steven Michael</v>
          </cell>
          <cell r="N5590">
            <v>3.1269999999999998</v>
          </cell>
          <cell r="O5590">
            <v>2.7679999999999998</v>
          </cell>
        </row>
        <row r="5591">
          <cell r="E5591" t="str">
            <v>ENG</v>
          </cell>
          <cell r="F5591" t="str">
            <v xml:space="preserve">ENG-W </v>
          </cell>
          <cell r="G5591">
            <v>131</v>
          </cell>
          <cell r="H5591" t="str">
            <v>ENG-W 131</v>
          </cell>
          <cell r="K5591" t="str">
            <v>Gallick,Steven Michael</v>
          </cell>
          <cell r="N5591">
            <v>3.0950000000000002</v>
          </cell>
          <cell r="O5591">
            <v>2.7360000000000002</v>
          </cell>
        </row>
        <row r="5592">
          <cell r="E5592" t="str">
            <v>ENG</v>
          </cell>
          <cell r="F5592" t="str">
            <v xml:space="preserve">ENG-W </v>
          </cell>
          <cell r="G5592">
            <v>131</v>
          </cell>
          <cell r="H5592" t="str">
            <v>ENG-W 131</v>
          </cell>
          <cell r="K5592" t="str">
            <v>George,Jessica Bridget</v>
          </cell>
          <cell r="N5592">
            <v>2.8140000000000001</v>
          </cell>
          <cell r="O5592">
            <v>2.6749999999999998</v>
          </cell>
        </row>
        <row r="5593">
          <cell r="E5593" t="str">
            <v>ENG</v>
          </cell>
          <cell r="F5593" t="str">
            <v xml:space="preserve">ENG-W </v>
          </cell>
          <cell r="G5593">
            <v>131</v>
          </cell>
          <cell r="H5593" t="str">
            <v>ENG-W 131</v>
          </cell>
          <cell r="K5593" t="str">
            <v>Ha,Janet Kim</v>
          </cell>
          <cell r="N5593">
            <v>2.7429999999999999</v>
          </cell>
          <cell r="O5593">
            <v>3.004</v>
          </cell>
        </row>
        <row r="5594">
          <cell r="E5594" t="str">
            <v>ENG</v>
          </cell>
          <cell r="F5594" t="str">
            <v xml:space="preserve">ENG-W </v>
          </cell>
          <cell r="G5594">
            <v>131</v>
          </cell>
          <cell r="H5594" t="str">
            <v>ENG-W 131</v>
          </cell>
          <cell r="K5594" t="str">
            <v>Ha,Janet Kim</v>
          </cell>
          <cell r="N5594">
            <v>2.9409999999999998</v>
          </cell>
          <cell r="O5594">
            <v>3.0609999999999999</v>
          </cell>
        </row>
        <row r="5595">
          <cell r="E5595" t="str">
            <v>ENG</v>
          </cell>
          <cell r="F5595" t="str">
            <v xml:space="preserve">ENG-W </v>
          </cell>
          <cell r="G5595">
            <v>131</v>
          </cell>
          <cell r="H5595" t="str">
            <v>ENG-W 131</v>
          </cell>
          <cell r="K5595" t="str">
            <v>Hall,Savannah Brooke</v>
          </cell>
          <cell r="N5595">
            <v>3.0430000000000001</v>
          </cell>
          <cell r="O5595">
            <v>2.9279999999999999</v>
          </cell>
        </row>
        <row r="5596">
          <cell r="E5596" t="str">
            <v>ENG</v>
          </cell>
          <cell r="F5596" t="str">
            <v xml:space="preserve">ENG-W </v>
          </cell>
          <cell r="G5596">
            <v>131</v>
          </cell>
          <cell r="H5596" t="str">
            <v>ENG-W 131</v>
          </cell>
          <cell r="K5596" t="str">
            <v>Hall,Savannah Brooke</v>
          </cell>
          <cell r="N5596">
            <v>2.79</v>
          </cell>
          <cell r="O5596">
            <v>3.0590000000000002</v>
          </cell>
        </row>
        <row r="5597">
          <cell r="E5597" t="str">
            <v>ENG</v>
          </cell>
          <cell r="F5597" t="str">
            <v xml:space="preserve">ENG-W </v>
          </cell>
          <cell r="G5597">
            <v>131</v>
          </cell>
          <cell r="H5597" t="str">
            <v>ENG-W 131</v>
          </cell>
          <cell r="K5597" t="str">
            <v>Hall,Savannah Brooke</v>
          </cell>
          <cell r="N5597">
            <v>2.9049999999999998</v>
          </cell>
          <cell r="O5597">
            <v>2.8159999999999998</v>
          </cell>
        </row>
        <row r="5598">
          <cell r="E5598" t="str">
            <v>ENG</v>
          </cell>
          <cell r="F5598" t="str">
            <v xml:space="preserve">ENG-W </v>
          </cell>
          <cell r="G5598">
            <v>131</v>
          </cell>
          <cell r="H5598" t="str">
            <v>ENG-W 131</v>
          </cell>
          <cell r="K5598" t="str">
            <v>Hamer,Molly Powell</v>
          </cell>
          <cell r="N5598">
            <v>3.3570000000000002</v>
          </cell>
          <cell r="O5598">
            <v>3.0649999999999999</v>
          </cell>
        </row>
        <row r="5599">
          <cell r="E5599" t="str">
            <v>ENG</v>
          </cell>
          <cell r="F5599" t="str">
            <v xml:space="preserve">ENG-W </v>
          </cell>
          <cell r="G5599">
            <v>131</v>
          </cell>
          <cell r="H5599" t="str">
            <v>ENG-W 131</v>
          </cell>
          <cell r="K5599" t="str">
            <v>Hamer,Molly Powell</v>
          </cell>
          <cell r="N5599">
            <v>3.181</v>
          </cell>
          <cell r="O5599">
            <v>3.01</v>
          </cell>
        </row>
        <row r="5600">
          <cell r="E5600" t="str">
            <v>ENG</v>
          </cell>
          <cell r="F5600" t="str">
            <v xml:space="preserve">ENG-W </v>
          </cell>
          <cell r="G5600">
            <v>131</v>
          </cell>
          <cell r="H5600" t="str">
            <v>ENG-W 131</v>
          </cell>
          <cell r="K5600" t="str">
            <v>Hamer,Molly Powell</v>
          </cell>
          <cell r="N5600">
            <v>3.673</v>
          </cell>
          <cell r="O5600">
            <v>3.4729999999999999</v>
          </cell>
        </row>
        <row r="5601">
          <cell r="E5601" t="str">
            <v>ENG</v>
          </cell>
          <cell r="F5601" t="str">
            <v xml:space="preserve">ENG-W </v>
          </cell>
          <cell r="G5601">
            <v>131</v>
          </cell>
          <cell r="H5601" t="str">
            <v>ENG-W 131</v>
          </cell>
          <cell r="K5601" t="str">
            <v>Hanson,Kelly Ruth</v>
          </cell>
          <cell r="N5601">
            <v>2.4860000000000002</v>
          </cell>
          <cell r="O5601">
            <v>2.6309999999999998</v>
          </cell>
        </row>
        <row r="5602">
          <cell r="E5602" t="str">
            <v>ENG</v>
          </cell>
          <cell r="F5602" t="str">
            <v xml:space="preserve">ENG-W </v>
          </cell>
          <cell r="G5602">
            <v>131</v>
          </cell>
          <cell r="H5602" t="str">
            <v>ENG-W 131</v>
          </cell>
          <cell r="K5602" t="str">
            <v>Hanson,Kelly Ruth</v>
          </cell>
          <cell r="N5602">
            <v>2.968</v>
          </cell>
          <cell r="O5602">
            <v>3.0920000000000001</v>
          </cell>
        </row>
        <row r="5603">
          <cell r="E5603" t="str">
            <v>ENG</v>
          </cell>
          <cell r="F5603" t="str">
            <v xml:space="preserve">ENG-W </v>
          </cell>
          <cell r="G5603">
            <v>131</v>
          </cell>
          <cell r="H5603" t="str">
            <v>ENG-W 131</v>
          </cell>
          <cell r="K5603" t="str">
            <v>Hanson,Kelly Ruth</v>
          </cell>
          <cell r="N5603">
            <v>2.919</v>
          </cell>
          <cell r="O5603">
            <v>3.145</v>
          </cell>
        </row>
        <row r="5604">
          <cell r="E5604" t="str">
            <v>ENG</v>
          </cell>
          <cell r="F5604" t="str">
            <v xml:space="preserve">ENG-W </v>
          </cell>
          <cell r="G5604">
            <v>131</v>
          </cell>
          <cell r="H5604" t="str">
            <v>ENG-W 131</v>
          </cell>
          <cell r="K5604" t="str">
            <v>Harrison,Mark L</v>
          </cell>
          <cell r="N5604">
            <v>2.38</v>
          </cell>
          <cell r="O5604">
            <v>2.794</v>
          </cell>
        </row>
        <row r="5605">
          <cell r="E5605" t="str">
            <v>ENG</v>
          </cell>
          <cell r="F5605" t="str">
            <v xml:space="preserve">ENG-W </v>
          </cell>
          <cell r="G5605">
            <v>131</v>
          </cell>
          <cell r="H5605" t="str">
            <v>ENG-W 131</v>
          </cell>
          <cell r="K5605" t="str">
            <v>Harrison,Mark L</v>
          </cell>
          <cell r="N5605">
            <v>3.18</v>
          </cell>
          <cell r="O5605">
            <v>3.2090000000000001</v>
          </cell>
        </row>
        <row r="5606">
          <cell r="E5606" t="str">
            <v>ENG</v>
          </cell>
          <cell r="F5606" t="str">
            <v xml:space="preserve">ENG-W </v>
          </cell>
          <cell r="G5606">
            <v>131</v>
          </cell>
          <cell r="H5606" t="str">
            <v>ENG-W 131</v>
          </cell>
          <cell r="K5606" t="str">
            <v>Harrison,Mark L</v>
          </cell>
          <cell r="N5606">
            <v>3.15</v>
          </cell>
          <cell r="O5606">
            <v>3.1419999999999999</v>
          </cell>
        </row>
        <row r="5607">
          <cell r="E5607" t="str">
            <v>ENG</v>
          </cell>
          <cell r="F5607" t="str">
            <v xml:space="preserve">ENG-W </v>
          </cell>
          <cell r="G5607">
            <v>131</v>
          </cell>
          <cell r="H5607" t="str">
            <v>ENG-W 131</v>
          </cell>
          <cell r="K5607" t="str">
            <v>Hartnett,Terence</v>
          </cell>
          <cell r="N5607">
            <v>3.6869999999999998</v>
          </cell>
          <cell r="O5607">
            <v>2.887</v>
          </cell>
        </row>
        <row r="5608">
          <cell r="E5608" t="str">
            <v>ENG</v>
          </cell>
          <cell r="F5608" t="str">
            <v xml:space="preserve">ENG-W </v>
          </cell>
          <cell r="G5608">
            <v>131</v>
          </cell>
          <cell r="H5608" t="str">
            <v>ENG-W 131</v>
          </cell>
          <cell r="K5608" t="str">
            <v>Higgins,David Michael</v>
          </cell>
          <cell r="N5608">
            <v>3.0369999999999999</v>
          </cell>
          <cell r="O5608">
            <v>2.476</v>
          </cell>
        </row>
        <row r="5609">
          <cell r="E5609" t="str">
            <v>ENG</v>
          </cell>
          <cell r="F5609" t="str">
            <v xml:space="preserve">ENG-W </v>
          </cell>
          <cell r="G5609">
            <v>131</v>
          </cell>
          <cell r="H5609" t="str">
            <v>ENG-W 131</v>
          </cell>
          <cell r="K5609" t="str">
            <v>Higgins,David Michael</v>
          </cell>
          <cell r="N5609">
            <v>3.9350000000000001</v>
          </cell>
          <cell r="O5609">
            <v>3.4550000000000001</v>
          </cell>
        </row>
        <row r="5610">
          <cell r="E5610" t="str">
            <v>ENG</v>
          </cell>
          <cell r="F5610" t="str">
            <v xml:space="preserve">ENG-W </v>
          </cell>
          <cell r="G5610">
            <v>131</v>
          </cell>
          <cell r="H5610" t="str">
            <v>ENG-W 131</v>
          </cell>
          <cell r="K5610" t="str">
            <v>Higgins,Richard S</v>
          </cell>
          <cell r="N5610">
            <v>3.3620000000000001</v>
          </cell>
          <cell r="O5610">
            <v>3.2330000000000001</v>
          </cell>
        </row>
        <row r="5611">
          <cell r="E5611" t="str">
            <v>ENG</v>
          </cell>
          <cell r="F5611" t="str">
            <v xml:space="preserve">ENG-W </v>
          </cell>
          <cell r="G5611">
            <v>131</v>
          </cell>
          <cell r="H5611" t="str">
            <v>ENG-W 131</v>
          </cell>
          <cell r="K5611" t="str">
            <v>Higgins,Richard S</v>
          </cell>
          <cell r="N5611">
            <v>3.08</v>
          </cell>
          <cell r="O5611">
            <v>2.8849999999999998</v>
          </cell>
        </row>
        <row r="5612">
          <cell r="E5612" t="str">
            <v>ENG</v>
          </cell>
          <cell r="F5612" t="str">
            <v xml:space="preserve">ENG-W </v>
          </cell>
          <cell r="G5612">
            <v>131</v>
          </cell>
          <cell r="H5612" t="str">
            <v>ENG-W 131</v>
          </cell>
          <cell r="K5612" t="str">
            <v>Hiland,Joseph Andrew</v>
          </cell>
          <cell r="N5612">
            <v>2.887</v>
          </cell>
          <cell r="O5612">
            <v>3.028</v>
          </cell>
        </row>
        <row r="5613">
          <cell r="E5613" t="str">
            <v>ENG</v>
          </cell>
          <cell r="F5613" t="str">
            <v xml:space="preserve">ENG-W </v>
          </cell>
          <cell r="G5613">
            <v>131</v>
          </cell>
          <cell r="H5613" t="str">
            <v>ENG-W 131</v>
          </cell>
          <cell r="K5613" t="str">
            <v>Hiland,Joseph Andrew</v>
          </cell>
          <cell r="N5613">
            <v>2.6709999999999998</v>
          </cell>
          <cell r="O5613">
            <v>2.8159999999999998</v>
          </cell>
        </row>
        <row r="5614">
          <cell r="E5614" t="str">
            <v>ENG</v>
          </cell>
          <cell r="F5614" t="str">
            <v xml:space="preserve">ENG-W </v>
          </cell>
          <cell r="G5614">
            <v>131</v>
          </cell>
          <cell r="H5614" t="str">
            <v>ENG-W 131</v>
          </cell>
          <cell r="K5614" t="str">
            <v>Hilson,Mica Ars</v>
          </cell>
          <cell r="N5614">
            <v>2.722</v>
          </cell>
          <cell r="O5614">
            <v>2.7189999999999999</v>
          </cell>
        </row>
        <row r="5615">
          <cell r="E5615" t="str">
            <v>ENG</v>
          </cell>
          <cell r="F5615" t="str">
            <v xml:space="preserve">ENG-W </v>
          </cell>
          <cell r="G5615">
            <v>131</v>
          </cell>
          <cell r="H5615" t="str">
            <v>ENG-W 131</v>
          </cell>
          <cell r="K5615" t="str">
            <v>Hilson,Mica Ars</v>
          </cell>
          <cell r="N5615">
            <v>2.532</v>
          </cell>
          <cell r="O5615">
            <v>2.766</v>
          </cell>
        </row>
        <row r="5616">
          <cell r="E5616" t="str">
            <v>ENG</v>
          </cell>
          <cell r="F5616" t="str">
            <v xml:space="preserve">ENG-W </v>
          </cell>
          <cell r="G5616">
            <v>131</v>
          </cell>
          <cell r="H5616" t="str">
            <v>ENG-W 131</v>
          </cell>
          <cell r="K5616" t="str">
            <v>Hirsu,Lavinia</v>
          </cell>
          <cell r="N5616">
            <v>2.9649999999999999</v>
          </cell>
          <cell r="O5616">
            <v>2.8370000000000002</v>
          </cell>
        </row>
        <row r="5617">
          <cell r="E5617" t="str">
            <v>ENG</v>
          </cell>
          <cell r="F5617" t="str">
            <v xml:space="preserve">ENG-W </v>
          </cell>
          <cell r="G5617">
            <v>131</v>
          </cell>
          <cell r="H5617" t="str">
            <v>ENG-W 131</v>
          </cell>
          <cell r="K5617" t="str">
            <v>Holden,Lauren McCaslin</v>
          </cell>
          <cell r="N5617">
            <v>2.7160000000000002</v>
          </cell>
          <cell r="O5617">
            <v>2.6739999999999999</v>
          </cell>
        </row>
        <row r="5618">
          <cell r="E5618" t="str">
            <v>ENG</v>
          </cell>
          <cell r="F5618" t="str">
            <v xml:space="preserve">ENG-W </v>
          </cell>
          <cell r="G5618">
            <v>131</v>
          </cell>
          <cell r="H5618" t="str">
            <v>ENG-W 131</v>
          </cell>
          <cell r="K5618" t="str">
            <v>Holden,Lauren McCaslin</v>
          </cell>
          <cell r="N5618">
            <v>2.7240000000000002</v>
          </cell>
          <cell r="O5618">
            <v>2.4750000000000001</v>
          </cell>
        </row>
        <row r="5619">
          <cell r="E5619" t="str">
            <v>ENG</v>
          </cell>
          <cell r="F5619" t="str">
            <v xml:space="preserve">ENG-W </v>
          </cell>
          <cell r="G5619">
            <v>131</v>
          </cell>
          <cell r="H5619" t="str">
            <v>ENG-W 131</v>
          </cell>
          <cell r="K5619" t="str">
            <v>Hopfer,Sarah Elizabeth</v>
          </cell>
          <cell r="N5619">
            <v>2.5710000000000002</v>
          </cell>
          <cell r="O5619">
            <v>2.665</v>
          </cell>
        </row>
        <row r="5620">
          <cell r="E5620" t="str">
            <v>ENG</v>
          </cell>
          <cell r="F5620" t="str">
            <v xml:space="preserve">ENG-W </v>
          </cell>
          <cell r="G5620">
            <v>131</v>
          </cell>
          <cell r="H5620" t="str">
            <v>ENG-W 131</v>
          </cell>
          <cell r="K5620" t="str">
            <v>Hopfer,Sarah Elizabeth</v>
          </cell>
          <cell r="N5620">
            <v>2.8570000000000002</v>
          </cell>
          <cell r="O5620">
            <v>2.8159999999999998</v>
          </cell>
        </row>
        <row r="5621">
          <cell r="E5621" t="str">
            <v>ENG</v>
          </cell>
          <cell r="F5621" t="str">
            <v xml:space="preserve">ENG-W </v>
          </cell>
          <cell r="G5621">
            <v>131</v>
          </cell>
          <cell r="H5621" t="str">
            <v>ENG-W 131</v>
          </cell>
          <cell r="K5621" t="str">
            <v>Hopfer,Sarah Elizabeth</v>
          </cell>
          <cell r="N5621">
            <v>3.1859999999999999</v>
          </cell>
          <cell r="O5621">
            <v>3.0419999999999998</v>
          </cell>
        </row>
        <row r="5622">
          <cell r="E5622" t="str">
            <v>ENG</v>
          </cell>
          <cell r="F5622" t="str">
            <v xml:space="preserve">ENG-W </v>
          </cell>
          <cell r="G5622">
            <v>131</v>
          </cell>
          <cell r="H5622" t="str">
            <v>ENG-W 131</v>
          </cell>
          <cell r="K5622" t="str">
            <v>Horvath,Stephanie Dawn</v>
          </cell>
          <cell r="N5622">
            <v>2.5619999999999998</v>
          </cell>
          <cell r="O5622">
            <v>2.8559999999999999</v>
          </cell>
        </row>
        <row r="5623">
          <cell r="E5623" t="str">
            <v>ENG</v>
          </cell>
          <cell r="F5623" t="str">
            <v xml:space="preserve">ENG-W </v>
          </cell>
          <cell r="G5623">
            <v>131</v>
          </cell>
          <cell r="H5623" t="str">
            <v>ENG-W 131</v>
          </cell>
          <cell r="K5623" t="str">
            <v>HutchingsGoetz,Tracey Dale</v>
          </cell>
          <cell r="N5623">
            <v>2.4780000000000002</v>
          </cell>
          <cell r="O5623">
            <v>2.7410000000000001</v>
          </cell>
        </row>
        <row r="5624">
          <cell r="E5624" t="str">
            <v>ENG</v>
          </cell>
          <cell r="F5624" t="str">
            <v xml:space="preserve">ENG-W </v>
          </cell>
          <cell r="G5624">
            <v>131</v>
          </cell>
          <cell r="H5624" t="str">
            <v>ENG-W 131</v>
          </cell>
          <cell r="K5624" t="str">
            <v>Jackson,Christopher John</v>
          </cell>
          <cell r="N5624">
            <v>3.5169999999999999</v>
          </cell>
          <cell r="O5624">
            <v>2.9740000000000002</v>
          </cell>
        </row>
        <row r="5625">
          <cell r="E5625" t="str">
            <v>ENG</v>
          </cell>
          <cell r="F5625" t="str">
            <v xml:space="preserve">ENG-W </v>
          </cell>
          <cell r="G5625">
            <v>131</v>
          </cell>
          <cell r="H5625" t="str">
            <v>ENG-W 131</v>
          </cell>
          <cell r="K5625" t="str">
            <v>Jackson,Christopher John</v>
          </cell>
          <cell r="N5625">
            <v>3.6859999999999999</v>
          </cell>
          <cell r="O5625">
            <v>3.1949999999999998</v>
          </cell>
        </row>
        <row r="5626">
          <cell r="E5626" t="str">
            <v>ENG</v>
          </cell>
          <cell r="F5626" t="str">
            <v xml:space="preserve">ENG-W </v>
          </cell>
          <cell r="G5626">
            <v>131</v>
          </cell>
          <cell r="H5626" t="str">
            <v>ENG-W 131</v>
          </cell>
          <cell r="K5626" t="str">
            <v>Jacobs,Lesley Elizabeth</v>
          </cell>
          <cell r="N5626">
            <v>3.573</v>
          </cell>
          <cell r="O5626">
            <v>3.0990000000000002</v>
          </cell>
        </row>
        <row r="5627">
          <cell r="E5627" t="str">
            <v>ENG</v>
          </cell>
          <cell r="F5627" t="str">
            <v xml:space="preserve">ENG-W </v>
          </cell>
          <cell r="G5627">
            <v>131</v>
          </cell>
          <cell r="H5627" t="str">
            <v>ENG-W 131</v>
          </cell>
          <cell r="K5627" t="str">
            <v>Jacobs,Lesley Elizabeth</v>
          </cell>
          <cell r="N5627">
            <v>3.27</v>
          </cell>
          <cell r="O5627">
            <v>2.8479999999999999</v>
          </cell>
        </row>
        <row r="5628">
          <cell r="E5628" t="str">
            <v>ENG</v>
          </cell>
          <cell r="F5628" t="str">
            <v xml:space="preserve">ENG-W </v>
          </cell>
          <cell r="G5628">
            <v>131</v>
          </cell>
          <cell r="H5628" t="str">
            <v>ENG-W 131</v>
          </cell>
          <cell r="K5628" t="str">
            <v>Jessup,Deanna Michelle</v>
          </cell>
          <cell r="N5628">
            <v>3.113</v>
          </cell>
          <cell r="O5628">
            <v>3.1760000000000002</v>
          </cell>
        </row>
        <row r="5629">
          <cell r="E5629" t="str">
            <v>ENG</v>
          </cell>
          <cell r="F5629" t="str">
            <v xml:space="preserve">ENG-W </v>
          </cell>
          <cell r="G5629">
            <v>131</v>
          </cell>
          <cell r="H5629" t="str">
            <v>ENG-W 131</v>
          </cell>
          <cell r="K5629" t="str">
            <v>Jessup,Deanna Michelle</v>
          </cell>
          <cell r="N5629">
            <v>2.7130000000000001</v>
          </cell>
          <cell r="O5629">
            <v>2.89</v>
          </cell>
        </row>
        <row r="5630">
          <cell r="E5630" t="str">
            <v>ENG</v>
          </cell>
          <cell r="F5630" t="str">
            <v xml:space="preserve">ENG-W </v>
          </cell>
          <cell r="G5630">
            <v>131</v>
          </cell>
          <cell r="H5630" t="str">
            <v>ENG-W 131</v>
          </cell>
          <cell r="K5630" t="str">
            <v>Kelley,Tara Alana</v>
          </cell>
          <cell r="N5630">
            <v>2.78</v>
          </cell>
          <cell r="O5630">
            <v>2.9550000000000001</v>
          </cell>
        </row>
        <row r="5631">
          <cell r="E5631" t="str">
            <v>ENG</v>
          </cell>
          <cell r="F5631" t="str">
            <v xml:space="preserve">ENG-W </v>
          </cell>
          <cell r="G5631">
            <v>131</v>
          </cell>
          <cell r="H5631" t="str">
            <v>ENG-W 131</v>
          </cell>
          <cell r="K5631" t="str">
            <v>Kelley,Tara Alana</v>
          </cell>
          <cell r="N5631">
            <v>3.1429999999999998</v>
          </cell>
          <cell r="O5631">
            <v>3.2069999999999999</v>
          </cell>
        </row>
        <row r="5632">
          <cell r="E5632" t="str">
            <v>ENG</v>
          </cell>
          <cell r="F5632" t="str">
            <v xml:space="preserve">ENG-W </v>
          </cell>
          <cell r="G5632">
            <v>131</v>
          </cell>
          <cell r="H5632" t="str">
            <v>ENG-W 131</v>
          </cell>
          <cell r="K5632" t="str">
            <v>Kelley,Tara Alana</v>
          </cell>
          <cell r="N5632">
            <v>3.6930000000000001</v>
          </cell>
          <cell r="O5632">
            <v>3.3250000000000002</v>
          </cell>
        </row>
        <row r="5633">
          <cell r="E5633" t="str">
            <v>ENG</v>
          </cell>
          <cell r="F5633" t="str">
            <v xml:space="preserve">ENG-W </v>
          </cell>
          <cell r="G5633">
            <v>131</v>
          </cell>
          <cell r="H5633" t="str">
            <v>ENG-W 131</v>
          </cell>
          <cell r="K5633" t="str">
            <v>Kelley,Tara Alana</v>
          </cell>
          <cell r="N5633">
            <v>3.58</v>
          </cell>
          <cell r="O5633">
            <v>3.26</v>
          </cell>
        </row>
        <row r="5634">
          <cell r="E5634" t="str">
            <v>ENG</v>
          </cell>
          <cell r="F5634" t="str">
            <v xml:space="preserve">ENG-W </v>
          </cell>
          <cell r="G5634">
            <v>131</v>
          </cell>
          <cell r="H5634" t="str">
            <v>ENG-W 131</v>
          </cell>
          <cell r="K5634" t="str">
            <v>Kessler,Aaron Saul</v>
          </cell>
          <cell r="N5634">
            <v>3.2549999999999999</v>
          </cell>
          <cell r="O5634">
            <v>3.14</v>
          </cell>
        </row>
        <row r="5635">
          <cell r="E5635" t="str">
            <v>ENG</v>
          </cell>
          <cell r="F5635" t="str">
            <v xml:space="preserve">ENG-W </v>
          </cell>
          <cell r="G5635">
            <v>131</v>
          </cell>
          <cell r="H5635" t="str">
            <v>ENG-W 131</v>
          </cell>
          <cell r="K5635" t="str">
            <v>Kessler,Jeffrey Christopher</v>
          </cell>
          <cell r="N5635">
            <v>2.3849999999999998</v>
          </cell>
          <cell r="O5635">
            <v>2.5680000000000001</v>
          </cell>
        </row>
        <row r="5636">
          <cell r="E5636" t="str">
            <v>ENG</v>
          </cell>
          <cell r="F5636" t="str">
            <v xml:space="preserve">ENG-W </v>
          </cell>
          <cell r="G5636">
            <v>131</v>
          </cell>
          <cell r="H5636" t="str">
            <v>ENG-W 131</v>
          </cell>
          <cell r="K5636" t="str">
            <v>Kessler,Jeffrey Christopher</v>
          </cell>
          <cell r="N5636">
            <v>2.38</v>
          </cell>
          <cell r="O5636">
            <v>2.327</v>
          </cell>
        </row>
        <row r="5637">
          <cell r="E5637" t="str">
            <v>ENG</v>
          </cell>
          <cell r="F5637" t="str">
            <v xml:space="preserve">ENG-W </v>
          </cell>
          <cell r="G5637">
            <v>131</v>
          </cell>
          <cell r="H5637" t="str">
            <v>ENG-W 131</v>
          </cell>
          <cell r="K5637" t="str">
            <v>Kessler,Jeffrey Christopher</v>
          </cell>
          <cell r="N5637">
            <v>2.891</v>
          </cell>
          <cell r="O5637">
            <v>3.0619999999999998</v>
          </cell>
        </row>
        <row r="5638">
          <cell r="E5638" t="str">
            <v>ENG</v>
          </cell>
          <cell r="F5638" t="str">
            <v xml:space="preserve">ENG-W </v>
          </cell>
          <cell r="G5638">
            <v>131</v>
          </cell>
          <cell r="H5638" t="str">
            <v>ENG-W 131</v>
          </cell>
          <cell r="K5638" t="str">
            <v>Klehfoth,Elizabeth Adrian</v>
          </cell>
          <cell r="N5638">
            <v>2.9140000000000001</v>
          </cell>
          <cell r="O5638">
            <v>2.907</v>
          </cell>
        </row>
        <row r="5639">
          <cell r="E5639" t="str">
            <v>ENG</v>
          </cell>
          <cell r="F5639" t="str">
            <v xml:space="preserve">ENG-W </v>
          </cell>
          <cell r="G5639">
            <v>131</v>
          </cell>
          <cell r="H5639" t="str">
            <v>ENG-W 131</v>
          </cell>
          <cell r="K5639" t="str">
            <v>Koenig,Emily Edna</v>
          </cell>
          <cell r="N5639">
            <v>3.226</v>
          </cell>
          <cell r="O5639">
            <v>3.0289999999999999</v>
          </cell>
        </row>
        <row r="5640">
          <cell r="E5640" t="str">
            <v>ENG</v>
          </cell>
          <cell r="F5640" t="str">
            <v xml:space="preserve">ENG-W </v>
          </cell>
          <cell r="G5640">
            <v>131</v>
          </cell>
          <cell r="H5640" t="str">
            <v>ENG-W 131</v>
          </cell>
          <cell r="K5640" t="str">
            <v>Kwong,Lisa</v>
          </cell>
          <cell r="N5640">
            <v>3.1589999999999998</v>
          </cell>
          <cell r="O5640">
            <v>3.036</v>
          </cell>
        </row>
        <row r="5641">
          <cell r="E5641" t="str">
            <v>ENG</v>
          </cell>
          <cell r="F5641" t="str">
            <v xml:space="preserve">ENG-W </v>
          </cell>
          <cell r="G5641">
            <v>131</v>
          </cell>
          <cell r="H5641" t="str">
            <v>ENG-W 131</v>
          </cell>
          <cell r="K5641" t="str">
            <v>Lawrence,Angela Nicole</v>
          </cell>
          <cell r="N5641">
            <v>3.1549999999999998</v>
          </cell>
          <cell r="O5641">
            <v>2.9990000000000001</v>
          </cell>
        </row>
        <row r="5642">
          <cell r="E5642" t="str">
            <v>ENG</v>
          </cell>
          <cell r="F5642" t="str">
            <v xml:space="preserve">ENG-W </v>
          </cell>
          <cell r="G5642">
            <v>131</v>
          </cell>
          <cell r="H5642" t="str">
            <v>ENG-W 131</v>
          </cell>
          <cell r="K5642" t="str">
            <v>Lawrence,Angela Nicole</v>
          </cell>
          <cell r="N5642">
            <v>3.218</v>
          </cell>
          <cell r="O5642">
            <v>3.0070000000000001</v>
          </cell>
        </row>
        <row r="5643">
          <cell r="E5643" t="str">
            <v>ENG</v>
          </cell>
          <cell r="F5643" t="str">
            <v xml:space="preserve">ENG-W </v>
          </cell>
          <cell r="G5643">
            <v>131</v>
          </cell>
          <cell r="H5643" t="str">
            <v>ENG-W 131</v>
          </cell>
          <cell r="K5643" t="str">
            <v>Lonich,Elise L.</v>
          </cell>
          <cell r="N5643">
            <v>3.2610000000000001</v>
          </cell>
          <cell r="O5643">
            <v>3.1560000000000001</v>
          </cell>
        </row>
        <row r="5644">
          <cell r="E5644" t="str">
            <v>ENG</v>
          </cell>
          <cell r="F5644" t="str">
            <v xml:space="preserve">ENG-W </v>
          </cell>
          <cell r="G5644">
            <v>131</v>
          </cell>
          <cell r="H5644" t="str">
            <v>ENG-W 131</v>
          </cell>
          <cell r="K5644" t="str">
            <v>Love,David Andrew</v>
          </cell>
          <cell r="N5644">
            <v>2.823</v>
          </cell>
          <cell r="O5644">
            <v>3.1539999999999999</v>
          </cell>
        </row>
        <row r="5645">
          <cell r="E5645" t="str">
            <v>ENG</v>
          </cell>
          <cell r="F5645" t="str">
            <v xml:space="preserve">ENG-W </v>
          </cell>
          <cell r="G5645">
            <v>131</v>
          </cell>
          <cell r="H5645" t="str">
            <v>ENG-W 131</v>
          </cell>
          <cell r="K5645" t="str">
            <v>Luke,Stephanie Maureen</v>
          </cell>
          <cell r="N5645">
            <v>3.165</v>
          </cell>
          <cell r="O5645">
            <v>2.8420000000000001</v>
          </cell>
        </row>
        <row r="5646">
          <cell r="E5646" t="str">
            <v>ENG</v>
          </cell>
          <cell r="F5646" t="str">
            <v xml:space="preserve">ENG-W </v>
          </cell>
          <cell r="G5646">
            <v>131</v>
          </cell>
          <cell r="H5646" t="str">
            <v>ENG-W 131</v>
          </cell>
          <cell r="K5646" t="str">
            <v>Luke,Stephanie Maureen</v>
          </cell>
          <cell r="N5646">
            <v>3.2570000000000001</v>
          </cell>
          <cell r="O5646">
            <v>3</v>
          </cell>
        </row>
        <row r="5647">
          <cell r="E5647" t="str">
            <v>ENG</v>
          </cell>
          <cell r="F5647" t="str">
            <v xml:space="preserve">ENG-W </v>
          </cell>
          <cell r="G5647">
            <v>131</v>
          </cell>
          <cell r="H5647" t="str">
            <v>ENG-W 131</v>
          </cell>
          <cell r="K5647" t="str">
            <v>Luke,Stephanie Maureen</v>
          </cell>
          <cell r="N5647">
            <v>3.048</v>
          </cell>
          <cell r="O5647">
            <v>2.984</v>
          </cell>
        </row>
        <row r="5648">
          <cell r="E5648" t="str">
            <v>ENG</v>
          </cell>
          <cell r="F5648" t="str">
            <v xml:space="preserve">ENG-W </v>
          </cell>
          <cell r="G5648">
            <v>131</v>
          </cell>
          <cell r="H5648" t="str">
            <v>ENG-W 131</v>
          </cell>
          <cell r="K5648" t="str">
            <v>Lutz,Michael</v>
          </cell>
          <cell r="N5648">
            <v>2.6230000000000002</v>
          </cell>
          <cell r="O5648">
            <v>2.649</v>
          </cell>
        </row>
        <row r="5649">
          <cell r="E5649" t="str">
            <v>ENG</v>
          </cell>
          <cell r="F5649" t="str">
            <v xml:space="preserve">ENG-W </v>
          </cell>
          <cell r="G5649">
            <v>131</v>
          </cell>
          <cell r="H5649" t="str">
            <v>ENG-W 131</v>
          </cell>
          <cell r="K5649" t="str">
            <v>Lycurgus,Catherine Elizabeth</v>
          </cell>
          <cell r="N5649">
            <v>1.984</v>
          </cell>
          <cell r="O5649">
            <v>2.4209999999999998</v>
          </cell>
        </row>
        <row r="5650">
          <cell r="E5650" t="str">
            <v>ENG</v>
          </cell>
          <cell r="F5650" t="str">
            <v xml:space="preserve">ENG-W </v>
          </cell>
          <cell r="G5650">
            <v>131</v>
          </cell>
          <cell r="H5650" t="str">
            <v>ENG-W 131</v>
          </cell>
          <cell r="K5650" t="str">
            <v>Manis,Michael John</v>
          </cell>
          <cell r="N5650">
            <v>2.7570000000000001</v>
          </cell>
          <cell r="O5650">
            <v>2.9279999999999999</v>
          </cell>
        </row>
        <row r="5651">
          <cell r="E5651" t="str">
            <v>ENG</v>
          </cell>
          <cell r="F5651" t="str">
            <v xml:space="preserve">ENG-W </v>
          </cell>
          <cell r="G5651">
            <v>131</v>
          </cell>
          <cell r="H5651" t="str">
            <v>ENG-W 131</v>
          </cell>
          <cell r="K5651" t="str">
            <v>Martiniano,Christopher Louis</v>
          </cell>
          <cell r="N5651">
            <v>2.9470000000000001</v>
          </cell>
          <cell r="O5651">
            <v>3.0609999999999999</v>
          </cell>
        </row>
        <row r="5652">
          <cell r="E5652" t="str">
            <v>ENG</v>
          </cell>
          <cell r="F5652" t="str">
            <v xml:space="preserve">ENG-W </v>
          </cell>
          <cell r="G5652">
            <v>131</v>
          </cell>
          <cell r="H5652" t="str">
            <v>ENG-W 131</v>
          </cell>
          <cell r="K5652" t="str">
            <v>McAvoy,David Larocque</v>
          </cell>
          <cell r="N5652">
            <v>2.8650000000000002</v>
          </cell>
          <cell r="O5652">
            <v>3.1120000000000001</v>
          </cell>
        </row>
        <row r="5653">
          <cell r="E5653" t="str">
            <v>ENG</v>
          </cell>
          <cell r="F5653" t="str">
            <v xml:space="preserve">ENG-W </v>
          </cell>
          <cell r="G5653">
            <v>131</v>
          </cell>
          <cell r="H5653" t="str">
            <v>ENG-W 131</v>
          </cell>
          <cell r="K5653" t="str">
            <v>McAvoy,David Larocque</v>
          </cell>
          <cell r="N5653">
            <v>2.5270000000000001</v>
          </cell>
          <cell r="O5653">
            <v>2.6509999999999998</v>
          </cell>
        </row>
        <row r="5654">
          <cell r="E5654" t="str">
            <v>ENG</v>
          </cell>
          <cell r="F5654" t="str">
            <v xml:space="preserve">ENG-W </v>
          </cell>
          <cell r="G5654">
            <v>131</v>
          </cell>
          <cell r="H5654" t="str">
            <v>ENG-W 131</v>
          </cell>
          <cell r="K5654" t="str">
            <v>McGlothlin III,John Joseph</v>
          </cell>
          <cell r="N5654">
            <v>2.5790000000000002</v>
          </cell>
          <cell r="O5654">
            <v>2.79</v>
          </cell>
        </row>
        <row r="5655">
          <cell r="E5655" t="str">
            <v>ENG</v>
          </cell>
          <cell r="F5655" t="str">
            <v xml:space="preserve">ENG-W </v>
          </cell>
          <cell r="G5655">
            <v>131</v>
          </cell>
          <cell r="H5655" t="str">
            <v>ENG-W 131</v>
          </cell>
          <cell r="K5655" t="str">
            <v>McGlothlin III,John Joseph</v>
          </cell>
          <cell r="N5655">
            <v>2.4929999999999999</v>
          </cell>
          <cell r="O5655">
            <v>2.456</v>
          </cell>
        </row>
        <row r="5656">
          <cell r="E5656" t="str">
            <v>ENG</v>
          </cell>
          <cell r="F5656" t="str">
            <v xml:space="preserve">ENG-W </v>
          </cell>
          <cell r="G5656">
            <v>131</v>
          </cell>
          <cell r="H5656" t="str">
            <v>ENG-W 131</v>
          </cell>
          <cell r="K5656" t="str">
            <v>McGlothlin III,John Joseph</v>
          </cell>
          <cell r="N5656">
            <v>2.9710000000000001</v>
          </cell>
          <cell r="O5656">
            <v>2.9630000000000001</v>
          </cell>
        </row>
        <row r="5657">
          <cell r="E5657" t="str">
            <v>ENG</v>
          </cell>
          <cell r="F5657" t="str">
            <v xml:space="preserve">ENG-W </v>
          </cell>
          <cell r="G5657">
            <v>131</v>
          </cell>
          <cell r="H5657" t="str">
            <v>ENG-W 131</v>
          </cell>
          <cell r="K5657" t="str">
            <v>Miller,Ciara</v>
          </cell>
          <cell r="N5657">
            <v>2.855</v>
          </cell>
          <cell r="O5657">
            <v>2.6659999999999999</v>
          </cell>
        </row>
        <row r="5658">
          <cell r="E5658" t="str">
            <v>ENG</v>
          </cell>
          <cell r="F5658" t="str">
            <v xml:space="preserve">ENG-W </v>
          </cell>
          <cell r="G5658">
            <v>131</v>
          </cell>
          <cell r="H5658" t="str">
            <v>ENG-W 131</v>
          </cell>
          <cell r="K5658" t="str">
            <v>Mitchell,Mary Elizabeth</v>
          </cell>
          <cell r="N5658">
            <v>2.6549999999999998</v>
          </cell>
          <cell r="O5658">
            <v>2.8450000000000002</v>
          </cell>
        </row>
        <row r="5659">
          <cell r="E5659" t="str">
            <v>ENG</v>
          </cell>
          <cell r="F5659" t="str">
            <v xml:space="preserve">ENG-W </v>
          </cell>
          <cell r="G5659">
            <v>131</v>
          </cell>
          <cell r="H5659" t="str">
            <v>ENG-W 131</v>
          </cell>
          <cell r="K5659" t="str">
            <v>Mlekoday,Michael</v>
          </cell>
          <cell r="N5659">
            <v>3.1139999999999999</v>
          </cell>
          <cell r="O5659">
            <v>2.6829999999999998</v>
          </cell>
        </row>
        <row r="5660">
          <cell r="E5660" t="str">
            <v>ENG</v>
          </cell>
          <cell r="F5660" t="str">
            <v xml:space="preserve">ENG-W </v>
          </cell>
          <cell r="G5660">
            <v>131</v>
          </cell>
          <cell r="H5660" t="str">
            <v>ENG-W 131</v>
          </cell>
          <cell r="K5660" t="str">
            <v>Morse,Lucy Elizabeth</v>
          </cell>
          <cell r="N5660">
            <v>3.3</v>
          </cell>
          <cell r="O5660">
            <v>2.88</v>
          </cell>
        </row>
        <row r="5661">
          <cell r="E5661" t="str">
            <v>ENG</v>
          </cell>
          <cell r="F5661" t="str">
            <v xml:space="preserve">ENG-W </v>
          </cell>
          <cell r="G5661">
            <v>131</v>
          </cell>
          <cell r="H5661" t="str">
            <v>ENG-W 131</v>
          </cell>
          <cell r="K5661" t="str">
            <v>Morse,Lucy Elizabeth</v>
          </cell>
          <cell r="N5661">
            <v>2.5670000000000002</v>
          </cell>
          <cell r="O5661">
            <v>2.661</v>
          </cell>
        </row>
        <row r="5662">
          <cell r="E5662" t="str">
            <v>ENG</v>
          </cell>
          <cell r="F5662" t="str">
            <v xml:space="preserve">ENG-W </v>
          </cell>
          <cell r="G5662">
            <v>131</v>
          </cell>
          <cell r="H5662" t="str">
            <v>ENG-W 131</v>
          </cell>
          <cell r="K5662" t="str">
            <v>Morse,Lucy Elizabeth</v>
          </cell>
          <cell r="N5662">
            <v>3.05</v>
          </cell>
          <cell r="O5662">
            <v>2.7229999999999999</v>
          </cell>
        </row>
        <row r="5663">
          <cell r="E5663" t="str">
            <v>ENG</v>
          </cell>
          <cell r="F5663" t="str">
            <v xml:space="preserve">ENG-W </v>
          </cell>
          <cell r="G5663">
            <v>131</v>
          </cell>
          <cell r="H5663" t="str">
            <v>ENG-W 131</v>
          </cell>
          <cell r="K5663" t="str">
            <v>Munnelly,Lindsay Marie</v>
          </cell>
          <cell r="N5663">
            <v>3.06</v>
          </cell>
          <cell r="O5663">
            <v>2.7370000000000001</v>
          </cell>
        </row>
        <row r="5664">
          <cell r="E5664" t="str">
            <v>ENG</v>
          </cell>
          <cell r="F5664" t="str">
            <v xml:space="preserve">ENG-W </v>
          </cell>
          <cell r="G5664">
            <v>131</v>
          </cell>
          <cell r="H5664" t="str">
            <v>ENG-W 131</v>
          </cell>
          <cell r="K5664" t="str">
            <v>Munnelly,Lindsay Marie</v>
          </cell>
          <cell r="N5664">
            <v>3.05</v>
          </cell>
          <cell r="O5664">
            <v>3.1749999999999998</v>
          </cell>
        </row>
        <row r="5665">
          <cell r="E5665" t="str">
            <v>ENG</v>
          </cell>
          <cell r="F5665" t="str">
            <v xml:space="preserve">ENG-W </v>
          </cell>
          <cell r="G5665">
            <v>131</v>
          </cell>
          <cell r="H5665" t="str">
            <v>ENG-W 131</v>
          </cell>
          <cell r="K5665" t="str">
            <v>Munnelly,Lindsay Marie</v>
          </cell>
          <cell r="N5665">
            <v>2.8370000000000002</v>
          </cell>
          <cell r="O5665">
            <v>2.637</v>
          </cell>
        </row>
        <row r="5666">
          <cell r="E5666" t="str">
            <v>ENG</v>
          </cell>
          <cell r="F5666" t="str">
            <v xml:space="preserve">ENG-W </v>
          </cell>
          <cell r="G5666">
            <v>131</v>
          </cell>
          <cell r="H5666" t="str">
            <v>ENG-W 131</v>
          </cell>
          <cell r="K5666" t="str">
            <v>Nagano,Joseph Maxwell</v>
          </cell>
          <cell r="N5666">
            <v>3.0910000000000002</v>
          </cell>
          <cell r="O5666">
            <v>3.1280000000000001</v>
          </cell>
        </row>
        <row r="5667">
          <cell r="E5667" t="str">
            <v>ENG</v>
          </cell>
          <cell r="F5667" t="str">
            <v xml:space="preserve">ENG-W </v>
          </cell>
          <cell r="G5667">
            <v>131</v>
          </cell>
          <cell r="H5667" t="str">
            <v>ENG-W 131</v>
          </cell>
          <cell r="K5667" t="str">
            <v>Noell,Evelyn</v>
          </cell>
          <cell r="N5667">
            <v>2.4830000000000001</v>
          </cell>
          <cell r="O5667">
            <v>3.0489999999999999</v>
          </cell>
        </row>
        <row r="5668">
          <cell r="E5668" t="str">
            <v>ENG</v>
          </cell>
          <cell r="F5668" t="str">
            <v xml:space="preserve">ENG-W </v>
          </cell>
          <cell r="G5668">
            <v>131</v>
          </cell>
          <cell r="H5668" t="str">
            <v>ENG-W 131</v>
          </cell>
          <cell r="K5668" t="str">
            <v>O'Donnell,Matthew Dean</v>
          </cell>
          <cell r="N5668">
            <v>3.7850000000000001</v>
          </cell>
          <cell r="O5668">
            <v>3.194</v>
          </cell>
        </row>
        <row r="5669">
          <cell r="E5669" t="str">
            <v>ENG</v>
          </cell>
          <cell r="F5669" t="str">
            <v xml:space="preserve">ENG-W </v>
          </cell>
          <cell r="G5669">
            <v>131</v>
          </cell>
          <cell r="H5669" t="str">
            <v>ENG-W 131</v>
          </cell>
          <cell r="K5669" t="str">
            <v>O'Donnell,Matthew Dean</v>
          </cell>
          <cell r="N5669">
            <v>3.613</v>
          </cell>
          <cell r="O5669">
            <v>3.2509999999999999</v>
          </cell>
        </row>
        <row r="5670">
          <cell r="E5670" t="str">
            <v>ENG</v>
          </cell>
          <cell r="F5670" t="str">
            <v xml:space="preserve">ENG-W </v>
          </cell>
          <cell r="G5670">
            <v>131</v>
          </cell>
          <cell r="H5670" t="str">
            <v>ENG-W 131</v>
          </cell>
          <cell r="K5670" t="str">
            <v>Okubo,Takamichi</v>
          </cell>
          <cell r="N5670">
            <v>2.2000000000000002</v>
          </cell>
          <cell r="O5670">
            <v>2.7909999999999999</v>
          </cell>
        </row>
        <row r="5671">
          <cell r="E5671" t="str">
            <v>ENG</v>
          </cell>
          <cell r="F5671" t="str">
            <v xml:space="preserve">ENG-W </v>
          </cell>
          <cell r="G5671">
            <v>131</v>
          </cell>
          <cell r="H5671" t="str">
            <v>ENG-W 131</v>
          </cell>
          <cell r="K5671" t="str">
            <v>Oputa,Ife-Chudeni Adeficha</v>
          </cell>
          <cell r="N5671">
            <v>2.948</v>
          </cell>
          <cell r="O5671">
            <v>2.8180000000000001</v>
          </cell>
        </row>
        <row r="5672">
          <cell r="E5672" t="str">
            <v>ENG</v>
          </cell>
          <cell r="F5672" t="str">
            <v xml:space="preserve">ENG-W </v>
          </cell>
          <cell r="G5672">
            <v>131</v>
          </cell>
          <cell r="H5672" t="str">
            <v>ENG-W 131</v>
          </cell>
          <cell r="K5672" t="str">
            <v>Oputa,Ife-Chudeni Adeficha</v>
          </cell>
          <cell r="N5672">
            <v>2.7949999999999999</v>
          </cell>
          <cell r="O5672">
            <v>2.5619999999999998</v>
          </cell>
        </row>
        <row r="5673">
          <cell r="E5673" t="str">
            <v>ENG</v>
          </cell>
          <cell r="F5673" t="str">
            <v xml:space="preserve">ENG-W </v>
          </cell>
          <cell r="G5673">
            <v>131</v>
          </cell>
          <cell r="H5673" t="str">
            <v>ENG-W 131</v>
          </cell>
          <cell r="K5673" t="str">
            <v>Pacenza,Jennifer Lynn</v>
          </cell>
          <cell r="N5673">
            <v>2.7050000000000001</v>
          </cell>
          <cell r="O5673">
            <v>2.9260000000000002</v>
          </cell>
        </row>
        <row r="5674">
          <cell r="E5674" t="str">
            <v>ENG</v>
          </cell>
          <cell r="F5674" t="str">
            <v xml:space="preserve">ENG-W </v>
          </cell>
          <cell r="G5674">
            <v>131</v>
          </cell>
          <cell r="H5674" t="str">
            <v>ENG-W 131</v>
          </cell>
          <cell r="K5674" t="str">
            <v>Pacenza,Jennifer Lynn</v>
          </cell>
          <cell r="N5674">
            <v>1.885</v>
          </cell>
          <cell r="O5674">
            <v>2.7170000000000001</v>
          </cell>
        </row>
        <row r="5675">
          <cell r="E5675" t="str">
            <v>ENG</v>
          </cell>
          <cell r="F5675" t="str">
            <v xml:space="preserve">ENG-W </v>
          </cell>
          <cell r="G5675">
            <v>131</v>
          </cell>
          <cell r="H5675" t="str">
            <v>ENG-W 131</v>
          </cell>
          <cell r="K5675" t="str">
            <v>Penn,Alexandra</v>
          </cell>
          <cell r="N5675">
            <v>2.9449999999999998</v>
          </cell>
          <cell r="O5675">
            <v>2.8679999999999999</v>
          </cell>
        </row>
        <row r="5676">
          <cell r="E5676" t="str">
            <v>ENG</v>
          </cell>
          <cell r="F5676" t="str">
            <v xml:space="preserve">ENG-W </v>
          </cell>
          <cell r="G5676">
            <v>131</v>
          </cell>
          <cell r="H5676" t="str">
            <v>ENG-W 131</v>
          </cell>
          <cell r="K5676" t="str">
            <v>Penn,Alexandra</v>
          </cell>
          <cell r="N5676">
            <v>3.0289999999999999</v>
          </cell>
          <cell r="O5676">
            <v>2.9649999999999999</v>
          </cell>
        </row>
        <row r="5677">
          <cell r="E5677" t="str">
            <v>ENG</v>
          </cell>
          <cell r="F5677" t="str">
            <v xml:space="preserve">ENG-W </v>
          </cell>
          <cell r="G5677">
            <v>131</v>
          </cell>
          <cell r="H5677" t="str">
            <v>ENG-W 131</v>
          </cell>
          <cell r="K5677" t="str">
            <v>Penn,Alexandra</v>
          </cell>
          <cell r="N5677">
            <v>3.27</v>
          </cell>
          <cell r="O5677">
            <v>3.089</v>
          </cell>
        </row>
        <row r="5678">
          <cell r="E5678" t="str">
            <v>ENG</v>
          </cell>
          <cell r="F5678" t="str">
            <v xml:space="preserve">ENG-W </v>
          </cell>
          <cell r="G5678">
            <v>131</v>
          </cell>
          <cell r="H5678" t="str">
            <v>ENG-W 131</v>
          </cell>
          <cell r="K5678" t="str">
            <v>Reece,Vanessa Grace</v>
          </cell>
          <cell r="N5678">
            <v>2.5760000000000001</v>
          </cell>
          <cell r="O5678">
            <v>2.63</v>
          </cell>
        </row>
        <row r="5679">
          <cell r="E5679" t="str">
            <v>ENG</v>
          </cell>
          <cell r="F5679" t="str">
            <v xml:space="preserve">ENG-W </v>
          </cell>
          <cell r="G5679">
            <v>131</v>
          </cell>
          <cell r="H5679" t="str">
            <v>ENG-W 131</v>
          </cell>
          <cell r="K5679" t="str">
            <v>Rende,Julia Theresa</v>
          </cell>
          <cell r="N5679">
            <v>3.105</v>
          </cell>
          <cell r="O5679">
            <v>2.722</v>
          </cell>
        </row>
        <row r="5680">
          <cell r="E5680" t="str">
            <v>ENG</v>
          </cell>
          <cell r="F5680" t="str">
            <v xml:space="preserve">ENG-W </v>
          </cell>
          <cell r="G5680">
            <v>131</v>
          </cell>
          <cell r="H5680" t="str">
            <v>ENG-W 131</v>
          </cell>
          <cell r="K5680" t="str">
            <v>Reynolds,Evelyn R</v>
          </cell>
          <cell r="N5680">
            <v>2.5550000000000002</v>
          </cell>
          <cell r="O5680">
            <v>2.7240000000000002</v>
          </cell>
        </row>
        <row r="5681">
          <cell r="E5681" t="str">
            <v>ENG</v>
          </cell>
          <cell r="F5681" t="str">
            <v xml:space="preserve">ENG-W </v>
          </cell>
          <cell r="G5681">
            <v>131</v>
          </cell>
          <cell r="H5681" t="str">
            <v>ENG-W 131</v>
          </cell>
          <cell r="K5681" t="str">
            <v>Reynolds,Evelyn R</v>
          </cell>
          <cell r="N5681">
            <v>2.7</v>
          </cell>
          <cell r="O5681">
            <v>2.782</v>
          </cell>
        </row>
        <row r="5682">
          <cell r="E5682" t="str">
            <v>ENG</v>
          </cell>
          <cell r="F5682" t="str">
            <v xml:space="preserve">ENG-W </v>
          </cell>
          <cell r="G5682">
            <v>131</v>
          </cell>
          <cell r="H5682" t="str">
            <v>ENG-W 131</v>
          </cell>
          <cell r="K5682" t="str">
            <v>Robinson,Leslie Jane</v>
          </cell>
          <cell r="N5682">
            <v>3.25</v>
          </cell>
          <cell r="O5682">
            <v>2.726</v>
          </cell>
        </row>
        <row r="5683">
          <cell r="E5683" t="str">
            <v>ENG</v>
          </cell>
          <cell r="F5683" t="str">
            <v xml:space="preserve">ENG-W </v>
          </cell>
          <cell r="G5683">
            <v>131</v>
          </cell>
          <cell r="H5683" t="str">
            <v>ENG-W 131</v>
          </cell>
          <cell r="K5683" t="str">
            <v>Rogers,Lane</v>
          </cell>
          <cell r="N5683">
            <v>3.427</v>
          </cell>
          <cell r="O5683">
            <v>3.3210000000000002</v>
          </cell>
        </row>
        <row r="5684">
          <cell r="E5684" t="str">
            <v>ENG</v>
          </cell>
          <cell r="F5684" t="str">
            <v xml:space="preserve">ENG-W </v>
          </cell>
          <cell r="G5684">
            <v>131</v>
          </cell>
          <cell r="H5684" t="str">
            <v>ENG-W 131</v>
          </cell>
          <cell r="K5684" t="str">
            <v>Sawers,Jasmine</v>
          </cell>
          <cell r="N5684">
            <v>3.4929999999999999</v>
          </cell>
          <cell r="O5684">
            <v>3.274</v>
          </cell>
        </row>
        <row r="5685">
          <cell r="E5685" t="str">
            <v>ENG</v>
          </cell>
          <cell r="F5685" t="str">
            <v xml:space="preserve">ENG-W </v>
          </cell>
          <cell r="G5685">
            <v>131</v>
          </cell>
          <cell r="H5685" t="str">
            <v>ENG-W 131</v>
          </cell>
          <cell r="K5685" t="str">
            <v>Sawers,Jasmine</v>
          </cell>
          <cell r="N5685">
            <v>3.56</v>
          </cell>
          <cell r="O5685">
            <v>3.5430000000000001</v>
          </cell>
        </row>
        <row r="5686">
          <cell r="E5686" t="str">
            <v>ENG</v>
          </cell>
          <cell r="F5686" t="str">
            <v xml:space="preserve">ENG-W </v>
          </cell>
          <cell r="G5686">
            <v>131</v>
          </cell>
          <cell r="H5686" t="str">
            <v>ENG-W 131</v>
          </cell>
          <cell r="K5686" t="str">
            <v>Sayre,Cecil</v>
          </cell>
          <cell r="N5686">
            <v>3.323</v>
          </cell>
          <cell r="O5686">
            <v>2.6339999999999999</v>
          </cell>
        </row>
        <row r="5687">
          <cell r="E5687" t="str">
            <v>ENG</v>
          </cell>
          <cell r="F5687" t="str">
            <v xml:space="preserve">ENG-W </v>
          </cell>
          <cell r="G5687">
            <v>131</v>
          </cell>
          <cell r="H5687" t="str">
            <v>ENG-W 131</v>
          </cell>
          <cell r="K5687" t="str">
            <v>Seiler,Rachel Anne</v>
          </cell>
          <cell r="N5687">
            <v>2.714</v>
          </cell>
          <cell r="O5687">
            <v>2.9220000000000002</v>
          </cell>
        </row>
        <row r="5688">
          <cell r="E5688" t="str">
            <v>ENG</v>
          </cell>
          <cell r="F5688" t="str">
            <v xml:space="preserve">ENG-W </v>
          </cell>
          <cell r="G5688">
            <v>131</v>
          </cell>
          <cell r="H5688" t="str">
            <v>ENG-W 131</v>
          </cell>
          <cell r="K5688" t="str">
            <v>Sloan,Christopher Paul</v>
          </cell>
          <cell r="N5688">
            <v>2.9289999999999998</v>
          </cell>
          <cell r="O5688">
            <v>2.8839999999999999</v>
          </cell>
        </row>
        <row r="5689">
          <cell r="E5689" t="str">
            <v>ENG</v>
          </cell>
          <cell r="F5689" t="str">
            <v xml:space="preserve">ENG-W </v>
          </cell>
          <cell r="G5689">
            <v>131</v>
          </cell>
          <cell r="H5689" t="str">
            <v>ENG-W 131</v>
          </cell>
          <cell r="K5689" t="str">
            <v>Sloan,Christopher Paul</v>
          </cell>
          <cell r="N5689">
            <v>2.97</v>
          </cell>
          <cell r="O5689">
            <v>2.9420000000000002</v>
          </cell>
        </row>
        <row r="5690">
          <cell r="E5690" t="str">
            <v>ENG</v>
          </cell>
          <cell r="F5690" t="str">
            <v xml:space="preserve">ENG-W </v>
          </cell>
          <cell r="G5690">
            <v>131</v>
          </cell>
          <cell r="H5690" t="str">
            <v>ENG-W 131</v>
          </cell>
          <cell r="K5690" t="str">
            <v>Stoa,Heidi</v>
          </cell>
          <cell r="N5690">
            <v>3.0049999999999999</v>
          </cell>
          <cell r="O5690">
            <v>2.855</v>
          </cell>
        </row>
        <row r="5691">
          <cell r="E5691" t="str">
            <v>ENG</v>
          </cell>
          <cell r="F5691" t="str">
            <v xml:space="preserve">ENG-W </v>
          </cell>
          <cell r="G5691">
            <v>131</v>
          </cell>
          <cell r="H5691" t="str">
            <v>ENG-W 131</v>
          </cell>
          <cell r="K5691" t="str">
            <v>Theissen,Ashley Sue</v>
          </cell>
          <cell r="N5691">
            <v>2.7469999999999999</v>
          </cell>
          <cell r="O5691">
            <v>2.758</v>
          </cell>
        </row>
        <row r="5692">
          <cell r="E5692" t="str">
            <v>ENG</v>
          </cell>
          <cell r="F5692" t="str">
            <v xml:space="preserve">ENG-W </v>
          </cell>
          <cell r="G5692">
            <v>131</v>
          </cell>
          <cell r="H5692" t="str">
            <v>ENG-W 131</v>
          </cell>
          <cell r="K5692" t="str">
            <v>Theissen,Ashley Sue</v>
          </cell>
          <cell r="N5692">
            <v>2.2360000000000002</v>
          </cell>
          <cell r="O5692">
            <v>2.7440000000000002</v>
          </cell>
        </row>
        <row r="5693">
          <cell r="E5693" t="str">
            <v>ENG</v>
          </cell>
          <cell r="F5693" t="str">
            <v xml:space="preserve">ENG-W </v>
          </cell>
          <cell r="G5693">
            <v>131</v>
          </cell>
          <cell r="H5693" t="str">
            <v>ENG-W 131</v>
          </cell>
          <cell r="K5693" t="str">
            <v>Theissen,Ashley Sue</v>
          </cell>
          <cell r="N5693">
            <v>3.3050000000000002</v>
          </cell>
          <cell r="O5693">
            <v>2.923</v>
          </cell>
        </row>
        <row r="5694">
          <cell r="E5694" t="str">
            <v>ENG</v>
          </cell>
          <cell r="F5694" t="str">
            <v xml:space="preserve">ENG-W </v>
          </cell>
          <cell r="G5694">
            <v>131</v>
          </cell>
          <cell r="H5694" t="str">
            <v>ENG-W 131</v>
          </cell>
          <cell r="K5694" t="str">
            <v>Thomas,Christopher J</v>
          </cell>
          <cell r="N5694">
            <v>3.3170000000000002</v>
          </cell>
          <cell r="O5694">
            <v>3.0920000000000001</v>
          </cell>
        </row>
        <row r="5695">
          <cell r="E5695" t="str">
            <v>ENG</v>
          </cell>
          <cell r="F5695" t="str">
            <v xml:space="preserve">ENG-W </v>
          </cell>
          <cell r="G5695">
            <v>131</v>
          </cell>
          <cell r="H5695" t="str">
            <v>ENG-W 131</v>
          </cell>
          <cell r="K5695" t="str">
            <v>Thomas,Christopher J</v>
          </cell>
          <cell r="N5695">
            <v>3.35</v>
          </cell>
          <cell r="O5695">
            <v>2.9159999999999999</v>
          </cell>
        </row>
        <row r="5696">
          <cell r="E5696" t="str">
            <v>ENG</v>
          </cell>
          <cell r="F5696" t="str">
            <v xml:space="preserve">ENG-W </v>
          </cell>
          <cell r="G5696">
            <v>131</v>
          </cell>
          <cell r="H5696" t="str">
            <v>ENG-W 131</v>
          </cell>
          <cell r="K5696" t="str">
            <v>Thomas,Christopher J</v>
          </cell>
          <cell r="N5696">
            <v>3.2770000000000001</v>
          </cell>
          <cell r="O5696">
            <v>3.1280000000000001</v>
          </cell>
        </row>
        <row r="5697">
          <cell r="E5697" t="str">
            <v>ENG</v>
          </cell>
          <cell r="F5697" t="str">
            <v xml:space="preserve">ENG-W </v>
          </cell>
          <cell r="G5697">
            <v>131</v>
          </cell>
          <cell r="H5697" t="str">
            <v>ENG-W 131</v>
          </cell>
          <cell r="K5697" t="str">
            <v>Thomas,Virginia Faith</v>
          </cell>
          <cell r="N5697">
            <v>2.9350000000000001</v>
          </cell>
          <cell r="O5697">
            <v>3.0950000000000002</v>
          </cell>
        </row>
        <row r="5698">
          <cell r="E5698" t="str">
            <v>ENG</v>
          </cell>
          <cell r="F5698" t="str">
            <v xml:space="preserve">ENG-W </v>
          </cell>
          <cell r="G5698">
            <v>131</v>
          </cell>
          <cell r="H5698" t="str">
            <v>ENG-W 131</v>
          </cell>
          <cell r="K5698" t="str">
            <v>Vishnuvajjala,Usha Kumari</v>
          </cell>
          <cell r="N5698">
            <v>3.6859999999999999</v>
          </cell>
          <cell r="O5698">
            <v>3.1419999999999999</v>
          </cell>
        </row>
        <row r="5699">
          <cell r="E5699" t="str">
            <v>ENG</v>
          </cell>
          <cell r="F5699" t="str">
            <v xml:space="preserve">ENG-W </v>
          </cell>
          <cell r="G5699">
            <v>131</v>
          </cell>
          <cell r="H5699" t="str">
            <v>ENG-W 131</v>
          </cell>
          <cell r="K5699" t="str">
            <v>Vishnuvajjala,Usha Kumari</v>
          </cell>
          <cell r="N5699">
            <v>3.4670000000000001</v>
          </cell>
          <cell r="O5699">
            <v>3.0449999999999999</v>
          </cell>
        </row>
        <row r="5700">
          <cell r="E5700" t="str">
            <v>ENG</v>
          </cell>
          <cell r="F5700" t="str">
            <v xml:space="preserve">ENG-W </v>
          </cell>
          <cell r="G5700">
            <v>131</v>
          </cell>
          <cell r="H5700" t="str">
            <v>ENG-W 131</v>
          </cell>
          <cell r="K5700" t="str">
            <v>Vishnuvajjala,Usha Kumari</v>
          </cell>
          <cell r="N5700">
            <v>3.1190000000000002</v>
          </cell>
          <cell r="O5700">
            <v>2.98</v>
          </cell>
        </row>
        <row r="5701">
          <cell r="E5701" t="str">
            <v>ENG</v>
          </cell>
          <cell r="F5701" t="str">
            <v xml:space="preserve">ENG-W </v>
          </cell>
          <cell r="G5701">
            <v>131</v>
          </cell>
          <cell r="H5701" t="str">
            <v>ENG-W 131</v>
          </cell>
          <cell r="K5701" t="str">
            <v>Vishnuvajjala,Usha Kumari</v>
          </cell>
          <cell r="N5701">
            <v>3.472</v>
          </cell>
          <cell r="O5701">
            <v>2.9630000000000001</v>
          </cell>
        </row>
        <row r="5702">
          <cell r="E5702" t="str">
            <v>ENG</v>
          </cell>
          <cell r="F5702" t="str">
            <v xml:space="preserve">ENG-W </v>
          </cell>
          <cell r="G5702">
            <v>131</v>
          </cell>
          <cell r="H5702" t="str">
            <v>ENG-W 131</v>
          </cell>
          <cell r="K5702" t="str">
            <v>Walters,John David</v>
          </cell>
          <cell r="N5702">
            <v>2.476</v>
          </cell>
          <cell r="O5702">
            <v>2.7109999999999999</v>
          </cell>
        </row>
        <row r="5703">
          <cell r="E5703" t="str">
            <v>ENG</v>
          </cell>
          <cell r="F5703" t="str">
            <v xml:space="preserve">ENG-W </v>
          </cell>
          <cell r="G5703">
            <v>131</v>
          </cell>
          <cell r="H5703" t="str">
            <v>ENG-W 131</v>
          </cell>
          <cell r="K5703" t="str">
            <v>Warfel Juszkiewicz,Jennifer Irene</v>
          </cell>
          <cell r="N5703">
            <v>2.827</v>
          </cell>
          <cell r="O5703">
            <v>2.738</v>
          </cell>
        </row>
        <row r="5704">
          <cell r="E5704" t="str">
            <v>ENG</v>
          </cell>
          <cell r="F5704" t="str">
            <v xml:space="preserve">ENG-W </v>
          </cell>
          <cell r="G5704">
            <v>131</v>
          </cell>
          <cell r="H5704" t="str">
            <v>ENG-W 131</v>
          </cell>
          <cell r="K5704" t="str">
            <v>Warner,Elizabeth Anne</v>
          </cell>
          <cell r="N5704">
            <v>2.8140000000000001</v>
          </cell>
          <cell r="O5704">
            <v>3.032</v>
          </cell>
        </row>
        <row r="5705">
          <cell r="E5705" t="str">
            <v>ENG</v>
          </cell>
          <cell r="F5705" t="str">
            <v xml:space="preserve">ENG-W </v>
          </cell>
          <cell r="G5705">
            <v>131</v>
          </cell>
          <cell r="H5705" t="str">
            <v>ENG-W 131</v>
          </cell>
          <cell r="K5705" t="str">
            <v>Welsch,Lindsay Ellen</v>
          </cell>
          <cell r="N5705">
            <v>2.9260000000000002</v>
          </cell>
          <cell r="O5705">
            <v>2.71</v>
          </cell>
        </row>
        <row r="5706">
          <cell r="E5706" t="str">
            <v>ENG</v>
          </cell>
          <cell r="F5706" t="str">
            <v xml:space="preserve">ENG-W </v>
          </cell>
          <cell r="G5706">
            <v>131</v>
          </cell>
          <cell r="H5706" t="str">
            <v>ENG-W 131</v>
          </cell>
          <cell r="K5706" t="str">
            <v>Welsch,Lindsay Ellen</v>
          </cell>
          <cell r="N5706">
            <v>3.0609999999999999</v>
          </cell>
          <cell r="O5706">
            <v>2.831</v>
          </cell>
        </row>
        <row r="5707">
          <cell r="E5707" t="str">
            <v>ENG</v>
          </cell>
          <cell r="F5707" t="str">
            <v xml:space="preserve">ENG-W </v>
          </cell>
          <cell r="G5707">
            <v>131</v>
          </cell>
          <cell r="H5707" t="str">
            <v>ENG-W 131</v>
          </cell>
          <cell r="K5707" t="str">
            <v>Wendel,Deanna Lynn</v>
          </cell>
          <cell r="N5707">
            <v>2.88</v>
          </cell>
          <cell r="O5707">
            <v>2.9889999999999999</v>
          </cell>
        </row>
        <row r="5708">
          <cell r="E5708" t="str">
            <v>ENG</v>
          </cell>
          <cell r="F5708" t="str">
            <v xml:space="preserve">ENG-W </v>
          </cell>
          <cell r="G5708">
            <v>131</v>
          </cell>
          <cell r="H5708" t="str">
            <v>ENG-W 131</v>
          </cell>
          <cell r="K5708" t="str">
            <v>Wendel,Deanna Lynn</v>
          </cell>
          <cell r="N5708">
            <v>3.0670000000000002</v>
          </cell>
          <cell r="O5708">
            <v>3.12</v>
          </cell>
        </row>
        <row r="5709">
          <cell r="E5709" t="str">
            <v>ENG</v>
          </cell>
          <cell r="F5709" t="str">
            <v xml:space="preserve">ENG-W </v>
          </cell>
          <cell r="G5709">
            <v>131</v>
          </cell>
          <cell r="H5709" t="str">
            <v>ENG-W 131</v>
          </cell>
          <cell r="K5709" t="str">
            <v>Wendel,Deanna Lynn</v>
          </cell>
          <cell r="N5709">
            <v>3.0430000000000001</v>
          </cell>
          <cell r="O5709">
            <v>3.1970000000000001</v>
          </cell>
        </row>
        <row r="5710">
          <cell r="E5710" t="str">
            <v>ENG</v>
          </cell>
          <cell r="F5710" t="str">
            <v xml:space="preserve">ENG-W </v>
          </cell>
          <cell r="G5710">
            <v>131</v>
          </cell>
          <cell r="H5710" t="str">
            <v>ENG-W 131</v>
          </cell>
          <cell r="K5710" t="str">
            <v>Wilkes,Lydia Catherine</v>
          </cell>
          <cell r="N5710">
            <v>3.1219999999999999</v>
          </cell>
          <cell r="O5710">
            <v>3.0630000000000002</v>
          </cell>
        </row>
        <row r="5711">
          <cell r="E5711" t="str">
            <v>ENG</v>
          </cell>
          <cell r="F5711" t="str">
            <v xml:space="preserve">ENG-W </v>
          </cell>
          <cell r="G5711">
            <v>131</v>
          </cell>
          <cell r="H5711" t="str">
            <v>ENG-W 131</v>
          </cell>
          <cell r="K5711" t="str">
            <v>Wilkes,Lydia Catherine</v>
          </cell>
          <cell r="N5711">
            <v>2.79</v>
          </cell>
          <cell r="O5711">
            <v>2.74</v>
          </cell>
        </row>
        <row r="5712">
          <cell r="E5712" t="str">
            <v>ENG</v>
          </cell>
          <cell r="F5712" t="str">
            <v xml:space="preserve">ENG-W </v>
          </cell>
          <cell r="G5712">
            <v>131</v>
          </cell>
          <cell r="H5712" t="str">
            <v>ENG-W 131</v>
          </cell>
          <cell r="K5712" t="str">
            <v>Williams,Thomas Grant</v>
          </cell>
          <cell r="N5712">
            <v>3.1930000000000001</v>
          </cell>
          <cell r="O5712">
            <v>3.25</v>
          </cell>
        </row>
        <row r="5713">
          <cell r="E5713" t="str">
            <v>ENG</v>
          </cell>
          <cell r="F5713" t="str">
            <v xml:space="preserve">ENG-W </v>
          </cell>
          <cell r="G5713">
            <v>131</v>
          </cell>
          <cell r="H5713" t="str">
            <v>ENG-W 131</v>
          </cell>
          <cell r="K5713" t="str">
            <v>Williams,Thomas Grant</v>
          </cell>
          <cell r="N5713">
            <v>3.18</v>
          </cell>
          <cell r="O5713">
            <v>3.0640000000000001</v>
          </cell>
        </row>
        <row r="5714">
          <cell r="E5714" t="str">
            <v>ENG</v>
          </cell>
          <cell r="F5714" t="str">
            <v xml:space="preserve">ENG-W </v>
          </cell>
          <cell r="G5714">
            <v>131</v>
          </cell>
          <cell r="H5714" t="str">
            <v>ENG-W 131</v>
          </cell>
          <cell r="K5714" t="str">
            <v>Wolfe,Justin Henry</v>
          </cell>
          <cell r="N5714">
            <v>2.8250000000000002</v>
          </cell>
          <cell r="O5714">
            <v>2.77</v>
          </cell>
        </row>
        <row r="5715">
          <cell r="E5715" t="str">
            <v>ENG</v>
          </cell>
          <cell r="F5715" t="str">
            <v xml:space="preserve">ENG-W </v>
          </cell>
          <cell r="G5715">
            <v>131</v>
          </cell>
          <cell r="H5715" t="str">
            <v>ENG-W 131</v>
          </cell>
          <cell r="K5715" t="str">
            <v>Wolfe,Justin Henry</v>
          </cell>
          <cell r="N5715">
            <v>3.05</v>
          </cell>
          <cell r="O5715">
            <v>2.8969999999999998</v>
          </cell>
        </row>
        <row r="5716">
          <cell r="E5716" t="str">
            <v>ENG</v>
          </cell>
          <cell r="F5716" t="str">
            <v xml:space="preserve">ENG-W </v>
          </cell>
          <cell r="G5716">
            <v>131</v>
          </cell>
          <cell r="H5716" t="str">
            <v>ENG-W 131</v>
          </cell>
          <cell r="K5716" t="str">
            <v>Zervos,Petros</v>
          </cell>
          <cell r="N5716">
            <v>3.3420000000000001</v>
          </cell>
          <cell r="O5716">
            <v>2.96</v>
          </cell>
        </row>
        <row r="5717">
          <cell r="E5717" t="str">
            <v>ENG</v>
          </cell>
          <cell r="F5717" t="str">
            <v xml:space="preserve">ENG-W </v>
          </cell>
          <cell r="G5717">
            <v>131</v>
          </cell>
          <cell r="H5717" t="str">
            <v>ENG-W 131</v>
          </cell>
          <cell r="K5717" t="str">
            <v>Zoch,Amanda Sue</v>
          </cell>
          <cell r="N5717">
            <v>2.8519999999999999</v>
          </cell>
          <cell r="O5717">
            <v>2.964</v>
          </cell>
        </row>
        <row r="5718">
          <cell r="E5718" t="str">
            <v>ENG</v>
          </cell>
          <cell r="F5718" t="str">
            <v xml:space="preserve">ENG-W </v>
          </cell>
          <cell r="G5718">
            <v>170</v>
          </cell>
          <cell r="H5718" t="str">
            <v>ENG-W 170</v>
          </cell>
          <cell r="K5718" t="str">
            <v>Anderson,Katherine</v>
          </cell>
          <cell r="N5718">
            <v>3.1859999999999999</v>
          </cell>
          <cell r="O5718">
            <v>2.6989999999999998</v>
          </cell>
        </row>
        <row r="5719">
          <cell r="E5719" t="str">
            <v>ENG</v>
          </cell>
          <cell r="F5719" t="str">
            <v xml:space="preserve">ENG-W </v>
          </cell>
          <cell r="G5719">
            <v>170</v>
          </cell>
          <cell r="H5719" t="str">
            <v>ENG-W 170</v>
          </cell>
          <cell r="K5719" t="str">
            <v>Arbour,Robert Kenneth</v>
          </cell>
          <cell r="N5719">
            <v>2.6309999999999998</v>
          </cell>
          <cell r="O5719">
            <v>2.7730000000000001</v>
          </cell>
        </row>
        <row r="5720">
          <cell r="E5720" t="str">
            <v>ENG</v>
          </cell>
          <cell r="F5720" t="str">
            <v xml:space="preserve">ENG-W </v>
          </cell>
          <cell r="G5720">
            <v>170</v>
          </cell>
          <cell r="H5720" t="str">
            <v>ENG-W 170</v>
          </cell>
          <cell r="K5720" t="str">
            <v>Booth,Jon Erich</v>
          </cell>
          <cell r="N5720">
            <v>2.609</v>
          </cell>
          <cell r="O5720">
            <v>2.57</v>
          </cell>
        </row>
        <row r="5721">
          <cell r="E5721" t="str">
            <v>ENG</v>
          </cell>
          <cell r="F5721" t="str">
            <v xml:space="preserve">ENG-W </v>
          </cell>
          <cell r="G5721">
            <v>170</v>
          </cell>
          <cell r="H5721" t="str">
            <v>ENG-W 170</v>
          </cell>
          <cell r="K5721" t="str">
            <v>Eisenberg,Eve Judith</v>
          </cell>
          <cell r="N5721">
            <v>2.9350000000000001</v>
          </cell>
          <cell r="O5721">
            <v>2.9790000000000001</v>
          </cell>
        </row>
        <row r="5722">
          <cell r="E5722" t="str">
            <v>ENG</v>
          </cell>
          <cell r="F5722" t="str">
            <v xml:space="preserve">ENG-W </v>
          </cell>
          <cell r="G5722">
            <v>170</v>
          </cell>
          <cell r="H5722" t="str">
            <v>ENG-W 170</v>
          </cell>
          <cell r="K5722" t="str">
            <v>Harkaway-Krieger,Kerilyn</v>
          </cell>
          <cell r="N5722">
            <v>3.0409999999999999</v>
          </cell>
          <cell r="O5722">
            <v>3.06</v>
          </cell>
        </row>
        <row r="5723">
          <cell r="E5723" t="str">
            <v>ENG</v>
          </cell>
          <cell r="F5723" t="str">
            <v xml:space="preserve">ENG-W </v>
          </cell>
          <cell r="G5723">
            <v>170</v>
          </cell>
          <cell r="H5723" t="str">
            <v>ENG-W 170</v>
          </cell>
          <cell r="K5723" t="str">
            <v>Henrichs,Amanda Kay</v>
          </cell>
          <cell r="N5723">
            <v>2.9809999999999999</v>
          </cell>
          <cell r="O5723">
            <v>2.855</v>
          </cell>
        </row>
        <row r="5724">
          <cell r="E5724" t="str">
            <v>ENG</v>
          </cell>
          <cell r="F5724" t="str">
            <v xml:space="preserve">ENG-W </v>
          </cell>
          <cell r="G5724">
            <v>170</v>
          </cell>
          <cell r="H5724" t="str">
            <v>ENG-W 170</v>
          </cell>
          <cell r="K5724" t="str">
            <v>Hultgren,Eric Thomas</v>
          </cell>
          <cell r="N5724">
            <v>2.8239999999999998</v>
          </cell>
          <cell r="O5724">
            <v>2.8039999999999998</v>
          </cell>
        </row>
        <row r="5725">
          <cell r="E5725" t="str">
            <v>ENG</v>
          </cell>
          <cell r="F5725" t="str">
            <v xml:space="preserve">ENG-W </v>
          </cell>
          <cell r="G5725">
            <v>170</v>
          </cell>
          <cell r="H5725" t="str">
            <v>ENG-W 170</v>
          </cell>
          <cell r="K5725" t="str">
            <v>Hultgren,Eric Thomas</v>
          </cell>
          <cell r="N5725">
            <v>3.181</v>
          </cell>
          <cell r="O5725">
            <v>2.8849999999999998</v>
          </cell>
        </row>
        <row r="5726">
          <cell r="E5726" t="str">
            <v>ENG</v>
          </cell>
          <cell r="F5726" t="str">
            <v xml:space="preserve">ENG-W </v>
          </cell>
          <cell r="G5726">
            <v>170</v>
          </cell>
          <cell r="H5726" t="str">
            <v>ENG-W 170</v>
          </cell>
          <cell r="K5726" t="str">
            <v>Koester,Christopher William</v>
          </cell>
          <cell r="N5726">
            <v>2.827</v>
          </cell>
          <cell r="O5726">
            <v>2.5760000000000001</v>
          </cell>
        </row>
        <row r="5727">
          <cell r="E5727" t="str">
            <v>ENG</v>
          </cell>
          <cell r="F5727" t="str">
            <v xml:space="preserve">ENG-W </v>
          </cell>
          <cell r="G5727">
            <v>170</v>
          </cell>
          <cell r="H5727" t="str">
            <v>ENG-W 170</v>
          </cell>
          <cell r="K5727" t="str">
            <v>Saxon,Carina Mathias</v>
          </cell>
          <cell r="N5727">
            <v>3.2949999999999999</v>
          </cell>
          <cell r="O5727">
            <v>2.9990000000000001</v>
          </cell>
        </row>
        <row r="5728">
          <cell r="E5728" t="str">
            <v>ENG</v>
          </cell>
          <cell r="F5728" t="str">
            <v xml:space="preserve">ENG-W </v>
          </cell>
          <cell r="G5728">
            <v>170</v>
          </cell>
          <cell r="H5728" t="str">
            <v>ENG-W 170</v>
          </cell>
          <cell r="K5728" t="str">
            <v>Saxon,Carina Mathias</v>
          </cell>
          <cell r="N5728">
            <v>2.6139999999999999</v>
          </cell>
          <cell r="O5728">
            <v>2.851</v>
          </cell>
        </row>
        <row r="5729">
          <cell r="E5729" t="str">
            <v>ENG</v>
          </cell>
          <cell r="F5729" t="str">
            <v xml:space="preserve">ENG-W </v>
          </cell>
          <cell r="G5729">
            <v>170</v>
          </cell>
          <cell r="H5729" t="str">
            <v>ENG-W 170</v>
          </cell>
          <cell r="K5729" t="str">
            <v>Saxon,Carina Mathias</v>
          </cell>
          <cell r="N5729">
            <v>2.6629999999999998</v>
          </cell>
          <cell r="O5729">
            <v>2.2770000000000001</v>
          </cell>
        </row>
        <row r="5730">
          <cell r="E5730" t="str">
            <v>ENG</v>
          </cell>
          <cell r="F5730" t="str">
            <v xml:space="preserve">ENG-W </v>
          </cell>
          <cell r="G5730">
            <v>170</v>
          </cell>
          <cell r="H5730" t="str">
            <v>ENG-W 170</v>
          </cell>
          <cell r="K5730" t="str">
            <v>Seiler,Rachel Anne</v>
          </cell>
          <cell r="N5730">
            <v>3.145</v>
          </cell>
          <cell r="O5730">
            <v>3.169</v>
          </cell>
        </row>
        <row r="5731">
          <cell r="E5731" t="str">
            <v>ENG</v>
          </cell>
          <cell r="F5731" t="str">
            <v xml:space="preserve">ENG-W </v>
          </cell>
          <cell r="G5731">
            <v>170</v>
          </cell>
          <cell r="H5731" t="str">
            <v>ENG-W 170</v>
          </cell>
          <cell r="K5731" t="str">
            <v>Seiler,Rachel Anne</v>
          </cell>
          <cell r="N5731">
            <v>2.9849999999999999</v>
          </cell>
          <cell r="O5731">
            <v>2.863</v>
          </cell>
        </row>
        <row r="5732">
          <cell r="E5732" t="str">
            <v>ENG</v>
          </cell>
          <cell r="F5732" t="str">
            <v xml:space="preserve">ENG-W </v>
          </cell>
          <cell r="G5732">
            <v>170</v>
          </cell>
          <cell r="H5732" t="str">
            <v>ENG-W 170</v>
          </cell>
          <cell r="K5732" t="str">
            <v>Speicher,Allison</v>
          </cell>
          <cell r="N5732">
            <v>2.77</v>
          </cell>
          <cell r="O5732">
            <v>2.92</v>
          </cell>
        </row>
        <row r="5733">
          <cell r="E5733" t="str">
            <v>ENG</v>
          </cell>
          <cell r="F5733" t="str">
            <v xml:space="preserve">ENG-W </v>
          </cell>
          <cell r="G5733">
            <v>170</v>
          </cell>
          <cell r="H5733" t="str">
            <v>ENG-W 170</v>
          </cell>
          <cell r="K5733" t="str">
            <v>Speicher,Allison</v>
          </cell>
          <cell r="N5733">
            <v>2.758</v>
          </cell>
          <cell r="O5733">
            <v>3.0739999999999998</v>
          </cell>
        </row>
        <row r="5734">
          <cell r="E5734" t="str">
            <v>ENG</v>
          </cell>
          <cell r="F5734" t="str">
            <v xml:space="preserve">ENG-W </v>
          </cell>
          <cell r="G5734">
            <v>170</v>
          </cell>
          <cell r="H5734" t="str">
            <v>ENG-W 170</v>
          </cell>
          <cell r="K5734" t="str">
            <v>Vaughn,Emer Craig Myrick</v>
          </cell>
          <cell r="N5734">
            <v>3.06</v>
          </cell>
          <cell r="O5734">
            <v>3.0539999999999998</v>
          </cell>
        </row>
        <row r="5735">
          <cell r="E5735" t="str">
            <v>ENG</v>
          </cell>
          <cell r="F5735" t="str">
            <v xml:space="preserve">ENG-W </v>
          </cell>
          <cell r="G5735">
            <v>170</v>
          </cell>
          <cell r="H5735" t="str">
            <v>ENG-W 170</v>
          </cell>
          <cell r="K5735" t="str">
            <v>Vaughn,Emer Craig Myrick</v>
          </cell>
          <cell r="N5735">
            <v>3.048</v>
          </cell>
          <cell r="O5735">
            <v>2.91</v>
          </cell>
        </row>
        <row r="5736">
          <cell r="E5736" t="str">
            <v>ENG</v>
          </cell>
          <cell r="F5736" t="str">
            <v xml:space="preserve">ENG-W </v>
          </cell>
          <cell r="G5736">
            <v>170</v>
          </cell>
          <cell r="H5736" t="str">
            <v>ENG-W 170</v>
          </cell>
          <cell r="K5736" t="str">
            <v>Waggoner,Jessica Rae</v>
          </cell>
          <cell r="N5736">
            <v>3.3330000000000002</v>
          </cell>
          <cell r="O5736">
            <v>2.7559999999999998</v>
          </cell>
        </row>
        <row r="5737">
          <cell r="E5737" t="str">
            <v>ENG</v>
          </cell>
          <cell r="F5737" t="str">
            <v xml:space="preserve">ENG-W </v>
          </cell>
          <cell r="G5737">
            <v>170</v>
          </cell>
          <cell r="H5737" t="str">
            <v>ENG-W 170</v>
          </cell>
          <cell r="K5737" t="str">
            <v>Waggoner,Jessica Rae</v>
          </cell>
          <cell r="N5737">
            <v>3.2749999999999999</v>
          </cell>
          <cell r="O5737">
            <v>2.944</v>
          </cell>
        </row>
        <row r="5738">
          <cell r="E5738" t="str">
            <v>ENG</v>
          </cell>
          <cell r="F5738" t="str">
            <v xml:space="preserve">ENG-W </v>
          </cell>
          <cell r="G5738">
            <v>170</v>
          </cell>
          <cell r="H5738" t="str">
            <v>ENG-W 170</v>
          </cell>
          <cell r="K5738" t="str">
            <v>Waggoner,Jessica Rae</v>
          </cell>
          <cell r="N5738">
            <v>3.282</v>
          </cell>
          <cell r="O5738">
            <v>2.9540000000000002</v>
          </cell>
        </row>
        <row r="5739">
          <cell r="E5739" t="str">
            <v>ENG</v>
          </cell>
          <cell r="F5739" t="str">
            <v xml:space="preserve">ENG-W </v>
          </cell>
          <cell r="G5739">
            <v>170</v>
          </cell>
          <cell r="H5739" t="str">
            <v>ENG-W 170</v>
          </cell>
          <cell r="K5739" t="str">
            <v>Waggoner,Jessica Rae</v>
          </cell>
          <cell r="N5739">
            <v>3.1850000000000001</v>
          </cell>
          <cell r="O5739">
            <v>2.93</v>
          </cell>
        </row>
        <row r="5740">
          <cell r="E5740" t="str">
            <v>ENG</v>
          </cell>
          <cell r="F5740" t="str">
            <v xml:space="preserve">ENG-W </v>
          </cell>
          <cell r="G5740">
            <v>170</v>
          </cell>
          <cell r="H5740" t="str">
            <v>ENG-W 170</v>
          </cell>
          <cell r="K5740" t="str">
            <v>Whittaker,Jenna Lynn</v>
          </cell>
          <cell r="N5740">
            <v>2.5710000000000002</v>
          </cell>
          <cell r="O5740">
            <v>2.496</v>
          </cell>
        </row>
        <row r="5741">
          <cell r="E5741" t="str">
            <v>ENG</v>
          </cell>
          <cell r="F5741" t="str">
            <v xml:space="preserve">ENG-W </v>
          </cell>
          <cell r="G5741">
            <v>202</v>
          </cell>
          <cell r="H5741" t="str">
            <v>ENG-W 202</v>
          </cell>
          <cell r="K5741" t="str">
            <v>Basgier,Christopher Ryan</v>
          </cell>
          <cell r="N5741">
            <v>2.714</v>
          </cell>
          <cell r="O5741">
            <v>2.7690000000000001</v>
          </cell>
        </row>
        <row r="5742">
          <cell r="E5742" t="str">
            <v>ENG</v>
          </cell>
          <cell r="F5742" t="str">
            <v xml:space="preserve">ENG-W </v>
          </cell>
          <cell r="G5742">
            <v>202</v>
          </cell>
          <cell r="H5742" t="str">
            <v>ENG-W 202</v>
          </cell>
          <cell r="K5742" t="str">
            <v>Clapper,Laura Lee</v>
          </cell>
          <cell r="N5742">
            <v>2.6280000000000001</v>
          </cell>
          <cell r="O5742">
            <v>2.9729999999999999</v>
          </cell>
        </row>
        <row r="5743">
          <cell r="E5743" t="str">
            <v>ENG</v>
          </cell>
          <cell r="F5743" t="str">
            <v xml:space="preserve">ENG-W </v>
          </cell>
          <cell r="G5743">
            <v>202</v>
          </cell>
          <cell r="H5743" t="str">
            <v>ENG-W 202</v>
          </cell>
          <cell r="K5743" t="str">
            <v>Oler,Andy</v>
          </cell>
          <cell r="N5743">
            <v>2.5670000000000002</v>
          </cell>
          <cell r="O5743">
            <v>2.9740000000000002</v>
          </cell>
        </row>
        <row r="5744">
          <cell r="E5744" t="str">
            <v>ENG</v>
          </cell>
          <cell r="F5744" t="str">
            <v xml:space="preserve">ENG-W </v>
          </cell>
          <cell r="G5744">
            <v>202</v>
          </cell>
          <cell r="H5744" t="str">
            <v>ENG-W 202</v>
          </cell>
          <cell r="K5744" t="str">
            <v>Taylor,A. Arwen</v>
          </cell>
          <cell r="N5744">
            <v>2.3519999999999999</v>
          </cell>
          <cell r="O5744">
            <v>2.9359999999999999</v>
          </cell>
        </row>
        <row r="5745">
          <cell r="E5745" t="str">
            <v>ENG</v>
          </cell>
          <cell r="F5745" t="str">
            <v xml:space="preserve">ENG-W </v>
          </cell>
          <cell r="G5745">
            <v>202</v>
          </cell>
          <cell r="H5745" t="str">
            <v>ENG-W 202</v>
          </cell>
          <cell r="K5745" t="str">
            <v>Trollinger,Rebekah Kathleen</v>
          </cell>
          <cell r="N5745">
            <v>2.552</v>
          </cell>
          <cell r="O5745">
            <v>2.9780000000000002</v>
          </cell>
        </row>
        <row r="5746">
          <cell r="E5746" t="str">
            <v>ENG</v>
          </cell>
          <cell r="F5746" t="str">
            <v xml:space="preserve">ENG-W </v>
          </cell>
          <cell r="G5746">
            <v>203</v>
          </cell>
          <cell r="H5746" t="str">
            <v>ENG-W 203</v>
          </cell>
          <cell r="K5746" t="str">
            <v>Carlson,Bethany Lorraine</v>
          </cell>
          <cell r="N5746">
            <v>2.871</v>
          </cell>
          <cell r="O5746">
            <v>2.2410000000000001</v>
          </cell>
        </row>
        <row r="5747">
          <cell r="E5747" t="str">
            <v>ENG</v>
          </cell>
          <cell r="F5747" t="str">
            <v xml:space="preserve">ENG-W </v>
          </cell>
          <cell r="G5747">
            <v>203</v>
          </cell>
          <cell r="H5747" t="str">
            <v>ENG-W 203</v>
          </cell>
          <cell r="K5747" t="str">
            <v>Diggins,Caroline Whitney</v>
          </cell>
          <cell r="N5747">
            <v>3.25</v>
          </cell>
          <cell r="O5747">
            <v>2.93</v>
          </cell>
        </row>
        <row r="5748">
          <cell r="E5748" t="str">
            <v>ENG</v>
          </cell>
          <cell r="F5748" t="str">
            <v xml:space="preserve">ENG-W </v>
          </cell>
          <cell r="G5748">
            <v>203</v>
          </cell>
          <cell r="H5748" t="str">
            <v>ENG-W 203</v>
          </cell>
          <cell r="K5748" t="str">
            <v>Eldridge,Kevin David</v>
          </cell>
          <cell r="N5748">
            <v>3.415</v>
          </cell>
          <cell r="O5748">
            <v>2.6190000000000002</v>
          </cell>
        </row>
        <row r="5749">
          <cell r="E5749" t="str">
            <v>ENG</v>
          </cell>
          <cell r="F5749" t="str">
            <v xml:space="preserve">ENG-W </v>
          </cell>
          <cell r="G5749">
            <v>203</v>
          </cell>
          <cell r="H5749" t="str">
            <v>ENG-W 203</v>
          </cell>
          <cell r="K5749" t="str">
            <v>Fitzgerald,Megan Louise</v>
          </cell>
          <cell r="N5749">
            <v>3.3130000000000002</v>
          </cell>
          <cell r="O5749">
            <v>2.7810000000000001</v>
          </cell>
        </row>
        <row r="5750">
          <cell r="E5750" t="str">
            <v>ENG</v>
          </cell>
          <cell r="F5750" t="str">
            <v xml:space="preserve">ENG-W </v>
          </cell>
          <cell r="G5750">
            <v>203</v>
          </cell>
          <cell r="H5750" t="str">
            <v>ENG-W 203</v>
          </cell>
          <cell r="K5750" t="str">
            <v>Grieb,Sarah Suksiri</v>
          </cell>
          <cell r="N5750">
            <v>3.4910000000000001</v>
          </cell>
          <cell r="O5750">
            <v>3.1349999999999998</v>
          </cell>
        </row>
        <row r="5751">
          <cell r="E5751" t="str">
            <v>ENG</v>
          </cell>
          <cell r="F5751" t="str">
            <v xml:space="preserve">ENG-W </v>
          </cell>
          <cell r="G5751">
            <v>203</v>
          </cell>
          <cell r="H5751" t="str">
            <v>ENG-W 203</v>
          </cell>
          <cell r="K5751" t="str">
            <v>Ha,Janet Kim</v>
          </cell>
          <cell r="N5751">
            <v>3.1709999999999998</v>
          </cell>
          <cell r="O5751">
            <v>2.9649999999999999</v>
          </cell>
        </row>
        <row r="5752">
          <cell r="E5752" t="str">
            <v>ENG</v>
          </cell>
          <cell r="F5752" t="str">
            <v xml:space="preserve">ENG-W </v>
          </cell>
          <cell r="G5752">
            <v>203</v>
          </cell>
          <cell r="H5752" t="str">
            <v>ENG-W 203</v>
          </cell>
          <cell r="K5752" t="str">
            <v>Hiland,Joseph Andrew</v>
          </cell>
          <cell r="N5752">
            <v>3.5920000000000001</v>
          </cell>
          <cell r="O5752">
            <v>3.125</v>
          </cell>
        </row>
        <row r="5753">
          <cell r="E5753" t="str">
            <v>ENG</v>
          </cell>
          <cell r="F5753" t="str">
            <v xml:space="preserve">ENG-W </v>
          </cell>
          <cell r="G5753">
            <v>203</v>
          </cell>
          <cell r="H5753" t="str">
            <v>ENG-W 203</v>
          </cell>
          <cell r="K5753" t="str">
            <v>Johnson,Kurian</v>
          </cell>
          <cell r="N5753">
            <v>3.7629999999999999</v>
          </cell>
          <cell r="O5753">
            <v>3.2120000000000002</v>
          </cell>
        </row>
        <row r="5754">
          <cell r="E5754" t="str">
            <v>ENG</v>
          </cell>
          <cell r="F5754" t="str">
            <v xml:space="preserve">ENG-W </v>
          </cell>
          <cell r="G5754">
            <v>203</v>
          </cell>
          <cell r="H5754" t="str">
            <v>ENG-W 203</v>
          </cell>
          <cell r="K5754" t="str">
            <v>Lawrence,Angela Nicole</v>
          </cell>
          <cell r="N5754">
            <v>3.36</v>
          </cell>
          <cell r="O5754">
            <v>2.79</v>
          </cell>
        </row>
        <row r="5755">
          <cell r="E5755" t="str">
            <v>ENG</v>
          </cell>
          <cell r="F5755" t="str">
            <v xml:space="preserve">ENG-W </v>
          </cell>
          <cell r="G5755">
            <v>203</v>
          </cell>
          <cell r="H5755" t="str">
            <v>ENG-W 203</v>
          </cell>
          <cell r="K5755" t="str">
            <v>Lyon,Rachel Amelia</v>
          </cell>
          <cell r="N5755">
            <v>3.54</v>
          </cell>
          <cell r="O5755">
            <v>2.9849999999999999</v>
          </cell>
        </row>
        <row r="5756">
          <cell r="E5756" t="str">
            <v>ENG</v>
          </cell>
          <cell r="F5756" t="str">
            <v xml:space="preserve">ENG-W </v>
          </cell>
          <cell r="G5756">
            <v>203</v>
          </cell>
          <cell r="H5756" t="str">
            <v>ENG-W 203</v>
          </cell>
          <cell r="K5756" t="str">
            <v>Pinero,Pablo</v>
          </cell>
          <cell r="N5756">
            <v>3.379</v>
          </cell>
          <cell r="O5756">
            <v>3.4729999999999999</v>
          </cell>
        </row>
        <row r="5757">
          <cell r="E5757" t="str">
            <v>ENG</v>
          </cell>
          <cell r="F5757" t="str">
            <v xml:space="preserve">ENG-W </v>
          </cell>
          <cell r="G5757">
            <v>203</v>
          </cell>
          <cell r="H5757" t="str">
            <v>ENG-W 203</v>
          </cell>
          <cell r="K5757" t="str">
            <v>Rogers,Paul Anthony</v>
          </cell>
          <cell r="N5757">
            <v>3.5529999999999999</v>
          </cell>
          <cell r="O5757">
            <v>3.02</v>
          </cell>
        </row>
        <row r="5758">
          <cell r="E5758" t="str">
            <v>ENG</v>
          </cell>
          <cell r="F5758" t="str">
            <v xml:space="preserve">ENG-W </v>
          </cell>
          <cell r="G5758">
            <v>203</v>
          </cell>
          <cell r="H5758" t="str">
            <v>ENG-W 203</v>
          </cell>
          <cell r="K5758" t="str">
            <v>Rogers,Paul Anthony</v>
          </cell>
          <cell r="N5758">
            <v>3.4849999999999999</v>
          </cell>
          <cell r="O5758">
            <v>2.9540000000000002</v>
          </cell>
        </row>
        <row r="5759">
          <cell r="E5759" t="str">
            <v>ENG</v>
          </cell>
          <cell r="F5759" t="str">
            <v xml:space="preserve">ENG-W </v>
          </cell>
          <cell r="G5759">
            <v>203</v>
          </cell>
          <cell r="H5759" t="str">
            <v>ENG-W 203</v>
          </cell>
          <cell r="K5759" t="str">
            <v>Sawers,Jasmine</v>
          </cell>
          <cell r="N5759">
            <v>3.7170000000000001</v>
          </cell>
          <cell r="O5759">
            <v>3.109</v>
          </cell>
        </row>
        <row r="5760">
          <cell r="E5760" t="str">
            <v>ENG</v>
          </cell>
          <cell r="F5760" t="str">
            <v xml:space="preserve">ENG-W </v>
          </cell>
          <cell r="G5760">
            <v>203</v>
          </cell>
          <cell r="H5760" t="str">
            <v>ENG-W 203</v>
          </cell>
          <cell r="K5760" t="str">
            <v>Wolfe,Justin Henry</v>
          </cell>
          <cell r="N5760">
            <v>3.8069999999999999</v>
          </cell>
          <cell r="O5760">
            <v>3.26</v>
          </cell>
        </row>
        <row r="5761">
          <cell r="E5761" t="str">
            <v>ENG</v>
          </cell>
          <cell r="F5761" t="str">
            <v xml:space="preserve">ENG-W </v>
          </cell>
          <cell r="G5761">
            <v>203</v>
          </cell>
          <cell r="H5761" t="str">
            <v>ENG-W 203</v>
          </cell>
          <cell r="K5761" t="str">
            <v>Wolfe,Justin Henry</v>
          </cell>
          <cell r="N5761">
            <v>3.8460000000000001</v>
          </cell>
          <cell r="O5761">
            <v>3.218</v>
          </cell>
        </row>
        <row r="5762">
          <cell r="E5762" t="str">
            <v>ENG</v>
          </cell>
          <cell r="F5762" t="str">
            <v xml:space="preserve">ENG-W </v>
          </cell>
          <cell r="G5762">
            <v>203</v>
          </cell>
          <cell r="H5762" t="str">
            <v>ENG-W 203</v>
          </cell>
          <cell r="K5762" t="str">
            <v>Zervos,Petros</v>
          </cell>
          <cell r="N5762">
            <v>3.91</v>
          </cell>
          <cell r="O5762">
            <v>3.0979999999999999</v>
          </cell>
        </row>
        <row r="5763">
          <cell r="E5763" t="str">
            <v>ENG</v>
          </cell>
          <cell r="F5763" t="str">
            <v xml:space="preserve">ENG-W </v>
          </cell>
          <cell r="G5763">
            <v>231</v>
          </cell>
          <cell r="H5763" t="str">
            <v>ENG-W 231</v>
          </cell>
          <cell r="K5763" t="str">
            <v>Anderson,Katherine</v>
          </cell>
          <cell r="N5763">
            <v>3.2749999999999999</v>
          </cell>
          <cell r="O5763">
            <v>3.0569999999999999</v>
          </cell>
        </row>
        <row r="5764">
          <cell r="E5764" t="str">
            <v>ENG</v>
          </cell>
          <cell r="F5764" t="str">
            <v xml:space="preserve">ENG-W </v>
          </cell>
          <cell r="G5764">
            <v>231</v>
          </cell>
          <cell r="H5764" t="str">
            <v>ENG-W 231</v>
          </cell>
          <cell r="K5764" t="str">
            <v>Anderson,Katherine</v>
          </cell>
          <cell r="N5764">
            <v>3.6040000000000001</v>
          </cell>
          <cell r="O5764">
            <v>3.1989999999999998</v>
          </cell>
        </row>
        <row r="5765">
          <cell r="E5765" t="str">
            <v>ENG</v>
          </cell>
          <cell r="F5765" t="str">
            <v xml:space="preserve">ENG-W </v>
          </cell>
          <cell r="G5765">
            <v>231</v>
          </cell>
          <cell r="H5765" t="str">
            <v>ENG-W 231</v>
          </cell>
          <cell r="K5765" t="str">
            <v>Bishop,James Madison</v>
          </cell>
          <cell r="N5765">
            <v>3.3580000000000001</v>
          </cell>
          <cell r="O5765">
            <v>3.0049999999999999</v>
          </cell>
        </row>
        <row r="5766">
          <cell r="E5766" t="str">
            <v>ENG</v>
          </cell>
          <cell r="F5766" t="str">
            <v xml:space="preserve">ENG-W </v>
          </cell>
          <cell r="G5766">
            <v>231</v>
          </cell>
          <cell r="H5766" t="str">
            <v>ENG-W 231</v>
          </cell>
          <cell r="K5766" t="str">
            <v>Chasteen,Brandon Scott</v>
          </cell>
          <cell r="N5766">
            <v>3.5960000000000001</v>
          </cell>
          <cell r="O5766">
            <v>2.84</v>
          </cell>
        </row>
        <row r="5767">
          <cell r="E5767" t="str">
            <v>ENG</v>
          </cell>
          <cell r="F5767" t="str">
            <v xml:space="preserve">ENG-W </v>
          </cell>
          <cell r="G5767">
            <v>231</v>
          </cell>
          <cell r="H5767" t="str">
            <v>ENG-W 231</v>
          </cell>
          <cell r="K5767" t="str">
            <v>Clapper,Laura Lee</v>
          </cell>
          <cell r="N5767">
            <v>2.8780000000000001</v>
          </cell>
          <cell r="O5767">
            <v>2.8479999999999999</v>
          </cell>
        </row>
        <row r="5768">
          <cell r="E5768" t="str">
            <v>ENG</v>
          </cell>
          <cell r="F5768" t="str">
            <v xml:space="preserve">ENG-W </v>
          </cell>
          <cell r="G5768">
            <v>231</v>
          </cell>
          <cell r="H5768" t="str">
            <v>ENG-W 231</v>
          </cell>
          <cell r="K5768" t="str">
            <v>Cox,Emilie Corrine</v>
          </cell>
          <cell r="N5768">
            <v>3.7240000000000002</v>
          </cell>
          <cell r="O5768">
            <v>2.9140000000000001</v>
          </cell>
        </row>
        <row r="5769">
          <cell r="E5769" t="str">
            <v>ENG</v>
          </cell>
          <cell r="F5769" t="str">
            <v xml:space="preserve">ENG-W </v>
          </cell>
          <cell r="G5769">
            <v>231</v>
          </cell>
          <cell r="H5769" t="str">
            <v>ENG-W 231</v>
          </cell>
          <cell r="K5769" t="str">
            <v>Cox,Emilie Corrine</v>
          </cell>
          <cell r="N5769">
            <v>3.8119999999999998</v>
          </cell>
          <cell r="O5769">
            <v>3.2549999999999999</v>
          </cell>
        </row>
        <row r="5770">
          <cell r="E5770" t="str">
            <v>ENG</v>
          </cell>
          <cell r="F5770" t="str">
            <v xml:space="preserve">ENG-W </v>
          </cell>
          <cell r="G5770">
            <v>231</v>
          </cell>
          <cell r="H5770" t="str">
            <v>ENG-W 231</v>
          </cell>
          <cell r="K5770" t="str">
            <v>Fippinger,Andrew Langdon</v>
          </cell>
          <cell r="N5770">
            <v>3.3719999999999999</v>
          </cell>
          <cell r="O5770">
            <v>2.9820000000000002</v>
          </cell>
        </row>
        <row r="5771">
          <cell r="E5771" t="str">
            <v>ENG</v>
          </cell>
          <cell r="F5771" t="str">
            <v xml:space="preserve">ENG-W </v>
          </cell>
          <cell r="G5771">
            <v>231</v>
          </cell>
          <cell r="H5771" t="str">
            <v>ENG-W 231</v>
          </cell>
          <cell r="K5771" t="str">
            <v>Hatcher,Andrew S</v>
          </cell>
          <cell r="N5771">
            <v>3.6629999999999998</v>
          </cell>
          <cell r="O5771">
            <v>3.0609999999999999</v>
          </cell>
        </row>
        <row r="5772">
          <cell r="E5772" t="str">
            <v>ENG</v>
          </cell>
          <cell r="F5772" t="str">
            <v xml:space="preserve">ENG-W </v>
          </cell>
          <cell r="G5772">
            <v>231</v>
          </cell>
          <cell r="H5772" t="str">
            <v>ENG-W 231</v>
          </cell>
          <cell r="K5772" t="str">
            <v>Hatcher,Andrew S</v>
          </cell>
          <cell r="N5772">
            <v>3.7080000000000002</v>
          </cell>
          <cell r="O5772">
            <v>3.0230000000000001</v>
          </cell>
        </row>
        <row r="5773">
          <cell r="E5773" t="str">
            <v>ENG</v>
          </cell>
          <cell r="F5773" t="str">
            <v xml:space="preserve">ENG-W </v>
          </cell>
          <cell r="G5773">
            <v>231</v>
          </cell>
          <cell r="H5773" t="str">
            <v>ENG-W 231</v>
          </cell>
          <cell r="K5773" t="str">
            <v>Hatcher,Andrew S</v>
          </cell>
          <cell r="N5773">
            <v>3.444</v>
          </cell>
          <cell r="O5773">
            <v>3.0950000000000002</v>
          </cell>
        </row>
        <row r="5774">
          <cell r="E5774" t="str">
            <v>ENG</v>
          </cell>
          <cell r="F5774" t="str">
            <v xml:space="preserve">ENG-W </v>
          </cell>
          <cell r="G5774">
            <v>231</v>
          </cell>
          <cell r="H5774" t="str">
            <v>ENG-W 231</v>
          </cell>
          <cell r="K5774" t="str">
            <v>Hattrup,Maureen Rose</v>
          </cell>
          <cell r="N5774">
            <v>3.0150000000000001</v>
          </cell>
          <cell r="O5774">
            <v>2.9820000000000002</v>
          </cell>
        </row>
        <row r="5775">
          <cell r="E5775" t="str">
            <v>ENG</v>
          </cell>
          <cell r="F5775" t="str">
            <v xml:space="preserve">ENG-W </v>
          </cell>
          <cell r="G5775">
            <v>231</v>
          </cell>
          <cell r="H5775" t="str">
            <v>ENG-W 231</v>
          </cell>
          <cell r="K5775" t="str">
            <v>Held,Joshua Raymond</v>
          </cell>
          <cell r="N5775">
            <v>3.1960000000000002</v>
          </cell>
          <cell r="O5775">
            <v>2.9910000000000001</v>
          </cell>
        </row>
        <row r="5776">
          <cell r="E5776" t="str">
            <v>ENG</v>
          </cell>
          <cell r="F5776" t="str">
            <v xml:space="preserve">ENG-W </v>
          </cell>
          <cell r="G5776">
            <v>231</v>
          </cell>
          <cell r="H5776" t="str">
            <v>ENG-W 231</v>
          </cell>
          <cell r="K5776" t="str">
            <v>Held,Joshua Raymond</v>
          </cell>
          <cell r="N5776">
            <v>3.4670000000000001</v>
          </cell>
          <cell r="O5776">
            <v>3.3239999999999998</v>
          </cell>
        </row>
        <row r="5777">
          <cell r="E5777" t="str">
            <v>ENG</v>
          </cell>
          <cell r="F5777" t="str">
            <v xml:space="preserve">ENG-W </v>
          </cell>
          <cell r="G5777">
            <v>231</v>
          </cell>
          <cell r="H5777" t="str">
            <v>ENG-W 231</v>
          </cell>
          <cell r="K5777" t="str">
            <v>Held,Joshua Raymond</v>
          </cell>
          <cell r="N5777">
            <v>3.0960000000000001</v>
          </cell>
          <cell r="O5777">
            <v>2.794</v>
          </cell>
        </row>
        <row r="5778">
          <cell r="E5778" t="str">
            <v>ENG</v>
          </cell>
          <cell r="F5778" t="str">
            <v xml:space="preserve">ENG-W </v>
          </cell>
          <cell r="G5778">
            <v>231</v>
          </cell>
          <cell r="H5778" t="str">
            <v>ENG-W 231</v>
          </cell>
          <cell r="K5778" t="str">
            <v>Henrichs,Amanda Kay</v>
          </cell>
          <cell r="N5778">
            <v>3.5219999999999998</v>
          </cell>
          <cell r="O5778">
            <v>2.9860000000000002</v>
          </cell>
        </row>
        <row r="5779">
          <cell r="E5779" t="str">
            <v>ENG</v>
          </cell>
          <cell r="F5779" t="str">
            <v xml:space="preserve">ENG-W </v>
          </cell>
          <cell r="G5779">
            <v>231</v>
          </cell>
          <cell r="H5779" t="str">
            <v>ENG-W 231</v>
          </cell>
          <cell r="K5779" t="str">
            <v>Henrichs,Amanda Kay</v>
          </cell>
          <cell r="N5779">
            <v>3.444</v>
          </cell>
          <cell r="O5779">
            <v>3.3180000000000001</v>
          </cell>
        </row>
        <row r="5780">
          <cell r="E5780" t="str">
            <v>ENG</v>
          </cell>
          <cell r="F5780" t="str">
            <v xml:space="preserve">ENG-W </v>
          </cell>
          <cell r="G5780">
            <v>231</v>
          </cell>
          <cell r="H5780" t="str">
            <v>ENG-W 231</v>
          </cell>
          <cell r="K5780" t="str">
            <v>Higgins,Richard S</v>
          </cell>
          <cell r="N5780">
            <v>3.4039999999999999</v>
          </cell>
          <cell r="O5780">
            <v>3.37</v>
          </cell>
        </row>
        <row r="5781">
          <cell r="E5781" t="str">
            <v>ENG</v>
          </cell>
          <cell r="F5781" t="str">
            <v xml:space="preserve">ENG-W </v>
          </cell>
          <cell r="G5781">
            <v>231</v>
          </cell>
          <cell r="H5781" t="str">
            <v>ENG-W 231</v>
          </cell>
          <cell r="K5781" t="str">
            <v>Hilson,Mica Ars</v>
          </cell>
          <cell r="N5781">
            <v>3.1829999999999998</v>
          </cell>
          <cell r="O5781">
            <v>2.9209999999999998</v>
          </cell>
        </row>
        <row r="5782">
          <cell r="E5782" t="str">
            <v>ENG</v>
          </cell>
          <cell r="F5782" t="str">
            <v xml:space="preserve">ENG-W </v>
          </cell>
          <cell r="G5782">
            <v>231</v>
          </cell>
          <cell r="H5782" t="str">
            <v>ENG-W 231</v>
          </cell>
          <cell r="K5782" t="str">
            <v>Hilson,Mica Ars</v>
          </cell>
          <cell r="N5782">
            <v>3.2829999999999999</v>
          </cell>
          <cell r="O5782">
            <v>3.0230000000000001</v>
          </cell>
        </row>
        <row r="5783">
          <cell r="E5783" t="str">
            <v>ENG</v>
          </cell>
          <cell r="F5783" t="str">
            <v xml:space="preserve">ENG-W </v>
          </cell>
          <cell r="G5783">
            <v>231</v>
          </cell>
          <cell r="H5783" t="str">
            <v>ENG-W 231</v>
          </cell>
          <cell r="K5783" t="str">
            <v>Inglezakis,Mara L</v>
          </cell>
          <cell r="N5783">
            <v>3.2650000000000001</v>
          </cell>
          <cell r="O5783">
            <v>3.028</v>
          </cell>
        </row>
        <row r="5784">
          <cell r="E5784" t="str">
            <v>ENG</v>
          </cell>
          <cell r="F5784" t="str">
            <v xml:space="preserve">ENG-W </v>
          </cell>
          <cell r="G5784">
            <v>231</v>
          </cell>
          <cell r="H5784" t="str">
            <v>ENG-W 231</v>
          </cell>
          <cell r="K5784" t="str">
            <v>Inglezakis,Mara L</v>
          </cell>
          <cell r="N5784">
            <v>3.48</v>
          </cell>
          <cell r="O5784">
            <v>3.0649999999999999</v>
          </cell>
        </row>
        <row r="5785">
          <cell r="E5785" t="str">
            <v>ENG</v>
          </cell>
          <cell r="F5785" t="str">
            <v xml:space="preserve">ENG-W </v>
          </cell>
          <cell r="G5785">
            <v>231</v>
          </cell>
          <cell r="H5785" t="str">
            <v>ENG-W 231</v>
          </cell>
          <cell r="K5785" t="str">
            <v>Inglezakis,Mara L</v>
          </cell>
          <cell r="N5785">
            <v>3.4220000000000002</v>
          </cell>
          <cell r="O5785">
            <v>3.024</v>
          </cell>
        </row>
        <row r="5786">
          <cell r="E5786" t="str">
            <v>ENG</v>
          </cell>
          <cell r="F5786" t="str">
            <v xml:space="preserve">ENG-W </v>
          </cell>
          <cell r="G5786">
            <v>231</v>
          </cell>
          <cell r="H5786" t="str">
            <v>ENG-W 231</v>
          </cell>
          <cell r="K5786" t="str">
            <v>Jackson,Christopher John</v>
          </cell>
          <cell r="N5786">
            <v>3.59</v>
          </cell>
          <cell r="O5786">
            <v>3.0640000000000001</v>
          </cell>
        </row>
        <row r="5787">
          <cell r="E5787" t="str">
            <v>ENG</v>
          </cell>
          <cell r="F5787" t="str">
            <v xml:space="preserve">ENG-W </v>
          </cell>
          <cell r="G5787">
            <v>231</v>
          </cell>
          <cell r="H5787" t="str">
            <v>ENG-W 231</v>
          </cell>
          <cell r="K5787" t="str">
            <v>Koester,Christopher William</v>
          </cell>
          <cell r="N5787">
            <v>3.2709999999999999</v>
          </cell>
          <cell r="O5787">
            <v>3.12</v>
          </cell>
        </row>
        <row r="5788">
          <cell r="E5788" t="str">
            <v>ENG</v>
          </cell>
          <cell r="F5788" t="str">
            <v xml:space="preserve">ENG-W </v>
          </cell>
          <cell r="G5788">
            <v>231</v>
          </cell>
          <cell r="H5788" t="str">
            <v>ENG-W 231</v>
          </cell>
          <cell r="K5788" t="str">
            <v>Koester,Christopher William</v>
          </cell>
          <cell r="N5788">
            <v>3.2829999999999999</v>
          </cell>
          <cell r="O5788">
            <v>3.2069999999999999</v>
          </cell>
        </row>
        <row r="5789">
          <cell r="E5789" t="str">
            <v>ENG</v>
          </cell>
          <cell r="F5789" t="str">
            <v xml:space="preserve">ENG-W </v>
          </cell>
          <cell r="G5789">
            <v>231</v>
          </cell>
          <cell r="H5789" t="str">
            <v>ENG-W 231</v>
          </cell>
          <cell r="K5789" t="str">
            <v>Kofron,John Alderfer</v>
          </cell>
          <cell r="N5789">
            <v>3.6080000000000001</v>
          </cell>
          <cell r="O5789">
            <v>3.1179999999999999</v>
          </cell>
        </row>
        <row r="5790">
          <cell r="E5790" t="str">
            <v>ENG</v>
          </cell>
          <cell r="F5790" t="str">
            <v xml:space="preserve">ENG-W </v>
          </cell>
          <cell r="G5790">
            <v>231</v>
          </cell>
          <cell r="H5790" t="str">
            <v>ENG-W 231</v>
          </cell>
          <cell r="K5790" t="str">
            <v>Lanfersieck,Lindsey Sara</v>
          </cell>
          <cell r="N5790">
            <v>3.5680000000000001</v>
          </cell>
          <cell r="O5790">
            <v>3.012</v>
          </cell>
        </row>
        <row r="5791">
          <cell r="E5791" t="str">
            <v>ENG</v>
          </cell>
          <cell r="F5791" t="str">
            <v xml:space="preserve">ENG-W </v>
          </cell>
          <cell r="G5791">
            <v>231</v>
          </cell>
          <cell r="H5791" t="str">
            <v>ENG-W 231</v>
          </cell>
          <cell r="K5791" t="str">
            <v>Lanfersieck,Lindsey Sara</v>
          </cell>
          <cell r="N5791">
            <v>3.468</v>
          </cell>
          <cell r="O5791">
            <v>2.9860000000000002</v>
          </cell>
        </row>
        <row r="5792">
          <cell r="E5792" t="str">
            <v>ENG</v>
          </cell>
          <cell r="F5792" t="str">
            <v xml:space="preserve">ENG-W </v>
          </cell>
          <cell r="G5792">
            <v>231</v>
          </cell>
          <cell r="H5792" t="str">
            <v>ENG-W 231</v>
          </cell>
          <cell r="K5792" t="str">
            <v>Lewis,Michael Jay</v>
          </cell>
          <cell r="N5792">
            <v>2.879</v>
          </cell>
          <cell r="O5792">
            <v>2.9529999999999998</v>
          </cell>
        </row>
        <row r="5793">
          <cell r="E5793" t="str">
            <v>ENG</v>
          </cell>
          <cell r="F5793" t="str">
            <v xml:space="preserve">ENG-W </v>
          </cell>
          <cell r="G5793">
            <v>231</v>
          </cell>
          <cell r="H5793" t="str">
            <v>ENG-W 231</v>
          </cell>
          <cell r="K5793" t="str">
            <v>Lewis,Michael Jay</v>
          </cell>
          <cell r="N5793">
            <v>3.0289999999999999</v>
          </cell>
          <cell r="O5793">
            <v>3.141</v>
          </cell>
        </row>
        <row r="5794">
          <cell r="E5794" t="str">
            <v>ENG</v>
          </cell>
          <cell r="F5794" t="str">
            <v xml:space="preserve">ENG-W </v>
          </cell>
          <cell r="G5794">
            <v>231</v>
          </cell>
          <cell r="H5794" t="str">
            <v>ENG-W 231</v>
          </cell>
          <cell r="K5794" t="str">
            <v>O'Connor,Brian Edward</v>
          </cell>
          <cell r="N5794">
            <v>3.492</v>
          </cell>
          <cell r="O5794">
            <v>3.2650000000000001</v>
          </cell>
        </row>
        <row r="5795">
          <cell r="E5795" t="str">
            <v>ENG</v>
          </cell>
          <cell r="F5795" t="str">
            <v xml:space="preserve">ENG-W </v>
          </cell>
          <cell r="G5795">
            <v>231</v>
          </cell>
          <cell r="H5795" t="str">
            <v>ENG-W 231</v>
          </cell>
          <cell r="K5795" t="str">
            <v>O'Connor,Brian Edward</v>
          </cell>
          <cell r="N5795">
            <v>3.2519999999999998</v>
          </cell>
          <cell r="O5795">
            <v>3.0289999999999999</v>
          </cell>
        </row>
        <row r="5796">
          <cell r="E5796" t="str">
            <v>ENG</v>
          </cell>
          <cell r="F5796" t="str">
            <v xml:space="preserve">ENG-W </v>
          </cell>
          <cell r="G5796">
            <v>231</v>
          </cell>
          <cell r="H5796" t="str">
            <v>ENG-W 231</v>
          </cell>
          <cell r="K5796" t="str">
            <v>Purohit,Priya Narayan</v>
          </cell>
          <cell r="N5796">
            <v>3.1120000000000001</v>
          </cell>
          <cell r="O5796">
            <v>2.9350000000000001</v>
          </cell>
        </row>
        <row r="5797">
          <cell r="E5797" t="str">
            <v>ENG</v>
          </cell>
          <cell r="F5797" t="str">
            <v xml:space="preserve">ENG-W </v>
          </cell>
          <cell r="G5797">
            <v>231</v>
          </cell>
          <cell r="H5797" t="str">
            <v>ENG-W 231</v>
          </cell>
          <cell r="K5797" t="str">
            <v>Purohit,Priya Narayan</v>
          </cell>
          <cell r="N5797">
            <v>3.36</v>
          </cell>
          <cell r="O5797">
            <v>2.9870000000000001</v>
          </cell>
        </row>
        <row r="5798">
          <cell r="E5798" t="str">
            <v>ENG</v>
          </cell>
          <cell r="F5798" t="str">
            <v xml:space="preserve">ENG-W </v>
          </cell>
          <cell r="G5798">
            <v>231</v>
          </cell>
          <cell r="H5798" t="str">
            <v>ENG-W 231</v>
          </cell>
          <cell r="K5798" t="str">
            <v>Ramert,Lynn Marie</v>
          </cell>
          <cell r="N5798">
            <v>3.431</v>
          </cell>
          <cell r="O5798">
            <v>2.9580000000000002</v>
          </cell>
        </row>
        <row r="5799">
          <cell r="E5799" t="str">
            <v>ENG</v>
          </cell>
          <cell r="F5799" t="str">
            <v xml:space="preserve">ENG-W </v>
          </cell>
          <cell r="G5799">
            <v>231</v>
          </cell>
          <cell r="H5799" t="str">
            <v>ENG-W 231</v>
          </cell>
          <cell r="K5799" t="str">
            <v>Rogers,Cynthia Anne</v>
          </cell>
          <cell r="N5799">
            <v>3.254</v>
          </cell>
          <cell r="O5799">
            <v>3.1909999999999998</v>
          </cell>
        </row>
        <row r="5800">
          <cell r="E5800" t="str">
            <v>ENG</v>
          </cell>
          <cell r="F5800" t="str">
            <v xml:space="preserve">ENG-W </v>
          </cell>
          <cell r="G5800">
            <v>231</v>
          </cell>
          <cell r="H5800" t="str">
            <v>ENG-W 231</v>
          </cell>
          <cell r="K5800" t="str">
            <v>Shishko,Bonnie Jean</v>
          </cell>
          <cell r="N5800">
            <v>3.504</v>
          </cell>
          <cell r="O5800">
            <v>3.0680000000000001</v>
          </cell>
        </row>
        <row r="5801">
          <cell r="E5801" t="str">
            <v>ENG</v>
          </cell>
          <cell r="F5801" t="str">
            <v xml:space="preserve">ENG-W </v>
          </cell>
          <cell r="G5801">
            <v>231</v>
          </cell>
          <cell r="H5801" t="str">
            <v>ENG-W 231</v>
          </cell>
          <cell r="K5801" t="str">
            <v>Sickmann,Carrie Lynn</v>
          </cell>
          <cell r="N5801">
            <v>3.1840000000000002</v>
          </cell>
          <cell r="O5801">
            <v>3.2210000000000001</v>
          </cell>
        </row>
        <row r="5802">
          <cell r="E5802" t="str">
            <v>ENG</v>
          </cell>
          <cell r="F5802" t="str">
            <v xml:space="preserve">ENG-W </v>
          </cell>
          <cell r="G5802">
            <v>231</v>
          </cell>
          <cell r="H5802" t="str">
            <v>ENG-W 231</v>
          </cell>
          <cell r="K5802" t="str">
            <v>Sparks,Laura Ann</v>
          </cell>
          <cell r="N5802">
            <v>3.2589999999999999</v>
          </cell>
          <cell r="O5802">
            <v>3.073</v>
          </cell>
        </row>
        <row r="5803">
          <cell r="E5803" t="str">
            <v>ENG</v>
          </cell>
          <cell r="F5803" t="str">
            <v xml:space="preserve">ENG-W </v>
          </cell>
          <cell r="G5803">
            <v>231</v>
          </cell>
          <cell r="H5803" t="str">
            <v>ENG-W 231</v>
          </cell>
          <cell r="K5803" t="str">
            <v>Sweany,Erin Elizabeth</v>
          </cell>
          <cell r="N5803">
            <v>2.7559999999999998</v>
          </cell>
          <cell r="O5803">
            <v>3.012</v>
          </cell>
        </row>
        <row r="5804">
          <cell r="E5804" t="str">
            <v>ENG</v>
          </cell>
          <cell r="F5804" t="str">
            <v xml:space="preserve">ENG-W </v>
          </cell>
          <cell r="G5804">
            <v>231</v>
          </cell>
          <cell r="H5804" t="str">
            <v>ENG-W 231</v>
          </cell>
          <cell r="K5804" t="str">
            <v>Tooker,Jessica Lee</v>
          </cell>
          <cell r="N5804">
            <v>3.5569999999999999</v>
          </cell>
          <cell r="O5804">
            <v>3.024</v>
          </cell>
        </row>
        <row r="5805">
          <cell r="E5805" t="str">
            <v>ENG</v>
          </cell>
          <cell r="F5805" t="str">
            <v xml:space="preserve">ENG-W </v>
          </cell>
          <cell r="G5805">
            <v>231</v>
          </cell>
          <cell r="H5805" t="str">
            <v>ENG-W 231</v>
          </cell>
          <cell r="K5805" t="str">
            <v>Vaughn,Emer Craig Myrick</v>
          </cell>
          <cell r="N5805">
            <v>2.8319999999999999</v>
          </cell>
          <cell r="O5805">
            <v>3.0609999999999999</v>
          </cell>
        </row>
        <row r="5806">
          <cell r="E5806" t="str">
            <v>ENG</v>
          </cell>
          <cell r="F5806" t="str">
            <v xml:space="preserve">ENG-W </v>
          </cell>
          <cell r="G5806">
            <v>231</v>
          </cell>
          <cell r="H5806" t="str">
            <v>ENG-W 231</v>
          </cell>
          <cell r="K5806" t="str">
            <v>Walters,John David</v>
          </cell>
          <cell r="N5806">
            <v>3.4409999999999998</v>
          </cell>
          <cell r="O5806">
            <v>2.891</v>
          </cell>
        </row>
        <row r="5807">
          <cell r="E5807" t="str">
            <v>ENG</v>
          </cell>
          <cell r="F5807" t="str">
            <v xml:space="preserve">ENG-W </v>
          </cell>
          <cell r="G5807">
            <v>231</v>
          </cell>
          <cell r="H5807" t="str">
            <v>ENG-W 231</v>
          </cell>
          <cell r="K5807" t="str">
            <v>Warner,Elizabeth Anne</v>
          </cell>
          <cell r="N5807">
            <v>2.9129999999999998</v>
          </cell>
          <cell r="O5807">
            <v>2.9430000000000001</v>
          </cell>
        </row>
        <row r="5808">
          <cell r="E5808" t="str">
            <v>ENG</v>
          </cell>
          <cell r="F5808" t="str">
            <v xml:space="preserve">ENG-W </v>
          </cell>
          <cell r="G5808">
            <v>231</v>
          </cell>
          <cell r="H5808" t="str">
            <v>ENG-W 231</v>
          </cell>
          <cell r="K5808" t="str">
            <v>Warner,Elizabeth Anne</v>
          </cell>
          <cell r="N5808">
            <v>3.4380000000000002</v>
          </cell>
          <cell r="O5808">
            <v>3.339</v>
          </cell>
        </row>
        <row r="5809">
          <cell r="E5809" t="str">
            <v>ENG</v>
          </cell>
          <cell r="F5809" t="str">
            <v xml:space="preserve">ENG-W </v>
          </cell>
          <cell r="G5809">
            <v>231</v>
          </cell>
          <cell r="H5809" t="str">
            <v>ENG-W 231</v>
          </cell>
          <cell r="K5809" t="str">
            <v>Zellars Strohl,Shannon</v>
          </cell>
          <cell r="N5809">
            <v>3.2269999999999999</v>
          </cell>
          <cell r="O5809">
            <v>3.1419999999999999</v>
          </cell>
        </row>
        <row r="5810">
          <cell r="E5810" t="str">
            <v>ENG</v>
          </cell>
          <cell r="F5810" t="str">
            <v xml:space="preserve">ENG-W </v>
          </cell>
          <cell r="G5810">
            <v>231</v>
          </cell>
          <cell r="H5810" t="str">
            <v>ENG-W 231</v>
          </cell>
          <cell r="K5810" t="str">
            <v>Zellars Strohl,Shannon</v>
          </cell>
          <cell r="N5810">
            <v>3.4670000000000001</v>
          </cell>
          <cell r="O5810">
            <v>3.3029999999999999</v>
          </cell>
        </row>
        <row r="5811">
          <cell r="E5811" t="str">
            <v>ENG</v>
          </cell>
          <cell r="F5811" t="str">
            <v xml:space="preserve">ENG-W </v>
          </cell>
          <cell r="G5811">
            <v>270</v>
          </cell>
          <cell r="H5811" t="str">
            <v>ENG-W 270</v>
          </cell>
          <cell r="K5811" t="str">
            <v>Baxipatra,Mahasweta</v>
          </cell>
          <cell r="N5811">
            <v>3.21</v>
          </cell>
          <cell r="O5811">
            <v>3.0649999999999999</v>
          </cell>
        </row>
        <row r="5812">
          <cell r="E5812" t="str">
            <v>ENG</v>
          </cell>
          <cell r="F5812" t="str">
            <v xml:space="preserve">ENG-W </v>
          </cell>
          <cell r="G5812">
            <v>270</v>
          </cell>
          <cell r="H5812" t="str">
            <v>ENG-W 270</v>
          </cell>
          <cell r="K5812" t="str">
            <v>Sparks,Laura Ann</v>
          </cell>
          <cell r="N5812">
            <v>3.2709999999999999</v>
          </cell>
          <cell r="O5812">
            <v>3.0779999999999998</v>
          </cell>
        </row>
        <row r="5813">
          <cell r="E5813" t="str">
            <v>ENG</v>
          </cell>
          <cell r="F5813" t="str">
            <v xml:space="preserve">ENG-W </v>
          </cell>
          <cell r="G5813">
            <v>280</v>
          </cell>
          <cell r="H5813" t="str">
            <v>ENG-W 280</v>
          </cell>
          <cell r="K5813" t="str">
            <v>Leonard,Keith Robert</v>
          </cell>
          <cell r="N5813">
            <v>3.6779999999999999</v>
          </cell>
          <cell r="O5813">
            <v>3.331</v>
          </cell>
        </row>
        <row r="5814">
          <cell r="E5814" t="str">
            <v>ENG</v>
          </cell>
          <cell r="F5814" t="str">
            <v xml:space="preserve">ENG-W </v>
          </cell>
          <cell r="G5814">
            <v>280</v>
          </cell>
          <cell r="H5814" t="str">
            <v>ENG-W 280</v>
          </cell>
          <cell r="K5814" t="str">
            <v>Lycurgus,Catherine Elizabeth</v>
          </cell>
          <cell r="N5814">
            <v>3.5129999999999999</v>
          </cell>
          <cell r="O5814">
            <v>3.1419999999999999</v>
          </cell>
        </row>
        <row r="5815">
          <cell r="E5815" t="str">
            <v>ENG</v>
          </cell>
          <cell r="F5815" t="str">
            <v xml:space="preserve">ENG-W </v>
          </cell>
          <cell r="G5815">
            <v>301</v>
          </cell>
          <cell r="H5815" t="str">
            <v>ENG-W 301</v>
          </cell>
          <cell r="K5815" t="str">
            <v>Ardizzone,Anthony V</v>
          </cell>
          <cell r="N5815">
            <v>3.5430000000000001</v>
          </cell>
          <cell r="O5815">
            <v>3.2589999999999999</v>
          </cell>
        </row>
        <row r="5816">
          <cell r="E5816" t="str">
            <v>ENG</v>
          </cell>
          <cell r="F5816" t="str">
            <v xml:space="preserve">ENG-W </v>
          </cell>
          <cell r="G5816">
            <v>301</v>
          </cell>
          <cell r="H5816" t="str">
            <v>ENG-W 301</v>
          </cell>
          <cell r="K5816" t="str">
            <v>Ardizzone,Anthony V</v>
          </cell>
          <cell r="N5816">
            <v>3.3290000000000002</v>
          </cell>
          <cell r="O5816">
            <v>3.3759999999999999</v>
          </cell>
        </row>
        <row r="5817">
          <cell r="E5817" t="str">
            <v>ENG</v>
          </cell>
          <cell r="F5817" t="str">
            <v xml:space="preserve">ENG-W </v>
          </cell>
          <cell r="G5817">
            <v>301</v>
          </cell>
          <cell r="H5817" t="str">
            <v>ENG-W 301</v>
          </cell>
          <cell r="K5817" t="str">
            <v>Townsend,Jacinda</v>
          </cell>
          <cell r="N5817">
            <v>3.4729999999999999</v>
          </cell>
          <cell r="O5817">
            <v>3.2610000000000001</v>
          </cell>
        </row>
        <row r="5818">
          <cell r="E5818" t="str">
            <v>ENG</v>
          </cell>
          <cell r="F5818" t="str">
            <v xml:space="preserve">ENG-W </v>
          </cell>
          <cell r="G5818">
            <v>303</v>
          </cell>
          <cell r="H5818" t="str">
            <v>ENG-W 303</v>
          </cell>
          <cell r="K5818" t="str">
            <v>Dorsey,Romayne Rubinas</v>
          </cell>
          <cell r="N5818">
            <v>3.7930000000000001</v>
          </cell>
          <cell r="O5818">
            <v>3.403</v>
          </cell>
        </row>
        <row r="5819">
          <cell r="E5819" t="str">
            <v>ENG</v>
          </cell>
          <cell r="F5819" t="str">
            <v xml:space="preserve">ENG-W </v>
          </cell>
          <cell r="G5819">
            <v>303</v>
          </cell>
          <cell r="H5819" t="str">
            <v>ENG-W 303</v>
          </cell>
          <cell r="K5819" t="str">
            <v>Ronda,Margaret</v>
          </cell>
          <cell r="N5819">
            <v>3.613</v>
          </cell>
          <cell r="O5819">
            <v>3.355</v>
          </cell>
        </row>
        <row r="5820">
          <cell r="E5820" t="str">
            <v>ENG</v>
          </cell>
          <cell r="F5820" t="str">
            <v xml:space="preserve">ENG-W </v>
          </cell>
          <cell r="G5820">
            <v>311</v>
          </cell>
          <cell r="H5820" t="str">
            <v>ENG-W 311</v>
          </cell>
          <cell r="K5820" t="str">
            <v>Townsend,Jacinda</v>
          </cell>
          <cell r="N5820">
            <v>3.0129999999999999</v>
          </cell>
          <cell r="O5820">
            <v>3.0409999999999999</v>
          </cell>
        </row>
        <row r="5821">
          <cell r="E5821" t="str">
            <v>ENG</v>
          </cell>
          <cell r="F5821" t="str">
            <v xml:space="preserve">ENG-W </v>
          </cell>
          <cell r="G5821">
            <v>321</v>
          </cell>
          <cell r="H5821" t="str">
            <v>ENG-W 321</v>
          </cell>
          <cell r="K5821" t="str">
            <v>Anderson,Dana Larson</v>
          </cell>
          <cell r="N5821">
            <v>3.8330000000000002</v>
          </cell>
          <cell r="O5821">
            <v>3.375</v>
          </cell>
        </row>
        <row r="5822">
          <cell r="E5822" t="str">
            <v>ENG</v>
          </cell>
          <cell r="F5822" t="str">
            <v xml:space="preserve">ENG-W </v>
          </cell>
          <cell r="G5822">
            <v>350</v>
          </cell>
          <cell r="H5822" t="str">
            <v>ENG-W 350</v>
          </cell>
          <cell r="K5822" t="str">
            <v>Basgier,Christopher Ryan</v>
          </cell>
          <cell r="N5822">
            <v>3.1880000000000002</v>
          </cell>
          <cell r="O5822">
            <v>3.11</v>
          </cell>
        </row>
        <row r="5823">
          <cell r="E5823" t="str">
            <v>ENG</v>
          </cell>
          <cell r="F5823" t="str">
            <v xml:space="preserve">ENG-W </v>
          </cell>
          <cell r="G5823">
            <v>350</v>
          </cell>
          <cell r="H5823" t="str">
            <v>ENG-W 350</v>
          </cell>
          <cell r="K5823" t="str">
            <v>Farris,Christine Rhoda</v>
          </cell>
          <cell r="N5823">
            <v>3.5350000000000001</v>
          </cell>
          <cell r="O5823">
            <v>3.411</v>
          </cell>
        </row>
        <row r="5824">
          <cell r="E5824" t="str">
            <v>ENG</v>
          </cell>
          <cell r="F5824" t="str">
            <v xml:space="preserve">ENG-W </v>
          </cell>
          <cell r="G5824">
            <v>350</v>
          </cell>
          <cell r="H5824" t="str">
            <v>ENG-W 350</v>
          </cell>
          <cell r="K5824" t="str">
            <v>Jessup,Deanna Michelle</v>
          </cell>
          <cell r="N5824">
            <v>2.3759999999999999</v>
          </cell>
          <cell r="O5824">
            <v>2.5960000000000001</v>
          </cell>
        </row>
        <row r="5825">
          <cell r="E5825" t="str">
            <v>ENG</v>
          </cell>
          <cell r="F5825" t="str">
            <v xml:space="preserve">ENG-W </v>
          </cell>
          <cell r="G5825">
            <v>350</v>
          </cell>
          <cell r="H5825" t="str">
            <v>ENG-W 350</v>
          </cell>
          <cell r="K5825" t="str">
            <v>Kraft,Julie Kay</v>
          </cell>
          <cell r="N5825">
            <v>2.9820000000000002</v>
          </cell>
          <cell r="O5825">
            <v>3.15</v>
          </cell>
        </row>
        <row r="5826">
          <cell r="E5826" t="str">
            <v>ENG</v>
          </cell>
          <cell r="F5826" t="str">
            <v xml:space="preserve">ENG-W </v>
          </cell>
          <cell r="G5826">
            <v>350</v>
          </cell>
          <cell r="H5826" t="str">
            <v>ENG-W 350</v>
          </cell>
          <cell r="K5826" t="str">
            <v>Linton,Joan Pong</v>
          </cell>
          <cell r="N5826">
            <v>3.3820000000000001</v>
          </cell>
          <cell r="O5826">
            <v>3.3</v>
          </cell>
        </row>
        <row r="5827">
          <cell r="E5827" t="str">
            <v>ENG</v>
          </cell>
          <cell r="F5827" t="str">
            <v xml:space="preserve">ENG-W </v>
          </cell>
          <cell r="G5827">
            <v>350</v>
          </cell>
          <cell r="H5827" t="str">
            <v>ENG-W 350</v>
          </cell>
          <cell r="K5827" t="str">
            <v>Linton,Joan Pong</v>
          </cell>
          <cell r="N5827">
            <v>3.2040000000000002</v>
          </cell>
          <cell r="O5827">
            <v>3.1520000000000001</v>
          </cell>
        </row>
        <row r="5828">
          <cell r="E5828" t="str">
            <v>ENG</v>
          </cell>
          <cell r="F5828" t="str">
            <v xml:space="preserve">ENG-W </v>
          </cell>
          <cell r="G5828">
            <v>350</v>
          </cell>
          <cell r="H5828" t="str">
            <v>ENG-W 350</v>
          </cell>
          <cell r="K5828" t="str">
            <v>Trollinger,Rebekah Kathleen</v>
          </cell>
          <cell r="N5828">
            <v>3.0830000000000002</v>
          </cell>
          <cell r="O5828">
            <v>2.7559999999999998</v>
          </cell>
        </row>
        <row r="5829">
          <cell r="E5829" t="str">
            <v>ENG</v>
          </cell>
          <cell r="F5829" t="str">
            <v xml:space="preserve">ENG-W </v>
          </cell>
          <cell r="G5829">
            <v>381</v>
          </cell>
          <cell r="H5829" t="str">
            <v>ENG-W 381</v>
          </cell>
          <cell r="K5829" t="str">
            <v>Bledsoe,Robert Eugene</v>
          </cell>
          <cell r="N5829">
            <v>3.2130000000000001</v>
          </cell>
          <cell r="O5829">
            <v>3.2469999999999999</v>
          </cell>
        </row>
        <row r="5830">
          <cell r="E5830" t="str">
            <v>ENG</v>
          </cell>
          <cell r="F5830" t="str">
            <v xml:space="preserve">ENG-W </v>
          </cell>
          <cell r="G5830">
            <v>381</v>
          </cell>
          <cell r="H5830" t="str">
            <v>ENG-W 381</v>
          </cell>
          <cell r="K5830" t="str">
            <v>Miller,Alyce L.</v>
          </cell>
          <cell r="N5830">
            <v>2.6680000000000001</v>
          </cell>
          <cell r="O5830">
            <v>3.1749999999999998</v>
          </cell>
        </row>
        <row r="5831">
          <cell r="E5831" t="str">
            <v>ENG</v>
          </cell>
          <cell r="F5831" t="str">
            <v xml:space="preserve">ENG-W </v>
          </cell>
          <cell r="G5831">
            <v>383</v>
          </cell>
          <cell r="H5831" t="str">
            <v>ENG-W 383</v>
          </cell>
          <cell r="K5831" t="str">
            <v>Matejka,Adrian</v>
          </cell>
          <cell r="N5831">
            <v>3.6120000000000001</v>
          </cell>
          <cell r="O5831">
            <v>3.2130000000000001</v>
          </cell>
        </row>
        <row r="5832">
          <cell r="E5832" t="str">
            <v>ENG</v>
          </cell>
          <cell r="F5832" t="str">
            <v xml:space="preserve">ENG-W </v>
          </cell>
          <cell r="G5832">
            <v>401</v>
          </cell>
          <cell r="H5832" t="str">
            <v>ENG-W 401</v>
          </cell>
          <cell r="K5832" t="str">
            <v>Townsend,Jacinda</v>
          </cell>
          <cell r="N5832">
            <v>3.6429999999999998</v>
          </cell>
          <cell r="O5832">
            <v>3.419</v>
          </cell>
        </row>
        <row r="5833">
          <cell r="E5833" t="str">
            <v>ENG</v>
          </cell>
          <cell r="F5833" t="str">
            <v xml:space="preserve">ENG-W </v>
          </cell>
          <cell r="G5833">
            <v>401</v>
          </cell>
          <cell r="H5833" t="str">
            <v>ENG-W 401</v>
          </cell>
          <cell r="K5833" t="str">
            <v>Upadhyay,Samrat</v>
          </cell>
          <cell r="N5833">
            <v>3.2789999999999999</v>
          </cell>
          <cell r="O5833">
            <v>3.3450000000000002</v>
          </cell>
        </row>
        <row r="5834">
          <cell r="E5834" t="str">
            <v>ENG</v>
          </cell>
          <cell r="F5834" t="str">
            <v xml:space="preserve">ENG-W </v>
          </cell>
          <cell r="G5834">
            <v>403</v>
          </cell>
          <cell r="H5834" t="str">
            <v>ENG-W 403</v>
          </cell>
          <cell r="K5834" t="str">
            <v>Cecil,Richard Thomas</v>
          </cell>
          <cell r="N5834">
            <v>3.9420000000000002</v>
          </cell>
          <cell r="O5834">
            <v>3.4089999999999998</v>
          </cell>
        </row>
        <row r="5835">
          <cell r="E5835" t="str">
            <v>ENG</v>
          </cell>
          <cell r="F5835" t="str">
            <v xml:space="preserve">ENG-W </v>
          </cell>
          <cell r="G5835">
            <v>403</v>
          </cell>
          <cell r="H5835" t="str">
            <v>ENG-W 403</v>
          </cell>
          <cell r="K5835" t="str">
            <v>Cecil,Richard Thomas</v>
          </cell>
          <cell r="N5835">
            <v>4</v>
          </cell>
          <cell r="O5835">
            <v>3.4409999999999998</v>
          </cell>
        </row>
        <row r="5836">
          <cell r="E5836" t="str">
            <v>ENG</v>
          </cell>
          <cell r="F5836" t="str">
            <v xml:space="preserve">ENG-W </v>
          </cell>
          <cell r="G5836">
            <v>501</v>
          </cell>
          <cell r="H5836" t="str">
            <v>ENG-W 501</v>
          </cell>
          <cell r="K5836" t="str">
            <v>Anderson,Dana Larson</v>
          </cell>
          <cell r="N5836" t="str">
            <v>NR</v>
          </cell>
          <cell r="O5836" t="str">
            <v>NR</v>
          </cell>
        </row>
        <row r="5837">
          <cell r="E5837" t="str">
            <v>ENG</v>
          </cell>
          <cell r="F5837" t="str">
            <v xml:space="preserve">ENG-W </v>
          </cell>
          <cell r="G5837">
            <v>501</v>
          </cell>
          <cell r="H5837" t="str">
            <v>ENG-W 501</v>
          </cell>
          <cell r="K5837" t="str">
            <v>Anderson,Dana Larson</v>
          </cell>
          <cell r="N5837" t="str">
            <v>NR</v>
          </cell>
          <cell r="O5837" t="str">
            <v>NR</v>
          </cell>
        </row>
        <row r="5838">
          <cell r="E5838" t="str">
            <v>ENG</v>
          </cell>
          <cell r="F5838" t="str">
            <v xml:space="preserve">ENG-W </v>
          </cell>
          <cell r="G5838">
            <v>501</v>
          </cell>
          <cell r="H5838" t="str">
            <v>ENG-W 501</v>
          </cell>
          <cell r="K5838" t="str">
            <v>Graban,Tarez Samra</v>
          </cell>
          <cell r="N5838" t="str">
            <v>NR</v>
          </cell>
          <cell r="O5838" t="str">
            <v>NR</v>
          </cell>
        </row>
        <row r="5839">
          <cell r="E5839" t="str">
            <v>ENG</v>
          </cell>
          <cell r="F5839" t="str">
            <v xml:space="preserve">ENG-W </v>
          </cell>
          <cell r="G5839">
            <v>550</v>
          </cell>
          <cell r="H5839" t="str">
            <v>ENG-W 550</v>
          </cell>
          <cell r="K5839" t="str">
            <v>Bowman,Catherine</v>
          </cell>
          <cell r="N5839">
            <v>4</v>
          </cell>
          <cell r="O5839">
            <v>3.9590000000000001</v>
          </cell>
        </row>
        <row r="5840">
          <cell r="E5840" t="str">
            <v>ENG</v>
          </cell>
          <cell r="F5840" t="str">
            <v xml:space="preserve">ENG-W </v>
          </cell>
          <cell r="G5840">
            <v>554</v>
          </cell>
          <cell r="H5840" t="str">
            <v>ENG-W 554</v>
          </cell>
          <cell r="K5840" t="str">
            <v>Dorsey,Romayne Rubinas</v>
          </cell>
          <cell r="N5840">
            <v>3.6669999999999998</v>
          </cell>
          <cell r="O5840">
            <v>3.847</v>
          </cell>
        </row>
        <row r="5841">
          <cell r="E5841" t="str">
            <v>ENG</v>
          </cell>
          <cell r="F5841" t="str">
            <v xml:space="preserve">ENG-W </v>
          </cell>
          <cell r="G5841">
            <v>611</v>
          </cell>
          <cell r="H5841" t="str">
            <v>ENG-W 611</v>
          </cell>
          <cell r="K5841" t="str">
            <v>Ardizzone,Anthony V</v>
          </cell>
          <cell r="N5841">
            <v>4</v>
          </cell>
          <cell r="O5841">
            <v>3.9409999999999998</v>
          </cell>
        </row>
        <row r="5842">
          <cell r="E5842" t="str">
            <v>ENG</v>
          </cell>
          <cell r="F5842" t="str">
            <v xml:space="preserve">ENG-W </v>
          </cell>
          <cell r="G5842">
            <v>612</v>
          </cell>
          <cell r="H5842" t="str">
            <v>ENG-W 612</v>
          </cell>
          <cell r="K5842" t="str">
            <v>Miller,Alyce L.</v>
          </cell>
          <cell r="N5842">
            <v>4</v>
          </cell>
          <cell r="O5842">
            <v>3.9460000000000002</v>
          </cell>
        </row>
        <row r="5843">
          <cell r="E5843" t="str">
            <v>ENG</v>
          </cell>
          <cell r="F5843" t="str">
            <v xml:space="preserve">ENG-W </v>
          </cell>
          <cell r="G5843">
            <v>613</v>
          </cell>
          <cell r="H5843" t="str">
            <v>ENG-W 613</v>
          </cell>
          <cell r="K5843" t="str">
            <v>Matejka,Adrian</v>
          </cell>
          <cell r="N5843">
            <v>4</v>
          </cell>
          <cell r="O5843">
            <v>3.8820000000000001</v>
          </cell>
        </row>
        <row r="5844">
          <cell r="E5844" t="str">
            <v>ENG</v>
          </cell>
          <cell r="F5844" t="str">
            <v xml:space="preserve">ENG-W </v>
          </cell>
          <cell r="G5844">
            <v>614</v>
          </cell>
          <cell r="H5844" t="str">
            <v>ENG-W 614</v>
          </cell>
          <cell r="K5844" t="str">
            <v>Gay,Ross A</v>
          </cell>
          <cell r="N5844">
            <v>4</v>
          </cell>
          <cell r="O5844">
            <v>3.9580000000000002</v>
          </cell>
        </row>
        <row r="5845">
          <cell r="E5845" t="str">
            <v>ENG</v>
          </cell>
          <cell r="F5845" t="str">
            <v xml:space="preserve">ENG-W </v>
          </cell>
          <cell r="G5845">
            <v>615</v>
          </cell>
          <cell r="H5845" t="str">
            <v>ENG-W 615</v>
          </cell>
          <cell r="K5845" t="str">
            <v>Miller,Alyce L.</v>
          </cell>
          <cell r="N5845">
            <v>4</v>
          </cell>
          <cell r="O5845">
            <v>3.9430000000000001</v>
          </cell>
        </row>
        <row r="5846">
          <cell r="E5846" t="str">
            <v>ENG</v>
          </cell>
          <cell r="F5846" t="str">
            <v xml:space="preserve">ENG-W </v>
          </cell>
          <cell r="G5846">
            <v>664</v>
          </cell>
          <cell r="H5846" t="str">
            <v>ENG-W 664</v>
          </cell>
          <cell r="K5846" t="str">
            <v>Ardizzone,Anthony V</v>
          </cell>
          <cell r="N5846">
            <v>3.8</v>
          </cell>
          <cell r="O5846">
            <v>3.9550000000000001</v>
          </cell>
        </row>
        <row r="5847">
          <cell r="E5847" t="str">
            <v>ENG</v>
          </cell>
          <cell r="F5847" t="str">
            <v xml:space="preserve">ENG-W </v>
          </cell>
          <cell r="G5847">
            <v>664</v>
          </cell>
          <cell r="H5847" t="str">
            <v>ENG-W 664</v>
          </cell>
          <cell r="K5847" t="str">
            <v>Gay,Ross A</v>
          </cell>
          <cell r="N5847">
            <v>4</v>
          </cell>
          <cell r="O5847">
            <v>3.83</v>
          </cell>
        </row>
        <row r="5848">
          <cell r="E5848" t="str">
            <v>ENG</v>
          </cell>
          <cell r="F5848" t="str">
            <v xml:space="preserve">ENG-W </v>
          </cell>
          <cell r="G5848">
            <v>680</v>
          </cell>
          <cell r="H5848" t="str">
            <v>ENG-W 680</v>
          </cell>
          <cell r="K5848" t="str">
            <v>Johnston,Bill</v>
          </cell>
          <cell r="N5848" t="str">
            <v>NR</v>
          </cell>
          <cell r="O5848" t="str">
            <v>NR</v>
          </cell>
        </row>
        <row r="5849">
          <cell r="E5849" t="str">
            <v>ENG</v>
          </cell>
          <cell r="F5849" t="str">
            <v xml:space="preserve">ENG-W </v>
          </cell>
          <cell r="G5849">
            <v>697</v>
          </cell>
          <cell r="H5849" t="str">
            <v>ENG-W 697</v>
          </cell>
          <cell r="K5849" t="str">
            <v>Bowman,Catherine</v>
          </cell>
          <cell r="N5849" t="str">
            <v>NR</v>
          </cell>
          <cell r="O5849" t="str">
            <v>NR</v>
          </cell>
        </row>
        <row r="5850">
          <cell r="E5850" t="str">
            <v>ENG</v>
          </cell>
          <cell r="F5850" t="str">
            <v xml:space="preserve">ENG-W </v>
          </cell>
          <cell r="G5850">
            <v>697</v>
          </cell>
          <cell r="H5850" t="str">
            <v>ENG-W 697</v>
          </cell>
          <cell r="K5850" t="str">
            <v>Upadhyay,Samrat</v>
          </cell>
          <cell r="N5850">
            <v>4</v>
          </cell>
          <cell r="O5850">
            <v>3.9849999999999999</v>
          </cell>
        </row>
        <row r="5851">
          <cell r="E5851" t="str">
            <v>ENG</v>
          </cell>
          <cell r="F5851" t="str">
            <v xml:space="preserve">ENG-W </v>
          </cell>
          <cell r="G5851">
            <v>699</v>
          </cell>
          <cell r="H5851" t="str">
            <v>ENG-W 699</v>
          </cell>
          <cell r="K5851" t="str">
            <v>Bowman,Catherine</v>
          </cell>
          <cell r="N5851">
            <v>4</v>
          </cell>
          <cell r="O5851">
            <v>3.964</v>
          </cell>
        </row>
        <row r="5852">
          <cell r="E5852" t="str">
            <v>ENG</v>
          </cell>
          <cell r="F5852" t="str">
            <v xml:space="preserve">ENG-W </v>
          </cell>
          <cell r="G5852">
            <v>699</v>
          </cell>
          <cell r="H5852" t="str">
            <v>ENG-W 699</v>
          </cell>
          <cell r="K5852" t="str">
            <v>Upadhyay,Samrat</v>
          </cell>
          <cell r="N5852" t="str">
            <v>NR</v>
          </cell>
          <cell r="O5852" t="str">
            <v>NR</v>
          </cell>
        </row>
        <row r="5853">
          <cell r="E5853" t="str">
            <v>ENG</v>
          </cell>
          <cell r="F5853" t="str">
            <v xml:space="preserve">ENG-W </v>
          </cell>
          <cell r="G5853">
            <v>795</v>
          </cell>
          <cell r="H5853" t="str">
            <v>ENG-W 795</v>
          </cell>
          <cell r="K5853" t="str">
            <v>Ingham,Patricia Clare</v>
          </cell>
          <cell r="N5853" t="str">
            <v>NR</v>
          </cell>
          <cell r="O5853" t="str">
            <v>NR</v>
          </cell>
        </row>
        <row r="5854">
          <cell r="E5854" t="str">
            <v>ENG</v>
          </cell>
          <cell r="F5854" t="str">
            <v xml:space="preserve">ENG-Y </v>
          </cell>
          <cell r="G5854">
            <v>398</v>
          </cell>
          <cell r="H5854" t="str">
            <v>ENG-Y 398</v>
          </cell>
          <cell r="K5854" t="str">
            <v>Adams,Michael Paul</v>
          </cell>
          <cell r="N5854" t="str">
            <v>NR</v>
          </cell>
          <cell r="O5854" t="str">
            <v>NR</v>
          </cell>
        </row>
        <row r="5855">
          <cell r="E5855" t="str">
            <v>ENG</v>
          </cell>
          <cell r="F5855" t="str">
            <v xml:space="preserve">ENG-Y </v>
          </cell>
          <cell r="G5855">
            <v>398</v>
          </cell>
          <cell r="H5855" t="str">
            <v>ENG-Y 398</v>
          </cell>
          <cell r="K5855" t="str">
            <v>Comentale,Edward Paul</v>
          </cell>
          <cell r="N5855" t="str">
            <v>NR</v>
          </cell>
          <cell r="O5855" t="str">
            <v>NR</v>
          </cell>
        </row>
        <row r="5856">
          <cell r="E5856" t="str">
            <v>FINA</v>
          </cell>
          <cell r="F5856" t="str">
            <v>FINA-A</v>
          </cell>
          <cell r="G5856">
            <v>101</v>
          </cell>
          <cell r="H5856" t="str">
            <v>FINA-A101</v>
          </cell>
          <cell r="K5856" t="str">
            <v>Reilly,Diane J</v>
          </cell>
          <cell r="N5856">
            <v>2.9969999999999999</v>
          </cell>
          <cell r="O5856">
            <v>3.004</v>
          </cell>
        </row>
        <row r="5857">
          <cell r="E5857" t="str">
            <v>FINA</v>
          </cell>
          <cell r="F5857" t="str">
            <v>FINA-A</v>
          </cell>
          <cell r="G5857">
            <v>101</v>
          </cell>
          <cell r="H5857" t="str">
            <v>FINA-A101</v>
          </cell>
          <cell r="K5857" t="str">
            <v>Van Voorhis,Julie</v>
          </cell>
          <cell r="N5857">
            <v>3.1520000000000001</v>
          </cell>
          <cell r="O5857">
            <v>3</v>
          </cell>
        </row>
        <row r="5858">
          <cell r="E5858" t="str">
            <v>FINA</v>
          </cell>
          <cell r="F5858" t="str">
            <v>FINA-A</v>
          </cell>
          <cell r="G5858">
            <v>102</v>
          </cell>
          <cell r="H5858" t="str">
            <v>FINA-A102</v>
          </cell>
          <cell r="K5858" t="str">
            <v>Knox,Giles</v>
          </cell>
          <cell r="N5858">
            <v>2.8540000000000001</v>
          </cell>
          <cell r="O5858">
            <v>3.0640000000000001</v>
          </cell>
        </row>
        <row r="5859">
          <cell r="E5859" t="str">
            <v>FINA</v>
          </cell>
          <cell r="F5859" t="str">
            <v>FINA-A</v>
          </cell>
          <cell r="G5859">
            <v>102</v>
          </cell>
          <cell r="H5859" t="str">
            <v>FINA-A102</v>
          </cell>
          <cell r="K5859" t="str">
            <v>Schuld,Dawna L</v>
          </cell>
          <cell r="N5859">
            <v>2.359</v>
          </cell>
          <cell r="O5859">
            <v>3.0070000000000001</v>
          </cell>
        </row>
        <row r="5860">
          <cell r="E5860" t="str">
            <v>FINA</v>
          </cell>
          <cell r="F5860" t="str">
            <v>FINA-A</v>
          </cell>
          <cell r="G5860">
            <v>160</v>
          </cell>
          <cell r="H5860" t="str">
            <v>FINA-A160</v>
          </cell>
          <cell r="K5860" t="str">
            <v>Stubbs,Judith A</v>
          </cell>
          <cell r="N5860">
            <v>2.82</v>
          </cell>
          <cell r="O5860">
            <v>2.97</v>
          </cell>
        </row>
        <row r="5861">
          <cell r="E5861" t="str">
            <v>FINA</v>
          </cell>
          <cell r="F5861" t="str">
            <v>FINA-A</v>
          </cell>
          <cell r="G5861">
            <v>200</v>
          </cell>
          <cell r="H5861" t="str">
            <v>FINA-A200</v>
          </cell>
          <cell r="K5861" t="str">
            <v>Facos,Michelle</v>
          </cell>
          <cell r="N5861">
            <v>3.77</v>
          </cell>
          <cell r="O5861">
            <v>3.0939999999999999</v>
          </cell>
        </row>
        <row r="5862">
          <cell r="E5862" t="str">
            <v>FINA</v>
          </cell>
          <cell r="F5862" t="str">
            <v>FINA-A</v>
          </cell>
          <cell r="G5862">
            <v>200</v>
          </cell>
          <cell r="H5862" t="str">
            <v>FINA-A200</v>
          </cell>
          <cell r="K5862" t="str">
            <v>Hansen,Lindsey</v>
          </cell>
          <cell r="N5862">
            <v>2.052</v>
          </cell>
          <cell r="O5862">
            <v>2.649</v>
          </cell>
        </row>
        <row r="5863">
          <cell r="E5863" t="str">
            <v>FINA</v>
          </cell>
          <cell r="F5863" t="str">
            <v>FINA-A</v>
          </cell>
          <cell r="G5863">
            <v>200</v>
          </cell>
          <cell r="H5863" t="str">
            <v>FINA-A200</v>
          </cell>
          <cell r="K5863" t="str">
            <v>Matuszak,Joanna M</v>
          </cell>
          <cell r="N5863">
            <v>1.823</v>
          </cell>
          <cell r="O5863">
            <v>2.605</v>
          </cell>
        </row>
        <row r="5864">
          <cell r="E5864" t="str">
            <v>FINA</v>
          </cell>
          <cell r="F5864" t="str">
            <v>FINA-A</v>
          </cell>
          <cell r="G5864">
            <v>206</v>
          </cell>
          <cell r="H5864" t="str">
            <v>FINA-A206</v>
          </cell>
          <cell r="K5864" t="str">
            <v>Kramer,Margaretha</v>
          </cell>
          <cell r="N5864">
            <v>3.1829999999999998</v>
          </cell>
          <cell r="O5864">
            <v>3.17</v>
          </cell>
        </row>
        <row r="5865">
          <cell r="E5865" t="str">
            <v>FINA</v>
          </cell>
          <cell r="F5865" t="str">
            <v>FINA-A</v>
          </cell>
          <cell r="G5865">
            <v>226</v>
          </cell>
          <cell r="H5865" t="str">
            <v>FINA-A226</v>
          </cell>
          <cell r="K5865" t="str">
            <v>Bassett,Sarah E</v>
          </cell>
          <cell r="N5865">
            <v>2.9209999999999998</v>
          </cell>
          <cell r="O5865">
            <v>2.93</v>
          </cell>
        </row>
        <row r="5866">
          <cell r="E5866" t="str">
            <v>FINA</v>
          </cell>
          <cell r="F5866" t="str">
            <v>FINA-A</v>
          </cell>
          <cell r="G5866">
            <v>231</v>
          </cell>
          <cell r="H5866" t="str">
            <v>FINA-A231</v>
          </cell>
          <cell r="K5866" t="str">
            <v>Knox,Giles</v>
          </cell>
          <cell r="N5866">
            <v>3.157</v>
          </cell>
          <cell r="O5866">
            <v>3.2250000000000001</v>
          </cell>
        </row>
        <row r="5867">
          <cell r="E5867" t="str">
            <v>FINA</v>
          </cell>
          <cell r="F5867" t="str">
            <v>FINA-A</v>
          </cell>
          <cell r="G5867">
            <v>280</v>
          </cell>
          <cell r="H5867" t="str">
            <v>FINA-A280</v>
          </cell>
          <cell r="K5867" t="str">
            <v>Molotiu,Andrei</v>
          </cell>
          <cell r="N5867">
            <v>2.9380000000000002</v>
          </cell>
          <cell r="O5867">
            <v>2.8839999999999999</v>
          </cell>
        </row>
        <row r="5868">
          <cell r="E5868" t="str">
            <v>FINA</v>
          </cell>
          <cell r="F5868" t="str">
            <v>FINA-A</v>
          </cell>
          <cell r="G5868">
            <v>300</v>
          </cell>
          <cell r="H5868" t="str">
            <v>FINA-A300</v>
          </cell>
          <cell r="K5868" t="str">
            <v>Molotiu,Andrei</v>
          </cell>
          <cell r="N5868">
            <v>3.7730000000000001</v>
          </cell>
          <cell r="O5868">
            <v>3.0670000000000002</v>
          </cell>
        </row>
        <row r="5869">
          <cell r="E5869" t="str">
            <v>FINA</v>
          </cell>
          <cell r="F5869" t="str">
            <v>FINA-A</v>
          </cell>
          <cell r="G5869">
            <v>300</v>
          </cell>
          <cell r="H5869" t="str">
            <v>FINA-A300</v>
          </cell>
          <cell r="K5869" t="str">
            <v>Wolfskill,Phoebe</v>
          </cell>
          <cell r="N5869">
            <v>2.5</v>
          </cell>
          <cell r="O5869">
            <v>2.8820000000000001</v>
          </cell>
        </row>
        <row r="5870">
          <cell r="E5870" t="str">
            <v>FINA</v>
          </cell>
          <cell r="F5870" t="str">
            <v>FINA-A</v>
          </cell>
          <cell r="G5870">
            <v>323</v>
          </cell>
          <cell r="H5870" t="str">
            <v>FINA-A323</v>
          </cell>
          <cell r="K5870" t="str">
            <v>Reilly,Diane J</v>
          </cell>
          <cell r="N5870">
            <v>3.24</v>
          </cell>
          <cell r="O5870">
            <v>3.407</v>
          </cell>
        </row>
        <row r="5871">
          <cell r="E5871" t="str">
            <v>FINA</v>
          </cell>
          <cell r="F5871" t="str">
            <v>FINA-A</v>
          </cell>
          <cell r="G5871">
            <v>324</v>
          </cell>
          <cell r="H5871" t="str">
            <v>FINA-A324</v>
          </cell>
          <cell r="K5871" t="str">
            <v>Reilly,Diane J</v>
          </cell>
          <cell r="N5871">
            <v>2.8210000000000002</v>
          </cell>
          <cell r="O5871">
            <v>3.0510000000000002</v>
          </cell>
        </row>
        <row r="5872">
          <cell r="E5872" t="str">
            <v>FINA</v>
          </cell>
          <cell r="F5872" t="str">
            <v>FINA-A</v>
          </cell>
          <cell r="G5872">
            <v>327</v>
          </cell>
          <cell r="H5872" t="str">
            <v>FINA-A327</v>
          </cell>
          <cell r="K5872" t="str">
            <v>Graves,Margaret Susanna</v>
          </cell>
          <cell r="N5872">
            <v>2.923</v>
          </cell>
          <cell r="O5872">
            <v>3.3340000000000001</v>
          </cell>
        </row>
        <row r="5873">
          <cell r="E5873" t="str">
            <v>FINA</v>
          </cell>
          <cell r="F5873" t="str">
            <v>FINA-A</v>
          </cell>
          <cell r="G5873">
            <v>333</v>
          </cell>
          <cell r="H5873" t="str">
            <v>FINA-A333</v>
          </cell>
          <cell r="K5873" t="str">
            <v>Rothstein,Bret</v>
          </cell>
          <cell r="N5873">
            <v>2.448</v>
          </cell>
          <cell r="O5873">
            <v>2.7759999999999998</v>
          </cell>
        </row>
        <row r="5874">
          <cell r="E5874" t="str">
            <v>FINA</v>
          </cell>
          <cell r="F5874" t="str">
            <v>FINA-A</v>
          </cell>
          <cell r="G5874">
            <v>340</v>
          </cell>
          <cell r="H5874" t="str">
            <v>FINA-A340</v>
          </cell>
          <cell r="K5874" t="str">
            <v>Molotiu,Andrei</v>
          </cell>
          <cell r="N5874">
            <v>2.4239999999999999</v>
          </cell>
          <cell r="O5874">
            <v>3.0089999999999999</v>
          </cell>
        </row>
        <row r="5875">
          <cell r="E5875" t="str">
            <v>FINA</v>
          </cell>
          <cell r="F5875" t="str">
            <v>FINA-A</v>
          </cell>
          <cell r="G5875">
            <v>340</v>
          </cell>
          <cell r="H5875" t="str">
            <v>FINA-A340</v>
          </cell>
          <cell r="K5875" t="str">
            <v>Wolfskill,Phoebe</v>
          </cell>
          <cell r="N5875">
            <v>2.7309999999999999</v>
          </cell>
          <cell r="O5875">
            <v>3.0310000000000001</v>
          </cell>
        </row>
        <row r="5876">
          <cell r="E5876" t="str">
            <v>FINA</v>
          </cell>
          <cell r="F5876" t="str">
            <v>FINA-A</v>
          </cell>
          <cell r="G5876">
            <v>340</v>
          </cell>
          <cell r="H5876" t="str">
            <v>FINA-A340</v>
          </cell>
          <cell r="K5876" t="str">
            <v>Wolfskill,Phoebe</v>
          </cell>
          <cell r="N5876">
            <v>3.1269999999999998</v>
          </cell>
          <cell r="O5876">
            <v>3.14</v>
          </cell>
        </row>
        <row r="5877">
          <cell r="E5877" t="str">
            <v>FINA</v>
          </cell>
          <cell r="F5877" t="str">
            <v>FINA-A</v>
          </cell>
          <cell r="G5877">
            <v>341</v>
          </cell>
          <cell r="H5877" t="str">
            <v>FINA-A341</v>
          </cell>
          <cell r="K5877" t="str">
            <v>Facos,Michelle</v>
          </cell>
          <cell r="N5877">
            <v>3.5259999999999998</v>
          </cell>
          <cell r="O5877">
            <v>3.149</v>
          </cell>
        </row>
        <row r="5878">
          <cell r="E5878" t="str">
            <v>FINA</v>
          </cell>
          <cell r="F5878" t="str">
            <v>FINA-A</v>
          </cell>
          <cell r="G5878">
            <v>342</v>
          </cell>
          <cell r="H5878" t="str">
            <v>FINA-A342</v>
          </cell>
          <cell r="K5878" t="str">
            <v>Kennedy,Janet E.</v>
          </cell>
          <cell r="N5878">
            <v>3.0110000000000001</v>
          </cell>
          <cell r="O5878">
            <v>3.234</v>
          </cell>
        </row>
        <row r="5879">
          <cell r="E5879" t="str">
            <v>FINA</v>
          </cell>
          <cell r="F5879" t="str">
            <v>FINA-A</v>
          </cell>
          <cell r="G5879">
            <v>345</v>
          </cell>
          <cell r="H5879" t="str">
            <v>FINA-A345</v>
          </cell>
          <cell r="K5879" t="str">
            <v>Deusner,Melody Barnett</v>
          </cell>
          <cell r="N5879">
            <v>2.7370000000000001</v>
          </cell>
          <cell r="O5879">
            <v>3.06</v>
          </cell>
        </row>
        <row r="5880">
          <cell r="E5880" t="str">
            <v>FINA</v>
          </cell>
          <cell r="F5880" t="str">
            <v>FINA-A</v>
          </cell>
          <cell r="G5880">
            <v>351</v>
          </cell>
          <cell r="H5880" t="str">
            <v>FINA-A351</v>
          </cell>
          <cell r="K5880" t="str">
            <v>Pelrine,Diane M</v>
          </cell>
          <cell r="N5880">
            <v>3.278</v>
          </cell>
          <cell r="O5880">
            <v>3.2690000000000001</v>
          </cell>
        </row>
        <row r="5881">
          <cell r="E5881" t="str">
            <v>FINA</v>
          </cell>
          <cell r="F5881" t="str">
            <v>FINA-A</v>
          </cell>
          <cell r="G5881">
            <v>354</v>
          </cell>
          <cell r="H5881" t="str">
            <v>FINA-A354</v>
          </cell>
          <cell r="K5881" t="str">
            <v>Schuld,Dawna L</v>
          </cell>
          <cell r="N5881">
            <v>2.81</v>
          </cell>
          <cell r="O5881">
            <v>3.1269999999999998</v>
          </cell>
        </row>
        <row r="5882">
          <cell r="E5882" t="str">
            <v>FINA</v>
          </cell>
          <cell r="F5882" t="str">
            <v>FINA-A</v>
          </cell>
          <cell r="G5882">
            <v>375</v>
          </cell>
          <cell r="H5882" t="str">
            <v>FINA-A375</v>
          </cell>
          <cell r="K5882" t="str">
            <v>Molotiu,Andrei</v>
          </cell>
          <cell r="N5882">
            <v>3.4580000000000002</v>
          </cell>
          <cell r="O5882">
            <v>2.8540000000000001</v>
          </cell>
        </row>
        <row r="5883">
          <cell r="E5883" t="str">
            <v>FINA</v>
          </cell>
          <cell r="F5883" t="str">
            <v>FINA-A</v>
          </cell>
          <cell r="G5883">
            <v>390</v>
          </cell>
          <cell r="H5883" t="str">
            <v>FINA-A390</v>
          </cell>
          <cell r="K5883" t="str">
            <v>Wagelie,Jennifer</v>
          </cell>
          <cell r="N5883">
            <v>3.55</v>
          </cell>
          <cell r="O5883">
            <v>3.415</v>
          </cell>
        </row>
        <row r="5884">
          <cell r="E5884" t="str">
            <v>FINA</v>
          </cell>
          <cell r="F5884" t="str">
            <v>FINA-A</v>
          </cell>
          <cell r="G5884">
            <v>390</v>
          </cell>
          <cell r="H5884" t="str">
            <v>FINA-A390</v>
          </cell>
          <cell r="K5884" t="str">
            <v>Wagelie,Jennifer</v>
          </cell>
          <cell r="N5884">
            <v>3.3879999999999999</v>
          </cell>
          <cell r="O5884">
            <v>3.2509999999999999</v>
          </cell>
        </row>
        <row r="5885">
          <cell r="E5885" t="str">
            <v>FINA</v>
          </cell>
          <cell r="F5885" t="str">
            <v>FINA-A</v>
          </cell>
          <cell r="G5885">
            <v>396</v>
          </cell>
          <cell r="H5885" t="str">
            <v>FINA-A396</v>
          </cell>
          <cell r="N5885" t="str">
            <v>NR</v>
          </cell>
          <cell r="O5885" t="str">
            <v>NR</v>
          </cell>
        </row>
        <row r="5886">
          <cell r="E5886" t="str">
            <v>FINA</v>
          </cell>
          <cell r="F5886" t="str">
            <v>FINA-A</v>
          </cell>
          <cell r="G5886">
            <v>396</v>
          </cell>
          <cell r="H5886" t="str">
            <v>FINA-A396</v>
          </cell>
          <cell r="N5886" t="str">
            <v>NR</v>
          </cell>
          <cell r="O5886" t="str">
            <v>NR</v>
          </cell>
        </row>
        <row r="5887">
          <cell r="E5887" t="str">
            <v>FINA</v>
          </cell>
          <cell r="F5887" t="str">
            <v>FINA-A</v>
          </cell>
          <cell r="G5887">
            <v>410</v>
          </cell>
          <cell r="H5887" t="str">
            <v>FINA-A410</v>
          </cell>
          <cell r="K5887" t="str">
            <v>Kramer,Margaretha</v>
          </cell>
          <cell r="N5887" t="str">
            <v>NR</v>
          </cell>
          <cell r="O5887" t="str">
            <v>NR</v>
          </cell>
        </row>
        <row r="5888">
          <cell r="E5888" t="str">
            <v>FINA</v>
          </cell>
          <cell r="F5888" t="str">
            <v>FINA-A</v>
          </cell>
          <cell r="G5888">
            <v>412</v>
          </cell>
          <cell r="H5888" t="str">
            <v>FINA-A412</v>
          </cell>
          <cell r="K5888" t="str">
            <v>Kramer,Margaretha</v>
          </cell>
          <cell r="N5888">
            <v>3.238</v>
          </cell>
          <cell r="O5888">
            <v>3.4279999999999999</v>
          </cell>
        </row>
        <row r="5889">
          <cell r="E5889" t="str">
            <v>FINA</v>
          </cell>
          <cell r="F5889" t="str">
            <v>FINA-A</v>
          </cell>
          <cell r="G5889">
            <v>414</v>
          </cell>
          <cell r="H5889" t="str">
            <v>FINA-A414</v>
          </cell>
          <cell r="K5889" t="str">
            <v>Osland,Daniel</v>
          </cell>
          <cell r="N5889">
            <v>3.4830000000000001</v>
          </cell>
          <cell r="O5889">
            <v>3.1859999999999999</v>
          </cell>
        </row>
        <row r="5890">
          <cell r="E5890" t="str">
            <v>FINA</v>
          </cell>
          <cell r="F5890" t="str">
            <v>FINA-A</v>
          </cell>
          <cell r="G5890">
            <v>421</v>
          </cell>
          <cell r="H5890" t="str">
            <v>FINA-A421</v>
          </cell>
          <cell r="K5890" t="str">
            <v>Bassett,Sarah E</v>
          </cell>
          <cell r="N5890" t="str">
            <v>NR</v>
          </cell>
          <cell r="O5890" t="str">
            <v>NR</v>
          </cell>
        </row>
        <row r="5891">
          <cell r="E5891" t="str">
            <v>FINA</v>
          </cell>
          <cell r="F5891" t="str">
            <v>FINA-A</v>
          </cell>
          <cell r="G5891">
            <v>421</v>
          </cell>
          <cell r="H5891" t="str">
            <v>FINA-A421</v>
          </cell>
          <cell r="K5891" t="str">
            <v>Bassett,Sarah E</v>
          </cell>
          <cell r="N5891">
            <v>2.9249999999999998</v>
          </cell>
          <cell r="O5891">
            <v>3.181</v>
          </cell>
        </row>
        <row r="5892">
          <cell r="E5892" t="str">
            <v>FINA</v>
          </cell>
          <cell r="F5892" t="str">
            <v>FINA-A</v>
          </cell>
          <cell r="G5892">
            <v>441</v>
          </cell>
          <cell r="H5892" t="str">
            <v>FINA-A441</v>
          </cell>
          <cell r="K5892" t="str">
            <v>Facos,Michelle</v>
          </cell>
          <cell r="N5892">
            <v>3.21</v>
          </cell>
          <cell r="O5892">
            <v>3.3180000000000001</v>
          </cell>
        </row>
        <row r="5893">
          <cell r="E5893" t="str">
            <v>FINA</v>
          </cell>
          <cell r="F5893" t="str">
            <v>FINA-A</v>
          </cell>
          <cell r="G5893">
            <v>441</v>
          </cell>
          <cell r="H5893" t="str">
            <v>FINA-A441</v>
          </cell>
          <cell r="K5893" t="str">
            <v>Facos,Michelle</v>
          </cell>
          <cell r="N5893">
            <v>3.9249999999999998</v>
          </cell>
          <cell r="O5893">
            <v>3.81</v>
          </cell>
        </row>
        <row r="5894">
          <cell r="E5894" t="str">
            <v>FINA</v>
          </cell>
          <cell r="F5894" t="str">
            <v>FINA-A</v>
          </cell>
          <cell r="G5894">
            <v>443</v>
          </cell>
          <cell r="H5894" t="str">
            <v>FINA-A443</v>
          </cell>
          <cell r="K5894" t="str">
            <v>Cookman,Claude H.</v>
          </cell>
          <cell r="N5894">
            <v>3.181</v>
          </cell>
          <cell r="O5894">
            <v>3.0449999999999999</v>
          </cell>
        </row>
        <row r="5895">
          <cell r="E5895" t="str">
            <v>FINA</v>
          </cell>
          <cell r="F5895" t="str">
            <v>FINA-A</v>
          </cell>
          <cell r="G5895">
            <v>458</v>
          </cell>
          <cell r="H5895" t="str">
            <v>FINA-A458</v>
          </cell>
          <cell r="K5895" t="str">
            <v>McNaughton,Patrick R.</v>
          </cell>
          <cell r="N5895">
            <v>3.492</v>
          </cell>
          <cell r="O5895">
            <v>3.1760000000000002</v>
          </cell>
        </row>
        <row r="5896">
          <cell r="E5896" t="str">
            <v>FINA</v>
          </cell>
          <cell r="F5896" t="str">
            <v>FINA-A</v>
          </cell>
          <cell r="G5896">
            <v>483</v>
          </cell>
          <cell r="H5896" t="str">
            <v>FINA-A483</v>
          </cell>
          <cell r="K5896" t="str">
            <v>Rothstein,Bret</v>
          </cell>
          <cell r="N5896">
            <v>2.8769999999999998</v>
          </cell>
          <cell r="O5896">
            <v>3.2160000000000002</v>
          </cell>
        </row>
        <row r="5897">
          <cell r="E5897" t="str">
            <v>FINA</v>
          </cell>
          <cell r="F5897" t="str">
            <v>FINA-A</v>
          </cell>
          <cell r="G5897">
            <v>489</v>
          </cell>
          <cell r="H5897" t="str">
            <v>FINA-A489</v>
          </cell>
          <cell r="K5897" t="str">
            <v>Graves,Margaret Susanna</v>
          </cell>
          <cell r="N5897">
            <v>3.07</v>
          </cell>
          <cell r="O5897">
            <v>3.1909999999999998</v>
          </cell>
        </row>
        <row r="5898">
          <cell r="E5898" t="str">
            <v>FINA</v>
          </cell>
          <cell r="F5898" t="str">
            <v>FINA-A</v>
          </cell>
          <cell r="G5898">
            <v>490</v>
          </cell>
          <cell r="H5898" t="str">
            <v>FINA-A490</v>
          </cell>
          <cell r="K5898" t="str">
            <v>Schuld,Dawna L</v>
          </cell>
          <cell r="N5898">
            <v>3.1789999999999998</v>
          </cell>
          <cell r="O5898">
            <v>3.0790000000000002</v>
          </cell>
        </row>
        <row r="5899">
          <cell r="E5899" t="str">
            <v>FINA</v>
          </cell>
          <cell r="F5899" t="str">
            <v>FINA-A</v>
          </cell>
          <cell r="G5899">
            <v>490</v>
          </cell>
          <cell r="H5899" t="str">
            <v>FINA-A490</v>
          </cell>
          <cell r="K5899" t="str">
            <v>Schuld,Dawna L</v>
          </cell>
          <cell r="N5899">
            <v>2.8479999999999999</v>
          </cell>
          <cell r="O5899">
            <v>3.2759999999999998</v>
          </cell>
        </row>
        <row r="5900">
          <cell r="E5900" t="str">
            <v>FINA</v>
          </cell>
          <cell r="F5900" t="str">
            <v>FINA-A</v>
          </cell>
          <cell r="G5900">
            <v>495</v>
          </cell>
          <cell r="H5900" t="str">
            <v>FINA-A495</v>
          </cell>
          <cell r="K5900" t="str">
            <v>Knox,Giles</v>
          </cell>
          <cell r="N5900" t="str">
            <v>NR</v>
          </cell>
          <cell r="O5900" t="str">
            <v>NR</v>
          </cell>
        </row>
        <row r="5901">
          <cell r="E5901" t="str">
            <v>FINA</v>
          </cell>
          <cell r="F5901" t="str">
            <v>FINA-A</v>
          </cell>
          <cell r="G5901">
            <v>495</v>
          </cell>
          <cell r="H5901" t="str">
            <v>FINA-A495</v>
          </cell>
          <cell r="K5901" t="str">
            <v>Knox,Giles</v>
          </cell>
          <cell r="N5901" t="str">
            <v>NR</v>
          </cell>
          <cell r="O5901" t="str">
            <v>NR</v>
          </cell>
        </row>
        <row r="5902">
          <cell r="E5902" t="str">
            <v>FINA</v>
          </cell>
          <cell r="F5902" t="str">
            <v>FINA-A</v>
          </cell>
          <cell r="G5902">
            <v>495</v>
          </cell>
          <cell r="H5902" t="str">
            <v>FINA-A495</v>
          </cell>
          <cell r="K5902" t="str">
            <v>Rothstein,Bret</v>
          </cell>
          <cell r="N5902" t="str">
            <v>NR</v>
          </cell>
          <cell r="O5902" t="str">
            <v>NR</v>
          </cell>
        </row>
        <row r="5903">
          <cell r="E5903" t="str">
            <v>FINA</v>
          </cell>
          <cell r="F5903" t="str">
            <v>FINA-A</v>
          </cell>
          <cell r="G5903">
            <v>495</v>
          </cell>
          <cell r="H5903" t="str">
            <v>FINA-A495</v>
          </cell>
          <cell r="K5903" t="str">
            <v>Van Voorhis,Julie</v>
          </cell>
          <cell r="N5903" t="str">
            <v>NR</v>
          </cell>
          <cell r="O5903" t="str">
            <v>NR</v>
          </cell>
        </row>
        <row r="5904">
          <cell r="E5904" t="str">
            <v>FINA</v>
          </cell>
          <cell r="F5904" t="str">
            <v>FINA-A</v>
          </cell>
          <cell r="G5904">
            <v>499</v>
          </cell>
          <cell r="H5904" t="str">
            <v>FINA-A499</v>
          </cell>
          <cell r="K5904" t="str">
            <v>Van Voorhis,Julie</v>
          </cell>
          <cell r="N5904">
            <v>4</v>
          </cell>
          <cell r="O5904">
            <v>3.6680000000000001</v>
          </cell>
        </row>
        <row r="5905">
          <cell r="E5905" t="str">
            <v>FINA</v>
          </cell>
          <cell r="F5905" t="str">
            <v>FINA-A</v>
          </cell>
          <cell r="G5905">
            <v>500</v>
          </cell>
          <cell r="H5905" t="str">
            <v>FINA-A500</v>
          </cell>
          <cell r="K5905" t="str">
            <v>Van Voorhis,Julie</v>
          </cell>
          <cell r="N5905">
            <v>3.847</v>
          </cell>
          <cell r="O5905">
            <v>3.8570000000000002</v>
          </cell>
        </row>
        <row r="5906">
          <cell r="E5906" t="str">
            <v>FINA</v>
          </cell>
          <cell r="F5906" t="str">
            <v>FINA-A</v>
          </cell>
          <cell r="G5906">
            <v>520</v>
          </cell>
          <cell r="H5906" t="str">
            <v>FINA-A520</v>
          </cell>
          <cell r="K5906" t="str">
            <v>Reilly,Diane J</v>
          </cell>
          <cell r="N5906" t="str">
            <v>NR</v>
          </cell>
          <cell r="O5906" t="str">
            <v>NR</v>
          </cell>
        </row>
        <row r="5907">
          <cell r="E5907" t="str">
            <v>FINA</v>
          </cell>
          <cell r="F5907" t="str">
            <v>FINA-A</v>
          </cell>
          <cell r="G5907">
            <v>540</v>
          </cell>
          <cell r="H5907" t="str">
            <v>FINA-A540</v>
          </cell>
          <cell r="K5907" t="str">
            <v>Deusner,Melody Barnett</v>
          </cell>
          <cell r="N5907" t="str">
            <v>NR</v>
          </cell>
          <cell r="O5907" t="str">
            <v>NR</v>
          </cell>
        </row>
        <row r="5908">
          <cell r="E5908" t="str">
            <v>FINA</v>
          </cell>
          <cell r="F5908" t="str">
            <v>FINA-A</v>
          </cell>
          <cell r="G5908">
            <v>540</v>
          </cell>
          <cell r="H5908" t="str">
            <v>FINA-A540</v>
          </cell>
          <cell r="K5908" t="str">
            <v>Molotiu,Andrei</v>
          </cell>
          <cell r="N5908" t="str">
            <v>NR</v>
          </cell>
          <cell r="O5908" t="str">
            <v>NR</v>
          </cell>
        </row>
        <row r="5909">
          <cell r="E5909" t="str">
            <v>FINA</v>
          </cell>
          <cell r="F5909" t="str">
            <v>FINA-A</v>
          </cell>
          <cell r="G5909">
            <v>540</v>
          </cell>
          <cell r="H5909" t="str">
            <v>FINA-A540</v>
          </cell>
          <cell r="K5909" t="str">
            <v>Wolfskill,Phoebe</v>
          </cell>
          <cell r="N5909" t="str">
            <v>NR</v>
          </cell>
          <cell r="O5909" t="str">
            <v>NR</v>
          </cell>
        </row>
        <row r="5910">
          <cell r="E5910" t="str">
            <v>FINA</v>
          </cell>
          <cell r="F5910" t="str">
            <v>FINA-A</v>
          </cell>
          <cell r="G5910">
            <v>543</v>
          </cell>
          <cell r="H5910" t="str">
            <v>FINA-A543</v>
          </cell>
          <cell r="K5910" t="str">
            <v>Cookman,Claude H.</v>
          </cell>
          <cell r="N5910" t="str">
            <v>NR</v>
          </cell>
          <cell r="O5910" t="str">
            <v>NR</v>
          </cell>
        </row>
        <row r="5911">
          <cell r="E5911" t="str">
            <v>FINA</v>
          </cell>
          <cell r="F5911" t="str">
            <v>FINA-A</v>
          </cell>
          <cell r="G5911">
            <v>551</v>
          </cell>
          <cell r="H5911" t="str">
            <v>FINA-A551</v>
          </cell>
          <cell r="K5911" t="str">
            <v>Pelrine,Diane M</v>
          </cell>
          <cell r="N5911" t="str">
            <v>NR</v>
          </cell>
          <cell r="O5911" t="str">
            <v>NR</v>
          </cell>
        </row>
        <row r="5912">
          <cell r="E5912" t="str">
            <v>FINA</v>
          </cell>
          <cell r="F5912" t="str">
            <v>FINA-A</v>
          </cell>
          <cell r="G5912">
            <v>580</v>
          </cell>
          <cell r="H5912" t="str">
            <v>FINA-A580</v>
          </cell>
          <cell r="K5912" t="str">
            <v>Kramer,Margaretha</v>
          </cell>
          <cell r="N5912" t="str">
            <v>NR</v>
          </cell>
          <cell r="O5912" t="str">
            <v>NR</v>
          </cell>
        </row>
        <row r="5913">
          <cell r="E5913" t="str">
            <v>FINA</v>
          </cell>
          <cell r="F5913" t="str">
            <v>FINA-A</v>
          </cell>
          <cell r="G5913">
            <v>580</v>
          </cell>
          <cell r="H5913" t="str">
            <v>FINA-A580</v>
          </cell>
          <cell r="K5913" t="str">
            <v>McNaughton,Patrick R.</v>
          </cell>
          <cell r="N5913">
            <v>4</v>
          </cell>
          <cell r="O5913">
            <v>3.851</v>
          </cell>
        </row>
        <row r="5914">
          <cell r="E5914" t="str">
            <v>FINA</v>
          </cell>
          <cell r="F5914" t="str">
            <v>FINA-A</v>
          </cell>
          <cell r="G5914">
            <v>580</v>
          </cell>
          <cell r="H5914" t="str">
            <v>FINA-A580</v>
          </cell>
          <cell r="K5914" t="str">
            <v>Molotiu,Andrei</v>
          </cell>
          <cell r="N5914" t="str">
            <v>NR</v>
          </cell>
          <cell r="O5914" t="str">
            <v>NR</v>
          </cell>
        </row>
        <row r="5915">
          <cell r="E5915" t="str">
            <v>FINA</v>
          </cell>
          <cell r="F5915" t="str">
            <v>FINA-A</v>
          </cell>
          <cell r="G5915">
            <v>580</v>
          </cell>
          <cell r="H5915" t="str">
            <v>FINA-A580</v>
          </cell>
          <cell r="K5915" t="str">
            <v>Osland,Daniel</v>
          </cell>
          <cell r="N5915" t="str">
            <v>NR</v>
          </cell>
          <cell r="O5915" t="str">
            <v>NR</v>
          </cell>
        </row>
        <row r="5916">
          <cell r="E5916" t="str">
            <v>FINA</v>
          </cell>
          <cell r="F5916" t="str">
            <v>FINA-A</v>
          </cell>
          <cell r="G5916">
            <v>580</v>
          </cell>
          <cell r="H5916" t="str">
            <v>FINA-A580</v>
          </cell>
          <cell r="K5916" t="str">
            <v>Rothstein,Bret</v>
          </cell>
          <cell r="N5916" t="str">
            <v>NR</v>
          </cell>
          <cell r="O5916" t="str">
            <v>NR</v>
          </cell>
        </row>
        <row r="5917">
          <cell r="E5917" t="str">
            <v>FINA</v>
          </cell>
          <cell r="F5917" t="str">
            <v>FINA-A</v>
          </cell>
          <cell r="G5917">
            <v>580</v>
          </cell>
          <cell r="H5917" t="str">
            <v>FINA-A580</v>
          </cell>
          <cell r="K5917" t="str">
            <v>Schuld,Dawna L</v>
          </cell>
          <cell r="N5917">
            <v>3.464</v>
          </cell>
          <cell r="O5917">
            <v>3.77</v>
          </cell>
        </row>
        <row r="5918">
          <cell r="E5918" t="str">
            <v>FINA</v>
          </cell>
          <cell r="F5918" t="str">
            <v>FINA-A</v>
          </cell>
          <cell r="G5918">
            <v>580</v>
          </cell>
          <cell r="H5918" t="str">
            <v>FINA-A580</v>
          </cell>
          <cell r="K5918" t="str">
            <v>Schuld,Dawna L</v>
          </cell>
          <cell r="N5918" t="str">
            <v>NR</v>
          </cell>
          <cell r="O5918" t="str">
            <v>NR</v>
          </cell>
        </row>
        <row r="5919">
          <cell r="E5919" t="str">
            <v>FINA</v>
          </cell>
          <cell r="F5919" t="str">
            <v>FINA-A</v>
          </cell>
          <cell r="G5919">
            <v>580</v>
          </cell>
          <cell r="H5919" t="str">
            <v>FINA-A580</v>
          </cell>
          <cell r="K5919" t="str">
            <v>Wolfskill,Phoebe</v>
          </cell>
          <cell r="N5919" t="str">
            <v>NR</v>
          </cell>
          <cell r="O5919" t="str">
            <v>NR</v>
          </cell>
        </row>
        <row r="5920">
          <cell r="E5920" t="str">
            <v>FINA</v>
          </cell>
          <cell r="F5920" t="str">
            <v>FINA-A</v>
          </cell>
          <cell r="G5920">
            <v>589</v>
          </cell>
          <cell r="H5920" t="str">
            <v>FINA-A589</v>
          </cell>
          <cell r="K5920" t="str">
            <v>Graves,Margaret Susanna</v>
          </cell>
          <cell r="N5920" t="str">
            <v>NR</v>
          </cell>
          <cell r="O5920" t="str">
            <v>NR</v>
          </cell>
        </row>
        <row r="5921">
          <cell r="E5921" t="str">
            <v>FINA</v>
          </cell>
          <cell r="F5921" t="str">
            <v>FINA-A</v>
          </cell>
          <cell r="G5921">
            <v>589</v>
          </cell>
          <cell r="H5921" t="str">
            <v>FINA-A589</v>
          </cell>
          <cell r="K5921" t="str">
            <v>Graves,Margaret Susanna</v>
          </cell>
          <cell r="N5921" t="str">
            <v>NR</v>
          </cell>
          <cell r="O5921" t="str">
            <v>NR</v>
          </cell>
        </row>
        <row r="5922">
          <cell r="E5922" t="str">
            <v>FINA</v>
          </cell>
          <cell r="F5922" t="str">
            <v>FINA-A</v>
          </cell>
          <cell r="G5922">
            <v>590</v>
          </cell>
          <cell r="H5922" t="str">
            <v>FINA-A590</v>
          </cell>
          <cell r="K5922" t="str">
            <v>Wagelie,Jennifer</v>
          </cell>
          <cell r="N5922" t="str">
            <v>NR</v>
          </cell>
          <cell r="O5922" t="str">
            <v>NR</v>
          </cell>
        </row>
        <row r="5923">
          <cell r="E5923" t="str">
            <v>FINA</v>
          </cell>
          <cell r="F5923" t="str">
            <v>FINA-A</v>
          </cell>
          <cell r="G5923">
            <v>590</v>
          </cell>
          <cell r="H5923" t="str">
            <v>FINA-A590</v>
          </cell>
          <cell r="K5923" t="str">
            <v>Wagelie,Jennifer</v>
          </cell>
          <cell r="N5923" t="str">
            <v>NR</v>
          </cell>
          <cell r="O5923" t="str">
            <v>NR</v>
          </cell>
        </row>
        <row r="5924">
          <cell r="E5924" t="str">
            <v>FINA</v>
          </cell>
          <cell r="F5924" t="str">
            <v>FINA-A</v>
          </cell>
          <cell r="G5924">
            <v>595</v>
          </cell>
          <cell r="H5924" t="str">
            <v>FINA-A595</v>
          </cell>
          <cell r="K5924" t="str">
            <v>Knox,Giles</v>
          </cell>
          <cell r="N5924" t="str">
            <v>NR</v>
          </cell>
          <cell r="O5924" t="str">
            <v>NR</v>
          </cell>
        </row>
        <row r="5925">
          <cell r="E5925" t="str">
            <v>FINA</v>
          </cell>
          <cell r="F5925" t="str">
            <v>FINA-A</v>
          </cell>
          <cell r="G5925">
            <v>616</v>
          </cell>
          <cell r="H5925" t="str">
            <v>FINA-A616</v>
          </cell>
          <cell r="K5925" t="str">
            <v>Van Voorhis,Julie</v>
          </cell>
          <cell r="N5925" t="str">
            <v>NR</v>
          </cell>
          <cell r="O5925" t="str">
            <v>NR</v>
          </cell>
        </row>
        <row r="5926">
          <cell r="E5926" t="str">
            <v>FINA</v>
          </cell>
          <cell r="F5926" t="str">
            <v>FINA-A</v>
          </cell>
          <cell r="G5926">
            <v>635</v>
          </cell>
          <cell r="H5926" t="str">
            <v>FINA-A635</v>
          </cell>
          <cell r="K5926" t="str">
            <v>Knox,Giles</v>
          </cell>
          <cell r="N5926">
            <v>3.7450000000000001</v>
          </cell>
          <cell r="O5926">
            <v>3.8380000000000001</v>
          </cell>
        </row>
        <row r="5927">
          <cell r="E5927" t="str">
            <v>FINA</v>
          </cell>
          <cell r="F5927" t="str">
            <v>FINA-A</v>
          </cell>
          <cell r="G5927">
            <v>637</v>
          </cell>
          <cell r="H5927" t="str">
            <v>FINA-A637</v>
          </cell>
          <cell r="K5927" t="str">
            <v>Rothstein,Bret</v>
          </cell>
          <cell r="N5927" t="str">
            <v>NR</v>
          </cell>
          <cell r="O5927" t="str">
            <v>NR</v>
          </cell>
        </row>
        <row r="5928">
          <cell r="E5928" t="str">
            <v>FINA</v>
          </cell>
          <cell r="F5928" t="str">
            <v>FINA-A</v>
          </cell>
          <cell r="G5928">
            <v>640</v>
          </cell>
          <cell r="H5928" t="str">
            <v>FINA-A640</v>
          </cell>
          <cell r="K5928" t="str">
            <v>Kennedy,Janet E.</v>
          </cell>
          <cell r="N5928">
            <v>3.98</v>
          </cell>
          <cell r="O5928">
            <v>3.9060000000000001</v>
          </cell>
        </row>
        <row r="5929">
          <cell r="E5929" t="str">
            <v>FINA</v>
          </cell>
          <cell r="F5929" t="str">
            <v>FINA-A</v>
          </cell>
          <cell r="G5929">
            <v>643</v>
          </cell>
          <cell r="H5929" t="str">
            <v>FINA-A643</v>
          </cell>
          <cell r="K5929" t="str">
            <v>Wolfskill,Phoebe</v>
          </cell>
          <cell r="N5929">
            <v>3.871</v>
          </cell>
          <cell r="O5929">
            <v>3.8719999999999999</v>
          </cell>
        </row>
        <row r="5930">
          <cell r="E5930" t="str">
            <v>FINA</v>
          </cell>
          <cell r="F5930" t="str">
            <v>FINA-A</v>
          </cell>
          <cell r="G5930">
            <v>650</v>
          </cell>
          <cell r="H5930" t="str">
            <v>FINA-A650</v>
          </cell>
          <cell r="K5930" t="str">
            <v>Pelrine,Diane M</v>
          </cell>
          <cell r="N5930">
            <v>3.8130000000000002</v>
          </cell>
          <cell r="O5930">
            <v>3.8639999999999999</v>
          </cell>
        </row>
        <row r="5931">
          <cell r="E5931" t="str">
            <v>FINA</v>
          </cell>
          <cell r="F5931" t="str">
            <v>FINA-A</v>
          </cell>
          <cell r="G5931">
            <v>775</v>
          </cell>
          <cell r="H5931" t="str">
            <v>FINA-A775</v>
          </cell>
          <cell r="K5931" t="str">
            <v>Knox,Giles</v>
          </cell>
          <cell r="N5931" t="str">
            <v>NR</v>
          </cell>
          <cell r="O5931" t="str">
            <v>NR</v>
          </cell>
        </row>
        <row r="5932">
          <cell r="E5932" t="str">
            <v>FINA</v>
          </cell>
          <cell r="F5932" t="str">
            <v>FINA-A</v>
          </cell>
          <cell r="G5932">
            <v>779</v>
          </cell>
          <cell r="H5932" t="str">
            <v>FINA-A779</v>
          </cell>
          <cell r="K5932" t="str">
            <v>Knox,Giles</v>
          </cell>
          <cell r="N5932" t="str">
            <v>NR</v>
          </cell>
          <cell r="O5932" t="str">
            <v>NR</v>
          </cell>
        </row>
        <row r="5933">
          <cell r="E5933" t="str">
            <v>FINA</v>
          </cell>
          <cell r="F5933" t="str">
            <v>FINA-A</v>
          </cell>
          <cell r="G5933">
            <v>779</v>
          </cell>
          <cell r="H5933" t="str">
            <v>FINA-A779</v>
          </cell>
          <cell r="K5933" t="str">
            <v>Knox,Giles</v>
          </cell>
          <cell r="N5933" t="str">
            <v>NR</v>
          </cell>
          <cell r="O5933" t="str">
            <v>NR</v>
          </cell>
        </row>
        <row r="5934">
          <cell r="E5934" t="str">
            <v>FINA</v>
          </cell>
          <cell r="F5934" t="str">
            <v>FINA-A</v>
          </cell>
          <cell r="G5934">
            <v>879</v>
          </cell>
          <cell r="H5934" t="str">
            <v>FINA-A879</v>
          </cell>
          <cell r="K5934" t="str">
            <v>Knox,Giles</v>
          </cell>
          <cell r="N5934" t="str">
            <v>NR</v>
          </cell>
          <cell r="O5934" t="str">
            <v>NR</v>
          </cell>
        </row>
        <row r="5935">
          <cell r="E5935" t="str">
            <v>FINA</v>
          </cell>
          <cell r="F5935" t="str">
            <v>FINA-A</v>
          </cell>
          <cell r="G5935">
            <v>879</v>
          </cell>
          <cell r="H5935" t="str">
            <v>FINA-A879</v>
          </cell>
          <cell r="K5935" t="str">
            <v>Knox,Giles</v>
          </cell>
          <cell r="N5935" t="str">
            <v>NR</v>
          </cell>
          <cell r="O5935" t="str">
            <v>NR</v>
          </cell>
        </row>
        <row r="5936">
          <cell r="E5936" t="str">
            <v>FINA</v>
          </cell>
          <cell r="F5936" t="str">
            <v>FINA-D</v>
          </cell>
          <cell r="G5936">
            <v>210</v>
          </cell>
          <cell r="H5936" t="str">
            <v>FINA-D210</v>
          </cell>
          <cell r="K5936" t="str">
            <v>Chi,Catherine Yi-Chen</v>
          </cell>
          <cell r="N5936">
            <v>3.7210000000000001</v>
          </cell>
          <cell r="O5936">
            <v>3.0230000000000001</v>
          </cell>
        </row>
        <row r="5937">
          <cell r="E5937" t="str">
            <v>FINA</v>
          </cell>
          <cell r="F5937" t="str">
            <v>FINA-D</v>
          </cell>
          <cell r="G5937">
            <v>210</v>
          </cell>
          <cell r="H5937" t="str">
            <v>FINA-D210</v>
          </cell>
          <cell r="K5937" t="str">
            <v>Steele,Kevin Michael</v>
          </cell>
          <cell r="N5937">
            <v>3.4</v>
          </cell>
          <cell r="O5937">
            <v>2.972</v>
          </cell>
        </row>
        <row r="5938">
          <cell r="E5938" t="str">
            <v>FINA</v>
          </cell>
          <cell r="F5938" t="str">
            <v>FINA-D</v>
          </cell>
          <cell r="G5938">
            <v>210</v>
          </cell>
          <cell r="H5938" t="str">
            <v>FINA-D210</v>
          </cell>
          <cell r="K5938" t="str">
            <v>Weaver,Rachel Lin</v>
          </cell>
          <cell r="N5938">
            <v>3.863</v>
          </cell>
          <cell r="O5938">
            <v>3.028</v>
          </cell>
        </row>
        <row r="5939">
          <cell r="E5939" t="str">
            <v>FINA</v>
          </cell>
          <cell r="F5939" t="str">
            <v>FINA-D</v>
          </cell>
          <cell r="G5939">
            <v>210</v>
          </cell>
          <cell r="H5939" t="str">
            <v>FINA-D210</v>
          </cell>
          <cell r="K5939" t="str">
            <v>Werr,Rose Sharon</v>
          </cell>
          <cell r="N5939">
            <v>3.3069999999999999</v>
          </cell>
          <cell r="O5939">
            <v>2.9820000000000002</v>
          </cell>
        </row>
        <row r="5940">
          <cell r="E5940" t="str">
            <v>FINA</v>
          </cell>
          <cell r="F5940" t="str">
            <v>FINA-D</v>
          </cell>
          <cell r="G5940">
            <v>210</v>
          </cell>
          <cell r="H5940" t="str">
            <v>FINA-D210</v>
          </cell>
          <cell r="K5940" t="str">
            <v>Werr,Rose Sharon</v>
          </cell>
          <cell r="N5940">
            <v>3.1070000000000002</v>
          </cell>
          <cell r="O5940">
            <v>3.1440000000000001</v>
          </cell>
        </row>
        <row r="5941">
          <cell r="E5941" t="str">
            <v>FINA</v>
          </cell>
          <cell r="F5941" t="str">
            <v>FINA-D</v>
          </cell>
          <cell r="G5941">
            <v>210</v>
          </cell>
          <cell r="H5941" t="str">
            <v>FINA-D210</v>
          </cell>
          <cell r="K5941" t="str">
            <v>Zhu,Xiaoyuan</v>
          </cell>
          <cell r="N5941">
            <v>3.8679999999999999</v>
          </cell>
          <cell r="O5941">
            <v>3.2</v>
          </cell>
        </row>
        <row r="5942">
          <cell r="E5942" t="str">
            <v>FINA</v>
          </cell>
          <cell r="F5942" t="str">
            <v>FINA-D</v>
          </cell>
          <cell r="G5942">
            <v>310</v>
          </cell>
          <cell r="H5942" t="str">
            <v>FINA-D310</v>
          </cell>
          <cell r="K5942" t="str">
            <v>Mynhier,Jennie</v>
          </cell>
          <cell r="N5942">
            <v>3.3250000000000002</v>
          </cell>
          <cell r="O5942">
            <v>3.4329999999999998</v>
          </cell>
        </row>
        <row r="5943">
          <cell r="E5943" t="str">
            <v>FINA</v>
          </cell>
          <cell r="F5943" t="str">
            <v>FINA-D</v>
          </cell>
          <cell r="G5943">
            <v>310</v>
          </cell>
          <cell r="H5943" t="str">
            <v>FINA-D310</v>
          </cell>
          <cell r="K5943" t="str">
            <v>Mynhier,Jennie</v>
          </cell>
          <cell r="N5943">
            <v>3</v>
          </cell>
          <cell r="O5943">
            <v>2.9710000000000001</v>
          </cell>
        </row>
        <row r="5944">
          <cell r="E5944" t="str">
            <v>FINA</v>
          </cell>
          <cell r="F5944" t="str">
            <v>FINA-D</v>
          </cell>
          <cell r="G5944">
            <v>317</v>
          </cell>
          <cell r="H5944" t="str">
            <v>FINA-D317</v>
          </cell>
          <cell r="K5944" t="str">
            <v>Liou,Jawshing Arthur</v>
          </cell>
          <cell r="N5944" t="str">
            <v>NR</v>
          </cell>
          <cell r="O5944" t="str">
            <v>NR</v>
          </cell>
        </row>
        <row r="5945">
          <cell r="E5945" t="str">
            <v>FINA</v>
          </cell>
          <cell r="F5945" t="str">
            <v>FINA-D</v>
          </cell>
          <cell r="G5945">
            <v>317</v>
          </cell>
          <cell r="H5945" t="str">
            <v>FINA-D317</v>
          </cell>
          <cell r="K5945" t="str">
            <v>Liou,Jawshing Arthur</v>
          </cell>
          <cell r="N5945">
            <v>3.6139999999999999</v>
          </cell>
          <cell r="O5945">
            <v>3.2909999999999999</v>
          </cell>
        </row>
        <row r="5946">
          <cell r="E5946" t="str">
            <v>FINA</v>
          </cell>
          <cell r="F5946" t="str">
            <v>FINA-D</v>
          </cell>
          <cell r="G5946">
            <v>318</v>
          </cell>
          <cell r="H5946" t="str">
            <v>FINA-D318</v>
          </cell>
          <cell r="K5946" t="str">
            <v>Dolinsky,Margaret</v>
          </cell>
          <cell r="N5946" t="str">
            <v>NR</v>
          </cell>
          <cell r="O5946" t="str">
            <v>NR</v>
          </cell>
        </row>
        <row r="5947">
          <cell r="E5947" t="str">
            <v>FINA</v>
          </cell>
          <cell r="F5947" t="str">
            <v>FINA-D</v>
          </cell>
          <cell r="G5947">
            <v>318</v>
          </cell>
          <cell r="H5947" t="str">
            <v>FINA-D318</v>
          </cell>
          <cell r="K5947" t="str">
            <v>Dolinsky,Margaret</v>
          </cell>
          <cell r="N5947">
            <v>3.05</v>
          </cell>
          <cell r="O5947">
            <v>3.2040000000000002</v>
          </cell>
        </row>
        <row r="5948">
          <cell r="E5948" t="str">
            <v>FINA</v>
          </cell>
          <cell r="F5948" t="str">
            <v>FINA-D</v>
          </cell>
          <cell r="G5948">
            <v>410</v>
          </cell>
          <cell r="H5948" t="str">
            <v>FINA-D410</v>
          </cell>
          <cell r="K5948" t="str">
            <v>Mynhier,Jennie</v>
          </cell>
          <cell r="N5948" t="str">
            <v>NR</v>
          </cell>
          <cell r="O5948" t="str">
            <v>NR</v>
          </cell>
        </row>
        <row r="5949">
          <cell r="E5949" t="str">
            <v>FINA</v>
          </cell>
          <cell r="F5949" t="str">
            <v>FINA-D</v>
          </cell>
          <cell r="G5949">
            <v>410</v>
          </cell>
          <cell r="H5949" t="str">
            <v>FINA-D410</v>
          </cell>
          <cell r="K5949" t="str">
            <v>Mynhier,Jennie</v>
          </cell>
          <cell r="N5949" t="str">
            <v>NR</v>
          </cell>
          <cell r="O5949" t="str">
            <v>NR</v>
          </cell>
        </row>
        <row r="5950">
          <cell r="E5950" t="str">
            <v>FINA</v>
          </cell>
          <cell r="F5950" t="str">
            <v>FINA-D</v>
          </cell>
          <cell r="G5950">
            <v>411</v>
          </cell>
          <cell r="H5950" t="str">
            <v>FINA-D411</v>
          </cell>
          <cell r="K5950" t="str">
            <v>Liou,Jawshing Arthur</v>
          </cell>
          <cell r="N5950" t="str">
            <v>NR</v>
          </cell>
          <cell r="O5950" t="str">
            <v>NR</v>
          </cell>
        </row>
        <row r="5951">
          <cell r="E5951" t="str">
            <v>FINA</v>
          </cell>
          <cell r="F5951" t="str">
            <v>FINA-D</v>
          </cell>
          <cell r="G5951">
            <v>411</v>
          </cell>
          <cell r="H5951" t="str">
            <v>FINA-D411</v>
          </cell>
          <cell r="K5951" t="str">
            <v>Mynhier,Jennie</v>
          </cell>
          <cell r="N5951">
            <v>3.8330000000000002</v>
          </cell>
          <cell r="O5951">
            <v>3.5590000000000002</v>
          </cell>
        </row>
        <row r="5952">
          <cell r="E5952" t="str">
            <v>FINA</v>
          </cell>
          <cell r="F5952" t="str">
            <v>FINA-D</v>
          </cell>
          <cell r="G5952">
            <v>412</v>
          </cell>
          <cell r="H5952" t="str">
            <v>FINA-D412</v>
          </cell>
          <cell r="K5952" t="str">
            <v>Liou,Jawshing Arthur</v>
          </cell>
          <cell r="N5952" t="str">
            <v>NR</v>
          </cell>
          <cell r="O5952" t="str">
            <v>NR</v>
          </cell>
        </row>
        <row r="5953">
          <cell r="E5953" t="str">
            <v>FINA</v>
          </cell>
          <cell r="F5953" t="str">
            <v>FINA-D</v>
          </cell>
          <cell r="G5953">
            <v>412</v>
          </cell>
          <cell r="H5953" t="str">
            <v>FINA-D412</v>
          </cell>
          <cell r="K5953" t="str">
            <v>Mynhier,Jennie</v>
          </cell>
          <cell r="N5953">
            <v>3.6</v>
          </cell>
          <cell r="O5953">
            <v>3.5590000000000002</v>
          </cell>
        </row>
        <row r="5954">
          <cell r="E5954" t="str">
            <v>FINA</v>
          </cell>
          <cell r="F5954" t="str">
            <v>FINA-D</v>
          </cell>
          <cell r="G5954">
            <v>417</v>
          </cell>
          <cell r="H5954" t="str">
            <v>FINA-D417</v>
          </cell>
          <cell r="K5954" t="str">
            <v>Liou,Jawshing Arthur</v>
          </cell>
          <cell r="N5954" t="str">
            <v>NR</v>
          </cell>
          <cell r="O5954" t="str">
            <v>NR</v>
          </cell>
        </row>
        <row r="5955">
          <cell r="E5955" t="str">
            <v>FINA</v>
          </cell>
          <cell r="F5955" t="str">
            <v>FINA-D</v>
          </cell>
          <cell r="G5955">
            <v>418</v>
          </cell>
          <cell r="H5955" t="str">
            <v>FINA-D418</v>
          </cell>
          <cell r="K5955" t="str">
            <v>Dolinsky,Margaret</v>
          </cell>
          <cell r="N5955" t="str">
            <v>NR</v>
          </cell>
          <cell r="O5955" t="str">
            <v>NR</v>
          </cell>
        </row>
        <row r="5956">
          <cell r="E5956" t="str">
            <v>FINA</v>
          </cell>
          <cell r="F5956" t="str">
            <v>FINA-D</v>
          </cell>
          <cell r="G5956">
            <v>418</v>
          </cell>
          <cell r="H5956" t="str">
            <v>FINA-D418</v>
          </cell>
          <cell r="K5956" t="str">
            <v>Dolinsky,Margaret</v>
          </cell>
          <cell r="N5956" t="str">
            <v>NR</v>
          </cell>
          <cell r="O5956" t="str">
            <v>NR</v>
          </cell>
        </row>
        <row r="5957">
          <cell r="E5957" t="str">
            <v>FINA</v>
          </cell>
          <cell r="F5957" t="str">
            <v>FINA-D</v>
          </cell>
          <cell r="G5957">
            <v>510</v>
          </cell>
          <cell r="H5957" t="str">
            <v>FINA-D510</v>
          </cell>
          <cell r="K5957" t="str">
            <v>Dolinsky,Margaret</v>
          </cell>
          <cell r="N5957" t="str">
            <v>NR</v>
          </cell>
          <cell r="O5957" t="str">
            <v>NR</v>
          </cell>
        </row>
        <row r="5958">
          <cell r="E5958" t="str">
            <v>FINA</v>
          </cell>
          <cell r="F5958" t="str">
            <v>FINA-D</v>
          </cell>
          <cell r="G5958">
            <v>510</v>
          </cell>
          <cell r="H5958" t="str">
            <v>FINA-D510</v>
          </cell>
          <cell r="K5958" t="str">
            <v>Dolinsky,Margaret</v>
          </cell>
          <cell r="N5958" t="str">
            <v>NR</v>
          </cell>
          <cell r="O5958" t="str">
            <v>NR</v>
          </cell>
        </row>
        <row r="5959">
          <cell r="E5959" t="str">
            <v>FINA</v>
          </cell>
          <cell r="F5959" t="str">
            <v>FINA-D</v>
          </cell>
          <cell r="G5959">
            <v>510</v>
          </cell>
          <cell r="H5959" t="str">
            <v>FINA-D510</v>
          </cell>
          <cell r="K5959" t="str">
            <v>Liou,Jawshing Arthur</v>
          </cell>
          <cell r="N5959" t="str">
            <v>NR</v>
          </cell>
          <cell r="O5959" t="str">
            <v>NR</v>
          </cell>
        </row>
        <row r="5960">
          <cell r="E5960" t="str">
            <v>FINA</v>
          </cell>
          <cell r="F5960" t="str">
            <v>FINA-D</v>
          </cell>
          <cell r="G5960">
            <v>510</v>
          </cell>
          <cell r="H5960" t="str">
            <v>FINA-D510</v>
          </cell>
          <cell r="K5960" t="str">
            <v>Liou,Jawshing Arthur</v>
          </cell>
          <cell r="N5960" t="str">
            <v>NR</v>
          </cell>
          <cell r="O5960" t="str">
            <v>NR</v>
          </cell>
        </row>
        <row r="5961">
          <cell r="E5961" t="str">
            <v>FINA</v>
          </cell>
          <cell r="F5961" t="str">
            <v>FINA-D</v>
          </cell>
          <cell r="G5961">
            <v>510</v>
          </cell>
          <cell r="H5961" t="str">
            <v>FINA-D510</v>
          </cell>
          <cell r="K5961" t="str">
            <v>Mynhier,Jennie</v>
          </cell>
          <cell r="N5961" t="str">
            <v>NR</v>
          </cell>
          <cell r="O5961" t="str">
            <v>NR</v>
          </cell>
        </row>
        <row r="5962">
          <cell r="E5962" t="str">
            <v>FINA</v>
          </cell>
          <cell r="F5962" t="str">
            <v>FINA-D</v>
          </cell>
          <cell r="G5962">
            <v>510</v>
          </cell>
          <cell r="H5962" t="str">
            <v>FINA-D510</v>
          </cell>
          <cell r="K5962" t="str">
            <v>Werr,Rose Sharon</v>
          </cell>
          <cell r="N5962" t="str">
            <v>NR</v>
          </cell>
          <cell r="O5962" t="str">
            <v>NR</v>
          </cell>
        </row>
        <row r="5963">
          <cell r="E5963" t="str">
            <v>FINA</v>
          </cell>
          <cell r="F5963" t="str">
            <v>FINA-D</v>
          </cell>
          <cell r="G5963">
            <v>511</v>
          </cell>
          <cell r="H5963" t="str">
            <v>FINA-D511</v>
          </cell>
          <cell r="K5963" t="str">
            <v>Liou,Jawshing Arthur</v>
          </cell>
          <cell r="N5963" t="str">
            <v>NR</v>
          </cell>
          <cell r="O5963" t="str">
            <v>NR</v>
          </cell>
        </row>
        <row r="5964">
          <cell r="E5964" t="str">
            <v>FINA</v>
          </cell>
          <cell r="F5964" t="str">
            <v>FINA-D</v>
          </cell>
          <cell r="G5964">
            <v>511</v>
          </cell>
          <cell r="H5964" t="str">
            <v>FINA-D511</v>
          </cell>
          <cell r="K5964" t="str">
            <v>Mynhier,Jennie</v>
          </cell>
          <cell r="N5964" t="str">
            <v>NR</v>
          </cell>
          <cell r="O5964" t="str">
            <v>NR</v>
          </cell>
        </row>
        <row r="5965">
          <cell r="E5965" t="str">
            <v>FINA</v>
          </cell>
          <cell r="F5965" t="str">
            <v>FINA-F</v>
          </cell>
          <cell r="G5965">
            <v>100</v>
          </cell>
          <cell r="H5965" t="str">
            <v>FINA-F100</v>
          </cell>
          <cell r="K5965" t="str">
            <v>Agran,Thomas Fairlie</v>
          </cell>
          <cell r="N5965">
            <v>3.6669999999999998</v>
          </cell>
          <cell r="O5965">
            <v>3.0030000000000001</v>
          </cell>
        </row>
        <row r="5966">
          <cell r="E5966" t="str">
            <v>FINA</v>
          </cell>
          <cell r="F5966" t="str">
            <v>FINA-F</v>
          </cell>
          <cell r="G5966">
            <v>100</v>
          </cell>
          <cell r="H5966" t="str">
            <v>FINA-F100</v>
          </cell>
          <cell r="K5966" t="str">
            <v>Anderson,Linda Elisabeth</v>
          </cell>
          <cell r="N5966">
            <v>3.661</v>
          </cell>
          <cell r="O5966">
            <v>3.407</v>
          </cell>
        </row>
        <row r="5967">
          <cell r="E5967" t="str">
            <v>FINA</v>
          </cell>
          <cell r="F5967" t="str">
            <v>FINA-F</v>
          </cell>
          <cell r="G5967">
            <v>100</v>
          </cell>
          <cell r="H5967" t="str">
            <v>FINA-F100</v>
          </cell>
          <cell r="K5967" t="str">
            <v>Corbett,Spencer Brainerd</v>
          </cell>
          <cell r="N5967">
            <v>3.7410000000000001</v>
          </cell>
          <cell r="O5967">
            <v>2.8780000000000001</v>
          </cell>
        </row>
        <row r="5968">
          <cell r="E5968" t="str">
            <v>FINA</v>
          </cell>
          <cell r="F5968" t="str">
            <v>FINA-F</v>
          </cell>
          <cell r="G5968">
            <v>100</v>
          </cell>
          <cell r="H5968" t="str">
            <v>FINA-F100</v>
          </cell>
          <cell r="K5968" t="str">
            <v>Franke,Kelly Ann</v>
          </cell>
          <cell r="N5968">
            <v>3.5760000000000001</v>
          </cell>
          <cell r="O5968">
            <v>3.0950000000000002</v>
          </cell>
        </row>
        <row r="5969">
          <cell r="E5969" t="str">
            <v>FINA</v>
          </cell>
          <cell r="F5969" t="str">
            <v>FINA-F</v>
          </cell>
          <cell r="G5969">
            <v>100</v>
          </cell>
          <cell r="H5969" t="str">
            <v>FINA-F100</v>
          </cell>
          <cell r="K5969" t="str">
            <v>Hughes,Kristy Joy</v>
          </cell>
          <cell r="N5969">
            <v>3.621</v>
          </cell>
          <cell r="O5969">
            <v>3.1179999999999999</v>
          </cell>
        </row>
        <row r="5970">
          <cell r="E5970" t="str">
            <v>FINA</v>
          </cell>
          <cell r="F5970" t="str">
            <v>FINA-F</v>
          </cell>
          <cell r="G5970">
            <v>100</v>
          </cell>
          <cell r="H5970" t="str">
            <v>FINA-F100</v>
          </cell>
          <cell r="K5970" t="str">
            <v>Kampelman,Samuel Robert</v>
          </cell>
          <cell r="N5970">
            <v>3.35</v>
          </cell>
          <cell r="O5970">
            <v>3.089</v>
          </cell>
        </row>
        <row r="5971">
          <cell r="E5971" t="str">
            <v>FINA</v>
          </cell>
          <cell r="F5971" t="str">
            <v>FINA-F</v>
          </cell>
          <cell r="G5971">
            <v>100</v>
          </cell>
          <cell r="H5971" t="str">
            <v>FINA-F100</v>
          </cell>
          <cell r="K5971" t="str">
            <v>Korol,Maria</v>
          </cell>
          <cell r="N5971">
            <v>2.7919999999999998</v>
          </cell>
          <cell r="O5971">
            <v>2.7679999999999998</v>
          </cell>
        </row>
        <row r="5972">
          <cell r="E5972" t="str">
            <v>FINA</v>
          </cell>
          <cell r="F5972" t="str">
            <v>FINA-F</v>
          </cell>
          <cell r="G5972">
            <v>100</v>
          </cell>
          <cell r="H5972" t="str">
            <v>FINA-F100</v>
          </cell>
          <cell r="K5972" t="str">
            <v>Macleish,Martha Caroline</v>
          </cell>
          <cell r="N5972">
            <v>3.3940000000000001</v>
          </cell>
          <cell r="O5972">
            <v>2.7480000000000002</v>
          </cell>
        </row>
        <row r="5973">
          <cell r="E5973" t="str">
            <v>FINA</v>
          </cell>
          <cell r="F5973" t="str">
            <v>FINA-F</v>
          </cell>
          <cell r="G5973">
            <v>100</v>
          </cell>
          <cell r="H5973" t="str">
            <v>FINA-F100</v>
          </cell>
          <cell r="K5973" t="str">
            <v>McNolty,Joshua AJ</v>
          </cell>
          <cell r="N5973">
            <v>3.2</v>
          </cell>
          <cell r="O5973">
            <v>2.9550000000000001</v>
          </cell>
        </row>
        <row r="5974">
          <cell r="E5974" t="str">
            <v>FINA</v>
          </cell>
          <cell r="F5974" t="str">
            <v>FINA-F</v>
          </cell>
          <cell r="G5974">
            <v>100</v>
          </cell>
          <cell r="H5974" t="str">
            <v>FINA-F100</v>
          </cell>
          <cell r="K5974" t="str">
            <v>McNolty,Joshua AJ</v>
          </cell>
          <cell r="N5974">
            <v>3.3319999999999999</v>
          </cell>
          <cell r="O5974">
            <v>3.145</v>
          </cell>
        </row>
        <row r="5975">
          <cell r="E5975" t="str">
            <v>FINA</v>
          </cell>
          <cell r="F5975" t="str">
            <v>FINA-F</v>
          </cell>
          <cell r="G5975">
            <v>100</v>
          </cell>
          <cell r="H5975" t="str">
            <v>FINA-F100</v>
          </cell>
          <cell r="K5975" t="str">
            <v>Nguyen,Lara</v>
          </cell>
          <cell r="N5975">
            <v>2.819</v>
          </cell>
          <cell r="O5975">
            <v>2.6850000000000001</v>
          </cell>
        </row>
        <row r="5976">
          <cell r="E5976" t="str">
            <v>FINA</v>
          </cell>
          <cell r="F5976" t="str">
            <v>FINA-F</v>
          </cell>
          <cell r="G5976">
            <v>100</v>
          </cell>
          <cell r="H5976" t="str">
            <v>FINA-F100</v>
          </cell>
          <cell r="K5976" t="str">
            <v>Parker,Beth</v>
          </cell>
          <cell r="N5976">
            <v>3.55</v>
          </cell>
          <cell r="O5976">
            <v>3.0680000000000001</v>
          </cell>
        </row>
        <row r="5977">
          <cell r="E5977" t="str">
            <v>FINA</v>
          </cell>
          <cell r="F5977" t="str">
            <v>FINA-F</v>
          </cell>
          <cell r="G5977">
            <v>100</v>
          </cell>
          <cell r="H5977" t="str">
            <v>FINA-F100</v>
          </cell>
          <cell r="K5977" t="str">
            <v>Ramirez,Kasey</v>
          </cell>
          <cell r="N5977">
            <v>3.8220000000000001</v>
          </cell>
          <cell r="O5977">
            <v>2.9870000000000001</v>
          </cell>
        </row>
        <row r="5978">
          <cell r="E5978" t="str">
            <v>FINA</v>
          </cell>
          <cell r="F5978" t="str">
            <v>FINA-F</v>
          </cell>
          <cell r="G5978">
            <v>100</v>
          </cell>
          <cell r="H5978" t="str">
            <v>FINA-F100</v>
          </cell>
          <cell r="K5978" t="str">
            <v>Simpkins,Nicole Sara</v>
          </cell>
          <cell r="N5978">
            <v>3.2789999999999999</v>
          </cell>
          <cell r="O5978">
            <v>2.7669999999999999</v>
          </cell>
        </row>
        <row r="5979">
          <cell r="E5979" t="str">
            <v>FINA</v>
          </cell>
          <cell r="F5979" t="str">
            <v>FINA-F</v>
          </cell>
          <cell r="G5979">
            <v>100</v>
          </cell>
          <cell r="H5979" t="str">
            <v>FINA-F100</v>
          </cell>
          <cell r="K5979" t="str">
            <v>Simpkins,Nicole Sara</v>
          </cell>
          <cell r="N5979">
            <v>3.4350000000000001</v>
          </cell>
          <cell r="O5979">
            <v>3.16</v>
          </cell>
        </row>
        <row r="5980">
          <cell r="E5980" t="str">
            <v>FINA</v>
          </cell>
          <cell r="F5980" t="str">
            <v>FINA-F</v>
          </cell>
          <cell r="G5980">
            <v>100</v>
          </cell>
          <cell r="H5980" t="str">
            <v>FINA-F100</v>
          </cell>
          <cell r="K5980" t="str">
            <v>Stinely,Alison Elia</v>
          </cell>
          <cell r="N5980">
            <v>2.9809999999999999</v>
          </cell>
          <cell r="O5980">
            <v>2.8879999999999999</v>
          </cell>
        </row>
        <row r="5981">
          <cell r="E5981" t="str">
            <v>FINA</v>
          </cell>
          <cell r="F5981" t="str">
            <v>FINA-F</v>
          </cell>
          <cell r="G5981">
            <v>100</v>
          </cell>
          <cell r="H5981" t="str">
            <v>FINA-F100</v>
          </cell>
          <cell r="K5981" t="str">
            <v>Warren,Lindsey</v>
          </cell>
          <cell r="N5981">
            <v>2.9940000000000002</v>
          </cell>
          <cell r="O5981">
            <v>2.7250000000000001</v>
          </cell>
        </row>
        <row r="5982">
          <cell r="E5982" t="str">
            <v>FINA</v>
          </cell>
          <cell r="F5982" t="str">
            <v>FINA-F</v>
          </cell>
          <cell r="G5982">
            <v>100</v>
          </cell>
          <cell r="H5982" t="str">
            <v>FINA-F100</v>
          </cell>
          <cell r="K5982" t="str">
            <v>Weaver,Christina Ann</v>
          </cell>
          <cell r="N5982">
            <v>3.3</v>
          </cell>
          <cell r="O5982">
            <v>2.9630000000000001</v>
          </cell>
        </row>
        <row r="5983">
          <cell r="E5983" t="str">
            <v>FINA</v>
          </cell>
          <cell r="F5983" t="str">
            <v>FINA-F</v>
          </cell>
          <cell r="G5983">
            <v>101</v>
          </cell>
          <cell r="H5983" t="str">
            <v>FINA-F101</v>
          </cell>
          <cell r="K5983" t="str">
            <v>Balara,Devin Lynn</v>
          </cell>
          <cell r="N5983">
            <v>3.6629999999999998</v>
          </cell>
          <cell r="O5983">
            <v>2.992</v>
          </cell>
        </row>
        <row r="5984">
          <cell r="E5984" t="str">
            <v>FINA</v>
          </cell>
          <cell r="F5984" t="str">
            <v>FINA-F</v>
          </cell>
          <cell r="G5984">
            <v>101</v>
          </cell>
          <cell r="H5984" t="str">
            <v>FINA-F101</v>
          </cell>
          <cell r="K5984" t="str">
            <v>Fiala,Anne Marie</v>
          </cell>
          <cell r="N5984">
            <v>3.37</v>
          </cell>
          <cell r="O5984">
            <v>3.391</v>
          </cell>
        </row>
        <row r="5985">
          <cell r="E5985" t="str">
            <v>FINA</v>
          </cell>
          <cell r="F5985" t="str">
            <v>FINA-F</v>
          </cell>
          <cell r="G5985">
            <v>101</v>
          </cell>
          <cell r="H5985" t="str">
            <v>FINA-F101</v>
          </cell>
          <cell r="K5985" t="str">
            <v>Gettinger,Edmond Donald</v>
          </cell>
          <cell r="N5985">
            <v>3.6240000000000001</v>
          </cell>
          <cell r="O5985">
            <v>3.1930000000000001</v>
          </cell>
        </row>
        <row r="5986">
          <cell r="E5986" t="str">
            <v>FINA</v>
          </cell>
          <cell r="F5986" t="str">
            <v>FINA-F</v>
          </cell>
          <cell r="G5986">
            <v>101</v>
          </cell>
          <cell r="H5986" t="str">
            <v>FINA-F101</v>
          </cell>
          <cell r="K5986" t="str">
            <v>Heldreth,Terrence Lon</v>
          </cell>
          <cell r="N5986">
            <v>3.153</v>
          </cell>
          <cell r="O5986">
            <v>2.8260000000000001</v>
          </cell>
        </row>
        <row r="5987">
          <cell r="E5987" t="str">
            <v>FINA</v>
          </cell>
          <cell r="F5987" t="str">
            <v>FINA-F</v>
          </cell>
          <cell r="G5987">
            <v>101</v>
          </cell>
          <cell r="H5987" t="str">
            <v>FINA-F101</v>
          </cell>
          <cell r="K5987" t="str">
            <v>Jacobs,Katherine Elizabeth</v>
          </cell>
          <cell r="N5987">
            <v>3.472</v>
          </cell>
          <cell r="O5987">
            <v>3.1549999999999998</v>
          </cell>
        </row>
        <row r="5988">
          <cell r="E5988" t="str">
            <v>FINA</v>
          </cell>
          <cell r="F5988" t="str">
            <v>FINA-F</v>
          </cell>
          <cell r="G5988">
            <v>101</v>
          </cell>
          <cell r="H5988" t="str">
            <v>FINA-F101</v>
          </cell>
          <cell r="K5988" t="str">
            <v>Novak,Kelly Marie</v>
          </cell>
          <cell r="N5988">
            <v>3.4670000000000001</v>
          </cell>
          <cell r="O5988">
            <v>2.8879999999999999</v>
          </cell>
        </row>
        <row r="5989">
          <cell r="E5989" t="str">
            <v>FINA</v>
          </cell>
          <cell r="F5989" t="str">
            <v>FINA-F</v>
          </cell>
          <cell r="G5989">
            <v>101</v>
          </cell>
          <cell r="H5989" t="str">
            <v>FINA-F101</v>
          </cell>
          <cell r="K5989" t="str">
            <v>Pariso,William Cody</v>
          </cell>
          <cell r="N5989">
            <v>3.2749999999999999</v>
          </cell>
          <cell r="O5989">
            <v>2.9830000000000001</v>
          </cell>
        </row>
        <row r="5990">
          <cell r="E5990" t="str">
            <v>FINA</v>
          </cell>
          <cell r="F5990" t="str">
            <v>FINA-F</v>
          </cell>
          <cell r="G5990">
            <v>101</v>
          </cell>
          <cell r="H5990" t="str">
            <v>FINA-F101</v>
          </cell>
          <cell r="K5990" t="str">
            <v>Roddy,Marla Beth</v>
          </cell>
          <cell r="N5990">
            <v>3.129</v>
          </cell>
          <cell r="O5990">
            <v>2.9660000000000002</v>
          </cell>
        </row>
        <row r="5991">
          <cell r="E5991" t="str">
            <v>FINA</v>
          </cell>
          <cell r="F5991" t="str">
            <v>FINA-F</v>
          </cell>
          <cell r="G5991">
            <v>101</v>
          </cell>
          <cell r="H5991" t="str">
            <v>FINA-F101</v>
          </cell>
          <cell r="K5991" t="str">
            <v>Rowe,David Andrew</v>
          </cell>
          <cell r="N5991">
            <v>3.1709999999999998</v>
          </cell>
          <cell r="O5991">
            <v>2.9790000000000001</v>
          </cell>
        </row>
        <row r="5992">
          <cell r="E5992" t="str">
            <v>FINA</v>
          </cell>
          <cell r="F5992" t="str">
            <v>FINA-F</v>
          </cell>
          <cell r="G5992">
            <v>101</v>
          </cell>
          <cell r="H5992" t="str">
            <v>FINA-F101</v>
          </cell>
          <cell r="K5992" t="str">
            <v>Rowe,David Andrew</v>
          </cell>
          <cell r="N5992">
            <v>2.907</v>
          </cell>
          <cell r="O5992">
            <v>2.8170000000000002</v>
          </cell>
        </row>
        <row r="5993">
          <cell r="E5993" t="str">
            <v>FINA</v>
          </cell>
          <cell r="F5993" t="str">
            <v>FINA-F</v>
          </cell>
          <cell r="G5993">
            <v>101</v>
          </cell>
          <cell r="H5993" t="str">
            <v>FINA-F101</v>
          </cell>
          <cell r="K5993" t="str">
            <v>Rowe,David Andrew</v>
          </cell>
          <cell r="N5993">
            <v>3.2240000000000002</v>
          </cell>
          <cell r="O5993">
            <v>3.0089999999999999</v>
          </cell>
        </row>
        <row r="5994">
          <cell r="E5994" t="str">
            <v>FINA</v>
          </cell>
          <cell r="F5994" t="str">
            <v>FINA-F</v>
          </cell>
          <cell r="G5994">
            <v>101</v>
          </cell>
          <cell r="H5994" t="str">
            <v>FINA-F101</v>
          </cell>
          <cell r="K5994" t="str">
            <v>Rowe,David Andrew</v>
          </cell>
          <cell r="N5994">
            <v>2.94</v>
          </cell>
          <cell r="O5994">
            <v>2.645</v>
          </cell>
        </row>
        <row r="5995">
          <cell r="E5995" t="str">
            <v>FINA</v>
          </cell>
          <cell r="F5995" t="str">
            <v>FINA-F</v>
          </cell>
          <cell r="G5995">
            <v>101</v>
          </cell>
          <cell r="H5995" t="str">
            <v>FINA-F101</v>
          </cell>
          <cell r="K5995" t="str">
            <v>Wyss,Suzanne Marie</v>
          </cell>
          <cell r="N5995">
            <v>3.45</v>
          </cell>
          <cell r="O5995">
            <v>2.7130000000000001</v>
          </cell>
        </row>
        <row r="5996">
          <cell r="E5996" t="str">
            <v>FINA</v>
          </cell>
          <cell r="F5996" t="str">
            <v>FINA-F</v>
          </cell>
          <cell r="G5996">
            <v>101</v>
          </cell>
          <cell r="H5996" t="str">
            <v>FINA-F101</v>
          </cell>
          <cell r="K5996" t="str">
            <v>Wyss,Suzanne Marie</v>
          </cell>
          <cell r="N5996">
            <v>3.96</v>
          </cell>
          <cell r="O5996">
            <v>3.2440000000000002</v>
          </cell>
        </row>
        <row r="5997">
          <cell r="E5997" t="str">
            <v>FINA</v>
          </cell>
          <cell r="F5997" t="str">
            <v>FINA-F</v>
          </cell>
          <cell r="G5997">
            <v>102</v>
          </cell>
          <cell r="H5997" t="str">
            <v>FINA-F102</v>
          </cell>
          <cell r="K5997" t="str">
            <v>Baisden,Jessica Layne</v>
          </cell>
          <cell r="N5997">
            <v>3.919</v>
          </cell>
          <cell r="O5997">
            <v>3.331</v>
          </cell>
        </row>
        <row r="5998">
          <cell r="E5998" t="str">
            <v>FINA</v>
          </cell>
          <cell r="F5998" t="str">
            <v>FINA-F</v>
          </cell>
          <cell r="G5998">
            <v>102</v>
          </cell>
          <cell r="H5998" t="str">
            <v>FINA-F102</v>
          </cell>
          <cell r="K5998" t="str">
            <v>Castellan,Erin E</v>
          </cell>
          <cell r="N5998">
            <v>3.0790000000000002</v>
          </cell>
          <cell r="O5998">
            <v>2.9990000000000001</v>
          </cell>
        </row>
        <row r="5999">
          <cell r="E5999" t="str">
            <v>FINA</v>
          </cell>
          <cell r="F5999" t="str">
            <v>FINA-F</v>
          </cell>
          <cell r="G5999">
            <v>102</v>
          </cell>
          <cell r="H5999" t="str">
            <v>FINA-F102</v>
          </cell>
          <cell r="K5999" t="str">
            <v>Jacobs,Jenna Michele</v>
          </cell>
          <cell r="N5999">
            <v>3.3119999999999998</v>
          </cell>
          <cell r="O5999">
            <v>2.6469999999999998</v>
          </cell>
        </row>
        <row r="6000">
          <cell r="E6000" t="str">
            <v>FINA</v>
          </cell>
          <cell r="F6000" t="str">
            <v>FINA-F</v>
          </cell>
          <cell r="G6000">
            <v>102</v>
          </cell>
          <cell r="H6000" t="str">
            <v>FINA-F102</v>
          </cell>
          <cell r="K6000" t="str">
            <v>Lopez,Rosalie Marie</v>
          </cell>
          <cell r="N6000">
            <v>3.6669999999999998</v>
          </cell>
          <cell r="O6000">
            <v>3.278</v>
          </cell>
        </row>
        <row r="6001">
          <cell r="E6001" t="str">
            <v>FINA</v>
          </cell>
          <cell r="F6001" t="str">
            <v>FINA-F</v>
          </cell>
          <cell r="G6001">
            <v>102</v>
          </cell>
          <cell r="H6001" t="str">
            <v>FINA-F102</v>
          </cell>
          <cell r="K6001" t="str">
            <v>Macleish,Martha Caroline</v>
          </cell>
          <cell r="N6001">
            <v>3.653</v>
          </cell>
          <cell r="O6001">
            <v>2.9870000000000001</v>
          </cell>
        </row>
        <row r="6002">
          <cell r="E6002" t="str">
            <v>FINA</v>
          </cell>
          <cell r="F6002" t="str">
            <v>FINA-F</v>
          </cell>
          <cell r="G6002">
            <v>102</v>
          </cell>
          <cell r="H6002" t="str">
            <v>FINA-F102</v>
          </cell>
          <cell r="K6002" t="str">
            <v>Maurer,Andrew James</v>
          </cell>
          <cell r="N6002">
            <v>3.75</v>
          </cell>
          <cell r="O6002">
            <v>2.8660000000000001</v>
          </cell>
        </row>
        <row r="6003">
          <cell r="E6003" t="str">
            <v>FINA</v>
          </cell>
          <cell r="F6003" t="str">
            <v>FINA-F</v>
          </cell>
          <cell r="G6003">
            <v>102</v>
          </cell>
          <cell r="H6003" t="str">
            <v>FINA-F102</v>
          </cell>
          <cell r="K6003" t="str">
            <v>McKeever,Stacia Renee</v>
          </cell>
          <cell r="N6003">
            <v>3.4079999999999999</v>
          </cell>
          <cell r="O6003">
            <v>2.5870000000000002</v>
          </cell>
        </row>
        <row r="6004">
          <cell r="E6004" t="str">
            <v>FINA</v>
          </cell>
          <cell r="F6004" t="str">
            <v>FINA-F</v>
          </cell>
          <cell r="G6004">
            <v>102</v>
          </cell>
          <cell r="H6004" t="str">
            <v>FINA-F102</v>
          </cell>
          <cell r="K6004" t="str">
            <v>MillerFreeman,Leah Abigail</v>
          </cell>
          <cell r="N6004">
            <v>3.6</v>
          </cell>
          <cell r="O6004">
            <v>3.1269999999999998</v>
          </cell>
        </row>
        <row r="6005">
          <cell r="E6005" t="str">
            <v>FINA</v>
          </cell>
          <cell r="F6005" t="str">
            <v>FINA-F</v>
          </cell>
          <cell r="G6005">
            <v>102</v>
          </cell>
          <cell r="H6005" t="str">
            <v>FINA-F102</v>
          </cell>
          <cell r="K6005" t="str">
            <v>Mrva,Daniel James</v>
          </cell>
          <cell r="N6005">
            <v>3.3849999999999998</v>
          </cell>
          <cell r="O6005">
            <v>2.8879999999999999</v>
          </cell>
        </row>
        <row r="6006">
          <cell r="E6006" t="str">
            <v>FINA</v>
          </cell>
          <cell r="F6006" t="str">
            <v>FINA-F</v>
          </cell>
          <cell r="G6006">
            <v>102</v>
          </cell>
          <cell r="H6006" t="str">
            <v>FINA-F102</v>
          </cell>
          <cell r="K6006" t="str">
            <v>Nguyen,Lara</v>
          </cell>
          <cell r="N6006">
            <v>3.3380000000000001</v>
          </cell>
          <cell r="O6006">
            <v>3.0840000000000001</v>
          </cell>
        </row>
        <row r="6007">
          <cell r="E6007" t="str">
            <v>FINA</v>
          </cell>
          <cell r="F6007" t="str">
            <v>FINA-F</v>
          </cell>
          <cell r="G6007">
            <v>102</v>
          </cell>
          <cell r="H6007" t="str">
            <v>FINA-F102</v>
          </cell>
          <cell r="K6007" t="str">
            <v>Norman,Zachary Dean</v>
          </cell>
          <cell r="N6007">
            <v>3.2869999999999999</v>
          </cell>
          <cell r="O6007">
            <v>2.8620000000000001</v>
          </cell>
        </row>
        <row r="6008">
          <cell r="E6008" t="str">
            <v>FINA</v>
          </cell>
          <cell r="F6008" t="str">
            <v>FINA-F</v>
          </cell>
          <cell r="G6008">
            <v>102</v>
          </cell>
          <cell r="H6008" t="str">
            <v>FINA-F102</v>
          </cell>
          <cell r="K6008" t="str">
            <v>Rodems,Shane W</v>
          </cell>
          <cell r="N6008">
            <v>3.347</v>
          </cell>
          <cell r="O6008">
            <v>3.0870000000000002</v>
          </cell>
        </row>
        <row r="6009">
          <cell r="E6009" t="str">
            <v>FINA</v>
          </cell>
          <cell r="F6009" t="str">
            <v>FINA-F</v>
          </cell>
          <cell r="G6009">
            <v>102</v>
          </cell>
          <cell r="H6009" t="str">
            <v>FINA-F102</v>
          </cell>
          <cell r="K6009" t="str">
            <v>Salamova,Leyla</v>
          </cell>
          <cell r="N6009">
            <v>3.4569999999999999</v>
          </cell>
          <cell r="O6009">
            <v>2.88</v>
          </cell>
        </row>
        <row r="6010">
          <cell r="E6010" t="str">
            <v>FINA</v>
          </cell>
          <cell r="F6010" t="str">
            <v>FINA-F</v>
          </cell>
          <cell r="G6010">
            <v>102</v>
          </cell>
          <cell r="H6010" t="str">
            <v>FINA-F102</v>
          </cell>
          <cell r="K6010" t="str">
            <v>VanTassel,Jonathan Daniel</v>
          </cell>
          <cell r="N6010">
            <v>3.6930000000000001</v>
          </cell>
          <cell r="O6010">
            <v>2.7320000000000002</v>
          </cell>
        </row>
        <row r="6011">
          <cell r="E6011" t="str">
            <v>FINA</v>
          </cell>
          <cell r="F6011" t="str">
            <v>FINA-F</v>
          </cell>
          <cell r="G6011">
            <v>102</v>
          </cell>
          <cell r="H6011" t="str">
            <v>FINA-F102</v>
          </cell>
          <cell r="K6011" t="str">
            <v>Walker,Thomas William</v>
          </cell>
          <cell r="N6011">
            <v>3.58</v>
          </cell>
          <cell r="O6011">
            <v>2.605</v>
          </cell>
        </row>
        <row r="6012">
          <cell r="E6012" t="str">
            <v>FINA</v>
          </cell>
          <cell r="F6012" t="str">
            <v>FINA-F</v>
          </cell>
          <cell r="G6012">
            <v>102</v>
          </cell>
          <cell r="H6012" t="str">
            <v>FINA-F102</v>
          </cell>
          <cell r="K6012" t="str">
            <v>Warren,Lindsey</v>
          </cell>
          <cell r="N6012">
            <v>3.2879999999999998</v>
          </cell>
          <cell r="O6012">
            <v>2.9689999999999999</v>
          </cell>
        </row>
        <row r="6013">
          <cell r="E6013" t="str">
            <v>FINA</v>
          </cell>
          <cell r="F6013" t="str">
            <v>FINA-G</v>
          </cell>
          <cell r="G6013">
            <v>400</v>
          </cell>
          <cell r="H6013" t="str">
            <v>FINA-G400</v>
          </cell>
          <cell r="K6013" t="str">
            <v>Brown,Paul T.</v>
          </cell>
          <cell r="N6013" t="str">
            <v>NR</v>
          </cell>
          <cell r="O6013" t="str">
            <v>NR</v>
          </cell>
        </row>
        <row r="6014">
          <cell r="E6014" t="str">
            <v>FINA</v>
          </cell>
          <cell r="F6014" t="str">
            <v>FINA-G</v>
          </cell>
          <cell r="G6014">
            <v>400</v>
          </cell>
          <cell r="H6014" t="str">
            <v>FINA-G400</v>
          </cell>
          <cell r="K6014" t="str">
            <v>Brown,Paul T.</v>
          </cell>
          <cell r="N6014" t="str">
            <v>NR</v>
          </cell>
          <cell r="O6014" t="str">
            <v>NR</v>
          </cell>
        </row>
        <row r="6015">
          <cell r="E6015" t="str">
            <v>FINA</v>
          </cell>
          <cell r="F6015" t="str">
            <v>FINA-G</v>
          </cell>
          <cell r="G6015">
            <v>750</v>
          </cell>
          <cell r="H6015" t="str">
            <v>FINA-G750</v>
          </cell>
          <cell r="K6015" t="str">
            <v>Brown,Paul T.</v>
          </cell>
          <cell r="N6015" t="str">
            <v>NR</v>
          </cell>
          <cell r="O6015" t="str">
            <v>NR</v>
          </cell>
        </row>
        <row r="6016">
          <cell r="E6016" t="str">
            <v>FINA</v>
          </cell>
          <cell r="F6016" t="str">
            <v>FINA-G</v>
          </cell>
          <cell r="G6016">
            <v>750</v>
          </cell>
          <cell r="H6016" t="str">
            <v>FINA-G750</v>
          </cell>
          <cell r="K6016" t="str">
            <v>Brown,Paul T.</v>
          </cell>
          <cell r="N6016" t="str">
            <v>NR</v>
          </cell>
          <cell r="O6016" t="str">
            <v>NR</v>
          </cell>
        </row>
        <row r="6017">
          <cell r="E6017" t="str">
            <v>FINA</v>
          </cell>
          <cell r="F6017" t="str">
            <v>FINA-G</v>
          </cell>
          <cell r="G6017">
            <v>750</v>
          </cell>
          <cell r="H6017" t="str">
            <v>FINA-G750</v>
          </cell>
          <cell r="K6017" t="str">
            <v>Dollison,Brent Thomas</v>
          </cell>
          <cell r="N6017">
            <v>3.85</v>
          </cell>
          <cell r="O6017">
            <v>3.98</v>
          </cell>
        </row>
        <row r="6018">
          <cell r="E6018" t="str">
            <v>FINA</v>
          </cell>
          <cell r="F6018" t="str">
            <v>FINA-G</v>
          </cell>
          <cell r="G6018">
            <v>750</v>
          </cell>
          <cell r="H6018" t="str">
            <v>FINA-G750</v>
          </cell>
          <cell r="K6018" t="str">
            <v>Dollison,Brent Thomas</v>
          </cell>
          <cell r="N6018" t="str">
            <v>NR</v>
          </cell>
          <cell r="O6018" t="str">
            <v>NR</v>
          </cell>
        </row>
        <row r="6019">
          <cell r="E6019" t="str">
            <v>FINA</v>
          </cell>
          <cell r="F6019" t="str">
            <v>FINA-G</v>
          </cell>
          <cell r="G6019">
            <v>750</v>
          </cell>
          <cell r="H6019" t="str">
            <v>FINA-G750</v>
          </cell>
          <cell r="K6019" t="str">
            <v>Dollison,Brent Thomas</v>
          </cell>
          <cell r="N6019" t="str">
            <v>NR</v>
          </cell>
          <cell r="O6019" t="str">
            <v>NR</v>
          </cell>
        </row>
        <row r="6020">
          <cell r="E6020" t="str">
            <v>FINA</v>
          </cell>
          <cell r="F6020" t="str">
            <v>FINA-G</v>
          </cell>
          <cell r="G6020">
            <v>750</v>
          </cell>
          <cell r="H6020" t="str">
            <v>FINA-G750</v>
          </cell>
          <cell r="K6020" t="str">
            <v>McNett,Payson Foster</v>
          </cell>
          <cell r="N6020" t="str">
            <v>NR</v>
          </cell>
          <cell r="O6020" t="str">
            <v>NR</v>
          </cell>
        </row>
        <row r="6021">
          <cell r="E6021" t="str">
            <v>FINA</v>
          </cell>
          <cell r="F6021" t="str">
            <v>FINA-G</v>
          </cell>
          <cell r="G6021">
            <v>810</v>
          </cell>
          <cell r="H6021" t="str">
            <v>FINA-G810</v>
          </cell>
          <cell r="K6021" t="str">
            <v>Liou,Jawshing Arthur</v>
          </cell>
          <cell r="N6021" t="str">
            <v>NR</v>
          </cell>
          <cell r="O6021" t="str">
            <v>NR</v>
          </cell>
        </row>
        <row r="6022">
          <cell r="E6022" t="str">
            <v>FINA</v>
          </cell>
          <cell r="F6022" t="str">
            <v>FINA-G</v>
          </cell>
          <cell r="G6022">
            <v>830</v>
          </cell>
          <cell r="H6022" t="str">
            <v>FINA-G830</v>
          </cell>
          <cell r="K6022" t="str">
            <v>Newberry,Rita Frances</v>
          </cell>
          <cell r="N6022">
            <v>4</v>
          </cell>
          <cell r="O6022">
            <v>3.9950000000000001</v>
          </cell>
        </row>
        <row r="6023">
          <cell r="E6023" t="str">
            <v>FINA</v>
          </cell>
          <cell r="F6023" t="str">
            <v>FINA-G</v>
          </cell>
          <cell r="G6023">
            <v>840</v>
          </cell>
          <cell r="H6023" t="str">
            <v>FINA-G840</v>
          </cell>
          <cell r="K6023" t="str">
            <v>Bernstein,Edward Charles</v>
          </cell>
          <cell r="N6023" t="str">
            <v>NR</v>
          </cell>
          <cell r="O6023" t="str">
            <v>NR</v>
          </cell>
        </row>
        <row r="6024">
          <cell r="E6024" t="str">
            <v>FINA</v>
          </cell>
          <cell r="F6024" t="str">
            <v>FINA-G</v>
          </cell>
          <cell r="G6024">
            <v>850</v>
          </cell>
          <cell r="H6024" t="str">
            <v>FINA-G850</v>
          </cell>
          <cell r="K6024" t="str">
            <v>Reidhaar,James W.</v>
          </cell>
          <cell r="N6024" t="str">
            <v>NR</v>
          </cell>
          <cell r="O6024" t="str">
            <v>NR</v>
          </cell>
        </row>
        <row r="6025">
          <cell r="E6025" t="str">
            <v>FINA</v>
          </cell>
          <cell r="F6025" t="str">
            <v>FINA-G</v>
          </cell>
          <cell r="G6025">
            <v>860</v>
          </cell>
          <cell r="H6025" t="str">
            <v>FINA-G860</v>
          </cell>
          <cell r="K6025" t="str">
            <v>Smith,Malcolm Mobutu</v>
          </cell>
          <cell r="N6025" t="str">
            <v>NR</v>
          </cell>
          <cell r="O6025" t="str">
            <v>NR</v>
          </cell>
        </row>
        <row r="6026">
          <cell r="E6026" t="str">
            <v>FINA</v>
          </cell>
          <cell r="F6026" t="str">
            <v>FINA-G</v>
          </cell>
          <cell r="G6026">
            <v>870</v>
          </cell>
          <cell r="H6026" t="str">
            <v>FINA-G870</v>
          </cell>
          <cell r="K6026" t="str">
            <v>Frahm,Todd</v>
          </cell>
          <cell r="N6026" t="str">
            <v>NR</v>
          </cell>
          <cell r="O6026" t="str">
            <v>NR</v>
          </cell>
        </row>
        <row r="6027">
          <cell r="E6027" t="str">
            <v>FINA</v>
          </cell>
          <cell r="F6027" t="str">
            <v>FINA-G</v>
          </cell>
          <cell r="G6027">
            <v>880</v>
          </cell>
          <cell r="H6027" t="str">
            <v>FINA-G880</v>
          </cell>
          <cell r="K6027" t="str">
            <v>Long,Randy J</v>
          </cell>
          <cell r="N6027" t="str">
            <v>NR</v>
          </cell>
          <cell r="O6027" t="str">
            <v>NR</v>
          </cell>
        </row>
        <row r="6028">
          <cell r="E6028" t="str">
            <v>FINA</v>
          </cell>
          <cell r="F6028" t="str">
            <v>FINA-G</v>
          </cell>
          <cell r="G6028">
            <v>890</v>
          </cell>
          <cell r="H6028" t="str">
            <v>FINA-G890</v>
          </cell>
          <cell r="K6028" t="str">
            <v>Nakagawa,Osamu James</v>
          </cell>
          <cell r="N6028" t="str">
            <v>NR</v>
          </cell>
          <cell r="O6028" t="str">
            <v>NR</v>
          </cell>
        </row>
        <row r="6029">
          <cell r="E6029" t="str">
            <v>FINA</v>
          </cell>
          <cell r="F6029" t="str">
            <v>FINA-G</v>
          </cell>
          <cell r="G6029">
            <v>901</v>
          </cell>
          <cell r="H6029" t="str">
            <v>FINA-G901</v>
          </cell>
          <cell r="K6029" t="str">
            <v>Brown,Paul T.</v>
          </cell>
          <cell r="N6029" t="str">
            <v>NR</v>
          </cell>
          <cell r="O6029" t="str">
            <v>NR</v>
          </cell>
        </row>
        <row r="6030">
          <cell r="E6030" t="str">
            <v>FINA</v>
          </cell>
          <cell r="F6030" t="str">
            <v>FINA-G</v>
          </cell>
          <cell r="G6030">
            <v>901</v>
          </cell>
          <cell r="H6030" t="str">
            <v>FINA-G901</v>
          </cell>
          <cell r="K6030" t="str">
            <v>Knox,Giles</v>
          </cell>
          <cell r="N6030" t="str">
            <v>NR</v>
          </cell>
          <cell r="O6030" t="str">
            <v>NR</v>
          </cell>
        </row>
        <row r="6031">
          <cell r="E6031" t="str">
            <v>FINA</v>
          </cell>
          <cell r="F6031" t="str">
            <v>FINA-G</v>
          </cell>
          <cell r="G6031">
            <v>901</v>
          </cell>
          <cell r="H6031" t="str">
            <v>FINA-G901</v>
          </cell>
          <cell r="K6031" t="str">
            <v>Knox,Giles</v>
          </cell>
          <cell r="N6031" t="str">
            <v>NR</v>
          </cell>
          <cell r="O6031" t="str">
            <v>NR</v>
          </cell>
        </row>
        <row r="6032">
          <cell r="E6032" t="str">
            <v>FINA</v>
          </cell>
          <cell r="F6032" t="str">
            <v>FINA-H</v>
          </cell>
          <cell r="G6032">
            <v>100</v>
          </cell>
          <cell r="H6032" t="str">
            <v>FINA-H100</v>
          </cell>
          <cell r="K6032" t="str">
            <v>Goodman,Anna Louise</v>
          </cell>
          <cell r="N6032">
            <v>2.8650000000000002</v>
          </cell>
          <cell r="O6032">
            <v>2.9849999999999999</v>
          </cell>
        </row>
        <row r="6033">
          <cell r="E6033" t="str">
            <v>FINA</v>
          </cell>
          <cell r="F6033" t="str">
            <v>FINA-H</v>
          </cell>
          <cell r="G6033">
            <v>100</v>
          </cell>
          <cell r="H6033" t="str">
            <v>FINA-H100</v>
          </cell>
          <cell r="K6033" t="str">
            <v>Hansen,Lindsey</v>
          </cell>
          <cell r="N6033">
            <v>3.3290000000000002</v>
          </cell>
          <cell r="O6033">
            <v>3.0510000000000002</v>
          </cell>
        </row>
        <row r="6034">
          <cell r="E6034" t="str">
            <v>FINA</v>
          </cell>
          <cell r="F6034" t="str">
            <v>FINA-H</v>
          </cell>
          <cell r="G6034">
            <v>100</v>
          </cell>
          <cell r="H6034" t="str">
            <v>FINA-H100</v>
          </cell>
          <cell r="K6034" t="str">
            <v>Keener,Chrystine Lowella</v>
          </cell>
          <cell r="N6034">
            <v>3.4580000000000002</v>
          </cell>
          <cell r="O6034">
            <v>3.1120000000000001</v>
          </cell>
        </row>
        <row r="6035">
          <cell r="E6035" t="str">
            <v>FINA</v>
          </cell>
          <cell r="F6035" t="str">
            <v>FINA-H</v>
          </cell>
          <cell r="G6035">
            <v>100</v>
          </cell>
          <cell r="H6035" t="str">
            <v>FINA-H100</v>
          </cell>
          <cell r="K6035" t="str">
            <v>Larson,Katie Mae</v>
          </cell>
          <cell r="N6035">
            <v>2.331</v>
          </cell>
          <cell r="O6035">
            <v>2.7970000000000002</v>
          </cell>
        </row>
        <row r="6036">
          <cell r="E6036" t="str">
            <v>FINA</v>
          </cell>
          <cell r="F6036" t="str">
            <v>FINA-H</v>
          </cell>
          <cell r="G6036">
            <v>100</v>
          </cell>
          <cell r="H6036" t="str">
            <v>FINA-H100</v>
          </cell>
          <cell r="K6036" t="str">
            <v>Larson,Katie Mae</v>
          </cell>
          <cell r="N6036">
            <v>2.891</v>
          </cell>
          <cell r="O6036">
            <v>2.9990000000000001</v>
          </cell>
        </row>
        <row r="6037">
          <cell r="E6037" t="str">
            <v>FINA</v>
          </cell>
          <cell r="F6037" t="str">
            <v>FINA-H</v>
          </cell>
          <cell r="G6037">
            <v>100</v>
          </cell>
          <cell r="H6037" t="str">
            <v>FINA-H100</v>
          </cell>
          <cell r="K6037" t="str">
            <v>Lu,Haohao</v>
          </cell>
          <cell r="N6037">
            <v>3.121</v>
          </cell>
          <cell r="O6037">
            <v>3.0409999999999999</v>
          </cell>
        </row>
        <row r="6038">
          <cell r="E6038" t="str">
            <v>FINA</v>
          </cell>
          <cell r="F6038" t="str">
            <v>FINA-N</v>
          </cell>
          <cell r="G6038">
            <v>110</v>
          </cell>
          <cell r="H6038" t="str">
            <v>FINA-N110</v>
          </cell>
          <cell r="K6038" t="str">
            <v>Abajian,Megan Hilarie</v>
          </cell>
          <cell r="N6038">
            <v>3.895</v>
          </cell>
          <cell r="O6038">
            <v>3.149</v>
          </cell>
        </row>
        <row r="6039">
          <cell r="E6039" t="str">
            <v>FINA</v>
          </cell>
          <cell r="F6039" t="str">
            <v>FINA-N</v>
          </cell>
          <cell r="G6039">
            <v>110</v>
          </cell>
          <cell r="H6039" t="str">
            <v>FINA-N110</v>
          </cell>
          <cell r="K6039" t="str">
            <v>Abajian,Megan Hilarie</v>
          </cell>
          <cell r="N6039">
            <v>3.8580000000000001</v>
          </cell>
          <cell r="O6039">
            <v>3.2469999999999999</v>
          </cell>
        </row>
        <row r="6040">
          <cell r="E6040" t="str">
            <v>FINA</v>
          </cell>
          <cell r="F6040" t="str">
            <v>FINA-N</v>
          </cell>
          <cell r="G6040">
            <v>110</v>
          </cell>
          <cell r="H6040" t="str">
            <v>FINA-N110</v>
          </cell>
          <cell r="K6040" t="str">
            <v>Baxter,Rachel Anne</v>
          </cell>
          <cell r="N6040">
            <v>3.7709999999999999</v>
          </cell>
          <cell r="O6040">
            <v>3.0979999999999999</v>
          </cell>
        </row>
        <row r="6041">
          <cell r="E6041" t="str">
            <v>FINA</v>
          </cell>
          <cell r="F6041" t="str">
            <v>FINA-N</v>
          </cell>
          <cell r="G6041">
            <v>110</v>
          </cell>
          <cell r="H6041" t="str">
            <v>FINA-N110</v>
          </cell>
          <cell r="K6041" t="str">
            <v>Fillmore,William Luke</v>
          </cell>
          <cell r="N6041">
            <v>3.8239999999999998</v>
          </cell>
          <cell r="O6041">
            <v>3.2679999999999998</v>
          </cell>
        </row>
        <row r="6042">
          <cell r="E6042" t="str">
            <v>FINA</v>
          </cell>
          <cell r="F6042" t="str">
            <v>FINA-N</v>
          </cell>
          <cell r="G6042">
            <v>110</v>
          </cell>
          <cell r="H6042" t="str">
            <v>FINA-N110</v>
          </cell>
          <cell r="K6042" t="str">
            <v>Holmes,Natasha Lea</v>
          </cell>
          <cell r="N6042">
            <v>3.282</v>
          </cell>
          <cell r="O6042">
            <v>3.0339999999999998</v>
          </cell>
        </row>
        <row r="6043">
          <cell r="E6043" t="str">
            <v>FINA</v>
          </cell>
          <cell r="F6043" t="str">
            <v>FINA-N</v>
          </cell>
          <cell r="G6043">
            <v>110</v>
          </cell>
          <cell r="H6043" t="str">
            <v>FINA-N110</v>
          </cell>
          <cell r="K6043" t="str">
            <v>Jacobs,Jenna Michele</v>
          </cell>
          <cell r="N6043">
            <v>3.4</v>
          </cell>
          <cell r="O6043">
            <v>2.86</v>
          </cell>
        </row>
        <row r="6044">
          <cell r="E6044" t="str">
            <v>FINA</v>
          </cell>
          <cell r="F6044" t="str">
            <v>FINA-N</v>
          </cell>
          <cell r="G6044">
            <v>110</v>
          </cell>
          <cell r="H6044" t="str">
            <v>FINA-N110</v>
          </cell>
          <cell r="K6044" t="str">
            <v>Kenar,Peter Pawel</v>
          </cell>
          <cell r="N6044">
            <v>4</v>
          </cell>
          <cell r="O6044">
            <v>3.141</v>
          </cell>
        </row>
        <row r="6045">
          <cell r="E6045" t="str">
            <v>FINA</v>
          </cell>
          <cell r="F6045" t="str">
            <v>FINA-N</v>
          </cell>
          <cell r="G6045">
            <v>110</v>
          </cell>
          <cell r="H6045" t="str">
            <v>FINA-N110</v>
          </cell>
          <cell r="K6045" t="str">
            <v>Kenar,Peter Pawel</v>
          </cell>
          <cell r="N6045">
            <v>3.9</v>
          </cell>
          <cell r="O6045">
            <v>3.3140000000000001</v>
          </cell>
        </row>
        <row r="6046">
          <cell r="E6046" t="str">
            <v>FINA</v>
          </cell>
          <cell r="F6046" t="str">
            <v>FINA-N</v>
          </cell>
          <cell r="G6046">
            <v>130</v>
          </cell>
          <cell r="H6046" t="str">
            <v>FINA-N130</v>
          </cell>
          <cell r="K6046" t="str">
            <v>Mynhier,Jennie</v>
          </cell>
          <cell r="N6046">
            <v>3.081</v>
          </cell>
          <cell r="O6046">
            <v>3.032</v>
          </cell>
        </row>
        <row r="6047">
          <cell r="E6047" t="str">
            <v>FINA</v>
          </cell>
          <cell r="F6047" t="str">
            <v>FINA-N</v>
          </cell>
          <cell r="G6047">
            <v>198</v>
          </cell>
          <cell r="H6047" t="str">
            <v>FINA-N198</v>
          </cell>
          <cell r="K6047" t="str">
            <v>Head,Danielle Catherine</v>
          </cell>
          <cell r="N6047">
            <v>3.2549999999999999</v>
          </cell>
          <cell r="O6047">
            <v>3.1930000000000001</v>
          </cell>
        </row>
        <row r="6048">
          <cell r="E6048" t="str">
            <v>FINA</v>
          </cell>
          <cell r="F6048" t="str">
            <v>FINA-OS</v>
          </cell>
          <cell r="G6048">
            <v>100</v>
          </cell>
          <cell r="H6048" t="str">
            <v>FINA-OS100</v>
          </cell>
          <cell r="N6048" t="str">
            <v>NR</v>
          </cell>
          <cell r="O6048" t="str">
            <v>NR</v>
          </cell>
        </row>
        <row r="6049">
          <cell r="E6049" t="str">
            <v>FINA</v>
          </cell>
          <cell r="F6049" t="str">
            <v>FINA-OS</v>
          </cell>
          <cell r="G6049">
            <v>100</v>
          </cell>
          <cell r="H6049" t="str">
            <v>FINA-OS100</v>
          </cell>
          <cell r="N6049" t="str">
            <v>NR</v>
          </cell>
          <cell r="O6049" t="str">
            <v>NR</v>
          </cell>
        </row>
        <row r="6050">
          <cell r="E6050" t="str">
            <v>FINA</v>
          </cell>
          <cell r="F6050" t="str">
            <v>FINA-OS</v>
          </cell>
          <cell r="G6050">
            <v>100</v>
          </cell>
          <cell r="H6050" t="str">
            <v>FINA-OS100</v>
          </cell>
          <cell r="N6050" t="str">
            <v>NR</v>
          </cell>
          <cell r="O6050" t="str">
            <v>NR</v>
          </cell>
        </row>
        <row r="6051">
          <cell r="E6051" t="str">
            <v>FINA</v>
          </cell>
          <cell r="F6051" t="str">
            <v>FINA-OS</v>
          </cell>
          <cell r="G6051">
            <v>100</v>
          </cell>
          <cell r="H6051" t="str">
            <v>FINA-OS100</v>
          </cell>
          <cell r="N6051" t="str">
            <v>NR</v>
          </cell>
          <cell r="O6051" t="str">
            <v>NR</v>
          </cell>
        </row>
        <row r="6052">
          <cell r="E6052" t="str">
            <v>FINA</v>
          </cell>
          <cell r="F6052" t="str">
            <v>FINA-OS</v>
          </cell>
          <cell r="G6052">
            <v>100</v>
          </cell>
          <cell r="H6052" t="str">
            <v>FINA-OS100</v>
          </cell>
          <cell r="N6052" t="str">
            <v>NR</v>
          </cell>
          <cell r="O6052" t="str">
            <v>NR</v>
          </cell>
        </row>
        <row r="6053">
          <cell r="E6053" t="str">
            <v>FINA</v>
          </cell>
          <cell r="F6053" t="str">
            <v>FINA-R</v>
          </cell>
          <cell r="G6053">
            <v>478</v>
          </cell>
          <cell r="H6053" t="str">
            <v>FINA-R478</v>
          </cell>
          <cell r="K6053" t="str">
            <v>Mather,Timothy Wayne</v>
          </cell>
          <cell r="N6053">
            <v>3.5059999999999998</v>
          </cell>
          <cell r="O6053">
            <v>3.2330000000000001</v>
          </cell>
        </row>
        <row r="6054">
          <cell r="E6054" t="str">
            <v>FINA</v>
          </cell>
          <cell r="F6054" t="str">
            <v>FINA-R</v>
          </cell>
          <cell r="G6054">
            <v>590</v>
          </cell>
          <cell r="H6054" t="str">
            <v>FINA-R590</v>
          </cell>
          <cell r="K6054" t="str">
            <v>Stirratt,Elizabeth Anne</v>
          </cell>
          <cell r="N6054">
            <v>3.9</v>
          </cell>
          <cell r="O6054">
            <v>3.8620000000000001</v>
          </cell>
        </row>
        <row r="6055">
          <cell r="E6055" t="str">
            <v>FINA</v>
          </cell>
          <cell r="F6055" t="str">
            <v>FINA-S</v>
          </cell>
          <cell r="G6055">
            <v>200</v>
          </cell>
          <cell r="H6055" t="str">
            <v>FINA-S200</v>
          </cell>
          <cell r="K6055" t="str">
            <v>Koch,Zachary Daniel</v>
          </cell>
          <cell r="N6055">
            <v>3.54</v>
          </cell>
          <cell r="O6055">
            <v>3.1970000000000001</v>
          </cell>
        </row>
        <row r="6056">
          <cell r="E6056" t="str">
            <v>FINA</v>
          </cell>
          <cell r="F6056" t="str">
            <v>FINA-S</v>
          </cell>
          <cell r="G6056">
            <v>200</v>
          </cell>
          <cell r="H6056" t="str">
            <v>FINA-S200</v>
          </cell>
          <cell r="K6056" t="str">
            <v>Kupferer,Alysha Marie</v>
          </cell>
          <cell r="N6056">
            <v>3.077</v>
          </cell>
          <cell r="O6056">
            <v>2.9279999999999999</v>
          </cell>
        </row>
        <row r="6057">
          <cell r="E6057" t="str">
            <v>FINA</v>
          </cell>
          <cell r="F6057" t="str">
            <v>FINA-S</v>
          </cell>
          <cell r="G6057">
            <v>200</v>
          </cell>
          <cell r="H6057" t="str">
            <v>FINA-S200</v>
          </cell>
          <cell r="K6057" t="str">
            <v>Macleish,Martha Caroline</v>
          </cell>
          <cell r="N6057">
            <v>3.6379999999999999</v>
          </cell>
          <cell r="O6057">
            <v>3.2349999999999999</v>
          </cell>
        </row>
        <row r="6058">
          <cell r="E6058" t="str">
            <v>FINA</v>
          </cell>
          <cell r="F6058" t="str">
            <v>FINA-S</v>
          </cell>
          <cell r="G6058">
            <v>200</v>
          </cell>
          <cell r="H6058" t="str">
            <v>FINA-S200</v>
          </cell>
          <cell r="K6058" t="str">
            <v>MillerFreeman,Leah Abigail</v>
          </cell>
          <cell r="N6058">
            <v>3.45</v>
          </cell>
          <cell r="O6058">
            <v>3.1030000000000002</v>
          </cell>
        </row>
        <row r="6059">
          <cell r="E6059" t="str">
            <v>FINA</v>
          </cell>
          <cell r="F6059" t="str">
            <v>FINA-S</v>
          </cell>
          <cell r="G6059">
            <v>200</v>
          </cell>
          <cell r="H6059" t="str">
            <v>FINA-S200</v>
          </cell>
          <cell r="K6059" t="str">
            <v>Mrva,Daniel James</v>
          </cell>
          <cell r="N6059">
            <v>3.4</v>
          </cell>
          <cell r="O6059">
            <v>3.0750000000000002</v>
          </cell>
        </row>
        <row r="6060">
          <cell r="E6060" t="str">
            <v>FINA</v>
          </cell>
          <cell r="F6060" t="str">
            <v>FINA-S</v>
          </cell>
          <cell r="G6060">
            <v>200</v>
          </cell>
          <cell r="H6060" t="str">
            <v>FINA-S200</v>
          </cell>
          <cell r="K6060" t="str">
            <v>Newberry,Rita Frances</v>
          </cell>
          <cell r="N6060">
            <v>3.456</v>
          </cell>
          <cell r="O6060">
            <v>3.2440000000000002</v>
          </cell>
        </row>
        <row r="6061">
          <cell r="E6061" t="str">
            <v>FINA</v>
          </cell>
          <cell r="F6061" t="str">
            <v>FINA-S</v>
          </cell>
          <cell r="G6061">
            <v>200</v>
          </cell>
          <cell r="H6061" t="str">
            <v>FINA-S200</v>
          </cell>
          <cell r="K6061" t="str">
            <v>Schapera,Aidan Jos</v>
          </cell>
          <cell r="N6061">
            <v>2.4940000000000002</v>
          </cell>
          <cell r="O6061">
            <v>2.9950000000000001</v>
          </cell>
        </row>
        <row r="6062">
          <cell r="E6062" t="str">
            <v>FINA</v>
          </cell>
          <cell r="F6062" t="str">
            <v>FINA-S</v>
          </cell>
          <cell r="G6062">
            <v>200</v>
          </cell>
          <cell r="H6062" t="str">
            <v>FINA-S200</v>
          </cell>
          <cell r="K6062" t="str">
            <v>Schapera,Aidan Jos</v>
          </cell>
          <cell r="N6062">
            <v>2.8530000000000002</v>
          </cell>
          <cell r="O6062">
            <v>3.2170000000000001</v>
          </cell>
        </row>
        <row r="6063">
          <cell r="E6063" t="str">
            <v>FINA</v>
          </cell>
          <cell r="F6063" t="str">
            <v>FINA-S</v>
          </cell>
          <cell r="G6063">
            <v>220</v>
          </cell>
          <cell r="H6063" t="str">
            <v>FINA-S220</v>
          </cell>
          <cell r="K6063" t="str">
            <v>Abajian,Megan Hilarie</v>
          </cell>
          <cell r="N6063">
            <v>3.9729999999999999</v>
          </cell>
          <cell r="O6063">
            <v>3.2690000000000001</v>
          </cell>
        </row>
        <row r="6064">
          <cell r="E6064" t="str">
            <v>FINA</v>
          </cell>
          <cell r="F6064" t="str">
            <v>FINA-S</v>
          </cell>
          <cell r="G6064">
            <v>220</v>
          </cell>
          <cell r="H6064" t="str">
            <v>FINA-S220</v>
          </cell>
          <cell r="K6064" t="str">
            <v>Abajian,Megan Hilarie</v>
          </cell>
          <cell r="N6064">
            <v>3.8570000000000002</v>
          </cell>
          <cell r="O6064">
            <v>3.3620000000000001</v>
          </cell>
        </row>
        <row r="6065">
          <cell r="E6065" t="str">
            <v>FINA</v>
          </cell>
          <cell r="F6065" t="str">
            <v>FINA-S</v>
          </cell>
          <cell r="G6065">
            <v>220</v>
          </cell>
          <cell r="H6065" t="str">
            <v>FINA-S220</v>
          </cell>
          <cell r="K6065" t="str">
            <v>Abajian,Megan Hilarie</v>
          </cell>
          <cell r="N6065">
            <v>3.8359999999999999</v>
          </cell>
          <cell r="O6065">
            <v>3.0859999999999999</v>
          </cell>
        </row>
        <row r="6066">
          <cell r="E6066" t="str">
            <v>FINA</v>
          </cell>
          <cell r="F6066" t="str">
            <v>FINA-S</v>
          </cell>
          <cell r="G6066">
            <v>230</v>
          </cell>
          <cell r="H6066" t="str">
            <v>FINA-S230</v>
          </cell>
          <cell r="K6066" t="str">
            <v>Draper-Ollin,Nakima Celeste</v>
          </cell>
          <cell r="N6066">
            <v>3.593</v>
          </cell>
          <cell r="O6066">
            <v>3.2949999999999999</v>
          </cell>
        </row>
        <row r="6067">
          <cell r="E6067" t="str">
            <v>FINA</v>
          </cell>
          <cell r="F6067" t="str">
            <v>FINA-S</v>
          </cell>
          <cell r="G6067">
            <v>230</v>
          </cell>
          <cell r="H6067" t="str">
            <v>FINA-S230</v>
          </cell>
          <cell r="K6067" t="str">
            <v>Newberry,Rita Frances</v>
          </cell>
          <cell r="N6067">
            <v>3.9180000000000001</v>
          </cell>
          <cell r="O6067">
            <v>3.34</v>
          </cell>
        </row>
        <row r="6068">
          <cell r="E6068" t="str">
            <v>FINA</v>
          </cell>
          <cell r="F6068" t="str">
            <v>FINA-S</v>
          </cell>
          <cell r="G6068">
            <v>230</v>
          </cell>
          <cell r="H6068" t="str">
            <v>FINA-S230</v>
          </cell>
          <cell r="K6068" t="str">
            <v>Smith,Amanda Lynn</v>
          </cell>
          <cell r="N6068">
            <v>3.42</v>
          </cell>
          <cell r="O6068">
            <v>3.1280000000000001</v>
          </cell>
        </row>
        <row r="6069">
          <cell r="E6069" t="str">
            <v>FINA</v>
          </cell>
          <cell r="F6069" t="str">
            <v>FINA-S</v>
          </cell>
          <cell r="G6069">
            <v>230</v>
          </cell>
          <cell r="H6069" t="str">
            <v>FINA-S230</v>
          </cell>
          <cell r="K6069" t="str">
            <v>Tinsley,Benjamin Chappell</v>
          </cell>
          <cell r="N6069">
            <v>3.5920000000000001</v>
          </cell>
          <cell r="O6069">
            <v>3.0979999999999999</v>
          </cell>
        </row>
        <row r="6070">
          <cell r="E6070" t="str">
            <v>FINA</v>
          </cell>
          <cell r="F6070" t="str">
            <v>FINA-S</v>
          </cell>
          <cell r="G6070">
            <v>240</v>
          </cell>
          <cell r="H6070" t="str">
            <v>FINA-S240</v>
          </cell>
          <cell r="K6070" t="str">
            <v>Adams,Keegan Miles</v>
          </cell>
          <cell r="N6070">
            <v>3.7269999999999999</v>
          </cell>
          <cell r="O6070">
            <v>3.2</v>
          </cell>
        </row>
        <row r="6071">
          <cell r="E6071" t="str">
            <v>FINA</v>
          </cell>
          <cell r="F6071" t="str">
            <v>FINA-S</v>
          </cell>
          <cell r="G6071">
            <v>240</v>
          </cell>
          <cell r="H6071" t="str">
            <v>FINA-S240</v>
          </cell>
          <cell r="K6071" t="str">
            <v>Denault,Aimee Colette</v>
          </cell>
          <cell r="N6071">
            <v>3.7109999999999999</v>
          </cell>
          <cell r="O6071">
            <v>3.278</v>
          </cell>
        </row>
        <row r="6072">
          <cell r="E6072" t="str">
            <v>FINA</v>
          </cell>
          <cell r="F6072" t="str">
            <v>FINA-S</v>
          </cell>
          <cell r="G6072">
            <v>240</v>
          </cell>
          <cell r="H6072" t="str">
            <v>FINA-S240</v>
          </cell>
          <cell r="K6072" t="str">
            <v>Lee,Amanda Christine</v>
          </cell>
          <cell r="N6072">
            <v>3.2450000000000001</v>
          </cell>
          <cell r="O6072">
            <v>3.1749999999999998</v>
          </cell>
        </row>
        <row r="6073">
          <cell r="E6073" t="str">
            <v>FINA</v>
          </cell>
          <cell r="F6073" t="str">
            <v>FINA-S</v>
          </cell>
          <cell r="G6073">
            <v>240</v>
          </cell>
          <cell r="H6073" t="str">
            <v>FINA-S240</v>
          </cell>
          <cell r="K6073" t="str">
            <v>Lindenfeld,Sharon Blanca</v>
          </cell>
          <cell r="N6073">
            <v>3.5920000000000001</v>
          </cell>
          <cell r="O6073">
            <v>3.14</v>
          </cell>
        </row>
        <row r="6074">
          <cell r="E6074" t="str">
            <v>FINA</v>
          </cell>
          <cell r="F6074" t="str">
            <v>FINA-S</v>
          </cell>
          <cell r="G6074">
            <v>240</v>
          </cell>
          <cell r="H6074" t="str">
            <v>FINA-S240</v>
          </cell>
          <cell r="K6074" t="str">
            <v>Lopez,Rosalie Marie</v>
          </cell>
          <cell r="N6074">
            <v>3.5619999999999998</v>
          </cell>
          <cell r="O6074">
            <v>3.1070000000000002</v>
          </cell>
        </row>
        <row r="6075">
          <cell r="E6075" t="str">
            <v>FINA</v>
          </cell>
          <cell r="F6075" t="str">
            <v>FINA-S</v>
          </cell>
          <cell r="G6075">
            <v>240</v>
          </cell>
          <cell r="H6075" t="str">
            <v>FINA-S240</v>
          </cell>
          <cell r="K6075" t="str">
            <v>Pitak,Neal Anthony</v>
          </cell>
          <cell r="N6075">
            <v>3.0150000000000001</v>
          </cell>
          <cell r="O6075">
            <v>2.915</v>
          </cell>
        </row>
        <row r="6076">
          <cell r="E6076" t="str">
            <v>FINA</v>
          </cell>
          <cell r="F6076" t="str">
            <v>FINA-S</v>
          </cell>
          <cell r="G6076">
            <v>250</v>
          </cell>
          <cell r="H6076" t="str">
            <v>FINA-S250</v>
          </cell>
          <cell r="K6076" t="str">
            <v>Orr,David A</v>
          </cell>
          <cell r="N6076">
            <v>3.569</v>
          </cell>
          <cell r="O6076">
            <v>3.3940000000000001</v>
          </cell>
        </row>
        <row r="6077">
          <cell r="E6077" t="str">
            <v>FINA</v>
          </cell>
          <cell r="F6077" t="str">
            <v>FINA-S</v>
          </cell>
          <cell r="G6077">
            <v>250</v>
          </cell>
          <cell r="H6077" t="str">
            <v>FINA-S250</v>
          </cell>
          <cell r="K6077" t="str">
            <v>Preston,Corinne Teresa</v>
          </cell>
          <cell r="N6077">
            <v>3.6469999999999998</v>
          </cell>
          <cell r="O6077">
            <v>3.2519999999999998</v>
          </cell>
        </row>
        <row r="6078">
          <cell r="E6078" t="str">
            <v>FINA</v>
          </cell>
          <cell r="F6078" t="str">
            <v>FINA-S</v>
          </cell>
          <cell r="G6078">
            <v>250</v>
          </cell>
          <cell r="H6078" t="str">
            <v>FINA-S250</v>
          </cell>
          <cell r="K6078" t="str">
            <v>Reidhaar,James W.</v>
          </cell>
          <cell r="N6078">
            <v>3.58</v>
          </cell>
          <cell r="O6078">
            <v>3.1120000000000001</v>
          </cell>
        </row>
        <row r="6079">
          <cell r="E6079" t="str">
            <v>FINA</v>
          </cell>
          <cell r="F6079" t="str">
            <v>FINA-S</v>
          </cell>
          <cell r="G6079">
            <v>250</v>
          </cell>
          <cell r="H6079" t="str">
            <v>FINA-S250</v>
          </cell>
          <cell r="K6079" t="str">
            <v>Steele,Kevin Michael</v>
          </cell>
          <cell r="N6079">
            <v>3.75</v>
          </cell>
          <cell r="O6079">
            <v>3.161</v>
          </cell>
        </row>
        <row r="6080">
          <cell r="E6080" t="str">
            <v>FINA</v>
          </cell>
          <cell r="F6080" t="str">
            <v>FINA-S</v>
          </cell>
          <cell r="G6080">
            <v>250</v>
          </cell>
          <cell r="H6080" t="str">
            <v>FINA-S250</v>
          </cell>
          <cell r="K6080" t="str">
            <v>Walker,Thomas William</v>
          </cell>
          <cell r="N6080">
            <v>3.9209999999999998</v>
          </cell>
          <cell r="O6080">
            <v>3.2730000000000001</v>
          </cell>
        </row>
        <row r="6081">
          <cell r="E6081" t="str">
            <v>FINA</v>
          </cell>
          <cell r="F6081" t="str">
            <v>FINA-S</v>
          </cell>
          <cell r="G6081">
            <v>250</v>
          </cell>
          <cell r="H6081" t="str">
            <v>FINA-S250</v>
          </cell>
          <cell r="K6081" t="str">
            <v>Zhang,You</v>
          </cell>
          <cell r="N6081">
            <v>3.1880000000000002</v>
          </cell>
          <cell r="O6081">
            <v>2.9239999999999999</v>
          </cell>
        </row>
        <row r="6082">
          <cell r="E6082" t="str">
            <v>FINA</v>
          </cell>
          <cell r="F6082" t="str">
            <v>FINA-S</v>
          </cell>
          <cell r="G6082">
            <v>260</v>
          </cell>
          <cell r="H6082" t="str">
            <v>FINA-S260</v>
          </cell>
          <cell r="K6082" t="str">
            <v>Duffy,Lauren Elizabeth</v>
          </cell>
          <cell r="N6082" t="str">
            <v>NR</v>
          </cell>
          <cell r="O6082" t="str">
            <v>NR</v>
          </cell>
        </row>
        <row r="6083">
          <cell r="E6083" t="str">
            <v>FINA</v>
          </cell>
          <cell r="F6083" t="str">
            <v>FINA-S</v>
          </cell>
          <cell r="G6083">
            <v>260</v>
          </cell>
          <cell r="H6083" t="str">
            <v>FINA-S260</v>
          </cell>
          <cell r="K6083" t="str">
            <v>Duffy,Lauren Elizabeth</v>
          </cell>
          <cell r="N6083">
            <v>3.2669999999999999</v>
          </cell>
          <cell r="O6083">
            <v>3.3769999999999998</v>
          </cell>
        </row>
        <row r="6084">
          <cell r="E6084" t="str">
            <v>FINA</v>
          </cell>
          <cell r="F6084" t="str">
            <v>FINA-S</v>
          </cell>
          <cell r="G6084">
            <v>260</v>
          </cell>
          <cell r="H6084" t="str">
            <v>FINA-S260</v>
          </cell>
          <cell r="K6084" t="str">
            <v>Harper,Jason Skyler</v>
          </cell>
          <cell r="N6084" t="str">
            <v>NR</v>
          </cell>
          <cell r="O6084" t="str">
            <v>NR</v>
          </cell>
        </row>
        <row r="6085">
          <cell r="E6085" t="str">
            <v>FINA</v>
          </cell>
          <cell r="F6085" t="str">
            <v>FINA-S</v>
          </cell>
          <cell r="G6085">
            <v>260</v>
          </cell>
          <cell r="H6085" t="str">
            <v>FINA-S260</v>
          </cell>
          <cell r="K6085" t="str">
            <v>Harper,Jason Skyler</v>
          </cell>
          <cell r="N6085">
            <v>3.6749999999999998</v>
          </cell>
          <cell r="O6085">
            <v>2.9550000000000001</v>
          </cell>
        </row>
        <row r="6086">
          <cell r="E6086" t="str">
            <v>FINA</v>
          </cell>
          <cell r="F6086" t="str">
            <v>FINA-S</v>
          </cell>
          <cell r="G6086">
            <v>260</v>
          </cell>
          <cell r="H6086" t="str">
            <v>FINA-S260</v>
          </cell>
          <cell r="K6086" t="str">
            <v>Harper,Jason Skyler</v>
          </cell>
          <cell r="N6086">
            <v>3.5670000000000002</v>
          </cell>
          <cell r="O6086">
            <v>3.2469999999999999</v>
          </cell>
        </row>
        <row r="6087">
          <cell r="E6087" t="str">
            <v>FINA</v>
          </cell>
          <cell r="F6087" t="str">
            <v>FINA-S</v>
          </cell>
          <cell r="G6087">
            <v>260</v>
          </cell>
          <cell r="H6087" t="str">
            <v>FINA-S260</v>
          </cell>
          <cell r="K6087" t="str">
            <v>Harper,Jason Skyler</v>
          </cell>
          <cell r="N6087">
            <v>3.6859999999999999</v>
          </cell>
          <cell r="O6087">
            <v>3.0720000000000001</v>
          </cell>
        </row>
        <row r="6088">
          <cell r="E6088" t="str">
            <v>FINA</v>
          </cell>
          <cell r="F6088" t="str">
            <v>FINA-S</v>
          </cell>
          <cell r="G6088">
            <v>260</v>
          </cell>
          <cell r="H6088" t="str">
            <v>FINA-S260</v>
          </cell>
          <cell r="K6088" t="str">
            <v>Katz,David Solomon</v>
          </cell>
          <cell r="N6088" t="str">
            <v>NR</v>
          </cell>
          <cell r="O6088" t="str">
            <v>NR</v>
          </cell>
        </row>
        <row r="6089">
          <cell r="E6089" t="str">
            <v>FINA</v>
          </cell>
          <cell r="F6089" t="str">
            <v>FINA-S</v>
          </cell>
          <cell r="G6089">
            <v>260</v>
          </cell>
          <cell r="H6089" t="str">
            <v>FINA-S260</v>
          </cell>
          <cell r="K6089" t="str">
            <v>Katz,David Solomon</v>
          </cell>
          <cell r="N6089">
            <v>3.6779999999999999</v>
          </cell>
          <cell r="O6089">
            <v>3.2229999999999999</v>
          </cell>
        </row>
        <row r="6090">
          <cell r="E6090" t="str">
            <v>FINA</v>
          </cell>
          <cell r="F6090" t="str">
            <v>FINA-S</v>
          </cell>
          <cell r="G6090">
            <v>260</v>
          </cell>
          <cell r="H6090" t="str">
            <v>FINA-S260</v>
          </cell>
          <cell r="K6090" t="str">
            <v>Norgaard,Amy Joesephine</v>
          </cell>
          <cell r="N6090">
            <v>3.7330000000000001</v>
          </cell>
          <cell r="O6090">
            <v>3.0880000000000001</v>
          </cell>
        </row>
        <row r="6091">
          <cell r="E6091" t="str">
            <v>FINA</v>
          </cell>
          <cell r="F6091" t="str">
            <v>FINA-S</v>
          </cell>
          <cell r="G6091">
            <v>260</v>
          </cell>
          <cell r="H6091" t="str">
            <v>FINA-S260</v>
          </cell>
          <cell r="K6091" t="str">
            <v>Norgaard,Amy Joesephine</v>
          </cell>
          <cell r="N6091">
            <v>3.7109999999999999</v>
          </cell>
          <cell r="O6091">
            <v>3.4180000000000001</v>
          </cell>
        </row>
        <row r="6092">
          <cell r="E6092" t="str">
            <v>FINA</v>
          </cell>
          <cell r="F6092" t="str">
            <v>FINA-S</v>
          </cell>
          <cell r="G6092">
            <v>260</v>
          </cell>
          <cell r="H6092" t="str">
            <v>FINA-S260</v>
          </cell>
          <cell r="K6092" t="str">
            <v>Pariso,William Cody</v>
          </cell>
          <cell r="N6092">
            <v>3.2290000000000001</v>
          </cell>
          <cell r="O6092">
            <v>2.6219999999999999</v>
          </cell>
        </row>
        <row r="6093">
          <cell r="E6093" t="str">
            <v>FINA</v>
          </cell>
          <cell r="F6093" t="str">
            <v>FINA-S</v>
          </cell>
          <cell r="G6093">
            <v>260</v>
          </cell>
          <cell r="H6093" t="str">
            <v>FINA-S260</v>
          </cell>
          <cell r="K6093" t="str">
            <v>Pariso,William Cody</v>
          </cell>
          <cell r="N6093">
            <v>3.556</v>
          </cell>
          <cell r="O6093">
            <v>3.2959999999999998</v>
          </cell>
        </row>
        <row r="6094">
          <cell r="E6094" t="str">
            <v>FINA</v>
          </cell>
          <cell r="F6094" t="str">
            <v>FINA-S</v>
          </cell>
          <cell r="G6094">
            <v>260</v>
          </cell>
          <cell r="H6094" t="str">
            <v>FINA-S260</v>
          </cell>
          <cell r="K6094" t="str">
            <v>Puryear,Adams</v>
          </cell>
          <cell r="N6094">
            <v>3.383</v>
          </cell>
          <cell r="O6094">
            <v>3.081</v>
          </cell>
        </row>
        <row r="6095">
          <cell r="E6095" t="str">
            <v>FINA</v>
          </cell>
          <cell r="F6095" t="str">
            <v>FINA-S</v>
          </cell>
          <cell r="G6095">
            <v>260</v>
          </cell>
          <cell r="H6095" t="str">
            <v>FINA-S260</v>
          </cell>
          <cell r="K6095" t="str">
            <v>Puryear,Adams</v>
          </cell>
          <cell r="N6095">
            <v>3.7440000000000002</v>
          </cell>
          <cell r="O6095">
            <v>3.2679999999999998</v>
          </cell>
        </row>
        <row r="6096">
          <cell r="E6096" t="str">
            <v>FINA</v>
          </cell>
          <cell r="F6096" t="str">
            <v>FINA-S</v>
          </cell>
          <cell r="G6096">
            <v>260</v>
          </cell>
          <cell r="H6096" t="str">
            <v>FINA-S260</v>
          </cell>
          <cell r="K6096" t="str">
            <v>Rogers,Tai Matthew</v>
          </cell>
          <cell r="N6096">
            <v>3.4</v>
          </cell>
          <cell r="O6096">
            <v>3.2679999999999998</v>
          </cell>
        </row>
        <row r="6097">
          <cell r="E6097" t="str">
            <v>FINA</v>
          </cell>
          <cell r="F6097" t="str">
            <v>FINA-S</v>
          </cell>
          <cell r="G6097">
            <v>260</v>
          </cell>
          <cell r="H6097" t="str">
            <v>FINA-S260</v>
          </cell>
          <cell r="K6097" t="str">
            <v>Rogers,Tai Matthew</v>
          </cell>
          <cell r="N6097">
            <v>3.8889999999999998</v>
          </cell>
          <cell r="O6097">
            <v>2.98</v>
          </cell>
        </row>
        <row r="6098">
          <cell r="E6098" t="str">
            <v>FINA</v>
          </cell>
          <cell r="F6098" t="str">
            <v>FINA-S</v>
          </cell>
          <cell r="G6098">
            <v>270</v>
          </cell>
          <cell r="H6098" t="str">
            <v>FINA-S270</v>
          </cell>
          <cell r="K6098" t="str">
            <v>Fillmore,William Luke</v>
          </cell>
          <cell r="N6098">
            <v>3</v>
          </cell>
          <cell r="O6098">
            <v>2.9159999999999999</v>
          </cell>
        </row>
        <row r="6099">
          <cell r="E6099" t="str">
            <v>FINA</v>
          </cell>
          <cell r="F6099" t="str">
            <v>FINA-S</v>
          </cell>
          <cell r="G6099">
            <v>270</v>
          </cell>
          <cell r="H6099" t="str">
            <v>FINA-S270</v>
          </cell>
          <cell r="K6099" t="str">
            <v>McNett,Payson Foster</v>
          </cell>
          <cell r="N6099">
            <v>3.7269999999999999</v>
          </cell>
          <cell r="O6099">
            <v>3.262</v>
          </cell>
        </row>
        <row r="6100">
          <cell r="E6100" t="str">
            <v>FINA</v>
          </cell>
          <cell r="F6100" t="str">
            <v>FINA-S</v>
          </cell>
          <cell r="G6100">
            <v>270</v>
          </cell>
          <cell r="H6100" t="str">
            <v>FINA-S270</v>
          </cell>
          <cell r="K6100" t="str">
            <v>Rothermel,Chris</v>
          </cell>
          <cell r="N6100">
            <v>3.1640000000000001</v>
          </cell>
          <cell r="O6100">
            <v>3.4740000000000002</v>
          </cell>
        </row>
        <row r="6101">
          <cell r="E6101" t="str">
            <v>FINA</v>
          </cell>
          <cell r="F6101" t="str">
            <v>FINA-S</v>
          </cell>
          <cell r="G6101">
            <v>270</v>
          </cell>
          <cell r="H6101" t="str">
            <v>FINA-S270</v>
          </cell>
          <cell r="K6101" t="str">
            <v>Rowe,David Andrew</v>
          </cell>
          <cell r="N6101">
            <v>3.492</v>
          </cell>
          <cell r="O6101">
            <v>3.3940000000000001</v>
          </cell>
        </row>
        <row r="6102">
          <cell r="E6102" t="str">
            <v>FINA</v>
          </cell>
          <cell r="F6102" t="str">
            <v>FINA-S</v>
          </cell>
          <cell r="G6102">
            <v>271</v>
          </cell>
          <cell r="H6102" t="str">
            <v>FINA-S271</v>
          </cell>
          <cell r="K6102" t="str">
            <v>Boger,Christyl</v>
          </cell>
          <cell r="N6102">
            <v>3.95</v>
          </cell>
          <cell r="O6102">
            <v>3.5419999999999998</v>
          </cell>
        </row>
        <row r="6103">
          <cell r="E6103" t="str">
            <v>FINA</v>
          </cell>
          <cell r="F6103" t="str">
            <v>FINA-S</v>
          </cell>
          <cell r="G6103">
            <v>271</v>
          </cell>
          <cell r="H6103" t="str">
            <v>FINA-S271</v>
          </cell>
          <cell r="K6103" t="str">
            <v>McNett,Payson Foster</v>
          </cell>
          <cell r="N6103">
            <v>3.456</v>
          </cell>
          <cell r="O6103">
            <v>2.9550000000000001</v>
          </cell>
        </row>
        <row r="6104">
          <cell r="E6104" t="str">
            <v>FINA</v>
          </cell>
          <cell r="F6104" t="str">
            <v>FINA-S</v>
          </cell>
          <cell r="G6104">
            <v>280</v>
          </cell>
          <cell r="H6104" t="str">
            <v>FINA-S280</v>
          </cell>
          <cell r="K6104" t="str">
            <v>Brown,Sara N.</v>
          </cell>
          <cell r="N6104">
            <v>3.7440000000000002</v>
          </cell>
          <cell r="O6104">
            <v>3.0739999999999998</v>
          </cell>
        </row>
        <row r="6105">
          <cell r="E6105" t="str">
            <v>FINA</v>
          </cell>
          <cell r="F6105" t="str">
            <v>FINA-S</v>
          </cell>
          <cell r="G6105">
            <v>280</v>
          </cell>
          <cell r="H6105" t="str">
            <v>FINA-S280</v>
          </cell>
          <cell r="K6105" t="str">
            <v>Fiala,Anne Marie</v>
          </cell>
          <cell r="N6105">
            <v>2.843</v>
          </cell>
          <cell r="O6105">
            <v>2.7639999999999998</v>
          </cell>
        </row>
        <row r="6106">
          <cell r="E6106" t="str">
            <v>FINA</v>
          </cell>
          <cell r="F6106" t="str">
            <v>FINA-S</v>
          </cell>
          <cell r="G6106">
            <v>280</v>
          </cell>
          <cell r="H6106" t="str">
            <v>FINA-S280</v>
          </cell>
          <cell r="K6106" t="str">
            <v>Garman,Kyleigh Blair</v>
          </cell>
          <cell r="N6106">
            <v>3.2330000000000001</v>
          </cell>
          <cell r="O6106">
            <v>3.1360000000000001</v>
          </cell>
        </row>
        <row r="6107">
          <cell r="E6107" t="str">
            <v>FINA</v>
          </cell>
          <cell r="F6107" t="str">
            <v>FINA-S</v>
          </cell>
          <cell r="G6107">
            <v>280</v>
          </cell>
          <cell r="H6107" t="str">
            <v>FINA-S280</v>
          </cell>
          <cell r="K6107" t="str">
            <v>Kontos,Galatea</v>
          </cell>
          <cell r="N6107">
            <v>3.2069999999999999</v>
          </cell>
          <cell r="O6107">
            <v>3.222</v>
          </cell>
        </row>
        <row r="6108">
          <cell r="E6108" t="str">
            <v>FINA</v>
          </cell>
          <cell r="F6108" t="str">
            <v>FINA-S</v>
          </cell>
          <cell r="G6108">
            <v>291</v>
          </cell>
          <cell r="H6108" t="str">
            <v>FINA-S291</v>
          </cell>
          <cell r="K6108" t="str">
            <v>Crimarco,Stephen John</v>
          </cell>
          <cell r="N6108">
            <v>4</v>
          </cell>
          <cell r="O6108">
            <v>3.141</v>
          </cell>
        </row>
        <row r="6109">
          <cell r="E6109" t="str">
            <v>FINA</v>
          </cell>
          <cell r="F6109" t="str">
            <v>FINA-S</v>
          </cell>
          <cell r="G6109">
            <v>291</v>
          </cell>
          <cell r="H6109" t="str">
            <v>FINA-S291</v>
          </cell>
          <cell r="K6109" t="str">
            <v>Crimarco,Stephen John</v>
          </cell>
          <cell r="N6109">
            <v>4</v>
          </cell>
          <cell r="O6109">
            <v>3.2160000000000002</v>
          </cell>
        </row>
        <row r="6110">
          <cell r="E6110" t="str">
            <v>FINA</v>
          </cell>
          <cell r="F6110" t="str">
            <v>FINA-S</v>
          </cell>
          <cell r="G6110">
            <v>291</v>
          </cell>
          <cell r="H6110" t="str">
            <v>FINA-S291</v>
          </cell>
          <cell r="K6110" t="str">
            <v>Head,Danielle Catherine</v>
          </cell>
          <cell r="N6110">
            <v>3.6</v>
          </cell>
          <cell r="O6110">
            <v>2.9809999999999999</v>
          </cell>
        </row>
        <row r="6111">
          <cell r="E6111" t="str">
            <v>FINA</v>
          </cell>
          <cell r="F6111" t="str">
            <v>FINA-S</v>
          </cell>
          <cell r="G6111">
            <v>291</v>
          </cell>
          <cell r="H6111" t="str">
            <v>FINA-S291</v>
          </cell>
          <cell r="K6111" t="str">
            <v>Head,Danielle Catherine</v>
          </cell>
          <cell r="N6111">
            <v>3.306</v>
          </cell>
          <cell r="O6111">
            <v>3</v>
          </cell>
        </row>
        <row r="6112">
          <cell r="E6112" t="str">
            <v>FINA</v>
          </cell>
          <cell r="F6112" t="str">
            <v>FINA-S</v>
          </cell>
          <cell r="G6112">
            <v>291</v>
          </cell>
          <cell r="H6112" t="str">
            <v>FINA-S291</v>
          </cell>
          <cell r="K6112" t="str">
            <v>Hegert,Aaron Patrick</v>
          </cell>
          <cell r="N6112">
            <v>3.7440000000000002</v>
          </cell>
          <cell r="O6112">
            <v>3.194</v>
          </cell>
        </row>
        <row r="6113">
          <cell r="E6113" t="str">
            <v>FINA</v>
          </cell>
          <cell r="F6113" t="str">
            <v>FINA-S</v>
          </cell>
          <cell r="G6113">
            <v>291</v>
          </cell>
          <cell r="H6113" t="str">
            <v>FINA-S291</v>
          </cell>
          <cell r="K6113" t="str">
            <v>Hegert,Aaron Patrick</v>
          </cell>
          <cell r="N6113">
            <v>4</v>
          </cell>
          <cell r="O6113">
            <v>2.9580000000000002</v>
          </cell>
        </row>
        <row r="6114">
          <cell r="E6114" t="str">
            <v>FINA</v>
          </cell>
          <cell r="F6114" t="str">
            <v>FINA-S</v>
          </cell>
          <cell r="G6114">
            <v>291</v>
          </cell>
          <cell r="H6114" t="str">
            <v>FINA-S291</v>
          </cell>
          <cell r="K6114" t="str">
            <v>Hegert,Aaron Patrick</v>
          </cell>
          <cell r="N6114">
            <v>3.87</v>
          </cell>
          <cell r="O6114">
            <v>3.49</v>
          </cell>
        </row>
        <row r="6115">
          <cell r="E6115" t="str">
            <v>FINA</v>
          </cell>
          <cell r="F6115" t="str">
            <v>FINA-S</v>
          </cell>
          <cell r="G6115">
            <v>291</v>
          </cell>
          <cell r="H6115" t="str">
            <v>FINA-S291</v>
          </cell>
          <cell r="K6115" t="str">
            <v>Hegert,Aaron Patrick</v>
          </cell>
          <cell r="N6115" t="str">
            <v>NR</v>
          </cell>
          <cell r="O6115" t="str">
            <v>NR</v>
          </cell>
        </row>
        <row r="6116">
          <cell r="E6116" t="str">
            <v>FINA</v>
          </cell>
          <cell r="F6116" t="str">
            <v>FINA-S</v>
          </cell>
          <cell r="G6116">
            <v>291</v>
          </cell>
          <cell r="H6116" t="str">
            <v>FINA-S291</v>
          </cell>
          <cell r="K6116" t="str">
            <v>Lowthian,Sara Lynn</v>
          </cell>
          <cell r="N6116">
            <v>3.62</v>
          </cell>
          <cell r="O6116">
            <v>3.2629999999999999</v>
          </cell>
        </row>
        <row r="6117">
          <cell r="E6117" t="str">
            <v>FINA</v>
          </cell>
          <cell r="F6117" t="str">
            <v>FINA-S</v>
          </cell>
          <cell r="G6117">
            <v>291</v>
          </cell>
          <cell r="H6117" t="str">
            <v>FINA-S291</v>
          </cell>
          <cell r="K6117" t="str">
            <v>Mooney,Kevin O'Brien</v>
          </cell>
          <cell r="N6117">
            <v>3.9670000000000001</v>
          </cell>
          <cell r="O6117">
            <v>3.3330000000000002</v>
          </cell>
        </row>
        <row r="6118">
          <cell r="E6118" t="str">
            <v>FINA</v>
          </cell>
          <cell r="F6118" t="str">
            <v>FINA-S</v>
          </cell>
          <cell r="G6118">
            <v>291</v>
          </cell>
          <cell r="H6118" t="str">
            <v>FINA-S291</v>
          </cell>
          <cell r="K6118" t="str">
            <v>Mooney,Kevin O'Brien</v>
          </cell>
          <cell r="N6118">
            <v>3.8889999999999998</v>
          </cell>
          <cell r="O6118">
            <v>3.1869999999999998</v>
          </cell>
        </row>
        <row r="6119">
          <cell r="E6119" t="str">
            <v>FINA</v>
          </cell>
          <cell r="F6119" t="str">
            <v>FINA-S</v>
          </cell>
          <cell r="G6119">
            <v>291</v>
          </cell>
          <cell r="H6119" t="str">
            <v>FINA-S291</v>
          </cell>
          <cell r="K6119" t="str">
            <v>Reynolds,Adam Paul</v>
          </cell>
          <cell r="N6119">
            <v>3.7109999999999999</v>
          </cell>
          <cell r="O6119">
            <v>3.09</v>
          </cell>
        </row>
        <row r="6120">
          <cell r="E6120" t="str">
            <v>FINA</v>
          </cell>
          <cell r="F6120" t="str">
            <v>FINA-S</v>
          </cell>
          <cell r="G6120">
            <v>291</v>
          </cell>
          <cell r="H6120" t="str">
            <v>FINA-S291</v>
          </cell>
          <cell r="K6120" t="str">
            <v>Reynolds,Adam Paul</v>
          </cell>
          <cell r="N6120">
            <v>3.7709999999999999</v>
          </cell>
          <cell r="O6120">
            <v>3.1190000000000002</v>
          </cell>
        </row>
        <row r="6121">
          <cell r="E6121" t="str">
            <v>FINA</v>
          </cell>
          <cell r="F6121" t="str">
            <v>FINA-S</v>
          </cell>
          <cell r="G6121">
            <v>291</v>
          </cell>
          <cell r="H6121" t="str">
            <v>FINA-S291</v>
          </cell>
          <cell r="K6121" t="str">
            <v>Waite,Kimberly Best</v>
          </cell>
          <cell r="N6121">
            <v>3.3130000000000002</v>
          </cell>
          <cell r="O6121">
            <v>3.0550000000000002</v>
          </cell>
        </row>
        <row r="6122">
          <cell r="E6122" t="str">
            <v>FINA</v>
          </cell>
          <cell r="F6122" t="str">
            <v>FINA-S</v>
          </cell>
          <cell r="G6122">
            <v>291</v>
          </cell>
          <cell r="H6122" t="str">
            <v>FINA-S291</v>
          </cell>
          <cell r="K6122" t="str">
            <v>Wright,Jaclyn Rose</v>
          </cell>
          <cell r="N6122">
            <v>3.2</v>
          </cell>
          <cell r="O6122">
            <v>2.931</v>
          </cell>
        </row>
        <row r="6123">
          <cell r="E6123" t="str">
            <v>FINA</v>
          </cell>
          <cell r="F6123" t="str">
            <v>FINA-S</v>
          </cell>
          <cell r="G6123">
            <v>291</v>
          </cell>
          <cell r="H6123" t="str">
            <v>FINA-S291</v>
          </cell>
          <cell r="K6123" t="str">
            <v>Wright,Jaclyn Rose</v>
          </cell>
          <cell r="N6123">
            <v>2.875</v>
          </cell>
          <cell r="O6123">
            <v>3.0129999999999999</v>
          </cell>
        </row>
        <row r="6124">
          <cell r="E6124" t="str">
            <v>FINA</v>
          </cell>
          <cell r="F6124" t="str">
            <v>FINA-S</v>
          </cell>
          <cell r="G6124">
            <v>301</v>
          </cell>
          <cell r="H6124" t="str">
            <v>FINA-S301</v>
          </cell>
          <cell r="K6124" t="str">
            <v>Liu,Feng</v>
          </cell>
          <cell r="N6124">
            <v>3.7629999999999999</v>
          </cell>
          <cell r="O6124">
            <v>3.375</v>
          </cell>
        </row>
        <row r="6125">
          <cell r="E6125" t="str">
            <v>FINA</v>
          </cell>
          <cell r="F6125" t="str">
            <v>FINA-S</v>
          </cell>
          <cell r="G6125">
            <v>301</v>
          </cell>
          <cell r="H6125" t="str">
            <v>FINA-S301</v>
          </cell>
          <cell r="K6125" t="str">
            <v>Smith,Amanda Lynn</v>
          </cell>
          <cell r="N6125" t="str">
            <v>NR</v>
          </cell>
          <cell r="O6125" t="str">
            <v>NR</v>
          </cell>
        </row>
        <row r="6126">
          <cell r="E6126" t="str">
            <v>FINA</v>
          </cell>
          <cell r="F6126" t="str">
            <v>FINA-S</v>
          </cell>
          <cell r="G6126">
            <v>301</v>
          </cell>
          <cell r="H6126" t="str">
            <v>FINA-S301</v>
          </cell>
          <cell r="K6126" t="str">
            <v>Smith,Amanda Lynn</v>
          </cell>
          <cell r="N6126">
            <v>3.7330000000000001</v>
          </cell>
          <cell r="O6126">
            <v>3.4529999999999998</v>
          </cell>
        </row>
        <row r="6127">
          <cell r="E6127" t="str">
            <v>FINA</v>
          </cell>
          <cell r="F6127" t="str">
            <v>FINA-S</v>
          </cell>
          <cell r="G6127">
            <v>301</v>
          </cell>
          <cell r="H6127" t="str">
            <v>FINA-S301</v>
          </cell>
          <cell r="K6127" t="str">
            <v>Smith,Amanda Lynn</v>
          </cell>
          <cell r="N6127">
            <v>3.7330000000000001</v>
          </cell>
          <cell r="O6127">
            <v>2.9809999999999999</v>
          </cell>
        </row>
        <row r="6128">
          <cell r="E6128" t="str">
            <v>FINA</v>
          </cell>
          <cell r="F6128" t="str">
            <v>FINA-S</v>
          </cell>
          <cell r="G6128">
            <v>301</v>
          </cell>
          <cell r="H6128" t="str">
            <v>FINA-S301</v>
          </cell>
          <cell r="K6128" t="str">
            <v>Weintraub,Caleb Harris</v>
          </cell>
          <cell r="N6128">
            <v>3.125</v>
          </cell>
          <cell r="O6128">
            <v>2.5990000000000002</v>
          </cell>
        </row>
        <row r="6129">
          <cell r="E6129" t="str">
            <v>FINA</v>
          </cell>
          <cell r="F6129" t="str">
            <v>FINA-S</v>
          </cell>
          <cell r="G6129">
            <v>321</v>
          </cell>
          <cell r="H6129" t="str">
            <v>FINA-S321</v>
          </cell>
          <cell r="K6129" t="str">
            <v>Halvorson,Suzanne S</v>
          </cell>
          <cell r="N6129">
            <v>3.9129999999999998</v>
          </cell>
          <cell r="O6129">
            <v>3.3620000000000001</v>
          </cell>
        </row>
        <row r="6130">
          <cell r="E6130" t="str">
            <v>FINA</v>
          </cell>
          <cell r="F6130" t="str">
            <v>FINA-S</v>
          </cell>
          <cell r="G6130">
            <v>321</v>
          </cell>
          <cell r="H6130" t="str">
            <v>FINA-S321</v>
          </cell>
          <cell r="K6130" t="str">
            <v>Halvorson,Suzanne S</v>
          </cell>
          <cell r="N6130">
            <v>3.778</v>
          </cell>
          <cell r="O6130">
            <v>3.2090000000000001</v>
          </cell>
        </row>
        <row r="6131">
          <cell r="E6131" t="str">
            <v>FINA</v>
          </cell>
          <cell r="F6131" t="str">
            <v>FINA-S</v>
          </cell>
          <cell r="G6131">
            <v>331</v>
          </cell>
          <cell r="H6131" t="str">
            <v>FINA-S331</v>
          </cell>
          <cell r="K6131" t="str">
            <v>Kennedy,Tim</v>
          </cell>
          <cell r="N6131" t="str">
            <v>NR</v>
          </cell>
          <cell r="O6131" t="str">
            <v>NR</v>
          </cell>
        </row>
        <row r="6132">
          <cell r="E6132" t="str">
            <v>FINA</v>
          </cell>
          <cell r="F6132" t="str">
            <v>FINA-S</v>
          </cell>
          <cell r="G6132">
            <v>331</v>
          </cell>
          <cell r="H6132" t="str">
            <v>FINA-S331</v>
          </cell>
          <cell r="K6132" t="str">
            <v>Mansdorf,Eve</v>
          </cell>
          <cell r="N6132">
            <v>4</v>
          </cell>
          <cell r="O6132">
            <v>2.915</v>
          </cell>
        </row>
        <row r="6133">
          <cell r="E6133" t="str">
            <v>FINA</v>
          </cell>
          <cell r="F6133" t="str">
            <v>FINA-S</v>
          </cell>
          <cell r="G6133">
            <v>331</v>
          </cell>
          <cell r="H6133" t="str">
            <v>FINA-S331</v>
          </cell>
          <cell r="K6133" t="str">
            <v>Weintraub,Caleb Harris</v>
          </cell>
          <cell r="N6133">
            <v>3.07</v>
          </cell>
          <cell r="O6133">
            <v>3.0670000000000002</v>
          </cell>
        </row>
        <row r="6134">
          <cell r="E6134" t="str">
            <v>FINA</v>
          </cell>
          <cell r="F6134" t="str">
            <v>FINA-S</v>
          </cell>
          <cell r="G6134">
            <v>331</v>
          </cell>
          <cell r="H6134" t="str">
            <v>FINA-S331</v>
          </cell>
          <cell r="K6134" t="str">
            <v>Weintraub,Caleb Harris</v>
          </cell>
          <cell r="N6134">
            <v>3.54</v>
          </cell>
          <cell r="O6134">
            <v>3.0880000000000001</v>
          </cell>
        </row>
        <row r="6135">
          <cell r="E6135" t="str">
            <v>FINA</v>
          </cell>
          <cell r="F6135" t="str">
            <v>FINA-S</v>
          </cell>
          <cell r="G6135">
            <v>341</v>
          </cell>
          <cell r="H6135" t="str">
            <v>FINA-S341</v>
          </cell>
          <cell r="K6135" t="str">
            <v>Taylor,Neil Sabins</v>
          </cell>
          <cell r="N6135" t="str">
            <v>NR</v>
          </cell>
          <cell r="O6135" t="str">
            <v>NR</v>
          </cell>
        </row>
        <row r="6136">
          <cell r="E6136" t="str">
            <v>FINA</v>
          </cell>
          <cell r="F6136" t="str">
            <v>FINA-S</v>
          </cell>
          <cell r="G6136">
            <v>343</v>
          </cell>
          <cell r="H6136" t="str">
            <v>FINA-S343</v>
          </cell>
          <cell r="K6136" t="str">
            <v>Gunn,Brandon</v>
          </cell>
          <cell r="N6136" t="str">
            <v>NR</v>
          </cell>
          <cell r="O6136" t="str">
            <v>NR</v>
          </cell>
        </row>
        <row r="6137">
          <cell r="E6137" t="str">
            <v>FINA</v>
          </cell>
          <cell r="F6137" t="str">
            <v>FINA-S</v>
          </cell>
          <cell r="G6137">
            <v>344</v>
          </cell>
          <cell r="H6137" t="str">
            <v>FINA-S344</v>
          </cell>
          <cell r="K6137" t="str">
            <v>Dacre,Chris</v>
          </cell>
          <cell r="N6137">
            <v>3.1379999999999999</v>
          </cell>
          <cell r="O6137">
            <v>3.1890000000000001</v>
          </cell>
        </row>
        <row r="6138">
          <cell r="E6138" t="str">
            <v>FINA</v>
          </cell>
          <cell r="F6138" t="str">
            <v>FINA-S</v>
          </cell>
          <cell r="G6138">
            <v>344</v>
          </cell>
          <cell r="H6138" t="str">
            <v>FINA-S344</v>
          </cell>
          <cell r="K6138" t="str">
            <v>Dacre,Chris</v>
          </cell>
          <cell r="N6138">
            <v>3.3109999999999999</v>
          </cell>
          <cell r="O6138">
            <v>3.0830000000000002</v>
          </cell>
        </row>
        <row r="6139">
          <cell r="E6139" t="str">
            <v>FINA</v>
          </cell>
          <cell r="F6139" t="str">
            <v>FINA-S</v>
          </cell>
          <cell r="G6139">
            <v>351</v>
          </cell>
          <cell r="H6139" t="str">
            <v>FINA-S351</v>
          </cell>
          <cell r="K6139" t="str">
            <v>Dickson,Gary S.</v>
          </cell>
          <cell r="N6139">
            <v>3.4060000000000001</v>
          </cell>
          <cell r="O6139">
            <v>3.2280000000000002</v>
          </cell>
        </row>
        <row r="6140">
          <cell r="E6140" t="str">
            <v>FINA</v>
          </cell>
          <cell r="F6140" t="str">
            <v>FINA-S</v>
          </cell>
          <cell r="G6140">
            <v>351</v>
          </cell>
          <cell r="H6140" t="str">
            <v>FINA-S351</v>
          </cell>
          <cell r="K6140" t="str">
            <v>Dickson,Gary S.</v>
          </cell>
          <cell r="N6140">
            <v>3.4169999999999998</v>
          </cell>
          <cell r="O6140">
            <v>3.1560000000000001</v>
          </cell>
        </row>
        <row r="6141">
          <cell r="E6141" t="str">
            <v>FINA</v>
          </cell>
          <cell r="F6141" t="str">
            <v>FINA-S</v>
          </cell>
          <cell r="G6141">
            <v>351</v>
          </cell>
          <cell r="H6141" t="str">
            <v>FINA-S351</v>
          </cell>
          <cell r="K6141" t="str">
            <v>Dickson,Gary S.</v>
          </cell>
          <cell r="N6141">
            <v>3.3079999999999998</v>
          </cell>
          <cell r="O6141">
            <v>2.9830000000000001</v>
          </cell>
        </row>
        <row r="6142">
          <cell r="E6142" t="str">
            <v>FINA</v>
          </cell>
          <cell r="F6142" t="str">
            <v>FINA-S</v>
          </cell>
          <cell r="G6142">
            <v>351</v>
          </cell>
          <cell r="H6142" t="str">
            <v>FINA-S351</v>
          </cell>
          <cell r="K6142" t="str">
            <v>Yount IV,James Franklin</v>
          </cell>
          <cell r="N6142">
            <v>3.35</v>
          </cell>
          <cell r="O6142">
            <v>3.0960000000000001</v>
          </cell>
        </row>
        <row r="6143">
          <cell r="E6143" t="str">
            <v>FINA</v>
          </cell>
          <cell r="F6143" t="str">
            <v>FINA-S</v>
          </cell>
          <cell r="G6143">
            <v>351</v>
          </cell>
          <cell r="H6143" t="str">
            <v>FINA-S351</v>
          </cell>
          <cell r="K6143" t="str">
            <v>Yount IV,James Franklin</v>
          </cell>
          <cell r="N6143">
            <v>3.0779999999999998</v>
          </cell>
          <cell r="O6143">
            <v>2.8450000000000002</v>
          </cell>
        </row>
        <row r="6144">
          <cell r="E6144" t="str">
            <v>FINA</v>
          </cell>
          <cell r="F6144" t="str">
            <v>FINA-S</v>
          </cell>
          <cell r="G6144">
            <v>352</v>
          </cell>
          <cell r="H6144" t="str">
            <v>FINA-S352</v>
          </cell>
          <cell r="K6144" t="str">
            <v>Cook,Daniela Panigada</v>
          </cell>
          <cell r="N6144">
            <v>3.3730000000000002</v>
          </cell>
          <cell r="O6144">
            <v>3.1230000000000002</v>
          </cell>
        </row>
        <row r="6145">
          <cell r="E6145" t="str">
            <v>FINA</v>
          </cell>
          <cell r="F6145" t="str">
            <v>FINA-S</v>
          </cell>
          <cell r="G6145">
            <v>352</v>
          </cell>
          <cell r="H6145" t="str">
            <v>FINA-S352</v>
          </cell>
          <cell r="K6145" t="str">
            <v>El-Shamy,Jehan H.</v>
          </cell>
          <cell r="N6145">
            <v>3.48</v>
          </cell>
          <cell r="O6145">
            <v>3.198</v>
          </cell>
        </row>
        <row r="6146">
          <cell r="E6146" t="str">
            <v>FINA</v>
          </cell>
          <cell r="F6146" t="str">
            <v>FINA-S</v>
          </cell>
          <cell r="G6146">
            <v>352</v>
          </cell>
          <cell r="H6146" t="str">
            <v>FINA-S352</v>
          </cell>
          <cell r="K6146" t="str">
            <v>Reidhaar,James W.</v>
          </cell>
          <cell r="N6146">
            <v>3.7309999999999999</v>
          </cell>
          <cell r="O6146">
            <v>3.1989999999999998</v>
          </cell>
        </row>
        <row r="6147">
          <cell r="E6147" t="str">
            <v>FINA</v>
          </cell>
          <cell r="F6147" t="str">
            <v>FINA-S</v>
          </cell>
          <cell r="G6147">
            <v>361</v>
          </cell>
          <cell r="H6147" t="str">
            <v>FINA-S361</v>
          </cell>
          <cell r="K6147" t="str">
            <v>Meares,Ian Russell</v>
          </cell>
          <cell r="N6147">
            <v>3.577</v>
          </cell>
          <cell r="O6147">
            <v>3.242</v>
          </cell>
        </row>
        <row r="6148">
          <cell r="E6148" t="str">
            <v>FINA</v>
          </cell>
          <cell r="F6148" t="str">
            <v>FINA-S</v>
          </cell>
          <cell r="G6148">
            <v>361</v>
          </cell>
          <cell r="H6148" t="str">
            <v>FINA-S361</v>
          </cell>
          <cell r="K6148" t="str">
            <v>Meares,Ian Russell</v>
          </cell>
          <cell r="N6148">
            <v>3.57</v>
          </cell>
          <cell r="O6148">
            <v>3.0179999999999998</v>
          </cell>
        </row>
        <row r="6149">
          <cell r="E6149" t="str">
            <v>FINA</v>
          </cell>
          <cell r="F6149" t="str">
            <v>FINA-S</v>
          </cell>
          <cell r="G6149">
            <v>361</v>
          </cell>
          <cell r="H6149" t="str">
            <v>FINA-S361</v>
          </cell>
          <cell r="K6149" t="str">
            <v>Meares,Ian Russell</v>
          </cell>
          <cell r="N6149">
            <v>3.5880000000000001</v>
          </cell>
          <cell r="O6149">
            <v>3.2210000000000001</v>
          </cell>
        </row>
        <row r="6150">
          <cell r="E6150" t="str">
            <v>FINA</v>
          </cell>
          <cell r="F6150" t="str">
            <v>FINA-S</v>
          </cell>
          <cell r="G6150">
            <v>361</v>
          </cell>
          <cell r="H6150" t="str">
            <v>FINA-S361</v>
          </cell>
          <cell r="K6150" t="str">
            <v>Smith,Malcolm Mobutu</v>
          </cell>
          <cell r="N6150">
            <v>3.7</v>
          </cell>
          <cell r="O6150">
            <v>3.282</v>
          </cell>
        </row>
        <row r="6151">
          <cell r="E6151" t="str">
            <v>FINA</v>
          </cell>
          <cell r="F6151" t="str">
            <v>FINA-S</v>
          </cell>
          <cell r="G6151">
            <v>371</v>
          </cell>
          <cell r="H6151" t="str">
            <v>FINA-S371</v>
          </cell>
          <cell r="K6151" t="str">
            <v>Boger,Christyl</v>
          </cell>
          <cell r="N6151">
            <v>4</v>
          </cell>
          <cell r="O6151">
            <v>3.5649999999999999</v>
          </cell>
        </row>
        <row r="6152">
          <cell r="E6152" t="str">
            <v>FINA</v>
          </cell>
          <cell r="F6152" t="str">
            <v>FINA-S</v>
          </cell>
          <cell r="G6152">
            <v>371</v>
          </cell>
          <cell r="H6152" t="str">
            <v>FINA-S371</v>
          </cell>
          <cell r="K6152" t="str">
            <v>Frahm,Todd</v>
          </cell>
          <cell r="N6152" t="str">
            <v>NR</v>
          </cell>
          <cell r="O6152" t="str">
            <v>NR</v>
          </cell>
        </row>
        <row r="6153">
          <cell r="E6153" t="str">
            <v>FINA</v>
          </cell>
          <cell r="F6153" t="str">
            <v>FINA-S</v>
          </cell>
          <cell r="G6153">
            <v>371</v>
          </cell>
          <cell r="H6153" t="str">
            <v>FINA-S371</v>
          </cell>
          <cell r="K6153" t="str">
            <v>Jacquard,Nicole Danielle</v>
          </cell>
          <cell r="N6153">
            <v>3.8570000000000002</v>
          </cell>
          <cell r="O6153">
            <v>3.4260000000000002</v>
          </cell>
        </row>
        <row r="6154">
          <cell r="E6154" t="str">
            <v>FINA</v>
          </cell>
          <cell r="F6154" t="str">
            <v>FINA-S</v>
          </cell>
          <cell r="G6154">
            <v>371</v>
          </cell>
          <cell r="H6154" t="str">
            <v>FINA-S371</v>
          </cell>
          <cell r="K6154" t="str">
            <v>Lambert,Alix</v>
          </cell>
          <cell r="N6154" t="str">
            <v>NR</v>
          </cell>
          <cell r="O6154" t="str">
            <v>NR</v>
          </cell>
        </row>
        <row r="6155">
          <cell r="E6155" t="str">
            <v>FINA</v>
          </cell>
          <cell r="F6155" t="str">
            <v>FINA-S</v>
          </cell>
          <cell r="G6155">
            <v>371</v>
          </cell>
          <cell r="H6155" t="str">
            <v>FINA-S371</v>
          </cell>
          <cell r="K6155" t="str">
            <v>Rothermel,Chris</v>
          </cell>
          <cell r="N6155" t="str">
            <v>NR</v>
          </cell>
          <cell r="O6155" t="str">
            <v>NR</v>
          </cell>
        </row>
        <row r="6156">
          <cell r="E6156" t="str">
            <v>FINA</v>
          </cell>
          <cell r="F6156" t="str">
            <v>FINA-S</v>
          </cell>
          <cell r="G6156">
            <v>381</v>
          </cell>
          <cell r="H6156" t="str">
            <v>FINA-S381</v>
          </cell>
          <cell r="K6156" t="str">
            <v>Jacquard,Nicole Danielle</v>
          </cell>
          <cell r="N6156">
            <v>3.6779999999999999</v>
          </cell>
          <cell r="O6156">
            <v>2.8839999999999999</v>
          </cell>
        </row>
        <row r="6157">
          <cell r="E6157" t="str">
            <v>FINA</v>
          </cell>
          <cell r="F6157" t="str">
            <v>FINA-S</v>
          </cell>
          <cell r="G6157">
            <v>381</v>
          </cell>
          <cell r="H6157" t="str">
            <v>FINA-S381</v>
          </cell>
          <cell r="K6157" t="str">
            <v>Wilson,Lisa Marie</v>
          </cell>
          <cell r="N6157">
            <v>2.746</v>
          </cell>
          <cell r="O6157">
            <v>2.9980000000000002</v>
          </cell>
        </row>
        <row r="6158">
          <cell r="E6158" t="str">
            <v>FINA</v>
          </cell>
          <cell r="F6158" t="str">
            <v>FINA-S</v>
          </cell>
          <cell r="G6158">
            <v>392</v>
          </cell>
          <cell r="H6158" t="str">
            <v>FINA-S392</v>
          </cell>
          <cell r="K6158" t="str">
            <v>Culver,Audim Quinn</v>
          </cell>
          <cell r="N6158">
            <v>3.609</v>
          </cell>
          <cell r="O6158">
            <v>3.1389999999999998</v>
          </cell>
        </row>
        <row r="6159">
          <cell r="E6159" t="str">
            <v>FINA</v>
          </cell>
          <cell r="F6159" t="str">
            <v>FINA-S</v>
          </cell>
          <cell r="G6159">
            <v>392</v>
          </cell>
          <cell r="H6159" t="str">
            <v>FINA-S392</v>
          </cell>
          <cell r="K6159" t="str">
            <v>Head,Danielle Catherine</v>
          </cell>
          <cell r="N6159">
            <v>3.85</v>
          </cell>
          <cell r="O6159">
            <v>3.0710000000000002</v>
          </cell>
        </row>
        <row r="6160">
          <cell r="E6160" t="str">
            <v>FINA</v>
          </cell>
          <cell r="F6160" t="str">
            <v>FINA-S</v>
          </cell>
          <cell r="G6160">
            <v>392</v>
          </cell>
          <cell r="H6160" t="str">
            <v>FINA-S392</v>
          </cell>
          <cell r="K6160" t="str">
            <v>Wolin,Jeffrey A.</v>
          </cell>
          <cell r="N6160">
            <v>3.1429999999999998</v>
          </cell>
          <cell r="O6160">
            <v>3.218</v>
          </cell>
        </row>
        <row r="6161">
          <cell r="E6161" t="str">
            <v>FINA</v>
          </cell>
          <cell r="F6161" t="str">
            <v>FINA-S</v>
          </cell>
          <cell r="G6161">
            <v>392</v>
          </cell>
          <cell r="H6161" t="str">
            <v>FINA-S392</v>
          </cell>
          <cell r="K6161" t="str">
            <v>Wright,Jaclyn Rose</v>
          </cell>
          <cell r="N6161">
            <v>3.5819999999999999</v>
          </cell>
          <cell r="O6161">
            <v>3.1520000000000001</v>
          </cell>
        </row>
        <row r="6162">
          <cell r="E6162" t="str">
            <v>FINA</v>
          </cell>
          <cell r="F6162" t="str">
            <v>FINA-S</v>
          </cell>
          <cell r="G6162">
            <v>401</v>
          </cell>
          <cell r="H6162" t="str">
            <v>FINA-S401</v>
          </cell>
          <cell r="K6162" t="str">
            <v>Liu,Feng</v>
          </cell>
          <cell r="N6162" t="str">
            <v>NR</v>
          </cell>
          <cell r="O6162" t="str">
            <v>NR</v>
          </cell>
        </row>
        <row r="6163">
          <cell r="E6163" t="str">
            <v>FINA</v>
          </cell>
          <cell r="F6163" t="str">
            <v>FINA-S</v>
          </cell>
          <cell r="G6163">
            <v>401</v>
          </cell>
          <cell r="H6163" t="str">
            <v>FINA-S401</v>
          </cell>
          <cell r="K6163" t="str">
            <v>Smith,Amanda Lynn</v>
          </cell>
          <cell r="N6163" t="str">
            <v>NR</v>
          </cell>
          <cell r="O6163" t="str">
            <v>NR</v>
          </cell>
        </row>
        <row r="6164">
          <cell r="E6164" t="str">
            <v>FINA</v>
          </cell>
          <cell r="F6164" t="str">
            <v>FINA-S</v>
          </cell>
          <cell r="G6164">
            <v>401</v>
          </cell>
          <cell r="H6164" t="str">
            <v>FINA-S401</v>
          </cell>
          <cell r="K6164" t="str">
            <v>Smith,Amanda Lynn</v>
          </cell>
          <cell r="N6164" t="str">
            <v>NR</v>
          </cell>
          <cell r="O6164" t="str">
            <v>NR</v>
          </cell>
        </row>
        <row r="6165">
          <cell r="E6165" t="str">
            <v>FINA</v>
          </cell>
          <cell r="F6165" t="str">
            <v>FINA-S</v>
          </cell>
          <cell r="G6165">
            <v>401</v>
          </cell>
          <cell r="H6165" t="str">
            <v>FINA-S401</v>
          </cell>
          <cell r="K6165" t="str">
            <v>Smith,Amanda Lynn</v>
          </cell>
          <cell r="N6165">
            <v>3.05</v>
          </cell>
          <cell r="O6165">
            <v>2.7149999999999999</v>
          </cell>
        </row>
        <row r="6166">
          <cell r="E6166" t="str">
            <v>FINA</v>
          </cell>
          <cell r="F6166" t="str">
            <v>FINA-S</v>
          </cell>
          <cell r="G6166">
            <v>401</v>
          </cell>
          <cell r="H6166" t="str">
            <v>FINA-S401</v>
          </cell>
          <cell r="K6166" t="str">
            <v>Weintraub,Caleb Harris</v>
          </cell>
          <cell r="N6166" t="str">
            <v>NR</v>
          </cell>
          <cell r="O6166" t="str">
            <v>NR</v>
          </cell>
        </row>
        <row r="6167">
          <cell r="E6167" t="str">
            <v>FINA</v>
          </cell>
          <cell r="F6167" t="str">
            <v>FINA-S</v>
          </cell>
          <cell r="G6167">
            <v>403</v>
          </cell>
          <cell r="H6167" t="str">
            <v>FINA-S403</v>
          </cell>
          <cell r="K6167" t="str">
            <v>Kennedy,Tim</v>
          </cell>
          <cell r="N6167">
            <v>3.5070000000000001</v>
          </cell>
          <cell r="O6167">
            <v>3.4729999999999999</v>
          </cell>
        </row>
        <row r="6168">
          <cell r="E6168" t="str">
            <v>FINA</v>
          </cell>
          <cell r="F6168" t="str">
            <v>FINA-S</v>
          </cell>
          <cell r="G6168">
            <v>405</v>
          </cell>
          <cell r="H6168" t="str">
            <v>FINA-S405</v>
          </cell>
          <cell r="K6168" t="str">
            <v>Kennedy,Tim</v>
          </cell>
          <cell r="N6168">
            <v>3.843</v>
          </cell>
          <cell r="O6168">
            <v>3.43</v>
          </cell>
        </row>
        <row r="6169">
          <cell r="E6169" t="str">
            <v>FINA</v>
          </cell>
          <cell r="F6169" t="str">
            <v>FINA-S</v>
          </cell>
          <cell r="G6169">
            <v>405</v>
          </cell>
          <cell r="H6169" t="str">
            <v>FINA-S405</v>
          </cell>
          <cell r="K6169" t="str">
            <v>Smith,Amanda Lynn</v>
          </cell>
          <cell r="N6169">
            <v>3.8</v>
          </cell>
          <cell r="O6169">
            <v>3.4670000000000001</v>
          </cell>
        </row>
        <row r="6170">
          <cell r="E6170" t="str">
            <v>FINA</v>
          </cell>
          <cell r="F6170" t="str">
            <v>FINA-S</v>
          </cell>
          <cell r="G6170">
            <v>421</v>
          </cell>
          <cell r="H6170" t="str">
            <v>FINA-S421</v>
          </cell>
          <cell r="K6170" t="str">
            <v>Halvorson,Suzanne S</v>
          </cell>
          <cell r="N6170" t="str">
            <v>NR</v>
          </cell>
          <cell r="O6170" t="str">
            <v>NR</v>
          </cell>
        </row>
        <row r="6171">
          <cell r="E6171" t="str">
            <v>FINA</v>
          </cell>
          <cell r="F6171" t="str">
            <v>FINA-S</v>
          </cell>
          <cell r="G6171">
            <v>421</v>
          </cell>
          <cell r="H6171" t="str">
            <v>FINA-S421</v>
          </cell>
          <cell r="K6171" t="str">
            <v>Halvorson,Suzanne S</v>
          </cell>
          <cell r="N6171" t="str">
            <v>NR</v>
          </cell>
          <cell r="O6171" t="str">
            <v>NR</v>
          </cell>
        </row>
        <row r="6172">
          <cell r="E6172" t="str">
            <v>FINA</v>
          </cell>
          <cell r="F6172" t="str">
            <v>FINA-S</v>
          </cell>
          <cell r="G6172">
            <v>422</v>
          </cell>
          <cell r="H6172" t="str">
            <v>FINA-S422</v>
          </cell>
          <cell r="K6172" t="str">
            <v>Gauthier,Leah</v>
          </cell>
          <cell r="N6172" t="str">
            <v>NR</v>
          </cell>
          <cell r="O6172" t="str">
            <v>NR</v>
          </cell>
        </row>
        <row r="6173">
          <cell r="E6173" t="str">
            <v>FINA</v>
          </cell>
          <cell r="F6173" t="str">
            <v>FINA-S</v>
          </cell>
          <cell r="G6173">
            <v>422</v>
          </cell>
          <cell r="H6173" t="str">
            <v>FINA-S422</v>
          </cell>
          <cell r="K6173" t="str">
            <v>Ricketts,Rowland</v>
          </cell>
          <cell r="N6173" t="str">
            <v>NR</v>
          </cell>
          <cell r="O6173" t="str">
            <v>NR</v>
          </cell>
        </row>
        <row r="6174">
          <cell r="E6174" t="str">
            <v>FINA</v>
          </cell>
          <cell r="F6174" t="str">
            <v>FINA-S</v>
          </cell>
          <cell r="G6174">
            <v>431</v>
          </cell>
          <cell r="H6174" t="str">
            <v>FINA-S431</v>
          </cell>
          <cell r="K6174" t="str">
            <v>Kennedy,Tim</v>
          </cell>
          <cell r="N6174">
            <v>3.6819999999999999</v>
          </cell>
          <cell r="O6174">
            <v>3.48</v>
          </cell>
        </row>
        <row r="6175">
          <cell r="E6175" t="str">
            <v>FINA</v>
          </cell>
          <cell r="F6175" t="str">
            <v>FINA-S</v>
          </cell>
          <cell r="G6175">
            <v>431</v>
          </cell>
          <cell r="H6175" t="str">
            <v>FINA-S431</v>
          </cell>
          <cell r="K6175" t="str">
            <v>Mansdorf,Eve</v>
          </cell>
          <cell r="N6175" t="str">
            <v>NR</v>
          </cell>
          <cell r="O6175" t="str">
            <v>NR</v>
          </cell>
        </row>
        <row r="6176">
          <cell r="E6176" t="str">
            <v>FINA</v>
          </cell>
          <cell r="F6176" t="str">
            <v>FINA-S</v>
          </cell>
          <cell r="G6176">
            <v>431</v>
          </cell>
          <cell r="H6176" t="str">
            <v>FINA-S431</v>
          </cell>
          <cell r="K6176" t="str">
            <v>Weintraub,Caleb Harris</v>
          </cell>
          <cell r="N6176">
            <v>3.7170000000000001</v>
          </cell>
          <cell r="O6176">
            <v>3.262</v>
          </cell>
        </row>
        <row r="6177">
          <cell r="E6177" t="str">
            <v>FINA</v>
          </cell>
          <cell r="F6177" t="str">
            <v>FINA-S</v>
          </cell>
          <cell r="G6177">
            <v>431</v>
          </cell>
          <cell r="H6177" t="str">
            <v>FINA-S431</v>
          </cell>
          <cell r="K6177" t="str">
            <v>Weintraub,Caleb Harris</v>
          </cell>
          <cell r="N6177">
            <v>3.3330000000000002</v>
          </cell>
          <cell r="O6177">
            <v>2.9870000000000001</v>
          </cell>
        </row>
        <row r="6178">
          <cell r="E6178" t="str">
            <v>FINA</v>
          </cell>
          <cell r="F6178" t="str">
            <v>FINA-S</v>
          </cell>
          <cell r="G6178">
            <v>432</v>
          </cell>
          <cell r="H6178" t="str">
            <v>FINA-S432</v>
          </cell>
          <cell r="K6178" t="str">
            <v>Kennedy,Tim</v>
          </cell>
          <cell r="N6178">
            <v>4</v>
          </cell>
          <cell r="O6178">
            <v>3.43</v>
          </cell>
        </row>
        <row r="6179">
          <cell r="E6179" t="str">
            <v>FINA</v>
          </cell>
          <cell r="F6179" t="str">
            <v>FINA-S</v>
          </cell>
          <cell r="G6179">
            <v>432</v>
          </cell>
          <cell r="H6179" t="str">
            <v>FINA-S432</v>
          </cell>
          <cell r="K6179" t="str">
            <v>Smith,Amanda Lynn</v>
          </cell>
          <cell r="N6179">
            <v>3.8</v>
          </cell>
          <cell r="O6179">
            <v>3.4670000000000001</v>
          </cell>
        </row>
        <row r="6180">
          <cell r="E6180" t="str">
            <v>FINA</v>
          </cell>
          <cell r="F6180" t="str">
            <v>FINA-S</v>
          </cell>
          <cell r="G6180">
            <v>439</v>
          </cell>
          <cell r="H6180" t="str">
            <v>FINA-S439</v>
          </cell>
          <cell r="K6180" t="str">
            <v>Kennedy,Tim</v>
          </cell>
          <cell r="N6180">
            <v>4</v>
          </cell>
          <cell r="O6180">
            <v>3.4279999999999999</v>
          </cell>
        </row>
        <row r="6181">
          <cell r="E6181" t="str">
            <v>FINA</v>
          </cell>
          <cell r="F6181" t="str">
            <v>FINA-S</v>
          </cell>
          <cell r="G6181">
            <v>439</v>
          </cell>
          <cell r="H6181" t="str">
            <v>FINA-S439</v>
          </cell>
          <cell r="K6181" t="str">
            <v>Smith,Amanda Lynn</v>
          </cell>
          <cell r="N6181">
            <v>4</v>
          </cell>
          <cell r="O6181">
            <v>3.46</v>
          </cell>
        </row>
        <row r="6182">
          <cell r="E6182" t="str">
            <v>FINA</v>
          </cell>
          <cell r="F6182" t="str">
            <v>FINA-S</v>
          </cell>
          <cell r="G6182">
            <v>441</v>
          </cell>
          <cell r="H6182" t="str">
            <v>FINA-S441</v>
          </cell>
          <cell r="K6182" t="str">
            <v>Taylor,Neil Sabins</v>
          </cell>
          <cell r="N6182">
            <v>4</v>
          </cell>
          <cell r="O6182">
            <v>3.64</v>
          </cell>
        </row>
        <row r="6183">
          <cell r="E6183" t="str">
            <v>FINA</v>
          </cell>
          <cell r="F6183" t="str">
            <v>FINA-S</v>
          </cell>
          <cell r="G6183">
            <v>442</v>
          </cell>
          <cell r="H6183" t="str">
            <v>FINA-S442</v>
          </cell>
          <cell r="K6183" t="str">
            <v>Dacre,Chris</v>
          </cell>
          <cell r="N6183">
            <v>3.8570000000000002</v>
          </cell>
          <cell r="O6183">
            <v>3.536</v>
          </cell>
        </row>
        <row r="6184">
          <cell r="E6184" t="str">
            <v>FINA</v>
          </cell>
          <cell r="F6184" t="str">
            <v>FINA-S</v>
          </cell>
          <cell r="G6184">
            <v>442</v>
          </cell>
          <cell r="H6184" t="str">
            <v>FINA-S442</v>
          </cell>
          <cell r="K6184" t="str">
            <v>Hauksdottir,Valgerdur</v>
          </cell>
          <cell r="N6184">
            <v>3.8570000000000002</v>
          </cell>
          <cell r="O6184">
            <v>3.6280000000000001</v>
          </cell>
        </row>
        <row r="6185">
          <cell r="E6185" t="str">
            <v>FINA</v>
          </cell>
          <cell r="F6185" t="str">
            <v>FINA-S</v>
          </cell>
          <cell r="G6185">
            <v>443</v>
          </cell>
          <cell r="H6185" t="str">
            <v>FINA-S443</v>
          </cell>
          <cell r="K6185" t="str">
            <v>Gunn,Brandon</v>
          </cell>
          <cell r="N6185">
            <v>3.8879999999999999</v>
          </cell>
          <cell r="O6185">
            <v>3.7639999999999998</v>
          </cell>
        </row>
        <row r="6186">
          <cell r="E6186" t="str">
            <v>FINA</v>
          </cell>
          <cell r="F6186" t="str">
            <v>FINA-S</v>
          </cell>
          <cell r="G6186">
            <v>444</v>
          </cell>
          <cell r="H6186" t="str">
            <v>FINA-S444</v>
          </cell>
          <cell r="K6186" t="str">
            <v>Dacre,Chris</v>
          </cell>
          <cell r="N6186" t="str">
            <v>NR</v>
          </cell>
          <cell r="O6186" t="str">
            <v>NR</v>
          </cell>
        </row>
        <row r="6187">
          <cell r="E6187" t="str">
            <v>FINA</v>
          </cell>
          <cell r="F6187" t="str">
            <v>FINA-S</v>
          </cell>
          <cell r="G6187">
            <v>444</v>
          </cell>
          <cell r="H6187" t="str">
            <v>FINA-S444</v>
          </cell>
          <cell r="K6187" t="str">
            <v>Dacre,Chris</v>
          </cell>
          <cell r="N6187" t="str">
            <v>NR</v>
          </cell>
          <cell r="O6187" t="str">
            <v>NR</v>
          </cell>
        </row>
        <row r="6188">
          <cell r="E6188" t="str">
            <v>FINA</v>
          </cell>
          <cell r="F6188" t="str">
            <v>FINA-S</v>
          </cell>
          <cell r="G6188">
            <v>445</v>
          </cell>
          <cell r="H6188" t="str">
            <v>FINA-S445</v>
          </cell>
          <cell r="K6188" t="str">
            <v>Hauksdottir,Valgerdur</v>
          </cell>
          <cell r="N6188" t="str">
            <v>NR</v>
          </cell>
          <cell r="O6188" t="str">
            <v>NR</v>
          </cell>
        </row>
        <row r="6189">
          <cell r="E6189" t="str">
            <v>FINA</v>
          </cell>
          <cell r="F6189" t="str">
            <v>FINA-S</v>
          </cell>
          <cell r="G6189">
            <v>449</v>
          </cell>
          <cell r="H6189" t="str">
            <v>FINA-S449</v>
          </cell>
          <cell r="K6189" t="str">
            <v>Dacre,Chris</v>
          </cell>
          <cell r="N6189">
            <v>4</v>
          </cell>
          <cell r="O6189">
            <v>3.536</v>
          </cell>
        </row>
        <row r="6190">
          <cell r="E6190" t="str">
            <v>FINA</v>
          </cell>
          <cell r="F6190" t="str">
            <v>FINA-S</v>
          </cell>
          <cell r="G6190">
            <v>449</v>
          </cell>
          <cell r="H6190" t="str">
            <v>FINA-S449</v>
          </cell>
          <cell r="K6190" t="str">
            <v>Hauksdottir,Valgerdur</v>
          </cell>
          <cell r="N6190">
            <v>3.871</v>
          </cell>
          <cell r="O6190">
            <v>3.6280000000000001</v>
          </cell>
        </row>
        <row r="6191">
          <cell r="E6191" t="str">
            <v>FINA</v>
          </cell>
          <cell r="F6191" t="str">
            <v>FINA-S</v>
          </cell>
          <cell r="G6191">
            <v>451</v>
          </cell>
          <cell r="H6191" t="str">
            <v>FINA-S451</v>
          </cell>
          <cell r="K6191" t="str">
            <v>El-Shamy,Jehan H.</v>
          </cell>
          <cell r="N6191">
            <v>3.6760000000000002</v>
          </cell>
          <cell r="O6191">
            <v>3.282</v>
          </cell>
        </row>
        <row r="6192">
          <cell r="E6192" t="str">
            <v>FINA</v>
          </cell>
          <cell r="F6192" t="str">
            <v>FINA-S</v>
          </cell>
          <cell r="G6192">
            <v>451</v>
          </cell>
          <cell r="H6192" t="str">
            <v>FINA-S451</v>
          </cell>
          <cell r="K6192" t="str">
            <v>El-Shamy,Jehan H.</v>
          </cell>
          <cell r="N6192">
            <v>3.9</v>
          </cell>
          <cell r="O6192">
            <v>3.254</v>
          </cell>
        </row>
        <row r="6193">
          <cell r="E6193" t="str">
            <v>FINA</v>
          </cell>
          <cell r="F6193" t="str">
            <v>FINA-S</v>
          </cell>
          <cell r="G6193">
            <v>451</v>
          </cell>
          <cell r="H6193" t="str">
            <v>FINA-S451</v>
          </cell>
          <cell r="K6193" t="str">
            <v>Faris,Rickie Lee</v>
          </cell>
          <cell r="N6193">
            <v>3.4380000000000002</v>
          </cell>
          <cell r="O6193">
            <v>3.1080000000000001</v>
          </cell>
        </row>
        <row r="6194">
          <cell r="E6194" t="str">
            <v>FINA</v>
          </cell>
          <cell r="F6194" t="str">
            <v>FINA-S</v>
          </cell>
          <cell r="G6194">
            <v>451</v>
          </cell>
          <cell r="H6194" t="str">
            <v>FINA-S451</v>
          </cell>
          <cell r="K6194" t="str">
            <v>Reidhaar,James W.</v>
          </cell>
          <cell r="N6194">
            <v>3.67</v>
          </cell>
          <cell r="O6194">
            <v>3.16</v>
          </cell>
        </row>
        <row r="6195">
          <cell r="E6195" t="str">
            <v>FINA</v>
          </cell>
          <cell r="F6195" t="str">
            <v>FINA-S</v>
          </cell>
          <cell r="G6195">
            <v>451</v>
          </cell>
          <cell r="H6195" t="str">
            <v>FINA-S451</v>
          </cell>
          <cell r="K6195" t="str">
            <v>Walker,Thomas William</v>
          </cell>
          <cell r="N6195">
            <v>4</v>
          </cell>
          <cell r="O6195">
            <v>3.383</v>
          </cell>
        </row>
        <row r="6196">
          <cell r="E6196" t="str">
            <v>FINA</v>
          </cell>
          <cell r="F6196" t="str">
            <v>FINA-S</v>
          </cell>
          <cell r="G6196">
            <v>452</v>
          </cell>
          <cell r="H6196" t="str">
            <v>FINA-S452</v>
          </cell>
          <cell r="K6196" t="str">
            <v>Brown,Paul T.</v>
          </cell>
          <cell r="N6196">
            <v>3.7709999999999999</v>
          </cell>
          <cell r="O6196">
            <v>3.4129999999999998</v>
          </cell>
        </row>
        <row r="6197">
          <cell r="E6197" t="str">
            <v>FINA</v>
          </cell>
          <cell r="F6197" t="str">
            <v>FINA-S</v>
          </cell>
          <cell r="G6197">
            <v>452</v>
          </cell>
          <cell r="H6197" t="str">
            <v>FINA-S452</v>
          </cell>
          <cell r="K6197" t="str">
            <v>Dickson,Gary S.</v>
          </cell>
          <cell r="N6197">
            <v>3.6379999999999999</v>
          </cell>
          <cell r="O6197">
            <v>3.49</v>
          </cell>
        </row>
        <row r="6198">
          <cell r="E6198" t="str">
            <v>FINA</v>
          </cell>
          <cell r="F6198" t="str">
            <v>FINA-S</v>
          </cell>
          <cell r="G6198">
            <v>459</v>
          </cell>
          <cell r="H6198" t="str">
            <v>FINA-S459</v>
          </cell>
          <cell r="K6198" t="str">
            <v>Canary,James R</v>
          </cell>
          <cell r="N6198">
            <v>3.8359999999999999</v>
          </cell>
          <cell r="O6198">
            <v>3.3780000000000001</v>
          </cell>
        </row>
        <row r="6199">
          <cell r="E6199" t="str">
            <v>FINA</v>
          </cell>
          <cell r="F6199" t="str">
            <v>FINA-S</v>
          </cell>
          <cell r="G6199">
            <v>461</v>
          </cell>
          <cell r="H6199" t="str">
            <v>FINA-S461</v>
          </cell>
          <cell r="K6199" t="str">
            <v>Meares,Ian Russell</v>
          </cell>
          <cell r="N6199">
            <v>3.5289999999999999</v>
          </cell>
          <cell r="O6199">
            <v>3.2069999999999999</v>
          </cell>
        </row>
        <row r="6200">
          <cell r="E6200" t="str">
            <v>FINA</v>
          </cell>
          <cell r="F6200" t="str">
            <v>FINA-S</v>
          </cell>
          <cell r="G6200">
            <v>461</v>
          </cell>
          <cell r="H6200" t="str">
            <v>FINA-S461</v>
          </cell>
          <cell r="K6200" t="str">
            <v>Meares,Ian Russell</v>
          </cell>
          <cell r="N6200">
            <v>3.85</v>
          </cell>
          <cell r="O6200">
            <v>3.49</v>
          </cell>
        </row>
        <row r="6201">
          <cell r="E6201" t="str">
            <v>FINA</v>
          </cell>
          <cell r="F6201" t="str">
            <v>FINA-S</v>
          </cell>
          <cell r="G6201">
            <v>461</v>
          </cell>
          <cell r="H6201" t="str">
            <v>FINA-S461</v>
          </cell>
          <cell r="K6201" t="str">
            <v>Meares,Ian Russell</v>
          </cell>
          <cell r="N6201">
            <v>3.64</v>
          </cell>
          <cell r="O6201">
            <v>3.21</v>
          </cell>
        </row>
        <row r="6202">
          <cell r="E6202" t="str">
            <v>FINA</v>
          </cell>
          <cell r="F6202" t="str">
            <v>FINA-S</v>
          </cell>
          <cell r="G6202">
            <v>462</v>
          </cell>
          <cell r="H6202" t="str">
            <v>FINA-S462</v>
          </cell>
          <cell r="K6202" t="str">
            <v>Mather,Timothy Wayne</v>
          </cell>
          <cell r="N6202">
            <v>3.8330000000000002</v>
          </cell>
          <cell r="O6202">
            <v>3.34</v>
          </cell>
        </row>
        <row r="6203">
          <cell r="E6203" t="str">
            <v>FINA</v>
          </cell>
          <cell r="F6203" t="str">
            <v>FINA-S</v>
          </cell>
          <cell r="G6203">
            <v>462</v>
          </cell>
          <cell r="H6203" t="str">
            <v>FINA-S462</v>
          </cell>
          <cell r="K6203" t="str">
            <v>Smith,Malcolm Mobutu</v>
          </cell>
          <cell r="N6203">
            <v>3.9329999999999998</v>
          </cell>
          <cell r="O6203">
            <v>3.4990000000000001</v>
          </cell>
        </row>
        <row r="6204">
          <cell r="E6204" t="str">
            <v>FINA</v>
          </cell>
          <cell r="F6204" t="str">
            <v>FINA-S</v>
          </cell>
          <cell r="G6204">
            <v>469</v>
          </cell>
          <cell r="H6204" t="str">
            <v>FINA-S469</v>
          </cell>
          <cell r="K6204" t="str">
            <v>Boger,Christyl</v>
          </cell>
          <cell r="N6204">
            <v>4</v>
          </cell>
          <cell r="O6204">
            <v>3.4990000000000001</v>
          </cell>
        </row>
        <row r="6205">
          <cell r="E6205" t="str">
            <v>FINA</v>
          </cell>
          <cell r="F6205" t="str">
            <v>FINA-S</v>
          </cell>
          <cell r="G6205">
            <v>469</v>
          </cell>
          <cell r="H6205" t="str">
            <v>FINA-S469</v>
          </cell>
          <cell r="K6205" t="str">
            <v>Smith,Malcolm Mobutu</v>
          </cell>
          <cell r="N6205">
            <v>4</v>
          </cell>
          <cell r="O6205">
            <v>3.34</v>
          </cell>
        </row>
        <row r="6206">
          <cell r="E6206" t="str">
            <v>FINA</v>
          </cell>
          <cell r="F6206" t="str">
            <v>FINA-S</v>
          </cell>
          <cell r="G6206">
            <v>471</v>
          </cell>
          <cell r="H6206" t="str">
            <v>FINA-S471</v>
          </cell>
          <cell r="K6206" t="str">
            <v>Boger,Christyl</v>
          </cell>
          <cell r="N6206" t="str">
            <v>NR</v>
          </cell>
          <cell r="O6206" t="str">
            <v>NR</v>
          </cell>
        </row>
        <row r="6207">
          <cell r="E6207" t="str">
            <v>FINA</v>
          </cell>
          <cell r="F6207" t="str">
            <v>FINA-S</v>
          </cell>
          <cell r="G6207">
            <v>471</v>
          </cell>
          <cell r="H6207" t="str">
            <v>FINA-S471</v>
          </cell>
          <cell r="K6207" t="str">
            <v>Frahm,Todd</v>
          </cell>
          <cell r="N6207" t="str">
            <v>NR</v>
          </cell>
          <cell r="O6207" t="str">
            <v>NR</v>
          </cell>
        </row>
        <row r="6208">
          <cell r="E6208" t="str">
            <v>FINA</v>
          </cell>
          <cell r="F6208" t="str">
            <v>FINA-S</v>
          </cell>
          <cell r="G6208">
            <v>471</v>
          </cell>
          <cell r="H6208" t="str">
            <v>FINA-S471</v>
          </cell>
          <cell r="K6208" t="str">
            <v>Jacquard,Nicole Danielle</v>
          </cell>
          <cell r="N6208">
            <v>3.8330000000000002</v>
          </cell>
          <cell r="O6208">
            <v>3.6019999999999999</v>
          </cell>
        </row>
        <row r="6209">
          <cell r="E6209" t="str">
            <v>FINA</v>
          </cell>
          <cell r="F6209" t="str">
            <v>FINA-S</v>
          </cell>
          <cell r="G6209">
            <v>471</v>
          </cell>
          <cell r="H6209" t="str">
            <v>FINA-S471</v>
          </cell>
          <cell r="K6209" t="str">
            <v>Lambert,Alix</v>
          </cell>
          <cell r="N6209" t="str">
            <v>NR</v>
          </cell>
          <cell r="O6209" t="str">
            <v>NR</v>
          </cell>
        </row>
        <row r="6210">
          <cell r="E6210" t="str">
            <v>FINA</v>
          </cell>
          <cell r="F6210" t="str">
            <v>FINA-S</v>
          </cell>
          <cell r="G6210">
            <v>471</v>
          </cell>
          <cell r="H6210" t="str">
            <v>FINA-S471</v>
          </cell>
          <cell r="K6210" t="str">
            <v>McNett,Payson Foster</v>
          </cell>
          <cell r="N6210" t="str">
            <v>NR</v>
          </cell>
          <cell r="O6210" t="str">
            <v>NR</v>
          </cell>
        </row>
        <row r="6211">
          <cell r="E6211" t="str">
            <v>FINA</v>
          </cell>
          <cell r="F6211" t="str">
            <v>FINA-S</v>
          </cell>
          <cell r="G6211">
            <v>472</v>
          </cell>
          <cell r="H6211" t="str">
            <v>FINA-S472</v>
          </cell>
          <cell r="K6211" t="str">
            <v>Lambert,Alix</v>
          </cell>
          <cell r="N6211">
            <v>3.8220000000000001</v>
          </cell>
          <cell r="O6211">
            <v>3.218</v>
          </cell>
        </row>
        <row r="6212">
          <cell r="E6212" t="str">
            <v>FINA</v>
          </cell>
          <cell r="F6212" t="str">
            <v>FINA-S</v>
          </cell>
          <cell r="G6212">
            <v>472</v>
          </cell>
          <cell r="H6212" t="str">
            <v>FINA-S472</v>
          </cell>
          <cell r="K6212" t="str">
            <v>Rothermel,Chris</v>
          </cell>
          <cell r="N6212">
            <v>3.589</v>
          </cell>
          <cell r="O6212">
            <v>3.1880000000000002</v>
          </cell>
        </row>
        <row r="6213">
          <cell r="E6213" t="str">
            <v>FINA</v>
          </cell>
          <cell r="F6213" t="str">
            <v>FINA-S</v>
          </cell>
          <cell r="G6213">
            <v>479</v>
          </cell>
          <cell r="H6213" t="str">
            <v>FINA-S479</v>
          </cell>
          <cell r="K6213" t="str">
            <v>Lambert,Alix</v>
          </cell>
          <cell r="N6213">
            <v>3.8220000000000001</v>
          </cell>
          <cell r="O6213">
            <v>3.218</v>
          </cell>
        </row>
        <row r="6214">
          <cell r="E6214" t="str">
            <v>FINA</v>
          </cell>
          <cell r="F6214" t="str">
            <v>FINA-S</v>
          </cell>
          <cell r="G6214">
            <v>479</v>
          </cell>
          <cell r="H6214" t="str">
            <v>FINA-S479</v>
          </cell>
          <cell r="K6214" t="str">
            <v>Rothermel,Chris</v>
          </cell>
          <cell r="N6214">
            <v>3.589</v>
          </cell>
          <cell r="O6214">
            <v>3.1880000000000002</v>
          </cell>
        </row>
        <row r="6215">
          <cell r="E6215" t="str">
            <v>FINA</v>
          </cell>
          <cell r="F6215" t="str">
            <v>FINA-S</v>
          </cell>
          <cell r="G6215">
            <v>481</v>
          </cell>
          <cell r="H6215" t="str">
            <v>FINA-S481</v>
          </cell>
          <cell r="K6215" t="str">
            <v>Long,Randy J</v>
          </cell>
          <cell r="N6215" t="str">
            <v>NR</v>
          </cell>
          <cell r="O6215" t="str">
            <v>NR</v>
          </cell>
        </row>
        <row r="6216">
          <cell r="E6216" t="str">
            <v>FINA</v>
          </cell>
          <cell r="F6216" t="str">
            <v>FINA-S</v>
          </cell>
          <cell r="G6216">
            <v>481</v>
          </cell>
          <cell r="H6216" t="str">
            <v>FINA-S481</v>
          </cell>
          <cell r="K6216" t="str">
            <v>Long,Randy J</v>
          </cell>
          <cell r="N6216">
            <v>3.786</v>
          </cell>
          <cell r="O6216">
            <v>3.1640000000000001</v>
          </cell>
        </row>
        <row r="6217">
          <cell r="E6217" t="str">
            <v>FINA</v>
          </cell>
          <cell r="F6217" t="str">
            <v>FINA-S</v>
          </cell>
          <cell r="G6217">
            <v>482</v>
          </cell>
          <cell r="H6217" t="str">
            <v>FINA-S482</v>
          </cell>
          <cell r="K6217" t="str">
            <v>Long,Randy J</v>
          </cell>
          <cell r="N6217" t="str">
            <v>NR</v>
          </cell>
          <cell r="O6217" t="str">
            <v>NR</v>
          </cell>
        </row>
        <row r="6218">
          <cell r="E6218" t="str">
            <v>FINA</v>
          </cell>
          <cell r="F6218" t="str">
            <v>FINA-S</v>
          </cell>
          <cell r="G6218">
            <v>482</v>
          </cell>
          <cell r="H6218" t="str">
            <v>FINA-S482</v>
          </cell>
          <cell r="K6218" t="str">
            <v>Long,Randy J</v>
          </cell>
          <cell r="N6218" t="str">
            <v>NR</v>
          </cell>
          <cell r="O6218" t="str">
            <v>NR</v>
          </cell>
        </row>
        <row r="6219">
          <cell r="E6219" t="str">
            <v>FINA</v>
          </cell>
          <cell r="F6219" t="str">
            <v>FINA-S</v>
          </cell>
          <cell r="G6219">
            <v>485</v>
          </cell>
          <cell r="H6219" t="str">
            <v>FINA-S485</v>
          </cell>
          <cell r="K6219" t="str">
            <v>Long,Randy J</v>
          </cell>
          <cell r="N6219" t="str">
            <v>NR</v>
          </cell>
          <cell r="O6219" t="str">
            <v>NR</v>
          </cell>
        </row>
        <row r="6220">
          <cell r="E6220" t="str">
            <v>FINA</v>
          </cell>
          <cell r="F6220" t="str">
            <v>FINA-S</v>
          </cell>
          <cell r="G6220">
            <v>485</v>
          </cell>
          <cell r="H6220" t="str">
            <v>FINA-S485</v>
          </cell>
          <cell r="K6220" t="str">
            <v>Long,Randy J</v>
          </cell>
          <cell r="N6220" t="str">
            <v>NR</v>
          </cell>
          <cell r="O6220" t="str">
            <v>NR</v>
          </cell>
        </row>
        <row r="6221">
          <cell r="E6221" t="str">
            <v>FINA</v>
          </cell>
          <cell r="F6221" t="str">
            <v>FINA-S</v>
          </cell>
          <cell r="G6221">
            <v>490</v>
          </cell>
          <cell r="H6221" t="str">
            <v>FINA-S490</v>
          </cell>
          <cell r="K6221" t="str">
            <v>Mooney,Kevin O'Brien</v>
          </cell>
          <cell r="N6221">
            <v>3.74</v>
          </cell>
          <cell r="O6221">
            <v>3.1360000000000001</v>
          </cell>
        </row>
        <row r="6222">
          <cell r="E6222" t="str">
            <v>FINA</v>
          </cell>
          <cell r="F6222" t="str">
            <v>FINA-S</v>
          </cell>
          <cell r="G6222">
            <v>490</v>
          </cell>
          <cell r="H6222" t="str">
            <v>FINA-S490</v>
          </cell>
          <cell r="K6222" t="str">
            <v>Nakagawa,Osamu James</v>
          </cell>
          <cell r="N6222">
            <v>3.5379999999999998</v>
          </cell>
          <cell r="O6222">
            <v>3.1469999999999998</v>
          </cell>
        </row>
        <row r="6223">
          <cell r="E6223" t="str">
            <v>FINA</v>
          </cell>
          <cell r="F6223" t="str">
            <v>FINA-S</v>
          </cell>
          <cell r="G6223">
            <v>491</v>
          </cell>
          <cell r="H6223" t="str">
            <v>FINA-S491</v>
          </cell>
          <cell r="K6223" t="str">
            <v>Head,Danielle Catherine</v>
          </cell>
          <cell r="N6223">
            <v>3.7919999999999998</v>
          </cell>
          <cell r="O6223">
            <v>2.9460000000000002</v>
          </cell>
        </row>
        <row r="6224">
          <cell r="E6224" t="str">
            <v>FINA</v>
          </cell>
          <cell r="F6224" t="str">
            <v>FINA-S</v>
          </cell>
          <cell r="G6224">
            <v>491</v>
          </cell>
          <cell r="H6224" t="str">
            <v>FINA-S491</v>
          </cell>
          <cell r="K6224" t="str">
            <v>Nakagawa,Osamu James</v>
          </cell>
          <cell r="N6224">
            <v>3.464</v>
          </cell>
          <cell r="O6224">
            <v>3.32</v>
          </cell>
        </row>
        <row r="6225">
          <cell r="E6225" t="str">
            <v>FINA</v>
          </cell>
          <cell r="F6225" t="str">
            <v>FINA-S</v>
          </cell>
          <cell r="G6225">
            <v>491</v>
          </cell>
          <cell r="H6225" t="str">
            <v>FINA-S491</v>
          </cell>
          <cell r="K6225" t="str">
            <v>Wolin,Jeffrey A.</v>
          </cell>
          <cell r="N6225">
            <v>3.6779999999999999</v>
          </cell>
          <cell r="O6225">
            <v>2.762</v>
          </cell>
        </row>
        <row r="6226">
          <cell r="E6226" t="str">
            <v>FINA</v>
          </cell>
          <cell r="F6226" t="str">
            <v>FINA-S</v>
          </cell>
          <cell r="G6226">
            <v>492</v>
          </cell>
          <cell r="H6226" t="str">
            <v>FINA-S492</v>
          </cell>
          <cell r="K6226" t="str">
            <v>Nakagawa,Osamu James</v>
          </cell>
          <cell r="N6226">
            <v>3.536</v>
          </cell>
          <cell r="O6226">
            <v>3.226</v>
          </cell>
        </row>
        <row r="6227">
          <cell r="E6227" t="str">
            <v>FINA</v>
          </cell>
          <cell r="F6227" t="str">
            <v>FINA-S</v>
          </cell>
          <cell r="G6227">
            <v>492</v>
          </cell>
          <cell r="H6227" t="str">
            <v>FINA-S492</v>
          </cell>
          <cell r="K6227" t="str">
            <v>Wolin,Jeffrey A.</v>
          </cell>
          <cell r="N6227">
            <v>3.55</v>
          </cell>
          <cell r="O6227">
            <v>2.9780000000000002</v>
          </cell>
        </row>
        <row r="6228">
          <cell r="E6228" t="str">
            <v>FINA</v>
          </cell>
          <cell r="F6228" t="str">
            <v>FINA-S</v>
          </cell>
          <cell r="G6228">
            <v>503</v>
          </cell>
          <cell r="H6228" t="str">
            <v>FINA-S503</v>
          </cell>
          <cell r="K6228" t="str">
            <v>Kennedy,Tim</v>
          </cell>
          <cell r="N6228" t="str">
            <v>NR</v>
          </cell>
          <cell r="O6228" t="str">
            <v>NR</v>
          </cell>
        </row>
        <row r="6229">
          <cell r="E6229" t="str">
            <v>FINA</v>
          </cell>
          <cell r="F6229" t="str">
            <v>FINA-S</v>
          </cell>
          <cell r="G6229">
            <v>521</v>
          </cell>
          <cell r="H6229" t="str">
            <v>FINA-S521</v>
          </cell>
          <cell r="K6229" t="str">
            <v>Gauthier,Leah</v>
          </cell>
          <cell r="N6229" t="str">
            <v>NR</v>
          </cell>
          <cell r="O6229" t="str">
            <v>NR</v>
          </cell>
        </row>
        <row r="6230">
          <cell r="E6230" t="str">
            <v>FINA</v>
          </cell>
          <cell r="F6230" t="str">
            <v>FINA-S</v>
          </cell>
          <cell r="G6230">
            <v>521</v>
          </cell>
          <cell r="H6230" t="str">
            <v>FINA-S521</v>
          </cell>
          <cell r="K6230" t="str">
            <v>Ricketts,Rowland</v>
          </cell>
          <cell r="N6230" t="str">
            <v>NR</v>
          </cell>
          <cell r="O6230" t="str">
            <v>NR</v>
          </cell>
        </row>
        <row r="6231">
          <cell r="E6231" t="str">
            <v>FINA</v>
          </cell>
          <cell r="F6231" t="str">
            <v>FINA-S</v>
          </cell>
          <cell r="G6231">
            <v>531</v>
          </cell>
          <cell r="H6231" t="str">
            <v>FINA-S531</v>
          </cell>
          <cell r="K6231" t="str">
            <v>Mansdorf,Eve</v>
          </cell>
          <cell r="N6231">
            <v>4</v>
          </cell>
          <cell r="O6231">
            <v>3.9969999999999999</v>
          </cell>
        </row>
        <row r="6232">
          <cell r="E6232" t="str">
            <v>FINA</v>
          </cell>
          <cell r="F6232" t="str">
            <v>FINA-S</v>
          </cell>
          <cell r="G6232">
            <v>531</v>
          </cell>
          <cell r="H6232" t="str">
            <v>FINA-S531</v>
          </cell>
          <cell r="K6232" t="str">
            <v>Mansdorf,Eve</v>
          </cell>
          <cell r="N6232">
            <v>4</v>
          </cell>
          <cell r="O6232">
            <v>3.9980000000000002</v>
          </cell>
        </row>
        <row r="6233">
          <cell r="E6233" t="str">
            <v>FINA</v>
          </cell>
          <cell r="F6233" t="str">
            <v>FINA-S</v>
          </cell>
          <cell r="G6233">
            <v>531</v>
          </cell>
          <cell r="H6233" t="str">
            <v>FINA-S531</v>
          </cell>
          <cell r="K6233" t="str">
            <v>Newberry,Rita Frances</v>
          </cell>
          <cell r="N6233">
            <v>4</v>
          </cell>
          <cell r="O6233">
            <v>3.9969999999999999</v>
          </cell>
        </row>
        <row r="6234">
          <cell r="E6234" t="str">
            <v>FINA</v>
          </cell>
          <cell r="F6234" t="str">
            <v>FINA-S</v>
          </cell>
          <cell r="G6234">
            <v>531</v>
          </cell>
          <cell r="H6234" t="str">
            <v>FINA-S531</v>
          </cell>
          <cell r="K6234" t="str">
            <v>Weintraub,Caleb Harris</v>
          </cell>
          <cell r="N6234">
            <v>4</v>
          </cell>
          <cell r="O6234">
            <v>3.9980000000000002</v>
          </cell>
        </row>
        <row r="6235">
          <cell r="E6235" t="str">
            <v>FINA</v>
          </cell>
          <cell r="F6235" t="str">
            <v>FINA-S</v>
          </cell>
          <cell r="G6235">
            <v>532</v>
          </cell>
          <cell r="H6235" t="str">
            <v>FINA-S532</v>
          </cell>
          <cell r="K6235" t="str">
            <v>Mansdorf,Eve</v>
          </cell>
          <cell r="N6235">
            <v>4</v>
          </cell>
          <cell r="O6235">
            <v>3.9980000000000002</v>
          </cell>
        </row>
        <row r="6236">
          <cell r="E6236" t="str">
            <v>FINA</v>
          </cell>
          <cell r="F6236" t="str">
            <v>FINA-S</v>
          </cell>
          <cell r="G6236">
            <v>532</v>
          </cell>
          <cell r="H6236" t="str">
            <v>FINA-S532</v>
          </cell>
          <cell r="K6236" t="str">
            <v>Newberry,Rita Frances</v>
          </cell>
          <cell r="N6236">
            <v>4</v>
          </cell>
          <cell r="O6236">
            <v>3.9969999999999999</v>
          </cell>
        </row>
        <row r="6237">
          <cell r="E6237" t="str">
            <v>FINA</v>
          </cell>
          <cell r="F6237" t="str">
            <v>FINA-S</v>
          </cell>
          <cell r="G6237">
            <v>535</v>
          </cell>
          <cell r="H6237" t="str">
            <v>FINA-S535</v>
          </cell>
          <cell r="K6237" t="str">
            <v>Mansdorf,Eve</v>
          </cell>
          <cell r="N6237">
            <v>4</v>
          </cell>
          <cell r="O6237">
            <v>3.9980000000000002</v>
          </cell>
        </row>
        <row r="6238">
          <cell r="E6238" t="str">
            <v>FINA</v>
          </cell>
          <cell r="F6238" t="str">
            <v>FINA-S</v>
          </cell>
          <cell r="G6238">
            <v>535</v>
          </cell>
          <cell r="H6238" t="str">
            <v>FINA-S535</v>
          </cell>
          <cell r="K6238" t="str">
            <v>Newberry,Rita Frances</v>
          </cell>
          <cell r="N6238">
            <v>4</v>
          </cell>
          <cell r="O6238">
            <v>3.9969999999999999</v>
          </cell>
        </row>
        <row r="6239">
          <cell r="E6239" t="str">
            <v>FINA</v>
          </cell>
          <cell r="F6239" t="str">
            <v>FINA-S</v>
          </cell>
          <cell r="G6239">
            <v>541</v>
          </cell>
          <cell r="H6239" t="str">
            <v>FINA-S541</v>
          </cell>
          <cell r="K6239" t="str">
            <v>Dacre,Chris</v>
          </cell>
          <cell r="N6239">
            <v>3.9750000000000001</v>
          </cell>
          <cell r="O6239">
            <v>3.94</v>
          </cell>
        </row>
        <row r="6240">
          <cell r="E6240" t="str">
            <v>FINA</v>
          </cell>
          <cell r="F6240" t="str">
            <v>FINA-S</v>
          </cell>
          <cell r="G6240">
            <v>541</v>
          </cell>
          <cell r="H6240" t="str">
            <v>FINA-S541</v>
          </cell>
          <cell r="K6240" t="str">
            <v>Hauksdottir,Valgerdur</v>
          </cell>
          <cell r="N6240">
            <v>3.8929999999999998</v>
          </cell>
          <cell r="O6240">
            <v>3.9209999999999998</v>
          </cell>
        </row>
        <row r="6241">
          <cell r="E6241" t="str">
            <v>FINA</v>
          </cell>
          <cell r="F6241" t="str">
            <v>FINA-S</v>
          </cell>
          <cell r="G6241">
            <v>545</v>
          </cell>
          <cell r="H6241" t="str">
            <v>FINA-S545</v>
          </cell>
          <cell r="K6241" t="str">
            <v>Dacre,Chris</v>
          </cell>
          <cell r="N6241">
            <v>3.9630000000000001</v>
          </cell>
          <cell r="O6241">
            <v>3.919</v>
          </cell>
        </row>
        <row r="6242">
          <cell r="E6242" t="str">
            <v>FINA</v>
          </cell>
          <cell r="F6242" t="str">
            <v>FINA-S</v>
          </cell>
          <cell r="G6242">
            <v>545</v>
          </cell>
          <cell r="H6242" t="str">
            <v>FINA-S545</v>
          </cell>
          <cell r="K6242" t="str">
            <v>Gunn,Brandon</v>
          </cell>
          <cell r="N6242">
            <v>3.9249999999999998</v>
          </cell>
          <cell r="O6242">
            <v>3.9630000000000001</v>
          </cell>
        </row>
        <row r="6243">
          <cell r="E6243" t="str">
            <v>FINA</v>
          </cell>
          <cell r="F6243" t="str">
            <v>FINA-S</v>
          </cell>
          <cell r="G6243">
            <v>546</v>
          </cell>
          <cell r="H6243" t="str">
            <v>FINA-S546</v>
          </cell>
          <cell r="K6243" t="str">
            <v>Hauksdottir,Valgerdur</v>
          </cell>
          <cell r="N6243">
            <v>3.9</v>
          </cell>
          <cell r="O6243">
            <v>3.819</v>
          </cell>
        </row>
        <row r="6244">
          <cell r="E6244" t="str">
            <v>FINA</v>
          </cell>
          <cell r="F6244" t="str">
            <v>FINA-S</v>
          </cell>
          <cell r="G6244">
            <v>551</v>
          </cell>
          <cell r="H6244" t="str">
            <v>FINA-S551</v>
          </cell>
          <cell r="K6244" t="str">
            <v>Reidhaar,James W.</v>
          </cell>
          <cell r="N6244" t="str">
            <v>NR</v>
          </cell>
          <cell r="O6244" t="str">
            <v>NR</v>
          </cell>
        </row>
        <row r="6245">
          <cell r="E6245" t="str">
            <v>FINA</v>
          </cell>
          <cell r="F6245" t="str">
            <v>FINA-S</v>
          </cell>
          <cell r="G6245">
            <v>551</v>
          </cell>
          <cell r="H6245" t="str">
            <v>FINA-S551</v>
          </cell>
          <cell r="K6245" t="str">
            <v>Walker,Thomas William</v>
          </cell>
          <cell r="N6245" t="str">
            <v>NR</v>
          </cell>
          <cell r="O6245" t="str">
            <v>NR</v>
          </cell>
        </row>
        <row r="6246">
          <cell r="E6246" t="str">
            <v>FINA</v>
          </cell>
          <cell r="F6246" t="str">
            <v>FINA-S</v>
          </cell>
          <cell r="G6246">
            <v>552</v>
          </cell>
          <cell r="H6246" t="str">
            <v>FINA-S552</v>
          </cell>
          <cell r="K6246" t="str">
            <v>Dickson,Gary S.</v>
          </cell>
          <cell r="N6246">
            <v>3.581</v>
          </cell>
          <cell r="O6246">
            <v>3.6440000000000001</v>
          </cell>
        </row>
        <row r="6247">
          <cell r="E6247" t="str">
            <v>FINA</v>
          </cell>
          <cell r="F6247" t="str">
            <v>FINA-S</v>
          </cell>
          <cell r="G6247">
            <v>552</v>
          </cell>
          <cell r="H6247" t="str">
            <v>FINA-S552</v>
          </cell>
          <cell r="K6247" t="str">
            <v>Walker,Thomas William</v>
          </cell>
          <cell r="N6247">
            <v>4</v>
          </cell>
          <cell r="O6247">
            <v>3.694</v>
          </cell>
        </row>
        <row r="6248">
          <cell r="E6248" t="str">
            <v>FINA</v>
          </cell>
          <cell r="F6248" t="str">
            <v>FINA-S</v>
          </cell>
          <cell r="G6248">
            <v>561</v>
          </cell>
          <cell r="H6248" t="str">
            <v>FINA-S561</v>
          </cell>
          <cell r="K6248" t="str">
            <v>Boger,Christyl</v>
          </cell>
          <cell r="N6248">
            <v>3.8</v>
          </cell>
          <cell r="O6248">
            <v>3.7770000000000001</v>
          </cell>
        </row>
        <row r="6249">
          <cell r="E6249" t="str">
            <v>FINA</v>
          </cell>
          <cell r="F6249" t="str">
            <v>FINA-S</v>
          </cell>
          <cell r="G6249">
            <v>561</v>
          </cell>
          <cell r="H6249" t="str">
            <v>FINA-S561</v>
          </cell>
          <cell r="K6249" t="str">
            <v>Mather,Timothy Wayne</v>
          </cell>
          <cell r="N6249">
            <v>3.2879999999999998</v>
          </cell>
          <cell r="O6249">
            <v>3.6110000000000002</v>
          </cell>
        </row>
        <row r="6250">
          <cell r="E6250" t="str">
            <v>FINA</v>
          </cell>
          <cell r="F6250" t="str">
            <v>FINA-S</v>
          </cell>
          <cell r="G6250">
            <v>569</v>
          </cell>
          <cell r="H6250" t="str">
            <v>FINA-S569</v>
          </cell>
          <cell r="K6250" t="str">
            <v>Boger,Christyl</v>
          </cell>
          <cell r="N6250">
            <v>3.7250000000000001</v>
          </cell>
          <cell r="O6250">
            <v>3.7770000000000001</v>
          </cell>
        </row>
        <row r="6251">
          <cell r="E6251" t="str">
            <v>FINA</v>
          </cell>
          <cell r="F6251" t="str">
            <v>FINA-S</v>
          </cell>
          <cell r="G6251">
            <v>569</v>
          </cell>
          <cell r="H6251" t="str">
            <v>FINA-S569</v>
          </cell>
          <cell r="K6251" t="str">
            <v>Smith,Malcolm Mobutu</v>
          </cell>
          <cell r="N6251">
            <v>3.3879999999999999</v>
          </cell>
          <cell r="O6251">
            <v>3.6110000000000002</v>
          </cell>
        </row>
        <row r="6252">
          <cell r="E6252" t="str">
            <v>FINA</v>
          </cell>
          <cell r="F6252" t="str">
            <v>FINA-S</v>
          </cell>
          <cell r="G6252">
            <v>571</v>
          </cell>
          <cell r="H6252" t="str">
            <v>FINA-S571</v>
          </cell>
          <cell r="K6252" t="str">
            <v>De St. Croix,Blane</v>
          </cell>
          <cell r="N6252">
            <v>4</v>
          </cell>
          <cell r="O6252">
            <v>3.702</v>
          </cell>
        </row>
        <row r="6253">
          <cell r="E6253" t="str">
            <v>FINA</v>
          </cell>
          <cell r="F6253" t="str">
            <v>FINA-S</v>
          </cell>
          <cell r="G6253">
            <v>571</v>
          </cell>
          <cell r="H6253" t="str">
            <v>FINA-S571</v>
          </cell>
          <cell r="K6253" t="str">
            <v>Frahm,Todd</v>
          </cell>
          <cell r="N6253">
            <v>4</v>
          </cell>
          <cell r="O6253">
            <v>3.6640000000000001</v>
          </cell>
        </row>
        <row r="6254">
          <cell r="E6254" t="str">
            <v>FINA</v>
          </cell>
          <cell r="F6254" t="str">
            <v>FINA-S</v>
          </cell>
          <cell r="G6254">
            <v>572</v>
          </cell>
          <cell r="H6254" t="str">
            <v>FINA-S572</v>
          </cell>
          <cell r="K6254" t="str">
            <v>De St. Croix,Blane</v>
          </cell>
          <cell r="N6254">
            <v>4</v>
          </cell>
          <cell r="O6254">
            <v>3.702</v>
          </cell>
        </row>
        <row r="6255">
          <cell r="E6255" t="str">
            <v>FINA</v>
          </cell>
          <cell r="F6255" t="str">
            <v>FINA-S</v>
          </cell>
          <cell r="G6255">
            <v>572</v>
          </cell>
          <cell r="H6255" t="str">
            <v>FINA-S572</v>
          </cell>
          <cell r="K6255" t="str">
            <v>Frahm,Todd</v>
          </cell>
          <cell r="N6255">
            <v>4</v>
          </cell>
          <cell r="O6255">
            <v>3.718</v>
          </cell>
        </row>
        <row r="6256">
          <cell r="E6256" t="str">
            <v>FINA</v>
          </cell>
          <cell r="F6256" t="str">
            <v>FINA-S</v>
          </cell>
          <cell r="G6256">
            <v>581</v>
          </cell>
          <cell r="H6256" t="str">
            <v>FINA-S581</v>
          </cell>
          <cell r="K6256" t="str">
            <v>Long,Randy J</v>
          </cell>
          <cell r="N6256" t="str">
            <v>NR</v>
          </cell>
          <cell r="O6256" t="str">
            <v>NR</v>
          </cell>
        </row>
        <row r="6257">
          <cell r="E6257" t="str">
            <v>FINA</v>
          </cell>
          <cell r="F6257" t="str">
            <v>FINA-S</v>
          </cell>
          <cell r="G6257">
            <v>581</v>
          </cell>
          <cell r="H6257" t="str">
            <v>FINA-S581</v>
          </cell>
          <cell r="K6257" t="str">
            <v>Long,Randy J</v>
          </cell>
          <cell r="N6257" t="str">
            <v>NR</v>
          </cell>
          <cell r="O6257" t="str">
            <v>NR</v>
          </cell>
        </row>
        <row r="6258">
          <cell r="E6258" t="str">
            <v>FINA</v>
          </cell>
          <cell r="F6258" t="str">
            <v>FINA-S</v>
          </cell>
          <cell r="G6258">
            <v>582</v>
          </cell>
          <cell r="H6258" t="str">
            <v>FINA-S582</v>
          </cell>
          <cell r="K6258" t="str">
            <v>Long,Randy J</v>
          </cell>
          <cell r="N6258" t="str">
            <v>NR</v>
          </cell>
          <cell r="O6258" t="str">
            <v>NR</v>
          </cell>
        </row>
        <row r="6259">
          <cell r="E6259" t="str">
            <v>FINA</v>
          </cell>
          <cell r="F6259" t="str">
            <v>FINA-S</v>
          </cell>
          <cell r="G6259">
            <v>582</v>
          </cell>
          <cell r="H6259" t="str">
            <v>FINA-S582</v>
          </cell>
          <cell r="K6259" t="str">
            <v>Long,Randy J</v>
          </cell>
          <cell r="N6259" t="str">
            <v>NR</v>
          </cell>
          <cell r="O6259" t="str">
            <v>NR</v>
          </cell>
        </row>
        <row r="6260">
          <cell r="E6260" t="str">
            <v>FINA</v>
          </cell>
          <cell r="F6260" t="str">
            <v>FINA-S</v>
          </cell>
          <cell r="G6260">
            <v>591</v>
          </cell>
          <cell r="H6260" t="str">
            <v>FINA-S591</v>
          </cell>
          <cell r="K6260" t="str">
            <v>Nakagawa,Osamu James</v>
          </cell>
          <cell r="N6260">
            <v>3.6</v>
          </cell>
          <cell r="O6260">
            <v>3.8479999999999999</v>
          </cell>
        </row>
        <row r="6261">
          <cell r="E6261" t="str">
            <v>FINA</v>
          </cell>
          <cell r="F6261" t="str">
            <v>FINA-S</v>
          </cell>
          <cell r="G6261">
            <v>591</v>
          </cell>
          <cell r="H6261" t="str">
            <v>FINA-S591</v>
          </cell>
          <cell r="K6261" t="str">
            <v>Wolin,Jeffrey A.</v>
          </cell>
          <cell r="N6261">
            <v>3.625</v>
          </cell>
          <cell r="O6261">
            <v>3.7280000000000002</v>
          </cell>
        </row>
        <row r="6262">
          <cell r="E6262" t="str">
            <v>FINA</v>
          </cell>
          <cell r="F6262" t="str">
            <v>FINA-S</v>
          </cell>
          <cell r="G6262">
            <v>695</v>
          </cell>
          <cell r="H6262" t="str">
            <v>FINA-S695</v>
          </cell>
          <cell r="K6262" t="str">
            <v>Smith,Malcolm Mobutu</v>
          </cell>
          <cell r="N6262">
            <v>3.9409999999999998</v>
          </cell>
          <cell r="O6262">
            <v>3.8079999999999998</v>
          </cell>
        </row>
        <row r="6263">
          <cell r="E6263" t="str">
            <v>FINA</v>
          </cell>
          <cell r="F6263" t="str">
            <v>FINA-U</v>
          </cell>
          <cell r="G6263">
            <v>201</v>
          </cell>
          <cell r="H6263" t="str">
            <v>FINA-U201</v>
          </cell>
          <cell r="K6263" t="str">
            <v>Cornell,Laurel L.</v>
          </cell>
          <cell r="N6263" t="str">
            <v>NR</v>
          </cell>
          <cell r="O6263" t="str">
            <v>NR</v>
          </cell>
        </row>
        <row r="6264">
          <cell r="E6264" t="str">
            <v>FINA</v>
          </cell>
          <cell r="F6264" t="str">
            <v>FINA-U</v>
          </cell>
          <cell r="G6264">
            <v>201</v>
          </cell>
          <cell r="H6264" t="str">
            <v>FINA-U201</v>
          </cell>
          <cell r="K6264" t="str">
            <v>Macleish,Martha Caroline</v>
          </cell>
          <cell r="N6264">
            <v>3.944</v>
          </cell>
          <cell r="O6264">
            <v>3.1040000000000001</v>
          </cell>
        </row>
        <row r="6265">
          <cell r="E6265" t="str">
            <v>FINA</v>
          </cell>
          <cell r="F6265" t="str">
            <v>FINA-U</v>
          </cell>
          <cell r="G6265">
            <v>301</v>
          </cell>
          <cell r="H6265" t="str">
            <v>FINA-U301</v>
          </cell>
          <cell r="K6265" t="str">
            <v>Cornell,Laurel L.</v>
          </cell>
          <cell r="N6265">
            <v>3.4729999999999999</v>
          </cell>
          <cell r="O6265">
            <v>3.0390000000000001</v>
          </cell>
        </row>
        <row r="6266">
          <cell r="E6266" t="str">
            <v>FINA</v>
          </cell>
          <cell r="F6266" t="str">
            <v>FINA-U</v>
          </cell>
          <cell r="G6266">
            <v>301</v>
          </cell>
          <cell r="H6266" t="str">
            <v>FINA-U301</v>
          </cell>
          <cell r="K6266" t="str">
            <v>El-Shamy,Jehan H.</v>
          </cell>
          <cell r="N6266">
            <v>2.2559999999999998</v>
          </cell>
          <cell r="O6266">
            <v>2.532</v>
          </cell>
        </row>
        <row r="6267">
          <cell r="E6267" t="str">
            <v>FINA</v>
          </cell>
          <cell r="F6267" t="str">
            <v>FINA-U</v>
          </cell>
          <cell r="G6267">
            <v>400</v>
          </cell>
          <cell r="H6267" t="str">
            <v>FINA-U400</v>
          </cell>
          <cell r="K6267" t="str">
            <v>Stirratt,Elizabeth Anne</v>
          </cell>
          <cell r="N6267">
            <v>3.8170000000000002</v>
          </cell>
          <cell r="O6267">
            <v>3.3490000000000002</v>
          </cell>
        </row>
        <row r="6268">
          <cell r="E6268" t="str">
            <v>FINA</v>
          </cell>
          <cell r="F6268" t="str">
            <v>FINA-U</v>
          </cell>
          <cell r="G6268">
            <v>401</v>
          </cell>
          <cell r="H6268" t="str">
            <v>FINA-U401</v>
          </cell>
          <cell r="K6268" t="str">
            <v>Bernstein,Edward Charles</v>
          </cell>
          <cell r="N6268">
            <v>3.75</v>
          </cell>
          <cell r="O6268">
            <v>3.3079999999999998</v>
          </cell>
        </row>
        <row r="6269">
          <cell r="E6269" t="str">
            <v>FINA</v>
          </cell>
          <cell r="F6269" t="str">
            <v>FINA-U</v>
          </cell>
          <cell r="G6269">
            <v>401</v>
          </cell>
          <cell r="H6269" t="str">
            <v>FINA-U401</v>
          </cell>
          <cell r="K6269" t="str">
            <v>Cluver,Yara Ferreira</v>
          </cell>
          <cell r="N6269">
            <v>3.6139999999999999</v>
          </cell>
          <cell r="O6269">
            <v>3.3940000000000001</v>
          </cell>
        </row>
        <row r="6270">
          <cell r="E6270" t="str">
            <v>FINA</v>
          </cell>
          <cell r="F6270" t="str">
            <v>FINA-U</v>
          </cell>
          <cell r="G6270">
            <v>401</v>
          </cell>
          <cell r="H6270" t="str">
            <v>FINA-U401</v>
          </cell>
          <cell r="K6270" t="str">
            <v>El-Shamy,Jehan H.</v>
          </cell>
          <cell r="N6270" t="str">
            <v>NR</v>
          </cell>
          <cell r="O6270" t="str">
            <v>NR</v>
          </cell>
        </row>
        <row r="6271">
          <cell r="E6271" t="str">
            <v>FINA</v>
          </cell>
          <cell r="F6271" t="str">
            <v>FINA-U</v>
          </cell>
          <cell r="G6271">
            <v>401</v>
          </cell>
          <cell r="H6271" t="str">
            <v>FINA-U401</v>
          </cell>
          <cell r="K6271" t="str">
            <v>Engberding,Reinhold</v>
          </cell>
          <cell r="N6271">
            <v>3.6429999999999998</v>
          </cell>
          <cell r="O6271">
            <v>2.9079999999999999</v>
          </cell>
        </row>
        <row r="6272">
          <cell r="E6272" t="str">
            <v>FINA</v>
          </cell>
          <cell r="F6272" t="str">
            <v>FINA-U</v>
          </cell>
          <cell r="G6272">
            <v>401</v>
          </cell>
          <cell r="H6272" t="str">
            <v>FINA-U401</v>
          </cell>
          <cell r="K6272" t="str">
            <v>Hlynsdottir,Berglind Jona</v>
          </cell>
          <cell r="N6272">
            <v>3.4830000000000001</v>
          </cell>
          <cell r="O6272">
            <v>2.9590000000000001</v>
          </cell>
        </row>
        <row r="6273">
          <cell r="E6273" t="str">
            <v>FINA</v>
          </cell>
          <cell r="F6273" t="str">
            <v>FINA-U</v>
          </cell>
          <cell r="G6273">
            <v>402</v>
          </cell>
          <cell r="H6273" t="str">
            <v>FINA-U402</v>
          </cell>
          <cell r="K6273" t="str">
            <v>Dollison,Brent Thomas</v>
          </cell>
          <cell r="N6273" t="str">
            <v>NR</v>
          </cell>
          <cell r="O6273" t="str">
            <v>NR</v>
          </cell>
        </row>
        <row r="6274">
          <cell r="E6274" t="str">
            <v>FINA</v>
          </cell>
          <cell r="F6274" t="str">
            <v>FINA-U</v>
          </cell>
          <cell r="G6274">
            <v>402</v>
          </cell>
          <cell r="H6274" t="str">
            <v>FINA-U402</v>
          </cell>
          <cell r="K6274" t="str">
            <v>Dollison,Brent Thomas</v>
          </cell>
          <cell r="N6274" t="str">
            <v>NR</v>
          </cell>
          <cell r="O6274" t="str">
            <v>NR</v>
          </cell>
        </row>
        <row r="6275">
          <cell r="E6275" t="str">
            <v>FINA</v>
          </cell>
          <cell r="F6275" t="str">
            <v>FINA-U</v>
          </cell>
          <cell r="G6275">
            <v>402</v>
          </cell>
          <cell r="H6275" t="str">
            <v>FINA-U402</v>
          </cell>
          <cell r="K6275" t="str">
            <v>Dollison,Brent Thomas</v>
          </cell>
          <cell r="N6275">
            <v>3.2170000000000001</v>
          </cell>
          <cell r="O6275">
            <v>3.3719999999999999</v>
          </cell>
        </row>
        <row r="6276">
          <cell r="E6276" t="str">
            <v>FINA</v>
          </cell>
          <cell r="F6276" t="str">
            <v>FINA-U</v>
          </cell>
          <cell r="G6276">
            <v>402</v>
          </cell>
          <cell r="H6276" t="str">
            <v>FINA-U402</v>
          </cell>
          <cell r="K6276" t="str">
            <v>McNett,Payson Foster</v>
          </cell>
          <cell r="N6276" t="str">
            <v>NR</v>
          </cell>
          <cell r="O6276" t="str">
            <v>NR</v>
          </cell>
        </row>
        <row r="6277">
          <cell r="E6277" t="str">
            <v>FINA</v>
          </cell>
          <cell r="F6277" t="str">
            <v>FINA-U</v>
          </cell>
          <cell r="G6277">
            <v>450</v>
          </cell>
          <cell r="H6277" t="str">
            <v>FINA-U450</v>
          </cell>
          <cell r="K6277" t="str">
            <v>Brown,Paul T.</v>
          </cell>
          <cell r="N6277">
            <v>4</v>
          </cell>
          <cell r="O6277">
            <v>3.137</v>
          </cell>
        </row>
        <row r="6278">
          <cell r="E6278" t="str">
            <v>FINA</v>
          </cell>
          <cell r="F6278" t="str">
            <v>FINA-U</v>
          </cell>
          <cell r="G6278">
            <v>450</v>
          </cell>
          <cell r="H6278" t="str">
            <v>FINA-U450</v>
          </cell>
          <cell r="K6278" t="str">
            <v>Brown,Paul T.</v>
          </cell>
          <cell r="N6278">
            <v>3.8650000000000002</v>
          </cell>
          <cell r="O6278">
            <v>3.173</v>
          </cell>
        </row>
        <row r="6279">
          <cell r="E6279" t="str">
            <v>FINA</v>
          </cell>
          <cell r="F6279" t="str">
            <v>FINA-U</v>
          </cell>
          <cell r="G6279">
            <v>501</v>
          </cell>
          <cell r="H6279" t="str">
            <v>FINA-U501</v>
          </cell>
          <cell r="K6279" t="str">
            <v>Bernstein,Edward Charles</v>
          </cell>
          <cell r="N6279" t="str">
            <v>NR</v>
          </cell>
          <cell r="O6279" t="str">
            <v>NR</v>
          </cell>
        </row>
        <row r="6280">
          <cell r="E6280" t="str">
            <v>FINA</v>
          </cell>
          <cell r="F6280" t="str">
            <v>FINA-U</v>
          </cell>
          <cell r="G6280">
            <v>501</v>
          </cell>
          <cell r="H6280" t="str">
            <v>FINA-U501</v>
          </cell>
          <cell r="K6280" t="str">
            <v>Engberding,Reinhold</v>
          </cell>
          <cell r="N6280" t="str">
            <v>NR</v>
          </cell>
          <cell r="O6280" t="str">
            <v>NR</v>
          </cell>
        </row>
        <row r="6281">
          <cell r="E6281" t="str">
            <v>FINA</v>
          </cell>
          <cell r="F6281" t="str">
            <v>FINA-U</v>
          </cell>
          <cell r="G6281">
            <v>501</v>
          </cell>
          <cell r="H6281" t="str">
            <v>FINA-U501</v>
          </cell>
          <cell r="K6281" t="str">
            <v>Hlynsdottir,Berglind Jona</v>
          </cell>
          <cell r="N6281" t="str">
            <v>NR</v>
          </cell>
          <cell r="O6281" t="str">
            <v>NR</v>
          </cell>
        </row>
        <row r="6282">
          <cell r="E6282" t="str">
            <v>FINA</v>
          </cell>
          <cell r="F6282" t="str">
            <v>FINA-U</v>
          </cell>
          <cell r="G6282">
            <v>710</v>
          </cell>
          <cell r="H6282" t="str">
            <v>FINA-U710</v>
          </cell>
          <cell r="K6282" t="str">
            <v>Dolinsky,Margaret</v>
          </cell>
          <cell r="N6282" t="str">
            <v>NR</v>
          </cell>
          <cell r="O6282" t="str">
            <v>NR</v>
          </cell>
        </row>
        <row r="6283">
          <cell r="E6283" t="str">
            <v>FINA</v>
          </cell>
          <cell r="F6283" t="str">
            <v>FINA-U</v>
          </cell>
          <cell r="G6283">
            <v>710</v>
          </cell>
          <cell r="H6283" t="str">
            <v>FINA-U710</v>
          </cell>
          <cell r="K6283" t="str">
            <v>Liou,Jawshing Arthur</v>
          </cell>
          <cell r="N6283" t="str">
            <v>NR</v>
          </cell>
          <cell r="O6283" t="str">
            <v>NR</v>
          </cell>
        </row>
        <row r="6284">
          <cell r="E6284" t="str">
            <v>FINA</v>
          </cell>
          <cell r="F6284" t="str">
            <v>FINA-U</v>
          </cell>
          <cell r="G6284">
            <v>710</v>
          </cell>
          <cell r="H6284" t="str">
            <v>FINA-U710</v>
          </cell>
          <cell r="K6284" t="str">
            <v>Mynhier,Jennie</v>
          </cell>
          <cell r="N6284" t="str">
            <v>NR</v>
          </cell>
          <cell r="O6284" t="str">
            <v>NR</v>
          </cell>
        </row>
        <row r="6285">
          <cell r="E6285" t="str">
            <v>FINA</v>
          </cell>
          <cell r="F6285" t="str">
            <v>FINA-U</v>
          </cell>
          <cell r="G6285">
            <v>720</v>
          </cell>
          <cell r="H6285" t="str">
            <v>FINA-U720</v>
          </cell>
          <cell r="K6285" t="str">
            <v>Ricketts,Rowland</v>
          </cell>
          <cell r="N6285" t="str">
            <v>NR</v>
          </cell>
          <cell r="O6285" t="str">
            <v>NR</v>
          </cell>
        </row>
        <row r="6286">
          <cell r="E6286" t="str">
            <v>FINA</v>
          </cell>
          <cell r="F6286" t="str">
            <v>FINA-U</v>
          </cell>
          <cell r="G6286">
            <v>720</v>
          </cell>
          <cell r="H6286" t="str">
            <v>FINA-U720</v>
          </cell>
          <cell r="K6286" t="str">
            <v>Ricketts,Rowland</v>
          </cell>
          <cell r="N6286" t="str">
            <v>NR</v>
          </cell>
          <cell r="O6286" t="str">
            <v>NR</v>
          </cell>
        </row>
        <row r="6287">
          <cell r="E6287" t="str">
            <v>FINA</v>
          </cell>
          <cell r="F6287" t="str">
            <v>FINA-U</v>
          </cell>
          <cell r="G6287">
            <v>760</v>
          </cell>
          <cell r="H6287" t="str">
            <v>FINA-U760</v>
          </cell>
          <cell r="K6287" t="str">
            <v>Smith,Malcolm Mobutu</v>
          </cell>
          <cell r="N6287" t="str">
            <v>NR</v>
          </cell>
          <cell r="O6287" t="str">
            <v>NR</v>
          </cell>
        </row>
        <row r="6288">
          <cell r="E6288" t="str">
            <v>FINA</v>
          </cell>
          <cell r="F6288" t="str">
            <v>FINA-U</v>
          </cell>
          <cell r="G6288">
            <v>760</v>
          </cell>
          <cell r="H6288" t="str">
            <v>FINA-U760</v>
          </cell>
          <cell r="K6288" t="str">
            <v>Smith,Malcolm Mobutu</v>
          </cell>
          <cell r="N6288" t="str">
            <v>NR</v>
          </cell>
          <cell r="O6288" t="str">
            <v>NR</v>
          </cell>
        </row>
        <row r="6289">
          <cell r="E6289" t="str">
            <v>FINA</v>
          </cell>
          <cell r="F6289" t="str">
            <v>FINA-U</v>
          </cell>
          <cell r="G6289">
            <v>770</v>
          </cell>
          <cell r="H6289" t="str">
            <v>FINA-U770</v>
          </cell>
          <cell r="K6289" t="str">
            <v>Frahm,Todd</v>
          </cell>
          <cell r="N6289" t="str">
            <v>NR</v>
          </cell>
          <cell r="O6289" t="str">
            <v>NR</v>
          </cell>
        </row>
        <row r="6290">
          <cell r="E6290" t="str">
            <v>FINA</v>
          </cell>
          <cell r="F6290" t="str">
            <v>FINA-U</v>
          </cell>
          <cell r="G6290">
            <v>780</v>
          </cell>
          <cell r="H6290" t="str">
            <v>FINA-U780</v>
          </cell>
          <cell r="K6290" t="str">
            <v>Long,Randy J</v>
          </cell>
          <cell r="N6290" t="str">
            <v>NR</v>
          </cell>
          <cell r="O6290" t="str">
            <v>NR</v>
          </cell>
        </row>
        <row r="6291">
          <cell r="E6291" t="str">
            <v>FINA</v>
          </cell>
          <cell r="F6291" t="str">
            <v>FINA-U</v>
          </cell>
          <cell r="G6291">
            <v>790</v>
          </cell>
          <cell r="H6291" t="str">
            <v>FINA-U790</v>
          </cell>
          <cell r="K6291" t="str">
            <v>Nakagawa,Osamu James</v>
          </cell>
          <cell r="N6291" t="str">
            <v>NR</v>
          </cell>
          <cell r="O6291" t="str">
            <v>NR</v>
          </cell>
        </row>
        <row r="6292">
          <cell r="E6292" t="str">
            <v>FINA</v>
          </cell>
          <cell r="F6292" t="str">
            <v>FINA-U</v>
          </cell>
          <cell r="G6292">
            <v>790</v>
          </cell>
          <cell r="H6292" t="str">
            <v>FINA-U790</v>
          </cell>
          <cell r="K6292" t="str">
            <v>Nakagawa,Osamu James</v>
          </cell>
          <cell r="N6292" t="str">
            <v>NR</v>
          </cell>
          <cell r="O6292" t="str">
            <v>NR</v>
          </cell>
        </row>
        <row r="6293">
          <cell r="E6293" t="str">
            <v>FINA</v>
          </cell>
          <cell r="F6293" t="str">
            <v>FINA-Y</v>
          </cell>
          <cell r="G6293">
            <v>398</v>
          </cell>
          <cell r="H6293" t="str">
            <v>FINA-Y398</v>
          </cell>
          <cell r="K6293" t="str">
            <v>Brown,Paul T.</v>
          </cell>
          <cell r="N6293" t="str">
            <v>NR</v>
          </cell>
          <cell r="O6293" t="str">
            <v>NR</v>
          </cell>
        </row>
        <row r="6294">
          <cell r="E6294" t="str">
            <v>FINA</v>
          </cell>
          <cell r="F6294" t="str">
            <v>FINA-Y</v>
          </cell>
          <cell r="G6294">
            <v>398</v>
          </cell>
          <cell r="H6294" t="str">
            <v>FINA-Y398</v>
          </cell>
          <cell r="K6294" t="str">
            <v>Brown,Paul T.</v>
          </cell>
          <cell r="N6294" t="str">
            <v>NR</v>
          </cell>
          <cell r="O6294" t="str">
            <v>NR</v>
          </cell>
        </row>
        <row r="6295">
          <cell r="E6295" t="str">
            <v>FINA</v>
          </cell>
          <cell r="F6295" t="str">
            <v>FINA-Y</v>
          </cell>
          <cell r="G6295">
            <v>398</v>
          </cell>
          <cell r="H6295" t="str">
            <v>FINA-Y398</v>
          </cell>
          <cell r="K6295" t="str">
            <v>Brown,Paul T.</v>
          </cell>
          <cell r="N6295" t="str">
            <v>NR</v>
          </cell>
          <cell r="O6295" t="str">
            <v>NR</v>
          </cell>
        </row>
        <row r="6296">
          <cell r="E6296" t="str">
            <v>FLLC</v>
          </cell>
          <cell r="F6296" t="str">
            <v>FLLC-Q</v>
          </cell>
          <cell r="G6296">
            <v>100</v>
          </cell>
          <cell r="H6296" t="str">
            <v>FLLC-Q100</v>
          </cell>
          <cell r="K6296" t="str">
            <v>Galuska,John Daniel</v>
          </cell>
          <cell r="N6296">
            <v>3.7930000000000001</v>
          </cell>
          <cell r="O6296">
            <v>2.996</v>
          </cell>
        </row>
        <row r="6297">
          <cell r="E6297" t="str">
            <v>FLLC</v>
          </cell>
          <cell r="F6297" t="str">
            <v>FLLC-Q</v>
          </cell>
          <cell r="G6297">
            <v>100</v>
          </cell>
          <cell r="H6297" t="str">
            <v>FLLC-Q100</v>
          </cell>
          <cell r="K6297" t="str">
            <v>Galuska,John Daniel</v>
          </cell>
          <cell r="N6297">
            <v>3.117</v>
          </cell>
          <cell r="O6297">
            <v>2.8660000000000001</v>
          </cell>
        </row>
        <row r="6298">
          <cell r="E6298" t="str">
            <v>FOLK</v>
          </cell>
          <cell r="F6298" t="str">
            <v>FOLK-E</v>
          </cell>
          <cell r="G6298">
            <v>112</v>
          </cell>
          <cell r="H6298" t="str">
            <v>FOLK-E112</v>
          </cell>
          <cell r="K6298" t="str">
            <v>Burnim,Mellonee Victoria</v>
          </cell>
          <cell r="N6298">
            <v>2.444</v>
          </cell>
          <cell r="O6298">
            <v>2.597</v>
          </cell>
        </row>
        <row r="6299">
          <cell r="E6299" t="str">
            <v>FOLK</v>
          </cell>
          <cell r="F6299" t="str">
            <v>FOLK-E</v>
          </cell>
          <cell r="G6299">
            <v>295</v>
          </cell>
          <cell r="H6299" t="str">
            <v>FOLK-E295</v>
          </cell>
          <cell r="K6299" t="str">
            <v>Orejuela,Fernando</v>
          </cell>
          <cell r="N6299">
            <v>3.367</v>
          </cell>
          <cell r="O6299">
            <v>3.0449999999999999</v>
          </cell>
        </row>
        <row r="6300">
          <cell r="E6300" t="str">
            <v>FOLK</v>
          </cell>
          <cell r="F6300" t="str">
            <v>FOLK-E</v>
          </cell>
          <cell r="G6300">
            <v>295</v>
          </cell>
          <cell r="H6300" t="str">
            <v>FOLK-E295</v>
          </cell>
          <cell r="K6300" t="str">
            <v>Orejuela,Fernando</v>
          </cell>
          <cell r="N6300">
            <v>3.0859999999999999</v>
          </cell>
          <cell r="O6300">
            <v>2.9550000000000001</v>
          </cell>
        </row>
        <row r="6301">
          <cell r="E6301" t="str">
            <v>FOLK</v>
          </cell>
          <cell r="F6301" t="str">
            <v>FOLK-E</v>
          </cell>
          <cell r="G6301">
            <v>297</v>
          </cell>
          <cell r="H6301" t="str">
            <v>FOLK-E297</v>
          </cell>
          <cell r="K6301" t="str">
            <v>Maultsby,Portia K.</v>
          </cell>
          <cell r="N6301">
            <v>1.97</v>
          </cell>
          <cell r="O6301">
            <v>2.5619999999999998</v>
          </cell>
        </row>
        <row r="6302">
          <cell r="E6302" t="str">
            <v>FOLK</v>
          </cell>
          <cell r="F6302" t="str">
            <v>FOLK-E</v>
          </cell>
          <cell r="G6302">
            <v>522</v>
          </cell>
          <cell r="H6302" t="str">
            <v>FOLK-E522</v>
          </cell>
          <cell r="K6302" t="str">
            <v>Tuohy,Sue M.c.</v>
          </cell>
          <cell r="N6302">
            <v>3.9</v>
          </cell>
          <cell r="O6302">
            <v>3.78</v>
          </cell>
        </row>
        <row r="6303">
          <cell r="E6303" t="str">
            <v>FOLK</v>
          </cell>
          <cell r="F6303" t="str">
            <v>FOLK-E</v>
          </cell>
          <cell r="G6303">
            <v>529</v>
          </cell>
          <cell r="H6303" t="str">
            <v>FOLK-E529</v>
          </cell>
          <cell r="K6303" t="str">
            <v>Burnim,Mellonee Victoria</v>
          </cell>
          <cell r="N6303" t="str">
            <v>NR</v>
          </cell>
          <cell r="O6303" t="str">
            <v>NR</v>
          </cell>
        </row>
        <row r="6304">
          <cell r="E6304" t="str">
            <v>FOLK</v>
          </cell>
          <cell r="F6304" t="str">
            <v>FOLK-F</v>
          </cell>
          <cell r="G6304">
            <v>101</v>
          </cell>
          <cell r="H6304" t="str">
            <v>FOLK-F101</v>
          </cell>
          <cell r="K6304" t="str">
            <v>Foster,Michael Dylan</v>
          </cell>
          <cell r="N6304">
            <v>3.46</v>
          </cell>
          <cell r="O6304">
            <v>3.1539999999999999</v>
          </cell>
        </row>
        <row r="6305">
          <cell r="E6305" t="str">
            <v>FOLK</v>
          </cell>
          <cell r="F6305" t="str">
            <v>FOLK-F</v>
          </cell>
          <cell r="G6305">
            <v>101</v>
          </cell>
          <cell r="H6305" t="str">
            <v>FOLK-F101</v>
          </cell>
          <cell r="K6305" t="str">
            <v>Orejuela,Fernando</v>
          </cell>
          <cell r="N6305">
            <v>3.4249999999999998</v>
          </cell>
          <cell r="O6305">
            <v>3.161</v>
          </cell>
        </row>
        <row r="6306">
          <cell r="E6306" t="str">
            <v>FOLK</v>
          </cell>
          <cell r="F6306" t="str">
            <v>FOLK-F</v>
          </cell>
          <cell r="G6306">
            <v>111</v>
          </cell>
          <cell r="H6306" t="str">
            <v>FOLK-F111</v>
          </cell>
          <cell r="K6306" t="str">
            <v>Burnim,Mellonee Victoria</v>
          </cell>
          <cell r="N6306">
            <v>3.016</v>
          </cell>
          <cell r="O6306">
            <v>3.177</v>
          </cell>
        </row>
        <row r="6307">
          <cell r="E6307" t="str">
            <v>FOLK</v>
          </cell>
          <cell r="F6307" t="str">
            <v>FOLK-F</v>
          </cell>
          <cell r="G6307">
            <v>111</v>
          </cell>
          <cell r="H6307" t="str">
            <v>FOLK-F111</v>
          </cell>
          <cell r="K6307" t="str">
            <v>Leon,Javier F.</v>
          </cell>
          <cell r="N6307">
            <v>2.968</v>
          </cell>
          <cell r="O6307">
            <v>3.2029999999999998</v>
          </cell>
        </row>
        <row r="6308">
          <cell r="E6308" t="str">
            <v>FOLK</v>
          </cell>
          <cell r="F6308" t="str">
            <v>FOLK-F</v>
          </cell>
          <cell r="G6308">
            <v>121</v>
          </cell>
          <cell r="H6308" t="str">
            <v>FOLK-F121</v>
          </cell>
          <cell r="K6308" t="str">
            <v>Shukla,Pravina</v>
          </cell>
          <cell r="N6308">
            <v>3.669</v>
          </cell>
          <cell r="O6308">
            <v>3.2240000000000002</v>
          </cell>
        </row>
        <row r="6309">
          <cell r="E6309" t="str">
            <v>FOLK</v>
          </cell>
          <cell r="F6309" t="str">
            <v>FOLK-F</v>
          </cell>
          <cell r="G6309">
            <v>131</v>
          </cell>
          <cell r="H6309" t="str">
            <v>FOLK-F131</v>
          </cell>
          <cell r="K6309" t="str">
            <v>Shukla,Pravina</v>
          </cell>
          <cell r="N6309">
            <v>3.6150000000000002</v>
          </cell>
          <cell r="O6309">
            <v>3.1560000000000001</v>
          </cell>
        </row>
        <row r="6310">
          <cell r="E6310" t="str">
            <v>FOLK</v>
          </cell>
          <cell r="F6310" t="str">
            <v>FOLK-F</v>
          </cell>
          <cell r="G6310">
            <v>210</v>
          </cell>
          <cell r="H6310" t="str">
            <v>FOLK-F210</v>
          </cell>
          <cell r="K6310" t="str">
            <v>Schrempp,Gregory A.</v>
          </cell>
          <cell r="N6310">
            <v>3.544</v>
          </cell>
          <cell r="O6310">
            <v>3.0209999999999999</v>
          </cell>
        </row>
        <row r="6311">
          <cell r="E6311" t="str">
            <v>FOLK</v>
          </cell>
          <cell r="F6311" t="str">
            <v>FOLK-F</v>
          </cell>
          <cell r="G6311">
            <v>230</v>
          </cell>
          <cell r="H6311" t="str">
            <v>FOLK-F230</v>
          </cell>
          <cell r="K6311" t="str">
            <v>Tuohy,Sue M.c.</v>
          </cell>
          <cell r="N6311">
            <v>3.226</v>
          </cell>
          <cell r="O6311">
            <v>3.1989999999999998</v>
          </cell>
        </row>
        <row r="6312">
          <cell r="E6312" t="str">
            <v>FOLK</v>
          </cell>
          <cell r="F6312" t="str">
            <v>FOLK-F</v>
          </cell>
          <cell r="G6312">
            <v>252</v>
          </cell>
          <cell r="H6312" t="str">
            <v>FOLK-F252</v>
          </cell>
          <cell r="K6312" t="str">
            <v>Bar-Itzhak,Haya</v>
          </cell>
          <cell r="N6312">
            <v>3.1829999999999998</v>
          </cell>
          <cell r="O6312">
            <v>3.101</v>
          </cell>
        </row>
        <row r="6313">
          <cell r="E6313" t="str">
            <v>FOLK</v>
          </cell>
          <cell r="F6313" t="str">
            <v>FOLK-F</v>
          </cell>
          <cell r="G6313">
            <v>252</v>
          </cell>
          <cell r="H6313" t="str">
            <v>FOLK-F252</v>
          </cell>
          <cell r="K6313" t="str">
            <v>Cohen,Judah M</v>
          </cell>
          <cell r="N6313">
            <v>3.32</v>
          </cell>
          <cell r="O6313">
            <v>3.1360000000000001</v>
          </cell>
        </row>
        <row r="6314">
          <cell r="E6314" t="str">
            <v>FOLK</v>
          </cell>
          <cell r="F6314" t="str">
            <v>FOLK-F</v>
          </cell>
          <cell r="G6314">
            <v>252</v>
          </cell>
          <cell r="H6314" t="str">
            <v>FOLK-F252</v>
          </cell>
          <cell r="K6314" t="str">
            <v>Leon,Javier F.</v>
          </cell>
          <cell r="N6314">
            <v>2.6680000000000001</v>
          </cell>
          <cell r="O6314">
            <v>2.85</v>
          </cell>
        </row>
        <row r="6315">
          <cell r="E6315" t="str">
            <v>FOLK</v>
          </cell>
          <cell r="F6315" t="str">
            <v>FOLK-F</v>
          </cell>
          <cell r="G6315">
            <v>252</v>
          </cell>
          <cell r="H6315" t="str">
            <v>FOLK-F252</v>
          </cell>
          <cell r="K6315" t="str">
            <v>Orejuela,Fernando</v>
          </cell>
          <cell r="N6315">
            <v>2.988</v>
          </cell>
          <cell r="O6315">
            <v>2.8170000000000002</v>
          </cell>
        </row>
        <row r="6316">
          <cell r="E6316" t="str">
            <v>FOLK</v>
          </cell>
          <cell r="F6316" t="str">
            <v>FOLK-F</v>
          </cell>
          <cell r="G6316">
            <v>252</v>
          </cell>
          <cell r="H6316" t="str">
            <v>FOLK-F252</v>
          </cell>
          <cell r="K6316" t="str">
            <v>Reed,Daniel Boyce</v>
          </cell>
          <cell r="N6316">
            <v>3.2040000000000002</v>
          </cell>
          <cell r="O6316">
            <v>2.9569999999999999</v>
          </cell>
        </row>
        <row r="6317">
          <cell r="E6317" t="str">
            <v>FOLK</v>
          </cell>
          <cell r="F6317" t="str">
            <v>FOLK-F</v>
          </cell>
          <cell r="G6317">
            <v>253</v>
          </cell>
          <cell r="H6317" t="str">
            <v>FOLK-F253</v>
          </cell>
          <cell r="K6317" t="str">
            <v>Jackson,Jason Baird</v>
          </cell>
          <cell r="N6317">
            <v>3.6920000000000002</v>
          </cell>
          <cell r="O6317">
            <v>2.9750000000000001</v>
          </cell>
        </row>
        <row r="6318">
          <cell r="E6318" t="str">
            <v>FOLK</v>
          </cell>
          <cell r="F6318" t="str">
            <v>FOLK-F</v>
          </cell>
          <cell r="G6318">
            <v>253</v>
          </cell>
          <cell r="H6318" t="str">
            <v>FOLK-F253</v>
          </cell>
          <cell r="K6318" t="str">
            <v>Schrempp,Gregory A.</v>
          </cell>
          <cell r="N6318">
            <v>3.827</v>
          </cell>
          <cell r="O6318">
            <v>3.589</v>
          </cell>
        </row>
        <row r="6319">
          <cell r="E6319" t="str">
            <v>FOLK</v>
          </cell>
          <cell r="F6319" t="str">
            <v>FOLK-F</v>
          </cell>
          <cell r="G6319">
            <v>275</v>
          </cell>
          <cell r="H6319" t="str">
            <v>FOLK-F275</v>
          </cell>
          <cell r="K6319" t="str">
            <v>Duffy,Karen</v>
          </cell>
          <cell r="N6319">
            <v>2.9670000000000001</v>
          </cell>
          <cell r="O6319">
            <v>3.1230000000000002</v>
          </cell>
        </row>
        <row r="6320">
          <cell r="E6320" t="str">
            <v>FOLK</v>
          </cell>
          <cell r="F6320" t="str">
            <v>FOLK-F</v>
          </cell>
          <cell r="G6320">
            <v>301</v>
          </cell>
          <cell r="H6320" t="str">
            <v>FOLK-F301</v>
          </cell>
          <cell r="K6320" t="str">
            <v>McDonald,David Anthony</v>
          </cell>
          <cell r="N6320">
            <v>3.6179999999999999</v>
          </cell>
          <cell r="O6320">
            <v>3.1789999999999998</v>
          </cell>
        </row>
        <row r="6321">
          <cell r="E6321" t="str">
            <v>FOLK</v>
          </cell>
          <cell r="F6321" t="str">
            <v>FOLK-F</v>
          </cell>
          <cell r="G6321">
            <v>301</v>
          </cell>
          <cell r="H6321" t="str">
            <v>FOLK-F301</v>
          </cell>
          <cell r="K6321" t="str">
            <v>Reed,Daniel Boyce</v>
          </cell>
          <cell r="N6321">
            <v>3.335</v>
          </cell>
          <cell r="O6321">
            <v>3.214</v>
          </cell>
        </row>
        <row r="6322">
          <cell r="E6322" t="str">
            <v>FOLK</v>
          </cell>
          <cell r="F6322" t="str">
            <v>FOLK-F</v>
          </cell>
          <cell r="G6322">
            <v>301</v>
          </cell>
          <cell r="H6322" t="str">
            <v>FOLK-F301</v>
          </cell>
          <cell r="K6322" t="str">
            <v>Woma,Bernard</v>
          </cell>
          <cell r="N6322">
            <v>3.9750000000000001</v>
          </cell>
          <cell r="O6322">
            <v>3.3570000000000002</v>
          </cell>
        </row>
        <row r="6323">
          <cell r="E6323" t="str">
            <v>FOLK</v>
          </cell>
          <cell r="F6323" t="str">
            <v>FOLK-F</v>
          </cell>
          <cell r="G6323">
            <v>301</v>
          </cell>
          <cell r="H6323" t="str">
            <v>FOLK-F301</v>
          </cell>
          <cell r="K6323" t="str">
            <v>Woma,Bernard</v>
          </cell>
          <cell r="N6323">
            <v>3.99</v>
          </cell>
          <cell r="O6323">
            <v>3.391</v>
          </cell>
        </row>
        <row r="6324">
          <cell r="E6324" t="str">
            <v>FOLK</v>
          </cell>
          <cell r="F6324" t="str">
            <v>FOLK-F</v>
          </cell>
          <cell r="G6324">
            <v>305</v>
          </cell>
          <cell r="H6324" t="str">
            <v>FOLK-F305</v>
          </cell>
          <cell r="K6324" t="str">
            <v>Tuohy,Sue M.c.</v>
          </cell>
          <cell r="N6324">
            <v>3.4550000000000001</v>
          </cell>
          <cell r="O6324">
            <v>3.4140000000000001</v>
          </cell>
        </row>
        <row r="6325">
          <cell r="E6325" t="str">
            <v>FOLK</v>
          </cell>
          <cell r="F6325" t="str">
            <v>FOLK-F</v>
          </cell>
          <cell r="G6325">
            <v>305</v>
          </cell>
          <cell r="H6325" t="str">
            <v>FOLK-F305</v>
          </cell>
          <cell r="K6325" t="str">
            <v>Tuohy,Sue M.c.</v>
          </cell>
          <cell r="N6325">
            <v>3.3109999999999999</v>
          </cell>
          <cell r="O6325">
            <v>3.2080000000000002</v>
          </cell>
        </row>
        <row r="6326">
          <cell r="E6326" t="str">
            <v>FOLK</v>
          </cell>
          <cell r="F6326" t="str">
            <v>FOLK-F</v>
          </cell>
          <cell r="G6326">
            <v>307</v>
          </cell>
          <cell r="H6326" t="str">
            <v>FOLK-F307</v>
          </cell>
          <cell r="K6326" t="str">
            <v>El-Shamy,Hasan M.</v>
          </cell>
          <cell r="N6326">
            <v>3.2469999999999999</v>
          </cell>
          <cell r="O6326">
            <v>3.0920000000000001</v>
          </cell>
        </row>
        <row r="6327">
          <cell r="E6327" t="str">
            <v>FOLK</v>
          </cell>
          <cell r="F6327" t="str">
            <v>FOLK-F</v>
          </cell>
          <cell r="G6327">
            <v>307</v>
          </cell>
          <cell r="H6327" t="str">
            <v>FOLK-F307</v>
          </cell>
          <cell r="K6327" t="str">
            <v>El-Shamy,Hasan M.</v>
          </cell>
          <cell r="N6327">
            <v>3.1669999999999998</v>
          </cell>
          <cell r="O6327">
            <v>3.0550000000000002</v>
          </cell>
        </row>
        <row r="6328">
          <cell r="E6328" t="str">
            <v>FOLK</v>
          </cell>
          <cell r="F6328" t="str">
            <v>FOLK-F</v>
          </cell>
          <cell r="G6328">
            <v>307</v>
          </cell>
          <cell r="H6328" t="str">
            <v>FOLK-F307</v>
          </cell>
          <cell r="K6328" t="str">
            <v>El-Shamy,Hasan M.</v>
          </cell>
          <cell r="N6328">
            <v>3.117</v>
          </cell>
          <cell r="O6328">
            <v>2.7290000000000001</v>
          </cell>
        </row>
        <row r="6329">
          <cell r="E6329" t="str">
            <v>FOLK</v>
          </cell>
          <cell r="F6329" t="str">
            <v>FOLK-F</v>
          </cell>
          <cell r="G6329">
            <v>307</v>
          </cell>
          <cell r="H6329" t="str">
            <v>FOLK-F307</v>
          </cell>
          <cell r="K6329" t="str">
            <v>Farrokh-Hekmat,Nasrin</v>
          </cell>
          <cell r="N6329">
            <v>3.843</v>
          </cell>
          <cell r="O6329">
            <v>3.1240000000000001</v>
          </cell>
        </row>
        <row r="6330">
          <cell r="E6330" t="str">
            <v>FOLK</v>
          </cell>
          <cell r="F6330" t="str">
            <v>FOLK-F</v>
          </cell>
          <cell r="G6330">
            <v>307</v>
          </cell>
          <cell r="H6330" t="str">
            <v>FOLK-F307</v>
          </cell>
          <cell r="K6330" t="str">
            <v>McDonald,David Anthony</v>
          </cell>
          <cell r="N6330">
            <v>3.4750000000000001</v>
          </cell>
          <cell r="O6330">
            <v>3.1589999999999998</v>
          </cell>
        </row>
        <row r="6331">
          <cell r="E6331" t="str">
            <v>FOLK</v>
          </cell>
          <cell r="F6331" t="str">
            <v>FOLK-F</v>
          </cell>
          <cell r="G6331">
            <v>315</v>
          </cell>
          <cell r="H6331" t="str">
            <v>FOLK-F315</v>
          </cell>
          <cell r="K6331" t="str">
            <v>McDowell,John H.</v>
          </cell>
          <cell r="N6331">
            <v>3.4929999999999999</v>
          </cell>
          <cell r="O6331">
            <v>3.0230000000000001</v>
          </cell>
        </row>
        <row r="6332">
          <cell r="E6332" t="str">
            <v>FOLK</v>
          </cell>
          <cell r="F6332" t="str">
            <v>FOLK-F</v>
          </cell>
          <cell r="G6332">
            <v>315</v>
          </cell>
          <cell r="H6332" t="str">
            <v>FOLK-F315</v>
          </cell>
          <cell r="K6332" t="str">
            <v>McDowell,John H.</v>
          </cell>
          <cell r="N6332">
            <v>3.15</v>
          </cell>
          <cell r="O6332">
            <v>2.8010000000000002</v>
          </cell>
        </row>
        <row r="6333">
          <cell r="E6333" t="str">
            <v>FOLK</v>
          </cell>
          <cell r="F6333" t="str">
            <v>FOLK-F</v>
          </cell>
          <cell r="G6333">
            <v>315</v>
          </cell>
          <cell r="H6333" t="str">
            <v>FOLK-F315</v>
          </cell>
          <cell r="K6333" t="str">
            <v>Stuempfle,Stephen</v>
          </cell>
          <cell r="N6333">
            <v>3.1629999999999998</v>
          </cell>
          <cell r="O6333">
            <v>3.1669999999999998</v>
          </cell>
        </row>
        <row r="6334">
          <cell r="E6334" t="str">
            <v>FOLK</v>
          </cell>
          <cell r="F6334" t="str">
            <v>FOLK-F</v>
          </cell>
          <cell r="G6334">
            <v>356</v>
          </cell>
          <cell r="H6334" t="str">
            <v>FOLK-F356</v>
          </cell>
          <cell r="K6334" t="str">
            <v>Martinez-Rivera,Mintzi Auanda</v>
          </cell>
          <cell r="N6334">
            <v>3.4780000000000002</v>
          </cell>
          <cell r="O6334">
            <v>3.226</v>
          </cell>
        </row>
        <row r="6335">
          <cell r="E6335" t="str">
            <v>FOLK</v>
          </cell>
          <cell r="F6335" t="str">
            <v>FOLK-F</v>
          </cell>
          <cell r="G6335">
            <v>356</v>
          </cell>
          <cell r="H6335" t="str">
            <v>FOLK-F356</v>
          </cell>
          <cell r="K6335" t="str">
            <v>Martinez-Rivera,Mintzi Auanda</v>
          </cell>
          <cell r="N6335" t="str">
            <v>NR</v>
          </cell>
          <cell r="O6335" t="str">
            <v>NR</v>
          </cell>
        </row>
        <row r="6336">
          <cell r="E6336" t="str">
            <v>FOLK</v>
          </cell>
          <cell r="F6336" t="str">
            <v>FOLK-F</v>
          </cell>
          <cell r="G6336">
            <v>358</v>
          </cell>
          <cell r="H6336" t="str">
            <v>FOLK-F358</v>
          </cell>
          <cell r="K6336" t="str">
            <v>Bar-Itzhak,Haya</v>
          </cell>
          <cell r="N6336">
            <v>3.2080000000000002</v>
          </cell>
          <cell r="O6336">
            <v>3.2170000000000001</v>
          </cell>
        </row>
        <row r="6337">
          <cell r="E6337" t="str">
            <v>FOLK</v>
          </cell>
          <cell r="F6337" t="str">
            <v>FOLK-F</v>
          </cell>
          <cell r="G6337">
            <v>359</v>
          </cell>
          <cell r="H6337" t="str">
            <v>FOLK-F359</v>
          </cell>
          <cell r="K6337" t="str">
            <v>Cohen,Judah M</v>
          </cell>
          <cell r="N6337">
            <v>2.7890000000000001</v>
          </cell>
          <cell r="O6337">
            <v>2.75</v>
          </cell>
        </row>
        <row r="6338">
          <cell r="E6338" t="str">
            <v>FOLK</v>
          </cell>
          <cell r="F6338" t="str">
            <v>FOLK-F</v>
          </cell>
          <cell r="G6338">
            <v>400</v>
          </cell>
          <cell r="H6338" t="str">
            <v>FOLK-F400</v>
          </cell>
          <cell r="K6338" t="str">
            <v>McDowell,John H.</v>
          </cell>
          <cell r="N6338" t="str">
            <v>NR</v>
          </cell>
          <cell r="O6338" t="str">
            <v>NR</v>
          </cell>
        </row>
        <row r="6339">
          <cell r="E6339" t="str">
            <v>FOLK</v>
          </cell>
          <cell r="F6339" t="str">
            <v>FOLK-F</v>
          </cell>
          <cell r="G6339">
            <v>401</v>
          </cell>
          <cell r="H6339" t="str">
            <v>FOLK-F401</v>
          </cell>
          <cell r="K6339" t="str">
            <v>Orejuela,Fernando</v>
          </cell>
          <cell r="N6339">
            <v>3.5329999999999999</v>
          </cell>
          <cell r="O6339">
            <v>3.2629999999999999</v>
          </cell>
        </row>
        <row r="6340">
          <cell r="E6340" t="str">
            <v>FOLK</v>
          </cell>
          <cell r="F6340" t="str">
            <v>FOLK-F</v>
          </cell>
          <cell r="G6340">
            <v>401</v>
          </cell>
          <cell r="H6340" t="str">
            <v>FOLK-F401</v>
          </cell>
          <cell r="K6340" t="str">
            <v>Stone,Ruth Marie</v>
          </cell>
          <cell r="N6340">
            <v>3.8239999999999998</v>
          </cell>
          <cell r="O6340">
            <v>3.194</v>
          </cell>
        </row>
        <row r="6341">
          <cell r="E6341" t="str">
            <v>FOLK</v>
          </cell>
          <cell r="F6341" t="str">
            <v>FOLK-F</v>
          </cell>
          <cell r="G6341">
            <v>402</v>
          </cell>
          <cell r="H6341" t="str">
            <v>FOLK-F402</v>
          </cell>
          <cell r="K6341" t="str">
            <v>Goldstein,Diane Ellen</v>
          </cell>
          <cell r="N6341" t="str">
            <v>NR</v>
          </cell>
          <cell r="O6341" t="str">
            <v>NR</v>
          </cell>
        </row>
        <row r="6342">
          <cell r="E6342" t="str">
            <v>FOLK</v>
          </cell>
          <cell r="F6342" t="str">
            <v>FOLK-F</v>
          </cell>
          <cell r="G6342">
            <v>403</v>
          </cell>
          <cell r="H6342" t="str">
            <v>FOLK-F403</v>
          </cell>
          <cell r="K6342" t="str">
            <v>Goldstein,Diane Ellen</v>
          </cell>
          <cell r="N6342" t="str">
            <v>NR</v>
          </cell>
          <cell r="O6342" t="str">
            <v>NR</v>
          </cell>
        </row>
        <row r="6343">
          <cell r="E6343" t="str">
            <v>FOLK</v>
          </cell>
          <cell r="F6343" t="str">
            <v>FOLK-F</v>
          </cell>
          <cell r="G6343">
            <v>403</v>
          </cell>
          <cell r="H6343" t="str">
            <v>FOLK-F403</v>
          </cell>
          <cell r="K6343" t="str">
            <v>McDowell,John H.</v>
          </cell>
          <cell r="N6343" t="str">
            <v>NR</v>
          </cell>
          <cell r="O6343" t="str">
            <v>NR</v>
          </cell>
        </row>
        <row r="6344">
          <cell r="E6344" t="str">
            <v>FOLK</v>
          </cell>
          <cell r="F6344" t="str">
            <v>FOLK-F</v>
          </cell>
          <cell r="G6344">
            <v>430</v>
          </cell>
          <cell r="H6344" t="str">
            <v>FOLK-F430</v>
          </cell>
          <cell r="K6344" t="str">
            <v>El-Shamy,Hasan M.</v>
          </cell>
          <cell r="N6344">
            <v>3.5710000000000002</v>
          </cell>
          <cell r="O6344">
            <v>3.0990000000000002</v>
          </cell>
        </row>
        <row r="6345">
          <cell r="E6345" t="str">
            <v>FOLK</v>
          </cell>
          <cell r="F6345" t="str">
            <v>FOLK-F</v>
          </cell>
          <cell r="G6345">
            <v>497</v>
          </cell>
          <cell r="H6345" t="str">
            <v>FOLK-F497</v>
          </cell>
          <cell r="K6345" t="str">
            <v>Tuohy,Sue M.c.</v>
          </cell>
          <cell r="N6345">
            <v>3.7639999999999998</v>
          </cell>
          <cell r="O6345">
            <v>3.2120000000000002</v>
          </cell>
        </row>
        <row r="6346">
          <cell r="E6346" t="str">
            <v>FOLK</v>
          </cell>
          <cell r="F6346" t="str">
            <v>FOLK-F</v>
          </cell>
          <cell r="G6346">
            <v>501</v>
          </cell>
          <cell r="H6346" t="str">
            <v>FOLK-F501</v>
          </cell>
          <cell r="K6346" t="str">
            <v>McDowell,John H.</v>
          </cell>
          <cell r="N6346" t="str">
            <v>NR</v>
          </cell>
          <cell r="O6346" t="str">
            <v>NR</v>
          </cell>
        </row>
        <row r="6347">
          <cell r="E6347" t="str">
            <v>FOLK</v>
          </cell>
          <cell r="F6347" t="str">
            <v>FOLK-F</v>
          </cell>
          <cell r="G6347">
            <v>501</v>
          </cell>
          <cell r="H6347" t="str">
            <v>FOLK-F501</v>
          </cell>
          <cell r="K6347" t="str">
            <v>McDowell,John H.</v>
          </cell>
          <cell r="N6347" t="str">
            <v>NR</v>
          </cell>
          <cell r="O6347" t="str">
            <v>NR</v>
          </cell>
        </row>
        <row r="6348">
          <cell r="E6348" t="str">
            <v>FOLK</v>
          </cell>
          <cell r="F6348" t="str">
            <v>FOLK-F</v>
          </cell>
          <cell r="G6348">
            <v>516</v>
          </cell>
          <cell r="H6348" t="str">
            <v>FOLK-F516</v>
          </cell>
          <cell r="K6348" t="str">
            <v>Jackson,Jason Baird</v>
          </cell>
          <cell r="N6348">
            <v>3.8330000000000002</v>
          </cell>
          <cell r="O6348">
            <v>3.77</v>
          </cell>
        </row>
        <row r="6349">
          <cell r="E6349" t="str">
            <v>FOLK</v>
          </cell>
          <cell r="F6349" t="str">
            <v>FOLK-F</v>
          </cell>
          <cell r="G6349">
            <v>523</v>
          </cell>
          <cell r="H6349" t="str">
            <v>FOLK-F523</v>
          </cell>
          <cell r="K6349" t="str">
            <v>Shukla,Pravina</v>
          </cell>
          <cell r="N6349">
            <v>3.9220000000000002</v>
          </cell>
          <cell r="O6349">
            <v>3.863</v>
          </cell>
        </row>
        <row r="6350">
          <cell r="E6350" t="str">
            <v>FOLK</v>
          </cell>
          <cell r="F6350" t="str">
            <v>FOLK-F</v>
          </cell>
          <cell r="G6350">
            <v>523</v>
          </cell>
          <cell r="H6350" t="str">
            <v>FOLK-F523</v>
          </cell>
          <cell r="K6350" t="str">
            <v>Tuohy,Sue M.c.</v>
          </cell>
          <cell r="N6350" t="str">
            <v>NR</v>
          </cell>
          <cell r="O6350" t="str">
            <v>NR</v>
          </cell>
        </row>
        <row r="6351">
          <cell r="E6351" t="str">
            <v>FOLK</v>
          </cell>
          <cell r="F6351" t="str">
            <v>FOLK-F</v>
          </cell>
          <cell r="G6351">
            <v>525</v>
          </cell>
          <cell r="H6351" t="str">
            <v>FOLK-F525</v>
          </cell>
          <cell r="K6351" t="str">
            <v>Schrempp,Gregory A.</v>
          </cell>
          <cell r="N6351">
            <v>4</v>
          </cell>
          <cell r="O6351">
            <v>3.97</v>
          </cell>
        </row>
        <row r="6352">
          <cell r="E6352" t="str">
            <v>FOLK</v>
          </cell>
          <cell r="F6352" t="str">
            <v>FOLK-F</v>
          </cell>
          <cell r="G6352">
            <v>532</v>
          </cell>
          <cell r="H6352" t="str">
            <v>FOLK-F532</v>
          </cell>
          <cell r="K6352" t="str">
            <v>Goldstein,Diane Ellen</v>
          </cell>
          <cell r="N6352">
            <v>3.9</v>
          </cell>
          <cell r="O6352">
            <v>3.9369999999999998</v>
          </cell>
        </row>
        <row r="6353">
          <cell r="E6353" t="str">
            <v>FOLK</v>
          </cell>
          <cell r="F6353" t="str">
            <v>FOLK-F</v>
          </cell>
          <cell r="G6353">
            <v>540</v>
          </cell>
          <cell r="H6353" t="str">
            <v>FOLK-F540</v>
          </cell>
          <cell r="K6353" t="str">
            <v>Goldstein,Diane Ellen</v>
          </cell>
          <cell r="N6353">
            <v>3.95</v>
          </cell>
          <cell r="O6353">
            <v>3.919</v>
          </cell>
        </row>
        <row r="6354">
          <cell r="E6354" t="str">
            <v>FOLK</v>
          </cell>
          <cell r="F6354" t="str">
            <v>FOLK-F</v>
          </cell>
          <cell r="G6354">
            <v>540</v>
          </cell>
          <cell r="H6354" t="str">
            <v>FOLK-F540</v>
          </cell>
          <cell r="K6354" t="str">
            <v>Jackson,Jason Baird</v>
          </cell>
          <cell r="N6354">
            <v>3.9169999999999998</v>
          </cell>
          <cell r="O6354">
            <v>3.88</v>
          </cell>
        </row>
        <row r="6355">
          <cell r="E6355" t="str">
            <v>FOLK</v>
          </cell>
          <cell r="F6355" t="str">
            <v>FOLK-F</v>
          </cell>
          <cell r="G6355">
            <v>545</v>
          </cell>
          <cell r="H6355" t="str">
            <v>FOLK-F545</v>
          </cell>
          <cell r="K6355" t="str">
            <v>Schrempp,Gregory A.</v>
          </cell>
          <cell r="N6355">
            <v>3.9569999999999999</v>
          </cell>
          <cell r="O6355">
            <v>3.9119999999999999</v>
          </cell>
        </row>
        <row r="6356">
          <cell r="E6356" t="str">
            <v>FOLK</v>
          </cell>
          <cell r="F6356" t="str">
            <v>FOLK-F</v>
          </cell>
          <cell r="G6356">
            <v>600</v>
          </cell>
          <cell r="H6356" t="str">
            <v>FOLK-F600</v>
          </cell>
          <cell r="K6356" t="str">
            <v>Tuohy,Sue M.c.</v>
          </cell>
          <cell r="N6356" t="str">
            <v>NR</v>
          </cell>
          <cell r="O6356" t="str">
            <v>NR</v>
          </cell>
        </row>
        <row r="6357">
          <cell r="E6357" t="str">
            <v>FOLK</v>
          </cell>
          <cell r="F6357" t="str">
            <v>FOLK-F</v>
          </cell>
          <cell r="G6357">
            <v>609</v>
          </cell>
          <cell r="H6357" t="str">
            <v>FOLK-F609</v>
          </cell>
          <cell r="K6357" t="str">
            <v>McDonald,David Anthony</v>
          </cell>
          <cell r="N6357" t="str">
            <v>NR</v>
          </cell>
          <cell r="O6357" t="str">
            <v>NR</v>
          </cell>
        </row>
        <row r="6358">
          <cell r="E6358" t="str">
            <v>FOLK</v>
          </cell>
          <cell r="F6358" t="str">
            <v>FOLK-F</v>
          </cell>
          <cell r="G6358">
            <v>609</v>
          </cell>
          <cell r="H6358" t="str">
            <v>FOLK-F609</v>
          </cell>
          <cell r="K6358" t="str">
            <v>Woma,Bernard</v>
          </cell>
          <cell r="N6358" t="str">
            <v>NR</v>
          </cell>
          <cell r="O6358" t="str">
            <v>NR</v>
          </cell>
        </row>
        <row r="6359">
          <cell r="E6359" t="str">
            <v>FOLK</v>
          </cell>
          <cell r="F6359" t="str">
            <v>FOLK-F</v>
          </cell>
          <cell r="G6359">
            <v>609</v>
          </cell>
          <cell r="H6359" t="str">
            <v>FOLK-F609</v>
          </cell>
          <cell r="K6359" t="str">
            <v>Woma,Bernard</v>
          </cell>
          <cell r="N6359" t="str">
            <v>NR</v>
          </cell>
          <cell r="O6359" t="str">
            <v>NR</v>
          </cell>
        </row>
        <row r="6360">
          <cell r="E6360" t="str">
            <v>FOLK</v>
          </cell>
          <cell r="F6360" t="str">
            <v>FOLK-F</v>
          </cell>
          <cell r="G6360">
            <v>617</v>
          </cell>
          <cell r="H6360" t="str">
            <v>FOLK-F617</v>
          </cell>
          <cell r="K6360" t="str">
            <v>El-Shamy,Hasan M.</v>
          </cell>
          <cell r="N6360" t="str">
            <v>NR</v>
          </cell>
          <cell r="O6360" t="str">
            <v>NR</v>
          </cell>
        </row>
        <row r="6361">
          <cell r="E6361" t="str">
            <v>FOLK</v>
          </cell>
          <cell r="F6361" t="str">
            <v>FOLK-F</v>
          </cell>
          <cell r="G6361">
            <v>634</v>
          </cell>
          <cell r="H6361" t="str">
            <v>FOLK-F634</v>
          </cell>
          <cell r="K6361" t="str">
            <v>Cohen,Judah M</v>
          </cell>
          <cell r="N6361">
            <v>3.9</v>
          </cell>
          <cell r="O6361">
            <v>3.9039999999999999</v>
          </cell>
        </row>
        <row r="6362">
          <cell r="E6362" t="str">
            <v>FOLK</v>
          </cell>
          <cell r="F6362" t="str">
            <v>FOLK-F</v>
          </cell>
          <cell r="G6362">
            <v>722</v>
          </cell>
          <cell r="H6362" t="str">
            <v>FOLK-F722</v>
          </cell>
          <cell r="K6362" t="str">
            <v>Leon,Javier F.</v>
          </cell>
          <cell r="N6362">
            <v>4</v>
          </cell>
          <cell r="O6362">
            <v>3.9590000000000001</v>
          </cell>
        </row>
        <row r="6363">
          <cell r="E6363" t="str">
            <v>FOLK</v>
          </cell>
          <cell r="F6363" t="str">
            <v>FOLK-F</v>
          </cell>
          <cell r="G6363">
            <v>730</v>
          </cell>
          <cell r="H6363" t="str">
            <v>FOLK-F730</v>
          </cell>
          <cell r="K6363" t="str">
            <v>Shukla,Pravina</v>
          </cell>
          <cell r="N6363">
            <v>3.9329999999999998</v>
          </cell>
          <cell r="O6363">
            <v>3.911</v>
          </cell>
        </row>
        <row r="6364">
          <cell r="E6364" t="str">
            <v>FOLK</v>
          </cell>
          <cell r="F6364" t="str">
            <v>FOLK-F</v>
          </cell>
          <cell r="G6364">
            <v>734</v>
          </cell>
          <cell r="H6364" t="str">
            <v>FOLK-F734</v>
          </cell>
          <cell r="K6364" t="str">
            <v>Foster,Michael Dylan</v>
          </cell>
          <cell r="N6364">
            <v>3.9670000000000001</v>
          </cell>
          <cell r="O6364">
            <v>3.9689999999999999</v>
          </cell>
        </row>
        <row r="6365">
          <cell r="E6365" t="str">
            <v>FOLK</v>
          </cell>
          <cell r="F6365" t="str">
            <v>FOLK-F</v>
          </cell>
          <cell r="G6365">
            <v>738</v>
          </cell>
          <cell r="H6365" t="str">
            <v>FOLK-F738</v>
          </cell>
          <cell r="K6365" t="str">
            <v>El-Shamy,Hasan M.</v>
          </cell>
          <cell r="N6365" t="str">
            <v>NR</v>
          </cell>
          <cell r="O6365" t="str">
            <v>NR</v>
          </cell>
        </row>
        <row r="6366">
          <cell r="E6366" t="str">
            <v>FOLK</v>
          </cell>
          <cell r="F6366" t="str">
            <v>FOLK-F</v>
          </cell>
          <cell r="G6366">
            <v>755</v>
          </cell>
          <cell r="H6366" t="str">
            <v>FOLK-F755</v>
          </cell>
          <cell r="K6366" t="str">
            <v>Reed,Daniel Boyce</v>
          </cell>
          <cell r="N6366">
            <v>3.8330000000000002</v>
          </cell>
          <cell r="O6366">
            <v>3.9020000000000001</v>
          </cell>
        </row>
        <row r="6367">
          <cell r="E6367" t="str">
            <v>FOLK</v>
          </cell>
          <cell r="F6367" t="str">
            <v>FOLK-F</v>
          </cell>
          <cell r="G6367">
            <v>800</v>
          </cell>
          <cell r="H6367" t="str">
            <v>FOLK-F800</v>
          </cell>
          <cell r="K6367" t="str">
            <v>Goldstein,Diane Ellen</v>
          </cell>
          <cell r="N6367" t="str">
            <v>NR</v>
          </cell>
          <cell r="O6367" t="str">
            <v>NR</v>
          </cell>
        </row>
        <row r="6368">
          <cell r="E6368" t="str">
            <v>FOLK</v>
          </cell>
          <cell r="F6368" t="str">
            <v>FOLK-F</v>
          </cell>
          <cell r="G6368">
            <v>800</v>
          </cell>
          <cell r="H6368" t="str">
            <v>FOLK-F800</v>
          </cell>
          <cell r="K6368" t="str">
            <v>McDowell,John H.</v>
          </cell>
          <cell r="N6368" t="str">
            <v>NR</v>
          </cell>
          <cell r="O6368" t="str">
            <v>NR</v>
          </cell>
        </row>
        <row r="6369">
          <cell r="E6369" t="str">
            <v>FOLK</v>
          </cell>
          <cell r="F6369" t="str">
            <v>FOLK-F</v>
          </cell>
          <cell r="G6369">
            <v>801</v>
          </cell>
          <cell r="H6369" t="str">
            <v>FOLK-F801</v>
          </cell>
          <cell r="K6369" t="str">
            <v>Burnim,Mellonee Victoria</v>
          </cell>
          <cell r="N6369">
            <v>3.883</v>
          </cell>
          <cell r="O6369">
            <v>3.9620000000000002</v>
          </cell>
        </row>
        <row r="6370">
          <cell r="E6370" t="str">
            <v>FOLK</v>
          </cell>
          <cell r="F6370" t="str">
            <v>FOLK-F</v>
          </cell>
          <cell r="G6370">
            <v>802</v>
          </cell>
          <cell r="H6370" t="str">
            <v>FOLK-F802</v>
          </cell>
          <cell r="K6370" t="str">
            <v>McDowell,John H.</v>
          </cell>
          <cell r="N6370" t="str">
            <v>NR</v>
          </cell>
          <cell r="O6370" t="str">
            <v>NR</v>
          </cell>
        </row>
        <row r="6371">
          <cell r="E6371" t="str">
            <v>FOLK</v>
          </cell>
          <cell r="F6371" t="str">
            <v>FOLK-F</v>
          </cell>
          <cell r="G6371">
            <v>803</v>
          </cell>
          <cell r="H6371" t="str">
            <v>FOLK-F803</v>
          </cell>
          <cell r="K6371" t="str">
            <v>McDowell,John H.</v>
          </cell>
          <cell r="N6371" t="str">
            <v>NR</v>
          </cell>
          <cell r="O6371" t="str">
            <v>NR</v>
          </cell>
        </row>
        <row r="6372">
          <cell r="E6372" t="str">
            <v>FOLK</v>
          </cell>
          <cell r="F6372" t="str">
            <v>FOLK-F</v>
          </cell>
          <cell r="G6372">
            <v>850</v>
          </cell>
          <cell r="H6372" t="str">
            <v>FOLK-F850</v>
          </cell>
          <cell r="K6372" t="str">
            <v>Goldstein,Diane Ellen</v>
          </cell>
          <cell r="N6372" t="str">
            <v>NR</v>
          </cell>
          <cell r="O6372" t="str">
            <v>NR</v>
          </cell>
        </row>
        <row r="6373">
          <cell r="E6373" t="str">
            <v>FOLK</v>
          </cell>
          <cell r="F6373" t="str">
            <v>FOLK-F</v>
          </cell>
          <cell r="G6373">
            <v>850</v>
          </cell>
          <cell r="H6373" t="str">
            <v>FOLK-F850</v>
          </cell>
          <cell r="K6373" t="str">
            <v>Goldstein,Diane Ellen</v>
          </cell>
          <cell r="N6373" t="str">
            <v>NR</v>
          </cell>
          <cell r="O6373" t="str">
            <v>NR</v>
          </cell>
        </row>
        <row r="6374">
          <cell r="E6374" t="str">
            <v>FOLK</v>
          </cell>
          <cell r="F6374" t="str">
            <v>FOLK-F</v>
          </cell>
          <cell r="G6374">
            <v>850</v>
          </cell>
          <cell r="H6374" t="str">
            <v>FOLK-F850</v>
          </cell>
          <cell r="K6374" t="str">
            <v>McDowell,John H.</v>
          </cell>
          <cell r="N6374" t="str">
            <v>NR</v>
          </cell>
          <cell r="O6374" t="str">
            <v>NR</v>
          </cell>
        </row>
        <row r="6375">
          <cell r="E6375" t="str">
            <v>FOLK</v>
          </cell>
          <cell r="F6375" t="str">
            <v>FOLK-F</v>
          </cell>
          <cell r="G6375">
            <v>850</v>
          </cell>
          <cell r="H6375" t="str">
            <v>FOLK-F850</v>
          </cell>
          <cell r="K6375" t="str">
            <v>McDowell,John H.</v>
          </cell>
          <cell r="N6375" t="str">
            <v>NR</v>
          </cell>
          <cell r="O6375" t="str">
            <v>NR</v>
          </cell>
        </row>
        <row r="6376">
          <cell r="E6376" t="str">
            <v>FOLK</v>
          </cell>
          <cell r="F6376" t="str">
            <v>FOLK-G</v>
          </cell>
          <cell r="G6376">
            <v>901</v>
          </cell>
          <cell r="H6376" t="str">
            <v>FOLK-G901</v>
          </cell>
          <cell r="K6376" t="str">
            <v>Goldstein,Diane Ellen</v>
          </cell>
          <cell r="N6376" t="str">
            <v>NR</v>
          </cell>
          <cell r="O6376" t="str">
            <v>NR</v>
          </cell>
        </row>
        <row r="6377">
          <cell r="E6377" t="str">
            <v>FOLK</v>
          </cell>
          <cell r="F6377" t="str">
            <v>FOLK-G</v>
          </cell>
          <cell r="G6377">
            <v>901</v>
          </cell>
          <cell r="H6377" t="str">
            <v>FOLK-G901</v>
          </cell>
          <cell r="K6377" t="str">
            <v>McDowell,John H.</v>
          </cell>
          <cell r="N6377" t="str">
            <v>NR</v>
          </cell>
          <cell r="O6377" t="str">
            <v>NR</v>
          </cell>
        </row>
        <row r="6378">
          <cell r="E6378" t="str">
            <v>FRIT</v>
          </cell>
          <cell r="F6378" t="str">
            <v>FRIT-F</v>
          </cell>
          <cell r="G6378">
            <v>100</v>
          </cell>
          <cell r="H6378" t="str">
            <v>FRIT-F100</v>
          </cell>
          <cell r="K6378" t="str">
            <v>Ali,Amy</v>
          </cell>
          <cell r="N6378">
            <v>2.3439999999999999</v>
          </cell>
          <cell r="O6378">
            <v>2.7669999999999999</v>
          </cell>
        </row>
        <row r="6379">
          <cell r="E6379" t="str">
            <v>FRIT</v>
          </cell>
          <cell r="F6379" t="str">
            <v>FRIT-F</v>
          </cell>
          <cell r="G6379">
            <v>100</v>
          </cell>
          <cell r="H6379" t="str">
            <v>FRIT-F100</v>
          </cell>
          <cell r="K6379" t="str">
            <v>Bahler,Carly Lauren</v>
          </cell>
          <cell r="N6379">
            <v>2.8479999999999999</v>
          </cell>
          <cell r="O6379">
            <v>2.8839999999999999</v>
          </cell>
        </row>
        <row r="6380">
          <cell r="E6380" t="str">
            <v>FRIT</v>
          </cell>
          <cell r="F6380" t="str">
            <v>FRIT-F</v>
          </cell>
          <cell r="G6380">
            <v>100</v>
          </cell>
          <cell r="H6380" t="str">
            <v>FRIT-F100</v>
          </cell>
          <cell r="K6380" t="str">
            <v>Bastin,Kathryn Rife</v>
          </cell>
          <cell r="N6380">
            <v>2.141</v>
          </cell>
          <cell r="O6380">
            <v>2.5760000000000001</v>
          </cell>
        </row>
        <row r="6381">
          <cell r="E6381" t="str">
            <v>FRIT</v>
          </cell>
          <cell r="F6381" t="str">
            <v>FRIT-F</v>
          </cell>
          <cell r="G6381">
            <v>100</v>
          </cell>
          <cell r="H6381" t="str">
            <v>FRIT-F100</v>
          </cell>
          <cell r="K6381" t="str">
            <v>Bastin,Kathryn Rife</v>
          </cell>
          <cell r="N6381">
            <v>2.7320000000000002</v>
          </cell>
          <cell r="O6381">
            <v>2.92</v>
          </cell>
        </row>
        <row r="6382">
          <cell r="E6382" t="str">
            <v>FRIT</v>
          </cell>
          <cell r="F6382" t="str">
            <v>FRIT-F</v>
          </cell>
          <cell r="G6382">
            <v>100</v>
          </cell>
          <cell r="H6382" t="str">
            <v>FRIT-F100</v>
          </cell>
          <cell r="K6382" t="str">
            <v>Brown,Adeleen Veronique</v>
          </cell>
          <cell r="N6382">
            <v>2.2999999999999998</v>
          </cell>
          <cell r="O6382">
            <v>2.738</v>
          </cell>
        </row>
        <row r="6383">
          <cell r="E6383" t="str">
            <v>FRIT</v>
          </cell>
          <cell r="F6383" t="str">
            <v>FRIT-F</v>
          </cell>
          <cell r="G6383">
            <v>100</v>
          </cell>
          <cell r="H6383" t="str">
            <v>FRIT-F100</v>
          </cell>
          <cell r="K6383" t="str">
            <v>Burkholder,Nicole Lee</v>
          </cell>
          <cell r="N6383">
            <v>2.4950000000000001</v>
          </cell>
          <cell r="O6383">
            <v>2.851</v>
          </cell>
        </row>
        <row r="6384">
          <cell r="E6384" t="str">
            <v>FRIT</v>
          </cell>
          <cell r="F6384" t="str">
            <v>FRIT-F</v>
          </cell>
          <cell r="G6384">
            <v>100</v>
          </cell>
          <cell r="H6384" t="str">
            <v>FRIT-F100</v>
          </cell>
          <cell r="K6384" t="str">
            <v>Calin,Anemarie</v>
          </cell>
          <cell r="N6384">
            <v>2.8730000000000002</v>
          </cell>
          <cell r="O6384">
            <v>2.8</v>
          </cell>
        </row>
        <row r="6385">
          <cell r="E6385" t="str">
            <v>FRIT</v>
          </cell>
          <cell r="F6385" t="str">
            <v>FRIT-F</v>
          </cell>
          <cell r="G6385">
            <v>100</v>
          </cell>
          <cell r="H6385" t="str">
            <v>FRIT-F100</v>
          </cell>
          <cell r="K6385" t="str">
            <v>Calin,Anemarie</v>
          </cell>
          <cell r="N6385">
            <v>2.827</v>
          </cell>
          <cell r="O6385">
            <v>2.9409999999999998</v>
          </cell>
        </row>
        <row r="6386">
          <cell r="E6386" t="str">
            <v>FRIT</v>
          </cell>
          <cell r="F6386" t="str">
            <v>FRIT-F</v>
          </cell>
          <cell r="G6386">
            <v>100</v>
          </cell>
          <cell r="H6386" t="str">
            <v>FRIT-F100</v>
          </cell>
          <cell r="K6386" t="str">
            <v>Czader,Justyna</v>
          </cell>
          <cell r="N6386">
            <v>2.3359999999999999</v>
          </cell>
          <cell r="O6386">
            <v>2.4710000000000001</v>
          </cell>
        </row>
        <row r="6387">
          <cell r="E6387" t="str">
            <v>FRIT</v>
          </cell>
          <cell r="F6387" t="str">
            <v>FRIT-F</v>
          </cell>
          <cell r="G6387">
            <v>100</v>
          </cell>
          <cell r="H6387" t="str">
            <v>FRIT-F100</v>
          </cell>
          <cell r="K6387" t="str">
            <v>Czader,Justyna</v>
          </cell>
          <cell r="N6387">
            <v>1.958</v>
          </cell>
          <cell r="O6387">
            <v>2.448</v>
          </cell>
        </row>
        <row r="6388">
          <cell r="E6388" t="str">
            <v>FRIT</v>
          </cell>
          <cell r="F6388" t="str">
            <v>FRIT-F</v>
          </cell>
          <cell r="G6388">
            <v>100</v>
          </cell>
          <cell r="H6388" t="str">
            <v>FRIT-F100</v>
          </cell>
          <cell r="K6388" t="str">
            <v>Dobrenn,Audrey</v>
          </cell>
          <cell r="N6388">
            <v>2.0670000000000002</v>
          </cell>
          <cell r="O6388">
            <v>2.464</v>
          </cell>
        </row>
        <row r="6389">
          <cell r="E6389" t="str">
            <v>FRIT</v>
          </cell>
          <cell r="F6389" t="str">
            <v>FRIT-F</v>
          </cell>
          <cell r="G6389">
            <v>100</v>
          </cell>
          <cell r="H6389" t="str">
            <v>FRIT-F100</v>
          </cell>
          <cell r="K6389" t="str">
            <v>Dobrenn,Audrey</v>
          </cell>
          <cell r="N6389">
            <v>2.7</v>
          </cell>
          <cell r="O6389">
            <v>3.1040000000000001</v>
          </cell>
        </row>
        <row r="6390">
          <cell r="E6390" t="str">
            <v>FRIT</v>
          </cell>
          <cell r="F6390" t="str">
            <v>FRIT-F</v>
          </cell>
          <cell r="G6390">
            <v>100</v>
          </cell>
          <cell r="H6390" t="str">
            <v>FRIT-F100</v>
          </cell>
          <cell r="K6390" t="str">
            <v>Hurst,Sarah Kay Smith Buck</v>
          </cell>
          <cell r="N6390">
            <v>2.9140000000000001</v>
          </cell>
          <cell r="O6390">
            <v>3.0339999999999998</v>
          </cell>
        </row>
        <row r="6391">
          <cell r="E6391" t="str">
            <v>FRIT</v>
          </cell>
          <cell r="F6391" t="str">
            <v>FRIT-F</v>
          </cell>
          <cell r="G6391">
            <v>100</v>
          </cell>
          <cell r="H6391" t="str">
            <v>FRIT-F100</v>
          </cell>
          <cell r="K6391" t="str">
            <v>Jones,Nicole Suzanne</v>
          </cell>
          <cell r="N6391">
            <v>2.8250000000000002</v>
          </cell>
          <cell r="O6391">
            <v>2.8769999999999998</v>
          </cell>
        </row>
        <row r="6392">
          <cell r="E6392" t="str">
            <v>FRIT</v>
          </cell>
          <cell r="F6392" t="str">
            <v>FRIT-F</v>
          </cell>
          <cell r="G6392">
            <v>100</v>
          </cell>
          <cell r="H6392" t="str">
            <v>FRIT-F100</v>
          </cell>
          <cell r="K6392" t="str">
            <v>Komrower,Larry</v>
          </cell>
          <cell r="N6392">
            <v>2.383</v>
          </cell>
          <cell r="O6392">
            <v>2.7280000000000002</v>
          </cell>
        </row>
        <row r="6393">
          <cell r="E6393" t="str">
            <v>FRIT</v>
          </cell>
          <cell r="F6393" t="str">
            <v>FRIT-F</v>
          </cell>
          <cell r="G6393">
            <v>100</v>
          </cell>
          <cell r="H6393" t="str">
            <v>FRIT-F100</v>
          </cell>
          <cell r="K6393" t="str">
            <v>Komrower,Larry</v>
          </cell>
          <cell r="N6393">
            <v>2.4809999999999999</v>
          </cell>
          <cell r="O6393">
            <v>2.718</v>
          </cell>
        </row>
        <row r="6394">
          <cell r="E6394" t="str">
            <v>FRIT</v>
          </cell>
          <cell r="F6394" t="str">
            <v>FRIT-F</v>
          </cell>
          <cell r="G6394">
            <v>100</v>
          </cell>
          <cell r="H6394" t="str">
            <v>FRIT-F100</v>
          </cell>
          <cell r="K6394" t="str">
            <v>Lerme,Lo_x001A_ Marcel Paul</v>
          </cell>
          <cell r="N6394">
            <v>3.024</v>
          </cell>
          <cell r="O6394">
            <v>2.9049999999999998</v>
          </cell>
        </row>
        <row r="6395">
          <cell r="E6395" t="str">
            <v>FRIT</v>
          </cell>
          <cell r="F6395" t="str">
            <v>FRIT-F</v>
          </cell>
          <cell r="G6395">
            <v>100</v>
          </cell>
          <cell r="H6395" t="str">
            <v>FRIT-F100</v>
          </cell>
          <cell r="K6395" t="str">
            <v>Lerme,Lo_x001A_ Marcel Paul</v>
          </cell>
          <cell r="N6395">
            <v>3.1360000000000001</v>
          </cell>
          <cell r="O6395">
            <v>3.0390000000000001</v>
          </cell>
        </row>
        <row r="6396">
          <cell r="E6396" t="str">
            <v>FRIT</v>
          </cell>
          <cell r="F6396" t="str">
            <v>FRIT-F</v>
          </cell>
          <cell r="G6396">
            <v>100</v>
          </cell>
          <cell r="H6396" t="str">
            <v>FRIT-F100</v>
          </cell>
          <cell r="K6396" t="str">
            <v>Madanova,Margarita</v>
          </cell>
          <cell r="N6396">
            <v>3.089</v>
          </cell>
          <cell r="O6396">
            <v>3.04</v>
          </cell>
        </row>
        <row r="6397">
          <cell r="E6397" t="str">
            <v>FRIT</v>
          </cell>
          <cell r="F6397" t="str">
            <v>FRIT-F</v>
          </cell>
          <cell r="G6397">
            <v>100</v>
          </cell>
          <cell r="H6397" t="str">
            <v>FRIT-F100</v>
          </cell>
          <cell r="K6397" t="str">
            <v>O'Brock,Emily Jane</v>
          </cell>
          <cell r="N6397">
            <v>2.633</v>
          </cell>
          <cell r="O6397">
            <v>2.823</v>
          </cell>
        </row>
        <row r="6398">
          <cell r="E6398" t="str">
            <v>FRIT</v>
          </cell>
          <cell r="F6398" t="str">
            <v>FRIT-F</v>
          </cell>
          <cell r="G6398">
            <v>100</v>
          </cell>
          <cell r="H6398" t="str">
            <v>FRIT-F100</v>
          </cell>
          <cell r="K6398" t="str">
            <v>Reaves,Alisha J</v>
          </cell>
          <cell r="N6398">
            <v>2.7530000000000001</v>
          </cell>
          <cell r="O6398">
            <v>2.6469999999999998</v>
          </cell>
        </row>
        <row r="6399">
          <cell r="E6399" t="str">
            <v>FRIT</v>
          </cell>
          <cell r="F6399" t="str">
            <v>FRIT-F</v>
          </cell>
          <cell r="G6399">
            <v>102</v>
          </cell>
          <cell r="H6399" t="str">
            <v>FRIT-F102</v>
          </cell>
          <cell r="K6399" t="str">
            <v>Sax,Kelly Jean</v>
          </cell>
          <cell r="N6399" t="str">
            <v>NR</v>
          </cell>
          <cell r="O6399" t="str">
            <v>NR</v>
          </cell>
        </row>
        <row r="6400">
          <cell r="E6400" t="str">
            <v>FRIT</v>
          </cell>
          <cell r="F6400" t="str">
            <v>FRIT-F</v>
          </cell>
          <cell r="G6400">
            <v>115</v>
          </cell>
          <cell r="H6400" t="str">
            <v>FRIT-F115</v>
          </cell>
          <cell r="K6400" t="str">
            <v>Beuerlein,Eric Scott</v>
          </cell>
          <cell r="N6400">
            <v>3.07</v>
          </cell>
          <cell r="O6400">
            <v>3.5910000000000002</v>
          </cell>
        </row>
        <row r="6401">
          <cell r="E6401" t="str">
            <v>FRIT</v>
          </cell>
          <cell r="F6401" t="str">
            <v>FRIT-F</v>
          </cell>
          <cell r="G6401">
            <v>115</v>
          </cell>
          <cell r="H6401" t="str">
            <v>FRIT-F115</v>
          </cell>
          <cell r="K6401" t="str">
            <v>Biers,Kelly Douglas</v>
          </cell>
          <cell r="N6401">
            <v>2.78</v>
          </cell>
          <cell r="O6401">
            <v>3.0609999999999999</v>
          </cell>
        </row>
        <row r="6402">
          <cell r="E6402" t="str">
            <v>FRIT</v>
          </cell>
          <cell r="F6402" t="str">
            <v>FRIT-F</v>
          </cell>
          <cell r="G6402">
            <v>115</v>
          </cell>
          <cell r="H6402" t="str">
            <v>FRIT-F115</v>
          </cell>
          <cell r="K6402" t="str">
            <v>Hendrickson,Ryan David</v>
          </cell>
          <cell r="N6402">
            <v>3.1429999999999998</v>
          </cell>
          <cell r="O6402">
            <v>3.5430000000000001</v>
          </cell>
        </row>
        <row r="6403">
          <cell r="E6403" t="str">
            <v>FRIT</v>
          </cell>
          <cell r="F6403" t="str">
            <v>FRIT-F</v>
          </cell>
          <cell r="G6403">
            <v>115</v>
          </cell>
          <cell r="H6403" t="str">
            <v>FRIT-F115</v>
          </cell>
          <cell r="K6403" t="str">
            <v>Hendrickson,Ryan David</v>
          </cell>
          <cell r="N6403">
            <v>2.82</v>
          </cell>
          <cell r="O6403">
            <v>3.3159999999999998</v>
          </cell>
        </row>
        <row r="6404">
          <cell r="E6404" t="str">
            <v>FRIT</v>
          </cell>
          <cell r="F6404" t="str">
            <v>FRIT-F</v>
          </cell>
          <cell r="G6404">
            <v>125</v>
          </cell>
          <cell r="H6404" t="str">
            <v>FRIT-F125</v>
          </cell>
          <cell r="K6404" t="str">
            <v>Schachter,Marc David</v>
          </cell>
          <cell r="N6404">
            <v>3.0529999999999999</v>
          </cell>
          <cell r="O6404">
            <v>2.8519999999999999</v>
          </cell>
        </row>
        <row r="6405">
          <cell r="E6405" t="str">
            <v>FRIT</v>
          </cell>
          <cell r="F6405" t="str">
            <v>FRIT-F</v>
          </cell>
          <cell r="G6405">
            <v>150</v>
          </cell>
          <cell r="H6405" t="str">
            <v>FRIT-F150</v>
          </cell>
          <cell r="K6405" t="str">
            <v>Ali,Amy</v>
          </cell>
          <cell r="N6405">
            <v>2.4820000000000002</v>
          </cell>
          <cell r="O6405">
            <v>3.0070000000000001</v>
          </cell>
        </row>
        <row r="6406">
          <cell r="E6406" t="str">
            <v>FRIT</v>
          </cell>
          <cell r="F6406" t="str">
            <v>FRIT-F</v>
          </cell>
          <cell r="G6406">
            <v>150</v>
          </cell>
          <cell r="H6406" t="str">
            <v>FRIT-F150</v>
          </cell>
          <cell r="K6406" t="str">
            <v>Ali,Amy</v>
          </cell>
          <cell r="N6406">
            <v>2.2429999999999999</v>
          </cell>
          <cell r="O6406">
            <v>3.0419999999999998</v>
          </cell>
        </row>
        <row r="6407">
          <cell r="E6407" t="str">
            <v>FRIT</v>
          </cell>
          <cell r="F6407" t="str">
            <v>FRIT-F</v>
          </cell>
          <cell r="G6407">
            <v>150</v>
          </cell>
          <cell r="H6407" t="str">
            <v>FRIT-F150</v>
          </cell>
          <cell r="K6407" t="str">
            <v>Benton,Caroline Elizabeth</v>
          </cell>
          <cell r="N6407">
            <v>2.6</v>
          </cell>
          <cell r="O6407">
            <v>2.6859999999999999</v>
          </cell>
        </row>
        <row r="6408">
          <cell r="E6408" t="str">
            <v>FRIT</v>
          </cell>
          <cell r="F6408" t="str">
            <v>FRIT-F</v>
          </cell>
          <cell r="G6408">
            <v>150</v>
          </cell>
          <cell r="H6408" t="str">
            <v>FRIT-F150</v>
          </cell>
          <cell r="K6408" t="str">
            <v>Brunet,Marie-Line</v>
          </cell>
          <cell r="N6408">
            <v>2.5630000000000002</v>
          </cell>
          <cell r="O6408">
            <v>2.899</v>
          </cell>
        </row>
        <row r="6409">
          <cell r="E6409" t="str">
            <v>FRIT</v>
          </cell>
          <cell r="F6409" t="str">
            <v>FRIT-F</v>
          </cell>
          <cell r="G6409">
            <v>150</v>
          </cell>
          <cell r="H6409" t="str">
            <v>FRIT-F150</v>
          </cell>
          <cell r="K6409" t="str">
            <v>Brunet,Marie-Line</v>
          </cell>
          <cell r="N6409">
            <v>2.4950000000000001</v>
          </cell>
          <cell r="O6409">
            <v>3.0369999999999999</v>
          </cell>
        </row>
        <row r="6410">
          <cell r="E6410" t="str">
            <v>FRIT</v>
          </cell>
          <cell r="F6410" t="str">
            <v>FRIT-F</v>
          </cell>
          <cell r="G6410">
            <v>150</v>
          </cell>
          <cell r="H6410" t="str">
            <v>FRIT-F150</v>
          </cell>
          <cell r="K6410" t="str">
            <v>Calin,Anemarie</v>
          </cell>
          <cell r="N6410">
            <v>3.1480000000000001</v>
          </cell>
          <cell r="O6410">
            <v>3.1560000000000001</v>
          </cell>
        </row>
        <row r="6411">
          <cell r="E6411" t="str">
            <v>FRIT</v>
          </cell>
          <cell r="F6411" t="str">
            <v>FRIT-F</v>
          </cell>
          <cell r="G6411">
            <v>150</v>
          </cell>
          <cell r="H6411" t="str">
            <v>FRIT-F150</v>
          </cell>
          <cell r="K6411" t="str">
            <v>Calin,Anemarie</v>
          </cell>
          <cell r="N6411">
            <v>3.044</v>
          </cell>
          <cell r="O6411">
            <v>3.1459999999999999</v>
          </cell>
        </row>
        <row r="6412">
          <cell r="E6412" t="str">
            <v>FRIT</v>
          </cell>
          <cell r="F6412" t="str">
            <v>FRIT-F</v>
          </cell>
          <cell r="G6412">
            <v>150</v>
          </cell>
          <cell r="H6412" t="str">
            <v>FRIT-F150</v>
          </cell>
          <cell r="K6412" t="str">
            <v>Hettlinger,Alicia Mischelle</v>
          </cell>
          <cell r="N6412">
            <v>2.294</v>
          </cell>
          <cell r="O6412">
            <v>2.887</v>
          </cell>
        </row>
        <row r="6413">
          <cell r="E6413" t="str">
            <v>FRIT</v>
          </cell>
          <cell r="F6413" t="str">
            <v>FRIT-F</v>
          </cell>
          <cell r="G6413">
            <v>150</v>
          </cell>
          <cell r="H6413" t="str">
            <v>FRIT-F150</v>
          </cell>
          <cell r="K6413" t="str">
            <v>Kanko,Cynthia</v>
          </cell>
          <cell r="N6413">
            <v>2.4500000000000002</v>
          </cell>
          <cell r="O6413">
            <v>2.8559999999999999</v>
          </cell>
        </row>
        <row r="6414">
          <cell r="E6414" t="str">
            <v>FRIT</v>
          </cell>
          <cell r="F6414" t="str">
            <v>FRIT-F</v>
          </cell>
          <cell r="G6414">
            <v>150</v>
          </cell>
          <cell r="H6414" t="str">
            <v>FRIT-F150</v>
          </cell>
          <cell r="K6414" t="str">
            <v>Kanko,Cynthia</v>
          </cell>
          <cell r="N6414">
            <v>2.694</v>
          </cell>
          <cell r="O6414">
            <v>2.9609999999999999</v>
          </cell>
        </row>
        <row r="6415">
          <cell r="E6415" t="str">
            <v>FRIT</v>
          </cell>
          <cell r="F6415" t="str">
            <v>FRIT-F</v>
          </cell>
          <cell r="G6415">
            <v>150</v>
          </cell>
          <cell r="H6415" t="str">
            <v>FRIT-F150</v>
          </cell>
          <cell r="K6415" t="str">
            <v>Kanko,Cynthia</v>
          </cell>
          <cell r="N6415">
            <v>2.3130000000000002</v>
          </cell>
          <cell r="O6415">
            <v>3.0049999999999999</v>
          </cell>
        </row>
        <row r="6416">
          <cell r="E6416" t="str">
            <v>FRIT</v>
          </cell>
          <cell r="F6416" t="str">
            <v>FRIT-F</v>
          </cell>
          <cell r="G6416">
            <v>150</v>
          </cell>
          <cell r="H6416" t="str">
            <v>FRIT-F150</v>
          </cell>
          <cell r="K6416" t="str">
            <v>Kanko,Cynthia</v>
          </cell>
          <cell r="N6416">
            <v>1.9470000000000001</v>
          </cell>
          <cell r="O6416">
            <v>2.798</v>
          </cell>
        </row>
        <row r="6417">
          <cell r="E6417" t="str">
            <v>FRIT</v>
          </cell>
          <cell r="F6417" t="str">
            <v>FRIT-F</v>
          </cell>
          <cell r="G6417">
            <v>150</v>
          </cell>
          <cell r="H6417" t="str">
            <v>FRIT-F150</v>
          </cell>
          <cell r="K6417" t="str">
            <v>Myers,Erin Anna-Marie</v>
          </cell>
          <cell r="N6417">
            <v>2.4710000000000001</v>
          </cell>
          <cell r="O6417">
            <v>2.89</v>
          </cell>
        </row>
        <row r="6418">
          <cell r="E6418" t="str">
            <v>FRIT</v>
          </cell>
          <cell r="F6418" t="str">
            <v>FRIT-F</v>
          </cell>
          <cell r="G6418">
            <v>150</v>
          </cell>
          <cell r="H6418" t="str">
            <v>FRIT-F150</v>
          </cell>
          <cell r="K6418" t="str">
            <v>Myers,Erin Anna-Marie</v>
          </cell>
          <cell r="N6418">
            <v>2.61</v>
          </cell>
          <cell r="O6418">
            <v>3.028</v>
          </cell>
        </row>
        <row r="6419">
          <cell r="E6419" t="str">
            <v>FRIT</v>
          </cell>
          <cell r="F6419" t="str">
            <v>FRIT-F</v>
          </cell>
          <cell r="G6419">
            <v>150</v>
          </cell>
          <cell r="H6419" t="str">
            <v>FRIT-F150</v>
          </cell>
          <cell r="K6419" t="str">
            <v>Root,Jamie Michael</v>
          </cell>
          <cell r="N6419">
            <v>3.1429999999999998</v>
          </cell>
          <cell r="O6419">
            <v>3.2829999999999999</v>
          </cell>
        </row>
        <row r="6420">
          <cell r="E6420" t="str">
            <v>FRIT</v>
          </cell>
          <cell r="F6420" t="str">
            <v>FRIT-F</v>
          </cell>
          <cell r="G6420">
            <v>150</v>
          </cell>
          <cell r="H6420" t="str">
            <v>FRIT-F150</v>
          </cell>
          <cell r="K6420" t="str">
            <v>Root,Jamie Michael</v>
          </cell>
          <cell r="N6420">
            <v>2.7080000000000002</v>
          </cell>
          <cell r="O6420">
            <v>2.6869999999999998</v>
          </cell>
        </row>
        <row r="6421">
          <cell r="E6421" t="str">
            <v>FRIT</v>
          </cell>
          <cell r="F6421" t="str">
            <v>FRIT-F</v>
          </cell>
          <cell r="G6421">
            <v>150</v>
          </cell>
          <cell r="H6421" t="str">
            <v>FRIT-F150</v>
          </cell>
          <cell r="K6421" t="str">
            <v>Shailer,Anna Kathryn</v>
          </cell>
          <cell r="N6421">
            <v>3.0449999999999999</v>
          </cell>
          <cell r="O6421">
            <v>3.2280000000000002</v>
          </cell>
        </row>
        <row r="6422">
          <cell r="E6422" t="str">
            <v>FRIT</v>
          </cell>
          <cell r="F6422" t="str">
            <v>FRIT-F</v>
          </cell>
          <cell r="G6422">
            <v>150</v>
          </cell>
          <cell r="H6422" t="str">
            <v>FRIT-F150</v>
          </cell>
          <cell r="K6422" t="str">
            <v>Siegel,Jason Francis</v>
          </cell>
          <cell r="N6422">
            <v>2.7770000000000001</v>
          </cell>
          <cell r="O6422">
            <v>3.0489999999999999</v>
          </cell>
        </row>
        <row r="6423">
          <cell r="E6423" t="str">
            <v>FRIT</v>
          </cell>
          <cell r="F6423" t="str">
            <v>FRIT-F</v>
          </cell>
          <cell r="G6423">
            <v>150</v>
          </cell>
          <cell r="H6423" t="str">
            <v>FRIT-F150</v>
          </cell>
          <cell r="K6423" t="str">
            <v>Siegel,Jason Francis</v>
          </cell>
          <cell r="N6423">
            <v>2.9670000000000001</v>
          </cell>
          <cell r="O6423">
            <v>2.99</v>
          </cell>
        </row>
        <row r="6424">
          <cell r="E6424" t="str">
            <v>FRIT</v>
          </cell>
          <cell r="F6424" t="str">
            <v>FRIT-F</v>
          </cell>
          <cell r="G6424">
            <v>150</v>
          </cell>
          <cell r="H6424" t="str">
            <v>FRIT-F150</v>
          </cell>
          <cell r="K6424" t="str">
            <v>Wagner,David Karl</v>
          </cell>
          <cell r="N6424">
            <v>2.7</v>
          </cell>
          <cell r="O6424">
            <v>2.9180000000000001</v>
          </cell>
        </row>
        <row r="6425">
          <cell r="E6425" t="str">
            <v>FRIT</v>
          </cell>
          <cell r="F6425" t="str">
            <v>FRIT-F</v>
          </cell>
          <cell r="G6425">
            <v>152</v>
          </cell>
          <cell r="H6425" t="str">
            <v>FRIT-F152</v>
          </cell>
          <cell r="K6425" t="str">
            <v>Sax,Kelly Jean</v>
          </cell>
          <cell r="N6425" t="str">
            <v>NR</v>
          </cell>
          <cell r="O6425" t="str">
            <v>NR</v>
          </cell>
        </row>
        <row r="6426">
          <cell r="E6426" t="str">
            <v>FRIT</v>
          </cell>
          <cell r="F6426" t="str">
            <v>FRIT-F</v>
          </cell>
          <cell r="G6426">
            <v>200</v>
          </cell>
          <cell r="H6426" t="str">
            <v>FRIT-F200</v>
          </cell>
          <cell r="K6426" t="str">
            <v>Bastin,Kathryn Rife</v>
          </cell>
          <cell r="N6426">
            <v>3.2320000000000002</v>
          </cell>
          <cell r="O6426">
            <v>3.29</v>
          </cell>
        </row>
        <row r="6427">
          <cell r="E6427" t="str">
            <v>FRIT</v>
          </cell>
          <cell r="F6427" t="str">
            <v>FRIT-F</v>
          </cell>
          <cell r="G6427">
            <v>200</v>
          </cell>
          <cell r="H6427" t="str">
            <v>FRIT-F200</v>
          </cell>
          <cell r="K6427" t="str">
            <v>Bastin,Kathryn Rife</v>
          </cell>
          <cell r="N6427">
            <v>2.524</v>
          </cell>
          <cell r="O6427">
            <v>3.1659999999999999</v>
          </cell>
        </row>
        <row r="6428">
          <cell r="E6428" t="str">
            <v>FRIT</v>
          </cell>
          <cell r="F6428" t="str">
            <v>FRIT-F</v>
          </cell>
          <cell r="G6428">
            <v>200</v>
          </cell>
          <cell r="H6428" t="str">
            <v>FRIT-F200</v>
          </cell>
          <cell r="K6428" t="str">
            <v>Beuerlein,Eric Scott</v>
          </cell>
          <cell r="N6428">
            <v>2.7709999999999999</v>
          </cell>
          <cell r="O6428">
            <v>2.8879999999999999</v>
          </cell>
        </row>
        <row r="6429">
          <cell r="E6429" t="str">
            <v>FRIT</v>
          </cell>
          <cell r="F6429" t="str">
            <v>FRIT-F</v>
          </cell>
          <cell r="G6429">
            <v>200</v>
          </cell>
          <cell r="H6429" t="str">
            <v>FRIT-F200</v>
          </cell>
          <cell r="K6429" t="str">
            <v>Beuerlein,Eric Scott</v>
          </cell>
          <cell r="N6429">
            <v>3.2709999999999999</v>
          </cell>
          <cell r="O6429">
            <v>3.1779999999999999</v>
          </cell>
        </row>
        <row r="6430">
          <cell r="E6430" t="str">
            <v>FRIT</v>
          </cell>
          <cell r="F6430" t="str">
            <v>FRIT-F</v>
          </cell>
          <cell r="G6430">
            <v>200</v>
          </cell>
          <cell r="H6430" t="str">
            <v>FRIT-F200</v>
          </cell>
          <cell r="K6430" t="str">
            <v>Dobrenn,Audrey</v>
          </cell>
          <cell r="N6430">
            <v>2.77</v>
          </cell>
          <cell r="O6430">
            <v>3.0409999999999999</v>
          </cell>
        </row>
        <row r="6431">
          <cell r="E6431" t="str">
            <v>FRIT</v>
          </cell>
          <cell r="F6431" t="str">
            <v>FRIT-F</v>
          </cell>
          <cell r="G6431">
            <v>200</v>
          </cell>
          <cell r="H6431" t="str">
            <v>FRIT-F200</v>
          </cell>
          <cell r="K6431" t="str">
            <v>Dobrenn,Audrey</v>
          </cell>
          <cell r="N6431">
            <v>2.9180000000000001</v>
          </cell>
          <cell r="O6431">
            <v>3.2749999999999999</v>
          </cell>
        </row>
        <row r="6432">
          <cell r="E6432" t="str">
            <v>FRIT</v>
          </cell>
          <cell r="F6432" t="str">
            <v>FRIT-F</v>
          </cell>
          <cell r="G6432">
            <v>200</v>
          </cell>
          <cell r="H6432" t="str">
            <v>FRIT-F200</v>
          </cell>
          <cell r="K6432" t="str">
            <v>Khabarovskiy,Georgy</v>
          </cell>
          <cell r="N6432">
            <v>2.5049999999999999</v>
          </cell>
          <cell r="O6432">
            <v>2.944</v>
          </cell>
        </row>
        <row r="6433">
          <cell r="E6433" t="str">
            <v>FRIT</v>
          </cell>
          <cell r="F6433" t="str">
            <v>FRIT-F</v>
          </cell>
          <cell r="G6433">
            <v>200</v>
          </cell>
          <cell r="H6433" t="str">
            <v>FRIT-F200</v>
          </cell>
          <cell r="K6433" t="str">
            <v>Khabarovskiy,Georgy</v>
          </cell>
          <cell r="N6433">
            <v>3.1349999999999998</v>
          </cell>
          <cell r="O6433">
            <v>3.282</v>
          </cell>
        </row>
        <row r="6434">
          <cell r="E6434" t="str">
            <v>FRIT</v>
          </cell>
          <cell r="F6434" t="str">
            <v>FRIT-F</v>
          </cell>
          <cell r="G6434">
            <v>200</v>
          </cell>
          <cell r="H6434" t="str">
            <v>FRIT-F200</v>
          </cell>
          <cell r="K6434" t="str">
            <v>Komrower,Larry</v>
          </cell>
          <cell r="N6434">
            <v>2.68</v>
          </cell>
          <cell r="O6434">
            <v>3.1280000000000001</v>
          </cell>
        </row>
        <row r="6435">
          <cell r="E6435" t="str">
            <v>FRIT</v>
          </cell>
          <cell r="F6435" t="str">
            <v>FRIT-F</v>
          </cell>
          <cell r="G6435">
            <v>200</v>
          </cell>
          <cell r="H6435" t="str">
            <v>FRIT-F200</v>
          </cell>
          <cell r="K6435" t="str">
            <v>Komrower,Larry</v>
          </cell>
          <cell r="N6435">
            <v>2.6840000000000002</v>
          </cell>
          <cell r="O6435">
            <v>3.198</v>
          </cell>
        </row>
        <row r="6436">
          <cell r="E6436" t="str">
            <v>FRIT</v>
          </cell>
          <cell r="F6436" t="str">
            <v>FRIT-F</v>
          </cell>
          <cell r="G6436">
            <v>200</v>
          </cell>
          <cell r="H6436" t="str">
            <v>FRIT-F200</v>
          </cell>
          <cell r="K6436" t="str">
            <v>Panwitz,Amber Rae</v>
          </cell>
          <cell r="N6436">
            <v>2.6309999999999998</v>
          </cell>
          <cell r="O6436">
            <v>3.1459999999999999</v>
          </cell>
        </row>
        <row r="6437">
          <cell r="E6437" t="str">
            <v>FRIT</v>
          </cell>
          <cell r="F6437" t="str">
            <v>FRIT-F</v>
          </cell>
          <cell r="G6437">
            <v>200</v>
          </cell>
          <cell r="H6437" t="str">
            <v>FRIT-F200</v>
          </cell>
          <cell r="K6437" t="str">
            <v>Panwitz,Amber Rae</v>
          </cell>
          <cell r="N6437">
            <v>2.34</v>
          </cell>
          <cell r="O6437">
            <v>2.93</v>
          </cell>
        </row>
        <row r="6438">
          <cell r="E6438" t="str">
            <v>FRIT</v>
          </cell>
          <cell r="F6438" t="str">
            <v>FRIT-F</v>
          </cell>
          <cell r="G6438">
            <v>200</v>
          </cell>
          <cell r="H6438" t="str">
            <v>FRIT-F200</v>
          </cell>
          <cell r="K6438" t="str">
            <v>Root,Jamie Michael</v>
          </cell>
          <cell r="N6438">
            <v>2.9860000000000002</v>
          </cell>
          <cell r="O6438">
            <v>3.18</v>
          </cell>
        </row>
        <row r="6439">
          <cell r="E6439" t="str">
            <v>FRIT</v>
          </cell>
          <cell r="F6439" t="str">
            <v>FRIT-F</v>
          </cell>
          <cell r="G6439">
            <v>200</v>
          </cell>
          <cell r="H6439" t="str">
            <v>FRIT-F200</v>
          </cell>
          <cell r="K6439" t="str">
            <v>Root,Jamie Michael</v>
          </cell>
          <cell r="N6439">
            <v>2.9649999999999999</v>
          </cell>
          <cell r="O6439">
            <v>2.9409999999999998</v>
          </cell>
        </row>
        <row r="6440">
          <cell r="E6440" t="str">
            <v>FRIT</v>
          </cell>
          <cell r="F6440" t="str">
            <v>FRIT-F</v>
          </cell>
          <cell r="G6440">
            <v>200</v>
          </cell>
          <cell r="H6440" t="str">
            <v>FRIT-F200</v>
          </cell>
          <cell r="K6440" t="str">
            <v>Wagner,David Karl</v>
          </cell>
          <cell r="N6440">
            <v>2.9569999999999999</v>
          </cell>
          <cell r="O6440">
            <v>3.0640000000000001</v>
          </cell>
        </row>
        <row r="6441">
          <cell r="E6441" t="str">
            <v>FRIT</v>
          </cell>
          <cell r="F6441" t="str">
            <v>FRIT-F</v>
          </cell>
          <cell r="G6441">
            <v>200</v>
          </cell>
          <cell r="H6441" t="str">
            <v>FRIT-F200</v>
          </cell>
          <cell r="K6441" t="str">
            <v>Wagner,David Karl</v>
          </cell>
          <cell r="N6441">
            <v>3.1579999999999999</v>
          </cell>
          <cell r="O6441">
            <v>3.2210000000000001</v>
          </cell>
        </row>
        <row r="6442">
          <cell r="E6442" t="str">
            <v>FRIT</v>
          </cell>
          <cell r="F6442" t="str">
            <v>FRIT-F</v>
          </cell>
          <cell r="G6442">
            <v>200</v>
          </cell>
          <cell r="H6442" t="str">
            <v>FRIT-F200</v>
          </cell>
          <cell r="K6442" t="str">
            <v>Williams,Krista Marie</v>
          </cell>
          <cell r="N6442">
            <v>2.9529999999999998</v>
          </cell>
          <cell r="O6442">
            <v>3.0150000000000001</v>
          </cell>
        </row>
        <row r="6443">
          <cell r="E6443" t="str">
            <v>FRIT</v>
          </cell>
          <cell r="F6443" t="str">
            <v>FRIT-F</v>
          </cell>
          <cell r="G6443">
            <v>200</v>
          </cell>
          <cell r="H6443" t="str">
            <v>FRIT-F200</v>
          </cell>
          <cell r="K6443" t="str">
            <v>Williams,Krista Marie</v>
          </cell>
          <cell r="N6443">
            <v>2.6709999999999998</v>
          </cell>
          <cell r="O6443">
            <v>3.0339999999999998</v>
          </cell>
        </row>
        <row r="6444">
          <cell r="E6444" t="str">
            <v>FRIT</v>
          </cell>
          <cell r="F6444" t="str">
            <v>FRIT-F</v>
          </cell>
          <cell r="G6444">
            <v>200</v>
          </cell>
          <cell r="H6444" t="str">
            <v>FRIT-F200</v>
          </cell>
          <cell r="K6444" t="str">
            <v>Williams,Krista Marie</v>
          </cell>
          <cell r="N6444">
            <v>2.7109999999999999</v>
          </cell>
          <cell r="O6444">
            <v>3.0569999999999999</v>
          </cell>
        </row>
        <row r="6445">
          <cell r="E6445" t="str">
            <v>FRIT</v>
          </cell>
          <cell r="F6445" t="str">
            <v>FRIT-F</v>
          </cell>
          <cell r="G6445">
            <v>202</v>
          </cell>
          <cell r="H6445" t="str">
            <v>FRIT-F202</v>
          </cell>
          <cell r="K6445" t="str">
            <v>Sax,Kelly Jean</v>
          </cell>
          <cell r="N6445" t="str">
            <v>NR</v>
          </cell>
          <cell r="O6445" t="str">
            <v>NR</v>
          </cell>
        </row>
        <row r="6446">
          <cell r="E6446" t="str">
            <v>FRIT</v>
          </cell>
          <cell r="F6446" t="str">
            <v>FRIT-F</v>
          </cell>
          <cell r="G6446">
            <v>250</v>
          </cell>
          <cell r="H6446" t="str">
            <v>FRIT-F250</v>
          </cell>
          <cell r="K6446" t="str">
            <v>Afriyie,Antoinette Ayirebi</v>
          </cell>
          <cell r="N6446">
            <v>2.9780000000000002</v>
          </cell>
          <cell r="O6446">
            <v>3.222</v>
          </cell>
        </row>
        <row r="6447">
          <cell r="E6447" t="str">
            <v>FRIT</v>
          </cell>
          <cell r="F6447" t="str">
            <v>FRIT-F</v>
          </cell>
          <cell r="G6447">
            <v>250</v>
          </cell>
          <cell r="H6447" t="str">
            <v>FRIT-F250</v>
          </cell>
          <cell r="K6447" t="str">
            <v>Afriyie,Antoinette Ayirebi</v>
          </cell>
          <cell r="N6447">
            <v>3.0630000000000002</v>
          </cell>
          <cell r="O6447">
            <v>3.28</v>
          </cell>
        </row>
        <row r="6448">
          <cell r="E6448" t="str">
            <v>FRIT</v>
          </cell>
          <cell r="F6448" t="str">
            <v>FRIT-F</v>
          </cell>
          <cell r="G6448">
            <v>250</v>
          </cell>
          <cell r="H6448" t="str">
            <v>FRIT-F250</v>
          </cell>
          <cell r="K6448" t="str">
            <v>Biers,Kelly Douglas</v>
          </cell>
          <cell r="N6448">
            <v>3.1040000000000001</v>
          </cell>
          <cell r="O6448">
            <v>3.4630000000000001</v>
          </cell>
        </row>
        <row r="6449">
          <cell r="E6449" t="str">
            <v>FRIT</v>
          </cell>
          <cell r="F6449" t="str">
            <v>FRIT-F</v>
          </cell>
          <cell r="G6449">
            <v>250</v>
          </cell>
          <cell r="H6449" t="str">
            <v>FRIT-F250</v>
          </cell>
          <cell r="K6449" t="str">
            <v>Biers,Kelly Douglas</v>
          </cell>
          <cell r="N6449">
            <v>2.9390000000000001</v>
          </cell>
          <cell r="O6449">
            <v>3.0819999999999999</v>
          </cell>
        </row>
        <row r="6450">
          <cell r="E6450" t="str">
            <v>FRIT</v>
          </cell>
          <cell r="F6450" t="str">
            <v>FRIT-F</v>
          </cell>
          <cell r="G6450">
            <v>250</v>
          </cell>
          <cell r="H6450" t="str">
            <v>FRIT-F250</v>
          </cell>
          <cell r="K6450" t="str">
            <v>Black,Mark Alan</v>
          </cell>
          <cell r="N6450">
            <v>2.605</v>
          </cell>
          <cell r="O6450">
            <v>2.859</v>
          </cell>
        </row>
        <row r="6451">
          <cell r="E6451" t="str">
            <v>FRIT</v>
          </cell>
          <cell r="F6451" t="str">
            <v>FRIT-F</v>
          </cell>
          <cell r="G6451">
            <v>250</v>
          </cell>
          <cell r="H6451" t="str">
            <v>FRIT-F250</v>
          </cell>
          <cell r="K6451" t="str">
            <v>Black,Mark Alan</v>
          </cell>
          <cell r="N6451">
            <v>3.3740000000000001</v>
          </cell>
          <cell r="O6451">
            <v>3.4060000000000001</v>
          </cell>
        </row>
        <row r="6452">
          <cell r="E6452" t="str">
            <v>FRIT</v>
          </cell>
          <cell r="F6452" t="str">
            <v>FRIT-F</v>
          </cell>
          <cell r="G6452">
            <v>250</v>
          </cell>
          <cell r="H6452" t="str">
            <v>FRIT-F250</v>
          </cell>
          <cell r="K6452" t="str">
            <v>Brunet,Marie-Line</v>
          </cell>
          <cell r="N6452">
            <v>2.423</v>
          </cell>
          <cell r="O6452">
            <v>3.0110000000000001</v>
          </cell>
        </row>
        <row r="6453">
          <cell r="E6453" t="str">
            <v>FRIT</v>
          </cell>
          <cell r="F6453" t="str">
            <v>FRIT-F</v>
          </cell>
          <cell r="G6453">
            <v>250</v>
          </cell>
          <cell r="H6453" t="str">
            <v>FRIT-F250</v>
          </cell>
          <cell r="K6453" t="str">
            <v>Brunet,Marie-Line</v>
          </cell>
          <cell r="N6453">
            <v>2.8380000000000001</v>
          </cell>
          <cell r="O6453">
            <v>3.1110000000000002</v>
          </cell>
        </row>
        <row r="6454">
          <cell r="E6454" t="str">
            <v>FRIT</v>
          </cell>
          <cell r="F6454" t="str">
            <v>FRIT-F</v>
          </cell>
          <cell r="G6454">
            <v>250</v>
          </cell>
          <cell r="H6454" t="str">
            <v>FRIT-F250</v>
          </cell>
          <cell r="K6454" t="str">
            <v>Edgington,Erin Elizabeth</v>
          </cell>
          <cell r="N6454">
            <v>2.2250000000000001</v>
          </cell>
          <cell r="O6454">
            <v>2.9710000000000001</v>
          </cell>
        </row>
        <row r="6455">
          <cell r="E6455" t="str">
            <v>FRIT</v>
          </cell>
          <cell r="F6455" t="str">
            <v>FRIT-F</v>
          </cell>
          <cell r="G6455">
            <v>250</v>
          </cell>
          <cell r="H6455" t="str">
            <v>FRIT-F250</v>
          </cell>
          <cell r="K6455" t="str">
            <v>Edgington,Erin Elizabeth</v>
          </cell>
          <cell r="N6455">
            <v>2.7709999999999999</v>
          </cell>
          <cell r="O6455">
            <v>3.2480000000000002</v>
          </cell>
        </row>
        <row r="6456">
          <cell r="E6456" t="str">
            <v>FRIT</v>
          </cell>
          <cell r="F6456" t="str">
            <v>FRIT-F</v>
          </cell>
          <cell r="G6456">
            <v>250</v>
          </cell>
          <cell r="H6456" t="str">
            <v>FRIT-F250</v>
          </cell>
          <cell r="K6456" t="str">
            <v>Frimu,Rodica</v>
          </cell>
          <cell r="N6456">
            <v>2.7589999999999999</v>
          </cell>
          <cell r="O6456">
            <v>3.3010000000000002</v>
          </cell>
        </row>
        <row r="6457">
          <cell r="E6457" t="str">
            <v>FRIT</v>
          </cell>
          <cell r="F6457" t="str">
            <v>FRIT-F</v>
          </cell>
          <cell r="G6457">
            <v>250</v>
          </cell>
          <cell r="H6457" t="str">
            <v>FRIT-F250</v>
          </cell>
          <cell r="K6457" t="str">
            <v>Frimu,Rodica</v>
          </cell>
          <cell r="N6457">
            <v>2.8149999999999999</v>
          </cell>
          <cell r="O6457">
            <v>3.2389999999999999</v>
          </cell>
        </row>
        <row r="6458">
          <cell r="E6458" t="str">
            <v>FRIT</v>
          </cell>
          <cell r="F6458" t="str">
            <v>FRIT-F</v>
          </cell>
          <cell r="G6458">
            <v>250</v>
          </cell>
          <cell r="H6458" t="str">
            <v>FRIT-F250</v>
          </cell>
          <cell r="K6458" t="str">
            <v>Khabarovskiy,Georgy</v>
          </cell>
          <cell r="N6458">
            <v>2.9550000000000001</v>
          </cell>
          <cell r="O6458">
            <v>3.1859999999999999</v>
          </cell>
        </row>
        <row r="6459">
          <cell r="E6459" t="str">
            <v>FRIT</v>
          </cell>
          <cell r="F6459" t="str">
            <v>FRIT-F</v>
          </cell>
          <cell r="G6459">
            <v>250</v>
          </cell>
          <cell r="H6459" t="str">
            <v>FRIT-F250</v>
          </cell>
          <cell r="K6459" t="str">
            <v>Lerme,Lo_x001A_ Marcel Paul</v>
          </cell>
          <cell r="N6459">
            <v>2.9849999999999999</v>
          </cell>
          <cell r="O6459">
            <v>3.2130000000000001</v>
          </cell>
        </row>
        <row r="6460">
          <cell r="E6460" t="str">
            <v>FRIT</v>
          </cell>
          <cell r="F6460" t="str">
            <v>FRIT-F</v>
          </cell>
          <cell r="G6460">
            <v>250</v>
          </cell>
          <cell r="H6460" t="str">
            <v>FRIT-F250</v>
          </cell>
          <cell r="K6460" t="str">
            <v>Lerme,Lo_x001A_ Marcel Paul</v>
          </cell>
          <cell r="N6460">
            <v>2.714</v>
          </cell>
          <cell r="O6460">
            <v>2.976</v>
          </cell>
        </row>
        <row r="6461">
          <cell r="E6461" t="str">
            <v>FRIT</v>
          </cell>
          <cell r="F6461" t="str">
            <v>FRIT-F</v>
          </cell>
          <cell r="G6461">
            <v>250</v>
          </cell>
          <cell r="H6461" t="str">
            <v>FRIT-F250</v>
          </cell>
          <cell r="K6461" t="str">
            <v>Niehaus,Benjamin Edward</v>
          </cell>
          <cell r="N6461">
            <v>2.819</v>
          </cell>
          <cell r="O6461">
            <v>3.1949999999999998</v>
          </cell>
        </row>
        <row r="6462">
          <cell r="E6462" t="str">
            <v>FRIT</v>
          </cell>
          <cell r="F6462" t="str">
            <v>FRIT-F</v>
          </cell>
          <cell r="G6462">
            <v>250</v>
          </cell>
          <cell r="H6462" t="str">
            <v>FRIT-F250</v>
          </cell>
          <cell r="K6462" t="str">
            <v>Petrush,Rebecca Anne</v>
          </cell>
          <cell r="N6462">
            <v>3.0110000000000001</v>
          </cell>
          <cell r="O6462">
            <v>3.202</v>
          </cell>
        </row>
        <row r="6463">
          <cell r="E6463" t="str">
            <v>FRIT</v>
          </cell>
          <cell r="F6463" t="str">
            <v>FRIT-F</v>
          </cell>
          <cell r="G6463">
            <v>252</v>
          </cell>
          <cell r="H6463" t="str">
            <v>FRIT-F252</v>
          </cell>
          <cell r="K6463" t="str">
            <v>Sax,Kelly Jean</v>
          </cell>
          <cell r="N6463" t="str">
            <v>NR</v>
          </cell>
          <cell r="O6463" t="str">
            <v>NR</v>
          </cell>
        </row>
        <row r="6464">
          <cell r="E6464" t="str">
            <v>FRIT</v>
          </cell>
          <cell r="F6464" t="str">
            <v>FRIT-F</v>
          </cell>
          <cell r="G6464">
            <v>300</v>
          </cell>
          <cell r="H6464" t="str">
            <v>FRIT-F300</v>
          </cell>
          <cell r="K6464" t="str">
            <v>Ansart,Guillaume</v>
          </cell>
          <cell r="N6464">
            <v>3.4670000000000001</v>
          </cell>
          <cell r="O6464">
            <v>3.2909999999999999</v>
          </cell>
        </row>
        <row r="6465">
          <cell r="E6465" t="str">
            <v>FRIT</v>
          </cell>
          <cell r="F6465" t="str">
            <v>FRIT-F</v>
          </cell>
          <cell r="G6465">
            <v>300</v>
          </cell>
          <cell r="H6465" t="str">
            <v>FRIT-F300</v>
          </cell>
          <cell r="K6465" t="str">
            <v>Ansart,Guillaume</v>
          </cell>
          <cell r="N6465">
            <v>3.4580000000000002</v>
          </cell>
          <cell r="O6465">
            <v>3.3809999999999998</v>
          </cell>
        </row>
        <row r="6466">
          <cell r="E6466" t="str">
            <v>FRIT</v>
          </cell>
          <cell r="F6466" t="str">
            <v>FRIT-F</v>
          </cell>
          <cell r="G6466">
            <v>300</v>
          </cell>
          <cell r="H6466" t="str">
            <v>FRIT-F300</v>
          </cell>
          <cell r="K6466" t="str">
            <v>Bowles,Brett</v>
          </cell>
          <cell r="N6466">
            <v>3.0579999999999998</v>
          </cell>
          <cell r="O6466">
            <v>3.2909999999999999</v>
          </cell>
        </row>
        <row r="6467">
          <cell r="E6467" t="str">
            <v>FRIT</v>
          </cell>
          <cell r="F6467" t="str">
            <v>FRIT-F</v>
          </cell>
          <cell r="G6467">
            <v>300</v>
          </cell>
          <cell r="H6467" t="str">
            <v>FRIT-F300</v>
          </cell>
          <cell r="K6467" t="str">
            <v>Calhoun,Alison B</v>
          </cell>
          <cell r="N6467">
            <v>3.5529999999999999</v>
          </cell>
          <cell r="O6467">
            <v>3.4220000000000002</v>
          </cell>
        </row>
        <row r="6468">
          <cell r="E6468" t="str">
            <v>FRIT</v>
          </cell>
          <cell r="F6468" t="str">
            <v>FRIT-F</v>
          </cell>
          <cell r="G6468">
            <v>300</v>
          </cell>
          <cell r="H6468" t="str">
            <v>FRIT-F300</v>
          </cell>
          <cell r="K6468" t="str">
            <v>Gray,Margaret E.</v>
          </cell>
          <cell r="N6468">
            <v>2.7559999999999998</v>
          </cell>
          <cell r="O6468">
            <v>2.9449999999999998</v>
          </cell>
        </row>
        <row r="6469">
          <cell r="E6469" t="str">
            <v>FRIT</v>
          </cell>
          <cell r="F6469" t="str">
            <v>FRIT-F</v>
          </cell>
          <cell r="G6469">
            <v>300</v>
          </cell>
          <cell r="H6469" t="str">
            <v>FRIT-F300</v>
          </cell>
          <cell r="K6469" t="str">
            <v>Gray,Margaret E.</v>
          </cell>
          <cell r="N6469">
            <v>2.8330000000000002</v>
          </cell>
          <cell r="O6469">
            <v>3.5110000000000001</v>
          </cell>
        </row>
        <row r="6470">
          <cell r="E6470" t="str">
            <v>FRIT</v>
          </cell>
          <cell r="F6470" t="str">
            <v>FRIT-F</v>
          </cell>
          <cell r="G6470">
            <v>300</v>
          </cell>
          <cell r="H6470" t="str">
            <v>FRIT-F300</v>
          </cell>
          <cell r="K6470" t="str">
            <v>Merceron,Jacques Emile</v>
          </cell>
          <cell r="N6470">
            <v>3.4830000000000001</v>
          </cell>
          <cell r="O6470">
            <v>3.278</v>
          </cell>
        </row>
        <row r="6471">
          <cell r="E6471" t="str">
            <v>FRIT</v>
          </cell>
          <cell r="F6471" t="str">
            <v>FRIT-F</v>
          </cell>
          <cell r="G6471">
            <v>300</v>
          </cell>
          <cell r="H6471" t="str">
            <v>FRIT-F300</v>
          </cell>
          <cell r="K6471" t="str">
            <v>Okamoto-Macphail,Aiko</v>
          </cell>
          <cell r="N6471">
            <v>3.476</v>
          </cell>
          <cell r="O6471">
            <v>3.4380000000000002</v>
          </cell>
        </row>
        <row r="6472">
          <cell r="E6472" t="str">
            <v>FRIT</v>
          </cell>
          <cell r="F6472" t="str">
            <v>FRIT-F</v>
          </cell>
          <cell r="G6472">
            <v>300</v>
          </cell>
          <cell r="H6472" t="str">
            <v>FRIT-F300</v>
          </cell>
          <cell r="K6472" t="str">
            <v>Valazza,Nicolas</v>
          </cell>
          <cell r="N6472">
            <v>3.55</v>
          </cell>
          <cell r="O6472">
            <v>3.3319999999999999</v>
          </cell>
        </row>
        <row r="6473">
          <cell r="E6473" t="str">
            <v>FRIT</v>
          </cell>
          <cell r="F6473" t="str">
            <v>FRIT-F</v>
          </cell>
          <cell r="G6473">
            <v>305</v>
          </cell>
          <cell r="H6473" t="str">
            <v>FRIT-F305</v>
          </cell>
          <cell r="K6473" t="str">
            <v>Bjornstad,Hall</v>
          </cell>
          <cell r="N6473">
            <v>3.3820000000000001</v>
          </cell>
          <cell r="O6473">
            <v>3.1949999999999998</v>
          </cell>
        </row>
        <row r="6474">
          <cell r="E6474" t="str">
            <v>FRIT</v>
          </cell>
          <cell r="F6474" t="str">
            <v>FRIT-F</v>
          </cell>
          <cell r="G6474">
            <v>305</v>
          </cell>
          <cell r="H6474" t="str">
            <v>FRIT-F305</v>
          </cell>
          <cell r="K6474" t="str">
            <v>Merceron,Jacques Emile</v>
          </cell>
          <cell r="N6474">
            <v>3.2879999999999998</v>
          </cell>
          <cell r="O6474">
            <v>3.3820000000000001</v>
          </cell>
        </row>
        <row r="6475">
          <cell r="E6475" t="str">
            <v>FRIT</v>
          </cell>
          <cell r="F6475" t="str">
            <v>FRIT-F</v>
          </cell>
          <cell r="G6475">
            <v>306</v>
          </cell>
          <cell r="H6475" t="str">
            <v>FRIT-F306</v>
          </cell>
          <cell r="K6475" t="str">
            <v>Mickel,Emanuel J.</v>
          </cell>
          <cell r="N6475">
            <v>3.0249999999999999</v>
          </cell>
          <cell r="O6475">
            <v>3.2490000000000001</v>
          </cell>
        </row>
        <row r="6476">
          <cell r="E6476" t="str">
            <v>FRIT</v>
          </cell>
          <cell r="F6476" t="str">
            <v>FRIT-F</v>
          </cell>
          <cell r="G6476">
            <v>306</v>
          </cell>
          <cell r="H6476" t="str">
            <v>FRIT-F306</v>
          </cell>
          <cell r="K6476" t="str">
            <v>Mickel,Emanuel J.</v>
          </cell>
          <cell r="N6476">
            <v>2.6190000000000002</v>
          </cell>
          <cell r="O6476">
            <v>3.26</v>
          </cell>
        </row>
        <row r="6477">
          <cell r="E6477" t="str">
            <v>FRIT</v>
          </cell>
          <cell r="F6477" t="str">
            <v>FRIT-F</v>
          </cell>
          <cell r="G6477">
            <v>311</v>
          </cell>
          <cell r="H6477" t="str">
            <v>FRIT-F311</v>
          </cell>
          <cell r="K6477" t="str">
            <v>Bowles,Brett</v>
          </cell>
          <cell r="N6477">
            <v>3.375</v>
          </cell>
          <cell r="O6477">
            <v>3.238</v>
          </cell>
        </row>
        <row r="6478">
          <cell r="E6478" t="str">
            <v>FRIT</v>
          </cell>
          <cell r="F6478" t="str">
            <v>FRIT-F</v>
          </cell>
          <cell r="G6478">
            <v>313</v>
          </cell>
          <cell r="H6478" t="str">
            <v>FRIT-F313</v>
          </cell>
          <cell r="K6478" t="str">
            <v>Bjornstad,Hall</v>
          </cell>
          <cell r="N6478">
            <v>3.4550000000000001</v>
          </cell>
          <cell r="O6478">
            <v>3.7549999999999999</v>
          </cell>
        </row>
        <row r="6479">
          <cell r="E6479" t="str">
            <v>FRIT</v>
          </cell>
          <cell r="F6479" t="str">
            <v>FRIT-F</v>
          </cell>
          <cell r="G6479">
            <v>313</v>
          </cell>
          <cell r="H6479" t="str">
            <v>FRIT-F313</v>
          </cell>
          <cell r="K6479" t="str">
            <v>Calhoun,Alison B</v>
          </cell>
          <cell r="N6479">
            <v>3.48</v>
          </cell>
          <cell r="O6479">
            <v>3.3570000000000002</v>
          </cell>
        </row>
        <row r="6480">
          <cell r="E6480" t="str">
            <v>FRIT</v>
          </cell>
          <cell r="F6480" t="str">
            <v>FRIT-F</v>
          </cell>
          <cell r="G6480">
            <v>313</v>
          </cell>
          <cell r="H6480" t="str">
            <v>FRIT-F313</v>
          </cell>
          <cell r="K6480" t="str">
            <v>MacPhail,Eric M</v>
          </cell>
          <cell r="N6480">
            <v>2.9820000000000002</v>
          </cell>
          <cell r="O6480">
            <v>3.504</v>
          </cell>
        </row>
        <row r="6481">
          <cell r="E6481" t="str">
            <v>FRIT</v>
          </cell>
          <cell r="F6481" t="str">
            <v>FRIT-F</v>
          </cell>
          <cell r="G6481">
            <v>313</v>
          </cell>
          <cell r="H6481" t="str">
            <v>FRIT-F313</v>
          </cell>
          <cell r="K6481" t="str">
            <v>Okamoto-Macphail,Aiko</v>
          </cell>
          <cell r="N6481">
            <v>3.347</v>
          </cell>
          <cell r="O6481">
            <v>3.3919999999999999</v>
          </cell>
        </row>
        <row r="6482">
          <cell r="E6482" t="str">
            <v>FRIT</v>
          </cell>
          <cell r="F6482" t="str">
            <v>FRIT-F</v>
          </cell>
          <cell r="G6482">
            <v>313</v>
          </cell>
          <cell r="H6482" t="str">
            <v>FRIT-F313</v>
          </cell>
          <cell r="K6482" t="str">
            <v>Okamoto-Macphail,Aiko</v>
          </cell>
          <cell r="N6482">
            <v>3.4809999999999999</v>
          </cell>
          <cell r="O6482">
            <v>3.472</v>
          </cell>
        </row>
        <row r="6483">
          <cell r="E6483" t="str">
            <v>FRIT</v>
          </cell>
          <cell r="F6483" t="str">
            <v>FRIT-F</v>
          </cell>
          <cell r="G6483">
            <v>313</v>
          </cell>
          <cell r="H6483" t="str">
            <v>FRIT-F313</v>
          </cell>
          <cell r="K6483" t="str">
            <v>Okamoto-Macphail,Aiko</v>
          </cell>
          <cell r="N6483">
            <v>2.9940000000000002</v>
          </cell>
          <cell r="O6483">
            <v>3.1709999999999998</v>
          </cell>
        </row>
        <row r="6484">
          <cell r="E6484" t="str">
            <v>FRIT</v>
          </cell>
          <cell r="F6484" t="str">
            <v>FRIT-F</v>
          </cell>
          <cell r="G6484">
            <v>313</v>
          </cell>
          <cell r="H6484" t="str">
            <v>FRIT-F313</v>
          </cell>
          <cell r="K6484" t="str">
            <v>Schachter,Marc David</v>
          </cell>
          <cell r="N6484">
            <v>3.5880000000000001</v>
          </cell>
          <cell r="O6484">
            <v>3.51</v>
          </cell>
        </row>
        <row r="6485">
          <cell r="E6485" t="str">
            <v>FRIT</v>
          </cell>
          <cell r="F6485" t="str">
            <v>FRIT-F</v>
          </cell>
          <cell r="G6485">
            <v>315</v>
          </cell>
          <cell r="H6485" t="str">
            <v>FRIT-F315</v>
          </cell>
          <cell r="K6485" t="str">
            <v>Sax,Kelly Jean</v>
          </cell>
          <cell r="N6485">
            <v>3.1779999999999999</v>
          </cell>
          <cell r="O6485">
            <v>3.234</v>
          </cell>
        </row>
        <row r="6486">
          <cell r="E6486" t="str">
            <v>FRIT</v>
          </cell>
          <cell r="F6486" t="str">
            <v>FRIT-F</v>
          </cell>
          <cell r="G6486">
            <v>316</v>
          </cell>
          <cell r="H6486" t="str">
            <v>FRIT-F316</v>
          </cell>
          <cell r="K6486" t="str">
            <v>Frimu,Rodica</v>
          </cell>
          <cell r="N6486">
            <v>3.2749999999999999</v>
          </cell>
          <cell r="O6486">
            <v>3.2909999999999999</v>
          </cell>
        </row>
        <row r="6487">
          <cell r="E6487" t="str">
            <v>FRIT</v>
          </cell>
          <cell r="F6487" t="str">
            <v>FRIT-F</v>
          </cell>
          <cell r="G6487">
            <v>316</v>
          </cell>
          <cell r="H6487" t="str">
            <v>FRIT-F316</v>
          </cell>
          <cell r="K6487" t="str">
            <v>Hendrickson,Ryan David</v>
          </cell>
          <cell r="N6487">
            <v>3.2789999999999999</v>
          </cell>
          <cell r="O6487">
            <v>3.4510000000000001</v>
          </cell>
        </row>
        <row r="6488">
          <cell r="E6488" t="str">
            <v>FRIT</v>
          </cell>
          <cell r="F6488" t="str">
            <v>FRIT-F</v>
          </cell>
          <cell r="G6488">
            <v>316</v>
          </cell>
          <cell r="H6488" t="str">
            <v>FRIT-F316</v>
          </cell>
          <cell r="K6488" t="str">
            <v>Panwitz,Amber Rae</v>
          </cell>
          <cell r="N6488">
            <v>3.2570000000000001</v>
          </cell>
          <cell r="O6488">
            <v>2.9159999999999999</v>
          </cell>
        </row>
        <row r="6489">
          <cell r="E6489" t="str">
            <v>FRIT</v>
          </cell>
          <cell r="F6489" t="str">
            <v>FRIT-F</v>
          </cell>
          <cell r="G6489">
            <v>316</v>
          </cell>
          <cell r="H6489" t="str">
            <v>FRIT-F316</v>
          </cell>
          <cell r="K6489" t="str">
            <v>Petrush,Rebecca Anne</v>
          </cell>
          <cell r="N6489">
            <v>3.6070000000000002</v>
          </cell>
          <cell r="O6489">
            <v>3.5150000000000001</v>
          </cell>
        </row>
        <row r="6490">
          <cell r="E6490" t="str">
            <v>FRIT</v>
          </cell>
          <cell r="F6490" t="str">
            <v>FRIT-F</v>
          </cell>
          <cell r="G6490">
            <v>316</v>
          </cell>
          <cell r="H6490" t="str">
            <v>FRIT-F316</v>
          </cell>
          <cell r="K6490" t="str">
            <v>Scrivner,Olga B</v>
          </cell>
          <cell r="N6490">
            <v>3.5350000000000001</v>
          </cell>
          <cell r="O6490">
            <v>3.4159999999999999</v>
          </cell>
        </row>
        <row r="6491">
          <cell r="E6491" t="str">
            <v>FRIT</v>
          </cell>
          <cell r="F6491" t="str">
            <v>FRIT-F</v>
          </cell>
          <cell r="G6491">
            <v>317</v>
          </cell>
          <cell r="H6491" t="str">
            <v>FRIT-F317</v>
          </cell>
          <cell r="K6491" t="str">
            <v>Ansart,Guillaume</v>
          </cell>
          <cell r="N6491">
            <v>3.08</v>
          </cell>
          <cell r="O6491">
            <v>3.32</v>
          </cell>
        </row>
        <row r="6492">
          <cell r="E6492" t="str">
            <v>FRIT</v>
          </cell>
          <cell r="F6492" t="str">
            <v>FRIT-F</v>
          </cell>
          <cell r="G6492">
            <v>362</v>
          </cell>
          <cell r="H6492" t="str">
            <v>FRIT-F362</v>
          </cell>
          <cell r="K6492" t="str">
            <v>Bjornstad,Hall</v>
          </cell>
          <cell r="N6492">
            <v>3.4140000000000001</v>
          </cell>
          <cell r="O6492">
            <v>3.2589999999999999</v>
          </cell>
        </row>
        <row r="6493">
          <cell r="E6493" t="str">
            <v>FRIT</v>
          </cell>
          <cell r="F6493" t="str">
            <v>FRIT-F</v>
          </cell>
          <cell r="G6493">
            <v>363</v>
          </cell>
          <cell r="H6493" t="str">
            <v>FRIT-F363</v>
          </cell>
          <cell r="K6493" t="str">
            <v>Panaite,Oana</v>
          </cell>
          <cell r="N6493">
            <v>3.3050000000000002</v>
          </cell>
          <cell r="O6493">
            <v>3.4710000000000001</v>
          </cell>
        </row>
        <row r="6494">
          <cell r="E6494" t="str">
            <v>FRIT</v>
          </cell>
          <cell r="F6494" t="str">
            <v>FRIT-F</v>
          </cell>
          <cell r="G6494">
            <v>363</v>
          </cell>
          <cell r="H6494" t="str">
            <v>FRIT-F363</v>
          </cell>
          <cell r="K6494" t="str">
            <v>Panaite,Oana</v>
          </cell>
          <cell r="N6494">
            <v>3.383</v>
          </cell>
          <cell r="O6494">
            <v>3.3530000000000002</v>
          </cell>
        </row>
        <row r="6495">
          <cell r="E6495" t="str">
            <v>FRIT</v>
          </cell>
          <cell r="F6495" t="str">
            <v>FRIT-F</v>
          </cell>
          <cell r="G6495">
            <v>375</v>
          </cell>
          <cell r="H6495" t="str">
            <v>FRIT-F375</v>
          </cell>
          <cell r="K6495" t="str">
            <v>Gray,Margaret E.</v>
          </cell>
          <cell r="N6495">
            <v>3.5430000000000001</v>
          </cell>
          <cell r="O6495">
            <v>3.5289999999999999</v>
          </cell>
        </row>
        <row r="6496">
          <cell r="E6496" t="str">
            <v>FRIT</v>
          </cell>
          <cell r="F6496" t="str">
            <v>FRIT-F</v>
          </cell>
          <cell r="G6496">
            <v>375</v>
          </cell>
          <cell r="H6496" t="str">
            <v>FRIT-F375</v>
          </cell>
          <cell r="K6496" t="str">
            <v>Merceron,Jacques Emile</v>
          </cell>
          <cell r="N6496">
            <v>3.335</v>
          </cell>
          <cell r="O6496">
            <v>3.3279999999999998</v>
          </cell>
        </row>
        <row r="6497">
          <cell r="E6497" t="str">
            <v>FRIT</v>
          </cell>
          <cell r="F6497" t="str">
            <v>FRIT-F</v>
          </cell>
          <cell r="G6497">
            <v>399</v>
          </cell>
          <cell r="H6497" t="str">
            <v>FRIT-F399</v>
          </cell>
          <cell r="K6497" t="str">
            <v>Ciccarelli,Andrea</v>
          </cell>
          <cell r="N6497" t="str">
            <v>NR</v>
          </cell>
          <cell r="O6497" t="str">
            <v>NR</v>
          </cell>
        </row>
        <row r="6498">
          <cell r="E6498" t="str">
            <v>FRIT</v>
          </cell>
          <cell r="F6498" t="str">
            <v>FRIT-F</v>
          </cell>
          <cell r="G6498">
            <v>399</v>
          </cell>
          <cell r="H6498" t="str">
            <v>FRIT-F399</v>
          </cell>
          <cell r="K6498" t="str">
            <v>Ciccarelli,Andrea</v>
          </cell>
          <cell r="N6498" t="str">
            <v>NR</v>
          </cell>
          <cell r="O6498" t="str">
            <v>NR</v>
          </cell>
        </row>
        <row r="6499">
          <cell r="E6499" t="str">
            <v>FRIT</v>
          </cell>
          <cell r="F6499" t="str">
            <v>FRIT-F</v>
          </cell>
          <cell r="G6499">
            <v>401</v>
          </cell>
          <cell r="H6499" t="str">
            <v>FRIT-F401</v>
          </cell>
          <cell r="K6499" t="str">
            <v>Rottet,Kevin James</v>
          </cell>
          <cell r="N6499">
            <v>2.5449999999999999</v>
          </cell>
          <cell r="O6499">
            <v>3.2549999999999999</v>
          </cell>
        </row>
        <row r="6500">
          <cell r="E6500" t="str">
            <v>FRIT</v>
          </cell>
          <cell r="F6500" t="str">
            <v>FRIT-F</v>
          </cell>
          <cell r="G6500">
            <v>402</v>
          </cell>
          <cell r="H6500" t="str">
            <v>FRIT-F402</v>
          </cell>
          <cell r="K6500" t="str">
            <v>Vance,Barbara S.</v>
          </cell>
          <cell r="N6500">
            <v>3.2559999999999998</v>
          </cell>
          <cell r="O6500">
            <v>3.4590000000000001</v>
          </cell>
        </row>
        <row r="6501">
          <cell r="E6501" t="str">
            <v>FRIT</v>
          </cell>
          <cell r="F6501" t="str">
            <v>FRIT-F</v>
          </cell>
          <cell r="G6501">
            <v>413</v>
          </cell>
          <cell r="H6501" t="str">
            <v>FRIT-F413</v>
          </cell>
          <cell r="K6501" t="str">
            <v>MacPhail,Eric M</v>
          </cell>
          <cell r="N6501" t="str">
            <v>NR</v>
          </cell>
          <cell r="O6501" t="str">
            <v>NR</v>
          </cell>
        </row>
        <row r="6502">
          <cell r="E6502" t="str">
            <v>FRIT</v>
          </cell>
          <cell r="F6502" t="str">
            <v>FRIT-F</v>
          </cell>
          <cell r="G6502">
            <v>450</v>
          </cell>
          <cell r="H6502" t="str">
            <v>FRIT-F450</v>
          </cell>
          <cell r="K6502" t="str">
            <v>Mickel,Emanuel J.</v>
          </cell>
          <cell r="N6502">
            <v>2.9129999999999998</v>
          </cell>
          <cell r="O6502">
            <v>3.165</v>
          </cell>
        </row>
        <row r="6503">
          <cell r="E6503" t="str">
            <v>FRIT</v>
          </cell>
          <cell r="F6503" t="str">
            <v>FRIT-F</v>
          </cell>
          <cell r="G6503">
            <v>450</v>
          </cell>
          <cell r="H6503" t="str">
            <v>FRIT-F450</v>
          </cell>
          <cell r="K6503" t="str">
            <v>Mickel,Emanuel J.</v>
          </cell>
          <cell r="N6503">
            <v>3.617</v>
          </cell>
          <cell r="O6503">
            <v>3.6850000000000001</v>
          </cell>
        </row>
        <row r="6504">
          <cell r="E6504" t="str">
            <v>FRIT</v>
          </cell>
          <cell r="F6504" t="str">
            <v>FRIT-F</v>
          </cell>
          <cell r="G6504">
            <v>451</v>
          </cell>
          <cell r="H6504" t="str">
            <v>FRIT-F451</v>
          </cell>
          <cell r="K6504" t="str">
            <v>Merlin-Kajman,Helene</v>
          </cell>
          <cell r="N6504" t="str">
            <v>NR</v>
          </cell>
          <cell r="O6504" t="str">
            <v>NR</v>
          </cell>
        </row>
        <row r="6505">
          <cell r="E6505" t="str">
            <v>FRIT</v>
          </cell>
          <cell r="F6505" t="str">
            <v>FRIT-F</v>
          </cell>
          <cell r="G6505">
            <v>460</v>
          </cell>
          <cell r="H6505" t="str">
            <v>FRIT-F460</v>
          </cell>
          <cell r="K6505" t="str">
            <v>Auger,Julie</v>
          </cell>
          <cell r="N6505">
            <v>3.4529999999999998</v>
          </cell>
          <cell r="O6505">
            <v>3.4060000000000001</v>
          </cell>
        </row>
        <row r="6506">
          <cell r="E6506" t="str">
            <v>FRIT</v>
          </cell>
          <cell r="F6506" t="str">
            <v>FRIT-F</v>
          </cell>
          <cell r="G6506">
            <v>461</v>
          </cell>
          <cell r="H6506" t="str">
            <v>FRIT-F461</v>
          </cell>
          <cell r="K6506" t="str">
            <v>Bowles,Brett</v>
          </cell>
          <cell r="N6506">
            <v>3.4430000000000001</v>
          </cell>
          <cell r="O6506">
            <v>3.319</v>
          </cell>
        </row>
        <row r="6507">
          <cell r="E6507" t="str">
            <v>FRIT</v>
          </cell>
          <cell r="F6507" t="str">
            <v>FRIT-F</v>
          </cell>
          <cell r="G6507">
            <v>461</v>
          </cell>
          <cell r="H6507" t="str">
            <v>FRIT-F461</v>
          </cell>
          <cell r="K6507" t="str">
            <v>Bowles,Brett</v>
          </cell>
          <cell r="N6507">
            <v>3.4849999999999999</v>
          </cell>
          <cell r="O6507">
            <v>3.5339999999999998</v>
          </cell>
        </row>
        <row r="6508">
          <cell r="E6508" t="str">
            <v>FRIT</v>
          </cell>
          <cell r="F6508" t="str">
            <v>FRIT-F</v>
          </cell>
          <cell r="G6508">
            <v>477</v>
          </cell>
          <cell r="H6508" t="str">
            <v>FRIT-F477</v>
          </cell>
          <cell r="K6508" t="str">
            <v>Sax,Kelly Jean</v>
          </cell>
          <cell r="N6508" t="str">
            <v>NR</v>
          </cell>
          <cell r="O6508" t="str">
            <v>NR</v>
          </cell>
        </row>
        <row r="6509">
          <cell r="E6509" t="str">
            <v>FRIT</v>
          </cell>
          <cell r="F6509" t="str">
            <v>FRIT-F</v>
          </cell>
          <cell r="G6509">
            <v>491</v>
          </cell>
          <cell r="H6509" t="str">
            <v>FRIT-F491</v>
          </cell>
          <cell r="K6509" t="str">
            <v>Black,Mark Alan</v>
          </cell>
          <cell r="N6509" t="str">
            <v>NR</v>
          </cell>
          <cell r="O6509" t="str">
            <v>NR</v>
          </cell>
        </row>
        <row r="6510">
          <cell r="E6510" t="str">
            <v>FRIT</v>
          </cell>
          <cell r="F6510" t="str">
            <v>FRIT-F</v>
          </cell>
          <cell r="G6510">
            <v>491</v>
          </cell>
          <cell r="H6510" t="str">
            <v>FRIT-F491</v>
          </cell>
          <cell r="K6510" t="str">
            <v>Black,Mark Alan</v>
          </cell>
          <cell r="N6510">
            <v>3.9409999999999998</v>
          </cell>
          <cell r="O6510">
            <v>3.8090000000000002</v>
          </cell>
        </row>
        <row r="6511">
          <cell r="E6511" t="str">
            <v>FRIT</v>
          </cell>
          <cell r="F6511" t="str">
            <v>FRIT-F</v>
          </cell>
          <cell r="G6511">
            <v>492</v>
          </cell>
          <cell r="H6511" t="str">
            <v>FRIT-F492</v>
          </cell>
          <cell r="K6511" t="str">
            <v>Lorente Lapole,Amandine Virginie</v>
          </cell>
          <cell r="N6511" t="str">
            <v>NR</v>
          </cell>
          <cell r="O6511" t="str">
            <v>NR</v>
          </cell>
        </row>
        <row r="6512">
          <cell r="E6512" t="str">
            <v>FRIT</v>
          </cell>
          <cell r="F6512" t="str">
            <v>FRIT-F</v>
          </cell>
          <cell r="G6512">
            <v>492</v>
          </cell>
          <cell r="H6512" t="str">
            <v>FRIT-F492</v>
          </cell>
          <cell r="K6512" t="str">
            <v>Lorente Lapole,Amandine Virginie</v>
          </cell>
          <cell r="N6512">
            <v>3.8130000000000002</v>
          </cell>
          <cell r="O6512">
            <v>3.859</v>
          </cell>
        </row>
        <row r="6513">
          <cell r="E6513" t="str">
            <v>FRIT</v>
          </cell>
          <cell r="F6513" t="str">
            <v>FRIT-F</v>
          </cell>
          <cell r="G6513">
            <v>495</v>
          </cell>
          <cell r="H6513" t="str">
            <v>FRIT-F495</v>
          </cell>
          <cell r="K6513" t="str">
            <v>Ciccarelli,Andrea</v>
          </cell>
          <cell r="N6513" t="str">
            <v>NR</v>
          </cell>
          <cell r="O6513" t="str">
            <v>NR</v>
          </cell>
        </row>
        <row r="6514">
          <cell r="E6514" t="str">
            <v>FRIT</v>
          </cell>
          <cell r="F6514" t="str">
            <v>FRIT-F</v>
          </cell>
          <cell r="G6514">
            <v>499</v>
          </cell>
          <cell r="H6514" t="str">
            <v>FRIT-F499</v>
          </cell>
          <cell r="K6514" t="str">
            <v>Ciccarelli,Andrea</v>
          </cell>
          <cell r="N6514" t="str">
            <v>NR</v>
          </cell>
          <cell r="O6514" t="str">
            <v>NR</v>
          </cell>
        </row>
        <row r="6515">
          <cell r="E6515" t="str">
            <v>FRIT</v>
          </cell>
          <cell r="F6515" t="str">
            <v>FRIT-F</v>
          </cell>
          <cell r="G6515">
            <v>502</v>
          </cell>
          <cell r="H6515" t="str">
            <v>FRIT-F502</v>
          </cell>
          <cell r="K6515" t="str">
            <v>Merceron,Jacques Emile</v>
          </cell>
          <cell r="N6515">
            <v>3.87</v>
          </cell>
          <cell r="O6515">
            <v>3.81</v>
          </cell>
        </row>
        <row r="6516">
          <cell r="E6516" t="str">
            <v>FRIT</v>
          </cell>
          <cell r="F6516" t="str">
            <v>FRIT-F</v>
          </cell>
          <cell r="G6516">
            <v>536</v>
          </cell>
          <cell r="H6516" t="str">
            <v>FRIT-F536</v>
          </cell>
          <cell r="K6516" t="str">
            <v>Ansart,Guillaume</v>
          </cell>
          <cell r="N6516">
            <v>3.464</v>
          </cell>
          <cell r="O6516">
            <v>3.7530000000000001</v>
          </cell>
        </row>
        <row r="6517">
          <cell r="E6517" t="str">
            <v>FRIT</v>
          </cell>
          <cell r="F6517" t="str">
            <v>FRIT-F</v>
          </cell>
          <cell r="G6517">
            <v>572</v>
          </cell>
          <cell r="H6517" t="str">
            <v>FRIT-F572</v>
          </cell>
          <cell r="K6517" t="str">
            <v>Sax,Kelly Jean</v>
          </cell>
          <cell r="N6517" t="str">
            <v>NR</v>
          </cell>
          <cell r="O6517" t="str">
            <v>NR</v>
          </cell>
        </row>
        <row r="6518">
          <cell r="E6518" t="str">
            <v>FRIT</v>
          </cell>
          <cell r="F6518" t="str">
            <v>FRIT-F</v>
          </cell>
          <cell r="G6518">
            <v>577</v>
          </cell>
          <cell r="H6518" t="str">
            <v>FRIT-F577</v>
          </cell>
          <cell r="K6518" t="str">
            <v>Dekydtspotter,Laurent Pierre</v>
          </cell>
          <cell r="N6518">
            <v>3.9180000000000001</v>
          </cell>
          <cell r="O6518">
            <v>3.8570000000000002</v>
          </cell>
        </row>
        <row r="6519">
          <cell r="E6519" t="str">
            <v>FRIT</v>
          </cell>
          <cell r="F6519" t="str">
            <v>FRIT-F</v>
          </cell>
          <cell r="G6519">
            <v>580</v>
          </cell>
          <cell r="H6519" t="str">
            <v>FRIT-F580</v>
          </cell>
          <cell r="K6519" t="str">
            <v>Rottet,Kevin James</v>
          </cell>
          <cell r="N6519">
            <v>3.71</v>
          </cell>
          <cell r="O6519">
            <v>3.8010000000000002</v>
          </cell>
        </row>
        <row r="6520">
          <cell r="E6520" t="str">
            <v>FRIT</v>
          </cell>
          <cell r="F6520" t="str">
            <v>FRIT-F</v>
          </cell>
          <cell r="G6520">
            <v>582</v>
          </cell>
          <cell r="H6520" t="str">
            <v>FRIT-F582</v>
          </cell>
          <cell r="K6520" t="str">
            <v>Dekydtspotter,Laurent Pierre</v>
          </cell>
          <cell r="N6520">
            <v>3.46</v>
          </cell>
          <cell r="O6520">
            <v>3.7839999999999998</v>
          </cell>
        </row>
        <row r="6521">
          <cell r="E6521" t="str">
            <v>FRIT</v>
          </cell>
          <cell r="F6521" t="str">
            <v>FRIT-F</v>
          </cell>
          <cell r="G6521">
            <v>604</v>
          </cell>
          <cell r="H6521" t="str">
            <v>FRIT-F604</v>
          </cell>
          <cell r="K6521" t="str">
            <v>Vance,Barbara S.</v>
          </cell>
          <cell r="N6521">
            <v>3.9449999999999998</v>
          </cell>
          <cell r="O6521">
            <v>3.847</v>
          </cell>
        </row>
        <row r="6522">
          <cell r="E6522" t="str">
            <v>FRIT</v>
          </cell>
          <cell r="F6522" t="str">
            <v>FRIT-F</v>
          </cell>
          <cell r="G6522">
            <v>620</v>
          </cell>
          <cell r="H6522" t="str">
            <v>FRIT-F620</v>
          </cell>
          <cell r="K6522" t="str">
            <v>MacPhail,Eric M</v>
          </cell>
          <cell r="N6522">
            <v>3.5</v>
          </cell>
          <cell r="O6522">
            <v>3.7429999999999999</v>
          </cell>
        </row>
        <row r="6523">
          <cell r="E6523" t="str">
            <v>FRIT</v>
          </cell>
          <cell r="F6523" t="str">
            <v>FRIT-F</v>
          </cell>
          <cell r="G6523">
            <v>630</v>
          </cell>
          <cell r="H6523" t="str">
            <v>FRIT-F630</v>
          </cell>
          <cell r="K6523" t="str">
            <v>Bjornstad,Hall</v>
          </cell>
          <cell r="N6523">
            <v>3.9329999999999998</v>
          </cell>
          <cell r="O6523">
            <v>3.78</v>
          </cell>
        </row>
        <row r="6524">
          <cell r="E6524" t="str">
            <v>FRIT</v>
          </cell>
          <cell r="F6524" t="str">
            <v>FRIT-F</v>
          </cell>
          <cell r="G6524">
            <v>630</v>
          </cell>
          <cell r="H6524" t="str">
            <v>FRIT-F630</v>
          </cell>
          <cell r="K6524" t="str">
            <v>Merlin-Kajman,Helene</v>
          </cell>
          <cell r="N6524" t="str">
            <v>NR</v>
          </cell>
          <cell r="O6524" t="str">
            <v>NR</v>
          </cell>
        </row>
        <row r="6525">
          <cell r="E6525" t="str">
            <v>FRIT</v>
          </cell>
          <cell r="F6525" t="str">
            <v>FRIT-F</v>
          </cell>
          <cell r="G6525">
            <v>667</v>
          </cell>
          <cell r="H6525" t="str">
            <v>FRIT-F667</v>
          </cell>
          <cell r="K6525" t="str">
            <v>Julien,Eileen</v>
          </cell>
          <cell r="N6525">
            <v>3.8</v>
          </cell>
          <cell r="O6525">
            <v>3.8</v>
          </cell>
        </row>
        <row r="6526">
          <cell r="E6526" t="str">
            <v>FRIT</v>
          </cell>
          <cell r="F6526" t="str">
            <v>FRIT-F</v>
          </cell>
          <cell r="G6526">
            <v>677</v>
          </cell>
          <cell r="H6526" t="str">
            <v>FRIT-F677</v>
          </cell>
          <cell r="K6526" t="str">
            <v>Rottet,Kevin James</v>
          </cell>
          <cell r="N6526">
            <v>3.875</v>
          </cell>
          <cell r="O6526">
            <v>3.831</v>
          </cell>
        </row>
        <row r="6527">
          <cell r="E6527" t="str">
            <v>FRIT</v>
          </cell>
          <cell r="F6527" t="str">
            <v>FRIT-F</v>
          </cell>
          <cell r="G6527">
            <v>680</v>
          </cell>
          <cell r="H6527" t="str">
            <v>FRIT-F680</v>
          </cell>
          <cell r="K6527" t="str">
            <v>Rottet,Kevin James</v>
          </cell>
          <cell r="N6527">
            <v>3.931</v>
          </cell>
          <cell r="O6527">
            <v>3.903</v>
          </cell>
        </row>
        <row r="6528">
          <cell r="E6528" t="str">
            <v>FRIT</v>
          </cell>
          <cell r="F6528" t="str">
            <v>FRIT-F</v>
          </cell>
          <cell r="G6528">
            <v>825</v>
          </cell>
          <cell r="H6528" t="str">
            <v>FRIT-F825</v>
          </cell>
          <cell r="K6528" t="str">
            <v>Calhoun,Alison B</v>
          </cell>
          <cell r="N6528">
            <v>3.8559999999999999</v>
          </cell>
          <cell r="O6528">
            <v>3.8730000000000002</v>
          </cell>
        </row>
        <row r="6529">
          <cell r="E6529" t="str">
            <v>FRIT</v>
          </cell>
          <cell r="F6529" t="str">
            <v>FRIT-F</v>
          </cell>
          <cell r="G6529">
            <v>875</v>
          </cell>
          <cell r="H6529" t="str">
            <v>FRIT-F875</v>
          </cell>
          <cell r="K6529" t="str">
            <v>Ciccarelli,Andrea</v>
          </cell>
          <cell r="N6529" t="str">
            <v>NR</v>
          </cell>
          <cell r="O6529" t="str">
            <v>NR</v>
          </cell>
        </row>
        <row r="6530">
          <cell r="E6530" t="str">
            <v>FRIT</v>
          </cell>
          <cell r="F6530" t="str">
            <v>FRIT-F</v>
          </cell>
          <cell r="G6530">
            <v>875</v>
          </cell>
          <cell r="H6530" t="str">
            <v>FRIT-F875</v>
          </cell>
          <cell r="K6530" t="str">
            <v>Ciccarelli,Andrea</v>
          </cell>
          <cell r="N6530" t="str">
            <v>NR</v>
          </cell>
          <cell r="O6530" t="str">
            <v>NR</v>
          </cell>
        </row>
        <row r="6531">
          <cell r="E6531" t="str">
            <v>FRIT</v>
          </cell>
          <cell r="F6531" t="str">
            <v>FRIT-F</v>
          </cell>
          <cell r="G6531">
            <v>875</v>
          </cell>
          <cell r="H6531" t="str">
            <v>FRIT-F875</v>
          </cell>
          <cell r="K6531" t="str">
            <v>Ciccarelli,Andrea</v>
          </cell>
          <cell r="N6531" t="str">
            <v>NR</v>
          </cell>
          <cell r="O6531" t="str">
            <v>NR</v>
          </cell>
        </row>
        <row r="6532">
          <cell r="E6532" t="str">
            <v>FRIT</v>
          </cell>
          <cell r="F6532" t="str">
            <v>FRIT-F</v>
          </cell>
          <cell r="G6532">
            <v>875</v>
          </cell>
          <cell r="H6532" t="str">
            <v>FRIT-F875</v>
          </cell>
          <cell r="K6532" t="str">
            <v>Ciccarelli,Andrea</v>
          </cell>
          <cell r="N6532" t="str">
            <v>NR</v>
          </cell>
          <cell r="O6532" t="str">
            <v>NR</v>
          </cell>
        </row>
        <row r="6533">
          <cell r="E6533" t="str">
            <v>FRIT</v>
          </cell>
          <cell r="F6533" t="str">
            <v>FRIT-G</v>
          </cell>
          <cell r="G6533">
            <v>901</v>
          </cell>
          <cell r="H6533" t="str">
            <v>FRIT-G901</v>
          </cell>
          <cell r="K6533" t="str">
            <v>Ciccarelli,Andrea</v>
          </cell>
          <cell r="N6533" t="str">
            <v>NR</v>
          </cell>
          <cell r="O6533" t="str">
            <v>NR</v>
          </cell>
        </row>
        <row r="6534">
          <cell r="E6534" t="str">
            <v>FRIT</v>
          </cell>
          <cell r="F6534" t="str">
            <v>FRIT-G</v>
          </cell>
          <cell r="G6534">
            <v>901</v>
          </cell>
          <cell r="H6534" t="str">
            <v>FRIT-G901</v>
          </cell>
          <cell r="K6534" t="str">
            <v>Ciccarelli,Andrea</v>
          </cell>
          <cell r="N6534" t="str">
            <v>NR</v>
          </cell>
          <cell r="O6534" t="str">
            <v>NR</v>
          </cell>
        </row>
        <row r="6535">
          <cell r="E6535" t="str">
            <v>FRIT</v>
          </cell>
          <cell r="F6535" t="str">
            <v>FRIT-G</v>
          </cell>
          <cell r="G6535">
            <v>901</v>
          </cell>
          <cell r="H6535" t="str">
            <v>FRIT-G901</v>
          </cell>
          <cell r="K6535" t="str">
            <v>Ciccarelli,Andrea</v>
          </cell>
          <cell r="N6535" t="str">
            <v>NR</v>
          </cell>
          <cell r="O6535" t="str">
            <v>NR</v>
          </cell>
        </row>
        <row r="6536">
          <cell r="E6536" t="str">
            <v>FRIT</v>
          </cell>
          <cell r="F6536" t="str">
            <v>FRIT-G</v>
          </cell>
          <cell r="G6536">
            <v>901</v>
          </cell>
          <cell r="H6536" t="str">
            <v>FRIT-G901</v>
          </cell>
          <cell r="K6536" t="str">
            <v>Ciccarelli,Andrea</v>
          </cell>
          <cell r="N6536" t="str">
            <v>NR</v>
          </cell>
          <cell r="O6536" t="str">
            <v>NR</v>
          </cell>
        </row>
        <row r="6537">
          <cell r="E6537" t="str">
            <v>FRIT</v>
          </cell>
          <cell r="F6537" t="str">
            <v>FRIT-M</v>
          </cell>
          <cell r="G6537">
            <v>100</v>
          </cell>
          <cell r="H6537" t="str">
            <v>FRIT-M100</v>
          </cell>
          <cell r="K6537" t="str">
            <v>Alexander,Austin</v>
          </cell>
          <cell r="N6537">
            <v>3.1240000000000001</v>
          </cell>
          <cell r="O6537">
            <v>2.6360000000000001</v>
          </cell>
        </row>
        <row r="6538">
          <cell r="E6538" t="str">
            <v>FRIT</v>
          </cell>
          <cell r="F6538" t="str">
            <v>FRIT-M</v>
          </cell>
          <cell r="G6538">
            <v>100</v>
          </cell>
          <cell r="H6538" t="str">
            <v>FRIT-M100</v>
          </cell>
          <cell r="K6538" t="str">
            <v>Bowen III,Edward Maurice</v>
          </cell>
          <cell r="N6538">
            <v>3.4529999999999998</v>
          </cell>
          <cell r="O6538">
            <v>3.1080000000000001</v>
          </cell>
        </row>
        <row r="6539">
          <cell r="E6539" t="str">
            <v>FRIT</v>
          </cell>
          <cell r="F6539" t="str">
            <v>FRIT-M</v>
          </cell>
          <cell r="G6539">
            <v>100</v>
          </cell>
          <cell r="H6539" t="str">
            <v>FRIT-M100</v>
          </cell>
          <cell r="K6539" t="str">
            <v>Bowen III,Edward Maurice</v>
          </cell>
          <cell r="N6539">
            <v>2.4</v>
          </cell>
          <cell r="O6539">
            <v>2.5179999999999998</v>
          </cell>
        </row>
        <row r="6540">
          <cell r="E6540" t="str">
            <v>FRIT</v>
          </cell>
          <cell r="F6540" t="str">
            <v>FRIT-M</v>
          </cell>
          <cell r="G6540">
            <v>100</v>
          </cell>
          <cell r="H6540" t="str">
            <v>FRIT-M100</v>
          </cell>
          <cell r="K6540" t="str">
            <v>Etem,Aysehan Julide</v>
          </cell>
          <cell r="N6540">
            <v>3.113</v>
          </cell>
          <cell r="O6540">
            <v>2.6589999999999998</v>
          </cell>
        </row>
        <row r="6541">
          <cell r="E6541" t="str">
            <v>FRIT</v>
          </cell>
          <cell r="F6541" t="str">
            <v>FRIT-M</v>
          </cell>
          <cell r="G6541">
            <v>100</v>
          </cell>
          <cell r="H6541" t="str">
            <v>FRIT-M100</v>
          </cell>
          <cell r="K6541" t="str">
            <v>Hiller,Stephen Craig</v>
          </cell>
          <cell r="N6541">
            <v>2.5499999999999998</v>
          </cell>
          <cell r="O6541">
            <v>2.774</v>
          </cell>
        </row>
        <row r="6542">
          <cell r="E6542" t="str">
            <v>FRIT</v>
          </cell>
          <cell r="F6542" t="str">
            <v>FRIT-M</v>
          </cell>
          <cell r="G6542">
            <v>100</v>
          </cell>
          <cell r="H6542" t="str">
            <v>FRIT-M100</v>
          </cell>
          <cell r="K6542" t="str">
            <v>Love,Anna Elizabeth</v>
          </cell>
          <cell r="N6542">
            <v>3.125</v>
          </cell>
          <cell r="O6542">
            <v>2.984</v>
          </cell>
        </row>
        <row r="6543">
          <cell r="E6543" t="str">
            <v>FRIT</v>
          </cell>
          <cell r="F6543" t="str">
            <v>FRIT-M</v>
          </cell>
          <cell r="G6543">
            <v>100</v>
          </cell>
          <cell r="H6543" t="str">
            <v>FRIT-M100</v>
          </cell>
          <cell r="K6543" t="str">
            <v>Love,Anna Elizabeth</v>
          </cell>
          <cell r="N6543">
            <v>2.863</v>
          </cell>
          <cell r="O6543">
            <v>2.766</v>
          </cell>
        </row>
        <row r="6544">
          <cell r="E6544" t="str">
            <v>FRIT</v>
          </cell>
          <cell r="F6544" t="str">
            <v>FRIT-M</v>
          </cell>
          <cell r="G6544">
            <v>100</v>
          </cell>
          <cell r="H6544" t="str">
            <v>FRIT-M100</v>
          </cell>
          <cell r="K6544" t="str">
            <v>Magni,Isabella</v>
          </cell>
          <cell r="N6544">
            <v>3.3319999999999999</v>
          </cell>
          <cell r="O6544">
            <v>3.101</v>
          </cell>
        </row>
        <row r="6545">
          <cell r="E6545" t="str">
            <v>FRIT</v>
          </cell>
          <cell r="F6545" t="str">
            <v>FRIT-M</v>
          </cell>
          <cell r="G6545">
            <v>100</v>
          </cell>
          <cell r="H6545" t="str">
            <v>FRIT-M100</v>
          </cell>
          <cell r="K6545" t="str">
            <v>Magni,Isabella</v>
          </cell>
          <cell r="N6545">
            <v>3.1080000000000001</v>
          </cell>
          <cell r="O6545">
            <v>2.6739999999999999</v>
          </cell>
        </row>
        <row r="6546">
          <cell r="E6546" t="str">
            <v>FRIT</v>
          </cell>
          <cell r="F6546" t="str">
            <v>FRIT-M</v>
          </cell>
          <cell r="G6546">
            <v>100</v>
          </cell>
          <cell r="H6546" t="str">
            <v>FRIT-M100</v>
          </cell>
          <cell r="K6546" t="str">
            <v>Marongiu,Cinzia</v>
          </cell>
          <cell r="N6546">
            <v>3.355</v>
          </cell>
          <cell r="O6546">
            <v>2.968</v>
          </cell>
        </row>
        <row r="6547">
          <cell r="E6547" t="str">
            <v>FRIT</v>
          </cell>
          <cell r="F6547" t="str">
            <v>FRIT-M</v>
          </cell>
          <cell r="G6547">
            <v>100</v>
          </cell>
          <cell r="H6547" t="str">
            <v>FRIT-M100</v>
          </cell>
          <cell r="K6547" t="str">
            <v>Marrero Hernandez,Paola Judith</v>
          </cell>
          <cell r="N6547">
            <v>3</v>
          </cell>
          <cell r="O6547">
            <v>3.1230000000000002</v>
          </cell>
        </row>
        <row r="6548">
          <cell r="E6548" t="str">
            <v>FRIT</v>
          </cell>
          <cell r="F6548" t="str">
            <v>FRIT-M</v>
          </cell>
          <cell r="G6548">
            <v>100</v>
          </cell>
          <cell r="H6548" t="str">
            <v>FRIT-M100</v>
          </cell>
          <cell r="K6548" t="str">
            <v>Paltrinieri,Carlotta</v>
          </cell>
          <cell r="N6548">
            <v>2.871</v>
          </cell>
          <cell r="O6548">
            <v>2.871</v>
          </cell>
        </row>
        <row r="6549">
          <cell r="E6549" t="str">
            <v>FRIT</v>
          </cell>
          <cell r="F6549" t="str">
            <v>FRIT-M</v>
          </cell>
          <cell r="G6549">
            <v>100</v>
          </cell>
          <cell r="H6549" t="str">
            <v>FRIT-M100</v>
          </cell>
          <cell r="K6549" t="str">
            <v>Polegato,Andrea</v>
          </cell>
          <cell r="N6549">
            <v>3.2130000000000001</v>
          </cell>
          <cell r="O6549">
            <v>3.0859999999999999</v>
          </cell>
        </row>
        <row r="6550">
          <cell r="E6550" t="str">
            <v>FRIT</v>
          </cell>
          <cell r="F6550" t="str">
            <v>FRIT-M</v>
          </cell>
          <cell r="G6550">
            <v>100</v>
          </cell>
          <cell r="H6550" t="str">
            <v>FRIT-M100</v>
          </cell>
          <cell r="K6550" t="str">
            <v>Polegato,Andrea</v>
          </cell>
          <cell r="N6550">
            <v>3.0569999999999999</v>
          </cell>
          <cell r="O6550">
            <v>2.871</v>
          </cell>
        </row>
        <row r="6551">
          <cell r="E6551" t="str">
            <v>FRIT</v>
          </cell>
          <cell r="F6551" t="str">
            <v>FRIT-M</v>
          </cell>
          <cell r="G6551">
            <v>100</v>
          </cell>
          <cell r="H6551" t="str">
            <v>FRIT-M100</v>
          </cell>
          <cell r="K6551" t="str">
            <v>Ponziani,Laura</v>
          </cell>
          <cell r="N6551">
            <v>3.4609999999999999</v>
          </cell>
          <cell r="O6551">
            <v>2.68</v>
          </cell>
        </row>
        <row r="6552">
          <cell r="E6552" t="str">
            <v>FRIT</v>
          </cell>
          <cell r="F6552" t="str">
            <v>FRIT-M</v>
          </cell>
          <cell r="G6552">
            <v>100</v>
          </cell>
          <cell r="H6552" t="str">
            <v>FRIT-M100</v>
          </cell>
          <cell r="K6552" t="str">
            <v>Quadrini,Paola</v>
          </cell>
          <cell r="N6552">
            <v>2.0739999999999998</v>
          </cell>
          <cell r="O6552">
            <v>2.6110000000000002</v>
          </cell>
        </row>
        <row r="6553">
          <cell r="E6553" t="str">
            <v>FRIT</v>
          </cell>
          <cell r="F6553" t="str">
            <v>FRIT-M</v>
          </cell>
          <cell r="G6553">
            <v>100</v>
          </cell>
          <cell r="H6553" t="str">
            <v>FRIT-M100</v>
          </cell>
          <cell r="K6553" t="str">
            <v>Serafin,Karolina</v>
          </cell>
          <cell r="N6553">
            <v>2.9550000000000001</v>
          </cell>
          <cell r="O6553">
            <v>2.9420000000000002</v>
          </cell>
        </row>
        <row r="6554">
          <cell r="E6554" t="str">
            <v>FRIT</v>
          </cell>
          <cell r="F6554" t="str">
            <v>FRIT-M</v>
          </cell>
          <cell r="G6554">
            <v>100</v>
          </cell>
          <cell r="H6554" t="str">
            <v>FRIT-M100</v>
          </cell>
          <cell r="K6554" t="str">
            <v>Winkler,David Nathaniel</v>
          </cell>
          <cell r="N6554">
            <v>3.4649999999999999</v>
          </cell>
          <cell r="O6554">
            <v>3.0920000000000001</v>
          </cell>
        </row>
        <row r="6555">
          <cell r="E6555" t="str">
            <v>FRIT</v>
          </cell>
          <cell r="F6555" t="str">
            <v>FRIT-M</v>
          </cell>
          <cell r="G6555">
            <v>115</v>
          </cell>
          <cell r="H6555" t="str">
            <v>FRIT-M115</v>
          </cell>
          <cell r="K6555" t="str">
            <v>Serafin,Karolina</v>
          </cell>
          <cell r="N6555">
            <v>3.6179999999999999</v>
          </cell>
          <cell r="O6555">
            <v>3.0619999999999998</v>
          </cell>
        </row>
        <row r="6556">
          <cell r="E6556" t="str">
            <v>FRIT</v>
          </cell>
          <cell r="F6556" t="str">
            <v>FRIT-M</v>
          </cell>
          <cell r="G6556">
            <v>115</v>
          </cell>
          <cell r="H6556" t="str">
            <v>FRIT-M115</v>
          </cell>
          <cell r="K6556" t="str">
            <v>Serafin,Karolina</v>
          </cell>
          <cell r="N6556">
            <v>3.6619999999999999</v>
          </cell>
          <cell r="O6556">
            <v>3.5840000000000001</v>
          </cell>
        </row>
        <row r="6557">
          <cell r="E6557" t="str">
            <v>FRIT</v>
          </cell>
          <cell r="F6557" t="str">
            <v>FRIT-M</v>
          </cell>
          <cell r="G6557">
            <v>150</v>
          </cell>
          <cell r="H6557" t="str">
            <v>FRIT-M150</v>
          </cell>
          <cell r="K6557" t="str">
            <v>Liberti,Matthew Thomas</v>
          </cell>
          <cell r="N6557">
            <v>2.6920000000000002</v>
          </cell>
          <cell r="O6557">
            <v>3.097</v>
          </cell>
        </row>
        <row r="6558">
          <cell r="E6558" t="str">
            <v>FRIT</v>
          </cell>
          <cell r="F6558" t="str">
            <v>FRIT-M</v>
          </cell>
          <cell r="G6558">
            <v>150</v>
          </cell>
          <cell r="H6558" t="str">
            <v>FRIT-M150</v>
          </cell>
          <cell r="K6558" t="str">
            <v>Liberti,Matthew Thomas</v>
          </cell>
          <cell r="N6558">
            <v>2.6179999999999999</v>
          </cell>
          <cell r="O6558">
            <v>2.9750000000000001</v>
          </cell>
        </row>
        <row r="6559">
          <cell r="E6559" t="str">
            <v>FRIT</v>
          </cell>
          <cell r="F6559" t="str">
            <v>FRIT-M</v>
          </cell>
          <cell r="G6559">
            <v>150</v>
          </cell>
          <cell r="H6559" t="str">
            <v>FRIT-M150</v>
          </cell>
          <cell r="K6559" t="str">
            <v>Magni,Isabella</v>
          </cell>
          <cell r="N6559">
            <v>2.6</v>
          </cell>
          <cell r="O6559">
            <v>2.8879999999999999</v>
          </cell>
        </row>
        <row r="6560">
          <cell r="E6560" t="str">
            <v>FRIT</v>
          </cell>
          <cell r="F6560" t="str">
            <v>FRIT-M</v>
          </cell>
          <cell r="G6560">
            <v>150</v>
          </cell>
          <cell r="H6560" t="str">
            <v>FRIT-M150</v>
          </cell>
          <cell r="K6560" t="str">
            <v>Montroni,Letizia</v>
          </cell>
          <cell r="N6560">
            <v>3.117</v>
          </cell>
          <cell r="O6560">
            <v>3.1459999999999999</v>
          </cell>
        </row>
        <row r="6561">
          <cell r="E6561" t="str">
            <v>FRIT</v>
          </cell>
          <cell r="F6561" t="str">
            <v>FRIT-M</v>
          </cell>
          <cell r="G6561">
            <v>150</v>
          </cell>
          <cell r="H6561" t="str">
            <v>FRIT-M150</v>
          </cell>
          <cell r="K6561" t="str">
            <v>Montroni,Letizia</v>
          </cell>
          <cell r="N6561">
            <v>3.3</v>
          </cell>
          <cell r="O6561">
            <v>3.1779999999999999</v>
          </cell>
        </row>
        <row r="6562">
          <cell r="E6562" t="str">
            <v>FRIT</v>
          </cell>
          <cell r="F6562" t="str">
            <v>FRIT-M</v>
          </cell>
          <cell r="G6562">
            <v>150</v>
          </cell>
          <cell r="H6562" t="str">
            <v>FRIT-M150</v>
          </cell>
          <cell r="K6562" t="str">
            <v>Ponziani,Laura</v>
          </cell>
          <cell r="N6562">
            <v>3.5139999999999998</v>
          </cell>
          <cell r="O6562">
            <v>3.1419999999999999</v>
          </cell>
        </row>
        <row r="6563">
          <cell r="E6563" t="str">
            <v>FRIT</v>
          </cell>
          <cell r="F6563" t="str">
            <v>FRIT-M</v>
          </cell>
          <cell r="G6563">
            <v>150</v>
          </cell>
          <cell r="H6563" t="str">
            <v>FRIT-M150</v>
          </cell>
          <cell r="K6563" t="str">
            <v>Ponziani,Laura</v>
          </cell>
          <cell r="N6563">
            <v>3.6139999999999999</v>
          </cell>
          <cell r="O6563">
            <v>3.1539999999999999</v>
          </cell>
        </row>
        <row r="6564">
          <cell r="E6564" t="str">
            <v>FRIT</v>
          </cell>
          <cell r="F6564" t="str">
            <v>FRIT-M</v>
          </cell>
          <cell r="G6564">
            <v>150</v>
          </cell>
          <cell r="H6564" t="str">
            <v>FRIT-M150</v>
          </cell>
          <cell r="K6564" t="str">
            <v>Puiatti,Sandro</v>
          </cell>
          <cell r="N6564">
            <v>2.6240000000000001</v>
          </cell>
          <cell r="O6564">
            <v>3.1259999999999999</v>
          </cell>
        </row>
        <row r="6565">
          <cell r="E6565" t="str">
            <v>FRIT</v>
          </cell>
          <cell r="F6565" t="str">
            <v>FRIT-M</v>
          </cell>
          <cell r="G6565">
            <v>150</v>
          </cell>
          <cell r="H6565" t="str">
            <v>FRIT-M150</v>
          </cell>
          <cell r="K6565" t="str">
            <v>Puiatti,Sandro</v>
          </cell>
          <cell r="N6565">
            <v>3.089</v>
          </cell>
          <cell r="O6565">
            <v>3.113</v>
          </cell>
        </row>
        <row r="6566">
          <cell r="E6566" t="str">
            <v>FRIT</v>
          </cell>
          <cell r="F6566" t="str">
            <v>FRIT-M</v>
          </cell>
          <cell r="G6566">
            <v>150</v>
          </cell>
          <cell r="H6566" t="str">
            <v>FRIT-M150</v>
          </cell>
          <cell r="K6566" t="str">
            <v>Quadrini,Paola</v>
          </cell>
          <cell r="N6566">
            <v>3.1760000000000002</v>
          </cell>
          <cell r="O6566">
            <v>3.1589999999999998</v>
          </cell>
        </row>
        <row r="6567">
          <cell r="E6567" t="str">
            <v>FRIT</v>
          </cell>
          <cell r="F6567" t="str">
            <v>FRIT-M</v>
          </cell>
          <cell r="G6567">
            <v>150</v>
          </cell>
          <cell r="H6567" t="str">
            <v>FRIT-M150</v>
          </cell>
          <cell r="K6567" t="str">
            <v>Quadrini,Paola</v>
          </cell>
          <cell r="N6567">
            <v>3.27</v>
          </cell>
          <cell r="O6567">
            <v>3.012</v>
          </cell>
        </row>
        <row r="6568">
          <cell r="E6568" t="str">
            <v>FRIT</v>
          </cell>
          <cell r="F6568" t="str">
            <v>FRIT-M</v>
          </cell>
          <cell r="G6568">
            <v>150</v>
          </cell>
          <cell r="H6568" t="str">
            <v>FRIT-M150</v>
          </cell>
          <cell r="K6568" t="str">
            <v>Serafin,Karolina</v>
          </cell>
          <cell r="N6568">
            <v>3.4860000000000002</v>
          </cell>
          <cell r="O6568">
            <v>3.2509999999999999</v>
          </cell>
        </row>
        <row r="6569">
          <cell r="E6569" t="str">
            <v>FRIT</v>
          </cell>
          <cell r="F6569" t="str">
            <v>FRIT-M</v>
          </cell>
          <cell r="G6569">
            <v>150</v>
          </cell>
          <cell r="H6569" t="str">
            <v>FRIT-M150</v>
          </cell>
          <cell r="K6569" t="str">
            <v>Varela,Adriana Patricia</v>
          </cell>
          <cell r="N6569">
            <v>2.9209999999999998</v>
          </cell>
          <cell r="O6569">
            <v>2.8220000000000001</v>
          </cell>
        </row>
        <row r="6570">
          <cell r="E6570" t="str">
            <v>FRIT</v>
          </cell>
          <cell r="F6570" t="str">
            <v>FRIT-M</v>
          </cell>
          <cell r="G6570">
            <v>200</v>
          </cell>
          <cell r="H6570" t="str">
            <v>FRIT-M200</v>
          </cell>
          <cell r="K6570" t="str">
            <v>Liberti,Matthew Thomas</v>
          </cell>
          <cell r="N6570">
            <v>2.1</v>
          </cell>
          <cell r="O6570">
            <v>2.968</v>
          </cell>
        </row>
        <row r="6571">
          <cell r="E6571" t="str">
            <v>FRIT</v>
          </cell>
          <cell r="F6571" t="str">
            <v>FRIT-M</v>
          </cell>
          <cell r="G6571">
            <v>200</v>
          </cell>
          <cell r="H6571" t="str">
            <v>FRIT-M200</v>
          </cell>
          <cell r="K6571" t="str">
            <v>Love,Anna Elizabeth</v>
          </cell>
          <cell r="N6571">
            <v>2.9350000000000001</v>
          </cell>
          <cell r="O6571">
            <v>2.9929999999999999</v>
          </cell>
        </row>
        <row r="6572">
          <cell r="E6572" t="str">
            <v>FRIT</v>
          </cell>
          <cell r="F6572" t="str">
            <v>FRIT-M</v>
          </cell>
          <cell r="G6572">
            <v>200</v>
          </cell>
          <cell r="H6572" t="str">
            <v>FRIT-M200</v>
          </cell>
          <cell r="K6572" t="str">
            <v>Marongiu,Cinzia</v>
          </cell>
          <cell r="N6572">
            <v>3.7309999999999999</v>
          </cell>
          <cell r="O6572">
            <v>3.3620000000000001</v>
          </cell>
        </row>
        <row r="6573">
          <cell r="E6573" t="str">
            <v>FRIT</v>
          </cell>
          <cell r="F6573" t="str">
            <v>FRIT-M</v>
          </cell>
          <cell r="G6573">
            <v>200</v>
          </cell>
          <cell r="H6573" t="str">
            <v>FRIT-M200</v>
          </cell>
          <cell r="K6573" t="str">
            <v>Montroni,Letizia</v>
          </cell>
          <cell r="N6573">
            <v>2.9249999999999998</v>
          </cell>
          <cell r="O6573">
            <v>3.1779999999999999</v>
          </cell>
        </row>
        <row r="6574">
          <cell r="E6574" t="str">
            <v>FRIT</v>
          </cell>
          <cell r="F6574" t="str">
            <v>FRIT-M</v>
          </cell>
          <cell r="G6574">
            <v>200</v>
          </cell>
          <cell r="H6574" t="str">
            <v>FRIT-M200</v>
          </cell>
          <cell r="K6574" t="str">
            <v>Montroni,Letizia</v>
          </cell>
          <cell r="N6574">
            <v>3.1429999999999998</v>
          </cell>
          <cell r="O6574">
            <v>3.0840000000000001</v>
          </cell>
        </row>
        <row r="6575">
          <cell r="E6575" t="str">
            <v>FRIT</v>
          </cell>
          <cell r="F6575" t="str">
            <v>FRIT-M</v>
          </cell>
          <cell r="G6575">
            <v>200</v>
          </cell>
          <cell r="H6575" t="str">
            <v>FRIT-M200</v>
          </cell>
          <cell r="K6575" t="str">
            <v>Nussmeier,Anthony Mark</v>
          </cell>
          <cell r="N6575">
            <v>2.407</v>
          </cell>
          <cell r="O6575">
            <v>2.9929999999999999</v>
          </cell>
        </row>
        <row r="6576">
          <cell r="E6576" t="str">
            <v>FRIT</v>
          </cell>
          <cell r="F6576" t="str">
            <v>FRIT-M</v>
          </cell>
          <cell r="G6576">
            <v>200</v>
          </cell>
          <cell r="H6576" t="str">
            <v>FRIT-M200</v>
          </cell>
          <cell r="K6576" t="str">
            <v>Nussmeier,Anthony Mark</v>
          </cell>
          <cell r="N6576">
            <v>2.97</v>
          </cell>
          <cell r="O6576">
            <v>3.31</v>
          </cell>
        </row>
        <row r="6577">
          <cell r="E6577" t="str">
            <v>FRIT</v>
          </cell>
          <cell r="F6577" t="str">
            <v>FRIT-M</v>
          </cell>
          <cell r="G6577">
            <v>200</v>
          </cell>
          <cell r="H6577" t="str">
            <v>FRIT-M200</v>
          </cell>
          <cell r="K6577" t="str">
            <v>Vitti,Alicia Maria</v>
          </cell>
          <cell r="N6577">
            <v>2.5049999999999999</v>
          </cell>
          <cell r="O6577">
            <v>3.0529999999999999</v>
          </cell>
        </row>
        <row r="6578">
          <cell r="E6578" t="str">
            <v>FRIT</v>
          </cell>
          <cell r="F6578" t="str">
            <v>FRIT-M</v>
          </cell>
          <cell r="G6578">
            <v>215</v>
          </cell>
          <cell r="H6578" t="str">
            <v>FRIT-M215</v>
          </cell>
          <cell r="K6578" t="str">
            <v>Nussmeier,Anthony Mark</v>
          </cell>
          <cell r="N6578">
            <v>3.4</v>
          </cell>
          <cell r="O6578">
            <v>3.4129999999999998</v>
          </cell>
        </row>
        <row r="6579">
          <cell r="E6579" t="str">
            <v>FRIT</v>
          </cell>
          <cell r="F6579" t="str">
            <v>FRIT-M</v>
          </cell>
          <cell r="G6579">
            <v>215</v>
          </cell>
          <cell r="H6579" t="str">
            <v>FRIT-M215</v>
          </cell>
          <cell r="K6579" t="str">
            <v>Nussmeier,Anthony Mark</v>
          </cell>
          <cell r="N6579">
            <v>3.43</v>
          </cell>
          <cell r="O6579">
            <v>3.51</v>
          </cell>
        </row>
        <row r="6580">
          <cell r="E6580" t="str">
            <v>FRIT</v>
          </cell>
          <cell r="F6580" t="str">
            <v>FRIT-M</v>
          </cell>
          <cell r="G6580">
            <v>222</v>
          </cell>
          <cell r="H6580" t="str">
            <v>FRIT-M222</v>
          </cell>
          <cell r="K6580" t="str">
            <v>Arnaudo,Marco</v>
          </cell>
          <cell r="N6580">
            <v>3.42</v>
          </cell>
          <cell r="O6580">
            <v>3.278</v>
          </cell>
        </row>
        <row r="6581">
          <cell r="E6581" t="str">
            <v>FRIT</v>
          </cell>
          <cell r="F6581" t="str">
            <v>FRIT-M</v>
          </cell>
          <cell r="G6581">
            <v>222</v>
          </cell>
          <cell r="H6581" t="str">
            <v>FRIT-M222</v>
          </cell>
          <cell r="K6581" t="str">
            <v>Ryan,Colleen Marie</v>
          </cell>
          <cell r="N6581">
            <v>3.8370000000000002</v>
          </cell>
          <cell r="O6581">
            <v>3.2069999999999999</v>
          </cell>
        </row>
        <row r="6582">
          <cell r="E6582" t="str">
            <v>FRIT</v>
          </cell>
          <cell r="F6582" t="str">
            <v>FRIT-M</v>
          </cell>
          <cell r="G6582">
            <v>250</v>
          </cell>
          <cell r="H6582" t="str">
            <v>FRIT-M250</v>
          </cell>
          <cell r="K6582" t="str">
            <v>Nussmeier,Anthony Mark</v>
          </cell>
          <cell r="N6582">
            <v>2.548</v>
          </cell>
          <cell r="O6582">
            <v>3.206</v>
          </cell>
        </row>
        <row r="6583">
          <cell r="E6583" t="str">
            <v>FRIT</v>
          </cell>
          <cell r="F6583" t="str">
            <v>FRIT-M</v>
          </cell>
          <cell r="G6583">
            <v>250</v>
          </cell>
          <cell r="H6583" t="str">
            <v>FRIT-M250</v>
          </cell>
          <cell r="K6583" t="str">
            <v>Orsi,Marianna</v>
          </cell>
          <cell r="N6583">
            <v>2.371</v>
          </cell>
          <cell r="O6583">
            <v>3.16</v>
          </cell>
        </row>
        <row r="6584">
          <cell r="E6584" t="str">
            <v>FRIT</v>
          </cell>
          <cell r="F6584" t="str">
            <v>FRIT-M</v>
          </cell>
          <cell r="G6584">
            <v>250</v>
          </cell>
          <cell r="H6584" t="str">
            <v>FRIT-M250</v>
          </cell>
          <cell r="K6584" t="str">
            <v>Varela,Adriana Patricia</v>
          </cell>
          <cell r="N6584">
            <v>2.4670000000000001</v>
          </cell>
          <cell r="O6584">
            <v>2.8969999999999998</v>
          </cell>
        </row>
        <row r="6585">
          <cell r="E6585" t="str">
            <v>FRIT</v>
          </cell>
          <cell r="F6585" t="str">
            <v>FRIT-M</v>
          </cell>
          <cell r="G6585">
            <v>250</v>
          </cell>
          <cell r="H6585" t="str">
            <v>FRIT-M250</v>
          </cell>
          <cell r="K6585" t="str">
            <v>Vitti,Alicia Maria</v>
          </cell>
          <cell r="N6585">
            <v>2.379</v>
          </cell>
          <cell r="O6585">
            <v>3.048</v>
          </cell>
        </row>
        <row r="6586">
          <cell r="E6586" t="str">
            <v>FRIT</v>
          </cell>
          <cell r="F6586" t="str">
            <v>FRIT-M</v>
          </cell>
          <cell r="G6586">
            <v>250</v>
          </cell>
          <cell r="H6586" t="str">
            <v>FRIT-M250</v>
          </cell>
          <cell r="K6586" t="str">
            <v>Vitti,Alicia Maria</v>
          </cell>
          <cell r="N6586">
            <v>2.5329999999999999</v>
          </cell>
          <cell r="O6586">
            <v>3.0640000000000001</v>
          </cell>
        </row>
        <row r="6587">
          <cell r="E6587" t="str">
            <v>FRIT</v>
          </cell>
          <cell r="F6587" t="str">
            <v>FRIT-M</v>
          </cell>
          <cell r="G6587">
            <v>250</v>
          </cell>
          <cell r="H6587" t="str">
            <v>FRIT-M250</v>
          </cell>
          <cell r="K6587" t="str">
            <v>Vitti,Alicia Maria</v>
          </cell>
          <cell r="N6587">
            <v>2.8479999999999999</v>
          </cell>
          <cell r="O6587">
            <v>3.2360000000000002</v>
          </cell>
        </row>
        <row r="6588">
          <cell r="E6588" t="str">
            <v>FRIT</v>
          </cell>
          <cell r="F6588" t="str">
            <v>FRIT-M</v>
          </cell>
          <cell r="G6588">
            <v>250</v>
          </cell>
          <cell r="H6588" t="str">
            <v>FRIT-M250</v>
          </cell>
          <cell r="K6588" t="str">
            <v>Vitti,Alicia Maria</v>
          </cell>
          <cell r="N6588">
            <v>2.7</v>
          </cell>
          <cell r="O6588">
            <v>2.9260000000000002</v>
          </cell>
        </row>
        <row r="6589">
          <cell r="E6589" t="str">
            <v>FRIT</v>
          </cell>
          <cell r="F6589" t="str">
            <v>FRIT-M</v>
          </cell>
          <cell r="G6589">
            <v>300</v>
          </cell>
          <cell r="H6589" t="str">
            <v>FRIT-M300</v>
          </cell>
          <cell r="K6589" t="str">
            <v>Orsi,Marianna</v>
          </cell>
          <cell r="N6589">
            <v>3.1930000000000001</v>
          </cell>
          <cell r="O6589">
            <v>3.1120000000000001</v>
          </cell>
        </row>
        <row r="6590">
          <cell r="E6590" t="str">
            <v>FRIT</v>
          </cell>
          <cell r="F6590" t="str">
            <v>FRIT-M</v>
          </cell>
          <cell r="G6590">
            <v>300</v>
          </cell>
          <cell r="H6590" t="str">
            <v>FRIT-M300</v>
          </cell>
          <cell r="K6590" t="str">
            <v>Polegato,Andrea</v>
          </cell>
          <cell r="N6590">
            <v>3.8450000000000002</v>
          </cell>
          <cell r="O6590">
            <v>3.5880000000000001</v>
          </cell>
        </row>
        <row r="6591">
          <cell r="E6591" t="str">
            <v>FRIT</v>
          </cell>
          <cell r="F6591" t="str">
            <v>FRIT-M</v>
          </cell>
          <cell r="G6591">
            <v>301</v>
          </cell>
          <cell r="H6591" t="str">
            <v>FRIT-M301</v>
          </cell>
          <cell r="K6591" t="str">
            <v>Garrido Baez,Luisa</v>
          </cell>
          <cell r="N6591">
            <v>3.38</v>
          </cell>
          <cell r="O6591">
            <v>3.2789999999999999</v>
          </cell>
        </row>
        <row r="6592">
          <cell r="E6592" t="str">
            <v>FRIT</v>
          </cell>
          <cell r="F6592" t="str">
            <v>FRIT-M</v>
          </cell>
          <cell r="G6592">
            <v>301</v>
          </cell>
          <cell r="H6592" t="str">
            <v>FRIT-M301</v>
          </cell>
          <cell r="K6592" t="str">
            <v>Migliozzi,Mary Josephine</v>
          </cell>
          <cell r="N6592">
            <v>3.5819999999999999</v>
          </cell>
          <cell r="O6592">
            <v>3.3410000000000002</v>
          </cell>
        </row>
        <row r="6593">
          <cell r="E6593" t="str">
            <v>FRIT</v>
          </cell>
          <cell r="F6593" t="str">
            <v>FRIT-M</v>
          </cell>
          <cell r="G6593">
            <v>307</v>
          </cell>
          <cell r="H6593" t="str">
            <v>FRIT-M307</v>
          </cell>
          <cell r="K6593" t="str">
            <v>Storey,H. Wayne</v>
          </cell>
          <cell r="N6593">
            <v>3.4569999999999999</v>
          </cell>
          <cell r="O6593">
            <v>3.375</v>
          </cell>
        </row>
        <row r="6594">
          <cell r="E6594" t="str">
            <v>FRIT</v>
          </cell>
          <cell r="F6594" t="str">
            <v>FRIT-M</v>
          </cell>
          <cell r="G6594">
            <v>308</v>
          </cell>
          <cell r="H6594" t="str">
            <v>FRIT-M308</v>
          </cell>
          <cell r="K6594" t="str">
            <v>Vitti,Antonio Carlo</v>
          </cell>
          <cell r="N6594">
            <v>2.7330000000000001</v>
          </cell>
          <cell r="O6594">
            <v>3.411</v>
          </cell>
        </row>
        <row r="6595">
          <cell r="E6595" t="str">
            <v>FRIT</v>
          </cell>
          <cell r="F6595" t="str">
            <v>FRIT-M</v>
          </cell>
          <cell r="G6595">
            <v>333</v>
          </cell>
          <cell r="H6595" t="str">
            <v>FRIT-M333</v>
          </cell>
          <cell r="K6595" t="str">
            <v>Storey,H. Wayne</v>
          </cell>
          <cell r="N6595">
            <v>3.407</v>
          </cell>
          <cell r="O6595">
            <v>2.859</v>
          </cell>
        </row>
        <row r="6596">
          <cell r="E6596" t="str">
            <v>FRIT</v>
          </cell>
          <cell r="F6596" t="str">
            <v>FRIT-M</v>
          </cell>
          <cell r="G6596">
            <v>450</v>
          </cell>
          <cell r="H6596" t="str">
            <v>FRIT-M450</v>
          </cell>
          <cell r="K6596" t="str">
            <v>Storey,H. Wayne</v>
          </cell>
          <cell r="N6596">
            <v>3.573</v>
          </cell>
          <cell r="O6596">
            <v>3.35</v>
          </cell>
        </row>
        <row r="6597">
          <cell r="E6597" t="str">
            <v>FRIT</v>
          </cell>
          <cell r="F6597" t="str">
            <v>FRIT-M</v>
          </cell>
          <cell r="G6597">
            <v>455</v>
          </cell>
          <cell r="H6597" t="str">
            <v>FRIT-M455</v>
          </cell>
          <cell r="K6597" t="str">
            <v>Vitti,Antonio Carlo</v>
          </cell>
          <cell r="N6597">
            <v>2.8690000000000002</v>
          </cell>
          <cell r="O6597">
            <v>3.2639999999999998</v>
          </cell>
        </row>
        <row r="6598">
          <cell r="E6598" t="str">
            <v>FRIT</v>
          </cell>
          <cell r="F6598" t="str">
            <v>FRIT-M</v>
          </cell>
          <cell r="G6598">
            <v>491</v>
          </cell>
          <cell r="H6598" t="str">
            <v>FRIT-M491</v>
          </cell>
          <cell r="K6598" t="str">
            <v>Vitti,Alicia Maria</v>
          </cell>
          <cell r="N6598" t="str">
            <v>NR</v>
          </cell>
          <cell r="O6598" t="str">
            <v>NR</v>
          </cell>
        </row>
        <row r="6599">
          <cell r="E6599" t="str">
            <v>FRIT</v>
          </cell>
          <cell r="F6599" t="str">
            <v>FRIT-M</v>
          </cell>
          <cell r="G6599">
            <v>495</v>
          </cell>
          <cell r="H6599" t="str">
            <v>FRIT-M495</v>
          </cell>
          <cell r="K6599" t="str">
            <v>Ciccarelli,Andrea</v>
          </cell>
          <cell r="N6599" t="str">
            <v>NR</v>
          </cell>
          <cell r="O6599" t="str">
            <v>NR</v>
          </cell>
        </row>
        <row r="6600">
          <cell r="E6600" t="str">
            <v>FRIT</v>
          </cell>
          <cell r="F6600" t="str">
            <v>FRIT-M</v>
          </cell>
          <cell r="G6600">
            <v>495</v>
          </cell>
          <cell r="H6600" t="str">
            <v>FRIT-M495</v>
          </cell>
          <cell r="K6600" t="str">
            <v>Ciccarelli,Andrea</v>
          </cell>
          <cell r="N6600" t="str">
            <v>NR</v>
          </cell>
          <cell r="O6600" t="str">
            <v>NR</v>
          </cell>
        </row>
        <row r="6601">
          <cell r="E6601" t="str">
            <v>FRIT</v>
          </cell>
          <cell r="F6601" t="str">
            <v>FRIT-M</v>
          </cell>
          <cell r="G6601">
            <v>495</v>
          </cell>
          <cell r="H6601" t="str">
            <v>FRIT-M495</v>
          </cell>
          <cell r="K6601" t="str">
            <v>Ciccarelli,Andrea</v>
          </cell>
          <cell r="N6601" t="str">
            <v>NR</v>
          </cell>
          <cell r="O6601" t="str">
            <v>NR</v>
          </cell>
        </row>
        <row r="6602">
          <cell r="E6602" t="str">
            <v>FRIT</v>
          </cell>
          <cell r="F6602" t="str">
            <v>FRIT-M</v>
          </cell>
          <cell r="G6602">
            <v>495</v>
          </cell>
          <cell r="H6602" t="str">
            <v>FRIT-M495</v>
          </cell>
          <cell r="K6602" t="str">
            <v>Ciccarelli,Andrea</v>
          </cell>
          <cell r="N6602" t="str">
            <v>NR</v>
          </cell>
          <cell r="O6602" t="str">
            <v>NR</v>
          </cell>
        </row>
        <row r="6603">
          <cell r="E6603" t="str">
            <v>FRIT</v>
          </cell>
          <cell r="F6603" t="str">
            <v>FRIT-M</v>
          </cell>
          <cell r="G6603">
            <v>504</v>
          </cell>
          <cell r="H6603" t="str">
            <v>FRIT-M504</v>
          </cell>
          <cell r="K6603" t="str">
            <v>Scalabrini,Massimo</v>
          </cell>
          <cell r="N6603">
            <v>3.77</v>
          </cell>
          <cell r="O6603">
            <v>3.8319999999999999</v>
          </cell>
        </row>
        <row r="6604">
          <cell r="E6604" t="str">
            <v>FRIT</v>
          </cell>
          <cell r="F6604" t="str">
            <v>FRIT-M</v>
          </cell>
          <cell r="G6604">
            <v>504</v>
          </cell>
          <cell r="H6604" t="str">
            <v>FRIT-M504</v>
          </cell>
          <cell r="K6604" t="str">
            <v>Scalabrini,Massimo</v>
          </cell>
          <cell r="N6604">
            <v>3.867</v>
          </cell>
          <cell r="O6604">
            <v>3.8769999999999998</v>
          </cell>
        </row>
        <row r="6605">
          <cell r="E6605" t="str">
            <v>FRIT</v>
          </cell>
          <cell r="F6605" t="str">
            <v>FRIT-M</v>
          </cell>
          <cell r="G6605">
            <v>504</v>
          </cell>
          <cell r="H6605" t="str">
            <v>FRIT-M504</v>
          </cell>
          <cell r="K6605" t="str">
            <v>Scalabrini,Massimo</v>
          </cell>
          <cell r="N6605" t="str">
            <v>NR</v>
          </cell>
          <cell r="O6605" t="str">
            <v>NR</v>
          </cell>
        </row>
        <row r="6606">
          <cell r="E6606" t="str">
            <v>FRIT</v>
          </cell>
          <cell r="F6606" t="str">
            <v>FRIT-M</v>
          </cell>
          <cell r="G6606">
            <v>550</v>
          </cell>
          <cell r="H6606" t="str">
            <v>FRIT-M550</v>
          </cell>
          <cell r="K6606" t="str">
            <v>Storey,H. Wayne</v>
          </cell>
          <cell r="N6606" t="str">
            <v>NR</v>
          </cell>
          <cell r="O6606" t="str">
            <v>NR</v>
          </cell>
        </row>
        <row r="6607">
          <cell r="E6607" t="str">
            <v>FRIT</v>
          </cell>
          <cell r="F6607" t="str">
            <v>FRIT-M</v>
          </cell>
          <cell r="G6607">
            <v>565</v>
          </cell>
          <cell r="H6607" t="str">
            <v>FRIT-M565</v>
          </cell>
          <cell r="K6607" t="str">
            <v>Vitti,Antonio Carlo</v>
          </cell>
          <cell r="N6607">
            <v>3.91</v>
          </cell>
          <cell r="O6607">
            <v>3.819</v>
          </cell>
        </row>
        <row r="6608">
          <cell r="E6608" t="str">
            <v>FRIT</v>
          </cell>
          <cell r="F6608" t="str">
            <v>FRIT-M</v>
          </cell>
          <cell r="G6608">
            <v>572</v>
          </cell>
          <cell r="H6608" t="str">
            <v>FRIT-M572</v>
          </cell>
          <cell r="K6608" t="str">
            <v>Ryan,Colleen Marie</v>
          </cell>
          <cell r="N6608" t="str">
            <v>NR</v>
          </cell>
          <cell r="O6608" t="str">
            <v>NR</v>
          </cell>
        </row>
        <row r="6609">
          <cell r="E6609" t="str">
            <v>FRIT</v>
          </cell>
          <cell r="F6609" t="str">
            <v>FRIT-M</v>
          </cell>
          <cell r="G6609">
            <v>573</v>
          </cell>
          <cell r="H6609" t="str">
            <v>FRIT-M573</v>
          </cell>
          <cell r="K6609" t="str">
            <v>Ryan,Colleen Marie</v>
          </cell>
          <cell r="N6609">
            <v>3.9649999999999999</v>
          </cell>
          <cell r="O6609">
            <v>3.8370000000000002</v>
          </cell>
        </row>
        <row r="6610">
          <cell r="E6610" t="str">
            <v>FRIT</v>
          </cell>
          <cell r="F6610" t="str">
            <v>FRIT-M</v>
          </cell>
          <cell r="G6610">
            <v>605</v>
          </cell>
          <cell r="H6610" t="str">
            <v>FRIT-M605</v>
          </cell>
          <cell r="K6610" t="str">
            <v>Vitti,Antonio Carlo</v>
          </cell>
          <cell r="N6610">
            <v>3.8559999999999999</v>
          </cell>
          <cell r="O6610">
            <v>3.8650000000000002</v>
          </cell>
        </row>
        <row r="6611">
          <cell r="E6611" t="str">
            <v>FRIT</v>
          </cell>
          <cell r="F6611" t="str">
            <v>FRIT-M</v>
          </cell>
          <cell r="G6611">
            <v>815</v>
          </cell>
          <cell r="H6611" t="str">
            <v>FRIT-M815</v>
          </cell>
          <cell r="K6611" t="str">
            <v>Ciccarelli,Andrea</v>
          </cell>
          <cell r="N6611" t="str">
            <v>NR</v>
          </cell>
          <cell r="O6611" t="str">
            <v>NR</v>
          </cell>
        </row>
        <row r="6612">
          <cell r="E6612" t="str">
            <v>FRIT</v>
          </cell>
          <cell r="F6612" t="str">
            <v>FRIT-M</v>
          </cell>
          <cell r="G6612">
            <v>875</v>
          </cell>
          <cell r="H6612" t="str">
            <v>FRIT-M875</v>
          </cell>
          <cell r="K6612" t="str">
            <v>Ciccarelli,Andrea</v>
          </cell>
          <cell r="N6612" t="str">
            <v>NR</v>
          </cell>
          <cell r="O6612" t="str">
            <v>NR</v>
          </cell>
        </row>
        <row r="6613">
          <cell r="E6613" t="str">
            <v>FRIT</v>
          </cell>
          <cell r="F6613" t="str">
            <v>FRIT-M</v>
          </cell>
          <cell r="G6613">
            <v>875</v>
          </cell>
          <cell r="H6613" t="str">
            <v>FRIT-M875</v>
          </cell>
          <cell r="K6613" t="str">
            <v>Ciccarelli,Andrea</v>
          </cell>
          <cell r="N6613" t="str">
            <v>NR</v>
          </cell>
          <cell r="O6613" t="str">
            <v>NR</v>
          </cell>
        </row>
        <row r="6614">
          <cell r="E6614" t="str">
            <v>FRIT</v>
          </cell>
          <cell r="F6614" t="str">
            <v>FRIT-M</v>
          </cell>
          <cell r="G6614">
            <v>875</v>
          </cell>
          <cell r="H6614" t="str">
            <v>FRIT-M875</v>
          </cell>
          <cell r="K6614" t="str">
            <v>Ciccarelli,Andrea</v>
          </cell>
          <cell r="N6614" t="str">
            <v>NR</v>
          </cell>
          <cell r="O6614" t="str">
            <v>NR</v>
          </cell>
        </row>
        <row r="6615">
          <cell r="E6615" t="str">
            <v>FRIT</v>
          </cell>
          <cell r="F6615" t="str">
            <v>FRIT-M</v>
          </cell>
          <cell r="G6615">
            <v>875</v>
          </cell>
          <cell r="H6615" t="str">
            <v>FRIT-M875</v>
          </cell>
          <cell r="K6615" t="str">
            <v>Ciccarelli,Andrea</v>
          </cell>
          <cell r="N6615" t="str">
            <v>NR</v>
          </cell>
          <cell r="O6615" t="str">
            <v>NR</v>
          </cell>
        </row>
        <row r="6616">
          <cell r="E6616" t="str">
            <v>FRIT</v>
          </cell>
          <cell r="F6616" t="str">
            <v>FRIT-OS</v>
          </cell>
          <cell r="G6616">
            <v>100</v>
          </cell>
          <cell r="H6616" t="str">
            <v>FRIT-OS100</v>
          </cell>
          <cell r="N6616" t="str">
            <v>NR</v>
          </cell>
          <cell r="O6616" t="str">
            <v>NR</v>
          </cell>
        </row>
        <row r="6617">
          <cell r="E6617" t="str">
            <v>FRIT</v>
          </cell>
          <cell r="F6617" t="str">
            <v>FRIT-OS</v>
          </cell>
          <cell r="G6617">
            <v>100</v>
          </cell>
          <cell r="H6617" t="str">
            <v>FRIT-OS100</v>
          </cell>
          <cell r="N6617" t="str">
            <v>NR</v>
          </cell>
          <cell r="O6617" t="str">
            <v>NR</v>
          </cell>
        </row>
        <row r="6618">
          <cell r="E6618" t="str">
            <v>FRIT</v>
          </cell>
          <cell r="F6618" t="str">
            <v>FRIT-S</v>
          </cell>
          <cell r="G6618">
            <v>300</v>
          </cell>
          <cell r="H6618" t="str">
            <v>FRIT-S300</v>
          </cell>
          <cell r="K6618" t="str">
            <v>Panaite,Oana</v>
          </cell>
          <cell r="N6618">
            <v>3.5710000000000002</v>
          </cell>
          <cell r="O6618">
            <v>3.5649999999999999</v>
          </cell>
        </row>
        <row r="6619">
          <cell r="E6619" t="str">
            <v>FRST</v>
          </cell>
          <cell r="F6619" t="str">
            <v>FRST-F</v>
          </cell>
          <cell r="G6619">
            <v>400</v>
          </cell>
          <cell r="H6619" t="str">
            <v>FRST-F400</v>
          </cell>
          <cell r="N6619" t="str">
            <v>NR</v>
          </cell>
          <cell r="O6619" t="str">
            <v>NR</v>
          </cell>
        </row>
        <row r="6620">
          <cell r="E6620" t="str">
            <v>FRST</v>
          </cell>
          <cell r="F6620" t="str">
            <v>FRST-F</v>
          </cell>
          <cell r="G6620">
            <v>400</v>
          </cell>
          <cell r="H6620" t="str">
            <v>FRST-F400</v>
          </cell>
          <cell r="N6620" t="str">
            <v>NR</v>
          </cell>
          <cell r="O6620" t="str">
            <v>NR</v>
          </cell>
        </row>
        <row r="6621">
          <cell r="E6621" t="str">
            <v>FRST</v>
          </cell>
          <cell r="F6621" t="str">
            <v>FRST-F</v>
          </cell>
          <cell r="G6621">
            <v>400</v>
          </cell>
          <cell r="H6621" t="str">
            <v>FRST-F400</v>
          </cell>
          <cell r="N6621" t="str">
            <v>NR</v>
          </cell>
          <cell r="O6621" t="str">
            <v>NR</v>
          </cell>
        </row>
        <row r="6622">
          <cell r="E6622" t="str">
            <v>FRST</v>
          </cell>
          <cell r="F6622" t="str">
            <v>FRST-F</v>
          </cell>
          <cell r="G6622">
            <v>400</v>
          </cell>
          <cell r="H6622" t="str">
            <v>FRST-F400</v>
          </cell>
          <cell r="N6622" t="str">
            <v>NR</v>
          </cell>
          <cell r="O6622" t="str">
            <v>NR</v>
          </cell>
        </row>
        <row r="6623">
          <cell r="E6623" t="str">
            <v>GEOG</v>
          </cell>
          <cell r="F6623" t="str">
            <v>GEOG-G</v>
          </cell>
          <cell r="G6623">
            <v>107</v>
          </cell>
          <cell r="H6623" t="str">
            <v>GEOG-G107</v>
          </cell>
          <cell r="K6623" t="str">
            <v>Rahman,Faiz Faizur</v>
          </cell>
          <cell r="N6623">
            <v>2.9660000000000002</v>
          </cell>
          <cell r="O6623">
            <v>2.97</v>
          </cell>
        </row>
        <row r="6624">
          <cell r="E6624" t="str">
            <v>GEOG</v>
          </cell>
          <cell r="F6624" t="str">
            <v>GEOG-G</v>
          </cell>
          <cell r="G6624">
            <v>107</v>
          </cell>
          <cell r="H6624" t="str">
            <v>GEOG-G107</v>
          </cell>
          <cell r="K6624" t="str">
            <v>Zlotin,Roman</v>
          </cell>
          <cell r="N6624">
            <v>3.3220000000000001</v>
          </cell>
          <cell r="O6624">
            <v>2.9750000000000001</v>
          </cell>
        </row>
        <row r="6625">
          <cell r="E6625" t="str">
            <v>GEOG</v>
          </cell>
          <cell r="F6625" t="str">
            <v>GEOG-G</v>
          </cell>
          <cell r="G6625">
            <v>109</v>
          </cell>
          <cell r="H6625" t="str">
            <v>GEOG-G109</v>
          </cell>
          <cell r="K6625" t="str">
            <v>Brown,Constance M</v>
          </cell>
          <cell r="N6625">
            <v>2.3370000000000002</v>
          </cell>
          <cell r="O6625">
            <v>2.7839999999999998</v>
          </cell>
        </row>
        <row r="6626">
          <cell r="E6626" t="str">
            <v>GEOG</v>
          </cell>
          <cell r="F6626" t="str">
            <v>GEOG-G</v>
          </cell>
          <cell r="G6626">
            <v>109</v>
          </cell>
          <cell r="H6626" t="str">
            <v>GEOG-G109</v>
          </cell>
          <cell r="K6626" t="str">
            <v>Dragoni,Danilo</v>
          </cell>
          <cell r="N6626">
            <v>3.544</v>
          </cell>
          <cell r="O6626">
            <v>2.9289999999999998</v>
          </cell>
        </row>
        <row r="6627">
          <cell r="E6627" t="str">
            <v>GEOG</v>
          </cell>
          <cell r="F6627" t="str">
            <v>GEOG-G</v>
          </cell>
          <cell r="G6627">
            <v>109</v>
          </cell>
          <cell r="H6627" t="str">
            <v>GEOG-G109</v>
          </cell>
          <cell r="K6627" t="str">
            <v>Kirkpatrick,Cody</v>
          </cell>
          <cell r="N6627">
            <v>2.7080000000000002</v>
          </cell>
          <cell r="O6627">
            <v>2.8079999999999998</v>
          </cell>
        </row>
        <row r="6628">
          <cell r="E6628" t="str">
            <v>GEOG</v>
          </cell>
          <cell r="F6628" t="str">
            <v>GEOG-G</v>
          </cell>
          <cell r="G6628">
            <v>110</v>
          </cell>
          <cell r="H6628" t="str">
            <v>GEOG-G110</v>
          </cell>
          <cell r="K6628" t="str">
            <v>Clouser,Rebecca Lynn</v>
          </cell>
          <cell r="N6628">
            <v>2.831</v>
          </cell>
          <cell r="O6628">
            <v>2.851</v>
          </cell>
        </row>
        <row r="6629">
          <cell r="E6629" t="str">
            <v>GEOG</v>
          </cell>
          <cell r="F6629" t="str">
            <v>GEOG-G</v>
          </cell>
          <cell r="G6629">
            <v>110</v>
          </cell>
          <cell r="H6629" t="str">
            <v>GEOG-G110</v>
          </cell>
          <cell r="K6629" t="str">
            <v>Kingsbury,Paul</v>
          </cell>
          <cell r="N6629">
            <v>3.492</v>
          </cell>
          <cell r="O6629">
            <v>2.8940000000000001</v>
          </cell>
        </row>
        <row r="6630">
          <cell r="E6630" t="str">
            <v>GEOG</v>
          </cell>
          <cell r="F6630" t="str">
            <v>GEOG-G</v>
          </cell>
          <cell r="G6630">
            <v>110</v>
          </cell>
          <cell r="H6630" t="str">
            <v>GEOG-G110</v>
          </cell>
          <cell r="K6630" t="str">
            <v>Knudsen,Daniel Curtis</v>
          </cell>
          <cell r="N6630">
            <v>2.3039999999999998</v>
          </cell>
          <cell r="O6630">
            <v>2.7160000000000002</v>
          </cell>
        </row>
        <row r="6631">
          <cell r="E6631" t="str">
            <v>GEOG</v>
          </cell>
          <cell r="F6631" t="str">
            <v>GEOG-G</v>
          </cell>
          <cell r="G6631">
            <v>110</v>
          </cell>
          <cell r="H6631" t="str">
            <v>GEOG-G110</v>
          </cell>
          <cell r="K6631" t="str">
            <v>Nordahl,Per Christian</v>
          </cell>
          <cell r="N6631">
            <v>3.5510000000000002</v>
          </cell>
          <cell r="O6631">
            <v>2.879</v>
          </cell>
        </row>
        <row r="6632">
          <cell r="E6632" t="str">
            <v>GEOG</v>
          </cell>
          <cell r="F6632" t="str">
            <v>GEOG-G</v>
          </cell>
          <cell r="G6632">
            <v>110</v>
          </cell>
          <cell r="H6632" t="str">
            <v>GEOG-G110</v>
          </cell>
          <cell r="K6632" t="str">
            <v>Savener,Amy Miller</v>
          </cell>
          <cell r="N6632">
            <v>2.3620000000000001</v>
          </cell>
          <cell r="O6632">
            <v>2.798</v>
          </cell>
        </row>
        <row r="6633">
          <cell r="E6633" t="str">
            <v>GEOG</v>
          </cell>
          <cell r="F6633" t="str">
            <v>GEOG-G</v>
          </cell>
          <cell r="G6633">
            <v>120</v>
          </cell>
          <cell r="H6633" t="str">
            <v>GEOG-G120</v>
          </cell>
          <cell r="K6633" t="str">
            <v>Meyer,Cameron Paul</v>
          </cell>
          <cell r="N6633">
            <v>3.4089999999999998</v>
          </cell>
          <cell r="O6633">
            <v>3.089</v>
          </cell>
        </row>
        <row r="6634">
          <cell r="E6634" t="str">
            <v>GEOG</v>
          </cell>
          <cell r="F6634" t="str">
            <v>GEOG-G</v>
          </cell>
          <cell r="G6634">
            <v>120</v>
          </cell>
          <cell r="H6634" t="str">
            <v>GEOG-G120</v>
          </cell>
          <cell r="K6634" t="str">
            <v>Meyer,Cameron Paul</v>
          </cell>
          <cell r="N6634">
            <v>2.8540000000000001</v>
          </cell>
          <cell r="O6634">
            <v>2.8730000000000002</v>
          </cell>
        </row>
        <row r="6635">
          <cell r="E6635" t="str">
            <v>GEOG</v>
          </cell>
          <cell r="F6635" t="str">
            <v>GEOG-G</v>
          </cell>
          <cell r="G6635">
            <v>120</v>
          </cell>
          <cell r="H6635" t="str">
            <v>GEOG-G120</v>
          </cell>
          <cell r="K6635" t="str">
            <v>Rickly-Boyd,Jillian Marie</v>
          </cell>
          <cell r="N6635">
            <v>2.8519999999999999</v>
          </cell>
          <cell r="O6635">
            <v>3.1389999999999998</v>
          </cell>
        </row>
        <row r="6636">
          <cell r="E6636" t="str">
            <v>GEOG</v>
          </cell>
          <cell r="F6636" t="str">
            <v>GEOG-G</v>
          </cell>
          <cell r="G6636">
            <v>120</v>
          </cell>
          <cell r="H6636" t="str">
            <v>GEOG-G120</v>
          </cell>
          <cell r="K6636" t="str">
            <v>Zlotin,Roman</v>
          </cell>
          <cell r="N6636">
            <v>3.524</v>
          </cell>
          <cell r="O6636">
            <v>3.0609999999999999</v>
          </cell>
        </row>
        <row r="6637">
          <cell r="E6637" t="str">
            <v>GEOG</v>
          </cell>
          <cell r="F6637" t="str">
            <v>GEOG-G</v>
          </cell>
          <cell r="G6637">
            <v>208</v>
          </cell>
          <cell r="H6637" t="str">
            <v>GEOG-G208</v>
          </cell>
          <cell r="K6637" t="str">
            <v>Lave,Rebecca</v>
          </cell>
          <cell r="N6637">
            <v>3.3250000000000002</v>
          </cell>
          <cell r="O6637">
            <v>3.0859999999999999</v>
          </cell>
        </row>
        <row r="6638">
          <cell r="E6638" t="str">
            <v>GEOG</v>
          </cell>
          <cell r="F6638" t="str">
            <v>GEOG-G</v>
          </cell>
          <cell r="G6638">
            <v>220</v>
          </cell>
          <cell r="H6638" t="str">
            <v>GEOG-G220</v>
          </cell>
          <cell r="K6638" t="str">
            <v>Kirkpatrick,Cody</v>
          </cell>
          <cell r="N6638">
            <v>3.1890000000000001</v>
          </cell>
          <cell r="O6638">
            <v>3.0510000000000002</v>
          </cell>
        </row>
        <row r="6639">
          <cell r="E6639" t="str">
            <v>GEOG</v>
          </cell>
          <cell r="F6639" t="str">
            <v>GEOG-G</v>
          </cell>
          <cell r="G6639">
            <v>220</v>
          </cell>
          <cell r="H6639" t="str">
            <v>GEOG-G220</v>
          </cell>
          <cell r="K6639" t="str">
            <v>Kirkpatrick,Cody</v>
          </cell>
          <cell r="N6639">
            <v>2.7189999999999999</v>
          </cell>
          <cell r="O6639">
            <v>2.9249999999999998</v>
          </cell>
        </row>
        <row r="6640">
          <cell r="E6640" t="str">
            <v>GEOG</v>
          </cell>
          <cell r="F6640" t="str">
            <v>GEOG-G</v>
          </cell>
          <cell r="G6640">
            <v>237</v>
          </cell>
          <cell r="H6640" t="str">
            <v>GEOG-G237</v>
          </cell>
          <cell r="K6640" t="str">
            <v>Vaughn,Nicholas Ryan</v>
          </cell>
          <cell r="N6640">
            <v>3.069</v>
          </cell>
          <cell r="O6640">
            <v>3.0619999999999998</v>
          </cell>
        </row>
        <row r="6641">
          <cell r="E6641" t="str">
            <v>GEOG</v>
          </cell>
          <cell r="F6641" t="str">
            <v>GEOG-G</v>
          </cell>
          <cell r="G6641">
            <v>237</v>
          </cell>
          <cell r="H6641" t="str">
            <v>GEOG-G237</v>
          </cell>
          <cell r="K6641" t="str">
            <v>Vaughn,Nicholas Ryan</v>
          </cell>
          <cell r="N6641">
            <v>2.8959999999999999</v>
          </cell>
          <cell r="O6641">
            <v>3.09</v>
          </cell>
        </row>
        <row r="6642">
          <cell r="E6642" t="str">
            <v>GEOG</v>
          </cell>
          <cell r="F6642" t="str">
            <v>GEOG-G</v>
          </cell>
          <cell r="G6642">
            <v>250</v>
          </cell>
          <cell r="H6642" t="str">
            <v>GEOG-G250</v>
          </cell>
          <cell r="K6642" t="str">
            <v>Robeson,Scott M.</v>
          </cell>
          <cell r="N6642">
            <v>3.1629999999999998</v>
          </cell>
          <cell r="O6642">
            <v>3.2490000000000001</v>
          </cell>
        </row>
        <row r="6643">
          <cell r="E6643" t="str">
            <v>GEOG</v>
          </cell>
          <cell r="F6643" t="str">
            <v>GEOG-G</v>
          </cell>
          <cell r="G6643">
            <v>304</v>
          </cell>
          <cell r="H6643" t="str">
            <v>GEOG-G304</v>
          </cell>
          <cell r="K6643" t="str">
            <v>Barthelmie,Rebecca</v>
          </cell>
          <cell r="N6643">
            <v>2.827</v>
          </cell>
          <cell r="O6643">
            <v>3.1059999999999999</v>
          </cell>
        </row>
        <row r="6644">
          <cell r="E6644" t="str">
            <v>GEOG</v>
          </cell>
          <cell r="F6644" t="str">
            <v>GEOG-G</v>
          </cell>
          <cell r="G6644">
            <v>304</v>
          </cell>
          <cell r="H6644" t="str">
            <v>GEOG-G304</v>
          </cell>
          <cell r="K6644" t="str">
            <v>Pryor,Sara C.</v>
          </cell>
          <cell r="N6644">
            <v>2.8130000000000002</v>
          </cell>
          <cell r="O6644">
            <v>3.0379999999999998</v>
          </cell>
        </row>
        <row r="6645">
          <cell r="E6645" t="str">
            <v>GEOG</v>
          </cell>
          <cell r="F6645" t="str">
            <v>GEOG-G</v>
          </cell>
          <cell r="G6645">
            <v>305</v>
          </cell>
          <cell r="H6645" t="str">
            <v>GEOG-G305</v>
          </cell>
          <cell r="K6645" t="str">
            <v>Brown,Constance M</v>
          </cell>
          <cell r="N6645">
            <v>3.0539999999999998</v>
          </cell>
          <cell r="O6645">
            <v>3.109</v>
          </cell>
        </row>
        <row r="6646">
          <cell r="E6646" t="str">
            <v>GEOG</v>
          </cell>
          <cell r="F6646" t="str">
            <v>GEOG-G</v>
          </cell>
          <cell r="G6646">
            <v>306</v>
          </cell>
          <cell r="H6646" t="str">
            <v>GEOG-G306</v>
          </cell>
          <cell r="K6646" t="str">
            <v>Knudsen,Daniel Curtis</v>
          </cell>
          <cell r="N6646">
            <v>3.3290000000000002</v>
          </cell>
          <cell r="O6646">
            <v>3.2440000000000002</v>
          </cell>
        </row>
        <row r="6647">
          <cell r="E6647" t="str">
            <v>GEOG</v>
          </cell>
          <cell r="F6647" t="str">
            <v>GEOG-G</v>
          </cell>
          <cell r="G6647">
            <v>306</v>
          </cell>
          <cell r="H6647" t="str">
            <v>GEOG-G306</v>
          </cell>
          <cell r="K6647" t="str">
            <v>Rickly-Boyd,Jillian Marie</v>
          </cell>
          <cell r="N6647">
            <v>3.18</v>
          </cell>
          <cell r="O6647">
            <v>2.9969999999999999</v>
          </cell>
        </row>
        <row r="6648">
          <cell r="E6648" t="str">
            <v>GEOG</v>
          </cell>
          <cell r="F6648" t="str">
            <v>GEOG-G</v>
          </cell>
          <cell r="G6648">
            <v>315</v>
          </cell>
          <cell r="H6648" t="str">
            <v>GEOG-G315</v>
          </cell>
          <cell r="K6648" t="str">
            <v>Lave,Rebecca</v>
          </cell>
          <cell r="N6648">
            <v>3.569</v>
          </cell>
          <cell r="O6648">
            <v>3.2069999999999999</v>
          </cell>
        </row>
        <row r="6649">
          <cell r="E6649" t="str">
            <v>GEOG</v>
          </cell>
          <cell r="F6649" t="str">
            <v>GEOG-G</v>
          </cell>
          <cell r="G6649">
            <v>315</v>
          </cell>
          <cell r="H6649" t="str">
            <v>GEOG-G315</v>
          </cell>
          <cell r="N6649" t="str">
            <v>NR</v>
          </cell>
          <cell r="O6649" t="str">
            <v>NR</v>
          </cell>
        </row>
        <row r="6650">
          <cell r="E6650" t="str">
            <v>GEOG</v>
          </cell>
          <cell r="F6650" t="str">
            <v>GEOG-G</v>
          </cell>
          <cell r="G6650">
            <v>316</v>
          </cell>
          <cell r="H6650" t="str">
            <v>GEOG-G316</v>
          </cell>
          <cell r="K6650" t="str">
            <v>Kingsbury,Paul</v>
          </cell>
          <cell r="N6650">
            <v>3.3130000000000002</v>
          </cell>
          <cell r="O6650">
            <v>2.9809999999999999</v>
          </cell>
        </row>
        <row r="6651">
          <cell r="E6651" t="str">
            <v>GEOG</v>
          </cell>
          <cell r="F6651" t="str">
            <v>GEOG-G</v>
          </cell>
          <cell r="G6651">
            <v>320</v>
          </cell>
          <cell r="H6651" t="str">
            <v>GEOG-G320</v>
          </cell>
          <cell r="K6651" t="str">
            <v>Nordahl,Per Christian</v>
          </cell>
          <cell r="N6651">
            <v>3.8719999999999999</v>
          </cell>
          <cell r="O6651">
            <v>3.2</v>
          </cell>
        </row>
        <row r="6652">
          <cell r="E6652" t="str">
            <v>GEOG</v>
          </cell>
          <cell r="F6652" t="str">
            <v>GEOG-G</v>
          </cell>
          <cell r="G6652">
            <v>325</v>
          </cell>
          <cell r="H6652" t="str">
            <v>GEOG-G325</v>
          </cell>
          <cell r="K6652" t="str">
            <v>Rickly-Boyd,Jillian Marie</v>
          </cell>
          <cell r="N6652">
            <v>3.0419999999999998</v>
          </cell>
          <cell r="O6652">
            <v>3.0710000000000002</v>
          </cell>
        </row>
        <row r="6653">
          <cell r="E6653" t="str">
            <v>GEOG</v>
          </cell>
          <cell r="F6653" t="str">
            <v>GEOG-G</v>
          </cell>
          <cell r="G6653">
            <v>326</v>
          </cell>
          <cell r="H6653" t="str">
            <v>GEOG-G326</v>
          </cell>
          <cell r="K6653" t="str">
            <v>Perkins,Michael David</v>
          </cell>
          <cell r="N6653">
            <v>2.577</v>
          </cell>
          <cell r="O6653">
            <v>2.9649999999999999</v>
          </cell>
        </row>
        <row r="6654">
          <cell r="E6654" t="str">
            <v>GEOG</v>
          </cell>
          <cell r="F6654" t="str">
            <v>GEOG-G</v>
          </cell>
          <cell r="G6654">
            <v>336</v>
          </cell>
          <cell r="H6654" t="str">
            <v>GEOG-G336</v>
          </cell>
          <cell r="K6654" t="str">
            <v>Rahman,Faiz Faizur</v>
          </cell>
          <cell r="N6654">
            <v>3.2429999999999999</v>
          </cell>
          <cell r="O6654">
            <v>2.9630000000000001</v>
          </cell>
        </row>
        <row r="6655">
          <cell r="E6655" t="str">
            <v>GEOG</v>
          </cell>
          <cell r="F6655" t="str">
            <v>GEOG-G</v>
          </cell>
          <cell r="G6655">
            <v>338</v>
          </cell>
          <cell r="H6655" t="str">
            <v>GEOG-G338</v>
          </cell>
          <cell r="K6655" t="str">
            <v>Evans,Tom P.</v>
          </cell>
          <cell r="N6655">
            <v>2.7639999999999998</v>
          </cell>
          <cell r="O6655">
            <v>3.3029999999999999</v>
          </cell>
        </row>
        <row r="6656">
          <cell r="E6656" t="str">
            <v>GEOG</v>
          </cell>
          <cell r="F6656" t="str">
            <v>GEOG-G</v>
          </cell>
          <cell r="G6656">
            <v>338</v>
          </cell>
          <cell r="H6656" t="str">
            <v>GEOG-G338</v>
          </cell>
          <cell r="K6656" t="str">
            <v>Roy Chowdhury,Rinku</v>
          </cell>
          <cell r="N6656">
            <v>3.1920000000000002</v>
          </cell>
          <cell r="O6656">
            <v>3.1869999999999998</v>
          </cell>
        </row>
        <row r="6657">
          <cell r="E6657" t="str">
            <v>GEOG</v>
          </cell>
          <cell r="F6657" t="str">
            <v>GEOG-G</v>
          </cell>
          <cell r="G6657">
            <v>339</v>
          </cell>
          <cell r="H6657" t="str">
            <v>GEOG-G339</v>
          </cell>
          <cell r="K6657" t="str">
            <v>Kirkpatrick,Cody</v>
          </cell>
          <cell r="N6657">
            <v>3.3330000000000002</v>
          </cell>
          <cell r="O6657">
            <v>2.8980000000000001</v>
          </cell>
        </row>
        <row r="6658">
          <cell r="E6658" t="str">
            <v>GEOG</v>
          </cell>
          <cell r="F6658" t="str">
            <v>GEOG-G</v>
          </cell>
          <cell r="G6658">
            <v>339</v>
          </cell>
          <cell r="H6658" t="str">
            <v>GEOG-G339</v>
          </cell>
          <cell r="K6658" t="str">
            <v>Kirkpatrick,Cody</v>
          </cell>
          <cell r="N6658">
            <v>3.0640000000000001</v>
          </cell>
          <cell r="O6658">
            <v>3.14</v>
          </cell>
        </row>
        <row r="6659">
          <cell r="E6659" t="str">
            <v>GEOG</v>
          </cell>
          <cell r="F6659" t="str">
            <v>GEOG-G</v>
          </cell>
          <cell r="G6659">
            <v>350</v>
          </cell>
          <cell r="H6659" t="str">
            <v>GEOG-G350</v>
          </cell>
          <cell r="K6659" t="str">
            <v>Dragoni,Danilo</v>
          </cell>
          <cell r="N6659">
            <v>3.9630000000000001</v>
          </cell>
          <cell r="O6659">
            <v>3.2210000000000001</v>
          </cell>
        </row>
        <row r="6660">
          <cell r="E6660" t="str">
            <v>GEOG</v>
          </cell>
          <cell r="F6660" t="str">
            <v>GEOG-G</v>
          </cell>
          <cell r="G6660">
            <v>380</v>
          </cell>
          <cell r="H6660" t="str">
            <v>GEOG-G380</v>
          </cell>
          <cell r="K6660" t="str">
            <v>Kingsbury,Paul</v>
          </cell>
          <cell r="N6660">
            <v>3.274</v>
          </cell>
          <cell r="O6660">
            <v>3.0089999999999999</v>
          </cell>
        </row>
        <row r="6661">
          <cell r="E6661" t="str">
            <v>GEOG</v>
          </cell>
          <cell r="F6661" t="str">
            <v>GEOG-G</v>
          </cell>
          <cell r="G6661">
            <v>428</v>
          </cell>
          <cell r="H6661" t="str">
            <v>GEOG-G428</v>
          </cell>
          <cell r="K6661" t="str">
            <v>Knudsen,Daniel Curtis</v>
          </cell>
          <cell r="N6661">
            <v>3.0550000000000002</v>
          </cell>
          <cell r="O6661">
            <v>3.1080000000000001</v>
          </cell>
        </row>
        <row r="6662">
          <cell r="E6662" t="str">
            <v>GEOG</v>
          </cell>
          <cell r="F6662" t="str">
            <v>GEOG-G</v>
          </cell>
          <cell r="G6662">
            <v>436</v>
          </cell>
          <cell r="H6662" t="str">
            <v>GEOG-G436</v>
          </cell>
          <cell r="K6662" t="str">
            <v>Rahman,Faiz Faizur</v>
          </cell>
          <cell r="N6662" t="str">
            <v>NR</v>
          </cell>
          <cell r="O6662" t="str">
            <v>NR</v>
          </cell>
        </row>
        <row r="6663">
          <cell r="E6663" t="str">
            <v>GEOG</v>
          </cell>
          <cell r="F6663" t="str">
            <v>GEOG-G</v>
          </cell>
          <cell r="G6663">
            <v>438</v>
          </cell>
          <cell r="H6663" t="str">
            <v>GEOG-G438</v>
          </cell>
          <cell r="K6663" t="str">
            <v>Roy Chowdhury,Rinku</v>
          </cell>
          <cell r="N6663">
            <v>2.617</v>
          </cell>
          <cell r="O6663">
            <v>2.8679999999999999</v>
          </cell>
        </row>
        <row r="6664">
          <cell r="E6664" t="str">
            <v>GEOG</v>
          </cell>
          <cell r="F6664" t="str">
            <v>GEOG-G</v>
          </cell>
          <cell r="G6664">
            <v>440</v>
          </cell>
          <cell r="H6664" t="str">
            <v>GEOG-G440</v>
          </cell>
          <cell r="K6664" t="str">
            <v>Maxwell,Justin Timothy</v>
          </cell>
          <cell r="N6664">
            <v>3.05</v>
          </cell>
          <cell r="O6664">
            <v>2.9119999999999999</v>
          </cell>
        </row>
        <row r="6665">
          <cell r="E6665" t="str">
            <v>GEOG</v>
          </cell>
          <cell r="F6665" t="str">
            <v>GEOG-G</v>
          </cell>
          <cell r="G6665">
            <v>442</v>
          </cell>
          <cell r="H6665" t="str">
            <v>GEOG-G442</v>
          </cell>
          <cell r="K6665" t="str">
            <v>Barthelmie,Rebecca</v>
          </cell>
          <cell r="N6665">
            <v>3.25</v>
          </cell>
          <cell r="O6665">
            <v>3.2589999999999999</v>
          </cell>
        </row>
        <row r="6666">
          <cell r="E6666" t="str">
            <v>GEOG</v>
          </cell>
          <cell r="F6666" t="str">
            <v>GEOG-G</v>
          </cell>
          <cell r="G6666">
            <v>449</v>
          </cell>
          <cell r="H6666" t="str">
            <v>GEOG-G449</v>
          </cell>
          <cell r="K6666" t="str">
            <v>Lave,Rebecca</v>
          </cell>
          <cell r="N6666" t="str">
            <v>NR</v>
          </cell>
          <cell r="O6666" t="str">
            <v>NR</v>
          </cell>
        </row>
        <row r="6667">
          <cell r="E6667" t="str">
            <v>GEOG</v>
          </cell>
          <cell r="F6667" t="str">
            <v>GEOG-G</v>
          </cell>
          <cell r="G6667">
            <v>450</v>
          </cell>
          <cell r="H6667" t="str">
            <v>GEOG-G450</v>
          </cell>
          <cell r="K6667" t="str">
            <v>Robeson,Scott M.</v>
          </cell>
          <cell r="N6667" t="str">
            <v>NR</v>
          </cell>
          <cell r="O6667" t="str">
            <v>NR</v>
          </cell>
        </row>
        <row r="6668">
          <cell r="E6668" t="str">
            <v>GEOG</v>
          </cell>
          <cell r="F6668" t="str">
            <v>GEOG-G</v>
          </cell>
          <cell r="G6668">
            <v>450</v>
          </cell>
          <cell r="H6668" t="str">
            <v>GEOG-G450</v>
          </cell>
          <cell r="K6668" t="str">
            <v>Robeson,Scott M.</v>
          </cell>
          <cell r="N6668" t="str">
            <v>NR</v>
          </cell>
          <cell r="O6668" t="str">
            <v>NR</v>
          </cell>
        </row>
        <row r="6669">
          <cell r="E6669" t="str">
            <v>GEOG</v>
          </cell>
          <cell r="F6669" t="str">
            <v>GEOG-G</v>
          </cell>
          <cell r="G6669">
            <v>450</v>
          </cell>
          <cell r="H6669" t="str">
            <v>GEOG-G450</v>
          </cell>
          <cell r="K6669" t="str">
            <v>White,Susan L</v>
          </cell>
          <cell r="N6669" t="str">
            <v>NR</v>
          </cell>
          <cell r="O6669" t="str">
            <v>NR</v>
          </cell>
        </row>
        <row r="6670">
          <cell r="E6670" t="str">
            <v>GEOG</v>
          </cell>
          <cell r="F6670" t="str">
            <v>GEOG-G</v>
          </cell>
          <cell r="G6670">
            <v>475</v>
          </cell>
          <cell r="H6670" t="str">
            <v>GEOG-G475</v>
          </cell>
          <cell r="K6670" t="str">
            <v>Barthelmie,Rebecca</v>
          </cell>
          <cell r="N6670">
            <v>3.45</v>
          </cell>
          <cell r="O6670">
            <v>2.9609999999999999</v>
          </cell>
        </row>
        <row r="6671">
          <cell r="E6671" t="str">
            <v>GEOG</v>
          </cell>
          <cell r="F6671" t="str">
            <v>GEOG-G</v>
          </cell>
          <cell r="G6671">
            <v>488</v>
          </cell>
          <cell r="H6671" t="str">
            <v>GEOG-G488</v>
          </cell>
          <cell r="K6671" t="str">
            <v>Robeson,Scott M.</v>
          </cell>
          <cell r="N6671">
            <v>3</v>
          </cell>
          <cell r="O6671">
            <v>3.1890000000000001</v>
          </cell>
        </row>
        <row r="6672">
          <cell r="E6672" t="str">
            <v>GEOG</v>
          </cell>
          <cell r="F6672" t="str">
            <v>GEOG-G</v>
          </cell>
          <cell r="G6672">
            <v>500</v>
          </cell>
          <cell r="H6672" t="str">
            <v>GEOG-G500</v>
          </cell>
          <cell r="K6672" t="str">
            <v>Roy Chowdhury,Rinku</v>
          </cell>
          <cell r="N6672">
            <v>3.7330000000000001</v>
          </cell>
          <cell r="O6672">
            <v>3.7109999999999999</v>
          </cell>
        </row>
        <row r="6673">
          <cell r="E6673" t="str">
            <v>GEOG</v>
          </cell>
          <cell r="F6673" t="str">
            <v>GEOG-G</v>
          </cell>
          <cell r="G6673">
            <v>501</v>
          </cell>
          <cell r="H6673" t="str">
            <v>GEOG-G501</v>
          </cell>
          <cell r="K6673" t="str">
            <v>Evans,Tom P.</v>
          </cell>
          <cell r="N6673">
            <v>3.8570000000000002</v>
          </cell>
          <cell r="O6673">
            <v>3.762</v>
          </cell>
        </row>
        <row r="6674">
          <cell r="E6674" t="str">
            <v>GEOG</v>
          </cell>
          <cell r="F6674" t="str">
            <v>GEOG-G</v>
          </cell>
          <cell r="G6674">
            <v>532</v>
          </cell>
          <cell r="H6674" t="str">
            <v>GEOG-G532</v>
          </cell>
          <cell r="K6674" t="str">
            <v>Barthelmie,Rebecca</v>
          </cell>
          <cell r="N6674" t="str">
            <v>NR</v>
          </cell>
          <cell r="O6674" t="str">
            <v>NR</v>
          </cell>
        </row>
        <row r="6675">
          <cell r="E6675" t="str">
            <v>GEOG</v>
          </cell>
          <cell r="F6675" t="str">
            <v>GEOG-G</v>
          </cell>
          <cell r="G6675">
            <v>532</v>
          </cell>
          <cell r="H6675" t="str">
            <v>GEOG-G532</v>
          </cell>
          <cell r="K6675" t="str">
            <v>Pryor,Sara C.</v>
          </cell>
          <cell r="N6675" t="str">
            <v>NR</v>
          </cell>
          <cell r="O6675" t="str">
            <v>NR</v>
          </cell>
        </row>
        <row r="6676">
          <cell r="E6676" t="str">
            <v>GEOG</v>
          </cell>
          <cell r="F6676" t="str">
            <v>GEOG-G</v>
          </cell>
          <cell r="G6676">
            <v>535</v>
          </cell>
          <cell r="H6676" t="str">
            <v>GEOG-G535</v>
          </cell>
          <cell r="K6676" t="str">
            <v>Rahman,Faiz Faizur</v>
          </cell>
          <cell r="N6676">
            <v>3.9140000000000001</v>
          </cell>
          <cell r="O6676">
            <v>3.7490000000000001</v>
          </cell>
        </row>
        <row r="6677">
          <cell r="E6677" t="str">
            <v>GEOG</v>
          </cell>
          <cell r="F6677" t="str">
            <v>GEOG-G</v>
          </cell>
          <cell r="G6677">
            <v>536</v>
          </cell>
          <cell r="H6677" t="str">
            <v>GEOG-G536</v>
          </cell>
          <cell r="K6677" t="str">
            <v>Rahman,Faiz Faizur</v>
          </cell>
          <cell r="N6677" t="str">
            <v>NR</v>
          </cell>
          <cell r="O6677" t="str">
            <v>NR</v>
          </cell>
        </row>
        <row r="6678">
          <cell r="E6678" t="str">
            <v>GEOG</v>
          </cell>
          <cell r="F6678" t="str">
            <v>GEOG-G</v>
          </cell>
          <cell r="G6678">
            <v>538</v>
          </cell>
          <cell r="H6678" t="str">
            <v>GEOG-G538</v>
          </cell>
          <cell r="K6678" t="str">
            <v>Evans,Tom P.</v>
          </cell>
          <cell r="N6678">
            <v>3.5790000000000002</v>
          </cell>
          <cell r="O6678">
            <v>3.6720000000000002</v>
          </cell>
        </row>
        <row r="6679">
          <cell r="E6679" t="str">
            <v>GEOG</v>
          </cell>
          <cell r="F6679" t="str">
            <v>GEOG-G</v>
          </cell>
          <cell r="G6679">
            <v>538</v>
          </cell>
          <cell r="H6679" t="str">
            <v>GEOG-G538</v>
          </cell>
          <cell r="K6679" t="str">
            <v>Roy Chowdhury,Rinku</v>
          </cell>
          <cell r="N6679">
            <v>3.7759999999999998</v>
          </cell>
          <cell r="O6679">
            <v>3.7360000000000002</v>
          </cell>
        </row>
        <row r="6680">
          <cell r="E6680" t="str">
            <v>GEOG</v>
          </cell>
          <cell r="F6680" t="str">
            <v>GEOG-G</v>
          </cell>
          <cell r="G6680">
            <v>539</v>
          </cell>
          <cell r="H6680" t="str">
            <v>GEOG-G539</v>
          </cell>
          <cell r="K6680" t="str">
            <v>Roy Chowdhury,Rinku</v>
          </cell>
          <cell r="N6680">
            <v>3.7</v>
          </cell>
          <cell r="O6680">
            <v>3.8239999999999998</v>
          </cell>
        </row>
        <row r="6681">
          <cell r="E6681" t="str">
            <v>GEOG</v>
          </cell>
          <cell r="F6681" t="str">
            <v>GEOG-G</v>
          </cell>
          <cell r="G6681">
            <v>540</v>
          </cell>
          <cell r="H6681" t="str">
            <v>GEOG-G540</v>
          </cell>
          <cell r="K6681" t="str">
            <v>Maxwell,Justin Timothy</v>
          </cell>
          <cell r="N6681" t="str">
            <v>NR</v>
          </cell>
          <cell r="O6681" t="str">
            <v>NR</v>
          </cell>
        </row>
        <row r="6682">
          <cell r="E6682" t="str">
            <v>GEOG</v>
          </cell>
          <cell r="F6682" t="str">
            <v>GEOG-G</v>
          </cell>
          <cell r="G6682">
            <v>542</v>
          </cell>
          <cell r="H6682" t="str">
            <v>GEOG-G542</v>
          </cell>
          <cell r="K6682" t="str">
            <v>Barthelmie,Rebecca</v>
          </cell>
          <cell r="N6682">
            <v>3.59</v>
          </cell>
          <cell r="O6682">
            <v>3.593</v>
          </cell>
        </row>
        <row r="6683">
          <cell r="E6683" t="str">
            <v>GEOG</v>
          </cell>
          <cell r="F6683" t="str">
            <v>GEOG-G</v>
          </cell>
          <cell r="G6683">
            <v>549</v>
          </cell>
          <cell r="H6683" t="str">
            <v>GEOG-G549</v>
          </cell>
          <cell r="K6683" t="str">
            <v>Lave,Rebecca</v>
          </cell>
          <cell r="N6683">
            <v>3.8330000000000002</v>
          </cell>
          <cell r="O6683">
            <v>3.871</v>
          </cell>
        </row>
        <row r="6684">
          <cell r="E6684" t="str">
            <v>GEOG</v>
          </cell>
          <cell r="F6684" t="str">
            <v>GEOG-G</v>
          </cell>
          <cell r="G6684">
            <v>575</v>
          </cell>
          <cell r="H6684" t="str">
            <v>GEOG-G575</v>
          </cell>
          <cell r="K6684" t="str">
            <v>Barthelmie,Rebecca</v>
          </cell>
          <cell r="N6684" t="str">
            <v>NR</v>
          </cell>
          <cell r="O6684" t="str">
            <v>NR</v>
          </cell>
        </row>
        <row r="6685">
          <cell r="E6685" t="str">
            <v>GEOG</v>
          </cell>
          <cell r="F6685" t="str">
            <v>GEOG-G</v>
          </cell>
          <cell r="G6685">
            <v>577</v>
          </cell>
          <cell r="H6685" t="str">
            <v>GEOG-G577</v>
          </cell>
          <cell r="K6685" t="str">
            <v>Robeson,Scott M.</v>
          </cell>
          <cell r="N6685" t="str">
            <v>NR</v>
          </cell>
          <cell r="O6685" t="str">
            <v>NR</v>
          </cell>
        </row>
        <row r="6686">
          <cell r="E6686" t="str">
            <v>GEOG</v>
          </cell>
          <cell r="F6686" t="str">
            <v>GEOG-G</v>
          </cell>
          <cell r="G6686">
            <v>582</v>
          </cell>
          <cell r="H6686" t="str">
            <v>GEOG-G582</v>
          </cell>
          <cell r="K6686" t="str">
            <v>Kingsbury,Paul</v>
          </cell>
          <cell r="N6686" t="str">
            <v>NR</v>
          </cell>
          <cell r="O6686" t="str">
            <v>NR</v>
          </cell>
        </row>
        <row r="6687">
          <cell r="E6687" t="str">
            <v>GEOG</v>
          </cell>
          <cell r="F6687" t="str">
            <v>GEOG-G</v>
          </cell>
          <cell r="G6687">
            <v>588</v>
          </cell>
          <cell r="H6687" t="str">
            <v>GEOG-G588</v>
          </cell>
          <cell r="K6687" t="str">
            <v>Robeson,Scott M.</v>
          </cell>
          <cell r="N6687">
            <v>3.556</v>
          </cell>
          <cell r="O6687">
            <v>3.62</v>
          </cell>
        </row>
        <row r="6688">
          <cell r="E6688" t="str">
            <v>GEOG</v>
          </cell>
          <cell r="F6688" t="str">
            <v>GEOG-G</v>
          </cell>
          <cell r="G6688">
            <v>603</v>
          </cell>
          <cell r="H6688" t="str">
            <v>GEOG-G603</v>
          </cell>
          <cell r="K6688" t="str">
            <v>Knudsen,Daniel Curtis</v>
          </cell>
          <cell r="N6688" t="str">
            <v>NR</v>
          </cell>
          <cell r="O6688" t="str">
            <v>NR</v>
          </cell>
        </row>
        <row r="6689">
          <cell r="E6689" t="str">
            <v>GEOG</v>
          </cell>
          <cell r="F6689" t="str">
            <v>GEOG-G</v>
          </cell>
          <cell r="G6689">
            <v>830</v>
          </cell>
          <cell r="H6689" t="str">
            <v>GEOG-G830</v>
          </cell>
          <cell r="K6689" t="str">
            <v>Robeson,Scott M.</v>
          </cell>
          <cell r="N6689" t="str">
            <v>NR</v>
          </cell>
          <cell r="O6689" t="str">
            <v>NR</v>
          </cell>
        </row>
        <row r="6690">
          <cell r="E6690" t="str">
            <v>GEOG</v>
          </cell>
          <cell r="F6690" t="str">
            <v>GEOG-G</v>
          </cell>
          <cell r="G6690">
            <v>830</v>
          </cell>
          <cell r="H6690" t="str">
            <v>GEOG-G830</v>
          </cell>
          <cell r="K6690" t="str">
            <v>White,Susan L</v>
          </cell>
          <cell r="N6690" t="str">
            <v>NR</v>
          </cell>
          <cell r="O6690" t="str">
            <v>NR</v>
          </cell>
        </row>
        <row r="6691">
          <cell r="E6691" t="str">
            <v>GEOG</v>
          </cell>
          <cell r="F6691" t="str">
            <v>GEOG-G</v>
          </cell>
          <cell r="G6691">
            <v>830</v>
          </cell>
          <cell r="H6691" t="str">
            <v>GEOG-G830</v>
          </cell>
          <cell r="K6691" t="str">
            <v>White,Susan L</v>
          </cell>
          <cell r="N6691" t="str">
            <v>NR</v>
          </cell>
          <cell r="O6691" t="str">
            <v>NR</v>
          </cell>
        </row>
        <row r="6692">
          <cell r="E6692" t="str">
            <v>GEOG</v>
          </cell>
          <cell r="F6692" t="str">
            <v>GEOG-G</v>
          </cell>
          <cell r="G6692">
            <v>840</v>
          </cell>
          <cell r="H6692" t="str">
            <v>GEOG-G840</v>
          </cell>
          <cell r="K6692" t="str">
            <v>Robeson,Scott M.</v>
          </cell>
          <cell r="N6692" t="str">
            <v>NR</v>
          </cell>
          <cell r="O6692" t="str">
            <v>NR</v>
          </cell>
        </row>
        <row r="6693">
          <cell r="E6693" t="str">
            <v>GEOG</v>
          </cell>
          <cell r="F6693" t="str">
            <v>GEOG-G</v>
          </cell>
          <cell r="G6693">
            <v>840</v>
          </cell>
          <cell r="H6693" t="str">
            <v>GEOG-G840</v>
          </cell>
          <cell r="K6693" t="str">
            <v>White,Susan L</v>
          </cell>
          <cell r="N6693" t="str">
            <v>NR</v>
          </cell>
          <cell r="O6693" t="str">
            <v>NR</v>
          </cell>
        </row>
        <row r="6694">
          <cell r="E6694" t="str">
            <v>GEOG</v>
          </cell>
          <cell r="F6694" t="str">
            <v>GEOG-G</v>
          </cell>
          <cell r="G6694">
            <v>850</v>
          </cell>
          <cell r="H6694" t="str">
            <v>GEOG-G850</v>
          </cell>
          <cell r="K6694" t="str">
            <v>Robeson,Scott M.</v>
          </cell>
          <cell r="N6694" t="str">
            <v>NR</v>
          </cell>
          <cell r="O6694" t="str">
            <v>NR</v>
          </cell>
        </row>
        <row r="6695">
          <cell r="E6695" t="str">
            <v>GEOG</v>
          </cell>
          <cell r="F6695" t="str">
            <v>GEOG-G</v>
          </cell>
          <cell r="G6695">
            <v>860</v>
          </cell>
          <cell r="H6695" t="str">
            <v>GEOG-G860</v>
          </cell>
          <cell r="K6695" t="str">
            <v>Robeson,Scott M.</v>
          </cell>
          <cell r="N6695" t="str">
            <v>NR</v>
          </cell>
          <cell r="O6695" t="str">
            <v>NR</v>
          </cell>
        </row>
        <row r="6696">
          <cell r="E6696" t="str">
            <v>GEOG</v>
          </cell>
          <cell r="F6696" t="str">
            <v>GEOG-G</v>
          </cell>
          <cell r="G6696">
            <v>860</v>
          </cell>
          <cell r="H6696" t="str">
            <v>GEOG-G860</v>
          </cell>
          <cell r="K6696" t="str">
            <v>White,Susan L</v>
          </cell>
          <cell r="N6696" t="str">
            <v>NR</v>
          </cell>
          <cell r="O6696" t="str">
            <v>NR</v>
          </cell>
        </row>
        <row r="6697">
          <cell r="E6697" t="str">
            <v>GEOG</v>
          </cell>
          <cell r="F6697" t="str">
            <v>GEOG-G</v>
          </cell>
          <cell r="G6697">
            <v>901</v>
          </cell>
          <cell r="H6697" t="str">
            <v>GEOG-G901</v>
          </cell>
          <cell r="K6697" t="str">
            <v>Robeson,Scott M.</v>
          </cell>
          <cell r="N6697" t="str">
            <v>NR</v>
          </cell>
          <cell r="O6697" t="str">
            <v>NR</v>
          </cell>
        </row>
        <row r="6698">
          <cell r="E6698" t="str">
            <v>GEOG</v>
          </cell>
          <cell r="F6698" t="str">
            <v>GEOG-G</v>
          </cell>
          <cell r="G6698">
            <v>901</v>
          </cell>
          <cell r="H6698" t="str">
            <v>GEOG-G901</v>
          </cell>
          <cell r="K6698" t="str">
            <v>White,Susan L</v>
          </cell>
          <cell r="N6698" t="str">
            <v>NR</v>
          </cell>
          <cell r="O6698" t="str">
            <v>NR</v>
          </cell>
        </row>
        <row r="6699">
          <cell r="E6699" t="str">
            <v>GEOL</v>
          </cell>
          <cell r="F6699" t="str">
            <v>GEOL-G</v>
          </cell>
          <cell r="G6699">
            <v>103</v>
          </cell>
          <cell r="H6699" t="str">
            <v>GEOL-G103</v>
          </cell>
          <cell r="K6699" t="str">
            <v>Dunning,Jeremy D.</v>
          </cell>
          <cell r="N6699">
            <v>2.8980000000000001</v>
          </cell>
          <cell r="O6699">
            <v>2.9649999999999999</v>
          </cell>
        </row>
        <row r="6700">
          <cell r="E6700" t="str">
            <v>GEOL</v>
          </cell>
          <cell r="F6700" t="str">
            <v>GEOL-G</v>
          </cell>
          <cell r="G6700">
            <v>103</v>
          </cell>
          <cell r="H6700" t="str">
            <v>GEOL-G103</v>
          </cell>
          <cell r="K6700" t="str">
            <v>Dunning,Jeremy D.</v>
          </cell>
          <cell r="N6700">
            <v>2.97</v>
          </cell>
          <cell r="O6700">
            <v>3.0510000000000002</v>
          </cell>
        </row>
        <row r="6701">
          <cell r="E6701" t="str">
            <v>GEOL</v>
          </cell>
          <cell r="F6701" t="str">
            <v>GEOL-G</v>
          </cell>
          <cell r="G6701">
            <v>104</v>
          </cell>
          <cell r="H6701" t="str">
            <v>GEOL-G104</v>
          </cell>
          <cell r="K6701" t="str">
            <v>Wasylenki,Laura</v>
          </cell>
          <cell r="N6701">
            <v>2.8769999999999998</v>
          </cell>
          <cell r="O6701">
            <v>2.927</v>
          </cell>
        </row>
        <row r="6702">
          <cell r="E6702" t="str">
            <v>GEOL</v>
          </cell>
          <cell r="F6702" t="str">
            <v>GEOL-G</v>
          </cell>
          <cell r="G6702">
            <v>104</v>
          </cell>
          <cell r="H6702" t="str">
            <v>GEOL-G104</v>
          </cell>
          <cell r="K6702" t="str">
            <v>Wasylenki,Laura</v>
          </cell>
          <cell r="N6702">
            <v>2.7160000000000002</v>
          </cell>
          <cell r="O6702">
            <v>2.944</v>
          </cell>
        </row>
        <row r="6703">
          <cell r="E6703" t="str">
            <v>GEOL</v>
          </cell>
          <cell r="F6703" t="str">
            <v>GEOL-G</v>
          </cell>
          <cell r="G6703">
            <v>105</v>
          </cell>
          <cell r="H6703" t="str">
            <v>GEOL-G105</v>
          </cell>
          <cell r="K6703" t="str">
            <v>Douglas,Bruce James</v>
          </cell>
          <cell r="N6703">
            <v>2.91</v>
          </cell>
          <cell r="O6703">
            <v>3.1030000000000002</v>
          </cell>
        </row>
        <row r="6704">
          <cell r="E6704" t="str">
            <v>GEOL</v>
          </cell>
          <cell r="F6704" t="str">
            <v>GEOL-G</v>
          </cell>
          <cell r="G6704">
            <v>105</v>
          </cell>
          <cell r="H6704" t="str">
            <v>GEOL-G105</v>
          </cell>
          <cell r="K6704" t="str">
            <v>Pratt,Lisa M.</v>
          </cell>
          <cell r="N6704">
            <v>2.9409999999999998</v>
          </cell>
          <cell r="O6704">
            <v>3.0390000000000001</v>
          </cell>
        </row>
        <row r="6705">
          <cell r="E6705" t="str">
            <v>GEOL</v>
          </cell>
          <cell r="F6705" t="str">
            <v>GEOL-G</v>
          </cell>
          <cell r="G6705">
            <v>111</v>
          </cell>
          <cell r="H6705" t="str">
            <v>GEOL-G111</v>
          </cell>
          <cell r="K6705" t="str">
            <v>Douglas,Bruce James</v>
          </cell>
          <cell r="N6705">
            <v>3.37</v>
          </cell>
          <cell r="O6705">
            <v>3.3780000000000001</v>
          </cell>
        </row>
        <row r="6706">
          <cell r="E6706" t="str">
            <v>GEOL</v>
          </cell>
          <cell r="F6706" t="str">
            <v>GEOL-G</v>
          </cell>
          <cell r="G6706">
            <v>114</v>
          </cell>
          <cell r="H6706" t="str">
            <v>GEOL-G114</v>
          </cell>
          <cell r="K6706" t="str">
            <v>Johnson,Claudia Christina</v>
          </cell>
          <cell r="N6706">
            <v>2.87</v>
          </cell>
          <cell r="O6706">
            <v>2.859</v>
          </cell>
        </row>
        <row r="6707">
          <cell r="E6707" t="str">
            <v>GEOL</v>
          </cell>
          <cell r="F6707" t="str">
            <v>GEOL-G</v>
          </cell>
          <cell r="G6707">
            <v>116</v>
          </cell>
          <cell r="H6707" t="str">
            <v>GEOL-G116</v>
          </cell>
          <cell r="K6707" t="str">
            <v>Dunning,Jeremy D.</v>
          </cell>
          <cell r="N6707">
            <v>2.9249999999999998</v>
          </cell>
          <cell r="O6707">
            <v>3.0590000000000002</v>
          </cell>
        </row>
        <row r="6708">
          <cell r="E6708" t="str">
            <v>GEOL</v>
          </cell>
          <cell r="F6708" t="str">
            <v>GEOL-G</v>
          </cell>
          <cell r="G6708">
            <v>116</v>
          </cell>
          <cell r="H6708" t="str">
            <v>GEOL-G116</v>
          </cell>
          <cell r="K6708" t="str">
            <v>Dunning,Jeremy D.</v>
          </cell>
          <cell r="N6708">
            <v>3.1549999999999998</v>
          </cell>
          <cell r="O6708">
            <v>3.1560000000000001</v>
          </cell>
        </row>
        <row r="6709">
          <cell r="E6709" t="str">
            <v>GEOL</v>
          </cell>
          <cell r="F6709" t="str">
            <v>GEOL-G</v>
          </cell>
          <cell r="G6709">
            <v>121</v>
          </cell>
          <cell r="H6709" t="str">
            <v>GEOL-G121</v>
          </cell>
          <cell r="K6709" t="str">
            <v>Basu,Abhijit</v>
          </cell>
          <cell r="N6709">
            <v>2.875</v>
          </cell>
          <cell r="O6709">
            <v>2.9529999999999998</v>
          </cell>
        </row>
        <row r="6710">
          <cell r="E6710" t="str">
            <v>GEOL</v>
          </cell>
          <cell r="F6710" t="str">
            <v>GEOL-G</v>
          </cell>
          <cell r="G6710">
            <v>121</v>
          </cell>
          <cell r="H6710" t="str">
            <v>GEOL-G121</v>
          </cell>
          <cell r="K6710" t="str">
            <v>Basu,Abhijit</v>
          </cell>
          <cell r="N6710">
            <v>2.6269999999999998</v>
          </cell>
          <cell r="O6710">
            <v>2.9209999999999998</v>
          </cell>
        </row>
        <row r="6711">
          <cell r="E6711" t="str">
            <v>GEOL</v>
          </cell>
          <cell r="F6711" t="str">
            <v>GEOL-G</v>
          </cell>
          <cell r="G6711">
            <v>131</v>
          </cell>
          <cell r="H6711" t="str">
            <v>GEOL-G131</v>
          </cell>
          <cell r="K6711" t="str">
            <v>Brassell,Simon Christopher</v>
          </cell>
          <cell r="N6711">
            <v>2.2440000000000002</v>
          </cell>
          <cell r="O6711">
            <v>2.8940000000000001</v>
          </cell>
        </row>
        <row r="6712">
          <cell r="E6712" t="str">
            <v>GEOL</v>
          </cell>
          <cell r="F6712" t="str">
            <v>GEOL-G</v>
          </cell>
          <cell r="G6712">
            <v>141</v>
          </cell>
          <cell r="H6712" t="str">
            <v>GEOL-G141</v>
          </cell>
          <cell r="K6712" t="str">
            <v>Brophy,James Gerald</v>
          </cell>
          <cell r="N6712">
            <v>3.0339999999999998</v>
          </cell>
          <cell r="O6712">
            <v>2.8740000000000001</v>
          </cell>
        </row>
        <row r="6713">
          <cell r="E6713" t="str">
            <v>GEOL</v>
          </cell>
          <cell r="F6713" t="str">
            <v>GEOL-G</v>
          </cell>
          <cell r="G6713">
            <v>141</v>
          </cell>
          <cell r="H6713" t="str">
            <v>GEOL-G141</v>
          </cell>
          <cell r="K6713" t="str">
            <v>Brophy,James Gerald</v>
          </cell>
          <cell r="N6713">
            <v>2.4750000000000001</v>
          </cell>
          <cell r="O6713">
            <v>2.9129999999999998</v>
          </cell>
        </row>
        <row r="6714">
          <cell r="E6714" t="str">
            <v>GEOL</v>
          </cell>
          <cell r="F6714" t="str">
            <v>GEOL-G</v>
          </cell>
          <cell r="G6714">
            <v>171</v>
          </cell>
          <cell r="H6714" t="str">
            <v>GEOL-G171</v>
          </cell>
          <cell r="K6714" t="str">
            <v>Zhu,Chen</v>
          </cell>
          <cell r="N6714">
            <v>2.8839999999999999</v>
          </cell>
          <cell r="O6714">
            <v>2.9590000000000001</v>
          </cell>
        </row>
        <row r="6715">
          <cell r="E6715" t="str">
            <v>GEOL</v>
          </cell>
          <cell r="F6715" t="str">
            <v>GEOL-G</v>
          </cell>
          <cell r="G6715">
            <v>171</v>
          </cell>
          <cell r="H6715" t="str">
            <v>GEOL-G171</v>
          </cell>
          <cell r="K6715" t="str">
            <v>Zhu,Chen</v>
          </cell>
          <cell r="N6715">
            <v>2.57</v>
          </cell>
          <cell r="O6715">
            <v>3.0739999999999998</v>
          </cell>
        </row>
        <row r="6716">
          <cell r="E6716" t="str">
            <v>GEOL</v>
          </cell>
          <cell r="F6716" t="str">
            <v>GEOL-G</v>
          </cell>
          <cell r="G6716">
            <v>190</v>
          </cell>
          <cell r="H6716" t="str">
            <v>GEOL-G190</v>
          </cell>
          <cell r="K6716" t="str">
            <v>Hamburger,Michael W.</v>
          </cell>
          <cell r="N6716" t="str">
            <v>NR</v>
          </cell>
          <cell r="O6716" t="str">
            <v>NR</v>
          </cell>
        </row>
        <row r="6717">
          <cell r="E6717" t="str">
            <v>GEOL</v>
          </cell>
          <cell r="F6717" t="str">
            <v>GEOL-G</v>
          </cell>
          <cell r="G6717">
            <v>221</v>
          </cell>
          <cell r="H6717" t="str">
            <v>GEOL-G221</v>
          </cell>
          <cell r="K6717" t="str">
            <v>Brophy,James Gerald</v>
          </cell>
          <cell r="N6717">
            <v>2.8479999999999999</v>
          </cell>
          <cell r="O6717">
            <v>2.6520000000000001</v>
          </cell>
        </row>
        <row r="6718">
          <cell r="E6718" t="str">
            <v>GEOL</v>
          </cell>
          <cell r="F6718" t="str">
            <v>GEOL-G</v>
          </cell>
          <cell r="G6718">
            <v>222</v>
          </cell>
          <cell r="H6718" t="str">
            <v>GEOL-G222</v>
          </cell>
          <cell r="K6718" t="str">
            <v>Wintsch,Robert P.</v>
          </cell>
          <cell r="N6718">
            <v>2.9319999999999999</v>
          </cell>
          <cell r="O6718">
            <v>2.996</v>
          </cell>
        </row>
        <row r="6719">
          <cell r="E6719" t="str">
            <v>GEOL</v>
          </cell>
          <cell r="F6719" t="str">
            <v>GEOL-G</v>
          </cell>
          <cell r="G6719">
            <v>225</v>
          </cell>
          <cell r="H6719" t="str">
            <v>GEOL-G225</v>
          </cell>
          <cell r="K6719" t="str">
            <v>Ripley,Edward M</v>
          </cell>
          <cell r="N6719">
            <v>3.2639999999999998</v>
          </cell>
          <cell r="O6719">
            <v>3.1749999999999998</v>
          </cell>
        </row>
        <row r="6720">
          <cell r="E6720" t="str">
            <v>GEOL</v>
          </cell>
          <cell r="F6720" t="str">
            <v>GEOL-G</v>
          </cell>
          <cell r="G6720">
            <v>323</v>
          </cell>
          <cell r="H6720" t="str">
            <v>GEOL-G323</v>
          </cell>
          <cell r="K6720" t="str">
            <v>Douglas,Bruce James</v>
          </cell>
          <cell r="N6720">
            <v>2.95</v>
          </cell>
          <cell r="O6720">
            <v>2.9729999999999999</v>
          </cell>
        </row>
        <row r="6721">
          <cell r="E6721" t="str">
            <v>GEOL</v>
          </cell>
          <cell r="F6721" t="str">
            <v>GEOL-G</v>
          </cell>
          <cell r="G6721">
            <v>334</v>
          </cell>
          <cell r="H6721" t="str">
            <v>GEOL-G334</v>
          </cell>
          <cell r="K6721" t="str">
            <v>Young,Seth Allen</v>
          </cell>
          <cell r="N6721">
            <v>2.8439999999999999</v>
          </cell>
          <cell r="O6721">
            <v>3.0249999999999999</v>
          </cell>
        </row>
        <row r="6722">
          <cell r="E6722" t="str">
            <v>GEOL</v>
          </cell>
          <cell r="F6722" t="str">
            <v>GEOL-G</v>
          </cell>
          <cell r="G6722">
            <v>341</v>
          </cell>
          <cell r="H6722" t="str">
            <v>GEOL-G341</v>
          </cell>
          <cell r="K6722" t="str">
            <v>Johnson,Claudia Christina</v>
          </cell>
          <cell r="N6722">
            <v>3.5750000000000002</v>
          </cell>
          <cell r="O6722">
            <v>3.1869999999999998</v>
          </cell>
        </row>
        <row r="6723">
          <cell r="E6723" t="str">
            <v>GEOL</v>
          </cell>
          <cell r="F6723" t="str">
            <v>GEOL-G</v>
          </cell>
          <cell r="G6723">
            <v>410</v>
          </cell>
          <cell r="H6723" t="str">
            <v>GEOL-G410</v>
          </cell>
          <cell r="K6723" t="str">
            <v>Pratt,Lisa M.</v>
          </cell>
          <cell r="N6723" t="str">
            <v>NR</v>
          </cell>
          <cell r="O6723" t="str">
            <v>NR</v>
          </cell>
        </row>
        <row r="6724">
          <cell r="E6724" t="str">
            <v>GEOL</v>
          </cell>
          <cell r="F6724" t="str">
            <v>GEOL-G</v>
          </cell>
          <cell r="G6724">
            <v>410</v>
          </cell>
          <cell r="H6724" t="str">
            <v>GEOL-G410</v>
          </cell>
          <cell r="K6724" t="str">
            <v>Pratt,Lisa M.</v>
          </cell>
          <cell r="N6724" t="str">
            <v>NR</v>
          </cell>
          <cell r="O6724" t="str">
            <v>NR</v>
          </cell>
        </row>
        <row r="6725">
          <cell r="E6725" t="str">
            <v>GEOL</v>
          </cell>
          <cell r="F6725" t="str">
            <v>GEOL-G</v>
          </cell>
          <cell r="G6725">
            <v>411</v>
          </cell>
          <cell r="H6725" t="str">
            <v>GEOL-G411</v>
          </cell>
          <cell r="K6725" t="str">
            <v>Johnson,Claudia Christina</v>
          </cell>
          <cell r="N6725">
            <v>3.6720000000000002</v>
          </cell>
          <cell r="O6725">
            <v>3.2450000000000001</v>
          </cell>
        </row>
        <row r="6726">
          <cell r="E6726" t="str">
            <v>GEOL</v>
          </cell>
          <cell r="F6726" t="str">
            <v>GEOL-G</v>
          </cell>
          <cell r="G6726">
            <v>415</v>
          </cell>
          <cell r="H6726" t="str">
            <v>GEOL-G415</v>
          </cell>
          <cell r="K6726" t="str">
            <v>Olyphant,Greg Allan</v>
          </cell>
          <cell r="N6726">
            <v>3.4420000000000002</v>
          </cell>
          <cell r="O6726">
            <v>3.1659999999999999</v>
          </cell>
        </row>
        <row r="6727">
          <cell r="E6727" t="str">
            <v>GEOL</v>
          </cell>
          <cell r="F6727" t="str">
            <v>GEOL-G</v>
          </cell>
          <cell r="G6727">
            <v>417</v>
          </cell>
          <cell r="H6727" t="str">
            <v>GEOL-G417</v>
          </cell>
          <cell r="K6727" t="str">
            <v>Ripley,Edward M</v>
          </cell>
          <cell r="N6727">
            <v>3.5</v>
          </cell>
          <cell r="O6727">
            <v>3.0470000000000002</v>
          </cell>
        </row>
        <row r="6728">
          <cell r="E6728" t="str">
            <v>GEOL</v>
          </cell>
          <cell r="F6728" t="str">
            <v>GEOL-G</v>
          </cell>
          <cell r="G6728">
            <v>418</v>
          </cell>
          <cell r="H6728" t="str">
            <v>GEOL-G418</v>
          </cell>
          <cell r="K6728" t="str">
            <v>Wintsch,Robert P.</v>
          </cell>
          <cell r="N6728">
            <v>3</v>
          </cell>
          <cell r="O6728">
            <v>3.2639999999999998</v>
          </cell>
        </row>
        <row r="6729">
          <cell r="E6729" t="str">
            <v>GEOL</v>
          </cell>
          <cell r="F6729" t="str">
            <v>GEOL-G</v>
          </cell>
          <cell r="G6729">
            <v>420</v>
          </cell>
          <cell r="H6729" t="str">
            <v>GEOL-G420</v>
          </cell>
          <cell r="K6729" t="str">
            <v>Polly,Paul David</v>
          </cell>
          <cell r="N6729" t="str">
            <v>NR</v>
          </cell>
          <cell r="O6729" t="str">
            <v>NR</v>
          </cell>
        </row>
        <row r="6730">
          <cell r="E6730" t="str">
            <v>GEOL</v>
          </cell>
          <cell r="F6730" t="str">
            <v>GEOL-G</v>
          </cell>
          <cell r="G6730">
            <v>420</v>
          </cell>
          <cell r="H6730" t="str">
            <v>GEOL-G420</v>
          </cell>
          <cell r="K6730" t="str">
            <v>Wintsch,Robert P.</v>
          </cell>
          <cell r="N6730">
            <v>3.891</v>
          </cell>
          <cell r="O6730">
            <v>3.427</v>
          </cell>
        </row>
        <row r="6731">
          <cell r="E6731" t="str">
            <v>GEOL</v>
          </cell>
          <cell r="F6731" t="str">
            <v>GEOL-G</v>
          </cell>
          <cell r="G6731">
            <v>420</v>
          </cell>
          <cell r="H6731" t="str">
            <v>GEOL-G420</v>
          </cell>
          <cell r="K6731" t="str">
            <v>Wintsch,Robert P.</v>
          </cell>
          <cell r="N6731" t="str">
            <v>NR</v>
          </cell>
          <cell r="O6731" t="str">
            <v>NR</v>
          </cell>
        </row>
        <row r="6732">
          <cell r="E6732" t="str">
            <v>GEOL</v>
          </cell>
          <cell r="F6732" t="str">
            <v>GEOL-G</v>
          </cell>
          <cell r="G6732">
            <v>423</v>
          </cell>
          <cell r="H6732" t="str">
            <v>GEOL-G423</v>
          </cell>
          <cell r="K6732" t="str">
            <v>Pavlis,Gary Lee</v>
          </cell>
          <cell r="N6732">
            <v>3.0270000000000001</v>
          </cell>
          <cell r="O6732">
            <v>3.1560000000000001</v>
          </cell>
        </row>
        <row r="6733">
          <cell r="E6733" t="str">
            <v>GEOL</v>
          </cell>
          <cell r="F6733" t="str">
            <v>GEOL-G</v>
          </cell>
          <cell r="G6733">
            <v>427</v>
          </cell>
          <cell r="H6733" t="str">
            <v>GEOL-G427</v>
          </cell>
          <cell r="K6733" t="str">
            <v>Bish,David L</v>
          </cell>
          <cell r="N6733">
            <v>3.3</v>
          </cell>
          <cell r="O6733">
            <v>3.544</v>
          </cell>
        </row>
        <row r="6734">
          <cell r="E6734" t="str">
            <v>GEOL</v>
          </cell>
          <cell r="F6734" t="str">
            <v>GEOL-G</v>
          </cell>
          <cell r="G6734">
            <v>444</v>
          </cell>
          <cell r="H6734" t="str">
            <v>GEOL-G444</v>
          </cell>
          <cell r="K6734" t="str">
            <v>Elswick,Erika R.</v>
          </cell>
          <cell r="N6734">
            <v>3.2469999999999999</v>
          </cell>
          <cell r="O6734">
            <v>3.26</v>
          </cell>
        </row>
        <row r="6735">
          <cell r="E6735" t="str">
            <v>GEOL</v>
          </cell>
          <cell r="F6735" t="str">
            <v>GEOL-G</v>
          </cell>
          <cell r="G6735">
            <v>451</v>
          </cell>
          <cell r="H6735" t="str">
            <v>GEOL-G451</v>
          </cell>
          <cell r="K6735" t="str">
            <v>Zhu,Chen</v>
          </cell>
          <cell r="N6735" t="str">
            <v>NR</v>
          </cell>
          <cell r="O6735" t="str">
            <v>NR</v>
          </cell>
        </row>
        <row r="6736">
          <cell r="E6736" t="str">
            <v>GEOL</v>
          </cell>
          <cell r="F6736" t="str">
            <v>GEOL-G</v>
          </cell>
          <cell r="G6736">
            <v>454</v>
          </cell>
          <cell r="H6736" t="str">
            <v>GEOL-G454</v>
          </cell>
          <cell r="K6736" t="str">
            <v>Hamburger,Michael W.</v>
          </cell>
          <cell r="N6736">
            <v>3.1749999999999998</v>
          </cell>
          <cell r="O6736">
            <v>3.0750000000000002</v>
          </cell>
        </row>
        <row r="6737">
          <cell r="E6737" t="str">
            <v>GEOL</v>
          </cell>
          <cell r="F6737" t="str">
            <v>GEOL-G</v>
          </cell>
          <cell r="G6737">
            <v>490</v>
          </cell>
          <cell r="H6737" t="str">
            <v>GEOL-G490</v>
          </cell>
          <cell r="K6737" t="str">
            <v>Hamburger,Michael W.</v>
          </cell>
          <cell r="N6737" t="str">
            <v>NR</v>
          </cell>
          <cell r="O6737" t="str">
            <v>NR</v>
          </cell>
        </row>
        <row r="6738">
          <cell r="E6738" t="str">
            <v>GEOL</v>
          </cell>
          <cell r="F6738" t="str">
            <v>GEOL-G</v>
          </cell>
          <cell r="G6738">
            <v>490</v>
          </cell>
          <cell r="H6738" t="str">
            <v>GEOL-G490</v>
          </cell>
          <cell r="K6738" t="str">
            <v>Hamburger,Michael W.</v>
          </cell>
          <cell r="N6738" t="str">
            <v>NR</v>
          </cell>
          <cell r="O6738" t="str">
            <v>NR</v>
          </cell>
        </row>
        <row r="6739">
          <cell r="E6739" t="str">
            <v>GEOL</v>
          </cell>
          <cell r="F6739" t="str">
            <v>GEOL-G</v>
          </cell>
          <cell r="G6739">
            <v>490</v>
          </cell>
          <cell r="H6739" t="str">
            <v>GEOL-G490</v>
          </cell>
          <cell r="K6739" t="str">
            <v>Njau,Jackson K</v>
          </cell>
          <cell r="N6739" t="str">
            <v>NR</v>
          </cell>
          <cell r="O6739" t="str">
            <v>NR</v>
          </cell>
        </row>
        <row r="6740">
          <cell r="E6740" t="str">
            <v>GEOL</v>
          </cell>
          <cell r="F6740" t="str">
            <v>GEOL-G</v>
          </cell>
          <cell r="G6740">
            <v>490</v>
          </cell>
          <cell r="H6740" t="str">
            <v>GEOL-G490</v>
          </cell>
          <cell r="N6740" t="str">
            <v>NR</v>
          </cell>
          <cell r="O6740" t="str">
            <v>NR</v>
          </cell>
        </row>
        <row r="6741">
          <cell r="E6741" t="str">
            <v>GEOL</v>
          </cell>
          <cell r="F6741" t="str">
            <v>GEOL-G</v>
          </cell>
          <cell r="G6741">
            <v>499</v>
          </cell>
          <cell r="H6741" t="str">
            <v>GEOL-G499</v>
          </cell>
          <cell r="K6741" t="str">
            <v>Pratt,Lisa M.</v>
          </cell>
          <cell r="N6741" t="str">
            <v>NR</v>
          </cell>
          <cell r="O6741" t="str">
            <v>NR</v>
          </cell>
        </row>
        <row r="6742">
          <cell r="E6742" t="str">
            <v>GEOL</v>
          </cell>
          <cell r="F6742" t="str">
            <v>GEOL-G</v>
          </cell>
          <cell r="G6742">
            <v>515</v>
          </cell>
          <cell r="H6742" t="str">
            <v>GEOL-G515</v>
          </cell>
          <cell r="K6742" t="str">
            <v>Hamburger,Michael W.</v>
          </cell>
          <cell r="N6742" t="str">
            <v>NR</v>
          </cell>
          <cell r="O6742" t="str">
            <v>NR</v>
          </cell>
        </row>
        <row r="6743">
          <cell r="E6743" t="str">
            <v>GEOL</v>
          </cell>
          <cell r="F6743" t="str">
            <v>GEOL-G</v>
          </cell>
          <cell r="G6743">
            <v>520</v>
          </cell>
          <cell r="H6743" t="str">
            <v>GEOL-G520</v>
          </cell>
          <cell r="K6743" t="str">
            <v>Johnson,Kaj</v>
          </cell>
          <cell r="N6743">
            <v>3.75</v>
          </cell>
          <cell r="O6743">
            <v>3.6890000000000001</v>
          </cell>
        </row>
        <row r="6744">
          <cell r="E6744" t="str">
            <v>GEOL</v>
          </cell>
          <cell r="F6744" t="str">
            <v>GEOL-G</v>
          </cell>
          <cell r="G6744">
            <v>524</v>
          </cell>
          <cell r="H6744" t="str">
            <v>GEOL-G524</v>
          </cell>
          <cell r="K6744" t="str">
            <v>Keith,Brian Duncan</v>
          </cell>
          <cell r="N6744">
            <v>3.9769999999999999</v>
          </cell>
          <cell r="O6744">
            <v>3.7349999999999999</v>
          </cell>
        </row>
        <row r="6745">
          <cell r="E6745" t="str">
            <v>GEOL</v>
          </cell>
          <cell r="F6745" t="str">
            <v>GEOL-G</v>
          </cell>
          <cell r="G6745">
            <v>544</v>
          </cell>
          <cell r="H6745" t="str">
            <v>GEOL-G544</v>
          </cell>
          <cell r="K6745" t="str">
            <v>Elswick,Erika R.</v>
          </cell>
          <cell r="N6745">
            <v>3.84</v>
          </cell>
          <cell r="O6745">
            <v>3.5550000000000002</v>
          </cell>
        </row>
        <row r="6746">
          <cell r="E6746" t="str">
            <v>GEOL</v>
          </cell>
          <cell r="F6746" t="str">
            <v>GEOL-G</v>
          </cell>
          <cell r="G6746">
            <v>550</v>
          </cell>
          <cell r="H6746" t="str">
            <v>GEOL-G550</v>
          </cell>
          <cell r="K6746" t="str">
            <v>Olyphant,Greg Allan</v>
          </cell>
          <cell r="N6746">
            <v>3.407</v>
          </cell>
          <cell r="O6746">
            <v>3.552</v>
          </cell>
        </row>
        <row r="6747">
          <cell r="E6747" t="str">
            <v>GEOL</v>
          </cell>
          <cell r="F6747" t="str">
            <v>GEOL-G</v>
          </cell>
          <cell r="G6747">
            <v>554</v>
          </cell>
          <cell r="H6747" t="str">
            <v>GEOL-G554</v>
          </cell>
          <cell r="K6747" t="str">
            <v>Hamburger,Michael W.</v>
          </cell>
          <cell r="N6747" t="str">
            <v>NR</v>
          </cell>
          <cell r="O6747" t="str">
            <v>NR</v>
          </cell>
        </row>
        <row r="6748">
          <cell r="E6748" t="str">
            <v>GEOL</v>
          </cell>
          <cell r="F6748" t="str">
            <v>GEOL-G</v>
          </cell>
          <cell r="G6748">
            <v>562</v>
          </cell>
          <cell r="H6748" t="str">
            <v>GEOL-G562</v>
          </cell>
          <cell r="K6748" t="str">
            <v>Polly,Paul David</v>
          </cell>
          <cell r="N6748">
            <v>3.7919999999999998</v>
          </cell>
          <cell r="O6748">
            <v>3.7269999999999999</v>
          </cell>
        </row>
        <row r="6749">
          <cell r="E6749" t="str">
            <v>GEOL</v>
          </cell>
          <cell r="F6749" t="str">
            <v>GEOL-G</v>
          </cell>
          <cell r="G6749">
            <v>563</v>
          </cell>
          <cell r="H6749" t="str">
            <v>GEOL-G563</v>
          </cell>
          <cell r="K6749" t="str">
            <v>Polly,Paul David</v>
          </cell>
          <cell r="N6749">
            <v>3.9140000000000001</v>
          </cell>
          <cell r="O6749">
            <v>3.7370000000000001</v>
          </cell>
        </row>
        <row r="6750">
          <cell r="E6750" t="str">
            <v>GEOL</v>
          </cell>
          <cell r="F6750" t="str">
            <v>GEOL-G</v>
          </cell>
          <cell r="G6750">
            <v>565</v>
          </cell>
          <cell r="H6750" t="str">
            <v>GEOL-G565</v>
          </cell>
          <cell r="K6750" t="str">
            <v>Wintsch,Robert P.</v>
          </cell>
          <cell r="N6750">
            <v>3.55</v>
          </cell>
          <cell r="O6750">
            <v>3.3490000000000002</v>
          </cell>
        </row>
        <row r="6751">
          <cell r="E6751" t="str">
            <v>GEOL</v>
          </cell>
          <cell r="F6751" t="str">
            <v>GEOL-G</v>
          </cell>
          <cell r="G6751">
            <v>581</v>
          </cell>
          <cell r="H6751" t="str">
            <v>GEOL-G581</v>
          </cell>
          <cell r="K6751" t="str">
            <v>Olyphant,Greg Allan</v>
          </cell>
          <cell r="N6751" t="str">
            <v>NR</v>
          </cell>
          <cell r="O6751" t="str">
            <v>NR</v>
          </cell>
        </row>
        <row r="6752">
          <cell r="E6752" t="str">
            <v>GEOL</v>
          </cell>
          <cell r="F6752" t="str">
            <v>GEOL-G</v>
          </cell>
          <cell r="G6752">
            <v>582</v>
          </cell>
          <cell r="H6752" t="str">
            <v>GEOL-G582</v>
          </cell>
          <cell r="K6752" t="str">
            <v>Pavlis,Gary Lee</v>
          </cell>
          <cell r="N6752">
            <v>3.8330000000000002</v>
          </cell>
          <cell r="O6752">
            <v>3.1640000000000001</v>
          </cell>
        </row>
        <row r="6753">
          <cell r="E6753" t="str">
            <v>GEOL</v>
          </cell>
          <cell r="F6753" t="str">
            <v>GEOL-G</v>
          </cell>
          <cell r="G6753">
            <v>587</v>
          </cell>
          <cell r="H6753" t="str">
            <v>GEOL-G587</v>
          </cell>
          <cell r="K6753" t="str">
            <v>Brassell,Simon Christopher</v>
          </cell>
          <cell r="N6753">
            <v>3.8180000000000001</v>
          </cell>
          <cell r="O6753">
            <v>3.6160000000000001</v>
          </cell>
        </row>
        <row r="6754">
          <cell r="E6754" t="str">
            <v>GEOL</v>
          </cell>
          <cell r="F6754" t="str">
            <v>GEOL-G</v>
          </cell>
          <cell r="G6754">
            <v>589</v>
          </cell>
          <cell r="H6754" t="str">
            <v>GEOL-G589</v>
          </cell>
          <cell r="K6754" t="str">
            <v>Pratt,Lisa M.</v>
          </cell>
          <cell r="N6754">
            <v>3.6709999999999998</v>
          </cell>
          <cell r="O6754">
            <v>3.3940000000000001</v>
          </cell>
        </row>
        <row r="6755">
          <cell r="E6755" t="str">
            <v>GEOL</v>
          </cell>
          <cell r="F6755" t="str">
            <v>GEOL-G</v>
          </cell>
          <cell r="G6755">
            <v>600</v>
          </cell>
          <cell r="H6755" t="str">
            <v>GEOL-G600</v>
          </cell>
          <cell r="K6755" t="str">
            <v>Schieber,Juergen</v>
          </cell>
          <cell r="N6755" t="str">
            <v>NR</v>
          </cell>
          <cell r="O6755" t="str">
            <v>NR</v>
          </cell>
        </row>
        <row r="6756">
          <cell r="E6756" t="str">
            <v>GEOL</v>
          </cell>
          <cell r="F6756" t="str">
            <v>GEOL-G</v>
          </cell>
          <cell r="G6756">
            <v>601</v>
          </cell>
          <cell r="H6756" t="str">
            <v>GEOL-G601</v>
          </cell>
          <cell r="K6756" t="str">
            <v>Bish,David L</v>
          </cell>
          <cell r="N6756">
            <v>3.286</v>
          </cell>
          <cell r="O6756">
            <v>3.4609999999999999</v>
          </cell>
        </row>
        <row r="6757">
          <cell r="E6757" t="str">
            <v>GEOL</v>
          </cell>
          <cell r="F6757" t="str">
            <v>GEOL-G</v>
          </cell>
          <cell r="G6757">
            <v>612</v>
          </cell>
          <cell r="H6757" t="str">
            <v>GEOL-G612</v>
          </cell>
          <cell r="K6757" t="str">
            <v>Johnson,Kaj</v>
          </cell>
          <cell r="N6757">
            <v>4</v>
          </cell>
          <cell r="O6757">
            <v>3.5830000000000002</v>
          </cell>
        </row>
        <row r="6758">
          <cell r="E6758" t="str">
            <v>GEOL</v>
          </cell>
          <cell r="F6758" t="str">
            <v>GEOL-G</v>
          </cell>
          <cell r="G6758">
            <v>633</v>
          </cell>
          <cell r="H6758" t="str">
            <v>GEOL-G633</v>
          </cell>
          <cell r="K6758" t="str">
            <v>Hamburger,Michael W.</v>
          </cell>
          <cell r="N6758" t="str">
            <v>NR</v>
          </cell>
          <cell r="O6758" t="str">
            <v>NR</v>
          </cell>
        </row>
        <row r="6759">
          <cell r="E6759" t="str">
            <v>GEOL</v>
          </cell>
          <cell r="F6759" t="str">
            <v>GEOL-G</v>
          </cell>
          <cell r="G6759">
            <v>637</v>
          </cell>
          <cell r="H6759" t="str">
            <v>GEOL-G637</v>
          </cell>
          <cell r="K6759" t="str">
            <v>Hamburger,Michael W.</v>
          </cell>
          <cell r="N6759" t="str">
            <v>NR</v>
          </cell>
          <cell r="O6759" t="str">
            <v>NR</v>
          </cell>
        </row>
        <row r="6760">
          <cell r="E6760" t="str">
            <v>GEOL</v>
          </cell>
          <cell r="F6760" t="str">
            <v>GEOL-G</v>
          </cell>
          <cell r="G6760">
            <v>690</v>
          </cell>
          <cell r="H6760" t="str">
            <v>GEOL-G690</v>
          </cell>
          <cell r="K6760" t="str">
            <v>Bish,David L</v>
          </cell>
          <cell r="N6760" t="str">
            <v>NR</v>
          </cell>
          <cell r="O6760" t="str">
            <v>NR</v>
          </cell>
        </row>
        <row r="6761">
          <cell r="E6761" t="str">
            <v>GEOL</v>
          </cell>
          <cell r="F6761" t="str">
            <v>GEOL-G</v>
          </cell>
          <cell r="G6761">
            <v>690</v>
          </cell>
          <cell r="H6761" t="str">
            <v>GEOL-G690</v>
          </cell>
          <cell r="K6761" t="str">
            <v>Bish,David L</v>
          </cell>
          <cell r="N6761" t="str">
            <v>NR</v>
          </cell>
          <cell r="O6761" t="str">
            <v>NR</v>
          </cell>
        </row>
        <row r="6762">
          <cell r="E6762" t="str">
            <v>GEOL</v>
          </cell>
          <cell r="F6762" t="str">
            <v>GEOL-G</v>
          </cell>
          <cell r="G6762">
            <v>690</v>
          </cell>
          <cell r="H6762" t="str">
            <v>GEOL-G690</v>
          </cell>
          <cell r="K6762" t="str">
            <v>Hamburger,Michael W.</v>
          </cell>
          <cell r="N6762">
            <v>3.9540000000000002</v>
          </cell>
          <cell r="O6762">
            <v>3.5379999999999998</v>
          </cell>
        </row>
        <row r="6763">
          <cell r="E6763" t="str">
            <v>GEOL</v>
          </cell>
          <cell r="F6763" t="str">
            <v>GEOL-G</v>
          </cell>
          <cell r="G6763">
            <v>690</v>
          </cell>
          <cell r="H6763" t="str">
            <v>GEOL-G690</v>
          </cell>
          <cell r="K6763" t="str">
            <v>Hamburger,Michael W.</v>
          </cell>
          <cell r="N6763" t="str">
            <v>NR</v>
          </cell>
          <cell r="O6763" t="str">
            <v>NR</v>
          </cell>
        </row>
        <row r="6764">
          <cell r="E6764" t="str">
            <v>GEOL</v>
          </cell>
          <cell r="F6764" t="str">
            <v>GEOL-G</v>
          </cell>
          <cell r="G6764">
            <v>690</v>
          </cell>
          <cell r="H6764" t="str">
            <v>GEOL-G690</v>
          </cell>
          <cell r="K6764" t="str">
            <v>Njau,Jackson K</v>
          </cell>
          <cell r="N6764" t="str">
            <v>NR</v>
          </cell>
          <cell r="O6764" t="str">
            <v>NR</v>
          </cell>
        </row>
        <row r="6765">
          <cell r="E6765" t="str">
            <v>GEOL</v>
          </cell>
          <cell r="F6765" t="str">
            <v>GEOL-G</v>
          </cell>
          <cell r="G6765">
            <v>690</v>
          </cell>
          <cell r="H6765" t="str">
            <v>GEOL-G690</v>
          </cell>
          <cell r="K6765" t="str">
            <v>Njau,Jackson K</v>
          </cell>
          <cell r="N6765" t="str">
            <v>NR</v>
          </cell>
          <cell r="O6765" t="str">
            <v>NR</v>
          </cell>
        </row>
        <row r="6766">
          <cell r="E6766" t="str">
            <v>GEOL</v>
          </cell>
          <cell r="F6766" t="str">
            <v>GEOL-G</v>
          </cell>
          <cell r="G6766">
            <v>690</v>
          </cell>
          <cell r="H6766" t="str">
            <v>GEOL-G690</v>
          </cell>
          <cell r="K6766" t="str">
            <v>Pavlis,Gary Lee</v>
          </cell>
          <cell r="N6766" t="str">
            <v>NR</v>
          </cell>
          <cell r="O6766" t="str">
            <v>NR</v>
          </cell>
        </row>
        <row r="6767">
          <cell r="E6767" t="str">
            <v>GEOL</v>
          </cell>
          <cell r="F6767" t="str">
            <v>GEOL-G</v>
          </cell>
          <cell r="G6767">
            <v>690</v>
          </cell>
          <cell r="H6767" t="str">
            <v>GEOL-G690</v>
          </cell>
          <cell r="K6767" t="str">
            <v>Pavlis,Gary Lee</v>
          </cell>
          <cell r="N6767">
            <v>4</v>
          </cell>
          <cell r="O6767">
            <v>3.823</v>
          </cell>
        </row>
        <row r="6768">
          <cell r="E6768" t="str">
            <v>GEOL</v>
          </cell>
          <cell r="F6768" t="str">
            <v>GEOL-G</v>
          </cell>
          <cell r="G6768">
            <v>690</v>
          </cell>
          <cell r="H6768" t="str">
            <v>GEOL-G690</v>
          </cell>
          <cell r="K6768" t="str">
            <v>Polly,Paul David</v>
          </cell>
          <cell r="N6768" t="str">
            <v>NR</v>
          </cell>
          <cell r="O6768" t="str">
            <v>NR</v>
          </cell>
        </row>
        <row r="6769">
          <cell r="E6769" t="str">
            <v>GEOL</v>
          </cell>
          <cell r="F6769" t="str">
            <v>GEOL-G</v>
          </cell>
          <cell r="G6769">
            <v>690</v>
          </cell>
          <cell r="H6769" t="str">
            <v>GEOL-G690</v>
          </cell>
          <cell r="K6769" t="str">
            <v>Polly,Paul David</v>
          </cell>
          <cell r="N6769" t="str">
            <v>NR</v>
          </cell>
          <cell r="O6769" t="str">
            <v>NR</v>
          </cell>
        </row>
        <row r="6770">
          <cell r="E6770" t="str">
            <v>GEOL</v>
          </cell>
          <cell r="F6770" t="str">
            <v>GEOL-G</v>
          </cell>
          <cell r="G6770">
            <v>690</v>
          </cell>
          <cell r="H6770" t="str">
            <v>GEOL-G690</v>
          </cell>
          <cell r="K6770" t="str">
            <v>Ripley,Edward M</v>
          </cell>
          <cell r="N6770" t="str">
            <v>NR</v>
          </cell>
          <cell r="O6770" t="str">
            <v>NR</v>
          </cell>
        </row>
        <row r="6771">
          <cell r="E6771" t="str">
            <v>GEOL</v>
          </cell>
          <cell r="F6771" t="str">
            <v>GEOL-G</v>
          </cell>
          <cell r="G6771">
            <v>690</v>
          </cell>
          <cell r="H6771" t="str">
            <v>GEOL-G690</v>
          </cell>
          <cell r="K6771" t="str">
            <v>Schieber,Juergen</v>
          </cell>
          <cell r="N6771">
            <v>4</v>
          </cell>
          <cell r="O6771">
            <v>3.8460000000000001</v>
          </cell>
        </row>
        <row r="6772">
          <cell r="E6772" t="str">
            <v>GEOL</v>
          </cell>
          <cell r="F6772" t="str">
            <v>GEOL-G</v>
          </cell>
          <cell r="G6772">
            <v>690</v>
          </cell>
          <cell r="H6772" t="str">
            <v>GEOL-G690</v>
          </cell>
          <cell r="K6772" t="str">
            <v>Wintsch,Robert P.</v>
          </cell>
          <cell r="N6772" t="str">
            <v>NR</v>
          </cell>
          <cell r="O6772" t="str">
            <v>NR</v>
          </cell>
        </row>
        <row r="6773">
          <cell r="E6773" t="str">
            <v>GEOL</v>
          </cell>
          <cell r="F6773" t="str">
            <v>GEOL-G</v>
          </cell>
          <cell r="G6773">
            <v>690</v>
          </cell>
          <cell r="H6773" t="str">
            <v>GEOL-G690</v>
          </cell>
          <cell r="K6773" t="str">
            <v>Wintsch,Robert P.</v>
          </cell>
          <cell r="N6773" t="str">
            <v>NR</v>
          </cell>
          <cell r="O6773" t="str">
            <v>NR</v>
          </cell>
        </row>
        <row r="6774">
          <cell r="E6774" t="str">
            <v>GEOL</v>
          </cell>
          <cell r="F6774" t="str">
            <v>GEOL-G</v>
          </cell>
          <cell r="G6774">
            <v>700</v>
          </cell>
          <cell r="H6774" t="str">
            <v>GEOL-G700</v>
          </cell>
          <cell r="K6774" t="str">
            <v>Douglas,Bruce James</v>
          </cell>
          <cell r="N6774" t="str">
            <v>NR</v>
          </cell>
          <cell r="O6774" t="str">
            <v>NR</v>
          </cell>
        </row>
        <row r="6775">
          <cell r="E6775" t="str">
            <v>GEOL</v>
          </cell>
          <cell r="F6775" t="str">
            <v>GEOL-G</v>
          </cell>
          <cell r="G6775">
            <v>700</v>
          </cell>
          <cell r="H6775" t="str">
            <v>GEOL-G700</v>
          </cell>
          <cell r="K6775" t="str">
            <v>Elswick,Erika R.</v>
          </cell>
          <cell r="N6775" t="str">
            <v>NR</v>
          </cell>
          <cell r="O6775" t="str">
            <v>NR</v>
          </cell>
        </row>
        <row r="6776">
          <cell r="E6776" t="str">
            <v>GEOL</v>
          </cell>
          <cell r="F6776" t="str">
            <v>GEOL-G</v>
          </cell>
          <cell r="G6776">
            <v>700</v>
          </cell>
          <cell r="H6776" t="str">
            <v>GEOL-G700</v>
          </cell>
          <cell r="K6776" t="str">
            <v>Kirkpatrick,Cody</v>
          </cell>
          <cell r="N6776" t="str">
            <v>NR</v>
          </cell>
          <cell r="O6776" t="str">
            <v>NR</v>
          </cell>
        </row>
        <row r="6777">
          <cell r="E6777" t="str">
            <v>GEOL</v>
          </cell>
          <cell r="F6777" t="str">
            <v>GEOL-G</v>
          </cell>
          <cell r="G6777">
            <v>700</v>
          </cell>
          <cell r="H6777" t="str">
            <v>GEOL-G700</v>
          </cell>
          <cell r="K6777" t="str">
            <v>Pratt,Lisa M.</v>
          </cell>
          <cell r="N6777" t="str">
            <v>NR</v>
          </cell>
          <cell r="O6777" t="str">
            <v>NR</v>
          </cell>
        </row>
        <row r="6778">
          <cell r="E6778" t="str">
            <v>GEOL</v>
          </cell>
          <cell r="F6778" t="str">
            <v>GEOL-G</v>
          </cell>
          <cell r="G6778">
            <v>700</v>
          </cell>
          <cell r="H6778" t="str">
            <v>GEOL-G700</v>
          </cell>
          <cell r="K6778" t="str">
            <v>Sauer,Peter</v>
          </cell>
          <cell r="N6778" t="str">
            <v>NR</v>
          </cell>
          <cell r="O6778" t="str">
            <v>NR</v>
          </cell>
        </row>
        <row r="6779">
          <cell r="E6779" t="str">
            <v>GEOL</v>
          </cell>
          <cell r="F6779" t="str">
            <v>GEOL-G</v>
          </cell>
          <cell r="G6779">
            <v>700</v>
          </cell>
          <cell r="H6779" t="str">
            <v>GEOL-G700</v>
          </cell>
          <cell r="K6779" t="str">
            <v>Wintsch,Robert P.</v>
          </cell>
          <cell r="N6779" t="str">
            <v>NR</v>
          </cell>
          <cell r="O6779" t="str">
            <v>NR</v>
          </cell>
        </row>
        <row r="6780">
          <cell r="E6780" t="str">
            <v>GEOL</v>
          </cell>
          <cell r="F6780" t="str">
            <v>GEOL-G</v>
          </cell>
          <cell r="G6780">
            <v>700</v>
          </cell>
          <cell r="H6780" t="str">
            <v>GEOL-G700</v>
          </cell>
          <cell r="K6780" t="str">
            <v>Young,Seth Allen</v>
          </cell>
          <cell r="N6780" t="str">
            <v>NR</v>
          </cell>
          <cell r="O6780" t="str">
            <v>NR</v>
          </cell>
        </row>
        <row r="6781">
          <cell r="E6781" t="str">
            <v>GEOL</v>
          </cell>
          <cell r="F6781" t="str">
            <v>GEOL-G</v>
          </cell>
          <cell r="G6781">
            <v>810</v>
          </cell>
          <cell r="H6781" t="str">
            <v>GEOL-G810</v>
          </cell>
          <cell r="K6781" t="str">
            <v>Pratt,Lisa M.</v>
          </cell>
          <cell r="N6781" t="str">
            <v>NR</v>
          </cell>
          <cell r="O6781" t="str">
            <v>NR</v>
          </cell>
        </row>
        <row r="6782">
          <cell r="E6782" t="str">
            <v>GEOL</v>
          </cell>
          <cell r="F6782" t="str">
            <v>GEOL-G</v>
          </cell>
          <cell r="G6782">
            <v>810</v>
          </cell>
          <cell r="H6782" t="str">
            <v>GEOL-G810</v>
          </cell>
          <cell r="K6782" t="str">
            <v>Pratt,Lisa M.</v>
          </cell>
          <cell r="N6782" t="str">
            <v>NR</v>
          </cell>
          <cell r="O6782" t="str">
            <v>NR</v>
          </cell>
        </row>
        <row r="6783">
          <cell r="E6783" t="str">
            <v>GEOL</v>
          </cell>
          <cell r="F6783" t="str">
            <v>GEOL-G</v>
          </cell>
          <cell r="G6783">
            <v>810</v>
          </cell>
          <cell r="H6783" t="str">
            <v>GEOL-G810</v>
          </cell>
          <cell r="K6783" t="str">
            <v>Pratt,Lisa M.</v>
          </cell>
          <cell r="N6783" t="str">
            <v>NR</v>
          </cell>
          <cell r="O6783" t="str">
            <v>NR</v>
          </cell>
        </row>
        <row r="6784">
          <cell r="E6784" t="str">
            <v>GEOL</v>
          </cell>
          <cell r="F6784" t="str">
            <v>GEOL-G</v>
          </cell>
          <cell r="G6784">
            <v>810</v>
          </cell>
          <cell r="H6784" t="str">
            <v>GEOL-G810</v>
          </cell>
          <cell r="K6784" t="str">
            <v>Pratt,Lisa M.</v>
          </cell>
          <cell r="N6784" t="str">
            <v>NR</v>
          </cell>
          <cell r="O6784" t="str">
            <v>NR</v>
          </cell>
        </row>
        <row r="6785">
          <cell r="E6785" t="str">
            <v>GEOL</v>
          </cell>
          <cell r="F6785" t="str">
            <v>GEOL-G</v>
          </cell>
          <cell r="G6785">
            <v>810</v>
          </cell>
          <cell r="H6785" t="str">
            <v>GEOL-G810</v>
          </cell>
          <cell r="K6785" t="str">
            <v>Pratt,Lisa M.</v>
          </cell>
          <cell r="N6785" t="str">
            <v>NR</v>
          </cell>
          <cell r="O6785" t="str">
            <v>NR</v>
          </cell>
        </row>
        <row r="6786">
          <cell r="E6786" t="str">
            <v>GEOL</v>
          </cell>
          <cell r="F6786" t="str">
            <v>GEOL-G</v>
          </cell>
          <cell r="G6786">
            <v>901</v>
          </cell>
          <cell r="H6786" t="str">
            <v>GEOL-G901</v>
          </cell>
          <cell r="K6786" t="str">
            <v>Pratt,Lisa M.</v>
          </cell>
          <cell r="N6786" t="str">
            <v>NR</v>
          </cell>
          <cell r="O6786" t="str">
            <v>NR</v>
          </cell>
        </row>
        <row r="6787">
          <cell r="E6787" t="str">
            <v>GEOL</v>
          </cell>
          <cell r="F6787" t="str">
            <v>GEOL-G</v>
          </cell>
          <cell r="G6787">
            <v>901</v>
          </cell>
          <cell r="H6787" t="str">
            <v>GEOL-G901</v>
          </cell>
          <cell r="K6787" t="str">
            <v>Pratt,Lisa M.</v>
          </cell>
          <cell r="N6787" t="str">
            <v>NR</v>
          </cell>
          <cell r="O6787" t="str">
            <v>NR</v>
          </cell>
        </row>
        <row r="6788">
          <cell r="E6788" t="str">
            <v>GER</v>
          </cell>
          <cell r="F6788" t="str">
            <v xml:space="preserve">GER-E </v>
          </cell>
          <cell r="G6788">
            <v>121</v>
          </cell>
          <cell r="H6788" t="str">
            <v>GER-E 121</v>
          </cell>
          <cell r="K6788" t="str">
            <v>Landry,Olivia R</v>
          </cell>
          <cell r="N6788">
            <v>2.9670000000000001</v>
          </cell>
          <cell r="O6788">
            <v>2.69</v>
          </cell>
        </row>
        <row r="6789">
          <cell r="E6789" t="str">
            <v>GER</v>
          </cell>
          <cell r="F6789" t="str">
            <v xml:space="preserve">GER-E </v>
          </cell>
          <cell r="G6789">
            <v>311</v>
          </cell>
          <cell r="H6789" t="str">
            <v>GER-E 311</v>
          </cell>
          <cell r="K6789" t="str">
            <v>Even,Susanne</v>
          </cell>
          <cell r="N6789">
            <v>3.4769999999999999</v>
          </cell>
          <cell r="O6789">
            <v>3.08</v>
          </cell>
        </row>
        <row r="6790">
          <cell r="E6790" t="str">
            <v>GER</v>
          </cell>
          <cell r="F6790" t="str">
            <v xml:space="preserve">GER-E </v>
          </cell>
          <cell r="G6790">
            <v>311</v>
          </cell>
          <cell r="H6790" t="str">
            <v>GER-E 311</v>
          </cell>
          <cell r="K6790" t="str">
            <v>Keller,Hildegard Elisabeth</v>
          </cell>
          <cell r="N6790" t="str">
            <v>NR</v>
          </cell>
          <cell r="O6790" t="str">
            <v>NR</v>
          </cell>
        </row>
        <row r="6791">
          <cell r="E6791" t="str">
            <v>GER</v>
          </cell>
          <cell r="F6791" t="str">
            <v xml:space="preserve">GER-E </v>
          </cell>
          <cell r="G6791">
            <v>322</v>
          </cell>
          <cell r="H6791" t="str">
            <v>GER-E 322</v>
          </cell>
          <cell r="K6791" t="str">
            <v>Turk,Johannes</v>
          </cell>
          <cell r="N6791">
            <v>3.4159999999999999</v>
          </cell>
          <cell r="O6791">
            <v>2.7549999999999999</v>
          </cell>
        </row>
        <row r="6792">
          <cell r="E6792" t="str">
            <v>GER</v>
          </cell>
          <cell r="F6792" t="str">
            <v xml:space="preserve">GER-E </v>
          </cell>
          <cell r="G6792">
            <v>322</v>
          </cell>
          <cell r="H6792" t="str">
            <v>GER-E 322</v>
          </cell>
          <cell r="K6792" t="str">
            <v>Wagner,Brigitta Bettina</v>
          </cell>
          <cell r="N6792">
            <v>3.7669999999999999</v>
          </cell>
          <cell r="O6792">
            <v>3.11</v>
          </cell>
        </row>
        <row r="6793">
          <cell r="E6793" t="str">
            <v>GER</v>
          </cell>
          <cell r="F6793" t="str">
            <v xml:space="preserve">GER-E </v>
          </cell>
          <cell r="G6793">
            <v>333</v>
          </cell>
          <cell r="H6793" t="str">
            <v>GER-E 333</v>
          </cell>
          <cell r="K6793" t="str">
            <v>Sprouse,Rex A.</v>
          </cell>
          <cell r="N6793">
            <v>3.3860000000000001</v>
          </cell>
          <cell r="O6793">
            <v>2.9609999999999999</v>
          </cell>
        </row>
        <row r="6794">
          <cell r="E6794" t="str">
            <v>GER</v>
          </cell>
          <cell r="F6794" t="str">
            <v xml:space="preserve">GER-E </v>
          </cell>
          <cell r="G6794">
            <v>341</v>
          </cell>
          <cell r="H6794" t="str">
            <v>GER-E 341</v>
          </cell>
          <cell r="K6794" t="str">
            <v>Haitjema,Bieneke A</v>
          </cell>
          <cell r="N6794">
            <v>3.3940000000000001</v>
          </cell>
          <cell r="O6794">
            <v>3.2269999999999999</v>
          </cell>
        </row>
        <row r="6795">
          <cell r="E6795" t="str">
            <v>GER</v>
          </cell>
          <cell r="F6795" t="str">
            <v xml:space="preserve">GER-E </v>
          </cell>
          <cell r="G6795">
            <v>342</v>
          </cell>
          <cell r="H6795" t="str">
            <v>GER-E 342</v>
          </cell>
          <cell r="K6795" t="str">
            <v>Ham,Esther</v>
          </cell>
          <cell r="N6795">
            <v>3.016</v>
          </cell>
          <cell r="O6795">
            <v>2.9020000000000001</v>
          </cell>
        </row>
        <row r="6796">
          <cell r="E6796" t="str">
            <v>GER</v>
          </cell>
          <cell r="F6796" t="str">
            <v xml:space="preserve">GER-E </v>
          </cell>
          <cell r="G6796">
            <v>351</v>
          </cell>
          <cell r="H6796" t="str">
            <v>GER-E 351</v>
          </cell>
          <cell r="K6796" t="str">
            <v>Kerler,Dov-Ber Boris</v>
          </cell>
          <cell r="N6796">
            <v>3.5139999999999998</v>
          </cell>
          <cell r="O6796">
            <v>3.242</v>
          </cell>
        </row>
        <row r="6797">
          <cell r="E6797" t="str">
            <v>GER</v>
          </cell>
          <cell r="F6797" t="str">
            <v xml:space="preserve">GER-E </v>
          </cell>
          <cell r="G6797">
            <v>351</v>
          </cell>
          <cell r="H6797" t="str">
            <v>GER-E 351</v>
          </cell>
          <cell r="K6797" t="str">
            <v>Kerler,Dov-Ber Boris</v>
          </cell>
          <cell r="N6797">
            <v>3.0640000000000001</v>
          </cell>
          <cell r="O6797">
            <v>2.722</v>
          </cell>
        </row>
        <row r="6798">
          <cell r="E6798" t="str">
            <v>GER</v>
          </cell>
          <cell r="F6798" t="str">
            <v xml:space="preserve">GER-E </v>
          </cell>
          <cell r="G6798">
            <v>352</v>
          </cell>
          <cell r="H6798" t="str">
            <v>GER-E 352</v>
          </cell>
          <cell r="K6798" t="str">
            <v>Kerler,Dov-Ber Boris</v>
          </cell>
          <cell r="N6798">
            <v>3.4140000000000001</v>
          </cell>
          <cell r="O6798">
            <v>3.085</v>
          </cell>
        </row>
        <row r="6799">
          <cell r="E6799" t="str">
            <v>GER</v>
          </cell>
          <cell r="F6799" t="str">
            <v xml:space="preserve">GER-E </v>
          </cell>
          <cell r="G6799">
            <v>352</v>
          </cell>
          <cell r="H6799" t="str">
            <v>GER-E 352</v>
          </cell>
          <cell r="K6799" t="str">
            <v>Kerler,Dov-Ber Boris</v>
          </cell>
          <cell r="N6799">
            <v>2.6829999999999998</v>
          </cell>
          <cell r="O6799">
            <v>2.7050000000000001</v>
          </cell>
        </row>
        <row r="6800">
          <cell r="E6800" t="str">
            <v>GER</v>
          </cell>
          <cell r="F6800" t="str">
            <v xml:space="preserve">GER-E </v>
          </cell>
          <cell r="G6800">
            <v>361</v>
          </cell>
          <cell r="H6800" t="str">
            <v>GER-E 361</v>
          </cell>
          <cell r="K6800" t="str">
            <v>Gade,Kari Ellen</v>
          </cell>
          <cell r="N6800">
            <v>3.45</v>
          </cell>
          <cell r="O6800">
            <v>3.109</v>
          </cell>
        </row>
        <row r="6801">
          <cell r="E6801" t="str">
            <v>GER</v>
          </cell>
          <cell r="F6801" t="str">
            <v xml:space="preserve">GER-E </v>
          </cell>
          <cell r="G6801">
            <v>362</v>
          </cell>
          <cell r="H6801" t="str">
            <v>GER-E 362</v>
          </cell>
          <cell r="K6801" t="str">
            <v>May,Gergana Gueorguieva</v>
          </cell>
          <cell r="N6801">
            <v>3.2349999999999999</v>
          </cell>
          <cell r="O6801">
            <v>2.9750000000000001</v>
          </cell>
        </row>
        <row r="6802">
          <cell r="E6802" t="str">
            <v>GER</v>
          </cell>
          <cell r="F6802" t="str">
            <v xml:space="preserve">GER-E </v>
          </cell>
          <cell r="G6802">
            <v>362</v>
          </cell>
          <cell r="H6802" t="str">
            <v>GER-E 362</v>
          </cell>
          <cell r="N6802" t="str">
            <v>NR</v>
          </cell>
          <cell r="O6802" t="str">
            <v>NR</v>
          </cell>
        </row>
        <row r="6803">
          <cell r="E6803" t="str">
            <v>GER</v>
          </cell>
          <cell r="F6803" t="str">
            <v xml:space="preserve">GER-E </v>
          </cell>
          <cell r="G6803">
            <v>371</v>
          </cell>
          <cell r="H6803" t="str">
            <v>GER-E 371</v>
          </cell>
          <cell r="K6803" t="str">
            <v>Keller,Hildegard Elisabeth</v>
          </cell>
          <cell r="N6803">
            <v>3.7890000000000001</v>
          </cell>
          <cell r="O6803">
            <v>3.3980000000000001</v>
          </cell>
        </row>
        <row r="6804">
          <cell r="E6804" t="str">
            <v>GER</v>
          </cell>
          <cell r="F6804" t="str">
            <v xml:space="preserve">GER-G </v>
          </cell>
          <cell r="G6804">
            <v>100</v>
          </cell>
          <cell r="H6804" t="str">
            <v>GER-G 100</v>
          </cell>
          <cell r="K6804" t="str">
            <v>Bryant,Michael Charles</v>
          </cell>
          <cell r="N6804">
            <v>2.6739999999999999</v>
          </cell>
          <cell r="O6804">
            <v>3.0289999999999999</v>
          </cell>
        </row>
        <row r="6805">
          <cell r="E6805" t="str">
            <v>GER</v>
          </cell>
          <cell r="F6805" t="str">
            <v xml:space="preserve">GER-G </v>
          </cell>
          <cell r="G6805">
            <v>100</v>
          </cell>
          <cell r="H6805" t="str">
            <v>GER-G 100</v>
          </cell>
          <cell r="K6805" t="str">
            <v>Cervantes,Ekaterina D</v>
          </cell>
          <cell r="N6805">
            <v>2.7330000000000001</v>
          </cell>
          <cell r="O6805">
            <v>2.7639999999999998</v>
          </cell>
        </row>
        <row r="6806">
          <cell r="E6806" t="str">
            <v>GER</v>
          </cell>
          <cell r="F6806" t="str">
            <v xml:space="preserve">GER-G </v>
          </cell>
          <cell r="G6806">
            <v>100</v>
          </cell>
          <cell r="H6806" t="str">
            <v>GER-G 100</v>
          </cell>
          <cell r="K6806" t="str">
            <v>Cervantes,Ekaterina D</v>
          </cell>
          <cell r="N6806">
            <v>3.2109999999999999</v>
          </cell>
          <cell r="O6806">
            <v>3.004</v>
          </cell>
        </row>
        <row r="6807">
          <cell r="E6807" t="str">
            <v>GER</v>
          </cell>
          <cell r="F6807" t="str">
            <v xml:space="preserve">GER-G </v>
          </cell>
          <cell r="G6807">
            <v>100</v>
          </cell>
          <cell r="H6807" t="str">
            <v>GER-G 100</v>
          </cell>
          <cell r="K6807" t="str">
            <v>Domizlaff,Vanessa Swantje</v>
          </cell>
          <cell r="N6807">
            <v>3</v>
          </cell>
          <cell r="O6807">
            <v>2.7029999999999998</v>
          </cell>
        </row>
        <row r="6808">
          <cell r="E6808" t="str">
            <v>GER</v>
          </cell>
          <cell r="F6808" t="str">
            <v xml:space="preserve">GER-G </v>
          </cell>
          <cell r="G6808">
            <v>100</v>
          </cell>
          <cell r="H6808" t="str">
            <v>GER-G 100</v>
          </cell>
          <cell r="K6808" t="str">
            <v>Ewing,JohnPaul</v>
          </cell>
          <cell r="N6808">
            <v>2.573</v>
          </cell>
          <cell r="O6808">
            <v>2.879</v>
          </cell>
        </row>
        <row r="6809">
          <cell r="E6809" t="str">
            <v>GER</v>
          </cell>
          <cell r="F6809" t="str">
            <v xml:space="preserve">GER-G </v>
          </cell>
          <cell r="G6809">
            <v>100</v>
          </cell>
          <cell r="H6809" t="str">
            <v>GER-G 100</v>
          </cell>
          <cell r="K6809" t="str">
            <v>Ewing,JohnPaul</v>
          </cell>
          <cell r="N6809">
            <v>2.7</v>
          </cell>
          <cell r="O6809">
            <v>2.8479999999999999</v>
          </cell>
        </row>
        <row r="6810">
          <cell r="E6810" t="str">
            <v>GER</v>
          </cell>
          <cell r="F6810" t="str">
            <v xml:space="preserve">GER-G </v>
          </cell>
          <cell r="G6810">
            <v>100</v>
          </cell>
          <cell r="H6810" t="str">
            <v>GER-G 100</v>
          </cell>
          <cell r="K6810" t="str">
            <v>Krueger,Franziska</v>
          </cell>
          <cell r="N6810">
            <v>3.0139999999999998</v>
          </cell>
          <cell r="O6810">
            <v>2.871</v>
          </cell>
        </row>
        <row r="6811">
          <cell r="E6811" t="str">
            <v>GER</v>
          </cell>
          <cell r="F6811" t="str">
            <v xml:space="preserve">GER-G </v>
          </cell>
          <cell r="G6811">
            <v>100</v>
          </cell>
          <cell r="H6811" t="str">
            <v>GER-G 100</v>
          </cell>
          <cell r="K6811" t="str">
            <v>Krueger,Franziska</v>
          </cell>
          <cell r="N6811">
            <v>2.6890000000000001</v>
          </cell>
          <cell r="O6811">
            <v>2.4239999999999999</v>
          </cell>
        </row>
        <row r="6812">
          <cell r="E6812" t="str">
            <v>GER</v>
          </cell>
          <cell r="F6812" t="str">
            <v xml:space="preserve">GER-G </v>
          </cell>
          <cell r="G6812">
            <v>100</v>
          </cell>
          <cell r="H6812" t="str">
            <v>GER-G 100</v>
          </cell>
          <cell r="K6812" t="str">
            <v>Lukic,Anita</v>
          </cell>
          <cell r="N6812">
            <v>2.95</v>
          </cell>
          <cell r="O6812">
            <v>2.915</v>
          </cell>
        </row>
        <row r="6813">
          <cell r="E6813" t="str">
            <v>GER</v>
          </cell>
          <cell r="F6813" t="str">
            <v xml:space="preserve">GER-G </v>
          </cell>
          <cell r="G6813">
            <v>100</v>
          </cell>
          <cell r="H6813" t="str">
            <v>GER-G 100</v>
          </cell>
          <cell r="K6813" t="str">
            <v>Sorensen,Lane Allen</v>
          </cell>
          <cell r="N6813">
            <v>2.819</v>
          </cell>
          <cell r="O6813">
            <v>2.746</v>
          </cell>
        </row>
        <row r="6814">
          <cell r="E6814" t="str">
            <v>GER</v>
          </cell>
          <cell r="F6814" t="str">
            <v xml:space="preserve">GER-G </v>
          </cell>
          <cell r="G6814">
            <v>100</v>
          </cell>
          <cell r="H6814" t="str">
            <v>GER-G 100</v>
          </cell>
          <cell r="K6814" t="str">
            <v>Sorensen,Lane Allen</v>
          </cell>
          <cell r="N6814">
            <v>2.9849999999999999</v>
          </cell>
          <cell r="O6814">
            <v>3.08</v>
          </cell>
        </row>
        <row r="6815">
          <cell r="E6815" t="str">
            <v>GER</v>
          </cell>
          <cell r="F6815" t="str">
            <v xml:space="preserve">GER-G </v>
          </cell>
          <cell r="G6815">
            <v>105</v>
          </cell>
          <cell r="H6815" t="str">
            <v>GER-G 105</v>
          </cell>
          <cell r="K6815" t="str">
            <v>Sorensen,Lane Allen</v>
          </cell>
          <cell r="N6815">
            <v>3.3759999999999999</v>
          </cell>
          <cell r="O6815">
            <v>3.6520000000000001</v>
          </cell>
        </row>
        <row r="6816">
          <cell r="E6816" t="str">
            <v>GER</v>
          </cell>
          <cell r="F6816" t="str">
            <v xml:space="preserve">GER-G </v>
          </cell>
          <cell r="G6816">
            <v>150</v>
          </cell>
          <cell r="H6816" t="str">
            <v>GER-G 150</v>
          </cell>
          <cell r="K6816" t="str">
            <v>Entzi,Kasina Kristann</v>
          </cell>
          <cell r="N6816">
            <v>3.1419999999999999</v>
          </cell>
          <cell r="O6816">
            <v>3.0920000000000001</v>
          </cell>
        </row>
        <row r="6817">
          <cell r="E6817" t="str">
            <v>GER</v>
          </cell>
          <cell r="F6817" t="str">
            <v xml:space="preserve">GER-G </v>
          </cell>
          <cell r="G6817">
            <v>150</v>
          </cell>
          <cell r="H6817" t="str">
            <v>GER-G 150</v>
          </cell>
          <cell r="K6817" t="str">
            <v>Grant,Colin James</v>
          </cell>
          <cell r="N6817">
            <v>3.2559999999999998</v>
          </cell>
          <cell r="O6817">
            <v>3.246</v>
          </cell>
        </row>
        <row r="6818">
          <cell r="E6818" t="str">
            <v>GER</v>
          </cell>
          <cell r="F6818" t="str">
            <v xml:space="preserve">GER-G </v>
          </cell>
          <cell r="G6818">
            <v>150</v>
          </cell>
          <cell r="H6818" t="str">
            <v>GER-G 150</v>
          </cell>
          <cell r="K6818" t="str">
            <v>Grant,Colin James</v>
          </cell>
          <cell r="N6818">
            <v>2.4350000000000001</v>
          </cell>
          <cell r="O6818">
            <v>3.0649999999999999</v>
          </cell>
        </row>
        <row r="6819">
          <cell r="E6819" t="str">
            <v>GER</v>
          </cell>
          <cell r="F6819" t="str">
            <v xml:space="preserve">GER-G </v>
          </cell>
          <cell r="G6819">
            <v>150</v>
          </cell>
          <cell r="H6819" t="str">
            <v>GER-G 150</v>
          </cell>
          <cell r="K6819" t="str">
            <v>Hamilton,Andrew Bailey</v>
          </cell>
          <cell r="N6819">
            <v>2.9390000000000001</v>
          </cell>
          <cell r="O6819">
            <v>3.0720000000000001</v>
          </cell>
        </row>
        <row r="6820">
          <cell r="E6820" t="str">
            <v>GER</v>
          </cell>
          <cell r="F6820" t="str">
            <v xml:space="preserve">GER-G </v>
          </cell>
          <cell r="G6820">
            <v>150</v>
          </cell>
          <cell r="H6820" t="str">
            <v>GER-G 150</v>
          </cell>
          <cell r="K6820" t="str">
            <v>Hamilton,Andrew Bailey</v>
          </cell>
          <cell r="N6820">
            <v>1.91</v>
          </cell>
          <cell r="O6820">
            <v>2.254</v>
          </cell>
        </row>
        <row r="6821">
          <cell r="E6821" t="str">
            <v>GER</v>
          </cell>
          <cell r="F6821" t="str">
            <v xml:space="preserve">GER-G </v>
          </cell>
          <cell r="G6821">
            <v>150</v>
          </cell>
          <cell r="H6821" t="str">
            <v>GER-G 150</v>
          </cell>
          <cell r="K6821" t="str">
            <v>Seitz,Kevin Douglas</v>
          </cell>
          <cell r="N6821">
            <v>3.0310000000000001</v>
          </cell>
          <cell r="O6821">
            <v>2.9980000000000002</v>
          </cell>
        </row>
        <row r="6822">
          <cell r="E6822" t="str">
            <v>GER</v>
          </cell>
          <cell r="F6822" t="str">
            <v xml:space="preserve">GER-G </v>
          </cell>
          <cell r="G6822">
            <v>150</v>
          </cell>
          <cell r="H6822" t="str">
            <v>GER-G 150</v>
          </cell>
          <cell r="K6822" t="str">
            <v>Seitz,Kevin Douglas</v>
          </cell>
          <cell r="N6822">
            <v>3.1560000000000001</v>
          </cell>
          <cell r="O6822">
            <v>3.4369999999999998</v>
          </cell>
        </row>
        <row r="6823">
          <cell r="E6823" t="str">
            <v>GER</v>
          </cell>
          <cell r="F6823" t="str">
            <v xml:space="preserve">GER-G </v>
          </cell>
          <cell r="G6823">
            <v>150</v>
          </cell>
          <cell r="H6823" t="str">
            <v>GER-G 150</v>
          </cell>
          <cell r="K6823" t="str">
            <v>Stiegler,Anna-Rebekka Susanne</v>
          </cell>
          <cell r="N6823">
            <v>2.3889999999999998</v>
          </cell>
          <cell r="O6823">
            <v>2.621</v>
          </cell>
        </row>
        <row r="6824">
          <cell r="E6824" t="str">
            <v>GER</v>
          </cell>
          <cell r="F6824" t="str">
            <v xml:space="preserve">GER-G </v>
          </cell>
          <cell r="G6824">
            <v>150</v>
          </cell>
          <cell r="H6824" t="str">
            <v>GER-G 150</v>
          </cell>
          <cell r="K6824" t="str">
            <v>Stiegler,Anna-Rebekka Susanne</v>
          </cell>
          <cell r="N6824">
            <v>2.9</v>
          </cell>
          <cell r="O6824">
            <v>3.0369999999999999</v>
          </cell>
        </row>
        <row r="6825">
          <cell r="E6825" t="str">
            <v>GER</v>
          </cell>
          <cell r="F6825" t="str">
            <v xml:space="preserve">GER-G </v>
          </cell>
          <cell r="G6825">
            <v>150</v>
          </cell>
          <cell r="H6825" t="str">
            <v>GER-G 150</v>
          </cell>
          <cell r="K6825" t="str">
            <v>Ucar,Nurettin</v>
          </cell>
          <cell r="N6825">
            <v>1.95</v>
          </cell>
          <cell r="O6825">
            <v>2.3239999999999998</v>
          </cell>
        </row>
        <row r="6826">
          <cell r="E6826" t="str">
            <v>GER</v>
          </cell>
          <cell r="F6826" t="str">
            <v xml:space="preserve">GER-G </v>
          </cell>
          <cell r="G6826">
            <v>150</v>
          </cell>
          <cell r="H6826" t="str">
            <v>GER-G 150</v>
          </cell>
          <cell r="K6826" t="str">
            <v>Ucar,Nurettin</v>
          </cell>
          <cell r="N6826">
            <v>2.8410000000000002</v>
          </cell>
          <cell r="O6826">
            <v>3.1560000000000001</v>
          </cell>
        </row>
        <row r="6827">
          <cell r="E6827" t="str">
            <v>GER</v>
          </cell>
          <cell r="F6827" t="str">
            <v xml:space="preserve">GER-G </v>
          </cell>
          <cell r="G6827">
            <v>150</v>
          </cell>
          <cell r="H6827" t="str">
            <v>GER-G 150</v>
          </cell>
          <cell r="K6827" t="str">
            <v>Ucar,Nurettin</v>
          </cell>
          <cell r="N6827">
            <v>2.5249999999999999</v>
          </cell>
          <cell r="O6827">
            <v>3.1629999999999998</v>
          </cell>
        </row>
        <row r="6828">
          <cell r="E6828" t="str">
            <v>GER</v>
          </cell>
          <cell r="F6828" t="str">
            <v xml:space="preserve">GER-G </v>
          </cell>
          <cell r="G6828">
            <v>150</v>
          </cell>
          <cell r="H6828" t="str">
            <v>GER-G 150</v>
          </cell>
          <cell r="K6828" t="str">
            <v>Weber,Silja Verona</v>
          </cell>
          <cell r="N6828">
            <v>1.7829999999999999</v>
          </cell>
          <cell r="O6828">
            <v>2.379</v>
          </cell>
        </row>
        <row r="6829">
          <cell r="E6829" t="str">
            <v>GER</v>
          </cell>
          <cell r="F6829" t="str">
            <v xml:space="preserve">GER-G </v>
          </cell>
          <cell r="G6829">
            <v>200</v>
          </cell>
          <cell r="H6829" t="str">
            <v>GER-G 200</v>
          </cell>
          <cell r="K6829" t="str">
            <v>Bryant,Michael Charles</v>
          </cell>
          <cell r="N6829">
            <v>2.9129999999999998</v>
          </cell>
          <cell r="O6829">
            <v>3.1789999999999998</v>
          </cell>
        </row>
        <row r="6830">
          <cell r="E6830" t="str">
            <v>GER</v>
          </cell>
          <cell r="F6830" t="str">
            <v xml:space="preserve">GER-G </v>
          </cell>
          <cell r="G6830">
            <v>200</v>
          </cell>
          <cell r="H6830" t="str">
            <v>GER-G 200</v>
          </cell>
          <cell r="K6830" t="str">
            <v>Domizlaff,Vanessa Swantje</v>
          </cell>
          <cell r="N6830">
            <v>3.0649999999999999</v>
          </cell>
          <cell r="O6830">
            <v>3.1059999999999999</v>
          </cell>
        </row>
        <row r="6831">
          <cell r="E6831" t="str">
            <v>GER</v>
          </cell>
          <cell r="F6831" t="str">
            <v xml:space="preserve">GER-G </v>
          </cell>
          <cell r="G6831">
            <v>200</v>
          </cell>
          <cell r="H6831" t="str">
            <v>GER-G 200</v>
          </cell>
          <cell r="K6831" t="str">
            <v>Meyertholen,Andrea Noel</v>
          </cell>
          <cell r="N6831">
            <v>3.0649999999999999</v>
          </cell>
          <cell r="O6831">
            <v>3.173</v>
          </cell>
        </row>
        <row r="6832">
          <cell r="E6832" t="str">
            <v>GER</v>
          </cell>
          <cell r="F6832" t="str">
            <v xml:space="preserve">GER-G </v>
          </cell>
          <cell r="G6832">
            <v>200</v>
          </cell>
          <cell r="H6832" t="str">
            <v>GER-G 200</v>
          </cell>
          <cell r="K6832" t="str">
            <v>Meyertholen,Andrea Noel</v>
          </cell>
          <cell r="N6832">
            <v>2.895</v>
          </cell>
          <cell r="O6832">
            <v>2.9359999999999999</v>
          </cell>
        </row>
        <row r="6833">
          <cell r="E6833" t="str">
            <v>GER</v>
          </cell>
          <cell r="F6833" t="str">
            <v xml:space="preserve">GER-G </v>
          </cell>
          <cell r="G6833">
            <v>200</v>
          </cell>
          <cell r="H6833" t="str">
            <v>GER-G 200</v>
          </cell>
          <cell r="K6833" t="str">
            <v>Schlaefer,Friederike</v>
          </cell>
          <cell r="N6833">
            <v>2.645</v>
          </cell>
          <cell r="O6833">
            <v>3.0129999999999999</v>
          </cell>
        </row>
        <row r="6834">
          <cell r="E6834" t="str">
            <v>GER</v>
          </cell>
          <cell r="F6834" t="str">
            <v xml:space="preserve">GER-G </v>
          </cell>
          <cell r="G6834">
            <v>200</v>
          </cell>
          <cell r="H6834" t="str">
            <v>GER-G 200</v>
          </cell>
          <cell r="K6834" t="str">
            <v>Scott,John Hamilton Gordon</v>
          </cell>
          <cell r="N6834">
            <v>2.6829999999999998</v>
          </cell>
          <cell r="O6834">
            <v>3.01</v>
          </cell>
        </row>
        <row r="6835">
          <cell r="E6835" t="str">
            <v>GER</v>
          </cell>
          <cell r="F6835" t="str">
            <v xml:space="preserve">GER-G </v>
          </cell>
          <cell r="G6835">
            <v>200</v>
          </cell>
          <cell r="H6835" t="str">
            <v>GER-G 200</v>
          </cell>
          <cell r="K6835" t="str">
            <v>Scott,John Hamilton Gordon</v>
          </cell>
          <cell r="N6835">
            <v>2.92</v>
          </cell>
          <cell r="O6835">
            <v>2.9929999999999999</v>
          </cell>
        </row>
        <row r="6836">
          <cell r="E6836" t="str">
            <v>GER</v>
          </cell>
          <cell r="F6836" t="str">
            <v xml:space="preserve">GER-G </v>
          </cell>
          <cell r="G6836">
            <v>200</v>
          </cell>
          <cell r="H6836" t="str">
            <v>GER-G 200</v>
          </cell>
          <cell r="K6836" t="str">
            <v>Scott,John Hamilton Gordon</v>
          </cell>
          <cell r="N6836">
            <v>2.4380000000000002</v>
          </cell>
          <cell r="O6836">
            <v>2.915</v>
          </cell>
        </row>
        <row r="6837">
          <cell r="E6837" t="str">
            <v>GER</v>
          </cell>
          <cell r="F6837" t="str">
            <v xml:space="preserve">GER-G </v>
          </cell>
          <cell r="G6837">
            <v>200</v>
          </cell>
          <cell r="H6837" t="str">
            <v>GER-G 200</v>
          </cell>
          <cell r="K6837" t="str">
            <v>Scott,John Hamilton Gordon</v>
          </cell>
          <cell r="N6837">
            <v>2.367</v>
          </cell>
          <cell r="O6837">
            <v>3.0640000000000001</v>
          </cell>
        </row>
        <row r="6838">
          <cell r="E6838" t="str">
            <v>GER</v>
          </cell>
          <cell r="F6838" t="str">
            <v xml:space="preserve">GER-G </v>
          </cell>
          <cell r="G6838">
            <v>250</v>
          </cell>
          <cell r="H6838" t="str">
            <v>GER-G 250</v>
          </cell>
          <cell r="K6838" t="str">
            <v>Byler,Troy Patrick</v>
          </cell>
          <cell r="N6838">
            <v>2.577</v>
          </cell>
          <cell r="O6838">
            <v>2.85</v>
          </cell>
        </row>
        <row r="6839">
          <cell r="E6839" t="str">
            <v>GER</v>
          </cell>
          <cell r="F6839" t="str">
            <v xml:space="preserve">GER-G </v>
          </cell>
          <cell r="G6839">
            <v>250</v>
          </cell>
          <cell r="H6839" t="str">
            <v>GER-G 250</v>
          </cell>
          <cell r="K6839" t="str">
            <v>Cesaratto,Roswitha</v>
          </cell>
          <cell r="N6839">
            <v>2.97</v>
          </cell>
          <cell r="O6839">
            <v>3.2629999999999999</v>
          </cell>
        </row>
        <row r="6840">
          <cell r="E6840" t="str">
            <v>GER</v>
          </cell>
          <cell r="F6840" t="str">
            <v xml:space="preserve">GER-G </v>
          </cell>
          <cell r="G6840">
            <v>250</v>
          </cell>
          <cell r="H6840" t="str">
            <v>GER-G 250</v>
          </cell>
          <cell r="K6840" t="str">
            <v>Kostakis,Andrew E</v>
          </cell>
          <cell r="N6840">
            <v>2.214</v>
          </cell>
          <cell r="O6840">
            <v>2.859</v>
          </cell>
        </row>
        <row r="6841">
          <cell r="E6841" t="str">
            <v>GER</v>
          </cell>
          <cell r="F6841" t="str">
            <v xml:space="preserve">GER-G </v>
          </cell>
          <cell r="G6841">
            <v>250</v>
          </cell>
          <cell r="H6841" t="str">
            <v>GER-G 250</v>
          </cell>
          <cell r="K6841" t="str">
            <v>Rucker,Lindsey Marie</v>
          </cell>
          <cell r="N6841">
            <v>2.5950000000000002</v>
          </cell>
          <cell r="O6841">
            <v>3.1619999999999999</v>
          </cell>
        </row>
        <row r="6842">
          <cell r="E6842" t="str">
            <v>GER</v>
          </cell>
          <cell r="F6842" t="str">
            <v xml:space="preserve">GER-G </v>
          </cell>
          <cell r="G6842">
            <v>250</v>
          </cell>
          <cell r="H6842" t="str">
            <v>GER-G 250</v>
          </cell>
          <cell r="K6842" t="str">
            <v>Rucker,Lindsey Marie</v>
          </cell>
          <cell r="N6842">
            <v>2.7360000000000002</v>
          </cell>
          <cell r="O6842">
            <v>3.05</v>
          </cell>
        </row>
        <row r="6843">
          <cell r="E6843" t="str">
            <v>GER</v>
          </cell>
          <cell r="F6843" t="str">
            <v xml:space="preserve">GER-G </v>
          </cell>
          <cell r="G6843">
            <v>250</v>
          </cell>
          <cell r="H6843" t="str">
            <v>GER-G 250</v>
          </cell>
          <cell r="K6843" t="str">
            <v>Rucker,Lindsey Marie</v>
          </cell>
          <cell r="N6843">
            <v>3.177</v>
          </cell>
          <cell r="O6843">
            <v>3.056</v>
          </cell>
        </row>
        <row r="6844">
          <cell r="E6844" t="str">
            <v>GER</v>
          </cell>
          <cell r="F6844" t="str">
            <v xml:space="preserve">GER-G </v>
          </cell>
          <cell r="G6844">
            <v>250</v>
          </cell>
          <cell r="H6844" t="str">
            <v>GER-G 250</v>
          </cell>
          <cell r="K6844" t="str">
            <v>Weber,Silja Verona</v>
          </cell>
          <cell r="N6844">
            <v>2.931</v>
          </cell>
          <cell r="O6844">
            <v>3.2519999999999998</v>
          </cell>
        </row>
        <row r="6845">
          <cell r="E6845" t="str">
            <v>GER</v>
          </cell>
          <cell r="F6845" t="str">
            <v xml:space="preserve">GER-G </v>
          </cell>
          <cell r="G6845">
            <v>300</v>
          </cell>
          <cell r="H6845" t="str">
            <v>GER-G 300</v>
          </cell>
          <cell r="K6845" t="str">
            <v>Byler,Troy Patrick</v>
          </cell>
          <cell r="N6845">
            <v>3.47</v>
          </cell>
          <cell r="O6845">
            <v>3.3759999999999999</v>
          </cell>
        </row>
        <row r="6846">
          <cell r="E6846" t="str">
            <v>GER</v>
          </cell>
          <cell r="F6846" t="str">
            <v xml:space="preserve">GER-G </v>
          </cell>
          <cell r="G6846">
            <v>300</v>
          </cell>
          <cell r="H6846" t="str">
            <v>GER-G 300</v>
          </cell>
          <cell r="K6846" t="str">
            <v>Byler,Troy Patrick</v>
          </cell>
          <cell r="N6846">
            <v>3.0430000000000001</v>
          </cell>
          <cell r="O6846">
            <v>3.2290000000000001</v>
          </cell>
        </row>
        <row r="6847">
          <cell r="E6847" t="str">
            <v>GER</v>
          </cell>
          <cell r="F6847" t="str">
            <v xml:space="preserve">GER-G </v>
          </cell>
          <cell r="G6847">
            <v>300</v>
          </cell>
          <cell r="H6847" t="str">
            <v>GER-G 300</v>
          </cell>
          <cell r="K6847" t="str">
            <v>Byler,Troy Patrick</v>
          </cell>
          <cell r="N6847">
            <v>3.2879999999999998</v>
          </cell>
          <cell r="O6847">
            <v>3.0649999999999999</v>
          </cell>
        </row>
        <row r="6848">
          <cell r="E6848" t="str">
            <v>GER</v>
          </cell>
          <cell r="F6848" t="str">
            <v xml:space="preserve">GER-G </v>
          </cell>
          <cell r="G6848">
            <v>300</v>
          </cell>
          <cell r="H6848" t="str">
            <v>GER-G 300</v>
          </cell>
          <cell r="K6848" t="str">
            <v>Langjahr,Nikole</v>
          </cell>
          <cell r="N6848">
            <v>3.3</v>
          </cell>
          <cell r="O6848">
            <v>3.1930000000000001</v>
          </cell>
        </row>
        <row r="6849">
          <cell r="E6849" t="str">
            <v>GER</v>
          </cell>
          <cell r="F6849" t="str">
            <v xml:space="preserve">GER-G </v>
          </cell>
          <cell r="G6849">
            <v>300</v>
          </cell>
          <cell r="H6849" t="str">
            <v>GER-G 300</v>
          </cell>
          <cell r="K6849" t="str">
            <v>Noelliste,Erin Marie</v>
          </cell>
          <cell r="N6849">
            <v>3.58</v>
          </cell>
          <cell r="O6849">
            <v>3.403</v>
          </cell>
        </row>
        <row r="6850">
          <cell r="E6850" t="str">
            <v>GER</v>
          </cell>
          <cell r="F6850" t="str">
            <v xml:space="preserve">GER-G </v>
          </cell>
          <cell r="G6850">
            <v>305</v>
          </cell>
          <cell r="H6850" t="str">
            <v>GER-G 305</v>
          </cell>
          <cell r="K6850" t="str">
            <v>Lawson,Julia Karin</v>
          </cell>
          <cell r="N6850">
            <v>3.37</v>
          </cell>
          <cell r="O6850">
            <v>3.2629999999999999</v>
          </cell>
        </row>
        <row r="6851">
          <cell r="E6851" t="str">
            <v>GER</v>
          </cell>
          <cell r="F6851" t="str">
            <v xml:space="preserve">GER-G </v>
          </cell>
          <cell r="G6851">
            <v>306</v>
          </cell>
          <cell r="H6851" t="str">
            <v>GER-G 306</v>
          </cell>
          <cell r="K6851" t="str">
            <v>Robinson,Benjamin Butt</v>
          </cell>
          <cell r="N6851">
            <v>3.9140000000000001</v>
          </cell>
          <cell r="O6851">
            <v>3.3969999999999998</v>
          </cell>
        </row>
        <row r="6852">
          <cell r="E6852" t="str">
            <v>GER</v>
          </cell>
          <cell r="F6852" t="str">
            <v xml:space="preserve">GER-G </v>
          </cell>
          <cell r="G6852">
            <v>330</v>
          </cell>
          <cell r="H6852" t="str">
            <v>GER-G 330</v>
          </cell>
          <cell r="K6852" t="str">
            <v>Byler,Troy Patrick</v>
          </cell>
          <cell r="N6852">
            <v>3.6640000000000001</v>
          </cell>
          <cell r="O6852">
            <v>3.3109999999999999</v>
          </cell>
        </row>
        <row r="6853">
          <cell r="E6853" t="str">
            <v>GER</v>
          </cell>
          <cell r="F6853" t="str">
            <v xml:space="preserve">GER-G </v>
          </cell>
          <cell r="G6853">
            <v>330</v>
          </cell>
          <cell r="H6853" t="str">
            <v>GER-G 330</v>
          </cell>
          <cell r="K6853" t="str">
            <v>Karyekar,Madhuvanti Chintamani</v>
          </cell>
          <cell r="N6853">
            <v>3.3359999999999999</v>
          </cell>
          <cell r="O6853">
            <v>3.4790000000000001</v>
          </cell>
        </row>
        <row r="6854">
          <cell r="E6854" t="str">
            <v>GER</v>
          </cell>
          <cell r="F6854" t="str">
            <v xml:space="preserve">GER-G </v>
          </cell>
          <cell r="G6854">
            <v>330</v>
          </cell>
          <cell r="H6854" t="str">
            <v>GER-G 330</v>
          </cell>
          <cell r="K6854" t="str">
            <v>Langjahr,Nikole</v>
          </cell>
          <cell r="N6854">
            <v>3.3690000000000002</v>
          </cell>
          <cell r="O6854">
            <v>3.2330000000000001</v>
          </cell>
        </row>
        <row r="6855">
          <cell r="E6855" t="str">
            <v>GER</v>
          </cell>
          <cell r="F6855" t="str">
            <v xml:space="preserve">GER-G </v>
          </cell>
          <cell r="G6855">
            <v>330</v>
          </cell>
          <cell r="H6855" t="str">
            <v>GER-G 330</v>
          </cell>
          <cell r="K6855" t="str">
            <v>Langjahr,Nikole</v>
          </cell>
          <cell r="N6855">
            <v>2.5569999999999999</v>
          </cell>
          <cell r="O6855">
            <v>2.36</v>
          </cell>
        </row>
        <row r="6856">
          <cell r="E6856" t="str">
            <v>GER</v>
          </cell>
          <cell r="F6856" t="str">
            <v xml:space="preserve">GER-G </v>
          </cell>
          <cell r="G6856">
            <v>362</v>
          </cell>
          <cell r="H6856" t="str">
            <v>GER-G 362</v>
          </cell>
          <cell r="K6856" t="str">
            <v>Robinson,Benjamin Butt</v>
          </cell>
          <cell r="N6856">
            <v>3.3420000000000001</v>
          </cell>
          <cell r="O6856">
            <v>3.4129999999999998</v>
          </cell>
        </row>
        <row r="6857">
          <cell r="E6857" t="str">
            <v>GER</v>
          </cell>
          <cell r="F6857" t="str">
            <v xml:space="preserve">GER-G </v>
          </cell>
          <cell r="G6857">
            <v>363</v>
          </cell>
          <cell r="H6857" t="str">
            <v>GER-G 363</v>
          </cell>
          <cell r="K6857" t="str">
            <v>Turk,Johannes</v>
          </cell>
          <cell r="N6857">
            <v>3.53</v>
          </cell>
          <cell r="O6857">
            <v>3.5779999999999998</v>
          </cell>
        </row>
        <row r="6858">
          <cell r="E6858" t="str">
            <v>GER</v>
          </cell>
          <cell r="F6858" t="str">
            <v xml:space="preserve">GER-G </v>
          </cell>
          <cell r="G6858">
            <v>375</v>
          </cell>
          <cell r="H6858" t="str">
            <v>GER-G 375</v>
          </cell>
          <cell r="K6858" t="str">
            <v>Langjahr,Nikole</v>
          </cell>
          <cell r="N6858">
            <v>3.8</v>
          </cell>
          <cell r="O6858">
            <v>3.4870000000000001</v>
          </cell>
        </row>
        <row r="6859">
          <cell r="E6859" t="str">
            <v>GER</v>
          </cell>
          <cell r="F6859" t="str">
            <v xml:space="preserve">GER-G </v>
          </cell>
          <cell r="G6859">
            <v>399</v>
          </cell>
          <cell r="H6859" t="str">
            <v>GER-G 399</v>
          </cell>
          <cell r="K6859" t="str">
            <v>Robinson,Benjamin Butt</v>
          </cell>
          <cell r="N6859" t="str">
            <v>NR</v>
          </cell>
          <cell r="O6859" t="str">
            <v>NR</v>
          </cell>
        </row>
        <row r="6860">
          <cell r="E6860" t="str">
            <v>GER</v>
          </cell>
          <cell r="F6860" t="str">
            <v xml:space="preserve">GER-G </v>
          </cell>
          <cell r="G6860">
            <v>399</v>
          </cell>
          <cell r="H6860" t="str">
            <v>GER-G 399</v>
          </cell>
          <cell r="K6860" t="str">
            <v>Sprouse,Rex A.</v>
          </cell>
          <cell r="N6860" t="str">
            <v>NR</v>
          </cell>
          <cell r="O6860" t="str">
            <v>NR</v>
          </cell>
        </row>
        <row r="6861">
          <cell r="E6861" t="str">
            <v>GER</v>
          </cell>
          <cell r="F6861" t="str">
            <v xml:space="preserve">GER-G </v>
          </cell>
          <cell r="G6861">
            <v>400</v>
          </cell>
          <cell r="H6861" t="str">
            <v>GER-G 400</v>
          </cell>
          <cell r="K6861" t="str">
            <v>Kaden,Christiane</v>
          </cell>
          <cell r="N6861">
            <v>3.2650000000000001</v>
          </cell>
          <cell r="O6861">
            <v>3.4009999999999998</v>
          </cell>
        </row>
        <row r="6862">
          <cell r="E6862" t="str">
            <v>GER</v>
          </cell>
          <cell r="F6862" t="str">
            <v xml:space="preserve">GER-G </v>
          </cell>
          <cell r="G6862">
            <v>400</v>
          </cell>
          <cell r="H6862" t="str">
            <v>GER-G 400</v>
          </cell>
          <cell r="K6862" t="str">
            <v>Kaden,Christiane</v>
          </cell>
          <cell r="N6862">
            <v>3.68</v>
          </cell>
          <cell r="O6862">
            <v>3.5539999999999998</v>
          </cell>
        </row>
        <row r="6863">
          <cell r="E6863" t="str">
            <v>GER</v>
          </cell>
          <cell r="F6863" t="str">
            <v xml:space="preserve">GER-G </v>
          </cell>
          <cell r="G6863">
            <v>400</v>
          </cell>
          <cell r="H6863" t="str">
            <v>GER-G 400</v>
          </cell>
          <cell r="K6863" t="str">
            <v>Langjahr,Nikole</v>
          </cell>
          <cell r="N6863">
            <v>3.7</v>
          </cell>
          <cell r="O6863">
            <v>3.613</v>
          </cell>
        </row>
        <row r="6864">
          <cell r="E6864" t="str">
            <v>GER</v>
          </cell>
          <cell r="F6864" t="str">
            <v xml:space="preserve">GER-G </v>
          </cell>
          <cell r="G6864">
            <v>415</v>
          </cell>
          <cell r="H6864" t="str">
            <v>GER-G 415</v>
          </cell>
          <cell r="K6864" t="str">
            <v>Turk,Johannes</v>
          </cell>
          <cell r="N6864">
            <v>3.653</v>
          </cell>
          <cell r="O6864">
            <v>3.3780000000000001</v>
          </cell>
        </row>
        <row r="6865">
          <cell r="E6865" t="str">
            <v>GER</v>
          </cell>
          <cell r="F6865" t="str">
            <v xml:space="preserve">GER-G </v>
          </cell>
          <cell r="G6865">
            <v>416</v>
          </cell>
          <cell r="H6865" t="str">
            <v>GER-G 416</v>
          </cell>
          <cell r="K6865" t="str">
            <v>Weiner,Marc A.</v>
          </cell>
          <cell r="N6865" t="str">
            <v>NR</v>
          </cell>
          <cell r="O6865" t="str">
            <v>NR</v>
          </cell>
        </row>
        <row r="6866">
          <cell r="E6866" t="str">
            <v>GER</v>
          </cell>
          <cell r="F6866" t="str">
            <v xml:space="preserve">GER-G </v>
          </cell>
          <cell r="G6866">
            <v>418</v>
          </cell>
          <cell r="H6866" t="str">
            <v>GER-G 418</v>
          </cell>
          <cell r="K6866" t="str">
            <v>Even,Susanne</v>
          </cell>
          <cell r="N6866">
            <v>3.823</v>
          </cell>
          <cell r="O6866">
            <v>3.3809999999999998</v>
          </cell>
        </row>
        <row r="6867">
          <cell r="E6867" t="str">
            <v>GER</v>
          </cell>
          <cell r="F6867" t="str">
            <v xml:space="preserve">GER-G </v>
          </cell>
          <cell r="G6867">
            <v>424</v>
          </cell>
          <cell r="H6867" t="str">
            <v>GER-G 424</v>
          </cell>
          <cell r="K6867" t="str">
            <v>Breger,Claudia</v>
          </cell>
          <cell r="N6867">
            <v>3.476</v>
          </cell>
          <cell r="O6867">
            <v>3.444</v>
          </cell>
        </row>
        <row r="6868">
          <cell r="E6868" t="str">
            <v>GER</v>
          </cell>
          <cell r="F6868" t="str">
            <v xml:space="preserve">GER-G </v>
          </cell>
          <cell r="G6868">
            <v>448</v>
          </cell>
          <cell r="H6868" t="str">
            <v>GER-G 448</v>
          </cell>
          <cell r="K6868" t="str">
            <v>Hall,Tracy Alan</v>
          </cell>
          <cell r="N6868">
            <v>3.1890000000000001</v>
          </cell>
          <cell r="O6868">
            <v>3.4649999999999999</v>
          </cell>
        </row>
        <row r="6869">
          <cell r="E6869" t="str">
            <v>GER</v>
          </cell>
          <cell r="F6869" t="str">
            <v xml:space="preserve">GER-G </v>
          </cell>
          <cell r="G6869">
            <v>458</v>
          </cell>
          <cell r="H6869" t="str">
            <v>GER-G 458</v>
          </cell>
          <cell r="K6869" t="str">
            <v>Hall,Tracy Alan</v>
          </cell>
          <cell r="N6869">
            <v>2.9940000000000002</v>
          </cell>
          <cell r="O6869">
            <v>3.28</v>
          </cell>
        </row>
        <row r="6870">
          <cell r="E6870" t="str">
            <v>GER</v>
          </cell>
          <cell r="F6870" t="str">
            <v xml:space="preserve">GER-G </v>
          </cell>
          <cell r="G6870">
            <v>459</v>
          </cell>
          <cell r="H6870" t="str">
            <v>GER-G 459</v>
          </cell>
          <cell r="K6870" t="str">
            <v>Sprouse,Rex A.</v>
          </cell>
          <cell r="N6870">
            <v>3.6789999999999998</v>
          </cell>
          <cell r="O6870">
            <v>3.5059999999999998</v>
          </cell>
        </row>
        <row r="6871">
          <cell r="E6871" t="str">
            <v>GER</v>
          </cell>
          <cell r="F6871" t="str">
            <v xml:space="preserve">GER-G </v>
          </cell>
          <cell r="G6871">
            <v>491</v>
          </cell>
          <cell r="H6871" t="str">
            <v>GER-G 491</v>
          </cell>
          <cell r="K6871" t="str">
            <v>Noelliste,Erin Marie</v>
          </cell>
          <cell r="N6871" t="str">
            <v>NR</v>
          </cell>
          <cell r="O6871" t="str">
            <v>NR</v>
          </cell>
        </row>
        <row r="6872">
          <cell r="E6872" t="str">
            <v>GER</v>
          </cell>
          <cell r="F6872" t="str">
            <v xml:space="preserve">GER-G </v>
          </cell>
          <cell r="G6872">
            <v>491</v>
          </cell>
          <cell r="H6872" t="str">
            <v>GER-G 491</v>
          </cell>
          <cell r="K6872" t="str">
            <v>Noelliste,Erin Marie</v>
          </cell>
          <cell r="N6872">
            <v>3.9249999999999998</v>
          </cell>
          <cell r="O6872">
            <v>3.903</v>
          </cell>
        </row>
        <row r="6873">
          <cell r="E6873" t="str">
            <v>GER</v>
          </cell>
          <cell r="F6873" t="str">
            <v xml:space="preserve">GER-G </v>
          </cell>
          <cell r="G6873">
            <v>492</v>
          </cell>
          <cell r="H6873" t="str">
            <v>GER-G 492</v>
          </cell>
          <cell r="K6873" t="str">
            <v>Kostakis,Andrew E</v>
          </cell>
          <cell r="N6873">
            <v>3.71</v>
          </cell>
          <cell r="O6873">
            <v>3.8439999999999999</v>
          </cell>
        </row>
        <row r="6874">
          <cell r="E6874" t="str">
            <v>GER</v>
          </cell>
          <cell r="F6874" t="str">
            <v xml:space="preserve">GER-G </v>
          </cell>
          <cell r="G6874">
            <v>495</v>
          </cell>
          <cell r="H6874" t="str">
            <v>GER-G 495</v>
          </cell>
          <cell r="K6874" t="str">
            <v>Robinson,Benjamin Butt</v>
          </cell>
          <cell r="N6874" t="str">
            <v>NR</v>
          </cell>
          <cell r="O6874" t="str">
            <v>NR</v>
          </cell>
        </row>
        <row r="6875">
          <cell r="E6875" t="str">
            <v>GER</v>
          </cell>
          <cell r="F6875" t="str">
            <v xml:space="preserve">GER-G </v>
          </cell>
          <cell r="G6875">
            <v>495</v>
          </cell>
          <cell r="H6875" t="str">
            <v>GER-G 495</v>
          </cell>
          <cell r="K6875" t="str">
            <v>Sprouse,Rex A.</v>
          </cell>
          <cell r="N6875" t="str">
            <v>NR</v>
          </cell>
          <cell r="O6875" t="str">
            <v>NR</v>
          </cell>
        </row>
        <row r="6876">
          <cell r="E6876" t="str">
            <v>GER</v>
          </cell>
          <cell r="F6876" t="str">
            <v xml:space="preserve">GER-G </v>
          </cell>
          <cell r="G6876">
            <v>499</v>
          </cell>
          <cell r="H6876" t="str">
            <v>GER-G 499</v>
          </cell>
          <cell r="K6876" t="str">
            <v>Sprouse,Rex A.</v>
          </cell>
          <cell r="N6876" t="str">
            <v>NR</v>
          </cell>
          <cell r="O6876" t="str">
            <v>NR</v>
          </cell>
        </row>
        <row r="6877">
          <cell r="E6877" t="str">
            <v>GER</v>
          </cell>
          <cell r="F6877" t="str">
            <v xml:space="preserve">GER-G </v>
          </cell>
          <cell r="G6877">
            <v>500</v>
          </cell>
          <cell r="H6877" t="str">
            <v>GER-G 500</v>
          </cell>
          <cell r="K6877" t="str">
            <v>Even,Susanne</v>
          </cell>
          <cell r="N6877" t="str">
            <v>NR</v>
          </cell>
          <cell r="O6877" t="str">
            <v>NR</v>
          </cell>
        </row>
        <row r="6878">
          <cell r="E6878" t="str">
            <v>GER</v>
          </cell>
          <cell r="F6878" t="str">
            <v xml:space="preserve">GER-G </v>
          </cell>
          <cell r="G6878">
            <v>503</v>
          </cell>
          <cell r="H6878" t="str">
            <v>GER-G 503</v>
          </cell>
          <cell r="K6878" t="str">
            <v>Breger,Claudia</v>
          </cell>
          <cell r="N6878">
            <v>3.9569999999999999</v>
          </cell>
          <cell r="O6878">
            <v>3.9580000000000002</v>
          </cell>
        </row>
        <row r="6879">
          <cell r="E6879" t="str">
            <v>GER</v>
          </cell>
          <cell r="F6879" t="str">
            <v xml:space="preserve">GER-G </v>
          </cell>
          <cell r="G6879">
            <v>505</v>
          </cell>
          <cell r="H6879" t="str">
            <v>GER-G 505</v>
          </cell>
          <cell r="K6879" t="str">
            <v>Peretz,Eyal</v>
          </cell>
          <cell r="N6879" t="str">
            <v>NR</v>
          </cell>
          <cell r="O6879" t="str">
            <v>NR</v>
          </cell>
        </row>
        <row r="6880">
          <cell r="E6880" t="str">
            <v>GER</v>
          </cell>
          <cell r="F6880" t="str">
            <v xml:space="preserve">GER-G </v>
          </cell>
          <cell r="G6880">
            <v>548</v>
          </cell>
          <cell r="H6880" t="str">
            <v>GER-G 548</v>
          </cell>
          <cell r="K6880" t="str">
            <v>Hall,Tracy Alan</v>
          </cell>
          <cell r="N6880" t="str">
            <v>NR</v>
          </cell>
          <cell r="O6880" t="str">
            <v>NR</v>
          </cell>
        </row>
        <row r="6881">
          <cell r="E6881" t="str">
            <v>GER</v>
          </cell>
          <cell r="F6881" t="str">
            <v xml:space="preserve">GER-G </v>
          </cell>
          <cell r="G6881">
            <v>558</v>
          </cell>
          <cell r="H6881" t="str">
            <v>GER-G 558</v>
          </cell>
          <cell r="K6881" t="str">
            <v>Hall,Tracy Alan</v>
          </cell>
          <cell r="N6881">
            <v>3.9569999999999999</v>
          </cell>
          <cell r="O6881">
            <v>3.9569999999999999</v>
          </cell>
        </row>
        <row r="6882">
          <cell r="E6882" t="str">
            <v>GER</v>
          </cell>
          <cell r="F6882" t="str">
            <v xml:space="preserve">GER-G </v>
          </cell>
          <cell r="G6882">
            <v>571</v>
          </cell>
          <cell r="H6882" t="str">
            <v>GER-G 571</v>
          </cell>
          <cell r="K6882" t="str">
            <v>Keller,Hildegard Elisabeth</v>
          </cell>
          <cell r="N6882">
            <v>4</v>
          </cell>
          <cell r="O6882">
            <v>3.9279999999999999</v>
          </cell>
        </row>
        <row r="6883">
          <cell r="E6883" t="str">
            <v>GER</v>
          </cell>
          <cell r="F6883" t="str">
            <v xml:space="preserve">GER-G </v>
          </cell>
          <cell r="G6883">
            <v>575</v>
          </cell>
          <cell r="H6883" t="str">
            <v>GER-G 575</v>
          </cell>
          <cell r="K6883" t="str">
            <v>Chaouli,Michel</v>
          </cell>
          <cell r="N6883" t="str">
            <v>NR</v>
          </cell>
          <cell r="O6883" t="str">
            <v>NR</v>
          </cell>
        </row>
        <row r="6884">
          <cell r="E6884" t="str">
            <v>GER</v>
          </cell>
          <cell r="F6884" t="str">
            <v xml:space="preserve">GER-G </v>
          </cell>
          <cell r="G6884">
            <v>577</v>
          </cell>
          <cell r="H6884" t="str">
            <v>GER-G 577</v>
          </cell>
          <cell r="K6884" t="str">
            <v>Rasch,William W.</v>
          </cell>
          <cell r="N6884">
            <v>4</v>
          </cell>
          <cell r="O6884">
            <v>3.8980000000000001</v>
          </cell>
        </row>
        <row r="6885">
          <cell r="E6885" t="str">
            <v>GER</v>
          </cell>
          <cell r="F6885" t="str">
            <v xml:space="preserve">GER-G </v>
          </cell>
          <cell r="G6885">
            <v>625</v>
          </cell>
          <cell r="H6885" t="str">
            <v>GER-G 625</v>
          </cell>
          <cell r="K6885" t="str">
            <v>Berndt,Frauke</v>
          </cell>
          <cell r="N6885" t="str">
            <v>NR</v>
          </cell>
          <cell r="O6885" t="str">
            <v>NR</v>
          </cell>
        </row>
        <row r="6886">
          <cell r="E6886" t="str">
            <v>GER</v>
          </cell>
          <cell r="F6886" t="str">
            <v xml:space="preserve">GER-G </v>
          </cell>
          <cell r="G6886">
            <v>627</v>
          </cell>
          <cell r="H6886" t="str">
            <v>GER-G 627</v>
          </cell>
          <cell r="K6886" t="str">
            <v>Breger,Claudia</v>
          </cell>
          <cell r="N6886" t="str">
            <v>NR</v>
          </cell>
          <cell r="O6886" t="str">
            <v>NR</v>
          </cell>
        </row>
        <row r="6887">
          <cell r="E6887" t="str">
            <v>GER</v>
          </cell>
          <cell r="F6887" t="str">
            <v xml:space="preserve">GER-G </v>
          </cell>
          <cell r="G6887">
            <v>627</v>
          </cell>
          <cell r="H6887" t="str">
            <v>GER-G 627</v>
          </cell>
          <cell r="K6887" t="str">
            <v>Wagner,Brigitta Bettina</v>
          </cell>
          <cell r="N6887" t="str">
            <v>NR</v>
          </cell>
          <cell r="O6887" t="str">
            <v>NR</v>
          </cell>
        </row>
        <row r="6888">
          <cell r="E6888" t="str">
            <v>GER</v>
          </cell>
          <cell r="F6888" t="str">
            <v xml:space="preserve">GER-G </v>
          </cell>
          <cell r="G6888">
            <v>636</v>
          </cell>
          <cell r="H6888" t="str">
            <v>GER-G 636</v>
          </cell>
          <cell r="K6888" t="str">
            <v>Gade,Kari Ellen</v>
          </cell>
          <cell r="N6888" t="str">
            <v>NR</v>
          </cell>
          <cell r="O6888" t="str">
            <v>NR</v>
          </cell>
        </row>
        <row r="6889">
          <cell r="E6889" t="str">
            <v>GER</v>
          </cell>
          <cell r="F6889" t="str">
            <v xml:space="preserve">GER-G </v>
          </cell>
          <cell r="G6889">
            <v>640</v>
          </cell>
          <cell r="H6889" t="str">
            <v>GER-G 640</v>
          </cell>
          <cell r="K6889" t="str">
            <v>Keller,Hildegard Elisabeth</v>
          </cell>
          <cell r="N6889" t="str">
            <v>NR</v>
          </cell>
          <cell r="O6889" t="str">
            <v>NR</v>
          </cell>
        </row>
        <row r="6890">
          <cell r="E6890" t="str">
            <v>GER</v>
          </cell>
          <cell r="F6890" t="str">
            <v xml:space="preserve">GER-G </v>
          </cell>
          <cell r="G6890">
            <v>815</v>
          </cell>
          <cell r="H6890" t="str">
            <v>GER-G 815</v>
          </cell>
          <cell r="K6890" t="str">
            <v>Breithaupt,Fritz Alwin</v>
          </cell>
          <cell r="N6890" t="str">
            <v>NR</v>
          </cell>
          <cell r="O6890" t="str">
            <v>NR</v>
          </cell>
        </row>
        <row r="6891">
          <cell r="E6891" t="str">
            <v>GER</v>
          </cell>
          <cell r="F6891" t="str">
            <v xml:space="preserve">GER-G </v>
          </cell>
          <cell r="G6891">
            <v>815</v>
          </cell>
          <cell r="H6891" t="str">
            <v>GER-G 815</v>
          </cell>
          <cell r="K6891" t="str">
            <v>Breithaupt,Fritz Alwin</v>
          </cell>
          <cell r="N6891" t="str">
            <v>NR</v>
          </cell>
          <cell r="O6891" t="str">
            <v>NR</v>
          </cell>
        </row>
        <row r="6892">
          <cell r="E6892" t="str">
            <v>GER</v>
          </cell>
          <cell r="F6892" t="str">
            <v xml:space="preserve">GER-G </v>
          </cell>
          <cell r="G6892">
            <v>850</v>
          </cell>
          <cell r="H6892" t="str">
            <v>GER-G 850</v>
          </cell>
          <cell r="K6892" t="str">
            <v>Breithaupt,Fritz Alwin</v>
          </cell>
          <cell r="N6892" t="str">
            <v>NR</v>
          </cell>
          <cell r="O6892" t="str">
            <v>NR</v>
          </cell>
        </row>
        <row r="6893">
          <cell r="E6893" t="str">
            <v>GER</v>
          </cell>
          <cell r="F6893" t="str">
            <v xml:space="preserve">GER-G </v>
          </cell>
          <cell r="G6893">
            <v>850</v>
          </cell>
          <cell r="H6893" t="str">
            <v>GER-G 850</v>
          </cell>
          <cell r="K6893" t="str">
            <v>Breithaupt,Fritz Alwin</v>
          </cell>
          <cell r="N6893" t="str">
            <v>NR</v>
          </cell>
          <cell r="O6893" t="str">
            <v>NR</v>
          </cell>
        </row>
        <row r="6894">
          <cell r="E6894" t="str">
            <v>GER</v>
          </cell>
          <cell r="F6894" t="str">
            <v xml:space="preserve">GER-G </v>
          </cell>
          <cell r="G6894">
            <v>875</v>
          </cell>
          <cell r="H6894" t="str">
            <v>GER-G 875</v>
          </cell>
          <cell r="K6894" t="str">
            <v>Breithaupt,Fritz Alwin</v>
          </cell>
          <cell r="N6894" t="str">
            <v>NR</v>
          </cell>
          <cell r="O6894" t="str">
            <v>NR</v>
          </cell>
        </row>
        <row r="6895">
          <cell r="E6895" t="str">
            <v>GER</v>
          </cell>
          <cell r="F6895" t="str">
            <v xml:space="preserve">GER-G </v>
          </cell>
          <cell r="G6895">
            <v>875</v>
          </cell>
          <cell r="H6895" t="str">
            <v>GER-G 875</v>
          </cell>
          <cell r="K6895" t="str">
            <v>Breithaupt,Fritz Alwin</v>
          </cell>
          <cell r="N6895" t="str">
            <v>NR</v>
          </cell>
          <cell r="O6895" t="str">
            <v>NR</v>
          </cell>
        </row>
        <row r="6896">
          <cell r="E6896" t="str">
            <v>GER</v>
          </cell>
          <cell r="F6896" t="str">
            <v xml:space="preserve">GER-G </v>
          </cell>
          <cell r="G6896">
            <v>875</v>
          </cell>
          <cell r="H6896" t="str">
            <v>GER-G 875</v>
          </cell>
          <cell r="K6896" t="str">
            <v>Breithaupt,Fritz Alwin</v>
          </cell>
          <cell r="N6896" t="str">
            <v>NR</v>
          </cell>
          <cell r="O6896" t="str">
            <v>NR</v>
          </cell>
        </row>
        <row r="6897">
          <cell r="E6897" t="str">
            <v>GER</v>
          </cell>
          <cell r="F6897" t="str">
            <v xml:space="preserve">GER-G </v>
          </cell>
          <cell r="G6897">
            <v>875</v>
          </cell>
          <cell r="H6897" t="str">
            <v>GER-G 875</v>
          </cell>
          <cell r="K6897" t="str">
            <v>Breithaupt,Fritz Alwin</v>
          </cell>
          <cell r="N6897" t="str">
            <v>NR</v>
          </cell>
          <cell r="O6897" t="str">
            <v>NR</v>
          </cell>
        </row>
        <row r="6898">
          <cell r="E6898" t="str">
            <v>GER</v>
          </cell>
          <cell r="F6898" t="str">
            <v xml:space="preserve">GER-G </v>
          </cell>
          <cell r="G6898">
            <v>885</v>
          </cell>
          <cell r="H6898" t="str">
            <v>GER-G 885</v>
          </cell>
          <cell r="K6898" t="str">
            <v>Breithaupt,Fritz Alwin</v>
          </cell>
          <cell r="N6898" t="str">
            <v>NR</v>
          </cell>
          <cell r="O6898" t="str">
            <v>NR</v>
          </cell>
        </row>
        <row r="6899">
          <cell r="E6899" t="str">
            <v>GER</v>
          </cell>
          <cell r="F6899" t="str">
            <v xml:space="preserve">GER-G </v>
          </cell>
          <cell r="G6899">
            <v>885</v>
          </cell>
          <cell r="H6899" t="str">
            <v>GER-G 885</v>
          </cell>
          <cell r="K6899" t="str">
            <v>Breithaupt,Fritz Alwin</v>
          </cell>
          <cell r="N6899" t="str">
            <v>NR</v>
          </cell>
          <cell r="O6899" t="str">
            <v>NR</v>
          </cell>
        </row>
        <row r="6900">
          <cell r="E6900" t="str">
            <v>GER</v>
          </cell>
          <cell r="F6900" t="str">
            <v xml:space="preserve">GER-G </v>
          </cell>
          <cell r="G6900">
            <v>901</v>
          </cell>
          <cell r="H6900" t="str">
            <v>GER-G 901</v>
          </cell>
          <cell r="K6900" t="str">
            <v>Breithaupt,Fritz Alwin</v>
          </cell>
          <cell r="N6900" t="str">
            <v>NR</v>
          </cell>
          <cell r="O6900" t="str">
            <v>NR</v>
          </cell>
        </row>
        <row r="6901">
          <cell r="E6901" t="str">
            <v>GER</v>
          </cell>
          <cell r="F6901" t="str">
            <v xml:space="preserve">GER-G </v>
          </cell>
          <cell r="G6901">
            <v>901</v>
          </cell>
          <cell r="H6901" t="str">
            <v>GER-G 901</v>
          </cell>
          <cell r="K6901" t="str">
            <v>Breithaupt,Fritz Alwin</v>
          </cell>
          <cell r="N6901" t="str">
            <v>NR</v>
          </cell>
          <cell r="O6901" t="str">
            <v>NR</v>
          </cell>
        </row>
        <row r="6902">
          <cell r="E6902" t="str">
            <v>GER</v>
          </cell>
          <cell r="F6902" t="str">
            <v xml:space="preserve">GER-K </v>
          </cell>
          <cell r="G6902">
            <v>100</v>
          </cell>
          <cell r="H6902" t="str">
            <v>GER-K 100</v>
          </cell>
          <cell r="K6902" t="str">
            <v>May,Gergana Gueorguieva</v>
          </cell>
          <cell r="N6902">
            <v>3.335</v>
          </cell>
          <cell r="O6902">
            <v>2.8919999999999999</v>
          </cell>
        </row>
        <row r="6903">
          <cell r="E6903" t="str">
            <v>GER</v>
          </cell>
          <cell r="F6903" t="str">
            <v xml:space="preserve">GER-K </v>
          </cell>
          <cell r="G6903">
            <v>150</v>
          </cell>
          <cell r="H6903" t="str">
            <v>GER-K 150</v>
          </cell>
          <cell r="K6903" t="str">
            <v>May,Gergana Gueorguieva</v>
          </cell>
          <cell r="N6903">
            <v>2.673</v>
          </cell>
          <cell r="O6903">
            <v>2.766</v>
          </cell>
        </row>
        <row r="6904">
          <cell r="E6904" t="str">
            <v>GER</v>
          </cell>
          <cell r="F6904" t="str">
            <v xml:space="preserve">GER-K </v>
          </cell>
          <cell r="G6904">
            <v>200</v>
          </cell>
          <cell r="H6904" t="str">
            <v>GER-K 200</v>
          </cell>
          <cell r="K6904" t="str">
            <v>May,Gergana Gueorguieva</v>
          </cell>
          <cell r="N6904">
            <v>3.6709999999999998</v>
          </cell>
          <cell r="O6904">
            <v>3.2909999999999999</v>
          </cell>
        </row>
        <row r="6905">
          <cell r="E6905" t="str">
            <v>GER</v>
          </cell>
          <cell r="F6905" t="str">
            <v xml:space="preserve">GER-K </v>
          </cell>
          <cell r="G6905">
            <v>250</v>
          </cell>
          <cell r="H6905" t="str">
            <v>GER-K 250</v>
          </cell>
          <cell r="K6905" t="str">
            <v>May,Gergana Gueorguieva</v>
          </cell>
          <cell r="N6905">
            <v>3.57</v>
          </cell>
          <cell r="O6905">
            <v>3.202</v>
          </cell>
        </row>
        <row r="6906">
          <cell r="E6906" t="str">
            <v>GER</v>
          </cell>
          <cell r="F6906" t="str">
            <v xml:space="preserve">GER-K </v>
          </cell>
          <cell r="G6906">
            <v>495</v>
          </cell>
          <cell r="H6906" t="str">
            <v>GER-K 495</v>
          </cell>
          <cell r="K6906" t="str">
            <v>May,Gergana Gueorguieva</v>
          </cell>
          <cell r="N6906" t="str">
            <v>NR</v>
          </cell>
          <cell r="O6906" t="str">
            <v>NR</v>
          </cell>
        </row>
        <row r="6907">
          <cell r="E6907" t="str">
            <v>GER</v>
          </cell>
          <cell r="F6907" t="str">
            <v xml:space="preserve">GER-K </v>
          </cell>
          <cell r="G6907">
            <v>501</v>
          </cell>
          <cell r="H6907" t="str">
            <v>GER-K 501</v>
          </cell>
          <cell r="K6907" t="str">
            <v>May,Gergana Gueorguieva</v>
          </cell>
          <cell r="N6907" t="str">
            <v>NR</v>
          </cell>
          <cell r="O6907" t="str">
            <v>NR</v>
          </cell>
        </row>
        <row r="6908">
          <cell r="E6908" t="str">
            <v>GER</v>
          </cell>
          <cell r="F6908" t="str">
            <v xml:space="preserve">GER-K </v>
          </cell>
          <cell r="G6908">
            <v>502</v>
          </cell>
          <cell r="H6908" t="str">
            <v>GER-K 502</v>
          </cell>
          <cell r="K6908" t="str">
            <v>May,Gergana Gueorguieva</v>
          </cell>
          <cell r="N6908" t="str">
            <v>NR</v>
          </cell>
          <cell r="O6908" t="str">
            <v>NR</v>
          </cell>
        </row>
        <row r="6909">
          <cell r="E6909" t="str">
            <v>GER</v>
          </cell>
          <cell r="F6909" t="str">
            <v xml:space="preserve">GER-K </v>
          </cell>
          <cell r="G6909">
            <v>504</v>
          </cell>
          <cell r="H6909" t="str">
            <v>GER-K 504</v>
          </cell>
          <cell r="K6909" t="str">
            <v>May,Gergana Gueorguieva</v>
          </cell>
          <cell r="N6909" t="str">
            <v>NR</v>
          </cell>
          <cell r="O6909" t="str">
            <v>NR</v>
          </cell>
        </row>
        <row r="6910">
          <cell r="E6910" t="str">
            <v>GER</v>
          </cell>
          <cell r="F6910" t="str">
            <v xml:space="preserve">GER-K </v>
          </cell>
          <cell r="G6910">
            <v>506</v>
          </cell>
          <cell r="H6910" t="str">
            <v>GER-K 506</v>
          </cell>
          <cell r="K6910" t="str">
            <v>May,Gergana Gueorguieva</v>
          </cell>
          <cell r="N6910" t="str">
            <v>NR</v>
          </cell>
          <cell r="O6910" t="str">
            <v>NR</v>
          </cell>
        </row>
        <row r="6911">
          <cell r="E6911" t="str">
            <v>GER</v>
          </cell>
          <cell r="F6911" t="str">
            <v xml:space="preserve">GER-N </v>
          </cell>
          <cell r="G6911">
            <v>100</v>
          </cell>
          <cell r="H6911" t="str">
            <v>GER-N 100</v>
          </cell>
          <cell r="K6911" t="str">
            <v>Haitjema,Bieneke A</v>
          </cell>
          <cell r="N6911" t="str">
            <v>NR</v>
          </cell>
          <cell r="O6911" t="str">
            <v>NR</v>
          </cell>
        </row>
        <row r="6912">
          <cell r="E6912" t="str">
            <v>GER</v>
          </cell>
          <cell r="F6912" t="str">
            <v xml:space="preserve">GER-N </v>
          </cell>
          <cell r="G6912">
            <v>100</v>
          </cell>
          <cell r="H6912" t="str">
            <v>GER-N 100</v>
          </cell>
          <cell r="K6912" t="str">
            <v>Ham,Esther</v>
          </cell>
          <cell r="N6912">
            <v>3.5270000000000001</v>
          </cell>
          <cell r="O6912">
            <v>3.19</v>
          </cell>
        </row>
        <row r="6913">
          <cell r="E6913" t="str">
            <v>GER</v>
          </cell>
          <cell r="F6913" t="str">
            <v xml:space="preserve">GER-N </v>
          </cell>
          <cell r="G6913">
            <v>150</v>
          </cell>
          <cell r="H6913" t="str">
            <v>GER-N 150</v>
          </cell>
          <cell r="K6913" t="str">
            <v>Ham,Esther</v>
          </cell>
          <cell r="N6913">
            <v>3.4529999999999998</v>
          </cell>
          <cell r="O6913">
            <v>3.036</v>
          </cell>
        </row>
        <row r="6914">
          <cell r="E6914" t="str">
            <v>GER</v>
          </cell>
          <cell r="F6914" t="str">
            <v xml:space="preserve">GER-N </v>
          </cell>
          <cell r="G6914">
            <v>200</v>
          </cell>
          <cell r="H6914" t="str">
            <v>GER-N 200</v>
          </cell>
          <cell r="K6914" t="str">
            <v>Ham,Esther</v>
          </cell>
          <cell r="N6914">
            <v>3</v>
          </cell>
          <cell r="O6914">
            <v>2.9729999999999999</v>
          </cell>
        </row>
        <row r="6915">
          <cell r="E6915" t="str">
            <v>GER</v>
          </cell>
          <cell r="F6915" t="str">
            <v xml:space="preserve">GER-N </v>
          </cell>
          <cell r="G6915">
            <v>250</v>
          </cell>
          <cell r="H6915" t="str">
            <v>GER-N 250</v>
          </cell>
          <cell r="K6915" t="str">
            <v>Haitjema,Bieneke A</v>
          </cell>
          <cell r="N6915">
            <v>3.45</v>
          </cell>
          <cell r="O6915">
            <v>3.056</v>
          </cell>
        </row>
        <row r="6916">
          <cell r="E6916" t="str">
            <v>GER</v>
          </cell>
          <cell r="F6916" t="str">
            <v xml:space="preserve">GER-N </v>
          </cell>
          <cell r="G6916">
            <v>300</v>
          </cell>
          <cell r="H6916" t="str">
            <v>GER-N 300</v>
          </cell>
          <cell r="K6916" t="str">
            <v>Ham,Esther</v>
          </cell>
          <cell r="N6916" t="str">
            <v>NR</v>
          </cell>
          <cell r="O6916" t="str">
            <v>NR</v>
          </cell>
        </row>
        <row r="6917">
          <cell r="E6917" t="str">
            <v>GER</v>
          </cell>
          <cell r="F6917" t="str">
            <v xml:space="preserve">GER-N </v>
          </cell>
          <cell r="G6917">
            <v>330</v>
          </cell>
          <cell r="H6917" t="str">
            <v>GER-N 330</v>
          </cell>
          <cell r="K6917" t="str">
            <v>Ham,Esther</v>
          </cell>
          <cell r="N6917" t="str">
            <v>NR</v>
          </cell>
          <cell r="O6917" t="str">
            <v>NR</v>
          </cell>
        </row>
        <row r="6918">
          <cell r="E6918" t="str">
            <v>GER</v>
          </cell>
          <cell r="F6918" t="str">
            <v xml:space="preserve">GER-N </v>
          </cell>
          <cell r="G6918">
            <v>401</v>
          </cell>
          <cell r="H6918" t="str">
            <v>GER-N 401</v>
          </cell>
          <cell r="K6918" t="str">
            <v>Haitjema,Bieneke A</v>
          </cell>
          <cell r="N6918" t="str">
            <v>NR</v>
          </cell>
          <cell r="O6918" t="str">
            <v>NR</v>
          </cell>
        </row>
        <row r="6919">
          <cell r="E6919" t="str">
            <v>GER</v>
          </cell>
          <cell r="F6919" t="str">
            <v xml:space="preserve">GER-N </v>
          </cell>
          <cell r="G6919">
            <v>402</v>
          </cell>
          <cell r="H6919" t="str">
            <v>GER-N 402</v>
          </cell>
          <cell r="K6919" t="str">
            <v>Ham,Esther</v>
          </cell>
          <cell r="N6919" t="str">
            <v>NR</v>
          </cell>
          <cell r="O6919" t="str">
            <v>NR</v>
          </cell>
        </row>
        <row r="6920">
          <cell r="E6920" t="str">
            <v>GER</v>
          </cell>
          <cell r="F6920" t="str">
            <v xml:space="preserve">GER-N </v>
          </cell>
          <cell r="G6920">
            <v>403</v>
          </cell>
          <cell r="H6920" t="str">
            <v>GER-N 403</v>
          </cell>
          <cell r="K6920" t="str">
            <v>Ham,Esther</v>
          </cell>
          <cell r="N6920" t="str">
            <v>NR</v>
          </cell>
          <cell r="O6920" t="str">
            <v>NR</v>
          </cell>
        </row>
        <row r="6921">
          <cell r="E6921" t="str">
            <v>GER</v>
          </cell>
          <cell r="F6921" t="str">
            <v xml:space="preserve">GER-N </v>
          </cell>
          <cell r="G6921">
            <v>495</v>
          </cell>
          <cell r="H6921" t="str">
            <v>GER-N 495</v>
          </cell>
          <cell r="K6921" t="str">
            <v>Ham,Esther</v>
          </cell>
          <cell r="N6921" t="str">
            <v>NR</v>
          </cell>
          <cell r="O6921" t="str">
            <v>NR</v>
          </cell>
        </row>
        <row r="6922">
          <cell r="E6922" t="str">
            <v>GER</v>
          </cell>
          <cell r="F6922" t="str">
            <v xml:space="preserve">GER-N </v>
          </cell>
          <cell r="G6922">
            <v>506</v>
          </cell>
          <cell r="H6922" t="str">
            <v>GER-N 506</v>
          </cell>
          <cell r="K6922" t="str">
            <v>Ham,Esther</v>
          </cell>
          <cell r="N6922" t="str">
            <v>NR</v>
          </cell>
          <cell r="O6922" t="str">
            <v>NR</v>
          </cell>
        </row>
        <row r="6923">
          <cell r="E6923" t="str">
            <v>GER</v>
          </cell>
          <cell r="F6923" t="str">
            <v xml:space="preserve">GER-N </v>
          </cell>
          <cell r="G6923">
            <v>508</v>
          </cell>
          <cell r="H6923" t="str">
            <v>GER-N 508</v>
          </cell>
          <cell r="K6923" t="str">
            <v>Ham,Esther</v>
          </cell>
          <cell r="N6923" t="str">
            <v>NR</v>
          </cell>
          <cell r="O6923" t="str">
            <v>NR</v>
          </cell>
        </row>
        <row r="6924">
          <cell r="E6924" t="str">
            <v>GER</v>
          </cell>
          <cell r="F6924" t="str">
            <v xml:space="preserve">GER-V </v>
          </cell>
          <cell r="G6924">
            <v>815</v>
          </cell>
          <cell r="H6924" t="str">
            <v>GER-V 815</v>
          </cell>
          <cell r="K6924" t="str">
            <v>Chaouli,Michel</v>
          </cell>
          <cell r="N6924" t="str">
            <v>NR</v>
          </cell>
          <cell r="O6924" t="str">
            <v>NR</v>
          </cell>
        </row>
        <row r="6925">
          <cell r="E6925" t="str">
            <v>GER</v>
          </cell>
          <cell r="F6925" t="str">
            <v xml:space="preserve">GER-Y </v>
          </cell>
          <cell r="G6925">
            <v>100</v>
          </cell>
          <cell r="H6925" t="str">
            <v>GER-Y 100</v>
          </cell>
          <cell r="K6925" t="str">
            <v>Lang,Avi</v>
          </cell>
          <cell r="N6925" t="str">
            <v>NR</v>
          </cell>
          <cell r="O6925" t="str">
            <v>NR</v>
          </cell>
        </row>
        <row r="6926">
          <cell r="E6926" t="str">
            <v>GER</v>
          </cell>
          <cell r="F6926" t="str">
            <v xml:space="preserve">GER-Y </v>
          </cell>
          <cell r="G6926">
            <v>250</v>
          </cell>
          <cell r="H6926" t="str">
            <v>GER-Y 250</v>
          </cell>
          <cell r="K6926" t="str">
            <v>Vaisman,Ester Basya</v>
          </cell>
          <cell r="N6926" t="str">
            <v>NR</v>
          </cell>
          <cell r="O6926" t="str">
            <v>NR</v>
          </cell>
        </row>
        <row r="6927">
          <cell r="E6927" t="str">
            <v>GER</v>
          </cell>
          <cell r="F6927" t="str">
            <v xml:space="preserve">GER-Y </v>
          </cell>
          <cell r="G6927">
            <v>495</v>
          </cell>
          <cell r="H6927" t="str">
            <v>GER-Y 495</v>
          </cell>
          <cell r="K6927" t="str">
            <v>Kerler,Dov-Ber Boris</v>
          </cell>
          <cell r="N6927" t="str">
            <v>NR</v>
          </cell>
          <cell r="O6927" t="str">
            <v>NR</v>
          </cell>
        </row>
        <row r="6928">
          <cell r="E6928" t="str">
            <v>GER</v>
          </cell>
          <cell r="F6928" t="str">
            <v xml:space="preserve">GER-Y </v>
          </cell>
          <cell r="G6928">
            <v>501</v>
          </cell>
          <cell r="H6928" t="str">
            <v>GER-Y 501</v>
          </cell>
          <cell r="K6928" t="str">
            <v>Lang,Avi</v>
          </cell>
          <cell r="N6928" t="str">
            <v>NR</v>
          </cell>
          <cell r="O6928" t="str">
            <v>NR</v>
          </cell>
        </row>
        <row r="6929">
          <cell r="E6929" t="str">
            <v>GER</v>
          </cell>
          <cell r="F6929" t="str">
            <v xml:space="preserve">GER-Y </v>
          </cell>
          <cell r="G6929">
            <v>504</v>
          </cell>
          <cell r="H6929" t="str">
            <v>GER-Y 504</v>
          </cell>
          <cell r="K6929" t="str">
            <v>Vaisman,Ester Basya</v>
          </cell>
          <cell r="N6929" t="str">
            <v>NR</v>
          </cell>
          <cell r="O6929" t="str">
            <v>NR</v>
          </cell>
        </row>
        <row r="6930">
          <cell r="E6930" t="str">
            <v>GER</v>
          </cell>
          <cell r="F6930" t="str">
            <v xml:space="preserve">GER-Y </v>
          </cell>
          <cell r="G6930">
            <v>505</v>
          </cell>
          <cell r="H6930" t="str">
            <v>GER-Y 505</v>
          </cell>
          <cell r="K6930" t="str">
            <v>Kerler,Dov-Ber Boris</v>
          </cell>
          <cell r="N6930" t="str">
            <v>NR</v>
          </cell>
          <cell r="O6930" t="str">
            <v>NR</v>
          </cell>
        </row>
        <row r="6931">
          <cell r="E6931" t="str">
            <v>GER</v>
          </cell>
          <cell r="F6931" t="str">
            <v xml:space="preserve">GER-Y </v>
          </cell>
          <cell r="G6931">
            <v>505</v>
          </cell>
          <cell r="H6931" t="str">
            <v>GER-Y 505</v>
          </cell>
          <cell r="K6931" t="str">
            <v>Kerler,Dov-Ber Boris</v>
          </cell>
          <cell r="N6931" t="str">
            <v>NR</v>
          </cell>
          <cell r="O6931" t="str">
            <v>NR</v>
          </cell>
        </row>
        <row r="6932">
          <cell r="E6932" t="str">
            <v>GER</v>
          </cell>
          <cell r="F6932" t="str">
            <v xml:space="preserve">GER-Y </v>
          </cell>
          <cell r="G6932">
            <v>506</v>
          </cell>
          <cell r="H6932" t="str">
            <v>GER-Y 506</v>
          </cell>
          <cell r="K6932" t="str">
            <v>Kerler,Dov-Ber Boris</v>
          </cell>
          <cell r="N6932" t="str">
            <v>NR</v>
          </cell>
          <cell r="O6932" t="str">
            <v>NR</v>
          </cell>
        </row>
        <row r="6933">
          <cell r="E6933" t="str">
            <v>GLLC</v>
          </cell>
          <cell r="F6933" t="str">
            <v>GLLC-G</v>
          </cell>
          <cell r="G6933">
            <v>210</v>
          </cell>
          <cell r="H6933" t="str">
            <v>GLLC-G210</v>
          </cell>
          <cell r="K6933" t="str">
            <v>Chmielewska,Katarzyna</v>
          </cell>
          <cell r="N6933">
            <v>2.7330000000000001</v>
          </cell>
          <cell r="O6933">
            <v>3.1160000000000001</v>
          </cell>
        </row>
        <row r="6934">
          <cell r="E6934" t="str">
            <v>GLLC</v>
          </cell>
          <cell r="F6934" t="str">
            <v>GLLC-G</v>
          </cell>
          <cell r="G6934">
            <v>210</v>
          </cell>
          <cell r="H6934" t="str">
            <v>GLLC-G210</v>
          </cell>
          <cell r="K6934" t="str">
            <v>Holdeman,Jeffrey D.</v>
          </cell>
          <cell r="N6934">
            <v>3.5</v>
          </cell>
          <cell r="O6934">
            <v>3.0409999999999999</v>
          </cell>
        </row>
        <row r="6935">
          <cell r="E6935" t="str">
            <v>GLLC</v>
          </cell>
          <cell r="F6935" t="str">
            <v>GLLC-G</v>
          </cell>
          <cell r="G6935">
            <v>210</v>
          </cell>
          <cell r="H6935" t="str">
            <v>GLLC-G210</v>
          </cell>
          <cell r="K6935" t="str">
            <v>Holdeman,Jeffrey D.</v>
          </cell>
          <cell r="N6935">
            <v>3.9249999999999998</v>
          </cell>
          <cell r="O6935">
            <v>3.7360000000000002</v>
          </cell>
        </row>
        <row r="6936">
          <cell r="E6936" t="str">
            <v>GLLC</v>
          </cell>
          <cell r="F6936" t="str">
            <v>GLLC-G</v>
          </cell>
          <cell r="G6936">
            <v>210</v>
          </cell>
          <cell r="H6936" t="str">
            <v>GLLC-G210</v>
          </cell>
          <cell r="K6936" t="str">
            <v>Khawaldah,Lina M</v>
          </cell>
          <cell r="N6936">
            <v>3.4180000000000001</v>
          </cell>
          <cell r="O6936">
            <v>2.9359999999999999</v>
          </cell>
        </row>
        <row r="6937">
          <cell r="E6937" t="str">
            <v>GLLC</v>
          </cell>
          <cell r="F6937" t="str">
            <v>GLLC-G</v>
          </cell>
          <cell r="G6937">
            <v>220</v>
          </cell>
          <cell r="H6937" t="str">
            <v>GLLC-G220</v>
          </cell>
          <cell r="K6937" t="str">
            <v>Bludau,Heidi Lea</v>
          </cell>
          <cell r="N6937" t="str">
            <v>NR</v>
          </cell>
          <cell r="O6937" t="str">
            <v>NR</v>
          </cell>
        </row>
        <row r="6938">
          <cell r="E6938" t="str">
            <v>GLLC</v>
          </cell>
          <cell r="F6938" t="str">
            <v>GLLC-G</v>
          </cell>
          <cell r="G6938">
            <v>220</v>
          </cell>
          <cell r="H6938" t="str">
            <v>GLLC-G220</v>
          </cell>
          <cell r="K6938" t="str">
            <v>Holdeman,Jeffrey D.</v>
          </cell>
          <cell r="N6938" t="str">
            <v>NR</v>
          </cell>
          <cell r="O6938" t="str">
            <v>NR</v>
          </cell>
        </row>
        <row r="6939">
          <cell r="E6939" t="str">
            <v>GLLC</v>
          </cell>
          <cell r="F6939" t="str">
            <v>GLLC-G</v>
          </cell>
          <cell r="G6939">
            <v>220</v>
          </cell>
          <cell r="H6939" t="str">
            <v>GLLC-G220</v>
          </cell>
          <cell r="K6939" t="str">
            <v>Vrana,Heather Ashley</v>
          </cell>
          <cell r="N6939">
            <v>3.02</v>
          </cell>
          <cell r="O6939">
            <v>2.601</v>
          </cell>
        </row>
        <row r="6940">
          <cell r="E6940" t="str">
            <v>GLLC</v>
          </cell>
          <cell r="F6940" t="str">
            <v>GLLC-G</v>
          </cell>
          <cell r="G6940">
            <v>291</v>
          </cell>
          <cell r="H6940" t="str">
            <v>GLLC-G291</v>
          </cell>
          <cell r="K6940" t="str">
            <v>Madewell,Julie Ann</v>
          </cell>
          <cell r="N6940" t="str">
            <v>NR</v>
          </cell>
          <cell r="O6940" t="str">
            <v>NR</v>
          </cell>
        </row>
        <row r="6941">
          <cell r="E6941" t="str">
            <v>GLLC</v>
          </cell>
          <cell r="F6941" t="str">
            <v>GLLC-G</v>
          </cell>
          <cell r="G6941">
            <v>291</v>
          </cell>
          <cell r="H6941" t="str">
            <v>GLLC-G291</v>
          </cell>
          <cell r="K6941" t="str">
            <v>Varela,Adriana Patricia</v>
          </cell>
          <cell r="N6941">
            <v>3.4790000000000001</v>
          </cell>
          <cell r="O6941">
            <v>3.2360000000000002</v>
          </cell>
        </row>
        <row r="6942">
          <cell r="E6942" t="str">
            <v>GLLC</v>
          </cell>
          <cell r="F6942" t="str">
            <v>GLLC-G</v>
          </cell>
          <cell r="G6942">
            <v>320</v>
          </cell>
          <cell r="H6942" t="str">
            <v>GLLC-G320</v>
          </cell>
          <cell r="K6942" t="str">
            <v>Coyle,Gene Arthur</v>
          </cell>
          <cell r="N6942">
            <v>3.2629999999999999</v>
          </cell>
          <cell r="O6942">
            <v>3.234</v>
          </cell>
        </row>
        <row r="6943">
          <cell r="E6943" t="str">
            <v>GLLC</v>
          </cell>
          <cell r="F6943" t="str">
            <v>GLLC-G</v>
          </cell>
          <cell r="G6943">
            <v>321</v>
          </cell>
          <cell r="H6943" t="str">
            <v>GLLC-G321</v>
          </cell>
          <cell r="K6943" t="str">
            <v>Coyle,Gene Arthur</v>
          </cell>
          <cell r="N6943">
            <v>3.2320000000000002</v>
          </cell>
          <cell r="O6943">
            <v>3.2360000000000002</v>
          </cell>
        </row>
        <row r="6944">
          <cell r="E6944" t="str">
            <v>GLLC</v>
          </cell>
          <cell r="F6944" t="str">
            <v>GLLC-Q</v>
          </cell>
          <cell r="G6944">
            <v>199</v>
          </cell>
          <cell r="H6944" t="str">
            <v>GLLC-Q199</v>
          </cell>
          <cell r="K6944" t="str">
            <v>Caldarera,Lauren Weinberg</v>
          </cell>
          <cell r="N6944">
            <v>3.637</v>
          </cell>
          <cell r="O6944">
            <v>3.0310000000000001</v>
          </cell>
        </row>
        <row r="6945">
          <cell r="E6945" t="str">
            <v>GLLC</v>
          </cell>
          <cell r="F6945" t="str">
            <v>GLLC-Q</v>
          </cell>
          <cell r="G6945">
            <v>199</v>
          </cell>
          <cell r="H6945" t="str">
            <v>GLLC-Q199</v>
          </cell>
          <cell r="K6945" t="str">
            <v>Caldarera,Lauren Weinberg</v>
          </cell>
          <cell r="N6945">
            <v>3.1</v>
          </cell>
          <cell r="O6945">
            <v>2.7709999999999999</v>
          </cell>
        </row>
        <row r="6946">
          <cell r="E6946" t="str">
            <v>GLLC</v>
          </cell>
          <cell r="F6946" t="str">
            <v>GLLC-Q</v>
          </cell>
          <cell r="G6946">
            <v>299</v>
          </cell>
          <cell r="H6946" t="str">
            <v>GLLC-Q299</v>
          </cell>
          <cell r="K6946" t="str">
            <v>Caldarera,Lauren Weinberg</v>
          </cell>
          <cell r="N6946" t="str">
            <v>NR</v>
          </cell>
          <cell r="O6946" t="str">
            <v>NR</v>
          </cell>
        </row>
        <row r="6947">
          <cell r="E6947" t="str">
            <v>GNDR</v>
          </cell>
          <cell r="F6947" t="str">
            <v>GNDR-G</v>
          </cell>
          <cell r="G6947">
            <v>101</v>
          </cell>
          <cell r="H6947" t="str">
            <v>GNDR-G101</v>
          </cell>
          <cell r="K6947" t="str">
            <v>Brennan,Melinda Quinn</v>
          </cell>
          <cell r="N6947">
            <v>3.5880000000000001</v>
          </cell>
          <cell r="O6947">
            <v>3.1539999999999999</v>
          </cell>
        </row>
        <row r="6948">
          <cell r="E6948" t="str">
            <v>GNDR</v>
          </cell>
          <cell r="F6948" t="str">
            <v>GNDR-G</v>
          </cell>
          <cell r="G6948">
            <v>101</v>
          </cell>
          <cell r="H6948" t="str">
            <v>GNDR-G101</v>
          </cell>
          <cell r="K6948" t="str">
            <v>Brennan,Melinda Quinn</v>
          </cell>
          <cell r="N6948">
            <v>3.5129999999999999</v>
          </cell>
          <cell r="O6948">
            <v>3.0990000000000002</v>
          </cell>
        </row>
        <row r="6949">
          <cell r="E6949" t="str">
            <v>GNDR</v>
          </cell>
          <cell r="F6949" t="str">
            <v>GNDR-G</v>
          </cell>
          <cell r="G6949">
            <v>101</v>
          </cell>
          <cell r="H6949" t="str">
            <v>GNDR-G101</v>
          </cell>
          <cell r="K6949" t="str">
            <v>Brennan,Melinda Quinn</v>
          </cell>
          <cell r="N6949">
            <v>2.9580000000000002</v>
          </cell>
          <cell r="O6949">
            <v>2.9630000000000001</v>
          </cell>
        </row>
        <row r="6950">
          <cell r="E6950" t="str">
            <v>GNDR</v>
          </cell>
          <cell r="F6950" t="str">
            <v>GNDR-G</v>
          </cell>
          <cell r="G6950">
            <v>101</v>
          </cell>
          <cell r="H6950" t="str">
            <v>GNDR-G101</v>
          </cell>
          <cell r="K6950" t="str">
            <v>Crump,Victoria Kristan</v>
          </cell>
          <cell r="N6950">
            <v>2.8410000000000002</v>
          </cell>
          <cell r="O6950">
            <v>2.75</v>
          </cell>
        </row>
        <row r="6951">
          <cell r="E6951" t="str">
            <v>GNDR</v>
          </cell>
          <cell r="F6951" t="str">
            <v>GNDR-G</v>
          </cell>
          <cell r="G6951">
            <v>101</v>
          </cell>
          <cell r="H6951" t="str">
            <v>GNDR-G101</v>
          </cell>
          <cell r="K6951" t="str">
            <v>Crump,Victoria Kristan</v>
          </cell>
          <cell r="N6951">
            <v>3</v>
          </cell>
          <cell r="O6951">
            <v>3.0129999999999999</v>
          </cell>
        </row>
        <row r="6952">
          <cell r="E6952" t="str">
            <v>GNDR</v>
          </cell>
          <cell r="F6952" t="str">
            <v>GNDR-G</v>
          </cell>
          <cell r="G6952">
            <v>101</v>
          </cell>
          <cell r="H6952" t="str">
            <v>GNDR-G101</v>
          </cell>
          <cell r="K6952" t="str">
            <v>Johnson,Colin R.</v>
          </cell>
          <cell r="N6952">
            <v>3.5579999999999998</v>
          </cell>
          <cell r="O6952">
            <v>3.6240000000000001</v>
          </cell>
        </row>
        <row r="6953">
          <cell r="E6953" t="str">
            <v>GNDR</v>
          </cell>
          <cell r="F6953" t="str">
            <v>GNDR-G</v>
          </cell>
          <cell r="G6953">
            <v>101</v>
          </cell>
          <cell r="H6953" t="str">
            <v>GNDR-G101</v>
          </cell>
          <cell r="K6953" t="str">
            <v>Montes Ireland,Heather</v>
          </cell>
          <cell r="N6953">
            <v>3.238</v>
          </cell>
          <cell r="O6953">
            <v>3.093</v>
          </cell>
        </row>
        <row r="6954">
          <cell r="E6954" t="str">
            <v>GNDR</v>
          </cell>
          <cell r="F6954" t="str">
            <v>GNDR-G</v>
          </cell>
          <cell r="G6954">
            <v>101</v>
          </cell>
          <cell r="H6954" t="str">
            <v>GNDR-G101</v>
          </cell>
          <cell r="K6954" t="str">
            <v>Montes Ireland,Heather</v>
          </cell>
          <cell r="N6954">
            <v>3.4430000000000001</v>
          </cell>
          <cell r="O6954">
            <v>3.008</v>
          </cell>
        </row>
        <row r="6955">
          <cell r="E6955" t="str">
            <v>GNDR</v>
          </cell>
          <cell r="F6955" t="str">
            <v>GNDR-G</v>
          </cell>
          <cell r="G6955">
            <v>101</v>
          </cell>
          <cell r="H6955" t="str">
            <v>GNDR-G101</v>
          </cell>
          <cell r="K6955" t="str">
            <v>Rogers,Lane</v>
          </cell>
          <cell r="N6955">
            <v>2.8170000000000002</v>
          </cell>
          <cell r="O6955">
            <v>2.746</v>
          </cell>
        </row>
        <row r="6956">
          <cell r="E6956" t="str">
            <v>GNDR</v>
          </cell>
          <cell r="F6956" t="str">
            <v>GNDR-G</v>
          </cell>
          <cell r="G6956">
            <v>101</v>
          </cell>
          <cell r="H6956" t="str">
            <v>GNDR-G101</v>
          </cell>
          <cell r="K6956" t="str">
            <v>Rogers,Lane</v>
          </cell>
          <cell r="N6956">
            <v>3.3639999999999999</v>
          </cell>
          <cell r="O6956">
            <v>3.1469999999999998</v>
          </cell>
        </row>
        <row r="6957">
          <cell r="E6957" t="str">
            <v>GNDR</v>
          </cell>
          <cell r="F6957" t="str">
            <v>GNDR-G</v>
          </cell>
          <cell r="G6957">
            <v>101</v>
          </cell>
          <cell r="H6957" t="str">
            <v>GNDR-G101</v>
          </cell>
          <cell r="K6957" t="str">
            <v>Rogers,Lane</v>
          </cell>
          <cell r="N6957">
            <v>3.629</v>
          </cell>
          <cell r="O6957">
            <v>2.8839999999999999</v>
          </cell>
        </row>
        <row r="6958">
          <cell r="E6958" t="str">
            <v>GNDR</v>
          </cell>
          <cell r="F6958" t="str">
            <v>GNDR-G</v>
          </cell>
          <cell r="G6958">
            <v>101</v>
          </cell>
          <cell r="H6958" t="str">
            <v>GNDR-G101</v>
          </cell>
          <cell r="K6958" t="str">
            <v>Schalk,Samantha Dawn</v>
          </cell>
          <cell r="N6958">
            <v>2.9350000000000001</v>
          </cell>
          <cell r="O6958">
            <v>2.847</v>
          </cell>
        </row>
        <row r="6959">
          <cell r="E6959" t="str">
            <v>GNDR</v>
          </cell>
          <cell r="F6959" t="str">
            <v>GNDR-G</v>
          </cell>
          <cell r="G6959">
            <v>101</v>
          </cell>
          <cell r="H6959" t="str">
            <v>GNDR-G101</v>
          </cell>
          <cell r="K6959" t="str">
            <v>Schalk,Samantha Dawn</v>
          </cell>
          <cell r="N6959">
            <v>3.286</v>
          </cell>
          <cell r="O6959">
            <v>3.0920000000000001</v>
          </cell>
        </row>
        <row r="6960">
          <cell r="E6960" t="str">
            <v>GNDR</v>
          </cell>
          <cell r="F6960" t="str">
            <v>GNDR-G</v>
          </cell>
          <cell r="G6960">
            <v>101</v>
          </cell>
          <cell r="H6960" t="str">
            <v>GNDR-G101</v>
          </cell>
          <cell r="K6960" t="str">
            <v>Vandenberg,Allison Jane</v>
          </cell>
          <cell r="N6960">
            <v>3.3130000000000002</v>
          </cell>
          <cell r="O6960">
            <v>3.0339999999999998</v>
          </cell>
        </row>
        <row r="6961">
          <cell r="E6961" t="str">
            <v>GNDR</v>
          </cell>
          <cell r="F6961" t="str">
            <v>GNDR-G</v>
          </cell>
          <cell r="G6961">
            <v>101</v>
          </cell>
          <cell r="H6961" t="str">
            <v>GNDR-G101</v>
          </cell>
          <cell r="K6961" t="str">
            <v>Vandenberg,Allison Jane</v>
          </cell>
          <cell r="N6961">
            <v>3.52</v>
          </cell>
          <cell r="O6961">
            <v>3.1269999999999998</v>
          </cell>
        </row>
        <row r="6962">
          <cell r="E6962" t="str">
            <v>GNDR</v>
          </cell>
          <cell r="F6962" t="str">
            <v>GNDR-G</v>
          </cell>
          <cell r="G6962">
            <v>101</v>
          </cell>
          <cell r="H6962" t="str">
            <v>GNDR-G101</v>
          </cell>
          <cell r="K6962" t="str">
            <v>Wright,Regina Mariam</v>
          </cell>
          <cell r="N6962">
            <v>3.8319999999999999</v>
          </cell>
          <cell r="O6962">
            <v>3.1949999999999998</v>
          </cell>
        </row>
        <row r="6963">
          <cell r="E6963" t="str">
            <v>GNDR</v>
          </cell>
          <cell r="F6963" t="str">
            <v>GNDR-G</v>
          </cell>
          <cell r="G6963">
            <v>101</v>
          </cell>
          <cell r="H6963" t="str">
            <v>GNDR-G101</v>
          </cell>
          <cell r="K6963" t="str">
            <v>Wright,Regina Mariam</v>
          </cell>
          <cell r="N6963">
            <v>3.375</v>
          </cell>
          <cell r="O6963">
            <v>2.8119999999999998</v>
          </cell>
        </row>
        <row r="6964">
          <cell r="E6964" t="str">
            <v>GNDR</v>
          </cell>
          <cell r="F6964" t="str">
            <v>GNDR-G</v>
          </cell>
          <cell r="G6964">
            <v>102</v>
          </cell>
          <cell r="H6964" t="str">
            <v>GNDR-G102</v>
          </cell>
          <cell r="K6964" t="str">
            <v>Doty,Alex</v>
          </cell>
          <cell r="N6964">
            <v>2.61</v>
          </cell>
          <cell r="O6964">
            <v>2.9780000000000002</v>
          </cell>
        </row>
        <row r="6965">
          <cell r="E6965" t="str">
            <v>GNDR</v>
          </cell>
          <cell r="F6965" t="str">
            <v>GNDR-G</v>
          </cell>
          <cell r="G6965">
            <v>104</v>
          </cell>
          <cell r="H6965" t="str">
            <v>GNDR-G104</v>
          </cell>
          <cell r="K6965" t="str">
            <v>Basiliere,Jenna</v>
          </cell>
          <cell r="N6965">
            <v>2.75</v>
          </cell>
          <cell r="O6965">
            <v>2.5790000000000002</v>
          </cell>
        </row>
        <row r="6966">
          <cell r="E6966" t="str">
            <v>GNDR</v>
          </cell>
          <cell r="F6966" t="str">
            <v>GNDR-G</v>
          </cell>
          <cell r="G6966">
            <v>104</v>
          </cell>
          <cell r="H6966" t="str">
            <v>GNDR-G104</v>
          </cell>
          <cell r="K6966" t="str">
            <v>Basiliere,Jenna</v>
          </cell>
          <cell r="N6966">
            <v>3.504</v>
          </cell>
          <cell r="O6966">
            <v>3.3330000000000002</v>
          </cell>
        </row>
        <row r="6967">
          <cell r="E6967" t="str">
            <v>GNDR</v>
          </cell>
          <cell r="F6967" t="str">
            <v>GNDR-G</v>
          </cell>
          <cell r="G6967">
            <v>104</v>
          </cell>
          <cell r="H6967" t="str">
            <v>GNDR-G104</v>
          </cell>
          <cell r="K6967" t="str">
            <v>Schalk,Samantha Dawn</v>
          </cell>
          <cell r="N6967">
            <v>3.0539999999999998</v>
          </cell>
          <cell r="O6967">
            <v>2.794</v>
          </cell>
        </row>
        <row r="6968">
          <cell r="E6968" t="str">
            <v>GNDR</v>
          </cell>
          <cell r="F6968" t="str">
            <v>GNDR-G</v>
          </cell>
          <cell r="G6968">
            <v>104</v>
          </cell>
          <cell r="H6968" t="str">
            <v>GNDR-G104</v>
          </cell>
          <cell r="K6968" t="str">
            <v>Thompson,Kathryn Ann</v>
          </cell>
          <cell r="N6968">
            <v>3.6139999999999999</v>
          </cell>
          <cell r="O6968">
            <v>3.1909999999999998</v>
          </cell>
        </row>
        <row r="6969">
          <cell r="E6969" t="str">
            <v>GNDR</v>
          </cell>
          <cell r="F6969" t="str">
            <v>GNDR-G</v>
          </cell>
          <cell r="G6969">
            <v>104</v>
          </cell>
          <cell r="H6969" t="str">
            <v>GNDR-G104</v>
          </cell>
          <cell r="K6969" t="str">
            <v>Vandenberg,Allison Jane</v>
          </cell>
          <cell r="N6969">
            <v>3.5419999999999998</v>
          </cell>
          <cell r="O6969">
            <v>3.17</v>
          </cell>
        </row>
        <row r="6970">
          <cell r="E6970" t="str">
            <v>GNDR</v>
          </cell>
          <cell r="F6970" t="str">
            <v>GNDR-G</v>
          </cell>
          <cell r="G6970">
            <v>105</v>
          </cell>
          <cell r="H6970" t="str">
            <v>GNDR-G105</v>
          </cell>
          <cell r="K6970" t="str">
            <v>Malatino,Hilary J</v>
          </cell>
          <cell r="N6970">
            <v>3.0640000000000001</v>
          </cell>
          <cell r="O6970">
            <v>2.9769999999999999</v>
          </cell>
        </row>
        <row r="6971">
          <cell r="E6971" t="str">
            <v>GNDR</v>
          </cell>
          <cell r="F6971" t="str">
            <v>GNDR-G</v>
          </cell>
          <cell r="G6971">
            <v>205</v>
          </cell>
          <cell r="H6971" t="str">
            <v>GNDR-G205</v>
          </cell>
          <cell r="K6971" t="str">
            <v>Brennan,Melinda Quinn</v>
          </cell>
          <cell r="N6971">
            <v>4</v>
          </cell>
          <cell r="O6971">
            <v>2.9420000000000002</v>
          </cell>
        </row>
        <row r="6972">
          <cell r="E6972" t="str">
            <v>GNDR</v>
          </cell>
          <cell r="F6972" t="str">
            <v>GNDR-G</v>
          </cell>
          <cell r="G6972">
            <v>205</v>
          </cell>
          <cell r="H6972" t="str">
            <v>GNDR-G205</v>
          </cell>
          <cell r="K6972" t="str">
            <v>Crump,Victoria Kristan</v>
          </cell>
          <cell r="N6972">
            <v>3.3119999999999998</v>
          </cell>
          <cell r="O6972">
            <v>3.0219999999999998</v>
          </cell>
        </row>
        <row r="6973">
          <cell r="E6973" t="str">
            <v>GNDR</v>
          </cell>
          <cell r="F6973" t="str">
            <v>GNDR-G</v>
          </cell>
          <cell r="G6973">
            <v>205</v>
          </cell>
          <cell r="H6973" t="str">
            <v>GNDR-G205</v>
          </cell>
          <cell r="K6973" t="str">
            <v>Horton-Stallings,Lamonda</v>
          </cell>
          <cell r="N6973">
            <v>3.3879999999999999</v>
          </cell>
          <cell r="O6973">
            <v>2.8740000000000001</v>
          </cell>
        </row>
        <row r="6974">
          <cell r="E6974" t="str">
            <v>GNDR</v>
          </cell>
          <cell r="F6974" t="str">
            <v>GNDR-G</v>
          </cell>
          <cell r="G6974">
            <v>205</v>
          </cell>
          <cell r="H6974" t="str">
            <v>GNDR-G205</v>
          </cell>
          <cell r="K6974" t="str">
            <v>Schweighofer,Katherine</v>
          </cell>
          <cell r="N6974">
            <v>3.0750000000000002</v>
          </cell>
          <cell r="O6974">
            <v>2.9780000000000002</v>
          </cell>
        </row>
        <row r="6975">
          <cell r="E6975" t="str">
            <v>GNDR</v>
          </cell>
          <cell r="F6975" t="str">
            <v>GNDR-G</v>
          </cell>
          <cell r="G6975">
            <v>205</v>
          </cell>
          <cell r="H6975" t="str">
            <v>GNDR-G205</v>
          </cell>
          <cell r="K6975" t="str">
            <v>Thompson,Kathryn Ann</v>
          </cell>
          <cell r="N6975">
            <v>3.0230000000000001</v>
          </cell>
          <cell r="O6975">
            <v>2.76</v>
          </cell>
        </row>
        <row r="6976">
          <cell r="E6976" t="str">
            <v>GNDR</v>
          </cell>
          <cell r="F6976" t="str">
            <v>GNDR-G</v>
          </cell>
          <cell r="G6976">
            <v>206</v>
          </cell>
          <cell r="H6976" t="str">
            <v>GNDR-G206</v>
          </cell>
          <cell r="K6976" t="str">
            <v>Bailey,Marlon M</v>
          </cell>
          <cell r="N6976">
            <v>3.1230000000000002</v>
          </cell>
          <cell r="O6976">
            <v>3.0139999999999998</v>
          </cell>
        </row>
        <row r="6977">
          <cell r="E6977" t="str">
            <v>GNDR</v>
          </cell>
          <cell r="F6977" t="str">
            <v>GNDR-G</v>
          </cell>
          <cell r="G6977">
            <v>206</v>
          </cell>
          <cell r="H6977" t="str">
            <v>GNDR-G206</v>
          </cell>
          <cell r="K6977" t="str">
            <v>Johnson,Colin R.</v>
          </cell>
          <cell r="N6977">
            <v>3.3479999999999999</v>
          </cell>
          <cell r="O6977">
            <v>3.1869999999999998</v>
          </cell>
        </row>
        <row r="6978">
          <cell r="E6978" t="str">
            <v>GNDR</v>
          </cell>
          <cell r="F6978" t="str">
            <v>GNDR-G</v>
          </cell>
          <cell r="G6978">
            <v>225</v>
          </cell>
          <cell r="H6978" t="str">
            <v>GNDR-G225</v>
          </cell>
          <cell r="K6978" t="str">
            <v>Davis,Dawn Rae</v>
          </cell>
          <cell r="N6978">
            <v>2.6709999999999998</v>
          </cell>
          <cell r="O6978">
            <v>2.895</v>
          </cell>
        </row>
        <row r="6979">
          <cell r="E6979" t="str">
            <v>GNDR</v>
          </cell>
          <cell r="F6979" t="str">
            <v>GNDR-G</v>
          </cell>
          <cell r="G6979">
            <v>225</v>
          </cell>
          <cell r="H6979" t="str">
            <v>GNDR-G225</v>
          </cell>
          <cell r="K6979" t="str">
            <v>Davis,Dawn Rae</v>
          </cell>
          <cell r="N6979">
            <v>2.637</v>
          </cell>
          <cell r="O6979">
            <v>3.0129999999999999</v>
          </cell>
        </row>
        <row r="6980">
          <cell r="E6980" t="str">
            <v>GNDR</v>
          </cell>
          <cell r="F6980" t="str">
            <v>GNDR-G</v>
          </cell>
          <cell r="G6980">
            <v>225</v>
          </cell>
          <cell r="H6980" t="str">
            <v>GNDR-G225</v>
          </cell>
          <cell r="K6980" t="str">
            <v>Davis,Dawn Rae</v>
          </cell>
          <cell r="N6980">
            <v>2.98</v>
          </cell>
          <cell r="O6980">
            <v>3.0760000000000001</v>
          </cell>
        </row>
        <row r="6981">
          <cell r="E6981" t="str">
            <v>GNDR</v>
          </cell>
          <cell r="F6981" t="str">
            <v>GNDR-G</v>
          </cell>
          <cell r="G6981">
            <v>225</v>
          </cell>
          <cell r="H6981" t="str">
            <v>GNDR-G225</v>
          </cell>
          <cell r="K6981" t="str">
            <v>Davis,Dawn Rae</v>
          </cell>
          <cell r="N6981">
            <v>2.7410000000000001</v>
          </cell>
          <cell r="O6981">
            <v>2.9950000000000001</v>
          </cell>
        </row>
        <row r="6982">
          <cell r="E6982" t="str">
            <v>GNDR</v>
          </cell>
          <cell r="F6982" t="str">
            <v>GNDR-G</v>
          </cell>
          <cell r="G6982">
            <v>225</v>
          </cell>
          <cell r="H6982" t="str">
            <v>GNDR-G225</v>
          </cell>
          <cell r="K6982" t="str">
            <v>Guilbert,Georges-Claude</v>
          </cell>
          <cell r="N6982">
            <v>3.4220000000000002</v>
          </cell>
          <cell r="O6982">
            <v>3.097</v>
          </cell>
        </row>
        <row r="6983">
          <cell r="E6983" t="str">
            <v>GNDR</v>
          </cell>
          <cell r="F6983" t="str">
            <v>GNDR-G</v>
          </cell>
          <cell r="G6983">
            <v>225</v>
          </cell>
          <cell r="H6983" t="str">
            <v>GNDR-G225</v>
          </cell>
          <cell r="K6983" t="str">
            <v>Maher,Jennifer Elizabeth</v>
          </cell>
          <cell r="N6983">
            <v>3.2930000000000001</v>
          </cell>
          <cell r="O6983">
            <v>3.1440000000000001</v>
          </cell>
        </row>
        <row r="6984">
          <cell r="E6984" t="str">
            <v>GNDR</v>
          </cell>
          <cell r="F6984" t="str">
            <v>GNDR-G</v>
          </cell>
          <cell r="G6984">
            <v>225</v>
          </cell>
          <cell r="H6984" t="str">
            <v>GNDR-G225</v>
          </cell>
          <cell r="K6984" t="str">
            <v>Maher,Jennifer Elizabeth</v>
          </cell>
          <cell r="N6984">
            <v>3.4630000000000001</v>
          </cell>
          <cell r="O6984">
            <v>3.153</v>
          </cell>
        </row>
        <row r="6985">
          <cell r="E6985" t="str">
            <v>GNDR</v>
          </cell>
          <cell r="F6985" t="str">
            <v>GNDR-G</v>
          </cell>
          <cell r="G6985">
            <v>225</v>
          </cell>
          <cell r="H6985" t="str">
            <v>GNDR-G225</v>
          </cell>
          <cell r="K6985" t="str">
            <v>Maher,Jennifer Elizabeth</v>
          </cell>
          <cell r="N6985">
            <v>3.3959999999999999</v>
          </cell>
          <cell r="O6985">
            <v>3.1019999999999999</v>
          </cell>
        </row>
        <row r="6986">
          <cell r="E6986" t="str">
            <v>GNDR</v>
          </cell>
          <cell r="F6986" t="str">
            <v>GNDR-G</v>
          </cell>
          <cell r="G6986">
            <v>225</v>
          </cell>
          <cell r="H6986" t="str">
            <v>GNDR-G225</v>
          </cell>
          <cell r="K6986" t="str">
            <v>Maher,Jennifer Elizabeth</v>
          </cell>
          <cell r="N6986">
            <v>3.3690000000000002</v>
          </cell>
          <cell r="O6986">
            <v>3.1640000000000001</v>
          </cell>
        </row>
        <row r="6987">
          <cell r="E6987" t="str">
            <v>GNDR</v>
          </cell>
          <cell r="F6987" t="str">
            <v>GNDR-G</v>
          </cell>
          <cell r="G6987">
            <v>235</v>
          </cell>
          <cell r="H6987" t="str">
            <v>GNDR-G235</v>
          </cell>
          <cell r="K6987" t="str">
            <v>Foster,Laura</v>
          </cell>
          <cell r="N6987">
            <v>3.2610000000000001</v>
          </cell>
          <cell r="O6987">
            <v>3.08</v>
          </cell>
        </row>
        <row r="6988">
          <cell r="E6988" t="str">
            <v>GNDR</v>
          </cell>
          <cell r="F6988" t="str">
            <v>GNDR-G</v>
          </cell>
          <cell r="G6988">
            <v>290</v>
          </cell>
          <cell r="H6988" t="str">
            <v>GNDR-G290</v>
          </cell>
          <cell r="K6988" t="str">
            <v>Walters,Suzanna D.</v>
          </cell>
          <cell r="N6988">
            <v>2.7919999999999998</v>
          </cell>
          <cell r="O6988">
            <v>3.19</v>
          </cell>
        </row>
        <row r="6989">
          <cell r="E6989" t="str">
            <v>GNDR</v>
          </cell>
          <cell r="F6989" t="str">
            <v>GNDR-G</v>
          </cell>
          <cell r="G6989">
            <v>300</v>
          </cell>
          <cell r="H6989" t="str">
            <v>GNDR-G300</v>
          </cell>
          <cell r="K6989" t="str">
            <v>Hill,Brandon John</v>
          </cell>
          <cell r="N6989">
            <v>3.5070000000000001</v>
          </cell>
          <cell r="O6989">
            <v>3.1930000000000001</v>
          </cell>
        </row>
        <row r="6990">
          <cell r="E6990" t="str">
            <v>GNDR</v>
          </cell>
          <cell r="F6990" t="str">
            <v>GNDR-G</v>
          </cell>
          <cell r="G6990">
            <v>300</v>
          </cell>
          <cell r="H6990" t="str">
            <v>GNDR-G300</v>
          </cell>
          <cell r="K6990" t="str">
            <v>Maher,Jennifer Elizabeth</v>
          </cell>
          <cell r="N6990">
            <v>3.3149999999999999</v>
          </cell>
          <cell r="O6990">
            <v>3.3639999999999999</v>
          </cell>
        </row>
        <row r="6991">
          <cell r="E6991" t="str">
            <v>GNDR</v>
          </cell>
          <cell r="F6991" t="str">
            <v>GNDR-G</v>
          </cell>
          <cell r="G6991">
            <v>302</v>
          </cell>
          <cell r="H6991" t="str">
            <v>GNDR-G302</v>
          </cell>
          <cell r="K6991" t="str">
            <v>Horton-Stallings,Lamonda</v>
          </cell>
          <cell r="N6991">
            <v>3.3159999999999998</v>
          </cell>
          <cell r="O6991">
            <v>2.8540000000000001</v>
          </cell>
        </row>
        <row r="6992">
          <cell r="E6992" t="str">
            <v>GNDR</v>
          </cell>
          <cell r="F6992" t="str">
            <v>GNDR-G</v>
          </cell>
          <cell r="G6992">
            <v>302</v>
          </cell>
          <cell r="H6992" t="str">
            <v>GNDR-G302</v>
          </cell>
          <cell r="K6992" t="str">
            <v>Johnson,Colin R.</v>
          </cell>
          <cell r="N6992" t="str">
            <v>NR</v>
          </cell>
          <cell r="O6992" t="str">
            <v>NR</v>
          </cell>
        </row>
        <row r="6993">
          <cell r="E6993" t="str">
            <v>GNDR</v>
          </cell>
          <cell r="F6993" t="str">
            <v>GNDR-G</v>
          </cell>
          <cell r="G6993">
            <v>302</v>
          </cell>
          <cell r="H6993" t="str">
            <v>GNDR-G302</v>
          </cell>
          <cell r="K6993" t="str">
            <v>Maher,Jennifer Elizabeth</v>
          </cell>
          <cell r="N6993">
            <v>3.4249999999999998</v>
          </cell>
          <cell r="O6993">
            <v>3.1469999999999998</v>
          </cell>
        </row>
        <row r="6994">
          <cell r="E6994" t="str">
            <v>GNDR</v>
          </cell>
          <cell r="F6994" t="str">
            <v>GNDR-G</v>
          </cell>
          <cell r="G6994">
            <v>302</v>
          </cell>
          <cell r="H6994" t="str">
            <v>GNDR-G302</v>
          </cell>
          <cell r="K6994" t="str">
            <v>Myers,Amrita</v>
          </cell>
          <cell r="N6994">
            <v>2.665</v>
          </cell>
          <cell r="O6994">
            <v>2.94</v>
          </cell>
        </row>
        <row r="6995">
          <cell r="E6995" t="str">
            <v>GNDR</v>
          </cell>
          <cell r="F6995" t="str">
            <v>GNDR-G</v>
          </cell>
          <cell r="G6995">
            <v>302</v>
          </cell>
          <cell r="H6995" t="str">
            <v>GNDR-G302</v>
          </cell>
          <cell r="K6995" t="str">
            <v>Rivera,Irasema</v>
          </cell>
          <cell r="N6995" t="str">
            <v>NR</v>
          </cell>
          <cell r="O6995" t="str">
            <v>NR</v>
          </cell>
        </row>
        <row r="6996">
          <cell r="E6996" t="str">
            <v>GNDR</v>
          </cell>
          <cell r="F6996" t="str">
            <v>GNDR-G</v>
          </cell>
          <cell r="G6996">
            <v>303</v>
          </cell>
          <cell r="H6996" t="str">
            <v>GNDR-G303</v>
          </cell>
          <cell r="K6996" t="str">
            <v>Malatino,Hilary J</v>
          </cell>
          <cell r="N6996">
            <v>3.1880000000000002</v>
          </cell>
          <cell r="O6996">
            <v>3.1040000000000001</v>
          </cell>
        </row>
        <row r="6997">
          <cell r="E6997" t="str">
            <v>GNDR</v>
          </cell>
          <cell r="F6997" t="str">
            <v>GNDR-G</v>
          </cell>
          <cell r="G6997">
            <v>304</v>
          </cell>
          <cell r="H6997" t="str">
            <v>GNDR-G304</v>
          </cell>
          <cell r="K6997" t="str">
            <v>Weber,Brenda</v>
          </cell>
          <cell r="N6997">
            <v>3.6520000000000001</v>
          </cell>
          <cell r="O6997">
            <v>3.2829999999999999</v>
          </cell>
        </row>
        <row r="6998">
          <cell r="E6998" t="str">
            <v>GNDR</v>
          </cell>
          <cell r="F6998" t="str">
            <v>GNDR-G</v>
          </cell>
          <cell r="G6998">
            <v>304</v>
          </cell>
          <cell r="H6998" t="str">
            <v>GNDR-G304</v>
          </cell>
          <cell r="K6998" t="str">
            <v>Weber,Brenda</v>
          </cell>
          <cell r="N6998">
            <v>3.6549999999999998</v>
          </cell>
          <cell r="O6998">
            <v>3.2559999999999998</v>
          </cell>
        </row>
        <row r="6999">
          <cell r="E6999" t="str">
            <v>GNDR</v>
          </cell>
          <cell r="F6999" t="str">
            <v>GNDR-G</v>
          </cell>
          <cell r="G6999">
            <v>310</v>
          </cell>
          <cell r="H6999" t="str">
            <v>GNDR-G310</v>
          </cell>
          <cell r="K6999" t="str">
            <v>Malatino,Hilary J</v>
          </cell>
          <cell r="N6999">
            <v>3.3519999999999999</v>
          </cell>
          <cell r="O6999">
            <v>3.347</v>
          </cell>
        </row>
        <row r="7000">
          <cell r="E7000" t="str">
            <v>GNDR</v>
          </cell>
          <cell r="F7000" t="str">
            <v>GNDR-G</v>
          </cell>
          <cell r="G7000">
            <v>310</v>
          </cell>
          <cell r="H7000" t="str">
            <v>GNDR-G310</v>
          </cell>
          <cell r="K7000" t="str">
            <v>Weber,Brenda</v>
          </cell>
          <cell r="N7000">
            <v>3.7069999999999999</v>
          </cell>
          <cell r="O7000">
            <v>3.3530000000000002</v>
          </cell>
        </row>
        <row r="7001">
          <cell r="E7001" t="str">
            <v>GNDR</v>
          </cell>
          <cell r="F7001" t="str">
            <v>GNDR-G</v>
          </cell>
          <cell r="G7001">
            <v>350</v>
          </cell>
          <cell r="H7001" t="str">
            <v>GNDR-G350</v>
          </cell>
          <cell r="K7001" t="str">
            <v>Johnson,Colin R.</v>
          </cell>
          <cell r="N7001">
            <v>3.3730000000000002</v>
          </cell>
          <cell r="O7001">
            <v>3.1960000000000002</v>
          </cell>
        </row>
        <row r="7002">
          <cell r="E7002" t="str">
            <v>GNDR</v>
          </cell>
          <cell r="F7002" t="str">
            <v>GNDR-G</v>
          </cell>
          <cell r="G7002">
            <v>386</v>
          </cell>
          <cell r="H7002" t="str">
            <v>GNDR-G386</v>
          </cell>
          <cell r="K7002" t="str">
            <v>Allen,Judith Alison</v>
          </cell>
          <cell r="N7002">
            <v>3</v>
          </cell>
          <cell r="O7002">
            <v>3.0830000000000002</v>
          </cell>
        </row>
        <row r="7003">
          <cell r="E7003" t="str">
            <v>GNDR</v>
          </cell>
          <cell r="F7003" t="str">
            <v>GNDR-G</v>
          </cell>
          <cell r="G7003">
            <v>393</v>
          </cell>
          <cell r="H7003" t="str">
            <v>GNDR-G393</v>
          </cell>
          <cell r="K7003" t="str">
            <v>Allen,Judith Alison</v>
          </cell>
          <cell r="N7003">
            <v>3.052</v>
          </cell>
          <cell r="O7003">
            <v>3.0219999999999998</v>
          </cell>
        </row>
        <row r="7004">
          <cell r="E7004" t="str">
            <v>GNDR</v>
          </cell>
          <cell r="F7004" t="str">
            <v>GNDR-G</v>
          </cell>
          <cell r="G7004">
            <v>402</v>
          </cell>
          <cell r="H7004" t="str">
            <v>GNDR-G402</v>
          </cell>
          <cell r="K7004" t="str">
            <v>Davis,Dawn Rae</v>
          </cell>
          <cell r="N7004">
            <v>3.0670000000000002</v>
          </cell>
          <cell r="O7004">
            <v>3.093</v>
          </cell>
        </row>
        <row r="7005">
          <cell r="E7005" t="str">
            <v>GNDR</v>
          </cell>
          <cell r="F7005" t="str">
            <v>GNDR-G</v>
          </cell>
          <cell r="G7005">
            <v>402</v>
          </cell>
          <cell r="H7005" t="str">
            <v>GNDR-G402</v>
          </cell>
          <cell r="K7005" t="str">
            <v>Foster,Laura</v>
          </cell>
          <cell r="N7005">
            <v>3.6880000000000002</v>
          </cell>
          <cell r="O7005">
            <v>3.2639999999999998</v>
          </cell>
        </row>
        <row r="7006">
          <cell r="E7006" t="str">
            <v>GNDR</v>
          </cell>
          <cell r="F7006" t="str">
            <v>GNDR-G</v>
          </cell>
          <cell r="G7006">
            <v>402</v>
          </cell>
          <cell r="H7006" t="str">
            <v>GNDR-G402</v>
          </cell>
          <cell r="K7006" t="str">
            <v>Friedman,Sara Lizbeth</v>
          </cell>
          <cell r="N7006">
            <v>3.0289999999999999</v>
          </cell>
          <cell r="O7006">
            <v>3.081</v>
          </cell>
        </row>
        <row r="7007">
          <cell r="E7007" t="str">
            <v>GNDR</v>
          </cell>
          <cell r="F7007" t="str">
            <v>GNDR-G</v>
          </cell>
          <cell r="G7007">
            <v>402</v>
          </cell>
          <cell r="H7007" t="str">
            <v>GNDR-G402</v>
          </cell>
          <cell r="K7007" t="str">
            <v>Malti-Douglas,Fedwa</v>
          </cell>
          <cell r="N7007">
            <v>4</v>
          </cell>
          <cell r="O7007">
            <v>2.9580000000000002</v>
          </cell>
        </row>
        <row r="7008">
          <cell r="E7008" t="str">
            <v>GNDR</v>
          </cell>
          <cell r="F7008" t="str">
            <v>GNDR-G</v>
          </cell>
          <cell r="G7008">
            <v>410</v>
          </cell>
          <cell r="H7008" t="str">
            <v>GNDR-G410</v>
          </cell>
          <cell r="K7008" t="str">
            <v>Davis,Dawn Rae</v>
          </cell>
          <cell r="N7008">
            <v>3.464</v>
          </cell>
          <cell r="O7008">
            <v>3.4359999999999999</v>
          </cell>
        </row>
        <row r="7009">
          <cell r="E7009" t="str">
            <v>GNDR</v>
          </cell>
          <cell r="F7009" t="str">
            <v>GNDR-G</v>
          </cell>
          <cell r="G7009">
            <v>480</v>
          </cell>
          <cell r="H7009" t="str">
            <v>GNDR-G480</v>
          </cell>
          <cell r="K7009" t="str">
            <v>Horton-Stallings,Lamonda</v>
          </cell>
          <cell r="N7009" t="str">
            <v>NR</v>
          </cell>
          <cell r="O7009" t="str">
            <v>NR</v>
          </cell>
        </row>
        <row r="7010">
          <cell r="E7010" t="str">
            <v>GNDR</v>
          </cell>
          <cell r="F7010" t="str">
            <v>GNDR-G</v>
          </cell>
          <cell r="G7010">
            <v>495</v>
          </cell>
          <cell r="H7010" t="str">
            <v>GNDR-G495</v>
          </cell>
          <cell r="K7010" t="str">
            <v>Horton-Stallings,Lamonda</v>
          </cell>
          <cell r="N7010" t="str">
            <v>NR</v>
          </cell>
          <cell r="O7010" t="str">
            <v>NR</v>
          </cell>
        </row>
        <row r="7011">
          <cell r="E7011" t="str">
            <v>GNDR</v>
          </cell>
          <cell r="F7011" t="str">
            <v>GNDR-G</v>
          </cell>
          <cell r="G7011">
            <v>495</v>
          </cell>
          <cell r="H7011" t="str">
            <v>GNDR-G495</v>
          </cell>
          <cell r="K7011" t="str">
            <v>Johnson,Colin R.</v>
          </cell>
          <cell r="N7011" t="str">
            <v>NR</v>
          </cell>
          <cell r="O7011" t="str">
            <v>NR</v>
          </cell>
        </row>
        <row r="7012">
          <cell r="E7012" t="str">
            <v>GNDR</v>
          </cell>
          <cell r="F7012" t="str">
            <v>GNDR-G</v>
          </cell>
          <cell r="G7012">
            <v>495</v>
          </cell>
          <cell r="H7012" t="str">
            <v>GNDR-G495</v>
          </cell>
          <cell r="K7012" t="str">
            <v>Maher,Jennifer Elizabeth</v>
          </cell>
          <cell r="N7012" t="str">
            <v>NR</v>
          </cell>
          <cell r="O7012" t="str">
            <v>NR</v>
          </cell>
        </row>
        <row r="7013">
          <cell r="E7013" t="str">
            <v>GNDR</v>
          </cell>
          <cell r="F7013" t="str">
            <v>GNDR-G</v>
          </cell>
          <cell r="G7013">
            <v>495</v>
          </cell>
          <cell r="H7013" t="str">
            <v>GNDR-G495</v>
          </cell>
          <cell r="K7013" t="str">
            <v>Weber,Brenda</v>
          </cell>
          <cell r="N7013" t="str">
            <v>NR</v>
          </cell>
          <cell r="O7013" t="str">
            <v>NR</v>
          </cell>
        </row>
        <row r="7014">
          <cell r="E7014" t="str">
            <v>GNDR</v>
          </cell>
          <cell r="F7014" t="str">
            <v>GNDR-G</v>
          </cell>
          <cell r="G7014">
            <v>498</v>
          </cell>
          <cell r="H7014" t="str">
            <v>GNDR-G498</v>
          </cell>
          <cell r="K7014" t="str">
            <v>Malti-Douglas,Fedwa</v>
          </cell>
          <cell r="N7014">
            <v>3.4830000000000001</v>
          </cell>
          <cell r="O7014">
            <v>3.0230000000000001</v>
          </cell>
        </row>
        <row r="7015">
          <cell r="E7015" t="str">
            <v>GNDR</v>
          </cell>
          <cell r="F7015" t="str">
            <v>GNDR-G</v>
          </cell>
          <cell r="G7015">
            <v>498</v>
          </cell>
          <cell r="H7015" t="str">
            <v>GNDR-G498</v>
          </cell>
          <cell r="K7015" t="str">
            <v>Saitta,Alfio Sebastian</v>
          </cell>
          <cell r="N7015">
            <v>2.6139999999999999</v>
          </cell>
          <cell r="O7015">
            <v>3.0059999999999998</v>
          </cell>
        </row>
        <row r="7016">
          <cell r="E7016" t="str">
            <v>GNDR</v>
          </cell>
          <cell r="F7016" t="str">
            <v>GNDR-G</v>
          </cell>
          <cell r="G7016">
            <v>499</v>
          </cell>
          <cell r="H7016" t="str">
            <v>GNDR-G499</v>
          </cell>
          <cell r="K7016" t="str">
            <v>Horton-Stallings,Lamonda</v>
          </cell>
          <cell r="N7016" t="str">
            <v>NR</v>
          </cell>
          <cell r="O7016" t="str">
            <v>NR</v>
          </cell>
        </row>
        <row r="7017">
          <cell r="E7017" t="str">
            <v>GNDR</v>
          </cell>
          <cell r="F7017" t="str">
            <v>GNDR-G</v>
          </cell>
          <cell r="G7017">
            <v>600</v>
          </cell>
          <cell r="H7017" t="str">
            <v>GNDR-G600</v>
          </cell>
          <cell r="K7017" t="str">
            <v>Johnson,Colin R.</v>
          </cell>
          <cell r="N7017">
            <v>3.91</v>
          </cell>
          <cell r="O7017">
            <v>3.8639999999999999</v>
          </cell>
        </row>
        <row r="7018">
          <cell r="E7018" t="str">
            <v>GNDR</v>
          </cell>
          <cell r="F7018" t="str">
            <v>GNDR-G</v>
          </cell>
          <cell r="G7018">
            <v>603</v>
          </cell>
          <cell r="H7018" t="str">
            <v>GNDR-G603</v>
          </cell>
          <cell r="K7018" t="str">
            <v>Walters,Suzanna D.</v>
          </cell>
          <cell r="N7018">
            <v>3.5</v>
          </cell>
          <cell r="O7018">
            <v>3.819</v>
          </cell>
        </row>
        <row r="7019">
          <cell r="E7019" t="str">
            <v>GNDR</v>
          </cell>
          <cell r="F7019" t="str">
            <v>GNDR-G</v>
          </cell>
          <cell r="G7019">
            <v>695</v>
          </cell>
          <cell r="H7019" t="str">
            <v>GNDR-G695</v>
          </cell>
          <cell r="K7019" t="str">
            <v>Doty,Alex</v>
          </cell>
          <cell r="N7019" t="str">
            <v>NR</v>
          </cell>
          <cell r="O7019" t="str">
            <v>NR</v>
          </cell>
        </row>
        <row r="7020">
          <cell r="E7020" t="str">
            <v>GNDR</v>
          </cell>
          <cell r="F7020" t="str">
            <v>GNDR-G</v>
          </cell>
          <cell r="G7020">
            <v>695</v>
          </cell>
          <cell r="H7020" t="str">
            <v>GNDR-G695</v>
          </cell>
          <cell r="K7020" t="str">
            <v>Frazier,Lessie Jo</v>
          </cell>
          <cell r="N7020" t="str">
            <v>NR</v>
          </cell>
          <cell r="O7020" t="str">
            <v>NR</v>
          </cell>
        </row>
        <row r="7021">
          <cell r="E7021" t="str">
            <v>GNDR</v>
          </cell>
          <cell r="F7021" t="str">
            <v>GNDR-G</v>
          </cell>
          <cell r="G7021">
            <v>695</v>
          </cell>
          <cell r="H7021" t="str">
            <v>GNDR-G695</v>
          </cell>
          <cell r="K7021" t="str">
            <v>Sanders,Stephanie A.</v>
          </cell>
          <cell r="N7021" t="str">
            <v>NR</v>
          </cell>
          <cell r="O7021" t="str">
            <v>NR</v>
          </cell>
        </row>
        <row r="7022">
          <cell r="E7022" t="str">
            <v>GNDR</v>
          </cell>
          <cell r="F7022" t="str">
            <v>GNDR-G</v>
          </cell>
          <cell r="G7022">
            <v>695</v>
          </cell>
          <cell r="H7022" t="str">
            <v>GNDR-G695</v>
          </cell>
          <cell r="K7022" t="str">
            <v>Sanders,Stephanie A.</v>
          </cell>
          <cell r="N7022" t="str">
            <v>NR</v>
          </cell>
          <cell r="O7022" t="str">
            <v>NR</v>
          </cell>
        </row>
        <row r="7023">
          <cell r="E7023" t="str">
            <v>GNDR</v>
          </cell>
          <cell r="F7023" t="str">
            <v>GNDR-G</v>
          </cell>
          <cell r="G7023">
            <v>695</v>
          </cell>
          <cell r="H7023" t="str">
            <v>GNDR-G695</v>
          </cell>
          <cell r="K7023" t="str">
            <v>Walters,Suzanna D.</v>
          </cell>
          <cell r="N7023" t="str">
            <v>NR</v>
          </cell>
          <cell r="O7023" t="str">
            <v>NR</v>
          </cell>
        </row>
        <row r="7024">
          <cell r="E7024" t="str">
            <v>GNDR</v>
          </cell>
          <cell r="F7024" t="str">
            <v>GNDR-G</v>
          </cell>
          <cell r="G7024">
            <v>695</v>
          </cell>
          <cell r="H7024" t="str">
            <v>GNDR-G695</v>
          </cell>
          <cell r="K7024" t="str">
            <v>Weber,Brenda</v>
          </cell>
          <cell r="N7024" t="str">
            <v>NR</v>
          </cell>
          <cell r="O7024" t="str">
            <v>NR</v>
          </cell>
        </row>
        <row r="7025">
          <cell r="E7025" t="str">
            <v>GNDR</v>
          </cell>
          <cell r="F7025" t="str">
            <v>GNDR-G</v>
          </cell>
          <cell r="G7025">
            <v>696</v>
          </cell>
          <cell r="H7025" t="str">
            <v>GNDR-G696</v>
          </cell>
          <cell r="K7025" t="str">
            <v>Sanders,Stephanie A.</v>
          </cell>
          <cell r="N7025" t="str">
            <v>NR</v>
          </cell>
          <cell r="O7025" t="str">
            <v>NR</v>
          </cell>
        </row>
        <row r="7026">
          <cell r="E7026" t="str">
            <v>GNDR</v>
          </cell>
          <cell r="F7026" t="str">
            <v>GNDR-G</v>
          </cell>
          <cell r="G7026">
            <v>696</v>
          </cell>
          <cell r="H7026" t="str">
            <v>GNDR-G696</v>
          </cell>
          <cell r="K7026" t="str">
            <v>Sanders,Stephanie A.</v>
          </cell>
          <cell r="N7026" t="str">
            <v>NR</v>
          </cell>
          <cell r="O7026" t="str">
            <v>NR</v>
          </cell>
        </row>
        <row r="7027">
          <cell r="E7027" t="str">
            <v>GNDR</v>
          </cell>
          <cell r="F7027" t="str">
            <v>GNDR-G</v>
          </cell>
          <cell r="G7027">
            <v>701</v>
          </cell>
          <cell r="H7027" t="str">
            <v>GNDR-G701</v>
          </cell>
          <cell r="K7027" t="str">
            <v>Breger,Claudia</v>
          </cell>
          <cell r="N7027" t="str">
            <v>NR</v>
          </cell>
          <cell r="O7027" t="str">
            <v>NR</v>
          </cell>
        </row>
        <row r="7028">
          <cell r="E7028" t="str">
            <v>GNDR</v>
          </cell>
          <cell r="F7028" t="str">
            <v>GNDR-G</v>
          </cell>
          <cell r="G7028">
            <v>701</v>
          </cell>
          <cell r="H7028" t="str">
            <v>GNDR-G701</v>
          </cell>
          <cell r="K7028" t="str">
            <v>Horton-Stallings,Lamonda</v>
          </cell>
          <cell r="N7028">
            <v>3.9</v>
          </cell>
          <cell r="O7028">
            <v>3.8050000000000002</v>
          </cell>
        </row>
        <row r="7029">
          <cell r="E7029" t="str">
            <v>GNDR</v>
          </cell>
          <cell r="F7029" t="str">
            <v>GNDR-G</v>
          </cell>
          <cell r="G7029">
            <v>701</v>
          </cell>
          <cell r="H7029" t="str">
            <v>GNDR-G701</v>
          </cell>
          <cell r="K7029" t="str">
            <v>Malatino,Hilary J</v>
          </cell>
          <cell r="N7029" t="str">
            <v>NR</v>
          </cell>
          <cell r="O7029" t="str">
            <v>NR</v>
          </cell>
        </row>
        <row r="7030">
          <cell r="E7030" t="str">
            <v>GNDR</v>
          </cell>
          <cell r="F7030" t="str">
            <v>GNDR-G</v>
          </cell>
          <cell r="G7030">
            <v>701</v>
          </cell>
          <cell r="H7030" t="str">
            <v>GNDR-G701</v>
          </cell>
          <cell r="K7030" t="str">
            <v>Ross,Heidi Ann</v>
          </cell>
          <cell r="N7030" t="str">
            <v>NR</v>
          </cell>
          <cell r="O7030" t="str">
            <v>NR</v>
          </cell>
        </row>
        <row r="7031">
          <cell r="E7031" t="str">
            <v>GNDR</v>
          </cell>
          <cell r="F7031" t="str">
            <v>GNDR-G</v>
          </cell>
          <cell r="G7031">
            <v>702</v>
          </cell>
          <cell r="H7031" t="str">
            <v>GNDR-G702</v>
          </cell>
          <cell r="K7031" t="str">
            <v>Bailey,Marlon M</v>
          </cell>
          <cell r="N7031">
            <v>3.891</v>
          </cell>
          <cell r="O7031">
            <v>3.8679999999999999</v>
          </cell>
        </row>
        <row r="7032">
          <cell r="E7032" t="str">
            <v>GNDR</v>
          </cell>
          <cell r="F7032" t="str">
            <v>GNDR-G</v>
          </cell>
          <cell r="G7032">
            <v>704</v>
          </cell>
          <cell r="H7032" t="str">
            <v>GNDR-G704</v>
          </cell>
          <cell r="K7032" t="str">
            <v>Bailey,Marlon M</v>
          </cell>
          <cell r="N7032">
            <v>3.35</v>
          </cell>
          <cell r="O7032">
            <v>3.7970000000000002</v>
          </cell>
        </row>
        <row r="7033">
          <cell r="E7033" t="str">
            <v>GNDR</v>
          </cell>
          <cell r="F7033" t="str">
            <v>GNDR-G</v>
          </cell>
          <cell r="G7033">
            <v>710</v>
          </cell>
          <cell r="H7033" t="str">
            <v>GNDR-G710</v>
          </cell>
          <cell r="K7033" t="str">
            <v>Sanders,Stephanie A.</v>
          </cell>
          <cell r="N7033">
            <v>3.97</v>
          </cell>
          <cell r="O7033">
            <v>3.879</v>
          </cell>
        </row>
        <row r="7034">
          <cell r="E7034" t="str">
            <v>GNDR</v>
          </cell>
          <cell r="F7034" t="str">
            <v>GNDR-G</v>
          </cell>
          <cell r="G7034">
            <v>899</v>
          </cell>
          <cell r="H7034" t="str">
            <v>GNDR-G899</v>
          </cell>
          <cell r="K7034" t="str">
            <v>Sanders,Stephanie A.</v>
          </cell>
          <cell r="N7034" t="str">
            <v>NR</v>
          </cell>
          <cell r="O7034" t="str">
            <v>NR</v>
          </cell>
        </row>
        <row r="7035">
          <cell r="E7035" t="str">
            <v>GNDR</v>
          </cell>
          <cell r="F7035" t="str">
            <v>GNDR-G</v>
          </cell>
          <cell r="G7035">
            <v>899</v>
          </cell>
          <cell r="H7035" t="str">
            <v>GNDR-G899</v>
          </cell>
          <cell r="K7035" t="str">
            <v>Weber,Brenda</v>
          </cell>
          <cell r="N7035" t="str">
            <v>NR</v>
          </cell>
          <cell r="O7035" t="str">
            <v>NR</v>
          </cell>
        </row>
        <row r="7036">
          <cell r="E7036" t="str">
            <v>GNDR</v>
          </cell>
          <cell r="F7036" t="str">
            <v>GNDR-G</v>
          </cell>
          <cell r="G7036">
            <v>901</v>
          </cell>
          <cell r="H7036" t="str">
            <v>GNDR-G901</v>
          </cell>
          <cell r="K7036" t="str">
            <v>Sanders,Stephanie A.</v>
          </cell>
          <cell r="N7036" t="str">
            <v>NR</v>
          </cell>
          <cell r="O7036" t="str">
            <v>NR</v>
          </cell>
        </row>
        <row r="7037">
          <cell r="E7037" t="str">
            <v>GNDR</v>
          </cell>
          <cell r="F7037" t="str">
            <v>GNDR-G</v>
          </cell>
          <cell r="G7037">
            <v>901</v>
          </cell>
          <cell r="H7037" t="str">
            <v>GNDR-G901</v>
          </cell>
          <cell r="K7037" t="str">
            <v>Weber,Brenda</v>
          </cell>
          <cell r="N7037" t="str">
            <v>NR</v>
          </cell>
          <cell r="O7037" t="str">
            <v>NR</v>
          </cell>
        </row>
        <row r="7038">
          <cell r="E7038" t="str">
            <v>GRAD</v>
          </cell>
          <cell r="F7038" t="str">
            <v>GRAD-G</v>
          </cell>
          <cell r="G7038">
            <v>515</v>
          </cell>
          <cell r="H7038" t="str">
            <v>GRAD-G515</v>
          </cell>
          <cell r="K7038" t="str">
            <v>Brondizio,Eduardo Sonnewend</v>
          </cell>
          <cell r="N7038" t="str">
            <v>NR</v>
          </cell>
          <cell r="O7038" t="str">
            <v>NR</v>
          </cell>
        </row>
        <row r="7039">
          <cell r="E7039" t="str">
            <v>GRAD</v>
          </cell>
          <cell r="F7039" t="str">
            <v>GRAD-G</v>
          </cell>
          <cell r="G7039">
            <v>597</v>
          </cell>
          <cell r="H7039" t="str">
            <v>GRAD-G597</v>
          </cell>
          <cell r="K7039" t="str">
            <v>Zaret,David</v>
          </cell>
          <cell r="N7039" t="str">
            <v>NR</v>
          </cell>
          <cell r="O7039" t="str">
            <v>NR</v>
          </cell>
        </row>
        <row r="7040">
          <cell r="E7040" t="str">
            <v>GRAD</v>
          </cell>
          <cell r="F7040" t="str">
            <v>GRAD-G</v>
          </cell>
          <cell r="G7040">
            <v>597</v>
          </cell>
          <cell r="H7040" t="str">
            <v>GRAD-G597</v>
          </cell>
          <cell r="K7040" t="str">
            <v>Zaret,David</v>
          </cell>
          <cell r="N7040" t="str">
            <v>NR</v>
          </cell>
          <cell r="O7040" t="str">
            <v>NR</v>
          </cell>
        </row>
        <row r="7041">
          <cell r="E7041" t="str">
            <v>GRAD</v>
          </cell>
          <cell r="F7041" t="str">
            <v>GRAD-G</v>
          </cell>
          <cell r="G7041">
            <v>597</v>
          </cell>
          <cell r="H7041" t="str">
            <v>GRAD-G597</v>
          </cell>
          <cell r="K7041" t="str">
            <v>Zaret,David</v>
          </cell>
          <cell r="N7041" t="str">
            <v>NR</v>
          </cell>
          <cell r="O7041" t="str">
            <v>NR</v>
          </cell>
        </row>
        <row r="7042">
          <cell r="E7042" t="str">
            <v>GRAD</v>
          </cell>
          <cell r="F7042" t="str">
            <v>GRAD-G</v>
          </cell>
          <cell r="G7042">
            <v>597</v>
          </cell>
          <cell r="H7042" t="str">
            <v>GRAD-G597</v>
          </cell>
          <cell r="K7042" t="str">
            <v>Zaret,David</v>
          </cell>
          <cell r="N7042" t="str">
            <v>NR</v>
          </cell>
          <cell r="O7042" t="str">
            <v>NR</v>
          </cell>
        </row>
        <row r="7043">
          <cell r="E7043" t="str">
            <v>GRAD</v>
          </cell>
          <cell r="F7043" t="str">
            <v>GRAD-G</v>
          </cell>
          <cell r="G7043">
            <v>741</v>
          </cell>
          <cell r="H7043" t="str">
            <v>GRAD-G741</v>
          </cell>
          <cell r="K7043" t="str">
            <v>Major,Lesa Hatley</v>
          </cell>
          <cell r="N7043" t="str">
            <v>NR</v>
          </cell>
          <cell r="O7043" t="str">
            <v>NR</v>
          </cell>
        </row>
        <row r="7044">
          <cell r="E7044" t="str">
            <v>GRAD</v>
          </cell>
          <cell r="F7044" t="str">
            <v>GRAD-G</v>
          </cell>
          <cell r="G7044">
            <v>741</v>
          </cell>
          <cell r="H7044" t="str">
            <v>GRAD-G741</v>
          </cell>
          <cell r="K7044" t="str">
            <v>Martin,Shannon R</v>
          </cell>
          <cell r="N7044" t="str">
            <v>NR</v>
          </cell>
          <cell r="O7044" t="str">
            <v>NR</v>
          </cell>
        </row>
        <row r="7045">
          <cell r="E7045" t="str">
            <v>GRAD</v>
          </cell>
          <cell r="F7045" t="str">
            <v>GRAD-G</v>
          </cell>
          <cell r="G7045">
            <v>741</v>
          </cell>
          <cell r="H7045" t="str">
            <v>GRAD-G741</v>
          </cell>
          <cell r="K7045" t="str">
            <v>Sawhney,Harmeet</v>
          </cell>
          <cell r="N7045" t="str">
            <v>NR</v>
          </cell>
          <cell r="O7045" t="str">
            <v>NR</v>
          </cell>
        </row>
        <row r="7046">
          <cell r="E7046" t="str">
            <v>GRAD</v>
          </cell>
          <cell r="F7046" t="str">
            <v>GRAD-G</v>
          </cell>
          <cell r="G7046">
            <v>741</v>
          </cell>
          <cell r="H7046" t="str">
            <v>GRAD-G741</v>
          </cell>
          <cell r="K7046" t="str">
            <v>Sawhney,Harmeet</v>
          </cell>
          <cell r="N7046" t="str">
            <v>NR</v>
          </cell>
          <cell r="O7046" t="str">
            <v>NR</v>
          </cell>
        </row>
        <row r="7047">
          <cell r="E7047" t="str">
            <v>GRAD</v>
          </cell>
          <cell r="F7047" t="str">
            <v>GRAD-G</v>
          </cell>
          <cell r="G7047">
            <v>888</v>
          </cell>
          <cell r="H7047" t="str">
            <v>GRAD-G888</v>
          </cell>
          <cell r="K7047" t="str">
            <v>Smith,Jody</v>
          </cell>
          <cell r="N7047" t="str">
            <v>NR</v>
          </cell>
          <cell r="O7047" t="str">
            <v>NR</v>
          </cell>
        </row>
        <row r="7048">
          <cell r="E7048" t="str">
            <v>GRAD</v>
          </cell>
          <cell r="F7048" t="str">
            <v>GRAD-G</v>
          </cell>
          <cell r="G7048">
            <v>889</v>
          </cell>
          <cell r="H7048" t="str">
            <v>GRAD-G889</v>
          </cell>
          <cell r="K7048" t="str">
            <v>Smith,Jody</v>
          </cell>
          <cell r="N7048" t="str">
            <v>NR</v>
          </cell>
          <cell r="O7048" t="str">
            <v>NR</v>
          </cell>
        </row>
        <row r="7049">
          <cell r="E7049" t="str">
            <v>GRAD</v>
          </cell>
          <cell r="F7049" t="str">
            <v>GRAD-I</v>
          </cell>
          <cell r="G7049">
            <v>701</v>
          </cell>
          <cell r="H7049" t="str">
            <v>GRAD-I701</v>
          </cell>
          <cell r="K7049" t="str">
            <v>Kahn,Hilary E</v>
          </cell>
          <cell r="N7049">
            <v>3.65</v>
          </cell>
          <cell r="O7049">
            <v>3.7839999999999998</v>
          </cell>
        </row>
        <row r="7050">
          <cell r="E7050" t="str">
            <v>GRAD</v>
          </cell>
          <cell r="F7050" t="str">
            <v>GRAD-I</v>
          </cell>
          <cell r="G7050">
            <v>702</v>
          </cell>
          <cell r="H7050" t="str">
            <v>GRAD-I702</v>
          </cell>
          <cell r="K7050" t="str">
            <v>Kahn,Hilary E</v>
          </cell>
          <cell r="N7050" t="str">
            <v>NR</v>
          </cell>
          <cell r="O7050" t="str">
            <v>NR</v>
          </cell>
        </row>
        <row r="7051">
          <cell r="E7051" t="str">
            <v>GRAD</v>
          </cell>
          <cell r="F7051" t="str">
            <v>GRAD-I</v>
          </cell>
          <cell r="G7051">
            <v>702</v>
          </cell>
          <cell r="H7051" t="str">
            <v>GRAD-I702</v>
          </cell>
          <cell r="K7051" t="str">
            <v>Kahn,Hilary E</v>
          </cell>
          <cell r="N7051" t="str">
            <v>NR</v>
          </cell>
          <cell r="O7051" t="str">
            <v>NR</v>
          </cell>
        </row>
        <row r="7052">
          <cell r="E7052" t="str">
            <v>GRAD</v>
          </cell>
          <cell r="F7052" t="str">
            <v>GRAD-L</v>
          </cell>
          <cell r="G7052">
            <v>800</v>
          </cell>
          <cell r="H7052" t="str">
            <v>GRAD-L800</v>
          </cell>
          <cell r="K7052" t="str">
            <v>Knudsen,Daniel Curtis</v>
          </cell>
          <cell r="N7052" t="str">
            <v>NR</v>
          </cell>
          <cell r="O7052" t="str">
            <v>NR</v>
          </cell>
        </row>
        <row r="7053">
          <cell r="E7053" t="str">
            <v>GRAD</v>
          </cell>
          <cell r="F7053" t="str">
            <v>GRAD-L</v>
          </cell>
          <cell r="G7053">
            <v>830</v>
          </cell>
          <cell r="H7053" t="str">
            <v>GRAD-L830</v>
          </cell>
          <cell r="K7053" t="str">
            <v>Knudsen,Daniel Curtis</v>
          </cell>
          <cell r="N7053" t="str">
            <v>NR</v>
          </cell>
          <cell r="O7053" t="str">
            <v>NR</v>
          </cell>
        </row>
        <row r="7054">
          <cell r="E7054" t="str">
            <v>HISP</v>
          </cell>
          <cell r="F7054" t="str">
            <v>HISP-C</v>
          </cell>
          <cell r="G7054">
            <v>105</v>
          </cell>
          <cell r="H7054" t="str">
            <v>HISP-C105</v>
          </cell>
          <cell r="K7054" t="str">
            <v>Sobrer,Josep Miquel</v>
          </cell>
          <cell r="N7054">
            <v>2.9820000000000002</v>
          </cell>
          <cell r="O7054">
            <v>3.1019999999999999</v>
          </cell>
        </row>
        <row r="7055">
          <cell r="E7055" t="str">
            <v>HISP</v>
          </cell>
          <cell r="F7055" t="str">
            <v>HISP-C</v>
          </cell>
          <cell r="G7055">
            <v>491</v>
          </cell>
          <cell r="H7055" t="str">
            <v>HISP-C491</v>
          </cell>
          <cell r="K7055" t="str">
            <v>Sobrer,Josep Miquel</v>
          </cell>
          <cell r="N7055" t="str">
            <v>NR</v>
          </cell>
          <cell r="O7055" t="str">
            <v>NR</v>
          </cell>
        </row>
        <row r="7056">
          <cell r="E7056" t="str">
            <v>HISP</v>
          </cell>
          <cell r="F7056" t="str">
            <v>HISP-C</v>
          </cell>
          <cell r="G7056">
            <v>492</v>
          </cell>
          <cell r="H7056" t="str">
            <v>HISP-C492</v>
          </cell>
          <cell r="K7056" t="str">
            <v>Illas,Edgar</v>
          </cell>
          <cell r="N7056" t="str">
            <v>NR</v>
          </cell>
          <cell r="O7056" t="str">
            <v>NR</v>
          </cell>
        </row>
        <row r="7057">
          <cell r="E7057" t="str">
            <v>HISP</v>
          </cell>
          <cell r="F7057" t="str">
            <v>HISP-C</v>
          </cell>
          <cell r="G7057">
            <v>618</v>
          </cell>
          <cell r="H7057" t="str">
            <v>HISP-C618</v>
          </cell>
          <cell r="K7057" t="str">
            <v>Illas,Edgar</v>
          </cell>
          <cell r="N7057" t="str">
            <v>NR</v>
          </cell>
          <cell r="O7057" t="str">
            <v>NR</v>
          </cell>
        </row>
        <row r="7058">
          <cell r="E7058" t="str">
            <v>HISP</v>
          </cell>
          <cell r="F7058" t="str">
            <v>HISP-G</v>
          </cell>
          <cell r="G7058">
            <v>901</v>
          </cell>
          <cell r="H7058" t="str">
            <v>HISP-G901</v>
          </cell>
          <cell r="K7058" t="str">
            <v>Dove,Patrick E</v>
          </cell>
          <cell r="N7058" t="str">
            <v>NR</v>
          </cell>
          <cell r="O7058" t="str">
            <v>NR</v>
          </cell>
        </row>
        <row r="7059">
          <cell r="E7059" t="str">
            <v>HISP</v>
          </cell>
          <cell r="F7059" t="str">
            <v>HISP-G</v>
          </cell>
          <cell r="G7059">
            <v>901</v>
          </cell>
          <cell r="H7059" t="str">
            <v>HISP-G901</v>
          </cell>
          <cell r="K7059" t="str">
            <v>Dove,Patrick E</v>
          </cell>
          <cell r="N7059" t="str">
            <v>NR</v>
          </cell>
          <cell r="O7059" t="str">
            <v>NR</v>
          </cell>
        </row>
        <row r="7060">
          <cell r="E7060" t="str">
            <v>HISP</v>
          </cell>
          <cell r="F7060" t="str">
            <v>HISP-OS</v>
          </cell>
          <cell r="G7060">
            <v>100</v>
          </cell>
          <cell r="H7060" t="str">
            <v>HISP-OS100</v>
          </cell>
          <cell r="N7060" t="str">
            <v>NR</v>
          </cell>
          <cell r="O7060" t="str">
            <v>NR</v>
          </cell>
        </row>
        <row r="7061">
          <cell r="E7061" t="str">
            <v>HISP</v>
          </cell>
          <cell r="F7061" t="str">
            <v>HISP-P</v>
          </cell>
          <cell r="G7061">
            <v>100</v>
          </cell>
          <cell r="H7061" t="str">
            <v>HISP-P100</v>
          </cell>
          <cell r="K7061" t="str">
            <v>Salzano,Olivia Holloway</v>
          </cell>
          <cell r="N7061">
            <v>2.665</v>
          </cell>
          <cell r="O7061">
            <v>2.843</v>
          </cell>
        </row>
        <row r="7062">
          <cell r="E7062" t="str">
            <v>HISP</v>
          </cell>
          <cell r="F7062" t="str">
            <v>HISP-P</v>
          </cell>
          <cell r="G7062">
            <v>135</v>
          </cell>
          <cell r="H7062" t="str">
            <v>HISP-P135</v>
          </cell>
          <cell r="K7062" t="str">
            <v>Guimaraes,Maria Cintra</v>
          </cell>
          <cell r="N7062">
            <v>3.5150000000000001</v>
          </cell>
          <cell r="O7062">
            <v>3.3889999999999998</v>
          </cell>
        </row>
        <row r="7063">
          <cell r="E7063" t="str">
            <v>HISP</v>
          </cell>
          <cell r="F7063" t="str">
            <v>HISP-P</v>
          </cell>
          <cell r="G7063">
            <v>135</v>
          </cell>
          <cell r="H7063" t="str">
            <v>HISP-P135</v>
          </cell>
          <cell r="K7063" t="str">
            <v>Guimaraes,Maria Cintra</v>
          </cell>
          <cell r="N7063">
            <v>3.319</v>
          </cell>
          <cell r="O7063">
            <v>3.3740000000000001</v>
          </cell>
        </row>
        <row r="7064">
          <cell r="E7064" t="str">
            <v>HISP</v>
          </cell>
          <cell r="F7064" t="str">
            <v>HISP-P</v>
          </cell>
          <cell r="G7064">
            <v>135</v>
          </cell>
          <cell r="H7064" t="str">
            <v>HISP-P135</v>
          </cell>
          <cell r="K7064" t="str">
            <v>Salzano,Olivia Holloway</v>
          </cell>
          <cell r="N7064">
            <v>3.3860000000000001</v>
          </cell>
          <cell r="O7064">
            <v>3.3679999999999999</v>
          </cell>
        </row>
        <row r="7065">
          <cell r="E7065" t="str">
            <v>HISP</v>
          </cell>
          <cell r="F7065" t="str">
            <v>HISP-P</v>
          </cell>
          <cell r="G7065">
            <v>150</v>
          </cell>
          <cell r="H7065" t="str">
            <v>HISP-P150</v>
          </cell>
          <cell r="K7065" t="str">
            <v>Guimaraes,Maria Cintra</v>
          </cell>
          <cell r="N7065">
            <v>2.7269999999999999</v>
          </cell>
          <cell r="O7065">
            <v>2.915</v>
          </cell>
        </row>
        <row r="7066">
          <cell r="E7066" t="str">
            <v>HISP</v>
          </cell>
          <cell r="F7066" t="str">
            <v>HISP-P</v>
          </cell>
          <cell r="G7066">
            <v>200</v>
          </cell>
          <cell r="H7066" t="str">
            <v>HISP-P200</v>
          </cell>
          <cell r="K7066" t="str">
            <v>Guimaraes,Maria Cintra</v>
          </cell>
          <cell r="N7066">
            <v>2.9260000000000002</v>
          </cell>
          <cell r="O7066">
            <v>3.1019999999999999</v>
          </cell>
        </row>
        <row r="7067">
          <cell r="E7067" t="str">
            <v>HISP</v>
          </cell>
          <cell r="F7067" t="str">
            <v>HISP-P</v>
          </cell>
          <cell r="G7067">
            <v>250</v>
          </cell>
          <cell r="H7067" t="str">
            <v>HISP-P250</v>
          </cell>
          <cell r="K7067" t="str">
            <v>Castro,Vania A.</v>
          </cell>
          <cell r="N7067">
            <v>3.0169999999999999</v>
          </cell>
          <cell r="O7067">
            <v>3.367</v>
          </cell>
        </row>
        <row r="7068">
          <cell r="E7068" t="str">
            <v>HISP</v>
          </cell>
          <cell r="F7068" t="str">
            <v>HISP-P</v>
          </cell>
          <cell r="G7068">
            <v>311</v>
          </cell>
          <cell r="H7068" t="str">
            <v>HISP-P311</v>
          </cell>
          <cell r="K7068" t="str">
            <v>Castro,Vania A.</v>
          </cell>
          <cell r="N7068">
            <v>3.0830000000000002</v>
          </cell>
          <cell r="O7068">
            <v>3.21</v>
          </cell>
        </row>
        <row r="7069">
          <cell r="E7069" t="str">
            <v>HISP</v>
          </cell>
          <cell r="F7069" t="str">
            <v>HISP-P</v>
          </cell>
          <cell r="G7069">
            <v>317</v>
          </cell>
          <cell r="H7069" t="str">
            <v>HISP-P317</v>
          </cell>
          <cell r="K7069" t="str">
            <v>Castro,Vania A.</v>
          </cell>
          <cell r="N7069">
            <v>3.1</v>
          </cell>
          <cell r="O7069">
            <v>3.2010000000000001</v>
          </cell>
        </row>
        <row r="7070">
          <cell r="E7070" t="str">
            <v>HISP</v>
          </cell>
          <cell r="F7070" t="str">
            <v>HISP-P</v>
          </cell>
          <cell r="G7070">
            <v>401</v>
          </cell>
          <cell r="H7070" t="str">
            <v>HISP-P401</v>
          </cell>
          <cell r="K7070" t="str">
            <v>Namorato,Luciana</v>
          </cell>
          <cell r="N7070">
            <v>3.5169999999999999</v>
          </cell>
          <cell r="O7070">
            <v>3.6469999999999998</v>
          </cell>
        </row>
        <row r="7071">
          <cell r="E7071" t="str">
            <v>HISP</v>
          </cell>
          <cell r="F7071" t="str">
            <v>HISP-P</v>
          </cell>
          <cell r="G7071">
            <v>405</v>
          </cell>
          <cell r="H7071" t="str">
            <v>HISP-P405</v>
          </cell>
          <cell r="K7071" t="str">
            <v>Sadlier,Darlene J.</v>
          </cell>
          <cell r="N7071" t="str">
            <v>NR</v>
          </cell>
          <cell r="O7071" t="str">
            <v>NR</v>
          </cell>
        </row>
        <row r="7072">
          <cell r="E7072" t="str">
            <v>HISP</v>
          </cell>
          <cell r="F7072" t="str">
            <v>HISP-P</v>
          </cell>
          <cell r="G7072">
            <v>412</v>
          </cell>
          <cell r="H7072" t="str">
            <v>HISP-P412</v>
          </cell>
          <cell r="K7072" t="str">
            <v>Sadlier,Darlene J.</v>
          </cell>
          <cell r="N7072" t="str">
            <v>NR</v>
          </cell>
          <cell r="O7072" t="str">
            <v>NR</v>
          </cell>
        </row>
        <row r="7073">
          <cell r="E7073" t="str">
            <v>HISP</v>
          </cell>
          <cell r="F7073" t="str">
            <v>HISP-P</v>
          </cell>
          <cell r="G7073">
            <v>475</v>
          </cell>
          <cell r="H7073" t="str">
            <v>HISP-P475</v>
          </cell>
          <cell r="K7073" t="str">
            <v>Namorato,Luciana</v>
          </cell>
          <cell r="N7073" t="str">
            <v>NR</v>
          </cell>
          <cell r="O7073" t="str">
            <v>NR</v>
          </cell>
        </row>
        <row r="7074">
          <cell r="E7074" t="str">
            <v>HISP</v>
          </cell>
          <cell r="F7074" t="str">
            <v>HISP-P</v>
          </cell>
          <cell r="G7074">
            <v>491</v>
          </cell>
          <cell r="H7074" t="str">
            <v>HISP-P491</v>
          </cell>
          <cell r="K7074" t="str">
            <v>Guimaraes,Maria Cintra</v>
          </cell>
          <cell r="N7074" t="str">
            <v>NR</v>
          </cell>
          <cell r="O7074" t="str">
            <v>NR</v>
          </cell>
        </row>
        <row r="7075">
          <cell r="E7075" t="str">
            <v>HISP</v>
          </cell>
          <cell r="F7075" t="str">
            <v>HISP-P</v>
          </cell>
          <cell r="G7075">
            <v>492</v>
          </cell>
          <cell r="H7075" t="str">
            <v>HISP-P492</v>
          </cell>
          <cell r="K7075" t="str">
            <v>Castro,Vania A.</v>
          </cell>
          <cell r="N7075" t="str">
            <v>NR</v>
          </cell>
          <cell r="O7075" t="str">
            <v>NR</v>
          </cell>
        </row>
        <row r="7076">
          <cell r="E7076" t="str">
            <v>HISP</v>
          </cell>
          <cell r="F7076" t="str">
            <v>HISP-P</v>
          </cell>
          <cell r="G7076">
            <v>492</v>
          </cell>
          <cell r="H7076" t="str">
            <v>HISP-P492</v>
          </cell>
          <cell r="K7076" t="str">
            <v>Castro,Vania A.</v>
          </cell>
          <cell r="N7076" t="str">
            <v>NR</v>
          </cell>
          <cell r="O7076" t="str">
            <v>NR</v>
          </cell>
        </row>
        <row r="7077">
          <cell r="E7077" t="str">
            <v>HISP</v>
          </cell>
          <cell r="F7077" t="str">
            <v>HISP-P</v>
          </cell>
          <cell r="G7077">
            <v>494</v>
          </cell>
          <cell r="H7077" t="str">
            <v>HISP-P494</v>
          </cell>
          <cell r="K7077" t="str">
            <v>Sadlier,Darlene J.</v>
          </cell>
          <cell r="N7077" t="str">
            <v>NR</v>
          </cell>
          <cell r="O7077" t="str">
            <v>NR</v>
          </cell>
        </row>
        <row r="7078">
          <cell r="E7078" t="str">
            <v>HISP</v>
          </cell>
          <cell r="F7078" t="str">
            <v>HISP-P</v>
          </cell>
          <cell r="G7078">
            <v>498</v>
          </cell>
          <cell r="H7078" t="str">
            <v>HISP-P498</v>
          </cell>
          <cell r="K7078" t="str">
            <v>Vieira,Estela</v>
          </cell>
          <cell r="N7078" t="str">
            <v>NR</v>
          </cell>
          <cell r="O7078" t="str">
            <v>NR</v>
          </cell>
        </row>
        <row r="7079">
          <cell r="E7079" t="str">
            <v>HISP</v>
          </cell>
          <cell r="F7079" t="str">
            <v>HISP-P</v>
          </cell>
          <cell r="G7079">
            <v>501</v>
          </cell>
          <cell r="H7079" t="str">
            <v>HISP-P501</v>
          </cell>
          <cell r="K7079" t="str">
            <v>Namorato,Luciana</v>
          </cell>
          <cell r="N7079">
            <v>3.7290000000000001</v>
          </cell>
          <cell r="O7079">
            <v>3.8210000000000002</v>
          </cell>
        </row>
        <row r="7080">
          <cell r="E7080" t="str">
            <v>HISP</v>
          </cell>
          <cell r="F7080" t="str">
            <v>HISP-P</v>
          </cell>
          <cell r="G7080">
            <v>505</v>
          </cell>
          <cell r="H7080" t="str">
            <v>HISP-P505</v>
          </cell>
          <cell r="K7080" t="str">
            <v>Sadlier,Darlene J.</v>
          </cell>
          <cell r="N7080">
            <v>3.87</v>
          </cell>
          <cell r="O7080">
            <v>3.85</v>
          </cell>
        </row>
        <row r="7081">
          <cell r="E7081" t="str">
            <v>HISP</v>
          </cell>
          <cell r="F7081" t="str">
            <v>HISP-P</v>
          </cell>
          <cell r="G7081">
            <v>512</v>
          </cell>
          <cell r="H7081" t="str">
            <v>HISP-P512</v>
          </cell>
          <cell r="K7081" t="str">
            <v>Sadlier,Darlene J.</v>
          </cell>
          <cell r="N7081" t="str">
            <v>NR</v>
          </cell>
          <cell r="O7081" t="str">
            <v>NR</v>
          </cell>
        </row>
        <row r="7082">
          <cell r="E7082" t="str">
            <v>HISP</v>
          </cell>
          <cell r="F7082" t="str">
            <v>HISP-P</v>
          </cell>
          <cell r="G7082">
            <v>570</v>
          </cell>
          <cell r="H7082" t="str">
            <v>HISP-P570</v>
          </cell>
          <cell r="K7082" t="str">
            <v>Vieira,Estela</v>
          </cell>
          <cell r="N7082" t="str">
            <v>NR</v>
          </cell>
          <cell r="O7082" t="str">
            <v>NR</v>
          </cell>
        </row>
        <row r="7083">
          <cell r="E7083" t="str">
            <v>HISP</v>
          </cell>
          <cell r="F7083" t="str">
            <v>HISP-P</v>
          </cell>
          <cell r="G7083">
            <v>575</v>
          </cell>
          <cell r="H7083" t="str">
            <v>HISP-P575</v>
          </cell>
          <cell r="K7083" t="str">
            <v>Namorato,Luciana</v>
          </cell>
          <cell r="N7083" t="str">
            <v>NR</v>
          </cell>
          <cell r="O7083" t="str">
            <v>NR</v>
          </cell>
        </row>
        <row r="7084">
          <cell r="E7084" t="str">
            <v>HISP</v>
          </cell>
          <cell r="F7084" t="str">
            <v>HISP-P</v>
          </cell>
          <cell r="G7084">
            <v>805</v>
          </cell>
          <cell r="H7084" t="str">
            <v>HISP-P805</v>
          </cell>
          <cell r="K7084" t="str">
            <v>Sadlier,Darlene J.</v>
          </cell>
          <cell r="N7084" t="str">
            <v>NR</v>
          </cell>
          <cell r="O7084" t="str">
            <v>NR</v>
          </cell>
        </row>
        <row r="7085">
          <cell r="E7085" t="str">
            <v>HISP</v>
          </cell>
          <cell r="F7085" t="str">
            <v>HISP-P</v>
          </cell>
          <cell r="G7085">
            <v>805</v>
          </cell>
          <cell r="H7085" t="str">
            <v>HISP-P805</v>
          </cell>
          <cell r="K7085" t="str">
            <v>Vieira,Estela</v>
          </cell>
          <cell r="N7085" t="str">
            <v>NR</v>
          </cell>
          <cell r="O7085" t="str">
            <v>NR</v>
          </cell>
        </row>
        <row r="7086">
          <cell r="E7086" t="str">
            <v>HISP</v>
          </cell>
          <cell r="F7086" t="str">
            <v>HISP-S</v>
          </cell>
          <cell r="G7086">
            <v>100</v>
          </cell>
          <cell r="H7086" t="str">
            <v>HISP-S100</v>
          </cell>
          <cell r="K7086" t="str">
            <v>Agauas,Hannah Lisa</v>
          </cell>
          <cell r="N7086">
            <v>2.5640000000000001</v>
          </cell>
          <cell r="O7086">
            <v>2.9649999999999999</v>
          </cell>
        </row>
        <row r="7087">
          <cell r="E7087" t="str">
            <v>HISP</v>
          </cell>
          <cell r="F7087" t="str">
            <v>HISP-S</v>
          </cell>
          <cell r="G7087">
            <v>100</v>
          </cell>
          <cell r="H7087" t="str">
            <v>HISP-S100</v>
          </cell>
          <cell r="K7087" t="str">
            <v>Clay,Rebecca Lauren</v>
          </cell>
          <cell r="N7087">
            <v>2.8130000000000002</v>
          </cell>
          <cell r="O7087">
            <v>3.1389999999999998</v>
          </cell>
        </row>
        <row r="7088">
          <cell r="E7088" t="str">
            <v>HISP</v>
          </cell>
          <cell r="F7088" t="str">
            <v>HISP-S</v>
          </cell>
          <cell r="G7088">
            <v>100</v>
          </cell>
          <cell r="H7088" t="str">
            <v>HISP-S100</v>
          </cell>
          <cell r="K7088" t="str">
            <v>Lynch,Anna Hungerfield</v>
          </cell>
          <cell r="N7088">
            <v>2.5670000000000002</v>
          </cell>
          <cell r="O7088">
            <v>2.8929999999999998</v>
          </cell>
        </row>
        <row r="7089">
          <cell r="E7089" t="str">
            <v>HISP</v>
          </cell>
          <cell r="F7089" t="str">
            <v>HISP-S</v>
          </cell>
          <cell r="G7089">
            <v>100</v>
          </cell>
          <cell r="H7089" t="str">
            <v>HISP-S100</v>
          </cell>
          <cell r="K7089" t="str">
            <v>Pecorelli,Joseph Dominic</v>
          </cell>
          <cell r="N7089">
            <v>2.2869999999999999</v>
          </cell>
          <cell r="O7089">
            <v>2.8889999999999998</v>
          </cell>
        </row>
        <row r="7090">
          <cell r="E7090" t="str">
            <v>HISP</v>
          </cell>
          <cell r="F7090" t="str">
            <v>HISP-S</v>
          </cell>
          <cell r="G7090">
            <v>100</v>
          </cell>
          <cell r="H7090" t="str">
            <v>HISP-S100</v>
          </cell>
          <cell r="K7090" t="str">
            <v>Pedrosa,Giselle Martins Penna Firme</v>
          </cell>
          <cell r="N7090">
            <v>2.5569999999999999</v>
          </cell>
          <cell r="O7090">
            <v>3.0089999999999999</v>
          </cell>
        </row>
        <row r="7091">
          <cell r="E7091" t="str">
            <v>HISP</v>
          </cell>
          <cell r="F7091" t="str">
            <v>HISP-S</v>
          </cell>
          <cell r="G7091">
            <v>100</v>
          </cell>
          <cell r="H7091" t="str">
            <v>HISP-S100</v>
          </cell>
          <cell r="K7091" t="str">
            <v>Pedrosa,Giselle Martins Penna Firme</v>
          </cell>
          <cell r="N7091">
            <v>1.952</v>
          </cell>
          <cell r="O7091">
            <v>2.601</v>
          </cell>
        </row>
        <row r="7092">
          <cell r="E7092" t="str">
            <v>HISP</v>
          </cell>
          <cell r="F7092" t="str">
            <v>HISP-S</v>
          </cell>
          <cell r="G7092">
            <v>105</v>
          </cell>
          <cell r="H7092" t="str">
            <v>HISP-S105</v>
          </cell>
          <cell r="K7092" t="str">
            <v>Ballesteros,Melissa Janeth</v>
          </cell>
          <cell r="N7092">
            <v>2.7</v>
          </cell>
          <cell r="O7092">
            <v>2.6989999999999998</v>
          </cell>
        </row>
        <row r="7093">
          <cell r="E7093" t="str">
            <v>HISP</v>
          </cell>
          <cell r="F7093" t="str">
            <v>HISP-S</v>
          </cell>
          <cell r="G7093">
            <v>105</v>
          </cell>
          <cell r="H7093" t="str">
            <v>HISP-S105</v>
          </cell>
          <cell r="K7093" t="str">
            <v>Bilyeu,Emily Quinn</v>
          </cell>
          <cell r="N7093">
            <v>2.7450000000000001</v>
          </cell>
          <cell r="O7093">
            <v>3.1280000000000001</v>
          </cell>
        </row>
        <row r="7094">
          <cell r="E7094" t="str">
            <v>HISP</v>
          </cell>
          <cell r="F7094" t="str">
            <v>HISP-S</v>
          </cell>
          <cell r="G7094">
            <v>105</v>
          </cell>
          <cell r="H7094" t="str">
            <v>HISP-S105</v>
          </cell>
          <cell r="K7094" t="str">
            <v>Bilyeu,Emily Quinn</v>
          </cell>
          <cell r="N7094">
            <v>2.875</v>
          </cell>
          <cell r="O7094">
            <v>2.9940000000000002</v>
          </cell>
        </row>
        <row r="7095">
          <cell r="E7095" t="str">
            <v>HISP</v>
          </cell>
          <cell r="F7095" t="str">
            <v>HISP-S</v>
          </cell>
          <cell r="G7095">
            <v>105</v>
          </cell>
          <cell r="H7095" t="str">
            <v>HISP-S105</v>
          </cell>
          <cell r="K7095" t="str">
            <v>Chavez  Flores,Susana</v>
          </cell>
          <cell r="N7095">
            <v>2.375</v>
          </cell>
          <cell r="O7095">
            <v>2.8250000000000002</v>
          </cell>
        </row>
        <row r="7096">
          <cell r="E7096" t="str">
            <v>HISP</v>
          </cell>
          <cell r="F7096" t="str">
            <v>HISP-S</v>
          </cell>
          <cell r="G7096">
            <v>105</v>
          </cell>
          <cell r="H7096" t="str">
            <v>HISP-S105</v>
          </cell>
          <cell r="K7096" t="str">
            <v>Colorado,Isabel</v>
          </cell>
          <cell r="N7096">
            <v>2.7349999999999999</v>
          </cell>
          <cell r="O7096">
            <v>2.8639999999999999</v>
          </cell>
        </row>
        <row r="7097">
          <cell r="E7097" t="str">
            <v>HISP</v>
          </cell>
          <cell r="F7097" t="str">
            <v>HISP-S</v>
          </cell>
          <cell r="G7097">
            <v>105</v>
          </cell>
          <cell r="H7097" t="str">
            <v>HISP-S105</v>
          </cell>
          <cell r="K7097" t="str">
            <v>Cychosz,Margaret Emilyn</v>
          </cell>
          <cell r="N7097">
            <v>2.7040000000000002</v>
          </cell>
          <cell r="O7097">
            <v>2.9390000000000001</v>
          </cell>
        </row>
        <row r="7098">
          <cell r="E7098" t="str">
            <v>HISP</v>
          </cell>
          <cell r="F7098" t="str">
            <v>HISP-S</v>
          </cell>
          <cell r="G7098">
            <v>105</v>
          </cell>
          <cell r="H7098" t="str">
            <v>HISP-S105</v>
          </cell>
          <cell r="K7098" t="str">
            <v>Davis,K. Allen</v>
          </cell>
          <cell r="N7098">
            <v>2.7</v>
          </cell>
          <cell r="O7098">
            <v>2.75</v>
          </cell>
        </row>
        <row r="7099">
          <cell r="E7099" t="str">
            <v>HISP</v>
          </cell>
          <cell r="F7099" t="str">
            <v>HISP-S</v>
          </cell>
          <cell r="G7099">
            <v>105</v>
          </cell>
          <cell r="H7099" t="str">
            <v>HISP-S105</v>
          </cell>
          <cell r="K7099" t="str">
            <v>Davis,Kristopher Allen</v>
          </cell>
          <cell r="N7099">
            <v>2.4089999999999998</v>
          </cell>
          <cell r="O7099">
            <v>2.746</v>
          </cell>
        </row>
        <row r="7100">
          <cell r="E7100" t="str">
            <v>HISP</v>
          </cell>
          <cell r="F7100" t="str">
            <v>HISP-S</v>
          </cell>
          <cell r="G7100">
            <v>105</v>
          </cell>
          <cell r="H7100" t="str">
            <v>HISP-S105</v>
          </cell>
          <cell r="K7100" t="str">
            <v>Erickson,Marcus Anders</v>
          </cell>
          <cell r="N7100">
            <v>2.5910000000000002</v>
          </cell>
          <cell r="O7100">
            <v>2.581</v>
          </cell>
        </row>
        <row r="7101">
          <cell r="E7101" t="str">
            <v>HISP</v>
          </cell>
          <cell r="F7101" t="str">
            <v>HISP-S</v>
          </cell>
          <cell r="G7101">
            <v>105</v>
          </cell>
          <cell r="H7101" t="str">
            <v>HISP-S105</v>
          </cell>
          <cell r="K7101" t="str">
            <v>Erickson,Marcus Anders</v>
          </cell>
          <cell r="N7101">
            <v>2.6960000000000002</v>
          </cell>
          <cell r="O7101">
            <v>2.9550000000000001</v>
          </cell>
        </row>
        <row r="7102">
          <cell r="E7102" t="str">
            <v>HISP</v>
          </cell>
          <cell r="F7102" t="str">
            <v>HISP-S</v>
          </cell>
          <cell r="G7102">
            <v>105</v>
          </cell>
          <cell r="H7102" t="str">
            <v>HISP-S105</v>
          </cell>
          <cell r="K7102" t="str">
            <v>Escoriza-Gallardo,Francisca</v>
          </cell>
          <cell r="N7102">
            <v>3.105</v>
          </cell>
          <cell r="O7102">
            <v>2.9860000000000002</v>
          </cell>
        </row>
        <row r="7103">
          <cell r="E7103" t="str">
            <v>HISP</v>
          </cell>
          <cell r="F7103" t="str">
            <v>HISP-S</v>
          </cell>
          <cell r="G7103">
            <v>105</v>
          </cell>
          <cell r="H7103" t="str">
            <v>HISP-S105</v>
          </cell>
          <cell r="K7103" t="str">
            <v>Escoriza-Gallardo,Francisca</v>
          </cell>
          <cell r="N7103">
            <v>2.9</v>
          </cell>
          <cell r="O7103">
            <v>2.8559999999999999</v>
          </cell>
        </row>
        <row r="7104">
          <cell r="E7104" t="str">
            <v>HISP</v>
          </cell>
          <cell r="F7104" t="str">
            <v>HISP-S</v>
          </cell>
          <cell r="G7104">
            <v>105</v>
          </cell>
          <cell r="H7104" t="str">
            <v>HISP-S105</v>
          </cell>
          <cell r="K7104" t="str">
            <v>Escoriza-Gallardo,Francisca</v>
          </cell>
          <cell r="N7104">
            <v>2.895</v>
          </cell>
          <cell r="O7104">
            <v>3.2869999999999999</v>
          </cell>
        </row>
        <row r="7105">
          <cell r="E7105" t="str">
            <v>HISP</v>
          </cell>
          <cell r="F7105" t="str">
            <v>HISP-S</v>
          </cell>
          <cell r="G7105">
            <v>105</v>
          </cell>
          <cell r="H7105" t="str">
            <v>HISP-S105</v>
          </cell>
          <cell r="K7105" t="str">
            <v>Escoriza-Gallardo,Francisca</v>
          </cell>
          <cell r="N7105">
            <v>2.4</v>
          </cell>
          <cell r="O7105">
            <v>2.9079999999999999</v>
          </cell>
        </row>
        <row r="7106">
          <cell r="E7106" t="str">
            <v>HISP</v>
          </cell>
          <cell r="F7106" t="str">
            <v>HISP-S</v>
          </cell>
          <cell r="G7106">
            <v>105</v>
          </cell>
          <cell r="H7106" t="str">
            <v>HISP-S105</v>
          </cell>
          <cell r="K7106" t="str">
            <v>Feuerstein,Amanda Leigh</v>
          </cell>
          <cell r="N7106">
            <v>2.6909999999999998</v>
          </cell>
          <cell r="O7106">
            <v>2.8380000000000001</v>
          </cell>
        </row>
        <row r="7107">
          <cell r="E7107" t="str">
            <v>HISP</v>
          </cell>
          <cell r="F7107" t="str">
            <v>HISP-S</v>
          </cell>
          <cell r="G7107">
            <v>105</v>
          </cell>
          <cell r="H7107" t="str">
            <v>HISP-S105</v>
          </cell>
          <cell r="K7107" t="str">
            <v>Fitzsimmons,Mark Daniel</v>
          </cell>
          <cell r="N7107">
            <v>2.573</v>
          </cell>
          <cell r="O7107">
            <v>2.77</v>
          </cell>
        </row>
        <row r="7108">
          <cell r="E7108" t="str">
            <v>HISP</v>
          </cell>
          <cell r="F7108" t="str">
            <v>HISP-S</v>
          </cell>
          <cell r="G7108">
            <v>105</v>
          </cell>
          <cell r="H7108" t="str">
            <v>HISP-S105</v>
          </cell>
          <cell r="K7108" t="str">
            <v>Fritz,Robert Keith</v>
          </cell>
          <cell r="N7108">
            <v>2.9359999999999999</v>
          </cell>
          <cell r="O7108">
            <v>2.9079999999999999</v>
          </cell>
        </row>
        <row r="7109">
          <cell r="E7109" t="str">
            <v>HISP</v>
          </cell>
          <cell r="F7109" t="str">
            <v>HISP-S</v>
          </cell>
          <cell r="G7109">
            <v>105</v>
          </cell>
          <cell r="H7109" t="str">
            <v>HISP-S105</v>
          </cell>
          <cell r="K7109" t="str">
            <v>Fritz,Robert Keith</v>
          </cell>
          <cell r="N7109">
            <v>2.0499999999999998</v>
          </cell>
          <cell r="O7109">
            <v>2.3980000000000001</v>
          </cell>
        </row>
        <row r="7110">
          <cell r="E7110" t="str">
            <v>HISP</v>
          </cell>
          <cell r="F7110" t="str">
            <v>HISP-S</v>
          </cell>
          <cell r="G7110">
            <v>105</v>
          </cell>
          <cell r="H7110" t="str">
            <v>HISP-S105</v>
          </cell>
          <cell r="K7110" t="str">
            <v>Fuss,Matthew Steven</v>
          </cell>
          <cell r="N7110">
            <v>2.9860000000000002</v>
          </cell>
          <cell r="O7110">
            <v>2.827</v>
          </cell>
        </row>
        <row r="7111">
          <cell r="E7111" t="str">
            <v>HISP</v>
          </cell>
          <cell r="F7111" t="str">
            <v>HISP-S</v>
          </cell>
          <cell r="G7111">
            <v>105</v>
          </cell>
          <cell r="H7111" t="str">
            <v>HISP-S105</v>
          </cell>
          <cell r="K7111" t="str">
            <v>Fuss,Matthew Steven</v>
          </cell>
          <cell r="N7111">
            <v>2.9430000000000001</v>
          </cell>
          <cell r="O7111">
            <v>2.8860000000000001</v>
          </cell>
        </row>
        <row r="7112">
          <cell r="E7112" t="str">
            <v>HISP</v>
          </cell>
          <cell r="F7112" t="str">
            <v>HISP-S</v>
          </cell>
          <cell r="G7112">
            <v>105</v>
          </cell>
          <cell r="H7112" t="str">
            <v>HISP-S105</v>
          </cell>
          <cell r="K7112" t="str">
            <v>Gevirtz,Morris Aaron</v>
          </cell>
          <cell r="N7112">
            <v>2.5910000000000002</v>
          </cell>
          <cell r="O7112">
            <v>2.911</v>
          </cell>
        </row>
        <row r="7113">
          <cell r="E7113" t="str">
            <v>HISP</v>
          </cell>
          <cell r="F7113" t="str">
            <v>HISP-S</v>
          </cell>
          <cell r="G7113">
            <v>105</v>
          </cell>
          <cell r="H7113" t="str">
            <v>HISP-S105</v>
          </cell>
          <cell r="K7113" t="str">
            <v>Gevirtz,Morris Aaron</v>
          </cell>
          <cell r="N7113">
            <v>2.4169999999999998</v>
          </cell>
          <cell r="O7113">
            <v>2.7519999999999998</v>
          </cell>
        </row>
        <row r="7114">
          <cell r="E7114" t="str">
            <v>HISP</v>
          </cell>
          <cell r="F7114" t="str">
            <v>HISP-S</v>
          </cell>
          <cell r="G7114">
            <v>105</v>
          </cell>
          <cell r="H7114" t="str">
            <v>HISP-S105</v>
          </cell>
          <cell r="K7114" t="str">
            <v>Hauskrecht,Mazinha</v>
          </cell>
          <cell r="N7114">
            <v>2.8290000000000002</v>
          </cell>
          <cell r="O7114">
            <v>2.74</v>
          </cell>
        </row>
        <row r="7115">
          <cell r="E7115" t="str">
            <v>HISP</v>
          </cell>
          <cell r="F7115" t="str">
            <v>HISP-S</v>
          </cell>
          <cell r="G7115">
            <v>105</v>
          </cell>
          <cell r="H7115" t="str">
            <v>HISP-S105</v>
          </cell>
          <cell r="K7115" t="str">
            <v>Hernandez Sr,Jose Manuel</v>
          </cell>
          <cell r="N7115">
            <v>2.3260000000000001</v>
          </cell>
          <cell r="O7115">
            <v>2.8319999999999999</v>
          </cell>
        </row>
        <row r="7116">
          <cell r="E7116" t="str">
            <v>HISP</v>
          </cell>
          <cell r="F7116" t="str">
            <v>HISP-S</v>
          </cell>
          <cell r="G7116">
            <v>105</v>
          </cell>
          <cell r="H7116" t="str">
            <v>HISP-S105</v>
          </cell>
          <cell r="K7116" t="str">
            <v>Hernandez Sr,Jose Manuel</v>
          </cell>
          <cell r="N7116">
            <v>2.63</v>
          </cell>
          <cell r="O7116">
            <v>2.8319999999999999</v>
          </cell>
        </row>
        <row r="7117">
          <cell r="E7117" t="str">
            <v>HISP</v>
          </cell>
          <cell r="F7117" t="str">
            <v>HISP-S</v>
          </cell>
          <cell r="G7117">
            <v>105</v>
          </cell>
          <cell r="H7117" t="str">
            <v>HISP-S105</v>
          </cell>
          <cell r="K7117" t="str">
            <v>Hoff,Mark Randall</v>
          </cell>
          <cell r="N7117">
            <v>2.6909999999999998</v>
          </cell>
          <cell r="O7117">
            <v>2.9889999999999999</v>
          </cell>
        </row>
        <row r="7118">
          <cell r="E7118" t="str">
            <v>HISP</v>
          </cell>
          <cell r="F7118" t="str">
            <v>HISP-S</v>
          </cell>
          <cell r="G7118">
            <v>105</v>
          </cell>
          <cell r="H7118" t="str">
            <v>HISP-S105</v>
          </cell>
          <cell r="K7118" t="str">
            <v>Hunter,Jessica Marie</v>
          </cell>
          <cell r="N7118">
            <v>3.048</v>
          </cell>
          <cell r="O7118">
            <v>3.12</v>
          </cell>
        </row>
        <row r="7119">
          <cell r="E7119" t="str">
            <v>HISP</v>
          </cell>
          <cell r="F7119" t="str">
            <v>HISP-S</v>
          </cell>
          <cell r="G7119">
            <v>105</v>
          </cell>
          <cell r="H7119" t="str">
            <v>HISP-S105</v>
          </cell>
          <cell r="K7119" t="str">
            <v>Le Calvez,Gaelle David</v>
          </cell>
          <cell r="N7119">
            <v>2.7519999999999998</v>
          </cell>
          <cell r="O7119">
            <v>2.714</v>
          </cell>
        </row>
        <row r="7120">
          <cell r="E7120" t="str">
            <v>HISP</v>
          </cell>
          <cell r="F7120" t="str">
            <v>HISP-S</v>
          </cell>
          <cell r="G7120">
            <v>105</v>
          </cell>
          <cell r="H7120" t="str">
            <v>HISP-S105</v>
          </cell>
          <cell r="K7120" t="str">
            <v>Le Calvez,Gaelle David</v>
          </cell>
          <cell r="N7120">
            <v>2.5710000000000002</v>
          </cell>
          <cell r="O7120">
            <v>2.7959999999999998</v>
          </cell>
        </row>
        <row r="7121">
          <cell r="E7121" t="str">
            <v>HISP</v>
          </cell>
          <cell r="F7121" t="str">
            <v>HISP-S</v>
          </cell>
          <cell r="G7121">
            <v>105</v>
          </cell>
          <cell r="H7121" t="str">
            <v>HISP-S105</v>
          </cell>
          <cell r="K7121" t="str">
            <v>Lopez Prieto,Guillermo David</v>
          </cell>
          <cell r="N7121">
            <v>2.3479999999999999</v>
          </cell>
          <cell r="O7121">
            <v>2.7719999999999998</v>
          </cell>
        </row>
        <row r="7122">
          <cell r="E7122" t="str">
            <v>HISP</v>
          </cell>
          <cell r="F7122" t="str">
            <v>HISP-S</v>
          </cell>
          <cell r="G7122">
            <v>105</v>
          </cell>
          <cell r="H7122" t="str">
            <v>HISP-S105</v>
          </cell>
          <cell r="K7122" t="str">
            <v>Lynch,Anna Hungerfield</v>
          </cell>
          <cell r="N7122">
            <v>2.9910000000000001</v>
          </cell>
          <cell r="O7122">
            <v>3.0939999999999999</v>
          </cell>
        </row>
        <row r="7123">
          <cell r="E7123" t="str">
            <v>HISP</v>
          </cell>
          <cell r="F7123" t="str">
            <v>HISP-S</v>
          </cell>
          <cell r="G7123">
            <v>105</v>
          </cell>
          <cell r="H7123" t="str">
            <v>HISP-S105</v>
          </cell>
          <cell r="K7123" t="str">
            <v>Lynch,Anna Hungerfield</v>
          </cell>
          <cell r="N7123">
            <v>2.2570000000000001</v>
          </cell>
          <cell r="O7123">
            <v>2.6240000000000001</v>
          </cell>
        </row>
        <row r="7124">
          <cell r="E7124" t="str">
            <v>HISP</v>
          </cell>
          <cell r="F7124" t="str">
            <v>HISP-S</v>
          </cell>
          <cell r="G7124">
            <v>105</v>
          </cell>
          <cell r="H7124" t="str">
            <v>HISP-S105</v>
          </cell>
          <cell r="K7124" t="str">
            <v>Markle,Jackie Marie</v>
          </cell>
          <cell r="N7124">
            <v>2.6880000000000002</v>
          </cell>
          <cell r="O7124">
            <v>2.9550000000000001</v>
          </cell>
        </row>
        <row r="7125">
          <cell r="E7125" t="str">
            <v>HISP</v>
          </cell>
          <cell r="F7125" t="str">
            <v>HISP-S</v>
          </cell>
          <cell r="G7125">
            <v>105</v>
          </cell>
          <cell r="H7125" t="str">
            <v>HISP-S105</v>
          </cell>
          <cell r="K7125" t="str">
            <v>Martinez Galiano,Maria del Rocio</v>
          </cell>
          <cell r="N7125">
            <v>2.4740000000000002</v>
          </cell>
          <cell r="O7125">
            <v>2.8069999999999999</v>
          </cell>
        </row>
        <row r="7126">
          <cell r="E7126" t="str">
            <v>HISP</v>
          </cell>
          <cell r="F7126" t="str">
            <v>HISP-S</v>
          </cell>
          <cell r="G7126">
            <v>105</v>
          </cell>
          <cell r="H7126" t="str">
            <v>HISP-S105</v>
          </cell>
          <cell r="K7126" t="str">
            <v>Martinez Galiano,Maria del Rocio</v>
          </cell>
          <cell r="N7126">
            <v>2.7869999999999999</v>
          </cell>
          <cell r="O7126">
            <v>2.9039999999999999</v>
          </cell>
        </row>
        <row r="7127">
          <cell r="E7127" t="str">
            <v>HISP</v>
          </cell>
          <cell r="F7127" t="str">
            <v>HISP-S</v>
          </cell>
          <cell r="G7127">
            <v>105</v>
          </cell>
          <cell r="H7127" t="str">
            <v>HISP-S105</v>
          </cell>
          <cell r="K7127" t="str">
            <v>Michalski,Ian Matthew</v>
          </cell>
          <cell r="N7127">
            <v>2.5649999999999999</v>
          </cell>
          <cell r="O7127">
            <v>2.8159999999999998</v>
          </cell>
        </row>
        <row r="7128">
          <cell r="E7128" t="str">
            <v>HISP</v>
          </cell>
          <cell r="F7128" t="str">
            <v>HISP-S</v>
          </cell>
          <cell r="G7128">
            <v>105</v>
          </cell>
          <cell r="H7128" t="str">
            <v>HISP-S105</v>
          </cell>
          <cell r="K7128" t="str">
            <v>Milla Munoz,Angel</v>
          </cell>
          <cell r="N7128">
            <v>3.05</v>
          </cell>
          <cell r="O7128">
            <v>2.992</v>
          </cell>
        </row>
        <row r="7129">
          <cell r="E7129" t="str">
            <v>HISP</v>
          </cell>
          <cell r="F7129" t="str">
            <v>HISP-S</v>
          </cell>
          <cell r="G7129">
            <v>105</v>
          </cell>
          <cell r="H7129" t="str">
            <v>HISP-S105</v>
          </cell>
          <cell r="K7129" t="str">
            <v>Mills,Monica</v>
          </cell>
          <cell r="N7129">
            <v>2.7749999999999999</v>
          </cell>
          <cell r="O7129">
            <v>2.95</v>
          </cell>
        </row>
        <row r="7130">
          <cell r="E7130" t="str">
            <v>HISP</v>
          </cell>
          <cell r="F7130" t="str">
            <v>HISP-S</v>
          </cell>
          <cell r="G7130">
            <v>105</v>
          </cell>
          <cell r="H7130" t="str">
            <v>HISP-S105</v>
          </cell>
          <cell r="K7130" t="str">
            <v>Mitchell,Tamara Lee</v>
          </cell>
          <cell r="N7130">
            <v>3.0329999999999999</v>
          </cell>
          <cell r="O7130">
            <v>2.9849999999999999</v>
          </cell>
        </row>
        <row r="7131">
          <cell r="E7131" t="str">
            <v>HISP</v>
          </cell>
          <cell r="F7131" t="str">
            <v>HISP-S</v>
          </cell>
          <cell r="G7131">
            <v>105</v>
          </cell>
          <cell r="H7131" t="str">
            <v>HISP-S105</v>
          </cell>
          <cell r="K7131" t="str">
            <v>Mitchell,Tamara Lee</v>
          </cell>
          <cell r="N7131">
            <v>2.7519999999999998</v>
          </cell>
          <cell r="O7131">
            <v>2.919</v>
          </cell>
        </row>
        <row r="7132">
          <cell r="E7132" t="str">
            <v>HISP</v>
          </cell>
          <cell r="F7132" t="str">
            <v>HISP-S</v>
          </cell>
          <cell r="G7132">
            <v>105</v>
          </cell>
          <cell r="H7132" t="str">
            <v>HISP-S105</v>
          </cell>
          <cell r="K7132" t="str">
            <v>Nixon,Victoria Loren</v>
          </cell>
          <cell r="N7132">
            <v>3.0680000000000001</v>
          </cell>
          <cell r="O7132">
            <v>3.0870000000000002</v>
          </cell>
        </row>
        <row r="7133">
          <cell r="E7133" t="str">
            <v>HISP</v>
          </cell>
          <cell r="F7133" t="str">
            <v>HISP-S</v>
          </cell>
          <cell r="G7133">
            <v>105</v>
          </cell>
          <cell r="H7133" t="str">
            <v>HISP-S105</v>
          </cell>
          <cell r="K7133" t="str">
            <v>Robinson,Ellen Ryan</v>
          </cell>
          <cell r="N7133">
            <v>2.35</v>
          </cell>
          <cell r="O7133">
            <v>2.8119999999999998</v>
          </cell>
        </row>
        <row r="7134">
          <cell r="E7134" t="str">
            <v>HISP</v>
          </cell>
          <cell r="F7134" t="str">
            <v>HISP-S</v>
          </cell>
          <cell r="G7134">
            <v>105</v>
          </cell>
          <cell r="H7134" t="str">
            <v>HISP-S105</v>
          </cell>
          <cell r="K7134" t="str">
            <v>Treusdell,Kelsey Glyn</v>
          </cell>
          <cell r="N7134">
            <v>2.387</v>
          </cell>
          <cell r="O7134">
            <v>2.69</v>
          </cell>
        </row>
        <row r="7135">
          <cell r="E7135" t="str">
            <v>HISP</v>
          </cell>
          <cell r="F7135" t="str">
            <v>HISP-S</v>
          </cell>
          <cell r="G7135">
            <v>105</v>
          </cell>
          <cell r="H7135" t="str">
            <v>HISP-S105</v>
          </cell>
          <cell r="K7135" t="str">
            <v>Williams,Travis White</v>
          </cell>
          <cell r="N7135">
            <v>2.5289999999999999</v>
          </cell>
          <cell r="O7135">
            <v>2.706</v>
          </cell>
        </row>
        <row r="7136">
          <cell r="E7136" t="str">
            <v>HISP</v>
          </cell>
          <cell r="F7136" t="str">
            <v>HISP-S</v>
          </cell>
          <cell r="G7136">
            <v>105</v>
          </cell>
          <cell r="H7136" t="str">
            <v>HISP-S105</v>
          </cell>
          <cell r="K7136" t="str">
            <v>Williams,Travis White</v>
          </cell>
          <cell r="N7136">
            <v>2.4169999999999998</v>
          </cell>
          <cell r="O7136">
            <v>2.927</v>
          </cell>
        </row>
        <row r="7137">
          <cell r="E7137" t="str">
            <v>HISP</v>
          </cell>
          <cell r="F7137" t="str">
            <v>HISP-S</v>
          </cell>
          <cell r="G7137">
            <v>105</v>
          </cell>
          <cell r="H7137" t="str">
            <v>HISP-S105</v>
          </cell>
          <cell r="K7137" t="str">
            <v>Young,Jocelyn</v>
          </cell>
          <cell r="N7137">
            <v>2.1459999999999999</v>
          </cell>
          <cell r="O7137">
            <v>2.76</v>
          </cell>
        </row>
        <row r="7138">
          <cell r="E7138" t="str">
            <v>HISP</v>
          </cell>
          <cell r="F7138" t="str">
            <v>HISP-S</v>
          </cell>
          <cell r="G7138">
            <v>105</v>
          </cell>
          <cell r="H7138" t="str">
            <v>HISP-S105</v>
          </cell>
          <cell r="K7138" t="str">
            <v>Zahler,Sara</v>
          </cell>
          <cell r="N7138">
            <v>3.109</v>
          </cell>
          <cell r="O7138">
            <v>3.2549999999999999</v>
          </cell>
        </row>
        <row r="7139">
          <cell r="E7139" t="str">
            <v>HISP</v>
          </cell>
          <cell r="F7139" t="str">
            <v>HISP-S</v>
          </cell>
          <cell r="G7139">
            <v>105</v>
          </cell>
          <cell r="H7139" t="str">
            <v>HISP-S105</v>
          </cell>
          <cell r="K7139" t="str">
            <v>Zahler,Sara</v>
          </cell>
          <cell r="N7139">
            <v>1.9550000000000001</v>
          </cell>
          <cell r="O7139">
            <v>2.3519999999999999</v>
          </cell>
        </row>
        <row r="7140">
          <cell r="E7140" t="str">
            <v>HISP</v>
          </cell>
          <cell r="F7140" t="str">
            <v>HISP-S</v>
          </cell>
          <cell r="G7140">
            <v>150</v>
          </cell>
          <cell r="H7140" t="str">
            <v>HISP-S150</v>
          </cell>
          <cell r="K7140" t="str">
            <v>Gevirtz,Morris Aaron</v>
          </cell>
          <cell r="N7140">
            <v>2.3820000000000001</v>
          </cell>
          <cell r="O7140">
            <v>2.839</v>
          </cell>
        </row>
        <row r="7141">
          <cell r="E7141" t="str">
            <v>HISP</v>
          </cell>
          <cell r="F7141" t="str">
            <v>HISP-S</v>
          </cell>
          <cell r="G7141">
            <v>150</v>
          </cell>
          <cell r="H7141" t="str">
            <v>HISP-S150</v>
          </cell>
          <cell r="K7141" t="str">
            <v>Gevirtz,Morris Aaron</v>
          </cell>
          <cell r="N7141">
            <v>2.3759999999999999</v>
          </cell>
          <cell r="O7141">
            <v>2.6579999999999999</v>
          </cell>
        </row>
        <row r="7142">
          <cell r="E7142" t="str">
            <v>HISP</v>
          </cell>
          <cell r="F7142" t="str">
            <v>HISP-S</v>
          </cell>
          <cell r="G7142">
            <v>150</v>
          </cell>
          <cell r="H7142" t="str">
            <v>HISP-S150</v>
          </cell>
          <cell r="K7142" t="str">
            <v>Ibarra,Angelica</v>
          </cell>
          <cell r="N7142">
            <v>2.2999999999999998</v>
          </cell>
          <cell r="O7142">
            <v>2.7250000000000001</v>
          </cell>
        </row>
        <row r="7143">
          <cell r="E7143" t="str">
            <v>HISP</v>
          </cell>
          <cell r="F7143" t="str">
            <v>HISP-S</v>
          </cell>
          <cell r="G7143">
            <v>150</v>
          </cell>
          <cell r="H7143" t="str">
            <v>HISP-S150</v>
          </cell>
          <cell r="K7143" t="str">
            <v>Ibarra,Angelica</v>
          </cell>
          <cell r="N7143">
            <v>2.637</v>
          </cell>
          <cell r="O7143">
            <v>2.8290000000000002</v>
          </cell>
        </row>
        <row r="7144">
          <cell r="E7144" t="str">
            <v>HISP</v>
          </cell>
          <cell r="F7144" t="str">
            <v>HISP-S</v>
          </cell>
          <cell r="G7144">
            <v>150</v>
          </cell>
          <cell r="H7144" t="str">
            <v>HISP-S150</v>
          </cell>
          <cell r="K7144" t="str">
            <v>Marquez Martinez,Miguel Angel</v>
          </cell>
          <cell r="N7144">
            <v>2.319</v>
          </cell>
          <cell r="O7144">
            <v>2.9180000000000001</v>
          </cell>
        </row>
        <row r="7145">
          <cell r="E7145" t="str">
            <v>HISP</v>
          </cell>
          <cell r="F7145" t="str">
            <v>HISP-S</v>
          </cell>
          <cell r="G7145">
            <v>150</v>
          </cell>
          <cell r="H7145" t="str">
            <v>HISP-S150</v>
          </cell>
          <cell r="K7145" t="str">
            <v>Pedrosa,Giselle Martins Penna Firme</v>
          </cell>
          <cell r="N7145">
            <v>2.9529999999999998</v>
          </cell>
          <cell r="O7145">
            <v>3.2149999999999999</v>
          </cell>
        </row>
        <row r="7146">
          <cell r="E7146" t="str">
            <v>HISP</v>
          </cell>
          <cell r="F7146" t="str">
            <v>HISP-S</v>
          </cell>
          <cell r="G7146">
            <v>150</v>
          </cell>
          <cell r="H7146" t="str">
            <v>HISP-S150</v>
          </cell>
          <cell r="K7146" t="str">
            <v>Pedrosa,Giselle Martins Penna Firme</v>
          </cell>
          <cell r="N7146">
            <v>3</v>
          </cell>
          <cell r="O7146">
            <v>3.097</v>
          </cell>
        </row>
        <row r="7147">
          <cell r="E7147" t="str">
            <v>HISP</v>
          </cell>
          <cell r="F7147" t="str">
            <v>HISP-S</v>
          </cell>
          <cell r="G7147">
            <v>200</v>
          </cell>
          <cell r="H7147" t="str">
            <v>HISP-S200</v>
          </cell>
          <cell r="K7147" t="str">
            <v>Arreola,Virginia</v>
          </cell>
          <cell r="N7147">
            <v>2.673</v>
          </cell>
          <cell r="O7147">
            <v>2.9460000000000002</v>
          </cell>
        </row>
        <row r="7148">
          <cell r="E7148" t="str">
            <v>HISP</v>
          </cell>
          <cell r="F7148" t="str">
            <v>HISP-S</v>
          </cell>
          <cell r="G7148">
            <v>200</v>
          </cell>
          <cell r="H7148" t="str">
            <v>HISP-S200</v>
          </cell>
          <cell r="K7148" t="str">
            <v>Baldwin,Lisa Miriam</v>
          </cell>
          <cell r="N7148">
            <v>2.9830000000000001</v>
          </cell>
          <cell r="O7148">
            <v>2.9729999999999999</v>
          </cell>
        </row>
        <row r="7149">
          <cell r="E7149" t="str">
            <v>HISP</v>
          </cell>
          <cell r="F7149" t="str">
            <v>HISP-S</v>
          </cell>
          <cell r="G7149">
            <v>200</v>
          </cell>
          <cell r="H7149" t="str">
            <v>HISP-S200</v>
          </cell>
          <cell r="K7149" t="str">
            <v>Barrios-Beltran,Dimaris</v>
          </cell>
          <cell r="N7149">
            <v>2.9209999999999998</v>
          </cell>
          <cell r="O7149">
            <v>2.972</v>
          </cell>
        </row>
        <row r="7150">
          <cell r="E7150" t="str">
            <v>HISP</v>
          </cell>
          <cell r="F7150" t="str">
            <v>HISP-S</v>
          </cell>
          <cell r="G7150">
            <v>200</v>
          </cell>
          <cell r="H7150" t="str">
            <v>HISP-S200</v>
          </cell>
          <cell r="K7150" t="str">
            <v>Bongiovanni,Silvina Carla</v>
          </cell>
          <cell r="N7150">
            <v>2.9350000000000001</v>
          </cell>
          <cell r="O7150">
            <v>3.157</v>
          </cell>
        </row>
        <row r="7151">
          <cell r="E7151" t="str">
            <v>HISP</v>
          </cell>
          <cell r="F7151" t="str">
            <v>HISP-S</v>
          </cell>
          <cell r="G7151">
            <v>200</v>
          </cell>
          <cell r="H7151" t="str">
            <v>HISP-S200</v>
          </cell>
          <cell r="K7151" t="str">
            <v>Brudney,Edward</v>
          </cell>
          <cell r="N7151">
            <v>2.774</v>
          </cell>
          <cell r="O7151">
            <v>2.8519999999999999</v>
          </cell>
        </row>
        <row r="7152">
          <cell r="E7152" t="str">
            <v>HISP</v>
          </cell>
          <cell r="F7152" t="str">
            <v>HISP-S</v>
          </cell>
          <cell r="G7152">
            <v>200</v>
          </cell>
          <cell r="H7152" t="str">
            <v>HISP-S200</v>
          </cell>
          <cell r="K7152" t="str">
            <v>Brudney,Edward</v>
          </cell>
          <cell r="N7152">
            <v>3.2</v>
          </cell>
          <cell r="O7152">
            <v>3.056</v>
          </cell>
        </row>
        <row r="7153">
          <cell r="E7153" t="str">
            <v>HISP</v>
          </cell>
          <cell r="F7153" t="str">
            <v>HISP-S</v>
          </cell>
          <cell r="G7153">
            <v>200</v>
          </cell>
          <cell r="H7153" t="str">
            <v>HISP-S200</v>
          </cell>
          <cell r="K7153" t="str">
            <v>Brudney,Edward</v>
          </cell>
          <cell r="N7153">
            <v>2.7450000000000001</v>
          </cell>
          <cell r="O7153">
            <v>3.1160000000000001</v>
          </cell>
        </row>
        <row r="7154">
          <cell r="E7154" t="str">
            <v>HISP</v>
          </cell>
          <cell r="F7154" t="str">
            <v>HISP-S</v>
          </cell>
          <cell r="G7154">
            <v>200</v>
          </cell>
          <cell r="H7154" t="str">
            <v>HISP-S200</v>
          </cell>
          <cell r="K7154" t="str">
            <v>Brudney,Edward</v>
          </cell>
          <cell r="N7154">
            <v>2.742</v>
          </cell>
          <cell r="O7154">
            <v>3.0819999999999999</v>
          </cell>
        </row>
        <row r="7155">
          <cell r="E7155" t="str">
            <v>HISP</v>
          </cell>
          <cell r="F7155" t="str">
            <v>HISP-S</v>
          </cell>
          <cell r="G7155">
            <v>200</v>
          </cell>
          <cell r="H7155" t="str">
            <v>HISP-S200</v>
          </cell>
          <cell r="K7155" t="str">
            <v>Cole,Christina Elizabeth</v>
          </cell>
          <cell r="N7155">
            <v>3.3090000000000002</v>
          </cell>
          <cell r="O7155">
            <v>3.39</v>
          </cell>
        </row>
        <row r="7156">
          <cell r="E7156" t="str">
            <v>HISP</v>
          </cell>
          <cell r="F7156" t="str">
            <v>HISP-S</v>
          </cell>
          <cell r="G7156">
            <v>200</v>
          </cell>
          <cell r="H7156" t="str">
            <v>HISP-S200</v>
          </cell>
          <cell r="K7156" t="str">
            <v>Cole,Christina Elizabeth</v>
          </cell>
          <cell r="N7156">
            <v>2.93</v>
          </cell>
          <cell r="O7156">
            <v>3.004</v>
          </cell>
        </row>
        <row r="7157">
          <cell r="E7157" t="str">
            <v>HISP</v>
          </cell>
          <cell r="F7157" t="str">
            <v>HISP-S</v>
          </cell>
          <cell r="G7157">
            <v>200</v>
          </cell>
          <cell r="H7157" t="str">
            <v>HISP-S200</v>
          </cell>
          <cell r="K7157" t="str">
            <v>Daidone,Danielle Maria</v>
          </cell>
          <cell r="N7157">
            <v>2.754</v>
          </cell>
          <cell r="O7157">
            <v>3.004</v>
          </cell>
        </row>
        <row r="7158">
          <cell r="E7158" t="str">
            <v>HISP</v>
          </cell>
          <cell r="F7158" t="str">
            <v>HISP-S</v>
          </cell>
          <cell r="G7158">
            <v>200</v>
          </cell>
          <cell r="H7158" t="str">
            <v>HISP-S200</v>
          </cell>
          <cell r="K7158" t="str">
            <v>Daidone,Danielle Maria</v>
          </cell>
          <cell r="N7158">
            <v>3.0049999999999999</v>
          </cell>
          <cell r="O7158">
            <v>3.125</v>
          </cell>
        </row>
        <row r="7159">
          <cell r="E7159" t="str">
            <v>HISP</v>
          </cell>
          <cell r="F7159" t="str">
            <v>HISP-S</v>
          </cell>
          <cell r="G7159">
            <v>200</v>
          </cell>
          <cell r="H7159" t="str">
            <v>HISP-S200</v>
          </cell>
          <cell r="K7159" t="str">
            <v>Delgado-Diaz,Gibran Jose</v>
          </cell>
          <cell r="N7159">
            <v>3.109</v>
          </cell>
          <cell r="O7159">
            <v>3.09</v>
          </cell>
        </row>
        <row r="7160">
          <cell r="E7160" t="str">
            <v>HISP</v>
          </cell>
          <cell r="F7160" t="str">
            <v>HISP-S</v>
          </cell>
          <cell r="G7160">
            <v>200</v>
          </cell>
          <cell r="H7160" t="str">
            <v>HISP-S200</v>
          </cell>
          <cell r="K7160" t="str">
            <v>Fuss,Matthew Steven</v>
          </cell>
          <cell r="N7160">
            <v>2.9260000000000002</v>
          </cell>
          <cell r="O7160">
            <v>2.9729999999999999</v>
          </cell>
        </row>
        <row r="7161">
          <cell r="E7161" t="str">
            <v>HISP</v>
          </cell>
          <cell r="F7161" t="str">
            <v>HISP-S</v>
          </cell>
          <cell r="G7161">
            <v>200</v>
          </cell>
          <cell r="H7161" t="str">
            <v>HISP-S200</v>
          </cell>
          <cell r="K7161" t="str">
            <v>Fuss,Matthew Steven</v>
          </cell>
          <cell r="N7161">
            <v>2.7909999999999999</v>
          </cell>
          <cell r="O7161">
            <v>3.0209999999999999</v>
          </cell>
        </row>
        <row r="7162">
          <cell r="E7162" t="str">
            <v>HISP</v>
          </cell>
          <cell r="F7162" t="str">
            <v>HISP-S</v>
          </cell>
          <cell r="G7162">
            <v>200</v>
          </cell>
          <cell r="H7162" t="str">
            <v>HISP-S200</v>
          </cell>
          <cell r="K7162" t="str">
            <v>Galarza Galarza,Iraida</v>
          </cell>
          <cell r="N7162">
            <v>3.181</v>
          </cell>
          <cell r="O7162">
            <v>3.069</v>
          </cell>
        </row>
        <row r="7163">
          <cell r="E7163" t="str">
            <v>HISP</v>
          </cell>
          <cell r="F7163" t="str">
            <v>HISP-S</v>
          </cell>
          <cell r="G7163">
            <v>200</v>
          </cell>
          <cell r="H7163" t="str">
            <v>HISP-S200</v>
          </cell>
          <cell r="K7163" t="str">
            <v>Garrett,Jordan Michael</v>
          </cell>
          <cell r="N7163">
            <v>2.867</v>
          </cell>
          <cell r="O7163">
            <v>3.0459999999999998</v>
          </cell>
        </row>
        <row r="7164">
          <cell r="E7164" t="str">
            <v>HISP</v>
          </cell>
          <cell r="F7164" t="str">
            <v>HISP-S</v>
          </cell>
          <cell r="G7164">
            <v>200</v>
          </cell>
          <cell r="H7164" t="str">
            <v>HISP-S200</v>
          </cell>
          <cell r="K7164" t="str">
            <v>Garrett,Jordan Michael</v>
          </cell>
          <cell r="N7164">
            <v>3.218</v>
          </cell>
          <cell r="O7164">
            <v>2.891</v>
          </cell>
        </row>
        <row r="7165">
          <cell r="E7165" t="str">
            <v>HISP</v>
          </cell>
          <cell r="F7165" t="str">
            <v>HISP-S</v>
          </cell>
          <cell r="G7165">
            <v>200</v>
          </cell>
          <cell r="H7165" t="str">
            <v>HISP-S200</v>
          </cell>
          <cell r="K7165" t="str">
            <v>Gonzalez,Viviannette</v>
          </cell>
          <cell r="N7165">
            <v>3.0329999999999999</v>
          </cell>
          <cell r="O7165">
            <v>3.0049999999999999</v>
          </cell>
        </row>
        <row r="7166">
          <cell r="E7166" t="str">
            <v>HISP</v>
          </cell>
          <cell r="F7166" t="str">
            <v>HISP-S</v>
          </cell>
          <cell r="G7166">
            <v>200</v>
          </cell>
          <cell r="H7166" t="str">
            <v>HISP-S200</v>
          </cell>
          <cell r="K7166" t="str">
            <v>Gonzalez,Viviannette</v>
          </cell>
          <cell r="N7166">
            <v>3.004</v>
          </cell>
          <cell r="O7166">
            <v>3.0179999999999998</v>
          </cell>
        </row>
        <row r="7167">
          <cell r="E7167" t="str">
            <v>HISP</v>
          </cell>
          <cell r="F7167" t="str">
            <v>HISP-S</v>
          </cell>
          <cell r="G7167">
            <v>200</v>
          </cell>
          <cell r="H7167" t="str">
            <v>HISP-S200</v>
          </cell>
          <cell r="K7167" t="str">
            <v>Gonzalez,Viviannette</v>
          </cell>
          <cell r="N7167">
            <v>3.2519999999999998</v>
          </cell>
          <cell r="O7167">
            <v>2.9350000000000001</v>
          </cell>
        </row>
        <row r="7168">
          <cell r="E7168" t="str">
            <v>HISP</v>
          </cell>
          <cell r="F7168" t="str">
            <v>HISP-S</v>
          </cell>
          <cell r="G7168">
            <v>200</v>
          </cell>
          <cell r="H7168" t="str">
            <v>HISP-S200</v>
          </cell>
          <cell r="K7168" t="str">
            <v>Gonzalez,Viviannette</v>
          </cell>
          <cell r="N7168">
            <v>2.8730000000000002</v>
          </cell>
          <cell r="O7168">
            <v>3.0230000000000001</v>
          </cell>
        </row>
        <row r="7169">
          <cell r="E7169" t="str">
            <v>HISP</v>
          </cell>
          <cell r="F7169" t="str">
            <v>HISP-S</v>
          </cell>
          <cell r="G7169">
            <v>200</v>
          </cell>
          <cell r="H7169" t="str">
            <v>HISP-S200</v>
          </cell>
          <cell r="K7169" t="str">
            <v>Gonzalez,Viviannette</v>
          </cell>
          <cell r="N7169">
            <v>2.9140000000000001</v>
          </cell>
          <cell r="O7169">
            <v>2.9390000000000001</v>
          </cell>
        </row>
        <row r="7170">
          <cell r="E7170" t="str">
            <v>HISP</v>
          </cell>
          <cell r="F7170" t="str">
            <v>HISP-S</v>
          </cell>
          <cell r="G7170">
            <v>200</v>
          </cell>
          <cell r="H7170" t="str">
            <v>HISP-S200</v>
          </cell>
          <cell r="K7170" t="str">
            <v>Gonzalez,Viviannette</v>
          </cell>
          <cell r="N7170">
            <v>3.1680000000000001</v>
          </cell>
          <cell r="O7170">
            <v>3.081</v>
          </cell>
        </row>
        <row r="7171">
          <cell r="E7171" t="str">
            <v>HISP</v>
          </cell>
          <cell r="F7171" t="str">
            <v>HISP-S</v>
          </cell>
          <cell r="G7171">
            <v>200</v>
          </cell>
          <cell r="H7171" t="str">
            <v>HISP-S200</v>
          </cell>
          <cell r="K7171" t="str">
            <v>Gradoville,Michael Stephen</v>
          </cell>
          <cell r="N7171">
            <v>2.5430000000000001</v>
          </cell>
          <cell r="O7171">
            <v>3.0459999999999998</v>
          </cell>
        </row>
        <row r="7172">
          <cell r="E7172" t="str">
            <v>HISP</v>
          </cell>
          <cell r="F7172" t="str">
            <v>HISP-S</v>
          </cell>
          <cell r="G7172">
            <v>200</v>
          </cell>
          <cell r="H7172" t="str">
            <v>HISP-S200</v>
          </cell>
          <cell r="K7172" t="str">
            <v>Guidarelli,Kaitlin</v>
          </cell>
          <cell r="N7172">
            <v>2.7050000000000001</v>
          </cell>
          <cell r="O7172">
            <v>2.8759999999999999</v>
          </cell>
        </row>
        <row r="7173">
          <cell r="E7173" t="str">
            <v>HISP</v>
          </cell>
          <cell r="F7173" t="str">
            <v>HISP-S</v>
          </cell>
          <cell r="G7173">
            <v>200</v>
          </cell>
          <cell r="H7173" t="str">
            <v>HISP-S200</v>
          </cell>
          <cell r="K7173" t="str">
            <v>Herrera,Israel Fernando</v>
          </cell>
          <cell r="N7173">
            <v>3.0150000000000001</v>
          </cell>
          <cell r="O7173">
            <v>2.7890000000000001</v>
          </cell>
        </row>
        <row r="7174">
          <cell r="E7174" t="str">
            <v>HISP</v>
          </cell>
          <cell r="F7174" t="str">
            <v>HISP-S</v>
          </cell>
          <cell r="G7174">
            <v>200</v>
          </cell>
          <cell r="H7174" t="str">
            <v>HISP-S200</v>
          </cell>
          <cell r="K7174" t="str">
            <v>Herrera,Israel Fernando</v>
          </cell>
          <cell r="N7174">
            <v>2.77</v>
          </cell>
          <cell r="O7174">
            <v>2.895</v>
          </cell>
        </row>
        <row r="7175">
          <cell r="E7175" t="str">
            <v>HISP</v>
          </cell>
          <cell r="F7175" t="str">
            <v>HISP-S</v>
          </cell>
          <cell r="G7175">
            <v>200</v>
          </cell>
          <cell r="H7175" t="str">
            <v>HISP-S200</v>
          </cell>
          <cell r="K7175" t="str">
            <v>Hojas Carbonell,Virginia</v>
          </cell>
          <cell r="N7175">
            <v>3.0139999999999998</v>
          </cell>
          <cell r="O7175">
            <v>2.91</v>
          </cell>
        </row>
        <row r="7176">
          <cell r="E7176" t="str">
            <v>HISP</v>
          </cell>
          <cell r="F7176" t="str">
            <v>HISP-S</v>
          </cell>
          <cell r="G7176">
            <v>200</v>
          </cell>
          <cell r="H7176" t="str">
            <v>HISP-S200</v>
          </cell>
          <cell r="K7176" t="str">
            <v>Hojas Carbonell,Virginia</v>
          </cell>
          <cell r="N7176">
            <v>3.2770000000000001</v>
          </cell>
          <cell r="O7176">
            <v>3.1320000000000001</v>
          </cell>
        </row>
        <row r="7177">
          <cell r="E7177" t="str">
            <v>HISP</v>
          </cell>
          <cell r="F7177" t="str">
            <v>HISP-S</v>
          </cell>
          <cell r="G7177">
            <v>200</v>
          </cell>
          <cell r="H7177" t="str">
            <v>HISP-S200</v>
          </cell>
          <cell r="K7177" t="str">
            <v>Johnson,Matthew Steven</v>
          </cell>
          <cell r="N7177">
            <v>3.0169999999999999</v>
          </cell>
          <cell r="O7177">
            <v>3.1589999999999998</v>
          </cell>
        </row>
        <row r="7178">
          <cell r="E7178" t="str">
            <v>HISP</v>
          </cell>
          <cell r="F7178" t="str">
            <v>HISP-S</v>
          </cell>
          <cell r="G7178">
            <v>200</v>
          </cell>
          <cell r="H7178" t="str">
            <v>HISP-S200</v>
          </cell>
          <cell r="K7178" t="str">
            <v>Johnson,Matthew Steven</v>
          </cell>
          <cell r="N7178">
            <v>2.6259999999999999</v>
          </cell>
          <cell r="O7178">
            <v>2.89</v>
          </cell>
        </row>
        <row r="7179">
          <cell r="E7179" t="str">
            <v>HISP</v>
          </cell>
          <cell r="F7179" t="str">
            <v>HISP-S</v>
          </cell>
          <cell r="G7179">
            <v>200</v>
          </cell>
          <cell r="H7179" t="str">
            <v>HISP-S200</v>
          </cell>
          <cell r="K7179" t="str">
            <v>Knight,Justin Aubrey</v>
          </cell>
          <cell r="N7179">
            <v>3.0630000000000002</v>
          </cell>
          <cell r="O7179">
            <v>3.13</v>
          </cell>
        </row>
        <row r="7180">
          <cell r="E7180" t="str">
            <v>HISP</v>
          </cell>
          <cell r="F7180" t="str">
            <v>HISP-S</v>
          </cell>
          <cell r="G7180">
            <v>200</v>
          </cell>
          <cell r="H7180" t="str">
            <v>HISP-S200</v>
          </cell>
          <cell r="K7180" t="str">
            <v>Knight,Justin Aubrey</v>
          </cell>
          <cell r="N7180">
            <v>3.0579999999999998</v>
          </cell>
          <cell r="O7180">
            <v>3.1070000000000002</v>
          </cell>
        </row>
        <row r="7181">
          <cell r="E7181" t="str">
            <v>HISP</v>
          </cell>
          <cell r="F7181" t="str">
            <v>HISP-S</v>
          </cell>
          <cell r="G7181">
            <v>200</v>
          </cell>
          <cell r="H7181" t="str">
            <v>HISP-S200</v>
          </cell>
          <cell r="K7181" t="str">
            <v>Knight,Justin Aubrey</v>
          </cell>
          <cell r="N7181">
            <v>3.214</v>
          </cell>
          <cell r="O7181">
            <v>3.1230000000000002</v>
          </cell>
        </row>
        <row r="7182">
          <cell r="E7182" t="str">
            <v>HISP</v>
          </cell>
          <cell r="F7182" t="str">
            <v>HISP-S</v>
          </cell>
          <cell r="G7182">
            <v>200</v>
          </cell>
          <cell r="H7182" t="str">
            <v>HISP-S200</v>
          </cell>
          <cell r="K7182" t="str">
            <v>Knight,Justin Aubrey</v>
          </cell>
          <cell r="N7182">
            <v>2.8130000000000002</v>
          </cell>
          <cell r="O7182">
            <v>3.1059999999999999</v>
          </cell>
        </row>
        <row r="7183">
          <cell r="E7183" t="str">
            <v>HISP</v>
          </cell>
          <cell r="F7183" t="str">
            <v>HISP-S</v>
          </cell>
          <cell r="G7183">
            <v>200</v>
          </cell>
          <cell r="H7183" t="str">
            <v>HISP-S200</v>
          </cell>
          <cell r="K7183" t="str">
            <v>Lynch,Anna Hungerfield</v>
          </cell>
          <cell r="N7183">
            <v>2.8039999999999998</v>
          </cell>
          <cell r="O7183">
            <v>3.02</v>
          </cell>
        </row>
        <row r="7184">
          <cell r="E7184" t="str">
            <v>HISP</v>
          </cell>
          <cell r="F7184" t="str">
            <v>HISP-S</v>
          </cell>
          <cell r="G7184">
            <v>200</v>
          </cell>
          <cell r="H7184" t="str">
            <v>HISP-S200</v>
          </cell>
          <cell r="K7184" t="str">
            <v>Lynch,Anna Hungerfield</v>
          </cell>
          <cell r="N7184">
            <v>2.58</v>
          </cell>
          <cell r="O7184">
            <v>3.0350000000000001</v>
          </cell>
        </row>
        <row r="7185">
          <cell r="E7185" t="str">
            <v>HISP</v>
          </cell>
          <cell r="F7185" t="str">
            <v>HISP-S</v>
          </cell>
          <cell r="G7185">
            <v>200</v>
          </cell>
          <cell r="H7185" t="str">
            <v>HISP-S200</v>
          </cell>
          <cell r="K7185" t="str">
            <v>Lynch,Anna Hungerfield</v>
          </cell>
          <cell r="N7185">
            <v>2.9359999999999999</v>
          </cell>
          <cell r="O7185">
            <v>3.1019999999999999</v>
          </cell>
        </row>
        <row r="7186">
          <cell r="E7186" t="str">
            <v>HISP</v>
          </cell>
          <cell r="F7186" t="str">
            <v>HISP-S</v>
          </cell>
          <cell r="G7186">
            <v>200</v>
          </cell>
          <cell r="H7186" t="str">
            <v>HISP-S200</v>
          </cell>
          <cell r="K7186" t="str">
            <v>Mojedano Batel,Andrea Celeste</v>
          </cell>
          <cell r="N7186">
            <v>2.6459999999999999</v>
          </cell>
          <cell r="O7186">
            <v>2.8580000000000001</v>
          </cell>
        </row>
        <row r="7187">
          <cell r="E7187" t="str">
            <v>HISP</v>
          </cell>
          <cell r="F7187" t="str">
            <v>HISP-S</v>
          </cell>
          <cell r="G7187">
            <v>200</v>
          </cell>
          <cell r="H7187" t="str">
            <v>HISP-S200</v>
          </cell>
          <cell r="K7187" t="str">
            <v>Mojedano Batel,Andrea Celeste</v>
          </cell>
          <cell r="N7187">
            <v>3.113</v>
          </cell>
          <cell r="O7187">
            <v>3.0249999999999999</v>
          </cell>
        </row>
        <row r="7188">
          <cell r="E7188" t="str">
            <v>HISP</v>
          </cell>
          <cell r="F7188" t="str">
            <v>HISP-S</v>
          </cell>
          <cell r="G7188">
            <v>200</v>
          </cell>
          <cell r="H7188" t="str">
            <v>HISP-S200</v>
          </cell>
          <cell r="K7188" t="str">
            <v>Moore,Patrick</v>
          </cell>
          <cell r="N7188">
            <v>2.83</v>
          </cell>
          <cell r="O7188">
            <v>3.0059999999999998</v>
          </cell>
        </row>
        <row r="7189">
          <cell r="E7189" t="str">
            <v>HISP</v>
          </cell>
          <cell r="F7189" t="str">
            <v>HISP-S</v>
          </cell>
          <cell r="G7189">
            <v>200</v>
          </cell>
          <cell r="H7189" t="str">
            <v>HISP-S200</v>
          </cell>
          <cell r="K7189" t="str">
            <v>Ortiz,Sandra</v>
          </cell>
          <cell r="N7189">
            <v>3.3380000000000001</v>
          </cell>
          <cell r="O7189">
            <v>3.153</v>
          </cell>
        </row>
        <row r="7190">
          <cell r="E7190" t="str">
            <v>HISP</v>
          </cell>
          <cell r="F7190" t="str">
            <v>HISP-S</v>
          </cell>
          <cell r="G7190">
            <v>200</v>
          </cell>
          <cell r="H7190" t="str">
            <v>HISP-S200</v>
          </cell>
          <cell r="K7190" t="str">
            <v>Ortiz,Sandra</v>
          </cell>
          <cell r="N7190">
            <v>2.665</v>
          </cell>
          <cell r="O7190">
            <v>2.8450000000000002</v>
          </cell>
        </row>
        <row r="7191">
          <cell r="E7191" t="str">
            <v>HISP</v>
          </cell>
          <cell r="F7191" t="str">
            <v>HISP-S</v>
          </cell>
          <cell r="G7191">
            <v>200</v>
          </cell>
          <cell r="H7191" t="str">
            <v>HISP-S200</v>
          </cell>
          <cell r="K7191" t="str">
            <v>Ortiz,Sandra</v>
          </cell>
          <cell r="N7191">
            <v>2.887</v>
          </cell>
          <cell r="O7191">
            <v>3.1419999999999999</v>
          </cell>
        </row>
        <row r="7192">
          <cell r="E7192" t="str">
            <v>HISP</v>
          </cell>
          <cell r="F7192" t="str">
            <v>HISP-S</v>
          </cell>
          <cell r="G7192">
            <v>200</v>
          </cell>
          <cell r="H7192" t="str">
            <v>HISP-S200</v>
          </cell>
          <cell r="K7192" t="str">
            <v>Ortiz,Sandra</v>
          </cell>
          <cell r="N7192">
            <v>2.8</v>
          </cell>
          <cell r="O7192">
            <v>3.1389999999999998</v>
          </cell>
        </row>
        <row r="7193">
          <cell r="E7193" t="str">
            <v>HISP</v>
          </cell>
          <cell r="F7193" t="str">
            <v>HISP-S</v>
          </cell>
          <cell r="G7193">
            <v>200</v>
          </cell>
          <cell r="H7193" t="str">
            <v>HISP-S200</v>
          </cell>
          <cell r="K7193" t="str">
            <v>Parrilla-Recuero,Antonio</v>
          </cell>
          <cell r="N7193">
            <v>3.0179999999999998</v>
          </cell>
          <cell r="O7193">
            <v>2.923</v>
          </cell>
        </row>
        <row r="7194">
          <cell r="E7194" t="str">
            <v>HISP</v>
          </cell>
          <cell r="F7194" t="str">
            <v>HISP-S</v>
          </cell>
          <cell r="G7194">
            <v>200</v>
          </cell>
          <cell r="H7194" t="str">
            <v>HISP-S200</v>
          </cell>
          <cell r="K7194" t="str">
            <v>Pecorelli,Joseph Dominic</v>
          </cell>
          <cell r="N7194">
            <v>2.9049999999999998</v>
          </cell>
          <cell r="O7194">
            <v>2.9380000000000002</v>
          </cell>
        </row>
        <row r="7195">
          <cell r="E7195" t="str">
            <v>HISP</v>
          </cell>
          <cell r="F7195" t="str">
            <v>HISP-S</v>
          </cell>
          <cell r="G7195">
            <v>200</v>
          </cell>
          <cell r="H7195" t="str">
            <v>HISP-S200</v>
          </cell>
          <cell r="K7195" t="str">
            <v>Pecorelli,Joseph Dominic</v>
          </cell>
          <cell r="N7195">
            <v>2.9220000000000002</v>
          </cell>
          <cell r="O7195">
            <v>3.0379999999999998</v>
          </cell>
        </row>
        <row r="7196">
          <cell r="E7196" t="str">
            <v>HISP</v>
          </cell>
          <cell r="F7196" t="str">
            <v>HISP-S</v>
          </cell>
          <cell r="G7196">
            <v>200</v>
          </cell>
          <cell r="H7196" t="str">
            <v>HISP-S200</v>
          </cell>
          <cell r="K7196" t="str">
            <v>Pennycoff Jr,William Paul</v>
          </cell>
          <cell r="N7196">
            <v>2.8</v>
          </cell>
          <cell r="O7196">
            <v>2.9860000000000002</v>
          </cell>
        </row>
        <row r="7197">
          <cell r="E7197" t="str">
            <v>HISP</v>
          </cell>
          <cell r="F7197" t="str">
            <v>HISP-S</v>
          </cell>
          <cell r="G7197">
            <v>200</v>
          </cell>
          <cell r="H7197" t="str">
            <v>HISP-S200</v>
          </cell>
          <cell r="K7197" t="str">
            <v>Pennycoff Jr,William Paul</v>
          </cell>
          <cell r="N7197">
            <v>2.5569999999999999</v>
          </cell>
          <cell r="O7197">
            <v>2.871</v>
          </cell>
        </row>
        <row r="7198">
          <cell r="E7198" t="str">
            <v>HISP</v>
          </cell>
          <cell r="F7198" t="str">
            <v>HISP-S</v>
          </cell>
          <cell r="G7198">
            <v>200</v>
          </cell>
          <cell r="H7198" t="str">
            <v>HISP-S200</v>
          </cell>
          <cell r="K7198" t="str">
            <v>Polivka,James David</v>
          </cell>
          <cell r="N7198">
            <v>2.9710000000000001</v>
          </cell>
          <cell r="O7198">
            <v>3.1150000000000002</v>
          </cell>
        </row>
        <row r="7199">
          <cell r="E7199" t="str">
            <v>HISP</v>
          </cell>
          <cell r="F7199" t="str">
            <v>HISP-S</v>
          </cell>
          <cell r="G7199">
            <v>200</v>
          </cell>
          <cell r="H7199" t="str">
            <v>HISP-S200</v>
          </cell>
          <cell r="K7199" t="str">
            <v>Polivka,James David</v>
          </cell>
          <cell r="N7199">
            <v>2.9550000000000001</v>
          </cell>
          <cell r="O7199">
            <v>3.0190000000000001</v>
          </cell>
        </row>
        <row r="7200">
          <cell r="E7200" t="str">
            <v>HISP</v>
          </cell>
          <cell r="F7200" t="str">
            <v>HISP-S</v>
          </cell>
          <cell r="G7200">
            <v>200</v>
          </cell>
          <cell r="H7200" t="str">
            <v>HISP-S200</v>
          </cell>
          <cell r="K7200" t="str">
            <v>Reeves,Robin Anne</v>
          </cell>
          <cell r="N7200">
            <v>2.9169999999999998</v>
          </cell>
          <cell r="O7200">
            <v>3.129</v>
          </cell>
        </row>
        <row r="7201">
          <cell r="E7201" t="str">
            <v>HISP</v>
          </cell>
          <cell r="F7201" t="str">
            <v>HISP-S</v>
          </cell>
          <cell r="G7201">
            <v>200</v>
          </cell>
          <cell r="H7201" t="str">
            <v>HISP-S200</v>
          </cell>
          <cell r="K7201" t="str">
            <v>Reeves,Robin Anne</v>
          </cell>
          <cell r="N7201">
            <v>3.3260000000000001</v>
          </cell>
          <cell r="O7201">
            <v>3.169</v>
          </cell>
        </row>
        <row r="7202">
          <cell r="E7202" t="str">
            <v>HISP</v>
          </cell>
          <cell r="F7202" t="str">
            <v>HISP-S</v>
          </cell>
          <cell r="G7202">
            <v>200</v>
          </cell>
          <cell r="H7202" t="str">
            <v>HISP-S200</v>
          </cell>
          <cell r="K7202" t="str">
            <v>Salkauski,Jaclyn Nicole</v>
          </cell>
          <cell r="N7202">
            <v>3.141</v>
          </cell>
          <cell r="O7202">
            <v>3.1659999999999999</v>
          </cell>
        </row>
        <row r="7203">
          <cell r="E7203" t="str">
            <v>HISP</v>
          </cell>
          <cell r="F7203" t="str">
            <v>HISP-S</v>
          </cell>
          <cell r="G7203">
            <v>200</v>
          </cell>
          <cell r="H7203" t="str">
            <v>HISP-S200</v>
          </cell>
          <cell r="K7203" t="str">
            <v>Salkauski,Jaclyn Nicole</v>
          </cell>
          <cell r="N7203">
            <v>2.835</v>
          </cell>
          <cell r="O7203">
            <v>3.0569999999999999</v>
          </cell>
        </row>
        <row r="7204">
          <cell r="E7204" t="str">
            <v>HISP</v>
          </cell>
          <cell r="F7204" t="str">
            <v>HISP-S</v>
          </cell>
          <cell r="G7204">
            <v>200</v>
          </cell>
          <cell r="H7204" t="str">
            <v>HISP-S200</v>
          </cell>
          <cell r="K7204" t="str">
            <v>Salkauski,Jaclyn Nicole</v>
          </cell>
          <cell r="N7204">
            <v>3.0059999999999998</v>
          </cell>
          <cell r="O7204">
            <v>2.9390000000000001</v>
          </cell>
        </row>
        <row r="7205">
          <cell r="E7205" t="str">
            <v>HISP</v>
          </cell>
          <cell r="F7205" t="str">
            <v>HISP-S</v>
          </cell>
          <cell r="G7205">
            <v>200</v>
          </cell>
          <cell r="H7205" t="str">
            <v>HISP-S200</v>
          </cell>
          <cell r="K7205" t="str">
            <v>Sanabria,Andres</v>
          </cell>
          <cell r="N7205">
            <v>2.63</v>
          </cell>
          <cell r="O7205">
            <v>2.9430000000000001</v>
          </cell>
        </row>
        <row r="7206">
          <cell r="E7206" t="str">
            <v>HISP</v>
          </cell>
          <cell r="F7206" t="str">
            <v>HISP-S</v>
          </cell>
          <cell r="G7206">
            <v>200</v>
          </cell>
          <cell r="H7206" t="str">
            <v>HISP-S200</v>
          </cell>
          <cell r="K7206" t="str">
            <v>Schlegel,Rachel Elise</v>
          </cell>
          <cell r="N7206">
            <v>3.0779999999999998</v>
          </cell>
          <cell r="O7206">
            <v>3.0529999999999999</v>
          </cell>
        </row>
        <row r="7207">
          <cell r="E7207" t="str">
            <v>HISP</v>
          </cell>
          <cell r="F7207" t="str">
            <v>HISP-S</v>
          </cell>
          <cell r="G7207">
            <v>200</v>
          </cell>
          <cell r="H7207" t="str">
            <v>HISP-S200</v>
          </cell>
          <cell r="K7207" t="str">
            <v>Schroff,Alysa Jade</v>
          </cell>
          <cell r="N7207">
            <v>2.7170000000000001</v>
          </cell>
          <cell r="O7207">
            <v>2.9260000000000002</v>
          </cell>
        </row>
        <row r="7208">
          <cell r="E7208" t="str">
            <v>HISP</v>
          </cell>
          <cell r="F7208" t="str">
            <v>HISP-S</v>
          </cell>
          <cell r="G7208">
            <v>200</v>
          </cell>
          <cell r="H7208" t="str">
            <v>HISP-S200</v>
          </cell>
          <cell r="K7208" t="str">
            <v>Solon,Megan Elizabeth</v>
          </cell>
          <cell r="N7208">
            <v>2.9359999999999999</v>
          </cell>
          <cell r="O7208">
            <v>2.9830000000000001</v>
          </cell>
        </row>
        <row r="7209">
          <cell r="E7209" t="str">
            <v>HISP</v>
          </cell>
          <cell r="F7209" t="str">
            <v>HISP-S</v>
          </cell>
          <cell r="G7209">
            <v>200</v>
          </cell>
          <cell r="H7209" t="str">
            <v>HISP-S200</v>
          </cell>
          <cell r="K7209" t="str">
            <v>Songer,Heather Renee</v>
          </cell>
          <cell r="N7209">
            <v>2.7570000000000001</v>
          </cell>
          <cell r="O7209">
            <v>3.0049999999999999</v>
          </cell>
        </row>
        <row r="7210">
          <cell r="E7210" t="str">
            <v>HISP</v>
          </cell>
          <cell r="F7210" t="str">
            <v>HISP-S</v>
          </cell>
          <cell r="G7210">
            <v>200</v>
          </cell>
          <cell r="H7210" t="str">
            <v>HISP-S200</v>
          </cell>
          <cell r="K7210" t="str">
            <v>Songer,Heather Renee</v>
          </cell>
          <cell r="N7210">
            <v>2.85</v>
          </cell>
          <cell r="O7210">
            <v>2.8050000000000002</v>
          </cell>
        </row>
        <row r="7211">
          <cell r="E7211" t="str">
            <v>HISP</v>
          </cell>
          <cell r="F7211" t="str">
            <v>HISP-S</v>
          </cell>
          <cell r="G7211">
            <v>200</v>
          </cell>
          <cell r="H7211" t="str">
            <v>HISP-S200</v>
          </cell>
          <cell r="K7211" t="str">
            <v>Soto Arrivi,Juan Manuel</v>
          </cell>
          <cell r="N7211">
            <v>3.1190000000000002</v>
          </cell>
          <cell r="O7211">
            <v>3.2679999999999998</v>
          </cell>
        </row>
        <row r="7212">
          <cell r="E7212" t="str">
            <v>HISP</v>
          </cell>
          <cell r="F7212" t="str">
            <v>HISP-S</v>
          </cell>
          <cell r="G7212">
            <v>200</v>
          </cell>
          <cell r="H7212" t="str">
            <v>HISP-S200</v>
          </cell>
          <cell r="K7212" t="str">
            <v>Spendl,Lana</v>
          </cell>
          <cell r="N7212">
            <v>2.9079999999999999</v>
          </cell>
          <cell r="O7212">
            <v>3.1019999999999999</v>
          </cell>
        </row>
        <row r="7213">
          <cell r="E7213" t="str">
            <v>HISP</v>
          </cell>
          <cell r="F7213" t="str">
            <v>HISP-S</v>
          </cell>
          <cell r="G7213">
            <v>200</v>
          </cell>
          <cell r="H7213" t="str">
            <v>HISP-S200</v>
          </cell>
          <cell r="K7213" t="str">
            <v>Spendl,Lana</v>
          </cell>
          <cell r="N7213">
            <v>3.0270000000000001</v>
          </cell>
          <cell r="O7213">
            <v>3.21</v>
          </cell>
        </row>
        <row r="7214">
          <cell r="E7214" t="str">
            <v>HISP</v>
          </cell>
          <cell r="F7214" t="str">
            <v>HISP-S</v>
          </cell>
          <cell r="G7214">
            <v>200</v>
          </cell>
          <cell r="H7214" t="str">
            <v>HISP-S200</v>
          </cell>
          <cell r="K7214" t="str">
            <v>Spendl,Lana</v>
          </cell>
          <cell r="N7214">
            <v>2.9329999999999998</v>
          </cell>
          <cell r="O7214">
            <v>3.0840000000000001</v>
          </cell>
        </row>
        <row r="7215">
          <cell r="E7215" t="str">
            <v>HISP</v>
          </cell>
          <cell r="F7215" t="str">
            <v>HISP-S</v>
          </cell>
          <cell r="G7215">
            <v>200</v>
          </cell>
          <cell r="H7215" t="str">
            <v>HISP-S200</v>
          </cell>
          <cell r="K7215" t="str">
            <v>Wade,Courtney</v>
          </cell>
          <cell r="N7215">
            <v>2.7130000000000001</v>
          </cell>
          <cell r="O7215">
            <v>2.7869999999999999</v>
          </cell>
        </row>
        <row r="7216">
          <cell r="E7216" t="str">
            <v>HISP</v>
          </cell>
          <cell r="F7216" t="str">
            <v>HISP-S</v>
          </cell>
          <cell r="G7216">
            <v>200</v>
          </cell>
          <cell r="H7216" t="str">
            <v>HISP-S200</v>
          </cell>
          <cell r="K7216" t="str">
            <v>Whatley,Melissa Erin</v>
          </cell>
          <cell r="N7216">
            <v>2.9169999999999998</v>
          </cell>
          <cell r="O7216">
            <v>2.831</v>
          </cell>
        </row>
        <row r="7217">
          <cell r="E7217" t="str">
            <v>HISP</v>
          </cell>
          <cell r="F7217" t="str">
            <v>HISP-S</v>
          </cell>
          <cell r="G7217">
            <v>200</v>
          </cell>
          <cell r="H7217" t="str">
            <v>HISP-S200</v>
          </cell>
          <cell r="K7217" t="str">
            <v>Whatley,Melissa Erin</v>
          </cell>
          <cell r="N7217">
            <v>3.2189999999999999</v>
          </cell>
          <cell r="O7217">
            <v>3.0529999999999999</v>
          </cell>
        </row>
        <row r="7218">
          <cell r="E7218" t="str">
            <v>HISP</v>
          </cell>
          <cell r="F7218" t="str">
            <v>HISP-S</v>
          </cell>
          <cell r="G7218">
            <v>250</v>
          </cell>
          <cell r="H7218" t="str">
            <v>HISP-S250</v>
          </cell>
          <cell r="K7218" t="str">
            <v>Agauas,Hannah Lisa</v>
          </cell>
          <cell r="N7218">
            <v>3.0169999999999999</v>
          </cell>
          <cell r="O7218">
            <v>3.2650000000000001</v>
          </cell>
        </row>
        <row r="7219">
          <cell r="E7219" t="str">
            <v>HISP</v>
          </cell>
          <cell r="F7219" t="str">
            <v>HISP-S</v>
          </cell>
          <cell r="G7219">
            <v>250</v>
          </cell>
          <cell r="H7219" t="str">
            <v>HISP-S250</v>
          </cell>
          <cell r="K7219" t="str">
            <v>Agauas,Hannah Lisa</v>
          </cell>
          <cell r="N7219">
            <v>2.8650000000000002</v>
          </cell>
          <cell r="O7219">
            <v>3.004</v>
          </cell>
        </row>
        <row r="7220">
          <cell r="E7220" t="str">
            <v>HISP</v>
          </cell>
          <cell r="F7220" t="str">
            <v>HISP-S</v>
          </cell>
          <cell r="G7220">
            <v>250</v>
          </cell>
          <cell r="H7220" t="str">
            <v>HISP-S250</v>
          </cell>
          <cell r="K7220" t="str">
            <v>Baxter,Robert Patrick</v>
          </cell>
          <cell r="N7220">
            <v>2.97</v>
          </cell>
          <cell r="O7220">
            <v>3.2130000000000001</v>
          </cell>
        </row>
        <row r="7221">
          <cell r="E7221" t="str">
            <v>HISP</v>
          </cell>
          <cell r="F7221" t="str">
            <v>HISP-S</v>
          </cell>
          <cell r="G7221">
            <v>250</v>
          </cell>
          <cell r="H7221" t="str">
            <v>HISP-S250</v>
          </cell>
          <cell r="K7221" t="str">
            <v>Baxter,Robert Patrick</v>
          </cell>
          <cell r="N7221">
            <v>2.629</v>
          </cell>
          <cell r="O7221">
            <v>2.95</v>
          </cell>
        </row>
        <row r="7222">
          <cell r="E7222" t="str">
            <v>HISP</v>
          </cell>
          <cell r="F7222" t="str">
            <v>HISP-S</v>
          </cell>
          <cell r="G7222">
            <v>250</v>
          </cell>
          <cell r="H7222" t="str">
            <v>HISP-S250</v>
          </cell>
          <cell r="K7222" t="str">
            <v>Bedinghaus,Rob</v>
          </cell>
          <cell r="N7222">
            <v>2.823</v>
          </cell>
          <cell r="O7222">
            <v>3.0070000000000001</v>
          </cell>
        </row>
        <row r="7223">
          <cell r="E7223" t="str">
            <v>HISP</v>
          </cell>
          <cell r="F7223" t="str">
            <v>HISP-S</v>
          </cell>
          <cell r="G7223">
            <v>250</v>
          </cell>
          <cell r="H7223" t="str">
            <v>HISP-S250</v>
          </cell>
          <cell r="K7223" t="str">
            <v>Bezerra,Ligia C.</v>
          </cell>
          <cell r="N7223">
            <v>3.0830000000000002</v>
          </cell>
          <cell r="O7223">
            <v>3.1589999999999998</v>
          </cell>
        </row>
        <row r="7224">
          <cell r="E7224" t="str">
            <v>HISP</v>
          </cell>
          <cell r="F7224" t="str">
            <v>HISP-S</v>
          </cell>
          <cell r="G7224">
            <v>250</v>
          </cell>
          <cell r="H7224" t="str">
            <v>HISP-S250</v>
          </cell>
          <cell r="K7224" t="str">
            <v>Bezerra,Ligia C.</v>
          </cell>
          <cell r="N7224">
            <v>3.0350000000000001</v>
          </cell>
          <cell r="O7224">
            <v>3.04</v>
          </cell>
        </row>
        <row r="7225">
          <cell r="E7225" t="str">
            <v>HISP</v>
          </cell>
          <cell r="F7225" t="str">
            <v>HISP-S</v>
          </cell>
          <cell r="G7225">
            <v>250</v>
          </cell>
          <cell r="H7225" t="str">
            <v>HISP-S250</v>
          </cell>
          <cell r="K7225" t="str">
            <v>Bezerra,Ligia C.</v>
          </cell>
          <cell r="N7225">
            <v>2.8620000000000001</v>
          </cell>
          <cell r="O7225">
            <v>3.0179999999999998</v>
          </cell>
        </row>
        <row r="7226">
          <cell r="E7226" t="str">
            <v>HISP</v>
          </cell>
          <cell r="F7226" t="str">
            <v>HISP-S</v>
          </cell>
          <cell r="G7226">
            <v>250</v>
          </cell>
          <cell r="H7226" t="str">
            <v>HISP-S250</v>
          </cell>
          <cell r="K7226" t="str">
            <v>Bezerra,Ligia C.</v>
          </cell>
          <cell r="N7226">
            <v>2.891</v>
          </cell>
          <cell r="O7226">
            <v>3.0539999999999998</v>
          </cell>
        </row>
        <row r="7227">
          <cell r="E7227" t="str">
            <v>HISP</v>
          </cell>
          <cell r="F7227" t="str">
            <v>HISP-S</v>
          </cell>
          <cell r="G7227">
            <v>250</v>
          </cell>
          <cell r="H7227" t="str">
            <v>HISP-S250</v>
          </cell>
          <cell r="K7227" t="str">
            <v>Bongiovanni,Silvina Carla</v>
          </cell>
          <cell r="N7227">
            <v>2.948</v>
          </cell>
          <cell r="O7227">
            <v>3.08</v>
          </cell>
        </row>
        <row r="7228">
          <cell r="E7228" t="str">
            <v>HISP</v>
          </cell>
          <cell r="F7228" t="str">
            <v>HISP-S</v>
          </cell>
          <cell r="G7228">
            <v>250</v>
          </cell>
          <cell r="H7228" t="str">
            <v>HISP-S250</v>
          </cell>
          <cell r="K7228" t="str">
            <v>Bongiovanni,Silvina Carla</v>
          </cell>
          <cell r="N7228">
            <v>3.1419999999999999</v>
          </cell>
          <cell r="O7228">
            <v>3.2189999999999999</v>
          </cell>
        </row>
        <row r="7229">
          <cell r="E7229" t="str">
            <v>HISP</v>
          </cell>
          <cell r="F7229" t="str">
            <v>HISP-S</v>
          </cell>
          <cell r="G7229">
            <v>250</v>
          </cell>
          <cell r="H7229" t="str">
            <v>HISP-S250</v>
          </cell>
          <cell r="K7229" t="str">
            <v>Buck,Alexandra Marie</v>
          </cell>
          <cell r="N7229">
            <v>2.9870000000000001</v>
          </cell>
          <cell r="O7229">
            <v>3.1</v>
          </cell>
        </row>
        <row r="7230">
          <cell r="E7230" t="str">
            <v>HISP</v>
          </cell>
          <cell r="F7230" t="str">
            <v>HISP-S</v>
          </cell>
          <cell r="G7230">
            <v>250</v>
          </cell>
          <cell r="H7230" t="str">
            <v>HISP-S250</v>
          </cell>
          <cell r="K7230" t="str">
            <v>Buck,Alexandra Marie</v>
          </cell>
          <cell r="N7230">
            <v>2.9950000000000001</v>
          </cell>
          <cell r="O7230">
            <v>2.9980000000000002</v>
          </cell>
        </row>
        <row r="7231">
          <cell r="E7231" t="str">
            <v>HISP</v>
          </cell>
          <cell r="F7231" t="str">
            <v>HISP-S</v>
          </cell>
          <cell r="G7231">
            <v>250</v>
          </cell>
          <cell r="H7231" t="str">
            <v>HISP-S250</v>
          </cell>
          <cell r="K7231" t="str">
            <v>Castro,Vania A.</v>
          </cell>
          <cell r="N7231">
            <v>3.1429999999999998</v>
          </cell>
          <cell r="O7231">
            <v>3.073</v>
          </cell>
        </row>
        <row r="7232">
          <cell r="E7232" t="str">
            <v>HISP</v>
          </cell>
          <cell r="F7232" t="str">
            <v>HISP-S</v>
          </cell>
          <cell r="G7232">
            <v>250</v>
          </cell>
          <cell r="H7232" t="str">
            <v>HISP-S250</v>
          </cell>
          <cell r="K7232" t="str">
            <v>Cole,Christina Elizabeth</v>
          </cell>
          <cell r="N7232">
            <v>3.4129999999999998</v>
          </cell>
          <cell r="O7232">
            <v>3.2450000000000001</v>
          </cell>
        </row>
        <row r="7233">
          <cell r="E7233" t="str">
            <v>HISP</v>
          </cell>
          <cell r="F7233" t="str">
            <v>HISP-S</v>
          </cell>
          <cell r="G7233">
            <v>250</v>
          </cell>
          <cell r="H7233" t="str">
            <v>HISP-S250</v>
          </cell>
          <cell r="K7233" t="str">
            <v>Cole,Christina Elizabeth</v>
          </cell>
          <cell r="N7233">
            <v>3.1669999999999998</v>
          </cell>
          <cell r="O7233">
            <v>3.2240000000000002</v>
          </cell>
        </row>
        <row r="7234">
          <cell r="E7234" t="str">
            <v>HISP</v>
          </cell>
          <cell r="F7234" t="str">
            <v>HISP-S</v>
          </cell>
          <cell r="G7234">
            <v>250</v>
          </cell>
          <cell r="H7234" t="str">
            <v>HISP-S250</v>
          </cell>
          <cell r="K7234" t="str">
            <v>Delgado-Diaz,Gibran Jose</v>
          </cell>
          <cell r="N7234">
            <v>3.3140000000000001</v>
          </cell>
          <cell r="O7234">
            <v>3.2090000000000001</v>
          </cell>
        </row>
        <row r="7235">
          <cell r="E7235" t="str">
            <v>HISP</v>
          </cell>
          <cell r="F7235" t="str">
            <v>HISP-S</v>
          </cell>
          <cell r="G7235">
            <v>250</v>
          </cell>
          <cell r="H7235" t="str">
            <v>HISP-S250</v>
          </cell>
          <cell r="K7235" t="str">
            <v>Delgado-Diaz,Gibran Jose</v>
          </cell>
          <cell r="N7235">
            <v>2.927</v>
          </cell>
          <cell r="O7235">
            <v>2.867</v>
          </cell>
        </row>
        <row r="7236">
          <cell r="E7236" t="str">
            <v>HISP</v>
          </cell>
          <cell r="F7236" t="str">
            <v>HISP-S</v>
          </cell>
          <cell r="G7236">
            <v>250</v>
          </cell>
          <cell r="H7236" t="str">
            <v>HISP-S250</v>
          </cell>
          <cell r="K7236" t="str">
            <v>Figert,Stephen Martin</v>
          </cell>
          <cell r="N7236">
            <v>2.9</v>
          </cell>
          <cell r="O7236">
            <v>3.0670000000000002</v>
          </cell>
        </row>
        <row r="7237">
          <cell r="E7237" t="str">
            <v>HISP</v>
          </cell>
          <cell r="F7237" t="str">
            <v>HISP-S</v>
          </cell>
          <cell r="G7237">
            <v>250</v>
          </cell>
          <cell r="H7237" t="str">
            <v>HISP-S250</v>
          </cell>
          <cell r="K7237" t="str">
            <v>Gardner,Nora Lynn</v>
          </cell>
          <cell r="N7237">
            <v>3.0569999999999999</v>
          </cell>
          <cell r="O7237">
            <v>2.9820000000000002</v>
          </cell>
        </row>
        <row r="7238">
          <cell r="E7238" t="str">
            <v>HISP</v>
          </cell>
          <cell r="F7238" t="str">
            <v>HISP-S</v>
          </cell>
          <cell r="G7238">
            <v>250</v>
          </cell>
          <cell r="H7238" t="str">
            <v>HISP-S250</v>
          </cell>
          <cell r="K7238" t="str">
            <v>Gordon,Joshua</v>
          </cell>
          <cell r="N7238">
            <v>2.8380000000000001</v>
          </cell>
          <cell r="O7238">
            <v>3.121</v>
          </cell>
        </row>
        <row r="7239">
          <cell r="E7239" t="str">
            <v>HISP</v>
          </cell>
          <cell r="F7239" t="str">
            <v>HISP-S</v>
          </cell>
          <cell r="G7239">
            <v>250</v>
          </cell>
          <cell r="H7239" t="str">
            <v>HISP-S250</v>
          </cell>
          <cell r="K7239" t="str">
            <v>Gordon,Joshua</v>
          </cell>
          <cell r="N7239">
            <v>2.9039999999999999</v>
          </cell>
          <cell r="O7239">
            <v>2.9990000000000001</v>
          </cell>
        </row>
        <row r="7240">
          <cell r="E7240" t="str">
            <v>HISP</v>
          </cell>
          <cell r="F7240" t="str">
            <v>HISP-S</v>
          </cell>
          <cell r="G7240">
            <v>250</v>
          </cell>
          <cell r="H7240" t="str">
            <v>HISP-S250</v>
          </cell>
          <cell r="K7240" t="str">
            <v>Gradoville,Michael Stephen</v>
          </cell>
          <cell r="N7240">
            <v>2.9540000000000002</v>
          </cell>
          <cell r="O7240">
            <v>3.1659999999999999</v>
          </cell>
        </row>
        <row r="7241">
          <cell r="E7241" t="str">
            <v>HISP</v>
          </cell>
          <cell r="F7241" t="str">
            <v>HISP-S</v>
          </cell>
          <cell r="G7241">
            <v>250</v>
          </cell>
          <cell r="H7241" t="str">
            <v>HISP-S250</v>
          </cell>
          <cell r="K7241" t="str">
            <v>Gradoville,Michael Stephen</v>
          </cell>
          <cell r="N7241">
            <v>3.1</v>
          </cell>
          <cell r="O7241">
            <v>3.1339999999999999</v>
          </cell>
        </row>
        <row r="7242">
          <cell r="E7242" t="str">
            <v>HISP</v>
          </cell>
          <cell r="F7242" t="str">
            <v>HISP-S</v>
          </cell>
          <cell r="G7242">
            <v>250</v>
          </cell>
          <cell r="H7242" t="str">
            <v>HISP-S250</v>
          </cell>
          <cell r="K7242" t="str">
            <v>Hallows,Ryan David</v>
          </cell>
          <cell r="N7242">
            <v>3.032</v>
          </cell>
          <cell r="O7242">
            <v>2.7080000000000002</v>
          </cell>
        </row>
        <row r="7243">
          <cell r="E7243" t="str">
            <v>HISP</v>
          </cell>
          <cell r="F7243" t="str">
            <v>HISP-S</v>
          </cell>
          <cell r="G7243">
            <v>250</v>
          </cell>
          <cell r="H7243" t="str">
            <v>HISP-S250</v>
          </cell>
          <cell r="K7243" t="str">
            <v>Herring,Elizabeth Margaret</v>
          </cell>
          <cell r="N7243">
            <v>2.6269999999999998</v>
          </cell>
          <cell r="O7243">
            <v>2.88</v>
          </cell>
        </row>
        <row r="7244">
          <cell r="E7244" t="str">
            <v>HISP</v>
          </cell>
          <cell r="F7244" t="str">
            <v>HISP-S</v>
          </cell>
          <cell r="G7244">
            <v>250</v>
          </cell>
          <cell r="H7244" t="str">
            <v>HISP-S250</v>
          </cell>
          <cell r="K7244" t="str">
            <v>Hojas Carbonell,Virginia</v>
          </cell>
          <cell r="N7244">
            <v>3.2650000000000001</v>
          </cell>
          <cell r="O7244">
            <v>3.2949999999999999</v>
          </cell>
        </row>
        <row r="7245">
          <cell r="E7245" t="str">
            <v>HISP</v>
          </cell>
          <cell r="F7245" t="str">
            <v>HISP-S</v>
          </cell>
          <cell r="G7245">
            <v>250</v>
          </cell>
          <cell r="H7245" t="str">
            <v>HISP-S250</v>
          </cell>
          <cell r="K7245" t="str">
            <v>Hojas Carbonell,Virginia</v>
          </cell>
          <cell r="N7245">
            <v>2.9359999999999999</v>
          </cell>
          <cell r="O7245">
            <v>3.0640000000000001</v>
          </cell>
        </row>
        <row r="7246">
          <cell r="E7246" t="str">
            <v>HISP</v>
          </cell>
          <cell r="F7246" t="str">
            <v>HISP-S</v>
          </cell>
          <cell r="G7246">
            <v>250</v>
          </cell>
          <cell r="H7246" t="str">
            <v>HISP-S250</v>
          </cell>
          <cell r="K7246" t="str">
            <v>Johnson,Matthew Steven</v>
          </cell>
          <cell r="N7246">
            <v>3.0880000000000001</v>
          </cell>
          <cell r="O7246">
            <v>3.1960000000000002</v>
          </cell>
        </row>
        <row r="7247">
          <cell r="E7247" t="str">
            <v>HISP</v>
          </cell>
          <cell r="F7247" t="str">
            <v>HISP-S</v>
          </cell>
          <cell r="G7247">
            <v>250</v>
          </cell>
          <cell r="H7247" t="str">
            <v>HISP-S250</v>
          </cell>
          <cell r="K7247" t="str">
            <v>Johnson,Matthew Steven</v>
          </cell>
          <cell r="N7247">
            <v>2.883</v>
          </cell>
          <cell r="O7247">
            <v>2.9769999999999999</v>
          </cell>
        </row>
        <row r="7248">
          <cell r="E7248" t="str">
            <v>HISP</v>
          </cell>
          <cell r="F7248" t="str">
            <v>HISP-S</v>
          </cell>
          <cell r="G7248">
            <v>250</v>
          </cell>
          <cell r="H7248" t="str">
            <v>HISP-S250</v>
          </cell>
          <cell r="K7248" t="str">
            <v>Kanczuzewski,Paul</v>
          </cell>
          <cell r="N7248">
            <v>2.9039999999999999</v>
          </cell>
          <cell r="O7248">
            <v>3.081</v>
          </cell>
        </row>
        <row r="7249">
          <cell r="E7249" t="str">
            <v>HISP</v>
          </cell>
          <cell r="F7249" t="str">
            <v>HISP-S</v>
          </cell>
          <cell r="G7249">
            <v>250</v>
          </cell>
          <cell r="H7249" t="str">
            <v>HISP-S250</v>
          </cell>
          <cell r="K7249" t="str">
            <v>Linford,Bret Gene</v>
          </cell>
          <cell r="N7249">
            <v>3.2890000000000001</v>
          </cell>
          <cell r="O7249">
            <v>3.3250000000000002</v>
          </cell>
        </row>
        <row r="7250">
          <cell r="E7250" t="str">
            <v>HISP</v>
          </cell>
          <cell r="F7250" t="str">
            <v>HISP-S</v>
          </cell>
          <cell r="G7250">
            <v>250</v>
          </cell>
          <cell r="H7250" t="str">
            <v>HISP-S250</v>
          </cell>
          <cell r="K7250" t="str">
            <v>Long,Avizia Yim</v>
          </cell>
          <cell r="N7250">
            <v>2.9729999999999999</v>
          </cell>
          <cell r="O7250">
            <v>2.9889999999999999</v>
          </cell>
        </row>
        <row r="7251">
          <cell r="E7251" t="str">
            <v>HISP</v>
          </cell>
          <cell r="F7251" t="str">
            <v>HISP-S</v>
          </cell>
          <cell r="G7251">
            <v>250</v>
          </cell>
          <cell r="H7251" t="str">
            <v>HISP-S250</v>
          </cell>
          <cell r="K7251" t="str">
            <v>Madewell,Julie Ann</v>
          </cell>
          <cell r="N7251">
            <v>3.2090000000000001</v>
          </cell>
          <cell r="O7251">
            <v>3.1709999999999998</v>
          </cell>
        </row>
        <row r="7252">
          <cell r="E7252" t="str">
            <v>HISP</v>
          </cell>
          <cell r="F7252" t="str">
            <v>HISP-S</v>
          </cell>
          <cell r="G7252">
            <v>250</v>
          </cell>
          <cell r="H7252" t="str">
            <v>HISP-S250</v>
          </cell>
          <cell r="K7252" t="str">
            <v>Madewell,Julie Ann</v>
          </cell>
          <cell r="N7252">
            <v>2.9750000000000001</v>
          </cell>
          <cell r="O7252">
            <v>3.165</v>
          </cell>
        </row>
        <row r="7253">
          <cell r="E7253" t="str">
            <v>HISP</v>
          </cell>
          <cell r="F7253" t="str">
            <v>HISP-S</v>
          </cell>
          <cell r="G7253">
            <v>250</v>
          </cell>
          <cell r="H7253" t="str">
            <v>HISP-S250</v>
          </cell>
          <cell r="K7253" t="str">
            <v>Madewell,Julie Ann</v>
          </cell>
          <cell r="N7253">
            <v>3.33</v>
          </cell>
          <cell r="O7253">
            <v>3.2949999999999999</v>
          </cell>
        </row>
        <row r="7254">
          <cell r="E7254" t="str">
            <v>HISP</v>
          </cell>
          <cell r="F7254" t="str">
            <v>HISP-S</v>
          </cell>
          <cell r="G7254">
            <v>250</v>
          </cell>
          <cell r="H7254" t="str">
            <v>HISP-S250</v>
          </cell>
          <cell r="K7254" t="str">
            <v>Madewell,Julie Ann</v>
          </cell>
          <cell r="N7254">
            <v>3.0950000000000002</v>
          </cell>
          <cell r="O7254">
            <v>2.919</v>
          </cell>
        </row>
        <row r="7255">
          <cell r="E7255" t="str">
            <v>HISP</v>
          </cell>
          <cell r="F7255" t="str">
            <v>HISP-S</v>
          </cell>
          <cell r="G7255">
            <v>250</v>
          </cell>
          <cell r="H7255" t="str">
            <v>HISP-S250</v>
          </cell>
          <cell r="K7255" t="str">
            <v>Marquez Martinez,Miguel Angel</v>
          </cell>
          <cell r="N7255">
            <v>2.988</v>
          </cell>
          <cell r="O7255">
            <v>3.153</v>
          </cell>
        </row>
        <row r="7256">
          <cell r="E7256" t="str">
            <v>HISP</v>
          </cell>
          <cell r="F7256" t="str">
            <v>HISP-S</v>
          </cell>
          <cell r="G7256">
            <v>250</v>
          </cell>
          <cell r="H7256" t="str">
            <v>HISP-S250</v>
          </cell>
          <cell r="K7256" t="str">
            <v>McDyer,Elizabeth Anne</v>
          </cell>
          <cell r="N7256">
            <v>2.8279999999999998</v>
          </cell>
          <cell r="O7256">
            <v>3.1120000000000001</v>
          </cell>
        </row>
        <row r="7257">
          <cell r="E7257" t="str">
            <v>HISP</v>
          </cell>
          <cell r="F7257" t="str">
            <v>HISP-S</v>
          </cell>
          <cell r="G7257">
            <v>250</v>
          </cell>
          <cell r="H7257" t="str">
            <v>HISP-S250</v>
          </cell>
          <cell r="K7257" t="str">
            <v>McDyer,Elizabeth Anne</v>
          </cell>
          <cell r="N7257">
            <v>3.02</v>
          </cell>
          <cell r="O7257">
            <v>3.1539999999999999</v>
          </cell>
        </row>
        <row r="7258">
          <cell r="E7258" t="str">
            <v>HISP</v>
          </cell>
          <cell r="F7258" t="str">
            <v>HISP-S</v>
          </cell>
          <cell r="G7258">
            <v>250</v>
          </cell>
          <cell r="H7258" t="str">
            <v>HISP-S250</v>
          </cell>
          <cell r="K7258" t="str">
            <v>Mojedano Batel,Andrea Celeste</v>
          </cell>
          <cell r="N7258">
            <v>2.5299999999999998</v>
          </cell>
          <cell r="O7258">
            <v>2.9159999999999999</v>
          </cell>
        </row>
        <row r="7259">
          <cell r="E7259" t="str">
            <v>HISP</v>
          </cell>
          <cell r="F7259" t="str">
            <v>HISP-S</v>
          </cell>
          <cell r="G7259">
            <v>250</v>
          </cell>
          <cell r="H7259" t="str">
            <v>HISP-S250</v>
          </cell>
          <cell r="K7259" t="str">
            <v>Mojedano Batel,Andrea Celeste</v>
          </cell>
          <cell r="N7259">
            <v>2.9870000000000001</v>
          </cell>
          <cell r="O7259">
            <v>3.1949999999999998</v>
          </cell>
        </row>
        <row r="7260">
          <cell r="E7260" t="str">
            <v>HISP</v>
          </cell>
          <cell r="F7260" t="str">
            <v>HISP-S</v>
          </cell>
          <cell r="G7260">
            <v>250</v>
          </cell>
          <cell r="H7260" t="str">
            <v>HISP-S250</v>
          </cell>
          <cell r="K7260" t="str">
            <v>Mora Quilon,Miriam Valle</v>
          </cell>
          <cell r="N7260">
            <v>2.9329999999999998</v>
          </cell>
          <cell r="O7260">
            <v>3.13</v>
          </cell>
        </row>
        <row r="7261">
          <cell r="E7261" t="str">
            <v>HISP</v>
          </cell>
          <cell r="F7261" t="str">
            <v>HISP-S</v>
          </cell>
          <cell r="G7261">
            <v>250</v>
          </cell>
          <cell r="H7261" t="str">
            <v>HISP-S250</v>
          </cell>
          <cell r="K7261" t="str">
            <v>Mora Quilon,Miriam Valle</v>
          </cell>
          <cell r="N7261">
            <v>3.2069999999999999</v>
          </cell>
          <cell r="O7261">
            <v>3.08</v>
          </cell>
        </row>
        <row r="7262">
          <cell r="E7262" t="str">
            <v>HISP</v>
          </cell>
          <cell r="F7262" t="str">
            <v>HISP-S</v>
          </cell>
          <cell r="G7262">
            <v>250</v>
          </cell>
          <cell r="H7262" t="str">
            <v>HISP-S250</v>
          </cell>
          <cell r="K7262" t="str">
            <v>Mora Quilon,Miriam Valle</v>
          </cell>
          <cell r="N7262">
            <v>2.6269999999999998</v>
          </cell>
          <cell r="O7262">
            <v>3.1509999999999998</v>
          </cell>
        </row>
        <row r="7263">
          <cell r="E7263" t="str">
            <v>HISP</v>
          </cell>
          <cell r="F7263" t="str">
            <v>HISP-S</v>
          </cell>
          <cell r="G7263">
            <v>250</v>
          </cell>
          <cell r="H7263" t="str">
            <v>HISP-S250</v>
          </cell>
          <cell r="K7263" t="str">
            <v>Navarro-Galisteo,Inmaculada</v>
          </cell>
          <cell r="N7263">
            <v>3.681</v>
          </cell>
          <cell r="O7263">
            <v>3.7749999999999999</v>
          </cell>
        </row>
        <row r="7264">
          <cell r="E7264" t="str">
            <v>HISP</v>
          </cell>
          <cell r="F7264" t="str">
            <v>HISP-S</v>
          </cell>
          <cell r="G7264">
            <v>250</v>
          </cell>
          <cell r="H7264" t="str">
            <v>HISP-S250</v>
          </cell>
          <cell r="K7264" t="str">
            <v>Navarro-Galisteo,Inmaculada</v>
          </cell>
          <cell r="N7264">
            <v>2.95</v>
          </cell>
          <cell r="O7264">
            <v>3.0939999999999999</v>
          </cell>
        </row>
        <row r="7265">
          <cell r="E7265" t="str">
            <v>HISP</v>
          </cell>
          <cell r="F7265" t="str">
            <v>HISP-S</v>
          </cell>
          <cell r="G7265">
            <v>250</v>
          </cell>
          <cell r="H7265" t="str">
            <v>HISP-S250</v>
          </cell>
          <cell r="K7265" t="str">
            <v>Perez,Ashley Hope Ray</v>
          </cell>
          <cell r="N7265">
            <v>3.0630000000000002</v>
          </cell>
          <cell r="O7265">
            <v>3.319</v>
          </cell>
        </row>
        <row r="7266">
          <cell r="E7266" t="str">
            <v>HISP</v>
          </cell>
          <cell r="F7266" t="str">
            <v>HISP-S</v>
          </cell>
          <cell r="G7266">
            <v>250</v>
          </cell>
          <cell r="H7266" t="str">
            <v>HISP-S250</v>
          </cell>
          <cell r="K7266" t="str">
            <v>Perez,Ashley Hope Ray</v>
          </cell>
          <cell r="N7266">
            <v>3.109</v>
          </cell>
          <cell r="O7266">
            <v>3.22</v>
          </cell>
        </row>
        <row r="7267">
          <cell r="E7267" t="str">
            <v>HISP</v>
          </cell>
          <cell r="F7267" t="str">
            <v>HISP-S</v>
          </cell>
          <cell r="G7267">
            <v>250</v>
          </cell>
          <cell r="H7267" t="str">
            <v>HISP-S250</v>
          </cell>
          <cell r="K7267" t="str">
            <v>Piqueres Gilabert,Rosa Maria</v>
          </cell>
          <cell r="N7267">
            <v>2.8580000000000001</v>
          </cell>
          <cell r="O7267">
            <v>3.2480000000000002</v>
          </cell>
        </row>
        <row r="7268">
          <cell r="E7268" t="str">
            <v>HISP</v>
          </cell>
          <cell r="F7268" t="str">
            <v>HISP-S</v>
          </cell>
          <cell r="G7268">
            <v>250</v>
          </cell>
          <cell r="H7268" t="str">
            <v>HISP-S250</v>
          </cell>
          <cell r="K7268" t="str">
            <v>Piqueres Gilabert,Rosa Maria</v>
          </cell>
          <cell r="N7268">
            <v>3.1080000000000001</v>
          </cell>
          <cell r="O7268">
            <v>3.177</v>
          </cell>
        </row>
        <row r="7269">
          <cell r="E7269" t="str">
            <v>HISP</v>
          </cell>
          <cell r="F7269" t="str">
            <v>HISP-S</v>
          </cell>
          <cell r="G7269">
            <v>250</v>
          </cell>
          <cell r="H7269" t="str">
            <v>HISP-S250</v>
          </cell>
          <cell r="K7269" t="str">
            <v>Piqueres Gilabert,Rosa Maria</v>
          </cell>
          <cell r="N7269">
            <v>2.9849999999999999</v>
          </cell>
          <cell r="O7269">
            <v>3.2349999999999999</v>
          </cell>
        </row>
        <row r="7270">
          <cell r="E7270" t="str">
            <v>HISP</v>
          </cell>
          <cell r="F7270" t="str">
            <v>HISP-S</v>
          </cell>
          <cell r="G7270">
            <v>250</v>
          </cell>
          <cell r="H7270" t="str">
            <v>HISP-S250</v>
          </cell>
          <cell r="K7270" t="str">
            <v>Polivka,James David</v>
          </cell>
          <cell r="N7270">
            <v>2.7589999999999999</v>
          </cell>
          <cell r="O7270">
            <v>3.0720000000000001</v>
          </cell>
        </row>
        <row r="7271">
          <cell r="E7271" t="str">
            <v>HISP</v>
          </cell>
          <cell r="F7271" t="str">
            <v>HISP-S</v>
          </cell>
          <cell r="G7271">
            <v>250</v>
          </cell>
          <cell r="H7271" t="str">
            <v>HISP-S250</v>
          </cell>
          <cell r="K7271" t="str">
            <v>Polivka,James David</v>
          </cell>
          <cell r="N7271">
            <v>3.0049999999999999</v>
          </cell>
          <cell r="O7271">
            <v>3.1930000000000001</v>
          </cell>
        </row>
        <row r="7272">
          <cell r="E7272" t="str">
            <v>HISP</v>
          </cell>
          <cell r="F7272" t="str">
            <v>HISP-S</v>
          </cell>
          <cell r="G7272">
            <v>250</v>
          </cell>
          <cell r="H7272" t="str">
            <v>HISP-S250</v>
          </cell>
          <cell r="K7272" t="str">
            <v>Rammell,Charlotte Sophia</v>
          </cell>
          <cell r="N7272">
            <v>3.117</v>
          </cell>
          <cell r="O7272">
            <v>3.1760000000000002</v>
          </cell>
        </row>
        <row r="7273">
          <cell r="E7273" t="str">
            <v>HISP</v>
          </cell>
          <cell r="F7273" t="str">
            <v>HISP-S</v>
          </cell>
          <cell r="G7273">
            <v>250</v>
          </cell>
          <cell r="H7273" t="str">
            <v>HISP-S250</v>
          </cell>
          <cell r="K7273" t="str">
            <v>Rammell,Charlotte Sophia</v>
          </cell>
          <cell r="N7273">
            <v>3.2869999999999999</v>
          </cell>
          <cell r="O7273">
            <v>3.2360000000000002</v>
          </cell>
        </row>
        <row r="7274">
          <cell r="E7274" t="str">
            <v>HISP</v>
          </cell>
          <cell r="F7274" t="str">
            <v>HISP-S</v>
          </cell>
          <cell r="G7274">
            <v>250</v>
          </cell>
          <cell r="H7274" t="str">
            <v>HISP-S250</v>
          </cell>
          <cell r="K7274" t="str">
            <v>Rammell,Charlotte Sophia</v>
          </cell>
          <cell r="N7274">
            <v>2.7109999999999999</v>
          </cell>
          <cell r="O7274">
            <v>3.1280000000000001</v>
          </cell>
        </row>
        <row r="7275">
          <cell r="E7275" t="str">
            <v>HISP</v>
          </cell>
          <cell r="F7275" t="str">
            <v>HISP-S</v>
          </cell>
          <cell r="G7275">
            <v>250</v>
          </cell>
          <cell r="H7275" t="str">
            <v>HISP-S250</v>
          </cell>
          <cell r="K7275" t="str">
            <v>Reeves,Robin Anne</v>
          </cell>
          <cell r="N7275">
            <v>3.35</v>
          </cell>
          <cell r="O7275">
            <v>3.3140000000000001</v>
          </cell>
        </row>
        <row r="7276">
          <cell r="E7276" t="str">
            <v>HISP</v>
          </cell>
          <cell r="F7276" t="str">
            <v>HISP-S</v>
          </cell>
          <cell r="G7276">
            <v>250</v>
          </cell>
          <cell r="H7276" t="str">
            <v>HISP-S250</v>
          </cell>
          <cell r="K7276" t="str">
            <v>Reeves,Robin Anne</v>
          </cell>
          <cell r="N7276">
            <v>3.2730000000000001</v>
          </cell>
          <cell r="O7276">
            <v>3.2789999999999999</v>
          </cell>
        </row>
        <row r="7277">
          <cell r="E7277" t="str">
            <v>HISP</v>
          </cell>
          <cell r="F7277" t="str">
            <v>HISP-S</v>
          </cell>
          <cell r="G7277">
            <v>250</v>
          </cell>
          <cell r="H7277" t="str">
            <v>HISP-S250</v>
          </cell>
          <cell r="K7277" t="str">
            <v>Rodriguez-Pereira,Victor</v>
          </cell>
          <cell r="N7277">
            <v>2.8570000000000002</v>
          </cell>
          <cell r="O7277">
            <v>3.0129999999999999</v>
          </cell>
        </row>
        <row r="7278">
          <cell r="E7278" t="str">
            <v>HISP</v>
          </cell>
          <cell r="F7278" t="str">
            <v>HISP-S</v>
          </cell>
          <cell r="G7278">
            <v>250</v>
          </cell>
          <cell r="H7278" t="str">
            <v>HISP-S250</v>
          </cell>
          <cell r="K7278" t="str">
            <v>Rodriguez-Pereira,Victor</v>
          </cell>
          <cell r="N7278">
            <v>2.823</v>
          </cell>
          <cell r="O7278">
            <v>2.9729999999999999</v>
          </cell>
        </row>
        <row r="7279">
          <cell r="E7279" t="str">
            <v>HISP</v>
          </cell>
          <cell r="F7279" t="str">
            <v>HISP-S</v>
          </cell>
          <cell r="G7279">
            <v>250</v>
          </cell>
          <cell r="H7279" t="str">
            <v>HISP-S250</v>
          </cell>
          <cell r="K7279" t="str">
            <v>Roosevelt,Ronald Friedrich</v>
          </cell>
          <cell r="N7279">
            <v>2.738</v>
          </cell>
          <cell r="O7279">
            <v>2.7480000000000002</v>
          </cell>
        </row>
        <row r="7280">
          <cell r="E7280" t="str">
            <v>HISP</v>
          </cell>
          <cell r="F7280" t="str">
            <v>HISP-S</v>
          </cell>
          <cell r="G7280">
            <v>250</v>
          </cell>
          <cell r="H7280" t="str">
            <v>HISP-S250</v>
          </cell>
          <cell r="K7280" t="str">
            <v>Rose,Marda</v>
          </cell>
          <cell r="N7280">
            <v>3.359</v>
          </cell>
          <cell r="O7280">
            <v>3.32</v>
          </cell>
        </row>
        <row r="7281">
          <cell r="E7281" t="str">
            <v>HISP</v>
          </cell>
          <cell r="F7281" t="str">
            <v>HISP-S</v>
          </cell>
          <cell r="G7281">
            <v>250</v>
          </cell>
          <cell r="H7281" t="str">
            <v>HISP-S250</v>
          </cell>
          <cell r="K7281" t="str">
            <v>Salkauski,Wallace</v>
          </cell>
          <cell r="N7281">
            <v>2.8319999999999999</v>
          </cell>
          <cell r="O7281">
            <v>2.8210000000000002</v>
          </cell>
        </row>
        <row r="7282">
          <cell r="E7282" t="str">
            <v>HISP</v>
          </cell>
          <cell r="F7282" t="str">
            <v>HISP-S</v>
          </cell>
          <cell r="G7282">
            <v>250</v>
          </cell>
          <cell r="H7282" t="str">
            <v>HISP-S250</v>
          </cell>
          <cell r="K7282" t="str">
            <v>Santamaria,Leonice</v>
          </cell>
          <cell r="N7282">
            <v>3.105</v>
          </cell>
          <cell r="O7282">
            <v>2.9670000000000001</v>
          </cell>
        </row>
        <row r="7283">
          <cell r="E7283" t="str">
            <v>HISP</v>
          </cell>
          <cell r="F7283" t="str">
            <v>HISP-S</v>
          </cell>
          <cell r="G7283">
            <v>250</v>
          </cell>
          <cell r="H7283" t="str">
            <v>HISP-S250</v>
          </cell>
          <cell r="K7283" t="str">
            <v>Santamaria,Leonice</v>
          </cell>
          <cell r="N7283">
            <v>3.1920000000000002</v>
          </cell>
          <cell r="O7283">
            <v>3.1960000000000002</v>
          </cell>
        </row>
        <row r="7284">
          <cell r="E7284" t="str">
            <v>HISP</v>
          </cell>
          <cell r="F7284" t="str">
            <v>HISP-S</v>
          </cell>
          <cell r="G7284">
            <v>250</v>
          </cell>
          <cell r="H7284" t="str">
            <v>HISP-S250</v>
          </cell>
          <cell r="K7284" t="str">
            <v>Sedo del Campo,Beatriz</v>
          </cell>
          <cell r="N7284">
            <v>2.9079999999999999</v>
          </cell>
          <cell r="O7284">
            <v>3.1520000000000001</v>
          </cell>
        </row>
        <row r="7285">
          <cell r="E7285" t="str">
            <v>HISP</v>
          </cell>
          <cell r="F7285" t="str">
            <v>HISP-S</v>
          </cell>
          <cell r="G7285">
            <v>250</v>
          </cell>
          <cell r="H7285" t="str">
            <v>HISP-S250</v>
          </cell>
          <cell r="K7285" t="str">
            <v>Sedo del Campo,Beatriz</v>
          </cell>
          <cell r="N7285">
            <v>3.165</v>
          </cell>
          <cell r="O7285">
            <v>3.1819999999999999</v>
          </cell>
        </row>
        <row r="7286">
          <cell r="E7286" t="str">
            <v>HISP</v>
          </cell>
          <cell r="F7286" t="str">
            <v>HISP-S</v>
          </cell>
          <cell r="G7286">
            <v>250</v>
          </cell>
          <cell r="H7286" t="str">
            <v>HISP-S250</v>
          </cell>
          <cell r="K7286" t="str">
            <v>Sedo del Campo,Beatriz</v>
          </cell>
          <cell r="N7286">
            <v>2.5249999999999999</v>
          </cell>
          <cell r="O7286">
            <v>2.9929999999999999</v>
          </cell>
        </row>
        <row r="7287">
          <cell r="E7287" t="str">
            <v>HISP</v>
          </cell>
          <cell r="F7287" t="str">
            <v>HISP-S</v>
          </cell>
          <cell r="G7287">
            <v>250</v>
          </cell>
          <cell r="H7287" t="str">
            <v>HISP-S250</v>
          </cell>
          <cell r="K7287" t="str">
            <v>Smith,Janet Marie</v>
          </cell>
          <cell r="N7287">
            <v>2.6789999999999998</v>
          </cell>
          <cell r="O7287">
            <v>3.0150000000000001</v>
          </cell>
        </row>
        <row r="7288">
          <cell r="E7288" t="str">
            <v>HISP</v>
          </cell>
          <cell r="F7288" t="str">
            <v>HISP-S</v>
          </cell>
          <cell r="G7288">
            <v>250</v>
          </cell>
          <cell r="H7288" t="str">
            <v>HISP-S250</v>
          </cell>
          <cell r="K7288" t="str">
            <v>Smith,Janet Marie</v>
          </cell>
          <cell r="N7288">
            <v>2.5739999999999998</v>
          </cell>
          <cell r="O7288">
            <v>2.9980000000000002</v>
          </cell>
        </row>
        <row r="7289">
          <cell r="E7289" t="str">
            <v>HISP</v>
          </cell>
          <cell r="F7289" t="str">
            <v>HISP-S</v>
          </cell>
          <cell r="G7289">
            <v>250</v>
          </cell>
          <cell r="H7289" t="str">
            <v>HISP-S250</v>
          </cell>
          <cell r="K7289" t="str">
            <v>Songer,Heather Renee</v>
          </cell>
          <cell r="N7289">
            <v>2.823</v>
          </cell>
          <cell r="O7289">
            <v>3.044</v>
          </cell>
        </row>
        <row r="7290">
          <cell r="E7290" t="str">
            <v>HISP</v>
          </cell>
          <cell r="F7290" t="str">
            <v>HISP-S</v>
          </cell>
          <cell r="G7290">
            <v>250</v>
          </cell>
          <cell r="H7290" t="str">
            <v>HISP-S250</v>
          </cell>
          <cell r="K7290" t="str">
            <v>Songer,Heather Renee</v>
          </cell>
          <cell r="N7290">
            <v>2.9260000000000002</v>
          </cell>
          <cell r="O7290">
            <v>3.09</v>
          </cell>
        </row>
        <row r="7291">
          <cell r="E7291" t="str">
            <v>HISP</v>
          </cell>
          <cell r="F7291" t="str">
            <v>HISP-S</v>
          </cell>
          <cell r="G7291">
            <v>250</v>
          </cell>
          <cell r="H7291" t="str">
            <v>HISP-S250</v>
          </cell>
          <cell r="K7291" t="str">
            <v>Soto Arrivi,Juan Manuel</v>
          </cell>
          <cell r="N7291">
            <v>3.222</v>
          </cell>
          <cell r="O7291">
            <v>3.339</v>
          </cell>
        </row>
        <row r="7292">
          <cell r="E7292" t="str">
            <v>HISP</v>
          </cell>
          <cell r="F7292" t="str">
            <v>HISP-S</v>
          </cell>
          <cell r="G7292">
            <v>250</v>
          </cell>
          <cell r="H7292" t="str">
            <v>HISP-S250</v>
          </cell>
          <cell r="K7292" t="str">
            <v>Toledo,Alexandra Marie</v>
          </cell>
          <cell r="N7292">
            <v>2.8769999999999998</v>
          </cell>
          <cell r="O7292">
            <v>3.0139999999999998</v>
          </cell>
        </row>
        <row r="7293">
          <cell r="E7293" t="str">
            <v>HISP</v>
          </cell>
          <cell r="F7293" t="str">
            <v>HISP-S</v>
          </cell>
          <cell r="G7293">
            <v>250</v>
          </cell>
          <cell r="H7293" t="str">
            <v>HISP-S250</v>
          </cell>
          <cell r="K7293" t="str">
            <v>Toledo,Alexandra Marie</v>
          </cell>
          <cell r="N7293">
            <v>3.0680000000000001</v>
          </cell>
          <cell r="O7293">
            <v>3.1219999999999999</v>
          </cell>
        </row>
        <row r="7294">
          <cell r="E7294" t="str">
            <v>HISP</v>
          </cell>
          <cell r="F7294" t="str">
            <v>HISP-S</v>
          </cell>
          <cell r="G7294">
            <v>250</v>
          </cell>
          <cell r="H7294" t="str">
            <v>HISP-S250</v>
          </cell>
          <cell r="K7294" t="str">
            <v>Whatley,Melissa Erin</v>
          </cell>
          <cell r="N7294">
            <v>3.2469999999999999</v>
          </cell>
          <cell r="O7294">
            <v>3.2930000000000001</v>
          </cell>
        </row>
        <row r="7295">
          <cell r="E7295" t="str">
            <v>HISP</v>
          </cell>
          <cell r="F7295" t="str">
            <v>HISP-S</v>
          </cell>
          <cell r="G7295">
            <v>250</v>
          </cell>
          <cell r="H7295" t="str">
            <v>HISP-S250</v>
          </cell>
          <cell r="N7295" t="str">
            <v>NR</v>
          </cell>
          <cell r="O7295" t="str">
            <v>NR</v>
          </cell>
        </row>
        <row r="7296">
          <cell r="E7296" t="str">
            <v>HISP</v>
          </cell>
          <cell r="F7296" t="str">
            <v>HISP-S</v>
          </cell>
          <cell r="G7296">
            <v>280</v>
          </cell>
          <cell r="H7296" t="str">
            <v>HISP-S280</v>
          </cell>
          <cell r="K7296" t="str">
            <v>Bedinghaus,Rob</v>
          </cell>
          <cell r="N7296">
            <v>3.3220000000000001</v>
          </cell>
          <cell r="O7296">
            <v>3.3519999999999999</v>
          </cell>
        </row>
        <row r="7297">
          <cell r="E7297" t="str">
            <v>HISP</v>
          </cell>
          <cell r="F7297" t="str">
            <v>HISP-S</v>
          </cell>
          <cell r="G7297">
            <v>280</v>
          </cell>
          <cell r="H7297" t="str">
            <v>HISP-S280</v>
          </cell>
          <cell r="K7297" t="str">
            <v>Bedinghaus,Rob</v>
          </cell>
          <cell r="N7297">
            <v>3.55</v>
          </cell>
          <cell r="O7297">
            <v>3.3820000000000001</v>
          </cell>
        </row>
        <row r="7298">
          <cell r="E7298" t="str">
            <v>HISP</v>
          </cell>
          <cell r="F7298" t="str">
            <v>HISP-S</v>
          </cell>
          <cell r="G7298">
            <v>280</v>
          </cell>
          <cell r="H7298" t="str">
            <v>HISP-S280</v>
          </cell>
          <cell r="K7298" t="str">
            <v>Bernales Albites,Enrique</v>
          </cell>
          <cell r="N7298">
            <v>3.2949999999999999</v>
          </cell>
          <cell r="O7298">
            <v>3.1859999999999999</v>
          </cell>
        </row>
        <row r="7299">
          <cell r="E7299" t="str">
            <v>HISP</v>
          </cell>
          <cell r="F7299" t="str">
            <v>HISP-S</v>
          </cell>
          <cell r="G7299">
            <v>280</v>
          </cell>
          <cell r="H7299" t="str">
            <v>HISP-S280</v>
          </cell>
          <cell r="K7299" t="str">
            <v>Bernales Albites,Enrique</v>
          </cell>
          <cell r="N7299">
            <v>3.847</v>
          </cell>
          <cell r="O7299">
            <v>3.6819999999999999</v>
          </cell>
        </row>
        <row r="7300">
          <cell r="E7300" t="str">
            <v>HISP</v>
          </cell>
          <cell r="F7300" t="str">
            <v>HISP-S</v>
          </cell>
          <cell r="G7300">
            <v>280</v>
          </cell>
          <cell r="H7300" t="str">
            <v>HISP-S280</v>
          </cell>
          <cell r="K7300" t="str">
            <v>Botello Lopez Canti,Jesus</v>
          </cell>
          <cell r="N7300">
            <v>3.2109999999999999</v>
          </cell>
          <cell r="O7300">
            <v>3.1920000000000002</v>
          </cell>
        </row>
        <row r="7301">
          <cell r="E7301" t="str">
            <v>HISP</v>
          </cell>
          <cell r="F7301" t="str">
            <v>HISP-S</v>
          </cell>
          <cell r="G7301">
            <v>280</v>
          </cell>
          <cell r="H7301" t="str">
            <v>HISP-S280</v>
          </cell>
          <cell r="K7301" t="str">
            <v>Botello Lopez Canti,Jesus</v>
          </cell>
          <cell r="N7301">
            <v>3.371</v>
          </cell>
          <cell r="O7301">
            <v>3.129</v>
          </cell>
        </row>
        <row r="7302">
          <cell r="E7302" t="str">
            <v>HISP</v>
          </cell>
          <cell r="F7302" t="str">
            <v>HISP-S</v>
          </cell>
          <cell r="G7302">
            <v>280</v>
          </cell>
          <cell r="H7302" t="str">
            <v>HISP-S280</v>
          </cell>
          <cell r="K7302" t="str">
            <v>Davidson,Christopher Lee</v>
          </cell>
          <cell r="N7302">
            <v>3.3479999999999999</v>
          </cell>
          <cell r="O7302">
            <v>3.2280000000000002</v>
          </cell>
        </row>
        <row r="7303">
          <cell r="E7303" t="str">
            <v>HISP</v>
          </cell>
          <cell r="F7303" t="str">
            <v>HISP-S</v>
          </cell>
          <cell r="G7303">
            <v>280</v>
          </cell>
          <cell r="H7303" t="str">
            <v>HISP-S280</v>
          </cell>
          <cell r="K7303" t="str">
            <v>Davidson,Christopher Lee</v>
          </cell>
          <cell r="N7303">
            <v>3.0950000000000002</v>
          </cell>
          <cell r="O7303">
            <v>3.2090000000000001</v>
          </cell>
        </row>
        <row r="7304">
          <cell r="E7304" t="str">
            <v>HISP</v>
          </cell>
          <cell r="F7304" t="str">
            <v>HISP-S</v>
          </cell>
          <cell r="G7304">
            <v>280</v>
          </cell>
          <cell r="H7304" t="str">
            <v>HISP-S280</v>
          </cell>
          <cell r="K7304" t="str">
            <v>Fedonkina,Valeriya Olegovna</v>
          </cell>
          <cell r="N7304">
            <v>3.242</v>
          </cell>
          <cell r="O7304">
            <v>3.2629999999999999</v>
          </cell>
        </row>
        <row r="7305">
          <cell r="E7305" t="str">
            <v>HISP</v>
          </cell>
          <cell r="F7305" t="str">
            <v>HISP-S</v>
          </cell>
          <cell r="G7305">
            <v>280</v>
          </cell>
          <cell r="H7305" t="str">
            <v>HISP-S280</v>
          </cell>
          <cell r="K7305" t="str">
            <v>Galarza Galarza,Iraida</v>
          </cell>
          <cell r="N7305">
            <v>3.774</v>
          </cell>
          <cell r="O7305">
            <v>3.3530000000000002</v>
          </cell>
        </row>
        <row r="7306">
          <cell r="E7306" t="str">
            <v>HISP</v>
          </cell>
          <cell r="F7306" t="str">
            <v>HISP-S</v>
          </cell>
          <cell r="G7306">
            <v>280</v>
          </cell>
          <cell r="H7306" t="str">
            <v>HISP-S280</v>
          </cell>
          <cell r="K7306" t="str">
            <v>Gardner,Nora Lynn</v>
          </cell>
          <cell r="N7306">
            <v>3.4089999999999998</v>
          </cell>
          <cell r="O7306">
            <v>3.39</v>
          </cell>
        </row>
        <row r="7307">
          <cell r="E7307" t="str">
            <v>HISP</v>
          </cell>
          <cell r="F7307" t="str">
            <v>HISP-S</v>
          </cell>
          <cell r="G7307">
            <v>280</v>
          </cell>
          <cell r="H7307" t="str">
            <v>HISP-S280</v>
          </cell>
          <cell r="K7307" t="str">
            <v>Gardner,Nora Lynn</v>
          </cell>
          <cell r="N7307">
            <v>3.75</v>
          </cell>
          <cell r="O7307">
            <v>3.581</v>
          </cell>
        </row>
        <row r="7308">
          <cell r="E7308" t="str">
            <v>HISP</v>
          </cell>
          <cell r="F7308" t="str">
            <v>HISP-S</v>
          </cell>
          <cell r="G7308">
            <v>280</v>
          </cell>
          <cell r="H7308" t="str">
            <v>HISP-S280</v>
          </cell>
          <cell r="K7308" t="str">
            <v>Garza Gonzalez,Cristobal</v>
          </cell>
          <cell r="N7308">
            <v>3.3650000000000002</v>
          </cell>
          <cell r="O7308">
            <v>3.2610000000000001</v>
          </cell>
        </row>
        <row r="7309">
          <cell r="E7309" t="str">
            <v>HISP</v>
          </cell>
          <cell r="F7309" t="str">
            <v>HISP-S</v>
          </cell>
          <cell r="G7309">
            <v>280</v>
          </cell>
          <cell r="H7309" t="str">
            <v>HISP-S280</v>
          </cell>
          <cell r="K7309" t="str">
            <v>Herrera,Israel Fernando</v>
          </cell>
          <cell r="N7309">
            <v>3.0649999999999999</v>
          </cell>
          <cell r="O7309">
            <v>3.2469999999999999</v>
          </cell>
        </row>
        <row r="7310">
          <cell r="E7310" t="str">
            <v>HISP</v>
          </cell>
          <cell r="F7310" t="str">
            <v>HISP-S</v>
          </cell>
          <cell r="G7310">
            <v>280</v>
          </cell>
          <cell r="H7310" t="str">
            <v>HISP-S280</v>
          </cell>
          <cell r="K7310" t="str">
            <v>Herrera,Israel Fernando</v>
          </cell>
          <cell r="N7310">
            <v>3.056</v>
          </cell>
          <cell r="O7310">
            <v>3.032</v>
          </cell>
        </row>
        <row r="7311">
          <cell r="E7311" t="str">
            <v>HISP</v>
          </cell>
          <cell r="F7311" t="str">
            <v>HISP-S</v>
          </cell>
          <cell r="G7311">
            <v>280</v>
          </cell>
          <cell r="H7311" t="str">
            <v>HISP-S280</v>
          </cell>
          <cell r="K7311" t="str">
            <v>Herrera,Israel Fernando</v>
          </cell>
          <cell r="N7311">
            <v>3.2629999999999999</v>
          </cell>
          <cell r="O7311">
            <v>3.0840000000000001</v>
          </cell>
        </row>
        <row r="7312">
          <cell r="E7312" t="str">
            <v>HISP</v>
          </cell>
          <cell r="F7312" t="str">
            <v>HISP-S</v>
          </cell>
          <cell r="G7312">
            <v>280</v>
          </cell>
          <cell r="H7312" t="str">
            <v>HISP-S280</v>
          </cell>
          <cell r="K7312" t="str">
            <v>Herring,Elizabeth Margaret</v>
          </cell>
          <cell r="N7312">
            <v>3.37</v>
          </cell>
          <cell r="O7312">
            <v>3.2149999999999999</v>
          </cell>
        </row>
        <row r="7313">
          <cell r="E7313" t="str">
            <v>HISP</v>
          </cell>
          <cell r="F7313" t="str">
            <v>HISP-S</v>
          </cell>
          <cell r="G7313">
            <v>280</v>
          </cell>
          <cell r="H7313" t="str">
            <v>HISP-S280</v>
          </cell>
          <cell r="K7313" t="str">
            <v>Hessenthaler,Tony G.</v>
          </cell>
          <cell r="N7313">
            <v>3.9209999999999998</v>
          </cell>
          <cell r="O7313">
            <v>3.7519999999999998</v>
          </cell>
        </row>
        <row r="7314">
          <cell r="E7314" t="str">
            <v>HISP</v>
          </cell>
          <cell r="F7314" t="str">
            <v>HISP-S</v>
          </cell>
          <cell r="G7314">
            <v>280</v>
          </cell>
          <cell r="H7314" t="str">
            <v>HISP-S280</v>
          </cell>
          <cell r="K7314" t="str">
            <v>Hessenthaler,Tony G.</v>
          </cell>
          <cell r="N7314">
            <v>3.5790000000000002</v>
          </cell>
          <cell r="O7314">
            <v>3.2530000000000001</v>
          </cell>
        </row>
        <row r="7315">
          <cell r="E7315" t="str">
            <v>HISP</v>
          </cell>
          <cell r="F7315" t="str">
            <v>HISP-S</v>
          </cell>
          <cell r="G7315">
            <v>280</v>
          </cell>
          <cell r="H7315" t="str">
            <v>HISP-S280</v>
          </cell>
          <cell r="K7315" t="str">
            <v>Juarez-Cummings,Elizabeth Natalia</v>
          </cell>
          <cell r="N7315">
            <v>3.2389999999999999</v>
          </cell>
          <cell r="O7315">
            <v>3.2040000000000002</v>
          </cell>
        </row>
        <row r="7316">
          <cell r="E7316" t="str">
            <v>HISP</v>
          </cell>
          <cell r="F7316" t="str">
            <v>HISP-S</v>
          </cell>
          <cell r="G7316">
            <v>280</v>
          </cell>
          <cell r="H7316" t="str">
            <v>HISP-S280</v>
          </cell>
          <cell r="K7316" t="str">
            <v>Kalina,Jennifer Lee</v>
          </cell>
          <cell r="N7316">
            <v>2.0619999999999998</v>
          </cell>
          <cell r="O7316">
            <v>2.8780000000000001</v>
          </cell>
        </row>
        <row r="7317">
          <cell r="E7317" t="str">
            <v>HISP</v>
          </cell>
          <cell r="F7317" t="str">
            <v>HISP-S</v>
          </cell>
          <cell r="G7317">
            <v>280</v>
          </cell>
          <cell r="H7317" t="str">
            <v>HISP-S280</v>
          </cell>
          <cell r="K7317" t="str">
            <v>Kanwit,Matt</v>
          </cell>
          <cell r="N7317">
            <v>3.532</v>
          </cell>
          <cell r="O7317">
            <v>3.222</v>
          </cell>
        </row>
        <row r="7318">
          <cell r="E7318" t="str">
            <v>HISP</v>
          </cell>
          <cell r="F7318" t="str">
            <v>HISP-S</v>
          </cell>
          <cell r="G7318">
            <v>280</v>
          </cell>
          <cell r="H7318" t="str">
            <v>HISP-S280</v>
          </cell>
          <cell r="K7318" t="str">
            <v>Linford,Bret Gene</v>
          </cell>
          <cell r="N7318">
            <v>3.5830000000000002</v>
          </cell>
          <cell r="O7318">
            <v>3.48</v>
          </cell>
        </row>
        <row r="7319">
          <cell r="E7319" t="str">
            <v>HISP</v>
          </cell>
          <cell r="F7319" t="str">
            <v>HISP-S</v>
          </cell>
          <cell r="G7319">
            <v>280</v>
          </cell>
          <cell r="H7319" t="str">
            <v>HISP-S280</v>
          </cell>
          <cell r="K7319" t="str">
            <v>Linford,Bret Gene</v>
          </cell>
          <cell r="N7319">
            <v>3.4329999999999998</v>
          </cell>
          <cell r="O7319">
            <v>3.2970000000000002</v>
          </cell>
        </row>
        <row r="7320">
          <cell r="E7320" t="str">
            <v>HISP</v>
          </cell>
          <cell r="F7320" t="str">
            <v>HISP-S</v>
          </cell>
          <cell r="G7320">
            <v>280</v>
          </cell>
          <cell r="H7320" t="str">
            <v>HISP-S280</v>
          </cell>
          <cell r="K7320" t="str">
            <v>Long,Avizia Yim</v>
          </cell>
          <cell r="N7320">
            <v>3.23</v>
          </cell>
          <cell r="O7320">
            <v>3.1749999999999998</v>
          </cell>
        </row>
        <row r="7321">
          <cell r="E7321" t="str">
            <v>HISP</v>
          </cell>
          <cell r="F7321" t="str">
            <v>HISP-S</v>
          </cell>
          <cell r="G7321">
            <v>280</v>
          </cell>
          <cell r="H7321" t="str">
            <v>HISP-S280</v>
          </cell>
          <cell r="K7321" t="str">
            <v>Long,Avizia Yim</v>
          </cell>
          <cell r="N7321">
            <v>3.0049999999999999</v>
          </cell>
          <cell r="O7321">
            <v>3.125</v>
          </cell>
        </row>
        <row r="7322">
          <cell r="E7322" t="str">
            <v>HISP</v>
          </cell>
          <cell r="F7322" t="str">
            <v>HISP-S</v>
          </cell>
          <cell r="G7322">
            <v>280</v>
          </cell>
          <cell r="H7322" t="str">
            <v>HISP-S280</v>
          </cell>
          <cell r="K7322" t="str">
            <v>Lynch,James Aaron</v>
          </cell>
          <cell r="N7322">
            <v>3.2829999999999999</v>
          </cell>
          <cell r="O7322">
            <v>3.2410000000000001</v>
          </cell>
        </row>
        <row r="7323">
          <cell r="E7323" t="str">
            <v>HISP</v>
          </cell>
          <cell r="F7323" t="str">
            <v>HISP-S</v>
          </cell>
          <cell r="G7323">
            <v>280</v>
          </cell>
          <cell r="H7323" t="str">
            <v>HISP-S280</v>
          </cell>
          <cell r="K7323" t="str">
            <v>Lynch,James Aaron</v>
          </cell>
          <cell r="N7323">
            <v>3.25</v>
          </cell>
          <cell r="O7323">
            <v>3.1840000000000002</v>
          </cell>
        </row>
        <row r="7324">
          <cell r="E7324" t="str">
            <v>HISP</v>
          </cell>
          <cell r="F7324" t="str">
            <v>HISP-S</v>
          </cell>
          <cell r="G7324">
            <v>280</v>
          </cell>
          <cell r="H7324" t="str">
            <v>HISP-S280</v>
          </cell>
          <cell r="K7324" t="str">
            <v>Lynch,James Aaron</v>
          </cell>
          <cell r="N7324">
            <v>3.2570000000000001</v>
          </cell>
          <cell r="O7324">
            <v>3.149</v>
          </cell>
        </row>
        <row r="7325">
          <cell r="E7325" t="str">
            <v>HISP</v>
          </cell>
          <cell r="F7325" t="str">
            <v>HISP-S</v>
          </cell>
          <cell r="G7325">
            <v>280</v>
          </cell>
          <cell r="H7325" t="str">
            <v>HISP-S280</v>
          </cell>
          <cell r="K7325" t="str">
            <v>Lynch,James Aaron</v>
          </cell>
          <cell r="N7325">
            <v>3.4350000000000001</v>
          </cell>
          <cell r="O7325">
            <v>3.343</v>
          </cell>
        </row>
        <row r="7326">
          <cell r="E7326" t="str">
            <v>HISP</v>
          </cell>
          <cell r="F7326" t="str">
            <v>HISP-S</v>
          </cell>
          <cell r="G7326">
            <v>280</v>
          </cell>
          <cell r="H7326" t="str">
            <v>HISP-S280</v>
          </cell>
          <cell r="K7326" t="str">
            <v>Moore,Patrick</v>
          </cell>
          <cell r="N7326">
            <v>3.2639999999999998</v>
          </cell>
          <cell r="O7326">
            <v>3.286</v>
          </cell>
        </row>
        <row r="7327">
          <cell r="E7327" t="str">
            <v>HISP</v>
          </cell>
          <cell r="F7327" t="str">
            <v>HISP-S</v>
          </cell>
          <cell r="G7327">
            <v>280</v>
          </cell>
          <cell r="H7327" t="str">
            <v>HISP-S280</v>
          </cell>
          <cell r="K7327" t="str">
            <v>Moore,Patrick</v>
          </cell>
          <cell r="N7327">
            <v>3.504</v>
          </cell>
          <cell r="O7327">
            <v>3.4980000000000002</v>
          </cell>
        </row>
        <row r="7328">
          <cell r="E7328" t="str">
            <v>HISP</v>
          </cell>
          <cell r="F7328" t="str">
            <v>HISP-S</v>
          </cell>
          <cell r="G7328">
            <v>280</v>
          </cell>
          <cell r="H7328" t="str">
            <v>HISP-S280</v>
          </cell>
          <cell r="K7328" t="str">
            <v>Salkauski,Wallace</v>
          </cell>
          <cell r="N7328">
            <v>3.2679999999999998</v>
          </cell>
          <cell r="O7328">
            <v>3.2559999999999998</v>
          </cell>
        </row>
        <row r="7329">
          <cell r="E7329" t="str">
            <v>HISP</v>
          </cell>
          <cell r="F7329" t="str">
            <v>HISP-S</v>
          </cell>
          <cell r="G7329">
            <v>280</v>
          </cell>
          <cell r="H7329" t="str">
            <v>HISP-S280</v>
          </cell>
          <cell r="K7329" t="str">
            <v>Salkauski,Wallace</v>
          </cell>
          <cell r="N7329">
            <v>2.8820000000000001</v>
          </cell>
          <cell r="O7329">
            <v>3.2370000000000001</v>
          </cell>
        </row>
        <row r="7330">
          <cell r="E7330" t="str">
            <v>HISP</v>
          </cell>
          <cell r="F7330" t="str">
            <v>HISP-S</v>
          </cell>
          <cell r="G7330">
            <v>280</v>
          </cell>
          <cell r="H7330" t="str">
            <v>HISP-S280</v>
          </cell>
          <cell r="K7330" t="str">
            <v>Santamaria,Leonice</v>
          </cell>
          <cell r="N7330">
            <v>2.8959999999999999</v>
          </cell>
          <cell r="O7330">
            <v>2.988</v>
          </cell>
        </row>
        <row r="7331">
          <cell r="E7331" t="str">
            <v>HISP</v>
          </cell>
          <cell r="F7331" t="str">
            <v>HISP-S</v>
          </cell>
          <cell r="G7331">
            <v>280</v>
          </cell>
          <cell r="H7331" t="str">
            <v>HISP-S280</v>
          </cell>
          <cell r="K7331" t="str">
            <v>Santamaria,Leonice</v>
          </cell>
          <cell r="N7331">
            <v>3.085</v>
          </cell>
          <cell r="O7331">
            <v>3.3079999999999998</v>
          </cell>
        </row>
        <row r="7332">
          <cell r="E7332" t="str">
            <v>HISP</v>
          </cell>
          <cell r="F7332" t="str">
            <v>HISP-S</v>
          </cell>
          <cell r="G7332">
            <v>308</v>
          </cell>
          <cell r="H7332" t="str">
            <v>HISP-S308</v>
          </cell>
          <cell r="K7332" t="str">
            <v>Barker,Maria Hasler</v>
          </cell>
          <cell r="N7332">
            <v>3.387</v>
          </cell>
          <cell r="O7332">
            <v>3.1880000000000002</v>
          </cell>
        </row>
        <row r="7333">
          <cell r="E7333" t="str">
            <v>HISP</v>
          </cell>
          <cell r="F7333" t="str">
            <v>HISP-S</v>
          </cell>
          <cell r="G7333">
            <v>308</v>
          </cell>
          <cell r="H7333" t="str">
            <v>HISP-S308</v>
          </cell>
          <cell r="K7333" t="str">
            <v>Barker,Maria Hasler</v>
          </cell>
          <cell r="N7333">
            <v>3.7669999999999999</v>
          </cell>
          <cell r="O7333">
            <v>3.3849999999999998</v>
          </cell>
        </row>
        <row r="7334">
          <cell r="E7334" t="str">
            <v>HISP</v>
          </cell>
          <cell r="F7334" t="str">
            <v>HISP-S</v>
          </cell>
          <cell r="G7334">
            <v>308</v>
          </cell>
          <cell r="H7334" t="str">
            <v>HISP-S308</v>
          </cell>
          <cell r="K7334" t="str">
            <v>Baxter,Robert Patrick</v>
          </cell>
          <cell r="N7334">
            <v>2.8</v>
          </cell>
          <cell r="O7334">
            <v>3.1880000000000002</v>
          </cell>
        </row>
        <row r="7335">
          <cell r="E7335" t="str">
            <v>HISP</v>
          </cell>
          <cell r="F7335" t="str">
            <v>HISP-S</v>
          </cell>
          <cell r="G7335">
            <v>308</v>
          </cell>
          <cell r="H7335" t="str">
            <v>HISP-S308</v>
          </cell>
          <cell r="K7335" t="str">
            <v>Fernandez Sanchez,Paloma</v>
          </cell>
          <cell r="N7335">
            <v>3.6560000000000001</v>
          </cell>
          <cell r="O7335">
            <v>3.2919999999999998</v>
          </cell>
        </row>
        <row r="7336">
          <cell r="E7336" t="str">
            <v>HISP</v>
          </cell>
          <cell r="F7336" t="str">
            <v>HISP-S</v>
          </cell>
          <cell r="G7336">
            <v>308</v>
          </cell>
          <cell r="H7336" t="str">
            <v>HISP-S308</v>
          </cell>
          <cell r="K7336" t="str">
            <v>Fernandez Sanchez,Paloma</v>
          </cell>
          <cell r="N7336">
            <v>3.294</v>
          </cell>
          <cell r="O7336">
            <v>2.96</v>
          </cell>
        </row>
        <row r="7337">
          <cell r="E7337" t="str">
            <v>HISP</v>
          </cell>
          <cell r="F7337" t="str">
            <v>HISP-S</v>
          </cell>
          <cell r="G7337">
            <v>308</v>
          </cell>
          <cell r="H7337" t="str">
            <v>HISP-S308</v>
          </cell>
          <cell r="K7337" t="str">
            <v>Herda,John</v>
          </cell>
          <cell r="N7337">
            <v>3.875</v>
          </cell>
          <cell r="O7337">
            <v>3.6059999999999999</v>
          </cell>
        </row>
        <row r="7338">
          <cell r="E7338" t="str">
            <v>HISP</v>
          </cell>
          <cell r="F7338" t="str">
            <v>HISP-S</v>
          </cell>
          <cell r="G7338">
            <v>308</v>
          </cell>
          <cell r="H7338" t="str">
            <v>HISP-S308</v>
          </cell>
          <cell r="K7338" t="str">
            <v>Herda,John</v>
          </cell>
          <cell r="N7338">
            <v>3.7549999999999999</v>
          </cell>
          <cell r="O7338">
            <v>3.3559999999999999</v>
          </cell>
        </row>
        <row r="7339">
          <cell r="E7339" t="str">
            <v>HISP</v>
          </cell>
          <cell r="F7339" t="str">
            <v>HISP-S</v>
          </cell>
          <cell r="G7339">
            <v>308</v>
          </cell>
          <cell r="H7339" t="str">
            <v>HISP-S308</v>
          </cell>
          <cell r="K7339" t="str">
            <v>Lavin,Erin Elizabeth</v>
          </cell>
          <cell r="N7339">
            <v>3.7930000000000001</v>
          </cell>
          <cell r="O7339">
            <v>3.1749999999999998</v>
          </cell>
        </row>
        <row r="7340">
          <cell r="E7340" t="str">
            <v>HISP</v>
          </cell>
          <cell r="F7340" t="str">
            <v>HISP-S</v>
          </cell>
          <cell r="G7340">
            <v>308</v>
          </cell>
          <cell r="H7340" t="str">
            <v>HISP-S308</v>
          </cell>
          <cell r="K7340" t="str">
            <v>Lavin,Erin Elizabeth</v>
          </cell>
          <cell r="N7340">
            <v>3.7120000000000002</v>
          </cell>
          <cell r="O7340">
            <v>3.2789999999999999</v>
          </cell>
        </row>
        <row r="7341">
          <cell r="E7341" t="str">
            <v>HISP</v>
          </cell>
          <cell r="F7341" t="str">
            <v>HISP-S</v>
          </cell>
          <cell r="G7341">
            <v>308</v>
          </cell>
          <cell r="H7341" t="str">
            <v>HISP-S308</v>
          </cell>
          <cell r="K7341" t="str">
            <v>Namorato,Luciana</v>
          </cell>
          <cell r="N7341">
            <v>3.28</v>
          </cell>
          <cell r="O7341">
            <v>3.32</v>
          </cell>
        </row>
        <row r="7342">
          <cell r="E7342" t="str">
            <v>HISP</v>
          </cell>
          <cell r="F7342" t="str">
            <v>HISP-S</v>
          </cell>
          <cell r="G7342">
            <v>308</v>
          </cell>
          <cell r="H7342" t="str">
            <v>HISP-S308</v>
          </cell>
          <cell r="K7342" t="str">
            <v>Namorato,Luciana</v>
          </cell>
          <cell r="N7342">
            <v>3.5070000000000001</v>
          </cell>
          <cell r="O7342">
            <v>3.4550000000000001</v>
          </cell>
        </row>
        <row r="7343">
          <cell r="E7343" t="str">
            <v>HISP</v>
          </cell>
          <cell r="F7343" t="str">
            <v>HISP-S</v>
          </cell>
          <cell r="G7343">
            <v>308</v>
          </cell>
          <cell r="H7343" t="str">
            <v>HISP-S308</v>
          </cell>
          <cell r="K7343" t="str">
            <v>Neal,Thomas Cassidy</v>
          </cell>
          <cell r="N7343">
            <v>3.3079999999999998</v>
          </cell>
          <cell r="O7343">
            <v>3.3490000000000002</v>
          </cell>
        </row>
        <row r="7344">
          <cell r="E7344" t="str">
            <v>HISP</v>
          </cell>
          <cell r="F7344" t="str">
            <v>HISP-S</v>
          </cell>
          <cell r="G7344">
            <v>308</v>
          </cell>
          <cell r="H7344" t="str">
            <v>HISP-S308</v>
          </cell>
          <cell r="K7344" t="str">
            <v>Neal,Thomas Cassidy</v>
          </cell>
          <cell r="N7344">
            <v>3.8239999999999998</v>
          </cell>
          <cell r="O7344">
            <v>3.4809999999999999</v>
          </cell>
        </row>
        <row r="7345">
          <cell r="E7345" t="str">
            <v>HISP</v>
          </cell>
          <cell r="F7345" t="str">
            <v>HISP-S</v>
          </cell>
          <cell r="G7345">
            <v>308</v>
          </cell>
          <cell r="H7345" t="str">
            <v>HISP-S308</v>
          </cell>
          <cell r="K7345" t="str">
            <v>Newall,Gregory Maurice</v>
          </cell>
          <cell r="N7345">
            <v>3.61</v>
          </cell>
          <cell r="O7345">
            <v>3.4529999999999998</v>
          </cell>
        </row>
        <row r="7346">
          <cell r="E7346" t="str">
            <v>HISP</v>
          </cell>
          <cell r="F7346" t="str">
            <v>HISP-S</v>
          </cell>
          <cell r="G7346">
            <v>308</v>
          </cell>
          <cell r="H7346" t="str">
            <v>HISP-S308</v>
          </cell>
          <cell r="K7346" t="str">
            <v>Newall,Gregory Maurice</v>
          </cell>
          <cell r="N7346">
            <v>3.4220000000000002</v>
          </cell>
          <cell r="O7346">
            <v>3.395</v>
          </cell>
        </row>
        <row r="7347">
          <cell r="E7347" t="str">
            <v>HISP</v>
          </cell>
          <cell r="F7347" t="str">
            <v>HISP-S</v>
          </cell>
          <cell r="G7347">
            <v>308</v>
          </cell>
          <cell r="H7347" t="str">
            <v>HISP-S308</v>
          </cell>
          <cell r="K7347" t="str">
            <v>Newall,Gregory Maurice</v>
          </cell>
          <cell r="N7347">
            <v>3.5379999999999998</v>
          </cell>
          <cell r="O7347">
            <v>3.2</v>
          </cell>
        </row>
        <row r="7348">
          <cell r="E7348" t="str">
            <v>HISP</v>
          </cell>
          <cell r="F7348" t="str">
            <v>HISP-S</v>
          </cell>
          <cell r="G7348">
            <v>308</v>
          </cell>
          <cell r="H7348" t="str">
            <v>HISP-S308</v>
          </cell>
          <cell r="K7348" t="str">
            <v>Santamaria,Leonice</v>
          </cell>
          <cell r="N7348">
            <v>3.294</v>
          </cell>
          <cell r="O7348">
            <v>3.407</v>
          </cell>
        </row>
        <row r="7349">
          <cell r="E7349" t="str">
            <v>HISP</v>
          </cell>
          <cell r="F7349" t="str">
            <v>HISP-S</v>
          </cell>
          <cell r="G7349">
            <v>308</v>
          </cell>
          <cell r="H7349" t="str">
            <v>HISP-S308</v>
          </cell>
          <cell r="K7349" t="str">
            <v>Santamaria,Leonice</v>
          </cell>
          <cell r="N7349">
            <v>3.2559999999999998</v>
          </cell>
          <cell r="O7349">
            <v>3.29</v>
          </cell>
        </row>
        <row r="7350">
          <cell r="E7350" t="str">
            <v>HISP</v>
          </cell>
          <cell r="F7350" t="str">
            <v>HISP-S</v>
          </cell>
          <cell r="G7350">
            <v>308</v>
          </cell>
          <cell r="H7350" t="str">
            <v>HISP-S308</v>
          </cell>
          <cell r="K7350" t="str">
            <v>Schlegel,Rachel Elise</v>
          </cell>
          <cell r="N7350">
            <v>3.3279999999999998</v>
          </cell>
          <cell r="O7350">
            <v>3.2229999999999999</v>
          </cell>
        </row>
        <row r="7351">
          <cell r="E7351" t="str">
            <v>HISP</v>
          </cell>
          <cell r="F7351" t="str">
            <v>HISP-S</v>
          </cell>
          <cell r="G7351">
            <v>308</v>
          </cell>
          <cell r="H7351" t="str">
            <v>HISP-S308</v>
          </cell>
          <cell r="K7351" t="str">
            <v>Sokol,Alina</v>
          </cell>
          <cell r="N7351">
            <v>3.7440000000000002</v>
          </cell>
          <cell r="O7351">
            <v>3.363</v>
          </cell>
        </row>
        <row r="7352">
          <cell r="E7352" t="str">
            <v>HISP</v>
          </cell>
          <cell r="F7352" t="str">
            <v>HISP-S</v>
          </cell>
          <cell r="G7352">
            <v>315</v>
          </cell>
          <cell r="H7352" t="str">
            <v>HISP-S315</v>
          </cell>
          <cell r="K7352" t="str">
            <v>Madewell,Julie Ann</v>
          </cell>
          <cell r="N7352">
            <v>3.4769999999999999</v>
          </cell>
          <cell r="O7352">
            <v>3.3330000000000002</v>
          </cell>
        </row>
        <row r="7353">
          <cell r="E7353" t="str">
            <v>HISP</v>
          </cell>
          <cell r="F7353" t="str">
            <v>HISP-S</v>
          </cell>
          <cell r="G7353">
            <v>315</v>
          </cell>
          <cell r="H7353" t="str">
            <v>HISP-S315</v>
          </cell>
          <cell r="K7353" t="str">
            <v>Shabani,Amina Butoyi</v>
          </cell>
          <cell r="N7353">
            <v>3.6880000000000002</v>
          </cell>
          <cell r="O7353">
            <v>3.2160000000000002</v>
          </cell>
        </row>
        <row r="7354">
          <cell r="E7354" t="str">
            <v>HISP</v>
          </cell>
          <cell r="F7354" t="str">
            <v>HISP-S</v>
          </cell>
          <cell r="G7354">
            <v>315</v>
          </cell>
          <cell r="H7354" t="str">
            <v>HISP-S315</v>
          </cell>
          <cell r="N7354" t="str">
            <v>NR</v>
          </cell>
          <cell r="O7354" t="str">
            <v>NR</v>
          </cell>
        </row>
        <row r="7355">
          <cell r="E7355" t="str">
            <v>HISP</v>
          </cell>
          <cell r="F7355" t="str">
            <v>HISP-S</v>
          </cell>
          <cell r="G7355">
            <v>317</v>
          </cell>
          <cell r="H7355" t="str">
            <v>HISP-S317</v>
          </cell>
          <cell r="K7355" t="str">
            <v>Carbajal,Eric</v>
          </cell>
          <cell r="N7355">
            <v>3.65</v>
          </cell>
          <cell r="O7355">
            <v>3.4580000000000002</v>
          </cell>
        </row>
        <row r="7356">
          <cell r="E7356" t="str">
            <v>HISP</v>
          </cell>
          <cell r="F7356" t="str">
            <v>HISP-S</v>
          </cell>
          <cell r="G7356">
            <v>317</v>
          </cell>
          <cell r="H7356" t="str">
            <v>HISP-S317</v>
          </cell>
          <cell r="K7356" t="str">
            <v>Flores,Tanya L</v>
          </cell>
          <cell r="N7356">
            <v>3.544</v>
          </cell>
          <cell r="O7356">
            <v>3.488</v>
          </cell>
        </row>
        <row r="7357">
          <cell r="E7357" t="str">
            <v>HISP</v>
          </cell>
          <cell r="F7357" t="str">
            <v>HISP-S</v>
          </cell>
          <cell r="G7357">
            <v>317</v>
          </cell>
          <cell r="H7357" t="str">
            <v>HISP-S317</v>
          </cell>
          <cell r="K7357" t="str">
            <v>Herrera,Israel Fernando</v>
          </cell>
          <cell r="N7357">
            <v>3.1349999999999998</v>
          </cell>
          <cell r="O7357">
            <v>3.0539999999999998</v>
          </cell>
        </row>
        <row r="7358">
          <cell r="E7358" t="str">
            <v>HISP</v>
          </cell>
          <cell r="F7358" t="str">
            <v>HISP-S</v>
          </cell>
          <cell r="G7358">
            <v>317</v>
          </cell>
          <cell r="H7358" t="str">
            <v>HISP-S317</v>
          </cell>
          <cell r="N7358" t="str">
            <v>NR</v>
          </cell>
          <cell r="O7358" t="str">
            <v>NR</v>
          </cell>
        </row>
        <row r="7359">
          <cell r="E7359" t="str">
            <v>HISP</v>
          </cell>
          <cell r="F7359" t="str">
            <v>HISP-S</v>
          </cell>
          <cell r="G7359">
            <v>324</v>
          </cell>
          <cell r="H7359" t="str">
            <v>HISP-S324</v>
          </cell>
          <cell r="K7359" t="str">
            <v>Adkins,Jaimie Lynn</v>
          </cell>
          <cell r="N7359">
            <v>3.35</v>
          </cell>
          <cell r="O7359">
            <v>3.3839999999999999</v>
          </cell>
        </row>
        <row r="7360">
          <cell r="E7360" t="str">
            <v>HISP</v>
          </cell>
          <cell r="F7360" t="str">
            <v>HISP-S</v>
          </cell>
          <cell r="G7360">
            <v>324</v>
          </cell>
          <cell r="H7360" t="str">
            <v>HISP-S324</v>
          </cell>
          <cell r="K7360" t="str">
            <v>Adkins,Jaimie Lynn</v>
          </cell>
          <cell r="N7360">
            <v>2.875</v>
          </cell>
          <cell r="O7360">
            <v>3.09</v>
          </cell>
        </row>
        <row r="7361">
          <cell r="E7361" t="str">
            <v>HISP</v>
          </cell>
          <cell r="F7361" t="str">
            <v>HISP-S</v>
          </cell>
          <cell r="G7361">
            <v>324</v>
          </cell>
          <cell r="H7361" t="str">
            <v>HISP-S324</v>
          </cell>
          <cell r="K7361" t="str">
            <v>Bernales Albites,Enrique</v>
          </cell>
          <cell r="N7361">
            <v>3.5049999999999999</v>
          </cell>
          <cell r="O7361">
            <v>3.335</v>
          </cell>
        </row>
        <row r="7362">
          <cell r="E7362" t="str">
            <v>HISP</v>
          </cell>
          <cell r="F7362" t="str">
            <v>HISP-S</v>
          </cell>
          <cell r="G7362">
            <v>324</v>
          </cell>
          <cell r="H7362" t="str">
            <v>HISP-S324</v>
          </cell>
          <cell r="K7362" t="str">
            <v>Birkenmaier,Anke</v>
          </cell>
          <cell r="N7362">
            <v>3.6739999999999999</v>
          </cell>
          <cell r="O7362">
            <v>3.36</v>
          </cell>
        </row>
        <row r="7363">
          <cell r="E7363" t="str">
            <v>HISP</v>
          </cell>
          <cell r="F7363" t="str">
            <v>HISP-S</v>
          </cell>
          <cell r="G7363">
            <v>324</v>
          </cell>
          <cell r="H7363" t="str">
            <v>HISP-S324</v>
          </cell>
          <cell r="K7363" t="str">
            <v>Birkenmaier,Anke</v>
          </cell>
          <cell r="N7363">
            <v>3.2909999999999999</v>
          </cell>
          <cell r="O7363">
            <v>3.2280000000000002</v>
          </cell>
        </row>
        <row r="7364">
          <cell r="E7364" t="str">
            <v>HISP</v>
          </cell>
          <cell r="F7364" t="str">
            <v>HISP-S</v>
          </cell>
          <cell r="G7364">
            <v>324</v>
          </cell>
          <cell r="H7364" t="str">
            <v>HISP-S324</v>
          </cell>
          <cell r="K7364" t="str">
            <v>Botello Lopez Canti,Jesus</v>
          </cell>
          <cell r="N7364">
            <v>3.61</v>
          </cell>
          <cell r="O7364">
            <v>3.37</v>
          </cell>
        </row>
        <row r="7365">
          <cell r="E7365" t="str">
            <v>HISP</v>
          </cell>
          <cell r="F7365" t="str">
            <v>HISP-S</v>
          </cell>
          <cell r="G7365">
            <v>324</v>
          </cell>
          <cell r="H7365" t="str">
            <v>HISP-S324</v>
          </cell>
          <cell r="K7365" t="str">
            <v>Carbajal,Eric</v>
          </cell>
          <cell r="N7365">
            <v>3.4</v>
          </cell>
          <cell r="O7365">
            <v>3.4620000000000002</v>
          </cell>
        </row>
        <row r="7366">
          <cell r="E7366" t="str">
            <v>HISP</v>
          </cell>
          <cell r="F7366" t="str">
            <v>HISP-S</v>
          </cell>
          <cell r="G7366">
            <v>324</v>
          </cell>
          <cell r="H7366" t="str">
            <v>HISP-S324</v>
          </cell>
          <cell r="K7366" t="str">
            <v>Erickson,Marcus Anders</v>
          </cell>
          <cell r="N7366">
            <v>3.3610000000000002</v>
          </cell>
          <cell r="O7366">
            <v>3.46</v>
          </cell>
        </row>
        <row r="7367">
          <cell r="E7367" t="str">
            <v>HISP</v>
          </cell>
          <cell r="F7367" t="str">
            <v>HISP-S</v>
          </cell>
          <cell r="G7367">
            <v>324</v>
          </cell>
          <cell r="H7367" t="str">
            <v>HISP-S324</v>
          </cell>
          <cell r="K7367" t="str">
            <v>Espericueta,Jose Gabriel</v>
          </cell>
          <cell r="N7367">
            <v>3.3410000000000002</v>
          </cell>
          <cell r="O7367">
            <v>3.3759999999999999</v>
          </cell>
        </row>
        <row r="7368">
          <cell r="E7368" t="str">
            <v>HISP</v>
          </cell>
          <cell r="F7368" t="str">
            <v>HISP-S</v>
          </cell>
          <cell r="G7368">
            <v>324</v>
          </cell>
          <cell r="H7368" t="str">
            <v>HISP-S324</v>
          </cell>
          <cell r="K7368" t="str">
            <v>Espericueta,Jose Gabriel</v>
          </cell>
          <cell r="N7368">
            <v>3.4769999999999999</v>
          </cell>
          <cell r="O7368">
            <v>3.31</v>
          </cell>
        </row>
        <row r="7369">
          <cell r="E7369" t="str">
            <v>HISP</v>
          </cell>
          <cell r="F7369" t="str">
            <v>HISP-S</v>
          </cell>
          <cell r="G7369">
            <v>324</v>
          </cell>
          <cell r="H7369" t="str">
            <v>HISP-S324</v>
          </cell>
          <cell r="K7369" t="str">
            <v>Garza Gonzalez,Cristobal</v>
          </cell>
          <cell r="N7369">
            <v>3.1709999999999998</v>
          </cell>
          <cell r="O7369">
            <v>3.4180000000000001</v>
          </cell>
        </row>
        <row r="7370">
          <cell r="E7370" t="str">
            <v>HISP</v>
          </cell>
          <cell r="F7370" t="str">
            <v>HISP-S</v>
          </cell>
          <cell r="G7370">
            <v>324</v>
          </cell>
          <cell r="H7370" t="str">
            <v>HISP-S324</v>
          </cell>
          <cell r="K7370" t="str">
            <v>Garza Gonzalez,Cristobal</v>
          </cell>
          <cell r="N7370">
            <v>3.1480000000000001</v>
          </cell>
          <cell r="O7370">
            <v>3.3450000000000002</v>
          </cell>
        </row>
        <row r="7371">
          <cell r="E7371" t="str">
            <v>HISP</v>
          </cell>
          <cell r="F7371" t="str">
            <v>HISP-S</v>
          </cell>
          <cell r="G7371">
            <v>324</v>
          </cell>
          <cell r="H7371" t="str">
            <v>HISP-S324</v>
          </cell>
          <cell r="K7371" t="str">
            <v>Guidarelli,Kaitlin</v>
          </cell>
          <cell r="N7371">
            <v>3.2360000000000002</v>
          </cell>
          <cell r="O7371">
            <v>3.3820000000000001</v>
          </cell>
        </row>
        <row r="7372">
          <cell r="E7372" t="str">
            <v>HISP</v>
          </cell>
          <cell r="F7372" t="str">
            <v>HISP-S</v>
          </cell>
          <cell r="G7372">
            <v>324</v>
          </cell>
          <cell r="H7372" t="str">
            <v>HISP-S324</v>
          </cell>
          <cell r="K7372" t="str">
            <v>Guidarelli,Kaitlin</v>
          </cell>
          <cell r="N7372">
            <v>2.8050000000000002</v>
          </cell>
          <cell r="O7372">
            <v>3.0089999999999999</v>
          </cell>
        </row>
        <row r="7373">
          <cell r="E7373" t="str">
            <v>HISP</v>
          </cell>
          <cell r="F7373" t="str">
            <v>HISP-S</v>
          </cell>
          <cell r="G7373">
            <v>324</v>
          </cell>
          <cell r="H7373" t="str">
            <v>HISP-S324</v>
          </cell>
          <cell r="K7373" t="str">
            <v>Herda,John</v>
          </cell>
          <cell r="N7373">
            <v>3.6139999999999999</v>
          </cell>
          <cell r="O7373">
            <v>3.3860000000000001</v>
          </cell>
        </row>
        <row r="7374">
          <cell r="E7374" t="str">
            <v>HISP</v>
          </cell>
          <cell r="F7374" t="str">
            <v>HISP-S</v>
          </cell>
          <cell r="G7374">
            <v>324</v>
          </cell>
          <cell r="H7374" t="str">
            <v>HISP-S324</v>
          </cell>
          <cell r="K7374" t="str">
            <v>Howell,Ivy Noel</v>
          </cell>
          <cell r="N7374">
            <v>3.3140000000000001</v>
          </cell>
          <cell r="O7374">
            <v>3.5089999999999999</v>
          </cell>
        </row>
        <row r="7375">
          <cell r="E7375" t="str">
            <v>HISP</v>
          </cell>
          <cell r="F7375" t="str">
            <v>HISP-S</v>
          </cell>
          <cell r="G7375">
            <v>324</v>
          </cell>
          <cell r="H7375" t="str">
            <v>HISP-S324</v>
          </cell>
          <cell r="K7375" t="str">
            <v>Moreno,Vicent Pau</v>
          </cell>
          <cell r="N7375">
            <v>3.3050000000000002</v>
          </cell>
          <cell r="O7375">
            <v>3.1269999999999998</v>
          </cell>
        </row>
        <row r="7376">
          <cell r="E7376" t="str">
            <v>HISP</v>
          </cell>
          <cell r="F7376" t="str">
            <v>HISP-S</v>
          </cell>
          <cell r="G7376">
            <v>324</v>
          </cell>
          <cell r="H7376" t="str">
            <v>HISP-S324</v>
          </cell>
          <cell r="K7376" t="str">
            <v>Moreno,Vicent Pau</v>
          </cell>
          <cell r="N7376">
            <v>3.448</v>
          </cell>
          <cell r="O7376">
            <v>3.4489999999999998</v>
          </cell>
        </row>
        <row r="7377">
          <cell r="E7377" t="str">
            <v>HISP</v>
          </cell>
          <cell r="F7377" t="str">
            <v>HISP-S</v>
          </cell>
          <cell r="G7377">
            <v>324</v>
          </cell>
          <cell r="H7377" t="str">
            <v>HISP-S324</v>
          </cell>
          <cell r="K7377" t="str">
            <v>Mosier,Michael T</v>
          </cell>
          <cell r="N7377">
            <v>3.2909999999999999</v>
          </cell>
          <cell r="O7377">
            <v>3.1589999999999998</v>
          </cell>
        </row>
        <row r="7378">
          <cell r="E7378" t="str">
            <v>HISP</v>
          </cell>
          <cell r="F7378" t="str">
            <v>HISP-S</v>
          </cell>
          <cell r="G7378">
            <v>324</v>
          </cell>
          <cell r="H7378" t="str">
            <v>HISP-S324</v>
          </cell>
          <cell r="K7378" t="str">
            <v>Neal,Thomas Cassidy</v>
          </cell>
          <cell r="N7378">
            <v>3.327</v>
          </cell>
          <cell r="O7378">
            <v>3.347</v>
          </cell>
        </row>
        <row r="7379">
          <cell r="E7379" t="str">
            <v>HISP</v>
          </cell>
          <cell r="F7379" t="str">
            <v>HISP-S</v>
          </cell>
          <cell r="G7379">
            <v>324</v>
          </cell>
          <cell r="H7379" t="str">
            <v>HISP-S324</v>
          </cell>
          <cell r="K7379" t="str">
            <v>Neal,Thomas Cassidy</v>
          </cell>
          <cell r="N7379">
            <v>3.3610000000000002</v>
          </cell>
          <cell r="O7379">
            <v>3.27</v>
          </cell>
        </row>
        <row r="7380">
          <cell r="E7380" t="str">
            <v>HISP</v>
          </cell>
          <cell r="F7380" t="str">
            <v>HISP-S</v>
          </cell>
          <cell r="G7380">
            <v>324</v>
          </cell>
          <cell r="H7380" t="str">
            <v>HISP-S324</v>
          </cell>
          <cell r="K7380" t="str">
            <v>Parrilla-Recuero,Antonio</v>
          </cell>
          <cell r="N7380">
            <v>3.15</v>
          </cell>
          <cell r="O7380">
            <v>2.984</v>
          </cell>
        </row>
        <row r="7381">
          <cell r="E7381" t="str">
            <v>HISP</v>
          </cell>
          <cell r="F7381" t="str">
            <v>HISP-S</v>
          </cell>
          <cell r="G7381">
            <v>324</v>
          </cell>
          <cell r="H7381" t="str">
            <v>HISP-S324</v>
          </cell>
          <cell r="K7381" t="str">
            <v>Parrilla-Recuero,Antonio</v>
          </cell>
          <cell r="N7381">
            <v>3.5089999999999999</v>
          </cell>
          <cell r="O7381">
            <v>3.391</v>
          </cell>
        </row>
        <row r="7382">
          <cell r="E7382" t="str">
            <v>HISP</v>
          </cell>
          <cell r="F7382" t="str">
            <v>HISP-S</v>
          </cell>
          <cell r="G7382">
            <v>324</v>
          </cell>
          <cell r="H7382" t="str">
            <v>HISP-S324</v>
          </cell>
          <cell r="K7382" t="str">
            <v>Roca-Martinez,Silvia Maria</v>
          </cell>
          <cell r="N7382">
            <v>3.052</v>
          </cell>
          <cell r="O7382">
            <v>3.3380000000000001</v>
          </cell>
        </row>
        <row r="7383">
          <cell r="E7383" t="str">
            <v>HISP</v>
          </cell>
          <cell r="F7383" t="str">
            <v>HISP-S</v>
          </cell>
          <cell r="G7383">
            <v>324</v>
          </cell>
          <cell r="H7383" t="str">
            <v>HISP-S324</v>
          </cell>
          <cell r="K7383" t="str">
            <v>Rodriguez-Pereira,Victor</v>
          </cell>
          <cell r="N7383">
            <v>3.105</v>
          </cell>
          <cell r="O7383">
            <v>3.3279999999999998</v>
          </cell>
        </row>
        <row r="7384">
          <cell r="E7384" t="str">
            <v>HISP</v>
          </cell>
          <cell r="F7384" t="str">
            <v>HISP-S</v>
          </cell>
          <cell r="G7384">
            <v>324</v>
          </cell>
          <cell r="H7384" t="str">
            <v>HISP-S324</v>
          </cell>
          <cell r="K7384" t="str">
            <v>Strobel,Leah</v>
          </cell>
          <cell r="N7384">
            <v>3.6379999999999999</v>
          </cell>
          <cell r="O7384">
            <v>3.34</v>
          </cell>
        </row>
        <row r="7385">
          <cell r="E7385" t="str">
            <v>HISP</v>
          </cell>
          <cell r="F7385" t="str">
            <v>HISP-S</v>
          </cell>
          <cell r="G7385">
            <v>324</v>
          </cell>
          <cell r="H7385" t="str">
            <v>HISP-S324</v>
          </cell>
          <cell r="K7385" t="str">
            <v>Strobel,Leah</v>
          </cell>
          <cell r="N7385">
            <v>3.7320000000000002</v>
          </cell>
          <cell r="O7385">
            <v>3.2519999999999998</v>
          </cell>
        </row>
        <row r="7386">
          <cell r="E7386" t="str">
            <v>HISP</v>
          </cell>
          <cell r="F7386" t="str">
            <v>HISP-S</v>
          </cell>
          <cell r="G7386">
            <v>326</v>
          </cell>
          <cell r="H7386" t="str">
            <v>HISP-S326</v>
          </cell>
          <cell r="K7386" t="str">
            <v>Barker,Maria Hasler</v>
          </cell>
          <cell r="N7386">
            <v>3.5430000000000001</v>
          </cell>
          <cell r="O7386">
            <v>3.214</v>
          </cell>
        </row>
        <row r="7387">
          <cell r="E7387" t="str">
            <v>HISP</v>
          </cell>
          <cell r="F7387" t="str">
            <v>HISP-S</v>
          </cell>
          <cell r="G7387">
            <v>326</v>
          </cell>
          <cell r="H7387" t="str">
            <v>HISP-S326</v>
          </cell>
          <cell r="K7387" t="str">
            <v>Barker,Maria Hasler</v>
          </cell>
          <cell r="N7387">
            <v>3.617</v>
          </cell>
          <cell r="O7387">
            <v>3.3410000000000002</v>
          </cell>
        </row>
        <row r="7388">
          <cell r="E7388" t="str">
            <v>HISP</v>
          </cell>
          <cell r="F7388" t="str">
            <v>HISP-S</v>
          </cell>
          <cell r="G7388">
            <v>326</v>
          </cell>
          <cell r="H7388" t="str">
            <v>HISP-S326</v>
          </cell>
          <cell r="K7388" t="str">
            <v>Clements,Joseph Clancy</v>
          </cell>
          <cell r="N7388">
            <v>3.355</v>
          </cell>
          <cell r="O7388">
            <v>3.4060000000000001</v>
          </cell>
        </row>
        <row r="7389">
          <cell r="E7389" t="str">
            <v>HISP</v>
          </cell>
          <cell r="F7389" t="str">
            <v>HISP-S</v>
          </cell>
          <cell r="G7389">
            <v>326</v>
          </cell>
          <cell r="H7389" t="str">
            <v>HISP-S326</v>
          </cell>
          <cell r="K7389" t="str">
            <v>Davidson,Christopher Lee</v>
          </cell>
          <cell r="N7389">
            <v>3.2850000000000001</v>
          </cell>
          <cell r="O7389">
            <v>3.5329999999999999</v>
          </cell>
        </row>
        <row r="7390">
          <cell r="E7390" t="str">
            <v>HISP</v>
          </cell>
          <cell r="F7390" t="str">
            <v>HISP-S</v>
          </cell>
          <cell r="G7390">
            <v>326</v>
          </cell>
          <cell r="H7390" t="str">
            <v>HISP-S326</v>
          </cell>
          <cell r="K7390" t="str">
            <v>Fafulas,Stephen Allan</v>
          </cell>
          <cell r="N7390">
            <v>3.5720000000000001</v>
          </cell>
          <cell r="O7390">
            <v>3.1280000000000001</v>
          </cell>
        </row>
        <row r="7391">
          <cell r="E7391" t="str">
            <v>HISP</v>
          </cell>
          <cell r="F7391" t="str">
            <v>HISP-S</v>
          </cell>
          <cell r="G7391">
            <v>326</v>
          </cell>
          <cell r="H7391" t="str">
            <v>HISP-S326</v>
          </cell>
          <cell r="K7391" t="str">
            <v>Felix-Brasdefer,Cesar</v>
          </cell>
          <cell r="N7391">
            <v>3.5129999999999999</v>
          </cell>
          <cell r="O7391">
            <v>3.431</v>
          </cell>
        </row>
        <row r="7392">
          <cell r="E7392" t="str">
            <v>HISP</v>
          </cell>
          <cell r="F7392" t="str">
            <v>HISP-S</v>
          </cell>
          <cell r="G7392">
            <v>326</v>
          </cell>
          <cell r="H7392" t="str">
            <v>HISP-S326</v>
          </cell>
          <cell r="K7392" t="str">
            <v>Felix-Brasdefer,Cesar</v>
          </cell>
          <cell r="N7392">
            <v>3.4239999999999999</v>
          </cell>
          <cell r="O7392">
            <v>3.3740000000000001</v>
          </cell>
        </row>
        <row r="7393">
          <cell r="E7393" t="str">
            <v>HISP</v>
          </cell>
          <cell r="F7393" t="str">
            <v>HISP-S</v>
          </cell>
          <cell r="G7393">
            <v>326</v>
          </cell>
          <cell r="H7393" t="str">
            <v>HISP-S326</v>
          </cell>
          <cell r="K7393" t="str">
            <v>Flores,Tanya L</v>
          </cell>
          <cell r="N7393">
            <v>3.4239999999999999</v>
          </cell>
          <cell r="O7393">
            <v>3.2290000000000001</v>
          </cell>
        </row>
        <row r="7394">
          <cell r="E7394" t="str">
            <v>HISP</v>
          </cell>
          <cell r="F7394" t="str">
            <v>HISP-S</v>
          </cell>
          <cell r="G7394">
            <v>326</v>
          </cell>
          <cell r="H7394" t="str">
            <v>HISP-S326</v>
          </cell>
          <cell r="K7394" t="str">
            <v>Geeslin,Kimberly</v>
          </cell>
          <cell r="N7394">
            <v>3.2850000000000001</v>
          </cell>
          <cell r="O7394">
            <v>3.2450000000000001</v>
          </cell>
        </row>
        <row r="7395">
          <cell r="E7395" t="str">
            <v>HISP</v>
          </cell>
          <cell r="F7395" t="str">
            <v>HISP-S</v>
          </cell>
          <cell r="G7395">
            <v>326</v>
          </cell>
          <cell r="H7395" t="str">
            <v>HISP-S326</v>
          </cell>
          <cell r="K7395" t="str">
            <v>Gurzynski-Weiss,Laura</v>
          </cell>
          <cell r="N7395">
            <v>3.2639999999999998</v>
          </cell>
          <cell r="O7395">
            <v>3.3279999999999998</v>
          </cell>
        </row>
        <row r="7396">
          <cell r="E7396" t="str">
            <v>HISP</v>
          </cell>
          <cell r="F7396" t="str">
            <v>HISP-S</v>
          </cell>
          <cell r="G7396">
            <v>326</v>
          </cell>
          <cell r="H7396" t="str">
            <v>HISP-S326</v>
          </cell>
          <cell r="K7396" t="str">
            <v>Juarez-Cummings,Elizabeth Natalia</v>
          </cell>
          <cell r="N7396">
            <v>2.9249999999999998</v>
          </cell>
          <cell r="O7396">
            <v>3.0670000000000002</v>
          </cell>
        </row>
        <row r="7397">
          <cell r="E7397" t="str">
            <v>HISP</v>
          </cell>
          <cell r="F7397" t="str">
            <v>HISP-S</v>
          </cell>
          <cell r="G7397">
            <v>326</v>
          </cell>
          <cell r="H7397" t="str">
            <v>HISP-S326</v>
          </cell>
          <cell r="K7397" t="str">
            <v>Lavin,Erin Elizabeth</v>
          </cell>
          <cell r="N7397">
            <v>3.3260000000000001</v>
          </cell>
          <cell r="O7397">
            <v>3.375</v>
          </cell>
        </row>
        <row r="7398">
          <cell r="E7398" t="str">
            <v>HISP</v>
          </cell>
          <cell r="F7398" t="str">
            <v>HISP-S</v>
          </cell>
          <cell r="G7398">
            <v>326</v>
          </cell>
          <cell r="H7398" t="str">
            <v>HISP-S326</v>
          </cell>
          <cell r="K7398" t="str">
            <v>Newall,Gregory Maurice</v>
          </cell>
          <cell r="N7398">
            <v>3.1040000000000001</v>
          </cell>
          <cell r="O7398">
            <v>3.1360000000000001</v>
          </cell>
        </row>
        <row r="7399">
          <cell r="E7399" t="str">
            <v>HISP</v>
          </cell>
          <cell r="F7399" t="str">
            <v>HISP-S</v>
          </cell>
          <cell r="G7399">
            <v>326</v>
          </cell>
          <cell r="H7399" t="str">
            <v>HISP-S326</v>
          </cell>
          <cell r="K7399" t="str">
            <v>Newall,Gregory Maurice</v>
          </cell>
          <cell r="N7399">
            <v>3.4289999999999998</v>
          </cell>
          <cell r="O7399">
            <v>3.3740000000000001</v>
          </cell>
        </row>
        <row r="7400">
          <cell r="E7400" t="str">
            <v>HISP</v>
          </cell>
          <cell r="F7400" t="str">
            <v>HISP-S</v>
          </cell>
          <cell r="G7400">
            <v>326</v>
          </cell>
          <cell r="H7400" t="str">
            <v>HISP-S326</v>
          </cell>
          <cell r="K7400" t="str">
            <v>Newall,Gregory Maurice</v>
          </cell>
          <cell r="N7400">
            <v>3.395</v>
          </cell>
          <cell r="O7400">
            <v>3.62</v>
          </cell>
        </row>
        <row r="7401">
          <cell r="E7401" t="str">
            <v>HISP</v>
          </cell>
          <cell r="F7401" t="str">
            <v>HISP-S</v>
          </cell>
          <cell r="G7401">
            <v>326</v>
          </cell>
          <cell r="H7401" t="str">
            <v>HISP-S326</v>
          </cell>
          <cell r="K7401" t="str">
            <v>Rodriguez-Mondonedo,Miguel</v>
          </cell>
          <cell r="N7401">
            <v>3.839</v>
          </cell>
          <cell r="O7401">
            <v>3.68</v>
          </cell>
        </row>
        <row r="7402">
          <cell r="E7402" t="str">
            <v>HISP</v>
          </cell>
          <cell r="F7402" t="str">
            <v>HISP-S</v>
          </cell>
          <cell r="G7402">
            <v>326</v>
          </cell>
          <cell r="H7402" t="str">
            <v>HISP-S326</v>
          </cell>
          <cell r="K7402" t="str">
            <v>Rodriguez-Mondonedo,Miguel</v>
          </cell>
          <cell r="N7402" t="str">
            <v>NR</v>
          </cell>
          <cell r="O7402" t="str">
            <v>NR</v>
          </cell>
        </row>
        <row r="7403">
          <cell r="E7403" t="str">
            <v>HISP</v>
          </cell>
          <cell r="F7403" t="str">
            <v>HISP-S</v>
          </cell>
          <cell r="G7403">
            <v>326</v>
          </cell>
          <cell r="H7403" t="str">
            <v>HISP-S326</v>
          </cell>
          <cell r="K7403" t="str">
            <v>Schoonmaker-Gates,Elena Marie</v>
          </cell>
          <cell r="N7403">
            <v>3.3650000000000002</v>
          </cell>
          <cell r="O7403">
            <v>3.351</v>
          </cell>
        </row>
        <row r="7404">
          <cell r="E7404" t="str">
            <v>HISP</v>
          </cell>
          <cell r="F7404" t="str">
            <v>HISP-S</v>
          </cell>
          <cell r="G7404">
            <v>326</v>
          </cell>
          <cell r="H7404" t="str">
            <v>HISP-S326</v>
          </cell>
          <cell r="K7404" t="str">
            <v>Schoonmaker-Gates,Elena Marie</v>
          </cell>
          <cell r="N7404">
            <v>3.0590000000000002</v>
          </cell>
          <cell r="O7404">
            <v>3.1930000000000001</v>
          </cell>
        </row>
        <row r="7405">
          <cell r="E7405" t="str">
            <v>HISP</v>
          </cell>
          <cell r="F7405" t="str">
            <v>HISP-S</v>
          </cell>
          <cell r="G7405">
            <v>326</v>
          </cell>
          <cell r="H7405" t="str">
            <v>HISP-S326</v>
          </cell>
          <cell r="K7405" t="str">
            <v>Willis,Erik</v>
          </cell>
          <cell r="N7405">
            <v>3.8050000000000002</v>
          </cell>
          <cell r="O7405">
            <v>3.8260000000000001</v>
          </cell>
        </row>
        <row r="7406">
          <cell r="E7406" t="str">
            <v>HISP</v>
          </cell>
          <cell r="F7406" t="str">
            <v>HISP-S</v>
          </cell>
          <cell r="G7406">
            <v>326</v>
          </cell>
          <cell r="H7406" t="str">
            <v>HISP-S326</v>
          </cell>
          <cell r="K7406" t="str">
            <v>Willis,Erik</v>
          </cell>
          <cell r="N7406" t="str">
            <v>NR</v>
          </cell>
          <cell r="O7406" t="str">
            <v>NR</v>
          </cell>
        </row>
        <row r="7407">
          <cell r="E7407" t="str">
            <v>HISP</v>
          </cell>
          <cell r="F7407" t="str">
            <v>HISP-S</v>
          </cell>
          <cell r="G7407">
            <v>326</v>
          </cell>
          <cell r="H7407" t="str">
            <v>HISP-S326</v>
          </cell>
          <cell r="K7407" t="str">
            <v>Willis,Erik</v>
          </cell>
          <cell r="N7407">
            <v>3.4140000000000001</v>
          </cell>
          <cell r="O7407">
            <v>3.42</v>
          </cell>
        </row>
        <row r="7408">
          <cell r="E7408" t="str">
            <v>HISP</v>
          </cell>
          <cell r="F7408" t="str">
            <v>HISP-S</v>
          </cell>
          <cell r="G7408">
            <v>326</v>
          </cell>
          <cell r="H7408" t="str">
            <v>HISP-S326</v>
          </cell>
          <cell r="K7408" t="str">
            <v>Willis,Erik</v>
          </cell>
          <cell r="N7408">
            <v>3.1549999999999998</v>
          </cell>
          <cell r="O7408">
            <v>3.4140000000000001</v>
          </cell>
        </row>
        <row r="7409">
          <cell r="E7409" t="str">
            <v>HISP</v>
          </cell>
          <cell r="F7409" t="str">
            <v>HISP-S</v>
          </cell>
          <cell r="G7409">
            <v>328</v>
          </cell>
          <cell r="H7409" t="str">
            <v>HISP-S328</v>
          </cell>
          <cell r="K7409" t="str">
            <v>Adkins,Jaimie Lynn</v>
          </cell>
          <cell r="N7409">
            <v>3.0670000000000002</v>
          </cell>
          <cell r="O7409">
            <v>3.0510000000000002</v>
          </cell>
        </row>
        <row r="7410">
          <cell r="E7410" t="str">
            <v>HISP</v>
          </cell>
          <cell r="F7410" t="str">
            <v>HISP-S</v>
          </cell>
          <cell r="G7410">
            <v>328</v>
          </cell>
          <cell r="H7410" t="str">
            <v>HISP-S328</v>
          </cell>
          <cell r="K7410" t="str">
            <v>Bieder,Maryellen Wolfe</v>
          </cell>
          <cell r="N7410">
            <v>3.3410000000000002</v>
          </cell>
          <cell r="O7410">
            <v>3.3929999999999998</v>
          </cell>
        </row>
        <row r="7411">
          <cell r="E7411" t="str">
            <v>HISP</v>
          </cell>
          <cell r="F7411" t="str">
            <v>HISP-S</v>
          </cell>
          <cell r="G7411">
            <v>328</v>
          </cell>
          <cell r="H7411" t="str">
            <v>HISP-S328</v>
          </cell>
          <cell r="K7411" t="str">
            <v>Dinverno,Melissa</v>
          </cell>
          <cell r="N7411">
            <v>3.5369999999999999</v>
          </cell>
          <cell r="O7411">
            <v>3.774</v>
          </cell>
        </row>
        <row r="7412">
          <cell r="E7412" t="str">
            <v>HISP</v>
          </cell>
          <cell r="F7412" t="str">
            <v>HISP-S</v>
          </cell>
          <cell r="G7412">
            <v>328</v>
          </cell>
          <cell r="H7412" t="str">
            <v>HISP-S328</v>
          </cell>
          <cell r="K7412" t="str">
            <v>Dinverno,Melissa</v>
          </cell>
          <cell r="N7412" t="str">
            <v>NR</v>
          </cell>
          <cell r="O7412" t="str">
            <v>NR</v>
          </cell>
        </row>
        <row r="7413">
          <cell r="E7413" t="str">
            <v>HISP</v>
          </cell>
          <cell r="F7413" t="str">
            <v>HISP-S</v>
          </cell>
          <cell r="G7413">
            <v>328</v>
          </cell>
          <cell r="H7413" t="str">
            <v>HISP-S328</v>
          </cell>
          <cell r="K7413" t="str">
            <v>Dinverno,Melissa</v>
          </cell>
          <cell r="N7413">
            <v>3.4289999999999998</v>
          </cell>
          <cell r="O7413">
            <v>3.4620000000000002</v>
          </cell>
        </row>
        <row r="7414">
          <cell r="E7414" t="str">
            <v>HISP</v>
          </cell>
          <cell r="F7414" t="str">
            <v>HISP-S</v>
          </cell>
          <cell r="G7414">
            <v>328</v>
          </cell>
          <cell r="H7414" t="str">
            <v>HISP-S328</v>
          </cell>
          <cell r="K7414" t="str">
            <v>Dinverno,Melissa</v>
          </cell>
          <cell r="N7414">
            <v>3.133</v>
          </cell>
          <cell r="O7414">
            <v>3.1749999999999998</v>
          </cell>
        </row>
        <row r="7415">
          <cell r="E7415" t="str">
            <v>HISP</v>
          </cell>
          <cell r="F7415" t="str">
            <v>HISP-S</v>
          </cell>
          <cell r="G7415">
            <v>328</v>
          </cell>
          <cell r="H7415" t="str">
            <v>HISP-S328</v>
          </cell>
          <cell r="K7415" t="str">
            <v>Espericueta,Jose Gabriel</v>
          </cell>
          <cell r="N7415">
            <v>3.367</v>
          </cell>
          <cell r="O7415">
            <v>3.4550000000000001</v>
          </cell>
        </row>
        <row r="7416">
          <cell r="E7416" t="str">
            <v>HISP</v>
          </cell>
          <cell r="F7416" t="str">
            <v>HISP-S</v>
          </cell>
          <cell r="G7416">
            <v>328</v>
          </cell>
          <cell r="H7416" t="str">
            <v>HISP-S328</v>
          </cell>
          <cell r="K7416" t="str">
            <v>Fedonkina,Valeriya Olegovna</v>
          </cell>
          <cell r="N7416">
            <v>3.0550000000000002</v>
          </cell>
          <cell r="O7416">
            <v>3.2160000000000002</v>
          </cell>
        </row>
        <row r="7417">
          <cell r="E7417" t="str">
            <v>HISP</v>
          </cell>
          <cell r="F7417" t="str">
            <v>HISP-S</v>
          </cell>
          <cell r="G7417">
            <v>328</v>
          </cell>
          <cell r="H7417" t="str">
            <v>HISP-S328</v>
          </cell>
          <cell r="K7417" t="str">
            <v>Fedonkina,Valeriya Olegovna</v>
          </cell>
          <cell r="N7417">
            <v>3.2429999999999999</v>
          </cell>
          <cell r="O7417">
            <v>3.323</v>
          </cell>
        </row>
        <row r="7418">
          <cell r="E7418" t="str">
            <v>HISP</v>
          </cell>
          <cell r="F7418" t="str">
            <v>HISP-S</v>
          </cell>
          <cell r="G7418">
            <v>328</v>
          </cell>
          <cell r="H7418" t="str">
            <v>HISP-S328</v>
          </cell>
          <cell r="K7418" t="str">
            <v>Howell,Ivy Noel</v>
          </cell>
          <cell r="N7418">
            <v>3.1739999999999999</v>
          </cell>
          <cell r="O7418">
            <v>3.3079999999999998</v>
          </cell>
        </row>
        <row r="7419">
          <cell r="E7419" t="str">
            <v>HISP</v>
          </cell>
          <cell r="F7419" t="str">
            <v>HISP-S</v>
          </cell>
          <cell r="G7419">
            <v>328</v>
          </cell>
          <cell r="H7419" t="str">
            <v>HISP-S328</v>
          </cell>
          <cell r="K7419" t="str">
            <v>Howell,Ivy Noel</v>
          </cell>
          <cell r="N7419">
            <v>2.9289999999999998</v>
          </cell>
          <cell r="O7419">
            <v>3.121</v>
          </cell>
        </row>
        <row r="7420">
          <cell r="E7420" t="str">
            <v>HISP</v>
          </cell>
          <cell r="F7420" t="str">
            <v>HISP-S</v>
          </cell>
          <cell r="G7420">
            <v>328</v>
          </cell>
          <cell r="H7420" t="str">
            <v>HISP-S328</v>
          </cell>
          <cell r="K7420" t="str">
            <v>Patten,Jared Paul</v>
          </cell>
          <cell r="N7420">
            <v>2.9049999999999998</v>
          </cell>
          <cell r="O7420">
            <v>3.1240000000000001</v>
          </cell>
        </row>
        <row r="7421">
          <cell r="E7421" t="str">
            <v>HISP</v>
          </cell>
          <cell r="F7421" t="str">
            <v>HISP-S</v>
          </cell>
          <cell r="G7421">
            <v>328</v>
          </cell>
          <cell r="H7421" t="str">
            <v>HISP-S328</v>
          </cell>
          <cell r="K7421" t="str">
            <v>Phillips,Nick David</v>
          </cell>
          <cell r="N7421">
            <v>3.4380000000000002</v>
          </cell>
          <cell r="O7421">
            <v>3.419</v>
          </cell>
        </row>
        <row r="7422">
          <cell r="E7422" t="str">
            <v>HISP</v>
          </cell>
          <cell r="F7422" t="str">
            <v>HISP-S</v>
          </cell>
          <cell r="G7422">
            <v>328</v>
          </cell>
          <cell r="H7422" t="str">
            <v>HISP-S328</v>
          </cell>
          <cell r="K7422" t="str">
            <v>Shabani,Amina Butoyi</v>
          </cell>
          <cell r="N7422">
            <v>2.8580000000000001</v>
          </cell>
          <cell r="O7422">
            <v>3.2469999999999999</v>
          </cell>
        </row>
        <row r="7423">
          <cell r="E7423" t="str">
            <v>HISP</v>
          </cell>
          <cell r="F7423" t="str">
            <v>HISP-S</v>
          </cell>
          <cell r="G7423">
            <v>328</v>
          </cell>
          <cell r="H7423" t="str">
            <v>HISP-S328</v>
          </cell>
          <cell r="K7423" t="str">
            <v>Sokol,Alina</v>
          </cell>
          <cell r="N7423">
            <v>3.69</v>
          </cell>
          <cell r="O7423">
            <v>3.4740000000000002</v>
          </cell>
        </row>
        <row r="7424">
          <cell r="E7424" t="str">
            <v>HISP</v>
          </cell>
          <cell r="F7424" t="str">
            <v>HISP-S</v>
          </cell>
          <cell r="G7424">
            <v>328</v>
          </cell>
          <cell r="H7424" t="str">
            <v>HISP-S328</v>
          </cell>
          <cell r="K7424" t="str">
            <v>Sokol,Alina</v>
          </cell>
          <cell r="N7424">
            <v>3.5470000000000002</v>
          </cell>
          <cell r="O7424">
            <v>3.4870000000000001</v>
          </cell>
        </row>
        <row r="7425">
          <cell r="E7425" t="str">
            <v>HISP</v>
          </cell>
          <cell r="F7425" t="str">
            <v>HISP-S</v>
          </cell>
          <cell r="G7425">
            <v>328</v>
          </cell>
          <cell r="H7425" t="str">
            <v>HISP-S328</v>
          </cell>
          <cell r="K7425" t="str">
            <v>Strobel,Leah</v>
          </cell>
          <cell r="N7425">
            <v>3.464</v>
          </cell>
          <cell r="O7425">
            <v>3.319</v>
          </cell>
        </row>
        <row r="7426">
          <cell r="E7426" t="str">
            <v>HISP</v>
          </cell>
          <cell r="F7426" t="str">
            <v>HISP-S</v>
          </cell>
          <cell r="G7426">
            <v>328</v>
          </cell>
          <cell r="H7426" t="str">
            <v>HISP-S328</v>
          </cell>
          <cell r="K7426" t="str">
            <v>Vieira,Estela</v>
          </cell>
          <cell r="N7426">
            <v>3.5070000000000001</v>
          </cell>
          <cell r="O7426">
            <v>3.17</v>
          </cell>
        </row>
        <row r="7427">
          <cell r="E7427" t="str">
            <v>HISP</v>
          </cell>
          <cell r="F7427" t="str">
            <v>HISP-S</v>
          </cell>
          <cell r="G7427">
            <v>328</v>
          </cell>
          <cell r="H7427" t="str">
            <v>HISP-S328</v>
          </cell>
          <cell r="K7427" t="str">
            <v>Vila-Belda,Reyes</v>
          </cell>
          <cell r="N7427">
            <v>3.1269999999999998</v>
          </cell>
          <cell r="O7427">
            <v>3.3319999999999999</v>
          </cell>
        </row>
        <row r="7428">
          <cell r="E7428" t="str">
            <v>HISP</v>
          </cell>
          <cell r="F7428" t="str">
            <v>HISP-S</v>
          </cell>
          <cell r="G7428">
            <v>328</v>
          </cell>
          <cell r="H7428" t="str">
            <v>HISP-S328</v>
          </cell>
          <cell r="K7428" t="str">
            <v>Vila-Belda,Reyes</v>
          </cell>
          <cell r="N7428">
            <v>3.4260000000000002</v>
          </cell>
          <cell r="O7428">
            <v>3.69</v>
          </cell>
        </row>
        <row r="7429">
          <cell r="E7429" t="str">
            <v>HISP</v>
          </cell>
          <cell r="F7429" t="str">
            <v>HISP-S</v>
          </cell>
          <cell r="G7429">
            <v>328</v>
          </cell>
          <cell r="H7429" t="str">
            <v>HISP-S328</v>
          </cell>
          <cell r="K7429" t="str">
            <v>Vila-Belda,Reyes</v>
          </cell>
          <cell r="N7429" t="str">
            <v>NR</v>
          </cell>
          <cell r="O7429" t="str">
            <v>NR</v>
          </cell>
        </row>
        <row r="7430">
          <cell r="E7430" t="str">
            <v>HISP</v>
          </cell>
          <cell r="F7430" t="str">
            <v>HISP-S</v>
          </cell>
          <cell r="G7430">
            <v>328</v>
          </cell>
          <cell r="H7430" t="str">
            <v>HISP-S328</v>
          </cell>
          <cell r="K7430" t="str">
            <v>Vila-Belda,Reyes</v>
          </cell>
          <cell r="N7430">
            <v>2.895</v>
          </cell>
          <cell r="O7430">
            <v>3.3010000000000002</v>
          </cell>
        </row>
        <row r="7431">
          <cell r="E7431" t="str">
            <v>HISP</v>
          </cell>
          <cell r="F7431" t="str">
            <v>HISP-S</v>
          </cell>
          <cell r="G7431">
            <v>334</v>
          </cell>
          <cell r="H7431" t="str">
            <v>HISP-S334</v>
          </cell>
          <cell r="K7431" t="str">
            <v>Giles,Ryan Dennis</v>
          </cell>
          <cell r="N7431">
            <v>3.629</v>
          </cell>
          <cell r="O7431">
            <v>3.1459999999999999</v>
          </cell>
        </row>
        <row r="7432">
          <cell r="E7432" t="str">
            <v>HISP</v>
          </cell>
          <cell r="F7432" t="str">
            <v>HISP-S</v>
          </cell>
          <cell r="G7432">
            <v>334</v>
          </cell>
          <cell r="H7432" t="str">
            <v>HISP-S334</v>
          </cell>
          <cell r="K7432" t="str">
            <v>Mejias-Lopez,Alejandro</v>
          </cell>
          <cell r="N7432">
            <v>3.5790000000000002</v>
          </cell>
          <cell r="O7432">
            <v>3.1819999999999999</v>
          </cell>
        </row>
        <row r="7433">
          <cell r="E7433" t="str">
            <v>HISP</v>
          </cell>
          <cell r="F7433" t="str">
            <v>HISP-S</v>
          </cell>
          <cell r="G7433">
            <v>334</v>
          </cell>
          <cell r="H7433" t="str">
            <v>HISP-S334</v>
          </cell>
          <cell r="K7433" t="str">
            <v>Moreno,Vicent Pau</v>
          </cell>
          <cell r="N7433">
            <v>2.8</v>
          </cell>
          <cell r="O7433">
            <v>3.2389999999999999</v>
          </cell>
        </row>
        <row r="7434">
          <cell r="E7434" t="str">
            <v>HISP</v>
          </cell>
          <cell r="F7434" t="str">
            <v>HISP-S</v>
          </cell>
          <cell r="G7434">
            <v>334</v>
          </cell>
          <cell r="H7434" t="str">
            <v>HISP-S334</v>
          </cell>
          <cell r="K7434" t="str">
            <v>Strobel,Leah</v>
          </cell>
          <cell r="N7434">
            <v>3.6739999999999999</v>
          </cell>
          <cell r="O7434">
            <v>3.4449999999999998</v>
          </cell>
        </row>
        <row r="7435">
          <cell r="E7435" t="str">
            <v>HISP</v>
          </cell>
          <cell r="F7435" t="str">
            <v>HISP-S</v>
          </cell>
          <cell r="G7435">
            <v>334</v>
          </cell>
          <cell r="H7435" t="str">
            <v>HISP-S334</v>
          </cell>
          <cell r="K7435" t="str">
            <v>Strobel,Leah</v>
          </cell>
          <cell r="N7435">
            <v>3.7120000000000002</v>
          </cell>
          <cell r="O7435">
            <v>3.3420000000000001</v>
          </cell>
        </row>
        <row r="7436">
          <cell r="E7436" t="str">
            <v>HISP</v>
          </cell>
          <cell r="F7436" t="str">
            <v>HISP-S</v>
          </cell>
          <cell r="G7436">
            <v>334</v>
          </cell>
          <cell r="H7436" t="str">
            <v>HISP-S334</v>
          </cell>
          <cell r="K7436" t="str">
            <v>Strobel,Leah</v>
          </cell>
          <cell r="N7436">
            <v>3.6389999999999998</v>
          </cell>
          <cell r="O7436">
            <v>3.3780000000000001</v>
          </cell>
        </row>
        <row r="7437">
          <cell r="E7437" t="str">
            <v>HISP</v>
          </cell>
          <cell r="F7437" t="str">
            <v>HISP-S</v>
          </cell>
          <cell r="G7437">
            <v>408</v>
          </cell>
          <cell r="H7437" t="str">
            <v>HISP-S408</v>
          </cell>
          <cell r="K7437" t="str">
            <v>Illas,Edgar</v>
          </cell>
          <cell r="N7437">
            <v>3.5819999999999999</v>
          </cell>
          <cell r="O7437">
            <v>3.37</v>
          </cell>
        </row>
        <row r="7438">
          <cell r="E7438" t="str">
            <v>HISP</v>
          </cell>
          <cell r="F7438" t="str">
            <v>HISP-S</v>
          </cell>
          <cell r="G7438">
            <v>411</v>
          </cell>
          <cell r="H7438" t="str">
            <v>HISP-S411</v>
          </cell>
          <cell r="K7438" t="str">
            <v>Myers,Kathleen</v>
          </cell>
          <cell r="N7438">
            <v>3.5179999999999998</v>
          </cell>
          <cell r="O7438">
            <v>3.54</v>
          </cell>
        </row>
        <row r="7439">
          <cell r="E7439" t="str">
            <v>HISP</v>
          </cell>
          <cell r="F7439" t="str">
            <v>HISP-S</v>
          </cell>
          <cell r="G7439">
            <v>411</v>
          </cell>
          <cell r="H7439" t="str">
            <v>HISP-S411</v>
          </cell>
          <cell r="K7439" t="str">
            <v>Phillips,Nick David</v>
          </cell>
          <cell r="N7439">
            <v>3.4529999999999998</v>
          </cell>
          <cell r="O7439">
            <v>3.2269999999999999</v>
          </cell>
        </row>
        <row r="7440">
          <cell r="E7440" t="str">
            <v>HISP</v>
          </cell>
          <cell r="F7440" t="str">
            <v>HISP-S</v>
          </cell>
          <cell r="G7440">
            <v>411</v>
          </cell>
          <cell r="H7440" t="str">
            <v>HISP-S411</v>
          </cell>
          <cell r="K7440" t="str">
            <v>Phillips,Nick David</v>
          </cell>
          <cell r="N7440">
            <v>3.008</v>
          </cell>
          <cell r="O7440">
            <v>3.2149999999999999</v>
          </cell>
        </row>
        <row r="7441">
          <cell r="E7441" t="str">
            <v>HISP</v>
          </cell>
          <cell r="F7441" t="str">
            <v>HISP-S</v>
          </cell>
          <cell r="G7441">
            <v>412</v>
          </cell>
          <cell r="H7441" t="str">
            <v>HISP-S412</v>
          </cell>
          <cell r="K7441" t="str">
            <v>Fernandez Sanchez,Paloma</v>
          </cell>
          <cell r="N7441">
            <v>3.5880000000000001</v>
          </cell>
          <cell r="O7441">
            <v>3.331</v>
          </cell>
        </row>
        <row r="7442">
          <cell r="E7442" t="str">
            <v>HISP</v>
          </cell>
          <cell r="F7442" t="str">
            <v>HISP-S</v>
          </cell>
          <cell r="G7442">
            <v>412</v>
          </cell>
          <cell r="H7442" t="str">
            <v>HISP-S412</v>
          </cell>
          <cell r="K7442" t="str">
            <v>Mejias-Lopez,Alejandro</v>
          </cell>
          <cell r="N7442">
            <v>3.2669999999999999</v>
          </cell>
          <cell r="O7442">
            <v>3.3050000000000002</v>
          </cell>
        </row>
        <row r="7443">
          <cell r="E7443" t="str">
            <v>HISP</v>
          </cell>
          <cell r="F7443" t="str">
            <v>HISP-S</v>
          </cell>
          <cell r="G7443">
            <v>417</v>
          </cell>
          <cell r="H7443" t="str">
            <v>HISP-S417</v>
          </cell>
          <cell r="K7443" t="str">
            <v>Vila-Belda,Reyes</v>
          </cell>
          <cell r="N7443">
            <v>3.2320000000000002</v>
          </cell>
          <cell r="O7443">
            <v>3.3929999999999998</v>
          </cell>
        </row>
        <row r="7444">
          <cell r="E7444" t="str">
            <v>HISP</v>
          </cell>
          <cell r="F7444" t="str">
            <v>HISP-S</v>
          </cell>
          <cell r="G7444">
            <v>418</v>
          </cell>
          <cell r="H7444" t="str">
            <v>HISP-S418</v>
          </cell>
          <cell r="K7444" t="str">
            <v>Larson,Catherine</v>
          </cell>
          <cell r="N7444">
            <v>3.2040000000000002</v>
          </cell>
          <cell r="O7444">
            <v>3.2480000000000002</v>
          </cell>
        </row>
        <row r="7445">
          <cell r="E7445" t="str">
            <v>HISP</v>
          </cell>
          <cell r="F7445" t="str">
            <v>HISP-S</v>
          </cell>
          <cell r="G7445">
            <v>422</v>
          </cell>
          <cell r="H7445" t="str">
            <v>HISP-S422</v>
          </cell>
          <cell r="K7445" t="str">
            <v>Dinverno,Melissa</v>
          </cell>
          <cell r="N7445">
            <v>3.4670000000000001</v>
          </cell>
          <cell r="O7445">
            <v>3.4209999999999998</v>
          </cell>
        </row>
        <row r="7446">
          <cell r="E7446" t="str">
            <v>HISP</v>
          </cell>
          <cell r="F7446" t="str">
            <v>HISP-S</v>
          </cell>
          <cell r="G7446">
            <v>425</v>
          </cell>
          <cell r="H7446" t="str">
            <v>HISP-S425</v>
          </cell>
          <cell r="K7446" t="str">
            <v>Willis,Erik</v>
          </cell>
          <cell r="N7446">
            <v>3.7189999999999999</v>
          </cell>
          <cell r="O7446">
            <v>3.5110000000000001</v>
          </cell>
        </row>
        <row r="7447">
          <cell r="E7447" t="str">
            <v>HISP</v>
          </cell>
          <cell r="F7447" t="str">
            <v>HISP-S</v>
          </cell>
          <cell r="G7447">
            <v>427</v>
          </cell>
          <cell r="H7447" t="str">
            <v>HISP-S427</v>
          </cell>
          <cell r="K7447" t="str">
            <v>Rodriguez-Mondonedo,Miguel</v>
          </cell>
          <cell r="N7447">
            <v>3.8090000000000002</v>
          </cell>
          <cell r="O7447">
            <v>3.5139999999999998</v>
          </cell>
        </row>
        <row r="7448">
          <cell r="E7448" t="str">
            <v>HISP</v>
          </cell>
          <cell r="F7448" t="str">
            <v>HISP-S</v>
          </cell>
          <cell r="G7448">
            <v>429</v>
          </cell>
          <cell r="H7448" t="str">
            <v>HISP-S429</v>
          </cell>
          <cell r="K7448" t="str">
            <v>Diaz-Campos,Manuel Antonio</v>
          </cell>
          <cell r="N7448">
            <v>3.468</v>
          </cell>
          <cell r="O7448">
            <v>3.5059999999999998</v>
          </cell>
        </row>
        <row r="7449">
          <cell r="E7449" t="str">
            <v>HISP</v>
          </cell>
          <cell r="F7449" t="str">
            <v>HISP-S</v>
          </cell>
          <cell r="G7449">
            <v>429</v>
          </cell>
          <cell r="H7449" t="str">
            <v>HISP-S429</v>
          </cell>
          <cell r="K7449" t="str">
            <v>Felix-Brasdefer,Cesar</v>
          </cell>
          <cell r="N7449">
            <v>3.714</v>
          </cell>
          <cell r="O7449">
            <v>3.4950000000000001</v>
          </cell>
        </row>
        <row r="7450">
          <cell r="E7450" t="str">
            <v>HISP</v>
          </cell>
          <cell r="F7450" t="str">
            <v>HISP-S</v>
          </cell>
          <cell r="G7450">
            <v>430</v>
          </cell>
          <cell r="H7450" t="str">
            <v>HISP-S430</v>
          </cell>
          <cell r="K7450" t="str">
            <v>Geeslin,Kimberly</v>
          </cell>
          <cell r="N7450">
            <v>3.1589999999999998</v>
          </cell>
          <cell r="O7450">
            <v>3.3919999999999999</v>
          </cell>
        </row>
        <row r="7451">
          <cell r="E7451" t="str">
            <v>HISP</v>
          </cell>
          <cell r="F7451" t="str">
            <v>HISP-S</v>
          </cell>
          <cell r="G7451">
            <v>470</v>
          </cell>
          <cell r="H7451" t="str">
            <v>HISP-S470</v>
          </cell>
          <cell r="K7451" t="str">
            <v>Bieder,Maryellen Wolfe</v>
          </cell>
          <cell r="N7451">
            <v>3.15</v>
          </cell>
          <cell r="O7451">
            <v>3.444</v>
          </cell>
        </row>
        <row r="7452">
          <cell r="E7452" t="str">
            <v>HISP</v>
          </cell>
          <cell r="F7452" t="str">
            <v>HISP-S</v>
          </cell>
          <cell r="G7452">
            <v>474</v>
          </cell>
          <cell r="H7452" t="str">
            <v>HISP-S474</v>
          </cell>
          <cell r="K7452" t="str">
            <v>Birkenmaier,Anke</v>
          </cell>
          <cell r="N7452">
            <v>3.613</v>
          </cell>
          <cell r="O7452">
            <v>3.2719999999999998</v>
          </cell>
        </row>
        <row r="7453">
          <cell r="E7453" t="str">
            <v>HISP</v>
          </cell>
          <cell r="F7453" t="str">
            <v>HISP-S</v>
          </cell>
          <cell r="G7453">
            <v>479</v>
          </cell>
          <cell r="H7453" t="str">
            <v>HISP-S479</v>
          </cell>
          <cell r="K7453" t="str">
            <v>Mejias-Lopez,Alejandro</v>
          </cell>
          <cell r="N7453">
            <v>3.46</v>
          </cell>
          <cell r="O7453">
            <v>3.464</v>
          </cell>
        </row>
        <row r="7454">
          <cell r="E7454" t="str">
            <v>HISP</v>
          </cell>
          <cell r="F7454" t="str">
            <v>HISP-S</v>
          </cell>
          <cell r="G7454">
            <v>480</v>
          </cell>
          <cell r="H7454" t="str">
            <v>HISP-S480</v>
          </cell>
          <cell r="K7454" t="str">
            <v>Dove,Patrick E</v>
          </cell>
          <cell r="N7454">
            <v>3.4940000000000002</v>
          </cell>
          <cell r="O7454">
            <v>3.411</v>
          </cell>
        </row>
        <row r="7455">
          <cell r="E7455" t="str">
            <v>HISP</v>
          </cell>
          <cell r="F7455" t="str">
            <v>HISP-S</v>
          </cell>
          <cell r="G7455">
            <v>494</v>
          </cell>
          <cell r="H7455" t="str">
            <v>HISP-S494</v>
          </cell>
          <cell r="K7455" t="str">
            <v>Giles,Ryan Dennis</v>
          </cell>
          <cell r="N7455" t="str">
            <v>NR</v>
          </cell>
          <cell r="O7455" t="str">
            <v>NR</v>
          </cell>
        </row>
        <row r="7456">
          <cell r="E7456" t="str">
            <v>HISP</v>
          </cell>
          <cell r="F7456" t="str">
            <v>HISP-S</v>
          </cell>
          <cell r="G7456">
            <v>498</v>
          </cell>
          <cell r="H7456" t="str">
            <v>HISP-S498</v>
          </cell>
          <cell r="K7456" t="str">
            <v>Diaz-Campos,Manuel Antonio</v>
          </cell>
          <cell r="N7456" t="str">
            <v>NR</v>
          </cell>
          <cell r="O7456" t="str">
            <v>NR</v>
          </cell>
        </row>
        <row r="7457">
          <cell r="E7457" t="str">
            <v>HISP</v>
          </cell>
          <cell r="F7457" t="str">
            <v>HISP-S</v>
          </cell>
          <cell r="G7457">
            <v>498</v>
          </cell>
          <cell r="H7457" t="str">
            <v>HISP-S498</v>
          </cell>
          <cell r="K7457" t="str">
            <v>Dove,Patrick E</v>
          </cell>
          <cell r="N7457" t="str">
            <v>NR</v>
          </cell>
          <cell r="O7457" t="str">
            <v>NR</v>
          </cell>
        </row>
        <row r="7458">
          <cell r="E7458" t="str">
            <v>HISP</v>
          </cell>
          <cell r="F7458" t="str">
            <v>HISP-S</v>
          </cell>
          <cell r="G7458">
            <v>498</v>
          </cell>
          <cell r="H7458" t="str">
            <v>HISP-S498</v>
          </cell>
          <cell r="K7458" t="str">
            <v>Felix-Brasdefer,Cesar</v>
          </cell>
          <cell r="N7458" t="str">
            <v>NR</v>
          </cell>
          <cell r="O7458" t="str">
            <v>NR</v>
          </cell>
        </row>
        <row r="7459">
          <cell r="E7459" t="str">
            <v>HISP</v>
          </cell>
          <cell r="F7459" t="str">
            <v>HISP-S</v>
          </cell>
          <cell r="G7459">
            <v>498</v>
          </cell>
          <cell r="H7459" t="str">
            <v>HISP-S498</v>
          </cell>
          <cell r="K7459" t="str">
            <v>Mejias-Lopez,Alejandro</v>
          </cell>
          <cell r="N7459" t="str">
            <v>NR</v>
          </cell>
          <cell r="O7459" t="str">
            <v>NR</v>
          </cell>
        </row>
        <row r="7460">
          <cell r="E7460" t="str">
            <v>HISP</v>
          </cell>
          <cell r="F7460" t="str">
            <v>HISP-S</v>
          </cell>
          <cell r="G7460">
            <v>498</v>
          </cell>
          <cell r="H7460" t="str">
            <v>HISP-S498</v>
          </cell>
          <cell r="K7460" t="str">
            <v>Willis,Erik</v>
          </cell>
          <cell r="N7460" t="str">
            <v>NR</v>
          </cell>
          <cell r="O7460" t="str">
            <v>NR</v>
          </cell>
        </row>
        <row r="7461">
          <cell r="E7461" t="str">
            <v>HISP</v>
          </cell>
          <cell r="F7461" t="str">
            <v>HISP-S</v>
          </cell>
          <cell r="G7461">
            <v>499</v>
          </cell>
          <cell r="H7461" t="str">
            <v>HISP-S499</v>
          </cell>
          <cell r="K7461" t="str">
            <v>Clements,Joseph Clancy</v>
          </cell>
          <cell r="N7461" t="str">
            <v>NR</v>
          </cell>
          <cell r="O7461" t="str">
            <v>NR</v>
          </cell>
        </row>
        <row r="7462">
          <cell r="E7462" t="str">
            <v>HISP</v>
          </cell>
          <cell r="F7462" t="str">
            <v>HISP-S</v>
          </cell>
          <cell r="G7462">
            <v>499</v>
          </cell>
          <cell r="H7462" t="str">
            <v>HISP-S499</v>
          </cell>
          <cell r="K7462" t="str">
            <v>Giles,Ryan Dennis</v>
          </cell>
          <cell r="N7462" t="str">
            <v>NR</v>
          </cell>
          <cell r="O7462" t="str">
            <v>NR</v>
          </cell>
        </row>
        <row r="7463">
          <cell r="E7463" t="str">
            <v>HISP</v>
          </cell>
          <cell r="F7463" t="str">
            <v>HISP-S</v>
          </cell>
          <cell r="G7463">
            <v>504</v>
          </cell>
          <cell r="H7463" t="str">
            <v>HISP-S504</v>
          </cell>
          <cell r="K7463" t="str">
            <v>Myers,Kathleen</v>
          </cell>
          <cell r="N7463">
            <v>3.75</v>
          </cell>
          <cell r="O7463">
            <v>3.778</v>
          </cell>
        </row>
        <row r="7464">
          <cell r="E7464" t="str">
            <v>HISP</v>
          </cell>
          <cell r="F7464" t="str">
            <v>HISP-S</v>
          </cell>
          <cell r="G7464">
            <v>508</v>
          </cell>
          <cell r="H7464" t="str">
            <v>HISP-S508</v>
          </cell>
          <cell r="K7464" t="str">
            <v>Felix-Brasdefer,Cesar</v>
          </cell>
          <cell r="N7464">
            <v>3.9</v>
          </cell>
          <cell r="O7464">
            <v>3.8460000000000001</v>
          </cell>
        </row>
        <row r="7465">
          <cell r="E7465" t="str">
            <v>HISP</v>
          </cell>
          <cell r="F7465" t="str">
            <v>HISP-S</v>
          </cell>
          <cell r="G7465">
            <v>512</v>
          </cell>
          <cell r="H7465" t="str">
            <v>HISP-S512</v>
          </cell>
          <cell r="K7465" t="str">
            <v>Dove,Patrick E</v>
          </cell>
          <cell r="N7465">
            <v>3.8530000000000002</v>
          </cell>
          <cell r="O7465">
            <v>3.802</v>
          </cell>
        </row>
        <row r="7466">
          <cell r="E7466" t="str">
            <v>HISP</v>
          </cell>
          <cell r="F7466" t="str">
            <v>HISP-S</v>
          </cell>
          <cell r="G7466">
            <v>513</v>
          </cell>
          <cell r="H7466" t="str">
            <v>HISP-S513</v>
          </cell>
          <cell r="K7466" t="str">
            <v>Diaz-Campos,Manuel Antonio</v>
          </cell>
          <cell r="N7466">
            <v>3.8149999999999999</v>
          </cell>
          <cell r="O7466">
            <v>3.871</v>
          </cell>
        </row>
        <row r="7467">
          <cell r="E7467" t="str">
            <v>HISP</v>
          </cell>
          <cell r="F7467" t="str">
            <v>HISP-S</v>
          </cell>
          <cell r="G7467">
            <v>513</v>
          </cell>
          <cell r="H7467" t="str">
            <v>HISP-S513</v>
          </cell>
          <cell r="K7467" t="str">
            <v>Diaz-Campos,Manuel Antonio</v>
          </cell>
          <cell r="N7467">
            <v>3.2629999999999999</v>
          </cell>
          <cell r="O7467">
            <v>3.5539999999999998</v>
          </cell>
        </row>
        <row r="7468">
          <cell r="E7468" t="str">
            <v>HISP</v>
          </cell>
          <cell r="F7468" t="str">
            <v>HISP-S</v>
          </cell>
          <cell r="G7468">
            <v>517</v>
          </cell>
          <cell r="H7468" t="str">
            <v>HISP-S517</v>
          </cell>
          <cell r="K7468" t="str">
            <v>Gurzynski-Weiss,Laura</v>
          </cell>
          <cell r="N7468">
            <v>3.758</v>
          </cell>
          <cell r="O7468">
            <v>3.7389999999999999</v>
          </cell>
        </row>
        <row r="7469">
          <cell r="E7469" t="str">
            <v>HISP</v>
          </cell>
          <cell r="F7469" t="str">
            <v>HISP-S</v>
          </cell>
          <cell r="G7469">
            <v>517</v>
          </cell>
          <cell r="H7469" t="str">
            <v>HISP-S517</v>
          </cell>
          <cell r="K7469" t="str">
            <v>Gurzynski-Weiss,Laura</v>
          </cell>
          <cell r="N7469">
            <v>3.762</v>
          </cell>
          <cell r="O7469">
            <v>3.7909999999999999</v>
          </cell>
        </row>
        <row r="7470">
          <cell r="E7470" t="str">
            <v>HISP</v>
          </cell>
          <cell r="F7470" t="str">
            <v>HISP-S</v>
          </cell>
          <cell r="G7470">
            <v>528</v>
          </cell>
          <cell r="H7470" t="str">
            <v>HISP-S528</v>
          </cell>
          <cell r="K7470" t="str">
            <v>Wagschal,Steven</v>
          </cell>
          <cell r="N7470">
            <v>3.6749999999999998</v>
          </cell>
          <cell r="O7470">
            <v>3.7559999999999998</v>
          </cell>
        </row>
        <row r="7471">
          <cell r="E7471" t="str">
            <v>HISP</v>
          </cell>
          <cell r="F7471" t="str">
            <v>HISP-S</v>
          </cell>
          <cell r="G7471">
            <v>538</v>
          </cell>
          <cell r="H7471" t="str">
            <v>HISP-S538</v>
          </cell>
          <cell r="K7471" t="str">
            <v>Bieder,Maryellen Wolfe</v>
          </cell>
          <cell r="N7471">
            <v>3.88</v>
          </cell>
          <cell r="O7471">
            <v>3.79</v>
          </cell>
        </row>
        <row r="7472">
          <cell r="E7472" t="str">
            <v>HISP</v>
          </cell>
          <cell r="F7472" t="str">
            <v>HISP-S</v>
          </cell>
          <cell r="G7472">
            <v>558</v>
          </cell>
          <cell r="H7472" t="str">
            <v>HISP-S558</v>
          </cell>
          <cell r="K7472" t="str">
            <v>Myers,Kathleen</v>
          </cell>
          <cell r="N7472">
            <v>3.7440000000000002</v>
          </cell>
          <cell r="O7472">
            <v>3.774</v>
          </cell>
        </row>
        <row r="7473">
          <cell r="E7473" t="str">
            <v>HISP</v>
          </cell>
          <cell r="F7473" t="str">
            <v>HISP-S</v>
          </cell>
          <cell r="G7473">
            <v>568</v>
          </cell>
          <cell r="H7473" t="str">
            <v>HISP-S568</v>
          </cell>
          <cell r="K7473" t="str">
            <v>Mejias-Lopez,Alejandro</v>
          </cell>
          <cell r="N7473">
            <v>3.86</v>
          </cell>
          <cell r="O7473">
            <v>3.766</v>
          </cell>
        </row>
        <row r="7474">
          <cell r="E7474" t="str">
            <v>HISP</v>
          </cell>
          <cell r="F7474" t="str">
            <v>HISP-S</v>
          </cell>
          <cell r="G7474">
            <v>612</v>
          </cell>
          <cell r="H7474" t="str">
            <v>HISP-S612</v>
          </cell>
          <cell r="K7474" t="str">
            <v>Diaz-Campos,Manuel Antonio</v>
          </cell>
          <cell r="N7474">
            <v>3.9769999999999999</v>
          </cell>
          <cell r="O7474">
            <v>3.8450000000000002</v>
          </cell>
        </row>
        <row r="7475">
          <cell r="E7475" t="str">
            <v>HISP</v>
          </cell>
          <cell r="F7475" t="str">
            <v>HISP-S</v>
          </cell>
          <cell r="G7475">
            <v>614</v>
          </cell>
          <cell r="H7475" t="str">
            <v>HISP-S614</v>
          </cell>
          <cell r="K7475" t="str">
            <v>Geeslin,Kimberly</v>
          </cell>
          <cell r="N7475">
            <v>3.97</v>
          </cell>
          <cell r="O7475">
            <v>3.8650000000000002</v>
          </cell>
        </row>
        <row r="7476">
          <cell r="E7476" t="str">
            <v>HISP</v>
          </cell>
          <cell r="F7476" t="str">
            <v>HISP-S</v>
          </cell>
          <cell r="G7476">
            <v>628</v>
          </cell>
          <cell r="H7476" t="str">
            <v>HISP-S628</v>
          </cell>
          <cell r="K7476" t="str">
            <v>Wagschal,Steven</v>
          </cell>
          <cell r="N7476" t="str">
            <v>NR</v>
          </cell>
          <cell r="O7476" t="str">
            <v>NR</v>
          </cell>
        </row>
        <row r="7477">
          <cell r="E7477" t="str">
            <v>HISP</v>
          </cell>
          <cell r="F7477" t="str">
            <v>HISP-S</v>
          </cell>
          <cell r="G7477">
            <v>638</v>
          </cell>
          <cell r="H7477" t="str">
            <v>HISP-S638</v>
          </cell>
          <cell r="K7477" t="str">
            <v>Bieder,Maryellen Wolfe</v>
          </cell>
          <cell r="N7477">
            <v>3.1669999999999998</v>
          </cell>
          <cell r="O7477">
            <v>3.7269999999999999</v>
          </cell>
        </row>
        <row r="7478">
          <cell r="E7478" t="str">
            <v>HISP</v>
          </cell>
          <cell r="F7478" t="str">
            <v>HISP-S</v>
          </cell>
          <cell r="G7478">
            <v>678</v>
          </cell>
          <cell r="H7478" t="str">
            <v>HISP-S678</v>
          </cell>
          <cell r="K7478" t="str">
            <v>Cohn,Deborah</v>
          </cell>
          <cell r="N7478" t="str">
            <v>NR</v>
          </cell>
          <cell r="O7478" t="str">
            <v>NR</v>
          </cell>
        </row>
        <row r="7479">
          <cell r="E7479" t="str">
            <v>HISP</v>
          </cell>
          <cell r="F7479" t="str">
            <v>HISP-S</v>
          </cell>
          <cell r="G7479">
            <v>688</v>
          </cell>
          <cell r="H7479" t="str">
            <v>HISP-S688</v>
          </cell>
          <cell r="K7479" t="str">
            <v>Birkenmaier,Anke</v>
          </cell>
          <cell r="N7479">
            <v>3.343</v>
          </cell>
          <cell r="O7479">
            <v>3.84</v>
          </cell>
        </row>
        <row r="7480">
          <cell r="E7480" t="str">
            <v>HISP</v>
          </cell>
          <cell r="F7480" t="str">
            <v>HISP-S</v>
          </cell>
          <cell r="G7480">
            <v>695</v>
          </cell>
          <cell r="H7480" t="str">
            <v>HISP-S695</v>
          </cell>
          <cell r="K7480" t="str">
            <v>Dove,Patrick E</v>
          </cell>
          <cell r="N7480">
            <v>3.3860000000000001</v>
          </cell>
          <cell r="O7480">
            <v>3.8490000000000002</v>
          </cell>
        </row>
        <row r="7481">
          <cell r="E7481" t="str">
            <v>HISP</v>
          </cell>
          <cell r="F7481" t="str">
            <v>HISP-S</v>
          </cell>
          <cell r="G7481">
            <v>716</v>
          </cell>
          <cell r="H7481" t="str">
            <v>HISP-S716</v>
          </cell>
          <cell r="K7481" t="str">
            <v>Gurzynski-Weiss,Laura</v>
          </cell>
          <cell r="N7481">
            <v>3.71</v>
          </cell>
          <cell r="O7481">
            <v>3.835</v>
          </cell>
        </row>
        <row r="7482">
          <cell r="E7482" t="str">
            <v>HISP</v>
          </cell>
          <cell r="F7482" t="str">
            <v>HISP-S</v>
          </cell>
          <cell r="G7482">
            <v>803</v>
          </cell>
          <cell r="H7482" t="str">
            <v>HISP-S803</v>
          </cell>
          <cell r="K7482" t="str">
            <v>Dove,Patrick E</v>
          </cell>
          <cell r="N7482" t="str">
            <v>NR</v>
          </cell>
          <cell r="O7482" t="str">
            <v>NR</v>
          </cell>
        </row>
        <row r="7483">
          <cell r="E7483" t="str">
            <v>HISP</v>
          </cell>
          <cell r="F7483" t="str">
            <v>HISP-S</v>
          </cell>
          <cell r="G7483">
            <v>803</v>
          </cell>
          <cell r="H7483" t="str">
            <v>HISP-S803</v>
          </cell>
          <cell r="K7483" t="str">
            <v>Dove,Patrick E</v>
          </cell>
          <cell r="N7483" t="str">
            <v>NR</v>
          </cell>
          <cell r="O7483" t="str">
            <v>NR</v>
          </cell>
        </row>
        <row r="7484">
          <cell r="E7484" t="str">
            <v>HISP</v>
          </cell>
          <cell r="F7484" t="str">
            <v>HISP-S</v>
          </cell>
          <cell r="G7484">
            <v>805</v>
          </cell>
          <cell r="H7484" t="str">
            <v>HISP-S805</v>
          </cell>
          <cell r="K7484" t="str">
            <v>Dove,Patrick E</v>
          </cell>
          <cell r="N7484" t="str">
            <v>NR</v>
          </cell>
          <cell r="O7484" t="str">
            <v>NR</v>
          </cell>
        </row>
        <row r="7485">
          <cell r="E7485" t="str">
            <v>HISP</v>
          </cell>
          <cell r="F7485" t="str">
            <v>HISP-S</v>
          </cell>
          <cell r="G7485">
            <v>805</v>
          </cell>
          <cell r="H7485" t="str">
            <v>HISP-S805</v>
          </cell>
          <cell r="K7485" t="str">
            <v>Dove,Patrick E</v>
          </cell>
          <cell r="N7485" t="str">
            <v>NR</v>
          </cell>
          <cell r="O7485" t="str">
            <v>NR</v>
          </cell>
        </row>
        <row r="7486">
          <cell r="E7486" t="str">
            <v>HIST</v>
          </cell>
          <cell r="F7486" t="str">
            <v>HIST-A</v>
          </cell>
          <cell r="G7486">
            <v>200</v>
          </cell>
          <cell r="H7486" t="str">
            <v>HIST-A200</v>
          </cell>
          <cell r="K7486" t="str">
            <v>Cullather,Nicholas Barry</v>
          </cell>
          <cell r="N7486">
            <v>2.6930000000000001</v>
          </cell>
          <cell r="O7486">
            <v>2.97</v>
          </cell>
        </row>
        <row r="7487">
          <cell r="E7487" t="str">
            <v>HIST</v>
          </cell>
          <cell r="F7487" t="str">
            <v>HIST-A</v>
          </cell>
          <cell r="G7487">
            <v>200</v>
          </cell>
          <cell r="H7487" t="str">
            <v>HIST-A200</v>
          </cell>
          <cell r="K7487" t="str">
            <v>Paddison,Joshua Allen</v>
          </cell>
          <cell r="N7487" t="str">
            <v>NR</v>
          </cell>
          <cell r="O7487" t="str">
            <v>NR</v>
          </cell>
        </row>
        <row r="7488">
          <cell r="E7488" t="str">
            <v>HIST</v>
          </cell>
          <cell r="F7488" t="str">
            <v>HIST-A</v>
          </cell>
          <cell r="G7488">
            <v>205</v>
          </cell>
          <cell r="H7488" t="str">
            <v>HIST-A205</v>
          </cell>
          <cell r="K7488" t="str">
            <v>Wu,Ellen Dionne</v>
          </cell>
          <cell r="N7488">
            <v>3.4649999999999999</v>
          </cell>
          <cell r="O7488">
            <v>2.9849999999999999</v>
          </cell>
        </row>
        <row r="7489">
          <cell r="E7489" t="str">
            <v>HIST</v>
          </cell>
          <cell r="F7489" t="str">
            <v>HIST-A</v>
          </cell>
          <cell r="G7489">
            <v>222</v>
          </cell>
          <cell r="H7489" t="str">
            <v>HIST-A222</v>
          </cell>
          <cell r="K7489" t="str">
            <v>Turner,Felicity</v>
          </cell>
          <cell r="N7489">
            <v>2.746</v>
          </cell>
          <cell r="O7489">
            <v>2.8250000000000002</v>
          </cell>
        </row>
        <row r="7490">
          <cell r="E7490" t="str">
            <v>HIST</v>
          </cell>
          <cell r="F7490" t="str">
            <v>HIST-A</v>
          </cell>
          <cell r="G7490">
            <v>265</v>
          </cell>
          <cell r="H7490" t="str">
            <v>HIST-A265</v>
          </cell>
          <cell r="K7490" t="str">
            <v>Gamber,Wendy E.</v>
          </cell>
          <cell r="N7490">
            <v>3.4020000000000001</v>
          </cell>
          <cell r="O7490">
            <v>2.8180000000000001</v>
          </cell>
        </row>
        <row r="7491">
          <cell r="E7491" t="str">
            <v>HIST</v>
          </cell>
          <cell r="F7491" t="str">
            <v>HIST-A</v>
          </cell>
          <cell r="G7491">
            <v>300</v>
          </cell>
          <cell r="H7491" t="str">
            <v>HIST-A300</v>
          </cell>
          <cell r="K7491" t="str">
            <v>Myers,Amrita</v>
          </cell>
          <cell r="N7491">
            <v>2.746</v>
          </cell>
          <cell r="O7491">
            <v>2.7429999999999999</v>
          </cell>
        </row>
        <row r="7492">
          <cell r="E7492" t="str">
            <v>HIST</v>
          </cell>
          <cell r="F7492" t="str">
            <v>HIST-A</v>
          </cell>
          <cell r="G7492">
            <v>300</v>
          </cell>
          <cell r="H7492" t="str">
            <v>HIST-A300</v>
          </cell>
          <cell r="K7492" t="str">
            <v>Myers,Amrita</v>
          </cell>
          <cell r="N7492" t="str">
            <v>NR</v>
          </cell>
          <cell r="O7492" t="str">
            <v>NR</v>
          </cell>
        </row>
        <row r="7493">
          <cell r="E7493" t="str">
            <v>HIST</v>
          </cell>
          <cell r="F7493" t="str">
            <v>HIST-A</v>
          </cell>
          <cell r="G7493">
            <v>300</v>
          </cell>
          <cell r="H7493" t="str">
            <v>HIST-A300</v>
          </cell>
          <cell r="K7493" t="str">
            <v>Myers,Amrita</v>
          </cell>
          <cell r="N7493">
            <v>2.677</v>
          </cell>
          <cell r="O7493">
            <v>2.9169999999999998</v>
          </cell>
        </row>
        <row r="7494">
          <cell r="E7494" t="str">
            <v>HIST</v>
          </cell>
          <cell r="F7494" t="str">
            <v>HIST-A</v>
          </cell>
          <cell r="G7494">
            <v>300</v>
          </cell>
          <cell r="H7494" t="str">
            <v>HIST-A300</v>
          </cell>
          <cell r="K7494" t="str">
            <v>Nieto-Phillips,John M.</v>
          </cell>
          <cell r="N7494">
            <v>2.956</v>
          </cell>
          <cell r="O7494">
            <v>2.6960000000000002</v>
          </cell>
        </row>
        <row r="7495">
          <cell r="E7495" t="str">
            <v>HIST</v>
          </cell>
          <cell r="F7495" t="str">
            <v>HIST-A</v>
          </cell>
          <cell r="G7495">
            <v>300</v>
          </cell>
          <cell r="H7495" t="str">
            <v>HIST-A300</v>
          </cell>
          <cell r="K7495" t="str">
            <v>Wolf,Juan Eduardo</v>
          </cell>
          <cell r="N7495">
            <v>3.35</v>
          </cell>
          <cell r="O7495">
            <v>3.2759999999999998</v>
          </cell>
        </row>
        <row r="7496">
          <cell r="E7496" t="str">
            <v>HIST</v>
          </cell>
          <cell r="F7496" t="str">
            <v>HIST-A</v>
          </cell>
          <cell r="G7496">
            <v>356</v>
          </cell>
          <cell r="H7496" t="str">
            <v>HIST-A356</v>
          </cell>
          <cell r="K7496" t="str">
            <v>Myers,Amrita</v>
          </cell>
          <cell r="N7496">
            <v>3.4289999999999998</v>
          </cell>
          <cell r="O7496">
            <v>3.34</v>
          </cell>
        </row>
        <row r="7497">
          <cell r="E7497" t="str">
            <v>HIST</v>
          </cell>
          <cell r="F7497" t="str">
            <v>HIST-A</v>
          </cell>
          <cell r="G7497">
            <v>379</v>
          </cell>
          <cell r="H7497" t="str">
            <v>HIST-A379</v>
          </cell>
          <cell r="K7497" t="str">
            <v>Bodnar,John Edward</v>
          </cell>
          <cell r="N7497">
            <v>3.33</v>
          </cell>
          <cell r="O7497">
            <v>3.1030000000000002</v>
          </cell>
        </row>
        <row r="7498">
          <cell r="E7498" t="str">
            <v>HIST</v>
          </cell>
          <cell r="F7498" t="str">
            <v>HIST-A</v>
          </cell>
          <cell r="G7498">
            <v>379</v>
          </cell>
          <cell r="H7498" t="str">
            <v>HIST-A379</v>
          </cell>
          <cell r="K7498" t="str">
            <v>Lichtenstein,Alex</v>
          </cell>
          <cell r="N7498">
            <v>3.4140000000000001</v>
          </cell>
          <cell r="O7498">
            <v>3.29</v>
          </cell>
        </row>
        <row r="7499">
          <cell r="E7499" t="str">
            <v>HIST</v>
          </cell>
          <cell r="F7499" t="str">
            <v>HIST-A</v>
          </cell>
          <cell r="G7499">
            <v>380</v>
          </cell>
          <cell r="H7499" t="str">
            <v>HIST-A380</v>
          </cell>
          <cell r="K7499" t="str">
            <v>Cullather,Nicholas Barry</v>
          </cell>
          <cell r="N7499">
            <v>2.8210000000000002</v>
          </cell>
          <cell r="O7499">
            <v>3.0009999999999999</v>
          </cell>
        </row>
        <row r="7500">
          <cell r="E7500" t="str">
            <v>HIST</v>
          </cell>
          <cell r="F7500" t="str">
            <v>HIST-A</v>
          </cell>
          <cell r="G7500">
            <v>382</v>
          </cell>
          <cell r="H7500" t="str">
            <v>HIST-A382</v>
          </cell>
          <cell r="K7500" t="str">
            <v>McGerr,Michael Edward</v>
          </cell>
          <cell r="N7500">
            <v>2.9319999999999999</v>
          </cell>
          <cell r="O7500">
            <v>3.0920000000000001</v>
          </cell>
        </row>
        <row r="7501">
          <cell r="E7501" t="str">
            <v>HIST</v>
          </cell>
          <cell r="F7501" t="str">
            <v>HIST-A</v>
          </cell>
          <cell r="G7501">
            <v>384</v>
          </cell>
          <cell r="H7501" t="str">
            <v>HIST-A384</v>
          </cell>
          <cell r="K7501" t="str">
            <v>Gamber,Wendy E.</v>
          </cell>
          <cell r="N7501">
            <v>3.6219999999999999</v>
          </cell>
          <cell r="O7501">
            <v>3.2989999999999999</v>
          </cell>
        </row>
        <row r="7502">
          <cell r="E7502" t="str">
            <v>HIST</v>
          </cell>
          <cell r="F7502" t="str">
            <v>HIST-A</v>
          </cell>
          <cell r="G7502">
            <v>393</v>
          </cell>
          <cell r="H7502" t="str">
            <v>HIST-A393</v>
          </cell>
          <cell r="K7502" t="str">
            <v>Allen,Judith Alison</v>
          </cell>
          <cell r="N7502">
            <v>3.4220000000000002</v>
          </cell>
          <cell r="O7502">
            <v>3.1739999999999999</v>
          </cell>
        </row>
        <row r="7503">
          <cell r="E7503" t="str">
            <v>HIST</v>
          </cell>
          <cell r="F7503" t="str">
            <v>HIST-B</v>
          </cell>
          <cell r="G7503">
            <v>200</v>
          </cell>
          <cell r="H7503" t="str">
            <v>HIST-B200</v>
          </cell>
          <cell r="K7503" t="str">
            <v>Borhi,Laszlo</v>
          </cell>
          <cell r="N7503">
            <v>3.2549999999999999</v>
          </cell>
          <cell r="O7503">
            <v>2.99</v>
          </cell>
        </row>
        <row r="7504">
          <cell r="E7504" t="str">
            <v>HIST</v>
          </cell>
          <cell r="F7504" t="str">
            <v>HIST-B</v>
          </cell>
          <cell r="G7504">
            <v>200</v>
          </cell>
          <cell r="H7504" t="str">
            <v>HIST-B200</v>
          </cell>
          <cell r="K7504" t="str">
            <v>Field,Arthur</v>
          </cell>
          <cell r="N7504">
            <v>2.3490000000000002</v>
          </cell>
          <cell r="O7504">
            <v>2.927</v>
          </cell>
        </row>
        <row r="7505">
          <cell r="E7505" t="str">
            <v>HIST</v>
          </cell>
          <cell r="F7505" t="str">
            <v>HIST-B</v>
          </cell>
          <cell r="G7505">
            <v>200</v>
          </cell>
          <cell r="H7505" t="str">
            <v>HIST-B200</v>
          </cell>
          <cell r="K7505" t="str">
            <v>Frieberg,Annika Elisabet</v>
          </cell>
          <cell r="N7505">
            <v>2.8820000000000001</v>
          </cell>
          <cell r="O7505">
            <v>3.173</v>
          </cell>
        </row>
        <row r="7506">
          <cell r="E7506" t="str">
            <v>HIST</v>
          </cell>
          <cell r="F7506" t="str">
            <v>HIST-B</v>
          </cell>
          <cell r="G7506">
            <v>200</v>
          </cell>
          <cell r="H7506" t="str">
            <v>HIST-B200</v>
          </cell>
          <cell r="K7506" t="str">
            <v>Frieberg,Annika Elisabet</v>
          </cell>
          <cell r="N7506">
            <v>2.4940000000000002</v>
          </cell>
          <cell r="O7506">
            <v>3.0659999999999998</v>
          </cell>
        </row>
        <row r="7507">
          <cell r="E7507" t="str">
            <v>HIST</v>
          </cell>
          <cell r="F7507" t="str">
            <v>HIST-B</v>
          </cell>
          <cell r="G7507">
            <v>200</v>
          </cell>
          <cell r="H7507" t="str">
            <v>HIST-B200</v>
          </cell>
          <cell r="K7507" t="str">
            <v>Roseman,Mark</v>
          </cell>
          <cell r="N7507">
            <v>2.984</v>
          </cell>
          <cell r="O7507">
            <v>2.8839999999999999</v>
          </cell>
        </row>
        <row r="7508">
          <cell r="E7508" t="str">
            <v>HIST</v>
          </cell>
          <cell r="F7508" t="str">
            <v>HIST-B</v>
          </cell>
          <cell r="G7508">
            <v>200</v>
          </cell>
          <cell r="H7508" t="str">
            <v>HIST-B200</v>
          </cell>
          <cell r="K7508" t="str">
            <v>Roseman,Mark</v>
          </cell>
          <cell r="N7508" t="str">
            <v>NR</v>
          </cell>
          <cell r="O7508" t="str">
            <v>NR</v>
          </cell>
        </row>
        <row r="7509">
          <cell r="E7509" t="str">
            <v>HIST</v>
          </cell>
          <cell r="F7509" t="str">
            <v>HIST-B</v>
          </cell>
          <cell r="G7509">
            <v>200</v>
          </cell>
          <cell r="H7509" t="str">
            <v>HIST-B200</v>
          </cell>
          <cell r="N7509" t="str">
            <v>NR</v>
          </cell>
          <cell r="O7509" t="str">
            <v>NR</v>
          </cell>
        </row>
        <row r="7510">
          <cell r="E7510" t="str">
            <v>HIST</v>
          </cell>
          <cell r="F7510" t="str">
            <v>HIST-B</v>
          </cell>
          <cell r="G7510">
            <v>204</v>
          </cell>
          <cell r="H7510" t="str">
            <v>HIST-B204</v>
          </cell>
          <cell r="K7510" t="str">
            <v>Shopkow,Leah</v>
          </cell>
          <cell r="N7510">
            <v>2.722</v>
          </cell>
          <cell r="O7510">
            <v>2.8149999999999999</v>
          </cell>
        </row>
        <row r="7511">
          <cell r="E7511" t="str">
            <v>HIST</v>
          </cell>
          <cell r="F7511" t="str">
            <v>HIST-B</v>
          </cell>
          <cell r="G7511">
            <v>226</v>
          </cell>
          <cell r="H7511" t="str">
            <v>HIST-B226</v>
          </cell>
          <cell r="K7511" t="str">
            <v>Ipsen,Carl David</v>
          </cell>
          <cell r="N7511">
            <v>2.76</v>
          </cell>
          <cell r="O7511">
            <v>2.9260000000000002</v>
          </cell>
        </row>
        <row r="7512">
          <cell r="E7512" t="str">
            <v>HIST</v>
          </cell>
          <cell r="F7512" t="str">
            <v>HIST-B</v>
          </cell>
          <cell r="G7512">
            <v>226</v>
          </cell>
          <cell r="H7512" t="str">
            <v>HIST-B226</v>
          </cell>
          <cell r="K7512" t="str">
            <v>Ipsen,Carl David</v>
          </cell>
          <cell r="N7512">
            <v>3.5129999999999999</v>
          </cell>
          <cell r="O7512">
            <v>3.6539999999999999</v>
          </cell>
        </row>
        <row r="7513">
          <cell r="E7513" t="str">
            <v>HIST</v>
          </cell>
          <cell r="F7513" t="str">
            <v>HIST-B</v>
          </cell>
          <cell r="G7513">
            <v>300</v>
          </cell>
          <cell r="H7513" t="str">
            <v>HIST-B300</v>
          </cell>
          <cell r="N7513" t="str">
            <v>NR</v>
          </cell>
          <cell r="O7513" t="str">
            <v>NR</v>
          </cell>
        </row>
        <row r="7514">
          <cell r="E7514" t="str">
            <v>HIST</v>
          </cell>
          <cell r="F7514" t="str">
            <v>HIST-B</v>
          </cell>
          <cell r="G7514">
            <v>300</v>
          </cell>
          <cell r="H7514" t="str">
            <v>HIST-B300</v>
          </cell>
          <cell r="N7514" t="str">
            <v>NR</v>
          </cell>
          <cell r="O7514" t="str">
            <v>NR</v>
          </cell>
        </row>
        <row r="7515">
          <cell r="E7515" t="str">
            <v>HIST</v>
          </cell>
          <cell r="F7515" t="str">
            <v>HIST-B</v>
          </cell>
          <cell r="G7515">
            <v>300</v>
          </cell>
          <cell r="H7515" t="str">
            <v>HIST-B300</v>
          </cell>
          <cell r="N7515" t="str">
            <v>NR</v>
          </cell>
          <cell r="O7515" t="str">
            <v>NR</v>
          </cell>
        </row>
        <row r="7516">
          <cell r="E7516" t="str">
            <v>HIST</v>
          </cell>
          <cell r="F7516" t="str">
            <v>HIST-B</v>
          </cell>
          <cell r="G7516">
            <v>303</v>
          </cell>
          <cell r="H7516" t="str">
            <v>HIST-B303</v>
          </cell>
          <cell r="K7516" t="str">
            <v>Dodson,Michael Sinclair</v>
          </cell>
          <cell r="N7516">
            <v>2.863</v>
          </cell>
          <cell r="O7516">
            <v>3.1480000000000001</v>
          </cell>
        </row>
        <row r="7517">
          <cell r="E7517" t="str">
            <v>HIST</v>
          </cell>
          <cell r="F7517" t="str">
            <v>HIST-B</v>
          </cell>
          <cell r="G7517">
            <v>303</v>
          </cell>
          <cell r="H7517" t="str">
            <v>HIST-B303</v>
          </cell>
          <cell r="K7517" t="str">
            <v>Douglas,Allen R.</v>
          </cell>
          <cell r="N7517">
            <v>3.8149999999999999</v>
          </cell>
          <cell r="O7517">
            <v>3.202</v>
          </cell>
        </row>
        <row r="7518">
          <cell r="E7518" t="str">
            <v>HIST</v>
          </cell>
          <cell r="F7518" t="str">
            <v>HIST-B</v>
          </cell>
          <cell r="G7518">
            <v>303</v>
          </cell>
          <cell r="H7518" t="str">
            <v>HIST-B303</v>
          </cell>
          <cell r="K7518" t="str">
            <v>Douglas,Allen R.</v>
          </cell>
          <cell r="N7518">
            <v>3.8290000000000002</v>
          </cell>
          <cell r="O7518">
            <v>3.4180000000000001</v>
          </cell>
        </row>
        <row r="7519">
          <cell r="E7519" t="str">
            <v>HIST</v>
          </cell>
          <cell r="F7519" t="str">
            <v>HIST-B</v>
          </cell>
          <cell r="G7519">
            <v>303</v>
          </cell>
          <cell r="H7519" t="str">
            <v>HIST-B303</v>
          </cell>
          <cell r="K7519" t="str">
            <v>Douglas,Allen R.</v>
          </cell>
          <cell r="N7519">
            <v>3.5910000000000002</v>
          </cell>
          <cell r="O7519">
            <v>3.3319999999999999</v>
          </cell>
        </row>
        <row r="7520">
          <cell r="E7520" t="str">
            <v>HIST</v>
          </cell>
          <cell r="F7520" t="str">
            <v>HIST-B</v>
          </cell>
          <cell r="G7520">
            <v>303</v>
          </cell>
          <cell r="H7520" t="str">
            <v>HIST-B303</v>
          </cell>
          <cell r="K7520" t="str">
            <v>Douglas,Allen R.</v>
          </cell>
          <cell r="N7520">
            <v>3.7519999999999998</v>
          </cell>
          <cell r="O7520">
            <v>3.1240000000000001</v>
          </cell>
        </row>
        <row r="7521">
          <cell r="E7521" t="str">
            <v>HIST</v>
          </cell>
          <cell r="F7521" t="str">
            <v>HIST-B</v>
          </cell>
          <cell r="G7521">
            <v>303</v>
          </cell>
          <cell r="H7521" t="str">
            <v>HIST-B303</v>
          </cell>
          <cell r="K7521" t="str">
            <v>Schneider,Robert Alan</v>
          </cell>
          <cell r="N7521">
            <v>2.6030000000000002</v>
          </cell>
          <cell r="O7521">
            <v>2.7589999999999999</v>
          </cell>
        </row>
        <row r="7522">
          <cell r="E7522" t="str">
            <v>HIST</v>
          </cell>
          <cell r="F7522" t="str">
            <v>HIST-B</v>
          </cell>
          <cell r="G7522">
            <v>303</v>
          </cell>
          <cell r="H7522" t="str">
            <v>HIST-B303</v>
          </cell>
          <cell r="K7522" t="str">
            <v>Schneider,Robert Alan</v>
          </cell>
          <cell r="N7522">
            <v>3.0659999999999998</v>
          </cell>
          <cell r="O7522">
            <v>3.0089999999999999</v>
          </cell>
        </row>
        <row r="7523">
          <cell r="E7523" t="str">
            <v>HIST</v>
          </cell>
          <cell r="F7523" t="str">
            <v>HIST-B</v>
          </cell>
          <cell r="G7523">
            <v>323</v>
          </cell>
          <cell r="H7523" t="str">
            <v>HIST-B323</v>
          </cell>
          <cell r="K7523" t="str">
            <v>Roseman,Mark</v>
          </cell>
          <cell r="N7523">
            <v>2.7650000000000001</v>
          </cell>
          <cell r="O7523">
            <v>3.0089999999999999</v>
          </cell>
        </row>
        <row r="7524">
          <cell r="E7524" t="str">
            <v>HIST</v>
          </cell>
          <cell r="F7524" t="str">
            <v>HIST-B</v>
          </cell>
          <cell r="G7524">
            <v>330</v>
          </cell>
          <cell r="H7524" t="str">
            <v>HIST-B330</v>
          </cell>
          <cell r="K7524" t="str">
            <v>Lehmann,Matthias B.</v>
          </cell>
          <cell r="N7524">
            <v>2.8610000000000002</v>
          </cell>
          <cell r="O7524">
            <v>2.95</v>
          </cell>
        </row>
        <row r="7525">
          <cell r="E7525" t="str">
            <v>HIST</v>
          </cell>
          <cell r="F7525" t="str">
            <v>HIST-B</v>
          </cell>
          <cell r="G7525">
            <v>352</v>
          </cell>
          <cell r="H7525" t="str">
            <v>HIST-B352</v>
          </cell>
          <cell r="K7525" t="str">
            <v>Shopkow,Leah</v>
          </cell>
          <cell r="N7525">
            <v>3.0169999999999999</v>
          </cell>
          <cell r="O7525">
            <v>2.9609999999999999</v>
          </cell>
        </row>
        <row r="7526">
          <cell r="E7526" t="str">
            <v>HIST</v>
          </cell>
          <cell r="F7526" t="str">
            <v>HIST-B</v>
          </cell>
          <cell r="G7526">
            <v>354</v>
          </cell>
          <cell r="H7526" t="str">
            <v>HIST-B354</v>
          </cell>
          <cell r="K7526" t="str">
            <v>Field,Arthur</v>
          </cell>
          <cell r="N7526">
            <v>2.7749999999999999</v>
          </cell>
          <cell r="O7526">
            <v>2.9929999999999999</v>
          </cell>
        </row>
        <row r="7527">
          <cell r="E7527" t="str">
            <v>HIST</v>
          </cell>
          <cell r="F7527" t="str">
            <v>HIST-B</v>
          </cell>
          <cell r="G7527">
            <v>357</v>
          </cell>
          <cell r="H7527" t="str">
            <v>HIST-B357</v>
          </cell>
          <cell r="K7527" t="str">
            <v>Spang,Rebecca Lee</v>
          </cell>
          <cell r="N7527">
            <v>2.8079999999999998</v>
          </cell>
          <cell r="O7527">
            <v>2.972</v>
          </cell>
        </row>
        <row r="7528">
          <cell r="E7528" t="str">
            <v>HIST</v>
          </cell>
          <cell r="F7528" t="str">
            <v>HIST-B</v>
          </cell>
          <cell r="G7528">
            <v>386</v>
          </cell>
          <cell r="H7528" t="str">
            <v>HIST-B386</v>
          </cell>
          <cell r="K7528" t="str">
            <v>Allen,Judith Alison</v>
          </cell>
          <cell r="N7528">
            <v>3.2120000000000002</v>
          </cell>
          <cell r="O7528">
            <v>3.1850000000000001</v>
          </cell>
        </row>
        <row r="7529">
          <cell r="E7529" t="str">
            <v>HIST</v>
          </cell>
          <cell r="F7529" t="str">
            <v>HIST-C</v>
          </cell>
          <cell r="G7529">
            <v>205</v>
          </cell>
          <cell r="H7529" t="str">
            <v>HIST-C205</v>
          </cell>
          <cell r="K7529" t="str">
            <v>Sahin,Kaya</v>
          </cell>
          <cell r="N7529">
            <v>3.1419999999999999</v>
          </cell>
          <cell r="O7529">
            <v>2.903</v>
          </cell>
        </row>
        <row r="7530">
          <cell r="E7530" t="str">
            <v>HIST</v>
          </cell>
          <cell r="F7530" t="str">
            <v>HIST-C</v>
          </cell>
          <cell r="G7530">
            <v>210</v>
          </cell>
          <cell r="H7530" t="str">
            <v>HIST-C210</v>
          </cell>
          <cell r="K7530" t="str">
            <v>Martin,Kevin</v>
          </cell>
          <cell r="N7530">
            <v>3.2309999999999999</v>
          </cell>
          <cell r="O7530">
            <v>3.3119999999999998</v>
          </cell>
        </row>
        <row r="7531">
          <cell r="E7531" t="str">
            <v>HIST</v>
          </cell>
          <cell r="F7531" t="str">
            <v>HIST-C</v>
          </cell>
          <cell r="G7531">
            <v>305</v>
          </cell>
          <cell r="H7531" t="str">
            <v>HIST-C305</v>
          </cell>
          <cell r="K7531" t="str">
            <v>Martin,Kevin</v>
          </cell>
          <cell r="N7531">
            <v>3.2629999999999999</v>
          </cell>
          <cell r="O7531">
            <v>3.266</v>
          </cell>
        </row>
        <row r="7532">
          <cell r="E7532" t="str">
            <v>HIST</v>
          </cell>
          <cell r="F7532" t="str">
            <v>HIST-C</v>
          </cell>
          <cell r="G7532">
            <v>388</v>
          </cell>
          <cell r="H7532" t="str">
            <v>HIST-C388</v>
          </cell>
          <cell r="K7532" t="str">
            <v>Eckhart,TammyJo</v>
          </cell>
          <cell r="N7532">
            <v>2.7909999999999999</v>
          </cell>
          <cell r="O7532">
            <v>3.1640000000000001</v>
          </cell>
        </row>
        <row r="7533">
          <cell r="E7533" t="str">
            <v>HIST</v>
          </cell>
          <cell r="F7533" t="str">
            <v>HIST-C</v>
          </cell>
          <cell r="G7533">
            <v>390</v>
          </cell>
          <cell r="H7533" t="str">
            <v>HIST-C390</v>
          </cell>
          <cell r="K7533" t="str">
            <v>Watts,Edward Jay</v>
          </cell>
          <cell r="N7533">
            <v>3.09</v>
          </cell>
          <cell r="O7533">
            <v>3.1070000000000002</v>
          </cell>
        </row>
        <row r="7534">
          <cell r="E7534" t="str">
            <v>HIST</v>
          </cell>
          <cell r="F7534" t="str">
            <v>HIST-D</v>
          </cell>
          <cell r="G7534">
            <v>102</v>
          </cell>
          <cell r="H7534" t="str">
            <v>HIST-D102</v>
          </cell>
          <cell r="K7534" t="str">
            <v>Ransel,David L.</v>
          </cell>
          <cell r="N7534">
            <v>2.9039999999999999</v>
          </cell>
          <cell r="O7534">
            <v>2.9510000000000001</v>
          </cell>
        </row>
        <row r="7535">
          <cell r="E7535" t="str">
            <v>HIST</v>
          </cell>
          <cell r="F7535" t="str">
            <v>HIST-D</v>
          </cell>
          <cell r="G7535">
            <v>103</v>
          </cell>
          <cell r="H7535" t="str">
            <v>HIST-D103</v>
          </cell>
          <cell r="K7535" t="str">
            <v>Eklof,Ben</v>
          </cell>
          <cell r="N7535">
            <v>2.5</v>
          </cell>
          <cell r="O7535">
            <v>2.6829999999999998</v>
          </cell>
        </row>
        <row r="7536">
          <cell r="E7536" t="str">
            <v>HIST</v>
          </cell>
          <cell r="F7536" t="str">
            <v>HIST-D</v>
          </cell>
          <cell r="G7536">
            <v>200</v>
          </cell>
          <cell r="H7536" t="str">
            <v>HIST-D200</v>
          </cell>
          <cell r="K7536" t="str">
            <v>Kuromiya,Hiroaki</v>
          </cell>
          <cell r="N7536">
            <v>3.024</v>
          </cell>
          <cell r="O7536">
            <v>3.15</v>
          </cell>
        </row>
        <row r="7537">
          <cell r="E7537" t="str">
            <v>HIST</v>
          </cell>
          <cell r="F7537" t="str">
            <v>HIST-D</v>
          </cell>
          <cell r="G7537">
            <v>201</v>
          </cell>
          <cell r="H7537" t="str">
            <v>HIST-D201</v>
          </cell>
          <cell r="K7537" t="str">
            <v>Kenney,Padraic</v>
          </cell>
          <cell r="N7537">
            <v>2.5569999999999999</v>
          </cell>
          <cell r="O7537">
            <v>2.891</v>
          </cell>
        </row>
        <row r="7538">
          <cell r="E7538" t="str">
            <v>HIST</v>
          </cell>
          <cell r="F7538" t="str">
            <v>HIST-D</v>
          </cell>
          <cell r="G7538">
            <v>300</v>
          </cell>
          <cell r="H7538" t="str">
            <v>HIST-D300</v>
          </cell>
          <cell r="K7538" t="str">
            <v>Bertenyi,Ivan Jakab</v>
          </cell>
          <cell r="N7538">
            <v>2.2240000000000002</v>
          </cell>
          <cell r="O7538">
            <v>2.9340000000000002</v>
          </cell>
        </row>
        <row r="7539">
          <cell r="E7539" t="str">
            <v>HIST</v>
          </cell>
          <cell r="F7539" t="str">
            <v>HIST-D</v>
          </cell>
          <cell r="G7539">
            <v>300</v>
          </cell>
          <cell r="H7539" t="str">
            <v>HIST-D300</v>
          </cell>
          <cell r="K7539" t="str">
            <v>Borhi,Laszlo</v>
          </cell>
          <cell r="N7539">
            <v>3.319</v>
          </cell>
          <cell r="O7539">
            <v>3.2370000000000001</v>
          </cell>
        </row>
        <row r="7540">
          <cell r="E7540" t="str">
            <v>HIST</v>
          </cell>
          <cell r="F7540" t="str">
            <v>HIST-D</v>
          </cell>
          <cell r="G7540">
            <v>300</v>
          </cell>
          <cell r="H7540" t="str">
            <v>HIST-D300</v>
          </cell>
          <cell r="K7540" t="str">
            <v>Borhi,Laszlo</v>
          </cell>
          <cell r="N7540">
            <v>3.2290000000000001</v>
          </cell>
          <cell r="O7540">
            <v>2.9470000000000001</v>
          </cell>
        </row>
        <row r="7541">
          <cell r="E7541" t="str">
            <v>HIST</v>
          </cell>
          <cell r="F7541" t="str">
            <v>HIST-D</v>
          </cell>
          <cell r="G7541">
            <v>300</v>
          </cell>
          <cell r="H7541" t="str">
            <v>HIST-D300</v>
          </cell>
          <cell r="K7541" t="str">
            <v>Borhi,Laszlo</v>
          </cell>
          <cell r="N7541">
            <v>3.669</v>
          </cell>
          <cell r="O7541">
            <v>2.9649999999999999</v>
          </cell>
        </row>
        <row r="7542">
          <cell r="E7542" t="str">
            <v>HIST</v>
          </cell>
          <cell r="F7542" t="str">
            <v>HIST-D</v>
          </cell>
          <cell r="G7542">
            <v>310</v>
          </cell>
          <cell r="H7542" t="str">
            <v>HIST-D310</v>
          </cell>
          <cell r="K7542" t="str">
            <v>Kuromiya,Hiroaki</v>
          </cell>
          <cell r="N7542">
            <v>3.1619999999999999</v>
          </cell>
          <cell r="O7542">
            <v>3.1520000000000001</v>
          </cell>
        </row>
        <row r="7543">
          <cell r="E7543" t="str">
            <v>HIST</v>
          </cell>
          <cell r="F7543" t="str">
            <v>HIST-D</v>
          </cell>
          <cell r="G7543">
            <v>327</v>
          </cell>
          <cell r="H7543" t="str">
            <v>HIST-D327</v>
          </cell>
          <cell r="K7543" t="str">
            <v>Frieberg,Annika Elisabet</v>
          </cell>
          <cell r="N7543">
            <v>2.7410000000000001</v>
          </cell>
          <cell r="O7543">
            <v>2.9039999999999999</v>
          </cell>
        </row>
        <row r="7544">
          <cell r="E7544" t="str">
            <v>HIST</v>
          </cell>
          <cell r="F7544" t="str">
            <v>HIST-D</v>
          </cell>
          <cell r="G7544">
            <v>330</v>
          </cell>
          <cell r="H7544" t="str">
            <v>HIST-D330</v>
          </cell>
          <cell r="K7544" t="str">
            <v>Frieberg,Annika Elisabet</v>
          </cell>
          <cell r="N7544">
            <v>2.181</v>
          </cell>
          <cell r="O7544">
            <v>2.794</v>
          </cell>
        </row>
        <row r="7545">
          <cell r="E7545" t="str">
            <v>HIST</v>
          </cell>
          <cell r="F7545" t="str">
            <v>HIST-E</v>
          </cell>
          <cell r="G7545">
            <v>331</v>
          </cell>
          <cell r="H7545" t="str">
            <v>HIST-E331</v>
          </cell>
          <cell r="K7545" t="str">
            <v>Hanson,John Henry</v>
          </cell>
          <cell r="N7545">
            <v>3.15</v>
          </cell>
          <cell r="O7545">
            <v>3.2509999999999999</v>
          </cell>
        </row>
        <row r="7546">
          <cell r="E7546" t="str">
            <v>HIST</v>
          </cell>
          <cell r="F7546" t="str">
            <v>HIST-E</v>
          </cell>
          <cell r="G7546">
            <v>340</v>
          </cell>
          <cell r="H7546" t="str">
            <v>HIST-E340</v>
          </cell>
          <cell r="K7546" t="str">
            <v>Moorman,Marissa J</v>
          </cell>
          <cell r="N7546">
            <v>2.6669999999999998</v>
          </cell>
          <cell r="O7546">
            <v>3.0129999999999999</v>
          </cell>
        </row>
        <row r="7547">
          <cell r="E7547" t="str">
            <v>HIST</v>
          </cell>
          <cell r="F7547" t="str">
            <v>HIST-F</v>
          </cell>
          <cell r="G7547">
            <v>200</v>
          </cell>
          <cell r="H7547" t="str">
            <v>HIST-F200</v>
          </cell>
          <cell r="K7547" t="str">
            <v>McGraw,Jason P.</v>
          </cell>
          <cell r="N7547">
            <v>3.22</v>
          </cell>
          <cell r="O7547">
            <v>2.653</v>
          </cell>
        </row>
        <row r="7548">
          <cell r="E7548" t="str">
            <v>HIST</v>
          </cell>
          <cell r="F7548" t="str">
            <v>HIST-F</v>
          </cell>
          <cell r="G7548">
            <v>340</v>
          </cell>
          <cell r="H7548" t="str">
            <v>HIST-F340</v>
          </cell>
          <cell r="K7548" t="str">
            <v>James,Danny</v>
          </cell>
          <cell r="N7548">
            <v>3.472</v>
          </cell>
          <cell r="O7548">
            <v>3.1509999999999998</v>
          </cell>
        </row>
        <row r="7549">
          <cell r="E7549" t="str">
            <v>HIST</v>
          </cell>
          <cell r="F7549" t="str">
            <v>HIST-F</v>
          </cell>
          <cell r="G7549">
            <v>345</v>
          </cell>
          <cell r="H7549" t="str">
            <v>HIST-F345</v>
          </cell>
          <cell r="K7549" t="str">
            <v>Diaz,Arlene</v>
          </cell>
          <cell r="N7549">
            <v>2.2469999999999999</v>
          </cell>
          <cell r="O7549">
            <v>2.871</v>
          </cell>
        </row>
        <row r="7550">
          <cell r="E7550" t="str">
            <v>HIST</v>
          </cell>
          <cell r="F7550" t="str">
            <v>HIST-F</v>
          </cell>
          <cell r="G7550">
            <v>348</v>
          </cell>
          <cell r="H7550" t="str">
            <v>HIST-F348</v>
          </cell>
          <cell r="K7550" t="str">
            <v>James,Danny</v>
          </cell>
          <cell r="N7550">
            <v>3.488</v>
          </cell>
          <cell r="O7550">
            <v>3.19</v>
          </cell>
        </row>
        <row r="7551">
          <cell r="E7551" t="str">
            <v>HIST</v>
          </cell>
          <cell r="F7551" t="str">
            <v>HIST-G</v>
          </cell>
          <cell r="G7551">
            <v>300</v>
          </cell>
          <cell r="H7551" t="str">
            <v>HIST-G300</v>
          </cell>
          <cell r="K7551" t="str">
            <v>Atwood,Christopher P</v>
          </cell>
          <cell r="N7551" t="str">
            <v>NR</v>
          </cell>
          <cell r="O7551" t="str">
            <v>NR</v>
          </cell>
        </row>
        <row r="7552">
          <cell r="E7552" t="str">
            <v>HIST</v>
          </cell>
          <cell r="F7552" t="str">
            <v>HIST-G</v>
          </cell>
          <cell r="G7552">
            <v>300</v>
          </cell>
          <cell r="H7552" t="str">
            <v>HIST-G300</v>
          </cell>
          <cell r="K7552" t="str">
            <v>Sela,Ron</v>
          </cell>
          <cell r="N7552">
            <v>2.5819999999999999</v>
          </cell>
          <cell r="O7552">
            <v>2.7519999999999998</v>
          </cell>
        </row>
        <row r="7553">
          <cell r="E7553" t="str">
            <v>HIST</v>
          </cell>
          <cell r="F7553" t="str">
            <v>HIST-G</v>
          </cell>
          <cell r="G7553">
            <v>300</v>
          </cell>
          <cell r="H7553" t="str">
            <v>HIST-G300</v>
          </cell>
          <cell r="K7553" t="str">
            <v>Sela,Ron</v>
          </cell>
          <cell r="N7553" t="str">
            <v>NR</v>
          </cell>
          <cell r="O7553" t="str">
            <v>NR</v>
          </cell>
        </row>
        <row r="7554">
          <cell r="E7554" t="str">
            <v>HIST</v>
          </cell>
          <cell r="F7554" t="str">
            <v>HIST-G</v>
          </cell>
          <cell r="G7554">
            <v>300</v>
          </cell>
          <cell r="H7554" t="str">
            <v>HIST-G300</v>
          </cell>
          <cell r="K7554" t="str">
            <v>Walmsley,Nicholas Gerard</v>
          </cell>
          <cell r="N7554" t="str">
            <v>NR</v>
          </cell>
          <cell r="O7554" t="str">
            <v>NR</v>
          </cell>
        </row>
        <row r="7555">
          <cell r="E7555" t="str">
            <v>HIST</v>
          </cell>
          <cell r="F7555" t="str">
            <v>HIST-G</v>
          </cell>
          <cell r="G7555">
            <v>358</v>
          </cell>
          <cell r="H7555" t="str">
            <v>HIST-G358</v>
          </cell>
          <cell r="K7555" t="str">
            <v>Rubinger,Richard</v>
          </cell>
          <cell r="N7555">
            <v>3.0379999999999998</v>
          </cell>
          <cell r="O7555">
            <v>3.07</v>
          </cell>
        </row>
        <row r="7556">
          <cell r="E7556" t="str">
            <v>HIST</v>
          </cell>
          <cell r="F7556" t="str">
            <v>HIST-G</v>
          </cell>
          <cell r="G7556">
            <v>380</v>
          </cell>
          <cell r="H7556" t="str">
            <v>HIST-G380</v>
          </cell>
          <cell r="K7556" t="str">
            <v>Eno,Robert J.</v>
          </cell>
          <cell r="N7556">
            <v>3.1589999999999998</v>
          </cell>
          <cell r="O7556">
            <v>2.8130000000000002</v>
          </cell>
        </row>
        <row r="7557">
          <cell r="E7557" t="str">
            <v>HIST</v>
          </cell>
          <cell r="F7557" t="str">
            <v>HIST-G</v>
          </cell>
          <cell r="G7557">
            <v>383</v>
          </cell>
          <cell r="H7557" t="str">
            <v>HIST-G383</v>
          </cell>
          <cell r="K7557" t="str">
            <v>Schlesinger,Jonathan</v>
          </cell>
          <cell r="N7557">
            <v>2.5329999999999999</v>
          </cell>
          <cell r="O7557">
            <v>2.7909999999999999</v>
          </cell>
        </row>
        <row r="7558">
          <cell r="E7558" t="str">
            <v>HIST</v>
          </cell>
          <cell r="F7558" t="str">
            <v>HIST-G</v>
          </cell>
          <cell r="G7558">
            <v>385</v>
          </cell>
          <cell r="H7558" t="str">
            <v>HIST-G385</v>
          </cell>
          <cell r="K7558" t="str">
            <v>Catris,Sandrine Emmanuelle</v>
          </cell>
          <cell r="N7558">
            <v>2.79</v>
          </cell>
          <cell r="O7558">
            <v>2.8959999999999999</v>
          </cell>
        </row>
        <row r="7559">
          <cell r="E7559" t="str">
            <v>HIST</v>
          </cell>
          <cell r="F7559" t="str">
            <v>HIST-G</v>
          </cell>
          <cell r="G7559">
            <v>901</v>
          </cell>
          <cell r="H7559" t="str">
            <v>HIST-G901</v>
          </cell>
          <cell r="K7559" t="str">
            <v>Guardino,Peter Francis</v>
          </cell>
          <cell r="N7559" t="str">
            <v>NR</v>
          </cell>
          <cell r="O7559" t="str">
            <v>NR</v>
          </cell>
        </row>
        <row r="7560">
          <cell r="E7560" t="str">
            <v>HIST</v>
          </cell>
          <cell r="F7560" t="str">
            <v>HIST-G</v>
          </cell>
          <cell r="G7560">
            <v>901</v>
          </cell>
          <cell r="H7560" t="str">
            <v>HIST-G901</v>
          </cell>
          <cell r="K7560" t="str">
            <v>Guardino,Peter Francis</v>
          </cell>
          <cell r="N7560" t="str">
            <v>NR</v>
          </cell>
          <cell r="O7560" t="str">
            <v>NR</v>
          </cell>
        </row>
        <row r="7561">
          <cell r="E7561" t="str">
            <v>HIST</v>
          </cell>
          <cell r="F7561" t="str">
            <v>HIST-H</v>
          </cell>
          <cell r="G7561">
            <v>101</v>
          </cell>
          <cell r="H7561" t="str">
            <v>HIST-H101</v>
          </cell>
          <cell r="K7561" t="str">
            <v>Guardino,Peter Francis</v>
          </cell>
          <cell r="N7561">
            <v>2.6640000000000001</v>
          </cell>
          <cell r="O7561">
            <v>2.98</v>
          </cell>
        </row>
        <row r="7562">
          <cell r="E7562" t="str">
            <v>HIST</v>
          </cell>
          <cell r="F7562" t="str">
            <v>HIST-H</v>
          </cell>
          <cell r="G7562">
            <v>102</v>
          </cell>
          <cell r="H7562" t="str">
            <v>HIST-H102</v>
          </cell>
          <cell r="K7562" t="str">
            <v>Machado,Pedro A</v>
          </cell>
          <cell r="N7562">
            <v>2.7679999999999998</v>
          </cell>
          <cell r="O7562">
            <v>2.8889999999999998</v>
          </cell>
        </row>
        <row r="7563">
          <cell r="E7563" t="str">
            <v>HIST</v>
          </cell>
          <cell r="F7563" t="str">
            <v>HIST-H</v>
          </cell>
          <cell r="G7563">
            <v>103</v>
          </cell>
          <cell r="H7563" t="str">
            <v>HIST-H103</v>
          </cell>
          <cell r="K7563" t="str">
            <v>Field,Arthur</v>
          </cell>
          <cell r="N7563">
            <v>2.4129999999999998</v>
          </cell>
          <cell r="O7563">
            <v>2.746</v>
          </cell>
        </row>
        <row r="7564">
          <cell r="E7564" t="str">
            <v>HIST</v>
          </cell>
          <cell r="F7564" t="str">
            <v>HIST-H</v>
          </cell>
          <cell r="G7564">
            <v>104</v>
          </cell>
          <cell r="H7564" t="str">
            <v>HIST-H104</v>
          </cell>
          <cell r="K7564" t="str">
            <v>Roos,Julia</v>
          </cell>
          <cell r="N7564">
            <v>2.758</v>
          </cell>
          <cell r="O7564">
            <v>2.7069999999999999</v>
          </cell>
        </row>
        <row r="7565">
          <cell r="E7565" t="str">
            <v>HIST</v>
          </cell>
          <cell r="F7565" t="str">
            <v>HIST-H</v>
          </cell>
          <cell r="G7565">
            <v>105</v>
          </cell>
          <cell r="H7565" t="str">
            <v>HIST-H105</v>
          </cell>
          <cell r="K7565" t="str">
            <v>Carter-David,Siobhan Dene</v>
          </cell>
          <cell r="N7565">
            <v>2.6890000000000001</v>
          </cell>
          <cell r="O7565">
            <v>2.786</v>
          </cell>
        </row>
        <row r="7566">
          <cell r="E7566" t="str">
            <v>HIST</v>
          </cell>
          <cell r="F7566" t="str">
            <v>HIST-H</v>
          </cell>
          <cell r="G7566">
            <v>105</v>
          </cell>
          <cell r="H7566" t="str">
            <v>HIST-H105</v>
          </cell>
          <cell r="K7566" t="str">
            <v>Dierks,Konstantin</v>
          </cell>
          <cell r="N7566">
            <v>3.0819999999999999</v>
          </cell>
          <cell r="O7566">
            <v>2.8610000000000002</v>
          </cell>
        </row>
        <row r="7567">
          <cell r="E7567" t="str">
            <v>HIST</v>
          </cell>
          <cell r="F7567" t="str">
            <v>HIST-H</v>
          </cell>
          <cell r="G7567">
            <v>105</v>
          </cell>
          <cell r="H7567" t="str">
            <v>HIST-H105</v>
          </cell>
          <cell r="K7567" t="str">
            <v>Prior,David Matthew</v>
          </cell>
          <cell r="N7567">
            <v>2.5369999999999999</v>
          </cell>
          <cell r="O7567">
            <v>2.5960000000000001</v>
          </cell>
        </row>
        <row r="7568">
          <cell r="E7568" t="str">
            <v>HIST</v>
          </cell>
          <cell r="F7568" t="str">
            <v>HIST-H</v>
          </cell>
          <cell r="G7568">
            <v>106</v>
          </cell>
          <cell r="H7568" t="str">
            <v>HIST-H106</v>
          </cell>
          <cell r="K7568" t="str">
            <v>Clegg,Claude Andrew</v>
          </cell>
          <cell r="N7568">
            <v>2.73</v>
          </cell>
          <cell r="O7568">
            <v>2.907</v>
          </cell>
        </row>
        <row r="7569">
          <cell r="E7569" t="str">
            <v>HIST</v>
          </cell>
          <cell r="F7569" t="str">
            <v>HIST-H</v>
          </cell>
          <cell r="G7569">
            <v>106</v>
          </cell>
          <cell r="H7569" t="str">
            <v>HIST-H106</v>
          </cell>
          <cell r="K7569" t="str">
            <v>Lichtenstein,Alex</v>
          </cell>
          <cell r="N7569">
            <v>2.907</v>
          </cell>
          <cell r="O7569">
            <v>2.8660000000000001</v>
          </cell>
        </row>
        <row r="7570">
          <cell r="E7570" t="str">
            <v>HIST</v>
          </cell>
          <cell r="F7570" t="str">
            <v>HIST-H</v>
          </cell>
          <cell r="G7570">
            <v>106</v>
          </cell>
          <cell r="H7570" t="str">
            <v>HIST-H106</v>
          </cell>
          <cell r="K7570" t="str">
            <v>McGerr,Michael Edward</v>
          </cell>
          <cell r="N7570">
            <v>3.0379999999999998</v>
          </cell>
          <cell r="O7570">
            <v>2.9990000000000001</v>
          </cell>
        </row>
        <row r="7571">
          <cell r="E7571" t="str">
            <v>HIST</v>
          </cell>
          <cell r="F7571" t="str">
            <v>HIST-H</v>
          </cell>
          <cell r="G7571">
            <v>106</v>
          </cell>
          <cell r="H7571" t="str">
            <v>HIST-H106</v>
          </cell>
          <cell r="K7571" t="str">
            <v>Wu,Ellen Dionne</v>
          </cell>
          <cell r="N7571">
            <v>2.7679999999999998</v>
          </cell>
          <cell r="O7571">
            <v>2.8340000000000001</v>
          </cell>
        </row>
        <row r="7572">
          <cell r="E7572" t="str">
            <v>HIST</v>
          </cell>
          <cell r="F7572" t="str">
            <v>HIST-H</v>
          </cell>
          <cell r="G7572">
            <v>206</v>
          </cell>
          <cell r="H7572" t="str">
            <v>HIST-H206</v>
          </cell>
          <cell r="K7572" t="str">
            <v>Deliyannis,Deborah M</v>
          </cell>
          <cell r="N7572">
            <v>2.7839999999999998</v>
          </cell>
          <cell r="O7572">
            <v>2.9980000000000002</v>
          </cell>
        </row>
        <row r="7573">
          <cell r="E7573" t="str">
            <v>HIST</v>
          </cell>
          <cell r="F7573" t="str">
            <v>HIST-H</v>
          </cell>
          <cell r="G7573">
            <v>206</v>
          </cell>
          <cell r="H7573" t="str">
            <v>HIST-H206</v>
          </cell>
          <cell r="K7573" t="str">
            <v>Deliyannis,Deborah M</v>
          </cell>
          <cell r="N7573">
            <v>3.81</v>
          </cell>
          <cell r="O7573">
            <v>3.633</v>
          </cell>
        </row>
        <row r="7574">
          <cell r="E7574" t="str">
            <v>HIST</v>
          </cell>
          <cell r="F7574" t="str">
            <v>HIST-H</v>
          </cell>
          <cell r="G7574">
            <v>210</v>
          </cell>
          <cell r="H7574" t="str">
            <v>HIST-H210</v>
          </cell>
          <cell r="K7574" t="str">
            <v>Wahrman,Dror</v>
          </cell>
          <cell r="N7574">
            <v>3.0289999999999999</v>
          </cell>
          <cell r="O7574">
            <v>3.1829999999999998</v>
          </cell>
        </row>
        <row r="7575">
          <cell r="E7575" t="str">
            <v>HIST</v>
          </cell>
          <cell r="F7575" t="str">
            <v>HIST-H</v>
          </cell>
          <cell r="G7575">
            <v>211</v>
          </cell>
          <cell r="H7575" t="str">
            <v>HIST-H211</v>
          </cell>
          <cell r="K7575" t="str">
            <v>Diaz,Arlene</v>
          </cell>
          <cell r="N7575">
            <v>3.1920000000000002</v>
          </cell>
          <cell r="O7575">
            <v>3.2069999999999999</v>
          </cell>
        </row>
        <row r="7576">
          <cell r="E7576" t="str">
            <v>HIST</v>
          </cell>
          <cell r="F7576" t="str">
            <v>HIST-H</v>
          </cell>
          <cell r="G7576">
            <v>212</v>
          </cell>
          <cell r="H7576" t="str">
            <v>HIST-H212</v>
          </cell>
          <cell r="K7576" t="str">
            <v>McGraw,Jason P.</v>
          </cell>
          <cell r="N7576">
            <v>3.141</v>
          </cell>
          <cell r="O7576">
            <v>2.8879999999999999</v>
          </cell>
        </row>
        <row r="7577">
          <cell r="E7577" t="str">
            <v>HIST</v>
          </cell>
          <cell r="F7577" t="str">
            <v>HIST-H</v>
          </cell>
          <cell r="G7577">
            <v>212</v>
          </cell>
          <cell r="H7577" t="str">
            <v>HIST-H212</v>
          </cell>
          <cell r="K7577" t="str">
            <v>McGraw,Jason P.</v>
          </cell>
          <cell r="N7577">
            <v>4</v>
          </cell>
          <cell r="O7577">
            <v>3.8</v>
          </cell>
        </row>
        <row r="7578">
          <cell r="E7578" t="str">
            <v>HIST</v>
          </cell>
          <cell r="F7578" t="str">
            <v>HIST-H</v>
          </cell>
          <cell r="G7578">
            <v>220</v>
          </cell>
          <cell r="H7578" t="str">
            <v>HIST-H220</v>
          </cell>
          <cell r="K7578" t="str">
            <v>Cullather,Nicholas Barry</v>
          </cell>
          <cell r="N7578">
            <v>2.7509999999999999</v>
          </cell>
          <cell r="O7578">
            <v>2.806</v>
          </cell>
        </row>
        <row r="7579">
          <cell r="E7579" t="str">
            <v>HIST</v>
          </cell>
          <cell r="F7579" t="str">
            <v>HIST-H</v>
          </cell>
          <cell r="G7579">
            <v>227</v>
          </cell>
          <cell r="H7579" t="str">
            <v>HIST-H227</v>
          </cell>
          <cell r="K7579" t="str">
            <v>Hanson,John Henry</v>
          </cell>
          <cell r="N7579">
            <v>3.097</v>
          </cell>
          <cell r="O7579">
            <v>3.1040000000000001</v>
          </cell>
        </row>
        <row r="7580">
          <cell r="E7580" t="str">
            <v>HIST</v>
          </cell>
          <cell r="F7580" t="str">
            <v>HIST-H</v>
          </cell>
          <cell r="G7580">
            <v>251</v>
          </cell>
          <cell r="H7580" t="str">
            <v>HIST-H251</v>
          </cell>
          <cell r="K7580" t="str">
            <v>Mokhtarian,Jason Sion</v>
          </cell>
          <cell r="N7580">
            <v>3.08</v>
          </cell>
          <cell r="O7580">
            <v>2.97</v>
          </cell>
        </row>
        <row r="7581">
          <cell r="E7581" t="str">
            <v>HIST</v>
          </cell>
          <cell r="F7581" t="str">
            <v>HIST-H</v>
          </cell>
          <cell r="G7581">
            <v>252</v>
          </cell>
          <cell r="H7581" t="str">
            <v>HIST-H252</v>
          </cell>
          <cell r="K7581" t="str">
            <v>Veidlinger,Jeffrey</v>
          </cell>
          <cell r="N7581">
            <v>3.4820000000000002</v>
          </cell>
          <cell r="O7581">
            <v>3.206</v>
          </cell>
        </row>
        <row r="7582">
          <cell r="E7582" t="str">
            <v>HIST</v>
          </cell>
          <cell r="F7582" t="str">
            <v>HIST-H</v>
          </cell>
          <cell r="G7582">
            <v>259</v>
          </cell>
          <cell r="H7582" t="str">
            <v>HIST-H259</v>
          </cell>
          <cell r="K7582" t="str">
            <v>Imhoff,Sarah Emily</v>
          </cell>
          <cell r="N7582">
            <v>3.202</v>
          </cell>
          <cell r="O7582">
            <v>3.11</v>
          </cell>
        </row>
        <row r="7583">
          <cell r="E7583" t="str">
            <v>HIST</v>
          </cell>
          <cell r="F7583" t="str">
            <v>HIST-H</v>
          </cell>
          <cell r="G7583">
            <v>333</v>
          </cell>
          <cell r="H7583" t="str">
            <v>HIST-H333</v>
          </cell>
          <cell r="K7583" t="str">
            <v>Carmichael,Ann G.</v>
          </cell>
          <cell r="N7583">
            <v>3.32</v>
          </cell>
          <cell r="O7583">
            <v>3.169</v>
          </cell>
        </row>
        <row r="7584">
          <cell r="E7584" t="str">
            <v>HIST</v>
          </cell>
          <cell r="F7584" t="str">
            <v>HIST-H</v>
          </cell>
          <cell r="G7584">
            <v>333</v>
          </cell>
          <cell r="H7584" t="str">
            <v>HIST-H333</v>
          </cell>
          <cell r="K7584" t="str">
            <v>Maglen,Krista</v>
          </cell>
          <cell r="N7584">
            <v>3.28</v>
          </cell>
          <cell r="O7584">
            <v>3.1560000000000001</v>
          </cell>
        </row>
        <row r="7585">
          <cell r="E7585" t="str">
            <v>HIST</v>
          </cell>
          <cell r="F7585" t="str">
            <v>HIST-H</v>
          </cell>
          <cell r="G7585">
            <v>496</v>
          </cell>
          <cell r="H7585" t="str">
            <v>HIST-H496</v>
          </cell>
          <cell r="K7585" t="str">
            <v>Guardino,Peter Francis</v>
          </cell>
          <cell r="N7585" t="str">
            <v>NR</v>
          </cell>
          <cell r="O7585" t="str">
            <v>NR</v>
          </cell>
        </row>
        <row r="7586">
          <cell r="E7586" t="str">
            <v>HIST</v>
          </cell>
          <cell r="F7586" t="str">
            <v>HIST-H</v>
          </cell>
          <cell r="G7586">
            <v>496</v>
          </cell>
          <cell r="H7586" t="str">
            <v>HIST-H496</v>
          </cell>
          <cell r="K7586" t="str">
            <v>Guardino,Peter Francis</v>
          </cell>
          <cell r="N7586" t="str">
            <v>NR</v>
          </cell>
          <cell r="O7586" t="str">
            <v>NR</v>
          </cell>
        </row>
        <row r="7587">
          <cell r="E7587" t="str">
            <v>HIST</v>
          </cell>
          <cell r="F7587" t="str">
            <v>HIST-H</v>
          </cell>
          <cell r="G7587">
            <v>575</v>
          </cell>
          <cell r="H7587" t="str">
            <v>HIST-H575</v>
          </cell>
          <cell r="K7587" t="str">
            <v>Guardino,Peter Francis</v>
          </cell>
          <cell r="N7587">
            <v>4</v>
          </cell>
          <cell r="O7587">
            <v>3.9609999999999999</v>
          </cell>
        </row>
        <row r="7588">
          <cell r="E7588" t="str">
            <v>HIST</v>
          </cell>
          <cell r="F7588" t="str">
            <v>HIST-H</v>
          </cell>
          <cell r="G7588">
            <v>575</v>
          </cell>
          <cell r="H7588" t="str">
            <v>HIST-H575</v>
          </cell>
          <cell r="K7588" t="str">
            <v>Guardino,Peter Francis</v>
          </cell>
          <cell r="N7588" t="str">
            <v>NR</v>
          </cell>
          <cell r="O7588" t="str">
            <v>NR</v>
          </cell>
        </row>
        <row r="7589">
          <cell r="E7589" t="str">
            <v>HIST</v>
          </cell>
          <cell r="F7589" t="str">
            <v>HIST-H</v>
          </cell>
          <cell r="G7589">
            <v>575</v>
          </cell>
          <cell r="H7589" t="str">
            <v>HIST-H575</v>
          </cell>
          <cell r="K7589" t="str">
            <v>Guardino,Peter Francis</v>
          </cell>
          <cell r="N7589">
            <v>4</v>
          </cell>
          <cell r="O7589">
            <v>3.8860000000000001</v>
          </cell>
        </row>
        <row r="7590">
          <cell r="E7590" t="str">
            <v>HIST</v>
          </cell>
          <cell r="F7590" t="str">
            <v>HIST-H</v>
          </cell>
          <cell r="G7590">
            <v>580</v>
          </cell>
          <cell r="H7590" t="str">
            <v>HIST-H580</v>
          </cell>
          <cell r="K7590" t="str">
            <v>Shopkow,Leah</v>
          </cell>
          <cell r="N7590">
            <v>3.8879999999999999</v>
          </cell>
          <cell r="O7590">
            <v>3.89</v>
          </cell>
        </row>
        <row r="7591">
          <cell r="E7591" t="str">
            <v>HIST</v>
          </cell>
          <cell r="F7591" t="str">
            <v>HIST-H</v>
          </cell>
          <cell r="G7591">
            <v>591</v>
          </cell>
          <cell r="H7591" t="str">
            <v>HIST-H591</v>
          </cell>
          <cell r="K7591" t="str">
            <v>Machado,Pedro A</v>
          </cell>
          <cell r="N7591">
            <v>3.9569999999999999</v>
          </cell>
          <cell r="O7591">
            <v>3.9409999999999998</v>
          </cell>
        </row>
        <row r="7592">
          <cell r="E7592" t="str">
            <v>HIST</v>
          </cell>
          <cell r="F7592" t="str">
            <v>HIST-H</v>
          </cell>
          <cell r="G7592">
            <v>601</v>
          </cell>
          <cell r="H7592" t="str">
            <v>HIST-H601</v>
          </cell>
          <cell r="K7592" t="str">
            <v>Allen,Judith Alison</v>
          </cell>
          <cell r="N7592">
            <v>3.9729999999999999</v>
          </cell>
          <cell r="O7592">
            <v>3.5979999999999999</v>
          </cell>
        </row>
        <row r="7593">
          <cell r="E7593" t="str">
            <v>HIST</v>
          </cell>
          <cell r="F7593" t="str">
            <v>HIST-H</v>
          </cell>
          <cell r="G7593">
            <v>601</v>
          </cell>
          <cell r="H7593" t="str">
            <v>HIST-H601</v>
          </cell>
          <cell r="K7593" t="str">
            <v>McGerr,Michael Edward</v>
          </cell>
          <cell r="N7593">
            <v>3.855</v>
          </cell>
          <cell r="O7593">
            <v>3.8690000000000002</v>
          </cell>
        </row>
        <row r="7594">
          <cell r="E7594" t="str">
            <v>HIST</v>
          </cell>
          <cell r="F7594" t="str">
            <v>HIST-H</v>
          </cell>
          <cell r="G7594">
            <v>605</v>
          </cell>
          <cell r="H7594" t="str">
            <v>HIST-H605</v>
          </cell>
          <cell r="K7594" t="str">
            <v>Watts,Edward Jay</v>
          </cell>
          <cell r="N7594" t="str">
            <v>NR</v>
          </cell>
          <cell r="O7594" t="str">
            <v>NR</v>
          </cell>
        </row>
        <row r="7595">
          <cell r="E7595" t="str">
            <v>HIST</v>
          </cell>
          <cell r="F7595" t="str">
            <v>HIST-H</v>
          </cell>
          <cell r="G7595">
            <v>620</v>
          </cell>
          <cell r="H7595" t="str">
            <v>HIST-H620</v>
          </cell>
          <cell r="K7595" t="str">
            <v>Roseman,Mark</v>
          </cell>
          <cell r="N7595">
            <v>3.87</v>
          </cell>
          <cell r="O7595">
            <v>3.8410000000000002</v>
          </cell>
        </row>
        <row r="7596">
          <cell r="E7596" t="str">
            <v>HIST</v>
          </cell>
          <cell r="F7596" t="str">
            <v>HIST-H</v>
          </cell>
          <cell r="G7596">
            <v>620</v>
          </cell>
          <cell r="H7596" t="str">
            <v>HIST-H620</v>
          </cell>
          <cell r="K7596" t="str">
            <v>Spang,Rebecca Lee</v>
          </cell>
          <cell r="N7596">
            <v>3.81</v>
          </cell>
          <cell r="O7596">
            <v>3.9249999999999998</v>
          </cell>
        </row>
        <row r="7597">
          <cell r="E7597" t="str">
            <v>HIST</v>
          </cell>
          <cell r="F7597" t="str">
            <v>HIST-H</v>
          </cell>
          <cell r="G7597">
            <v>620</v>
          </cell>
          <cell r="H7597" t="str">
            <v>HIST-H620</v>
          </cell>
          <cell r="K7597" t="str">
            <v>Spang,Rebecca Lee</v>
          </cell>
          <cell r="N7597">
            <v>3.8540000000000001</v>
          </cell>
          <cell r="O7597">
            <v>3.6819999999999999</v>
          </cell>
        </row>
        <row r="7598">
          <cell r="E7598" t="str">
            <v>HIST</v>
          </cell>
          <cell r="F7598" t="str">
            <v>HIST-H</v>
          </cell>
          <cell r="G7598">
            <v>630</v>
          </cell>
          <cell r="H7598" t="str">
            <v>HIST-H630</v>
          </cell>
          <cell r="K7598" t="str">
            <v>Kriegel,Lara</v>
          </cell>
          <cell r="N7598" t="str">
            <v>NR</v>
          </cell>
          <cell r="O7598" t="str">
            <v>NR</v>
          </cell>
        </row>
        <row r="7599">
          <cell r="E7599" t="str">
            <v>HIST</v>
          </cell>
          <cell r="F7599" t="str">
            <v>HIST-H</v>
          </cell>
          <cell r="G7599">
            <v>640</v>
          </cell>
          <cell r="H7599" t="str">
            <v>HIST-H640</v>
          </cell>
          <cell r="K7599" t="str">
            <v>Eklof,Ben</v>
          </cell>
          <cell r="N7599" t="str">
            <v>NR</v>
          </cell>
          <cell r="O7599" t="str">
            <v>NR</v>
          </cell>
        </row>
        <row r="7600">
          <cell r="E7600" t="str">
            <v>HIST</v>
          </cell>
          <cell r="F7600" t="str">
            <v>HIST-H</v>
          </cell>
          <cell r="G7600">
            <v>640</v>
          </cell>
          <cell r="H7600" t="str">
            <v>HIST-H640</v>
          </cell>
          <cell r="K7600" t="str">
            <v>Kuromiya,Hiroaki</v>
          </cell>
          <cell r="N7600">
            <v>4</v>
          </cell>
          <cell r="O7600">
            <v>3.8860000000000001</v>
          </cell>
        </row>
        <row r="7601">
          <cell r="E7601" t="str">
            <v>HIST</v>
          </cell>
          <cell r="F7601" t="str">
            <v>HIST-H</v>
          </cell>
          <cell r="G7601">
            <v>645</v>
          </cell>
          <cell r="H7601" t="str">
            <v>HIST-H645</v>
          </cell>
          <cell r="K7601" t="str">
            <v>Kenney,Padraic</v>
          </cell>
          <cell r="N7601">
            <v>3.8</v>
          </cell>
          <cell r="O7601">
            <v>3.9020000000000001</v>
          </cell>
        </row>
        <row r="7602">
          <cell r="E7602" t="str">
            <v>HIST</v>
          </cell>
          <cell r="F7602" t="str">
            <v>HIST-H</v>
          </cell>
          <cell r="G7602">
            <v>650</v>
          </cell>
          <cell r="H7602" t="str">
            <v>HIST-H650</v>
          </cell>
          <cell r="K7602" t="str">
            <v>Dierks,Konstantin</v>
          </cell>
          <cell r="N7602">
            <v>3.8109999999999999</v>
          </cell>
          <cell r="O7602">
            <v>3.83</v>
          </cell>
        </row>
        <row r="7603">
          <cell r="E7603" t="str">
            <v>HIST</v>
          </cell>
          <cell r="F7603" t="str">
            <v>HIST-H</v>
          </cell>
          <cell r="G7603">
            <v>650</v>
          </cell>
          <cell r="H7603" t="str">
            <v>HIST-H650</v>
          </cell>
          <cell r="K7603" t="str">
            <v>Linenthal,Edward Tabor</v>
          </cell>
          <cell r="N7603">
            <v>4</v>
          </cell>
          <cell r="O7603">
            <v>3.9390000000000001</v>
          </cell>
        </row>
        <row r="7604">
          <cell r="E7604" t="str">
            <v>HIST</v>
          </cell>
          <cell r="F7604" t="str">
            <v>HIST-H</v>
          </cell>
          <cell r="G7604">
            <v>650</v>
          </cell>
          <cell r="H7604" t="str">
            <v>HIST-H650</v>
          </cell>
          <cell r="K7604" t="str">
            <v>Wu,Ellen Dionne</v>
          </cell>
          <cell r="N7604">
            <v>3.7</v>
          </cell>
          <cell r="O7604">
            <v>3.8050000000000002</v>
          </cell>
        </row>
        <row r="7605">
          <cell r="E7605" t="str">
            <v>HIST</v>
          </cell>
          <cell r="F7605" t="str">
            <v>HIST-H</v>
          </cell>
          <cell r="G7605">
            <v>665</v>
          </cell>
          <cell r="H7605" t="str">
            <v>HIST-H665</v>
          </cell>
          <cell r="K7605" t="str">
            <v>James,Danny</v>
          </cell>
          <cell r="N7605" t="str">
            <v>NR</v>
          </cell>
          <cell r="O7605" t="str">
            <v>NR</v>
          </cell>
        </row>
        <row r="7606">
          <cell r="E7606" t="str">
            <v>HIST</v>
          </cell>
          <cell r="F7606" t="str">
            <v>HIST-H</v>
          </cell>
          <cell r="G7606">
            <v>665</v>
          </cell>
          <cell r="H7606" t="str">
            <v>HIST-H665</v>
          </cell>
          <cell r="K7606" t="str">
            <v>James,Danny</v>
          </cell>
          <cell r="N7606">
            <v>3.85</v>
          </cell>
          <cell r="O7606">
            <v>3.8980000000000001</v>
          </cell>
        </row>
        <row r="7607">
          <cell r="E7607" t="str">
            <v>HIST</v>
          </cell>
          <cell r="F7607" t="str">
            <v>HIST-H</v>
          </cell>
          <cell r="G7607">
            <v>665</v>
          </cell>
          <cell r="H7607" t="str">
            <v>HIST-H665</v>
          </cell>
          <cell r="K7607" t="str">
            <v>McGraw,Jason P.</v>
          </cell>
          <cell r="N7607" t="str">
            <v>NR</v>
          </cell>
          <cell r="O7607" t="str">
            <v>NR</v>
          </cell>
        </row>
        <row r="7608">
          <cell r="E7608" t="str">
            <v>HIST</v>
          </cell>
          <cell r="F7608" t="str">
            <v>HIST-H</v>
          </cell>
          <cell r="G7608">
            <v>685</v>
          </cell>
          <cell r="H7608" t="str">
            <v>HIST-H685</v>
          </cell>
          <cell r="K7608" t="str">
            <v>Martin,Kevin</v>
          </cell>
          <cell r="N7608" t="str">
            <v>NR</v>
          </cell>
          <cell r="O7608" t="str">
            <v>NR</v>
          </cell>
        </row>
        <row r="7609">
          <cell r="E7609" t="str">
            <v>HIST</v>
          </cell>
          <cell r="F7609" t="str">
            <v>HIST-H</v>
          </cell>
          <cell r="G7609">
            <v>685</v>
          </cell>
          <cell r="H7609" t="str">
            <v>HIST-H685</v>
          </cell>
          <cell r="K7609" t="str">
            <v>Martin,Kevin</v>
          </cell>
          <cell r="N7609" t="str">
            <v>NR</v>
          </cell>
          <cell r="O7609" t="str">
            <v>NR</v>
          </cell>
        </row>
        <row r="7610">
          <cell r="E7610" t="str">
            <v>HIST</v>
          </cell>
          <cell r="F7610" t="str">
            <v>HIST-H</v>
          </cell>
          <cell r="G7610">
            <v>695</v>
          </cell>
          <cell r="H7610" t="str">
            <v>HIST-H695</v>
          </cell>
          <cell r="K7610" t="str">
            <v>Hanson,John Henry</v>
          </cell>
          <cell r="N7610" t="str">
            <v>NR</v>
          </cell>
          <cell r="O7610" t="str">
            <v>NR</v>
          </cell>
        </row>
        <row r="7611">
          <cell r="E7611" t="str">
            <v>HIST</v>
          </cell>
          <cell r="F7611" t="str">
            <v>HIST-H</v>
          </cell>
          <cell r="G7611">
            <v>695</v>
          </cell>
          <cell r="H7611" t="str">
            <v>HIST-H695</v>
          </cell>
          <cell r="K7611" t="str">
            <v>Moorman,Marissa J</v>
          </cell>
          <cell r="N7611" t="str">
            <v>NR</v>
          </cell>
          <cell r="O7611" t="str">
            <v>NR</v>
          </cell>
        </row>
        <row r="7612">
          <cell r="E7612" t="str">
            <v>HIST</v>
          </cell>
          <cell r="F7612" t="str">
            <v>HIST-H</v>
          </cell>
          <cell r="G7612">
            <v>699</v>
          </cell>
          <cell r="H7612" t="str">
            <v>HIST-H699</v>
          </cell>
          <cell r="K7612" t="str">
            <v>Clegg,Claude Andrew</v>
          </cell>
          <cell r="N7612" t="str">
            <v>NR</v>
          </cell>
          <cell r="O7612" t="str">
            <v>NR</v>
          </cell>
        </row>
        <row r="7613">
          <cell r="E7613" t="str">
            <v>HIST</v>
          </cell>
          <cell r="F7613" t="str">
            <v>HIST-H</v>
          </cell>
          <cell r="G7613">
            <v>699</v>
          </cell>
          <cell r="H7613" t="str">
            <v>HIST-H699</v>
          </cell>
          <cell r="K7613" t="str">
            <v>Machado,Pedro A</v>
          </cell>
          <cell r="N7613">
            <v>3.8570000000000002</v>
          </cell>
          <cell r="O7613">
            <v>3.855</v>
          </cell>
        </row>
        <row r="7614">
          <cell r="E7614" t="str">
            <v>HIST</v>
          </cell>
          <cell r="F7614" t="str">
            <v>HIST-H</v>
          </cell>
          <cell r="G7614">
            <v>699</v>
          </cell>
          <cell r="H7614" t="str">
            <v>HIST-H699</v>
          </cell>
          <cell r="K7614" t="str">
            <v>Wahrman,Dror</v>
          </cell>
          <cell r="N7614" t="str">
            <v>NR</v>
          </cell>
          <cell r="O7614" t="str">
            <v>NR</v>
          </cell>
        </row>
        <row r="7615">
          <cell r="E7615" t="str">
            <v>HIST</v>
          </cell>
          <cell r="F7615" t="str">
            <v>HIST-H</v>
          </cell>
          <cell r="G7615">
            <v>705</v>
          </cell>
          <cell r="H7615" t="str">
            <v>HIST-H705</v>
          </cell>
          <cell r="K7615" t="str">
            <v>Watts,Edward Jay</v>
          </cell>
          <cell r="N7615" t="str">
            <v>NR</v>
          </cell>
          <cell r="O7615" t="str">
            <v>NR</v>
          </cell>
        </row>
        <row r="7616">
          <cell r="E7616" t="str">
            <v>HIST</v>
          </cell>
          <cell r="F7616" t="str">
            <v>HIST-H</v>
          </cell>
          <cell r="G7616">
            <v>740</v>
          </cell>
          <cell r="H7616" t="str">
            <v>HIST-H740</v>
          </cell>
          <cell r="K7616" t="str">
            <v>Eklof,Ben</v>
          </cell>
          <cell r="N7616" t="str">
            <v>NR</v>
          </cell>
          <cell r="O7616" t="str">
            <v>NR</v>
          </cell>
        </row>
        <row r="7617">
          <cell r="E7617" t="str">
            <v>HIST</v>
          </cell>
          <cell r="F7617" t="str">
            <v>HIST-H</v>
          </cell>
          <cell r="G7617">
            <v>740</v>
          </cell>
          <cell r="H7617" t="str">
            <v>HIST-H740</v>
          </cell>
          <cell r="K7617" t="str">
            <v>Kuromiya,Hiroaki</v>
          </cell>
          <cell r="N7617" t="str">
            <v>NR</v>
          </cell>
          <cell r="O7617" t="str">
            <v>NR</v>
          </cell>
        </row>
        <row r="7618">
          <cell r="E7618" t="str">
            <v>HIST</v>
          </cell>
          <cell r="F7618" t="str">
            <v>HIST-H</v>
          </cell>
          <cell r="G7618">
            <v>750</v>
          </cell>
          <cell r="H7618" t="str">
            <v>HIST-H750</v>
          </cell>
          <cell r="K7618" t="str">
            <v>Linenthal,Edward Tabor</v>
          </cell>
          <cell r="N7618">
            <v>3.6419999999999999</v>
          </cell>
          <cell r="O7618">
            <v>3.746</v>
          </cell>
        </row>
        <row r="7619">
          <cell r="E7619" t="str">
            <v>HIST</v>
          </cell>
          <cell r="F7619" t="str">
            <v>HIST-H</v>
          </cell>
          <cell r="G7619">
            <v>795</v>
          </cell>
          <cell r="H7619" t="str">
            <v>HIST-H795</v>
          </cell>
          <cell r="K7619" t="str">
            <v>Hanson,John Henry</v>
          </cell>
          <cell r="N7619" t="str">
            <v>NR</v>
          </cell>
          <cell r="O7619" t="str">
            <v>NR</v>
          </cell>
        </row>
        <row r="7620">
          <cell r="E7620" t="str">
            <v>HIST</v>
          </cell>
          <cell r="F7620" t="str">
            <v>HIST-H</v>
          </cell>
          <cell r="G7620">
            <v>899</v>
          </cell>
          <cell r="H7620" t="str">
            <v>HIST-H899</v>
          </cell>
          <cell r="K7620" t="str">
            <v>Guardino,Peter Francis</v>
          </cell>
          <cell r="N7620" t="str">
            <v>NR</v>
          </cell>
          <cell r="O7620" t="str">
            <v>NR</v>
          </cell>
        </row>
        <row r="7621">
          <cell r="E7621" t="str">
            <v>HIST</v>
          </cell>
          <cell r="F7621" t="str">
            <v>HIST-H</v>
          </cell>
          <cell r="G7621">
            <v>899</v>
          </cell>
          <cell r="H7621" t="str">
            <v>HIST-H899</v>
          </cell>
          <cell r="K7621" t="str">
            <v>Guardino,Peter Francis</v>
          </cell>
          <cell r="N7621" t="str">
            <v>NR</v>
          </cell>
          <cell r="O7621" t="str">
            <v>NR</v>
          </cell>
        </row>
        <row r="7622">
          <cell r="E7622" t="str">
            <v>HIST</v>
          </cell>
          <cell r="F7622" t="str">
            <v>HIST-J</v>
          </cell>
          <cell r="G7622">
            <v>300</v>
          </cell>
          <cell r="H7622" t="str">
            <v>HIST-J300</v>
          </cell>
          <cell r="K7622" t="str">
            <v>Carmichael,Ann G.</v>
          </cell>
          <cell r="N7622">
            <v>3.512</v>
          </cell>
          <cell r="O7622">
            <v>3.1030000000000002</v>
          </cell>
        </row>
        <row r="7623">
          <cell r="E7623" t="str">
            <v>HIST</v>
          </cell>
          <cell r="F7623" t="str">
            <v>HIST-J</v>
          </cell>
          <cell r="G7623">
            <v>300</v>
          </cell>
          <cell r="H7623" t="str">
            <v>HIST-J300</v>
          </cell>
          <cell r="K7623" t="str">
            <v>Diaz,Arlene</v>
          </cell>
          <cell r="N7623" t="str">
            <v>NR</v>
          </cell>
          <cell r="O7623" t="str">
            <v>NR</v>
          </cell>
        </row>
        <row r="7624">
          <cell r="E7624" t="str">
            <v>HIST</v>
          </cell>
          <cell r="F7624" t="str">
            <v>HIST-J</v>
          </cell>
          <cell r="G7624">
            <v>300</v>
          </cell>
          <cell r="H7624" t="str">
            <v>HIST-J300</v>
          </cell>
          <cell r="K7624" t="str">
            <v>Field,Arthur</v>
          </cell>
          <cell r="N7624">
            <v>3.08</v>
          </cell>
          <cell r="O7624">
            <v>3.109</v>
          </cell>
        </row>
        <row r="7625">
          <cell r="E7625" t="str">
            <v>HIST</v>
          </cell>
          <cell r="F7625" t="str">
            <v>HIST-J</v>
          </cell>
          <cell r="G7625">
            <v>300</v>
          </cell>
          <cell r="H7625" t="str">
            <v>HIST-J300</v>
          </cell>
          <cell r="K7625" t="str">
            <v>Frieberg,Annika Elisabet</v>
          </cell>
          <cell r="N7625">
            <v>2.4129999999999998</v>
          </cell>
          <cell r="O7625">
            <v>2.9359999999999999</v>
          </cell>
        </row>
        <row r="7626">
          <cell r="E7626" t="str">
            <v>HIST</v>
          </cell>
          <cell r="F7626" t="str">
            <v>HIST-J</v>
          </cell>
          <cell r="G7626">
            <v>300</v>
          </cell>
          <cell r="H7626" t="str">
            <v>HIST-J300</v>
          </cell>
          <cell r="K7626" t="str">
            <v>Guardino,Peter Francis</v>
          </cell>
          <cell r="N7626">
            <v>3.3370000000000002</v>
          </cell>
          <cell r="O7626">
            <v>3.07</v>
          </cell>
        </row>
        <row r="7627">
          <cell r="E7627" t="str">
            <v>HIST</v>
          </cell>
          <cell r="F7627" t="str">
            <v>HIST-J</v>
          </cell>
          <cell r="G7627">
            <v>300</v>
          </cell>
          <cell r="H7627" t="str">
            <v>HIST-J300</v>
          </cell>
          <cell r="K7627" t="str">
            <v>Hanson,John Henry</v>
          </cell>
          <cell r="N7627">
            <v>3.1829999999999998</v>
          </cell>
          <cell r="O7627">
            <v>3.0139999999999998</v>
          </cell>
        </row>
        <row r="7628">
          <cell r="E7628" t="str">
            <v>HIST</v>
          </cell>
          <cell r="F7628" t="str">
            <v>HIST-J</v>
          </cell>
          <cell r="G7628">
            <v>300</v>
          </cell>
          <cell r="H7628" t="str">
            <v>HIST-J300</v>
          </cell>
          <cell r="K7628" t="str">
            <v>Lehmann,Matthias B.</v>
          </cell>
          <cell r="N7628">
            <v>2.7130000000000001</v>
          </cell>
          <cell r="O7628">
            <v>2.766</v>
          </cell>
        </row>
        <row r="7629">
          <cell r="E7629" t="str">
            <v>HIST</v>
          </cell>
          <cell r="F7629" t="str">
            <v>HIST-J</v>
          </cell>
          <cell r="G7629">
            <v>300</v>
          </cell>
          <cell r="H7629" t="str">
            <v>HIST-J300</v>
          </cell>
          <cell r="K7629" t="str">
            <v>Machado,Pedro A</v>
          </cell>
          <cell r="N7629">
            <v>3.2890000000000001</v>
          </cell>
          <cell r="O7629">
            <v>2.9249999999999998</v>
          </cell>
        </row>
        <row r="7630">
          <cell r="E7630" t="str">
            <v>HIST</v>
          </cell>
          <cell r="F7630" t="str">
            <v>HIST-J</v>
          </cell>
          <cell r="G7630">
            <v>300</v>
          </cell>
          <cell r="H7630" t="str">
            <v>HIST-J300</v>
          </cell>
          <cell r="K7630" t="str">
            <v>Moyd,Michelle Renee</v>
          </cell>
          <cell r="N7630">
            <v>2.89</v>
          </cell>
          <cell r="O7630">
            <v>2.9710000000000001</v>
          </cell>
        </row>
        <row r="7631">
          <cell r="E7631" t="str">
            <v>HIST</v>
          </cell>
          <cell r="F7631" t="str">
            <v>HIST-J</v>
          </cell>
          <cell r="G7631">
            <v>300</v>
          </cell>
          <cell r="H7631" t="str">
            <v>HIST-J300</v>
          </cell>
          <cell r="K7631" t="str">
            <v>Myers,Amrita</v>
          </cell>
          <cell r="N7631">
            <v>2.6619999999999999</v>
          </cell>
          <cell r="O7631">
            <v>2.855</v>
          </cell>
        </row>
        <row r="7632">
          <cell r="E7632" t="str">
            <v>HIST</v>
          </cell>
          <cell r="F7632" t="str">
            <v>HIST-J</v>
          </cell>
          <cell r="G7632">
            <v>300</v>
          </cell>
          <cell r="H7632" t="str">
            <v>HIST-J300</v>
          </cell>
          <cell r="K7632" t="str">
            <v>Pergher,Roberta</v>
          </cell>
          <cell r="N7632">
            <v>3.0529999999999999</v>
          </cell>
          <cell r="O7632">
            <v>2.9620000000000002</v>
          </cell>
        </row>
        <row r="7633">
          <cell r="E7633" t="str">
            <v>HIST</v>
          </cell>
          <cell r="F7633" t="str">
            <v>HIST-J</v>
          </cell>
          <cell r="G7633">
            <v>300</v>
          </cell>
          <cell r="H7633" t="str">
            <v>HIST-J300</v>
          </cell>
          <cell r="K7633" t="str">
            <v>Roseman,Mark</v>
          </cell>
          <cell r="N7633">
            <v>3.2749999999999999</v>
          </cell>
          <cell r="O7633">
            <v>3.044</v>
          </cell>
        </row>
        <row r="7634">
          <cell r="E7634" t="str">
            <v>HIST</v>
          </cell>
          <cell r="F7634" t="str">
            <v>HIST-J</v>
          </cell>
          <cell r="G7634">
            <v>300</v>
          </cell>
          <cell r="H7634" t="str">
            <v>HIST-J300</v>
          </cell>
          <cell r="K7634" t="str">
            <v>Sahin,Kaya</v>
          </cell>
          <cell r="N7634">
            <v>2.956</v>
          </cell>
          <cell r="O7634">
            <v>3.1659999999999999</v>
          </cell>
        </row>
        <row r="7635">
          <cell r="E7635" t="str">
            <v>HIST</v>
          </cell>
          <cell r="F7635" t="str">
            <v>HIST-J</v>
          </cell>
          <cell r="G7635">
            <v>300</v>
          </cell>
          <cell r="H7635" t="str">
            <v>HIST-J300</v>
          </cell>
          <cell r="K7635" t="str">
            <v>Schlesinger,Jonathan</v>
          </cell>
          <cell r="N7635">
            <v>2.875</v>
          </cell>
          <cell r="O7635">
            <v>2.94</v>
          </cell>
        </row>
        <row r="7636">
          <cell r="E7636" t="str">
            <v>HIST</v>
          </cell>
          <cell r="F7636" t="str">
            <v>HIST-J</v>
          </cell>
          <cell r="G7636">
            <v>300</v>
          </cell>
          <cell r="H7636" t="str">
            <v>HIST-J300</v>
          </cell>
          <cell r="K7636" t="str">
            <v>Spang,Rebecca Lee</v>
          </cell>
          <cell r="N7636">
            <v>2.8929999999999998</v>
          </cell>
          <cell r="O7636">
            <v>3.2610000000000001</v>
          </cell>
        </row>
        <row r="7637">
          <cell r="E7637" t="str">
            <v>HIST</v>
          </cell>
          <cell r="F7637" t="str">
            <v>HIST-J</v>
          </cell>
          <cell r="G7637">
            <v>300</v>
          </cell>
          <cell r="H7637" t="str">
            <v>HIST-J300</v>
          </cell>
          <cell r="K7637" t="str">
            <v>Veidlinger,Jeffrey</v>
          </cell>
          <cell r="N7637">
            <v>3.339</v>
          </cell>
          <cell r="O7637">
            <v>3.1920000000000002</v>
          </cell>
        </row>
        <row r="7638">
          <cell r="E7638" t="str">
            <v>HIST</v>
          </cell>
          <cell r="F7638" t="str">
            <v>HIST-J</v>
          </cell>
          <cell r="G7638">
            <v>300</v>
          </cell>
          <cell r="H7638" t="str">
            <v>HIST-J300</v>
          </cell>
          <cell r="K7638" t="str">
            <v>Wu,Ellen Dionne</v>
          </cell>
          <cell r="N7638">
            <v>3.4209999999999998</v>
          </cell>
          <cell r="O7638">
            <v>3.3119999999999998</v>
          </cell>
        </row>
        <row r="7639">
          <cell r="E7639" t="str">
            <v>HIST</v>
          </cell>
          <cell r="F7639" t="str">
            <v>HIST-J</v>
          </cell>
          <cell r="G7639">
            <v>301</v>
          </cell>
          <cell r="H7639" t="str">
            <v>HIST-J301</v>
          </cell>
          <cell r="K7639" t="str">
            <v>Diaz,Arlene</v>
          </cell>
          <cell r="N7639">
            <v>3.0329999999999999</v>
          </cell>
          <cell r="O7639">
            <v>2.9609999999999999</v>
          </cell>
        </row>
        <row r="7640">
          <cell r="E7640" t="str">
            <v>HIST</v>
          </cell>
          <cell r="F7640" t="str">
            <v>HIST-J</v>
          </cell>
          <cell r="G7640">
            <v>301</v>
          </cell>
          <cell r="H7640" t="str">
            <v>HIST-J301</v>
          </cell>
          <cell r="K7640" t="str">
            <v>Nieto-Phillips,John M.</v>
          </cell>
          <cell r="N7640">
            <v>2.9</v>
          </cell>
          <cell r="O7640">
            <v>2.9630000000000001</v>
          </cell>
        </row>
        <row r="7641">
          <cell r="E7641" t="str">
            <v>HIST</v>
          </cell>
          <cell r="F7641" t="str">
            <v>HIST-J</v>
          </cell>
          <cell r="G7641">
            <v>301</v>
          </cell>
          <cell r="H7641" t="str">
            <v>HIST-J301</v>
          </cell>
          <cell r="K7641" t="str">
            <v>Sandweiss,Eric T.</v>
          </cell>
          <cell r="N7641">
            <v>3.26</v>
          </cell>
          <cell r="O7641">
            <v>3.3650000000000002</v>
          </cell>
        </row>
        <row r="7642">
          <cell r="E7642" t="str">
            <v>HIST</v>
          </cell>
          <cell r="F7642" t="str">
            <v>HIST-J</v>
          </cell>
          <cell r="G7642">
            <v>301</v>
          </cell>
          <cell r="H7642" t="str">
            <v>HIST-J301</v>
          </cell>
          <cell r="K7642" t="str">
            <v>Shopkow,Leah</v>
          </cell>
          <cell r="N7642">
            <v>3.1640000000000001</v>
          </cell>
          <cell r="O7642">
            <v>3.1909999999999998</v>
          </cell>
        </row>
        <row r="7643">
          <cell r="E7643" t="str">
            <v>HIST</v>
          </cell>
          <cell r="F7643" t="str">
            <v>HIST-J</v>
          </cell>
          <cell r="G7643">
            <v>400</v>
          </cell>
          <cell r="H7643" t="str">
            <v>HIST-J400</v>
          </cell>
          <cell r="K7643" t="str">
            <v>Cullather,Nicholas Barry</v>
          </cell>
          <cell r="N7643">
            <v>2.8380000000000001</v>
          </cell>
          <cell r="O7643">
            <v>3.2090000000000001</v>
          </cell>
        </row>
        <row r="7644">
          <cell r="E7644" t="str">
            <v>HIST</v>
          </cell>
          <cell r="F7644" t="str">
            <v>HIST-J</v>
          </cell>
          <cell r="G7644">
            <v>400</v>
          </cell>
          <cell r="H7644" t="str">
            <v>HIST-J400</v>
          </cell>
          <cell r="K7644" t="str">
            <v>Diaz,Arlene</v>
          </cell>
          <cell r="N7644">
            <v>2.89</v>
          </cell>
          <cell r="O7644">
            <v>3.0390000000000001</v>
          </cell>
        </row>
        <row r="7645">
          <cell r="E7645" t="str">
            <v>HIST</v>
          </cell>
          <cell r="F7645" t="str">
            <v>HIST-J</v>
          </cell>
          <cell r="G7645">
            <v>400</v>
          </cell>
          <cell r="H7645" t="str">
            <v>HIST-J400</v>
          </cell>
          <cell r="K7645" t="str">
            <v>Kuromiya,Hiroaki</v>
          </cell>
          <cell r="N7645">
            <v>3.415</v>
          </cell>
          <cell r="O7645">
            <v>3.1680000000000001</v>
          </cell>
        </row>
        <row r="7646">
          <cell r="E7646" t="str">
            <v>HIST</v>
          </cell>
          <cell r="F7646" t="str">
            <v>HIST-J</v>
          </cell>
          <cell r="G7646">
            <v>400</v>
          </cell>
          <cell r="H7646" t="str">
            <v>HIST-J400</v>
          </cell>
          <cell r="K7646" t="str">
            <v>Maglen,Krista</v>
          </cell>
          <cell r="N7646">
            <v>3.0470000000000002</v>
          </cell>
          <cell r="O7646">
            <v>2.9990000000000001</v>
          </cell>
        </row>
        <row r="7647">
          <cell r="E7647" t="str">
            <v>HIST</v>
          </cell>
          <cell r="F7647" t="str">
            <v>HIST-J</v>
          </cell>
          <cell r="G7647">
            <v>400</v>
          </cell>
          <cell r="H7647" t="str">
            <v>HIST-J400</v>
          </cell>
          <cell r="K7647" t="str">
            <v>McGerr,Michael Edward</v>
          </cell>
          <cell r="N7647">
            <v>3.86</v>
          </cell>
          <cell r="O7647">
            <v>3.3090000000000002</v>
          </cell>
        </row>
        <row r="7648">
          <cell r="E7648" t="str">
            <v>HIST</v>
          </cell>
          <cell r="F7648" t="str">
            <v>HIST-J</v>
          </cell>
          <cell r="G7648">
            <v>400</v>
          </cell>
          <cell r="H7648" t="str">
            <v>HIST-J400</v>
          </cell>
          <cell r="K7648" t="str">
            <v>Ransel,David L.</v>
          </cell>
          <cell r="N7648">
            <v>3.0739999999999998</v>
          </cell>
          <cell r="O7648">
            <v>3.1760000000000002</v>
          </cell>
        </row>
        <row r="7649">
          <cell r="E7649" t="str">
            <v>HIST</v>
          </cell>
          <cell r="F7649" t="str">
            <v>HIST-J</v>
          </cell>
          <cell r="G7649">
            <v>400</v>
          </cell>
          <cell r="H7649" t="str">
            <v>HIST-J400</v>
          </cell>
          <cell r="K7649" t="str">
            <v>Roos,Julia</v>
          </cell>
          <cell r="N7649">
            <v>3.1259999999999999</v>
          </cell>
          <cell r="O7649">
            <v>3.1360000000000001</v>
          </cell>
        </row>
        <row r="7650">
          <cell r="E7650" t="str">
            <v>HIST</v>
          </cell>
          <cell r="F7650" t="str">
            <v>HIST-J</v>
          </cell>
          <cell r="G7650">
            <v>400</v>
          </cell>
          <cell r="H7650" t="str">
            <v>HIST-J400</v>
          </cell>
          <cell r="K7650" t="str">
            <v>Sandweiss,Eric T.</v>
          </cell>
          <cell r="N7650">
            <v>3.625</v>
          </cell>
          <cell r="O7650">
            <v>3.306</v>
          </cell>
        </row>
        <row r="7651">
          <cell r="E7651" t="str">
            <v>HIST</v>
          </cell>
          <cell r="F7651" t="str">
            <v>HIST-K</v>
          </cell>
          <cell r="G7651">
            <v>392</v>
          </cell>
          <cell r="H7651" t="str">
            <v>HIST-K392</v>
          </cell>
          <cell r="K7651" t="str">
            <v>Dodson,Michael Sinclair</v>
          </cell>
          <cell r="N7651">
            <v>3.8170000000000002</v>
          </cell>
          <cell r="O7651">
            <v>3.8660000000000001</v>
          </cell>
        </row>
        <row r="7652">
          <cell r="E7652" t="str">
            <v>HIST</v>
          </cell>
          <cell r="F7652" t="str">
            <v>HIST-K</v>
          </cell>
          <cell r="G7652">
            <v>498</v>
          </cell>
          <cell r="H7652" t="str">
            <v>HIST-K498</v>
          </cell>
          <cell r="K7652" t="str">
            <v>Guardino,Peter Francis</v>
          </cell>
          <cell r="N7652">
            <v>3.9569999999999999</v>
          </cell>
          <cell r="O7652">
            <v>3.778</v>
          </cell>
        </row>
        <row r="7653">
          <cell r="E7653" t="str">
            <v>HIST</v>
          </cell>
          <cell r="F7653" t="str">
            <v>HIST-K</v>
          </cell>
          <cell r="G7653">
            <v>499</v>
          </cell>
          <cell r="H7653" t="str">
            <v>HIST-K499</v>
          </cell>
          <cell r="K7653" t="str">
            <v>Guardino,Peter Francis</v>
          </cell>
          <cell r="N7653" t="str">
            <v>NR</v>
          </cell>
          <cell r="O7653" t="str">
            <v>NR</v>
          </cell>
        </row>
        <row r="7654">
          <cell r="E7654" t="str">
            <v>HIST</v>
          </cell>
          <cell r="F7654" t="str">
            <v>HIST-K</v>
          </cell>
          <cell r="G7654">
            <v>499</v>
          </cell>
          <cell r="H7654" t="str">
            <v>HIST-K499</v>
          </cell>
          <cell r="K7654" t="str">
            <v>Guardino,Peter Francis</v>
          </cell>
          <cell r="N7654" t="str">
            <v>NR</v>
          </cell>
          <cell r="O7654" t="str">
            <v>NR</v>
          </cell>
        </row>
        <row r="7655">
          <cell r="E7655" t="str">
            <v>HIST</v>
          </cell>
          <cell r="F7655" t="str">
            <v>HIST-OS</v>
          </cell>
          <cell r="G7655">
            <v>100</v>
          </cell>
          <cell r="H7655" t="str">
            <v>HIST-OS100</v>
          </cell>
          <cell r="N7655" t="str">
            <v>NR</v>
          </cell>
          <cell r="O7655" t="str">
            <v>NR</v>
          </cell>
        </row>
        <row r="7656">
          <cell r="E7656" t="str">
            <v>HIST</v>
          </cell>
          <cell r="F7656" t="str">
            <v>HIST-T</v>
          </cell>
          <cell r="G7656">
            <v>500</v>
          </cell>
          <cell r="H7656" t="str">
            <v>HIST-T500</v>
          </cell>
          <cell r="K7656" t="str">
            <v>Lazzerini,Edward J.</v>
          </cell>
          <cell r="N7656" t="str">
            <v>NR</v>
          </cell>
          <cell r="O7656" t="str">
            <v>NR</v>
          </cell>
        </row>
        <row r="7657">
          <cell r="E7657" t="str">
            <v>HIST</v>
          </cell>
          <cell r="F7657" t="str">
            <v>HIST-T</v>
          </cell>
          <cell r="G7657">
            <v>500</v>
          </cell>
          <cell r="H7657" t="str">
            <v>HIST-T500</v>
          </cell>
          <cell r="K7657" t="str">
            <v>Lazzerini,Edward J.</v>
          </cell>
          <cell r="N7657" t="str">
            <v>NR</v>
          </cell>
          <cell r="O7657" t="str">
            <v>NR</v>
          </cell>
        </row>
        <row r="7658">
          <cell r="E7658" t="str">
            <v>HIST</v>
          </cell>
          <cell r="F7658" t="str">
            <v>HIST-W</v>
          </cell>
          <cell r="G7658">
            <v>300</v>
          </cell>
          <cell r="H7658" t="str">
            <v>HIST-W300</v>
          </cell>
          <cell r="K7658" t="str">
            <v>O'Bryan,Scott Patrick</v>
          </cell>
          <cell r="N7658">
            <v>3.0870000000000002</v>
          </cell>
          <cell r="O7658">
            <v>3.0680000000000001</v>
          </cell>
        </row>
        <row r="7659">
          <cell r="E7659" t="str">
            <v>HIST</v>
          </cell>
          <cell r="F7659" t="str">
            <v>HIST-W</v>
          </cell>
          <cell r="G7659">
            <v>300</v>
          </cell>
          <cell r="H7659" t="str">
            <v>HIST-W300</v>
          </cell>
          <cell r="K7659" t="str">
            <v>O'Bryan,Scott Patrick</v>
          </cell>
          <cell r="N7659" t="str">
            <v>NR</v>
          </cell>
          <cell r="O7659" t="str">
            <v>NR</v>
          </cell>
        </row>
        <row r="7660">
          <cell r="E7660" t="str">
            <v>HON</v>
          </cell>
          <cell r="F7660" t="str">
            <v xml:space="preserve">HON-H </v>
          </cell>
          <cell r="G7660">
            <v>211</v>
          </cell>
          <cell r="H7660" t="str">
            <v>HON-H 211</v>
          </cell>
          <cell r="K7660" t="str">
            <v>Cecil,Richard Thomas</v>
          </cell>
          <cell r="N7660">
            <v>4</v>
          </cell>
          <cell r="O7660">
            <v>3.7930000000000001</v>
          </cell>
        </row>
        <row r="7661">
          <cell r="E7661" t="str">
            <v>HON</v>
          </cell>
          <cell r="F7661" t="str">
            <v xml:space="preserve">HON-H </v>
          </cell>
          <cell r="G7661">
            <v>211</v>
          </cell>
          <cell r="H7661" t="str">
            <v>HON-H 211</v>
          </cell>
          <cell r="K7661" t="str">
            <v>Hodges,Elizabeth Perry</v>
          </cell>
          <cell r="N7661">
            <v>3.2480000000000002</v>
          </cell>
          <cell r="O7661">
            <v>3.6429999999999998</v>
          </cell>
        </row>
        <row r="7662">
          <cell r="E7662" t="str">
            <v>HON</v>
          </cell>
          <cell r="F7662" t="str">
            <v xml:space="preserve">HON-H </v>
          </cell>
          <cell r="G7662">
            <v>212</v>
          </cell>
          <cell r="H7662" t="str">
            <v>HON-H 212</v>
          </cell>
          <cell r="K7662" t="str">
            <v>Gubar,Edward</v>
          </cell>
          <cell r="N7662">
            <v>3.7149999999999999</v>
          </cell>
          <cell r="O7662">
            <v>3.8279999999999998</v>
          </cell>
        </row>
        <row r="7663">
          <cell r="E7663" t="str">
            <v>HON</v>
          </cell>
          <cell r="F7663" t="str">
            <v xml:space="preserve">HON-H </v>
          </cell>
          <cell r="G7663">
            <v>212</v>
          </cell>
          <cell r="H7663" t="str">
            <v>HON-H 212</v>
          </cell>
          <cell r="K7663" t="str">
            <v>Gubar,Edward</v>
          </cell>
          <cell r="N7663">
            <v>3.871</v>
          </cell>
          <cell r="O7663">
            <v>3.6360000000000001</v>
          </cell>
        </row>
        <row r="7664">
          <cell r="E7664" t="str">
            <v>HON</v>
          </cell>
          <cell r="F7664" t="str">
            <v xml:space="preserve">HON-H </v>
          </cell>
          <cell r="G7664">
            <v>212</v>
          </cell>
          <cell r="H7664" t="str">
            <v>HON-H 212</v>
          </cell>
          <cell r="K7664" t="str">
            <v>Hodges,Elizabeth Perry</v>
          </cell>
          <cell r="N7664">
            <v>3.6110000000000002</v>
          </cell>
          <cell r="O7664">
            <v>3.5630000000000002</v>
          </cell>
        </row>
        <row r="7665">
          <cell r="E7665" t="str">
            <v>HON</v>
          </cell>
          <cell r="F7665" t="str">
            <v xml:space="preserve">HON-H </v>
          </cell>
          <cell r="G7665">
            <v>212</v>
          </cell>
          <cell r="H7665" t="str">
            <v>HON-H 212</v>
          </cell>
          <cell r="K7665" t="str">
            <v>Karaagac,John</v>
          </cell>
          <cell r="N7665">
            <v>3.867</v>
          </cell>
          <cell r="O7665">
            <v>3.6880000000000002</v>
          </cell>
        </row>
        <row r="7666">
          <cell r="E7666" t="str">
            <v>HON</v>
          </cell>
          <cell r="F7666" t="str">
            <v xml:space="preserve">HON-H </v>
          </cell>
          <cell r="G7666">
            <v>212</v>
          </cell>
          <cell r="H7666" t="str">
            <v>HON-H 212</v>
          </cell>
          <cell r="K7666" t="str">
            <v>Lieber,Frederic William</v>
          </cell>
          <cell r="N7666">
            <v>3.8140000000000001</v>
          </cell>
          <cell r="O7666">
            <v>3.7690000000000001</v>
          </cell>
        </row>
        <row r="7667">
          <cell r="E7667" t="str">
            <v>HON</v>
          </cell>
          <cell r="F7667" t="str">
            <v xml:space="preserve">HON-H </v>
          </cell>
          <cell r="G7667">
            <v>213</v>
          </cell>
          <cell r="H7667" t="str">
            <v>HON-H 213</v>
          </cell>
          <cell r="K7667" t="str">
            <v>Evans,Gareth</v>
          </cell>
          <cell r="N7667">
            <v>3.621</v>
          </cell>
          <cell r="O7667">
            <v>3.5590000000000002</v>
          </cell>
        </row>
        <row r="7668">
          <cell r="E7668" t="str">
            <v>HON</v>
          </cell>
          <cell r="F7668" t="str">
            <v xml:space="preserve">HON-H </v>
          </cell>
          <cell r="G7668">
            <v>213</v>
          </cell>
          <cell r="H7668" t="str">
            <v>HON-H 213</v>
          </cell>
          <cell r="K7668" t="str">
            <v>Evans,Gareth</v>
          </cell>
          <cell r="N7668">
            <v>3.613</v>
          </cell>
          <cell r="O7668">
            <v>3.6520000000000001</v>
          </cell>
        </row>
        <row r="7669">
          <cell r="E7669" t="str">
            <v>HON</v>
          </cell>
          <cell r="F7669" t="str">
            <v xml:space="preserve">HON-H </v>
          </cell>
          <cell r="G7669">
            <v>213</v>
          </cell>
          <cell r="H7669" t="str">
            <v>HON-H 213</v>
          </cell>
          <cell r="K7669" t="str">
            <v>Evans,Gareth</v>
          </cell>
          <cell r="N7669">
            <v>3.718</v>
          </cell>
          <cell r="O7669">
            <v>3.6909999999999998</v>
          </cell>
        </row>
        <row r="7670">
          <cell r="E7670" t="str">
            <v>HON</v>
          </cell>
          <cell r="F7670" t="str">
            <v xml:space="preserve">HON-H </v>
          </cell>
          <cell r="G7670">
            <v>213</v>
          </cell>
          <cell r="H7670" t="str">
            <v>HON-H 213</v>
          </cell>
          <cell r="K7670" t="str">
            <v>Evans,Gareth</v>
          </cell>
          <cell r="N7670">
            <v>3.6749999999999998</v>
          </cell>
          <cell r="O7670">
            <v>3.5539999999999998</v>
          </cell>
        </row>
        <row r="7671">
          <cell r="E7671" t="str">
            <v>HON</v>
          </cell>
          <cell r="F7671" t="str">
            <v xml:space="preserve">HON-H </v>
          </cell>
          <cell r="G7671">
            <v>226</v>
          </cell>
          <cell r="H7671" t="str">
            <v>HON-H 226</v>
          </cell>
          <cell r="K7671" t="str">
            <v>Breithaupt,Fritz Alwin</v>
          </cell>
          <cell r="N7671">
            <v>3.7050000000000001</v>
          </cell>
          <cell r="O7671">
            <v>3.6850000000000001</v>
          </cell>
        </row>
        <row r="7672">
          <cell r="E7672" t="str">
            <v>HON</v>
          </cell>
          <cell r="F7672" t="str">
            <v xml:space="preserve">HON-H </v>
          </cell>
          <cell r="G7672">
            <v>226</v>
          </cell>
          <cell r="H7672" t="str">
            <v>HON-H 226</v>
          </cell>
          <cell r="K7672" t="str">
            <v>Breithaupt,Fritz Alwin</v>
          </cell>
          <cell r="N7672">
            <v>3.694</v>
          </cell>
          <cell r="O7672">
            <v>3.585</v>
          </cell>
        </row>
        <row r="7673">
          <cell r="E7673" t="str">
            <v>HON</v>
          </cell>
          <cell r="F7673" t="str">
            <v xml:space="preserve">HON-H </v>
          </cell>
          <cell r="G7673">
            <v>226</v>
          </cell>
          <cell r="H7673" t="str">
            <v>HON-H 226</v>
          </cell>
          <cell r="K7673" t="str">
            <v>Smith,Kathy Overhulse</v>
          </cell>
          <cell r="N7673">
            <v>3.6</v>
          </cell>
          <cell r="O7673">
            <v>3.7480000000000002</v>
          </cell>
        </row>
        <row r="7674">
          <cell r="E7674" t="str">
            <v>HON</v>
          </cell>
          <cell r="F7674" t="str">
            <v xml:space="preserve">HON-H </v>
          </cell>
          <cell r="G7674">
            <v>228</v>
          </cell>
          <cell r="H7674" t="str">
            <v>HON-H 228</v>
          </cell>
          <cell r="K7674" t="str">
            <v>Martinez,Sylvia</v>
          </cell>
          <cell r="N7674" t="str">
            <v>NR</v>
          </cell>
          <cell r="O7674" t="str">
            <v>NR</v>
          </cell>
        </row>
        <row r="7675">
          <cell r="E7675" t="str">
            <v>HON</v>
          </cell>
          <cell r="F7675" t="str">
            <v xml:space="preserve">HON-H </v>
          </cell>
          <cell r="G7675">
            <v>232</v>
          </cell>
          <cell r="H7675" t="str">
            <v>HON-H 232</v>
          </cell>
          <cell r="K7675" t="str">
            <v>Cecil,Richard Thomas</v>
          </cell>
          <cell r="N7675">
            <v>4</v>
          </cell>
          <cell r="O7675">
            <v>3.7029999999999998</v>
          </cell>
        </row>
        <row r="7676">
          <cell r="E7676" t="str">
            <v>HON</v>
          </cell>
          <cell r="F7676" t="str">
            <v xml:space="preserve">HON-H </v>
          </cell>
          <cell r="G7676">
            <v>232</v>
          </cell>
          <cell r="H7676" t="str">
            <v>HON-H 232</v>
          </cell>
          <cell r="K7676" t="str">
            <v>Gubar,Edward</v>
          </cell>
          <cell r="N7676">
            <v>3.919</v>
          </cell>
          <cell r="O7676">
            <v>3.7839999999999998</v>
          </cell>
        </row>
        <row r="7677">
          <cell r="E7677" t="str">
            <v>HON</v>
          </cell>
          <cell r="F7677" t="str">
            <v xml:space="preserve">HON-H </v>
          </cell>
          <cell r="G7677">
            <v>233</v>
          </cell>
          <cell r="H7677" t="str">
            <v>HON-H 233</v>
          </cell>
          <cell r="K7677" t="str">
            <v>Emery,Jacob</v>
          </cell>
          <cell r="N7677">
            <v>3.8570000000000002</v>
          </cell>
          <cell r="O7677">
            <v>3.7</v>
          </cell>
        </row>
        <row r="7678">
          <cell r="E7678" t="str">
            <v>HON</v>
          </cell>
          <cell r="F7678" t="str">
            <v xml:space="preserve">HON-H </v>
          </cell>
          <cell r="G7678">
            <v>233</v>
          </cell>
          <cell r="H7678" t="str">
            <v>HON-H 233</v>
          </cell>
          <cell r="K7678" t="str">
            <v>Gray,Margaret E.</v>
          </cell>
          <cell r="N7678">
            <v>3.55</v>
          </cell>
          <cell r="O7678">
            <v>3.68</v>
          </cell>
        </row>
        <row r="7679">
          <cell r="E7679" t="str">
            <v>HON</v>
          </cell>
          <cell r="F7679" t="str">
            <v xml:space="preserve">HON-H </v>
          </cell>
          <cell r="G7679">
            <v>233</v>
          </cell>
          <cell r="H7679" t="str">
            <v>HON-H 233</v>
          </cell>
          <cell r="K7679" t="str">
            <v>Hertz,David M</v>
          </cell>
          <cell r="N7679">
            <v>3.75</v>
          </cell>
          <cell r="O7679">
            <v>3.6680000000000001</v>
          </cell>
        </row>
        <row r="7680">
          <cell r="E7680" t="str">
            <v>HON</v>
          </cell>
          <cell r="F7680" t="str">
            <v xml:space="preserve">HON-H </v>
          </cell>
          <cell r="G7680">
            <v>233</v>
          </cell>
          <cell r="H7680" t="str">
            <v>HON-H 233</v>
          </cell>
          <cell r="K7680" t="str">
            <v>Hodges,Elizabeth Perry</v>
          </cell>
          <cell r="N7680">
            <v>3.58</v>
          </cell>
          <cell r="O7680">
            <v>3.7120000000000002</v>
          </cell>
        </row>
        <row r="7681">
          <cell r="E7681" t="str">
            <v>HON</v>
          </cell>
          <cell r="F7681" t="str">
            <v xml:space="preserve">HON-H </v>
          </cell>
          <cell r="G7681">
            <v>233</v>
          </cell>
          <cell r="H7681" t="str">
            <v>HON-H 233</v>
          </cell>
          <cell r="K7681" t="str">
            <v>Hodges,Elizabeth Perry</v>
          </cell>
          <cell r="N7681">
            <v>3.5</v>
          </cell>
          <cell r="O7681">
            <v>3.5990000000000002</v>
          </cell>
        </row>
        <row r="7682">
          <cell r="E7682" t="str">
            <v>HON</v>
          </cell>
          <cell r="F7682" t="str">
            <v xml:space="preserve">HON-H </v>
          </cell>
          <cell r="G7682">
            <v>233</v>
          </cell>
          <cell r="H7682" t="str">
            <v>HON-H 233</v>
          </cell>
          <cell r="K7682" t="str">
            <v>Lieber,Frederic William</v>
          </cell>
          <cell r="N7682">
            <v>3.9449999999999998</v>
          </cell>
          <cell r="O7682">
            <v>3.8069999999999999</v>
          </cell>
        </row>
        <row r="7683">
          <cell r="E7683" t="str">
            <v>HON</v>
          </cell>
          <cell r="F7683" t="str">
            <v xml:space="preserve">HON-H </v>
          </cell>
          <cell r="G7683">
            <v>233</v>
          </cell>
          <cell r="H7683" t="str">
            <v>HON-H 233</v>
          </cell>
          <cell r="K7683" t="str">
            <v>Rubinstein,David</v>
          </cell>
          <cell r="N7683">
            <v>3.9860000000000002</v>
          </cell>
          <cell r="O7683">
            <v>3.7090000000000001</v>
          </cell>
        </row>
        <row r="7684">
          <cell r="E7684" t="str">
            <v>HON</v>
          </cell>
          <cell r="F7684" t="str">
            <v xml:space="preserve">HON-H </v>
          </cell>
          <cell r="G7684">
            <v>233</v>
          </cell>
          <cell r="H7684" t="str">
            <v>HON-H 233</v>
          </cell>
          <cell r="K7684" t="str">
            <v>Turk,Johannes</v>
          </cell>
          <cell r="N7684">
            <v>3.83</v>
          </cell>
          <cell r="O7684">
            <v>3.7290000000000001</v>
          </cell>
        </row>
        <row r="7685">
          <cell r="E7685" t="str">
            <v>HON</v>
          </cell>
          <cell r="F7685" t="str">
            <v xml:space="preserve">HON-H </v>
          </cell>
          <cell r="G7685">
            <v>233</v>
          </cell>
          <cell r="H7685" t="str">
            <v>HON-H 233</v>
          </cell>
          <cell r="K7685" t="str">
            <v>Valazza,Nicolas</v>
          </cell>
          <cell r="N7685">
            <v>3.7410000000000001</v>
          </cell>
          <cell r="O7685">
            <v>3.7130000000000001</v>
          </cell>
        </row>
        <row r="7686">
          <cell r="E7686" t="str">
            <v>HON</v>
          </cell>
          <cell r="F7686" t="str">
            <v xml:space="preserve">HON-H </v>
          </cell>
          <cell r="G7686">
            <v>233</v>
          </cell>
          <cell r="H7686" t="str">
            <v>HON-H 233</v>
          </cell>
          <cell r="K7686" t="str">
            <v>Weiner,Marc A.</v>
          </cell>
          <cell r="N7686">
            <v>3.8130000000000002</v>
          </cell>
          <cell r="O7686">
            <v>3.8650000000000002</v>
          </cell>
        </row>
        <row r="7687">
          <cell r="E7687" t="str">
            <v>HON</v>
          </cell>
          <cell r="F7687" t="str">
            <v xml:space="preserve">HON-H </v>
          </cell>
          <cell r="G7687">
            <v>234</v>
          </cell>
          <cell r="H7687" t="str">
            <v>HON-H 234</v>
          </cell>
          <cell r="K7687" t="str">
            <v>Arnaudo,Marco</v>
          </cell>
          <cell r="N7687">
            <v>3.7730000000000001</v>
          </cell>
          <cell r="O7687">
            <v>3.5409999999999999</v>
          </cell>
        </row>
        <row r="7688">
          <cell r="E7688" t="str">
            <v>HON</v>
          </cell>
          <cell r="F7688" t="str">
            <v xml:space="preserve">HON-H </v>
          </cell>
          <cell r="G7688">
            <v>234</v>
          </cell>
          <cell r="H7688" t="str">
            <v>HON-H 234</v>
          </cell>
          <cell r="K7688" t="str">
            <v>Evans,Gareth</v>
          </cell>
          <cell r="N7688">
            <v>3.7130000000000001</v>
          </cell>
          <cell r="O7688">
            <v>3.7850000000000001</v>
          </cell>
        </row>
        <row r="7689">
          <cell r="E7689" t="str">
            <v>HON</v>
          </cell>
          <cell r="F7689" t="str">
            <v xml:space="preserve">HON-H </v>
          </cell>
          <cell r="G7689">
            <v>234</v>
          </cell>
          <cell r="H7689" t="str">
            <v>HON-H 234</v>
          </cell>
          <cell r="K7689" t="str">
            <v>Evans,Gareth</v>
          </cell>
          <cell r="N7689">
            <v>3.75</v>
          </cell>
          <cell r="O7689">
            <v>3.6019999999999999</v>
          </cell>
        </row>
        <row r="7690">
          <cell r="E7690" t="str">
            <v>HON</v>
          </cell>
          <cell r="F7690" t="str">
            <v xml:space="preserve">HON-H </v>
          </cell>
          <cell r="G7690">
            <v>234</v>
          </cell>
          <cell r="H7690" t="str">
            <v>HON-H 234</v>
          </cell>
          <cell r="K7690" t="str">
            <v>Marks,Herbert J.</v>
          </cell>
          <cell r="N7690">
            <v>3.222</v>
          </cell>
          <cell r="O7690">
            <v>3.4980000000000002</v>
          </cell>
        </row>
        <row r="7691">
          <cell r="E7691" t="str">
            <v>HON</v>
          </cell>
          <cell r="F7691" t="str">
            <v xml:space="preserve">HON-H </v>
          </cell>
          <cell r="G7691">
            <v>234</v>
          </cell>
          <cell r="H7691" t="str">
            <v>HON-H 234</v>
          </cell>
          <cell r="K7691" t="str">
            <v>McCluskey Jr,John A.</v>
          </cell>
          <cell r="N7691">
            <v>3.5569999999999999</v>
          </cell>
          <cell r="O7691">
            <v>3.7749999999999999</v>
          </cell>
        </row>
        <row r="7692">
          <cell r="E7692" t="str">
            <v>HON</v>
          </cell>
          <cell r="F7692" t="str">
            <v xml:space="preserve">HON-H </v>
          </cell>
          <cell r="G7692">
            <v>234</v>
          </cell>
          <cell r="H7692" t="str">
            <v>HON-H 234</v>
          </cell>
          <cell r="K7692" t="str">
            <v>Rosenfeld,Alvin H.</v>
          </cell>
          <cell r="N7692">
            <v>3.375</v>
          </cell>
          <cell r="O7692">
            <v>3.476</v>
          </cell>
        </row>
        <row r="7693">
          <cell r="E7693" t="str">
            <v>HON</v>
          </cell>
          <cell r="F7693" t="str">
            <v xml:space="preserve">HON-H </v>
          </cell>
          <cell r="G7693">
            <v>234</v>
          </cell>
          <cell r="H7693" t="str">
            <v>HON-H 234</v>
          </cell>
          <cell r="K7693" t="str">
            <v>Rosenfeld,Alvin H.</v>
          </cell>
          <cell r="N7693">
            <v>3.7309999999999999</v>
          </cell>
          <cell r="O7693">
            <v>3.7090000000000001</v>
          </cell>
        </row>
        <row r="7694">
          <cell r="E7694" t="str">
            <v>HON</v>
          </cell>
          <cell r="F7694" t="str">
            <v xml:space="preserve">HON-H </v>
          </cell>
          <cell r="G7694">
            <v>234</v>
          </cell>
          <cell r="H7694" t="str">
            <v>HON-H 234</v>
          </cell>
          <cell r="K7694" t="str">
            <v>Sadlier,Darlene J.</v>
          </cell>
          <cell r="N7694">
            <v>3.6920000000000002</v>
          </cell>
          <cell r="O7694">
            <v>3.6589999999999998</v>
          </cell>
        </row>
        <row r="7695">
          <cell r="E7695" t="str">
            <v>HON</v>
          </cell>
          <cell r="F7695" t="str">
            <v xml:space="preserve">HON-H </v>
          </cell>
          <cell r="G7695">
            <v>234</v>
          </cell>
          <cell r="H7695" t="str">
            <v>HON-H 234</v>
          </cell>
          <cell r="K7695" t="str">
            <v>Upadhyay,Samrat</v>
          </cell>
          <cell r="N7695">
            <v>4</v>
          </cell>
          <cell r="O7695">
            <v>3.9089999999999998</v>
          </cell>
        </row>
        <row r="7696">
          <cell r="E7696" t="str">
            <v>HON</v>
          </cell>
          <cell r="F7696" t="str">
            <v xml:space="preserve">HON-H </v>
          </cell>
          <cell r="G7696">
            <v>235</v>
          </cell>
          <cell r="H7696" t="str">
            <v>HON-H 235</v>
          </cell>
          <cell r="K7696" t="str">
            <v>Reilly,Diane J</v>
          </cell>
          <cell r="N7696">
            <v>3.83</v>
          </cell>
          <cell r="O7696">
            <v>3.7229999999999999</v>
          </cell>
        </row>
        <row r="7697">
          <cell r="E7697" t="str">
            <v>HON</v>
          </cell>
          <cell r="F7697" t="str">
            <v xml:space="preserve">HON-H </v>
          </cell>
          <cell r="G7697">
            <v>236</v>
          </cell>
          <cell r="H7697" t="str">
            <v>HON-H 236</v>
          </cell>
          <cell r="K7697" t="str">
            <v>Wilson,George M.</v>
          </cell>
          <cell r="N7697">
            <v>3.84</v>
          </cell>
          <cell r="O7697">
            <v>3.6949999999999998</v>
          </cell>
        </row>
        <row r="7698">
          <cell r="E7698" t="str">
            <v>HON</v>
          </cell>
          <cell r="F7698" t="str">
            <v xml:space="preserve">HON-H </v>
          </cell>
          <cell r="G7698">
            <v>236</v>
          </cell>
          <cell r="H7698" t="str">
            <v>HON-H 236</v>
          </cell>
          <cell r="K7698" t="str">
            <v>Wilson,George M.</v>
          </cell>
          <cell r="N7698">
            <v>3.8759999999999999</v>
          </cell>
          <cell r="O7698">
            <v>3.59</v>
          </cell>
        </row>
        <row r="7699">
          <cell r="E7699" t="str">
            <v>HON</v>
          </cell>
          <cell r="F7699" t="str">
            <v xml:space="preserve">HON-H </v>
          </cell>
          <cell r="G7699">
            <v>237</v>
          </cell>
          <cell r="H7699" t="str">
            <v>HON-H 237</v>
          </cell>
          <cell r="K7699" t="str">
            <v>Conrad,Stephen A.</v>
          </cell>
          <cell r="N7699">
            <v>3.7709999999999999</v>
          </cell>
          <cell r="O7699">
            <v>3.65</v>
          </cell>
        </row>
        <row r="7700">
          <cell r="E7700" t="str">
            <v>HON</v>
          </cell>
          <cell r="F7700" t="str">
            <v xml:space="preserve">HON-H </v>
          </cell>
          <cell r="G7700">
            <v>237</v>
          </cell>
          <cell r="H7700" t="str">
            <v>HON-H 237</v>
          </cell>
          <cell r="K7700" t="str">
            <v>Lemper,Tim</v>
          </cell>
          <cell r="N7700">
            <v>4</v>
          </cell>
          <cell r="O7700">
            <v>3.9060000000000001</v>
          </cell>
        </row>
        <row r="7701">
          <cell r="E7701" t="str">
            <v>HON</v>
          </cell>
          <cell r="F7701" t="str">
            <v xml:space="preserve">HON-H </v>
          </cell>
          <cell r="G7701">
            <v>238</v>
          </cell>
          <cell r="H7701" t="str">
            <v>HON-H 238</v>
          </cell>
          <cell r="K7701" t="str">
            <v>Andrews,James R.</v>
          </cell>
          <cell r="N7701">
            <v>3.9870000000000001</v>
          </cell>
          <cell r="O7701">
            <v>3.7869999999999999</v>
          </cell>
        </row>
        <row r="7702">
          <cell r="E7702" t="str">
            <v>HON</v>
          </cell>
          <cell r="F7702" t="str">
            <v xml:space="preserve">HON-H </v>
          </cell>
          <cell r="G7702">
            <v>238</v>
          </cell>
          <cell r="H7702" t="str">
            <v>HON-H 238</v>
          </cell>
          <cell r="K7702" t="str">
            <v>Eder,Donna Jean</v>
          </cell>
          <cell r="N7702">
            <v>4</v>
          </cell>
          <cell r="O7702">
            <v>3.6080000000000001</v>
          </cell>
        </row>
        <row r="7703">
          <cell r="E7703" t="str">
            <v>HON</v>
          </cell>
          <cell r="F7703" t="str">
            <v xml:space="preserve">HON-H </v>
          </cell>
          <cell r="G7703">
            <v>238</v>
          </cell>
          <cell r="H7703" t="str">
            <v>HON-H 238</v>
          </cell>
          <cell r="K7703" t="str">
            <v>Gubar,Edward</v>
          </cell>
          <cell r="N7703">
            <v>3.6949999999999998</v>
          </cell>
          <cell r="O7703">
            <v>3.698</v>
          </cell>
        </row>
        <row r="7704">
          <cell r="E7704" t="str">
            <v>HON</v>
          </cell>
          <cell r="F7704" t="str">
            <v xml:space="preserve">HON-H </v>
          </cell>
          <cell r="G7704">
            <v>238</v>
          </cell>
          <cell r="H7704" t="str">
            <v>HON-H 238</v>
          </cell>
          <cell r="K7704" t="str">
            <v>Holdeman,Jeffrey D.</v>
          </cell>
          <cell r="N7704">
            <v>3.9630000000000001</v>
          </cell>
          <cell r="O7704">
            <v>3.73</v>
          </cell>
        </row>
        <row r="7705">
          <cell r="E7705" t="str">
            <v>HON</v>
          </cell>
          <cell r="F7705" t="str">
            <v xml:space="preserve">HON-H </v>
          </cell>
          <cell r="G7705">
            <v>240</v>
          </cell>
          <cell r="H7705" t="str">
            <v>HON-H 240</v>
          </cell>
          <cell r="K7705" t="str">
            <v>Bertoloni Meli,Domenico</v>
          </cell>
          <cell r="N7705">
            <v>3.4470000000000001</v>
          </cell>
          <cell r="O7705">
            <v>3.7349999999999999</v>
          </cell>
        </row>
        <row r="7706">
          <cell r="E7706" t="str">
            <v>HON</v>
          </cell>
          <cell r="F7706" t="str">
            <v xml:space="preserve">HON-H </v>
          </cell>
          <cell r="G7706">
            <v>240</v>
          </cell>
          <cell r="H7706" t="str">
            <v>HON-H 240</v>
          </cell>
          <cell r="K7706" t="str">
            <v>Koertge,Noretta</v>
          </cell>
          <cell r="N7706">
            <v>3.9710000000000001</v>
          </cell>
          <cell r="O7706">
            <v>3.8519999999999999</v>
          </cell>
        </row>
        <row r="7707">
          <cell r="E7707" t="str">
            <v>HON</v>
          </cell>
          <cell r="F7707" t="str">
            <v xml:space="preserve">HON-H </v>
          </cell>
          <cell r="G7707">
            <v>240</v>
          </cell>
          <cell r="H7707" t="str">
            <v>HON-H 240</v>
          </cell>
          <cell r="K7707" t="str">
            <v>Koertge,Noretta</v>
          </cell>
          <cell r="N7707">
            <v>3.927</v>
          </cell>
          <cell r="O7707">
            <v>3.6789999999999998</v>
          </cell>
        </row>
        <row r="7708">
          <cell r="E7708" t="str">
            <v>HON</v>
          </cell>
          <cell r="F7708" t="str">
            <v xml:space="preserve">HON-H </v>
          </cell>
          <cell r="G7708">
            <v>241</v>
          </cell>
          <cell r="H7708" t="str">
            <v>HON-H 241</v>
          </cell>
          <cell r="K7708" t="str">
            <v>Crystal,Jonathon</v>
          </cell>
          <cell r="N7708">
            <v>3.89</v>
          </cell>
          <cell r="O7708">
            <v>3.7890000000000001</v>
          </cell>
        </row>
        <row r="7709">
          <cell r="E7709" t="str">
            <v>HON</v>
          </cell>
          <cell r="F7709" t="str">
            <v xml:space="preserve">HON-H </v>
          </cell>
          <cell r="G7709">
            <v>241</v>
          </cell>
          <cell r="H7709" t="str">
            <v>HON-H 241</v>
          </cell>
          <cell r="K7709" t="str">
            <v>Crystal,Jonathon</v>
          </cell>
          <cell r="N7709">
            <v>3.6190000000000002</v>
          </cell>
          <cell r="O7709">
            <v>3.7549999999999999</v>
          </cell>
        </row>
        <row r="7710">
          <cell r="E7710" t="str">
            <v>HON</v>
          </cell>
          <cell r="F7710" t="str">
            <v xml:space="preserve">HON-H </v>
          </cell>
          <cell r="G7710">
            <v>241</v>
          </cell>
          <cell r="H7710" t="str">
            <v>HON-H 241</v>
          </cell>
          <cell r="K7710" t="str">
            <v>Espinosa Duran,John Michael</v>
          </cell>
          <cell r="N7710">
            <v>4</v>
          </cell>
          <cell r="O7710">
            <v>3.823</v>
          </cell>
        </row>
        <row r="7711">
          <cell r="E7711" t="str">
            <v>HON</v>
          </cell>
          <cell r="F7711" t="str">
            <v xml:space="preserve">HON-H </v>
          </cell>
          <cell r="G7711">
            <v>241</v>
          </cell>
          <cell r="H7711" t="str">
            <v>HON-H 241</v>
          </cell>
          <cell r="K7711" t="str">
            <v>Klaunig,James E.</v>
          </cell>
          <cell r="N7711">
            <v>3.7</v>
          </cell>
          <cell r="O7711">
            <v>3.6259999999999999</v>
          </cell>
        </row>
        <row r="7712">
          <cell r="E7712" t="str">
            <v>HON</v>
          </cell>
          <cell r="F7712" t="str">
            <v xml:space="preserve">HON-H </v>
          </cell>
          <cell r="G7712">
            <v>241</v>
          </cell>
          <cell r="H7712" t="str">
            <v>HON-H 241</v>
          </cell>
          <cell r="K7712" t="str">
            <v>Ortoleva,Peter J.</v>
          </cell>
          <cell r="N7712">
            <v>3.819</v>
          </cell>
          <cell r="O7712">
            <v>3.6709999999999998</v>
          </cell>
        </row>
        <row r="7713">
          <cell r="E7713" t="str">
            <v>HON</v>
          </cell>
          <cell r="F7713" t="str">
            <v xml:space="preserve">HON-H </v>
          </cell>
          <cell r="G7713">
            <v>241</v>
          </cell>
          <cell r="H7713" t="str">
            <v>HON-H 241</v>
          </cell>
          <cell r="K7713" t="str">
            <v>Savion,Leah</v>
          </cell>
          <cell r="N7713">
            <v>3.645</v>
          </cell>
          <cell r="O7713">
            <v>3.621</v>
          </cell>
        </row>
        <row r="7714">
          <cell r="E7714" t="str">
            <v>HON</v>
          </cell>
          <cell r="F7714" t="str">
            <v xml:space="preserve">HON-H </v>
          </cell>
          <cell r="G7714">
            <v>241</v>
          </cell>
          <cell r="H7714" t="str">
            <v>HON-H 241</v>
          </cell>
          <cell r="K7714" t="str">
            <v>Todd,Peter Martin</v>
          </cell>
          <cell r="N7714">
            <v>3.86</v>
          </cell>
          <cell r="O7714">
            <v>3.7490000000000001</v>
          </cell>
        </row>
        <row r="7715">
          <cell r="E7715" t="str">
            <v>HON</v>
          </cell>
          <cell r="F7715" t="str">
            <v xml:space="preserve">HON-H </v>
          </cell>
          <cell r="G7715">
            <v>242</v>
          </cell>
          <cell r="H7715" t="str">
            <v>HON-H 242</v>
          </cell>
          <cell r="K7715" t="str">
            <v>Miller,Alyce L.</v>
          </cell>
          <cell r="N7715">
            <v>3.7850000000000001</v>
          </cell>
          <cell r="O7715">
            <v>3.758</v>
          </cell>
        </row>
        <row r="7716">
          <cell r="E7716" t="str">
            <v>HON</v>
          </cell>
          <cell r="F7716" t="str">
            <v xml:space="preserve">HON-H </v>
          </cell>
          <cell r="G7716">
            <v>299</v>
          </cell>
          <cell r="H7716" t="str">
            <v>HON-H 299</v>
          </cell>
          <cell r="K7716" t="str">
            <v>Barbour,D. Christine</v>
          </cell>
          <cell r="N7716">
            <v>3.8690000000000002</v>
          </cell>
          <cell r="O7716">
            <v>3.6960000000000002</v>
          </cell>
        </row>
        <row r="7717">
          <cell r="E7717" t="str">
            <v>HON</v>
          </cell>
          <cell r="F7717" t="str">
            <v xml:space="preserve">HON-H </v>
          </cell>
          <cell r="G7717">
            <v>299</v>
          </cell>
          <cell r="H7717" t="str">
            <v>HON-H 299</v>
          </cell>
          <cell r="K7717" t="str">
            <v>Lieber,Frederic William</v>
          </cell>
          <cell r="N7717" t="str">
            <v>NR</v>
          </cell>
          <cell r="O7717" t="str">
            <v>NR</v>
          </cell>
        </row>
        <row r="7718">
          <cell r="E7718" t="str">
            <v>HON</v>
          </cell>
          <cell r="F7718" t="str">
            <v xml:space="preserve">HON-H </v>
          </cell>
          <cell r="G7718">
            <v>300</v>
          </cell>
          <cell r="H7718" t="str">
            <v>HON-H 300</v>
          </cell>
          <cell r="K7718" t="str">
            <v>Hayford,Stephen L.</v>
          </cell>
          <cell r="N7718">
            <v>3.867</v>
          </cell>
          <cell r="O7718">
            <v>3.7130000000000001</v>
          </cell>
        </row>
        <row r="7719">
          <cell r="E7719" t="str">
            <v>HON</v>
          </cell>
          <cell r="F7719" t="str">
            <v xml:space="preserve">HON-H </v>
          </cell>
          <cell r="G7719">
            <v>300</v>
          </cell>
          <cell r="H7719" t="str">
            <v>HON-H 300</v>
          </cell>
          <cell r="K7719" t="str">
            <v>Schick,Kathy</v>
          </cell>
          <cell r="N7719" t="str">
            <v>NR</v>
          </cell>
          <cell r="O7719" t="str">
            <v>NR</v>
          </cell>
        </row>
        <row r="7720">
          <cell r="E7720" t="str">
            <v>HON</v>
          </cell>
          <cell r="F7720" t="str">
            <v xml:space="preserve">HON-H </v>
          </cell>
          <cell r="G7720">
            <v>300</v>
          </cell>
          <cell r="H7720" t="str">
            <v>HON-H 300</v>
          </cell>
          <cell r="K7720" t="str">
            <v>Weber,Brenda</v>
          </cell>
          <cell r="N7720">
            <v>3.8889999999999998</v>
          </cell>
          <cell r="O7720">
            <v>3.4790000000000001</v>
          </cell>
        </row>
        <row r="7721">
          <cell r="E7721" t="str">
            <v>HON</v>
          </cell>
          <cell r="F7721" t="str">
            <v xml:space="preserve">HON-H </v>
          </cell>
          <cell r="G7721">
            <v>303</v>
          </cell>
          <cell r="H7721" t="str">
            <v>HON-H 303</v>
          </cell>
          <cell r="K7721" t="str">
            <v>Julien,Eileen</v>
          </cell>
          <cell r="N7721" t="str">
            <v>NR</v>
          </cell>
          <cell r="O7721" t="str">
            <v>NR</v>
          </cell>
        </row>
        <row r="7722">
          <cell r="E7722" t="str">
            <v>HON</v>
          </cell>
          <cell r="F7722" t="str">
            <v xml:space="preserve">HON-H </v>
          </cell>
          <cell r="G7722">
            <v>304</v>
          </cell>
          <cell r="H7722" t="str">
            <v>HON-H 304</v>
          </cell>
          <cell r="K7722" t="str">
            <v>Istrabadi,Feisal Amin</v>
          </cell>
          <cell r="N7722">
            <v>3.0859999999999999</v>
          </cell>
          <cell r="O7722">
            <v>3.3820000000000001</v>
          </cell>
        </row>
        <row r="7723">
          <cell r="E7723" t="str">
            <v>HON</v>
          </cell>
          <cell r="F7723" t="str">
            <v xml:space="preserve">HON-H </v>
          </cell>
          <cell r="G7723">
            <v>304</v>
          </cell>
          <cell r="H7723" t="str">
            <v>HON-H 304</v>
          </cell>
          <cell r="K7723" t="str">
            <v>Lenkowsky,Leslie</v>
          </cell>
          <cell r="N7723">
            <v>3.4580000000000002</v>
          </cell>
          <cell r="O7723">
            <v>3.6760000000000002</v>
          </cell>
        </row>
        <row r="7724">
          <cell r="E7724" t="str">
            <v>HON</v>
          </cell>
          <cell r="F7724" t="str">
            <v xml:space="preserve">HON-H </v>
          </cell>
          <cell r="G7724">
            <v>305</v>
          </cell>
          <cell r="H7724" t="str">
            <v>HON-H 305</v>
          </cell>
          <cell r="K7724" t="str">
            <v>Moss,Lawrence S.</v>
          </cell>
          <cell r="N7724">
            <v>3.867</v>
          </cell>
          <cell r="O7724">
            <v>3.629</v>
          </cell>
        </row>
        <row r="7725">
          <cell r="E7725" t="str">
            <v>HON</v>
          </cell>
          <cell r="F7725" t="str">
            <v xml:space="preserve">HON-H </v>
          </cell>
          <cell r="G7725">
            <v>400</v>
          </cell>
          <cell r="H7725" t="str">
            <v>HON-H 400</v>
          </cell>
          <cell r="K7725" t="str">
            <v>Cate,Fred H.</v>
          </cell>
          <cell r="N7725" t="str">
            <v>NR</v>
          </cell>
          <cell r="O7725" t="str">
            <v>NR</v>
          </cell>
        </row>
        <row r="7726">
          <cell r="E7726" t="str">
            <v>HON</v>
          </cell>
          <cell r="F7726" t="str">
            <v xml:space="preserve">HON-H </v>
          </cell>
          <cell r="G7726">
            <v>400</v>
          </cell>
          <cell r="H7726" t="str">
            <v>HON-H 400</v>
          </cell>
          <cell r="K7726" t="str">
            <v>Sissenich,Beate</v>
          </cell>
          <cell r="N7726" t="str">
            <v>NR</v>
          </cell>
          <cell r="O7726" t="str">
            <v>NR</v>
          </cell>
        </row>
        <row r="7727">
          <cell r="E7727" t="str">
            <v>HPER</v>
          </cell>
          <cell r="F7727" t="str">
            <v>HPER-A</v>
          </cell>
          <cell r="G7727">
            <v>269</v>
          </cell>
          <cell r="H7727" t="str">
            <v>HPER-A269</v>
          </cell>
          <cell r="K7727" t="str">
            <v>Klossner,Joanne Carmella</v>
          </cell>
          <cell r="N7727">
            <v>3.7290000000000001</v>
          </cell>
          <cell r="O7727">
            <v>3.274</v>
          </cell>
        </row>
        <row r="7728">
          <cell r="E7728" t="str">
            <v>HPER</v>
          </cell>
          <cell r="F7728" t="str">
            <v>HPER-A</v>
          </cell>
          <cell r="G7728">
            <v>270</v>
          </cell>
          <cell r="H7728" t="str">
            <v>HPER-A270</v>
          </cell>
          <cell r="K7728" t="str">
            <v>Grove,Katie A.</v>
          </cell>
          <cell r="N7728">
            <v>3.8929999999999998</v>
          </cell>
          <cell r="O7728">
            <v>3.5089999999999999</v>
          </cell>
        </row>
        <row r="7729">
          <cell r="E7729" t="str">
            <v>HPER</v>
          </cell>
          <cell r="F7729" t="str">
            <v>HPER-A</v>
          </cell>
          <cell r="G7729">
            <v>279</v>
          </cell>
          <cell r="H7729" t="str">
            <v>HPER-A279</v>
          </cell>
          <cell r="K7729" t="str">
            <v>Klossner,Joanne Carmella</v>
          </cell>
          <cell r="N7729">
            <v>3.2410000000000001</v>
          </cell>
          <cell r="O7729">
            <v>3.274</v>
          </cell>
        </row>
        <row r="7730">
          <cell r="E7730" t="str">
            <v>HPER</v>
          </cell>
          <cell r="F7730" t="str">
            <v>HPER-A</v>
          </cell>
          <cell r="G7730">
            <v>281</v>
          </cell>
          <cell r="H7730" t="str">
            <v>HPER-A281</v>
          </cell>
          <cell r="K7730" t="str">
            <v>Lueken,Joseph S</v>
          </cell>
          <cell r="N7730">
            <v>3.1859999999999999</v>
          </cell>
          <cell r="O7730">
            <v>3.5089999999999999</v>
          </cell>
        </row>
        <row r="7731">
          <cell r="E7731" t="str">
            <v>HPER</v>
          </cell>
          <cell r="F7731" t="str">
            <v>HPER-A</v>
          </cell>
          <cell r="G7731">
            <v>282</v>
          </cell>
          <cell r="H7731" t="str">
            <v>HPER-A282</v>
          </cell>
          <cell r="K7731" t="str">
            <v>Smith,Walter K</v>
          </cell>
          <cell r="N7731">
            <v>3.3530000000000002</v>
          </cell>
          <cell r="O7731">
            <v>3.274</v>
          </cell>
        </row>
        <row r="7732">
          <cell r="E7732" t="str">
            <v>HPER</v>
          </cell>
          <cell r="F7732" t="str">
            <v>HPER-A</v>
          </cell>
          <cell r="G7732">
            <v>283</v>
          </cell>
          <cell r="H7732" t="str">
            <v>HPER-A283</v>
          </cell>
          <cell r="K7732" t="str">
            <v>Grove,Katie A.</v>
          </cell>
          <cell r="N7732">
            <v>3.7</v>
          </cell>
          <cell r="O7732">
            <v>3.5089999999999999</v>
          </cell>
        </row>
        <row r="7733">
          <cell r="E7733" t="str">
            <v>HPER</v>
          </cell>
          <cell r="F7733" t="str">
            <v>HPER-A</v>
          </cell>
          <cell r="G7733">
            <v>361</v>
          </cell>
          <cell r="H7733" t="str">
            <v>HPER-A361</v>
          </cell>
          <cell r="K7733" t="str">
            <v>Deal,Mark R</v>
          </cell>
          <cell r="N7733">
            <v>3.41</v>
          </cell>
          <cell r="O7733">
            <v>2.72</v>
          </cell>
        </row>
        <row r="7734">
          <cell r="E7734" t="str">
            <v>HPER</v>
          </cell>
          <cell r="F7734" t="str">
            <v>HPER-A</v>
          </cell>
          <cell r="G7734">
            <v>362</v>
          </cell>
          <cell r="H7734" t="str">
            <v>HPER-A362</v>
          </cell>
          <cell r="K7734" t="str">
            <v>Grossman,Jayd</v>
          </cell>
          <cell r="N7734">
            <v>3.3490000000000002</v>
          </cell>
          <cell r="O7734">
            <v>2.94</v>
          </cell>
        </row>
        <row r="7735">
          <cell r="E7735" t="str">
            <v>HPER</v>
          </cell>
          <cell r="F7735" t="str">
            <v>HPER-A</v>
          </cell>
          <cell r="G7735">
            <v>363</v>
          </cell>
          <cell r="H7735" t="str">
            <v>HPER-A363</v>
          </cell>
          <cell r="K7735" t="str">
            <v>Morgan,Robert G</v>
          </cell>
          <cell r="N7735">
            <v>3.8079999999999998</v>
          </cell>
          <cell r="O7735">
            <v>3.069</v>
          </cell>
        </row>
        <row r="7736">
          <cell r="E7736" t="str">
            <v>HPER</v>
          </cell>
          <cell r="F7736" t="str">
            <v>HPER-A</v>
          </cell>
          <cell r="G7736">
            <v>363</v>
          </cell>
          <cell r="H7736" t="str">
            <v>HPER-A363</v>
          </cell>
          <cell r="K7736" t="str">
            <v>Morgan,Robert G</v>
          </cell>
          <cell r="N7736">
            <v>3.7320000000000002</v>
          </cell>
          <cell r="O7736">
            <v>2.6680000000000001</v>
          </cell>
        </row>
        <row r="7737">
          <cell r="E7737" t="str">
            <v>HPER</v>
          </cell>
          <cell r="F7737" t="str">
            <v>HPER-A</v>
          </cell>
          <cell r="G7737">
            <v>364</v>
          </cell>
          <cell r="H7737" t="str">
            <v>HPER-A364</v>
          </cell>
          <cell r="K7737" t="str">
            <v>Henson,Phillip Likins</v>
          </cell>
          <cell r="N7737">
            <v>3.8220000000000001</v>
          </cell>
          <cell r="O7737">
            <v>2.7349999999999999</v>
          </cell>
        </row>
        <row r="7738">
          <cell r="E7738" t="str">
            <v>HPER</v>
          </cell>
          <cell r="F7738" t="str">
            <v>HPER-A</v>
          </cell>
          <cell r="G7738">
            <v>367</v>
          </cell>
          <cell r="H7738" t="str">
            <v>HPER-A367</v>
          </cell>
          <cell r="K7738" t="str">
            <v>Cole,Phil</v>
          </cell>
          <cell r="N7738">
            <v>3.625</v>
          </cell>
          <cell r="O7738">
            <v>3.327</v>
          </cell>
        </row>
        <row r="7739">
          <cell r="E7739" t="str">
            <v>HPER</v>
          </cell>
          <cell r="F7739" t="str">
            <v>HPER-A</v>
          </cell>
          <cell r="G7739">
            <v>370</v>
          </cell>
          <cell r="H7739" t="str">
            <v>HPER-A370</v>
          </cell>
          <cell r="K7739" t="str">
            <v>Yarborough,Ernest Lynwood</v>
          </cell>
          <cell r="N7739">
            <v>3.6139999999999999</v>
          </cell>
          <cell r="O7739">
            <v>2.952</v>
          </cell>
        </row>
        <row r="7740">
          <cell r="E7740" t="str">
            <v>HPER</v>
          </cell>
          <cell r="F7740" t="str">
            <v>HPER-A</v>
          </cell>
          <cell r="G7740">
            <v>381</v>
          </cell>
          <cell r="H7740" t="str">
            <v>HPER-A381</v>
          </cell>
          <cell r="K7740" t="str">
            <v>Klossner,Joanne Carmella</v>
          </cell>
          <cell r="N7740">
            <v>3.867</v>
          </cell>
          <cell r="O7740">
            <v>3.5009999999999999</v>
          </cell>
        </row>
        <row r="7741">
          <cell r="E7741" t="str">
            <v>HPER</v>
          </cell>
          <cell r="F7741" t="str">
            <v>HPER-A</v>
          </cell>
          <cell r="G7741">
            <v>382</v>
          </cell>
          <cell r="H7741" t="str">
            <v>HPER-A382</v>
          </cell>
          <cell r="K7741" t="str">
            <v>Klossner,Joanne Carmella</v>
          </cell>
          <cell r="N7741">
            <v>3.9</v>
          </cell>
          <cell r="O7741">
            <v>3.2309999999999999</v>
          </cell>
        </row>
        <row r="7742">
          <cell r="E7742" t="str">
            <v>HPER</v>
          </cell>
          <cell r="F7742" t="str">
            <v>HPER-A</v>
          </cell>
          <cell r="G7742">
            <v>383</v>
          </cell>
          <cell r="H7742" t="str">
            <v>HPER-A383</v>
          </cell>
          <cell r="K7742" t="str">
            <v>Grove,Katie A.</v>
          </cell>
          <cell r="N7742">
            <v>3.5790000000000002</v>
          </cell>
          <cell r="O7742">
            <v>3.5089999999999999</v>
          </cell>
        </row>
        <row r="7743">
          <cell r="E7743" t="str">
            <v>HPER</v>
          </cell>
          <cell r="F7743" t="str">
            <v>HPER-A</v>
          </cell>
          <cell r="G7743">
            <v>384</v>
          </cell>
          <cell r="H7743" t="str">
            <v>HPER-A384</v>
          </cell>
          <cell r="K7743" t="str">
            <v>Klossner,Joanne Carmella</v>
          </cell>
          <cell r="N7743">
            <v>3.6840000000000002</v>
          </cell>
          <cell r="O7743">
            <v>3.2309999999999999</v>
          </cell>
        </row>
        <row r="7744">
          <cell r="E7744" t="str">
            <v>HPER</v>
          </cell>
          <cell r="F7744" t="str">
            <v>HPER-A</v>
          </cell>
          <cell r="G7744">
            <v>387</v>
          </cell>
          <cell r="H7744" t="str">
            <v>HPER-A387</v>
          </cell>
          <cell r="K7744" t="str">
            <v>Schrader,John W.</v>
          </cell>
          <cell r="N7744">
            <v>3.0950000000000002</v>
          </cell>
          <cell r="O7744">
            <v>3.484</v>
          </cell>
        </row>
        <row r="7745">
          <cell r="E7745" t="str">
            <v>HPER</v>
          </cell>
          <cell r="F7745" t="str">
            <v>HPER-A</v>
          </cell>
          <cell r="G7745">
            <v>481</v>
          </cell>
          <cell r="H7745" t="str">
            <v>HPER-A481</v>
          </cell>
          <cell r="K7745" t="str">
            <v>Klossner,Joanne Carmella</v>
          </cell>
          <cell r="N7745">
            <v>3.82</v>
          </cell>
          <cell r="O7745">
            <v>3.2589999999999999</v>
          </cell>
        </row>
        <row r="7746">
          <cell r="E7746" t="str">
            <v>HPER</v>
          </cell>
          <cell r="F7746" t="str">
            <v>HPER-A</v>
          </cell>
          <cell r="G7746">
            <v>482</v>
          </cell>
          <cell r="H7746" t="str">
            <v>HPER-A482</v>
          </cell>
          <cell r="K7746" t="str">
            <v>Grove,Katie A.</v>
          </cell>
          <cell r="N7746">
            <v>3.863</v>
          </cell>
          <cell r="O7746">
            <v>3.2240000000000002</v>
          </cell>
        </row>
        <row r="7747">
          <cell r="E7747" t="str">
            <v>HPER</v>
          </cell>
          <cell r="F7747" t="str">
            <v>HPER-A</v>
          </cell>
          <cell r="G7747">
            <v>483</v>
          </cell>
          <cell r="H7747" t="str">
            <v>HPER-A483</v>
          </cell>
          <cell r="K7747" t="str">
            <v>Debro,Marcus</v>
          </cell>
          <cell r="N7747">
            <v>4</v>
          </cell>
          <cell r="O7747">
            <v>2.4940000000000002</v>
          </cell>
        </row>
        <row r="7748">
          <cell r="E7748" t="str">
            <v>HPER</v>
          </cell>
          <cell r="F7748" t="str">
            <v>HPER-A</v>
          </cell>
          <cell r="G7748">
            <v>490</v>
          </cell>
          <cell r="H7748" t="str">
            <v>HPER-A490</v>
          </cell>
          <cell r="K7748" t="str">
            <v>Schrader,John W.</v>
          </cell>
          <cell r="N7748">
            <v>3.278</v>
          </cell>
          <cell r="O7748">
            <v>3.1819999999999999</v>
          </cell>
        </row>
        <row r="7749">
          <cell r="E7749" t="str">
            <v>HPER</v>
          </cell>
          <cell r="F7749" t="str">
            <v>HPER-A</v>
          </cell>
          <cell r="G7749">
            <v>491</v>
          </cell>
          <cell r="H7749" t="str">
            <v>HPER-A491</v>
          </cell>
          <cell r="K7749" t="str">
            <v>Grove,Katie A.</v>
          </cell>
          <cell r="N7749">
            <v>4</v>
          </cell>
          <cell r="O7749">
            <v>3.2589999999999999</v>
          </cell>
        </row>
        <row r="7750">
          <cell r="E7750" t="str">
            <v>HPER</v>
          </cell>
          <cell r="F7750" t="str">
            <v>HPER-A</v>
          </cell>
          <cell r="G7750">
            <v>585</v>
          </cell>
          <cell r="H7750" t="str">
            <v>HPER-A585</v>
          </cell>
          <cell r="K7750" t="str">
            <v>Kingma,Jackie</v>
          </cell>
          <cell r="N7750">
            <v>3.5070000000000001</v>
          </cell>
          <cell r="O7750">
            <v>3.5179999999999998</v>
          </cell>
        </row>
        <row r="7751">
          <cell r="E7751" t="str">
            <v>HPER</v>
          </cell>
          <cell r="F7751" t="str">
            <v>HPER-A</v>
          </cell>
          <cell r="G7751">
            <v>586</v>
          </cell>
          <cell r="H7751" t="str">
            <v>HPER-A586</v>
          </cell>
          <cell r="K7751" t="str">
            <v>Poppy,Wendeline Kay</v>
          </cell>
          <cell r="N7751">
            <v>3.7930000000000001</v>
          </cell>
          <cell r="O7751">
            <v>3.5179999999999998</v>
          </cell>
        </row>
        <row r="7752">
          <cell r="E7752" t="str">
            <v>HPER</v>
          </cell>
          <cell r="F7752" t="str">
            <v>HPER-A</v>
          </cell>
          <cell r="G7752">
            <v>590</v>
          </cell>
          <cell r="H7752" t="str">
            <v>HPER-A590</v>
          </cell>
          <cell r="K7752" t="str">
            <v>Docherty,Carrie</v>
          </cell>
          <cell r="N7752">
            <v>3.2080000000000002</v>
          </cell>
          <cell r="O7752">
            <v>3.4990000000000001</v>
          </cell>
        </row>
        <row r="7753">
          <cell r="E7753" t="str">
            <v>HPER</v>
          </cell>
          <cell r="F7753" t="str">
            <v>HPER-A</v>
          </cell>
          <cell r="G7753">
            <v>603</v>
          </cell>
          <cell r="H7753" t="str">
            <v>HPER-A603</v>
          </cell>
          <cell r="K7753" t="str">
            <v>Schrader,John W.</v>
          </cell>
          <cell r="N7753" t="str">
            <v>NR</v>
          </cell>
          <cell r="O7753" t="str">
            <v>NR</v>
          </cell>
        </row>
        <row r="7754">
          <cell r="E7754" t="str">
            <v>HPER</v>
          </cell>
          <cell r="F7754" t="str">
            <v>HPER-A</v>
          </cell>
          <cell r="G7754">
            <v>603</v>
          </cell>
          <cell r="H7754" t="str">
            <v>HPER-A603</v>
          </cell>
          <cell r="K7754" t="str">
            <v>Schrader,John W.</v>
          </cell>
          <cell r="N7754" t="str">
            <v>NR</v>
          </cell>
          <cell r="O7754" t="str">
            <v>NR</v>
          </cell>
        </row>
        <row r="7755">
          <cell r="E7755" t="str">
            <v>HPER</v>
          </cell>
          <cell r="F7755" t="str">
            <v>HPER-A</v>
          </cell>
          <cell r="G7755">
            <v>610</v>
          </cell>
          <cell r="H7755" t="str">
            <v>HPER-A610</v>
          </cell>
          <cell r="K7755" t="str">
            <v>Docherty,Carrie</v>
          </cell>
          <cell r="N7755" t="str">
            <v>NR</v>
          </cell>
          <cell r="O7755" t="str">
            <v>NR</v>
          </cell>
        </row>
        <row r="7756">
          <cell r="E7756" t="str">
            <v>HPER</v>
          </cell>
          <cell r="F7756" t="str">
            <v>HPER-A</v>
          </cell>
          <cell r="G7756">
            <v>610</v>
          </cell>
          <cell r="H7756" t="str">
            <v>HPER-A610</v>
          </cell>
          <cell r="K7756" t="str">
            <v>Docherty,Carrie</v>
          </cell>
          <cell r="N7756" t="str">
            <v>NR</v>
          </cell>
          <cell r="O7756" t="str">
            <v>NR</v>
          </cell>
        </row>
        <row r="7757">
          <cell r="E7757" t="str">
            <v>HPER</v>
          </cell>
          <cell r="F7757" t="str">
            <v>HPER-A</v>
          </cell>
          <cell r="G7757">
            <v>611</v>
          </cell>
          <cell r="H7757" t="str">
            <v>HPER-A611</v>
          </cell>
          <cell r="K7757" t="str">
            <v>Docherty,Carrie</v>
          </cell>
          <cell r="N7757" t="str">
            <v>NR</v>
          </cell>
          <cell r="O7757" t="str">
            <v>NR</v>
          </cell>
        </row>
        <row r="7758">
          <cell r="E7758" t="str">
            <v>HPER</v>
          </cell>
          <cell r="F7758" t="str">
            <v>HPER-A</v>
          </cell>
          <cell r="G7758">
            <v>611</v>
          </cell>
          <cell r="H7758" t="str">
            <v>HPER-A611</v>
          </cell>
          <cell r="K7758" t="str">
            <v>Docherty,Carrie</v>
          </cell>
          <cell r="N7758" t="str">
            <v>NR</v>
          </cell>
          <cell r="O7758" t="str">
            <v>NR</v>
          </cell>
        </row>
        <row r="7759">
          <cell r="E7759" t="str">
            <v>HPER</v>
          </cell>
          <cell r="F7759" t="str">
            <v>HPER-C</v>
          </cell>
          <cell r="G7759">
            <v>310</v>
          </cell>
          <cell r="H7759" t="str">
            <v>HPER-C310</v>
          </cell>
          <cell r="K7759" t="str">
            <v>McCloskey,Laura Ann</v>
          </cell>
          <cell r="N7759">
            <v>3.2309999999999999</v>
          </cell>
          <cell r="O7759">
            <v>2.8849999999999998</v>
          </cell>
        </row>
        <row r="7760">
          <cell r="E7760" t="str">
            <v>HPER</v>
          </cell>
          <cell r="F7760" t="str">
            <v>HPER-C</v>
          </cell>
          <cell r="G7760">
            <v>310</v>
          </cell>
          <cell r="H7760" t="str">
            <v>HPER-C310</v>
          </cell>
          <cell r="K7760" t="str">
            <v>Murray,Maresa Janee</v>
          </cell>
          <cell r="N7760">
            <v>4</v>
          </cell>
          <cell r="O7760">
            <v>3.3090000000000002</v>
          </cell>
        </row>
        <row r="7761">
          <cell r="E7761" t="str">
            <v>HPER</v>
          </cell>
          <cell r="F7761" t="str">
            <v>HPER-C</v>
          </cell>
          <cell r="G7761">
            <v>315</v>
          </cell>
          <cell r="H7761" t="str">
            <v>HPER-C315</v>
          </cell>
          <cell r="K7761" t="str">
            <v>Huber,Lesa</v>
          </cell>
          <cell r="N7761">
            <v>3.4809999999999999</v>
          </cell>
          <cell r="O7761">
            <v>3.149</v>
          </cell>
        </row>
        <row r="7762">
          <cell r="E7762" t="str">
            <v>HPER</v>
          </cell>
          <cell r="F7762" t="str">
            <v>HPER-C</v>
          </cell>
          <cell r="G7762">
            <v>315</v>
          </cell>
          <cell r="H7762" t="str">
            <v>HPER-C315</v>
          </cell>
          <cell r="K7762" t="str">
            <v>Huber,Lesa</v>
          </cell>
          <cell r="N7762" t="str">
            <v>NR</v>
          </cell>
          <cell r="O7762" t="str">
            <v>NR</v>
          </cell>
        </row>
        <row r="7763">
          <cell r="E7763" t="str">
            <v>HPER</v>
          </cell>
          <cell r="F7763" t="str">
            <v>HPER-C</v>
          </cell>
          <cell r="G7763">
            <v>335</v>
          </cell>
          <cell r="H7763" t="str">
            <v>HPER-C335</v>
          </cell>
          <cell r="K7763" t="str">
            <v>Huber,Lesa</v>
          </cell>
          <cell r="N7763">
            <v>3.0630000000000002</v>
          </cell>
          <cell r="O7763">
            <v>3.1389999999999998</v>
          </cell>
        </row>
        <row r="7764">
          <cell r="E7764" t="str">
            <v>HPER</v>
          </cell>
          <cell r="F7764" t="str">
            <v>HPER-C</v>
          </cell>
          <cell r="G7764">
            <v>335</v>
          </cell>
          <cell r="H7764" t="str">
            <v>HPER-C335</v>
          </cell>
          <cell r="K7764" t="str">
            <v>Huber,Lesa</v>
          </cell>
          <cell r="N7764" t="str">
            <v>NR</v>
          </cell>
          <cell r="O7764" t="str">
            <v>NR</v>
          </cell>
        </row>
        <row r="7765">
          <cell r="E7765" t="str">
            <v>HPER</v>
          </cell>
          <cell r="F7765" t="str">
            <v>HPER-C</v>
          </cell>
          <cell r="G7765">
            <v>354</v>
          </cell>
          <cell r="H7765" t="str">
            <v>HPER-C354</v>
          </cell>
          <cell r="K7765" t="str">
            <v>Huber,Lesa</v>
          </cell>
          <cell r="N7765">
            <v>3.5169999999999999</v>
          </cell>
          <cell r="O7765">
            <v>3.0670000000000002</v>
          </cell>
        </row>
        <row r="7766">
          <cell r="E7766" t="str">
            <v>HPER</v>
          </cell>
          <cell r="F7766" t="str">
            <v>HPER-C</v>
          </cell>
          <cell r="G7766">
            <v>354</v>
          </cell>
          <cell r="H7766" t="str">
            <v>HPER-C354</v>
          </cell>
          <cell r="K7766" t="str">
            <v>Huber,Lesa</v>
          </cell>
          <cell r="N7766" t="str">
            <v>NR</v>
          </cell>
          <cell r="O7766" t="str">
            <v>NR</v>
          </cell>
        </row>
        <row r="7767">
          <cell r="E7767" t="str">
            <v>HPER</v>
          </cell>
          <cell r="F7767" t="str">
            <v>HPER-C</v>
          </cell>
          <cell r="G7767">
            <v>354</v>
          </cell>
          <cell r="H7767" t="str">
            <v>HPER-C354</v>
          </cell>
          <cell r="K7767" t="str">
            <v>Huber,Lesa</v>
          </cell>
          <cell r="N7767">
            <v>3.6949999999999998</v>
          </cell>
          <cell r="O7767">
            <v>3.1629999999999998</v>
          </cell>
        </row>
        <row r="7768">
          <cell r="E7768" t="str">
            <v>HPER</v>
          </cell>
          <cell r="F7768" t="str">
            <v>HPER-C</v>
          </cell>
          <cell r="G7768">
            <v>366</v>
          </cell>
          <cell r="H7768" t="str">
            <v>HPER-C366</v>
          </cell>
          <cell r="K7768" t="str">
            <v>BlueEye,LaDonna Jessie</v>
          </cell>
          <cell r="N7768">
            <v>3.5209999999999999</v>
          </cell>
          <cell r="O7768">
            <v>3.0670000000000002</v>
          </cell>
        </row>
        <row r="7769">
          <cell r="E7769" t="str">
            <v>HPER</v>
          </cell>
          <cell r="F7769" t="str">
            <v>HPER-C</v>
          </cell>
          <cell r="G7769">
            <v>366</v>
          </cell>
          <cell r="H7769" t="str">
            <v>HPER-C366</v>
          </cell>
          <cell r="K7769" t="str">
            <v>Githiri,Virginia Tati</v>
          </cell>
          <cell r="N7769">
            <v>3.5750000000000002</v>
          </cell>
          <cell r="O7769">
            <v>3.0129999999999999</v>
          </cell>
        </row>
        <row r="7770">
          <cell r="E7770" t="str">
            <v>HPER</v>
          </cell>
          <cell r="F7770" t="str">
            <v>HPER-C</v>
          </cell>
          <cell r="G7770">
            <v>366</v>
          </cell>
          <cell r="H7770" t="str">
            <v>HPER-C366</v>
          </cell>
          <cell r="K7770" t="str">
            <v>Githiri,Virginia Tati</v>
          </cell>
          <cell r="N7770">
            <v>3.7040000000000002</v>
          </cell>
          <cell r="O7770">
            <v>2.98</v>
          </cell>
        </row>
        <row r="7771">
          <cell r="E7771" t="str">
            <v>HPER</v>
          </cell>
          <cell r="F7771" t="str">
            <v>HPER-C</v>
          </cell>
          <cell r="G7771">
            <v>403</v>
          </cell>
          <cell r="H7771" t="str">
            <v>HPER-C403</v>
          </cell>
          <cell r="K7771" t="str">
            <v>Barnes,Priscilla Anne</v>
          </cell>
          <cell r="N7771">
            <v>2.8050000000000002</v>
          </cell>
          <cell r="O7771">
            <v>3.0310000000000001</v>
          </cell>
        </row>
        <row r="7772">
          <cell r="E7772" t="str">
            <v>HPER</v>
          </cell>
          <cell r="F7772" t="str">
            <v>HPER-C</v>
          </cell>
          <cell r="G7772">
            <v>403</v>
          </cell>
          <cell r="H7772" t="str">
            <v>HPER-C403</v>
          </cell>
          <cell r="K7772" t="str">
            <v>Sherwood-Laughlin,Catherine M.</v>
          </cell>
          <cell r="N7772">
            <v>3.5950000000000002</v>
          </cell>
          <cell r="O7772">
            <v>3.2709999999999999</v>
          </cell>
        </row>
        <row r="7773">
          <cell r="E7773" t="str">
            <v>HPER</v>
          </cell>
          <cell r="F7773" t="str">
            <v>HPER-C</v>
          </cell>
          <cell r="G7773">
            <v>403</v>
          </cell>
          <cell r="H7773" t="str">
            <v>HPER-C403</v>
          </cell>
          <cell r="K7773" t="str">
            <v>Smith,Nicole Kristine</v>
          </cell>
          <cell r="N7773">
            <v>3.7810000000000001</v>
          </cell>
          <cell r="O7773">
            <v>3.0760000000000001</v>
          </cell>
        </row>
        <row r="7774">
          <cell r="E7774" t="str">
            <v>HPER</v>
          </cell>
          <cell r="F7774" t="str">
            <v>HPER-C</v>
          </cell>
          <cell r="G7774">
            <v>440</v>
          </cell>
          <cell r="H7774" t="str">
            <v>HPER-C440</v>
          </cell>
          <cell r="K7774" t="str">
            <v>Huber,Lesa</v>
          </cell>
          <cell r="N7774" t="str">
            <v>NR</v>
          </cell>
          <cell r="O7774" t="str">
            <v>NR</v>
          </cell>
        </row>
        <row r="7775">
          <cell r="E7775" t="str">
            <v>HPER</v>
          </cell>
          <cell r="F7775" t="str">
            <v>HPER-C</v>
          </cell>
          <cell r="G7775">
            <v>440</v>
          </cell>
          <cell r="H7775" t="str">
            <v>HPER-C440</v>
          </cell>
          <cell r="K7775" t="str">
            <v>Lin,Hsien-Chang</v>
          </cell>
          <cell r="N7775" t="str">
            <v>NR</v>
          </cell>
          <cell r="O7775" t="str">
            <v>NR</v>
          </cell>
        </row>
        <row r="7776">
          <cell r="E7776" t="str">
            <v>HPER</v>
          </cell>
          <cell r="F7776" t="str">
            <v>HPER-C</v>
          </cell>
          <cell r="G7776">
            <v>440</v>
          </cell>
          <cell r="H7776" t="str">
            <v>HPER-C440</v>
          </cell>
          <cell r="K7776" t="str">
            <v>Sherwood-Laughlin,Catherine M.</v>
          </cell>
          <cell r="N7776" t="str">
            <v>NR</v>
          </cell>
          <cell r="O7776" t="str">
            <v>NR</v>
          </cell>
        </row>
        <row r="7777">
          <cell r="E7777" t="str">
            <v>HPER</v>
          </cell>
          <cell r="F7777" t="str">
            <v>HPER-C</v>
          </cell>
          <cell r="G7777">
            <v>444</v>
          </cell>
          <cell r="H7777" t="str">
            <v>HPER-C444</v>
          </cell>
          <cell r="K7777" t="str">
            <v>Finley,Kathy Lyn</v>
          </cell>
          <cell r="N7777" t="str">
            <v>NR</v>
          </cell>
          <cell r="O7777" t="str">
            <v>NR</v>
          </cell>
        </row>
        <row r="7778">
          <cell r="E7778" t="str">
            <v>HPER</v>
          </cell>
          <cell r="F7778" t="str">
            <v>HPER-C</v>
          </cell>
          <cell r="G7778">
            <v>444</v>
          </cell>
          <cell r="H7778" t="str">
            <v>HPER-C444</v>
          </cell>
          <cell r="K7778" t="str">
            <v>Finley,Kathy Lyn</v>
          </cell>
          <cell r="N7778" t="str">
            <v>NR</v>
          </cell>
          <cell r="O7778" t="str">
            <v>NR</v>
          </cell>
        </row>
        <row r="7779">
          <cell r="E7779" t="str">
            <v>HPER</v>
          </cell>
          <cell r="F7779" t="str">
            <v>HPER-C</v>
          </cell>
          <cell r="G7779">
            <v>444</v>
          </cell>
          <cell r="H7779" t="str">
            <v>HPER-C444</v>
          </cell>
          <cell r="K7779" t="str">
            <v>Finley,Kathy Lyn</v>
          </cell>
          <cell r="N7779" t="str">
            <v>NR</v>
          </cell>
          <cell r="O7779" t="str">
            <v>NR</v>
          </cell>
        </row>
        <row r="7780">
          <cell r="E7780" t="str">
            <v>HPER</v>
          </cell>
          <cell r="F7780" t="str">
            <v>HPER-C</v>
          </cell>
          <cell r="G7780">
            <v>444</v>
          </cell>
          <cell r="H7780" t="str">
            <v>HPER-C444</v>
          </cell>
          <cell r="K7780" t="str">
            <v>Finley,Kathy Lyn</v>
          </cell>
          <cell r="N7780" t="str">
            <v>NR</v>
          </cell>
          <cell r="O7780" t="str">
            <v>NR</v>
          </cell>
        </row>
        <row r="7781">
          <cell r="E7781" t="str">
            <v>HPER</v>
          </cell>
          <cell r="F7781" t="str">
            <v>HPER-C</v>
          </cell>
          <cell r="G7781">
            <v>501</v>
          </cell>
          <cell r="H7781" t="str">
            <v>HPER-C501</v>
          </cell>
          <cell r="K7781" t="str">
            <v>Dodge,Brian Mark</v>
          </cell>
          <cell r="N7781">
            <v>3.9540000000000002</v>
          </cell>
          <cell r="O7781">
            <v>3.7639999999999998</v>
          </cell>
        </row>
        <row r="7782">
          <cell r="E7782" t="str">
            <v>HPER</v>
          </cell>
          <cell r="F7782" t="str">
            <v>HPER-C</v>
          </cell>
          <cell r="G7782">
            <v>510</v>
          </cell>
          <cell r="H7782" t="str">
            <v>HPER-C510</v>
          </cell>
          <cell r="K7782" t="str">
            <v>Lin,Hsien-Chang</v>
          </cell>
          <cell r="N7782">
            <v>3.698</v>
          </cell>
          <cell r="O7782">
            <v>3.7549999999999999</v>
          </cell>
        </row>
        <row r="7783">
          <cell r="E7783" t="str">
            <v>HPER</v>
          </cell>
          <cell r="F7783" t="str">
            <v>HPER-C</v>
          </cell>
          <cell r="G7783">
            <v>529</v>
          </cell>
          <cell r="H7783" t="str">
            <v>HPER-C529</v>
          </cell>
          <cell r="K7783" t="str">
            <v>Dodge,Brian Mark</v>
          </cell>
          <cell r="N7783">
            <v>4</v>
          </cell>
          <cell r="O7783">
            <v>3.8119999999999998</v>
          </cell>
        </row>
        <row r="7784">
          <cell r="E7784" t="str">
            <v>HPER</v>
          </cell>
          <cell r="F7784" t="str">
            <v>HPER-C</v>
          </cell>
          <cell r="G7784">
            <v>535</v>
          </cell>
          <cell r="H7784" t="str">
            <v>HPER-C535</v>
          </cell>
          <cell r="K7784" t="str">
            <v>Huber,Lesa</v>
          </cell>
          <cell r="N7784">
            <v>3.633</v>
          </cell>
          <cell r="O7784">
            <v>3.734</v>
          </cell>
        </row>
        <row r="7785">
          <cell r="E7785" t="str">
            <v>HPER</v>
          </cell>
          <cell r="F7785" t="str">
            <v>HPER-C</v>
          </cell>
          <cell r="G7785">
            <v>535</v>
          </cell>
          <cell r="H7785" t="str">
            <v>HPER-C535</v>
          </cell>
          <cell r="K7785" t="str">
            <v>Huber,Lesa</v>
          </cell>
          <cell r="N7785" t="str">
            <v>NR</v>
          </cell>
          <cell r="O7785" t="str">
            <v>NR</v>
          </cell>
        </row>
        <row r="7786">
          <cell r="E7786" t="str">
            <v>HPER</v>
          </cell>
          <cell r="F7786" t="str">
            <v>HPER-C</v>
          </cell>
          <cell r="G7786">
            <v>589</v>
          </cell>
          <cell r="H7786" t="str">
            <v>HPER-C589</v>
          </cell>
          <cell r="K7786" t="str">
            <v>McCloskey,Laura Ann</v>
          </cell>
          <cell r="N7786">
            <v>3.919</v>
          </cell>
          <cell r="O7786">
            <v>3.7869999999999999</v>
          </cell>
        </row>
        <row r="7787">
          <cell r="E7787" t="str">
            <v>HPER</v>
          </cell>
          <cell r="F7787" t="str">
            <v>HPER-C</v>
          </cell>
          <cell r="G7787">
            <v>602</v>
          </cell>
          <cell r="H7787" t="str">
            <v>HPER-C602</v>
          </cell>
          <cell r="K7787" t="str">
            <v>Middlestadt,Susan Elizabeth</v>
          </cell>
          <cell r="N7787">
            <v>3.65</v>
          </cell>
          <cell r="O7787">
            <v>3.827</v>
          </cell>
        </row>
        <row r="7788">
          <cell r="E7788" t="str">
            <v>HPER</v>
          </cell>
          <cell r="F7788" t="str">
            <v>HPER-C</v>
          </cell>
          <cell r="G7788">
            <v>611</v>
          </cell>
          <cell r="H7788" t="str">
            <v>HPER-C611</v>
          </cell>
          <cell r="K7788" t="str">
            <v>Dai,Jun</v>
          </cell>
          <cell r="N7788">
            <v>3.7549999999999999</v>
          </cell>
          <cell r="O7788">
            <v>3.7690000000000001</v>
          </cell>
        </row>
        <row r="7789">
          <cell r="E7789" t="str">
            <v>HPER</v>
          </cell>
          <cell r="F7789" t="str">
            <v>HPER-C</v>
          </cell>
          <cell r="G7789">
            <v>615</v>
          </cell>
          <cell r="H7789" t="str">
            <v>HPER-C615</v>
          </cell>
          <cell r="K7789" t="str">
            <v>Huber,Lesa</v>
          </cell>
          <cell r="N7789" t="str">
            <v>NR</v>
          </cell>
          <cell r="O7789" t="str">
            <v>NR</v>
          </cell>
        </row>
        <row r="7790">
          <cell r="E7790" t="str">
            <v>HPER</v>
          </cell>
          <cell r="F7790" t="str">
            <v>HPER-C</v>
          </cell>
          <cell r="G7790">
            <v>624</v>
          </cell>
          <cell r="H7790" t="str">
            <v>HPER-C624</v>
          </cell>
          <cell r="K7790" t="str">
            <v>Van Der Pol,Barbara Jean</v>
          </cell>
          <cell r="N7790">
            <v>3.7639999999999998</v>
          </cell>
          <cell r="O7790">
            <v>3.7040000000000002</v>
          </cell>
        </row>
        <row r="7791">
          <cell r="E7791" t="str">
            <v>HPER</v>
          </cell>
          <cell r="F7791" t="str">
            <v>HPER-C</v>
          </cell>
          <cell r="G7791">
            <v>640</v>
          </cell>
          <cell r="H7791" t="str">
            <v>HPER-C640</v>
          </cell>
          <cell r="K7791" t="str">
            <v>Dodge,Brian Mark</v>
          </cell>
          <cell r="N7791" t="str">
            <v>NR</v>
          </cell>
          <cell r="O7791" t="str">
            <v>NR</v>
          </cell>
        </row>
        <row r="7792">
          <cell r="E7792" t="str">
            <v>HPER</v>
          </cell>
          <cell r="F7792" t="str">
            <v>HPER-C</v>
          </cell>
          <cell r="G7792">
            <v>640</v>
          </cell>
          <cell r="H7792" t="str">
            <v>HPER-C640</v>
          </cell>
          <cell r="K7792" t="str">
            <v>Herbenick,Debra Lynne</v>
          </cell>
          <cell r="N7792" t="str">
            <v>NR</v>
          </cell>
          <cell r="O7792" t="str">
            <v>NR</v>
          </cell>
        </row>
        <row r="7793">
          <cell r="E7793" t="str">
            <v>HPER</v>
          </cell>
          <cell r="F7793" t="str">
            <v>HPER-C</v>
          </cell>
          <cell r="G7793">
            <v>640</v>
          </cell>
          <cell r="H7793" t="str">
            <v>HPER-C640</v>
          </cell>
          <cell r="K7793" t="str">
            <v>Reece,Michael</v>
          </cell>
          <cell r="N7793" t="str">
            <v>NR</v>
          </cell>
          <cell r="O7793" t="str">
            <v>NR</v>
          </cell>
        </row>
        <row r="7794">
          <cell r="E7794" t="str">
            <v>HPER</v>
          </cell>
          <cell r="F7794" t="str">
            <v>HPER-C</v>
          </cell>
          <cell r="G7794">
            <v>641</v>
          </cell>
          <cell r="H7794" t="str">
            <v>HPER-C641</v>
          </cell>
          <cell r="K7794" t="str">
            <v>Huber,Lesa</v>
          </cell>
          <cell r="N7794" t="str">
            <v>NR</v>
          </cell>
          <cell r="O7794" t="str">
            <v>NR</v>
          </cell>
        </row>
        <row r="7795">
          <cell r="E7795" t="str">
            <v>HPER</v>
          </cell>
          <cell r="F7795" t="str">
            <v>HPER-C</v>
          </cell>
          <cell r="G7795">
            <v>644</v>
          </cell>
          <cell r="H7795" t="str">
            <v>HPER-C644</v>
          </cell>
          <cell r="K7795" t="str">
            <v>Macy,Jon T</v>
          </cell>
          <cell r="N7795" t="str">
            <v>NR</v>
          </cell>
          <cell r="O7795" t="str">
            <v>NR</v>
          </cell>
        </row>
        <row r="7796">
          <cell r="E7796" t="str">
            <v>HPER</v>
          </cell>
          <cell r="F7796" t="str">
            <v>HPER-C</v>
          </cell>
          <cell r="G7796">
            <v>644</v>
          </cell>
          <cell r="H7796" t="str">
            <v>HPER-C644</v>
          </cell>
          <cell r="K7796" t="str">
            <v>Sherwood-Laughlin,Catherine M.</v>
          </cell>
          <cell r="N7796" t="str">
            <v>NR</v>
          </cell>
          <cell r="O7796" t="str">
            <v>NR</v>
          </cell>
        </row>
        <row r="7797">
          <cell r="E7797" t="str">
            <v>HPER</v>
          </cell>
          <cell r="F7797" t="str">
            <v>HPER-C</v>
          </cell>
          <cell r="G7797">
            <v>644</v>
          </cell>
          <cell r="H7797" t="str">
            <v>HPER-C644</v>
          </cell>
          <cell r="K7797" t="str">
            <v>Sherwood-Laughlin,Catherine M.</v>
          </cell>
          <cell r="N7797" t="str">
            <v>NR</v>
          </cell>
          <cell r="O7797" t="str">
            <v>NR</v>
          </cell>
        </row>
        <row r="7798">
          <cell r="E7798" t="str">
            <v>HPER</v>
          </cell>
          <cell r="F7798" t="str">
            <v>HPER-C</v>
          </cell>
          <cell r="G7798">
            <v>644</v>
          </cell>
          <cell r="H7798" t="str">
            <v>HPER-C644</v>
          </cell>
          <cell r="K7798" t="str">
            <v>Youssefagha,Ahmed Hassan Youssef</v>
          </cell>
          <cell r="N7798" t="str">
            <v>NR</v>
          </cell>
          <cell r="O7798" t="str">
            <v>NR</v>
          </cell>
        </row>
        <row r="7799">
          <cell r="E7799" t="str">
            <v>HPER</v>
          </cell>
          <cell r="F7799" t="str">
            <v>HPER-C</v>
          </cell>
          <cell r="G7799">
            <v>650</v>
          </cell>
          <cell r="H7799" t="str">
            <v>HPER-C650</v>
          </cell>
          <cell r="K7799" t="str">
            <v>Macy,Jon T</v>
          </cell>
          <cell r="N7799" t="str">
            <v>NR</v>
          </cell>
          <cell r="O7799" t="str">
            <v>NR</v>
          </cell>
        </row>
        <row r="7800">
          <cell r="E7800" t="str">
            <v>HPER</v>
          </cell>
          <cell r="F7800" t="str">
            <v>HPER-C</v>
          </cell>
          <cell r="G7800">
            <v>650</v>
          </cell>
          <cell r="H7800" t="str">
            <v>HPER-C650</v>
          </cell>
          <cell r="K7800" t="str">
            <v>Middlestadt,Susan Elizabeth</v>
          </cell>
          <cell r="N7800" t="str">
            <v>NR</v>
          </cell>
          <cell r="O7800" t="str">
            <v>NR</v>
          </cell>
        </row>
        <row r="7801">
          <cell r="E7801" t="str">
            <v>HPER</v>
          </cell>
          <cell r="F7801" t="str">
            <v>HPER-C</v>
          </cell>
          <cell r="G7801">
            <v>650</v>
          </cell>
          <cell r="H7801" t="str">
            <v>HPER-C650</v>
          </cell>
          <cell r="K7801" t="str">
            <v>Middlestadt,Susan Elizabeth</v>
          </cell>
          <cell r="N7801" t="str">
            <v>NR</v>
          </cell>
          <cell r="O7801" t="str">
            <v>NR</v>
          </cell>
        </row>
        <row r="7802">
          <cell r="E7802" t="str">
            <v>HPER</v>
          </cell>
          <cell r="F7802" t="str">
            <v>HPER-C</v>
          </cell>
          <cell r="G7802">
            <v>650</v>
          </cell>
          <cell r="H7802" t="str">
            <v>HPER-C650</v>
          </cell>
          <cell r="K7802" t="str">
            <v>Middlestadt,Susan Elizabeth</v>
          </cell>
          <cell r="N7802" t="str">
            <v>NR</v>
          </cell>
          <cell r="O7802" t="str">
            <v>NR</v>
          </cell>
        </row>
        <row r="7803">
          <cell r="E7803" t="str">
            <v>HPER</v>
          </cell>
          <cell r="F7803" t="str">
            <v>HPER-C</v>
          </cell>
          <cell r="G7803">
            <v>650</v>
          </cell>
          <cell r="H7803" t="str">
            <v>HPER-C650</v>
          </cell>
          <cell r="K7803" t="str">
            <v>Middlestadt,Susan Elizabeth</v>
          </cell>
          <cell r="N7803" t="str">
            <v>NR</v>
          </cell>
          <cell r="O7803" t="str">
            <v>NR</v>
          </cell>
        </row>
        <row r="7804">
          <cell r="E7804" t="str">
            <v>HPER</v>
          </cell>
          <cell r="F7804" t="str">
            <v>HPER-C</v>
          </cell>
          <cell r="G7804">
            <v>650</v>
          </cell>
          <cell r="H7804" t="str">
            <v>HPER-C650</v>
          </cell>
          <cell r="K7804" t="str">
            <v>Sherwood-Laughlin,Catherine M.</v>
          </cell>
          <cell r="N7804" t="str">
            <v>NR</v>
          </cell>
          <cell r="O7804" t="str">
            <v>NR</v>
          </cell>
        </row>
        <row r="7805">
          <cell r="E7805" t="str">
            <v>HPER</v>
          </cell>
          <cell r="F7805" t="str">
            <v>HPER-C</v>
          </cell>
          <cell r="G7805">
            <v>650</v>
          </cell>
          <cell r="H7805" t="str">
            <v>HPER-C650</v>
          </cell>
          <cell r="K7805" t="str">
            <v>Sherwood-Laughlin,Catherine M.</v>
          </cell>
          <cell r="N7805" t="str">
            <v>NR</v>
          </cell>
          <cell r="O7805" t="str">
            <v>NR</v>
          </cell>
        </row>
        <row r="7806">
          <cell r="E7806" t="str">
            <v>HPER</v>
          </cell>
          <cell r="F7806" t="str">
            <v>HPER-C</v>
          </cell>
          <cell r="G7806">
            <v>650</v>
          </cell>
          <cell r="H7806" t="str">
            <v>HPER-C650</v>
          </cell>
          <cell r="K7806" t="str">
            <v>Youssefagha,Ahmed Hassan Youssef</v>
          </cell>
          <cell r="N7806" t="str">
            <v>NR</v>
          </cell>
          <cell r="O7806" t="str">
            <v>NR</v>
          </cell>
        </row>
        <row r="7807">
          <cell r="E7807" t="str">
            <v>HPER</v>
          </cell>
          <cell r="F7807" t="str">
            <v>HPER-C</v>
          </cell>
          <cell r="G7807">
            <v>652</v>
          </cell>
          <cell r="H7807" t="str">
            <v>HPER-C652</v>
          </cell>
          <cell r="K7807" t="str">
            <v>Feresu,Shinga Alifina</v>
          </cell>
          <cell r="N7807">
            <v>3.4430000000000001</v>
          </cell>
          <cell r="O7807">
            <v>3.6829999999999998</v>
          </cell>
        </row>
        <row r="7808">
          <cell r="E7808" t="str">
            <v>HPER</v>
          </cell>
          <cell r="F7808" t="str">
            <v>HPER-C</v>
          </cell>
          <cell r="G7808">
            <v>654</v>
          </cell>
          <cell r="H7808" t="str">
            <v>HPER-C654</v>
          </cell>
          <cell r="K7808" t="str">
            <v>Feresu,Shinga Alifina</v>
          </cell>
          <cell r="N7808">
            <v>3.6629999999999998</v>
          </cell>
          <cell r="O7808">
            <v>3.6749999999999998</v>
          </cell>
        </row>
        <row r="7809">
          <cell r="E7809" t="str">
            <v>HPER</v>
          </cell>
          <cell r="F7809" t="str">
            <v>HPER-C</v>
          </cell>
          <cell r="G7809">
            <v>701</v>
          </cell>
          <cell r="H7809" t="str">
            <v>HPER-C701</v>
          </cell>
          <cell r="K7809" t="str">
            <v>Middlestadt,Susan Elizabeth</v>
          </cell>
          <cell r="N7809">
            <v>3.7210000000000001</v>
          </cell>
          <cell r="O7809">
            <v>3.8380000000000001</v>
          </cell>
        </row>
        <row r="7810">
          <cell r="E7810" t="str">
            <v>HPER</v>
          </cell>
          <cell r="F7810" t="str">
            <v>HPER-D</v>
          </cell>
          <cell r="G7810">
            <v>100</v>
          </cell>
          <cell r="H7810" t="str">
            <v>HPER-D100</v>
          </cell>
          <cell r="K7810" t="str">
            <v>Adam,Jennifer Anne</v>
          </cell>
          <cell r="N7810">
            <v>3.7509999999999999</v>
          </cell>
          <cell r="O7810">
            <v>3.49</v>
          </cell>
        </row>
        <row r="7811">
          <cell r="E7811" t="str">
            <v>HPER</v>
          </cell>
          <cell r="F7811" t="str">
            <v>HPER-D</v>
          </cell>
          <cell r="G7811">
            <v>100</v>
          </cell>
          <cell r="H7811" t="str">
            <v>HPER-D100</v>
          </cell>
          <cell r="K7811" t="str">
            <v>Adam,Jennifer Anne</v>
          </cell>
          <cell r="N7811">
            <v>3.6389999999999998</v>
          </cell>
          <cell r="O7811">
            <v>3.54</v>
          </cell>
        </row>
        <row r="7812">
          <cell r="E7812" t="str">
            <v>HPER</v>
          </cell>
          <cell r="F7812" t="str">
            <v>HPER-D</v>
          </cell>
          <cell r="G7812">
            <v>102</v>
          </cell>
          <cell r="H7812" t="str">
            <v>HPER-D102</v>
          </cell>
          <cell r="K7812" t="str">
            <v>Bangs,Kelly McCormick</v>
          </cell>
          <cell r="N7812">
            <v>3.8439999999999999</v>
          </cell>
          <cell r="O7812">
            <v>3.4060000000000001</v>
          </cell>
        </row>
        <row r="7813">
          <cell r="E7813" t="str">
            <v>HPER</v>
          </cell>
          <cell r="F7813" t="str">
            <v>HPER-D</v>
          </cell>
          <cell r="G7813">
            <v>102</v>
          </cell>
          <cell r="H7813" t="str">
            <v>HPER-D102</v>
          </cell>
          <cell r="K7813" t="str">
            <v>Windell,Susannah Marie</v>
          </cell>
          <cell r="N7813">
            <v>3.8820000000000001</v>
          </cell>
          <cell r="O7813">
            <v>3.161</v>
          </cell>
        </row>
        <row r="7814">
          <cell r="E7814" t="str">
            <v>HPER</v>
          </cell>
          <cell r="F7814" t="str">
            <v>HPER-D</v>
          </cell>
          <cell r="G7814">
            <v>111</v>
          </cell>
          <cell r="H7814" t="str">
            <v>HPER-D111</v>
          </cell>
          <cell r="K7814" t="str">
            <v>Adam,Jennifer Anne</v>
          </cell>
          <cell r="N7814">
            <v>4</v>
          </cell>
          <cell r="O7814">
            <v>3.3439999999999999</v>
          </cell>
        </row>
        <row r="7815">
          <cell r="E7815" t="str">
            <v>HPER</v>
          </cell>
          <cell r="F7815" t="str">
            <v>HPER-D</v>
          </cell>
          <cell r="G7815">
            <v>111</v>
          </cell>
          <cell r="H7815" t="str">
            <v>HPER-D111</v>
          </cell>
          <cell r="K7815" t="str">
            <v>Carter,Selene B</v>
          </cell>
          <cell r="N7815">
            <v>4</v>
          </cell>
          <cell r="O7815">
            <v>3.4769999999999999</v>
          </cell>
        </row>
        <row r="7816">
          <cell r="E7816" t="str">
            <v>HPER</v>
          </cell>
          <cell r="F7816" t="str">
            <v>HPER-D</v>
          </cell>
          <cell r="G7816">
            <v>112</v>
          </cell>
          <cell r="H7816" t="str">
            <v>HPER-D112</v>
          </cell>
          <cell r="K7816" t="str">
            <v>Shea,Elizabeth</v>
          </cell>
          <cell r="N7816">
            <v>3.85</v>
          </cell>
          <cell r="O7816">
            <v>3.5920000000000001</v>
          </cell>
        </row>
        <row r="7817">
          <cell r="E7817" t="str">
            <v>HPER</v>
          </cell>
          <cell r="F7817" t="str">
            <v>HPER-D</v>
          </cell>
          <cell r="G7817">
            <v>121</v>
          </cell>
          <cell r="H7817" t="str">
            <v>HPER-D121</v>
          </cell>
          <cell r="K7817" t="str">
            <v>Carter,Selene B</v>
          </cell>
          <cell r="N7817">
            <v>4</v>
          </cell>
          <cell r="O7817">
            <v>3.4470000000000001</v>
          </cell>
        </row>
        <row r="7818">
          <cell r="E7818" t="str">
            <v>HPER</v>
          </cell>
          <cell r="F7818" t="str">
            <v>HPER-D</v>
          </cell>
          <cell r="G7818">
            <v>161</v>
          </cell>
          <cell r="H7818" t="str">
            <v>HPER-D161</v>
          </cell>
          <cell r="K7818" t="str">
            <v>Carter,Selene B</v>
          </cell>
          <cell r="N7818">
            <v>3.952</v>
          </cell>
          <cell r="O7818">
            <v>3.5870000000000002</v>
          </cell>
        </row>
        <row r="7819">
          <cell r="E7819" t="str">
            <v>HPER</v>
          </cell>
          <cell r="F7819" t="str">
            <v>HPER-D</v>
          </cell>
          <cell r="G7819">
            <v>200</v>
          </cell>
          <cell r="H7819" t="str">
            <v>HPER-D200</v>
          </cell>
          <cell r="K7819" t="str">
            <v>Windell,Susannah Marie</v>
          </cell>
          <cell r="N7819">
            <v>3.9319999999999999</v>
          </cell>
          <cell r="O7819">
            <v>3.4329999999999998</v>
          </cell>
        </row>
        <row r="7820">
          <cell r="E7820" t="str">
            <v>HPER</v>
          </cell>
          <cell r="F7820" t="str">
            <v>HPER-D</v>
          </cell>
          <cell r="G7820">
            <v>201</v>
          </cell>
          <cell r="H7820" t="str">
            <v>HPER-D201</v>
          </cell>
          <cell r="K7820" t="str">
            <v>Hamm,Gwendolyn A.</v>
          </cell>
          <cell r="N7820">
            <v>3.8370000000000002</v>
          </cell>
          <cell r="O7820">
            <v>3.5259999999999998</v>
          </cell>
        </row>
        <row r="7821">
          <cell r="E7821" t="str">
            <v>HPER</v>
          </cell>
          <cell r="F7821" t="str">
            <v>HPER-D</v>
          </cell>
          <cell r="G7821">
            <v>211</v>
          </cell>
          <cell r="H7821" t="str">
            <v>HPER-D211</v>
          </cell>
          <cell r="K7821" t="str">
            <v>Carter,Selene B</v>
          </cell>
          <cell r="N7821">
            <v>4</v>
          </cell>
          <cell r="O7821">
            <v>3.6539999999999999</v>
          </cell>
        </row>
        <row r="7822">
          <cell r="E7822" t="str">
            <v>HPER</v>
          </cell>
          <cell r="F7822" t="str">
            <v>HPER-D</v>
          </cell>
          <cell r="G7822">
            <v>212</v>
          </cell>
          <cell r="H7822" t="str">
            <v>HPER-D212</v>
          </cell>
          <cell r="K7822" t="str">
            <v>Wegman,Benjamin Josiah</v>
          </cell>
          <cell r="N7822">
            <v>3.7309999999999999</v>
          </cell>
          <cell r="O7822">
            <v>3.383</v>
          </cell>
        </row>
        <row r="7823">
          <cell r="E7823" t="str">
            <v>HPER</v>
          </cell>
          <cell r="F7823" t="str">
            <v>HPER-D</v>
          </cell>
          <cell r="G7823">
            <v>221</v>
          </cell>
          <cell r="H7823" t="str">
            <v>HPER-D221</v>
          </cell>
          <cell r="K7823" t="str">
            <v>Shea,Elizabeth</v>
          </cell>
          <cell r="N7823">
            <v>4</v>
          </cell>
          <cell r="O7823">
            <v>3.6749999999999998</v>
          </cell>
        </row>
        <row r="7824">
          <cell r="E7824" t="str">
            <v>HPER</v>
          </cell>
          <cell r="F7824" t="str">
            <v>HPER-D</v>
          </cell>
          <cell r="G7824">
            <v>222</v>
          </cell>
          <cell r="H7824" t="str">
            <v>HPER-D222</v>
          </cell>
          <cell r="K7824" t="str">
            <v>Shea,Elizabeth</v>
          </cell>
          <cell r="N7824">
            <v>3.92</v>
          </cell>
          <cell r="O7824">
            <v>3.3370000000000002</v>
          </cell>
        </row>
        <row r="7825">
          <cell r="E7825" t="str">
            <v>HPER</v>
          </cell>
          <cell r="F7825" t="str">
            <v>HPER-D</v>
          </cell>
          <cell r="G7825">
            <v>231</v>
          </cell>
          <cell r="H7825" t="str">
            <v>HPER-D231</v>
          </cell>
          <cell r="K7825" t="str">
            <v>Carter,Selene B</v>
          </cell>
          <cell r="N7825">
            <v>3.9870000000000001</v>
          </cell>
          <cell r="O7825">
            <v>3.5270000000000001</v>
          </cell>
        </row>
        <row r="7826">
          <cell r="E7826" t="str">
            <v>HPER</v>
          </cell>
          <cell r="F7826" t="str">
            <v>HPER-D</v>
          </cell>
          <cell r="G7826">
            <v>261</v>
          </cell>
          <cell r="H7826" t="str">
            <v>HPER-D261</v>
          </cell>
          <cell r="K7826" t="str">
            <v>Bangs,Kelly McCormick</v>
          </cell>
          <cell r="N7826">
            <v>4</v>
          </cell>
          <cell r="O7826">
            <v>3.484</v>
          </cell>
        </row>
        <row r="7827">
          <cell r="E7827" t="str">
            <v>HPER</v>
          </cell>
          <cell r="F7827" t="str">
            <v>HPER-D</v>
          </cell>
          <cell r="G7827">
            <v>311</v>
          </cell>
          <cell r="H7827" t="str">
            <v>HPER-D311</v>
          </cell>
          <cell r="K7827" t="str">
            <v>Shea,Elizabeth</v>
          </cell>
          <cell r="N7827">
            <v>3.746</v>
          </cell>
          <cell r="O7827">
            <v>3.363</v>
          </cell>
        </row>
        <row r="7828">
          <cell r="E7828" t="str">
            <v>HPER</v>
          </cell>
          <cell r="F7828" t="str">
            <v>HPER-D</v>
          </cell>
          <cell r="G7828">
            <v>312</v>
          </cell>
          <cell r="H7828" t="str">
            <v>HPER-D312</v>
          </cell>
          <cell r="K7828" t="str">
            <v>Wegman,Benjamin Josiah</v>
          </cell>
          <cell r="N7828">
            <v>3.5920000000000001</v>
          </cell>
          <cell r="O7828">
            <v>3.5830000000000002</v>
          </cell>
        </row>
        <row r="7829">
          <cell r="E7829" t="str">
            <v>HPER</v>
          </cell>
          <cell r="F7829" t="str">
            <v>HPER-D</v>
          </cell>
          <cell r="G7829">
            <v>332</v>
          </cell>
          <cell r="H7829" t="str">
            <v>HPER-D332</v>
          </cell>
          <cell r="K7829" t="str">
            <v>Carter,Selene B</v>
          </cell>
          <cell r="N7829">
            <v>3.9529999999999998</v>
          </cell>
          <cell r="O7829">
            <v>3.5430000000000001</v>
          </cell>
        </row>
        <row r="7830">
          <cell r="E7830" t="str">
            <v>HPER</v>
          </cell>
          <cell r="F7830" t="str">
            <v>HPER-D</v>
          </cell>
          <cell r="G7830">
            <v>353</v>
          </cell>
          <cell r="H7830" t="str">
            <v>HPER-D353</v>
          </cell>
          <cell r="K7830" t="str">
            <v>Galvin,Joseph Chernin</v>
          </cell>
          <cell r="N7830">
            <v>3.319</v>
          </cell>
          <cell r="O7830">
            <v>3.3069999999999999</v>
          </cell>
        </row>
        <row r="7831">
          <cell r="E7831" t="str">
            <v>HPER</v>
          </cell>
          <cell r="F7831" t="str">
            <v>HPER-D</v>
          </cell>
          <cell r="G7831">
            <v>411</v>
          </cell>
          <cell r="H7831" t="str">
            <v>HPER-D411</v>
          </cell>
          <cell r="K7831" t="str">
            <v>Shea,Elizabeth</v>
          </cell>
          <cell r="N7831" t="str">
            <v>NR</v>
          </cell>
          <cell r="O7831" t="str">
            <v>NR</v>
          </cell>
        </row>
        <row r="7832">
          <cell r="E7832" t="str">
            <v>HPER</v>
          </cell>
          <cell r="F7832" t="str">
            <v>HPER-D</v>
          </cell>
          <cell r="G7832">
            <v>412</v>
          </cell>
          <cell r="H7832" t="str">
            <v>HPER-D412</v>
          </cell>
          <cell r="K7832" t="str">
            <v>Shea,Elizabeth</v>
          </cell>
          <cell r="N7832" t="str">
            <v>NR</v>
          </cell>
          <cell r="O7832" t="str">
            <v>NR</v>
          </cell>
        </row>
        <row r="7833">
          <cell r="E7833" t="str">
            <v>HPER</v>
          </cell>
          <cell r="F7833" t="str">
            <v>HPER-D</v>
          </cell>
          <cell r="G7833">
            <v>421</v>
          </cell>
          <cell r="H7833" t="str">
            <v>HPER-D421</v>
          </cell>
          <cell r="K7833" t="str">
            <v>Carter,Selene B</v>
          </cell>
          <cell r="N7833">
            <v>4</v>
          </cell>
          <cell r="O7833">
            <v>3.516</v>
          </cell>
        </row>
        <row r="7834">
          <cell r="E7834" t="str">
            <v>HPER</v>
          </cell>
          <cell r="F7834" t="str">
            <v>HPER-D</v>
          </cell>
          <cell r="G7834">
            <v>441</v>
          </cell>
          <cell r="H7834" t="str">
            <v>HPER-D441</v>
          </cell>
          <cell r="K7834" t="str">
            <v>Burrell,Amy Beth</v>
          </cell>
          <cell r="N7834">
            <v>4</v>
          </cell>
          <cell r="O7834">
            <v>3.2959999999999998</v>
          </cell>
        </row>
        <row r="7835">
          <cell r="E7835" t="str">
            <v>HPER</v>
          </cell>
          <cell r="F7835" t="str">
            <v>HPER-D</v>
          </cell>
          <cell r="G7835">
            <v>461</v>
          </cell>
          <cell r="H7835" t="str">
            <v>HPER-D461</v>
          </cell>
          <cell r="K7835" t="str">
            <v>Carter,Selene B</v>
          </cell>
          <cell r="N7835">
            <v>3.9809999999999999</v>
          </cell>
          <cell r="O7835">
            <v>3.4670000000000001</v>
          </cell>
        </row>
        <row r="7836">
          <cell r="E7836" t="str">
            <v>HPER</v>
          </cell>
          <cell r="F7836" t="str">
            <v>HPER-D</v>
          </cell>
          <cell r="G7836">
            <v>462</v>
          </cell>
          <cell r="H7836" t="str">
            <v>HPER-D462</v>
          </cell>
          <cell r="K7836" t="str">
            <v>Hamm,Gwendolyn A.</v>
          </cell>
          <cell r="N7836">
            <v>4</v>
          </cell>
          <cell r="O7836">
            <v>3.5070000000000001</v>
          </cell>
        </row>
        <row r="7837">
          <cell r="E7837" t="str">
            <v>HPER</v>
          </cell>
          <cell r="F7837" t="str">
            <v>HPER-E</v>
          </cell>
          <cell r="G7837">
            <v>100</v>
          </cell>
          <cell r="H7837" t="str">
            <v>HPER-E100</v>
          </cell>
          <cell r="K7837" t="str">
            <v>Gonin,Madeleine</v>
          </cell>
          <cell r="N7837" t="str">
            <v>NR</v>
          </cell>
          <cell r="O7837" t="str">
            <v>NR</v>
          </cell>
        </row>
        <row r="7838">
          <cell r="E7838" t="str">
            <v>HPER</v>
          </cell>
          <cell r="F7838" t="str">
            <v>HPER-E</v>
          </cell>
          <cell r="G7838">
            <v>100</v>
          </cell>
          <cell r="H7838" t="str">
            <v>HPER-E100</v>
          </cell>
          <cell r="K7838" t="str">
            <v>Jankowski,Harmony Elizabeth</v>
          </cell>
          <cell r="N7838">
            <v>3.5630000000000002</v>
          </cell>
          <cell r="O7838">
            <v>3.0619999999999998</v>
          </cell>
        </row>
        <row r="7839">
          <cell r="E7839" t="str">
            <v>HPER</v>
          </cell>
          <cell r="F7839" t="str">
            <v>HPER-E</v>
          </cell>
          <cell r="G7839">
            <v>100</v>
          </cell>
          <cell r="H7839" t="str">
            <v>HPER-E100</v>
          </cell>
          <cell r="K7839" t="str">
            <v>Kelly,Patrick Charles</v>
          </cell>
          <cell r="N7839" t="str">
            <v>NR</v>
          </cell>
          <cell r="O7839" t="str">
            <v>NR</v>
          </cell>
        </row>
        <row r="7840">
          <cell r="E7840" t="str">
            <v>HPER</v>
          </cell>
          <cell r="F7840" t="str">
            <v>HPER-E</v>
          </cell>
          <cell r="G7840">
            <v>100</v>
          </cell>
          <cell r="H7840" t="str">
            <v>HPER-E100</v>
          </cell>
          <cell r="K7840" t="str">
            <v>Kelly,Patrick Charles</v>
          </cell>
          <cell r="N7840">
            <v>4</v>
          </cell>
          <cell r="O7840">
            <v>3.2610000000000001</v>
          </cell>
        </row>
        <row r="7841">
          <cell r="E7841" t="str">
            <v>HPER</v>
          </cell>
          <cell r="F7841" t="str">
            <v>HPER-E</v>
          </cell>
          <cell r="G7841">
            <v>100</v>
          </cell>
          <cell r="H7841" t="str">
            <v>HPER-E100</v>
          </cell>
          <cell r="K7841" t="str">
            <v>LeBeau,David Arthur</v>
          </cell>
          <cell r="N7841">
            <v>3.589</v>
          </cell>
          <cell r="O7841">
            <v>2.9980000000000002</v>
          </cell>
        </row>
        <row r="7842">
          <cell r="E7842" t="str">
            <v>HPER</v>
          </cell>
          <cell r="F7842" t="str">
            <v>HPER-E</v>
          </cell>
          <cell r="G7842">
            <v>100</v>
          </cell>
          <cell r="H7842" t="str">
            <v>HPER-E100</v>
          </cell>
          <cell r="K7842" t="str">
            <v>LeBeau,David Arthur</v>
          </cell>
          <cell r="N7842">
            <v>3.6070000000000002</v>
          </cell>
          <cell r="O7842">
            <v>3.1480000000000001</v>
          </cell>
        </row>
        <row r="7843">
          <cell r="E7843" t="str">
            <v>HPER</v>
          </cell>
          <cell r="F7843" t="str">
            <v>HPER-E</v>
          </cell>
          <cell r="G7843">
            <v>100</v>
          </cell>
          <cell r="H7843" t="str">
            <v>HPER-E100</v>
          </cell>
          <cell r="K7843" t="str">
            <v>LeBeau,David Arthur</v>
          </cell>
          <cell r="N7843">
            <v>3.6589999999999998</v>
          </cell>
          <cell r="O7843">
            <v>2.9580000000000002</v>
          </cell>
        </row>
        <row r="7844">
          <cell r="E7844" t="str">
            <v>HPER</v>
          </cell>
          <cell r="F7844" t="str">
            <v>HPER-E</v>
          </cell>
          <cell r="G7844">
            <v>100</v>
          </cell>
          <cell r="H7844" t="str">
            <v>HPER-E100</v>
          </cell>
          <cell r="K7844" t="str">
            <v>LeBeau,David Arthur</v>
          </cell>
          <cell r="N7844">
            <v>3.6160000000000001</v>
          </cell>
          <cell r="O7844">
            <v>3.129</v>
          </cell>
        </row>
        <row r="7845">
          <cell r="E7845" t="str">
            <v>HPER</v>
          </cell>
          <cell r="F7845" t="str">
            <v>HPER-E</v>
          </cell>
          <cell r="G7845">
            <v>100</v>
          </cell>
          <cell r="H7845" t="str">
            <v>HPER-E100</v>
          </cell>
          <cell r="K7845" t="str">
            <v>LeBeau,David Arthur</v>
          </cell>
          <cell r="N7845">
            <v>3.5310000000000001</v>
          </cell>
          <cell r="O7845">
            <v>3.1040000000000001</v>
          </cell>
        </row>
        <row r="7846">
          <cell r="E7846" t="str">
            <v>HPER</v>
          </cell>
          <cell r="F7846" t="str">
            <v>HPER-E</v>
          </cell>
          <cell r="G7846">
            <v>100</v>
          </cell>
          <cell r="H7846" t="str">
            <v>HPER-E100</v>
          </cell>
          <cell r="K7846" t="str">
            <v>LeBeau,David Arthur</v>
          </cell>
          <cell r="N7846">
            <v>3.6139999999999999</v>
          </cell>
          <cell r="O7846">
            <v>2.9039999999999999</v>
          </cell>
        </row>
        <row r="7847">
          <cell r="E7847" t="str">
            <v>HPER</v>
          </cell>
          <cell r="F7847" t="str">
            <v>HPER-E</v>
          </cell>
          <cell r="G7847">
            <v>100</v>
          </cell>
          <cell r="H7847" t="str">
            <v>HPER-E100</v>
          </cell>
          <cell r="K7847" t="str">
            <v>LeBeau,David Arthur</v>
          </cell>
          <cell r="N7847">
            <v>3.3690000000000002</v>
          </cell>
          <cell r="O7847">
            <v>3.1019999999999999</v>
          </cell>
        </row>
        <row r="7848">
          <cell r="E7848" t="str">
            <v>HPER</v>
          </cell>
          <cell r="F7848" t="str">
            <v>HPER-E</v>
          </cell>
          <cell r="G7848">
            <v>100</v>
          </cell>
          <cell r="H7848" t="str">
            <v>HPER-E100</v>
          </cell>
          <cell r="K7848" t="str">
            <v>LeBeau,David Arthur</v>
          </cell>
          <cell r="N7848">
            <v>3.7120000000000002</v>
          </cell>
          <cell r="O7848">
            <v>3.1920000000000002</v>
          </cell>
        </row>
        <row r="7849">
          <cell r="E7849" t="str">
            <v>HPER</v>
          </cell>
          <cell r="F7849" t="str">
            <v>HPER-E</v>
          </cell>
          <cell r="G7849">
            <v>100</v>
          </cell>
          <cell r="H7849" t="str">
            <v>HPER-E100</v>
          </cell>
          <cell r="K7849" t="str">
            <v>Rhodes,David K</v>
          </cell>
          <cell r="N7849">
            <v>4</v>
          </cell>
          <cell r="O7849">
            <v>3.18</v>
          </cell>
        </row>
        <row r="7850">
          <cell r="E7850" t="str">
            <v>HPER</v>
          </cell>
          <cell r="F7850" t="str">
            <v>HPER-E</v>
          </cell>
          <cell r="G7850">
            <v>100</v>
          </cell>
          <cell r="H7850" t="str">
            <v>HPER-E100</v>
          </cell>
          <cell r="K7850" t="str">
            <v>Santos,Iuri Hart</v>
          </cell>
          <cell r="N7850">
            <v>4</v>
          </cell>
          <cell r="O7850">
            <v>2.86</v>
          </cell>
        </row>
        <row r="7851">
          <cell r="E7851" t="str">
            <v>HPER</v>
          </cell>
          <cell r="F7851" t="str">
            <v>HPER-E</v>
          </cell>
          <cell r="G7851">
            <v>100</v>
          </cell>
          <cell r="H7851" t="str">
            <v>HPER-E100</v>
          </cell>
          <cell r="K7851" t="str">
            <v>Santos,Iuri Hart</v>
          </cell>
          <cell r="N7851">
            <v>3.95</v>
          </cell>
          <cell r="O7851">
            <v>2.7519999999999998</v>
          </cell>
        </row>
        <row r="7852">
          <cell r="E7852" t="str">
            <v>HPER</v>
          </cell>
          <cell r="F7852" t="str">
            <v>HPER-E</v>
          </cell>
          <cell r="G7852">
            <v>100</v>
          </cell>
          <cell r="H7852" t="str">
            <v>HPER-E100</v>
          </cell>
          <cell r="K7852" t="str">
            <v>Santos,Iuri Hart</v>
          </cell>
          <cell r="N7852" t="str">
            <v>NR</v>
          </cell>
          <cell r="O7852" t="str">
            <v>NR</v>
          </cell>
        </row>
        <row r="7853">
          <cell r="E7853" t="str">
            <v>HPER</v>
          </cell>
          <cell r="F7853" t="str">
            <v>HPER-E</v>
          </cell>
          <cell r="G7853">
            <v>100</v>
          </cell>
          <cell r="H7853" t="str">
            <v>HPER-E100</v>
          </cell>
          <cell r="K7853" t="str">
            <v>Santos,Iuri Hart</v>
          </cell>
          <cell r="N7853" t="str">
            <v>NR</v>
          </cell>
          <cell r="O7853" t="str">
            <v>NR</v>
          </cell>
        </row>
        <row r="7854">
          <cell r="E7854" t="str">
            <v>HPER</v>
          </cell>
          <cell r="F7854" t="str">
            <v>HPER-E</v>
          </cell>
          <cell r="G7854">
            <v>100</v>
          </cell>
          <cell r="H7854" t="str">
            <v>HPER-E100</v>
          </cell>
          <cell r="K7854" t="str">
            <v>Stephan,Dustin Nicholas</v>
          </cell>
          <cell r="N7854">
            <v>3.919</v>
          </cell>
          <cell r="O7854">
            <v>3.3620000000000001</v>
          </cell>
        </row>
        <row r="7855">
          <cell r="E7855" t="str">
            <v>HPER</v>
          </cell>
          <cell r="F7855" t="str">
            <v>HPER-E</v>
          </cell>
          <cell r="G7855">
            <v>100</v>
          </cell>
          <cell r="H7855" t="str">
            <v>HPER-E100</v>
          </cell>
          <cell r="K7855" t="str">
            <v>Stephan,Dustin Nicholas</v>
          </cell>
          <cell r="N7855">
            <v>4</v>
          </cell>
          <cell r="O7855">
            <v>3.456</v>
          </cell>
        </row>
        <row r="7856">
          <cell r="E7856" t="str">
            <v>HPER</v>
          </cell>
          <cell r="F7856" t="str">
            <v>HPER-E</v>
          </cell>
          <cell r="G7856">
            <v>100</v>
          </cell>
          <cell r="H7856" t="str">
            <v>HPER-E100</v>
          </cell>
          <cell r="K7856" t="str">
            <v>Windell,Susannah Marie</v>
          </cell>
          <cell r="N7856">
            <v>4</v>
          </cell>
          <cell r="O7856">
            <v>3.3730000000000002</v>
          </cell>
        </row>
        <row r="7857">
          <cell r="E7857" t="str">
            <v>HPER</v>
          </cell>
          <cell r="F7857" t="str">
            <v>HPER-E</v>
          </cell>
          <cell r="G7857">
            <v>100</v>
          </cell>
          <cell r="H7857" t="str">
            <v>HPER-E100</v>
          </cell>
          <cell r="K7857" t="str">
            <v>Windell,Susannah Marie</v>
          </cell>
          <cell r="N7857">
            <v>3.9660000000000002</v>
          </cell>
          <cell r="O7857">
            <v>3.331</v>
          </cell>
        </row>
        <row r="7858">
          <cell r="E7858" t="str">
            <v>HPER</v>
          </cell>
          <cell r="F7858" t="str">
            <v>HPER-E</v>
          </cell>
          <cell r="G7858">
            <v>102</v>
          </cell>
          <cell r="H7858" t="str">
            <v>HPER-E102</v>
          </cell>
          <cell r="K7858" t="str">
            <v>Holland,Angela Renee</v>
          </cell>
          <cell r="N7858" t="str">
            <v>NR</v>
          </cell>
          <cell r="O7858" t="str">
            <v>NR</v>
          </cell>
        </row>
        <row r="7859">
          <cell r="E7859" t="str">
            <v>HPER</v>
          </cell>
          <cell r="F7859" t="str">
            <v>HPER-E</v>
          </cell>
          <cell r="G7859">
            <v>102</v>
          </cell>
          <cell r="H7859" t="str">
            <v>HPER-E102</v>
          </cell>
          <cell r="K7859" t="str">
            <v>Holland,Angelia Maleah</v>
          </cell>
          <cell r="N7859" t="str">
            <v>NR</v>
          </cell>
          <cell r="O7859" t="str">
            <v>NR</v>
          </cell>
        </row>
        <row r="7860">
          <cell r="E7860" t="str">
            <v>HPER</v>
          </cell>
          <cell r="F7860" t="str">
            <v>HPER-E</v>
          </cell>
          <cell r="G7860">
            <v>102</v>
          </cell>
          <cell r="H7860" t="str">
            <v>HPER-E102</v>
          </cell>
          <cell r="K7860" t="str">
            <v>Holland,Angelia Maleah</v>
          </cell>
          <cell r="N7860" t="str">
            <v>NR</v>
          </cell>
          <cell r="O7860" t="str">
            <v>NR</v>
          </cell>
        </row>
        <row r="7861">
          <cell r="E7861" t="str">
            <v>HPER</v>
          </cell>
          <cell r="F7861" t="str">
            <v>HPER-E</v>
          </cell>
          <cell r="G7861">
            <v>102</v>
          </cell>
          <cell r="H7861" t="str">
            <v>HPER-E102</v>
          </cell>
          <cell r="K7861" t="str">
            <v>Yoke,Mary</v>
          </cell>
          <cell r="N7861" t="str">
            <v>NR</v>
          </cell>
          <cell r="O7861" t="str">
            <v>NR</v>
          </cell>
        </row>
        <row r="7862">
          <cell r="E7862" t="str">
            <v>HPER</v>
          </cell>
          <cell r="F7862" t="str">
            <v>HPER-E</v>
          </cell>
          <cell r="G7862">
            <v>103</v>
          </cell>
          <cell r="H7862" t="str">
            <v>HPER-E103</v>
          </cell>
          <cell r="K7862" t="str">
            <v>Kelly,Patrick Charles</v>
          </cell>
          <cell r="N7862">
            <v>3.7949999999999999</v>
          </cell>
          <cell r="O7862">
            <v>3.4660000000000002</v>
          </cell>
        </row>
        <row r="7863">
          <cell r="E7863" t="str">
            <v>HPER</v>
          </cell>
          <cell r="F7863" t="str">
            <v>HPER-E</v>
          </cell>
          <cell r="G7863">
            <v>103</v>
          </cell>
          <cell r="H7863" t="str">
            <v>HPER-E103</v>
          </cell>
          <cell r="K7863" t="str">
            <v>Welty,Arlo Emory</v>
          </cell>
          <cell r="N7863">
            <v>3.9060000000000001</v>
          </cell>
          <cell r="O7863">
            <v>3.4289999999999998</v>
          </cell>
        </row>
        <row r="7864">
          <cell r="E7864" t="str">
            <v>HPER</v>
          </cell>
          <cell r="F7864" t="str">
            <v>HPER-E</v>
          </cell>
          <cell r="G7864">
            <v>106</v>
          </cell>
          <cell r="H7864" t="str">
            <v>HPER-E106</v>
          </cell>
          <cell r="K7864" t="str">
            <v>Kugler,Roger  Lynn</v>
          </cell>
          <cell r="N7864">
            <v>3.3039999999999998</v>
          </cell>
          <cell r="O7864">
            <v>2.9369999999999998</v>
          </cell>
        </row>
        <row r="7865">
          <cell r="E7865" t="str">
            <v>HPER</v>
          </cell>
          <cell r="F7865" t="str">
            <v>HPER-E</v>
          </cell>
          <cell r="G7865">
            <v>106</v>
          </cell>
          <cell r="H7865" t="str">
            <v>HPER-E106</v>
          </cell>
          <cell r="K7865" t="str">
            <v>Kugler,Roger  Lynn</v>
          </cell>
          <cell r="N7865">
            <v>3.7759999999999998</v>
          </cell>
          <cell r="O7865">
            <v>3.03</v>
          </cell>
        </row>
        <row r="7866">
          <cell r="E7866" t="str">
            <v>HPER</v>
          </cell>
          <cell r="F7866" t="str">
            <v>HPER-E</v>
          </cell>
          <cell r="G7866">
            <v>109</v>
          </cell>
          <cell r="H7866" t="str">
            <v>HPER-E109</v>
          </cell>
          <cell r="K7866" t="str">
            <v>Stephan,Dustin Nicholas</v>
          </cell>
          <cell r="N7866">
            <v>3.774</v>
          </cell>
          <cell r="O7866">
            <v>3.202</v>
          </cell>
        </row>
        <row r="7867">
          <cell r="E7867" t="str">
            <v>HPER</v>
          </cell>
          <cell r="F7867" t="str">
            <v>HPER-E</v>
          </cell>
          <cell r="G7867">
            <v>109</v>
          </cell>
          <cell r="H7867" t="str">
            <v>HPER-E109</v>
          </cell>
          <cell r="K7867" t="str">
            <v>Stephan,Dustin Nicholas</v>
          </cell>
          <cell r="N7867">
            <v>3.7</v>
          </cell>
          <cell r="O7867">
            <v>3.4380000000000002</v>
          </cell>
        </row>
        <row r="7868">
          <cell r="E7868" t="str">
            <v>HPER</v>
          </cell>
          <cell r="F7868" t="str">
            <v>HPER-E</v>
          </cell>
          <cell r="G7868">
            <v>109</v>
          </cell>
          <cell r="H7868" t="str">
            <v>HPER-E109</v>
          </cell>
          <cell r="K7868" t="str">
            <v>Stephan,Dustin Nicholas</v>
          </cell>
          <cell r="N7868">
            <v>3.964</v>
          </cell>
          <cell r="O7868">
            <v>3.3570000000000002</v>
          </cell>
        </row>
        <row r="7869">
          <cell r="E7869" t="str">
            <v>HPER</v>
          </cell>
          <cell r="F7869" t="str">
            <v>HPER-E</v>
          </cell>
          <cell r="G7869">
            <v>109</v>
          </cell>
          <cell r="H7869" t="str">
            <v>HPER-E109</v>
          </cell>
          <cell r="K7869" t="str">
            <v>Stephan,Dustin Nicholas</v>
          </cell>
          <cell r="N7869">
            <v>3.9670000000000001</v>
          </cell>
          <cell r="O7869">
            <v>3.4</v>
          </cell>
        </row>
        <row r="7870">
          <cell r="E7870" t="str">
            <v>HPER</v>
          </cell>
          <cell r="F7870" t="str">
            <v>HPER-E</v>
          </cell>
          <cell r="G7870">
            <v>111</v>
          </cell>
          <cell r="H7870" t="str">
            <v>HPER-E111</v>
          </cell>
          <cell r="K7870" t="str">
            <v>Bona Negri,Paulo Vitor</v>
          </cell>
          <cell r="N7870">
            <v>3.68</v>
          </cell>
          <cell r="O7870">
            <v>2.6739999999999999</v>
          </cell>
        </row>
        <row r="7871">
          <cell r="E7871" t="str">
            <v>HPER</v>
          </cell>
          <cell r="F7871" t="str">
            <v>HPER-E</v>
          </cell>
          <cell r="G7871">
            <v>111</v>
          </cell>
          <cell r="H7871" t="str">
            <v>HPER-E111</v>
          </cell>
          <cell r="K7871" t="str">
            <v>Bona Negri,Paulo Vitor</v>
          </cell>
          <cell r="N7871">
            <v>4</v>
          </cell>
          <cell r="O7871">
            <v>3.16</v>
          </cell>
        </row>
        <row r="7872">
          <cell r="E7872" t="str">
            <v>HPER</v>
          </cell>
          <cell r="F7872" t="str">
            <v>HPER-E</v>
          </cell>
          <cell r="G7872">
            <v>111</v>
          </cell>
          <cell r="H7872" t="str">
            <v>HPER-E111</v>
          </cell>
          <cell r="K7872" t="str">
            <v>Bona Negri,Paulo Vitor</v>
          </cell>
          <cell r="N7872">
            <v>3.867</v>
          </cell>
          <cell r="O7872">
            <v>3.274</v>
          </cell>
        </row>
        <row r="7873">
          <cell r="E7873" t="str">
            <v>HPER</v>
          </cell>
          <cell r="F7873" t="str">
            <v>HPER-E</v>
          </cell>
          <cell r="G7873">
            <v>111</v>
          </cell>
          <cell r="H7873" t="str">
            <v>HPER-E111</v>
          </cell>
          <cell r="K7873" t="str">
            <v>Bulman,Jeremy Thomas</v>
          </cell>
          <cell r="N7873">
            <v>3.964</v>
          </cell>
          <cell r="O7873">
            <v>2.88</v>
          </cell>
        </row>
        <row r="7874">
          <cell r="E7874" t="str">
            <v>HPER</v>
          </cell>
          <cell r="F7874" t="str">
            <v>HPER-E</v>
          </cell>
          <cell r="G7874">
            <v>111</v>
          </cell>
          <cell r="H7874" t="str">
            <v>HPER-E111</v>
          </cell>
          <cell r="K7874" t="str">
            <v>Taylor,Bakari David</v>
          </cell>
          <cell r="N7874">
            <v>3.9660000000000002</v>
          </cell>
          <cell r="O7874">
            <v>3.0680000000000001</v>
          </cell>
        </row>
        <row r="7875">
          <cell r="E7875" t="str">
            <v>HPER</v>
          </cell>
          <cell r="F7875" t="str">
            <v>HPER-E</v>
          </cell>
          <cell r="G7875">
            <v>111</v>
          </cell>
          <cell r="H7875" t="str">
            <v>HPER-E111</v>
          </cell>
          <cell r="K7875" t="str">
            <v>Taylor,Bakari David</v>
          </cell>
          <cell r="N7875">
            <v>4</v>
          </cell>
          <cell r="O7875">
            <v>3.1040000000000001</v>
          </cell>
        </row>
        <row r="7876">
          <cell r="E7876" t="str">
            <v>HPER</v>
          </cell>
          <cell r="F7876" t="str">
            <v>HPER-E</v>
          </cell>
          <cell r="G7876">
            <v>111</v>
          </cell>
          <cell r="H7876" t="str">
            <v>HPER-E111</v>
          </cell>
          <cell r="K7876" t="str">
            <v>Vooris,Ryan P</v>
          </cell>
          <cell r="N7876">
            <v>3.8140000000000001</v>
          </cell>
          <cell r="O7876">
            <v>2.8679999999999999</v>
          </cell>
        </row>
        <row r="7877">
          <cell r="E7877" t="str">
            <v>HPER</v>
          </cell>
          <cell r="F7877" t="str">
            <v>HPER-E</v>
          </cell>
          <cell r="G7877">
            <v>111</v>
          </cell>
          <cell r="H7877" t="str">
            <v>HPER-E111</v>
          </cell>
          <cell r="K7877" t="str">
            <v>Vooris,Ryan P</v>
          </cell>
          <cell r="N7877">
            <v>3.0379999999999998</v>
          </cell>
          <cell r="O7877">
            <v>2.746</v>
          </cell>
        </row>
        <row r="7878">
          <cell r="E7878" t="str">
            <v>HPER</v>
          </cell>
          <cell r="F7878" t="str">
            <v>HPER-E</v>
          </cell>
          <cell r="G7878">
            <v>111</v>
          </cell>
          <cell r="H7878" t="str">
            <v>HPER-E111</v>
          </cell>
          <cell r="K7878" t="str">
            <v>Xue,Chen</v>
          </cell>
          <cell r="N7878">
            <v>3.9790000000000001</v>
          </cell>
          <cell r="O7878">
            <v>3.0390000000000001</v>
          </cell>
        </row>
        <row r="7879">
          <cell r="E7879" t="str">
            <v>HPER</v>
          </cell>
          <cell r="F7879" t="str">
            <v>HPER-E</v>
          </cell>
          <cell r="G7879">
            <v>111</v>
          </cell>
          <cell r="H7879" t="str">
            <v>HPER-E111</v>
          </cell>
          <cell r="K7879" t="str">
            <v>Xue,Chen</v>
          </cell>
          <cell r="N7879">
            <v>3.9340000000000002</v>
          </cell>
          <cell r="O7879">
            <v>2.8940000000000001</v>
          </cell>
        </row>
        <row r="7880">
          <cell r="E7880" t="str">
            <v>HPER</v>
          </cell>
          <cell r="F7880" t="str">
            <v>HPER-E</v>
          </cell>
          <cell r="G7880">
            <v>111</v>
          </cell>
          <cell r="H7880" t="str">
            <v>HPER-E111</v>
          </cell>
          <cell r="K7880" t="str">
            <v>Xue,Chen</v>
          </cell>
          <cell r="N7880">
            <v>3.7570000000000001</v>
          </cell>
          <cell r="O7880">
            <v>2.7480000000000002</v>
          </cell>
        </row>
        <row r="7881">
          <cell r="E7881" t="str">
            <v>HPER</v>
          </cell>
          <cell r="F7881" t="str">
            <v>HPER-E</v>
          </cell>
          <cell r="G7881">
            <v>112</v>
          </cell>
          <cell r="H7881" t="str">
            <v>HPER-E112</v>
          </cell>
          <cell r="K7881" t="str">
            <v>Shei,Ren-Jay</v>
          </cell>
          <cell r="N7881">
            <v>3.2949999999999999</v>
          </cell>
          <cell r="O7881">
            <v>2.8159999999999998</v>
          </cell>
        </row>
        <row r="7882">
          <cell r="E7882" t="str">
            <v>HPER</v>
          </cell>
          <cell r="F7882" t="str">
            <v>HPER-E</v>
          </cell>
          <cell r="G7882">
            <v>112</v>
          </cell>
          <cell r="H7882" t="str">
            <v>HPER-E112</v>
          </cell>
          <cell r="K7882" t="str">
            <v>Shei,Ren-Jay</v>
          </cell>
          <cell r="N7882">
            <v>3.9140000000000001</v>
          </cell>
          <cell r="O7882">
            <v>3.2919999999999998</v>
          </cell>
        </row>
        <row r="7883">
          <cell r="E7883" t="str">
            <v>HPER</v>
          </cell>
          <cell r="F7883" t="str">
            <v>HPER-E</v>
          </cell>
          <cell r="G7883">
            <v>113</v>
          </cell>
          <cell r="H7883" t="str">
            <v>HPER-E113</v>
          </cell>
          <cell r="K7883" t="str">
            <v>Brammer,Christopher Lee</v>
          </cell>
          <cell r="N7883">
            <v>3.895</v>
          </cell>
          <cell r="O7883">
            <v>3.1379999999999999</v>
          </cell>
        </row>
        <row r="7884">
          <cell r="E7884" t="str">
            <v>HPER</v>
          </cell>
          <cell r="F7884" t="str">
            <v>HPER-E</v>
          </cell>
          <cell r="G7884">
            <v>113</v>
          </cell>
          <cell r="H7884" t="str">
            <v>HPER-E113</v>
          </cell>
          <cell r="K7884" t="str">
            <v>Bulman,Jeremy Thomas</v>
          </cell>
          <cell r="N7884">
            <v>3.7890000000000001</v>
          </cell>
          <cell r="O7884">
            <v>2.9590000000000001</v>
          </cell>
        </row>
        <row r="7885">
          <cell r="E7885" t="str">
            <v>HPER</v>
          </cell>
          <cell r="F7885" t="str">
            <v>HPER-E</v>
          </cell>
          <cell r="G7885">
            <v>113</v>
          </cell>
          <cell r="H7885" t="str">
            <v>HPER-E113</v>
          </cell>
          <cell r="K7885" t="str">
            <v>Cheeseman,Dan Leroy</v>
          </cell>
          <cell r="N7885">
            <v>3.6669999999999998</v>
          </cell>
          <cell r="O7885">
            <v>2.98</v>
          </cell>
        </row>
        <row r="7886">
          <cell r="E7886" t="str">
            <v>HPER</v>
          </cell>
          <cell r="F7886" t="str">
            <v>HPER-E</v>
          </cell>
          <cell r="G7886">
            <v>113</v>
          </cell>
          <cell r="H7886" t="str">
            <v>HPER-E113</v>
          </cell>
          <cell r="K7886" t="str">
            <v>Cheeseman,Dan Leroy</v>
          </cell>
          <cell r="N7886">
            <v>3.7530000000000001</v>
          </cell>
          <cell r="O7886">
            <v>2.9649999999999999</v>
          </cell>
        </row>
        <row r="7887">
          <cell r="E7887" t="str">
            <v>HPER</v>
          </cell>
          <cell r="F7887" t="str">
            <v>HPER-E</v>
          </cell>
          <cell r="G7887">
            <v>113</v>
          </cell>
          <cell r="H7887" t="str">
            <v>HPER-E113</v>
          </cell>
          <cell r="K7887" t="str">
            <v>Cheeseman,Dan Leroy</v>
          </cell>
          <cell r="N7887">
            <v>3.8109999999999999</v>
          </cell>
          <cell r="O7887">
            <v>2.9620000000000002</v>
          </cell>
        </row>
        <row r="7888">
          <cell r="E7888" t="str">
            <v>HPER</v>
          </cell>
          <cell r="F7888" t="str">
            <v>HPER-E</v>
          </cell>
          <cell r="G7888">
            <v>113</v>
          </cell>
          <cell r="H7888" t="str">
            <v>HPER-E113</v>
          </cell>
          <cell r="K7888" t="str">
            <v>Cheeseman,Dan Leroy</v>
          </cell>
          <cell r="N7888">
            <v>3.4529999999999998</v>
          </cell>
          <cell r="O7888">
            <v>2.694</v>
          </cell>
        </row>
        <row r="7889">
          <cell r="E7889" t="str">
            <v>HPER</v>
          </cell>
          <cell r="F7889" t="str">
            <v>HPER-E</v>
          </cell>
          <cell r="G7889">
            <v>113</v>
          </cell>
          <cell r="H7889" t="str">
            <v>HPER-E113</v>
          </cell>
          <cell r="K7889" t="str">
            <v>Foss,Joshua</v>
          </cell>
          <cell r="N7889">
            <v>3.89</v>
          </cell>
          <cell r="O7889">
            <v>3.0870000000000002</v>
          </cell>
        </row>
        <row r="7890">
          <cell r="E7890" t="str">
            <v>HPER</v>
          </cell>
          <cell r="F7890" t="str">
            <v>HPER-E</v>
          </cell>
          <cell r="G7890">
            <v>113</v>
          </cell>
          <cell r="H7890" t="str">
            <v>HPER-E113</v>
          </cell>
          <cell r="K7890" t="str">
            <v>Foss,Joshua</v>
          </cell>
          <cell r="N7890">
            <v>3.637</v>
          </cell>
          <cell r="O7890">
            <v>2.9969999999999999</v>
          </cell>
        </row>
        <row r="7891">
          <cell r="E7891" t="str">
            <v>HPER</v>
          </cell>
          <cell r="F7891" t="str">
            <v>HPER-E</v>
          </cell>
          <cell r="G7891">
            <v>113</v>
          </cell>
          <cell r="H7891" t="str">
            <v>HPER-E113</v>
          </cell>
          <cell r="K7891" t="str">
            <v>Foss,Joshua</v>
          </cell>
          <cell r="N7891">
            <v>3.4550000000000001</v>
          </cell>
          <cell r="O7891">
            <v>2.7349999999999999</v>
          </cell>
        </row>
        <row r="7892">
          <cell r="E7892" t="str">
            <v>HPER</v>
          </cell>
          <cell r="F7892" t="str">
            <v>HPER-E</v>
          </cell>
          <cell r="G7892">
            <v>113</v>
          </cell>
          <cell r="H7892" t="str">
            <v>HPER-E113</v>
          </cell>
          <cell r="K7892" t="str">
            <v>Pike,Brian James</v>
          </cell>
          <cell r="N7892">
            <v>3.5790000000000002</v>
          </cell>
          <cell r="O7892">
            <v>2.2719999999999998</v>
          </cell>
        </row>
        <row r="7893">
          <cell r="E7893" t="str">
            <v>HPER</v>
          </cell>
          <cell r="F7893" t="str">
            <v>HPER-E</v>
          </cell>
          <cell r="G7893">
            <v>113</v>
          </cell>
          <cell r="H7893" t="str">
            <v>HPER-E113</v>
          </cell>
          <cell r="K7893" t="str">
            <v>Pike,Brian James</v>
          </cell>
          <cell r="N7893">
            <v>4</v>
          </cell>
          <cell r="O7893">
            <v>3.0609999999999999</v>
          </cell>
        </row>
        <row r="7894">
          <cell r="E7894" t="str">
            <v>HPER</v>
          </cell>
          <cell r="F7894" t="str">
            <v>HPER-E</v>
          </cell>
          <cell r="G7894">
            <v>113</v>
          </cell>
          <cell r="H7894" t="str">
            <v>HPER-E113</v>
          </cell>
          <cell r="K7894" t="str">
            <v>Pike,Brian James</v>
          </cell>
          <cell r="N7894">
            <v>4</v>
          </cell>
          <cell r="O7894">
            <v>3.1280000000000001</v>
          </cell>
        </row>
        <row r="7895">
          <cell r="E7895" t="str">
            <v>HPER</v>
          </cell>
          <cell r="F7895" t="str">
            <v>HPER-E</v>
          </cell>
          <cell r="G7895">
            <v>113</v>
          </cell>
          <cell r="H7895" t="str">
            <v>HPER-E113</v>
          </cell>
          <cell r="K7895" t="str">
            <v>Pike,Brian James</v>
          </cell>
          <cell r="N7895">
            <v>3.984</v>
          </cell>
          <cell r="O7895">
            <v>3.1989999999999998</v>
          </cell>
        </row>
        <row r="7896">
          <cell r="E7896" t="str">
            <v>HPER</v>
          </cell>
          <cell r="F7896" t="str">
            <v>HPER-E</v>
          </cell>
          <cell r="G7896">
            <v>113</v>
          </cell>
          <cell r="H7896" t="str">
            <v>HPER-E113</v>
          </cell>
          <cell r="K7896" t="str">
            <v>Welty,Arlo Emory</v>
          </cell>
          <cell r="N7896">
            <v>3.5630000000000002</v>
          </cell>
          <cell r="O7896">
            <v>2.78</v>
          </cell>
        </row>
        <row r="7897">
          <cell r="E7897" t="str">
            <v>HPER</v>
          </cell>
          <cell r="F7897" t="str">
            <v>HPER-E</v>
          </cell>
          <cell r="G7897">
            <v>113</v>
          </cell>
          <cell r="H7897" t="str">
            <v>HPER-E113</v>
          </cell>
          <cell r="K7897" t="str">
            <v>Welty,Arlo Emory</v>
          </cell>
          <cell r="N7897">
            <v>3.8580000000000001</v>
          </cell>
          <cell r="O7897">
            <v>3.0329999999999999</v>
          </cell>
        </row>
        <row r="7898">
          <cell r="E7898" t="str">
            <v>HPER</v>
          </cell>
          <cell r="F7898" t="str">
            <v>HPER-E</v>
          </cell>
          <cell r="G7898">
            <v>113</v>
          </cell>
          <cell r="H7898" t="str">
            <v>HPER-E113</v>
          </cell>
          <cell r="K7898" t="str">
            <v>Welty,Arlo Emory</v>
          </cell>
          <cell r="N7898">
            <v>3.85</v>
          </cell>
          <cell r="O7898">
            <v>3.2810000000000001</v>
          </cell>
        </row>
        <row r="7899">
          <cell r="E7899" t="str">
            <v>HPER</v>
          </cell>
          <cell r="F7899" t="str">
            <v>HPER-E</v>
          </cell>
          <cell r="G7899">
            <v>113</v>
          </cell>
          <cell r="H7899" t="str">
            <v>HPER-E113</v>
          </cell>
          <cell r="K7899" t="str">
            <v>Welty,Arlo Emory</v>
          </cell>
          <cell r="N7899">
            <v>3.7320000000000002</v>
          </cell>
          <cell r="O7899">
            <v>3.1760000000000002</v>
          </cell>
        </row>
        <row r="7900">
          <cell r="E7900" t="str">
            <v>HPER</v>
          </cell>
          <cell r="F7900" t="str">
            <v>HPER-E</v>
          </cell>
          <cell r="G7900">
            <v>113</v>
          </cell>
          <cell r="H7900" t="str">
            <v>HPER-E113</v>
          </cell>
          <cell r="K7900" t="str">
            <v>Williamson II,Robert Thomas</v>
          </cell>
          <cell r="N7900">
            <v>3.9159999999999999</v>
          </cell>
          <cell r="O7900">
            <v>2.8069999999999999</v>
          </cell>
        </row>
        <row r="7901">
          <cell r="E7901" t="str">
            <v>HPER</v>
          </cell>
          <cell r="F7901" t="str">
            <v>HPER-E</v>
          </cell>
          <cell r="G7901">
            <v>113</v>
          </cell>
          <cell r="H7901" t="str">
            <v>HPER-E113</v>
          </cell>
          <cell r="K7901" t="str">
            <v>Yao,Muye</v>
          </cell>
          <cell r="N7901">
            <v>3.944</v>
          </cell>
          <cell r="O7901">
            <v>3.0179999999999998</v>
          </cell>
        </row>
        <row r="7902">
          <cell r="E7902" t="str">
            <v>HPER</v>
          </cell>
          <cell r="F7902" t="str">
            <v>HPER-E</v>
          </cell>
          <cell r="G7902">
            <v>113</v>
          </cell>
          <cell r="H7902" t="str">
            <v>HPER-E113</v>
          </cell>
          <cell r="K7902" t="str">
            <v>Yao,Muye</v>
          </cell>
          <cell r="N7902">
            <v>3.97</v>
          </cell>
          <cell r="O7902">
            <v>3.234</v>
          </cell>
        </row>
        <row r="7903">
          <cell r="E7903" t="str">
            <v>HPER</v>
          </cell>
          <cell r="F7903" t="str">
            <v>HPER-E</v>
          </cell>
          <cell r="G7903">
            <v>117</v>
          </cell>
          <cell r="H7903" t="str">
            <v>HPER-E117</v>
          </cell>
          <cell r="K7903" t="str">
            <v>Bower,John Charles</v>
          </cell>
          <cell r="N7903">
            <v>3.6179999999999999</v>
          </cell>
          <cell r="O7903">
            <v>3.1230000000000002</v>
          </cell>
        </row>
        <row r="7904">
          <cell r="E7904" t="str">
            <v>HPER</v>
          </cell>
          <cell r="F7904" t="str">
            <v>HPER-E</v>
          </cell>
          <cell r="G7904">
            <v>117</v>
          </cell>
          <cell r="H7904" t="str">
            <v>HPER-E117</v>
          </cell>
          <cell r="K7904" t="str">
            <v>Bower,John Charles</v>
          </cell>
          <cell r="N7904">
            <v>3.847</v>
          </cell>
          <cell r="O7904">
            <v>3.202</v>
          </cell>
        </row>
        <row r="7905">
          <cell r="E7905" t="str">
            <v>HPER</v>
          </cell>
          <cell r="F7905" t="str">
            <v>HPER-E</v>
          </cell>
          <cell r="G7905">
            <v>117</v>
          </cell>
          <cell r="H7905" t="str">
            <v>HPER-E117</v>
          </cell>
          <cell r="K7905" t="str">
            <v>Bower,John Charles</v>
          </cell>
          <cell r="N7905">
            <v>3.4359999999999999</v>
          </cell>
          <cell r="O7905">
            <v>2.722</v>
          </cell>
        </row>
        <row r="7906">
          <cell r="E7906" t="str">
            <v>HPER</v>
          </cell>
          <cell r="F7906" t="str">
            <v>HPER-E</v>
          </cell>
          <cell r="G7906">
            <v>117</v>
          </cell>
          <cell r="H7906" t="str">
            <v>HPER-E117</v>
          </cell>
          <cell r="K7906" t="str">
            <v>Bower,John Charles</v>
          </cell>
          <cell r="N7906">
            <v>3.6190000000000002</v>
          </cell>
          <cell r="O7906">
            <v>2.9359999999999999</v>
          </cell>
        </row>
        <row r="7907">
          <cell r="E7907" t="str">
            <v>HPER</v>
          </cell>
          <cell r="F7907" t="str">
            <v>HPER-E</v>
          </cell>
          <cell r="G7907">
            <v>117</v>
          </cell>
          <cell r="H7907" t="str">
            <v>HPER-E117</v>
          </cell>
          <cell r="K7907" t="str">
            <v>Chamness,Jeffrey J.</v>
          </cell>
          <cell r="N7907">
            <v>3.9089999999999998</v>
          </cell>
          <cell r="O7907">
            <v>2.8170000000000002</v>
          </cell>
        </row>
        <row r="7908">
          <cell r="E7908" t="str">
            <v>HPER</v>
          </cell>
          <cell r="F7908" t="str">
            <v>HPER-E</v>
          </cell>
          <cell r="G7908">
            <v>117</v>
          </cell>
          <cell r="H7908" t="str">
            <v>HPER-E117</v>
          </cell>
          <cell r="K7908" t="str">
            <v>Chamness,Jeffrey J.</v>
          </cell>
          <cell r="N7908">
            <v>3.9409999999999998</v>
          </cell>
          <cell r="O7908">
            <v>3.2069999999999999</v>
          </cell>
        </row>
        <row r="7909">
          <cell r="E7909" t="str">
            <v>HPER</v>
          </cell>
          <cell r="F7909" t="str">
            <v>HPER-E</v>
          </cell>
          <cell r="G7909">
            <v>117</v>
          </cell>
          <cell r="H7909" t="str">
            <v>HPER-E117</v>
          </cell>
          <cell r="K7909" t="str">
            <v>Chamness,Jeffrey J.</v>
          </cell>
          <cell r="N7909">
            <v>3.9710000000000001</v>
          </cell>
          <cell r="O7909">
            <v>3.1309999999999998</v>
          </cell>
        </row>
        <row r="7910">
          <cell r="E7910" t="str">
            <v>HPER</v>
          </cell>
          <cell r="F7910" t="str">
            <v>HPER-E</v>
          </cell>
          <cell r="G7910">
            <v>117</v>
          </cell>
          <cell r="H7910" t="str">
            <v>HPER-E117</v>
          </cell>
          <cell r="K7910" t="str">
            <v>Chamness,Jeffrey J.</v>
          </cell>
          <cell r="N7910">
            <v>3.9710000000000001</v>
          </cell>
          <cell r="O7910">
            <v>3.2040000000000002</v>
          </cell>
        </row>
        <row r="7911">
          <cell r="E7911" t="str">
            <v>HPER</v>
          </cell>
          <cell r="F7911" t="str">
            <v>HPER-E</v>
          </cell>
          <cell r="G7911">
            <v>117</v>
          </cell>
          <cell r="H7911" t="str">
            <v>HPER-E117</v>
          </cell>
          <cell r="K7911" t="str">
            <v>Chamness,Jeffrey J.</v>
          </cell>
          <cell r="N7911">
            <v>3.9710000000000001</v>
          </cell>
          <cell r="O7911">
            <v>2.956</v>
          </cell>
        </row>
        <row r="7912">
          <cell r="E7912" t="str">
            <v>HPER</v>
          </cell>
          <cell r="F7912" t="str">
            <v>HPER-E</v>
          </cell>
          <cell r="G7912">
            <v>117</v>
          </cell>
          <cell r="H7912" t="str">
            <v>HPER-E117</v>
          </cell>
          <cell r="K7912" t="str">
            <v>Chamness,Jeffrey J.</v>
          </cell>
          <cell r="N7912">
            <v>4</v>
          </cell>
          <cell r="O7912">
            <v>3.0670000000000002</v>
          </cell>
        </row>
        <row r="7913">
          <cell r="E7913" t="str">
            <v>HPER</v>
          </cell>
          <cell r="F7913" t="str">
            <v>HPER-E</v>
          </cell>
          <cell r="G7913">
            <v>117</v>
          </cell>
          <cell r="H7913" t="str">
            <v>HPER-E117</v>
          </cell>
          <cell r="K7913" t="str">
            <v>Chamness,Jeffrey J.</v>
          </cell>
          <cell r="N7913">
            <v>4</v>
          </cell>
          <cell r="O7913">
            <v>3.1930000000000001</v>
          </cell>
        </row>
        <row r="7914">
          <cell r="E7914" t="str">
            <v>HPER</v>
          </cell>
          <cell r="F7914" t="str">
            <v>HPER-E</v>
          </cell>
          <cell r="G7914">
            <v>117</v>
          </cell>
          <cell r="H7914" t="str">
            <v>HPER-E117</v>
          </cell>
          <cell r="K7914" t="str">
            <v>Foss,Joshua</v>
          </cell>
          <cell r="N7914">
            <v>3.6190000000000002</v>
          </cell>
          <cell r="O7914">
            <v>2.6549999999999998</v>
          </cell>
        </row>
        <row r="7915">
          <cell r="E7915" t="str">
            <v>HPER</v>
          </cell>
          <cell r="F7915" t="str">
            <v>HPER-E</v>
          </cell>
          <cell r="G7915">
            <v>117</v>
          </cell>
          <cell r="H7915" t="str">
            <v>HPER-E117</v>
          </cell>
          <cell r="K7915" t="str">
            <v>Stephan,Ric</v>
          </cell>
          <cell r="N7915">
            <v>3.5579999999999998</v>
          </cell>
          <cell r="O7915">
            <v>2.9550000000000001</v>
          </cell>
        </row>
        <row r="7916">
          <cell r="E7916" t="str">
            <v>HPER</v>
          </cell>
          <cell r="F7916" t="str">
            <v>HPER-E</v>
          </cell>
          <cell r="G7916">
            <v>117</v>
          </cell>
          <cell r="H7916" t="str">
            <v>HPER-E117</v>
          </cell>
          <cell r="K7916" t="str">
            <v>Stephan,Ric</v>
          </cell>
          <cell r="N7916">
            <v>3.5289999999999999</v>
          </cell>
          <cell r="O7916">
            <v>2.7509999999999999</v>
          </cell>
        </row>
        <row r="7917">
          <cell r="E7917" t="str">
            <v>HPER</v>
          </cell>
          <cell r="F7917" t="str">
            <v>HPER-E</v>
          </cell>
          <cell r="G7917">
            <v>117</v>
          </cell>
          <cell r="H7917" t="str">
            <v>HPER-E117</v>
          </cell>
          <cell r="K7917" t="str">
            <v>Stephan,Ric</v>
          </cell>
          <cell r="N7917">
            <v>3.4380000000000002</v>
          </cell>
          <cell r="O7917">
            <v>2.8050000000000002</v>
          </cell>
        </row>
        <row r="7918">
          <cell r="E7918" t="str">
            <v>HPER</v>
          </cell>
          <cell r="F7918" t="str">
            <v>HPER-E</v>
          </cell>
          <cell r="G7918">
            <v>117</v>
          </cell>
          <cell r="H7918" t="str">
            <v>HPER-E117</v>
          </cell>
          <cell r="K7918" t="str">
            <v>Stephan,Ric</v>
          </cell>
          <cell r="N7918">
            <v>3.863</v>
          </cell>
          <cell r="O7918">
            <v>2.9689999999999999</v>
          </cell>
        </row>
        <row r="7919">
          <cell r="E7919" t="str">
            <v>HPER</v>
          </cell>
          <cell r="F7919" t="str">
            <v>HPER-E</v>
          </cell>
          <cell r="G7919">
            <v>117</v>
          </cell>
          <cell r="H7919" t="str">
            <v>HPER-E117</v>
          </cell>
          <cell r="K7919" t="str">
            <v>Stephan,Ric</v>
          </cell>
          <cell r="N7919">
            <v>3.706</v>
          </cell>
          <cell r="O7919">
            <v>2.9409999999999998</v>
          </cell>
        </row>
        <row r="7920">
          <cell r="E7920" t="str">
            <v>HPER</v>
          </cell>
          <cell r="F7920" t="str">
            <v>HPER-E</v>
          </cell>
          <cell r="G7920">
            <v>117</v>
          </cell>
          <cell r="H7920" t="str">
            <v>HPER-E117</v>
          </cell>
          <cell r="K7920" t="str">
            <v>Stephan,Ric</v>
          </cell>
          <cell r="N7920">
            <v>3.6030000000000002</v>
          </cell>
          <cell r="O7920">
            <v>3.1230000000000002</v>
          </cell>
        </row>
        <row r="7921">
          <cell r="E7921" t="str">
            <v>HPER</v>
          </cell>
          <cell r="F7921" t="str">
            <v>HPER-E</v>
          </cell>
          <cell r="G7921">
            <v>117</v>
          </cell>
          <cell r="H7921" t="str">
            <v>HPER-E117</v>
          </cell>
          <cell r="K7921" t="str">
            <v>Stephan,Ric</v>
          </cell>
          <cell r="N7921">
            <v>3.8439999999999999</v>
          </cell>
          <cell r="O7921">
            <v>3.1960000000000002</v>
          </cell>
        </row>
        <row r="7922">
          <cell r="E7922" t="str">
            <v>HPER</v>
          </cell>
          <cell r="F7922" t="str">
            <v>HPER-E</v>
          </cell>
          <cell r="G7922">
            <v>117</v>
          </cell>
          <cell r="H7922" t="str">
            <v>HPER-E117</v>
          </cell>
          <cell r="K7922" t="str">
            <v>Stephan,Ric</v>
          </cell>
          <cell r="N7922">
            <v>3.6179999999999999</v>
          </cell>
          <cell r="O7922">
            <v>2.9220000000000002</v>
          </cell>
        </row>
        <row r="7923">
          <cell r="E7923" t="str">
            <v>HPER</v>
          </cell>
          <cell r="F7923" t="str">
            <v>HPER-E</v>
          </cell>
          <cell r="G7923">
            <v>117</v>
          </cell>
          <cell r="H7923" t="str">
            <v>HPER-E117</v>
          </cell>
          <cell r="K7923" t="str">
            <v>Stephan,Ric</v>
          </cell>
          <cell r="N7923">
            <v>3.617</v>
          </cell>
          <cell r="O7923">
            <v>2.9990000000000001</v>
          </cell>
        </row>
        <row r="7924">
          <cell r="E7924" t="str">
            <v>HPER</v>
          </cell>
          <cell r="F7924" t="str">
            <v>HPER-E</v>
          </cell>
          <cell r="G7924">
            <v>117</v>
          </cell>
          <cell r="H7924" t="str">
            <v>HPER-E117</v>
          </cell>
          <cell r="K7924" t="str">
            <v>Stephan,Ric</v>
          </cell>
          <cell r="N7924">
            <v>3.7349999999999999</v>
          </cell>
          <cell r="O7924">
            <v>3.0539999999999998</v>
          </cell>
        </row>
        <row r="7925">
          <cell r="E7925" t="str">
            <v>HPER</v>
          </cell>
          <cell r="F7925" t="str">
            <v>HPER-E</v>
          </cell>
          <cell r="G7925">
            <v>117</v>
          </cell>
          <cell r="H7925" t="str">
            <v>HPER-E117</v>
          </cell>
          <cell r="K7925" t="str">
            <v>Stephan,Ric</v>
          </cell>
          <cell r="N7925">
            <v>3.2469999999999999</v>
          </cell>
          <cell r="O7925">
            <v>3.0779999999999998</v>
          </cell>
        </row>
        <row r="7926">
          <cell r="E7926" t="str">
            <v>HPER</v>
          </cell>
          <cell r="F7926" t="str">
            <v>HPER-E</v>
          </cell>
          <cell r="G7926">
            <v>119</v>
          </cell>
          <cell r="H7926" t="str">
            <v>HPER-E119</v>
          </cell>
          <cell r="K7926" t="str">
            <v>Fry,Andy</v>
          </cell>
          <cell r="N7926">
            <v>3.6509999999999998</v>
          </cell>
          <cell r="O7926">
            <v>3.012</v>
          </cell>
        </row>
        <row r="7927">
          <cell r="E7927" t="str">
            <v>HPER</v>
          </cell>
          <cell r="F7927" t="str">
            <v>HPER-E</v>
          </cell>
          <cell r="G7927">
            <v>119</v>
          </cell>
          <cell r="H7927" t="str">
            <v>HPER-E119</v>
          </cell>
          <cell r="K7927" t="str">
            <v>Fry,Andy</v>
          </cell>
          <cell r="N7927">
            <v>3.7639999999999998</v>
          </cell>
          <cell r="O7927">
            <v>3.1619999999999999</v>
          </cell>
        </row>
        <row r="7928">
          <cell r="E7928" t="str">
            <v>HPER</v>
          </cell>
          <cell r="F7928" t="str">
            <v>HPER-E</v>
          </cell>
          <cell r="G7928">
            <v>119</v>
          </cell>
          <cell r="H7928" t="str">
            <v>HPER-E119</v>
          </cell>
          <cell r="K7928" t="str">
            <v>Fry,Andy</v>
          </cell>
          <cell r="N7928">
            <v>3.7109999999999999</v>
          </cell>
          <cell r="O7928">
            <v>3.077</v>
          </cell>
        </row>
        <row r="7929">
          <cell r="E7929" t="str">
            <v>HPER</v>
          </cell>
          <cell r="F7929" t="str">
            <v>HPER-E</v>
          </cell>
          <cell r="G7929">
            <v>119</v>
          </cell>
          <cell r="H7929" t="str">
            <v>HPER-E119</v>
          </cell>
          <cell r="K7929" t="str">
            <v>Holland,Angelia Maleah</v>
          </cell>
          <cell r="N7929">
            <v>3.8380000000000001</v>
          </cell>
          <cell r="O7929">
            <v>3.0550000000000002</v>
          </cell>
        </row>
        <row r="7930">
          <cell r="E7930" t="str">
            <v>HPER</v>
          </cell>
          <cell r="F7930" t="str">
            <v>HPER-E</v>
          </cell>
          <cell r="G7930">
            <v>119</v>
          </cell>
          <cell r="H7930" t="str">
            <v>HPER-E119</v>
          </cell>
          <cell r="K7930" t="str">
            <v>Kobow,Margaret Ann</v>
          </cell>
          <cell r="N7930">
            <v>3.7570000000000001</v>
          </cell>
          <cell r="O7930">
            <v>3.117</v>
          </cell>
        </row>
        <row r="7931">
          <cell r="E7931" t="str">
            <v>HPER</v>
          </cell>
          <cell r="F7931" t="str">
            <v>HPER-E</v>
          </cell>
          <cell r="G7931">
            <v>119</v>
          </cell>
          <cell r="H7931" t="str">
            <v>HPER-E119</v>
          </cell>
          <cell r="K7931" t="str">
            <v>Kobow,Margaret Ann</v>
          </cell>
          <cell r="N7931">
            <v>3.706</v>
          </cell>
          <cell r="O7931">
            <v>2.98</v>
          </cell>
        </row>
        <row r="7932">
          <cell r="E7932" t="str">
            <v>HPER</v>
          </cell>
          <cell r="F7932" t="str">
            <v>HPER-E</v>
          </cell>
          <cell r="G7932">
            <v>119</v>
          </cell>
          <cell r="H7932" t="str">
            <v>HPER-E119</v>
          </cell>
          <cell r="K7932" t="str">
            <v>Ryder,Rachel Alice</v>
          </cell>
          <cell r="N7932">
            <v>3.702</v>
          </cell>
          <cell r="O7932">
            <v>3.08</v>
          </cell>
        </row>
        <row r="7933">
          <cell r="E7933" t="str">
            <v>HPER</v>
          </cell>
          <cell r="F7933" t="str">
            <v>HPER-E</v>
          </cell>
          <cell r="G7933">
            <v>119</v>
          </cell>
          <cell r="H7933" t="str">
            <v>HPER-E119</v>
          </cell>
          <cell r="K7933" t="str">
            <v>Simmons,Gregory Matthew</v>
          </cell>
          <cell r="N7933">
            <v>3.7290000000000001</v>
          </cell>
          <cell r="O7933">
            <v>3.1539999999999999</v>
          </cell>
        </row>
        <row r="7934">
          <cell r="E7934" t="str">
            <v>HPER</v>
          </cell>
          <cell r="F7934" t="str">
            <v>HPER-E</v>
          </cell>
          <cell r="G7934">
            <v>119</v>
          </cell>
          <cell r="H7934" t="str">
            <v>HPER-E119</v>
          </cell>
          <cell r="K7934" t="str">
            <v>Simmons,Gregory Matthew</v>
          </cell>
          <cell r="N7934">
            <v>3.4409999999999998</v>
          </cell>
          <cell r="O7934">
            <v>3.0990000000000002</v>
          </cell>
        </row>
        <row r="7935">
          <cell r="E7935" t="str">
            <v>HPER</v>
          </cell>
          <cell r="F7935" t="str">
            <v>HPER-E</v>
          </cell>
          <cell r="G7935">
            <v>119</v>
          </cell>
          <cell r="H7935" t="str">
            <v>HPER-E119</v>
          </cell>
          <cell r="K7935" t="str">
            <v>Simmons,Gregory Matthew</v>
          </cell>
          <cell r="N7935">
            <v>3.109</v>
          </cell>
          <cell r="O7935">
            <v>2.8530000000000002</v>
          </cell>
        </row>
        <row r="7936">
          <cell r="E7936" t="str">
            <v>HPER</v>
          </cell>
          <cell r="F7936" t="str">
            <v>HPER-E</v>
          </cell>
          <cell r="G7936">
            <v>119</v>
          </cell>
          <cell r="H7936" t="str">
            <v>HPER-E119</v>
          </cell>
          <cell r="K7936" t="str">
            <v>Simmons,Gregory Matthew</v>
          </cell>
          <cell r="N7936">
            <v>3.5830000000000002</v>
          </cell>
          <cell r="O7936">
            <v>3.0470000000000002</v>
          </cell>
        </row>
        <row r="7937">
          <cell r="E7937" t="str">
            <v>HPER</v>
          </cell>
          <cell r="F7937" t="str">
            <v>HPER-E</v>
          </cell>
          <cell r="G7937">
            <v>119</v>
          </cell>
          <cell r="H7937" t="str">
            <v>HPER-E119</v>
          </cell>
          <cell r="K7937" t="str">
            <v>Simmons,Gregory Matthew</v>
          </cell>
          <cell r="N7937">
            <v>3.1280000000000001</v>
          </cell>
          <cell r="O7937">
            <v>2.831</v>
          </cell>
        </row>
        <row r="7938">
          <cell r="E7938" t="str">
            <v>HPER</v>
          </cell>
          <cell r="F7938" t="str">
            <v>HPER-E</v>
          </cell>
          <cell r="G7938">
            <v>127</v>
          </cell>
          <cell r="H7938" t="str">
            <v>HPER-E127</v>
          </cell>
          <cell r="K7938" t="str">
            <v>Fruchtman,Diane Shane</v>
          </cell>
          <cell r="N7938">
            <v>3.9089999999999998</v>
          </cell>
          <cell r="O7938">
            <v>2.806</v>
          </cell>
        </row>
        <row r="7939">
          <cell r="E7939" t="str">
            <v>HPER</v>
          </cell>
          <cell r="F7939" t="str">
            <v>HPER-E</v>
          </cell>
          <cell r="G7939">
            <v>127</v>
          </cell>
          <cell r="H7939" t="str">
            <v>HPER-E127</v>
          </cell>
          <cell r="K7939" t="str">
            <v>Fruchtman,Diane Shane</v>
          </cell>
          <cell r="N7939">
            <v>3.6949999999999998</v>
          </cell>
          <cell r="O7939">
            <v>3.137</v>
          </cell>
        </row>
        <row r="7940">
          <cell r="E7940" t="str">
            <v>HPER</v>
          </cell>
          <cell r="F7940" t="str">
            <v>HPER-E</v>
          </cell>
          <cell r="G7940">
            <v>127</v>
          </cell>
          <cell r="H7940" t="str">
            <v>HPER-E127</v>
          </cell>
          <cell r="K7940" t="str">
            <v>Fruchtman,Diane Shane</v>
          </cell>
          <cell r="N7940">
            <v>3.6</v>
          </cell>
          <cell r="O7940">
            <v>2.7</v>
          </cell>
        </row>
        <row r="7941">
          <cell r="E7941" t="str">
            <v>HPER</v>
          </cell>
          <cell r="F7941" t="str">
            <v>HPER-E</v>
          </cell>
          <cell r="G7941">
            <v>127</v>
          </cell>
          <cell r="H7941" t="str">
            <v>HPER-E127</v>
          </cell>
          <cell r="K7941" t="str">
            <v>Johnson,Mak A</v>
          </cell>
          <cell r="N7941">
            <v>4</v>
          </cell>
          <cell r="O7941">
            <v>3.1240000000000001</v>
          </cell>
        </row>
        <row r="7942">
          <cell r="E7942" t="str">
            <v>HPER</v>
          </cell>
          <cell r="F7942" t="str">
            <v>HPER-E</v>
          </cell>
          <cell r="G7942">
            <v>127</v>
          </cell>
          <cell r="H7942" t="str">
            <v>HPER-E127</v>
          </cell>
          <cell r="K7942" t="str">
            <v>Johnson,Mak A</v>
          </cell>
          <cell r="N7942">
            <v>3.9740000000000002</v>
          </cell>
          <cell r="O7942">
            <v>3.4319999999999999</v>
          </cell>
        </row>
        <row r="7943">
          <cell r="E7943" t="str">
            <v>HPER</v>
          </cell>
          <cell r="F7943" t="str">
            <v>HPER-E</v>
          </cell>
          <cell r="G7943">
            <v>127</v>
          </cell>
          <cell r="H7943" t="str">
            <v>HPER-E127</v>
          </cell>
          <cell r="K7943" t="str">
            <v>Johnson,Mak A</v>
          </cell>
          <cell r="N7943">
            <v>4</v>
          </cell>
          <cell r="O7943">
            <v>3.319</v>
          </cell>
        </row>
        <row r="7944">
          <cell r="E7944" t="str">
            <v>HPER</v>
          </cell>
          <cell r="F7944" t="str">
            <v>HPER-E</v>
          </cell>
          <cell r="G7944">
            <v>127</v>
          </cell>
          <cell r="H7944" t="str">
            <v>HPER-E127</v>
          </cell>
          <cell r="K7944" t="str">
            <v>Johnson,Mak A</v>
          </cell>
          <cell r="N7944">
            <v>4</v>
          </cell>
          <cell r="O7944">
            <v>3.258</v>
          </cell>
        </row>
        <row r="7945">
          <cell r="E7945" t="str">
            <v>HPER</v>
          </cell>
          <cell r="F7945" t="str">
            <v>HPER-E</v>
          </cell>
          <cell r="G7945">
            <v>127</v>
          </cell>
          <cell r="H7945" t="str">
            <v>HPER-E127</v>
          </cell>
          <cell r="K7945" t="str">
            <v>Johnson,Mak A</v>
          </cell>
          <cell r="N7945">
            <v>4</v>
          </cell>
          <cell r="O7945">
            <v>3.2189999999999999</v>
          </cell>
        </row>
        <row r="7946">
          <cell r="E7946" t="str">
            <v>HPER</v>
          </cell>
          <cell r="F7946" t="str">
            <v>HPER-E</v>
          </cell>
          <cell r="G7946">
            <v>130</v>
          </cell>
          <cell r="H7946" t="str">
            <v>HPER-E130</v>
          </cell>
          <cell r="K7946" t="str">
            <v>Padgett,Charles Matthew</v>
          </cell>
          <cell r="N7946">
            <v>3.653</v>
          </cell>
          <cell r="O7946">
            <v>3.0720000000000001</v>
          </cell>
        </row>
        <row r="7947">
          <cell r="E7947" t="str">
            <v>HPER</v>
          </cell>
          <cell r="F7947" t="str">
            <v>HPER-E</v>
          </cell>
          <cell r="G7947">
            <v>132</v>
          </cell>
          <cell r="H7947" t="str">
            <v>HPER-E132</v>
          </cell>
          <cell r="K7947" t="str">
            <v>Stephan,Dustin Nicholas</v>
          </cell>
          <cell r="N7947">
            <v>3.855</v>
          </cell>
          <cell r="O7947">
            <v>3.39</v>
          </cell>
        </row>
        <row r="7948">
          <cell r="E7948" t="str">
            <v>HPER</v>
          </cell>
          <cell r="F7948" t="str">
            <v>HPER-E</v>
          </cell>
          <cell r="G7948">
            <v>132</v>
          </cell>
          <cell r="H7948" t="str">
            <v>HPER-E132</v>
          </cell>
          <cell r="K7948" t="str">
            <v>Stephan,Dustin Nicholas</v>
          </cell>
          <cell r="N7948">
            <v>3.5779999999999998</v>
          </cell>
          <cell r="O7948">
            <v>3.3210000000000002</v>
          </cell>
        </row>
        <row r="7949">
          <cell r="E7949" t="str">
            <v>HPER</v>
          </cell>
          <cell r="F7949" t="str">
            <v>HPER-E</v>
          </cell>
          <cell r="G7949">
            <v>132</v>
          </cell>
          <cell r="H7949" t="str">
            <v>HPER-E132</v>
          </cell>
          <cell r="K7949" t="str">
            <v>Stephan,Dustin Nicholas</v>
          </cell>
          <cell r="N7949">
            <v>4</v>
          </cell>
          <cell r="O7949">
            <v>3.57</v>
          </cell>
        </row>
        <row r="7950">
          <cell r="E7950" t="str">
            <v>HPER</v>
          </cell>
          <cell r="F7950" t="str">
            <v>HPER-E</v>
          </cell>
          <cell r="G7950">
            <v>133</v>
          </cell>
          <cell r="H7950" t="str">
            <v>HPER-E133</v>
          </cell>
          <cell r="K7950" t="str">
            <v>Foss,Joshua</v>
          </cell>
          <cell r="N7950" t="str">
            <v>NR</v>
          </cell>
          <cell r="O7950" t="str">
            <v>NR</v>
          </cell>
        </row>
        <row r="7951">
          <cell r="E7951" t="str">
            <v>HPER</v>
          </cell>
          <cell r="F7951" t="str">
            <v>HPER-E</v>
          </cell>
          <cell r="G7951">
            <v>133</v>
          </cell>
          <cell r="H7951" t="str">
            <v>HPER-E133</v>
          </cell>
          <cell r="K7951" t="str">
            <v>Hanks II,Lawrence Julius</v>
          </cell>
          <cell r="N7951" t="str">
            <v>NR</v>
          </cell>
          <cell r="O7951" t="str">
            <v>NR</v>
          </cell>
        </row>
        <row r="7952">
          <cell r="E7952" t="str">
            <v>HPER</v>
          </cell>
          <cell r="F7952" t="str">
            <v>HPER-E</v>
          </cell>
          <cell r="G7952">
            <v>133</v>
          </cell>
          <cell r="H7952" t="str">
            <v>HPER-E133</v>
          </cell>
          <cell r="K7952" t="str">
            <v>Marker-Hoffman,Rickie Lee</v>
          </cell>
          <cell r="N7952" t="str">
            <v>NR</v>
          </cell>
          <cell r="O7952" t="str">
            <v>NR</v>
          </cell>
        </row>
        <row r="7953">
          <cell r="E7953" t="str">
            <v>HPER</v>
          </cell>
          <cell r="F7953" t="str">
            <v>HPER-E</v>
          </cell>
          <cell r="G7953">
            <v>133</v>
          </cell>
          <cell r="H7953" t="str">
            <v>HPER-E133</v>
          </cell>
          <cell r="K7953" t="str">
            <v>Marker-Hoffman,Rickie Lee</v>
          </cell>
          <cell r="N7953" t="str">
            <v>NR</v>
          </cell>
          <cell r="O7953" t="str">
            <v>NR</v>
          </cell>
        </row>
        <row r="7954">
          <cell r="E7954" t="str">
            <v>HPER</v>
          </cell>
          <cell r="F7954" t="str">
            <v>HPER-E</v>
          </cell>
          <cell r="G7954">
            <v>133</v>
          </cell>
          <cell r="H7954" t="str">
            <v>HPER-E133</v>
          </cell>
          <cell r="K7954" t="str">
            <v>Swinford,Geoffrey K</v>
          </cell>
          <cell r="N7954" t="str">
            <v>NR</v>
          </cell>
          <cell r="O7954" t="str">
            <v>NR</v>
          </cell>
        </row>
        <row r="7955">
          <cell r="E7955" t="str">
            <v>HPER</v>
          </cell>
          <cell r="F7955" t="str">
            <v>HPER-E</v>
          </cell>
          <cell r="G7955">
            <v>133</v>
          </cell>
          <cell r="H7955" t="str">
            <v>HPER-E133</v>
          </cell>
          <cell r="K7955" t="str">
            <v>Swinford,Geoffrey K</v>
          </cell>
          <cell r="N7955" t="str">
            <v>NR</v>
          </cell>
          <cell r="O7955" t="str">
            <v>NR</v>
          </cell>
        </row>
        <row r="7956">
          <cell r="E7956" t="str">
            <v>HPER</v>
          </cell>
          <cell r="F7956" t="str">
            <v>HPER-E</v>
          </cell>
          <cell r="G7956">
            <v>133</v>
          </cell>
          <cell r="H7956" t="str">
            <v>HPER-E133</v>
          </cell>
          <cell r="K7956" t="str">
            <v>Swinford,Geoffrey K</v>
          </cell>
          <cell r="N7956" t="str">
            <v>NR</v>
          </cell>
          <cell r="O7956" t="str">
            <v>NR</v>
          </cell>
        </row>
        <row r="7957">
          <cell r="E7957" t="str">
            <v>HPER</v>
          </cell>
          <cell r="F7957" t="str">
            <v>HPER-E</v>
          </cell>
          <cell r="G7957">
            <v>133</v>
          </cell>
          <cell r="H7957" t="str">
            <v>HPER-E133</v>
          </cell>
          <cell r="K7957" t="str">
            <v>Swinford,Geoffrey K</v>
          </cell>
          <cell r="N7957" t="str">
            <v>NR</v>
          </cell>
          <cell r="O7957" t="str">
            <v>NR</v>
          </cell>
        </row>
        <row r="7958">
          <cell r="E7958" t="str">
            <v>HPER</v>
          </cell>
          <cell r="F7958" t="str">
            <v>HPER-E</v>
          </cell>
          <cell r="G7958">
            <v>134</v>
          </cell>
          <cell r="H7958" t="str">
            <v>HPER-E134</v>
          </cell>
          <cell r="K7958" t="str">
            <v>Barbrick,Donna M</v>
          </cell>
          <cell r="N7958">
            <v>4</v>
          </cell>
          <cell r="O7958">
            <v>3.2650000000000001</v>
          </cell>
        </row>
        <row r="7959">
          <cell r="E7959" t="str">
            <v>HPER</v>
          </cell>
          <cell r="F7959" t="str">
            <v>HPER-E</v>
          </cell>
          <cell r="G7959">
            <v>134</v>
          </cell>
          <cell r="H7959" t="str">
            <v>HPER-E134</v>
          </cell>
          <cell r="K7959" t="str">
            <v>Barbrick,Donna M</v>
          </cell>
          <cell r="N7959">
            <v>3.9860000000000002</v>
          </cell>
          <cell r="O7959">
            <v>3.2040000000000002</v>
          </cell>
        </row>
        <row r="7960">
          <cell r="E7960" t="str">
            <v>HPER</v>
          </cell>
          <cell r="F7960" t="str">
            <v>HPER-E</v>
          </cell>
          <cell r="G7960">
            <v>134</v>
          </cell>
          <cell r="H7960" t="str">
            <v>HPER-E134</v>
          </cell>
          <cell r="K7960" t="str">
            <v>Barbrick,Donna M</v>
          </cell>
          <cell r="N7960">
            <v>3.9889999999999999</v>
          </cell>
          <cell r="O7960">
            <v>3.4350000000000001</v>
          </cell>
        </row>
        <row r="7961">
          <cell r="E7961" t="str">
            <v>HPER</v>
          </cell>
          <cell r="F7961" t="str">
            <v>HPER-E</v>
          </cell>
          <cell r="G7961">
            <v>134</v>
          </cell>
          <cell r="H7961" t="str">
            <v>HPER-E134</v>
          </cell>
          <cell r="K7961" t="str">
            <v>Barbrick,Donna M</v>
          </cell>
          <cell r="N7961">
            <v>3.976</v>
          </cell>
          <cell r="O7961">
            <v>3.2290000000000001</v>
          </cell>
        </row>
        <row r="7962">
          <cell r="E7962" t="str">
            <v>HPER</v>
          </cell>
          <cell r="F7962" t="str">
            <v>HPER-E</v>
          </cell>
          <cell r="G7962">
            <v>135</v>
          </cell>
          <cell r="H7962" t="str">
            <v>HPER-E135</v>
          </cell>
          <cell r="K7962" t="str">
            <v>Armbruster,Luke Robert</v>
          </cell>
          <cell r="N7962">
            <v>4</v>
          </cell>
          <cell r="O7962">
            <v>3.4670000000000001</v>
          </cell>
        </row>
        <row r="7963">
          <cell r="E7963" t="str">
            <v>HPER</v>
          </cell>
          <cell r="F7963" t="str">
            <v>HPER-E</v>
          </cell>
          <cell r="G7963">
            <v>135</v>
          </cell>
          <cell r="H7963" t="str">
            <v>HPER-E135</v>
          </cell>
          <cell r="K7963" t="str">
            <v>Armbruster,Luke Robert</v>
          </cell>
          <cell r="N7963">
            <v>3.9729999999999999</v>
          </cell>
          <cell r="O7963">
            <v>2.9670000000000001</v>
          </cell>
        </row>
        <row r="7964">
          <cell r="E7964" t="str">
            <v>HPER</v>
          </cell>
          <cell r="F7964" t="str">
            <v>HPER-E</v>
          </cell>
          <cell r="G7964">
            <v>135</v>
          </cell>
          <cell r="H7964" t="str">
            <v>HPER-E135</v>
          </cell>
          <cell r="K7964" t="str">
            <v>Armbruster,Luke Robert</v>
          </cell>
          <cell r="N7964">
            <v>3.97</v>
          </cell>
          <cell r="O7964">
            <v>3.23</v>
          </cell>
        </row>
        <row r="7965">
          <cell r="E7965" t="str">
            <v>HPER</v>
          </cell>
          <cell r="F7965" t="str">
            <v>HPER-E</v>
          </cell>
          <cell r="G7965">
            <v>135</v>
          </cell>
          <cell r="H7965" t="str">
            <v>HPER-E135</v>
          </cell>
          <cell r="K7965" t="str">
            <v>Armbruster,Luke Robert</v>
          </cell>
          <cell r="N7965">
            <v>3.9089999999999998</v>
          </cell>
          <cell r="O7965">
            <v>3.169</v>
          </cell>
        </row>
        <row r="7966">
          <cell r="E7966" t="str">
            <v>HPER</v>
          </cell>
          <cell r="F7966" t="str">
            <v>HPER-E</v>
          </cell>
          <cell r="G7966">
            <v>135</v>
          </cell>
          <cell r="H7966" t="str">
            <v>HPER-E135</v>
          </cell>
          <cell r="K7966" t="str">
            <v>Armbruster,Luke Robert</v>
          </cell>
          <cell r="N7966">
            <v>3.97</v>
          </cell>
          <cell r="O7966">
            <v>3.266</v>
          </cell>
        </row>
        <row r="7967">
          <cell r="E7967" t="str">
            <v>HPER</v>
          </cell>
          <cell r="F7967" t="str">
            <v>HPER-E</v>
          </cell>
          <cell r="G7967">
            <v>135</v>
          </cell>
          <cell r="H7967" t="str">
            <v>HPER-E135</v>
          </cell>
          <cell r="K7967" t="str">
            <v>Mayer,Michael Barry</v>
          </cell>
          <cell r="N7967">
            <v>3.6219999999999999</v>
          </cell>
          <cell r="O7967">
            <v>3.41</v>
          </cell>
        </row>
        <row r="7968">
          <cell r="E7968" t="str">
            <v>HPER</v>
          </cell>
          <cell r="F7968" t="str">
            <v>HPER-E</v>
          </cell>
          <cell r="G7968">
            <v>140</v>
          </cell>
          <cell r="H7968" t="str">
            <v>HPER-E140</v>
          </cell>
          <cell r="K7968" t="str">
            <v>Corenflos,Steven</v>
          </cell>
          <cell r="N7968">
            <v>4</v>
          </cell>
          <cell r="O7968">
            <v>3.0009999999999999</v>
          </cell>
        </row>
        <row r="7969">
          <cell r="E7969" t="str">
            <v>HPER</v>
          </cell>
          <cell r="F7969" t="str">
            <v>HPER-E</v>
          </cell>
          <cell r="G7969">
            <v>140</v>
          </cell>
          <cell r="H7969" t="str">
            <v>HPER-E140</v>
          </cell>
          <cell r="K7969" t="str">
            <v>Corenflos,Steven</v>
          </cell>
          <cell r="N7969">
            <v>4</v>
          </cell>
          <cell r="O7969">
            <v>2.7770000000000001</v>
          </cell>
        </row>
        <row r="7970">
          <cell r="E7970" t="str">
            <v>HPER</v>
          </cell>
          <cell r="F7970" t="str">
            <v>HPER-E</v>
          </cell>
          <cell r="G7970">
            <v>140</v>
          </cell>
          <cell r="H7970" t="str">
            <v>HPER-E140</v>
          </cell>
          <cell r="K7970" t="str">
            <v>Corenflos,Steven</v>
          </cell>
          <cell r="N7970">
            <v>4</v>
          </cell>
          <cell r="O7970">
            <v>3.0590000000000002</v>
          </cell>
        </row>
        <row r="7971">
          <cell r="E7971" t="str">
            <v>HPER</v>
          </cell>
          <cell r="F7971" t="str">
            <v>HPER-E</v>
          </cell>
          <cell r="G7971">
            <v>140</v>
          </cell>
          <cell r="H7971" t="str">
            <v>HPER-E140</v>
          </cell>
          <cell r="K7971" t="str">
            <v>Lucas,Gregory Earl</v>
          </cell>
          <cell r="N7971">
            <v>3.214</v>
          </cell>
          <cell r="O7971">
            <v>2.8149999999999999</v>
          </cell>
        </row>
        <row r="7972">
          <cell r="E7972" t="str">
            <v>HPER</v>
          </cell>
          <cell r="F7972" t="str">
            <v>HPER-E</v>
          </cell>
          <cell r="G7972">
            <v>140</v>
          </cell>
          <cell r="H7972" t="str">
            <v>HPER-E140</v>
          </cell>
          <cell r="K7972" t="str">
            <v>Lucas,Gregory Earl</v>
          </cell>
          <cell r="N7972">
            <v>3.4380000000000002</v>
          </cell>
          <cell r="O7972">
            <v>2.9649999999999999</v>
          </cell>
        </row>
        <row r="7973">
          <cell r="E7973" t="str">
            <v>HPER</v>
          </cell>
          <cell r="F7973" t="str">
            <v>HPER-E</v>
          </cell>
          <cell r="G7973">
            <v>140</v>
          </cell>
          <cell r="H7973" t="str">
            <v>HPER-E140</v>
          </cell>
          <cell r="K7973" t="str">
            <v>Lucas,Gregory Earl</v>
          </cell>
          <cell r="N7973">
            <v>3.6789999999999998</v>
          </cell>
          <cell r="O7973">
            <v>3.1019999999999999</v>
          </cell>
        </row>
        <row r="7974">
          <cell r="E7974" t="str">
            <v>HPER</v>
          </cell>
          <cell r="F7974" t="str">
            <v>HPER-E</v>
          </cell>
          <cell r="G7974">
            <v>140</v>
          </cell>
          <cell r="H7974" t="str">
            <v>HPER-E140</v>
          </cell>
          <cell r="K7974" t="str">
            <v>Lucas,Gregory Earl</v>
          </cell>
          <cell r="N7974">
            <v>3.9569999999999999</v>
          </cell>
          <cell r="O7974">
            <v>3.121</v>
          </cell>
        </row>
        <row r="7975">
          <cell r="E7975" t="str">
            <v>HPER</v>
          </cell>
          <cell r="F7975" t="str">
            <v>HPER-E</v>
          </cell>
          <cell r="G7975">
            <v>143</v>
          </cell>
          <cell r="H7975" t="str">
            <v>HPER-E143</v>
          </cell>
          <cell r="K7975" t="str">
            <v>Gearheart,Jason Thomas</v>
          </cell>
          <cell r="N7975">
            <v>3.5630000000000002</v>
          </cell>
          <cell r="O7975">
            <v>2.738</v>
          </cell>
        </row>
        <row r="7976">
          <cell r="E7976" t="str">
            <v>HPER</v>
          </cell>
          <cell r="F7976" t="str">
            <v>HPER-E</v>
          </cell>
          <cell r="G7976">
            <v>143</v>
          </cell>
          <cell r="H7976" t="str">
            <v>HPER-E143</v>
          </cell>
          <cell r="K7976" t="str">
            <v>Gearheart,Jason Thomas</v>
          </cell>
          <cell r="N7976">
            <v>3.6360000000000001</v>
          </cell>
          <cell r="O7976">
            <v>3.101</v>
          </cell>
        </row>
        <row r="7977">
          <cell r="E7977" t="str">
            <v>HPER</v>
          </cell>
          <cell r="F7977" t="str">
            <v>HPER-E</v>
          </cell>
          <cell r="G7977">
            <v>144</v>
          </cell>
          <cell r="H7977" t="str">
            <v>HPER-E144</v>
          </cell>
          <cell r="K7977" t="str">
            <v>Irvine,Betty J.</v>
          </cell>
          <cell r="N7977">
            <v>4</v>
          </cell>
          <cell r="O7977">
            <v>3.218</v>
          </cell>
        </row>
        <row r="7978">
          <cell r="E7978" t="str">
            <v>HPER</v>
          </cell>
          <cell r="F7978" t="str">
            <v>HPER-E</v>
          </cell>
          <cell r="G7978">
            <v>144</v>
          </cell>
          <cell r="H7978" t="str">
            <v>HPER-E144</v>
          </cell>
          <cell r="K7978" t="str">
            <v>Summerville,Judy M</v>
          </cell>
          <cell r="N7978">
            <v>3.9670000000000001</v>
          </cell>
          <cell r="O7978">
            <v>2.851</v>
          </cell>
        </row>
        <row r="7979">
          <cell r="E7979" t="str">
            <v>HPER</v>
          </cell>
          <cell r="F7979" t="str">
            <v>HPER-E</v>
          </cell>
          <cell r="G7979">
            <v>144</v>
          </cell>
          <cell r="H7979" t="str">
            <v>HPER-E144</v>
          </cell>
          <cell r="K7979" t="str">
            <v>Summerville,Judy M</v>
          </cell>
          <cell r="N7979">
            <v>3.7519999999999998</v>
          </cell>
          <cell r="O7979">
            <v>3.0609999999999999</v>
          </cell>
        </row>
        <row r="7980">
          <cell r="E7980" t="str">
            <v>HPER</v>
          </cell>
          <cell r="F7980" t="str">
            <v>HPER-E</v>
          </cell>
          <cell r="G7980">
            <v>145</v>
          </cell>
          <cell r="H7980" t="str">
            <v>HPER-E145</v>
          </cell>
          <cell r="K7980" t="str">
            <v>Kelly,Patrick Charles</v>
          </cell>
          <cell r="N7980">
            <v>3.516</v>
          </cell>
          <cell r="O7980">
            <v>2.706</v>
          </cell>
        </row>
        <row r="7981">
          <cell r="E7981" t="str">
            <v>HPER</v>
          </cell>
          <cell r="F7981" t="str">
            <v>HPER-E</v>
          </cell>
          <cell r="G7981">
            <v>145</v>
          </cell>
          <cell r="H7981" t="str">
            <v>HPER-E145</v>
          </cell>
          <cell r="K7981" t="str">
            <v>Kelly,Patrick Charles</v>
          </cell>
          <cell r="N7981">
            <v>3.9670000000000001</v>
          </cell>
          <cell r="O7981">
            <v>2.9390000000000001</v>
          </cell>
        </row>
        <row r="7982">
          <cell r="E7982" t="str">
            <v>HPER</v>
          </cell>
          <cell r="F7982" t="str">
            <v>HPER-E</v>
          </cell>
          <cell r="G7982">
            <v>146</v>
          </cell>
          <cell r="H7982" t="str">
            <v>HPER-E146</v>
          </cell>
          <cell r="K7982" t="str">
            <v>Kelly,Patrick Charles</v>
          </cell>
          <cell r="N7982">
            <v>3.5710000000000002</v>
          </cell>
          <cell r="O7982">
            <v>2.8439999999999999</v>
          </cell>
        </row>
        <row r="7983">
          <cell r="E7983" t="str">
            <v>HPER</v>
          </cell>
          <cell r="F7983" t="str">
            <v>HPER-E</v>
          </cell>
          <cell r="G7983">
            <v>146</v>
          </cell>
          <cell r="H7983" t="str">
            <v>HPER-E146</v>
          </cell>
          <cell r="K7983" t="str">
            <v>Kelly,Patrick Charles</v>
          </cell>
          <cell r="N7983">
            <v>3.6070000000000002</v>
          </cell>
          <cell r="O7983">
            <v>3.0579999999999998</v>
          </cell>
        </row>
        <row r="7984">
          <cell r="E7984" t="str">
            <v>HPER</v>
          </cell>
          <cell r="F7984" t="str">
            <v>HPER-E</v>
          </cell>
          <cell r="G7984">
            <v>146</v>
          </cell>
          <cell r="H7984" t="str">
            <v>HPER-E146</v>
          </cell>
          <cell r="K7984" t="str">
            <v>Kelly,Patrick Charles</v>
          </cell>
          <cell r="N7984">
            <v>3.9039999999999999</v>
          </cell>
          <cell r="O7984">
            <v>3.169</v>
          </cell>
        </row>
        <row r="7985">
          <cell r="E7985" t="str">
            <v>HPER</v>
          </cell>
          <cell r="F7985" t="str">
            <v>HPER-E</v>
          </cell>
          <cell r="G7985">
            <v>146</v>
          </cell>
          <cell r="H7985" t="str">
            <v>HPER-E146</v>
          </cell>
          <cell r="K7985" t="str">
            <v>Rau,Christian Shanon</v>
          </cell>
          <cell r="N7985">
            <v>3.7040000000000002</v>
          </cell>
          <cell r="O7985">
            <v>2.8660000000000001</v>
          </cell>
        </row>
        <row r="7986">
          <cell r="E7986" t="str">
            <v>HPER</v>
          </cell>
          <cell r="F7986" t="str">
            <v>HPER-E</v>
          </cell>
          <cell r="G7986">
            <v>147</v>
          </cell>
          <cell r="H7986" t="str">
            <v>HPER-E147</v>
          </cell>
          <cell r="K7986" t="str">
            <v>Kelly,Patrick Charles</v>
          </cell>
          <cell r="N7986">
            <v>3.863</v>
          </cell>
          <cell r="O7986">
            <v>3.08</v>
          </cell>
        </row>
        <row r="7987">
          <cell r="E7987" t="str">
            <v>HPER</v>
          </cell>
          <cell r="F7987" t="str">
            <v>HPER-E</v>
          </cell>
          <cell r="G7987">
            <v>147</v>
          </cell>
          <cell r="H7987" t="str">
            <v>HPER-E147</v>
          </cell>
          <cell r="K7987" t="str">
            <v>Kelly,Patrick Charles</v>
          </cell>
          <cell r="N7987">
            <v>3.7549999999999999</v>
          </cell>
          <cell r="O7987">
            <v>3.0489999999999999</v>
          </cell>
        </row>
        <row r="7988">
          <cell r="E7988" t="str">
            <v>HPER</v>
          </cell>
          <cell r="F7988" t="str">
            <v>HPER-E</v>
          </cell>
          <cell r="G7988">
            <v>148</v>
          </cell>
          <cell r="H7988" t="str">
            <v>HPER-E148</v>
          </cell>
          <cell r="K7988" t="str">
            <v>Pearce,Charles Edward</v>
          </cell>
          <cell r="N7988">
            <v>3.8809999999999998</v>
          </cell>
          <cell r="O7988">
            <v>3.339</v>
          </cell>
        </row>
        <row r="7989">
          <cell r="E7989" t="str">
            <v>HPER</v>
          </cell>
          <cell r="F7989" t="str">
            <v>HPER-E</v>
          </cell>
          <cell r="G7989">
            <v>148</v>
          </cell>
          <cell r="H7989" t="str">
            <v>HPER-E148</v>
          </cell>
          <cell r="K7989" t="str">
            <v>Pike,Brian James</v>
          </cell>
          <cell r="N7989">
            <v>3.6389999999999998</v>
          </cell>
          <cell r="O7989">
            <v>3.1080000000000001</v>
          </cell>
        </row>
        <row r="7990">
          <cell r="E7990" t="str">
            <v>HPER</v>
          </cell>
          <cell r="F7990" t="str">
            <v>HPER-E</v>
          </cell>
          <cell r="G7990">
            <v>148</v>
          </cell>
          <cell r="H7990" t="str">
            <v>HPER-E148</v>
          </cell>
          <cell r="K7990" t="str">
            <v>Welty,Arlo Emory</v>
          </cell>
          <cell r="N7990">
            <v>3.6</v>
          </cell>
          <cell r="O7990">
            <v>2.952</v>
          </cell>
        </row>
        <row r="7991">
          <cell r="E7991" t="str">
            <v>HPER</v>
          </cell>
          <cell r="F7991" t="str">
            <v>HPER-E</v>
          </cell>
          <cell r="G7991">
            <v>148</v>
          </cell>
          <cell r="H7991" t="str">
            <v>HPER-E148</v>
          </cell>
          <cell r="K7991" t="str">
            <v>Welty,Arlo Emory</v>
          </cell>
          <cell r="N7991">
            <v>3.403</v>
          </cell>
          <cell r="O7991">
            <v>3.1360000000000001</v>
          </cell>
        </row>
        <row r="7992">
          <cell r="E7992" t="str">
            <v>HPER</v>
          </cell>
          <cell r="F7992" t="str">
            <v>HPER-E</v>
          </cell>
          <cell r="G7992">
            <v>149</v>
          </cell>
          <cell r="H7992" t="str">
            <v>HPER-E149</v>
          </cell>
          <cell r="K7992" t="str">
            <v>Greenwood,Thomas Nataniel</v>
          </cell>
          <cell r="N7992">
            <v>4</v>
          </cell>
          <cell r="O7992">
            <v>3.0750000000000002</v>
          </cell>
        </row>
        <row r="7993">
          <cell r="E7993" t="str">
            <v>HPER</v>
          </cell>
          <cell r="F7993" t="str">
            <v>HPER-E</v>
          </cell>
          <cell r="G7993">
            <v>149</v>
          </cell>
          <cell r="H7993" t="str">
            <v>HPER-E149</v>
          </cell>
          <cell r="K7993" t="str">
            <v>Sexton,Cody R</v>
          </cell>
          <cell r="N7993">
            <v>3.9279999999999999</v>
          </cell>
          <cell r="O7993">
            <v>2.9239999999999999</v>
          </cell>
        </row>
        <row r="7994">
          <cell r="E7994" t="str">
            <v>HPER</v>
          </cell>
          <cell r="F7994" t="str">
            <v>HPER-E</v>
          </cell>
          <cell r="G7994">
            <v>149</v>
          </cell>
          <cell r="H7994" t="str">
            <v>HPER-E149</v>
          </cell>
          <cell r="K7994" t="str">
            <v>Sexton,Cody R</v>
          </cell>
          <cell r="N7994">
            <v>3.9820000000000002</v>
          </cell>
          <cell r="O7994">
            <v>2.9169999999999998</v>
          </cell>
        </row>
        <row r="7995">
          <cell r="E7995" t="str">
            <v>HPER</v>
          </cell>
          <cell r="F7995" t="str">
            <v>HPER-E</v>
          </cell>
          <cell r="G7995">
            <v>149</v>
          </cell>
          <cell r="H7995" t="str">
            <v>HPER-E149</v>
          </cell>
          <cell r="K7995" t="str">
            <v>Tolnay,Ryan Grayson</v>
          </cell>
          <cell r="N7995">
            <v>4</v>
          </cell>
          <cell r="O7995">
            <v>2.9409999999999998</v>
          </cell>
        </row>
        <row r="7996">
          <cell r="E7996" t="str">
            <v>HPER</v>
          </cell>
          <cell r="F7996" t="str">
            <v>HPER-E</v>
          </cell>
          <cell r="G7996">
            <v>150</v>
          </cell>
          <cell r="H7996" t="str">
            <v>HPER-E150</v>
          </cell>
          <cell r="K7996" t="str">
            <v>Kelly,Patrick Charles</v>
          </cell>
          <cell r="N7996">
            <v>3.734</v>
          </cell>
          <cell r="O7996">
            <v>3.1480000000000001</v>
          </cell>
        </row>
        <row r="7997">
          <cell r="E7997" t="str">
            <v>HPER</v>
          </cell>
          <cell r="F7997" t="str">
            <v>HPER-E</v>
          </cell>
          <cell r="G7997">
            <v>150</v>
          </cell>
          <cell r="H7997" t="str">
            <v>HPER-E150</v>
          </cell>
          <cell r="K7997" t="str">
            <v>Kelly,Patrick Charles</v>
          </cell>
          <cell r="N7997">
            <v>3.8330000000000002</v>
          </cell>
          <cell r="O7997">
            <v>3.0649999999999999</v>
          </cell>
        </row>
        <row r="7998">
          <cell r="E7998" t="str">
            <v>HPER</v>
          </cell>
          <cell r="F7998" t="str">
            <v>HPER-E</v>
          </cell>
          <cell r="G7998">
            <v>151</v>
          </cell>
          <cell r="H7998" t="str">
            <v>HPER-E151</v>
          </cell>
          <cell r="K7998" t="str">
            <v>Luiselli,Claudio Sainz</v>
          </cell>
          <cell r="N7998">
            <v>3.9260000000000002</v>
          </cell>
          <cell r="O7998">
            <v>3.1240000000000001</v>
          </cell>
        </row>
        <row r="7999">
          <cell r="E7999" t="str">
            <v>HPER</v>
          </cell>
          <cell r="F7999" t="str">
            <v>HPER-E</v>
          </cell>
          <cell r="G7999">
            <v>151</v>
          </cell>
          <cell r="H7999" t="str">
            <v>HPER-E151</v>
          </cell>
          <cell r="K7999" t="str">
            <v>Miller,Todd Andrew</v>
          </cell>
          <cell r="N7999">
            <v>3.7639999999999998</v>
          </cell>
          <cell r="O7999">
            <v>3.23</v>
          </cell>
        </row>
        <row r="8000">
          <cell r="E8000" t="str">
            <v>HPER</v>
          </cell>
          <cell r="F8000" t="str">
            <v>HPER-E</v>
          </cell>
          <cell r="G8000">
            <v>151</v>
          </cell>
          <cell r="H8000" t="str">
            <v>HPER-E151</v>
          </cell>
          <cell r="K8000" t="str">
            <v>Miller,Todd Andrew</v>
          </cell>
          <cell r="N8000">
            <v>3.89</v>
          </cell>
          <cell r="O8000">
            <v>3.2519999999999998</v>
          </cell>
        </row>
        <row r="8001">
          <cell r="E8001" t="str">
            <v>HPER</v>
          </cell>
          <cell r="F8001" t="str">
            <v>HPER-E</v>
          </cell>
          <cell r="G8001">
            <v>151</v>
          </cell>
          <cell r="H8001" t="str">
            <v>HPER-E151</v>
          </cell>
          <cell r="K8001" t="str">
            <v>Miller,Todd Andrew</v>
          </cell>
          <cell r="N8001">
            <v>3.7429999999999999</v>
          </cell>
          <cell r="O8001">
            <v>3.073</v>
          </cell>
        </row>
        <row r="8002">
          <cell r="E8002" t="str">
            <v>HPER</v>
          </cell>
          <cell r="F8002" t="str">
            <v>HPER-E</v>
          </cell>
          <cell r="G8002">
            <v>151</v>
          </cell>
          <cell r="H8002" t="str">
            <v>HPER-E151</v>
          </cell>
          <cell r="K8002" t="str">
            <v>Miller,Todd Andrew</v>
          </cell>
          <cell r="N8002">
            <v>3.8420000000000001</v>
          </cell>
          <cell r="O8002">
            <v>3.2429999999999999</v>
          </cell>
        </row>
        <row r="8003">
          <cell r="E8003" t="str">
            <v>HPER</v>
          </cell>
          <cell r="F8003" t="str">
            <v>HPER-E</v>
          </cell>
          <cell r="G8003">
            <v>151</v>
          </cell>
          <cell r="H8003" t="str">
            <v>HPER-E151</v>
          </cell>
          <cell r="K8003" t="str">
            <v>Miller,Todd Andrew</v>
          </cell>
          <cell r="N8003">
            <v>3.9319999999999999</v>
          </cell>
          <cell r="O8003">
            <v>3.2639999999999998</v>
          </cell>
        </row>
        <row r="8004">
          <cell r="E8004" t="str">
            <v>HPER</v>
          </cell>
          <cell r="F8004" t="str">
            <v>HPER-E</v>
          </cell>
          <cell r="G8004">
            <v>151</v>
          </cell>
          <cell r="H8004" t="str">
            <v>HPER-E151</v>
          </cell>
          <cell r="K8004" t="str">
            <v>Pike,Brian James</v>
          </cell>
          <cell r="N8004">
            <v>4</v>
          </cell>
          <cell r="O8004">
            <v>3.278</v>
          </cell>
        </row>
        <row r="8005">
          <cell r="E8005" t="str">
            <v>HPER</v>
          </cell>
          <cell r="F8005" t="str">
            <v>HPER-E</v>
          </cell>
          <cell r="G8005">
            <v>151</v>
          </cell>
          <cell r="H8005" t="str">
            <v>HPER-E151</v>
          </cell>
          <cell r="K8005" t="str">
            <v>Pike,Brian James</v>
          </cell>
          <cell r="N8005">
            <v>4</v>
          </cell>
          <cell r="O8005">
            <v>3.246</v>
          </cell>
        </row>
        <row r="8006">
          <cell r="E8006" t="str">
            <v>HPER</v>
          </cell>
          <cell r="F8006" t="str">
            <v>HPER-E</v>
          </cell>
          <cell r="G8006">
            <v>151</v>
          </cell>
          <cell r="H8006" t="str">
            <v>HPER-E151</v>
          </cell>
          <cell r="K8006" t="str">
            <v>Rau,Christian Shanon</v>
          </cell>
          <cell r="N8006">
            <v>4</v>
          </cell>
          <cell r="O8006">
            <v>2.9969999999999999</v>
          </cell>
        </row>
        <row r="8007">
          <cell r="E8007" t="str">
            <v>HPER</v>
          </cell>
          <cell r="F8007" t="str">
            <v>HPER-E</v>
          </cell>
          <cell r="G8007">
            <v>151</v>
          </cell>
          <cell r="H8007" t="str">
            <v>HPER-E151</v>
          </cell>
          <cell r="K8007" t="str">
            <v>Rau,Christian Shanon</v>
          </cell>
          <cell r="N8007">
            <v>4</v>
          </cell>
          <cell r="O8007">
            <v>2.992</v>
          </cell>
        </row>
        <row r="8008">
          <cell r="E8008" t="str">
            <v>HPER</v>
          </cell>
          <cell r="F8008" t="str">
            <v>HPER-E</v>
          </cell>
          <cell r="G8008">
            <v>151</v>
          </cell>
          <cell r="H8008" t="str">
            <v>HPER-E151</v>
          </cell>
          <cell r="K8008" t="str">
            <v>Sieg,Brandon Lee</v>
          </cell>
          <cell r="N8008">
            <v>3.4260000000000002</v>
          </cell>
          <cell r="O8008">
            <v>2.8780000000000001</v>
          </cell>
        </row>
        <row r="8009">
          <cell r="E8009" t="str">
            <v>HPER</v>
          </cell>
          <cell r="F8009" t="str">
            <v>HPER-E</v>
          </cell>
          <cell r="G8009">
            <v>151</v>
          </cell>
          <cell r="H8009" t="str">
            <v>HPER-E151</v>
          </cell>
          <cell r="K8009" t="str">
            <v>Sieg,Brandon Lee</v>
          </cell>
          <cell r="N8009">
            <v>3.6640000000000001</v>
          </cell>
          <cell r="O8009">
            <v>3.1080000000000001</v>
          </cell>
        </row>
        <row r="8010">
          <cell r="E8010" t="str">
            <v>HPER</v>
          </cell>
          <cell r="F8010" t="str">
            <v>HPER-E</v>
          </cell>
          <cell r="G8010">
            <v>151</v>
          </cell>
          <cell r="H8010" t="str">
            <v>HPER-E151</v>
          </cell>
          <cell r="K8010" t="str">
            <v>Sieg,Brandon Lee</v>
          </cell>
          <cell r="N8010">
            <v>3.4729999999999999</v>
          </cell>
          <cell r="O8010">
            <v>3.1989999999999998</v>
          </cell>
        </row>
        <row r="8011">
          <cell r="E8011" t="str">
            <v>HPER</v>
          </cell>
          <cell r="F8011" t="str">
            <v>HPER-E</v>
          </cell>
          <cell r="G8011">
            <v>151</v>
          </cell>
          <cell r="H8011" t="str">
            <v>HPER-E151</v>
          </cell>
          <cell r="K8011" t="str">
            <v>Welty,Arlo Emory</v>
          </cell>
          <cell r="N8011">
            <v>3.9729999999999999</v>
          </cell>
          <cell r="O8011">
            <v>3.2050000000000001</v>
          </cell>
        </row>
        <row r="8012">
          <cell r="E8012" t="str">
            <v>HPER</v>
          </cell>
          <cell r="F8012" t="str">
            <v>HPER-E</v>
          </cell>
          <cell r="G8012">
            <v>152</v>
          </cell>
          <cell r="H8012" t="str">
            <v>HPER-E152</v>
          </cell>
          <cell r="K8012" t="str">
            <v>Rhodes,David K</v>
          </cell>
          <cell r="N8012">
            <v>3.778</v>
          </cell>
          <cell r="O8012">
            <v>2.7440000000000002</v>
          </cell>
        </row>
        <row r="8013">
          <cell r="E8013" t="str">
            <v>HPER</v>
          </cell>
          <cell r="F8013" t="str">
            <v>HPER-E</v>
          </cell>
          <cell r="G8013">
            <v>152</v>
          </cell>
          <cell r="H8013" t="str">
            <v>HPER-E152</v>
          </cell>
          <cell r="K8013" t="str">
            <v>Rhodes,David K</v>
          </cell>
          <cell r="N8013">
            <v>3.944</v>
          </cell>
          <cell r="O8013">
            <v>2.8450000000000002</v>
          </cell>
        </row>
        <row r="8014">
          <cell r="E8014" t="str">
            <v>HPER</v>
          </cell>
          <cell r="F8014" t="str">
            <v>HPER-E</v>
          </cell>
          <cell r="G8014">
            <v>153</v>
          </cell>
          <cell r="H8014" t="str">
            <v>HPER-E153</v>
          </cell>
          <cell r="K8014" t="str">
            <v>Haskell,Guy H</v>
          </cell>
          <cell r="N8014">
            <v>4</v>
          </cell>
          <cell r="O8014">
            <v>3.07</v>
          </cell>
        </row>
        <row r="8015">
          <cell r="E8015" t="str">
            <v>HPER</v>
          </cell>
          <cell r="F8015" t="str">
            <v>HPER-E</v>
          </cell>
          <cell r="G8015">
            <v>153</v>
          </cell>
          <cell r="H8015" t="str">
            <v>HPER-E153</v>
          </cell>
          <cell r="K8015" t="str">
            <v>Haskell,Guy H</v>
          </cell>
          <cell r="N8015" t="str">
            <v>NR</v>
          </cell>
          <cell r="O8015" t="str">
            <v>NR</v>
          </cell>
        </row>
        <row r="8016">
          <cell r="E8016" t="str">
            <v>HPER</v>
          </cell>
          <cell r="F8016" t="str">
            <v>HPER-E</v>
          </cell>
          <cell r="G8016">
            <v>154</v>
          </cell>
          <cell r="H8016" t="str">
            <v>HPER-E154</v>
          </cell>
          <cell r="K8016" t="str">
            <v>Foley,Sherilyn Nott</v>
          </cell>
          <cell r="N8016">
            <v>3.9710000000000001</v>
          </cell>
          <cell r="O8016">
            <v>3.1</v>
          </cell>
        </row>
        <row r="8017">
          <cell r="E8017" t="str">
            <v>HPER</v>
          </cell>
          <cell r="F8017" t="str">
            <v>HPER-E</v>
          </cell>
          <cell r="G8017">
            <v>154</v>
          </cell>
          <cell r="H8017" t="str">
            <v>HPER-E154</v>
          </cell>
          <cell r="K8017" t="str">
            <v>Foley,Sherilyn Nott</v>
          </cell>
          <cell r="N8017">
            <v>3.8809999999999998</v>
          </cell>
          <cell r="O8017">
            <v>3.145</v>
          </cell>
        </row>
        <row r="8018">
          <cell r="E8018" t="str">
            <v>HPER</v>
          </cell>
          <cell r="F8018" t="str">
            <v>HPER-E</v>
          </cell>
          <cell r="G8018">
            <v>155</v>
          </cell>
          <cell r="H8018" t="str">
            <v>HPER-E155</v>
          </cell>
          <cell r="K8018" t="str">
            <v>Dowd,Jamie Lynn</v>
          </cell>
          <cell r="N8018">
            <v>3.8620000000000001</v>
          </cell>
          <cell r="O8018">
            <v>3.3220000000000001</v>
          </cell>
        </row>
        <row r="8019">
          <cell r="E8019" t="str">
            <v>HPER</v>
          </cell>
          <cell r="F8019" t="str">
            <v>HPER-E</v>
          </cell>
          <cell r="G8019">
            <v>155</v>
          </cell>
          <cell r="H8019" t="str">
            <v>HPER-E155</v>
          </cell>
          <cell r="K8019" t="str">
            <v>Frederick,Lauren Weber</v>
          </cell>
          <cell r="N8019">
            <v>3.9089999999999998</v>
          </cell>
          <cell r="O8019">
            <v>3.036</v>
          </cell>
        </row>
        <row r="8020">
          <cell r="E8020" t="str">
            <v>HPER</v>
          </cell>
          <cell r="F8020" t="str">
            <v>HPER-E</v>
          </cell>
          <cell r="G8020">
            <v>155</v>
          </cell>
          <cell r="H8020" t="str">
            <v>HPER-E155</v>
          </cell>
          <cell r="K8020" t="str">
            <v>Stephan,Dustin Nicholas</v>
          </cell>
          <cell r="N8020">
            <v>3.6709999999999998</v>
          </cell>
          <cell r="O8020">
            <v>3.302</v>
          </cell>
        </row>
        <row r="8021">
          <cell r="E8021" t="str">
            <v>HPER</v>
          </cell>
          <cell r="F8021" t="str">
            <v>HPER-E</v>
          </cell>
          <cell r="G8021">
            <v>155</v>
          </cell>
          <cell r="H8021" t="str">
            <v>HPER-E155</v>
          </cell>
          <cell r="K8021" t="str">
            <v>Windell,Susannah Marie</v>
          </cell>
          <cell r="N8021">
            <v>3.88</v>
          </cell>
          <cell r="O8021">
            <v>3.226</v>
          </cell>
        </row>
        <row r="8022">
          <cell r="E8022" t="str">
            <v>HPER</v>
          </cell>
          <cell r="F8022" t="str">
            <v>HPER-E</v>
          </cell>
          <cell r="G8022">
            <v>156</v>
          </cell>
          <cell r="H8022" t="str">
            <v>HPER-E156</v>
          </cell>
          <cell r="K8022" t="str">
            <v>Foley,Sherilyn Nott</v>
          </cell>
          <cell r="N8022">
            <v>3.9460000000000002</v>
          </cell>
          <cell r="O8022">
            <v>3.2050000000000001</v>
          </cell>
        </row>
        <row r="8023">
          <cell r="E8023" t="str">
            <v>HPER</v>
          </cell>
          <cell r="F8023" t="str">
            <v>HPER-E</v>
          </cell>
          <cell r="G8023">
            <v>156</v>
          </cell>
          <cell r="H8023" t="str">
            <v>HPER-E156</v>
          </cell>
          <cell r="K8023" t="str">
            <v>Foley,Sherilyn Nott</v>
          </cell>
          <cell r="N8023">
            <v>3.9910000000000001</v>
          </cell>
          <cell r="O8023">
            <v>3.161</v>
          </cell>
        </row>
        <row r="8024">
          <cell r="E8024" t="str">
            <v>HPER</v>
          </cell>
          <cell r="F8024" t="str">
            <v>HPER-E</v>
          </cell>
          <cell r="G8024">
            <v>157</v>
          </cell>
          <cell r="H8024" t="str">
            <v>HPER-E157</v>
          </cell>
          <cell r="K8024" t="str">
            <v>Kelly,Patrick Charles</v>
          </cell>
          <cell r="N8024">
            <v>3.65</v>
          </cell>
          <cell r="O8024">
            <v>3.0539999999999998</v>
          </cell>
        </row>
        <row r="8025">
          <cell r="E8025" t="str">
            <v>HPER</v>
          </cell>
          <cell r="F8025" t="str">
            <v>HPER-E</v>
          </cell>
          <cell r="G8025">
            <v>157</v>
          </cell>
          <cell r="H8025" t="str">
            <v>HPER-E157</v>
          </cell>
          <cell r="K8025" t="str">
            <v>Kelly,Patrick Charles</v>
          </cell>
          <cell r="N8025">
            <v>3.79</v>
          </cell>
          <cell r="O8025">
            <v>3.1970000000000001</v>
          </cell>
        </row>
        <row r="8026">
          <cell r="E8026" t="str">
            <v>HPER</v>
          </cell>
          <cell r="F8026" t="str">
            <v>HPER-E</v>
          </cell>
          <cell r="G8026">
            <v>158</v>
          </cell>
          <cell r="H8026" t="str">
            <v>HPER-E158</v>
          </cell>
          <cell r="K8026" t="str">
            <v>Lame,Marc Louis</v>
          </cell>
          <cell r="N8026">
            <v>3.1669999999999998</v>
          </cell>
          <cell r="O8026">
            <v>2.879</v>
          </cell>
        </row>
        <row r="8027">
          <cell r="E8027" t="str">
            <v>HPER</v>
          </cell>
          <cell r="F8027" t="str">
            <v>HPER-E</v>
          </cell>
          <cell r="G8027">
            <v>158</v>
          </cell>
          <cell r="H8027" t="str">
            <v>HPER-E158</v>
          </cell>
          <cell r="K8027" t="str">
            <v>Thompson,William R.</v>
          </cell>
          <cell r="N8027">
            <v>3.907</v>
          </cell>
          <cell r="O8027">
            <v>2.5350000000000001</v>
          </cell>
        </row>
        <row r="8028">
          <cell r="E8028" t="str">
            <v>HPER</v>
          </cell>
          <cell r="F8028" t="str">
            <v>HPER-E</v>
          </cell>
          <cell r="G8028">
            <v>159</v>
          </cell>
          <cell r="H8028" t="str">
            <v>HPER-E159</v>
          </cell>
          <cell r="K8028" t="str">
            <v>Bielko,Sylvanna Lauren</v>
          </cell>
          <cell r="N8028">
            <v>3.9329999999999998</v>
          </cell>
          <cell r="O8028">
            <v>3.395</v>
          </cell>
        </row>
        <row r="8029">
          <cell r="E8029" t="str">
            <v>HPER</v>
          </cell>
          <cell r="F8029" t="str">
            <v>HPER-E</v>
          </cell>
          <cell r="G8029">
            <v>159</v>
          </cell>
          <cell r="H8029" t="str">
            <v>HPER-E159</v>
          </cell>
          <cell r="K8029" t="str">
            <v>Bielko,Sylvanna Lauren</v>
          </cell>
          <cell r="N8029">
            <v>3.9769999999999999</v>
          </cell>
          <cell r="O8029">
            <v>3.0609999999999999</v>
          </cell>
        </row>
        <row r="8030">
          <cell r="E8030" t="str">
            <v>HPER</v>
          </cell>
          <cell r="F8030" t="str">
            <v>HPER-E</v>
          </cell>
          <cell r="G8030">
            <v>159</v>
          </cell>
          <cell r="H8030" t="str">
            <v>HPER-E159</v>
          </cell>
          <cell r="K8030" t="str">
            <v>Bielko,Sylvanna Lauren</v>
          </cell>
          <cell r="N8030">
            <v>3.9809999999999999</v>
          </cell>
          <cell r="O8030">
            <v>3.121</v>
          </cell>
        </row>
        <row r="8031">
          <cell r="E8031" t="str">
            <v>HPER</v>
          </cell>
          <cell r="F8031" t="str">
            <v>HPER-E</v>
          </cell>
          <cell r="G8031">
            <v>159</v>
          </cell>
          <cell r="H8031" t="str">
            <v>HPER-E159</v>
          </cell>
          <cell r="K8031" t="str">
            <v>Bielko,Sylvanna Lauren</v>
          </cell>
          <cell r="N8031">
            <v>3.98</v>
          </cell>
          <cell r="O8031">
            <v>3.415</v>
          </cell>
        </row>
        <row r="8032">
          <cell r="E8032" t="str">
            <v>HPER</v>
          </cell>
          <cell r="F8032" t="str">
            <v>HPER-E</v>
          </cell>
          <cell r="G8032">
            <v>159</v>
          </cell>
          <cell r="H8032" t="str">
            <v>HPER-E159</v>
          </cell>
          <cell r="K8032" t="str">
            <v>Bielko,Sylvanna Lauren</v>
          </cell>
          <cell r="N8032">
            <v>4</v>
          </cell>
          <cell r="O8032">
            <v>3.1829999999999998</v>
          </cell>
        </row>
        <row r="8033">
          <cell r="E8033" t="str">
            <v>HPER</v>
          </cell>
          <cell r="F8033" t="str">
            <v>HPER-E</v>
          </cell>
          <cell r="G8033">
            <v>159</v>
          </cell>
          <cell r="H8033" t="str">
            <v>HPER-E159</v>
          </cell>
          <cell r="K8033" t="str">
            <v>Bielko,Sylvanna Lauren</v>
          </cell>
          <cell r="N8033">
            <v>3.778</v>
          </cell>
          <cell r="O8033">
            <v>3.3029999999999999</v>
          </cell>
        </row>
        <row r="8034">
          <cell r="E8034" t="str">
            <v>HPER</v>
          </cell>
          <cell r="F8034" t="str">
            <v>HPER-E</v>
          </cell>
          <cell r="G8034">
            <v>159</v>
          </cell>
          <cell r="H8034" t="str">
            <v>HPER-E159</v>
          </cell>
          <cell r="K8034" t="str">
            <v>Bona Negri,Paulo Vitor</v>
          </cell>
          <cell r="N8034">
            <v>4</v>
          </cell>
          <cell r="O8034">
            <v>3.4980000000000002</v>
          </cell>
        </row>
        <row r="8035">
          <cell r="E8035" t="str">
            <v>HPER</v>
          </cell>
          <cell r="F8035" t="str">
            <v>HPER-E</v>
          </cell>
          <cell r="G8035">
            <v>159</v>
          </cell>
          <cell r="H8035" t="str">
            <v>HPER-E159</v>
          </cell>
          <cell r="K8035" t="str">
            <v>Bona Negri,Paulo Vitor</v>
          </cell>
          <cell r="N8035">
            <v>4</v>
          </cell>
          <cell r="O8035">
            <v>3.4020000000000001</v>
          </cell>
        </row>
        <row r="8036">
          <cell r="E8036" t="str">
            <v>HPER</v>
          </cell>
          <cell r="F8036" t="str">
            <v>HPER-E</v>
          </cell>
          <cell r="G8036">
            <v>159</v>
          </cell>
          <cell r="H8036" t="str">
            <v>HPER-E159</v>
          </cell>
          <cell r="K8036" t="str">
            <v>Hwang,Hansol</v>
          </cell>
          <cell r="N8036">
            <v>3.9</v>
          </cell>
          <cell r="O8036">
            <v>3.294</v>
          </cell>
        </row>
        <row r="8037">
          <cell r="E8037" t="str">
            <v>HPER</v>
          </cell>
          <cell r="F8037" t="str">
            <v>HPER-E</v>
          </cell>
          <cell r="G8037">
            <v>159</v>
          </cell>
          <cell r="H8037" t="str">
            <v>HPER-E159</v>
          </cell>
          <cell r="K8037" t="str">
            <v>Skirvin,Donald</v>
          </cell>
          <cell r="N8037">
            <v>3.8290000000000002</v>
          </cell>
          <cell r="O8037">
            <v>3.0070000000000001</v>
          </cell>
        </row>
        <row r="8038">
          <cell r="E8038" t="str">
            <v>HPER</v>
          </cell>
          <cell r="F8038" t="str">
            <v>HPER-E</v>
          </cell>
          <cell r="G8038">
            <v>159</v>
          </cell>
          <cell r="H8038" t="str">
            <v>HPER-E159</v>
          </cell>
          <cell r="K8038" t="str">
            <v>Skirvin,Donald</v>
          </cell>
          <cell r="N8038">
            <v>3.944</v>
          </cell>
          <cell r="O8038">
            <v>3.319</v>
          </cell>
        </row>
        <row r="8039">
          <cell r="E8039" t="str">
            <v>HPER</v>
          </cell>
          <cell r="F8039" t="str">
            <v>HPER-E</v>
          </cell>
          <cell r="G8039">
            <v>159</v>
          </cell>
          <cell r="H8039" t="str">
            <v>HPER-E159</v>
          </cell>
          <cell r="K8039" t="str">
            <v>Skirvin,Donald</v>
          </cell>
          <cell r="N8039">
            <v>3.9809999999999999</v>
          </cell>
          <cell r="O8039">
            <v>3.282</v>
          </cell>
        </row>
        <row r="8040">
          <cell r="E8040" t="str">
            <v>HPER</v>
          </cell>
          <cell r="F8040" t="str">
            <v>HPER-E</v>
          </cell>
          <cell r="G8040">
            <v>159</v>
          </cell>
          <cell r="H8040" t="str">
            <v>HPER-E159</v>
          </cell>
          <cell r="K8040" t="str">
            <v>Skirvin,Donald</v>
          </cell>
          <cell r="N8040">
            <v>3.8410000000000002</v>
          </cell>
          <cell r="O8040">
            <v>3.149</v>
          </cell>
        </row>
        <row r="8041">
          <cell r="E8041" t="str">
            <v>HPER</v>
          </cell>
          <cell r="F8041" t="str">
            <v>HPER-E</v>
          </cell>
          <cell r="G8041">
            <v>159</v>
          </cell>
          <cell r="H8041" t="str">
            <v>HPER-E159</v>
          </cell>
          <cell r="K8041" t="str">
            <v>Vooris,Ryan P</v>
          </cell>
          <cell r="N8041">
            <v>3.669</v>
          </cell>
          <cell r="O8041">
            <v>3.1280000000000001</v>
          </cell>
        </row>
        <row r="8042">
          <cell r="E8042" t="str">
            <v>HPER</v>
          </cell>
          <cell r="F8042" t="str">
            <v>HPER-E</v>
          </cell>
          <cell r="G8042">
            <v>164</v>
          </cell>
          <cell r="H8042" t="str">
            <v>HPER-E164</v>
          </cell>
          <cell r="K8042" t="str">
            <v>Kessler,Robert G.</v>
          </cell>
          <cell r="N8042">
            <v>3.5</v>
          </cell>
          <cell r="O8042">
            <v>3.0680000000000001</v>
          </cell>
        </row>
        <row r="8043">
          <cell r="E8043" t="str">
            <v>HPER</v>
          </cell>
          <cell r="F8043" t="str">
            <v>HPER-E</v>
          </cell>
          <cell r="G8043">
            <v>168</v>
          </cell>
          <cell r="H8043" t="str">
            <v>HPER-E168</v>
          </cell>
          <cell r="K8043" t="str">
            <v>Kojima,Kosuke</v>
          </cell>
          <cell r="N8043" t="str">
            <v>NR</v>
          </cell>
          <cell r="O8043" t="str">
            <v>NR</v>
          </cell>
        </row>
        <row r="8044">
          <cell r="E8044" t="str">
            <v>HPER</v>
          </cell>
          <cell r="F8044" t="str">
            <v>HPER-E</v>
          </cell>
          <cell r="G8044">
            <v>168</v>
          </cell>
          <cell r="H8044" t="str">
            <v>HPER-E168</v>
          </cell>
          <cell r="K8044" t="str">
            <v>Shei,Ren-Jay</v>
          </cell>
          <cell r="N8044" t="str">
            <v>NR</v>
          </cell>
          <cell r="O8044" t="str">
            <v>NR</v>
          </cell>
        </row>
        <row r="8045">
          <cell r="E8045" t="str">
            <v>HPER</v>
          </cell>
          <cell r="F8045" t="str">
            <v>HPER-E</v>
          </cell>
          <cell r="G8045">
            <v>168</v>
          </cell>
          <cell r="H8045" t="str">
            <v>HPER-E168</v>
          </cell>
          <cell r="K8045" t="str">
            <v>Wan,Hsuan-Yu</v>
          </cell>
          <cell r="N8045" t="str">
            <v>NR</v>
          </cell>
          <cell r="O8045" t="str">
            <v>NR</v>
          </cell>
        </row>
        <row r="8046">
          <cell r="E8046" t="str">
            <v>HPER</v>
          </cell>
          <cell r="F8046" t="str">
            <v>HPER-E</v>
          </cell>
          <cell r="G8046">
            <v>168</v>
          </cell>
          <cell r="H8046" t="str">
            <v>HPER-E168</v>
          </cell>
          <cell r="K8046" t="str">
            <v>Wan,Hsuan-Yu</v>
          </cell>
          <cell r="N8046" t="str">
            <v>NR</v>
          </cell>
          <cell r="O8046" t="str">
            <v>NR</v>
          </cell>
        </row>
        <row r="8047">
          <cell r="E8047" t="str">
            <v>HPER</v>
          </cell>
          <cell r="F8047" t="str">
            <v>HPER-E</v>
          </cell>
          <cell r="G8047">
            <v>181</v>
          </cell>
          <cell r="H8047" t="str">
            <v>HPER-E181</v>
          </cell>
          <cell r="K8047" t="str">
            <v>Houston,Scott</v>
          </cell>
          <cell r="N8047">
            <v>4</v>
          </cell>
          <cell r="O8047">
            <v>3.4</v>
          </cell>
        </row>
        <row r="8048">
          <cell r="E8048" t="str">
            <v>HPER</v>
          </cell>
          <cell r="F8048" t="str">
            <v>HPER-E</v>
          </cell>
          <cell r="G8048">
            <v>181</v>
          </cell>
          <cell r="H8048" t="str">
            <v>HPER-E181</v>
          </cell>
          <cell r="K8048" t="str">
            <v>Morgan,Robert G</v>
          </cell>
          <cell r="N8048">
            <v>3.9569999999999999</v>
          </cell>
          <cell r="O8048">
            <v>3.161</v>
          </cell>
        </row>
        <row r="8049">
          <cell r="E8049" t="str">
            <v>HPER</v>
          </cell>
          <cell r="F8049" t="str">
            <v>HPER-E</v>
          </cell>
          <cell r="G8049">
            <v>181</v>
          </cell>
          <cell r="H8049" t="str">
            <v>HPER-E181</v>
          </cell>
          <cell r="K8049" t="str">
            <v>Morgan,Robert G</v>
          </cell>
          <cell r="N8049">
            <v>4</v>
          </cell>
          <cell r="O8049">
            <v>2.9790000000000001</v>
          </cell>
        </row>
        <row r="8050">
          <cell r="E8050" t="str">
            <v>HPER</v>
          </cell>
          <cell r="F8050" t="str">
            <v>HPER-E</v>
          </cell>
          <cell r="G8050">
            <v>181</v>
          </cell>
          <cell r="H8050" t="str">
            <v>HPER-E181</v>
          </cell>
          <cell r="K8050" t="str">
            <v>Morgan,Robert G</v>
          </cell>
          <cell r="N8050">
            <v>3.53</v>
          </cell>
          <cell r="O8050">
            <v>2.8860000000000001</v>
          </cell>
        </row>
        <row r="8051">
          <cell r="E8051" t="str">
            <v>HPER</v>
          </cell>
          <cell r="F8051" t="str">
            <v>HPER-E</v>
          </cell>
          <cell r="G8051">
            <v>181</v>
          </cell>
          <cell r="H8051" t="str">
            <v>HPER-E181</v>
          </cell>
          <cell r="K8051" t="str">
            <v>Sossong,Tyler</v>
          </cell>
          <cell r="N8051">
            <v>3.6269999999999998</v>
          </cell>
          <cell r="O8051">
            <v>3.0259999999999998</v>
          </cell>
        </row>
        <row r="8052">
          <cell r="E8052" t="str">
            <v>HPER</v>
          </cell>
          <cell r="F8052" t="str">
            <v>HPER-E</v>
          </cell>
          <cell r="G8052">
            <v>181</v>
          </cell>
          <cell r="H8052" t="str">
            <v>HPER-E181</v>
          </cell>
          <cell r="K8052" t="str">
            <v>Sossong,Tyler</v>
          </cell>
          <cell r="N8052">
            <v>3.7810000000000001</v>
          </cell>
          <cell r="O8052">
            <v>3.23</v>
          </cell>
        </row>
        <row r="8053">
          <cell r="E8053" t="str">
            <v>HPER</v>
          </cell>
          <cell r="F8053" t="str">
            <v>HPER-E</v>
          </cell>
          <cell r="G8053">
            <v>185</v>
          </cell>
          <cell r="H8053" t="str">
            <v>HPER-E185</v>
          </cell>
          <cell r="K8053" t="str">
            <v>Gabbard,Anna</v>
          </cell>
          <cell r="N8053">
            <v>4</v>
          </cell>
          <cell r="O8053">
            <v>3.1040000000000001</v>
          </cell>
        </row>
        <row r="8054">
          <cell r="E8054" t="str">
            <v>HPER</v>
          </cell>
          <cell r="F8054" t="str">
            <v>HPER-E</v>
          </cell>
          <cell r="G8054">
            <v>185</v>
          </cell>
          <cell r="H8054" t="str">
            <v>HPER-E185</v>
          </cell>
          <cell r="K8054" t="str">
            <v>Gabbard,Anna</v>
          </cell>
          <cell r="N8054">
            <v>4</v>
          </cell>
          <cell r="O8054">
            <v>3.4340000000000002</v>
          </cell>
        </row>
        <row r="8055">
          <cell r="E8055" t="str">
            <v>HPER</v>
          </cell>
          <cell r="F8055" t="str">
            <v>HPER-E</v>
          </cell>
          <cell r="G8055">
            <v>185</v>
          </cell>
          <cell r="H8055" t="str">
            <v>HPER-E185</v>
          </cell>
          <cell r="K8055" t="str">
            <v>Lane,Kevin Donald</v>
          </cell>
          <cell r="N8055">
            <v>3.8969999999999998</v>
          </cell>
          <cell r="O8055">
            <v>2.9449999999999998</v>
          </cell>
        </row>
        <row r="8056">
          <cell r="E8056" t="str">
            <v>HPER</v>
          </cell>
          <cell r="F8056" t="str">
            <v>HPER-E</v>
          </cell>
          <cell r="G8056">
            <v>185</v>
          </cell>
          <cell r="H8056" t="str">
            <v>HPER-E185</v>
          </cell>
          <cell r="K8056" t="str">
            <v>Lane,Kevin Donald</v>
          </cell>
          <cell r="N8056">
            <v>3.95</v>
          </cell>
          <cell r="O8056">
            <v>3.1930000000000001</v>
          </cell>
        </row>
        <row r="8057">
          <cell r="E8057" t="str">
            <v>HPER</v>
          </cell>
          <cell r="F8057" t="str">
            <v>HPER-E</v>
          </cell>
          <cell r="G8057">
            <v>187</v>
          </cell>
          <cell r="H8057" t="str">
            <v>HPER-E187</v>
          </cell>
          <cell r="K8057" t="str">
            <v>Brammer,Christopher Lee</v>
          </cell>
          <cell r="N8057" t="str">
            <v>NR</v>
          </cell>
          <cell r="O8057" t="str">
            <v>NR</v>
          </cell>
        </row>
        <row r="8058">
          <cell r="E8058" t="str">
            <v>HPER</v>
          </cell>
          <cell r="F8058" t="str">
            <v>HPER-E</v>
          </cell>
          <cell r="G8058">
            <v>187</v>
          </cell>
          <cell r="H8058" t="str">
            <v>HPER-E187</v>
          </cell>
          <cell r="K8058" t="str">
            <v>Bulman,Jeremy Thomas</v>
          </cell>
          <cell r="N8058" t="str">
            <v>NR</v>
          </cell>
          <cell r="O8058" t="str">
            <v>NR</v>
          </cell>
        </row>
        <row r="8059">
          <cell r="E8059" t="str">
            <v>HPER</v>
          </cell>
          <cell r="F8059" t="str">
            <v>HPER-E</v>
          </cell>
          <cell r="G8059">
            <v>187</v>
          </cell>
          <cell r="H8059" t="str">
            <v>HPER-E187</v>
          </cell>
          <cell r="K8059" t="str">
            <v>Grand,Kirk Francis</v>
          </cell>
          <cell r="N8059" t="str">
            <v>NR</v>
          </cell>
          <cell r="O8059" t="str">
            <v>NR</v>
          </cell>
        </row>
        <row r="8060">
          <cell r="E8060" t="str">
            <v>HPER</v>
          </cell>
          <cell r="F8060" t="str">
            <v>HPER-E</v>
          </cell>
          <cell r="G8060">
            <v>187</v>
          </cell>
          <cell r="H8060" t="str">
            <v>HPER-E187</v>
          </cell>
          <cell r="K8060" t="str">
            <v>Grand,Kirk Francis</v>
          </cell>
          <cell r="N8060" t="str">
            <v>NR</v>
          </cell>
          <cell r="O8060" t="str">
            <v>NR</v>
          </cell>
        </row>
        <row r="8061">
          <cell r="E8061" t="str">
            <v>HPER</v>
          </cell>
          <cell r="F8061" t="str">
            <v>HPER-E</v>
          </cell>
          <cell r="G8061">
            <v>187</v>
          </cell>
          <cell r="H8061" t="str">
            <v>HPER-E187</v>
          </cell>
          <cell r="K8061" t="str">
            <v>Grand,Kirk Francis</v>
          </cell>
          <cell r="N8061" t="str">
            <v>NR</v>
          </cell>
          <cell r="O8061" t="str">
            <v>NR</v>
          </cell>
        </row>
        <row r="8062">
          <cell r="E8062" t="str">
            <v>HPER</v>
          </cell>
          <cell r="F8062" t="str">
            <v>HPER-E</v>
          </cell>
          <cell r="G8062">
            <v>187</v>
          </cell>
          <cell r="H8062" t="str">
            <v>HPER-E187</v>
          </cell>
          <cell r="K8062" t="str">
            <v>Grand,Kirk Francis</v>
          </cell>
          <cell r="N8062" t="str">
            <v>NR</v>
          </cell>
          <cell r="O8062" t="str">
            <v>NR</v>
          </cell>
        </row>
        <row r="8063">
          <cell r="E8063" t="str">
            <v>HPER</v>
          </cell>
          <cell r="F8063" t="str">
            <v>HPER-E</v>
          </cell>
          <cell r="G8063">
            <v>187</v>
          </cell>
          <cell r="H8063" t="str">
            <v>HPER-E187</v>
          </cell>
          <cell r="K8063" t="str">
            <v>Grand,Kirk Francis</v>
          </cell>
          <cell r="N8063" t="str">
            <v>NR</v>
          </cell>
          <cell r="O8063" t="str">
            <v>NR</v>
          </cell>
        </row>
        <row r="8064">
          <cell r="E8064" t="str">
            <v>HPER</v>
          </cell>
          <cell r="F8064" t="str">
            <v>HPER-E</v>
          </cell>
          <cell r="G8064">
            <v>187</v>
          </cell>
          <cell r="H8064" t="str">
            <v>HPER-E187</v>
          </cell>
          <cell r="K8064" t="str">
            <v>Hendricks,Briana Lynne</v>
          </cell>
          <cell r="N8064" t="str">
            <v>NR</v>
          </cell>
          <cell r="O8064" t="str">
            <v>NR</v>
          </cell>
        </row>
        <row r="8065">
          <cell r="E8065" t="str">
            <v>HPER</v>
          </cell>
          <cell r="F8065" t="str">
            <v>HPER-E</v>
          </cell>
          <cell r="G8065">
            <v>187</v>
          </cell>
          <cell r="H8065" t="str">
            <v>HPER-E187</v>
          </cell>
          <cell r="K8065" t="str">
            <v>Jerden,Alex Darwin</v>
          </cell>
          <cell r="N8065" t="str">
            <v>NR</v>
          </cell>
          <cell r="O8065" t="str">
            <v>NR</v>
          </cell>
        </row>
        <row r="8066">
          <cell r="E8066" t="str">
            <v>HPER</v>
          </cell>
          <cell r="F8066" t="str">
            <v>HPER-E</v>
          </cell>
          <cell r="G8066">
            <v>187</v>
          </cell>
          <cell r="H8066" t="str">
            <v>HPER-E187</v>
          </cell>
          <cell r="K8066" t="str">
            <v>Rector,Adam James</v>
          </cell>
          <cell r="N8066" t="str">
            <v>NR</v>
          </cell>
          <cell r="O8066" t="str">
            <v>NR</v>
          </cell>
        </row>
        <row r="8067">
          <cell r="E8067" t="str">
            <v>HPER</v>
          </cell>
          <cell r="F8067" t="str">
            <v>HPER-E</v>
          </cell>
          <cell r="G8067">
            <v>187</v>
          </cell>
          <cell r="H8067" t="str">
            <v>HPER-E187</v>
          </cell>
          <cell r="K8067" t="str">
            <v>Swinford,Geoffrey K</v>
          </cell>
          <cell r="N8067" t="str">
            <v>NR</v>
          </cell>
          <cell r="O8067" t="str">
            <v>NR</v>
          </cell>
        </row>
        <row r="8068">
          <cell r="E8068" t="str">
            <v>HPER</v>
          </cell>
          <cell r="F8068" t="str">
            <v>HPER-E</v>
          </cell>
          <cell r="G8068">
            <v>187</v>
          </cell>
          <cell r="H8068" t="str">
            <v>HPER-E187</v>
          </cell>
          <cell r="K8068" t="str">
            <v>Weavil,Joshua Clewell</v>
          </cell>
          <cell r="N8068" t="str">
            <v>NR</v>
          </cell>
          <cell r="O8068" t="str">
            <v>NR</v>
          </cell>
        </row>
        <row r="8069">
          <cell r="E8069" t="str">
            <v>HPER</v>
          </cell>
          <cell r="F8069" t="str">
            <v>HPER-E</v>
          </cell>
          <cell r="G8069">
            <v>190</v>
          </cell>
          <cell r="H8069" t="str">
            <v>HPER-E190</v>
          </cell>
          <cell r="K8069" t="str">
            <v>Barbrick,Donna M</v>
          </cell>
          <cell r="N8069">
            <v>4</v>
          </cell>
          <cell r="O8069">
            <v>3.0310000000000001</v>
          </cell>
        </row>
        <row r="8070">
          <cell r="E8070" t="str">
            <v>HPER</v>
          </cell>
          <cell r="F8070" t="str">
            <v>HPER-E</v>
          </cell>
          <cell r="G8070">
            <v>190</v>
          </cell>
          <cell r="H8070" t="str">
            <v>HPER-E190</v>
          </cell>
          <cell r="K8070" t="str">
            <v>Barbrick,Donna M</v>
          </cell>
          <cell r="N8070">
            <v>4</v>
          </cell>
          <cell r="O8070">
            <v>3.302</v>
          </cell>
        </row>
        <row r="8071">
          <cell r="E8071" t="str">
            <v>HPER</v>
          </cell>
          <cell r="F8071" t="str">
            <v>HPER-E</v>
          </cell>
          <cell r="G8071">
            <v>190</v>
          </cell>
          <cell r="H8071" t="str">
            <v>HPER-E190</v>
          </cell>
          <cell r="K8071" t="str">
            <v>Barbrick,Donna M</v>
          </cell>
          <cell r="N8071">
            <v>4</v>
          </cell>
          <cell r="O8071">
            <v>3.3119999999999998</v>
          </cell>
        </row>
        <row r="8072">
          <cell r="E8072" t="str">
            <v>HPER</v>
          </cell>
          <cell r="F8072" t="str">
            <v>HPER-E</v>
          </cell>
          <cell r="G8072">
            <v>190</v>
          </cell>
          <cell r="H8072" t="str">
            <v>HPER-E190</v>
          </cell>
          <cell r="K8072" t="str">
            <v>Barbrick,Donna M</v>
          </cell>
          <cell r="N8072">
            <v>3.9</v>
          </cell>
          <cell r="O8072">
            <v>3.306</v>
          </cell>
        </row>
        <row r="8073">
          <cell r="E8073" t="str">
            <v>HPER</v>
          </cell>
          <cell r="F8073" t="str">
            <v>HPER-E</v>
          </cell>
          <cell r="G8073">
            <v>190</v>
          </cell>
          <cell r="H8073" t="str">
            <v>HPER-E190</v>
          </cell>
          <cell r="K8073" t="str">
            <v>Cheeseman,Dan Leroy</v>
          </cell>
          <cell r="N8073">
            <v>4</v>
          </cell>
          <cell r="O8073">
            <v>3.4220000000000002</v>
          </cell>
        </row>
        <row r="8074">
          <cell r="E8074" t="str">
            <v>HPER</v>
          </cell>
          <cell r="F8074" t="str">
            <v>HPER-E</v>
          </cell>
          <cell r="G8074">
            <v>190</v>
          </cell>
          <cell r="H8074" t="str">
            <v>HPER-E190</v>
          </cell>
          <cell r="K8074" t="str">
            <v>Cheeseman,Dan Leroy</v>
          </cell>
          <cell r="N8074">
            <v>3.847</v>
          </cell>
          <cell r="O8074">
            <v>3.2269999999999999</v>
          </cell>
        </row>
        <row r="8075">
          <cell r="E8075" t="str">
            <v>HPER</v>
          </cell>
          <cell r="F8075" t="str">
            <v>HPER-E</v>
          </cell>
          <cell r="G8075">
            <v>190</v>
          </cell>
          <cell r="H8075" t="str">
            <v>HPER-E190</v>
          </cell>
          <cell r="K8075" t="str">
            <v>Cheeseman,Dan Leroy</v>
          </cell>
          <cell r="N8075">
            <v>4</v>
          </cell>
          <cell r="O8075">
            <v>3.4249999999999998</v>
          </cell>
        </row>
        <row r="8076">
          <cell r="E8076" t="str">
            <v>HPER</v>
          </cell>
          <cell r="F8076" t="str">
            <v>HPER-E</v>
          </cell>
          <cell r="G8076">
            <v>190</v>
          </cell>
          <cell r="H8076" t="str">
            <v>HPER-E190</v>
          </cell>
          <cell r="K8076" t="str">
            <v>Cheeseman,Dan Leroy</v>
          </cell>
          <cell r="N8076">
            <v>3.871</v>
          </cell>
          <cell r="O8076">
            <v>3.2109999999999999</v>
          </cell>
        </row>
        <row r="8077">
          <cell r="E8077" t="str">
            <v>HPER</v>
          </cell>
          <cell r="F8077" t="str">
            <v>HPER-E</v>
          </cell>
          <cell r="G8077">
            <v>190</v>
          </cell>
          <cell r="H8077" t="str">
            <v>HPER-E190</v>
          </cell>
          <cell r="K8077" t="str">
            <v>Cheeseman,Dan Leroy</v>
          </cell>
          <cell r="N8077">
            <v>4</v>
          </cell>
          <cell r="O8077">
            <v>3.536</v>
          </cell>
        </row>
        <row r="8078">
          <cell r="E8078" t="str">
            <v>HPER</v>
          </cell>
          <cell r="F8078" t="str">
            <v>HPER-E</v>
          </cell>
          <cell r="G8078">
            <v>190</v>
          </cell>
          <cell r="H8078" t="str">
            <v>HPER-E190</v>
          </cell>
          <cell r="K8078" t="str">
            <v>Cheeseman,Dan Leroy</v>
          </cell>
          <cell r="N8078">
            <v>3.9790000000000001</v>
          </cell>
          <cell r="O8078">
            <v>3.3149999999999999</v>
          </cell>
        </row>
        <row r="8079">
          <cell r="E8079" t="str">
            <v>HPER</v>
          </cell>
          <cell r="F8079" t="str">
            <v>HPER-E</v>
          </cell>
          <cell r="G8079">
            <v>190</v>
          </cell>
          <cell r="H8079" t="str">
            <v>HPER-E190</v>
          </cell>
          <cell r="K8079" t="str">
            <v>Cheeseman,Dan Leroy</v>
          </cell>
          <cell r="N8079">
            <v>3.9390000000000001</v>
          </cell>
          <cell r="O8079">
            <v>3.25</v>
          </cell>
        </row>
        <row r="8080">
          <cell r="E8080" t="str">
            <v>HPER</v>
          </cell>
          <cell r="F8080" t="str">
            <v>HPER-E</v>
          </cell>
          <cell r="G8080">
            <v>190</v>
          </cell>
          <cell r="H8080" t="str">
            <v>HPER-E190</v>
          </cell>
          <cell r="K8080" t="str">
            <v>Cheeseman,Dan Leroy</v>
          </cell>
          <cell r="N8080">
            <v>4</v>
          </cell>
          <cell r="O8080">
            <v>3.4420000000000002</v>
          </cell>
        </row>
        <row r="8081">
          <cell r="E8081" t="str">
            <v>HPER</v>
          </cell>
          <cell r="F8081" t="str">
            <v>HPER-E</v>
          </cell>
          <cell r="G8081">
            <v>190</v>
          </cell>
          <cell r="H8081" t="str">
            <v>HPER-E190</v>
          </cell>
          <cell r="K8081" t="str">
            <v>McGuire,Devin P</v>
          </cell>
          <cell r="N8081">
            <v>3.8479999999999999</v>
          </cell>
          <cell r="O8081">
            <v>3.335</v>
          </cell>
        </row>
        <row r="8082">
          <cell r="E8082" t="str">
            <v>HPER</v>
          </cell>
          <cell r="F8082" t="str">
            <v>HPER-E</v>
          </cell>
          <cell r="G8082">
            <v>190</v>
          </cell>
          <cell r="H8082" t="str">
            <v>HPER-E190</v>
          </cell>
          <cell r="K8082" t="str">
            <v>McGuire,Devin P</v>
          </cell>
          <cell r="N8082">
            <v>3.8130000000000002</v>
          </cell>
          <cell r="O8082">
            <v>3.1850000000000001</v>
          </cell>
        </row>
        <row r="8083">
          <cell r="E8083" t="str">
            <v>HPER</v>
          </cell>
          <cell r="F8083" t="str">
            <v>HPER-E</v>
          </cell>
          <cell r="G8083">
            <v>190</v>
          </cell>
          <cell r="H8083" t="str">
            <v>HPER-E190</v>
          </cell>
          <cell r="K8083" t="str">
            <v>Munson,Deborah Kay</v>
          </cell>
          <cell r="N8083">
            <v>3.8570000000000002</v>
          </cell>
          <cell r="O8083">
            <v>3.1219999999999999</v>
          </cell>
        </row>
        <row r="8084">
          <cell r="E8084" t="str">
            <v>HPER</v>
          </cell>
          <cell r="F8084" t="str">
            <v>HPER-E</v>
          </cell>
          <cell r="G8084">
            <v>190</v>
          </cell>
          <cell r="H8084" t="str">
            <v>HPER-E190</v>
          </cell>
          <cell r="K8084" t="str">
            <v>Munson,Deborah Kay</v>
          </cell>
          <cell r="N8084">
            <v>3.9180000000000001</v>
          </cell>
          <cell r="O8084">
            <v>3.2770000000000001</v>
          </cell>
        </row>
        <row r="8085">
          <cell r="E8085" t="str">
            <v>HPER</v>
          </cell>
          <cell r="F8085" t="str">
            <v>HPER-E</v>
          </cell>
          <cell r="G8085">
            <v>190</v>
          </cell>
          <cell r="H8085" t="str">
            <v>HPER-E190</v>
          </cell>
          <cell r="K8085" t="str">
            <v>Taylor,Shelley Lynne</v>
          </cell>
          <cell r="N8085">
            <v>4</v>
          </cell>
          <cell r="O8085">
            <v>3.3570000000000002</v>
          </cell>
        </row>
        <row r="8086">
          <cell r="E8086" t="str">
            <v>HPER</v>
          </cell>
          <cell r="F8086" t="str">
            <v>HPER-E</v>
          </cell>
          <cell r="G8086">
            <v>190</v>
          </cell>
          <cell r="H8086" t="str">
            <v>HPER-E190</v>
          </cell>
          <cell r="K8086" t="str">
            <v>Taylor,Shelley Lynne</v>
          </cell>
          <cell r="N8086">
            <v>3.9369999999999998</v>
          </cell>
          <cell r="O8086">
            <v>3.5110000000000001</v>
          </cell>
        </row>
        <row r="8087">
          <cell r="E8087" t="str">
            <v>HPER</v>
          </cell>
          <cell r="F8087" t="str">
            <v>HPER-E</v>
          </cell>
          <cell r="G8087">
            <v>190</v>
          </cell>
          <cell r="H8087" t="str">
            <v>HPER-E190</v>
          </cell>
          <cell r="K8087" t="str">
            <v>Taylor,Shelley Lynne</v>
          </cell>
          <cell r="N8087">
            <v>4</v>
          </cell>
          <cell r="O8087">
            <v>3.3940000000000001</v>
          </cell>
        </row>
        <row r="8088">
          <cell r="E8088" t="str">
            <v>HPER</v>
          </cell>
          <cell r="F8088" t="str">
            <v>HPER-E</v>
          </cell>
          <cell r="G8088">
            <v>190</v>
          </cell>
          <cell r="H8088" t="str">
            <v>HPER-E190</v>
          </cell>
          <cell r="K8088" t="str">
            <v>Taylor,Shelley Lynne</v>
          </cell>
          <cell r="N8088">
            <v>4</v>
          </cell>
          <cell r="O8088">
            <v>3.4020000000000001</v>
          </cell>
        </row>
        <row r="8089">
          <cell r="E8089" t="str">
            <v>HPER</v>
          </cell>
          <cell r="F8089" t="str">
            <v>HPER-E</v>
          </cell>
          <cell r="G8089">
            <v>190</v>
          </cell>
          <cell r="H8089" t="str">
            <v>HPER-E190</v>
          </cell>
          <cell r="K8089" t="str">
            <v>Taylor,Shelley Lynne</v>
          </cell>
          <cell r="N8089">
            <v>4</v>
          </cell>
          <cell r="O8089">
            <v>3.347</v>
          </cell>
        </row>
        <row r="8090">
          <cell r="E8090" t="str">
            <v>HPER</v>
          </cell>
          <cell r="F8090" t="str">
            <v>HPER-E</v>
          </cell>
          <cell r="G8090">
            <v>190</v>
          </cell>
          <cell r="H8090" t="str">
            <v>HPER-E190</v>
          </cell>
          <cell r="K8090" t="str">
            <v>Taylor,Shelley Lynne</v>
          </cell>
          <cell r="N8090">
            <v>4</v>
          </cell>
          <cell r="O8090">
            <v>3.16</v>
          </cell>
        </row>
        <row r="8091">
          <cell r="E8091" t="str">
            <v>HPER</v>
          </cell>
          <cell r="F8091" t="str">
            <v>HPER-E</v>
          </cell>
          <cell r="G8091">
            <v>190</v>
          </cell>
          <cell r="H8091" t="str">
            <v>HPER-E190</v>
          </cell>
          <cell r="K8091" t="str">
            <v>Taylor,Shelley Lynne</v>
          </cell>
          <cell r="N8091">
            <v>4</v>
          </cell>
          <cell r="O8091">
            <v>3.2709999999999999</v>
          </cell>
        </row>
        <row r="8092">
          <cell r="E8092" t="str">
            <v>HPER</v>
          </cell>
          <cell r="F8092" t="str">
            <v>HPER-E</v>
          </cell>
          <cell r="G8092">
            <v>190</v>
          </cell>
          <cell r="H8092" t="str">
            <v>HPER-E190</v>
          </cell>
          <cell r="K8092" t="str">
            <v>Watson,Jacqueline Francis</v>
          </cell>
          <cell r="N8092">
            <v>4</v>
          </cell>
          <cell r="O8092">
            <v>3.121</v>
          </cell>
        </row>
        <row r="8093">
          <cell r="E8093" t="str">
            <v>HPER</v>
          </cell>
          <cell r="F8093" t="str">
            <v>HPER-E</v>
          </cell>
          <cell r="G8093">
            <v>197</v>
          </cell>
          <cell r="H8093" t="str">
            <v>HPER-E197</v>
          </cell>
          <cell r="K8093" t="str">
            <v>Fulton,Timothy Alan</v>
          </cell>
          <cell r="N8093" t="str">
            <v>NR</v>
          </cell>
          <cell r="O8093" t="str">
            <v>NR</v>
          </cell>
        </row>
        <row r="8094">
          <cell r="E8094" t="str">
            <v>HPER</v>
          </cell>
          <cell r="F8094" t="str">
            <v>HPER-E</v>
          </cell>
          <cell r="G8094">
            <v>197</v>
          </cell>
          <cell r="H8094" t="str">
            <v>HPER-E197</v>
          </cell>
          <cell r="K8094" t="str">
            <v>Fulton,Timothy Alan</v>
          </cell>
          <cell r="N8094" t="str">
            <v>NR</v>
          </cell>
          <cell r="O8094" t="str">
            <v>NR</v>
          </cell>
        </row>
        <row r="8095">
          <cell r="E8095" t="str">
            <v>HPER</v>
          </cell>
          <cell r="F8095" t="str">
            <v>HPER-E</v>
          </cell>
          <cell r="G8095">
            <v>197</v>
          </cell>
          <cell r="H8095" t="str">
            <v>HPER-E197</v>
          </cell>
          <cell r="K8095" t="str">
            <v>Fulton,Timothy Alan</v>
          </cell>
          <cell r="N8095" t="str">
            <v>NR</v>
          </cell>
          <cell r="O8095" t="str">
            <v>NR</v>
          </cell>
        </row>
        <row r="8096">
          <cell r="E8096" t="str">
            <v>HPER</v>
          </cell>
          <cell r="F8096" t="str">
            <v>HPER-E</v>
          </cell>
          <cell r="G8096">
            <v>197</v>
          </cell>
          <cell r="H8096" t="str">
            <v>HPER-E197</v>
          </cell>
          <cell r="K8096" t="str">
            <v>Fulton,Timothy Alan</v>
          </cell>
          <cell r="N8096" t="str">
            <v>NR</v>
          </cell>
          <cell r="O8096" t="str">
            <v>NR</v>
          </cell>
        </row>
        <row r="8097">
          <cell r="E8097" t="str">
            <v>HPER</v>
          </cell>
          <cell r="F8097" t="str">
            <v>HPER-E</v>
          </cell>
          <cell r="G8097">
            <v>197</v>
          </cell>
          <cell r="H8097" t="str">
            <v>HPER-E197</v>
          </cell>
          <cell r="K8097" t="str">
            <v>Fulton,Timothy Alan</v>
          </cell>
          <cell r="N8097" t="str">
            <v>NR</v>
          </cell>
          <cell r="O8097" t="str">
            <v>NR</v>
          </cell>
        </row>
        <row r="8098">
          <cell r="E8098" t="str">
            <v>HPER</v>
          </cell>
          <cell r="F8098" t="str">
            <v>HPER-E</v>
          </cell>
          <cell r="G8098">
            <v>197</v>
          </cell>
          <cell r="H8098" t="str">
            <v>HPER-E197</v>
          </cell>
          <cell r="K8098" t="str">
            <v>Fulton,Timothy Alan</v>
          </cell>
          <cell r="N8098" t="str">
            <v>NR</v>
          </cell>
          <cell r="O8098" t="str">
            <v>NR</v>
          </cell>
        </row>
        <row r="8099">
          <cell r="E8099" t="str">
            <v>HPER</v>
          </cell>
          <cell r="F8099" t="str">
            <v>HPER-E</v>
          </cell>
          <cell r="G8099">
            <v>197</v>
          </cell>
          <cell r="H8099" t="str">
            <v>HPER-E197</v>
          </cell>
          <cell r="K8099" t="str">
            <v>Fulton,Timothy Alan</v>
          </cell>
          <cell r="N8099" t="str">
            <v>NR</v>
          </cell>
          <cell r="O8099" t="str">
            <v>NR</v>
          </cell>
        </row>
        <row r="8100">
          <cell r="E8100" t="str">
            <v>HPER</v>
          </cell>
          <cell r="F8100" t="str">
            <v>HPER-E</v>
          </cell>
          <cell r="G8100">
            <v>197</v>
          </cell>
          <cell r="H8100" t="str">
            <v>HPER-E197</v>
          </cell>
          <cell r="K8100" t="str">
            <v>Fulton,Timothy Alan</v>
          </cell>
          <cell r="N8100" t="str">
            <v>NR</v>
          </cell>
          <cell r="O8100" t="str">
            <v>NR</v>
          </cell>
        </row>
        <row r="8101">
          <cell r="E8101" t="str">
            <v>HPER</v>
          </cell>
          <cell r="F8101" t="str">
            <v>HPER-E</v>
          </cell>
          <cell r="G8101">
            <v>209</v>
          </cell>
          <cell r="H8101" t="str">
            <v>HPER-E209</v>
          </cell>
          <cell r="K8101" t="str">
            <v>Coniaris,Mary Kay</v>
          </cell>
          <cell r="N8101">
            <v>3.8380000000000001</v>
          </cell>
          <cell r="O8101">
            <v>3.2210000000000001</v>
          </cell>
        </row>
        <row r="8102">
          <cell r="E8102" t="str">
            <v>HPER</v>
          </cell>
          <cell r="F8102" t="str">
            <v>HPER-E</v>
          </cell>
          <cell r="G8102">
            <v>211</v>
          </cell>
          <cell r="H8102" t="str">
            <v>HPER-E211</v>
          </cell>
          <cell r="K8102" t="str">
            <v>Lee,Ju Young</v>
          </cell>
          <cell r="N8102">
            <v>3.8889999999999998</v>
          </cell>
          <cell r="O8102">
            <v>2.8959999999999999</v>
          </cell>
        </row>
        <row r="8103">
          <cell r="E8103" t="str">
            <v>HPER</v>
          </cell>
          <cell r="F8103" t="str">
            <v>HPER-E</v>
          </cell>
          <cell r="G8103">
            <v>211</v>
          </cell>
          <cell r="H8103" t="str">
            <v>HPER-E211</v>
          </cell>
          <cell r="K8103" t="str">
            <v>Taylor,Bakari David</v>
          </cell>
          <cell r="N8103">
            <v>3.9620000000000002</v>
          </cell>
          <cell r="O8103">
            <v>2.8769999999999998</v>
          </cell>
        </row>
        <row r="8104">
          <cell r="E8104" t="str">
            <v>HPER</v>
          </cell>
          <cell r="F8104" t="str">
            <v>HPER-E</v>
          </cell>
          <cell r="G8104">
            <v>217</v>
          </cell>
          <cell r="H8104" t="str">
            <v>HPER-E217</v>
          </cell>
          <cell r="K8104" t="str">
            <v>Stephan,Ric</v>
          </cell>
          <cell r="N8104">
            <v>3.7</v>
          </cell>
          <cell r="O8104">
            <v>2.9159999999999999</v>
          </cell>
        </row>
        <row r="8105">
          <cell r="E8105" t="str">
            <v>HPER</v>
          </cell>
          <cell r="F8105" t="str">
            <v>HPER-E</v>
          </cell>
          <cell r="G8105">
            <v>220</v>
          </cell>
          <cell r="H8105" t="str">
            <v>HPER-E220</v>
          </cell>
          <cell r="K8105" t="str">
            <v>Wilhite,Daniel Preston</v>
          </cell>
          <cell r="N8105">
            <v>3.85</v>
          </cell>
          <cell r="O8105">
            <v>3.097</v>
          </cell>
        </row>
        <row r="8106">
          <cell r="E8106" t="str">
            <v>HPER</v>
          </cell>
          <cell r="F8106" t="str">
            <v>HPER-E</v>
          </cell>
          <cell r="G8106">
            <v>227</v>
          </cell>
          <cell r="H8106" t="str">
            <v>HPER-E227</v>
          </cell>
          <cell r="K8106" t="str">
            <v>Johnson,Mak A</v>
          </cell>
          <cell r="N8106">
            <v>4</v>
          </cell>
          <cell r="O8106">
            <v>3.016</v>
          </cell>
        </row>
        <row r="8107">
          <cell r="E8107" t="str">
            <v>HPER</v>
          </cell>
          <cell r="F8107" t="str">
            <v>HPER-E</v>
          </cell>
          <cell r="G8107">
            <v>227</v>
          </cell>
          <cell r="H8107" t="str">
            <v>HPER-E227</v>
          </cell>
          <cell r="K8107" t="str">
            <v>Johnson,Mak A</v>
          </cell>
          <cell r="N8107">
            <v>4</v>
          </cell>
          <cell r="O8107">
            <v>2.8940000000000001</v>
          </cell>
        </row>
        <row r="8108">
          <cell r="E8108" t="str">
            <v>HPER</v>
          </cell>
          <cell r="F8108" t="str">
            <v>HPER-E</v>
          </cell>
          <cell r="G8108">
            <v>227</v>
          </cell>
          <cell r="H8108" t="str">
            <v>HPER-E227</v>
          </cell>
          <cell r="K8108" t="str">
            <v>Johnson,Mak A</v>
          </cell>
          <cell r="N8108">
            <v>4</v>
          </cell>
          <cell r="O8108">
            <v>3.169</v>
          </cell>
        </row>
        <row r="8109">
          <cell r="E8109" t="str">
            <v>HPER</v>
          </cell>
          <cell r="F8109" t="str">
            <v>HPER-E</v>
          </cell>
          <cell r="G8109">
            <v>230</v>
          </cell>
          <cell r="H8109" t="str">
            <v>HPER-E230</v>
          </cell>
          <cell r="K8109" t="str">
            <v>Padgett,Charles Matthew</v>
          </cell>
          <cell r="N8109">
            <v>3.8250000000000002</v>
          </cell>
          <cell r="O8109">
            <v>3.1080000000000001</v>
          </cell>
        </row>
        <row r="8110">
          <cell r="E8110" t="str">
            <v>HPER</v>
          </cell>
          <cell r="F8110" t="str">
            <v>HPER-E</v>
          </cell>
          <cell r="G8110">
            <v>232</v>
          </cell>
          <cell r="H8110" t="str">
            <v>HPER-E232</v>
          </cell>
          <cell r="K8110" t="str">
            <v>Stephan,Dustin Nicholas</v>
          </cell>
          <cell r="N8110">
            <v>4</v>
          </cell>
          <cell r="O8110">
            <v>3.2810000000000001</v>
          </cell>
        </row>
        <row r="8111">
          <cell r="E8111" t="str">
            <v>HPER</v>
          </cell>
          <cell r="F8111" t="str">
            <v>HPER-E</v>
          </cell>
          <cell r="G8111">
            <v>240</v>
          </cell>
          <cell r="H8111" t="str">
            <v>HPER-E240</v>
          </cell>
          <cell r="K8111" t="str">
            <v>Lucas,Gregory Earl</v>
          </cell>
          <cell r="N8111">
            <v>2.746</v>
          </cell>
          <cell r="O8111">
            <v>2.7759999999999998</v>
          </cell>
        </row>
        <row r="8112">
          <cell r="E8112" t="str">
            <v>HPER</v>
          </cell>
          <cell r="F8112" t="str">
            <v>HPER-E</v>
          </cell>
          <cell r="G8112">
            <v>240</v>
          </cell>
          <cell r="H8112" t="str">
            <v>HPER-E240</v>
          </cell>
          <cell r="K8112" t="str">
            <v>Lucas,Gregory Earl</v>
          </cell>
          <cell r="N8112">
            <v>3.7480000000000002</v>
          </cell>
          <cell r="O8112">
            <v>3.0659999999999998</v>
          </cell>
        </row>
        <row r="8113">
          <cell r="E8113" t="str">
            <v>HPER</v>
          </cell>
          <cell r="F8113" t="str">
            <v>HPER-E</v>
          </cell>
          <cell r="G8113">
            <v>244</v>
          </cell>
          <cell r="H8113" t="str">
            <v>HPER-E244</v>
          </cell>
          <cell r="K8113" t="str">
            <v>Irvine,Betty J.</v>
          </cell>
          <cell r="N8113">
            <v>4</v>
          </cell>
          <cell r="O8113">
            <v>3.5760000000000001</v>
          </cell>
        </row>
        <row r="8114">
          <cell r="E8114" t="str">
            <v>HPER</v>
          </cell>
          <cell r="F8114" t="str">
            <v>HPER-E</v>
          </cell>
          <cell r="G8114">
            <v>246</v>
          </cell>
          <cell r="H8114" t="str">
            <v>HPER-E246</v>
          </cell>
          <cell r="K8114" t="str">
            <v>Kelly,Patrick Charles</v>
          </cell>
          <cell r="N8114">
            <v>3.7330000000000001</v>
          </cell>
          <cell r="O8114">
            <v>3.069</v>
          </cell>
        </row>
        <row r="8115">
          <cell r="E8115" t="str">
            <v>HPER</v>
          </cell>
          <cell r="F8115" t="str">
            <v>HPER-E</v>
          </cell>
          <cell r="G8115">
            <v>246</v>
          </cell>
          <cell r="H8115" t="str">
            <v>HPER-E246</v>
          </cell>
          <cell r="K8115" t="str">
            <v>Kelly,Patrick Charles</v>
          </cell>
          <cell r="N8115">
            <v>4</v>
          </cell>
          <cell r="O8115">
            <v>3.0510000000000002</v>
          </cell>
        </row>
        <row r="8116">
          <cell r="E8116" t="str">
            <v>HPER</v>
          </cell>
          <cell r="F8116" t="str">
            <v>HPER-E</v>
          </cell>
          <cell r="G8116">
            <v>247</v>
          </cell>
          <cell r="H8116" t="str">
            <v>HPER-E247</v>
          </cell>
          <cell r="K8116" t="str">
            <v>Miller,Todd Andrew</v>
          </cell>
          <cell r="N8116">
            <v>3.7879999999999998</v>
          </cell>
          <cell r="O8116">
            <v>3.246</v>
          </cell>
        </row>
        <row r="8117">
          <cell r="E8117" t="str">
            <v>HPER</v>
          </cell>
          <cell r="F8117" t="str">
            <v>HPER-E</v>
          </cell>
          <cell r="G8117">
            <v>247</v>
          </cell>
          <cell r="H8117" t="str">
            <v>HPER-E247</v>
          </cell>
          <cell r="K8117" t="str">
            <v>Pike,Brian James</v>
          </cell>
          <cell r="N8117">
            <v>3.6669999999999998</v>
          </cell>
          <cell r="O8117">
            <v>3.1619999999999999</v>
          </cell>
        </row>
        <row r="8118">
          <cell r="E8118" t="str">
            <v>HPER</v>
          </cell>
          <cell r="F8118" t="str">
            <v>HPER-E</v>
          </cell>
          <cell r="G8118">
            <v>247</v>
          </cell>
          <cell r="H8118" t="str">
            <v>HPER-E247</v>
          </cell>
          <cell r="K8118" t="str">
            <v>Rau,Christian Shanon</v>
          </cell>
          <cell r="N8118">
            <v>4</v>
          </cell>
          <cell r="O8118">
            <v>2.7669999999999999</v>
          </cell>
        </row>
        <row r="8119">
          <cell r="E8119" t="str">
            <v>HPER</v>
          </cell>
          <cell r="F8119" t="str">
            <v>HPER-E</v>
          </cell>
          <cell r="G8119">
            <v>247</v>
          </cell>
          <cell r="H8119" t="str">
            <v>HPER-E247</v>
          </cell>
          <cell r="K8119" t="str">
            <v>Sieg,Brandon Lee</v>
          </cell>
          <cell r="N8119">
            <v>3.7330000000000001</v>
          </cell>
          <cell r="O8119">
            <v>3.1709999999999998</v>
          </cell>
        </row>
        <row r="8120">
          <cell r="E8120" t="str">
            <v>HPER</v>
          </cell>
          <cell r="F8120" t="str">
            <v>HPER-E</v>
          </cell>
          <cell r="G8120">
            <v>248</v>
          </cell>
          <cell r="H8120" t="str">
            <v>HPER-E248</v>
          </cell>
          <cell r="K8120" t="str">
            <v>Gonin,Madeleine</v>
          </cell>
          <cell r="N8120">
            <v>4</v>
          </cell>
          <cell r="O8120">
            <v>2.9209999999999998</v>
          </cell>
        </row>
        <row r="8121">
          <cell r="E8121" t="str">
            <v>HPER</v>
          </cell>
          <cell r="F8121" t="str">
            <v>HPER-E</v>
          </cell>
          <cell r="G8121">
            <v>249</v>
          </cell>
          <cell r="H8121" t="str">
            <v>HPER-E249</v>
          </cell>
          <cell r="K8121" t="str">
            <v>Sexton,Cody R</v>
          </cell>
          <cell r="N8121">
            <v>4</v>
          </cell>
          <cell r="O8121">
            <v>3.3759999999999999</v>
          </cell>
        </row>
        <row r="8122">
          <cell r="E8122" t="str">
            <v>HPER</v>
          </cell>
          <cell r="F8122" t="str">
            <v>HPER-E</v>
          </cell>
          <cell r="G8122">
            <v>249</v>
          </cell>
          <cell r="H8122" t="str">
            <v>HPER-E249</v>
          </cell>
          <cell r="K8122" t="str">
            <v>Tolnay,Ryan Grayson</v>
          </cell>
          <cell r="N8122">
            <v>3.9769999999999999</v>
          </cell>
          <cell r="O8122">
            <v>2.9460000000000002</v>
          </cell>
        </row>
        <row r="8123">
          <cell r="E8123" t="str">
            <v>HPER</v>
          </cell>
          <cell r="F8123" t="str">
            <v>HPER-E</v>
          </cell>
          <cell r="G8123">
            <v>250</v>
          </cell>
          <cell r="H8123" t="str">
            <v>HPER-E250</v>
          </cell>
          <cell r="K8123" t="str">
            <v>Galvin,Joseph Chernin</v>
          </cell>
          <cell r="N8123">
            <v>4</v>
          </cell>
          <cell r="O8123">
            <v>3.29</v>
          </cell>
        </row>
        <row r="8124">
          <cell r="E8124" t="str">
            <v>HPER</v>
          </cell>
          <cell r="F8124" t="str">
            <v>HPER-E</v>
          </cell>
          <cell r="G8124">
            <v>250</v>
          </cell>
          <cell r="H8124" t="str">
            <v>HPER-E250</v>
          </cell>
          <cell r="K8124" t="str">
            <v>Lame,Marc Louis</v>
          </cell>
          <cell r="N8124" t="str">
            <v>NR</v>
          </cell>
          <cell r="O8124" t="str">
            <v>NR</v>
          </cell>
        </row>
        <row r="8125">
          <cell r="E8125" t="str">
            <v>HPER</v>
          </cell>
          <cell r="F8125" t="str">
            <v>HPER-E</v>
          </cell>
          <cell r="G8125">
            <v>250</v>
          </cell>
          <cell r="H8125" t="str">
            <v>HPER-E250</v>
          </cell>
          <cell r="K8125" t="str">
            <v>Lame,Marc Louis</v>
          </cell>
          <cell r="N8125" t="str">
            <v>NR</v>
          </cell>
          <cell r="O8125" t="str">
            <v>NR</v>
          </cell>
        </row>
        <row r="8126">
          <cell r="E8126" t="str">
            <v>HPER</v>
          </cell>
          <cell r="F8126" t="str">
            <v>HPER-E</v>
          </cell>
          <cell r="G8126">
            <v>250</v>
          </cell>
          <cell r="H8126" t="str">
            <v>HPER-E250</v>
          </cell>
          <cell r="K8126" t="str">
            <v>Rector,Adam James</v>
          </cell>
          <cell r="N8126" t="str">
            <v>NR</v>
          </cell>
          <cell r="O8126" t="str">
            <v>NR</v>
          </cell>
        </row>
        <row r="8127">
          <cell r="E8127" t="str">
            <v>HPER</v>
          </cell>
          <cell r="F8127" t="str">
            <v>HPER-E</v>
          </cell>
          <cell r="G8127">
            <v>250</v>
          </cell>
          <cell r="H8127" t="str">
            <v>HPER-E250</v>
          </cell>
          <cell r="K8127" t="str">
            <v>Thomas Jr,James F</v>
          </cell>
          <cell r="N8127" t="str">
            <v>NR</v>
          </cell>
          <cell r="O8127" t="str">
            <v>NR</v>
          </cell>
        </row>
        <row r="8128">
          <cell r="E8128" t="str">
            <v>HPER</v>
          </cell>
          <cell r="F8128" t="str">
            <v>HPER-E</v>
          </cell>
          <cell r="G8128">
            <v>254</v>
          </cell>
          <cell r="H8128" t="str">
            <v>HPER-E254</v>
          </cell>
          <cell r="K8128" t="str">
            <v>Foley,Sherilyn Nott</v>
          </cell>
          <cell r="N8128">
            <v>3.9769999999999999</v>
          </cell>
          <cell r="O8128">
            <v>3.379</v>
          </cell>
        </row>
        <row r="8129">
          <cell r="E8129" t="str">
            <v>HPER</v>
          </cell>
          <cell r="F8129" t="str">
            <v>HPER-E</v>
          </cell>
          <cell r="G8129">
            <v>254</v>
          </cell>
          <cell r="H8129" t="str">
            <v>HPER-E254</v>
          </cell>
          <cell r="K8129" t="str">
            <v>Foley,Sherilyn Nott</v>
          </cell>
          <cell r="N8129">
            <v>4</v>
          </cell>
          <cell r="O8129">
            <v>3.4649999999999999</v>
          </cell>
        </row>
        <row r="8130">
          <cell r="E8130" t="str">
            <v>HPER</v>
          </cell>
          <cell r="F8130" t="str">
            <v>HPER-E</v>
          </cell>
          <cell r="G8130">
            <v>255</v>
          </cell>
          <cell r="H8130" t="str">
            <v>HPER-E255</v>
          </cell>
          <cell r="K8130" t="str">
            <v>Adam,Jennifer Anne</v>
          </cell>
          <cell r="N8130">
            <v>4</v>
          </cell>
          <cell r="O8130">
            <v>3.226</v>
          </cell>
        </row>
        <row r="8131">
          <cell r="E8131" t="str">
            <v>HPER</v>
          </cell>
          <cell r="F8131" t="str">
            <v>HPER-E</v>
          </cell>
          <cell r="G8131">
            <v>255</v>
          </cell>
          <cell r="H8131" t="str">
            <v>HPER-E255</v>
          </cell>
          <cell r="K8131" t="str">
            <v>Frederick,Lauren Weber</v>
          </cell>
          <cell r="N8131">
            <v>4</v>
          </cell>
          <cell r="O8131">
            <v>3.5840000000000001</v>
          </cell>
        </row>
        <row r="8132">
          <cell r="E8132" t="str">
            <v>HPER</v>
          </cell>
          <cell r="F8132" t="str">
            <v>HPER-E</v>
          </cell>
          <cell r="G8132">
            <v>256</v>
          </cell>
          <cell r="H8132" t="str">
            <v>HPER-E256</v>
          </cell>
          <cell r="K8132" t="str">
            <v>Foley,Sherilyn Nott</v>
          </cell>
          <cell r="N8132">
            <v>3.9420000000000002</v>
          </cell>
          <cell r="O8132">
            <v>3.2789999999999999</v>
          </cell>
        </row>
        <row r="8133">
          <cell r="E8133" t="str">
            <v>HPER</v>
          </cell>
          <cell r="F8133" t="str">
            <v>HPER-E</v>
          </cell>
          <cell r="G8133">
            <v>256</v>
          </cell>
          <cell r="H8133" t="str">
            <v>HPER-E256</v>
          </cell>
          <cell r="K8133" t="str">
            <v>Foley,Sherilyn Nott</v>
          </cell>
          <cell r="N8133">
            <v>3.919</v>
          </cell>
          <cell r="O8133">
            <v>3.306</v>
          </cell>
        </row>
        <row r="8134">
          <cell r="E8134" t="str">
            <v>HPER</v>
          </cell>
          <cell r="F8134" t="str">
            <v>HPER-E</v>
          </cell>
          <cell r="G8134">
            <v>264</v>
          </cell>
          <cell r="H8134" t="str">
            <v>HPER-E264</v>
          </cell>
          <cell r="K8134" t="str">
            <v>Kessler,Robert G.</v>
          </cell>
          <cell r="N8134" t="str">
            <v>NR</v>
          </cell>
          <cell r="O8134" t="str">
            <v>NR</v>
          </cell>
        </row>
        <row r="8135">
          <cell r="E8135" t="str">
            <v>HPER</v>
          </cell>
          <cell r="F8135" t="str">
            <v>HPER-E</v>
          </cell>
          <cell r="G8135">
            <v>268</v>
          </cell>
          <cell r="H8135" t="str">
            <v>HPER-E268</v>
          </cell>
          <cell r="K8135" t="str">
            <v>Brammer,Christopher Lee</v>
          </cell>
          <cell r="N8135">
            <v>4</v>
          </cell>
          <cell r="O8135">
            <v>3.391</v>
          </cell>
        </row>
        <row r="8136">
          <cell r="E8136" t="str">
            <v>HPER</v>
          </cell>
          <cell r="F8136" t="str">
            <v>HPER-E</v>
          </cell>
          <cell r="G8136">
            <v>268</v>
          </cell>
          <cell r="H8136" t="str">
            <v>HPER-E268</v>
          </cell>
          <cell r="K8136" t="str">
            <v>Grand,Kirk Francis</v>
          </cell>
          <cell r="N8136">
            <v>3.609</v>
          </cell>
          <cell r="O8136">
            <v>3.25</v>
          </cell>
        </row>
        <row r="8137">
          <cell r="E8137" t="str">
            <v>HPER</v>
          </cell>
          <cell r="F8137" t="str">
            <v>HPER-E</v>
          </cell>
          <cell r="G8137">
            <v>268</v>
          </cell>
          <cell r="H8137" t="str">
            <v>HPER-E268</v>
          </cell>
          <cell r="K8137" t="str">
            <v>Grand,Kirk Francis</v>
          </cell>
          <cell r="N8137">
            <v>4</v>
          </cell>
          <cell r="O8137">
            <v>3.2250000000000001</v>
          </cell>
        </row>
        <row r="8138">
          <cell r="E8138" t="str">
            <v>HPER</v>
          </cell>
          <cell r="F8138" t="str">
            <v>HPER-E</v>
          </cell>
          <cell r="G8138">
            <v>268</v>
          </cell>
          <cell r="H8138" t="str">
            <v>HPER-E268</v>
          </cell>
          <cell r="K8138" t="str">
            <v>Ishimatsu,Masataka</v>
          </cell>
          <cell r="N8138">
            <v>4</v>
          </cell>
          <cell r="O8138">
            <v>3.1579999999999999</v>
          </cell>
        </row>
        <row r="8139">
          <cell r="E8139" t="str">
            <v>HPER</v>
          </cell>
          <cell r="F8139" t="str">
            <v>HPER-E</v>
          </cell>
          <cell r="G8139">
            <v>268</v>
          </cell>
          <cell r="H8139" t="str">
            <v>HPER-E268</v>
          </cell>
          <cell r="K8139" t="str">
            <v>Shei,Ren-Jay</v>
          </cell>
          <cell r="N8139">
            <v>3.6190000000000002</v>
          </cell>
          <cell r="O8139">
            <v>2.9929999999999999</v>
          </cell>
        </row>
        <row r="8140">
          <cell r="E8140" t="str">
            <v>HPER</v>
          </cell>
          <cell r="F8140" t="str">
            <v>HPER-E</v>
          </cell>
          <cell r="G8140">
            <v>268</v>
          </cell>
          <cell r="H8140" t="str">
            <v>HPER-E268</v>
          </cell>
          <cell r="K8140" t="str">
            <v>Shei,Ren-Jay</v>
          </cell>
          <cell r="N8140">
            <v>3.984</v>
          </cell>
          <cell r="O8140">
            <v>3.016</v>
          </cell>
        </row>
        <row r="8141">
          <cell r="E8141" t="str">
            <v>HPER</v>
          </cell>
          <cell r="F8141" t="str">
            <v>HPER-E</v>
          </cell>
          <cell r="G8141">
            <v>268</v>
          </cell>
          <cell r="H8141" t="str">
            <v>HPER-E268</v>
          </cell>
          <cell r="K8141" t="str">
            <v>Wan,Hsuan-Yu</v>
          </cell>
          <cell r="N8141">
            <v>4</v>
          </cell>
          <cell r="O8141">
            <v>3.1440000000000001</v>
          </cell>
        </row>
        <row r="8142">
          <cell r="E8142" t="str">
            <v>HPER</v>
          </cell>
          <cell r="F8142" t="str">
            <v>HPER-E</v>
          </cell>
          <cell r="G8142">
            <v>270</v>
          </cell>
          <cell r="H8142" t="str">
            <v>HPER-E270</v>
          </cell>
          <cell r="K8142" t="str">
            <v>Beeker,Charles Dean</v>
          </cell>
          <cell r="N8142">
            <v>3.2440000000000002</v>
          </cell>
          <cell r="O8142">
            <v>3.032</v>
          </cell>
        </row>
        <row r="8143">
          <cell r="E8143" t="str">
            <v>HPER</v>
          </cell>
          <cell r="F8143" t="str">
            <v>HPER-E</v>
          </cell>
          <cell r="G8143">
            <v>270</v>
          </cell>
          <cell r="H8143" t="str">
            <v>HPER-E270</v>
          </cell>
          <cell r="K8143" t="str">
            <v>Beeker,Charles Dean</v>
          </cell>
          <cell r="N8143">
            <v>3.5</v>
          </cell>
          <cell r="O8143">
            <v>3.2570000000000001</v>
          </cell>
        </row>
        <row r="8144">
          <cell r="E8144" t="str">
            <v>HPER</v>
          </cell>
          <cell r="F8144" t="str">
            <v>HPER-E</v>
          </cell>
          <cell r="G8144">
            <v>270</v>
          </cell>
          <cell r="H8144" t="str">
            <v>HPER-E270</v>
          </cell>
          <cell r="K8144" t="str">
            <v>Beeker,Charles Dean</v>
          </cell>
          <cell r="N8144">
            <v>3.6</v>
          </cell>
          <cell r="O8144">
            <v>3.1640000000000001</v>
          </cell>
        </row>
        <row r="8145">
          <cell r="E8145" t="str">
            <v>HPER</v>
          </cell>
          <cell r="F8145" t="str">
            <v>HPER-E</v>
          </cell>
          <cell r="G8145">
            <v>270</v>
          </cell>
          <cell r="H8145" t="str">
            <v>HPER-E270</v>
          </cell>
          <cell r="K8145" t="str">
            <v>Beeker,Charles Dean</v>
          </cell>
          <cell r="N8145">
            <v>3.5609999999999999</v>
          </cell>
          <cell r="O8145">
            <v>3.0870000000000002</v>
          </cell>
        </row>
        <row r="8146">
          <cell r="E8146" t="str">
            <v>HPER</v>
          </cell>
          <cell r="F8146" t="str">
            <v>HPER-E</v>
          </cell>
          <cell r="G8146">
            <v>272</v>
          </cell>
          <cell r="H8146" t="str">
            <v>HPER-E272</v>
          </cell>
          <cell r="K8146" t="str">
            <v>Beeker,Charles Dean</v>
          </cell>
          <cell r="N8146">
            <v>3.4289999999999998</v>
          </cell>
          <cell r="O8146">
            <v>3.18</v>
          </cell>
        </row>
        <row r="8147">
          <cell r="E8147" t="str">
            <v>HPER</v>
          </cell>
          <cell r="F8147" t="str">
            <v>HPER-E</v>
          </cell>
          <cell r="G8147">
            <v>272</v>
          </cell>
          <cell r="H8147" t="str">
            <v>HPER-E272</v>
          </cell>
          <cell r="K8147" t="str">
            <v>Wiegand,Nicole Renee</v>
          </cell>
          <cell r="N8147">
            <v>3.98</v>
          </cell>
          <cell r="O8147">
            <v>3.1859999999999999</v>
          </cell>
        </row>
        <row r="8148">
          <cell r="E8148" t="str">
            <v>HPER</v>
          </cell>
          <cell r="F8148" t="str">
            <v>HPER-E</v>
          </cell>
          <cell r="G8148">
            <v>272</v>
          </cell>
          <cell r="H8148" t="str">
            <v>HPER-E272</v>
          </cell>
          <cell r="K8148" t="str">
            <v>Wiegand,Nicole Renee</v>
          </cell>
          <cell r="N8148" t="str">
            <v>NR</v>
          </cell>
          <cell r="O8148" t="str">
            <v>NR</v>
          </cell>
        </row>
        <row r="8149">
          <cell r="E8149" t="str">
            <v>HPER</v>
          </cell>
          <cell r="F8149" t="str">
            <v>HPER-E</v>
          </cell>
          <cell r="G8149">
            <v>275</v>
          </cell>
          <cell r="H8149" t="str">
            <v>HPER-E275</v>
          </cell>
          <cell r="K8149" t="str">
            <v>Jerden,Alex Darwin</v>
          </cell>
          <cell r="N8149">
            <v>3.923</v>
          </cell>
          <cell r="O8149">
            <v>3.2189999999999999</v>
          </cell>
        </row>
        <row r="8150">
          <cell r="E8150" t="str">
            <v>HPER</v>
          </cell>
          <cell r="F8150" t="str">
            <v>HPER-E</v>
          </cell>
          <cell r="G8150">
            <v>275</v>
          </cell>
          <cell r="H8150" t="str">
            <v>HPER-E275</v>
          </cell>
          <cell r="K8150" t="str">
            <v>Naganobori,Hiroki</v>
          </cell>
          <cell r="N8150">
            <v>4</v>
          </cell>
          <cell r="O8150">
            <v>2.782</v>
          </cell>
        </row>
        <row r="8151">
          <cell r="E8151" t="str">
            <v>HPER</v>
          </cell>
          <cell r="F8151" t="str">
            <v>HPER-E</v>
          </cell>
          <cell r="G8151">
            <v>275</v>
          </cell>
          <cell r="H8151" t="str">
            <v>HPER-E275</v>
          </cell>
          <cell r="K8151" t="str">
            <v>Naganobori,Hiroki</v>
          </cell>
          <cell r="N8151">
            <v>4</v>
          </cell>
          <cell r="O8151">
            <v>3.0179999999999998</v>
          </cell>
        </row>
        <row r="8152">
          <cell r="E8152" t="str">
            <v>HPER</v>
          </cell>
          <cell r="F8152" t="str">
            <v>HPER-E</v>
          </cell>
          <cell r="G8152">
            <v>275</v>
          </cell>
          <cell r="H8152" t="str">
            <v>HPER-E275</v>
          </cell>
          <cell r="K8152" t="str">
            <v>Naganobori,Hiroki</v>
          </cell>
          <cell r="N8152">
            <v>4</v>
          </cell>
          <cell r="O8152">
            <v>3.1560000000000001</v>
          </cell>
        </row>
        <row r="8153">
          <cell r="E8153" t="str">
            <v>HPER</v>
          </cell>
          <cell r="F8153" t="str">
            <v>HPER-E</v>
          </cell>
          <cell r="G8153">
            <v>281</v>
          </cell>
          <cell r="H8153" t="str">
            <v>HPER-E281</v>
          </cell>
          <cell r="K8153" t="str">
            <v>O Connell,Michael F</v>
          </cell>
          <cell r="N8153">
            <v>3.9169999999999998</v>
          </cell>
          <cell r="O8153">
            <v>3.0910000000000002</v>
          </cell>
        </row>
        <row r="8154">
          <cell r="E8154" t="str">
            <v>HPER</v>
          </cell>
          <cell r="F8154" t="str">
            <v>HPER-E</v>
          </cell>
          <cell r="G8154">
            <v>281</v>
          </cell>
          <cell r="H8154" t="str">
            <v>HPER-E281</v>
          </cell>
          <cell r="K8154" t="str">
            <v>O Connell,Michael F</v>
          </cell>
          <cell r="N8154">
            <v>3.97</v>
          </cell>
          <cell r="O8154">
            <v>2.81</v>
          </cell>
        </row>
        <row r="8155">
          <cell r="E8155" t="str">
            <v>HPER</v>
          </cell>
          <cell r="F8155" t="str">
            <v>HPER-E</v>
          </cell>
          <cell r="G8155">
            <v>281</v>
          </cell>
          <cell r="H8155" t="str">
            <v>HPER-E281</v>
          </cell>
          <cell r="K8155" t="str">
            <v>O Connell,Michael F</v>
          </cell>
          <cell r="N8155">
            <v>4</v>
          </cell>
          <cell r="O8155">
            <v>2.95</v>
          </cell>
        </row>
        <row r="8156">
          <cell r="E8156" t="str">
            <v>HPER</v>
          </cell>
          <cell r="F8156" t="str">
            <v>HPER-E</v>
          </cell>
          <cell r="G8156">
            <v>281</v>
          </cell>
          <cell r="H8156" t="str">
            <v>HPER-E281</v>
          </cell>
          <cell r="K8156" t="str">
            <v>O Connell,Michael F</v>
          </cell>
          <cell r="N8156">
            <v>3.3620000000000001</v>
          </cell>
          <cell r="O8156">
            <v>2.9849999999999999</v>
          </cell>
        </row>
        <row r="8157">
          <cell r="E8157" t="str">
            <v>HPER</v>
          </cell>
          <cell r="F8157" t="str">
            <v>HPER-E</v>
          </cell>
          <cell r="G8157">
            <v>290</v>
          </cell>
          <cell r="H8157" t="str">
            <v>HPER-E290</v>
          </cell>
          <cell r="K8157" t="str">
            <v>Gleckler,Wendy</v>
          </cell>
          <cell r="N8157">
            <v>4</v>
          </cell>
          <cell r="O8157">
            <v>3.0640000000000001</v>
          </cell>
        </row>
        <row r="8158">
          <cell r="E8158" t="str">
            <v>HPER</v>
          </cell>
          <cell r="F8158" t="str">
            <v>HPER-E</v>
          </cell>
          <cell r="G8158">
            <v>290</v>
          </cell>
          <cell r="H8158" t="str">
            <v>HPER-E290</v>
          </cell>
          <cell r="K8158" t="str">
            <v>Gleckler,Wendy</v>
          </cell>
          <cell r="N8158">
            <v>4</v>
          </cell>
          <cell r="O8158">
            <v>3.0659999999999998</v>
          </cell>
        </row>
        <row r="8159">
          <cell r="E8159" t="str">
            <v>HPER</v>
          </cell>
          <cell r="F8159" t="str">
            <v>HPER-E</v>
          </cell>
          <cell r="G8159">
            <v>290</v>
          </cell>
          <cell r="H8159" t="str">
            <v>HPER-E290</v>
          </cell>
          <cell r="K8159" t="str">
            <v>Gleckler,Wendy</v>
          </cell>
          <cell r="N8159">
            <v>4</v>
          </cell>
          <cell r="O8159">
            <v>3.3490000000000002</v>
          </cell>
        </row>
        <row r="8160">
          <cell r="E8160" t="str">
            <v>HPER</v>
          </cell>
          <cell r="F8160" t="str">
            <v>HPER-E</v>
          </cell>
          <cell r="G8160">
            <v>290</v>
          </cell>
          <cell r="H8160" t="str">
            <v>HPER-E290</v>
          </cell>
          <cell r="K8160" t="str">
            <v>Gleckler,Wendy</v>
          </cell>
          <cell r="N8160">
            <v>3.9569999999999999</v>
          </cell>
          <cell r="O8160">
            <v>3.3959999999999999</v>
          </cell>
        </row>
        <row r="8161">
          <cell r="E8161" t="str">
            <v>HPER</v>
          </cell>
          <cell r="F8161" t="str">
            <v>HPER-E</v>
          </cell>
          <cell r="G8161">
            <v>290</v>
          </cell>
          <cell r="H8161" t="str">
            <v>HPER-E290</v>
          </cell>
          <cell r="K8161" t="str">
            <v>Taylor,Shelley Lynne</v>
          </cell>
          <cell r="N8161">
            <v>4</v>
          </cell>
          <cell r="O8161">
            <v>3.2490000000000001</v>
          </cell>
        </row>
        <row r="8162">
          <cell r="E8162" t="str">
            <v>HPER</v>
          </cell>
          <cell r="F8162" t="str">
            <v>HPER-E</v>
          </cell>
          <cell r="G8162">
            <v>290</v>
          </cell>
          <cell r="H8162" t="str">
            <v>HPER-E290</v>
          </cell>
          <cell r="K8162" t="str">
            <v>Taylor,Shelley Lynne</v>
          </cell>
          <cell r="N8162">
            <v>3.7240000000000002</v>
          </cell>
          <cell r="O8162">
            <v>3.1960000000000002</v>
          </cell>
        </row>
        <row r="8163">
          <cell r="E8163" t="str">
            <v>HPER</v>
          </cell>
          <cell r="F8163" t="str">
            <v>HPER-E</v>
          </cell>
          <cell r="G8163">
            <v>290</v>
          </cell>
          <cell r="H8163" t="str">
            <v>HPER-E290</v>
          </cell>
          <cell r="K8163" t="str">
            <v>Watson,Jacqueline Francis</v>
          </cell>
          <cell r="N8163">
            <v>3.96</v>
          </cell>
          <cell r="O8163">
            <v>2.964</v>
          </cell>
        </row>
        <row r="8164">
          <cell r="E8164" t="str">
            <v>HPER</v>
          </cell>
          <cell r="F8164" t="str">
            <v>HPER-E</v>
          </cell>
          <cell r="G8164">
            <v>340</v>
          </cell>
          <cell r="H8164" t="str">
            <v>HPER-E340</v>
          </cell>
          <cell r="K8164" t="str">
            <v>Lucas,Gregory Earl</v>
          </cell>
          <cell r="N8164">
            <v>4</v>
          </cell>
          <cell r="O8164">
            <v>3.13</v>
          </cell>
        </row>
        <row r="8165">
          <cell r="E8165" t="str">
            <v>HPER</v>
          </cell>
          <cell r="F8165" t="str">
            <v>HPER-E</v>
          </cell>
          <cell r="G8165">
            <v>340</v>
          </cell>
          <cell r="H8165" t="str">
            <v>HPER-E340</v>
          </cell>
          <cell r="K8165" t="str">
            <v>Lucas,Gregory Earl</v>
          </cell>
          <cell r="N8165">
            <v>4</v>
          </cell>
          <cell r="O8165">
            <v>3.0939999999999999</v>
          </cell>
        </row>
        <row r="8166">
          <cell r="E8166" t="str">
            <v>HPER</v>
          </cell>
          <cell r="F8166" t="str">
            <v>HPER-E</v>
          </cell>
          <cell r="G8166">
            <v>347</v>
          </cell>
          <cell r="H8166" t="str">
            <v>HPER-E347</v>
          </cell>
          <cell r="K8166" t="str">
            <v>Welty,Arlo Emory</v>
          </cell>
          <cell r="N8166" t="str">
            <v>NR</v>
          </cell>
          <cell r="O8166" t="str">
            <v>NR</v>
          </cell>
        </row>
        <row r="8167">
          <cell r="E8167" t="str">
            <v>HPER</v>
          </cell>
          <cell r="F8167" t="str">
            <v>HPER-E</v>
          </cell>
          <cell r="G8167">
            <v>347</v>
          </cell>
          <cell r="H8167" t="str">
            <v>HPER-E347</v>
          </cell>
          <cell r="K8167" t="str">
            <v>Welty,Arlo Emory</v>
          </cell>
          <cell r="N8167">
            <v>3.9449999999999998</v>
          </cell>
          <cell r="O8167">
            <v>3.306</v>
          </cell>
        </row>
        <row r="8168">
          <cell r="E8168" t="str">
            <v>HPER</v>
          </cell>
          <cell r="F8168" t="str">
            <v>HPER-E</v>
          </cell>
          <cell r="G8168">
            <v>350</v>
          </cell>
          <cell r="H8168" t="str">
            <v>HPER-E350</v>
          </cell>
          <cell r="K8168" t="str">
            <v>Bruner,John Tyler</v>
          </cell>
          <cell r="N8168" t="str">
            <v>NR</v>
          </cell>
          <cell r="O8168" t="str">
            <v>NR</v>
          </cell>
        </row>
        <row r="8169">
          <cell r="E8169" t="str">
            <v>HPER</v>
          </cell>
          <cell r="F8169" t="str">
            <v>HPER-E</v>
          </cell>
          <cell r="G8169">
            <v>350</v>
          </cell>
          <cell r="H8169" t="str">
            <v>HPER-E350</v>
          </cell>
          <cell r="K8169" t="str">
            <v>Thomas Jr,James F</v>
          </cell>
          <cell r="N8169">
            <v>3.95</v>
          </cell>
          <cell r="O8169">
            <v>2.907</v>
          </cell>
        </row>
        <row r="8170">
          <cell r="E8170" t="str">
            <v>HPER</v>
          </cell>
          <cell r="F8170" t="str">
            <v>HPER-E</v>
          </cell>
          <cell r="G8170">
            <v>354</v>
          </cell>
          <cell r="H8170" t="str">
            <v>HPER-E354</v>
          </cell>
          <cell r="K8170" t="str">
            <v>Foley,Sherilyn Nott</v>
          </cell>
          <cell r="N8170">
            <v>3.9169999999999998</v>
          </cell>
          <cell r="O8170">
            <v>3.351</v>
          </cell>
        </row>
        <row r="8171">
          <cell r="E8171" t="str">
            <v>HPER</v>
          </cell>
          <cell r="F8171" t="str">
            <v>HPER-E</v>
          </cell>
          <cell r="G8171">
            <v>354</v>
          </cell>
          <cell r="H8171" t="str">
            <v>HPER-E354</v>
          </cell>
          <cell r="K8171" t="str">
            <v>Foley,Sherilyn Nott</v>
          </cell>
          <cell r="N8171">
            <v>4</v>
          </cell>
          <cell r="O8171">
            <v>3.484</v>
          </cell>
        </row>
        <row r="8172">
          <cell r="E8172" t="str">
            <v>HPER</v>
          </cell>
          <cell r="F8172" t="str">
            <v>HPER-E</v>
          </cell>
          <cell r="G8172">
            <v>355</v>
          </cell>
          <cell r="H8172" t="str">
            <v>HPER-E355</v>
          </cell>
          <cell r="K8172" t="str">
            <v>Bangs,Kelly McCormick</v>
          </cell>
          <cell r="N8172">
            <v>3.867</v>
          </cell>
          <cell r="O8172">
            <v>3.6139999999999999</v>
          </cell>
        </row>
        <row r="8173">
          <cell r="E8173" t="str">
            <v>HPER</v>
          </cell>
          <cell r="F8173" t="str">
            <v>HPER-E</v>
          </cell>
          <cell r="G8173">
            <v>355</v>
          </cell>
          <cell r="H8173" t="str">
            <v>HPER-E355</v>
          </cell>
          <cell r="K8173" t="str">
            <v>Windell,Susannah Marie</v>
          </cell>
          <cell r="N8173">
            <v>3.95</v>
          </cell>
          <cell r="O8173">
            <v>3.03</v>
          </cell>
        </row>
        <row r="8174">
          <cell r="E8174" t="str">
            <v>HPER</v>
          </cell>
          <cell r="F8174" t="str">
            <v>HPER-E</v>
          </cell>
          <cell r="G8174">
            <v>364</v>
          </cell>
          <cell r="H8174" t="str">
            <v>HPER-E364</v>
          </cell>
          <cell r="K8174" t="str">
            <v>Kessler,Robert G.</v>
          </cell>
          <cell r="N8174" t="str">
            <v>NR</v>
          </cell>
          <cell r="O8174" t="str">
            <v>NR</v>
          </cell>
        </row>
        <row r="8175">
          <cell r="E8175" t="str">
            <v>HPER</v>
          </cell>
          <cell r="F8175" t="str">
            <v>HPER-E</v>
          </cell>
          <cell r="G8175">
            <v>364</v>
          </cell>
          <cell r="H8175" t="str">
            <v>HPER-E364</v>
          </cell>
          <cell r="K8175" t="str">
            <v>Kessler,Robert G.</v>
          </cell>
          <cell r="N8175" t="str">
            <v>NR</v>
          </cell>
          <cell r="O8175" t="str">
            <v>NR</v>
          </cell>
        </row>
        <row r="8176">
          <cell r="E8176" t="str">
            <v>HPER</v>
          </cell>
          <cell r="F8176" t="str">
            <v>HPER-E</v>
          </cell>
          <cell r="G8176">
            <v>370</v>
          </cell>
          <cell r="H8176" t="str">
            <v>HPER-E370</v>
          </cell>
          <cell r="K8176" t="str">
            <v>Beeker,Charles Dean</v>
          </cell>
          <cell r="N8176" t="str">
            <v>NR</v>
          </cell>
          <cell r="O8176" t="str">
            <v>NR</v>
          </cell>
        </row>
        <row r="8177">
          <cell r="E8177" t="str">
            <v>HPER</v>
          </cell>
          <cell r="F8177" t="str">
            <v>HPER-E</v>
          </cell>
          <cell r="G8177">
            <v>370</v>
          </cell>
          <cell r="H8177" t="str">
            <v>HPER-E370</v>
          </cell>
          <cell r="K8177" t="str">
            <v>Wiegand,Nicole Renee</v>
          </cell>
          <cell r="N8177" t="str">
            <v>NR</v>
          </cell>
          <cell r="O8177" t="str">
            <v>NR</v>
          </cell>
        </row>
        <row r="8178">
          <cell r="E8178" t="str">
            <v>HPER</v>
          </cell>
          <cell r="F8178" t="str">
            <v>HPER-E</v>
          </cell>
          <cell r="G8178">
            <v>370</v>
          </cell>
          <cell r="H8178" t="str">
            <v>HPER-E370</v>
          </cell>
          <cell r="K8178" t="str">
            <v>Wiegand,Nicole Renee</v>
          </cell>
          <cell r="N8178" t="str">
            <v>NR</v>
          </cell>
          <cell r="O8178" t="str">
            <v>NR</v>
          </cell>
        </row>
        <row r="8179">
          <cell r="E8179" t="str">
            <v>HPER</v>
          </cell>
          <cell r="F8179" t="str">
            <v>HPER-E</v>
          </cell>
          <cell r="G8179">
            <v>371</v>
          </cell>
          <cell r="H8179" t="str">
            <v>HPER-E371</v>
          </cell>
          <cell r="K8179" t="str">
            <v>Haydu,Mylana Elizabeth</v>
          </cell>
          <cell r="N8179">
            <v>3.72</v>
          </cell>
          <cell r="O8179">
            <v>3.0369999999999999</v>
          </cell>
        </row>
        <row r="8180">
          <cell r="E8180" t="str">
            <v>HPER</v>
          </cell>
          <cell r="F8180" t="str">
            <v>HPER-E</v>
          </cell>
          <cell r="G8180">
            <v>371</v>
          </cell>
          <cell r="H8180" t="str">
            <v>HPER-E371</v>
          </cell>
          <cell r="K8180" t="str">
            <v>Wiegand,Nicole Renee</v>
          </cell>
          <cell r="N8180">
            <v>3.8090000000000002</v>
          </cell>
          <cell r="O8180">
            <v>3.1850000000000001</v>
          </cell>
        </row>
        <row r="8181">
          <cell r="E8181" t="str">
            <v>HPER</v>
          </cell>
          <cell r="F8181" t="str">
            <v>HPER-E</v>
          </cell>
          <cell r="G8181">
            <v>374</v>
          </cell>
          <cell r="H8181" t="str">
            <v>HPER-E374</v>
          </cell>
          <cell r="K8181" t="str">
            <v>Kessler,Robert G.</v>
          </cell>
          <cell r="N8181" t="str">
            <v>NR</v>
          </cell>
          <cell r="O8181" t="str">
            <v>NR</v>
          </cell>
        </row>
        <row r="8182">
          <cell r="E8182" t="str">
            <v>HPER</v>
          </cell>
          <cell r="F8182" t="str">
            <v>HPER-E</v>
          </cell>
          <cell r="G8182">
            <v>445</v>
          </cell>
          <cell r="H8182" t="str">
            <v>HPER-E445</v>
          </cell>
          <cell r="K8182" t="str">
            <v>Kelly,Patrick Charles</v>
          </cell>
          <cell r="N8182" t="str">
            <v>NR</v>
          </cell>
          <cell r="O8182" t="str">
            <v>NR</v>
          </cell>
        </row>
        <row r="8183">
          <cell r="E8183" t="str">
            <v>HPER</v>
          </cell>
          <cell r="F8183" t="str">
            <v>HPER-E</v>
          </cell>
          <cell r="G8183">
            <v>445</v>
          </cell>
          <cell r="H8183" t="str">
            <v>HPER-E445</v>
          </cell>
          <cell r="K8183" t="str">
            <v>Kelly,Patrick Charles</v>
          </cell>
          <cell r="N8183" t="str">
            <v>NR</v>
          </cell>
          <cell r="O8183" t="str">
            <v>NR</v>
          </cell>
        </row>
        <row r="8184">
          <cell r="E8184" t="str">
            <v>HPER</v>
          </cell>
          <cell r="F8184" t="str">
            <v>HPER-E</v>
          </cell>
          <cell r="G8184">
            <v>447</v>
          </cell>
          <cell r="H8184" t="str">
            <v>HPER-E447</v>
          </cell>
          <cell r="K8184" t="str">
            <v>Kelly,Patrick Charles</v>
          </cell>
          <cell r="N8184">
            <v>4</v>
          </cell>
          <cell r="O8184">
            <v>3.0190000000000001</v>
          </cell>
        </row>
        <row r="8185">
          <cell r="E8185" t="str">
            <v>HPER</v>
          </cell>
          <cell r="F8185" t="str">
            <v>HPER-E</v>
          </cell>
          <cell r="G8185">
            <v>447</v>
          </cell>
          <cell r="H8185" t="str">
            <v>HPER-E447</v>
          </cell>
          <cell r="K8185" t="str">
            <v>Welty,Arlo Emory</v>
          </cell>
          <cell r="N8185">
            <v>4</v>
          </cell>
          <cell r="O8185">
            <v>3.3180000000000001</v>
          </cell>
        </row>
        <row r="8186">
          <cell r="E8186" t="str">
            <v>HPER</v>
          </cell>
          <cell r="F8186" t="str">
            <v>HPER-E</v>
          </cell>
          <cell r="G8186">
            <v>450</v>
          </cell>
          <cell r="H8186" t="str">
            <v>HPER-E450</v>
          </cell>
          <cell r="K8186" t="str">
            <v>Thomas Jr,James F</v>
          </cell>
          <cell r="N8186">
            <v>3.125</v>
          </cell>
          <cell r="O8186">
            <v>3.149</v>
          </cell>
        </row>
        <row r="8187">
          <cell r="E8187" t="str">
            <v>HPER</v>
          </cell>
          <cell r="F8187" t="str">
            <v>HPER-E</v>
          </cell>
          <cell r="G8187">
            <v>450</v>
          </cell>
          <cell r="H8187" t="str">
            <v>HPER-E450</v>
          </cell>
          <cell r="K8187" t="str">
            <v>Thomas Jr,James F</v>
          </cell>
          <cell r="N8187">
            <v>4</v>
          </cell>
          <cell r="O8187">
            <v>3.258</v>
          </cell>
        </row>
        <row r="8188">
          <cell r="E8188" t="str">
            <v>HPER</v>
          </cell>
          <cell r="F8188" t="str">
            <v>HPER-E</v>
          </cell>
          <cell r="G8188">
            <v>456</v>
          </cell>
          <cell r="H8188" t="str">
            <v>HPER-E456</v>
          </cell>
          <cell r="K8188" t="str">
            <v>Foley,Sherilyn Nott</v>
          </cell>
          <cell r="N8188">
            <v>3.7949999999999999</v>
          </cell>
          <cell r="O8188">
            <v>3.3050000000000002</v>
          </cell>
        </row>
        <row r="8189">
          <cell r="E8189" t="str">
            <v>HPER</v>
          </cell>
          <cell r="F8189" t="str">
            <v>HPER-E</v>
          </cell>
          <cell r="G8189">
            <v>456</v>
          </cell>
          <cell r="H8189" t="str">
            <v>HPER-E456</v>
          </cell>
          <cell r="K8189" t="str">
            <v>Foley,Sherilyn Nott</v>
          </cell>
          <cell r="N8189">
            <v>3.9169999999999998</v>
          </cell>
          <cell r="O8189">
            <v>3.3</v>
          </cell>
        </row>
        <row r="8190">
          <cell r="E8190" t="str">
            <v>HPER</v>
          </cell>
          <cell r="F8190" t="str">
            <v>HPER-E</v>
          </cell>
          <cell r="G8190">
            <v>457</v>
          </cell>
          <cell r="H8190" t="str">
            <v>HPER-E457</v>
          </cell>
          <cell r="K8190" t="str">
            <v>Foley,Sherilyn Nott</v>
          </cell>
          <cell r="N8190">
            <v>3.9740000000000002</v>
          </cell>
          <cell r="O8190">
            <v>3.145</v>
          </cell>
        </row>
        <row r="8191">
          <cell r="E8191" t="str">
            <v>HPER</v>
          </cell>
          <cell r="F8191" t="str">
            <v>HPER-E</v>
          </cell>
          <cell r="G8191">
            <v>470</v>
          </cell>
          <cell r="H8191" t="str">
            <v>HPER-E470</v>
          </cell>
          <cell r="K8191" t="str">
            <v>Beeker,Charles Dean</v>
          </cell>
          <cell r="N8191">
            <v>3.8</v>
          </cell>
          <cell r="O8191">
            <v>3.1890000000000001</v>
          </cell>
        </row>
        <row r="8192">
          <cell r="E8192" t="str">
            <v>HPER</v>
          </cell>
          <cell r="F8192" t="str">
            <v>HPER-E</v>
          </cell>
          <cell r="G8192">
            <v>471</v>
          </cell>
          <cell r="H8192" t="str">
            <v>HPER-E471</v>
          </cell>
          <cell r="K8192" t="str">
            <v>Beeker,Charles Dean</v>
          </cell>
          <cell r="N8192">
            <v>3.5579999999999998</v>
          </cell>
          <cell r="O8192">
            <v>3.2389999999999999</v>
          </cell>
        </row>
        <row r="8193">
          <cell r="E8193" t="str">
            <v>HPER</v>
          </cell>
          <cell r="F8193" t="str">
            <v>HPER-E</v>
          </cell>
          <cell r="G8193">
            <v>475</v>
          </cell>
          <cell r="H8193" t="str">
            <v>HPER-E475</v>
          </cell>
          <cell r="K8193" t="str">
            <v>Cousins,Lucinda Gant</v>
          </cell>
          <cell r="N8193">
            <v>3.3330000000000002</v>
          </cell>
          <cell r="O8193">
            <v>3.1850000000000001</v>
          </cell>
        </row>
        <row r="8194">
          <cell r="E8194" t="str">
            <v>HPER</v>
          </cell>
          <cell r="F8194" t="str">
            <v>HPER-E</v>
          </cell>
          <cell r="G8194">
            <v>475</v>
          </cell>
          <cell r="H8194" t="str">
            <v>HPER-E475</v>
          </cell>
          <cell r="K8194" t="str">
            <v>Cousins,Lucinda Gant</v>
          </cell>
          <cell r="N8194">
            <v>3.5670000000000002</v>
          </cell>
          <cell r="O8194">
            <v>3.2850000000000001</v>
          </cell>
        </row>
        <row r="8195">
          <cell r="E8195" t="str">
            <v>HPER</v>
          </cell>
          <cell r="F8195" t="str">
            <v>HPER-E</v>
          </cell>
          <cell r="G8195">
            <v>475</v>
          </cell>
          <cell r="H8195" t="str">
            <v>HPER-E475</v>
          </cell>
          <cell r="K8195" t="str">
            <v>Cousins,Lucinda Gant</v>
          </cell>
          <cell r="N8195">
            <v>3.7109999999999999</v>
          </cell>
          <cell r="O8195">
            <v>2.9140000000000001</v>
          </cell>
        </row>
        <row r="8196">
          <cell r="E8196" t="str">
            <v>HPER</v>
          </cell>
          <cell r="F8196" t="str">
            <v>HPER-E</v>
          </cell>
          <cell r="G8196">
            <v>475</v>
          </cell>
          <cell r="H8196" t="str">
            <v>HPER-E475</v>
          </cell>
          <cell r="K8196" t="str">
            <v>Cousins,Lucinda Gant</v>
          </cell>
          <cell r="N8196" t="str">
            <v>NR</v>
          </cell>
          <cell r="O8196" t="str">
            <v>NR</v>
          </cell>
        </row>
        <row r="8197">
          <cell r="E8197" t="str">
            <v>HPER</v>
          </cell>
          <cell r="F8197" t="str">
            <v>HPER-E</v>
          </cell>
          <cell r="G8197">
            <v>477</v>
          </cell>
          <cell r="H8197" t="str">
            <v>HPER-E477</v>
          </cell>
          <cell r="K8197" t="str">
            <v>Cousins,Lucinda Gant</v>
          </cell>
          <cell r="N8197" t="str">
            <v>NR</v>
          </cell>
          <cell r="O8197" t="str">
            <v>NR</v>
          </cell>
        </row>
        <row r="8198">
          <cell r="E8198" t="str">
            <v>HPER</v>
          </cell>
          <cell r="F8198" t="str">
            <v>HPER-E</v>
          </cell>
          <cell r="G8198">
            <v>477</v>
          </cell>
          <cell r="H8198" t="str">
            <v>HPER-E477</v>
          </cell>
          <cell r="K8198" t="str">
            <v>Cousins,Lucinda Gant</v>
          </cell>
          <cell r="N8198">
            <v>4</v>
          </cell>
          <cell r="O8198">
            <v>3.1160000000000001</v>
          </cell>
        </row>
        <row r="8199">
          <cell r="E8199" t="str">
            <v>HPER</v>
          </cell>
          <cell r="F8199" t="str">
            <v>HPER-F</v>
          </cell>
          <cell r="G8199">
            <v>150</v>
          </cell>
          <cell r="H8199" t="str">
            <v>HPER-F150</v>
          </cell>
          <cell r="K8199" t="str">
            <v>Billingham,Robert</v>
          </cell>
          <cell r="N8199">
            <v>2.448</v>
          </cell>
          <cell r="O8199">
            <v>2.9239999999999999</v>
          </cell>
        </row>
        <row r="8200">
          <cell r="E8200" t="str">
            <v>HPER</v>
          </cell>
          <cell r="F8200" t="str">
            <v>HPER-F</v>
          </cell>
          <cell r="G8200">
            <v>150</v>
          </cell>
          <cell r="H8200" t="str">
            <v>HPER-F150</v>
          </cell>
          <cell r="K8200" t="str">
            <v>Billingham,Robert</v>
          </cell>
          <cell r="N8200">
            <v>2.5249999999999999</v>
          </cell>
          <cell r="O8200">
            <v>3.036</v>
          </cell>
        </row>
        <row r="8201">
          <cell r="E8201" t="str">
            <v>HPER</v>
          </cell>
          <cell r="F8201" t="str">
            <v>HPER-F</v>
          </cell>
          <cell r="G8201">
            <v>150</v>
          </cell>
          <cell r="H8201" t="str">
            <v>HPER-F150</v>
          </cell>
          <cell r="K8201" t="str">
            <v>Billingham,Robert</v>
          </cell>
          <cell r="N8201">
            <v>3.419</v>
          </cell>
          <cell r="O8201">
            <v>3.1150000000000002</v>
          </cell>
        </row>
        <row r="8202">
          <cell r="E8202" t="str">
            <v>HPER</v>
          </cell>
          <cell r="F8202" t="str">
            <v>HPER-F</v>
          </cell>
          <cell r="G8202">
            <v>150</v>
          </cell>
          <cell r="H8202" t="str">
            <v>HPER-F150</v>
          </cell>
          <cell r="K8202" t="str">
            <v>Lin,Yi-Ching</v>
          </cell>
          <cell r="N8202">
            <v>3.3780000000000001</v>
          </cell>
          <cell r="O8202">
            <v>3.0760000000000001</v>
          </cell>
        </row>
        <row r="8203">
          <cell r="E8203" t="str">
            <v>HPER</v>
          </cell>
          <cell r="F8203" t="str">
            <v>HPER-F</v>
          </cell>
          <cell r="G8203">
            <v>150</v>
          </cell>
          <cell r="H8203" t="str">
            <v>HPER-F150</v>
          </cell>
          <cell r="K8203" t="str">
            <v>Lin,Yi-Ching</v>
          </cell>
          <cell r="N8203">
            <v>3.2389999999999999</v>
          </cell>
          <cell r="O8203">
            <v>3.0640000000000001</v>
          </cell>
        </row>
        <row r="8204">
          <cell r="E8204" t="str">
            <v>HPER</v>
          </cell>
          <cell r="F8204" t="str">
            <v>HPER-F</v>
          </cell>
          <cell r="G8204">
            <v>255</v>
          </cell>
          <cell r="H8204" t="str">
            <v>HPER-F255</v>
          </cell>
          <cell r="K8204" t="str">
            <v>Baldwin,Aleta M.</v>
          </cell>
          <cell r="N8204">
            <v>3.2879999999999998</v>
          </cell>
          <cell r="O8204">
            <v>2.86</v>
          </cell>
        </row>
        <row r="8205">
          <cell r="E8205" t="str">
            <v>HPER</v>
          </cell>
          <cell r="F8205" t="str">
            <v>HPER-F</v>
          </cell>
          <cell r="G8205">
            <v>255</v>
          </cell>
          <cell r="H8205" t="str">
            <v>HPER-F255</v>
          </cell>
          <cell r="K8205" t="str">
            <v>Barnhart,Katie Jo</v>
          </cell>
          <cell r="N8205">
            <v>3.306</v>
          </cell>
          <cell r="O8205">
            <v>2.8069999999999999</v>
          </cell>
        </row>
        <row r="8206">
          <cell r="E8206" t="str">
            <v>HPER</v>
          </cell>
          <cell r="F8206" t="str">
            <v>HPER-F</v>
          </cell>
          <cell r="G8206">
            <v>255</v>
          </cell>
          <cell r="H8206" t="str">
            <v>HPER-F255</v>
          </cell>
          <cell r="K8206" t="str">
            <v>Collazo,Erika Margarita</v>
          </cell>
          <cell r="N8206">
            <v>3.5179999999999998</v>
          </cell>
          <cell r="O8206">
            <v>2.8330000000000002</v>
          </cell>
        </row>
        <row r="8207">
          <cell r="E8207" t="str">
            <v>HPER</v>
          </cell>
          <cell r="F8207" t="str">
            <v>HPER-F</v>
          </cell>
          <cell r="G8207">
            <v>255</v>
          </cell>
          <cell r="H8207" t="str">
            <v>HPER-F255</v>
          </cell>
          <cell r="K8207" t="str">
            <v>Emetu,Bobbie Ezinma</v>
          </cell>
          <cell r="N8207">
            <v>3.6389999999999998</v>
          </cell>
          <cell r="O8207">
            <v>2.9279999999999999</v>
          </cell>
        </row>
        <row r="8208">
          <cell r="E8208" t="str">
            <v>HPER</v>
          </cell>
          <cell r="F8208" t="str">
            <v>HPER-F</v>
          </cell>
          <cell r="G8208">
            <v>255</v>
          </cell>
          <cell r="H8208" t="str">
            <v>HPER-F255</v>
          </cell>
          <cell r="K8208" t="str">
            <v>Hansen,Cathlene Hardy</v>
          </cell>
          <cell r="N8208">
            <v>3.9369999999999998</v>
          </cell>
          <cell r="O8208">
            <v>3.0710000000000002</v>
          </cell>
        </row>
        <row r="8209">
          <cell r="E8209" t="str">
            <v>HPER</v>
          </cell>
          <cell r="F8209" t="str">
            <v>HPER-F</v>
          </cell>
          <cell r="G8209">
            <v>255</v>
          </cell>
          <cell r="H8209" t="str">
            <v>HPER-F255</v>
          </cell>
          <cell r="K8209" t="str">
            <v>Hauser,Jessica Rae</v>
          </cell>
          <cell r="N8209">
            <v>3.9169999999999998</v>
          </cell>
          <cell r="O8209">
            <v>3.1349999999999998</v>
          </cell>
        </row>
        <row r="8210">
          <cell r="E8210" t="str">
            <v>HPER</v>
          </cell>
          <cell r="F8210" t="str">
            <v>HPER-F</v>
          </cell>
          <cell r="G8210">
            <v>255</v>
          </cell>
          <cell r="H8210" t="str">
            <v>HPER-F255</v>
          </cell>
          <cell r="K8210" t="str">
            <v>Hauser,Jessica Rae</v>
          </cell>
          <cell r="N8210">
            <v>3.7269999999999999</v>
          </cell>
          <cell r="O8210">
            <v>3.1230000000000002</v>
          </cell>
        </row>
        <row r="8211">
          <cell r="E8211" t="str">
            <v>HPER</v>
          </cell>
          <cell r="F8211" t="str">
            <v>HPER-F</v>
          </cell>
          <cell r="G8211">
            <v>255</v>
          </cell>
          <cell r="H8211" t="str">
            <v>HPER-F255</v>
          </cell>
          <cell r="K8211" t="str">
            <v>Herbenick,Debra Lynne</v>
          </cell>
          <cell r="N8211">
            <v>3.5209999999999999</v>
          </cell>
          <cell r="O8211">
            <v>3.0720000000000001</v>
          </cell>
        </row>
        <row r="8212">
          <cell r="E8212" t="str">
            <v>HPER</v>
          </cell>
          <cell r="F8212" t="str">
            <v>HPER-F</v>
          </cell>
          <cell r="G8212">
            <v>255</v>
          </cell>
          <cell r="H8212" t="str">
            <v>HPER-F255</v>
          </cell>
          <cell r="K8212" t="str">
            <v>Hunter,Theresa Marie</v>
          </cell>
          <cell r="N8212">
            <v>3.17</v>
          </cell>
          <cell r="O8212">
            <v>2.8650000000000002</v>
          </cell>
        </row>
        <row r="8213">
          <cell r="E8213" t="str">
            <v>HPER</v>
          </cell>
          <cell r="F8213" t="str">
            <v>HPER-F</v>
          </cell>
          <cell r="G8213">
            <v>255</v>
          </cell>
          <cell r="H8213" t="str">
            <v>HPER-F255</v>
          </cell>
          <cell r="K8213" t="str">
            <v>Marshall,Alexandra</v>
          </cell>
          <cell r="N8213">
            <v>3.6070000000000002</v>
          </cell>
          <cell r="O8213">
            <v>3.016</v>
          </cell>
        </row>
        <row r="8214">
          <cell r="E8214" t="str">
            <v>HPER</v>
          </cell>
          <cell r="F8214" t="str">
            <v>HPER-F</v>
          </cell>
          <cell r="G8214">
            <v>255</v>
          </cell>
          <cell r="H8214" t="str">
            <v>HPER-F255</v>
          </cell>
          <cell r="K8214" t="str">
            <v>Murillo,Rosenda</v>
          </cell>
          <cell r="N8214">
            <v>3.5830000000000002</v>
          </cell>
          <cell r="O8214">
            <v>3.18</v>
          </cell>
        </row>
        <row r="8215">
          <cell r="E8215" t="str">
            <v>HPER</v>
          </cell>
          <cell r="F8215" t="str">
            <v>HPER-F</v>
          </cell>
          <cell r="G8215">
            <v>255</v>
          </cell>
          <cell r="H8215" t="str">
            <v>HPER-F255</v>
          </cell>
          <cell r="K8215" t="str">
            <v>Navale,Shalini Madhusudhan</v>
          </cell>
          <cell r="N8215">
            <v>3.677</v>
          </cell>
          <cell r="O8215">
            <v>3.0369999999999999</v>
          </cell>
        </row>
        <row r="8216">
          <cell r="E8216" t="str">
            <v>HPER</v>
          </cell>
          <cell r="F8216" t="str">
            <v>HPER-F</v>
          </cell>
          <cell r="G8216">
            <v>255</v>
          </cell>
          <cell r="H8216" t="str">
            <v>HPER-F255</v>
          </cell>
          <cell r="K8216" t="str">
            <v>Smith,Nicole Kristine</v>
          </cell>
          <cell r="N8216">
            <v>3.6139999999999999</v>
          </cell>
          <cell r="O8216">
            <v>2.9550000000000001</v>
          </cell>
        </row>
        <row r="8217">
          <cell r="E8217" t="str">
            <v>HPER</v>
          </cell>
          <cell r="F8217" t="str">
            <v>HPER-F</v>
          </cell>
          <cell r="G8217">
            <v>255</v>
          </cell>
          <cell r="H8217" t="str">
            <v>HPER-F255</v>
          </cell>
          <cell r="K8217" t="str">
            <v>Yarber,William Lee</v>
          </cell>
          <cell r="N8217">
            <v>3.0030000000000001</v>
          </cell>
          <cell r="O8217">
            <v>2.863</v>
          </cell>
        </row>
        <row r="8218">
          <cell r="E8218" t="str">
            <v>HPER</v>
          </cell>
          <cell r="F8218" t="str">
            <v>HPER-F</v>
          </cell>
          <cell r="G8218">
            <v>255</v>
          </cell>
          <cell r="H8218" t="str">
            <v>HPER-F255</v>
          </cell>
          <cell r="K8218" t="str">
            <v>Yarber,William Lee</v>
          </cell>
          <cell r="N8218" t="str">
            <v>NR</v>
          </cell>
          <cell r="O8218" t="str">
            <v>NR</v>
          </cell>
        </row>
        <row r="8219">
          <cell r="E8219" t="str">
            <v>HPER</v>
          </cell>
          <cell r="F8219" t="str">
            <v>HPER-F</v>
          </cell>
          <cell r="G8219">
            <v>255</v>
          </cell>
          <cell r="H8219" t="str">
            <v>HPER-F255</v>
          </cell>
          <cell r="K8219" t="str">
            <v>Yarber,William Lee</v>
          </cell>
          <cell r="N8219">
            <v>2.7530000000000001</v>
          </cell>
          <cell r="O8219">
            <v>2.79</v>
          </cell>
        </row>
        <row r="8220">
          <cell r="E8220" t="str">
            <v>HPER</v>
          </cell>
          <cell r="F8220" t="str">
            <v>HPER-F</v>
          </cell>
          <cell r="G8220">
            <v>255</v>
          </cell>
          <cell r="H8220" t="str">
            <v>HPER-F255</v>
          </cell>
          <cell r="K8220" t="str">
            <v>Yarber,William Lee</v>
          </cell>
          <cell r="N8220">
            <v>3.004</v>
          </cell>
          <cell r="O8220">
            <v>2.919</v>
          </cell>
        </row>
        <row r="8221">
          <cell r="E8221" t="str">
            <v>HPER</v>
          </cell>
          <cell r="F8221" t="str">
            <v>HPER-F</v>
          </cell>
          <cell r="G8221">
            <v>258</v>
          </cell>
          <cell r="H8221" t="str">
            <v>HPER-F258</v>
          </cell>
          <cell r="K8221" t="str">
            <v>Engels,Jennifer Suzanne</v>
          </cell>
          <cell r="N8221">
            <v>3.7160000000000002</v>
          </cell>
          <cell r="O8221">
            <v>3.0219999999999998</v>
          </cell>
        </row>
        <row r="8222">
          <cell r="E8222" t="str">
            <v>HPER</v>
          </cell>
          <cell r="F8222" t="str">
            <v>HPER-F</v>
          </cell>
          <cell r="G8222">
            <v>258</v>
          </cell>
          <cell r="H8222" t="str">
            <v>HPER-F258</v>
          </cell>
          <cell r="K8222" t="str">
            <v>Engels,Jennifer Suzanne</v>
          </cell>
          <cell r="N8222">
            <v>3.7040000000000002</v>
          </cell>
          <cell r="O8222">
            <v>3.0030000000000001</v>
          </cell>
        </row>
        <row r="8223">
          <cell r="E8223" t="str">
            <v>HPER</v>
          </cell>
          <cell r="F8223" t="str">
            <v>HPER-F</v>
          </cell>
          <cell r="G8223">
            <v>258</v>
          </cell>
          <cell r="H8223" t="str">
            <v>HPER-F258</v>
          </cell>
          <cell r="K8223" t="str">
            <v>James,Julie Ann</v>
          </cell>
          <cell r="N8223">
            <v>3.677</v>
          </cell>
          <cell r="O8223">
            <v>3.254</v>
          </cell>
        </row>
        <row r="8224">
          <cell r="E8224" t="str">
            <v>HPER</v>
          </cell>
          <cell r="F8224" t="str">
            <v>HPER-F</v>
          </cell>
          <cell r="G8224">
            <v>258</v>
          </cell>
          <cell r="H8224" t="str">
            <v>HPER-F258</v>
          </cell>
          <cell r="K8224" t="str">
            <v>James,Julie Ann</v>
          </cell>
          <cell r="N8224">
            <v>3.5779999999999998</v>
          </cell>
          <cell r="O8224">
            <v>3.2290000000000001</v>
          </cell>
        </row>
        <row r="8225">
          <cell r="E8225" t="str">
            <v>HPER</v>
          </cell>
          <cell r="F8225" t="str">
            <v>HPER-F</v>
          </cell>
          <cell r="G8225">
            <v>317</v>
          </cell>
          <cell r="H8225" t="str">
            <v>HPER-F317</v>
          </cell>
          <cell r="K8225" t="str">
            <v>James,Julie Ann</v>
          </cell>
          <cell r="N8225">
            <v>3.3929999999999998</v>
          </cell>
          <cell r="O8225">
            <v>3.21</v>
          </cell>
        </row>
        <row r="8226">
          <cell r="E8226" t="str">
            <v>HPER</v>
          </cell>
          <cell r="F8226" t="str">
            <v>HPER-F</v>
          </cell>
          <cell r="G8226">
            <v>341</v>
          </cell>
          <cell r="H8226" t="str">
            <v>HPER-F341</v>
          </cell>
          <cell r="K8226" t="str">
            <v>Billingham,Robert</v>
          </cell>
          <cell r="N8226">
            <v>3.4390000000000001</v>
          </cell>
          <cell r="O8226">
            <v>3.0950000000000002</v>
          </cell>
        </row>
        <row r="8227">
          <cell r="E8227" t="str">
            <v>HPER</v>
          </cell>
          <cell r="F8227" t="str">
            <v>HPER-F</v>
          </cell>
          <cell r="G8227">
            <v>345</v>
          </cell>
          <cell r="H8227" t="str">
            <v>HPER-F345</v>
          </cell>
          <cell r="K8227" t="str">
            <v>Billingham,Robert</v>
          </cell>
          <cell r="N8227">
            <v>3.544</v>
          </cell>
          <cell r="O8227">
            <v>3.1019999999999999</v>
          </cell>
        </row>
        <row r="8228">
          <cell r="E8228" t="str">
            <v>HPER</v>
          </cell>
          <cell r="F8228" t="str">
            <v>HPER-F</v>
          </cell>
          <cell r="G8228">
            <v>346</v>
          </cell>
          <cell r="H8228" t="str">
            <v>HPER-F346</v>
          </cell>
          <cell r="K8228" t="str">
            <v>Schmidt,Maria Kay</v>
          </cell>
          <cell r="N8228">
            <v>3.3980000000000001</v>
          </cell>
          <cell r="O8228">
            <v>3.089</v>
          </cell>
        </row>
        <row r="8229">
          <cell r="E8229" t="str">
            <v>HPER</v>
          </cell>
          <cell r="F8229" t="str">
            <v>HPER-F</v>
          </cell>
          <cell r="G8229">
            <v>346</v>
          </cell>
          <cell r="H8229" t="str">
            <v>HPER-F346</v>
          </cell>
          <cell r="K8229" t="str">
            <v>Schmidt,Maria Kay</v>
          </cell>
          <cell r="N8229">
            <v>3.3410000000000002</v>
          </cell>
          <cell r="O8229">
            <v>2.9969999999999999</v>
          </cell>
        </row>
        <row r="8230">
          <cell r="E8230" t="str">
            <v>HPER</v>
          </cell>
          <cell r="F8230" t="str">
            <v>HPER-F</v>
          </cell>
          <cell r="G8230">
            <v>347</v>
          </cell>
          <cell r="H8230" t="str">
            <v>HPER-F347</v>
          </cell>
          <cell r="K8230" t="str">
            <v>Engels,Jennifer Suzanne</v>
          </cell>
          <cell r="N8230">
            <v>3.504</v>
          </cell>
          <cell r="O8230">
            <v>3.1720000000000002</v>
          </cell>
        </row>
        <row r="8231">
          <cell r="E8231" t="str">
            <v>HPER</v>
          </cell>
          <cell r="F8231" t="str">
            <v>HPER-F</v>
          </cell>
          <cell r="G8231">
            <v>348</v>
          </cell>
          <cell r="H8231" t="str">
            <v>HPER-F348</v>
          </cell>
          <cell r="K8231" t="str">
            <v>Engels,Jennifer Suzanne</v>
          </cell>
          <cell r="N8231">
            <v>3.5779999999999998</v>
          </cell>
          <cell r="O8231">
            <v>3.1520000000000001</v>
          </cell>
        </row>
        <row r="8232">
          <cell r="E8232" t="str">
            <v>HPER</v>
          </cell>
          <cell r="F8232" t="str">
            <v>HPER-F</v>
          </cell>
          <cell r="G8232">
            <v>355</v>
          </cell>
          <cell r="H8232" t="str">
            <v>HPER-F355</v>
          </cell>
          <cell r="K8232" t="str">
            <v>Engels,Jennifer Suzanne</v>
          </cell>
          <cell r="N8232">
            <v>4</v>
          </cell>
          <cell r="O8232">
            <v>3.419</v>
          </cell>
        </row>
        <row r="8233">
          <cell r="E8233" t="str">
            <v>HPER</v>
          </cell>
          <cell r="F8233" t="str">
            <v>HPER-F</v>
          </cell>
          <cell r="G8233">
            <v>355</v>
          </cell>
          <cell r="H8233" t="str">
            <v>HPER-F355</v>
          </cell>
          <cell r="K8233" t="str">
            <v>Engels,Jennifer Suzanne</v>
          </cell>
          <cell r="N8233">
            <v>4</v>
          </cell>
          <cell r="O8233">
            <v>2.806</v>
          </cell>
        </row>
        <row r="8234">
          <cell r="E8234" t="str">
            <v>HPER</v>
          </cell>
          <cell r="F8234" t="str">
            <v>HPER-F</v>
          </cell>
          <cell r="G8234">
            <v>355</v>
          </cell>
          <cell r="H8234" t="str">
            <v>HPER-F355</v>
          </cell>
          <cell r="K8234" t="str">
            <v>James,Julie Ann</v>
          </cell>
          <cell r="N8234">
            <v>4</v>
          </cell>
          <cell r="O8234">
            <v>3.2759999999999998</v>
          </cell>
        </row>
        <row r="8235">
          <cell r="E8235" t="str">
            <v>HPER</v>
          </cell>
          <cell r="F8235" t="str">
            <v>HPER-F</v>
          </cell>
          <cell r="G8235">
            <v>355</v>
          </cell>
          <cell r="H8235" t="str">
            <v>HPER-F355</v>
          </cell>
          <cell r="K8235" t="str">
            <v>James,Julie Ann</v>
          </cell>
          <cell r="N8235">
            <v>4</v>
          </cell>
          <cell r="O8235">
            <v>3.4169999999999998</v>
          </cell>
        </row>
        <row r="8236">
          <cell r="E8236" t="str">
            <v>HPER</v>
          </cell>
          <cell r="F8236" t="str">
            <v>HPER-F</v>
          </cell>
          <cell r="G8236">
            <v>370</v>
          </cell>
          <cell r="H8236" t="str">
            <v>HPER-F370</v>
          </cell>
          <cell r="K8236" t="str">
            <v>Murray,Maresa Janee</v>
          </cell>
          <cell r="N8236">
            <v>4</v>
          </cell>
          <cell r="O8236">
            <v>3.339</v>
          </cell>
        </row>
        <row r="8237">
          <cell r="E8237" t="str">
            <v>HPER</v>
          </cell>
          <cell r="F8237" t="str">
            <v>HPER-F</v>
          </cell>
          <cell r="G8237">
            <v>417</v>
          </cell>
          <cell r="H8237" t="str">
            <v>HPER-F417</v>
          </cell>
          <cell r="K8237" t="str">
            <v>Murray,Maresa Janee</v>
          </cell>
          <cell r="N8237">
            <v>4</v>
          </cell>
          <cell r="O8237">
            <v>3.28</v>
          </cell>
        </row>
        <row r="8238">
          <cell r="E8238" t="str">
            <v>HPER</v>
          </cell>
          <cell r="F8238" t="str">
            <v>HPER-F</v>
          </cell>
          <cell r="G8238">
            <v>430</v>
          </cell>
          <cell r="H8238" t="str">
            <v>HPER-F430</v>
          </cell>
          <cell r="K8238" t="str">
            <v>James,Julie Ann</v>
          </cell>
          <cell r="N8238">
            <v>3.25</v>
          </cell>
          <cell r="O8238">
            <v>3.1419999999999999</v>
          </cell>
        </row>
        <row r="8239">
          <cell r="E8239" t="str">
            <v>HPER</v>
          </cell>
          <cell r="F8239" t="str">
            <v>HPER-F</v>
          </cell>
          <cell r="G8239">
            <v>430</v>
          </cell>
          <cell r="H8239" t="str">
            <v>HPER-F430</v>
          </cell>
          <cell r="K8239" t="str">
            <v>Schmidt,Maria Kay</v>
          </cell>
          <cell r="N8239">
            <v>3.5760000000000001</v>
          </cell>
          <cell r="O8239">
            <v>3.274</v>
          </cell>
        </row>
        <row r="8240">
          <cell r="E8240" t="str">
            <v>HPER</v>
          </cell>
          <cell r="F8240" t="str">
            <v>HPER-F</v>
          </cell>
          <cell r="G8240">
            <v>442</v>
          </cell>
          <cell r="H8240" t="str">
            <v>HPER-F442</v>
          </cell>
          <cell r="K8240" t="str">
            <v>Schmidt,Maria Kay</v>
          </cell>
          <cell r="N8240" t="str">
            <v>NR</v>
          </cell>
          <cell r="O8240" t="str">
            <v>NR</v>
          </cell>
        </row>
        <row r="8241">
          <cell r="E8241" t="str">
            <v>HPER</v>
          </cell>
          <cell r="F8241" t="str">
            <v>HPER-F</v>
          </cell>
          <cell r="G8241">
            <v>442</v>
          </cell>
          <cell r="H8241" t="str">
            <v>HPER-F442</v>
          </cell>
          <cell r="K8241" t="str">
            <v>Schmidt,Maria Kay</v>
          </cell>
          <cell r="N8241" t="str">
            <v>NR</v>
          </cell>
          <cell r="O8241" t="str">
            <v>NR</v>
          </cell>
        </row>
        <row r="8242">
          <cell r="E8242" t="str">
            <v>HPER</v>
          </cell>
          <cell r="F8242" t="str">
            <v>HPER-F</v>
          </cell>
          <cell r="G8242">
            <v>442</v>
          </cell>
          <cell r="H8242" t="str">
            <v>HPER-F442</v>
          </cell>
          <cell r="K8242" t="str">
            <v>Schmidt,Maria Kay</v>
          </cell>
          <cell r="N8242" t="str">
            <v>NR</v>
          </cell>
          <cell r="O8242" t="str">
            <v>NR</v>
          </cell>
        </row>
        <row r="8243">
          <cell r="E8243" t="str">
            <v>HPER</v>
          </cell>
          <cell r="F8243" t="str">
            <v>HPER-F</v>
          </cell>
          <cell r="G8243">
            <v>442</v>
          </cell>
          <cell r="H8243" t="str">
            <v>HPER-F442</v>
          </cell>
          <cell r="K8243" t="str">
            <v>Schmidt,Maria Kay</v>
          </cell>
          <cell r="N8243" t="str">
            <v>NR</v>
          </cell>
          <cell r="O8243" t="str">
            <v>NR</v>
          </cell>
        </row>
        <row r="8244">
          <cell r="E8244" t="str">
            <v>HPER</v>
          </cell>
          <cell r="F8244" t="str">
            <v>HPER-F</v>
          </cell>
          <cell r="G8244">
            <v>444</v>
          </cell>
          <cell r="H8244" t="str">
            <v>HPER-F444</v>
          </cell>
          <cell r="K8244" t="str">
            <v>Schmidt,Maria Kay</v>
          </cell>
          <cell r="N8244" t="str">
            <v>NR</v>
          </cell>
          <cell r="O8244" t="str">
            <v>NR</v>
          </cell>
        </row>
        <row r="8245">
          <cell r="E8245" t="str">
            <v>HPER</v>
          </cell>
          <cell r="F8245" t="str">
            <v>HPER-F</v>
          </cell>
          <cell r="G8245">
            <v>444</v>
          </cell>
          <cell r="H8245" t="str">
            <v>HPER-F444</v>
          </cell>
          <cell r="K8245" t="str">
            <v>Schmidt,Maria Kay</v>
          </cell>
          <cell r="N8245" t="str">
            <v>NR</v>
          </cell>
          <cell r="O8245" t="str">
            <v>NR</v>
          </cell>
        </row>
        <row r="8246">
          <cell r="E8246" t="str">
            <v>HPER</v>
          </cell>
          <cell r="F8246" t="str">
            <v>HPER-F</v>
          </cell>
          <cell r="G8246">
            <v>453</v>
          </cell>
          <cell r="H8246" t="str">
            <v>HPER-F453</v>
          </cell>
          <cell r="K8246" t="str">
            <v>Beckmeyer,Jonathan James</v>
          </cell>
          <cell r="N8246" t="str">
            <v>NR</v>
          </cell>
          <cell r="O8246" t="str">
            <v>NR</v>
          </cell>
        </row>
        <row r="8247">
          <cell r="E8247" t="str">
            <v>HPER</v>
          </cell>
          <cell r="F8247" t="str">
            <v>HPER-F</v>
          </cell>
          <cell r="G8247">
            <v>457</v>
          </cell>
          <cell r="H8247" t="str">
            <v>HPER-F457</v>
          </cell>
          <cell r="K8247" t="str">
            <v>James,Julie Ann</v>
          </cell>
          <cell r="N8247">
            <v>3.2570000000000001</v>
          </cell>
          <cell r="O8247">
            <v>3.1480000000000001</v>
          </cell>
        </row>
        <row r="8248">
          <cell r="E8248" t="str">
            <v>HPER</v>
          </cell>
          <cell r="F8248" t="str">
            <v>HPER-F</v>
          </cell>
          <cell r="G8248">
            <v>457</v>
          </cell>
          <cell r="H8248" t="str">
            <v>HPER-F457</v>
          </cell>
          <cell r="K8248" t="str">
            <v>James,Julie Ann</v>
          </cell>
          <cell r="N8248">
            <v>3.33</v>
          </cell>
          <cell r="O8248">
            <v>3.0459999999999998</v>
          </cell>
        </row>
        <row r="8249">
          <cell r="E8249" t="str">
            <v>HPER</v>
          </cell>
          <cell r="F8249" t="str">
            <v>HPER-F</v>
          </cell>
          <cell r="G8249">
            <v>457</v>
          </cell>
          <cell r="H8249" t="str">
            <v>HPER-F457</v>
          </cell>
          <cell r="K8249" t="str">
            <v>McCloskey,Laura Ann</v>
          </cell>
          <cell r="N8249">
            <v>3.8570000000000002</v>
          </cell>
          <cell r="O8249">
            <v>3.14</v>
          </cell>
        </row>
        <row r="8250">
          <cell r="E8250" t="str">
            <v>HPER</v>
          </cell>
          <cell r="F8250" t="str">
            <v>HPER-F</v>
          </cell>
          <cell r="G8250">
            <v>458</v>
          </cell>
          <cell r="H8250" t="str">
            <v>HPER-F458</v>
          </cell>
          <cell r="K8250" t="str">
            <v>Robbins,Michael A</v>
          </cell>
          <cell r="N8250">
            <v>3.9289999999999998</v>
          </cell>
          <cell r="O8250">
            <v>3.3540000000000001</v>
          </cell>
        </row>
        <row r="8251">
          <cell r="E8251" t="str">
            <v>HPER</v>
          </cell>
          <cell r="F8251" t="str">
            <v>HPER-F</v>
          </cell>
          <cell r="G8251">
            <v>510</v>
          </cell>
          <cell r="H8251" t="str">
            <v>HPER-F510</v>
          </cell>
          <cell r="K8251" t="str">
            <v>Murray,Maresa Janee</v>
          </cell>
          <cell r="N8251" t="str">
            <v>NR</v>
          </cell>
          <cell r="O8251" t="str">
            <v>NR</v>
          </cell>
        </row>
        <row r="8252">
          <cell r="E8252" t="str">
            <v>HPER</v>
          </cell>
          <cell r="F8252" t="str">
            <v>HPER-F</v>
          </cell>
          <cell r="G8252">
            <v>517</v>
          </cell>
          <cell r="H8252" t="str">
            <v>HPER-F517</v>
          </cell>
          <cell r="K8252" t="str">
            <v>Murray,Maresa Janee</v>
          </cell>
          <cell r="N8252">
            <v>4</v>
          </cell>
          <cell r="O8252">
            <v>3.8849999999999998</v>
          </cell>
        </row>
        <row r="8253">
          <cell r="E8253" t="str">
            <v>HPER</v>
          </cell>
          <cell r="F8253" t="str">
            <v>HPER-F</v>
          </cell>
          <cell r="G8253">
            <v>531</v>
          </cell>
          <cell r="H8253" t="str">
            <v>HPER-F531</v>
          </cell>
          <cell r="K8253" t="str">
            <v>Schmidt,Maria Kay</v>
          </cell>
          <cell r="N8253" t="str">
            <v>NR</v>
          </cell>
          <cell r="O8253" t="str">
            <v>NR</v>
          </cell>
        </row>
        <row r="8254">
          <cell r="E8254" t="str">
            <v>HPER</v>
          </cell>
          <cell r="F8254" t="str">
            <v>HPER-F</v>
          </cell>
          <cell r="G8254">
            <v>541</v>
          </cell>
          <cell r="H8254" t="str">
            <v>HPER-F541</v>
          </cell>
          <cell r="K8254" t="str">
            <v>Billingham,Robert</v>
          </cell>
          <cell r="N8254" t="str">
            <v>NR</v>
          </cell>
          <cell r="O8254" t="str">
            <v>NR</v>
          </cell>
        </row>
        <row r="8255">
          <cell r="E8255" t="str">
            <v>HPER</v>
          </cell>
          <cell r="F8255" t="str">
            <v>HPER-F</v>
          </cell>
          <cell r="G8255">
            <v>542</v>
          </cell>
          <cell r="H8255" t="str">
            <v>HPER-F542</v>
          </cell>
          <cell r="K8255" t="str">
            <v>Schmidt,Maria Kay</v>
          </cell>
          <cell r="N8255" t="str">
            <v>NR</v>
          </cell>
          <cell r="O8255" t="str">
            <v>NR</v>
          </cell>
        </row>
        <row r="8256">
          <cell r="E8256" t="str">
            <v>HPER</v>
          </cell>
          <cell r="F8256" t="str">
            <v>HPER-F</v>
          </cell>
          <cell r="G8256">
            <v>543</v>
          </cell>
          <cell r="H8256" t="str">
            <v>HPER-F543</v>
          </cell>
          <cell r="K8256" t="str">
            <v>Beckmeyer,Jonathan James</v>
          </cell>
          <cell r="N8256" t="str">
            <v>NR</v>
          </cell>
          <cell r="O8256" t="str">
            <v>NR</v>
          </cell>
        </row>
        <row r="8257">
          <cell r="E8257" t="str">
            <v>HPER</v>
          </cell>
          <cell r="F8257" t="str">
            <v>HPER-F</v>
          </cell>
          <cell r="G8257">
            <v>557</v>
          </cell>
          <cell r="H8257" t="str">
            <v>HPER-F557</v>
          </cell>
          <cell r="K8257" t="str">
            <v>McCloskey,Laura Ann</v>
          </cell>
          <cell r="N8257" t="str">
            <v>NR</v>
          </cell>
          <cell r="O8257" t="str">
            <v>NR</v>
          </cell>
        </row>
        <row r="8258">
          <cell r="E8258" t="str">
            <v>HPER</v>
          </cell>
          <cell r="F8258" t="str">
            <v>HPER-F</v>
          </cell>
          <cell r="G8258">
            <v>559</v>
          </cell>
          <cell r="H8258" t="str">
            <v>HPER-F559</v>
          </cell>
          <cell r="K8258" t="str">
            <v>Billingham,Robert</v>
          </cell>
          <cell r="N8258" t="str">
            <v>NR</v>
          </cell>
          <cell r="O8258" t="str">
            <v>NR</v>
          </cell>
        </row>
        <row r="8259">
          <cell r="E8259" t="str">
            <v>HPER</v>
          </cell>
          <cell r="F8259" t="str">
            <v>HPER-F</v>
          </cell>
          <cell r="G8259">
            <v>559</v>
          </cell>
          <cell r="H8259" t="str">
            <v>HPER-F559</v>
          </cell>
          <cell r="K8259" t="str">
            <v>Murray,Maresa Janee</v>
          </cell>
          <cell r="N8259" t="str">
            <v>NR</v>
          </cell>
          <cell r="O8259" t="str">
            <v>NR</v>
          </cell>
        </row>
        <row r="8260">
          <cell r="E8260" t="str">
            <v>HPER</v>
          </cell>
          <cell r="F8260" t="str">
            <v>HPER-F</v>
          </cell>
          <cell r="G8260">
            <v>559</v>
          </cell>
          <cell r="H8260" t="str">
            <v>HPER-F559</v>
          </cell>
          <cell r="K8260" t="str">
            <v>Murray,Maresa Janee</v>
          </cell>
          <cell r="N8260" t="str">
            <v>NR</v>
          </cell>
          <cell r="O8260" t="str">
            <v>NR</v>
          </cell>
        </row>
        <row r="8261">
          <cell r="E8261" t="str">
            <v>HPER</v>
          </cell>
          <cell r="F8261" t="str">
            <v>HPER-F</v>
          </cell>
          <cell r="G8261">
            <v>598</v>
          </cell>
          <cell r="H8261" t="str">
            <v>HPER-F598</v>
          </cell>
          <cell r="K8261" t="str">
            <v>Billingham,Robert</v>
          </cell>
          <cell r="N8261" t="str">
            <v>NR</v>
          </cell>
          <cell r="O8261" t="str">
            <v>NR</v>
          </cell>
        </row>
        <row r="8262">
          <cell r="E8262" t="str">
            <v>HPER</v>
          </cell>
          <cell r="F8262" t="str">
            <v>HPER-F</v>
          </cell>
          <cell r="G8262">
            <v>598</v>
          </cell>
          <cell r="H8262" t="str">
            <v>HPER-F598</v>
          </cell>
          <cell r="K8262" t="str">
            <v>Murray,Maresa Janee</v>
          </cell>
          <cell r="N8262" t="str">
            <v>NR</v>
          </cell>
          <cell r="O8262" t="str">
            <v>NR</v>
          </cell>
        </row>
        <row r="8263">
          <cell r="E8263" t="str">
            <v>HPER</v>
          </cell>
          <cell r="F8263" t="str">
            <v>HPER-F</v>
          </cell>
          <cell r="G8263">
            <v>598</v>
          </cell>
          <cell r="H8263" t="str">
            <v>HPER-F598</v>
          </cell>
          <cell r="K8263" t="str">
            <v>Murray,Maresa Janee</v>
          </cell>
          <cell r="N8263" t="str">
            <v>NR</v>
          </cell>
          <cell r="O8263" t="str">
            <v>NR</v>
          </cell>
        </row>
        <row r="8264">
          <cell r="E8264" t="str">
            <v>HPER</v>
          </cell>
          <cell r="F8264" t="str">
            <v>HPER-F</v>
          </cell>
          <cell r="G8264">
            <v>640</v>
          </cell>
          <cell r="H8264" t="str">
            <v>HPER-F640</v>
          </cell>
          <cell r="K8264" t="str">
            <v>Murray,Maresa Janee</v>
          </cell>
          <cell r="N8264" t="str">
            <v>NR</v>
          </cell>
          <cell r="O8264" t="str">
            <v>NR</v>
          </cell>
        </row>
        <row r="8265">
          <cell r="E8265" t="str">
            <v>HPER</v>
          </cell>
          <cell r="F8265" t="str">
            <v>HPER-F</v>
          </cell>
          <cell r="G8265">
            <v>640</v>
          </cell>
          <cell r="H8265" t="str">
            <v>HPER-F640</v>
          </cell>
          <cell r="K8265" t="str">
            <v>Murray,Maresa Janee</v>
          </cell>
          <cell r="N8265" t="str">
            <v>NR</v>
          </cell>
          <cell r="O8265" t="str">
            <v>NR</v>
          </cell>
        </row>
        <row r="8266">
          <cell r="E8266" t="str">
            <v>HPER</v>
          </cell>
          <cell r="F8266" t="str">
            <v>HPER-F</v>
          </cell>
          <cell r="G8266">
            <v>641</v>
          </cell>
          <cell r="H8266" t="str">
            <v>HPER-F641</v>
          </cell>
          <cell r="K8266" t="str">
            <v>Murray,Maresa Janee</v>
          </cell>
          <cell r="N8266" t="str">
            <v>NR</v>
          </cell>
          <cell r="O8266" t="str">
            <v>NR</v>
          </cell>
        </row>
        <row r="8267">
          <cell r="E8267" t="str">
            <v>HPER</v>
          </cell>
          <cell r="F8267" t="str">
            <v>HPER-G</v>
          </cell>
          <cell r="G8267">
            <v>599</v>
          </cell>
          <cell r="H8267" t="str">
            <v>HPER-G599</v>
          </cell>
          <cell r="K8267" t="str">
            <v>Koceja,David</v>
          </cell>
          <cell r="N8267" t="str">
            <v>NR</v>
          </cell>
          <cell r="O8267" t="str">
            <v>NR</v>
          </cell>
        </row>
        <row r="8268">
          <cell r="E8268" t="str">
            <v>HPER</v>
          </cell>
          <cell r="F8268" t="str">
            <v>HPER-G</v>
          </cell>
          <cell r="G8268">
            <v>599</v>
          </cell>
          <cell r="H8268" t="str">
            <v>HPER-G599</v>
          </cell>
          <cell r="K8268" t="str">
            <v>Koceja,David</v>
          </cell>
          <cell r="N8268" t="str">
            <v>NR</v>
          </cell>
          <cell r="O8268" t="str">
            <v>NR</v>
          </cell>
        </row>
        <row r="8269">
          <cell r="E8269" t="str">
            <v>HPER</v>
          </cell>
          <cell r="F8269" t="str">
            <v>HPER-G</v>
          </cell>
          <cell r="G8269">
            <v>901</v>
          </cell>
          <cell r="H8269" t="str">
            <v>HPER-G901</v>
          </cell>
          <cell r="K8269" t="str">
            <v>Koceja,David</v>
          </cell>
          <cell r="N8269" t="str">
            <v>NR</v>
          </cell>
          <cell r="O8269" t="str">
            <v>NR</v>
          </cell>
        </row>
        <row r="8270">
          <cell r="E8270" t="str">
            <v>HPER</v>
          </cell>
          <cell r="F8270" t="str">
            <v>HPER-G</v>
          </cell>
          <cell r="G8270">
            <v>901</v>
          </cell>
          <cell r="H8270" t="str">
            <v>HPER-G901</v>
          </cell>
          <cell r="K8270" t="str">
            <v>Koceja,David</v>
          </cell>
          <cell r="N8270" t="str">
            <v>NR</v>
          </cell>
          <cell r="O8270" t="str">
            <v>NR</v>
          </cell>
        </row>
        <row r="8271">
          <cell r="E8271" t="str">
            <v>HPER</v>
          </cell>
          <cell r="F8271" t="str">
            <v>HPER-H</v>
          </cell>
          <cell r="G8271">
            <v>150</v>
          </cell>
          <cell r="H8271" t="str">
            <v>HPER-H150</v>
          </cell>
          <cell r="K8271" t="str">
            <v>Obeng,Cecilia Sem</v>
          </cell>
          <cell r="N8271">
            <v>3.4969999999999999</v>
          </cell>
          <cell r="O8271">
            <v>2.91</v>
          </cell>
        </row>
        <row r="8272">
          <cell r="E8272" t="str">
            <v>HPER</v>
          </cell>
          <cell r="F8272" t="str">
            <v>HPER-H</v>
          </cell>
          <cell r="G8272">
            <v>150</v>
          </cell>
          <cell r="H8272" t="str">
            <v>HPER-H150</v>
          </cell>
          <cell r="K8272" t="str">
            <v>Obeng,Cecilia Sem</v>
          </cell>
          <cell r="N8272">
            <v>3.3410000000000002</v>
          </cell>
          <cell r="O8272">
            <v>2.7269999999999999</v>
          </cell>
        </row>
        <row r="8273">
          <cell r="E8273" t="str">
            <v>HPER</v>
          </cell>
          <cell r="F8273" t="str">
            <v>HPER-H</v>
          </cell>
          <cell r="G8273">
            <v>150</v>
          </cell>
          <cell r="H8273" t="str">
            <v>HPER-H150</v>
          </cell>
          <cell r="K8273" t="str">
            <v>Obeng,Cecilia Sem</v>
          </cell>
          <cell r="N8273">
            <v>3.1970000000000001</v>
          </cell>
          <cell r="O8273">
            <v>3.0760000000000001</v>
          </cell>
        </row>
        <row r="8274">
          <cell r="E8274" t="str">
            <v>HPER</v>
          </cell>
          <cell r="F8274" t="str">
            <v>HPER-H</v>
          </cell>
          <cell r="G8274">
            <v>160</v>
          </cell>
          <cell r="H8274" t="str">
            <v>HPER-H160</v>
          </cell>
          <cell r="K8274" t="str">
            <v>Applegate,Trent E</v>
          </cell>
          <cell r="N8274">
            <v>3.5390000000000001</v>
          </cell>
          <cell r="O8274">
            <v>3.0819999999999999</v>
          </cell>
        </row>
        <row r="8275">
          <cell r="E8275" t="str">
            <v>HPER</v>
          </cell>
          <cell r="F8275" t="str">
            <v>HPER-H</v>
          </cell>
          <cell r="G8275">
            <v>160</v>
          </cell>
          <cell r="H8275" t="str">
            <v>HPER-H160</v>
          </cell>
          <cell r="K8275" t="str">
            <v>Applegate,Trent E</v>
          </cell>
          <cell r="N8275">
            <v>3.528</v>
          </cell>
          <cell r="O8275">
            <v>3.0960000000000001</v>
          </cell>
        </row>
        <row r="8276">
          <cell r="E8276" t="str">
            <v>HPER</v>
          </cell>
          <cell r="F8276" t="str">
            <v>HPER-H</v>
          </cell>
          <cell r="G8276">
            <v>170</v>
          </cell>
          <cell r="H8276" t="str">
            <v>HPER-H170</v>
          </cell>
          <cell r="K8276" t="str">
            <v>Finley,Kathy Lyn</v>
          </cell>
          <cell r="N8276">
            <v>3.3969999999999998</v>
          </cell>
          <cell r="O8276">
            <v>2.9390000000000001</v>
          </cell>
        </row>
        <row r="8277">
          <cell r="E8277" t="str">
            <v>HPER</v>
          </cell>
          <cell r="F8277" t="str">
            <v>HPER-H</v>
          </cell>
          <cell r="G8277">
            <v>170</v>
          </cell>
          <cell r="H8277" t="str">
            <v>HPER-H170</v>
          </cell>
          <cell r="K8277" t="str">
            <v>Finley,Kathy Lyn</v>
          </cell>
          <cell r="N8277">
            <v>2.952</v>
          </cell>
          <cell r="O8277">
            <v>2.8159999999999998</v>
          </cell>
        </row>
        <row r="8278">
          <cell r="E8278" t="str">
            <v>HPER</v>
          </cell>
          <cell r="F8278" t="str">
            <v>HPER-H</v>
          </cell>
          <cell r="G8278">
            <v>172</v>
          </cell>
          <cell r="H8278" t="str">
            <v>HPER-H172</v>
          </cell>
          <cell r="K8278" t="str">
            <v>Huang,Yan</v>
          </cell>
          <cell r="N8278">
            <v>3.4540000000000002</v>
          </cell>
          <cell r="O8278">
            <v>2.9660000000000002</v>
          </cell>
        </row>
        <row r="8279">
          <cell r="E8279" t="str">
            <v>HPER</v>
          </cell>
          <cell r="F8279" t="str">
            <v>HPER-H</v>
          </cell>
          <cell r="G8279">
            <v>172</v>
          </cell>
          <cell r="H8279" t="str">
            <v>HPER-H172</v>
          </cell>
          <cell r="K8279" t="str">
            <v>Kay,Noy S.</v>
          </cell>
          <cell r="N8279">
            <v>3.3519999999999999</v>
          </cell>
          <cell r="O8279">
            <v>2.9780000000000002</v>
          </cell>
        </row>
        <row r="8280">
          <cell r="E8280" t="str">
            <v>HPER</v>
          </cell>
          <cell r="F8280" t="str">
            <v>HPER-H</v>
          </cell>
          <cell r="G8280">
            <v>174</v>
          </cell>
          <cell r="H8280" t="str">
            <v>HPER-H174</v>
          </cell>
          <cell r="K8280" t="str">
            <v>Applegate,Trent E</v>
          </cell>
          <cell r="N8280">
            <v>3.4870000000000001</v>
          </cell>
          <cell r="O8280">
            <v>2.8969999999999998</v>
          </cell>
        </row>
        <row r="8281">
          <cell r="E8281" t="str">
            <v>HPER</v>
          </cell>
          <cell r="F8281" t="str">
            <v>HPER-H</v>
          </cell>
          <cell r="G8281">
            <v>174</v>
          </cell>
          <cell r="H8281" t="str">
            <v>HPER-H174</v>
          </cell>
          <cell r="K8281" t="str">
            <v>Applegate,Trent E</v>
          </cell>
          <cell r="N8281">
            <v>3.4529999999999998</v>
          </cell>
          <cell r="O8281">
            <v>2.948</v>
          </cell>
        </row>
        <row r="8282">
          <cell r="E8282" t="str">
            <v>HPER</v>
          </cell>
          <cell r="F8282" t="str">
            <v>HPER-H</v>
          </cell>
          <cell r="G8282">
            <v>174</v>
          </cell>
          <cell r="H8282" t="str">
            <v>HPER-H174</v>
          </cell>
          <cell r="K8282" t="str">
            <v>Holmes,Cheryl Lynn</v>
          </cell>
          <cell r="N8282">
            <v>3.0310000000000001</v>
          </cell>
          <cell r="O8282">
            <v>2.677</v>
          </cell>
        </row>
        <row r="8283">
          <cell r="E8283" t="str">
            <v>HPER</v>
          </cell>
          <cell r="F8283" t="str">
            <v>HPER-H</v>
          </cell>
          <cell r="G8283">
            <v>180</v>
          </cell>
          <cell r="H8283" t="str">
            <v>HPER-H180</v>
          </cell>
          <cell r="K8283" t="str">
            <v>Borrero,Lisa</v>
          </cell>
          <cell r="N8283">
            <v>2.78</v>
          </cell>
          <cell r="O8283">
            <v>2.7</v>
          </cell>
        </row>
        <row r="8284">
          <cell r="E8284" t="str">
            <v>HPER</v>
          </cell>
          <cell r="F8284" t="str">
            <v>HPER-H</v>
          </cell>
          <cell r="G8284">
            <v>180</v>
          </cell>
          <cell r="H8284" t="str">
            <v>HPER-H180</v>
          </cell>
          <cell r="K8284" t="str">
            <v>Bowman,Sean Michael</v>
          </cell>
          <cell r="N8284">
            <v>3.9550000000000001</v>
          </cell>
          <cell r="O8284">
            <v>3.1859999999999999</v>
          </cell>
        </row>
        <row r="8285">
          <cell r="E8285" t="str">
            <v>HPER</v>
          </cell>
          <cell r="F8285" t="str">
            <v>HPER-H</v>
          </cell>
          <cell r="G8285">
            <v>180</v>
          </cell>
          <cell r="H8285" t="str">
            <v>HPER-H180</v>
          </cell>
          <cell r="K8285" t="str">
            <v>Goetze,Desiree D</v>
          </cell>
          <cell r="N8285">
            <v>3.7909999999999999</v>
          </cell>
          <cell r="O8285">
            <v>3.1150000000000002</v>
          </cell>
        </row>
        <row r="8286">
          <cell r="E8286" t="str">
            <v>HPER</v>
          </cell>
          <cell r="F8286" t="str">
            <v>HPER-H</v>
          </cell>
          <cell r="G8286">
            <v>180</v>
          </cell>
          <cell r="H8286" t="str">
            <v>HPER-H180</v>
          </cell>
          <cell r="K8286" t="str">
            <v>Hubach,Randolph Duane</v>
          </cell>
          <cell r="N8286">
            <v>3.3319999999999999</v>
          </cell>
          <cell r="O8286">
            <v>2.79</v>
          </cell>
        </row>
        <row r="8287">
          <cell r="E8287" t="str">
            <v>HPER</v>
          </cell>
          <cell r="F8287" t="str">
            <v>HPER-H</v>
          </cell>
          <cell r="G8287">
            <v>180</v>
          </cell>
          <cell r="H8287" t="str">
            <v>HPER-H180</v>
          </cell>
          <cell r="K8287" t="str">
            <v>Jayawardene,Wasantha Parakrama</v>
          </cell>
          <cell r="N8287">
            <v>3.056</v>
          </cell>
          <cell r="O8287">
            <v>2.85</v>
          </cell>
        </row>
        <row r="8288">
          <cell r="E8288" t="str">
            <v>HPER</v>
          </cell>
          <cell r="F8288" t="str">
            <v>HPER-H</v>
          </cell>
          <cell r="G8288">
            <v>180</v>
          </cell>
          <cell r="H8288" t="str">
            <v>HPER-H180</v>
          </cell>
          <cell r="K8288" t="str">
            <v>Jones,Aaron David</v>
          </cell>
          <cell r="N8288">
            <v>3.2040000000000002</v>
          </cell>
          <cell r="O8288">
            <v>2.8119999999999998</v>
          </cell>
        </row>
        <row r="8289">
          <cell r="E8289" t="str">
            <v>HPER</v>
          </cell>
          <cell r="F8289" t="str">
            <v>HPER-H</v>
          </cell>
          <cell r="G8289">
            <v>180</v>
          </cell>
          <cell r="H8289" t="str">
            <v>HPER-H180</v>
          </cell>
          <cell r="K8289" t="str">
            <v>Lee,Chung Gun</v>
          </cell>
          <cell r="N8289">
            <v>3.25</v>
          </cell>
          <cell r="O8289">
            <v>2.8980000000000001</v>
          </cell>
        </row>
        <row r="8290">
          <cell r="E8290" t="str">
            <v>HPER</v>
          </cell>
          <cell r="F8290" t="str">
            <v>HPER-H</v>
          </cell>
          <cell r="G8290">
            <v>180</v>
          </cell>
          <cell r="H8290" t="str">
            <v>HPER-H180</v>
          </cell>
          <cell r="K8290" t="str">
            <v>Lee,Chung Gun</v>
          </cell>
          <cell r="N8290">
            <v>3.673</v>
          </cell>
          <cell r="O8290">
            <v>3.1829999999999998</v>
          </cell>
        </row>
        <row r="8291">
          <cell r="E8291" t="str">
            <v>HPER</v>
          </cell>
          <cell r="F8291" t="str">
            <v>HPER-H</v>
          </cell>
          <cell r="G8291">
            <v>180</v>
          </cell>
          <cell r="H8291" t="str">
            <v>HPER-H180</v>
          </cell>
          <cell r="K8291" t="str">
            <v>McDonald,Jessica Alene</v>
          </cell>
          <cell r="N8291">
            <v>3.3090000000000002</v>
          </cell>
          <cell r="O8291">
            <v>2.6680000000000001</v>
          </cell>
        </row>
        <row r="8292">
          <cell r="E8292" t="str">
            <v>HPER</v>
          </cell>
          <cell r="F8292" t="str">
            <v>HPER-H</v>
          </cell>
          <cell r="G8292">
            <v>180</v>
          </cell>
          <cell r="H8292" t="str">
            <v>HPER-H180</v>
          </cell>
          <cell r="K8292" t="str">
            <v>Nyawade,Susan Akoth</v>
          </cell>
          <cell r="N8292">
            <v>3.4</v>
          </cell>
          <cell r="O8292">
            <v>2.9990000000000001</v>
          </cell>
        </row>
        <row r="8293">
          <cell r="E8293" t="str">
            <v>HPER</v>
          </cell>
          <cell r="F8293" t="str">
            <v>HPER-H</v>
          </cell>
          <cell r="G8293">
            <v>180</v>
          </cell>
          <cell r="H8293" t="str">
            <v>HPER-H180</v>
          </cell>
          <cell r="K8293" t="str">
            <v>Olcott,Courtney Owyn</v>
          </cell>
          <cell r="N8293">
            <v>3.218</v>
          </cell>
          <cell r="O8293">
            <v>2.7909999999999999</v>
          </cell>
        </row>
        <row r="8294">
          <cell r="E8294" t="str">
            <v>HPER</v>
          </cell>
          <cell r="F8294" t="str">
            <v>HPER-H</v>
          </cell>
          <cell r="G8294">
            <v>180</v>
          </cell>
          <cell r="H8294" t="str">
            <v>HPER-H180</v>
          </cell>
          <cell r="K8294" t="str">
            <v>Peters,Jon Carey</v>
          </cell>
          <cell r="N8294">
            <v>3.044</v>
          </cell>
          <cell r="O8294">
            <v>2.8380000000000001</v>
          </cell>
        </row>
        <row r="8295">
          <cell r="E8295" t="str">
            <v>HPER</v>
          </cell>
          <cell r="F8295" t="str">
            <v>HPER-H</v>
          </cell>
          <cell r="G8295">
            <v>180</v>
          </cell>
          <cell r="H8295" t="str">
            <v>HPER-H180</v>
          </cell>
          <cell r="K8295" t="str">
            <v>Peters,Jon Carey</v>
          </cell>
          <cell r="N8295">
            <v>3.133</v>
          </cell>
          <cell r="O8295">
            <v>3.1949999999999998</v>
          </cell>
        </row>
        <row r="8296">
          <cell r="E8296" t="str">
            <v>HPER</v>
          </cell>
          <cell r="F8296" t="str">
            <v>HPER-H</v>
          </cell>
          <cell r="G8296">
            <v>180</v>
          </cell>
          <cell r="H8296" t="str">
            <v>HPER-H180</v>
          </cell>
          <cell r="K8296" t="str">
            <v>Peters,Jon Carey</v>
          </cell>
          <cell r="N8296">
            <v>3.202</v>
          </cell>
          <cell r="O8296">
            <v>3.1850000000000001</v>
          </cell>
        </row>
        <row r="8297">
          <cell r="E8297" t="str">
            <v>HPER</v>
          </cell>
          <cell r="F8297" t="str">
            <v>HPER-H</v>
          </cell>
          <cell r="G8297">
            <v>180</v>
          </cell>
          <cell r="H8297" t="str">
            <v>HPER-H180</v>
          </cell>
          <cell r="K8297" t="str">
            <v>Saccone,Roberta (Bobbie) H.</v>
          </cell>
          <cell r="N8297">
            <v>3.6789999999999998</v>
          </cell>
          <cell r="O8297">
            <v>2.9660000000000002</v>
          </cell>
        </row>
        <row r="8298">
          <cell r="E8298" t="str">
            <v>HPER</v>
          </cell>
          <cell r="F8298" t="str">
            <v>HPER-H</v>
          </cell>
          <cell r="G8298">
            <v>180</v>
          </cell>
          <cell r="H8298" t="str">
            <v>HPER-H180</v>
          </cell>
          <cell r="K8298" t="str">
            <v>Zhao,Xueyin</v>
          </cell>
          <cell r="N8298">
            <v>3.4289999999999998</v>
          </cell>
          <cell r="O8298">
            <v>2.7669999999999999</v>
          </cell>
        </row>
        <row r="8299">
          <cell r="E8299" t="str">
            <v>HPER</v>
          </cell>
          <cell r="F8299" t="str">
            <v>HPER-H</v>
          </cell>
          <cell r="G8299">
            <v>205</v>
          </cell>
          <cell r="H8299" t="str">
            <v>HPER-H205</v>
          </cell>
          <cell r="K8299" t="str">
            <v>DeWitt,Natalie Kristine</v>
          </cell>
          <cell r="N8299" t="str">
            <v>NR</v>
          </cell>
          <cell r="O8299" t="str">
            <v>NR</v>
          </cell>
        </row>
        <row r="8300">
          <cell r="E8300" t="str">
            <v>HPER</v>
          </cell>
          <cell r="F8300" t="str">
            <v>HPER-H</v>
          </cell>
          <cell r="G8300">
            <v>205</v>
          </cell>
          <cell r="H8300" t="str">
            <v>HPER-H205</v>
          </cell>
          <cell r="K8300" t="str">
            <v>Shipley,Meagan Michelle</v>
          </cell>
          <cell r="N8300" t="str">
            <v>NR</v>
          </cell>
          <cell r="O8300" t="str">
            <v>NR</v>
          </cell>
        </row>
        <row r="8301">
          <cell r="E8301" t="str">
            <v>HPER</v>
          </cell>
          <cell r="F8301" t="str">
            <v>HPER-H</v>
          </cell>
          <cell r="G8301">
            <v>220</v>
          </cell>
          <cell r="H8301" t="str">
            <v>HPER-H220</v>
          </cell>
          <cell r="K8301" t="str">
            <v>Kay,Noy S.</v>
          </cell>
          <cell r="N8301">
            <v>3.4380000000000002</v>
          </cell>
          <cell r="O8301">
            <v>3.0819999999999999</v>
          </cell>
        </row>
        <row r="8302">
          <cell r="E8302" t="str">
            <v>HPER</v>
          </cell>
          <cell r="F8302" t="str">
            <v>HPER-H</v>
          </cell>
          <cell r="G8302">
            <v>220</v>
          </cell>
          <cell r="H8302" t="str">
            <v>HPER-H220</v>
          </cell>
          <cell r="K8302" t="str">
            <v>Kay,Noy S.</v>
          </cell>
          <cell r="N8302">
            <v>3.9950000000000001</v>
          </cell>
          <cell r="O8302">
            <v>3.024</v>
          </cell>
        </row>
        <row r="8303">
          <cell r="E8303" t="str">
            <v>HPER</v>
          </cell>
          <cell r="F8303" t="str">
            <v>HPER-H</v>
          </cell>
          <cell r="G8303">
            <v>234</v>
          </cell>
          <cell r="H8303" t="str">
            <v>HPER-H234</v>
          </cell>
          <cell r="K8303" t="str">
            <v>Morse,Martha Camille</v>
          </cell>
          <cell r="N8303">
            <v>3.673</v>
          </cell>
          <cell r="O8303">
            <v>2.8050000000000002</v>
          </cell>
        </row>
        <row r="8304">
          <cell r="E8304" t="str">
            <v>HPER</v>
          </cell>
          <cell r="F8304" t="str">
            <v>HPER-H</v>
          </cell>
          <cell r="G8304">
            <v>235</v>
          </cell>
          <cell r="H8304" t="str">
            <v>HPER-H235</v>
          </cell>
          <cell r="K8304" t="str">
            <v>Ray,Shahla</v>
          </cell>
          <cell r="N8304">
            <v>3.12</v>
          </cell>
          <cell r="O8304">
            <v>3.0059999999999998</v>
          </cell>
        </row>
        <row r="8305">
          <cell r="E8305" t="str">
            <v>HPER</v>
          </cell>
          <cell r="F8305" t="str">
            <v>HPER-H</v>
          </cell>
          <cell r="G8305">
            <v>235</v>
          </cell>
          <cell r="H8305" t="str">
            <v>HPER-H235</v>
          </cell>
          <cell r="K8305" t="str">
            <v>Ray,Shahla</v>
          </cell>
          <cell r="N8305">
            <v>3.3130000000000002</v>
          </cell>
          <cell r="O8305">
            <v>3.0129999999999999</v>
          </cell>
        </row>
        <row r="8306">
          <cell r="E8306" t="str">
            <v>HPER</v>
          </cell>
          <cell r="F8306" t="str">
            <v>HPER-H</v>
          </cell>
          <cell r="G8306">
            <v>263</v>
          </cell>
          <cell r="H8306" t="str">
            <v>HPER-H263</v>
          </cell>
          <cell r="K8306" t="str">
            <v>Alton,Rebecca Leed</v>
          </cell>
          <cell r="N8306">
            <v>3.4279999999999999</v>
          </cell>
          <cell r="O8306">
            <v>2.9079999999999999</v>
          </cell>
        </row>
        <row r="8307">
          <cell r="E8307" t="str">
            <v>HPER</v>
          </cell>
          <cell r="F8307" t="str">
            <v>HPER-H</v>
          </cell>
          <cell r="G8307">
            <v>263</v>
          </cell>
          <cell r="H8307" t="str">
            <v>HPER-H263</v>
          </cell>
          <cell r="K8307" t="str">
            <v>Chen,Brian</v>
          </cell>
          <cell r="N8307">
            <v>3.339</v>
          </cell>
          <cell r="O8307">
            <v>2.8889999999999998</v>
          </cell>
        </row>
        <row r="8308">
          <cell r="E8308" t="str">
            <v>HPER</v>
          </cell>
          <cell r="F8308" t="str">
            <v>HPER-H</v>
          </cell>
          <cell r="G8308">
            <v>263</v>
          </cell>
          <cell r="H8308" t="str">
            <v>HPER-H263</v>
          </cell>
          <cell r="K8308" t="str">
            <v>Chen,Brian</v>
          </cell>
          <cell r="N8308">
            <v>2.8889999999999998</v>
          </cell>
          <cell r="O8308">
            <v>2.7090000000000001</v>
          </cell>
        </row>
        <row r="8309">
          <cell r="E8309" t="str">
            <v>HPER</v>
          </cell>
          <cell r="F8309" t="str">
            <v>HPER-H</v>
          </cell>
          <cell r="G8309">
            <v>263</v>
          </cell>
          <cell r="H8309" t="str">
            <v>HPER-H263</v>
          </cell>
          <cell r="K8309" t="str">
            <v>Coe,Ellen Elisabeth</v>
          </cell>
          <cell r="N8309">
            <v>3.4630000000000001</v>
          </cell>
          <cell r="O8309">
            <v>3.0329999999999999</v>
          </cell>
        </row>
        <row r="8310">
          <cell r="E8310" t="str">
            <v>HPER</v>
          </cell>
          <cell r="F8310" t="str">
            <v>HPER-H</v>
          </cell>
          <cell r="G8310">
            <v>263</v>
          </cell>
          <cell r="H8310" t="str">
            <v>HPER-H263</v>
          </cell>
          <cell r="K8310" t="str">
            <v>Collazo,Erika Margarita</v>
          </cell>
          <cell r="N8310">
            <v>3.7029999999999998</v>
          </cell>
          <cell r="O8310">
            <v>3.125</v>
          </cell>
        </row>
        <row r="8311">
          <cell r="E8311" t="str">
            <v>HPER</v>
          </cell>
          <cell r="F8311" t="str">
            <v>HPER-H</v>
          </cell>
          <cell r="G8311">
            <v>263</v>
          </cell>
          <cell r="H8311" t="str">
            <v>HPER-H263</v>
          </cell>
          <cell r="K8311" t="str">
            <v>Daniels Jr,Dennis Eugene Nash</v>
          </cell>
          <cell r="N8311">
            <v>3.7440000000000002</v>
          </cell>
          <cell r="O8311">
            <v>3.1389999999999998</v>
          </cell>
        </row>
        <row r="8312">
          <cell r="E8312" t="str">
            <v>HPER</v>
          </cell>
          <cell r="F8312" t="str">
            <v>HPER-H</v>
          </cell>
          <cell r="G8312">
            <v>263</v>
          </cell>
          <cell r="H8312" t="str">
            <v>HPER-H263</v>
          </cell>
          <cell r="K8312" t="str">
            <v>Doss,Darleesa Marcelle</v>
          </cell>
          <cell r="N8312">
            <v>2.64</v>
          </cell>
          <cell r="O8312">
            <v>2.54</v>
          </cell>
        </row>
        <row r="8313">
          <cell r="E8313" t="str">
            <v>HPER</v>
          </cell>
          <cell r="F8313" t="str">
            <v>HPER-H</v>
          </cell>
          <cell r="G8313">
            <v>263</v>
          </cell>
          <cell r="H8313" t="str">
            <v>HPER-H263</v>
          </cell>
          <cell r="K8313" t="str">
            <v>Emetu,Bobbie Ezinma</v>
          </cell>
          <cell r="N8313">
            <v>3.6429999999999998</v>
          </cell>
          <cell r="O8313">
            <v>3.0649999999999999</v>
          </cell>
        </row>
        <row r="8314">
          <cell r="E8314" t="str">
            <v>HPER</v>
          </cell>
          <cell r="F8314" t="str">
            <v>HPER-H</v>
          </cell>
          <cell r="G8314">
            <v>263</v>
          </cell>
          <cell r="H8314" t="str">
            <v>HPER-H263</v>
          </cell>
          <cell r="K8314" t="str">
            <v>Finley,Kathy Lyn</v>
          </cell>
          <cell r="N8314">
            <v>3.339</v>
          </cell>
          <cell r="O8314">
            <v>2.99</v>
          </cell>
        </row>
        <row r="8315">
          <cell r="E8315" t="str">
            <v>HPER</v>
          </cell>
          <cell r="F8315" t="str">
            <v>HPER-H</v>
          </cell>
          <cell r="G8315">
            <v>263</v>
          </cell>
          <cell r="H8315" t="str">
            <v>HPER-H263</v>
          </cell>
          <cell r="K8315" t="str">
            <v>Finley,Kathy Lyn</v>
          </cell>
          <cell r="N8315">
            <v>2.9820000000000002</v>
          </cell>
          <cell r="O8315">
            <v>2.9870000000000001</v>
          </cell>
        </row>
        <row r="8316">
          <cell r="E8316" t="str">
            <v>HPER</v>
          </cell>
          <cell r="F8316" t="str">
            <v>HPER-H</v>
          </cell>
          <cell r="G8316">
            <v>263</v>
          </cell>
          <cell r="H8316" t="str">
            <v>HPER-H263</v>
          </cell>
          <cell r="K8316" t="str">
            <v>Jawed-Wessel,Sofia Kunwal</v>
          </cell>
          <cell r="N8316">
            <v>3.44</v>
          </cell>
          <cell r="O8316">
            <v>3.0470000000000002</v>
          </cell>
        </row>
        <row r="8317">
          <cell r="E8317" t="str">
            <v>HPER</v>
          </cell>
          <cell r="F8317" t="str">
            <v>HPER-H</v>
          </cell>
          <cell r="G8317">
            <v>263</v>
          </cell>
          <cell r="H8317" t="str">
            <v>HPER-H263</v>
          </cell>
          <cell r="K8317" t="str">
            <v>Jayawardene,Wasantha Parakrama</v>
          </cell>
          <cell r="N8317">
            <v>3.472</v>
          </cell>
          <cell r="O8317">
            <v>3.09</v>
          </cell>
        </row>
        <row r="8318">
          <cell r="E8318" t="str">
            <v>HPER</v>
          </cell>
          <cell r="F8318" t="str">
            <v>HPER-H</v>
          </cell>
          <cell r="G8318">
            <v>263</v>
          </cell>
          <cell r="H8318" t="str">
            <v>HPER-H263</v>
          </cell>
          <cell r="K8318" t="str">
            <v>Kim,Nayoung</v>
          </cell>
          <cell r="N8318">
            <v>3.2679999999999998</v>
          </cell>
          <cell r="O8318">
            <v>2.91</v>
          </cell>
        </row>
        <row r="8319">
          <cell r="E8319" t="str">
            <v>HPER</v>
          </cell>
          <cell r="F8319" t="str">
            <v>HPER-H</v>
          </cell>
          <cell r="G8319">
            <v>263</v>
          </cell>
          <cell r="H8319" t="str">
            <v>HPER-H263</v>
          </cell>
          <cell r="K8319" t="str">
            <v>Lee,Hsiao-Yun</v>
          </cell>
          <cell r="N8319">
            <v>3.47</v>
          </cell>
          <cell r="O8319">
            <v>2.95</v>
          </cell>
        </row>
        <row r="8320">
          <cell r="E8320" t="str">
            <v>HPER</v>
          </cell>
          <cell r="F8320" t="str">
            <v>HPER-H</v>
          </cell>
          <cell r="G8320">
            <v>263</v>
          </cell>
          <cell r="H8320" t="str">
            <v>HPER-H263</v>
          </cell>
          <cell r="K8320" t="str">
            <v>Mayo,Tilicia L</v>
          </cell>
          <cell r="N8320">
            <v>3.11</v>
          </cell>
          <cell r="O8320">
            <v>2.8439999999999999</v>
          </cell>
        </row>
        <row r="8321">
          <cell r="E8321" t="str">
            <v>HPER</v>
          </cell>
          <cell r="F8321" t="str">
            <v>HPER-H</v>
          </cell>
          <cell r="G8321">
            <v>263</v>
          </cell>
          <cell r="H8321" t="str">
            <v>HPER-H263</v>
          </cell>
          <cell r="K8321" t="str">
            <v>McDonald,Jessica Alene</v>
          </cell>
          <cell r="N8321">
            <v>3.4550000000000001</v>
          </cell>
          <cell r="O8321">
            <v>3.0379999999999998</v>
          </cell>
        </row>
        <row r="8322">
          <cell r="E8322" t="str">
            <v>HPER</v>
          </cell>
          <cell r="F8322" t="str">
            <v>HPER-H</v>
          </cell>
          <cell r="G8322">
            <v>263</v>
          </cell>
          <cell r="H8322" t="str">
            <v>HPER-H263</v>
          </cell>
          <cell r="K8322" t="str">
            <v>Niu,Jingjing</v>
          </cell>
          <cell r="N8322">
            <v>3.569</v>
          </cell>
          <cell r="O8322">
            <v>3.0150000000000001</v>
          </cell>
        </row>
        <row r="8323">
          <cell r="E8323" t="str">
            <v>HPER</v>
          </cell>
          <cell r="F8323" t="str">
            <v>HPER-H</v>
          </cell>
          <cell r="G8323">
            <v>263</v>
          </cell>
          <cell r="H8323" t="str">
            <v>HPER-H263</v>
          </cell>
          <cell r="K8323" t="str">
            <v>Nolting,Tyler Marcus</v>
          </cell>
          <cell r="N8323">
            <v>2.9129999999999998</v>
          </cell>
          <cell r="O8323">
            <v>2.714</v>
          </cell>
        </row>
        <row r="8324">
          <cell r="E8324" t="str">
            <v>HPER</v>
          </cell>
          <cell r="F8324" t="str">
            <v>HPER-H</v>
          </cell>
          <cell r="G8324">
            <v>263</v>
          </cell>
          <cell r="H8324" t="str">
            <v>HPER-H263</v>
          </cell>
          <cell r="K8324" t="str">
            <v>Rebman,Rebecca Leed</v>
          </cell>
          <cell r="N8324">
            <v>2.5939999999999999</v>
          </cell>
          <cell r="O8324">
            <v>2.8149999999999999</v>
          </cell>
        </row>
        <row r="8325">
          <cell r="E8325" t="str">
            <v>HPER</v>
          </cell>
          <cell r="F8325" t="str">
            <v>HPER-H</v>
          </cell>
          <cell r="G8325">
            <v>263</v>
          </cell>
          <cell r="H8325" t="str">
            <v>HPER-H263</v>
          </cell>
          <cell r="K8325" t="str">
            <v>Shipley,Meagan Michelle</v>
          </cell>
          <cell r="N8325">
            <v>3.2189999999999999</v>
          </cell>
          <cell r="O8325">
            <v>2.8239999999999998</v>
          </cell>
        </row>
        <row r="8326">
          <cell r="E8326" t="str">
            <v>HPER</v>
          </cell>
          <cell r="F8326" t="str">
            <v>HPER-H</v>
          </cell>
          <cell r="G8326">
            <v>263</v>
          </cell>
          <cell r="H8326" t="str">
            <v>HPER-H263</v>
          </cell>
          <cell r="K8326" t="str">
            <v>Wachira,Juddy Wanjiru</v>
          </cell>
          <cell r="N8326">
            <v>3.5230000000000001</v>
          </cell>
          <cell r="O8326">
            <v>3.1110000000000002</v>
          </cell>
        </row>
        <row r="8327">
          <cell r="E8327" t="str">
            <v>HPER</v>
          </cell>
          <cell r="F8327" t="str">
            <v>HPER-H</v>
          </cell>
          <cell r="G8327">
            <v>263</v>
          </cell>
          <cell r="H8327" t="str">
            <v>HPER-H263</v>
          </cell>
          <cell r="K8327" t="str">
            <v>Weinstein,Melissa</v>
          </cell>
          <cell r="N8327">
            <v>3.589</v>
          </cell>
          <cell r="O8327">
            <v>2.9039999999999999</v>
          </cell>
        </row>
        <row r="8328">
          <cell r="E8328" t="str">
            <v>HPER</v>
          </cell>
          <cell r="F8328" t="str">
            <v>HPER-H</v>
          </cell>
          <cell r="G8328">
            <v>263</v>
          </cell>
          <cell r="H8328" t="str">
            <v>HPER-H263</v>
          </cell>
          <cell r="K8328" t="str">
            <v>Yu,Zuojin</v>
          </cell>
          <cell r="N8328">
            <v>3.3359999999999999</v>
          </cell>
          <cell r="O8328">
            <v>3.024</v>
          </cell>
        </row>
        <row r="8329">
          <cell r="E8329" t="str">
            <v>HPER</v>
          </cell>
          <cell r="F8329" t="str">
            <v>HPER-H</v>
          </cell>
          <cell r="G8329">
            <v>305</v>
          </cell>
          <cell r="H8329" t="str">
            <v>HPER-H305</v>
          </cell>
          <cell r="K8329" t="str">
            <v>Ellis,Nancy Theresa</v>
          </cell>
          <cell r="N8329">
            <v>3.1309999999999998</v>
          </cell>
          <cell r="O8329">
            <v>3.093</v>
          </cell>
        </row>
        <row r="8330">
          <cell r="E8330" t="str">
            <v>HPER</v>
          </cell>
          <cell r="F8330" t="str">
            <v>HPER-H</v>
          </cell>
          <cell r="G8330">
            <v>305</v>
          </cell>
          <cell r="H8330" t="str">
            <v>HPER-H305</v>
          </cell>
          <cell r="K8330" t="str">
            <v>Ellis,Nancy Theresa</v>
          </cell>
          <cell r="N8330">
            <v>2.9390000000000001</v>
          </cell>
          <cell r="O8330">
            <v>3.036</v>
          </cell>
        </row>
        <row r="8331">
          <cell r="E8331" t="str">
            <v>HPER</v>
          </cell>
          <cell r="F8331" t="str">
            <v>HPER-H</v>
          </cell>
          <cell r="G8331">
            <v>305</v>
          </cell>
          <cell r="H8331" t="str">
            <v>HPER-H305</v>
          </cell>
          <cell r="K8331" t="str">
            <v>Ellis,Nancy Theresa</v>
          </cell>
          <cell r="N8331">
            <v>2.78</v>
          </cell>
          <cell r="O8331">
            <v>2.9590000000000001</v>
          </cell>
        </row>
        <row r="8332">
          <cell r="E8332" t="str">
            <v>HPER</v>
          </cell>
          <cell r="F8332" t="str">
            <v>HPER-H</v>
          </cell>
          <cell r="G8332">
            <v>305</v>
          </cell>
          <cell r="H8332" t="str">
            <v>HPER-H305</v>
          </cell>
          <cell r="K8332" t="str">
            <v>Holtkamp,Shayla Crider</v>
          </cell>
          <cell r="N8332">
            <v>3.1080000000000001</v>
          </cell>
          <cell r="O8332">
            <v>2.95</v>
          </cell>
        </row>
        <row r="8333">
          <cell r="E8333" t="str">
            <v>HPER</v>
          </cell>
          <cell r="F8333" t="str">
            <v>HPER-H</v>
          </cell>
          <cell r="G8333">
            <v>305</v>
          </cell>
          <cell r="H8333" t="str">
            <v>HPER-H305</v>
          </cell>
          <cell r="K8333" t="str">
            <v>Holtkamp,Shayla Crider</v>
          </cell>
          <cell r="N8333">
            <v>3.0139999999999998</v>
          </cell>
          <cell r="O8333">
            <v>2.8079999999999998</v>
          </cell>
        </row>
        <row r="8334">
          <cell r="E8334" t="str">
            <v>HPER</v>
          </cell>
          <cell r="F8334" t="str">
            <v>HPER-H</v>
          </cell>
          <cell r="G8334">
            <v>305</v>
          </cell>
          <cell r="H8334" t="str">
            <v>HPER-H305</v>
          </cell>
          <cell r="K8334" t="str">
            <v>Mullinax,Margo Bennett</v>
          </cell>
          <cell r="N8334">
            <v>3.4049999999999998</v>
          </cell>
          <cell r="O8334">
            <v>3.04</v>
          </cell>
        </row>
        <row r="8335">
          <cell r="E8335" t="str">
            <v>HPER</v>
          </cell>
          <cell r="F8335" t="str">
            <v>HPER-H</v>
          </cell>
          <cell r="G8335">
            <v>305</v>
          </cell>
          <cell r="H8335" t="str">
            <v>HPER-H305</v>
          </cell>
          <cell r="K8335" t="str">
            <v>Pearson,Willena</v>
          </cell>
          <cell r="N8335">
            <v>3.7370000000000001</v>
          </cell>
          <cell r="O8335">
            <v>2.964</v>
          </cell>
        </row>
        <row r="8336">
          <cell r="E8336" t="str">
            <v>HPER</v>
          </cell>
          <cell r="F8336" t="str">
            <v>HPER-H</v>
          </cell>
          <cell r="G8336">
            <v>305</v>
          </cell>
          <cell r="H8336" t="str">
            <v>HPER-H305</v>
          </cell>
          <cell r="K8336" t="str">
            <v>Pearson,Willena</v>
          </cell>
          <cell r="N8336">
            <v>3.5649999999999999</v>
          </cell>
          <cell r="O8336">
            <v>2.984</v>
          </cell>
        </row>
        <row r="8337">
          <cell r="E8337" t="str">
            <v>HPER</v>
          </cell>
          <cell r="F8337" t="str">
            <v>HPER-H</v>
          </cell>
          <cell r="G8337">
            <v>306</v>
          </cell>
          <cell r="H8337" t="str">
            <v>HPER-H306</v>
          </cell>
          <cell r="K8337" t="str">
            <v>Nolting,Tyler Marcus</v>
          </cell>
          <cell r="N8337">
            <v>3.3460000000000001</v>
          </cell>
          <cell r="O8337">
            <v>2.81</v>
          </cell>
        </row>
        <row r="8338">
          <cell r="E8338" t="str">
            <v>HPER</v>
          </cell>
          <cell r="F8338" t="str">
            <v>HPER-H</v>
          </cell>
          <cell r="G8338">
            <v>306</v>
          </cell>
          <cell r="H8338" t="str">
            <v>HPER-H306</v>
          </cell>
          <cell r="K8338" t="str">
            <v>Pearson,Willena</v>
          </cell>
          <cell r="N8338">
            <v>3.6070000000000002</v>
          </cell>
          <cell r="O8338">
            <v>2.8980000000000001</v>
          </cell>
        </row>
        <row r="8339">
          <cell r="E8339" t="str">
            <v>HPER</v>
          </cell>
          <cell r="F8339" t="str">
            <v>HPER-H</v>
          </cell>
          <cell r="G8339">
            <v>306</v>
          </cell>
          <cell r="H8339" t="str">
            <v>HPER-H306</v>
          </cell>
          <cell r="K8339" t="str">
            <v>Pearson,Willena</v>
          </cell>
          <cell r="N8339">
            <v>3.3570000000000002</v>
          </cell>
          <cell r="O8339">
            <v>2.7549999999999999</v>
          </cell>
        </row>
        <row r="8340">
          <cell r="E8340" t="str">
            <v>HPER</v>
          </cell>
          <cell r="F8340" t="str">
            <v>HPER-H</v>
          </cell>
          <cell r="G8340">
            <v>306</v>
          </cell>
          <cell r="H8340" t="str">
            <v>HPER-H306</v>
          </cell>
          <cell r="K8340" t="str">
            <v>Wang,Chunyun</v>
          </cell>
          <cell r="N8340">
            <v>3.17</v>
          </cell>
          <cell r="O8340">
            <v>2.8660000000000001</v>
          </cell>
        </row>
        <row r="8341">
          <cell r="E8341" t="str">
            <v>HPER</v>
          </cell>
          <cell r="F8341" t="str">
            <v>HPER-H</v>
          </cell>
          <cell r="G8341">
            <v>311</v>
          </cell>
          <cell r="H8341" t="str">
            <v>HPER-H311</v>
          </cell>
          <cell r="K8341" t="str">
            <v>BlueEye,LaDonna Jessie</v>
          </cell>
          <cell r="N8341">
            <v>3.3809999999999998</v>
          </cell>
          <cell r="O8341">
            <v>2.948</v>
          </cell>
        </row>
        <row r="8342">
          <cell r="E8342" t="str">
            <v>HPER</v>
          </cell>
          <cell r="F8342" t="str">
            <v>HPER-H</v>
          </cell>
          <cell r="G8342">
            <v>311</v>
          </cell>
          <cell r="H8342" t="str">
            <v>HPER-H311</v>
          </cell>
          <cell r="K8342" t="str">
            <v>Githiri,Virginia Tati</v>
          </cell>
          <cell r="N8342">
            <v>3.7250000000000001</v>
          </cell>
          <cell r="O8342">
            <v>3.1219999999999999</v>
          </cell>
        </row>
        <row r="8343">
          <cell r="E8343" t="str">
            <v>HPER</v>
          </cell>
          <cell r="F8343" t="str">
            <v>HPER-H</v>
          </cell>
          <cell r="G8343">
            <v>311</v>
          </cell>
          <cell r="H8343" t="str">
            <v>HPER-H311</v>
          </cell>
          <cell r="K8343" t="str">
            <v>VanDeventer,Vickie Lynn</v>
          </cell>
          <cell r="N8343">
            <v>3.5230000000000001</v>
          </cell>
          <cell r="O8343">
            <v>3.0760000000000001</v>
          </cell>
        </row>
        <row r="8344">
          <cell r="E8344" t="str">
            <v>HPER</v>
          </cell>
          <cell r="F8344" t="str">
            <v>HPER-H</v>
          </cell>
          <cell r="G8344">
            <v>315</v>
          </cell>
          <cell r="H8344" t="str">
            <v>HPER-H315</v>
          </cell>
          <cell r="K8344" t="str">
            <v>Edwards,Logan A</v>
          </cell>
          <cell r="N8344">
            <v>4</v>
          </cell>
          <cell r="O8344">
            <v>2.863</v>
          </cell>
        </row>
        <row r="8345">
          <cell r="E8345" t="str">
            <v>HPER</v>
          </cell>
          <cell r="F8345" t="str">
            <v>HPER-H</v>
          </cell>
          <cell r="G8345">
            <v>315</v>
          </cell>
          <cell r="H8345" t="str">
            <v>HPER-H315</v>
          </cell>
          <cell r="K8345" t="str">
            <v>Huang,Yan</v>
          </cell>
          <cell r="N8345">
            <v>3.633</v>
          </cell>
          <cell r="O8345">
            <v>2.77</v>
          </cell>
        </row>
        <row r="8346">
          <cell r="E8346" t="str">
            <v>HPER</v>
          </cell>
          <cell r="F8346" t="str">
            <v>HPER-H</v>
          </cell>
          <cell r="G8346">
            <v>315</v>
          </cell>
          <cell r="H8346" t="str">
            <v>HPER-H315</v>
          </cell>
          <cell r="K8346" t="str">
            <v>Kingori,Caroline Mugure</v>
          </cell>
          <cell r="N8346">
            <v>3.0739999999999998</v>
          </cell>
          <cell r="O8346">
            <v>2.7730000000000001</v>
          </cell>
        </row>
        <row r="8347">
          <cell r="E8347" t="str">
            <v>HPER</v>
          </cell>
          <cell r="F8347" t="str">
            <v>HPER-H</v>
          </cell>
          <cell r="G8347">
            <v>315</v>
          </cell>
          <cell r="H8347" t="str">
            <v>HPER-H315</v>
          </cell>
          <cell r="K8347" t="str">
            <v>Olcott,Courtney Owyn</v>
          </cell>
          <cell r="N8347">
            <v>3.1949999999999998</v>
          </cell>
          <cell r="O8347">
            <v>2.8849999999999998</v>
          </cell>
        </row>
        <row r="8348">
          <cell r="E8348" t="str">
            <v>HPER</v>
          </cell>
          <cell r="F8348" t="str">
            <v>HPER-H</v>
          </cell>
          <cell r="G8348">
            <v>317</v>
          </cell>
          <cell r="H8348" t="str">
            <v>HPER-H317</v>
          </cell>
          <cell r="K8348" t="str">
            <v>Mullinax,Margo Bennett</v>
          </cell>
          <cell r="N8348">
            <v>3.57</v>
          </cell>
          <cell r="O8348">
            <v>3.214</v>
          </cell>
        </row>
        <row r="8349">
          <cell r="E8349" t="str">
            <v>HPER</v>
          </cell>
          <cell r="F8349" t="str">
            <v>HPER-H</v>
          </cell>
          <cell r="G8349">
            <v>317</v>
          </cell>
          <cell r="H8349" t="str">
            <v>HPER-H317</v>
          </cell>
          <cell r="K8349" t="str">
            <v>Sherwood-Laughlin,Catherine M.</v>
          </cell>
          <cell r="N8349">
            <v>3.8220000000000001</v>
          </cell>
          <cell r="O8349">
            <v>2.99</v>
          </cell>
        </row>
        <row r="8350">
          <cell r="E8350" t="str">
            <v>HPER</v>
          </cell>
          <cell r="F8350" t="str">
            <v>HPER-H</v>
          </cell>
          <cell r="G8350">
            <v>317</v>
          </cell>
          <cell r="H8350" t="str">
            <v>HPER-H317</v>
          </cell>
          <cell r="K8350" t="str">
            <v>Webb,Elizabeth M</v>
          </cell>
          <cell r="N8350">
            <v>3.6880000000000002</v>
          </cell>
          <cell r="O8350">
            <v>3.0510000000000002</v>
          </cell>
        </row>
        <row r="8351">
          <cell r="E8351" t="str">
            <v>HPER</v>
          </cell>
          <cell r="F8351" t="str">
            <v>HPER-H</v>
          </cell>
          <cell r="G8351">
            <v>318</v>
          </cell>
          <cell r="H8351" t="str">
            <v>HPER-H318</v>
          </cell>
          <cell r="K8351" t="str">
            <v>Agley,Jon Daniel</v>
          </cell>
          <cell r="N8351">
            <v>3.6070000000000002</v>
          </cell>
          <cell r="O8351">
            <v>2.8239999999999998</v>
          </cell>
        </row>
        <row r="8352">
          <cell r="E8352" t="str">
            <v>HPER</v>
          </cell>
          <cell r="F8352" t="str">
            <v>HPER-H</v>
          </cell>
          <cell r="G8352">
            <v>318</v>
          </cell>
          <cell r="H8352" t="str">
            <v>HPER-H318</v>
          </cell>
          <cell r="K8352" t="str">
            <v>Agley,Jon Daniel</v>
          </cell>
          <cell r="N8352">
            <v>3.3159999999999998</v>
          </cell>
          <cell r="O8352">
            <v>2.7029999999999998</v>
          </cell>
        </row>
        <row r="8353">
          <cell r="E8353" t="str">
            <v>HPER</v>
          </cell>
          <cell r="F8353" t="str">
            <v>HPER-H</v>
          </cell>
          <cell r="G8353">
            <v>318</v>
          </cell>
          <cell r="H8353" t="str">
            <v>HPER-H318</v>
          </cell>
          <cell r="K8353" t="str">
            <v>Finley,Kathy Lyn</v>
          </cell>
          <cell r="N8353">
            <v>3.4380000000000002</v>
          </cell>
          <cell r="O8353">
            <v>2.6749999999999998</v>
          </cell>
        </row>
        <row r="8354">
          <cell r="E8354" t="str">
            <v>HPER</v>
          </cell>
          <cell r="F8354" t="str">
            <v>HPER-H</v>
          </cell>
          <cell r="G8354">
            <v>318</v>
          </cell>
          <cell r="H8354" t="str">
            <v>HPER-H318</v>
          </cell>
          <cell r="K8354" t="str">
            <v>Finley,Kathy Lyn</v>
          </cell>
          <cell r="N8354">
            <v>2.5489999999999999</v>
          </cell>
          <cell r="O8354">
            <v>2.6840000000000002</v>
          </cell>
        </row>
        <row r="8355">
          <cell r="E8355" t="str">
            <v>HPER</v>
          </cell>
          <cell r="F8355" t="str">
            <v>HPER-H</v>
          </cell>
          <cell r="G8355">
            <v>318</v>
          </cell>
          <cell r="H8355" t="str">
            <v>HPER-H318</v>
          </cell>
          <cell r="K8355" t="str">
            <v>Slisz,Robert</v>
          </cell>
          <cell r="N8355">
            <v>3.1629999999999998</v>
          </cell>
          <cell r="O8355">
            <v>2.9540000000000002</v>
          </cell>
        </row>
        <row r="8356">
          <cell r="E8356" t="str">
            <v>HPER</v>
          </cell>
          <cell r="F8356" t="str">
            <v>HPER-H</v>
          </cell>
          <cell r="G8356">
            <v>318</v>
          </cell>
          <cell r="H8356" t="str">
            <v>HPER-H318</v>
          </cell>
          <cell r="K8356" t="str">
            <v>Slisz,Robert</v>
          </cell>
          <cell r="N8356">
            <v>2.819</v>
          </cell>
          <cell r="O8356">
            <v>2.7890000000000001</v>
          </cell>
        </row>
        <row r="8357">
          <cell r="E8357" t="str">
            <v>HPER</v>
          </cell>
          <cell r="F8357" t="str">
            <v>HPER-H</v>
          </cell>
          <cell r="G8357">
            <v>318</v>
          </cell>
          <cell r="H8357" t="str">
            <v>HPER-H318</v>
          </cell>
          <cell r="K8357" t="str">
            <v>Slisz,Robert</v>
          </cell>
          <cell r="N8357">
            <v>3.1019999999999999</v>
          </cell>
          <cell r="O8357">
            <v>2.915</v>
          </cell>
        </row>
        <row r="8358">
          <cell r="E8358" t="str">
            <v>HPER</v>
          </cell>
          <cell r="F8358" t="str">
            <v>HPER-H</v>
          </cell>
          <cell r="G8358">
            <v>318</v>
          </cell>
          <cell r="H8358" t="str">
            <v>HPER-H318</v>
          </cell>
          <cell r="K8358" t="str">
            <v>Slisz,Robert</v>
          </cell>
          <cell r="N8358">
            <v>3.0350000000000001</v>
          </cell>
          <cell r="O8358">
            <v>2.9079999999999999</v>
          </cell>
        </row>
        <row r="8359">
          <cell r="E8359" t="str">
            <v>HPER</v>
          </cell>
          <cell r="F8359" t="str">
            <v>HPER-H</v>
          </cell>
          <cell r="G8359">
            <v>318</v>
          </cell>
          <cell r="H8359" t="str">
            <v>HPER-H318</v>
          </cell>
          <cell r="K8359" t="str">
            <v>Slisz,Robert</v>
          </cell>
          <cell r="N8359">
            <v>3.02</v>
          </cell>
          <cell r="O8359">
            <v>2.7850000000000001</v>
          </cell>
        </row>
        <row r="8360">
          <cell r="E8360" t="str">
            <v>HPER</v>
          </cell>
          <cell r="F8360" t="str">
            <v>HPER-H</v>
          </cell>
          <cell r="G8360">
            <v>318</v>
          </cell>
          <cell r="H8360" t="str">
            <v>HPER-H318</v>
          </cell>
          <cell r="K8360" t="str">
            <v>Slisz,Robert</v>
          </cell>
          <cell r="N8360">
            <v>2.9729999999999999</v>
          </cell>
          <cell r="O8360">
            <v>2.8050000000000002</v>
          </cell>
        </row>
        <row r="8361">
          <cell r="E8361" t="str">
            <v>HPER</v>
          </cell>
          <cell r="F8361" t="str">
            <v>HPER-H</v>
          </cell>
          <cell r="G8361">
            <v>319</v>
          </cell>
          <cell r="H8361" t="str">
            <v>HPER-H319</v>
          </cell>
          <cell r="K8361" t="str">
            <v>Kay,Noy S.</v>
          </cell>
          <cell r="N8361">
            <v>3.6219999999999999</v>
          </cell>
          <cell r="O8361">
            <v>3.0859999999999999</v>
          </cell>
        </row>
        <row r="8362">
          <cell r="E8362" t="str">
            <v>HPER</v>
          </cell>
          <cell r="F8362" t="str">
            <v>HPER-H</v>
          </cell>
          <cell r="G8362">
            <v>320</v>
          </cell>
          <cell r="H8362" t="str">
            <v>HPER-H320</v>
          </cell>
          <cell r="K8362" t="str">
            <v>Stupiansky,Nathan Waite</v>
          </cell>
          <cell r="N8362">
            <v>3.661</v>
          </cell>
          <cell r="O8362">
            <v>3.218</v>
          </cell>
        </row>
        <row r="8363">
          <cell r="E8363" t="str">
            <v>HPER</v>
          </cell>
          <cell r="F8363" t="str">
            <v>HPER-H</v>
          </cell>
          <cell r="G8363">
            <v>320</v>
          </cell>
          <cell r="H8363" t="str">
            <v>HPER-H320</v>
          </cell>
          <cell r="K8363" t="str">
            <v>Stupiansky,Nathan Waite</v>
          </cell>
          <cell r="N8363">
            <v>3.5779999999999998</v>
          </cell>
          <cell r="O8363">
            <v>3.052</v>
          </cell>
        </row>
        <row r="8364">
          <cell r="E8364" t="str">
            <v>HPER</v>
          </cell>
          <cell r="F8364" t="str">
            <v>HPER-H</v>
          </cell>
          <cell r="G8364">
            <v>340</v>
          </cell>
          <cell r="H8364" t="str">
            <v>HPER-H340</v>
          </cell>
          <cell r="K8364" t="str">
            <v>Hauser,Jessica Rae</v>
          </cell>
          <cell r="N8364">
            <v>4</v>
          </cell>
          <cell r="O8364">
            <v>3.18</v>
          </cell>
        </row>
        <row r="8365">
          <cell r="E8365" t="str">
            <v>HPER</v>
          </cell>
          <cell r="F8365" t="str">
            <v>HPER-H</v>
          </cell>
          <cell r="G8365">
            <v>340</v>
          </cell>
          <cell r="H8365" t="str">
            <v>HPER-H340</v>
          </cell>
          <cell r="K8365" t="str">
            <v>Herbenick,Debra Lynne</v>
          </cell>
          <cell r="N8365">
            <v>4</v>
          </cell>
          <cell r="O8365">
            <v>3.2879999999999998</v>
          </cell>
        </row>
        <row r="8366">
          <cell r="E8366" t="str">
            <v>HPER</v>
          </cell>
          <cell r="F8366" t="str">
            <v>HPER-H</v>
          </cell>
          <cell r="G8366">
            <v>340</v>
          </cell>
          <cell r="H8366" t="str">
            <v>HPER-H340</v>
          </cell>
          <cell r="K8366" t="str">
            <v>Yarber,William Lee</v>
          </cell>
          <cell r="N8366">
            <v>3.875</v>
          </cell>
          <cell r="O8366">
            <v>3.097</v>
          </cell>
        </row>
        <row r="8367">
          <cell r="E8367" t="str">
            <v>HPER</v>
          </cell>
          <cell r="F8367" t="str">
            <v>HPER-H</v>
          </cell>
          <cell r="G8367">
            <v>340</v>
          </cell>
          <cell r="H8367" t="str">
            <v>HPER-H340</v>
          </cell>
          <cell r="K8367" t="str">
            <v>Yarber,William Lee</v>
          </cell>
          <cell r="N8367">
            <v>3.8109999999999999</v>
          </cell>
          <cell r="O8367">
            <v>3.3650000000000002</v>
          </cell>
        </row>
        <row r="8368">
          <cell r="E8368" t="str">
            <v>HPER</v>
          </cell>
          <cell r="F8368" t="str">
            <v>HPER-H</v>
          </cell>
          <cell r="G8368">
            <v>350</v>
          </cell>
          <cell r="H8368" t="str">
            <v>HPER-H350</v>
          </cell>
          <cell r="K8368" t="str">
            <v>Lindeman,Alice K.</v>
          </cell>
          <cell r="N8368">
            <v>3.6520000000000001</v>
          </cell>
          <cell r="O8368">
            <v>3.294</v>
          </cell>
        </row>
        <row r="8369">
          <cell r="E8369" t="str">
            <v>HPER</v>
          </cell>
          <cell r="F8369" t="str">
            <v>HPER-H</v>
          </cell>
          <cell r="G8369">
            <v>352</v>
          </cell>
          <cell r="H8369" t="str">
            <v>HPER-H352</v>
          </cell>
          <cell r="K8369" t="str">
            <v>DeWitt,Natalie Kristine</v>
          </cell>
          <cell r="N8369">
            <v>3.65</v>
          </cell>
          <cell r="O8369">
            <v>3.1459999999999999</v>
          </cell>
        </row>
        <row r="8370">
          <cell r="E8370" t="str">
            <v>HPER</v>
          </cell>
          <cell r="F8370" t="str">
            <v>HPER-H</v>
          </cell>
          <cell r="G8370">
            <v>353</v>
          </cell>
          <cell r="H8370" t="str">
            <v>HPER-H353</v>
          </cell>
          <cell r="K8370" t="str">
            <v>DeWitt,Natalie Kristine</v>
          </cell>
          <cell r="N8370" t="str">
            <v>NR</v>
          </cell>
          <cell r="O8370" t="str">
            <v>NR</v>
          </cell>
        </row>
        <row r="8371">
          <cell r="E8371" t="str">
            <v>HPER</v>
          </cell>
          <cell r="F8371" t="str">
            <v>HPER-H</v>
          </cell>
          <cell r="G8371">
            <v>391</v>
          </cell>
          <cell r="H8371" t="str">
            <v>HPER-H391</v>
          </cell>
          <cell r="K8371" t="str">
            <v>Seo,Dong Chul</v>
          </cell>
          <cell r="N8371">
            <v>3.0539999999999998</v>
          </cell>
          <cell r="O8371">
            <v>3.073</v>
          </cell>
        </row>
        <row r="8372">
          <cell r="E8372" t="str">
            <v>HPER</v>
          </cell>
          <cell r="F8372" t="str">
            <v>HPER-H</v>
          </cell>
          <cell r="G8372">
            <v>391</v>
          </cell>
          <cell r="H8372" t="str">
            <v>HPER-H391</v>
          </cell>
          <cell r="K8372" t="str">
            <v>Seo,Dong Chul</v>
          </cell>
          <cell r="N8372">
            <v>2.9740000000000002</v>
          </cell>
          <cell r="O8372">
            <v>2.9430000000000001</v>
          </cell>
        </row>
        <row r="8373">
          <cell r="E8373" t="str">
            <v>HPER</v>
          </cell>
          <cell r="F8373" t="str">
            <v>HPER-H</v>
          </cell>
          <cell r="G8373">
            <v>401</v>
          </cell>
          <cell r="H8373" t="str">
            <v>HPER-H401</v>
          </cell>
          <cell r="K8373" t="str">
            <v>Tinsley,Walter Archie</v>
          </cell>
          <cell r="N8373">
            <v>3.823</v>
          </cell>
          <cell r="O8373">
            <v>3.3079999999999998</v>
          </cell>
        </row>
        <row r="8374">
          <cell r="E8374" t="str">
            <v>HPER</v>
          </cell>
          <cell r="F8374" t="str">
            <v>HPER-H</v>
          </cell>
          <cell r="G8374">
            <v>401</v>
          </cell>
          <cell r="H8374" t="str">
            <v>HPER-H401</v>
          </cell>
          <cell r="K8374" t="str">
            <v>Tinsley,Walter Archie</v>
          </cell>
          <cell r="N8374">
            <v>3.6669999999999998</v>
          </cell>
          <cell r="O8374">
            <v>2.9769999999999999</v>
          </cell>
        </row>
        <row r="8375">
          <cell r="E8375" t="str">
            <v>HPER</v>
          </cell>
          <cell r="F8375" t="str">
            <v>HPER-H</v>
          </cell>
          <cell r="G8375">
            <v>401</v>
          </cell>
          <cell r="H8375" t="str">
            <v>HPER-H401</v>
          </cell>
          <cell r="K8375" t="str">
            <v>Tinsley,Walter Archie</v>
          </cell>
          <cell r="N8375">
            <v>3.7949999999999999</v>
          </cell>
          <cell r="O8375">
            <v>3.3170000000000002</v>
          </cell>
        </row>
        <row r="8376">
          <cell r="E8376" t="str">
            <v>HPER</v>
          </cell>
          <cell r="F8376" t="str">
            <v>HPER-H</v>
          </cell>
          <cell r="G8376">
            <v>401</v>
          </cell>
          <cell r="H8376" t="str">
            <v>HPER-H401</v>
          </cell>
          <cell r="K8376" t="str">
            <v>Tinsley,Walter Archie</v>
          </cell>
          <cell r="N8376">
            <v>3.85</v>
          </cell>
          <cell r="O8376">
            <v>3.306</v>
          </cell>
        </row>
        <row r="8377">
          <cell r="E8377" t="str">
            <v>HPER</v>
          </cell>
          <cell r="F8377" t="str">
            <v>HPER-H</v>
          </cell>
          <cell r="G8377">
            <v>401</v>
          </cell>
          <cell r="H8377" t="str">
            <v>HPER-H401</v>
          </cell>
          <cell r="K8377" t="str">
            <v>Tinsley,Walter Archie</v>
          </cell>
          <cell r="N8377">
            <v>3.722</v>
          </cell>
          <cell r="O8377">
            <v>3.07</v>
          </cell>
        </row>
        <row r="8378">
          <cell r="E8378" t="str">
            <v>HPER</v>
          </cell>
          <cell r="F8378" t="str">
            <v>HPER-H</v>
          </cell>
          <cell r="G8378">
            <v>401</v>
          </cell>
          <cell r="H8378" t="str">
            <v>HPER-H401</v>
          </cell>
          <cell r="K8378" t="str">
            <v>Tinsley,Walter Archie</v>
          </cell>
          <cell r="N8378">
            <v>3.6669999999999998</v>
          </cell>
          <cell r="O8378">
            <v>3.3109999999999999</v>
          </cell>
        </row>
        <row r="8379">
          <cell r="E8379" t="str">
            <v>HPER</v>
          </cell>
          <cell r="F8379" t="str">
            <v>HPER-H</v>
          </cell>
          <cell r="G8379">
            <v>403</v>
          </cell>
          <cell r="H8379" t="str">
            <v>HPER-H403</v>
          </cell>
          <cell r="K8379" t="str">
            <v>Tinsley,Walter Archie</v>
          </cell>
          <cell r="N8379">
            <v>4</v>
          </cell>
          <cell r="O8379">
            <v>3.27</v>
          </cell>
        </row>
        <row r="8380">
          <cell r="E8380" t="str">
            <v>HPER</v>
          </cell>
          <cell r="F8380" t="str">
            <v>HPER-H</v>
          </cell>
          <cell r="G8380">
            <v>403</v>
          </cell>
          <cell r="H8380" t="str">
            <v>HPER-H403</v>
          </cell>
          <cell r="K8380" t="str">
            <v>Tinsley,Walter Archie</v>
          </cell>
          <cell r="N8380">
            <v>4</v>
          </cell>
          <cell r="O8380">
            <v>3.3730000000000002</v>
          </cell>
        </row>
        <row r="8381">
          <cell r="E8381" t="str">
            <v>HPER</v>
          </cell>
          <cell r="F8381" t="str">
            <v>HPER-H</v>
          </cell>
          <cell r="G8381">
            <v>404</v>
          </cell>
          <cell r="H8381" t="str">
            <v>HPER-H404</v>
          </cell>
          <cell r="K8381" t="str">
            <v>Tinsley,Walter Archie</v>
          </cell>
          <cell r="N8381">
            <v>4</v>
          </cell>
          <cell r="O8381">
            <v>3.0019999999999998</v>
          </cell>
        </row>
        <row r="8382">
          <cell r="E8382" t="str">
            <v>HPER</v>
          </cell>
          <cell r="F8382" t="str">
            <v>HPER-H</v>
          </cell>
          <cell r="G8382">
            <v>404</v>
          </cell>
          <cell r="H8382" t="str">
            <v>HPER-H404</v>
          </cell>
          <cell r="K8382" t="str">
            <v>Tinsley,Walter Archie</v>
          </cell>
          <cell r="N8382">
            <v>4</v>
          </cell>
          <cell r="O8382">
            <v>3.1160000000000001</v>
          </cell>
        </row>
        <row r="8383">
          <cell r="E8383" t="str">
            <v>HPER</v>
          </cell>
          <cell r="F8383" t="str">
            <v>HPER-H</v>
          </cell>
          <cell r="G8383">
            <v>404</v>
          </cell>
          <cell r="H8383" t="str">
            <v>HPER-H404</v>
          </cell>
          <cell r="K8383" t="str">
            <v>Tinsley,Walter Archie</v>
          </cell>
          <cell r="N8383">
            <v>4</v>
          </cell>
          <cell r="O8383">
            <v>3.2589999999999999</v>
          </cell>
        </row>
        <row r="8384">
          <cell r="E8384" t="str">
            <v>HPER</v>
          </cell>
          <cell r="F8384" t="str">
            <v>HPER-H</v>
          </cell>
          <cell r="G8384">
            <v>404</v>
          </cell>
          <cell r="H8384" t="str">
            <v>HPER-H404</v>
          </cell>
          <cell r="K8384" t="str">
            <v>Tinsley,Walter Archie</v>
          </cell>
          <cell r="N8384">
            <v>4</v>
          </cell>
          <cell r="O8384">
            <v>3.0779999999999998</v>
          </cell>
        </row>
        <row r="8385">
          <cell r="E8385" t="str">
            <v>HPER</v>
          </cell>
          <cell r="F8385" t="str">
            <v>HPER-H</v>
          </cell>
          <cell r="G8385">
            <v>404</v>
          </cell>
          <cell r="H8385" t="str">
            <v>HPER-H404</v>
          </cell>
          <cell r="K8385" t="str">
            <v>Tinsley,Walter Archie</v>
          </cell>
          <cell r="N8385">
            <v>4</v>
          </cell>
          <cell r="O8385">
            <v>3.3439999999999999</v>
          </cell>
        </row>
        <row r="8386">
          <cell r="E8386" t="str">
            <v>HPER</v>
          </cell>
          <cell r="F8386" t="str">
            <v>HPER-H</v>
          </cell>
          <cell r="G8386">
            <v>404</v>
          </cell>
          <cell r="H8386" t="str">
            <v>HPER-H404</v>
          </cell>
          <cell r="K8386" t="str">
            <v>Tinsley,Walter Archie</v>
          </cell>
          <cell r="N8386">
            <v>4</v>
          </cell>
          <cell r="O8386">
            <v>3.1760000000000002</v>
          </cell>
        </row>
        <row r="8387">
          <cell r="E8387" t="str">
            <v>HPER</v>
          </cell>
          <cell r="F8387" t="str">
            <v>HPER-H</v>
          </cell>
          <cell r="G8387">
            <v>404</v>
          </cell>
          <cell r="H8387" t="str">
            <v>HPER-H404</v>
          </cell>
          <cell r="K8387" t="str">
            <v>Tinsley,Walter Archie</v>
          </cell>
          <cell r="N8387">
            <v>4</v>
          </cell>
          <cell r="O8387">
            <v>3.2610000000000001</v>
          </cell>
        </row>
        <row r="8388">
          <cell r="E8388" t="str">
            <v>HPER</v>
          </cell>
          <cell r="F8388" t="str">
            <v>HPER-H</v>
          </cell>
          <cell r="G8388">
            <v>404</v>
          </cell>
          <cell r="H8388" t="str">
            <v>HPER-H404</v>
          </cell>
          <cell r="K8388" t="str">
            <v>Tinsley,Walter Archie</v>
          </cell>
          <cell r="N8388">
            <v>4</v>
          </cell>
          <cell r="O8388">
            <v>3.2069999999999999</v>
          </cell>
        </row>
        <row r="8389">
          <cell r="E8389" t="str">
            <v>HPER</v>
          </cell>
          <cell r="F8389" t="str">
            <v>HPER-H</v>
          </cell>
          <cell r="G8389">
            <v>404</v>
          </cell>
          <cell r="H8389" t="str">
            <v>HPER-H404</v>
          </cell>
          <cell r="K8389" t="str">
            <v>Tinsley,Walter Archie</v>
          </cell>
          <cell r="N8389">
            <v>4</v>
          </cell>
          <cell r="O8389">
            <v>3.1349999999999998</v>
          </cell>
        </row>
        <row r="8390">
          <cell r="E8390" t="str">
            <v>HPER</v>
          </cell>
          <cell r="F8390" t="str">
            <v>HPER-H</v>
          </cell>
          <cell r="G8390">
            <v>404</v>
          </cell>
          <cell r="H8390" t="str">
            <v>HPER-H404</v>
          </cell>
          <cell r="K8390" t="str">
            <v>Tinsley,Walter Archie</v>
          </cell>
          <cell r="N8390">
            <v>4</v>
          </cell>
          <cell r="O8390">
            <v>3.3380000000000001</v>
          </cell>
        </row>
        <row r="8391">
          <cell r="E8391" t="str">
            <v>HPER</v>
          </cell>
          <cell r="F8391" t="str">
            <v>HPER-H</v>
          </cell>
          <cell r="G8391">
            <v>414</v>
          </cell>
          <cell r="H8391" t="str">
            <v>HPER-H414</v>
          </cell>
          <cell r="K8391" t="str">
            <v>Obeng,Cecilia Sem</v>
          </cell>
          <cell r="N8391">
            <v>3.653</v>
          </cell>
          <cell r="O8391">
            <v>3.3109999999999999</v>
          </cell>
        </row>
        <row r="8392">
          <cell r="E8392" t="str">
            <v>HPER</v>
          </cell>
          <cell r="F8392" t="str">
            <v>HPER-H</v>
          </cell>
          <cell r="G8392">
            <v>418</v>
          </cell>
          <cell r="H8392" t="str">
            <v>HPER-H418</v>
          </cell>
          <cell r="K8392" t="str">
            <v>Peters,Jon Carey</v>
          </cell>
          <cell r="N8392">
            <v>3.4929999999999999</v>
          </cell>
          <cell r="O8392">
            <v>3.0139999999999998</v>
          </cell>
        </row>
        <row r="8393">
          <cell r="E8393" t="str">
            <v>HPER</v>
          </cell>
          <cell r="F8393" t="str">
            <v>HPER-H</v>
          </cell>
          <cell r="G8393">
            <v>452</v>
          </cell>
          <cell r="H8393" t="str">
            <v>HPER-H452</v>
          </cell>
          <cell r="K8393" t="str">
            <v>Shipley,Meagan Michelle</v>
          </cell>
          <cell r="N8393">
            <v>3.2890000000000001</v>
          </cell>
          <cell r="O8393">
            <v>3.1640000000000001</v>
          </cell>
        </row>
        <row r="8394">
          <cell r="E8394" t="str">
            <v>HPER</v>
          </cell>
          <cell r="F8394" t="str">
            <v>HPER-H</v>
          </cell>
          <cell r="G8394">
            <v>453</v>
          </cell>
          <cell r="H8394" t="str">
            <v>HPER-H453</v>
          </cell>
          <cell r="K8394" t="str">
            <v>Shipley,Meagan Michelle</v>
          </cell>
          <cell r="N8394" t="str">
            <v>NR</v>
          </cell>
          <cell r="O8394" t="str">
            <v>NR</v>
          </cell>
        </row>
        <row r="8395">
          <cell r="E8395" t="str">
            <v>HPER</v>
          </cell>
          <cell r="F8395" t="str">
            <v>HPER-H</v>
          </cell>
          <cell r="G8395">
            <v>453</v>
          </cell>
          <cell r="H8395" t="str">
            <v>HPER-H453</v>
          </cell>
          <cell r="K8395" t="str">
            <v>Shipley,Meagan Michelle</v>
          </cell>
          <cell r="N8395" t="str">
            <v>NR</v>
          </cell>
          <cell r="O8395" t="str">
            <v>NR</v>
          </cell>
        </row>
        <row r="8396">
          <cell r="E8396" t="str">
            <v>HPER</v>
          </cell>
          <cell r="F8396" t="str">
            <v>HPER-H</v>
          </cell>
          <cell r="G8396">
            <v>453</v>
          </cell>
          <cell r="H8396" t="str">
            <v>HPER-H453</v>
          </cell>
          <cell r="K8396" t="str">
            <v>Shipley,Meagan Michelle</v>
          </cell>
          <cell r="N8396" t="str">
            <v>NR</v>
          </cell>
          <cell r="O8396" t="str">
            <v>NR</v>
          </cell>
        </row>
        <row r="8397">
          <cell r="E8397" t="str">
            <v>HPER</v>
          </cell>
          <cell r="F8397" t="str">
            <v>HPER-H</v>
          </cell>
          <cell r="G8397">
            <v>460</v>
          </cell>
          <cell r="H8397" t="str">
            <v>HPER-H460</v>
          </cell>
          <cell r="K8397" t="str">
            <v>Applegate,Trent E</v>
          </cell>
          <cell r="N8397" t="str">
            <v>NR</v>
          </cell>
          <cell r="O8397" t="str">
            <v>NR</v>
          </cell>
        </row>
        <row r="8398">
          <cell r="E8398" t="str">
            <v>HPER</v>
          </cell>
          <cell r="F8398" t="str">
            <v>HPER-H</v>
          </cell>
          <cell r="G8398">
            <v>460</v>
          </cell>
          <cell r="H8398" t="str">
            <v>HPER-H460</v>
          </cell>
          <cell r="K8398" t="str">
            <v>Applegate,Trent E</v>
          </cell>
          <cell r="N8398">
            <v>3.79</v>
          </cell>
          <cell r="O8398">
            <v>3.29</v>
          </cell>
        </row>
        <row r="8399">
          <cell r="E8399" t="str">
            <v>HPER</v>
          </cell>
          <cell r="F8399" t="str">
            <v>HPER-H</v>
          </cell>
          <cell r="G8399">
            <v>464</v>
          </cell>
          <cell r="H8399" t="str">
            <v>HPER-H464</v>
          </cell>
          <cell r="K8399" t="str">
            <v>DeWitt,Natalie Kristine</v>
          </cell>
          <cell r="N8399">
            <v>3.6349999999999998</v>
          </cell>
          <cell r="O8399">
            <v>3.2240000000000002</v>
          </cell>
        </row>
        <row r="8400">
          <cell r="E8400" t="str">
            <v>HPER</v>
          </cell>
          <cell r="F8400" t="str">
            <v>HPER-H</v>
          </cell>
          <cell r="G8400">
            <v>464</v>
          </cell>
          <cell r="H8400" t="str">
            <v>HPER-H464</v>
          </cell>
          <cell r="K8400" t="str">
            <v>Lohrmann,David K.</v>
          </cell>
          <cell r="N8400">
            <v>3.726</v>
          </cell>
          <cell r="O8400">
            <v>3.3130000000000002</v>
          </cell>
        </row>
        <row r="8401">
          <cell r="E8401" t="str">
            <v>HPER</v>
          </cell>
          <cell r="F8401" t="str">
            <v>HPER-H</v>
          </cell>
          <cell r="G8401">
            <v>494</v>
          </cell>
          <cell r="H8401" t="str">
            <v>HPER-H494</v>
          </cell>
          <cell r="K8401" t="str">
            <v>Bunnage,Joanne Carol</v>
          </cell>
          <cell r="N8401">
            <v>3.7290000000000001</v>
          </cell>
          <cell r="O8401">
            <v>3.0870000000000002</v>
          </cell>
        </row>
        <row r="8402">
          <cell r="E8402" t="str">
            <v>HPER</v>
          </cell>
          <cell r="F8402" t="str">
            <v>HPER-H</v>
          </cell>
          <cell r="G8402">
            <v>494</v>
          </cell>
          <cell r="H8402" t="str">
            <v>HPER-H494</v>
          </cell>
          <cell r="K8402" t="str">
            <v>Coe,Ellen Elisabeth</v>
          </cell>
          <cell r="N8402">
            <v>3.8210000000000002</v>
          </cell>
          <cell r="O8402">
            <v>3.286</v>
          </cell>
        </row>
        <row r="8403">
          <cell r="E8403" t="str">
            <v>HPER</v>
          </cell>
          <cell r="F8403" t="str">
            <v>HPER-H</v>
          </cell>
          <cell r="G8403">
            <v>494</v>
          </cell>
          <cell r="H8403" t="str">
            <v>HPER-H494</v>
          </cell>
          <cell r="K8403" t="str">
            <v>Githiri,Virginia Tati</v>
          </cell>
          <cell r="N8403">
            <v>3.7970000000000002</v>
          </cell>
          <cell r="O8403">
            <v>3.1840000000000002</v>
          </cell>
        </row>
        <row r="8404">
          <cell r="E8404" t="str">
            <v>HPER</v>
          </cell>
          <cell r="F8404" t="str">
            <v>HPER-H</v>
          </cell>
          <cell r="G8404">
            <v>494</v>
          </cell>
          <cell r="H8404" t="str">
            <v>HPER-H494</v>
          </cell>
          <cell r="K8404" t="str">
            <v>Lederer,Alyssa Mira</v>
          </cell>
          <cell r="N8404">
            <v>3.7090000000000001</v>
          </cell>
          <cell r="O8404">
            <v>3.3159999999999998</v>
          </cell>
        </row>
        <row r="8405">
          <cell r="E8405" t="str">
            <v>HPER</v>
          </cell>
          <cell r="F8405" t="str">
            <v>HPER-H</v>
          </cell>
          <cell r="G8405">
            <v>494</v>
          </cell>
          <cell r="H8405" t="str">
            <v>HPER-H494</v>
          </cell>
          <cell r="K8405" t="str">
            <v>Lederer,Alyssa Mira</v>
          </cell>
          <cell r="N8405">
            <v>3.286</v>
          </cell>
          <cell r="O8405">
            <v>3.1160000000000001</v>
          </cell>
        </row>
        <row r="8406">
          <cell r="E8406" t="str">
            <v>HPER</v>
          </cell>
          <cell r="F8406" t="str">
            <v>HPER-H</v>
          </cell>
          <cell r="G8406">
            <v>500</v>
          </cell>
          <cell r="H8406" t="str">
            <v>HPER-H500</v>
          </cell>
          <cell r="K8406" t="str">
            <v>Ellis,Nancy Theresa</v>
          </cell>
          <cell r="N8406">
            <v>3.786</v>
          </cell>
          <cell r="O8406">
            <v>3.875</v>
          </cell>
        </row>
        <row r="8407">
          <cell r="E8407" t="str">
            <v>HPER</v>
          </cell>
          <cell r="F8407" t="str">
            <v>HPER-H</v>
          </cell>
          <cell r="G8407">
            <v>502</v>
          </cell>
          <cell r="H8407" t="str">
            <v>HPER-H502</v>
          </cell>
          <cell r="K8407" t="str">
            <v>Lohrmann,David K.</v>
          </cell>
          <cell r="N8407" t="str">
            <v>NR</v>
          </cell>
          <cell r="O8407" t="str">
            <v>NR</v>
          </cell>
        </row>
        <row r="8408">
          <cell r="E8408" t="str">
            <v>HPER</v>
          </cell>
          <cell r="F8408" t="str">
            <v>HPER-H</v>
          </cell>
          <cell r="G8408">
            <v>514</v>
          </cell>
          <cell r="H8408" t="str">
            <v>HPER-H514</v>
          </cell>
          <cell r="K8408" t="str">
            <v>Obeng,Cecilia Sem</v>
          </cell>
          <cell r="N8408" t="str">
            <v>NR</v>
          </cell>
          <cell r="O8408" t="str">
            <v>NR</v>
          </cell>
        </row>
        <row r="8409">
          <cell r="E8409" t="str">
            <v>HPER</v>
          </cell>
          <cell r="F8409" t="str">
            <v>HPER-H</v>
          </cell>
          <cell r="G8409">
            <v>519</v>
          </cell>
          <cell r="H8409" t="str">
            <v>HPER-H519</v>
          </cell>
          <cell r="K8409" t="str">
            <v>Kay,Noy S.</v>
          </cell>
          <cell r="N8409">
            <v>3.9630000000000001</v>
          </cell>
          <cell r="O8409">
            <v>3.8889999999999998</v>
          </cell>
        </row>
        <row r="8410">
          <cell r="E8410" t="str">
            <v>HPER</v>
          </cell>
          <cell r="F8410" t="str">
            <v>HPER-H</v>
          </cell>
          <cell r="G8410">
            <v>520</v>
          </cell>
          <cell r="H8410" t="str">
            <v>HPER-H520</v>
          </cell>
          <cell r="K8410" t="str">
            <v>Kay,Noy S.</v>
          </cell>
          <cell r="N8410" t="str">
            <v>NR</v>
          </cell>
          <cell r="O8410" t="str">
            <v>NR</v>
          </cell>
        </row>
        <row r="8411">
          <cell r="E8411" t="str">
            <v>HPER</v>
          </cell>
          <cell r="F8411" t="str">
            <v>HPER-H</v>
          </cell>
          <cell r="G8411">
            <v>524</v>
          </cell>
          <cell r="H8411" t="str">
            <v>HPER-H524</v>
          </cell>
          <cell r="K8411" t="str">
            <v>Huber,Lesa</v>
          </cell>
          <cell r="N8411" t="str">
            <v>NR</v>
          </cell>
          <cell r="O8411" t="str">
            <v>NR</v>
          </cell>
        </row>
        <row r="8412">
          <cell r="E8412" t="str">
            <v>HPER</v>
          </cell>
          <cell r="F8412" t="str">
            <v>HPER-H</v>
          </cell>
          <cell r="G8412">
            <v>524</v>
          </cell>
          <cell r="H8412" t="str">
            <v>HPER-H524</v>
          </cell>
          <cell r="K8412" t="str">
            <v>Huber,Lesa</v>
          </cell>
          <cell r="N8412" t="str">
            <v>NR</v>
          </cell>
          <cell r="O8412" t="str">
            <v>NR</v>
          </cell>
        </row>
        <row r="8413">
          <cell r="E8413" t="str">
            <v>HPER</v>
          </cell>
          <cell r="F8413" t="str">
            <v>HPER-H</v>
          </cell>
          <cell r="G8413">
            <v>530</v>
          </cell>
          <cell r="H8413" t="str">
            <v>HPER-H530</v>
          </cell>
          <cell r="K8413" t="str">
            <v>Kay,Noy S.</v>
          </cell>
          <cell r="N8413" t="str">
            <v>NR</v>
          </cell>
          <cell r="O8413" t="str">
            <v>NR</v>
          </cell>
        </row>
        <row r="8414">
          <cell r="E8414" t="str">
            <v>HPER</v>
          </cell>
          <cell r="F8414" t="str">
            <v>HPER-H</v>
          </cell>
          <cell r="G8414">
            <v>540</v>
          </cell>
          <cell r="H8414" t="str">
            <v>HPER-H540</v>
          </cell>
          <cell r="K8414" t="str">
            <v>Yarber,William Lee</v>
          </cell>
          <cell r="N8414">
            <v>4</v>
          </cell>
          <cell r="O8414">
            <v>3.9169999999999998</v>
          </cell>
        </row>
        <row r="8415">
          <cell r="E8415" t="str">
            <v>HPER</v>
          </cell>
          <cell r="F8415" t="str">
            <v>HPER-H</v>
          </cell>
          <cell r="G8415">
            <v>540</v>
          </cell>
          <cell r="H8415" t="str">
            <v>HPER-H540</v>
          </cell>
          <cell r="K8415" t="str">
            <v>Yarber,William Lee</v>
          </cell>
          <cell r="N8415">
            <v>3.9569999999999999</v>
          </cell>
          <cell r="O8415">
            <v>3.9169999999999998</v>
          </cell>
        </row>
        <row r="8416">
          <cell r="E8416" t="str">
            <v>HPER</v>
          </cell>
          <cell r="F8416" t="str">
            <v>HPER-H</v>
          </cell>
          <cell r="G8416">
            <v>555</v>
          </cell>
          <cell r="H8416" t="str">
            <v>HPER-H555</v>
          </cell>
          <cell r="K8416" t="str">
            <v>Yarber,William Lee</v>
          </cell>
          <cell r="N8416" t="str">
            <v>NR</v>
          </cell>
          <cell r="O8416" t="str">
            <v>NR</v>
          </cell>
        </row>
        <row r="8417">
          <cell r="E8417" t="str">
            <v>HPER</v>
          </cell>
          <cell r="F8417" t="str">
            <v>HPER-H</v>
          </cell>
          <cell r="G8417">
            <v>594</v>
          </cell>
          <cell r="H8417" t="str">
            <v>HPER-H594</v>
          </cell>
          <cell r="K8417" t="str">
            <v>Lin,Hsien-Chang</v>
          </cell>
          <cell r="N8417">
            <v>3.87</v>
          </cell>
          <cell r="O8417">
            <v>3.8370000000000002</v>
          </cell>
        </row>
        <row r="8418">
          <cell r="E8418" t="str">
            <v>HPER</v>
          </cell>
          <cell r="F8418" t="str">
            <v>HPER-H</v>
          </cell>
          <cell r="G8418">
            <v>594</v>
          </cell>
          <cell r="H8418" t="str">
            <v>HPER-H594</v>
          </cell>
          <cell r="K8418" t="str">
            <v>McCloskey,Laura Ann</v>
          </cell>
          <cell r="N8418">
            <v>3.843</v>
          </cell>
          <cell r="O8418">
            <v>3.802</v>
          </cell>
        </row>
        <row r="8419">
          <cell r="E8419" t="str">
            <v>HPER</v>
          </cell>
          <cell r="F8419" t="str">
            <v>HPER-H</v>
          </cell>
          <cell r="G8419">
            <v>599</v>
          </cell>
          <cell r="H8419" t="str">
            <v>HPER-H599</v>
          </cell>
          <cell r="K8419" t="str">
            <v>Fly,Alyce D.</v>
          </cell>
          <cell r="N8419" t="str">
            <v>NR</v>
          </cell>
          <cell r="O8419" t="str">
            <v>NR</v>
          </cell>
        </row>
        <row r="8420">
          <cell r="E8420" t="str">
            <v>HPER</v>
          </cell>
          <cell r="F8420" t="str">
            <v>HPER-H</v>
          </cell>
          <cell r="G8420">
            <v>599</v>
          </cell>
          <cell r="H8420" t="str">
            <v>HPER-H599</v>
          </cell>
          <cell r="K8420" t="str">
            <v>Gilbert,Kathleen R.</v>
          </cell>
          <cell r="N8420" t="str">
            <v>NR</v>
          </cell>
          <cell r="O8420" t="str">
            <v>NR</v>
          </cell>
        </row>
        <row r="8421">
          <cell r="E8421" t="str">
            <v>HPER</v>
          </cell>
          <cell r="F8421" t="str">
            <v>HPER-H</v>
          </cell>
          <cell r="G8421">
            <v>599</v>
          </cell>
          <cell r="H8421" t="str">
            <v>HPER-H599</v>
          </cell>
          <cell r="K8421" t="str">
            <v>Gilbert,Kathleen R.</v>
          </cell>
          <cell r="N8421" t="str">
            <v>NR</v>
          </cell>
          <cell r="O8421" t="str">
            <v>NR</v>
          </cell>
        </row>
        <row r="8422">
          <cell r="E8422" t="str">
            <v>HPER</v>
          </cell>
          <cell r="F8422" t="str">
            <v>HPER-H</v>
          </cell>
          <cell r="G8422">
            <v>599</v>
          </cell>
          <cell r="H8422" t="str">
            <v>HPER-H599</v>
          </cell>
          <cell r="K8422" t="str">
            <v>Obeng,Cecilia Sem</v>
          </cell>
          <cell r="N8422" t="str">
            <v>NR</v>
          </cell>
          <cell r="O8422" t="str">
            <v>NR</v>
          </cell>
        </row>
        <row r="8423">
          <cell r="E8423" t="str">
            <v>HPER</v>
          </cell>
          <cell r="F8423" t="str">
            <v>HPER-H</v>
          </cell>
          <cell r="G8423">
            <v>601</v>
          </cell>
          <cell r="H8423" t="str">
            <v>HPER-H601</v>
          </cell>
          <cell r="K8423" t="str">
            <v>Lohrmann,David K.</v>
          </cell>
          <cell r="N8423" t="str">
            <v>NR</v>
          </cell>
          <cell r="O8423" t="str">
            <v>NR</v>
          </cell>
        </row>
        <row r="8424">
          <cell r="E8424" t="str">
            <v>HPER</v>
          </cell>
          <cell r="F8424" t="str">
            <v>HPER-H</v>
          </cell>
          <cell r="G8424">
            <v>617</v>
          </cell>
          <cell r="H8424" t="str">
            <v>HPER-H617</v>
          </cell>
          <cell r="K8424" t="str">
            <v>Lin,Hsien-Chang</v>
          </cell>
          <cell r="N8424">
            <v>3.85</v>
          </cell>
          <cell r="O8424">
            <v>3.7709999999999999</v>
          </cell>
        </row>
        <row r="8425">
          <cell r="E8425" t="str">
            <v>HPER</v>
          </cell>
          <cell r="F8425" t="str">
            <v>HPER-H</v>
          </cell>
          <cell r="G8425">
            <v>617</v>
          </cell>
          <cell r="H8425" t="str">
            <v>HPER-H617</v>
          </cell>
          <cell r="K8425" t="str">
            <v>Middlestadt,Susan Elizabeth</v>
          </cell>
          <cell r="N8425" t="str">
            <v>NR</v>
          </cell>
          <cell r="O8425" t="str">
            <v>NR</v>
          </cell>
        </row>
        <row r="8426">
          <cell r="E8426" t="str">
            <v>HPER</v>
          </cell>
          <cell r="F8426" t="str">
            <v>HPER-H</v>
          </cell>
          <cell r="G8426">
            <v>617</v>
          </cell>
          <cell r="H8426" t="str">
            <v>HPER-H617</v>
          </cell>
          <cell r="K8426" t="str">
            <v>Reece,Michael</v>
          </cell>
          <cell r="N8426" t="str">
            <v>NR</v>
          </cell>
          <cell r="O8426" t="str">
            <v>NR</v>
          </cell>
        </row>
        <row r="8427">
          <cell r="E8427" t="str">
            <v>HPER</v>
          </cell>
          <cell r="F8427" t="str">
            <v>HPER-H</v>
          </cell>
          <cell r="G8427">
            <v>617</v>
          </cell>
          <cell r="H8427" t="str">
            <v>HPER-H617</v>
          </cell>
          <cell r="K8427" t="str">
            <v>Reece,Michael</v>
          </cell>
          <cell r="N8427" t="str">
            <v>NR</v>
          </cell>
          <cell r="O8427" t="str">
            <v>NR</v>
          </cell>
        </row>
        <row r="8428">
          <cell r="E8428" t="str">
            <v>HPER</v>
          </cell>
          <cell r="F8428" t="str">
            <v>HPER-H</v>
          </cell>
          <cell r="G8428">
            <v>617</v>
          </cell>
          <cell r="H8428" t="str">
            <v>HPER-H617</v>
          </cell>
          <cell r="K8428" t="str">
            <v>Reece,Michael</v>
          </cell>
          <cell r="N8428">
            <v>4</v>
          </cell>
          <cell r="O8428">
            <v>3.8940000000000001</v>
          </cell>
        </row>
        <row r="8429">
          <cell r="E8429" t="str">
            <v>HPER</v>
          </cell>
          <cell r="F8429" t="str">
            <v>HPER-H</v>
          </cell>
          <cell r="G8429">
            <v>625</v>
          </cell>
          <cell r="H8429" t="str">
            <v>HPER-H625</v>
          </cell>
          <cell r="K8429" t="str">
            <v>Cooperman,Erin B</v>
          </cell>
          <cell r="N8429">
            <v>3.6930000000000001</v>
          </cell>
          <cell r="O8429">
            <v>3.452</v>
          </cell>
        </row>
        <row r="8430">
          <cell r="E8430" t="str">
            <v>HPER</v>
          </cell>
          <cell r="F8430" t="str">
            <v>HPER-H</v>
          </cell>
          <cell r="G8430">
            <v>635</v>
          </cell>
          <cell r="H8430" t="str">
            <v>HPER-H635</v>
          </cell>
          <cell r="K8430" t="str">
            <v>Kay,Noy S.</v>
          </cell>
          <cell r="N8430">
            <v>3.8639999999999999</v>
          </cell>
          <cell r="O8430">
            <v>3.867</v>
          </cell>
        </row>
        <row r="8431">
          <cell r="E8431" t="str">
            <v>HPER</v>
          </cell>
          <cell r="F8431" t="str">
            <v>HPER-H</v>
          </cell>
          <cell r="G8431">
            <v>640</v>
          </cell>
          <cell r="H8431" t="str">
            <v>HPER-H640</v>
          </cell>
          <cell r="K8431" t="str">
            <v>Obeng,Cecilia Sem</v>
          </cell>
          <cell r="N8431" t="str">
            <v>NR</v>
          </cell>
          <cell r="O8431" t="str">
            <v>NR</v>
          </cell>
        </row>
        <row r="8432">
          <cell r="E8432" t="str">
            <v>HPER</v>
          </cell>
          <cell r="F8432" t="str">
            <v>HPER-H</v>
          </cell>
          <cell r="G8432">
            <v>640</v>
          </cell>
          <cell r="H8432" t="str">
            <v>HPER-H640</v>
          </cell>
          <cell r="K8432" t="str">
            <v>Seo,Dong Chul</v>
          </cell>
          <cell r="N8432" t="str">
            <v>NR</v>
          </cell>
          <cell r="O8432" t="str">
            <v>NR</v>
          </cell>
        </row>
        <row r="8433">
          <cell r="E8433" t="str">
            <v>HPER</v>
          </cell>
          <cell r="F8433" t="str">
            <v>HPER-H</v>
          </cell>
          <cell r="G8433">
            <v>641</v>
          </cell>
          <cell r="H8433" t="str">
            <v>HPER-H641</v>
          </cell>
          <cell r="K8433" t="str">
            <v>Kay,Noy S.</v>
          </cell>
          <cell r="N8433" t="str">
            <v>NR</v>
          </cell>
          <cell r="O8433" t="str">
            <v>NR</v>
          </cell>
        </row>
        <row r="8434">
          <cell r="E8434" t="str">
            <v>HPER</v>
          </cell>
          <cell r="F8434" t="str">
            <v>HPER-H</v>
          </cell>
          <cell r="G8434">
            <v>642</v>
          </cell>
          <cell r="H8434" t="str">
            <v>HPER-H642</v>
          </cell>
          <cell r="K8434" t="str">
            <v>Ellis,Nancy Theresa</v>
          </cell>
          <cell r="N8434" t="str">
            <v>NR</v>
          </cell>
          <cell r="O8434" t="str">
            <v>NR</v>
          </cell>
        </row>
        <row r="8435">
          <cell r="E8435" t="str">
            <v>HPER</v>
          </cell>
          <cell r="F8435" t="str">
            <v>HPER-H</v>
          </cell>
          <cell r="G8435">
            <v>642</v>
          </cell>
          <cell r="H8435" t="str">
            <v>HPER-H642</v>
          </cell>
          <cell r="K8435" t="str">
            <v>Ellis,Nancy Theresa</v>
          </cell>
          <cell r="N8435" t="str">
            <v>NR</v>
          </cell>
          <cell r="O8435" t="str">
            <v>NR</v>
          </cell>
        </row>
        <row r="8436">
          <cell r="E8436" t="str">
            <v>HPER</v>
          </cell>
          <cell r="F8436" t="str">
            <v>HPER-H</v>
          </cell>
          <cell r="G8436">
            <v>642</v>
          </cell>
          <cell r="H8436" t="str">
            <v>HPER-H642</v>
          </cell>
          <cell r="K8436" t="str">
            <v>Ellis,Nancy Theresa</v>
          </cell>
          <cell r="N8436" t="str">
            <v>NR</v>
          </cell>
          <cell r="O8436" t="str">
            <v>NR</v>
          </cell>
        </row>
        <row r="8437">
          <cell r="E8437" t="str">
            <v>HPER</v>
          </cell>
          <cell r="F8437" t="str">
            <v>HPER-H</v>
          </cell>
          <cell r="G8437">
            <v>642</v>
          </cell>
          <cell r="H8437" t="str">
            <v>HPER-H642</v>
          </cell>
          <cell r="K8437" t="str">
            <v>Kay,Noy S.</v>
          </cell>
          <cell r="N8437" t="str">
            <v>NR</v>
          </cell>
          <cell r="O8437" t="str">
            <v>NR</v>
          </cell>
        </row>
        <row r="8438">
          <cell r="E8438" t="str">
            <v>HPER</v>
          </cell>
          <cell r="F8438" t="str">
            <v>HPER-H</v>
          </cell>
          <cell r="G8438">
            <v>642</v>
          </cell>
          <cell r="H8438" t="str">
            <v>HPER-H642</v>
          </cell>
          <cell r="K8438" t="str">
            <v>Kay,Noy S.</v>
          </cell>
          <cell r="N8438" t="str">
            <v>NR</v>
          </cell>
          <cell r="O8438" t="str">
            <v>NR</v>
          </cell>
        </row>
        <row r="8439">
          <cell r="E8439" t="str">
            <v>HPER</v>
          </cell>
          <cell r="F8439" t="str">
            <v>HPER-H</v>
          </cell>
          <cell r="G8439">
            <v>642</v>
          </cell>
          <cell r="H8439" t="str">
            <v>HPER-H642</v>
          </cell>
          <cell r="K8439" t="str">
            <v>Kay,Noy S.</v>
          </cell>
          <cell r="N8439" t="str">
            <v>NR</v>
          </cell>
          <cell r="O8439" t="str">
            <v>NR</v>
          </cell>
        </row>
        <row r="8440">
          <cell r="E8440" t="str">
            <v>HPER</v>
          </cell>
          <cell r="F8440" t="str">
            <v>HPER-H</v>
          </cell>
          <cell r="G8440">
            <v>643</v>
          </cell>
          <cell r="H8440" t="str">
            <v>HPER-H643</v>
          </cell>
          <cell r="K8440" t="str">
            <v>Kay,Noy S.</v>
          </cell>
          <cell r="N8440" t="str">
            <v>NR</v>
          </cell>
          <cell r="O8440" t="str">
            <v>NR</v>
          </cell>
        </row>
        <row r="8441">
          <cell r="E8441" t="str">
            <v>HPER</v>
          </cell>
          <cell r="F8441" t="str">
            <v>HPER-H</v>
          </cell>
          <cell r="G8441">
            <v>695</v>
          </cell>
          <cell r="H8441" t="str">
            <v>HPER-H695</v>
          </cell>
          <cell r="K8441" t="str">
            <v>Macy,Jon T</v>
          </cell>
          <cell r="N8441">
            <v>3.7639999999999998</v>
          </cell>
          <cell r="O8441">
            <v>3.7989999999999999</v>
          </cell>
        </row>
        <row r="8442">
          <cell r="E8442" t="str">
            <v>HPER</v>
          </cell>
          <cell r="F8442" t="str">
            <v>HPER-H</v>
          </cell>
          <cell r="G8442">
            <v>695</v>
          </cell>
          <cell r="H8442" t="str">
            <v>HPER-H695</v>
          </cell>
          <cell r="K8442" t="str">
            <v>Meyerson,Beth Elaine</v>
          </cell>
          <cell r="N8442">
            <v>3.7229999999999999</v>
          </cell>
          <cell r="O8442">
            <v>3.774</v>
          </cell>
        </row>
        <row r="8443">
          <cell r="E8443" t="str">
            <v>HPER</v>
          </cell>
          <cell r="F8443" t="str">
            <v>HPER-H</v>
          </cell>
          <cell r="G8443">
            <v>717</v>
          </cell>
          <cell r="H8443" t="str">
            <v>HPER-H717</v>
          </cell>
          <cell r="K8443" t="str">
            <v>Reece,Michael</v>
          </cell>
          <cell r="N8443" t="str">
            <v>NR</v>
          </cell>
          <cell r="O8443" t="str">
            <v>NR</v>
          </cell>
        </row>
        <row r="8444">
          <cell r="E8444" t="str">
            <v>HPER</v>
          </cell>
          <cell r="F8444" t="str">
            <v>HPER-H</v>
          </cell>
          <cell r="G8444">
            <v>740</v>
          </cell>
          <cell r="H8444" t="str">
            <v>HPER-H740</v>
          </cell>
          <cell r="K8444" t="str">
            <v>Ellis,Nancy Theresa</v>
          </cell>
          <cell r="N8444" t="str">
            <v>NR</v>
          </cell>
          <cell r="O8444" t="str">
            <v>NR</v>
          </cell>
        </row>
        <row r="8445">
          <cell r="E8445" t="str">
            <v>HPER</v>
          </cell>
          <cell r="F8445" t="str">
            <v>HPER-H</v>
          </cell>
          <cell r="G8445">
            <v>740</v>
          </cell>
          <cell r="H8445" t="str">
            <v>HPER-H740</v>
          </cell>
          <cell r="K8445" t="str">
            <v>Ellis,Nancy Theresa</v>
          </cell>
          <cell r="N8445" t="str">
            <v>NR</v>
          </cell>
          <cell r="O8445" t="str">
            <v>NR</v>
          </cell>
        </row>
        <row r="8446">
          <cell r="E8446" t="str">
            <v>HPER</v>
          </cell>
          <cell r="F8446" t="str">
            <v>HPER-H</v>
          </cell>
          <cell r="G8446">
            <v>740</v>
          </cell>
          <cell r="H8446" t="str">
            <v>HPER-H740</v>
          </cell>
          <cell r="K8446" t="str">
            <v>Feresu,Shinga Alifina</v>
          </cell>
          <cell r="N8446" t="str">
            <v>NR</v>
          </cell>
          <cell r="O8446" t="str">
            <v>NR</v>
          </cell>
        </row>
        <row r="8447">
          <cell r="E8447" t="str">
            <v>HPER</v>
          </cell>
          <cell r="F8447" t="str">
            <v>HPER-H</v>
          </cell>
          <cell r="G8447">
            <v>740</v>
          </cell>
          <cell r="H8447" t="str">
            <v>HPER-H740</v>
          </cell>
          <cell r="K8447" t="str">
            <v>Fly,Alyce D.</v>
          </cell>
          <cell r="N8447" t="str">
            <v>NR</v>
          </cell>
          <cell r="O8447" t="str">
            <v>NR</v>
          </cell>
        </row>
        <row r="8448">
          <cell r="E8448" t="str">
            <v>HPER</v>
          </cell>
          <cell r="F8448" t="str">
            <v>HPER-H</v>
          </cell>
          <cell r="G8448">
            <v>740</v>
          </cell>
          <cell r="H8448" t="str">
            <v>HPER-H740</v>
          </cell>
          <cell r="K8448" t="str">
            <v>Lohrmann,David K.</v>
          </cell>
          <cell r="N8448" t="str">
            <v>NR</v>
          </cell>
          <cell r="O8448" t="str">
            <v>NR</v>
          </cell>
        </row>
        <row r="8449">
          <cell r="E8449" t="str">
            <v>HPER</v>
          </cell>
          <cell r="F8449" t="str">
            <v>HPER-H</v>
          </cell>
          <cell r="G8449">
            <v>740</v>
          </cell>
          <cell r="H8449" t="str">
            <v>HPER-H740</v>
          </cell>
          <cell r="K8449" t="str">
            <v>Macy,Jon T</v>
          </cell>
          <cell r="N8449" t="str">
            <v>NR</v>
          </cell>
          <cell r="O8449" t="str">
            <v>NR</v>
          </cell>
        </row>
        <row r="8450">
          <cell r="E8450" t="str">
            <v>HPER</v>
          </cell>
          <cell r="F8450" t="str">
            <v>HPER-H</v>
          </cell>
          <cell r="G8450">
            <v>740</v>
          </cell>
          <cell r="H8450" t="str">
            <v>HPER-H740</v>
          </cell>
          <cell r="K8450" t="str">
            <v>Middlestadt,Susan Elizabeth</v>
          </cell>
          <cell r="N8450" t="str">
            <v>NR</v>
          </cell>
          <cell r="O8450" t="str">
            <v>NR</v>
          </cell>
        </row>
        <row r="8451">
          <cell r="E8451" t="str">
            <v>HPER</v>
          </cell>
          <cell r="F8451" t="str">
            <v>HPER-H</v>
          </cell>
          <cell r="G8451">
            <v>740</v>
          </cell>
          <cell r="H8451" t="str">
            <v>HPER-H740</v>
          </cell>
          <cell r="K8451" t="str">
            <v>Middlestadt,Susan Elizabeth</v>
          </cell>
          <cell r="N8451" t="str">
            <v>NR</v>
          </cell>
          <cell r="O8451" t="str">
            <v>NR</v>
          </cell>
        </row>
        <row r="8452">
          <cell r="E8452" t="str">
            <v>HPER</v>
          </cell>
          <cell r="F8452" t="str">
            <v>HPER-H</v>
          </cell>
          <cell r="G8452">
            <v>740</v>
          </cell>
          <cell r="H8452" t="str">
            <v>HPER-H740</v>
          </cell>
          <cell r="K8452" t="str">
            <v>Reece,Michael</v>
          </cell>
          <cell r="N8452" t="str">
            <v>NR</v>
          </cell>
          <cell r="O8452" t="str">
            <v>NR</v>
          </cell>
        </row>
        <row r="8453">
          <cell r="E8453" t="str">
            <v>HPER</v>
          </cell>
          <cell r="F8453" t="str">
            <v>HPER-H</v>
          </cell>
          <cell r="G8453">
            <v>740</v>
          </cell>
          <cell r="H8453" t="str">
            <v>HPER-H740</v>
          </cell>
          <cell r="K8453" t="str">
            <v>Reece,Michael</v>
          </cell>
          <cell r="N8453" t="str">
            <v>NR</v>
          </cell>
          <cell r="O8453" t="str">
            <v>NR</v>
          </cell>
        </row>
        <row r="8454">
          <cell r="E8454" t="str">
            <v>HPER</v>
          </cell>
          <cell r="F8454" t="str">
            <v>HPER-H</v>
          </cell>
          <cell r="G8454">
            <v>740</v>
          </cell>
          <cell r="H8454" t="str">
            <v>HPER-H740</v>
          </cell>
          <cell r="K8454" t="str">
            <v>Seo,Dong Chul</v>
          </cell>
          <cell r="N8454" t="str">
            <v>NR</v>
          </cell>
          <cell r="O8454" t="str">
            <v>NR</v>
          </cell>
        </row>
        <row r="8455">
          <cell r="E8455" t="str">
            <v>HPER</v>
          </cell>
          <cell r="F8455" t="str">
            <v>HPER-H</v>
          </cell>
          <cell r="G8455">
            <v>740</v>
          </cell>
          <cell r="H8455" t="str">
            <v>HPER-H740</v>
          </cell>
          <cell r="K8455" t="str">
            <v>Seo,Dong Chul</v>
          </cell>
          <cell r="N8455" t="str">
            <v>NR</v>
          </cell>
          <cell r="O8455" t="str">
            <v>NR</v>
          </cell>
        </row>
        <row r="8456">
          <cell r="E8456" t="str">
            <v>HPER</v>
          </cell>
          <cell r="F8456" t="str">
            <v>HPER-H</v>
          </cell>
          <cell r="G8456">
            <v>741</v>
          </cell>
          <cell r="H8456" t="str">
            <v>HPER-H741</v>
          </cell>
          <cell r="K8456" t="str">
            <v>Ellis,Nancy Theresa</v>
          </cell>
          <cell r="N8456" t="str">
            <v>NR</v>
          </cell>
          <cell r="O8456" t="str">
            <v>NR</v>
          </cell>
        </row>
        <row r="8457">
          <cell r="E8457" t="str">
            <v>HPER</v>
          </cell>
          <cell r="F8457" t="str">
            <v>HPER-H</v>
          </cell>
          <cell r="G8457">
            <v>741</v>
          </cell>
          <cell r="H8457" t="str">
            <v>HPER-H741</v>
          </cell>
          <cell r="K8457" t="str">
            <v>Middlestadt,Susan Elizabeth</v>
          </cell>
          <cell r="N8457" t="str">
            <v>NR</v>
          </cell>
          <cell r="O8457" t="str">
            <v>NR</v>
          </cell>
        </row>
        <row r="8458">
          <cell r="E8458" t="str">
            <v>HPER</v>
          </cell>
          <cell r="F8458" t="str">
            <v>HPER-H</v>
          </cell>
          <cell r="G8458">
            <v>741</v>
          </cell>
          <cell r="H8458" t="str">
            <v>HPER-H741</v>
          </cell>
          <cell r="K8458" t="str">
            <v>Reece,Michael</v>
          </cell>
          <cell r="N8458" t="str">
            <v>NR</v>
          </cell>
          <cell r="O8458" t="str">
            <v>NR</v>
          </cell>
        </row>
        <row r="8459">
          <cell r="E8459" t="str">
            <v>HPER</v>
          </cell>
          <cell r="F8459" t="str">
            <v>HPER-H</v>
          </cell>
          <cell r="G8459">
            <v>741</v>
          </cell>
          <cell r="H8459" t="str">
            <v>HPER-H741</v>
          </cell>
          <cell r="K8459" t="str">
            <v>Reece,Michael</v>
          </cell>
          <cell r="N8459" t="str">
            <v>NR</v>
          </cell>
          <cell r="O8459" t="str">
            <v>NR</v>
          </cell>
        </row>
        <row r="8460">
          <cell r="E8460" t="str">
            <v>HPER</v>
          </cell>
          <cell r="F8460" t="str">
            <v>HPER-H</v>
          </cell>
          <cell r="G8460">
            <v>741</v>
          </cell>
          <cell r="H8460" t="str">
            <v>HPER-H741</v>
          </cell>
          <cell r="K8460" t="str">
            <v>Seo,Dong Chul</v>
          </cell>
          <cell r="N8460" t="str">
            <v>NR</v>
          </cell>
          <cell r="O8460" t="str">
            <v>NR</v>
          </cell>
        </row>
        <row r="8461">
          <cell r="E8461" t="str">
            <v>HPER</v>
          </cell>
          <cell r="F8461" t="str">
            <v>HPER-H</v>
          </cell>
          <cell r="G8461">
            <v>741</v>
          </cell>
          <cell r="H8461" t="str">
            <v>HPER-H741</v>
          </cell>
          <cell r="K8461" t="str">
            <v>Smith,Susan Madison</v>
          </cell>
          <cell r="N8461" t="str">
            <v>NR</v>
          </cell>
          <cell r="O8461" t="str">
            <v>NR</v>
          </cell>
        </row>
        <row r="8462">
          <cell r="E8462" t="str">
            <v>HPER</v>
          </cell>
          <cell r="F8462" t="str">
            <v>HPER-H</v>
          </cell>
          <cell r="G8462">
            <v>799</v>
          </cell>
          <cell r="H8462" t="str">
            <v>HPER-H799</v>
          </cell>
          <cell r="K8462" t="str">
            <v>Ellis,Nancy Theresa</v>
          </cell>
          <cell r="N8462" t="str">
            <v>NR</v>
          </cell>
          <cell r="O8462" t="str">
            <v>NR</v>
          </cell>
        </row>
        <row r="8463">
          <cell r="E8463" t="str">
            <v>HPER</v>
          </cell>
          <cell r="F8463" t="str">
            <v>HPER-H</v>
          </cell>
          <cell r="G8463">
            <v>799</v>
          </cell>
          <cell r="H8463" t="str">
            <v>HPER-H799</v>
          </cell>
          <cell r="K8463" t="str">
            <v>Ellis,Nancy Theresa</v>
          </cell>
          <cell r="N8463" t="str">
            <v>NR</v>
          </cell>
          <cell r="O8463" t="str">
            <v>NR</v>
          </cell>
        </row>
        <row r="8464">
          <cell r="E8464" t="str">
            <v>HPER</v>
          </cell>
          <cell r="F8464" t="str">
            <v>HPER-H</v>
          </cell>
          <cell r="G8464">
            <v>799</v>
          </cell>
          <cell r="H8464" t="str">
            <v>HPER-H799</v>
          </cell>
          <cell r="K8464" t="str">
            <v>Ellis,Nancy Theresa</v>
          </cell>
          <cell r="N8464" t="str">
            <v>NR</v>
          </cell>
          <cell r="O8464" t="str">
            <v>NR</v>
          </cell>
        </row>
        <row r="8465">
          <cell r="E8465" t="str">
            <v>HPER</v>
          </cell>
          <cell r="F8465" t="str">
            <v>HPER-H</v>
          </cell>
          <cell r="G8465">
            <v>799</v>
          </cell>
          <cell r="H8465" t="str">
            <v>HPER-H799</v>
          </cell>
          <cell r="K8465" t="str">
            <v>Fly,Alyce D.</v>
          </cell>
          <cell r="N8465" t="str">
            <v>NR</v>
          </cell>
          <cell r="O8465" t="str">
            <v>NR</v>
          </cell>
        </row>
        <row r="8466">
          <cell r="E8466" t="str">
            <v>HPER</v>
          </cell>
          <cell r="F8466" t="str">
            <v>HPER-H</v>
          </cell>
          <cell r="G8466">
            <v>799</v>
          </cell>
          <cell r="H8466" t="str">
            <v>HPER-H799</v>
          </cell>
          <cell r="K8466" t="str">
            <v>Fly,Alyce D.</v>
          </cell>
          <cell r="N8466" t="str">
            <v>NR</v>
          </cell>
          <cell r="O8466" t="str">
            <v>NR</v>
          </cell>
        </row>
        <row r="8467">
          <cell r="E8467" t="str">
            <v>HPER</v>
          </cell>
          <cell r="F8467" t="str">
            <v>HPER-H</v>
          </cell>
          <cell r="G8467">
            <v>799</v>
          </cell>
          <cell r="H8467" t="str">
            <v>HPER-H799</v>
          </cell>
          <cell r="K8467" t="str">
            <v>Gilbert,Kathleen R.</v>
          </cell>
          <cell r="N8467" t="str">
            <v>NR</v>
          </cell>
          <cell r="O8467" t="str">
            <v>NR</v>
          </cell>
        </row>
        <row r="8468">
          <cell r="E8468" t="str">
            <v>HPER</v>
          </cell>
          <cell r="F8468" t="str">
            <v>HPER-H</v>
          </cell>
          <cell r="G8468">
            <v>799</v>
          </cell>
          <cell r="H8468" t="str">
            <v>HPER-H799</v>
          </cell>
          <cell r="K8468" t="str">
            <v>Gilbert,Kathleen R.</v>
          </cell>
          <cell r="N8468" t="str">
            <v>NR</v>
          </cell>
          <cell r="O8468" t="str">
            <v>NR</v>
          </cell>
        </row>
        <row r="8469">
          <cell r="E8469" t="str">
            <v>HPER</v>
          </cell>
          <cell r="F8469" t="str">
            <v>HPER-H</v>
          </cell>
          <cell r="G8469">
            <v>799</v>
          </cell>
          <cell r="H8469" t="str">
            <v>HPER-H799</v>
          </cell>
          <cell r="K8469" t="str">
            <v>Gilbert,Kathleen R.</v>
          </cell>
          <cell r="N8469" t="str">
            <v>NR</v>
          </cell>
          <cell r="O8469" t="str">
            <v>NR</v>
          </cell>
        </row>
        <row r="8470">
          <cell r="E8470" t="str">
            <v>HPER</v>
          </cell>
          <cell r="F8470" t="str">
            <v>HPER-H</v>
          </cell>
          <cell r="G8470">
            <v>799</v>
          </cell>
          <cell r="H8470" t="str">
            <v>HPER-H799</v>
          </cell>
          <cell r="K8470" t="str">
            <v>Gilbert,Kathleen R.</v>
          </cell>
          <cell r="N8470" t="str">
            <v>NR</v>
          </cell>
          <cell r="O8470" t="str">
            <v>NR</v>
          </cell>
        </row>
        <row r="8471">
          <cell r="E8471" t="str">
            <v>HPER</v>
          </cell>
          <cell r="F8471" t="str">
            <v>HPER-H</v>
          </cell>
          <cell r="G8471">
            <v>799</v>
          </cell>
          <cell r="H8471" t="str">
            <v>HPER-H799</v>
          </cell>
          <cell r="K8471" t="str">
            <v>Goodman,Bob M.</v>
          </cell>
          <cell r="N8471" t="str">
            <v>NR</v>
          </cell>
          <cell r="O8471" t="str">
            <v>NR</v>
          </cell>
        </row>
        <row r="8472">
          <cell r="E8472" t="str">
            <v>HPER</v>
          </cell>
          <cell r="F8472" t="str">
            <v>HPER-H</v>
          </cell>
          <cell r="G8472">
            <v>799</v>
          </cell>
          <cell r="H8472" t="str">
            <v>HPER-H799</v>
          </cell>
          <cell r="K8472" t="str">
            <v>Goodman,Bob M.</v>
          </cell>
          <cell r="N8472" t="str">
            <v>NR</v>
          </cell>
          <cell r="O8472" t="str">
            <v>NR</v>
          </cell>
        </row>
        <row r="8473">
          <cell r="E8473" t="str">
            <v>HPER</v>
          </cell>
          <cell r="F8473" t="str">
            <v>HPER-H</v>
          </cell>
          <cell r="G8473">
            <v>799</v>
          </cell>
          <cell r="H8473" t="str">
            <v>HPER-H799</v>
          </cell>
          <cell r="K8473" t="str">
            <v>Kolbe,Lloyd J</v>
          </cell>
          <cell r="N8473" t="str">
            <v>NR</v>
          </cell>
          <cell r="O8473" t="str">
            <v>NR</v>
          </cell>
        </row>
        <row r="8474">
          <cell r="E8474" t="str">
            <v>HPER</v>
          </cell>
          <cell r="F8474" t="str">
            <v>HPER-H</v>
          </cell>
          <cell r="G8474">
            <v>799</v>
          </cell>
          <cell r="H8474" t="str">
            <v>HPER-H799</v>
          </cell>
          <cell r="K8474" t="str">
            <v>Lindeman,Alice K.</v>
          </cell>
          <cell r="N8474" t="str">
            <v>NR</v>
          </cell>
          <cell r="O8474" t="str">
            <v>NR</v>
          </cell>
        </row>
        <row r="8475">
          <cell r="E8475" t="str">
            <v>HPER</v>
          </cell>
          <cell r="F8475" t="str">
            <v>HPER-H</v>
          </cell>
          <cell r="G8475">
            <v>799</v>
          </cell>
          <cell r="H8475" t="str">
            <v>HPER-H799</v>
          </cell>
          <cell r="K8475" t="str">
            <v>Lohrmann,David K.</v>
          </cell>
          <cell r="N8475" t="str">
            <v>NR</v>
          </cell>
          <cell r="O8475" t="str">
            <v>NR</v>
          </cell>
        </row>
        <row r="8476">
          <cell r="E8476" t="str">
            <v>HPER</v>
          </cell>
          <cell r="F8476" t="str">
            <v>HPER-H</v>
          </cell>
          <cell r="G8476">
            <v>799</v>
          </cell>
          <cell r="H8476" t="str">
            <v>HPER-H799</v>
          </cell>
          <cell r="K8476" t="str">
            <v>Lohrmann,David K.</v>
          </cell>
          <cell r="N8476" t="str">
            <v>NR</v>
          </cell>
          <cell r="O8476" t="str">
            <v>NR</v>
          </cell>
        </row>
        <row r="8477">
          <cell r="E8477" t="str">
            <v>HPER</v>
          </cell>
          <cell r="F8477" t="str">
            <v>HPER-H</v>
          </cell>
          <cell r="G8477">
            <v>799</v>
          </cell>
          <cell r="H8477" t="str">
            <v>HPER-H799</v>
          </cell>
          <cell r="K8477" t="str">
            <v>Middlestadt,Susan Elizabeth</v>
          </cell>
          <cell r="N8477" t="str">
            <v>NR</v>
          </cell>
          <cell r="O8477" t="str">
            <v>NR</v>
          </cell>
        </row>
        <row r="8478">
          <cell r="E8478" t="str">
            <v>HPER</v>
          </cell>
          <cell r="F8478" t="str">
            <v>HPER-H</v>
          </cell>
          <cell r="G8478">
            <v>799</v>
          </cell>
          <cell r="H8478" t="str">
            <v>HPER-H799</v>
          </cell>
          <cell r="K8478" t="str">
            <v>Middlestadt,Susan Elizabeth</v>
          </cell>
          <cell r="N8478" t="str">
            <v>NR</v>
          </cell>
          <cell r="O8478" t="str">
            <v>NR</v>
          </cell>
        </row>
        <row r="8479">
          <cell r="E8479" t="str">
            <v>HPER</v>
          </cell>
          <cell r="F8479" t="str">
            <v>HPER-H</v>
          </cell>
          <cell r="G8479">
            <v>799</v>
          </cell>
          <cell r="H8479" t="str">
            <v>HPER-H799</v>
          </cell>
          <cell r="K8479" t="str">
            <v>Reece,Michael</v>
          </cell>
          <cell r="N8479" t="str">
            <v>NR</v>
          </cell>
          <cell r="O8479" t="str">
            <v>NR</v>
          </cell>
        </row>
        <row r="8480">
          <cell r="E8480" t="str">
            <v>HPER</v>
          </cell>
          <cell r="F8480" t="str">
            <v>HPER-H</v>
          </cell>
          <cell r="G8480">
            <v>799</v>
          </cell>
          <cell r="H8480" t="str">
            <v>HPER-H799</v>
          </cell>
          <cell r="K8480" t="str">
            <v>Reece,Michael</v>
          </cell>
          <cell r="N8480" t="str">
            <v>NR</v>
          </cell>
          <cell r="O8480" t="str">
            <v>NR</v>
          </cell>
        </row>
        <row r="8481">
          <cell r="E8481" t="str">
            <v>HPER</v>
          </cell>
          <cell r="F8481" t="str">
            <v>HPER-H</v>
          </cell>
          <cell r="G8481">
            <v>799</v>
          </cell>
          <cell r="H8481" t="str">
            <v>HPER-H799</v>
          </cell>
          <cell r="K8481" t="str">
            <v>Reece,Michael</v>
          </cell>
          <cell r="N8481" t="str">
            <v>NR</v>
          </cell>
          <cell r="O8481" t="str">
            <v>NR</v>
          </cell>
        </row>
        <row r="8482">
          <cell r="E8482" t="str">
            <v>HPER</v>
          </cell>
          <cell r="F8482" t="str">
            <v>HPER-H</v>
          </cell>
          <cell r="G8482">
            <v>799</v>
          </cell>
          <cell r="H8482" t="str">
            <v>HPER-H799</v>
          </cell>
          <cell r="K8482" t="str">
            <v>Seo,Dong Chul</v>
          </cell>
          <cell r="N8482" t="str">
            <v>NR</v>
          </cell>
          <cell r="O8482" t="str">
            <v>NR</v>
          </cell>
        </row>
        <row r="8483">
          <cell r="E8483" t="str">
            <v>HPER</v>
          </cell>
          <cell r="F8483" t="str">
            <v>HPER-H</v>
          </cell>
          <cell r="G8483">
            <v>799</v>
          </cell>
          <cell r="H8483" t="str">
            <v>HPER-H799</v>
          </cell>
          <cell r="K8483" t="str">
            <v>Seo,Dong Chul</v>
          </cell>
          <cell r="N8483" t="str">
            <v>NR</v>
          </cell>
          <cell r="O8483" t="str">
            <v>NR</v>
          </cell>
        </row>
        <row r="8484">
          <cell r="E8484" t="str">
            <v>HPER</v>
          </cell>
          <cell r="F8484" t="str">
            <v>HPER-H</v>
          </cell>
          <cell r="G8484">
            <v>799</v>
          </cell>
          <cell r="H8484" t="str">
            <v>HPER-H799</v>
          </cell>
          <cell r="K8484" t="str">
            <v>Seo,Dong Chul</v>
          </cell>
          <cell r="N8484" t="str">
            <v>NR</v>
          </cell>
          <cell r="O8484" t="str">
            <v>NR</v>
          </cell>
        </row>
        <row r="8485">
          <cell r="E8485" t="str">
            <v>HPER</v>
          </cell>
          <cell r="F8485" t="str">
            <v>HPER-H</v>
          </cell>
          <cell r="G8485">
            <v>799</v>
          </cell>
          <cell r="H8485" t="str">
            <v>HPER-H799</v>
          </cell>
          <cell r="K8485" t="str">
            <v>Torabi,Mohammad Rahim</v>
          </cell>
          <cell r="N8485" t="str">
            <v>NR</v>
          </cell>
          <cell r="O8485" t="str">
            <v>NR</v>
          </cell>
        </row>
        <row r="8486">
          <cell r="E8486" t="str">
            <v>HPER</v>
          </cell>
          <cell r="F8486" t="str">
            <v>HPER-H</v>
          </cell>
          <cell r="G8486">
            <v>799</v>
          </cell>
          <cell r="H8486" t="str">
            <v>HPER-H799</v>
          </cell>
          <cell r="K8486" t="str">
            <v>Torabi,Mohammad Rahim</v>
          </cell>
          <cell r="N8486" t="str">
            <v>NR</v>
          </cell>
          <cell r="O8486" t="str">
            <v>NR</v>
          </cell>
        </row>
        <row r="8487">
          <cell r="E8487" t="str">
            <v>HPER</v>
          </cell>
          <cell r="F8487" t="str">
            <v>HPER-H</v>
          </cell>
          <cell r="G8487">
            <v>799</v>
          </cell>
          <cell r="H8487" t="str">
            <v>HPER-H799</v>
          </cell>
          <cell r="K8487" t="str">
            <v>Yarber,William Lee</v>
          </cell>
          <cell r="N8487" t="str">
            <v>NR</v>
          </cell>
          <cell r="O8487" t="str">
            <v>NR</v>
          </cell>
        </row>
        <row r="8488">
          <cell r="E8488" t="str">
            <v>HPER</v>
          </cell>
          <cell r="F8488" t="str">
            <v>HPER-K</v>
          </cell>
          <cell r="G8488">
            <v>500</v>
          </cell>
          <cell r="H8488" t="str">
            <v>HPER-K500</v>
          </cell>
          <cell r="K8488" t="str">
            <v>Beeker,Charles Dean</v>
          </cell>
          <cell r="N8488" t="str">
            <v>NR</v>
          </cell>
          <cell r="O8488" t="str">
            <v>NR</v>
          </cell>
        </row>
        <row r="8489">
          <cell r="E8489" t="str">
            <v>HPER</v>
          </cell>
          <cell r="F8489" t="str">
            <v>HPER-K</v>
          </cell>
          <cell r="G8489">
            <v>500</v>
          </cell>
          <cell r="H8489" t="str">
            <v>HPER-K500</v>
          </cell>
          <cell r="K8489" t="str">
            <v>Beeker,Charles Dean</v>
          </cell>
          <cell r="N8489" t="str">
            <v>NR</v>
          </cell>
          <cell r="O8489" t="str">
            <v>NR</v>
          </cell>
        </row>
        <row r="8490">
          <cell r="E8490" t="str">
            <v>HPER</v>
          </cell>
          <cell r="F8490" t="str">
            <v>HPER-K</v>
          </cell>
          <cell r="G8490">
            <v>500</v>
          </cell>
          <cell r="H8490" t="str">
            <v>HPER-K500</v>
          </cell>
          <cell r="K8490" t="str">
            <v>Clavio,Galen Emil</v>
          </cell>
          <cell r="N8490">
            <v>4</v>
          </cell>
          <cell r="O8490">
            <v>3.8050000000000002</v>
          </cell>
        </row>
        <row r="8491">
          <cell r="E8491" t="str">
            <v>HPER</v>
          </cell>
          <cell r="F8491" t="str">
            <v>HPER-K</v>
          </cell>
          <cell r="G8491">
            <v>500</v>
          </cell>
          <cell r="H8491" t="str">
            <v>HPER-K500</v>
          </cell>
          <cell r="K8491" t="str">
            <v>Grossman,Jayd</v>
          </cell>
          <cell r="N8491" t="str">
            <v>NR</v>
          </cell>
          <cell r="O8491" t="str">
            <v>NR</v>
          </cell>
        </row>
        <row r="8492">
          <cell r="E8492" t="str">
            <v>HPER</v>
          </cell>
          <cell r="F8492" t="str">
            <v>HPER-K</v>
          </cell>
          <cell r="G8492">
            <v>500</v>
          </cell>
          <cell r="H8492" t="str">
            <v>HPER-K500</v>
          </cell>
          <cell r="K8492" t="str">
            <v>Henson,Phillip Likins</v>
          </cell>
          <cell r="N8492" t="str">
            <v>NR</v>
          </cell>
          <cell r="O8492" t="str">
            <v>NR</v>
          </cell>
        </row>
        <row r="8493">
          <cell r="E8493" t="str">
            <v>HPER</v>
          </cell>
          <cell r="F8493" t="str">
            <v>HPER-K</v>
          </cell>
          <cell r="G8493">
            <v>500</v>
          </cell>
          <cell r="H8493" t="str">
            <v>HPER-K500</v>
          </cell>
          <cell r="K8493" t="str">
            <v>Kennedy-Armbruster,Carol</v>
          </cell>
          <cell r="N8493" t="str">
            <v>NR</v>
          </cell>
          <cell r="O8493" t="str">
            <v>NR</v>
          </cell>
        </row>
        <row r="8494">
          <cell r="E8494" t="str">
            <v>HPER</v>
          </cell>
          <cell r="F8494" t="str">
            <v>HPER-K</v>
          </cell>
          <cell r="G8494">
            <v>500</v>
          </cell>
          <cell r="H8494" t="str">
            <v>HPER-K500</v>
          </cell>
          <cell r="K8494" t="str">
            <v>Lim,Choong Hoon</v>
          </cell>
          <cell r="N8494">
            <v>3.419</v>
          </cell>
          <cell r="O8494">
            <v>3.569</v>
          </cell>
        </row>
        <row r="8495">
          <cell r="E8495" t="str">
            <v>HPER</v>
          </cell>
          <cell r="F8495" t="str">
            <v>HPER-K</v>
          </cell>
          <cell r="G8495">
            <v>500</v>
          </cell>
          <cell r="H8495" t="str">
            <v>HPER-K500</v>
          </cell>
          <cell r="K8495" t="str">
            <v>Williams,Antonio Sentel</v>
          </cell>
          <cell r="N8495">
            <v>3.94</v>
          </cell>
          <cell r="O8495">
            <v>3.839</v>
          </cell>
        </row>
        <row r="8496">
          <cell r="E8496" t="str">
            <v>HPER</v>
          </cell>
          <cell r="F8496" t="str">
            <v>HPER-K</v>
          </cell>
          <cell r="G8496">
            <v>500</v>
          </cell>
          <cell r="H8496" t="str">
            <v>HPER-K500</v>
          </cell>
          <cell r="K8496" t="str">
            <v>Williams,Antonio Sentel</v>
          </cell>
          <cell r="N8496">
            <v>3.7679999999999998</v>
          </cell>
          <cell r="O8496">
            <v>3.746</v>
          </cell>
        </row>
        <row r="8497">
          <cell r="E8497" t="str">
            <v>HPER</v>
          </cell>
          <cell r="F8497" t="str">
            <v>HPER-K</v>
          </cell>
          <cell r="G8497">
            <v>506</v>
          </cell>
          <cell r="H8497" t="str">
            <v>HPER-K506</v>
          </cell>
          <cell r="K8497" t="str">
            <v>Lion,Margaret Melanie</v>
          </cell>
          <cell r="N8497" t="str">
            <v>NR</v>
          </cell>
          <cell r="O8497" t="str">
            <v>NR</v>
          </cell>
        </row>
        <row r="8498">
          <cell r="E8498" t="str">
            <v>HPER</v>
          </cell>
          <cell r="F8498" t="str">
            <v>HPER-K</v>
          </cell>
          <cell r="G8498">
            <v>511</v>
          </cell>
          <cell r="H8498" t="str">
            <v>HPER-K511</v>
          </cell>
          <cell r="K8498" t="str">
            <v>Reynolds,Ralph Chris" Christopher"</v>
          </cell>
          <cell r="N8498">
            <v>3.9</v>
          </cell>
          <cell r="O8498">
            <v>3.74</v>
          </cell>
        </row>
        <row r="8499">
          <cell r="E8499" t="str">
            <v>HPER</v>
          </cell>
          <cell r="F8499" t="str">
            <v>HPER-K</v>
          </cell>
          <cell r="G8499">
            <v>513</v>
          </cell>
          <cell r="H8499" t="str">
            <v>HPER-K513</v>
          </cell>
          <cell r="K8499" t="str">
            <v>Sailes,Gary A.</v>
          </cell>
          <cell r="N8499">
            <v>3.843</v>
          </cell>
          <cell r="O8499">
            <v>3.83</v>
          </cell>
        </row>
        <row r="8500">
          <cell r="E8500" t="str">
            <v>HPER</v>
          </cell>
          <cell r="F8500" t="str">
            <v>HPER-K</v>
          </cell>
          <cell r="G8500">
            <v>514</v>
          </cell>
          <cell r="H8500" t="str">
            <v>HPER-K514</v>
          </cell>
          <cell r="K8500" t="str">
            <v>Walsh,Patrick Thomas</v>
          </cell>
          <cell r="N8500">
            <v>3.665</v>
          </cell>
          <cell r="O8500">
            <v>3.6030000000000002</v>
          </cell>
        </row>
        <row r="8501">
          <cell r="E8501" t="str">
            <v>HPER</v>
          </cell>
          <cell r="F8501" t="str">
            <v>HPER-K</v>
          </cell>
          <cell r="G8501">
            <v>521</v>
          </cell>
          <cell r="H8501" t="str">
            <v>HPER-K521</v>
          </cell>
          <cell r="K8501" t="str">
            <v>Fielding,Larry</v>
          </cell>
          <cell r="N8501">
            <v>3.7730000000000001</v>
          </cell>
          <cell r="O8501">
            <v>3.7069999999999999</v>
          </cell>
        </row>
        <row r="8502">
          <cell r="E8502" t="str">
            <v>HPER</v>
          </cell>
          <cell r="F8502" t="str">
            <v>HPER-K</v>
          </cell>
          <cell r="G8502">
            <v>522</v>
          </cell>
          <cell r="H8502" t="str">
            <v>HPER-K522</v>
          </cell>
          <cell r="K8502" t="str">
            <v>Sailes,Gary A.</v>
          </cell>
          <cell r="N8502">
            <v>3.8170000000000002</v>
          </cell>
          <cell r="O8502">
            <v>3.7410000000000001</v>
          </cell>
        </row>
        <row r="8503">
          <cell r="E8503" t="str">
            <v>HPER</v>
          </cell>
          <cell r="F8503" t="str">
            <v>HPER-K</v>
          </cell>
          <cell r="G8503">
            <v>524</v>
          </cell>
          <cell r="H8503" t="str">
            <v>HPER-K524</v>
          </cell>
          <cell r="K8503" t="str">
            <v>Frey,Georgia C.</v>
          </cell>
          <cell r="N8503">
            <v>3.2890000000000001</v>
          </cell>
          <cell r="O8503">
            <v>3.633</v>
          </cell>
        </row>
        <row r="8504">
          <cell r="E8504" t="str">
            <v>HPER</v>
          </cell>
          <cell r="F8504" t="str">
            <v>HPER-K</v>
          </cell>
          <cell r="G8504">
            <v>525</v>
          </cell>
          <cell r="H8504" t="str">
            <v>HPER-K525</v>
          </cell>
          <cell r="K8504" t="str">
            <v>Raglin,John S.</v>
          </cell>
          <cell r="N8504">
            <v>3.7709999999999999</v>
          </cell>
          <cell r="O8504">
            <v>3.5350000000000001</v>
          </cell>
        </row>
        <row r="8505">
          <cell r="E8505" t="str">
            <v>HPER</v>
          </cell>
          <cell r="F8505" t="str">
            <v>HPER-K</v>
          </cell>
          <cell r="G8505">
            <v>530</v>
          </cell>
          <cell r="H8505" t="str">
            <v>HPER-K530</v>
          </cell>
          <cell r="K8505" t="str">
            <v>Dapena,Jesus</v>
          </cell>
          <cell r="N8505">
            <v>3.3330000000000002</v>
          </cell>
          <cell r="O8505">
            <v>3.5129999999999999</v>
          </cell>
        </row>
        <row r="8506">
          <cell r="E8506" t="str">
            <v>HPER</v>
          </cell>
          <cell r="F8506" t="str">
            <v>HPER-K</v>
          </cell>
          <cell r="G8506">
            <v>533</v>
          </cell>
          <cell r="H8506" t="str">
            <v>HPER-K533</v>
          </cell>
          <cell r="K8506" t="str">
            <v>Henson,Phillip Likins</v>
          </cell>
          <cell r="N8506">
            <v>3.9630000000000001</v>
          </cell>
          <cell r="O8506">
            <v>3.5649999999999999</v>
          </cell>
        </row>
        <row r="8507">
          <cell r="E8507" t="str">
            <v>HPER</v>
          </cell>
          <cell r="F8507" t="str">
            <v>HPER-K</v>
          </cell>
          <cell r="G8507">
            <v>535</v>
          </cell>
          <cell r="H8507" t="str">
            <v>HPER-K535</v>
          </cell>
          <cell r="K8507" t="str">
            <v>Mickleborough,Timothy Derek</v>
          </cell>
          <cell r="N8507">
            <v>2.86</v>
          </cell>
          <cell r="O8507">
            <v>3.4009999999999998</v>
          </cell>
        </row>
        <row r="8508">
          <cell r="E8508" t="str">
            <v>HPER</v>
          </cell>
          <cell r="F8508" t="str">
            <v>HPER-K</v>
          </cell>
          <cell r="G8508">
            <v>541</v>
          </cell>
          <cell r="H8508" t="str">
            <v>HPER-K541</v>
          </cell>
          <cell r="K8508" t="str">
            <v>Hong,S. Lee</v>
          </cell>
          <cell r="N8508" t="str">
            <v>NR</v>
          </cell>
          <cell r="O8508" t="str">
            <v>NR</v>
          </cell>
        </row>
        <row r="8509">
          <cell r="E8509" t="str">
            <v>HPER</v>
          </cell>
          <cell r="F8509" t="str">
            <v>HPER-K</v>
          </cell>
          <cell r="G8509">
            <v>542</v>
          </cell>
          <cell r="H8509" t="str">
            <v>HPER-K542</v>
          </cell>
          <cell r="K8509" t="str">
            <v>Koceja,David</v>
          </cell>
          <cell r="N8509">
            <v>3.863</v>
          </cell>
          <cell r="O8509">
            <v>3.633</v>
          </cell>
        </row>
        <row r="8510">
          <cell r="E8510" t="str">
            <v>HPER</v>
          </cell>
          <cell r="F8510" t="str">
            <v>HPER-K</v>
          </cell>
          <cell r="G8510">
            <v>553</v>
          </cell>
          <cell r="H8510" t="str">
            <v>HPER-K553</v>
          </cell>
          <cell r="K8510" t="str">
            <v>Johnston,Jeanne Deborah</v>
          </cell>
          <cell r="N8510">
            <v>3.8140000000000001</v>
          </cell>
          <cell r="O8510">
            <v>3.7349999999999999</v>
          </cell>
        </row>
        <row r="8511">
          <cell r="E8511" t="str">
            <v>HPER</v>
          </cell>
          <cell r="F8511" t="str">
            <v>HPER-K</v>
          </cell>
          <cell r="G8511">
            <v>554</v>
          </cell>
          <cell r="H8511" t="str">
            <v>HPER-K554</v>
          </cell>
          <cell r="K8511" t="str">
            <v>Johnston,Jeanne Deborah</v>
          </cell>
          <cell r="N8511" t="str">
            <v>NR</v>
          </cell>
          <cell r="O8511" t="str">
            <v>NR</v>
          </cell>
        </row>
        <row r="8512">
          <cell r="E8512" t="str">
            <v>HPER</v>
          </cell>
          <cell r="F8512" t="str">
            <v>HPER-K</v>
          </cell>
          <cell r="G8512">
            <v>560</v>
          </cell>
          <cell r="H8512" t="str">
            <v>HPER-K560</v>
          </cell>
          <cell r="K8512" t="str">
            <v>Arvin,Christopher Scott</v>
          </cell>
          <cell r="N8512">
            <v>4</v>
          </cell>
          <cell r="O8512">
            <v>3.8370000000000002</v>
          </cell>
        </row>
        <row r="8513">
          <cell r="E8513" t="str">
            <v>HPER</v>
          </cell>
          <cell r="F8513" t="str">
            <v>HPER-K</v>
          </cell>
          <cell r="G8513">
            <v>577</v>
          </cell>
          <cell r="H8513" t="str">
            <v>HPER-K577</v>
          </cell>
          <cell r="K8513" t="str">
            <v>Frey,Georgia C.</v>
          </cell>
          <cell r="N8513" t="str">
            <v>NR</v>
          </cell>
          <cell r="O8513" t="str">
            <v>NR</v>
          </cell>
        </row>
        <row r="8514">
          <cell r="E8514" t="str">
            <v>HPER</v>
          </cell>
          <cell r="F8514" t="str">
            <v>HPER-K</v>
          </cell>
          <cell r="G8514">
            <v>580</v>
          </cell>
          <cell r="H8514" t="str">
            <v>HPER-K580</v>
          </cell>
          <cell r="K8514" t="str">
            <v>Pedersen,Paul Mark</v>
          </cell>
          <cell r="N8514">
            <v>3.44</v>
          </cell>
          <cell r="O8514">
            <v>3.68</v>
          </cell>
        </row>
        <row r="8515">
          <cell r="E8515" t="str">
            <v>HPER</v>
          </cell>
          <cell r="F8515" t="str">
            <v>HPER-K</v>
          </cell>
          <cell r="G8515">
            <v>581</v>
          </cell>
          <cell r="H8515" t="str">
            <v>HPER-K581</v>
          </cell>
          <cell r="K8515" t="str">
            <v>Van Rooy,Kevin J</v>
          </cell>
          <cell r="N8515">
            <v>3.9670000000000001</v>
          </cell>
          <cell r="O8515">
            <v>3.6819999999999999</v>
          </cell>
        </row>
        <row r="8516">
          <cell r="E8516" t="str">
            <v>HPER</v>
          </cell>
          <cell r="F8516" t="str">
            <v>HPER-K</v>
          </cell>
          <cell r="G8516">
            <v>585</v>
          </cell>
          <cell r="H8516" t="str">
            <v>HPER-K585</v>
          </cell>
          <cell r="K8516" t="str">
            <v>Fielding,Larry</v>
          </cell>
          <cell r="N8516">
            <v>3.8380000000000001</v>
          </cell>
          <cell r="O8516">
            <v>3.7949999999999999</v>
          </cell>
        </row>
        <row r="8517">
          <cell r="E8517" t="str">
            <v>HPER</v>
          </cell>
          <cell r="F8517" t="str">
            <v>HPER-K</v>
          </cell>
          <cell r="G8517">
            <v>586</v>
          </cell>
          <cell r="H8517" t="str">
            <v>HPER-K586</v>
          </cell>
          <cell r="K8517" t="str">
            <v>Lim,Choong Hoon</v>
          </cell>
          <cell r="N8517">
            <v>3.5209999999999999</v>
          </cell>
          <cell r="O8517">
            <v>3.67</v>
          </cell>
        </row>
        <row r="8518">
          <cell r="E8518" t="str">
            <v>HPER</v>
          </cell>
          <cell r="F8518" t="str">
            <v>HPER-K</v>
          </cell>
          <cell r="G8518">
            <v>594</v>
          </cell>
          <cell r="H8518" t="str">
            <v>HPER-K594</v>
          </cell>
          <cell r="K8518" t="str">
            <v>Pearce,Charles Edward</v>
          </cell>
          <cell r="N8518" t="str">
            <v>NR</v>
          </cell>
          <cell r="O8518" t="str">
            <v>NR</v>
          </cell>
        </row>
        <row r="8519">
          <cell r="E8519" t="str">
            <v>HPER</v>
          </cell>
          <cell r="F8519" t="str">
            <v>HPER-K</v>
          </cell>
          <cell r="G8519">
            <v>594</v>
          </cell>
          <cell r="H8519" t="str">
            <v>HPER-K594</v>
          </cell>
          <cell r="K8519" t="str">
            <v>Pearce,Charles Edward</v>
          </cell>
          <cell r="N8519" t="str">
            <v>NR</v>
          </cell>
          <cell r="O8519" t="str">
            <v>NR</v>
          </cell>
        </row>
        <row r="8520">
          <cell r="E8520" t="str">
            <v>HPER</v>
          </cell>
          <cell r="F8520" t="str">
            <v>HPER-K</v>
          </cell>
          <cell r="G8520">
            <v>594</v>
          </cell>
          <cell r="H8520" t="str">
            <v>HPER-K594</v>
          </cell>
          <cell r="K8520" t="str">
            <v>Pearce,Charles Edward</v>
          </cell>
          <cell r="N8520" t="str">
            <v>NR</v>
          </cell>
          <cell r="O8520" t="str">
            <v>NR</v>
          </cell>
        </row>
        <row r="8521">
          <cell r="E8521" t="str">
            <v>HPER</v>
          </cell>
          <cell r="F8521" t="str">
            <v>HPER-K</v>
          </cell>
          <cell r="G8521">
            <v>595</v>
          </cell>
          <cell r="H8521" t="str">
            <v>HPER-K595</v>
          </cell>
          <cell r="K8521" t="str">
            <v>Pearce,Charles Edward</v>
          </cell>
          <cell r="N8521" t="str">
            <v>NR</v>
          </cell>
          <cell r="O8521" t="str">
            <v>NR</v>
          </cell>
        </row>
        <row r="8522">
          <cell r="E8522" t="str">
            <v>HPER</v>
          </cell>
          <cell r="F8522" t="str">
            <v>HPER-K</v>
          </cell>
          <cell r="G8522">
            <v>595</v>
          </cell>
          <cell r="H8522" t="str">
            <v>HPER-K595</v>
          </cell>
          <cell r="K8522" t="str">
            <v>Pearce,Charles Edward</v>
          </cell>
          <cell r="N8522" t="str">
            <v>NR</v>
          </cell>
          <cell r="O8522" t="str">
            <v>NR</v>
          </cell>
        </row>
        <row r="8523">
          <cell r="E8523" t="str">
            <v>HPER</v>
          </cell>
          <cell r="F8523" t="str">
            <v>HPER-K</v>
          </cell>
          <cell r="G8523">
            <v>597</v>
          </cell>
          <cell r="H8523" t="str">
            <v>HPER-K597</v>
          </cell>
          <cell r="K8523" t="str">
            <v>Pearce,Charles Edward</v>
          </cell>
          <cell r="N8523" t="str">
            <v>NR</v>
          </cell>
          <cell r="O8523" t="str">
            <v>NR</v>
          </cell>
        </row>
        <row r="8524">
          <cell r="E8524" t="str">
            <v>HPER</v>
          </cell>
          <cell r="F8524" t="str">
            <v>HPER-K</v>
          </cell>
          <cell r="G8524">
            <v>598</v>
          </cell>
          <cell r="H8524" t="str">
            <v>HPER-K598</v>
          </cell>
          <cell r="K8524" t="str">
            <v>Shea,John B.</v>
          </cell>
          <cell r="N8524" t="str">
            <v>NR</v>
          </cell>
          <cell r="O8524" t="str">
            <v>NR</v>
          </cell>
        </row>
        <row r="8525">
          <cell r="E8525" t="str">
            <v>HPER</v>
          </cell>
          <cell r="F8525" t="str">
            <v>HPER-K</v>
          </cell>
          <cell r="G8525">
            <v>599</v>
          </cell>
          <cell r="H8525" t="str">
            <v>HPER-K599</v>
          </cell>
          <cell r="K8525" t="str">
            <v>Pearce,Charles Edward</v>
          </cell>
          <cell r="N8525" t="str">
            <v>NR</v>
          </cell>
          <cell r="O8525" t="str">
            <v>NR</v>
          </cell>
        </row>
        <row r="8526">
          <cell r="E8526" t="str">
            <v>HPER</v>
          </cell>
          <cell r="F8526" t="str">
            <v>HPER-K</v>
          </cell>
          <cell r="G8526">
            <v>599</v>
          </cell>
          <cell r="H8526" t="str">
            <v>HPER-K599</v>
          </cell>
          <cell r="K8526" t="str">
            <v>Shea,John B.</v>
          </cell>
          <cell r="N8526">
            <v>3.7829999999999999</v>
          </cell>
          <cell r="O8526">
            <v>3.8090000000000002</v>
          </cell>
        </row>
        <row r="8527">
          <cell r="E8527" t="str">
            <v>HPER</v>
          </cell>
          <cell r="F8527" t="str">
            <v>HPER-K</v>
          </cell>
          <cell r="G8527">
            <v>600</v>
          </cell>
          <cell r="H8527" t="str">
            <v>HPER-K600</v>
          </cell>
          <cell r="K8527" t="str">
            <v>Dapena,Jesus</v>
          </cell>
          <cell r="N8527" t="str">
            <v>NR</v>
          </cell>
          <cell r="O8527" t="str">
            <v>NR</v>
          </cell>
        </row>
        <row r="8528">
          <cell r="E8528" t="str">
            <v>HPER</v>
          </cell>
          <cell r="F8528" t="str">
            <v>HPER-K</v>
          </cell>
          <cell r="G8528">
            <v>600</v>
          </cell>
          <cell r="H8528" t="str">
            <v>HPER-K600</v>
          </cell>
          <cell r="K8528" t="str">
            <v>Docherty,Carrie</v>
          </cell>
          <cell r="N8528" t="str">
            <v>NR</v>
          </cell>
          <cell r="O8528" t="str">
            <v>NR</v>
          </cell>
        </row>
        <row r="8529">
          <cell r="E8529" t="str">
            <v>HPER</v>
          </cell>
          <cell r="F8529" t="str">
            <v>HPER-K</v>
          </cell>
          <cell r="G8529">
            <v>600</v>
          </cell>
          <cell r="H8529" t="str">
            <v>HPER-K600</v>
          </cell>
          <cell r="K8529" t="str">
            <v>Docherty,Carrie</v>
          </cell>
          <cell r="N8529" t="str">
            <v>NR</v>
          </cell>
          <cell r="O8529" t="str">
            <v>NR</v>
          </cell>
        </row>
        <row r="8530">
          <cell r="E8530" t="str">
            <v>HPER</v>
          </cell>
          <cell r="F8530" t="str">
            <v>HPER-K</v>
          </cell>
          <cell r="G8530">
            <v>600</v>
          </cell>
          <cell r="H8530" t="str">
            <v>HPER-K600</v>
          </cell>
          <cell r="K8530" t="str">
            <v>Mickleborough,Timothy Derek</v>
          </cell>
          <cell r="N8530" t="str">
            <v>NR</v>
          </cell>
          <cell r="O8530" t="str">
            <v>NR</v>
          </cell>
        </row>
        <row r="8531">
          <cell r="E8531" t="str">
            <v>HPER</v>
          </cell>
          <cell r="F8531" t="str">
            <v>HPER-K</v>
          </cell>
          <cell r="G8531">
            <v>600</v>
          </cell>
          <cell r="H8531" t="str">
            <v>HPER-K600</v>
          </cell>
          <cell r="K8531" t="str">
            <v>Mickleborough,Timothy Derek</v>
          </cell>
          <cell r="N8531" t="str">
            <v>NR</v>
          </cell>
          <cell r="O8531" t="str">
            <v>NR</v>
          </cell>
        </row>
        <row r="8532">
          <cell r="E8532" t="str">
            <v>HPER</v>
          </cell>
          <cell r="F8532" t="str">
            <v>HPER-K</v>
          </cell>
          <cell r="G8532">
            <v>600</v>
          </cell>
          <cell r="H8532" t="str">
            <v>HPER-K600</v>
          </cell>
          <cell r="K8532" t="str">
            <v>Shea,John B.</v>
          </cell>
          <cell r="N8532" t="str">
            <v>NR</v>
          </cell>
          <cell r="O8532" t="str">
            <v>NR</v>
          </cell>
        </row>
        <row r="8533">
          <cell r="E8533" t="str">
            <v>HPER</v>
          </cell>
          <cell r="F8533" t="str">
            <v>HPER-K</v>
          </cell>
          <cell r="G8533">
            <v>600</v>
          </cell>
          <cell r="H8533" t="str">
            <v>HPER-K600</v>
          </cell>
          <cell r="K8533" t="str">
            <v>Stager,Joel Mc Cormick</v>
          </cell>
          <cell r="N8533" t="str">
            <v>NR</v>
          </cell>
          <cell r="O8533" t="str">
            <v>NR</v>
          </cell>
        </row>
        <row r="8534">
          <cell r="E8534" t="str">
            <v>HPER</v>
          </cell>
          <cell r="F8534" t="str">
            <v>HPER-K</v>
          </cell>
          <cell r="G8534">
            <v>600</v>
          </cell>
          <cell r="H8534" t="str">
            <v>HPER-K600</v>
          </cell>
          <cell r="K8534" t="str">
            <v>Stager,Joel Mc Cormick</v>
          </cell>
          <cell r="N8534" t="str">
            <v>NR</v>
          </cell>
          <cell r="O8534" t="str">
            <v>NR</v>
          </cell>
        </row>
        <row r="8535">
          <cell r="E8535" t="str">
            <v>HPER</v>
          </cell>
          <cell r="F8535" t="str">
            <v>HPER-K</v>
          </cell>
          <cell r="G8535">
            <v>600</v>
          </cell>
          <cell r="H8535" t="str">
            <v>HPER-K600</v>
          </cell>
          <cell r="K8535" t="str">
            <v>Wallace,Janet Patricia</v>
          </cell>
          <cell r="N8535" t="str">
            <v>NR</v>
          </cell>
          <cell r="O8535" t="str">
            <v>NR</v>
          </cell>
        </row>
        <row r="8536">
          <cell r="E8536" t="str">
            <v>HPER</v>
          </cell>
          <cell r="F8536" t="str">
            <v>HPER-K</v>
          </cell>
          <cell r="G8536">
            <v>600</v>
          </cell>
          <cell r="H8536" t="str">
            <v>HPER-K600</v>
          </cell>
          <cell r="K8536" t="str">
            <v>Wallace,Janet Patricia</v>
          </cell>
          <cell r="N8536" t="str">
            <v>NR</v>
          </cell>
          <cell r="O8536" t="str">
            <v>NR</v>
          </cell>
        </row>
        <row r="8537">
          <cell r="E8537" t="str">
            <v>HPER</v>
          </cell>
          <cell r="F8537" t="str">
            <v>HPER-K</v>
          </cell>
          <cell r="G8537">
            <v>601</v>
          </cell>
          <cell r="H8537" t="str">
            <v>HPER-K601</v>
          </cell>
          <cell r="K8537" t="str">
            <v>Docherty,Carrie</v>
          </cell>
          <cell r="N8537" t="str">
            <v>NR</v>
          </cell>
          <cell r="O8537" t="str">
            <v>NR</v>
          </cell>
        </row>
        <row r="8538">
          <cell r="E8538" t="str">
            <v>HPER</v>
          </cell>
          <cell r="F8538" t="str">
            <v>HPER-K</v>
          </cell>
          <cell r="G8538">
            <v>601</v>
          </cell>
          <cell r="H8538" t="str">
            <v>HPER-K601</v>
          </cell>
          <cell r="K8538" t="str">
            <v>Johnston,Jeanne Deborah</v>
          </cell>
          <cell r="N8538" t="str">
            <v>NR</v>
          </cell>
          <cell r="O8538" t="str">
            <v>NR</v>
          </cell>
        </row>
        <row r="8539">
          <cell r="E8539" t="str">
            <v>HPER</v>
          </cell>
          <cell r="F8539" t="str">
            <v>HPER-K</v>
          </cell>
          <cell r="G8539">
            <v>601</v>
          </cell>
          <cell r="H8539" t="str">
            <v>HPER-K601</v>
          </cell>
          <cell r="K8539" t="str">
            <v>Koceja,David</v>
          </cell>
          <cell r="N8539" t="str">
            <v>NR</v>
          </cell>
          <cell r="O8539" t="str">
            <v>NR</v>
          </cell>
        </row>
        <row r="8540">
          <cell r="E8540" t="str">
            <v>HPER</v>
          </cell>
          <cell r="F8540" t="str">
            <v>HPER-K</v>
          </cell>
          <cell r="G8540">
            <v>601</v>
          </cell>
          <cell r="H8540" t="str">
            <v>HPER-K601</v>
          </cell>
          <cell r="K8540" t="str">
            <v>Pearce,Charles Edward</v>
          </cell>
          <cell r="N8540" t="str">
            <v>NR</v>
          </cell>
          <cell r="O8540" t="str">
            <v>NR</v>
          </cell>
        </row>
        <row r="8541">
          <cell r="E8541" t="str">
            <v>HPER</v>
          </cell>
          <cell r="F8541" t="str">
            <v>HPER-K</v>
          </cell>
          <cell r="G8541">
            <v>601</v>
          </cell>
          <cell r="H8541" t="str">
            <v>HPER-K601</v>
          </cell>
          <cell r="K8541" t="str">
            <v>Shea,John B.</v>
          </cell>
          <cell r="N8541" t="str">
            <v>NR</v>
          </cell>
          <cell r="O8541" t="str">
            <v>NR</v>
          </cell>
        </row>
        <row r="8542">
          <cell r="E8542" t="str">
            <v>HPER</v>
          </cell>
          <cell r="F8542" t="str">
            <v>HPER-K</v>
          </cell>
          <cell r="G8542">
            <v>601</v>
          </cell>
          <cell r="H8542" t="str">
            <v>HPER-K601</v>
          </cell>
          <cell r="K8542" t="str">
            <v>Wallace,Janet Patricia</v>
          </cell>
          <cell r="N8542" t="str">
            <v>NR</v>
          </cell>
          <cell r="O8542" t="str">
            <v>NR</v>
          </cell>
        </row>
        <row r="8543">
          <cell r="E8543" t="str">
            <v>HPER</v>
          </cell>
          <cell r="F8543" t="str">
            <v>HPER-K</v>
          </cell>
          <cell r="G8543">
            <v>602</v>
          </cell>
          <cell r="H8543" t="str">
            <v>HPER-K602</v>
          </cell>
          <cell r="K8543" t="str">
            <v>Clavio,Galen Emil</v>
          </cell>
          <cell r="N8543" t="str">
            <v>NR</v>
          </cell>
          <cell r="O8543" t="str">
            <v>NR</v>
          </cell>
        </row>
        <row r="8544">
          <cell r="E8544" t="str">
            <v>HPER</v>
          </cell>
          <cell r="F8544" t="str">
            <v>HPER-K</v>
          </cell>
          <cell r="G8544">
            <v>602</v>
          </cell>
          <cell r="H8544" t="str">
            <v>HPER-K602</v>
          </cell>
          <cell r="K8544" t="str">
            <v>Docherty,Carrie</v>
          </cell>
          <cell r="N8544" t="str">
            <v>NR</v>
          </cell>
          <cell r="O8544" t="str">
            <v>NR</v>
          </cell>
        </row>
        <row r="8545">
          <cell r="E8545" t="str">
            <v>HPER</v>
          </cell>
          <cell r="F8545" t="str">
            <v>HPER-K</v>
          </cell>
          <cell r="G8545">
            <v>602</v>
          </cell>
          <cell r="H8545" t="str">
            <v>HPER-K602</v>
          </cell>
          <cell r="K8545" t="str">
            <v>Docherty,Carrie</v>
          </cell>
          <cell r="N8545" t="str">
            <v>NR</v>
          </cell>
          <cell r="O8545" t="str">
            <v>NR</v>
          </cell>
        </row>
        <row r="8546">
          <cell r="E8546" t="str">
            <v>HPER</v>
          </cell>
          <cell r="F8546" t="str">
            <v>HPER-K</v>
          </cell>
          <cell r="G8546">
            <v>602</v>
          </cell>
          <cell r="H8546" t="str">
            <v>HPER-K602</v>
          </cell>
          <cell r="K8546" t="str">
            <v>Frey,Georgia C.</v>
          </cell>
          <cell r="N8546" t="str">
            <v>NR</v>
          </cell>
          <cell r="O8546" t="str">
            <v>NR</v>
          </cell>
        </row>
        <row r="8547">
          <cell r="E8547" t="str">
            <v>HPER</v>
          </cell>
          <cell r="F8547" t="str">
            <v>HPER-K</v>
          </cell>
          <cell r="G8547">
            <v>602</v>
          </cell>
          <cell r="H8547" t="str">
            <v>HPER-K602</v>
          </cell>
          <cell r="K8547" t="str">
            <v>Henson,Phillip Likins</v>
          </cell>
          <cell r="N8547" t="str">
            <v>NR</v>
          </cell>
          <cell r="O8547" t="str">
            <v>NR</v>
          </cell>
        </row>
        <row r="8548">
          <cell r="E8548" t="str">
            <v>HPER</v>
          </cell>
          <cell r="F8548" t="str">
            <v>HPER-K</v>
          </cell>
          <cell r="G8548">
            <v>602</v>
          </cell>
          <cell r="H8548" t="str">
            <v>HPER-K602</v>
          </cell>
          <cell r="K8548" t="str">
            <v>Henson,Phillip Likins</v>
          </cell>
          <cell r="N8548" t="str">
            <v>NR</v>
          </cell>
          <cell r="O8548" t="str">
            <v>NR</v>
          </cell>
        </row>
        <row r="8549">
          <cell r="E8549" t="str">
            <v>HPER</v>
          </cell>
          <cell r="F8549" t="str">
            <v>HPER-K</v>
          </cell>
          <cell r="G8549">
            <v>602</v>
          </cell>
          <cell r="H8549" t="str">
            <v>HPER-K602</v>
          </cell>
          <cell r="K8549" t="str">
            <v>Johnston,Jeanne Deborah</v>
          </cell>
          <cell r="N8549" t="str">
            <v>NR</v>
          </cell>
          <cell r="O8549" t="str">
            <v>NR</v>
          </cell>
        </row>
        <row r="8550">
          <cell r="E8550" t="str">
            <v>HPER</v>
          </cell>
          <cell r="F8550" t="str">
            <v>HPER-K</v>
          </cell>
          <cell r="G8550">
            <v>602</v>
          </cell>
          <cell r="H8550" t="str">
            <v>HPER-K602</v>
          </cell>
          <cell r="K8550" t="str">
            <v>Kennedy-Armbruster,Carol</v>
          </cell>
          <cell r="N8550" t="str">
            <v>NR</v>
          </cell>
          <cell r="O8550" t="str">
            <v>NR</v>
          </cell>
        </row>
        <row r="8551">
          <cell r="E8551" t="str">
            <v>HPER</v>
          </cell>
          <cell r="F8551" t="str">
            <v>HPER-K</v>
          </cell>
          <cell r="G8551">
            <v>602</v>
          </cell>
          <cell r="H8551" t="str">
            <v>HPER-K602</v>
          </cell>
          <cell r="K8551" t="str">
            <v>Kennedy-Armbruster,Carol</v>
          </cell>
          <cell r="N8551" t="str">
            <v>NR</v>
          </cell>
          <cell r="O8551" t="str">
            <v>NR</v>
          </cell>
        </row>
        <row r="8552">
          <cell r="E8552" t="str">
            <v>HPER</v>
          </cell>
          <cell r="F8552" t="str">
            <v>HPER-K</v>
          </cell>
          <cell r="G8552">
            <v>602</v>
          </cell>
          <cell r="H8552" t="str">
            <v>HPER-K602</v>
          </cell>
          <cell r="K8552" t="str">
            <v>Koceja,David</v>
          </cell>
          <cell r="N8552" t="str">
            <v>NR</v>
          </cell>
          <cell r="O8552" t="str">
            <v>NR</v>
          </cell>
        </row>
        <row r="8553">
          <cell r="E8553" t="str">
            <v>HPER</v>
          </cell>
          <cell r="F8553" t="str">
            <v>HPER-K</v>
          </cell>
          <cell r="G8553">
            <v>602</v>
          </cell>
          <cell r="H8553" t="str">
            <v>HPER-K602</v>
          </cell>
          <cell r="K8553" t="str">
            <v>Koceja,David</v>
          </cell>
          <cell r="N8553" t="str">
            <v>NR</v>
          </cell>
          <cell r="O8553" t="str">
            <v>NR</v>
          </cell>
        </row>
        <row r="8554">
          <cell r="E8554" t="str">
            <v>HPER</v>
          </cell>
          <cell r="F8554" t="str">
            <v>HPER-K</v>
          </cell>
          <cell r="G8554">
            <v>602</v>
          </cell>
          <cell r="H8554" t="str">
            <v>HPER-K602</v>
          </cell>
          <cell r="K8554" t="str">
            <v>Lim,Choong Hoon</v>
          </cell>
          <cell r="N8554" t="str">
            <v>NR</v>
          </cell>
          <cell r="O8554" t="str">
            <v>NR</v>
          </cell>
        </row>
        <row r="8555">
          <cell r="E8555" t="str">
            <v>HPER</v>
          </cell>
          <cell r="F8555" t="str">
            <v>HPER-K</v>
          </cell>
          <cell r="G8555">
            <v>602</v>
          </cell>
          <cell r="H8555" t="str">
            <v>HPER-K602</v>
          </cell>
          <cell r="K8555" t="str">
            <v>Pearce,Charles Edward</v>
          </cell>
          <cell r="N8555" t="str">
            <v>NR</v>
          </cell>
          <cell r="O8555" t="str">
            <v>NR</v>
          </cell>
        </row>
        <row r="8556">
          <cell r="E8556" t="str">
            <v>HPER</v>
          </cell>
          <cell r="F8556" t="str">
            <v>HPER-K</v>
          </cell>
          <cell r="G8556">
            <v>602</v>
          </cell>
          <cell r="H8556" t="str">
            <v>HPER-K602</v>
          </cell>
          <cell r="K8556" t="str">
            <v>Pearce,Charles Edward</v>
          </cell>
          <cell r="N8556" t="str">
            <v>NR</v>
          </cell>
          <cell r="O8556" t="str">
            <v>NR</v>
          </cell>
        </row>
        <row r="8557">
          <cell r="E8557" t="str">
            <v>HPER</v>
          </cell>
          <cell r="F8557" t="str">
            <v>HPER-K</v>
          </cell>
          <cell r="G8557">
            <v>602</v>
          </cell>
          <cell r="H8557" t="str">
            <v>HPER-K602</v>
          </cell>
          <cell r="K8557" t="str">
            <v>Pearce,Charles Edward</v>
          </cell>
          <cell r="N8557" t="str">
            <v>NR</v>
          </cell>
          <cell r="O8557" t="str">
            <v>NR</v>
          </cell>
        </row>
        <row r="8558">
          <cell r="E8558" t="str">
            <v>HPER</v>
          </cell>
          <cell r="F8558" t="str">
            <v>HPER-K</v>
          </cell>
          <cell r="G8558">
            <v>602</v>
          </cell>
          <cell r="H8558" t="str">
            <v>HPER-K602</v>
          </cell>
          <cell r="K8558" t="str">
            <v>Raglin,John S.</v>
          </cell>
          <cell r="N8558" t="str">
            <v>NR</v>
          </cell>
          <cell r="O8558" t="str">
            <v>NR</v>
          </cell>
        </row>
        <row r="8559">
          <cell r="E8559" t="str">
            <v>HPER</v>
          </cell>
          <cell r="F8559" t="str">
            <v>HPER-K</v>
          </cell>
          <cell r="G8559">
            <v>602</v>
          </cell>
          <cell r="H8559" t="str">
            <v>HPER-K602</v>
          </cell>
          <cell r="K8559" t="str">
            <v>Shea,John B.</v>
          </cell>
          <cell r="N8559" t="str">
            <v>NR</v>
          </cell>
          <cell r="O8559" t="str">
            <v>NR</v>
          </cell>
        </row>
        <row r="8560">
          <cell r="E8560" t="str">
            <v>HPER</v>
          </cell>
          <cell r="F8560" t="str">
            <v>HPER-K</v>
          </cell>
          <cell r="G8560">
            <v>602</v>
          </cell>
          <cell r="H8560" t="str">
            <v>HPER-K602</v>
          </cell>
          <cell r="K8560" t="str">
            <v>Shea,John B.</v>
          </cell>
          <cell r="N8560" t="str">
            <v>NR</v>
          </cell>
          <cell r="O8560" t="str">
            <v>NR</v>
          </cell>
        </row>
        <row r="8561">
          <cell r="E8561" t="str">
            <v>HPER</v>
          </cell>
          <cell r="F8561" t="str">
            <v>HPER-K</v>
          </cell>
          <cell r="G8561">
            <v>602</v>
          </cell>
          <cell r="H8561" t="str">
            <v>HPER-K602</v>
          </cell>
          <cell r="K8561" t="str">
            <v>Stager,Joel Mc Cormick</v>
          </cell>
          <cell r="N8561" t="str">
            <v>NR</v>
          </cell>
          <cell r="O8561" t="str">
            <v>NR</v>
          </cell>
        </row>
        <row r="8562">
          <cell r="E8562" t="str">
            <v>HPER</v>
          </cell>
          <cell r="F8562" t="str">
            <v>HPER-K</v>
          </cell>
          <cell r="G8562">
            <v>602</v>
          </cell>
          <cell r="H8562" t="str">
            <v>HPER-K602</v>
          </cell>
          <cell r="K8562" t="str">
            <v>Walsh,Patrick Thomas</v>
          </cell>
          <cell r="N8562" t="str">
            <v>NR</v>
          </cell>
          <cell r="O8562" t="str">
            <v>NR</v>
          </cell>
        </row>
        <row r="8563">
          <cell r="E8563" t="str">
            <v>HPER</v>
          </cell>
          <cell r="F8563" t="str">
            <v>HPER-K</v>
          </cell>
          <cell r="G8563">
            <v>604</v>
          </cell>
          <cell r="H8563" t="str">
            <v>HPER-K604</v>
          </cell>
          <cell r="K8563" t="str">
            <v>Henson,Phillip Likins</v>
          </cell>
          <cell r="N8563" t="str">
            <v>NR</v>
          </cell>
          <cell r="O8563" t="str">
            <v>NR</v>
          </cell>
        </row>
        <row r="8564">
          <cell r="E8564" t="str">
            <v>HPER</v>
          </cell>
          <cell r="F8564" t="str">
            <v>HPER-K</v>
          </cell>
          <cell r="G8564">
            <v>605</v>
          </cell>
          <cell r="H8564" t="str">
            <v>HPER-K605</v>
          </cell>
          <cell r="K8564" t="str">
            <v>Walsh,Patrick Thomas</v>
          </cell>
          <cell r="N8564" t="str">
            <v>NR</v>
          </cell>
          <cell r="O8564" t="str">
            <v>NR</v>
          </cell>
        </row>
        <row r="8565">
          <cell r="E8565" t="str">
            <v>HPER</v>
          </cell>
          <cell r="F8565" t="str">
            <v>HPER-K</v>
          </cell>
          <cell r="G8565">
            <v>606</v>
          </cell>
          <cell r="H8565" t="str">
            <v>HPER-K606</v>
          </cell>
          <cell r="K8565" t="str">
            <v>Henson,Phillip Likins</v>
          </cell>
          <cell r="N8565" t="str">
            <v>NR</v>
          </cell>
          <cell r="O8565" t="str">
            <v>NR</v>
          </cell>
        </row>
        <row r="8566">
          <cell r="E8566" t="str">
            <v>HPER</v>
          </cell>
          <cell r="F8566" t="str">
            <v>HPER-K</v>
          </cell>
          <cell r="G8566">
            <v>607</v>
          </cell>
          <cell r="H8566" t="str">
            <v>HPER-K607</v>
          </cell>
          <cell r="K8566" t="str">
            <v>Pearce,Charles Edward</v>
          </cell>
          <cell r="N8566" t="str">
            <v>NR</v>
          </cell>
          <cell r="O8566" t="str">
            <v>NR</v>
          </cell>
        </row>
        <row r="8567">
          <cell r="E8567" t="str">
            <v>HPER</v>
          </cell>
          <cell r="F8567" t="str">
            <v>HPER-K</v>
          </cell>
          <cell r="G8567">
            <v>611</v>
          </cell>
          <cell r="H8567" t="str">
            <v>HPER-K611</v>
          </cell>
          <cell r="K8567" t="str">
            <v>Witkemper,Chad R</v>
          </cell>
          <cell r="N8567">
            <v>3.99</v>
          </cell>
          <cell r="O8567">
            <v>3.7839999999999998</v>
          </cell>
        </row>
        <row r="8568">
          <cell r="E8568" t="str">
            <v>HPER</v>
          </cell>
          <cell r="F8568" t="str">
            <v>HPER-K</v>
          </cell>
          <cell r="G8568">
            <v>614</v>
          </cell>
          <cell r="H8568" t="str">
            <v>HPER-K614</v>
          </cell>
          <cell r="K8568" t="str">
            <v>Walsh,Patrick Thomas</v>
          </cell>
          <cell r="N8568">
            <v>3.7</v>
          </cell>
          <cell r="O8568">
            <v>3.7309999999999999</v>
          </cell>
        </row>
        <row r="8569">
          <cell r="E8569" t="str">
            <v>HPER</v>
          </cell>
          <cell r="F8569" t="str">
            <v>HPER-K</v>
          </cell>
          <cell r="G8569">
            <v>615</v>
          </cell>
          <cell r="H8569" t="str">
            <v>HPER-K615</v>
          </cell>
          <cell r="K8569" t="str">
            <v>Skirvin,David M.</v>
          </cell>
          <cell r="N8569">
            <v>3.468</v>
          </cell>
          <cell r="O8569">
            <v>3.6859999999999999</v>
          </cell>
        </row>
        <row r="8570">
          <cell r="E8570" t="str">
            <v>HPER</v>
          </cell>
          <cell r="F8570" t="str">
            <v>HPER-K</v>
          </cell>
          <cell r="G8570">
            <v>630</v>
          </cell>
          <cell r="H8570" t="str">
            <v>HPER-K630</v>
          </cell>
          <cell r="K8570" t="str">
            <v>Dapena,Jesus</v>
          </cell>
          <cell r="N8570" t="str">
            <v>NR</v>
          </cell>
          <cell r="O8570" t="str">
            <v>NR</v>
          </cell>
        </row>
        <row r="8571">
          <cell r="E8571" t="str">
            <v>HPER</v>
          </cell>
          <cell r="F8571" t="str">
            <v>HPER-K</v>
          </cell>
          <cell r="G8571">
            <v>635</v>
          </cell>
          <cell r="H8571" t="str">
            <v>HPER-K635</v>
          </cell>
          <cell r="K8571" t="str">
            <v>Stager,Joel Mc Cormick</v>
          </cell>
          <cell r="N8571">
            <v>2.9</v>
          </cell>
          <cell r="O8571">
            <v>3.41</v>
          </cell>
        </row>
        <row r="8572">
          <cell r="E8572" t="str">
            <v>HPER</v>
          </cell>
          <cell r="F8572" t="str">
            <v>HPER-K</v>
          </cell>
          <cell r="G8572">
            <v>636</v>
          </cell>
          <cell r="H8572" t="str">
            <v>HPER-K636</v>
          </cell>
          <cell r="K8572" t="str">
            <v>Stager,Joel Mc Cormick</v>
          </cell>
          <cell r="N8572">
            <v>3.633</v>
          </cell>
          <cell r="O8572">
            <v>3.5510000000000002</v>
          </cell>
        </row>
        <row r="8573">
          <cell r="E8573" t="str">
            <v>HPER</v>
          </cell>
          <cell r="F8573" t="str">
            <v>HPER-K</v>
          </cell>
          <cell r="G8573">
            <v>638</v>
          </cell>
          <cell r="H8573" t="str">
            <v>HPER-K638</v>
          </cell>
          <cell r="K8573" t="str">
            <v>Mickleborough,Timothy Derek</v>
          </cell>
          <cell r="N8573" t="str">
            <v>NR</v>
          </cell>
          <cell r="O8573" t="str">
            <v>NR</v>
          </cell>
        </row>
        <row r="8574">
          <cell r="E8574" t="str">
            <v>HPER</v>
          </cell>
          <cell r="F8574" t="str">
            <v>HPER-K</v>
          </cell>
          <cell r="G8574">
            <v>639</v>
          </cell>
          <cell r="H8574" t="str">
            <v>HPER-K639</v>
          </cell>
          <cell r="K8574" t="str">
            <v>Mickleborough,Timothy Derek</v>
          </cell>
          <cell r="N8574">
            <v>3.9</v>
          </cell>
          <cell r="O8574">
            <v>3.6360000000000001</v>
          </cell>
        </row>
        <row r="8575">
          <cell r="E8575" t="str">
            <v>HPER</v>
          </cell>
          <cell r="F8575" t="str">
            <v>HPER-K</v>
          </cell>
          <cell r="G8575">
            <v>662</v>
          </cell>
          <cell r="H8575" t="str">
            <v>HPER-K662</v>
          </cell>
          <cell r="K8575" t="str">
            <v>Wallace,Janet Patricia</v>
          </cell>
          <cell r="N8575" t="str">
            <v>NR</v>
          </cell>
          <cell r="O8575" t="str">
            <v>NR</v>
          </cell>
        </row>
        <row r="8576">
          <cell r="E8576" t="str">
            <v>HPER</v>
          </cell>
          <cell r="F8576" t="str">
            <v>HPER-K</v>
          </cell>
          <cell r="G8576">
            <v>690</v>
          </cell>
          <cell r="H8576" t="str">
            <v>HPER-K690</v>
          </cell>
          <cell r="K8576" t="str">
            <v>Lim,Choong Hoon</v>
          </cell>
          <cell r="N8576">
            <v>3.7429999999999999</v>
          </cell>
          <cell r="O8576">
            <v>3.7589999999999999</v>
          </cell>
        </row>
        <row r="8577">
          <cell r="E8577" t="str">
            <v>HPER</v>
          </cell>
          <cell r="F8577" t="str">
            <v>HPER-K</v>
          </cell>
          <cell r="G8577">
            <v>690</v>
          </cell>
          <cell r="H8577" t="str">
            <v>HPER-K690</v>
          </cell>
          <cell r="K8577" t="str">
            <v>Shea,John B.</v>
          </cell>
          <cell r="N8577" t="str">
            <v>NR</v>
          </cell>
          <cell r="O8577" t="str">
            <v>NR</v>
          </cell>
        </row>
        <row r="8578">
          <cell r="E8578" t="str">
            <v>HPER</v>
          </cell>
          <cell r="F8578" t="str">
            <v>HPER-K</v>
          </cell>
          <cell r="G8578">
            <v>690</v>
          </cell>
          <cell r="H8578" t="str">
            <v>HPER-K690</v>
          </cell>
          <cell r="K8578" t="str">
            <v>Shea,John B.</v>
          </cell>
          <cell r="N8578" t="str">
            <v>NR</v>
          </cell>
          <cell r="O8578" t="str">
            <v>NR</v>
          </cell>
        </row>
        <row r="8579">
          <cell r="E8579" t="str">
            <v>HPER</v>
          </cell>
          <cell r="F8579" t="str">
            <v>HPER-K</v>
          </cell>
          <cell r="G8579">
            <v>690</v>
          </cell>
          <cell r="H8579" t="str">
            <v>HPER-K690</v>
          </cell>
          <cell r="K8579" t="str">
            <v>Shea,John B.</v>
          </cell>
          <cell r="N8579" t="str">
            <v>NR</v>
          </cell>
          <cell r="O8579" t="str">
            <v>NR</v>
          </cell>
        </row>
        <row r="8580">
          <cell r="E8580" t="str">
            <v>HPER</v>
          </cell>
          <cell r="F8580" t="str">
            <v>HPER-K</v>
          </cell>
          <cell r="G8580">
            <v>690</v>
          </cell>
          <cell r="H8580" t="str">
            <v>HPER-K690</v>
          </cell>
          <cell r="K8580" t="str">
            <v>Stager,Joel Mc Cormick</v>
          </cell>
          <cell r="N8580">
            <v>4</v>
          </cell>
          <cell r="O8580">
            <v>3.7570000000000001</v>
          </cell>
        </row>
        <row r="8581">
          <cell r="E8581" t="str">
            <v>HPER</v>
          </cell>
          <cell r="F8581" t="str">
            <v>HPER-K</v>
          </cell>
          <cell r="G8581">
            <v>701</v>
          </cell>
          <cell r="H8581" t="str">
            <v>HPER-K701</v>
          </cell>
          <cell r="K8581" t="str">
            <v>Frey,Georgia C.</v>
          </cell>
          <cell r="N8581" t="str">
            <v>NR</v>
          </cell>
          <cell r="O8581" t="str">
            <v>NR</v>
          </cell>
        </row>
        <row r="8582">
          <cell r="E8582" t="str">
            <v>HPER</v>
          </cell>
          <cell r="F8582" t="str">
            <v>HPER-K</v>
          </cell>
          <cell r="G8582">
            <v>701</v>
          </cell>
          <cell r="H8582" t="str">
            <v>HPER-K701</v>
          </cell>
          <cell r="K8582" t="str">
            <v>Hong,S. Lee</v>
          </cell>
          <cell r="N8582" t="str">
            <v>NR</v>
          </cell>
          <cell r="O8582" t="str">
            <v>NR</v>
          </cell>
        </row>
        <row r="8583">
          <cell r="E8583" t="str">
            <v>HPER</v>
          </cell>
          <cell r="F8583" t="str">
            <v>HPER-K</v>
          </cell>
          <cell r="G8583">
            <v>701</v>
          </cell>
          <cell r="H8583" t="str">
            <v>HPER-K701</v>
          </cell>
          <cell r="K8583" t="str">
            <v>Koceja,David</v>
          </cell>
          <cell r="N8583" t="str">
            <v>NR</v>
          </cell>
          <cell r="O8583" t="str">
            <v>NR</v>
          </cell>
        </row>
        <row r="8584">
          <cell r="E8584" t="str">
            <v>HPER</v>
          </cell>
          <cell r="F8584" t="str">
            <v>HPER-K</v>
          </cell>
          <cell r="G8584">
            <v>701</v>
          </cell>
          <cell r="H8584" t="str">
            <v>HPER-K701</v>
          </cell>
          <cell r="K8584" t="str">
            <v>Koceja,David</v>
          </cell>
          <cell r="N8584" t="str">
            <v>NR</v>
          </cell>
          <cell r="O8584" t="str">
            <v>NR</v>
          </cell>
        </row>
        <row r="8585">
          <cell r="E8585" t="str">
            <v>HPER</v>
          </cell>
          <cell r="F8585" t="str">
            <v>HPER-K</v>
          </cell>
          <cell r="G8585">
            <v>701</v>
          </cell>
          <cell r="H8585" t="str">
            <v>HPER-K701</v>
          </cell>
          <cell r="K8585" t="str">
            <v>Mickleborough,Timothy Derek</v>
          </cell>
          <cell r="N8585" t="str">
            <v>NR</v>
          </cell>
          <cell r="O8585" t="str">
            <v>NR</v>
          </cell>
        </row>
        <row r="8586">
          <cell r="E8586" t="str">
            <v>HPER</v>
          </cell>
          <cell r="F8586" t="str">
            <v>HPER-K</v>
          </cell>
          <cell r="G8586">
            <v>701</v>
          </cell>
          <cell r="H8586" t="str">
            <v>HPER-K701</v>
          </cell>
          <cell r="K8586" t="str">
            <v>Shea,John B.</v>
          </cell>
          <cell r="N8586" t="str">
            <v>NR</v>
          </cell>
          <cell r="O8586" t="str">
            <v>NR</v>
          </cell>
        </row>
        <row r="8587">
          <cell r="E8587" t="str">
            <v>HPER</v>
          </cell>
          <cell r="F8587" t="str">
            <v>HPER-K</v>
          </cell>
          <cell r="G8587">
            <v>701</v>
          </cell>
          <cell r="H8587" t="str">
            <v>HPER-K701</v>
          </cell>
          <cell r="K8587" t="str">
            <v>Shea,John B.</v>
          </cell>
          <cell r="N8587" t="str">
            <v>NR</v>
          </cell>
          <cell r="O8587" t="str">
            <v>NR</v>
          </cell>
        </row>
        <row r="8588">
          <cell r="E8588" t="str">
            <v>HPER</v>
          </cell>
          <cell r="F8588" t="str">
            <v>HPER-K</v>
          </cell>
          <cell r="G8588">
            <v>701</v>
          </cell>
          <cell r="H8588" t="str">
            <v>HPER-K701</v>
          </cell>
          <cell r="K8588" t="str">
            <v>Williams,Antonio Sentel</v>
          </cell>
          <cell r="N8588" t="str">
            <v>NR</v>
          </cell>
          <cell r="O8588" t="str">
            <v>NR</v>
          </cell>
        </row>
        <row r="8589">
          <cell r="E8589" t="str">
            <v>HPER</v>
          </cell>
          <cell r="F8589" t="str">
            <v>HPER-K</v>
          </cell>
          <cell r="G8589">
            <v>702</v>
          </cell>
          <cell r="H8589" t="str">
            <v>HPER-K702</v>
          </cell>
          <cell r="K8589" t="str">
            <v>Docherty,Carrie</v>
          </cell>
          <cell r="N8589" t="str">
            <v>NR</v>
          </cell>
          <cell r="O8589" t="str">
            <v>NR</v>
          </cell>
        </row>
        <row r="8590">
          <cell r="E8590" t="str">
            <v>HPER</v>
          </cell>
          <cell r="F8590" t="str">
            <v>HPER-K</v>
          </cell>
          <cell r="G8590">
            <v>702</v>
          </cell>
          <cell r="H8590" t="str">
            <v>HPER-K702</v>
          </cell>
          <cell r="K8590" t="str">
            <v>Koceja,David</v>
          </cell>
          <cell r="N8590" t="str">
            <v>NR</v>
          </cell>
          <cell r="O8590" t="str">
            <v>NR</v>
          </cell>
        </row>
        <row r="8591">
          <cell r="E8591" t="str">
            <v>HPER</v>
          </cell>
          <cell r="F8591" t="str">
            <v>HPER-K</v>
          </cell>
          <cell r="G8591">
            <v>702</v>
          </cell>
          <cell r="H8591" t="str">
            <v>HPER-K702</v>
          </cell>
          <cell r="K8591" t="str">
            <v>Shea,John B.</v>
          </cell>
          <cell r="N8591" t="str">
            <v>NR</v>
          </cell>
          <cell r="O8591" t="str">
            <v>NR</v>
          </cell>
        </row>
        <row r="8592">
          <cell r="E8592" t="str">
            <v>HPER</v>
          </cell>
          <cell r="F8592" t="str">
            <v>HPER-K</v>
          </cell>
          <cell r="G8592">
            <v>702</v>
          </cell>
          <cell r="H8592" t="str">
            <v>HPER-K702</v>
          </cell>
          <cell r="K8592" t="str">
            <v>Stager,Joel Mc Cormick</v>
          </cell>
          <cell r="N8592" t="str">
            <v>NR</v>
          </cell>
          <cell r="O8592" t="str">
            <v>NR</v>
          </cell>
        </row>
        <row r="8593">
          <cell r="E8593" t="str">
            <v>HPER</v>
          </cell>
          <cell r="F8593" t="str">
            <v>HPER-K</v>
          </cell>
          <cell r="G8593">
            <v>702</v>
          </cell>
          <cell r="H8593" t="str">
            <v>HPER-K702</v>
          </cell>
          <cell r="K8593" t="str">
            <v>Walsh,Patrick Thomas</v>
          </cell>
          <cell r="N8593" t="str">
            <v>NR</v>
          </cell>
          <cell r="O8593" t="str">
            <v>NR</v>
          </cell>
        </row>
        <row r="8594">
          <cell r="E8594" t="str">
            <v>HPER</v>
          </cell>
          <cell r="F8594" t="str">
            <v>HPER-K</v>
          </cell>
          <cell r="G8594">
            <v>799</v>
          </cell>
          <cell r="H8594" t="str">
            <v>HPER-K799</v>
          </cell>
          <cell r="K8594" t="str">
            <v>Clavio,Galen Emil</v>
          </cell>
          <cell r="N8594" t="str">
            <v>NR</v>
          </cell>
          <cell r="O8594" t="str">
            <v>NR</v>
          </cell>
        </row>
        <row r="8595">
          <cell r="E8595" t="str">
            <v>HPER</v>
          </cell>
          <cell r="F8595" t="str">
            <v>HPER-K</v>
          </cell>
          <cell r="G8595">
            <v>799</v>
          </cell>
          <cell r="H8595" t="str">
            <v>HPER-K799</v>
          </cell>
          <cell r="K8595" t="str">
            <v>Clavio,Galen Emil</v>
          </cell>
          <cell r="N8595" t="str">
            <v>NR</v>
          </cell>
          <cell r="O8595" t="str">
            <v>NR</v>
          </cell>
        </row>
        <row r="8596">
          <cell r="E8596" t="str">
            <v>HPER</v>
          </cell>
          <cell r="F8596" t="str">
            <v>HPER-K</v>
          </cell>
          <cell r="G8596">
            <v>799</v>
          </cell>
          <cell r="H8596" t="str">
            <v>HPER-K799</v>
          </cell>
          <cell r="K8596" t="str">
            <v>Clavio,Galen Emil</v>
          </cell>
          <cell r="N8596" t="str">
            <v>NR</v>
          </cell>
          <cell r="O8596" t="str">
            <v>NR</v>
          </cell>
        </row>
        <row r="8597">
          <cell r="E8597" t="str">
            <v>HPER</v>
          </cell>
          <cell r="F8597" t="str">
            <v>HPER-K</v>
          </cell>
          <cell r="G8597">
            <v>799</v>
          </cell>
          <cell r="H8597" t="str">
            <v>HPER-K799</v>
          </cell>
          <cell r="K8597" t="str">
            <v>Clavio,Galen Emil</v>
          </cell>
          <cell r="N8597" t="str">
            <v>NR</v>
          </cell>
          <cell r="O8597" t="str">
            <v>NR</v>
          </cell>
        </row>
        <row r="8598">
          <cell r="E8598" t="str">
            <v>HPER</v>
          </cell>
          <cell r="F8598" t="str">
            <v>HPER-K</v>
          </cell>
          <cell r="G8598">
            <v>799</v>
          </cell>
          <cell r="H8598" t="str">
            <v>HPER-K799</v>
          </cell>
          <cell r="K8598" t="str">
            <v>Docherty,Carrie</v>
          </cell>
          <cell r="N8598" t="str">
            <v>NR</v>
          </cell>
          <cell r="O8598" t="str">
            <v>NR</v>
          </cell>
        </row>
        <row r="8599">
          <cell r="E8599" t="str">
            <v>HPER</v>
          </cell>
          <cell r="F8599" t="str">
            <v>HPER-K</v>
          </cell>
          <cell r="G8599">
            <v>799</v>
          </cell>
          <cell r="H8599" t="str">
            <v>HPER-K799</v>
          </cell>
          <cell r="K8599" t="str">
            <v>Frey,Georgia C.</v>
          </cell>
          <cell r="N8599" t="str">
            <v>NR</v>
          </cell>
          <cell r="O8599" t="str">
            <v>NR</v>
          </cell>
        </row>
        <row r="8600">
          <cell r="E8600" t="str">
            <v>HPER</v>
          </cell>
          <cell r="F8600" t="str">
            <v>HPER-K</v>
          </cell>
          <cell r="G8600">
            <v>799</v>
          </cell>
          <cell r="H8600" t="str">
            <v>HPER-K799</v>
          </cell>
          <cell r="K8600" t="str">
            <v>Frey,Georgia C.</v>
          </cell>
          <cell r="N8600" t="str">
            <v>NR</v>
          </cell>
          <cell r="O8600" t="str">
            <v>NR</v>
          </cell>
        </row>
        <row r="8601">
          <cell r="E8601" t="str">
            <v>HPER</v>
          </cell>
          <cell r="F8601" t="str">
            <v>HPER-K</v>
          </cell>
          <cell r="G8601">
            <v>799</v>
          </cell>
          <cell r="H8601" t="str">
            <v>HPER-K799</v>
          </cell>
          <cell r="K8601" t="str">
            <v>Frey,Georgia C.</v>
          </cell>
          <cell r="N8601" t="str">
            <v>NR</v>
          </cell>
          <cell r="O8601" t="str">
            <v>NR</v>
          </cell>
        </row>
        <row r="8602">
          <cell r="E8602" t="str">
            <v>HPER</v>
          </cell>
          <cell r="F8602" t="str">
            <v>HPER-K</v>
          </cell>
          <cell r="G8602">
            <v>799</v>
          </cell>
          <cell r="H8602" t="str">
            <v>HPER-K799</v>
          </cell>
          <cell r="K8602" t="str">
            <v>Frey,Georgia C.</v>
          </cell>
          <cell r="N8602" t="str">
            <v>NR</v>
          </cell>
          <cell r="O8602" t="str">
            <v>NR</v>
          </cell>
        </row>
        <row r="8603">
          <cell r="E8603" t="str">
            <v>HPER</v>
          </cell>
          <cell r="F8603" t="str">
            <v>HPER-K</v>
          </cell>
          <cell r="G8603">
            <v>799</v>
          </cell>
          <cell r="H8603" t="str">
            <v>HPER-K799</v>
          </cell>
          <cell r="K8603" t="str">
            <v>Koceja,David</v>
          </cell>
          <cell r="N8603" t="str">
            <v>NR</v>
          </cell>
          <cell r="O8603" t="str">
            <v>NR</v>
          </cell>
        </row>
        <row r="8604">
          <cell r="E8604" t="str">
            <v>HPER</v>
          </cell>
          <cell r="F8604" t="str">
            <v>HPER-K</v>
          </cell>
          <cell r="G8604">
            <v>799</v>
          </cell>
          <cell r="H8604" t="str">
            <v>HPER-K799</v>
          </cell>
          <cell r="K8604" t="str">
            <v>Koceja,David</v>
          </cell>
          <cell r="N8604" t="str">
            <v>NR</v>
          </cell>
          <cell r="O8604" t="str">
            <v>NR</v>
          </cell>
        </row>
        <row r="8605">
          <cell r="E8605" t="str">
            <v>HPER</v>
          </cell>
          <cell r="F8605" t="str">
            <v>HPER-K</v>
          </cell>
          <cell r="G8605">
            <v>799</v>
          </cell>
          <cell r="H8605" t="str">
            <v>HPER-K799</v>
          </cell>
          <cell r="K8605" t="str">
            <v>Koceja,David</v>
          </cell>
          <cell r="N8605" t="str">
            <v>NR</v>
          </cell>
          <cell r="O8605" t="str">
            <v>NR</v>
          </cell>
        </row>
        <row r="8606">
          <cell r="E8606" t="str">
            <v>HPER</v>
          </cell>
          <cell r="F8606" t="str">
            <v>HPER-K</v>
          </cell>
          <cell r="G8606">
            <v>799</v>
          </cell>
          <cell r="H8606" t="str">
            <v>HPER-K799</v>
          </cell>
          <cell r="K8606" t="str">
            <v>Lim,Choong Hoon</v>
          </cell>
          <cell r="N8606" t="str">
            <v>NR</v>
          </cell>
          <cell r="O8606" t="str">
            <v>NR</v>
          </cell>
        </row>
        <row r="8607">
          <cell r="E8607" t="str">
            <v>HPER</v>
          </cell>
          <cell r="F8607" t="str">
            <v>HPER-K</v>
          </cell>
          <cell r="G8607">
            <v>799</v>
          </cell>
          <cell r="H8607" t="str">
            <v>HPER-K799</v>
          </cell>
          <cell r="K8607" t="str">
            <v>Mickleborough,Timothy Derek</v>
          </cell>
          <cell r="N8607" t="str">
            <v>NR</v>
          </cell>
          <cell r="O8607" t="str">
            <v>NR</v>
          </cell>
        </row>
        <row r="8608">
          <cell r="E8608" t="str">
            <v>HPER</v>
          </cell>
          <cell r="F8608" t="str">
            <v>HPER-K</v>
          </cell>
          <cell r="G8608">
            <v>799</v>
          </cell>
          <cell r="H8608" t="str">
            <v>HPER-K799</v>
          </cell>
          <cell r="K8608" t="str">
            <v>Mickleborough,Timothy Derek</v>
          </cell>
          <cell r="N8608" t="str">
            <v>NR</v>
          </cell>
          <cell r="O8608" t="str">
            <v>NR</v>
          </cell>
        </row>
        <row r="8609">
          <cell r="E8609" t="str">
            <v>HPER</v>
          </cell>
          <cell r="F8609" t="str">
            <v>HPER-K</v>
          </cell>
          <cell r="G8609">
            <v>799</v>
          </cell>
          <cell r="H8609" t="str">
            <v>HPER-K799</v>
          </cell>
          <cell r="K8609" t="str">
            <v>Pedersen,Paul Mark</v>
          </cell>
          <cell r="N8609" t="str">
            <v>NR</v>
          </cell>
          <cell r="O8609" t="str">
            <v>NR</v>
          </cell>
        </row>
        <row r="8610">
          <cell r="E8610" t="str">
            <v>HPER</v>
          </cell>
          <cell r="F8610" t="str">
            <v>HPER-K</v>
          </cell>
          <cell r="G8610">
            <v>799</v>
          </cell>
          <cell r="H8610" t="str">
            <v>HPER-K799</v>
          </cell>
          <cell r="K8610" t="str">
            <v>Pedersen,Paul Mark</v>
          </cell>
          <cell r="N8610" t="str">
            <v>NR</v>
          </cell>
          <cell r="O8610" t="str">
            <v>NR</v>
          </cell>
        </row>
        <row r="8611">
          <cell r="E8611" t="str">
            <v>HPER</v>
          </cell>
          <cell r="F8611" t="str">
            <v>HPER-K</v>
          </cell>
          <cell r="G8611">
            <v>799</v>
          </cell>
          <cell r="H8611" t="str">
            <v>HPER-K799</v>
          </cell>
          <cell r="K8611" t="str">
            <v>Sailes,Gary A.</v>
          </cell>
          <cell r="N8611" t="str">
            <v>NR</v>
          </cell>
          <cell r="O8611" t="str">
            <v>NR</v>
          </cell>
        </row>
        <row r="8612">
          <cell r="E8612" t="str">
            <v>HPER</v>
          </cell>
          <cell r="F8612" t="str">
            <v>HPER-K</v>
          </cell>
          <cell r="G8612">
            <v>799</v>
          </cell>
          <cell r="H8612" t="str">
            <v>HPER-K799</v>
          </cell>
          <cell r="K8612" t="str">
            <v>Sailes,Gary A.</v>
          </cell>
          <cell r="N8612" t="str">
            <v>NR</v>
          </cell>
          <cell r="O8612" t="str">
            <v>NR</v>
          </cell>
        </row>
        <row r="8613">
          <cell r="E8613" t="str">
            <v>HPER</v>
          </cell>
          <cell r="F8613" t="str">
            <v>HPER-K</v>
          </cell>
          <cell r="G8613">
            <v>799</v>
          </cell>
          <cell r="H8613" t="str">
            <v>HPER-K799</v>
          </cell>
          <cell r="K8613" t="str">
            <v>Shea,John B.</v>
          </cell>
          <cell r="N8613" t="str">
            <v>NR</v>
          </cell>
          <cell r="O8613" t="str">
            <v>NR</v>
          </cell>
        </row>
        <row r="8614">
          <cell r="E8614" t="str">
            <v>HPER</v>
          </cell>
          <cell r="F8614" t="str">
            <v>HPER-K</v>
          </cell>
          <cell r="G8614">
            <v>799</v>
          </cell>
          <cell r="H8614" t="str">
            <v>HPER-K799</v>
          </cell>
          <cell r="K8614" t="str">
            <v>Shea,John B.</v>
          </cell>
          <cell r="N8614" t="str">
            <v>NR</v>
          </cell>
          <cell r="O8614" t="str">
            <v>NR</v>
          </cell>
        </row>
        <row r="8615">
          <cell r="E8615" t="str">
            <v>HPER</v>
          </cell>
          <cell r="F8615" t="str">
            <v>HPER-K</v>
          </cell>
          <cell r="G8615">
            <v>799</v>
          </cell>
          <cell r="H8615" t="str">
            <v>HPER-K799</v>
          </cell>
          <cell r="K8615" t="str">
            <v>Stager,Joel Mc Cormick</v>
          </cell>
          <cell r="N8615" t="str">
            <v>NR</v>
          </cell>
          <cell r="O8615" t="str">
            <v>NR</v>
          </cell>
        </row>
        <row r="8616">
          <cell r="E8616" t="str">
            <v>HPER</v>
          </cell>
          <cell r="F8616" t="str">
            <v>HPER-K</v>
          </cell>
          <cell r="G8616">
            <v>799</v>
          </cell>
          <cell r="H8616" t="str">
            <v>HPER-K799</v>
          </cell>
          <cell r="K8616" t="str">
            <v>Stager,Joel Mc Cormick</v>
          </cell>
          <cell r="N8616" t="str">
            <v>NR</v>
          </cell>
          <cell r="O8616" t="str">
            <v>NR</v>
          </cell>
        </row>
        <row r="8617">
          <cell r="E8617" t="str">
            <v>HPER</v>
          </cell>
          <cell r="F8617" t="str">
            <v>HPER-K</v>
          </cell>
          <cell r="G8617">
            <v>799</v>
          </cell>
          <cell r="H8617" t="str">
            <v>HPER-K799</v>
          </cell>
          <cell r="K8617" t="str">
            <v>Stager,Joel Mc Cormick</v>
          </cell>
          <cell r="N8617" t="str">
            <v>NR</v>
          </cell>
          <cell r="O8617" t="str">
            <v>NR</v>
          </cell>
        </row>
        <row r="8618">
          <cell r="E8618" t="str">
            <v>HPER</v>
          </cell>
          <cell r="F8618" t="str">
            <v>HPER-K</v>
          </cell>
          <cell r="G8618">
            <v>799</v>
          </cell>
          <cell r="H8618" t="str">
            <v>HPER-K799</v>
          </cell>
          <cell r="K8618" t="str">
            <v>Wallace,Janet Patricia</v>
          </cell>
          <cell r="N8618" t="str">
            <v>NR</v>
          </cell>
          <cell r="O8618" t="str">
            <v>NR</v>
          </cell>
        </row>
        <row r="8619">
          <cell r="E8619" t="str">
            <v>HPER</v>
          </cell>
          <cell r="F8619" t="str">
            <v>HPER-K</v>
          </cell>
          <cell r="G8619">
            <v>799</v>
          </cell>
          <cell r="H8619" t="str">
            <v>HPER-K799</v>
          </cell>
          <cell r="K8619" t="str">
            <v>Williams,Antonio Sentel</v>
          </cell>
          <cell r="N8619" t="str">
            <v>NR</v>
          </cell>
          <cell r="O8619" t="str">
            <v>NR</v>
          </cell>
        </row>
        <row r="8620">
          <cell r="E8620" t="str">
            <v>HPER</v>
          </cell>
          <cell r="F8620" t="str">
            <v>HPER-L</v>
          </cell>
          <cell r="G8620">
            <v>180</v>
          </cell>
          <cell r="H8620" t="str">
            <v>HPER-L180</v>
          </cell>
          <cell r="K8620" t="str">
            <v>Getz,Deborah A</v>
          </cell>
          <cell r="N8620">
            <v>3.7050000000000001</v>
          </cell>
          <cell r="O8620">
            <v>3.1219999999999999</v>
          </cell>
        </row>
        <row r="8621">
          <cell r="E8621" t="str">
            <v>HPER</v>
          </cell>
          <cell r="F8621" t="str">
            <v>HPER-L</v>
          </cell>
          <cell r="G8621">
            <v>180</v>
          </cell>
          <cell r="H8621" t="str">
            <v>HPER-L180</v>
          </cell>
          <cell r="K8621" t="str">
            <v>Getz,Deborah A</v>
          </cell>
          <cell r="N8621" t="str">
            <v>NR</v>
          </cell>
          <cell r="O8621" t="str">
            <v>NR</v>
          </cell>
        </row>
        <row r="8622">
          <cell r="E8622" t="str">
            <v>HPER</v>
          </cell>
          <cell r="F8622" t="str">
            <v>HPER-L</v>
          </cell>
          <cell r="G8622">
            <v>180</v>
          </cell>
          <cell r="H8622" t="str">
            <v>HPER-L180</v>
          </cell>
          <cell r="K8622" t="str">
            <v>Getz,Deborah A</v>
          </cell>
          <cell r="N8622">
            <v>3.7770000000000001</v>
          </cell>
          <cell r="O8622">
            <v>3.13</v>
          </cell>
        </row>
        <row r="8623">
          <cell r="E8623" t="str">
            <v>HPER</v>
          </cell>
          <cell r="F8623" t="str">
            <v>HPER-L</v>
          </cell>
          <cell r="G8623">
            <v>181</v>
          </cell>
          <cell r="H8623" t="str">
            <v>HPER-L181</v>
          </cell>
          <cell r="K8623" t="str">
            <v>Getz,Deborah A</v>
          </cell>
          <cell r="N8623">
            <v>3.8220000000000001</v>
          </cell>
          <cell r="O8623">
            <v>3.3210000000000002</v>
          </cell>
        </row>
        <row r="8624">
          <cell r="E8624" t="str">
            <v>HPER</v>
          </cell>
          <cell r="F8624" t="str">
            <v>HPER-L</v>
          </cell>
          <cell r="G8624">
            <v>181</v>
          </cell>
          <cell r="H8624" t="str">
            <v>HPER-L181</v>
          </cell>
          <cell r="K8624" t="str">
            <v>Getz,Deborah A</v>
          </cell>
          <cell r="N8624">
            <v>3.99</v>
          </cell>
          <cell r="O8624">
            <v>3.2149999999999999</v>
          </cell>
        </row>
        <row r="8625">
          <cell r="E8625" t="str">
            <v>HPER</v>
          </cell>
          <cell r="F8625" t="str">
            <v>HPER-N</v>
          </cell>
          <cell r="G8625">
            <v>120</v>
          </cell>
          <cell r="H8625" t="str">
            <v>HPER-N120</v>
          </cell>
          <cell r="K8625" t="str">
            <v>Ray,Shahla</v>
          </cell>
          <cell r="N8625">
            <v>3.6030000000000002</v>
          </cell>
          <cell r="O8625">
            <v>3.1949999999999998</v>
          </cell>
        </row>
        <row r="8626">
          <cell r="E8626" t="str">
            <v>HPER</v>
          </cell>
          <cell r="F8626" t="str">
            <v>HPER-N</v>
          </cell>
          <cell r="G8626">
            <v>220</v>
          </cell>
          <cell r="H8626" t="str">
            <v>HPER-N220</v>
          </cell>
          <cell r="K8626" t="str">
            <v>Lin,Yi-Chun</v>
          </cell>
          <cell r="N8626">
            <v>3.0510000000000002</v>
          </cell>
          <cell r="O8626">
            <v>3.0470000000000002</v>
          </cell>
        </row>
        <row r="8627">
          <cell r="E8627" t="str">
            <v>HPER</v>
          </cell>
          <cell r="F8627" t="str">
            <v>HPER-N</v>
          </cell>
          <cell r="G8627">
            <v>220</v>
          </cell>
          <cell r="H8627" t="str">
            <v>HPER-N220</v>
          </cell>
          <cell r="K8627" t="str">
            <v>Lindeman,Alice K.</v>
          </cell>
          <cell r="N8627">
            <v>3.008</v>
          </cell>
          <cell r="O8627">
            <v>3.11</v>
          </cell>
        </row>
        <row r="8628">
          <cell r="E8628" t="str">
            <v>HPER</v>
          </cell>
          <cell r="F8628" t="str">
            <v>HPER-N</v>
          </cell>
          <cell r="G8628">
            <v>220</v>
          </cell>
          <cell r="H8628" t="str">
            <v>HPER-N220</v>
          </cell>
          <cell r="K8628" t="str">
            <v>Liu,Yibin</v>
          </cell>
          <cell r="N8628">
            <v>2.9750000000000001</v>
          </cell>
          <cell r="O8628">
            <v>2.948</v>
          </cell>
        </row>
        <row r="8629">
          <cell r="E8629" t="str">
            <v>HPER</v>
          </cell>
          <cell r="F8629" t="str">
            <v>HPER-N</v>
          </cell>
          <cell r="G8629">
            <v>220</v>
          </cell>
          <cell r="H8629" t="str">
            <v>HPER-N220</v>
          </cell>
          <cell r="K8629" t="str">
            <v>Liu,Yibin</v>
          </cell>
          <cell r="N8629">
            <v>3.2679999999999998</v>
          </cell>
          <cell r="O8629">
            <v>3.1040000000000001</v>
          </cell>
        </row>
        <row r="8630">
          <cell r="E8630" t="str">
            <v>HPER</v>
          </cell>
          <cell r="F8630" t="str">
            <v>HPER-N</v>
          </cell>
          <cell r="G8630">
            <v>220</v>
          </cell>
          <cell r="H8630" t="str">
            <v>HPER-N220</v>
          </cell>
          <cell r="K8630" t="str">
            <v>Thiagarajah,Krisha</v>
          </cell>
          <cell r="N8630">
            <v>3.0539999999999998</v>
          </cell>
          <cell r="O8630">
            <v>3.113</v>
          </cell>
        </row>
        <row r="8631">
          <cell r="E8631" t="str">
            <v>HPER</v>
          </cell>
          <cell r="F8631" t="str">
            <v>HPER-N</v>
          </cell>
          <cell r="G8631">
            <v>220</v>
          </cell>
          <cell r="H8631" t="str">
            <v>HPER-N220</v>
          </cell>
          <cell r="K8631" t="str">
            <v>Thiagarajah,Krisha</v>
          </cell>
          <cell r="N8631">
            <v>3.05</v>
          </cell>
          <cell r="O8631">
            <v>2.8330000000000002</v>
          </cell>
        </row>
        <row r="8632">
          <cell r="E8632" t="str">
            <v>HPER</v>
          </cell>
          <cell r="F8632" t="str">
            <v>HPER-N</v>
          </cell>
          <cell r="G8632">
            <v>231</v>
          </cell>
          <cell r="H8632" t="str">
            <v>HPER-N231</v>
          </cell>
          <cell r="K8632" t="str">
            <v>Lin,Yi-Chun</v>
          </cell>
          <cell r="N8632">
            <v>3.16</v>
          </cell>
          <cell r="O8632">
            <v>3.149</v>
          </cell>
        </row>
        <row r="8633">
          <cell r="E8633" t="str">
            <v>HPER</v>
          </cell>
          <cell r="F8633" t="str">
            <v>HPER-N</v>
          </cell>
          <cell r="G8633">
            <v>231</v>
          </cell>
          <cell r="H8633" t="str">
            <v>HPER-N231</v>
          </cell>
          <cell r="K8633" t="str">
            <v>Ray,Shahla</v>
          </cell>
          <cell r="N8633">
            <v>3.375</v>
          </cell>
          <cell r="O8633">
            <v>3.2450000000000001</v>
          </cell>
        </row>
        <row r="8634">
          <cell r="E8634" t="str">
            <v>HPER</v>
          </cell>
          <cell r="F8634" t="str">
            <v>HPER-N</v>
          </cell>
          <cell r="G8634">
            <v>231</v>
          </cell>
          <cell r="H8634" t="str">
            <v>HPER-N231</v>
          </cell>
          <cell r="K8634" t="str">
            <v>Ray,Shahla</v>
          </cell>
          <cell r="N8634">
            <v>3.0649999999999999</v>
          </cell>
          <cell r="O8634">
            <v>3.11</v>
          </cell>
        </row>
        <row r="8635">
          <cell r="E8635" t="str">
            <v>HPER</v>
          </cell>
          <cell r="F8635" t="str">
            <v>HPER-N</v>
          </cell>
          <cell r="G8635">
            <v>231</v>
          </cell>
          <cell r="H8635" t="str">
            <v>HPER-N231</v>
          </cell>
          <cell r="K8635" t="str">
            <v>Ray,Shahla</v>
          </cell>
          <cell r="N8635">
            <v>3.331</v>
          </cell>
          <cell r="O8635">
            <v>3.2269999999999999</v>
          </cell>
        </row>
        <row r="8636">
          <cell r="E8636" t="str">
            <v>HPER</v>
          </cell>
          <cell r="F8636" t="str">
            <v>HPER-N</v>
          </cell>
          <cell r="G8636">
            <v>231</v>
          </cell>
          <cell r="H8636" t="str">
            <v>HPER-N231</v>
          </cell>
          <cell r="K8636" t="str">
            <v>Thiagarajah,Krisha</v>
          </cell>
          <cell r="N8636">
            <v>2.8940000000000001</v>
          </cell>
          <cell r="O8636">
            <v>3.125</v>
          </cell>
        </row>
        <row r="8637">
          <cell r="E8637" t="str">
            <v>HPER</v>
          </cell>
          <cell r="F8637" t="str">
            <v>HPER-N</v>
          </cell>
          <cell r="G8637">
            <v>231</v>
          </cell>
          <cell r="H8637" t="str">
            <v>HPER-N231</v>
          </cell>
          <cell r="K8637" t="str">
            <v>Thiagarajah,Krisha</v>
          </cell>
          <cell r="N8637">
            <v>2.9009999999999998</v>
          </cell>
          <cell r="O8637">
            <v>3.04</v>
          </cell>
        </row>
        <row r="8638">
          <cell r="E8638" t="str">
            <v>HPER</v>
          </cell>
          <cell r="F8638" t="str">
            <v>HPER-N</v>
          </cell>
          <cell r="G8638">
            <v>317</v>
          </cell>
          <cell r="H8638" t="str">
            <v>HPER-N317</v>
          </cell>
          <cell r="K8638" t="str">
            <v>Bomba,Angela Kay</v>
          </cell>
          <cell r="N8638">
            <v>3.4470000000000001</v>
          </cell>
          <cell r="O8638">
            <v>3.028</v>
          </cell>
        </row>
        <row r="8639">
          <cell r="E8639" t="str">
            <v>HPER</v>
          </cell>
          <cell r="F8639" t="str">
            <v>HPER-N</v>
          </cell>
          <cell r="G8639">
            <v>320</v>
          </cell>
          <cell r="H8639" t="str">
            <v>HPER-N320</v>
          </cell>
          <cell r="K8639" t="str">
            <v>Fly,Alyce D.</v>
          </cell>
          <cell r="N8639">
            <v>3.4159999999999999</v>
          </cell>
          <cell r="O8639">
            <v>3.3879999999999999</v>
          </cell>
        </row>
        <row r="8640">
          <cell r="E8640" t="str">
            <v>HPER</v>
          </cell>
          <cell r="F8640" t="str">
            <v>HPER-N</v>
          </cell>
          <cell r="G8640">
            <v>321</v>
          </cell>
          <cell r="H8640" t="str">
            <v>HPER-N321</v>
          </cell>
          <cell r="K8640" t="str">
            <v>Getty,Victoria M</v>
          </cell>
          <cell r="N8640">
            <v>3.593</v>
          </cell>
          <cell r="O8640">
            <v>3.4369999999999998</v>
          </cell>
        </row>
        <row r="8641">
          <cell r="E8641" t="str">
            <v>HPER</v>
          </cell>
          <cell r="F8641" t="str">
            <v>HPER-N</v>
          </cell>
          <cell r="G8641">
            <v>322</v>
          </cell>
          <cell r="H8641" t="str">
            <v>HPER-N322</v>
          </cell>
          <cell r="K8641" t="str">
            <v>Getty,Victoria M</v>
          </cell>
          <cell r="N8641">
            <v>3.585</v>
          </cell>
          <cell r="O8641">
            <v>3.3679999999999999</v>
          </cell>
        </row>
        <row r="8642">
          <cell r="E8642" t="str">
            <v>HPER</v>
          </cell>
          <cell r="F8642" t="str">
            <v>HPER-N</v>
          </cell>
          <cell r="G8642">
            <v>325</v>
          </cell>
          <cell r="H8642" t="str">
            <v>HPER-N325</v>
          </cell>
          <cell r="K8642" t="str">
            <v>Fly,Alyce D.</v>
          </cell>
          <cell r="N8642">
            <v>3.9569999999999999</v>
          </cell>
          <cell r="O8642">
            <v>3.4279999999999999</v>
          </cell>
        </row>
        <row r="8643">
          <cell r="E8643" t="str">
            <v>HPER</v>
          </cell>
          <cell r="F8643" t="str">
            <v>HPER-N</v>
          </cell>
          <cell r="G8643">
            <v>325</v>
          </cell>
          <cell r="H8643" t="str">
            <v>HPER-N325</v>
          </cell>
          <cell r="K8643" t="str">
            <v>Fly,Alyce D.</v>
          </cell>
          <cell r="N8643">
            <v>3.9039999999999999</v>
          </cell>
          <cell r="O8643">
            <v>3.32</v>
          </cell>
        </row>
        <row r="8644">
          <cell r="E8644" t="str">
            <v>HPER</v>
          </cell>
          <cell r="F8644" t="str">
            <v>HPER-N</v>
          </cell>
          <cell r="G8644">
            <v>331</v>
          </cell>
          <cell r="H8644" t="str">
            <v>HPER-N331</v>
          </cell>
          <cell r="K8644" t="str">
            <v>Getty,Victoria M</v>
          </cell>
          <cell r="N8644">
            <v>3.16</v>
          </cell>
          <cell r="O8644">
            <v>3.1230000000000002</v>
          </cell>
        </row>
        <row r="8645">
          <cell r="E8645" t="str">
            <v>HPER</v>
          </cell>
          <cell r="F8645" t="str">
            <v>HPER-N</v>
          </cell>
          <cell r="G8645">
            <v>336</v>
          </cell>
          <cell r="H8645" t="str">
            <v>HPER-N336</v>
          </cell>
          <cell r="K8645" t="str">
            <v>Getty,Victoria M</v>
          </cell>
          <cell r="N8645">
            <v>3.544</v>
          </cell>
          <cell r="O8645">
            <v>3.2309999999999999</v>
          </cell>
        </row>
        <row r="8646">
          <cell r="E8646" t="str">
            <v>HPER</v>
          </cell>
          <cell r="F8646" t="str">
            <v>HPER-N</v>
          </cell>
          <cell r="G8646">
            <v>336</v>
          </cell>
          <cell r="H8646" t="str">
            <v>HPER-N336</v>
          </cell>
          <cell r="K8646" t="str">
            <v>Thiagarajah,Krisha</v>
          </cell>
          <cell r="N8646">
            <v>3.544</v>
          </cell>
          <cell r="O8646">
            <v>3.2440000000000002</v>
          </cell>
        </row>
        <row r="8647">
          <cell r="E8647" t="str">
            <v>HPER</v>
          </cell>
          <cell r="F8647" t="str">
            <v>HPER-N</v>
          </cell>
          <cell r="G8647">
            <v>401</v>
          </cell>
          <cell r="H8647" t="str">
            <v>HPER-N401</v>
          </cell>
          <cell r="K8647" t="str">
            <v>Getty,Victoria M</v>
          </cell>
          <cell r="N8647">
            <v>3.9929999999999999</v>
          </cell>
          <cell r="O8647">
            <v>3.4910000000000001</v>
          </cell>
        </row>
        <row r="8648">
          <cell r="E8648" t="str">
            <v>HPER</v>
          </cell>
          <cell r="F8648" t="str">
            <v>HPER-N</v>
          </cell>
          <cell r="G8648">
            <v>416</v>
          </cell>
          <cell r="H8648" t="str">
            <v>HPER-N416</v>
          </cell>
          <cell r="K8648" t="str">
            <v>Saccone,Roberta (Bobbie) H.</v>
          </cell>
          <cell r="N8648">
            <v>3.879</v>
          </cell>
          <cell r="O8648">
            <v>3.4140000000000001</v>
          </cell>
        </row>
        <row r="8649">
          <cell r="E8649" t="str">
            <v>HPER</v>
          </cell>
          <cell r="F8649" t="str">
            <v>HPER-N</v>
          </cell>
          <cell r="G8649">
            <v>430</v>
          </cell>
          <cell r="H8649" t="str">
            <v>HPER-N430</v>
          </cell>
          <cell r="K8649" t="str">
            <v>Fly,Alyce D.</v>
          </cell>
          <cell r="N8649">
            <v>3.18</v>
          </cell>
          <cell r="O8649">
            <v>3.29</v>
          </cell>
        </row>
        <row r="8650">
          <cell r="E8650" t="str">
            <v>HPER</v>
          </cell>
          <cell r="F8650" t="str">
            <v>HPER-N</v>
          </cell>
          <cell r="G8650">
            <v>430</v>
          </cell>
          <cell r="H8650" t="str">
            <v>HPER-N430</v>
          </cell>
          <cell r="K8650" t="str">
            <v>Fly,Alyce D.</v>
          </cell>
          <cell r="N8650">
            <v>3.45</v>
          </cell>
          <cell r="O8650">
            <v>3.5049999999999999</v>
          </cell>
        </row>
        <row r="8651">
          <cell r="E8651" t="str">
            <v>HPER</v>
          </cell>
          <cell r="F8651" t="str">
            <v>HPER-N</v>
          </cell>
          <cell r="G8651">
            <v>431</v>
          </cell>
          <cell r="H8651" t="str">
            <v>HPER-N431</v>
          </cell>
          <cell r="K8651" t="str">
            <v>Lindeman,Alice K.</v>
          </cell>
          <cell r="N8651">
            <v>3.7850000000000001</v>
          </cell>
          <cell r="O8651">
            <v>3.4060000000000001</v>
          </cell>
        </row>
        <row r="8652">
          <cell r="E8652" t="str">
            <v>HPER</v>
          </cell>
          <cell r="F8652" t="str">
            <v>HPER-N</v>
          </cell>
          <cell r="G8652">
            <v>431</v>
          </cell>
          <cell r="H8652" t="str">
            <v>HPER-N431</v>
          </cell>
          <cell r="K8652" t="str">
            <v>Lindeman,Alice K.</v>
          </cell>
          <cell r="N8652">
            <v>3.573</v>
          </cell>
          <cell r="O8652">
            <v>3.3580000000000001</v>
          </cell>
        </row>
        <row r="8653">
          <cell r="E8653" t="str">
            <v>HPER</v>
          </cell>
          <cell r="F8653" t="str">
            <v>HPER-N</v>
          </cell>
          <cell r="G8653">
            <v>432</v>
          </cell>
          <cell r="H8653" t="str">
            <v>HPER-N432</v>
          </cell>
          <cell r="K8653" t="str">
            <v>Dai,Jun</v>
          </cell>
          <cell r="N8653">
            <v>3.7829999999999999</v>
          </cell>
          <cell r="O8653">
            <v>3.5430000000000001</v>
          </cell>
        </row>
        <row r="8654">
          <cell r="E8654" t="str">
            <v>HPER</v>
          </cell>
          <cell r="F8654" t="str">
            <v>HPER-N</v>
          </cell>
          <cell r="G8654">
            <v>432</v>
          </cell>
          <cell r="H8654" t="str">
            <v>HPER-N432</v>
          </cell>
          <cell r="K8654" t="str">
            <v>Thiagarajah,Krisha</v>
          </cell>
          <cell r="N8654">
            <v>2.9929999999999999</v>
          </cell>
          <cell r="O8654">
            <v>3.3540000000000001</v>
          </cell>
        </row>
        <row r="8655">
          <cell r="E8655" t="str">
            <v>HPER</v>
          </cell>
          <cell r="F8655" t="str">
            <v>HPER-N</v>
          </cell>
          <cell r="G8655">
            <v>433</v>
          </cell>
          <cell r="H8655" t="str">
            <v>HPER-N433</v>
          </cell>
          <cell r="K8655" t="str">
            <v>Morse,Martha Camille</v>
          </cell>
          <cell r="N8655">
            <v>3.9820000000000002</v>
          </cell>
          <cell r="O8655">
            <v>3.431</v>
          </cell>
        </row>
        <row r="8656">
          <cell r="E8656" t="str">
            <v>HPER</v>
          </cell>
          <cell r="F8656" t="str">
            <v>HPER-N</v>
          </cell>
          <cell r="G8656">
            <v>440</v>
          </cell>
          <cell r="H8656" t="str">
            <v>HPER-N440</v>
          </cell>
          <cell r="K8656" t="str">
            <v>Fly,Alyce D.</v>
          </cell>
          <cell r="N8656">
            <v>4</v>
          </cell>
          <cell r="O8656">
            <v>3.5939999999999999</v>
          </cell>
        </row>
        <row r="8657">
          <cell r="E8657" t="str">
            <v>HPER</v>
          </cell>
          <cell r="F8657" t="str">
            <v>HPER-N</v>
          </cell>
          <cell r="G8657">
            <v>440</v>
          </cell>
          <cell r="H8657" t="str">
            <v>HPER-N440</v>
          </cell>
          <cell r="K8657" t="str">
            <v>Fly,Alyce D.</v>
          </cell>
          <cell r="N8657" t="str">
            <v>NR</v>
          </cell>
          <cell r="O8657" t="str">
            <v>NR</v>
          </cell>
        </row>
        <row r="8658">
          <cell r="E8658" t="str">
            <v>HPER</v>
          </cell>
          <cell r="F8658" t="str">
            <v>HPER-N</v>
          </cell>
          <cell r="G8658">
            <v>440</v>
          </cell>
          <cell r="H8658" t="str">
            <v>HPER-N440</v>
          </cell>
          <cell r="K8658" t="str">
            <v>Lindeman,Alice K.</v>
          </cell>
          <cell r="N8658" t="str">
            <v>NR</v>
          </cell>
          <cell r="O8658" t="str">
            <v>NR</v>
          </cell>
        </row>
        <row r="8659">
          <cell r="E8659" t="str">
            <v>HPER</v>
          </cell>
          <cell r="F8659" t="str">
            <v>HPER-N</v>
          </cell>
          <cell r="G8659">
            <v>440</v>
          </cell>
          <cell r="H8659" t="str">
            <v>HPER-N440</v>
          </cell>
          <cell r="K8659" t="str">
            <v>Ray,Shahla</v>
          </cell>
          <cell r="N8659" t="str">
            <v>NR</v>
          </cell>
          <cell r="O8659" t="str">
            <v>NR</v>
          </cell>
        </row>
        <row r="8660">
          <cell r="E8660" t="str">
            <v>HPER</v>
          </cell>
          <cell r="F8660" t="str">
            <v>HPER-N</v>
          </cell>
          <cell r="G8660">
            <v>444</v>
          </cell>
          <cell r="H8660" t="str">
            <v>HPER-N444</v>
          </cell>
          <cell r="K8660" t="str">
            <v>Lindeman,Alice K.</v>
          </cell>
          <cell r="N8660" t="str">
            <v>NR</v>
          </cell>
          <cell r="O8660" t="str">
            <v>NR</v>
          </cell>
        </row>
        <row r="8661">
          <cell r="E8661" t="str">
            <v>HPER</v>
          </cell>
          <cell r="F8661" t="str">
            <v>HPER-N</v>
          </cell>
          <cell r="G8661">
            <v>520</v>
          </cell>
          <cell r="H8661" t="str">
            <v>HPER-N520</v>
          </cell>
          <cell r="K8661" t="str">
            <v>Fly,Alyce D.</v>
          </cell>
          <cell r="N8661" t="str">
            <v>NR</v>
          </cell>
          <cell r="O8661" t="str">
            <v>NR</v>
          </cell>
        </row>
        <row r="8662">
          <cell r="E8662" t="str">
            <v>HPER</v>
          </cell>
          <cell r="F8662" t="str">
            <v>HPER-N</v>
          </cell>
          <cell r="G8662">
            <v>530</v>
          </cell>
          <cell r="H8662" t="str">
            <v>HPER-N530</v>
          </cell>
          <cell r="K8662" t="str">
            <v>Fly,Alyce D.</v>
          </cell>
          <cell r="N8662" t="str">
            <v>NR</v>
          </cell>
          <cell r="O8662" t="str">
            <v>NR</v>
          </cell>
        </row>
        <row r="8663">
          <cell r="E8663" t="str">
            <v>HPER</v>
          </cell>
          <cell r="F8663" t="str">
            <v>HPER-N</v>
          </cell>
          <cell r="G8663">
            <v>531</v>
          </cell>
          <cell r="H8663" t="str">
            <v>HPER-N531</v>
          </cell>
          <cell r="K8663" t="str">
            <v>Lindeman,Alice K.</v>
          </cell>
          <cell r="N8663">
            <v>3.383</v>
          </cell>
          <cell r="O8663">
            <v>3.5539999999999998</v>
          </cell>
        </row>
        <row r="8664">
          <cell r="E8664" t="str">
            <v>HPER</v>
          </cell>
          <cell r="F8664" t="str">
            <v>HPER-N</v>
          </cell>
          <cell r="G8664">
            <v>532</v>
          </cell>
          <cell r="H8664" t="str">
            <v>HPER-N532</v>
          </cell>
          <cell r="K8664" t="str">
            <v>Thiagarajah,Krisha</v>
          </cell>
          <cell r="N8664">
            <v>3.383</v>
          </cell>
          <cell r="O8664">
            <v>3.476</v>
          </cell>
        </row>
        <row r="8665">
          <cell r="E8665" t="str">
            <v>HPER</v>
          </cell>
          <cell r="F8665" t="str">
            <v>HPER-N</v>
          </cell>
          <cell r="G8665">
            <v>533</v>
          </cell>
          <cell r="H8665" t="str">
            <v>HPER-N533</v>
          </cell>
          <cell r="K8665" t="str">
            <v>Morse,Martha Camille</v>
          </cell>
          <cell r="N8665" t="str">
            <v>NR</v>
          </cell>
          <cell r="O8665" t="str">
            <v>NR</v>
          </cell>
        </row>
        <row r="8666">
          <cell r="E8666" t="str">
            <v>HPER</v>
          </cell>
          <cell r="F8666" t="str">
            <v>HPER-N</v>
          </cell>
          <cell r="G8666">
            <v>536</v>
          </cell>
          <cell r="H8666" t="str">
            <v>HPER-N536</v>
          </cell>
          <cell r="K8666" t="str">
            <v>Thiagarajah,Krisha</v>
          </cell>
          <cell r="N8666" t="str">
            <v>NR</v>
          </cell>
          <cell r="O8666" t="str">
            <v>NR</v>
          </cell>
        </row>
        <row r="8667">
          <cell r="E8667" t="str">
            <v>HPER</v>
          </cell>
          <cell r="F8667" t="str">
            <v>HPER-N</v>
          </cell>
          <cell r="G8667">
            <v>539</v>
          </cell>
          <cell r="H8667" t="str">
            <v>HPER-N539</v>
          </cell>
          <cell r="K8667" t="str">
            <v>Fly,Alyce D.</v>
          </cell>
          <cell r="N8667" t="str">
            <v>NR</v>
          </cell>
          <cell r="O8667" t="str">
            <v>NR</v>
          </cell>
        </row>
        <row r="8668">
          <cell r="E8668" t="str">
            <v>HPER</v>
          </cell>
          <cell r="F8668" t="str">
            <v>HPER-N</v>
          </cell>
          <cell r="G8668">
            <v>539</v>
          </cell>
          <cell r="H8668" t="str">
            <v>HPER-N539</v>
          </cell>
          <cell r="K8668" t="str">
            <v>Lindeman,Alice K.</v>
          </cell>
          <cell r="N8668" t="str">
            <v>NR</v>
          </cell>
          <cell r="O8668" t="str">
            <v>NR</v>
          </cell>
        </row>
        <row r="8669">
          <cell r="E8669" t="str">
            <v>HPER</v>
          </cell>
          <cell r="F8669" t="str">
            <v>HPER-N</v>
          </cell>
          <cell r="G8669">
            <v>539</v>
          </cell>
          <cell r="H8669" t="str">
            <v>HPER-N539</v>
          </cell>
          <cell r="K8669" t="str">
            <v>Morse,Martha Camille</v>
          </cell>
          <cell r="N8669" t="str">
            <v>NR</v>
          </cell>
          <cell r="O8669" t="str">
            <v>NR</v>
          </cell>
        </row>
        <row r="8670">
          <cell r="E8670" t="str">
            <v>HPER</v>
          </cell>
          <cell r="F8670" t="str">
            <v>HPER-N</v>
          </cell>
          <cell r="G8670">
            <v>539</v>
          </cell>
          <cell r="H8670" t="str">
            <v>HPER-N539</v>
          </cell>
          <cell r="K8670" t="str">
            <v>Morse,Martha Camille</v>
          </cell>
          <cell r="N8670" t="str">
            <v>NR</v>
          </cell>
          <cell r="O8670" t="str">
            <v>NR</v>
          </cell>
        </row>
        <row r="8671">
          <cell r="E8671" t="str">
            <v>HPER</v>
          </cell>
          <cell r="F8671" t="str">
            <v>HPER-N</v>
          </cell>
          <cell r="G8671">
            <v>640</v>
          </cell>
          <cell r="H8671" t="str">
            <v>HPER-N640</v>
          </cell>
          <cell r="K8671" t="str">
            <v>Dai,Jun</v>
          </cell>
          <cell r="N8671" t="str">
            <v>NR</v>
          </cell>
          <cell r="O8671" t="str">
            <v>NR</v>
          </cell>
        </row>
        <row r="8672">
          <cell r="E8672" t="str">
            <v>HPER</v>
          </cell>
          <cell r="F8672" t="str">
            <v>HPER-N</v>
          </cell>
          <cell r="G8672">
            <v>640</v>
          </cell>
          <cell r="H8672" t="str">
            <v>HPER-N640</v>
          </cell>
          <cell r="K8672" t="str">
            <v>Fly,Alyce D.</v>
          </cell>
          <cell r="N8672" t="str">
            <v>NR</v>
          </cell>
          <cell r="O8672" t="str">
            <v>NR</v>
          </cell>
        </row>
        <row r="8673">
          <cell r="E8673" t="str">
            <v>HPER</v>
          </cell>
          <cell r="F8673" t="str">
            <v>HPER-N</v>
          </cell>
          <cell r="G8673">
            <v>640</v>
          </cell>
          <cell r="H8673" t="str">
            <v>HPER-N640</v>
          </cell>
          <cell r="K8673" t="str">
            <v>Lindeman,Alice K.</v>
          </cell>
          <cell r="N8673" t="str">
            <v>NR</v>
          </cell>
          <cell r="O8673" t="str">
            <v>NR</v>
          </cell>
        </row>
        <row r="8674">
          <cell r="E8674" t="str">
            <v>HPER</v>
          </cell>
          <cell r="F8674" t="str">
            <v>HPER-N</v>
          </cell>
          <cell r="G8674">
            <v>640</v>
          </cell>
          <cell r="H8674" t="str">
            <v>HPER-N640</v>
          </cell>
          <cell r="K8674" t="str">
            <v>Lindeman,Alice K.</v>
          </cell>
          <cell r="N8674" t="str">
            <v>NR</v>
          </cell>
          <cell r="O8674" t="str">
            <v>NR</v>
          </cell>
        </row>
        <row r="8675">
          <cell r="E8675" t="str">
            <v>HPER</v>
          </cell>
          <cell r="F8675" t="str">
            <v>HPER-N</v>
          </cell>
          <cell r="G8675">
            <v>641</v>
          </cell>
          <cell r="H8675" t="str">
            <v>HPER-N641</v>
          </cell>
          <cell r="K8675" t="str">
            <v>Dai,Jun</v>
          </cell>
          <cell r="N8675" t="str">
            <v>NR</v>
          </cell>
          <cell r="O8675" t="str">
            <v>NR</v>
          </cell>
        </row>
        <row r="8676">
          <cell r="E8676" t="str">
            <v>HPER</v>
          </cell>
          <cell r="F8676" t="str">
            <v>HPER-N</v>
          </cell>
          <cell r="G8676">
            <v>641</v>
          </cell>
          <cell r="H8676" t="str">
            <v>HPER-N641</v>
          </cell>
          <cell r="K8676" t="str">
            <v>Fly,Alyce D.</v>
          </cell>
          <cell r="N8676" t="str">
            <v>NR</v>
          </cell>
          <cell r="O8676" t="str">
            <v>NR</v>
          </cell>
        </row>
        <row r="8677">
          <cell r="E8677" t="str">
            <v>HPER</v>
          </cell>
          <cell r="F8677" t="str">
            <v>HPER-N</v>
          </cell>
          <cell r="G8677">
            <v>641</v>
          </cell>
          <cell r="H8677" t="str">
            <v>HPER-N641</v>
          </cell>
          <cell r="K8677" t="str">
            <v>Fly,Alyce D.</v>
          </cell>
          <cell r="N8677" t="str">
            <v>NR</v>
          </cell>
          <cell r="O8677" t="str">
            <v>NR</v>
          </cell>
        </row>
        <row r="8678">
          <cell r="E8678" t="str">
            <v>HPER</v>
          </cell>
          <cell r="F8678" t="str">
            <v>HPER-N</v>
          </cell>
          <cell r="G8678">
            <v>641</v>
          </cell>
          <cell r="H8678" t="str">
            <v>HPER-N641</v>
          </cell>
          <cell r="K8678" t="str">
            <v>Lindeman,Alice K.</v>
          </cell>
          <cell r="N8678" t="str">
            <v>NR</v>
          </cell>
          <cell r="O8678" t="str">
            <v>NR</v>
          </cell>
        </row>
        <row r="8679">
          <cell r="E8679" t="str">
            <v>HPER</v>
          </cell>
          <cell r="F8679" t="str">
            <v>HPER-O</v>
          </cell>
          <cell r="G8679">
            <v>110</v>
          </cell>
          <cell r="H8679" t="str">
            <v>HPER-O110</v>
          </cell>
          <cell r="K8679" t="str">
            <v>Smucker,Dustin E</v>
          </cell>
          <cell r="N8679" t="str">
            <v>NR</v>
          </cell>
          <cell r="O8679" t="str">
            <v>NR</v>
          </cell>
        </row>
        <row r="8680">
          <cell r="E8680" t="str">
            <v>HPER</v>
          </cell>
          <cell r="F8680" t="str">
            <v>HPER-O</v>
          </cell>
          <cell r="G8680">
            <v>111</v>
          </cell>
          <cell r="H8680" t="str">
            <v>HPER-O111</v>
          </cell>
          <cell r="K8680" t="str">
            <v>Smucker,Dustin E</v>
          </cell>
          <cell r="N8680">
            <v>3.5630000000000002</v>
          </cell>
          <cell r="O8680">
            <v>3.3849999999999998</v>
          </cell>
        </row>
        <row r="8681">
          <cell r="E8681" t="str">
            <v>HPER</v>
          </cell>
          <cell r="F8681" t="str">
            <v>HPER-O</v>
          </cell>
          <cell r="G8681">
            <v>112</v>
          </cell>
          <cell r="H8681" t="str">
            <v>HPER-O112</v>
          </cell>
          <cell r="K8681" t="str">
            <v>Smucker,Dustin E</v>
          </cell>
          <cell r="N8681">
            <v>3.9</v>
          </cell>
          <cell r="O8681">
            <v>3.1629999999999998</v>
          </cell>
        </row>
        <row r="8682">
          <cell r="E8682" t="str">
            <v>HPER</v>
          </cell>
          <cell r="F8682" t="str">
            <v>HPER-O</v>
          </cell>
          <cell r="G8682">
            <v>113</v>
          </cell>
          <cell r="H8682" t="str">
            <v>HPER-O113</v>
          </cell>
          <cell r="K8682" t="str">
            <v>Smucker,Dustin E</v>
          </cell>
          <cell r="N8682">
            <v>3.7879999999999998</v>
          </cell>
          <cell r="O8682">
            <v>3.0219999999999998</v>
          </cell>
        </row>
        <row r="8683">
          <cell r="E8683" t="str">
            <v>HPER</v>
          </cell>
          <cell r="F8683" t="str">
            <v>HPER-O</v>
          </cell>
          <cell r="G8683">
            <v>113</v>
          </cell>
          <cell r="H8683" t="str">
            <v>HPER-O113</v>
          </cell>
          <cell r="K8683" t="str">
            <v>Smucker,Dustin E</v>
          </cell>
          <cell r="N8683">
            <v>3.5179999999999998</v>
          </cell>
          <cell r="O8683">
            <v>3.0259999999999998</v>
          </cell>
        </row>
        <row r="8684">
          <cell r="E8684" t="str">
            <v>HPER</v>
          </cell>
          <cell r="F8684" t="str">
            <v>HPER-O</v>
          </cell>
          <cell r="G8684">
            <v>113</v>
          </cell>
          <cell r="H8684" t="str">
            <v>HPER-O113</v>
          </cell>
          <cell r="K8684" t="str">
            <v>Smucker,Dustin E</v>
          </cell>
          <cell r="N8684">
            <v>3.746</v>
          </cell>
          <cell r="O8684">
            <v>3.169</v>
          </cell>
        </row>
        <row r="8685">
          <cell r="E8685" t="str">
            <v>HPER</v>
          </cell>
          <cell r="F8685" t="str">
            <v>HPER-O</v>
          </cell>
          <cell r="G8685">
            <v>113</v>
          </cell>
          <cell r="H8685" t="str">
            <v>HPER-O113</v>
          </cell>
          <cell r="K8685" t="str">
            <v>Smucker,Dustin E</v>
          </cell>
          <cell r="N8685">
            <v>3.6669999999999998</v>
          </cell>
          <cell r="O8685">
            <v>3.1349999999999998</v>
          </cell>
        </row>
        <row r="8686">
          <cell r="E8686" t="str">
            <v>HPER</v>
          </cell>
          <cell r="F8686" t="str">
            <v>HPER-O</v>
          </cell>
          <cell r="G8686">
            <v>113</v>
          </cell>
          <cell r="H8686" t="str">
            <v>HPER-O113</v>
          </cell>
          <cell r="K8686" t="str">
            <v>Smucker,Dustin E</v>
          </cell>
          <cell r="N8686">
            <v>2.77</v>
          </cell>
          <cell r="O8686">
            <v>3.3340000000000001</v>
          </cell>
        </row>
        <row r="8687">
          <cell r="E8687" t="str">
            <v>HPER</v>
          </cell>
          <cell r="F8687" t="str">
            <v>HPER-O</v>
          </cell>
          <cell r="G8687">
            <v>113</v>
          </cell>
          <cell r="H8687" t="str">
            <v>HPER-O113</v>
          </cell>
          <cell r="K8687" t="str">
            <v>Smucker,Dustin E</v>
          </cell>
          <cell r="N8687">
            <v>4</v>
          </cell>
          <cell r="O8687">
            <v>3.2650000000000001</v>
          </cell>
        </row>
        <row r="8688">
          <cell r="E8688" t="str">
            <v>HPER</v>
          </cell>
          <cell r="F8688" t="str">
            <v>HPER-O</v>
          </cell>
          <cell r="G8688">
            <v>115</v>
          </cell>
          <cell r="H8688" t="str">
            <v>HPER-O115</v>
          </cell>
          <cell r="K8688" t="str">
            <v>Smucker,Dustin E</v>
          </cell>
          <cell r="N8688">
            <v>3.7549999999999999</v>
          </cell>
          <cell r="O8688">
            <v>3.18</v>
          </cell>
        </row>
        <row r="8689">
          <cell r="E8689" t="str">
            <v>HPER</v>
          </cell>
          <cell r="F8689" t="str">
            <v>HPER-O</v>
          </cell>
          <cell r="G8689">
            <v>115</v>
          </cell>
          <cell r="H8689" t="str">
            <v>HPER-O115</v>
          </cell>
          <cell r="K8689" t="str">
            <v>Smucker,Dustin E</v>
          </cell>
          <cell r="N8689">
            <v>4</v>
          </cell>
          <cell r="O8689">
            <v>3.3220000000000001</v>
          </cell>
        </row>
        <row r="8690">
          <cell r="E8690" t="str">
            <v>HPER</v>
          </cell>
          <cell r="F8690" t="str">
            <v>HPER-O</v>
          </cell>
          <cell r="G8690">
            <v>116</v>
          </cell>
          <cell r="H8690" t="str">
            <v>HPER-O116</v>
          </cell>
          <cell r="K8690" t="str">
            <v>Calvin,David Michael</v>
          </cell>
          <cell r="N8690">
            <v>3.4550000000000001</v>
          </cell>
          <cell r="O8690">
            <v>3.0750000000000002</v>
          </cell>
        </row>
        <row r="8691">
          <cell r="E8691" t="str">
            <v>HPER</v>
          </cell>
          <cell r="F8691" t="str">
            <v>HPER-O</v>
          </cell>
          <cell r="G8691">
            <v>116</v>
          </cell>
          <cell r="H8691" t="str">
            <v>HPER-O116</v>
          </cell>
          <cell r="K8691" t="str">
            <v>Calvin,David Michael</v>
          </cell>
          <cell r="N8691">
            <v>3.508</v>
          </cell>
          <cell r="O8691">
            <v>3.0209999999999999</v>
          </cell>
        </row>
        <row r="8692">
          <cell r="E8692" t="str">
            <v>HPER</v>
          </cell>
          <cell r="F8692" t="str">
            <v>HPER-O</v>
          </cell>
          <cell r="G8692">
            <v>116</v>
          </cell>
          <cell r="H8692" t="str">
            <v>HPER-O116</v>
          </cell>
          <cell r="K8692" t="str">
            <v>Smucker,Dustin E</v>
          </cell>
          <cell r="N8692">
            <v>3.8039999999999998</v>
          </cell>
          <cell r="O8692">
            <v>3.4359999999999999</v>
          </cell>
        </row>
        <row r="8693">
          <cell r="E8693" t="str">
            <v>HPER</v>
          </cell>
          <cell r="F8693" t="str">
            <v>HPER-O</v>
          </cell>
          <cell r="G8693">
            <v>116</v>
          </cell>
          <cell r="H8693" t="str">
            <v>HPER-O116</v>
          </cell>
          <cell r="K8693" t="str">
            <v>Smucker,Dustin E</v>
          </cell>
          <cell r="N8693">
            <v>2.8620000000000001</v>
          </cell>
          <cell r="O8693">
            <v>2.9260000000000002</v>
          </cell>
        </row>
        <row r="8694">
          <cell r="E8694" t="str">
            <v>HPER</v>
          </cell>
          <cell r="F8694" t="str">
            <v>HPER-O</v>
          </cell>
          <cell r="G8694">
            <v>120</v>
          </cell>
          <cell r="H8694" t="str">
            <v>HPER-O120</v>
          </cell>
          <cell r="K8694" t="str">
            <v>Smucker,Dustin E</v>
          </cell>
          <cell r="N8694">
            <v>3.5</v>
          </cell>
          <cell r="O8694">
            <v>2.7810000000000001</v>
          </cell>
        </row>
        <row r="8695">
          <cell r="E8695" t="str">
            <v>HPER</v>
          </cell>
          <cell r="F8695" t="str">
            <v>HPER-O</v>
          </cell>
          <cell r="G8695">
            <v>121</v>
          </cell>
          <cell r="H8695" t="str">
            <v>HPER-O121</v>
          </cell>
          <cell r="K8695" t="str">
            <v>Smucker,Dustin E</v>
          </cell>
          <cell r="N8695">
            <v>3.6749999999999998</v>
          </cell>
          <cell r="O8695">
            <v>2.8879999999999999</v>
          </cell>
        </row>
        <row r="8696">
          <cell r="E8696" t="str">
            <v>HPER</v>
          </cell>
          <cell r="F8696" t="str">
            <v>HPER-O</v>
          </cell>
          <cell r="G8696">
            <v>122</v>
          </cell>
          <cell r="H8696" t="str">
            <v>HPER-O122</v>
          </cell>
          <cell r="K8696" t="str">
            <v>Smucker,Dustin E</v>
          </cell>
          <cell r="N8696">
            <v>3.5390000000000001</v>
          </cell>
          <cell r="O8696">
            <v>3.2589999999999999</v>
          </cell>
        </row>
        <row r="8697">
          <cell r="E8697" t="str">
            <v>HPER</v>
          </cell>
          <cell r="F8697" t="str">
            <v>HPER-O</v>
          </cell>
          <cell r="G8697">
            <v>129</v>
          </cell>
          <cell r="H8697" t="str">
            <v>HPER-O129</v>
          </cell>
          <cell r="K8697" t="str">
            <v>Smucker,Dustin E</v>
          </cell>
          <cell r="N8697">
            <v>3.9220000000000002</v>
          </cell>
          <cell r="O8697">
            <v>3.3119999999999998</v>
          </cell>
        </row>
        <row r="8698">
          <cell r="E8698" t="str">
            <v>HPER</v>
          </cell>
          <cell r="F8698" t="str">
            <v>HPER-O</v>
          </cell>
          <cell r="G8698">
            <v>129</v>
          </cell>
          <cell r="H8698" t="str">
            <v>HPER-O129</v>
          </cell>
          <cell r="K8698" t="str">
            <v>Smucker,Dustin E</v>
          </cell>
          <cell r="N8698">
            <v>3.9670000000000001</v>
          </cell>
          <cell r="O8698">
            <v>3.2269999999999999</v>
          </cell>
        </row>
        <row r="8699">
          <cell r="E8699" t="str">
            <v>HPER</v>
          </cell>
          <cell r="F8699" t="str">
            <v>HPER-O</v>
          </cell>
          <cell r="G8699">
            <v>133</v>
          </cell>
          <cell r="H8699" t="str">
            <v>HPER-O133</v>
          </cell>
          <cell r="K8699" t="str">
            <v>Smucker,Dustin E</v>
          </cell>
          <cell r="N8699">
            <v>3.1819999999999999</v>
          </cell>
          <cell r="O8699">
            <v>3.2850000000000001</v>
          </cell>
        </row>
        <row r="8700">
          <cell r="E8700" t="str">
            <v>HPER</v>
          </cell>
          <cell r="F8700" t="str">
            <v>HPER-O</v>
          </cell>
          <cell r="G8700">
            <v>133</v>
          </cell>
          <cell r="H8700" t="str">
            <v>HPER-O133</v>
          </cell>
          <cell r="K8700" t="str">
            <v>Smucker,Dustin E</v>
          </cell>
          <cell r="N8700">
            <v>3.1629999999999998</v>
          </cell>
          <cell r="O8700">
            <v>2.794</v>
          </cell>
        </row>
        <row r="8701">
          <cell r="E8701" t="str">
            <v>HPER</v>
          </cell>
          <cell r="F8701" t="str">
            <v>HPER-O</v>
          </cell>
          <cell r="G8701">
            <v>134</v>
          </cell>
          <cell r="H8701" t="str">
            <v>HPER-O134</v>
          </cell>
          <cell r="K8701" t="str">
            <v>Smucker,Dustin E</v>
          </cell>
          <cell r="N8701">
            <v>3.9380000000000002</v>
          </cell>
          <cell r="O8701">
            <v>3.3620000000000001</v>
          </cell>
        </row>
        <row r="8702">
          <cell r="E8702" t="str">
            <v>HPER</v>
          </cell>
          <cell r="F8702" t="str">
            <v>HPER-O</v>
          </cell>
          <cell r="G8702">
            <v>134</v>
          </cell>
          <cell r="H8702" t="str">
            <v>HPER-O134</v>
          </cell>
          <cell r="K8702" t="str">
            <v>Smucker,Dustin E</v>
          </cell>
          <cell r="N8702">
            <v>4</v>
          </cell>
          <cell r="O8702">
            <v>3.39</v>
          </cell>
        </row>
        <row r="8703">
          <cell r="E8703" t="str">
            <v>HPER</v>
          </cell>
          <cell r="F8703" t="str">
            <v>HPER-O</v>
          </cell>
          <cell r="G8703">
            <v>134</v>
          </cell>
          <cell r="H8703" t="str">
            <v>HPER-O134</v>
          </cell>
          <cell r="K8703" t="str">
            <v>Smucker,Dustin E</v>
          </cell>
          <cell r="N8703">
            <v>3.9790000000000001</v>
          </cell>
          <cell r="O8703">
            <v>3.4089999999999998</v>
          </cell>
        </row>
        <row r="8704">
          <cell r="E8704" t="str">
            <v>HPER</v>
          </cell>
          <cell r="F8704" t="str">
            <v>HPER-O</v>
          </cell>
          <cell r="G8704">
            <v>134</v>
          </cell>
          <cell r="H8704" t="str">
            <v>HPER-O134</v>
          </cell>
          <cell r="K8704" t="str">
            <v>Smucker,Dustin E</v>
          </cell>
          <cell r="N8704">
            <v>3.7210000000000001</v>
          </cell>
          <cell r="O8704">
            <v>3.4449999999999998</v>
          </cell>
        </row>
        <row r="8705">
          <cell r="E8705" t="str">
            <v>HPER</v>
          </cell>
          <cell r="F8705" t="str">
            <v>HPER-O</v>
          </cell>
          <cell r="G8705">
            <v>134</v>
          </cell>
          <cell r="H8705" t="str">
            <v>HPER-O134</v>
          </cell>
          <cell r="K8705" t="str">
            <v>Smucker,Dustin E</v>
          </cell>
          <cell r="N8705">
            <v>4</v>
          </cell>
          <cell r="O8705">
            <v>3.597</v>
          </cell>
        </row>
        <row r="8706">
          <cell r="E8706" t="str">
            <v>HPER</v>
          </cell>
          <cell r="F8706" t="str">
            <v>HPER-O</v>
          </cell>
          <cell r="G8706">
            <v>134</v>
          </cell>
          <cell r="H8706" t="str">
            <v>HPER-O134</v>
          </cell>
          <cell r="K8706" t="str">
            <v>Smucker,Dustin E</v>
          </cell>
          <cell r="N8706">
            <v>3.44</v>
          </cell>
          <cell r="O8706">
            <v>3.214</v>
          </cell>
        </row>
        <row r="8707">
          <cell r="E8707" t="str">
            <v>HPER</v>
          </cell>
          <cell r="F8707" t="str">
            <v>HPER-O</v>
          </cell>
          <cell r="G8707">
            <v>135</v>
          </cell>
          <cell r="H8707" t="str">
            <v>HPER-O135</v>
          </cell>
          <cell r="K8707" t="str">
            <v>Smucker,Dustin E</v>
          </cell>
          <cell r="N8707">
            <v>3.8180000000000001</v>
          </cell>
          <cell r="O8707">
            <v>3.286</v>
          </cell>
        </row>
        <row r="8708">
          <cell r="E8708" t="str">
            <v>HPER</v>
          </cell>
          <cell r="F8708" t="str">
            <v>HPER-O</v>
          </cell>
          <cell r="G8708">
            <v>136</v>
          </cell>
          <cell r="H8708" t="str">
            <v>HPER-O136</v>
          </cell>
          <cell r="K8708" t="str">
            <v>Smucker,Dustin E</v>
          </cell>
          <cell r="N8708" t="str">
            <v>NR</v>
          </cell>
          <cell r="O8708" t="str">
            <v>NR</v>
          </cell>
        </row>
        <row r="8709">
          <cell r="E8709" t="str">
            <v>HPER</v>
          </cell>
          <cell r="F8709" t="str">
            <v>HPER-O</v>
          </cell>
          <cell r="G8709">
            <v>136</v>
          </cell>
          <cell r="H8709" t="str">
            <v>HPER-O136</v>
          </cell>
          <cell r="K8709" t="str">
            <v>Smucker,Dustin E</v>
          </cell>
          <cell r="N8709">
            <v>3.9569999999999999</v>
          </cell>
          <cell r="O8709">
            <v>3.3330000000000002</v>
          </cell>
        </row>
        <row r="8710">
          <cell r="E8710" t="str">
            <v>HPER</v>
          </cell>
          <cell r="F8710" t="str">
            <v>HPER-O</v>
          </cell>
          <cell r="G8710">
            <v>138</v>
          </cell>
          <cell r="H8710" t="str">
            <v>HPER-O138</v>
          </cell>
          <cell r="K8710" t="str">
            <v>Smucker,Dustin E</v>
          </cell>
          <cell r="N8710">
            <v>4</v>
          </cell>
          <cell r="O8710">
            <v>3.3849999999999998</v>
          </cell>
        </row>
        <row r="8711">
          <cell r="E8711" t="str">
            <v>HPER</v>
          </cell>
          <cell r="F8711" t="str">
            <v>HPER-O</v>
          </cell>
          <cell r="G8711">
            <v>139</v>
          </cell>
          <cell r="H8711" t="str">
            <v>HPER-O139</v>
          </cell>
          <cell r="K8711" t="str">
            <v>Smucker,Dustin E</v>
          </cell>
          <cell r="N8711">
            <v>3.8330000000000002</v>
          </cell>
          <cell r="O8711">
            <v>3.4129999999999998</v>
          </cell>
        </row>
        <row r="8712">
          <cell r="E8712" t="str">
            <v>HPER</v>
          </cell>
          <cell r="F8712" t="str">
            <v>HPER-O</v>
          </cell>
          <cell r="G8712">
            <v>140</v>
          </cell>
          <cell r="H8712" t="str">
            <v>HPER-O140</v>
          </cell>
          <cell r="K8712" t="str">
            <v>Smucker,Dustin E</v>
          </cell>
          <cell r="N8712">
            <v>3.8849999999999998</v>
          </cell>
          <cell r="O8712">
            <v>3.0550000000000002</v>
          </cell>
        </row>
        <row r="8713">
          <cell r="E8713" t="str">
            <v>HPER</v>
          </cell>
          <cell r="F8713" t="str">
            <v>HPER-O</v>
          </cell>
          <cell r="G8713">
            <v>143</v>
          </cell>
          <cell r="H8713" t="str">
            <v>HPER-O143</v>
          </cell>
          <cell r="K8713" t="str">
            <v>Smucker,Dustin E</v>
          </cell>
          <cell r="N8713">
            <v>3.9</v>
          </cell>
          <cell r="O8713">
            <v>3.4860000000000002</v>
          </cell>
        </row>
        <row r="8714">
          <cell r="E8714" t="str">
            <v>HPER</v>
          </cell>
          <cell r="F8714" t="str">
            <v>HPER-O</v>
          </cell>
          <cell r="G8714">
            <v>143</v>
          </cell>
          <cell r="H8714" t="str">
            <v>HPER-O143</v>
          </cell>
          <cell r="K8714" t="str">
            <v>Smucker,Dustin E</v>
          </cell>
          <cell r="N8714">
            <v>3.9</v>
          </cell>
          <cell r="O8714">
            <v>3.169</v>
          </cell>
        </row>
        <row r="8715">
          <cell r="E8715" t="str">
            <v>HPER</v>
          </cell>
          <cell r="F8715" t="str">
            <v>HPER-O</v>
          </cell>
          <cell r="G8715">
            <v>144</v>
          </cell>
          <cell r="H8715" t="str">
            <v>HPER-O144</v>
          </cell>
          <cell r="K8715" t="str">
            <v>Smucker,Dustin E</v>
          </cell>
          <cell r="N8715">
            <v>3.9630000000000001</v>
          </cell>
          <cell r="O8715">
            <v>3.5459999999999998</v>
          </cell>
        </row>
        <row r="8716">
          <cell r="E8716" t="str">
            <v>HPER</v>
          </cell>
          <cell r="F8716" t="str">
            <v>HPER-O</v>
          </cell>
          <cell r="G8716">
            <v>144</v>
          </cell>
          <cell r="H8716" t="str">
            <v>HPER-O144</v>
          </cell>
          <cell r="K8716" t="str">
            <v>Smucker,Dustin E</v>
          </cell>
          <cell r="N8716">
            <v>3.93</v>
          </cell>
          <cell r="O8716">
            <v>3.5760000000000001</v>
          </cell>
        </row>
        <row r="8717">
          <cell r="E8717" t="str">
            <v>HPER</v>
          </cell>
          <cell r="F8717" t="str">
            <v>HPER-O</v>
          </cell>
          <cell r="G8717">
            <v>144</v>
          </cell>
          <cell r="H8717" t="str">
            <v>HPER-O144</v>
          </cell>
          <cell r="K8717" t="str">
            <v>Smucker,Dustin E</v>
          </cell>
          <cell r="N8717">
            <v>3.9769999999999999</v>
          </cell>
          <cell r="O8717">
            <v>3.3860000000000001</v>
          </cell>
        </row>
        <row r="8718">
          <cell r="E8718" t="str">
            <v>HPER</v>
          </cell>
          <cell r="F8718" t="str">
            <v>HPER-O</v>
          </cell>
          <cell r="G8718">
            <v>144</v>
          </cell>
          <cell r="H8718" t="str">
            <v>HPER-O144</v>
          </cell>
          <cell r="K8718" t="str">
            <v>Smucker,Dustin E</v>
          </cell>
          <cell r="N8718">
            <v>2.9359999999999999</v>
          </cell>
          <cell r="O8718">
            <v>2.7970000000000002</v>
          </cell>
        </row>
        <row r="8719">
          <cell r="E8719" t="str">
            <v>HPER</v>
          </cell>
          <cell r="F8719" t="str">
            <v>HPER-O</v>
          </cell>
          <cell r="G8719">
            <v>145</v>
          </cell>
          <cell r="H8719" t="str">
            <v>HPER-O145</v>
          </cell>
          <cell r="K8719" t="str">
            <v>Smucker,Dustin E</v>
          </cell>
          <cell r="N8719">
            <v>3.7</v>
          </cell>
          <cell r="O8719">
            <v>3.089</v>
          </cell>
        </row>
        <row r="8720">
          <cell r="E8720" t="str">
            <v>HPER</v>
          </cell>
          <cell r="F8720" t="str">
            <v>HPER-O</v>
          </cell>
          <cell r="G8720">
            <v>145</v>
          </cell>
          <cell r="H8720" t="str">
            <v>HPER-O145</v>
          </cell>
          <cell r="K8720" t="str">
            <v>Smucker,Dustin E</v>
          </cell>
          <cell r="N8720">
            <v>4</v>
          </cell>
          <cell r="O8720">
            <v>3.3530000000000002</v>
          </cell>
        </row>
        <row r="8721">
          <cell r="E8721" t="str">
            <v>HPER</v>
          </cell>
          <cell r="F8721" t="str">
            <v>HPER-O</v>
          </cell>
          <cell r="G8721">
            <v>147</v>
          </cell>
          <cell r="H8721" t="str">
            <v>HPER-O147</v>
          </cell>
          <cell r="K8721" t="str">
            <v>Smucker,Dustin E</v>
          </cell>
          <cell r="N8721">
            <v>4</v>
          </cell>
          <cell r="O8721">
            <v>3.3010000000000002</v>
          </cell>
        </row>
        <row r="8722">
          <cell r="E8722" t="str">
            <v>HPER</v>
          </cell>
          <cell r="F8722" t="str">
            <v>HPER-O</v>
          </cell>
          <cell r="G8722">
            <v>147</v>
          </cell>
          <cell r="H8722" t="str">
            <v>HPER-O147</v>
          </cell>
          <cell r="K8722" t="str">
            <v>Smucker,Dustin E</v>
          </cell>
          <cell r="N8722">
            <v>3.9649999999999999</v>
          </cell>
          <cell r="O8722">
            <v>3.4489999999999998</v>
          </cell>
        </row>
        <row r="8723">
          <cell r="E8723" t="str">
            <v>HPER</v>
          </cell>
          <cell r="F8723" t="str">
            <v>HPER-O</v>
          </cell>
          <cell r="G8723">
            <v>147</v>
          </cell>
          <cell r="H8723" t="str">
            <v>HPER-O147</v>
          </cell>
          <cell r="K8723" t="str">
            <v>Smucker,Dustin E</v>
          </cell>
          <cell r="N8723">
            <v>4</v>
          </cell>
          <cell r="O8723">
            <v>3.3450000000000002</v>
          </cell>
        </row>
        <row r="8724">
          <cell r="E8724" t="str">
            <v>HPER</v>
          </cell>
          <cell r="F8724" t="str">
            <v>HPER-O</v>
          </cell>
          <cell r="G8724">
            <v>147</v>
          </cell>
          <cell r="H8724" t="str">
            <v>HPER-O147</v>
          </cell>
          <cell r="K8724" t="str">
            <v>Smucker,Dustin E</v>
          </cell>
          <cell r="N8724">
            <v>3.9359999999999999</v>
          </cell>
          <cell r="O8724">
            <v>3.302</v>
          </cell>
        </row>
        <row r="8725">
          <cell r="E8725" t="str">
            <v>HPER</v>
          </cell>
          <cell r="F8725" t="str">
            <v>HPER-O</v>
          </cell>
          <cell r="G8725">
            <v>147</v>
          </cell>
          <cell r="H8725" t="str">
            <v>HPER-O147</v>
          </cell>
          <cell r="K8725" t="str">
            <v>Smucker,Dustin E</v>
          </cell>
          <cell r="N8725">
            <v>3.9609999999999999</v>
          </cell>
          <cell r="O8725">
            <v>3.403</v>
          </cell>
        </row>
        <row r="8726">
          <cell r="E8726" t="str">
            <v>HPER</v>
          </cell>
          <cell r="F8726" t="str">
            <v>HPER-O</v>
          </cell>
          <cell r="G8726">
            <v>147</v>
          </cell>
          <cell r="H8726" t="str">
            <v>HPER-O147</v>
          </cell>
          <cell r="K8726" t="str">
            <v>Smucker,Dustin E</v>
          </cell>
          <cell r="N8726">
            <v>3.3170000000000002</v>
          </cell>
          <cell r="O8726">
            <v>3.07</v>
          </cell>
        </row>
        <row r="8727">
          <cell r="E8727" t="str">
            <v>HPER</v>
          </cell>
          <cell r="F8727" t="str">
            <v>HPER-O</v>
          </cell>
          <cell r="G8727">
            <v>147</v>
          </cell>
          <cell r="H8727" t="str">
            <v>HPER-O147</v>
          </cell>
          <cell r="K8727" t="str">
            <v>Smucker,Dustin E</v>
          </cell>
          <cell r="N8727">
            <v>3.7850000000000001</v>
          </cell>
          <cell r="O8727">
            <v>3.0230000000000001</v>
          </cell>
        </row>
        <row r="8728">
          <cell r="E8728" t="str">
            <v>HPER</v>
          </cell>
          <cell r="F8728" t="str">
            <v>HPER-O</v>
          </cell>
          <cell r="G8728">
            <v>147</v>
          </cell>
          <cell r="H8728" t="str">
            <v>HPER-O147</v>
          </cell>
          <cell r="K8728" t="str">
            <v>Smucker,Dustin E</v>
          </cell>
          <cell r="N8728">
            <v>3.45</v>
          </cell>
          <cell r="O8728">
            <v>2.5960000000000001</v>
          </cell>
        </row>
        <row r="8729">
          <cell r="E8729" t="str">
            <v>HPER</v>
          </cell>
          <cell r="F8729" t="str">
            <v>HPER-O</v>
          </cell>
          <cell r="G8729">
            <v>147</v>
          </cell>
          <cell r="H8729" t="str">
            <v>HPER-O147</v>
          </cell>
          <cell r="K8729" t="str">
            <v>Smucker,Dustin E</v>
          </cell>
          <cell r="N8729">
            <v>3.722</v>
          </cell>
          <cell r="O8729">
            <v>3.0939999999999999</v>
          </cell>
        </row>
        <row r="8730">
          <cell r="E8730" t="str">
            <v>HPER</v>
          </cell>
          <cell r="F8730" t="str">
            <v>HPER-O</v>
          </cell>
          <cell r="G8730">
            <v>147</v>
          </cell>
          <cell r="H8730" t="str">
            <v>HPER-O147</v>
          </cell>
          <cell r="K8730" t="str">
            <v>Smucker,Dustin E</v>
          </cell>
          <cell r="N8730">
            <v>3.91</v>
          </cell>
          <cell r="O8730">
            <v>3.2970000000000002</v>
          </cell>
        </row>
        <row r="8731">
          <cell r="E8731" t="str">
            <v>HPER</v>
          </cell>
          <cell r="F8731" t="str">
            <v>HPER-O</v>
          </cell>
          <cell r="G8731">
            <v>147</v>
          </cell>
          <cell r="H8731" t="str">
            <v>HPER-O147</v>
          </cell>
          <cell r="K8731" t="str">
            <v>Smucker,Dustin E</v>
          </cell>
          <cell r="N8731">
            <v>3.3130000000000002</v>
          </cell>
          <cell r="O8731">
            <v>2.4430000000000001</v>
          </cell>
        </row>
        <row r="8732">
          <cell r="E8732" t="str">
            <v>HPER</v>
          </cell>
          <cell r="F8732" t="str">
            <v>HPER-O</v>
          </cell>
          <cell r="G8732">
            <v>147</v>
          </cell>
          <cell r="H8732" t="str">
            <v>HPER-O147</v>
          </cell>
          <cell r="K8732" t="str">
            <v>Smucker,Dustin E</v>
          </cell>
          <cell r="N8732">
            <v>3.7109999999999999</v>
          </cell>
          <cell r="O8732">
            <v>2.8620000000000001</v>
          </cell>
        </row>
        <row r="8733">
          <cell r="E8733" t="str">
            <v>HPER</v>
          </cell>
          <cell r="F8733" t="str">
            <v>HPER-O</v>
          </cell>
          <cell r="G8733">
            <v>147</v>
          </cell>
          <cell r="H8733" t="str">
            <v>HPER-O147</v>
          </cell>
          <cell r="K8733" t="str">
            <v>Smucker,Dustin E</v>
          </cell>
          <cell r="N8733">
            <v>3.5619999999999998</v>
          </cell>
          <cell r="O8733">
            <v>3.0990000000000002</v>
          </cell>
        </row>
        <row r="8734">
          <cell r="E8734" t="str">
            <v>HPER</v>
          </cell>
          <cell r="F8734" t="str">
            <v>HPER-O</v>
          </cell>
          <cell r="G8734">
            <v>147</v>
          </cell>
          <cell r="H8734" t="str">
            <v>HPER-O147</v>
          </cell>
          <cell r="K8734" t="str">
            <v>Smucker,Dustin E</v>
          </cell>
          <cell r="N8734">
            <v>4</v>
          </cell>
          <cell r="O8734">
            <v>3.25</v>
          </cell>
        </row>
        <row r="8735">
          <cell r="E8735" t="str">
            <v>HPER</v>
          </cell>
          <cell r="F8735" t="str">
            <v>HPER-O</v>
          </cell>
          <cell r="G8735">
            <v>147</v>
          </cell>
          <cell r="H8735" t="str">
            <v>HPER-O147</v>
          </cell>
          <cell r="K8735" t="str">
            <v>Smucker,Dustin E</v>
          </cell>
          <cell r="N8735">
            <v>3.3940000000000001</v>
          </cell>
          <cell r="O8735">
            <v>2.9089999999999998</v>
          </cell>
        </row>
        <row r="8736">
          <cell r="E8736" t="str">
            <v>HPER</v>
          </cell>
          <cell r="F8736" t="str">
            <v>HPER-O</v>
          </cell>
          <cell r="G8736">
            <v>147</v>
          </cell>
          <cell r="H8736" t="str">
            <v>HPER-O147</v>
          </cell>
          <cell r="K8736" t="str">
            <v>Smucker,Dustin E</v>
          </cell>
          <cell r="N8736">
            <v>4</v>
          </cell>
          <cell r="O8736">
            <v>3.6379999999999999</v>
          </cell>
        </row>
        <row r="8737">
          <cell r="E8737" t="str">
            <v>HPER</v>
          </cell>
          <cell r="F8737" t="str">
            <v>HPER-O</v>
          </cell>
          <cell r="G8737">
            <v>147</v>
          </cell>
          <cell r="H8737" t="str">
            <v>HPER-O147</v>
          </cell>
          <cell r="K8737" t="str">
            <v>Smucker,Dustin E</v>
          </cell>
          <cell r="N8737">
            <v>4</v>
          </cell>
          <cell r="O8737">
            <v>3.448</v>
          </cell>
        </row>
        <row r="8738">
          <cell r="E8738" t="str">
            <v>HPER</v>
          </cell>
          <cell r="F8738" t="str">
            <v>HPER-O</v>
          </cell>
          <cell r="G8738">
            <v>147</v>
          </cell>
          <cell r="H8738" t="str">
            <v>HPER-O147</v>
          </cell>
          <cell r="K8738" t="str">
            <v>Smucker,Dustin E</v>
          </cell>
          <cell r="N8738">
            <v>3.8650000000000002</v>
          </cell>
          <cell r="O8738">
            <v>3.2210000000000001</v>
          </cell>
        </row>
        <row r="8739">
          <cell r="E8739" t="str">
            <v>HPER</v>
          </cell>
          <cell r="F8739" t="str">
            <v>HPER-O</v>
          </cell>
          <cell r="G8739">
            <v>147</v>
          </cell>
          <cell r="H8739" t="str">
            <v>HPER-O147</v>
          </cell>
          <cell r="K8739" t="str">
            <v>Smucker,Dustin E</v>
          </cell>
          <cell r="N8739">
            <v>3.8109999999999999</v>
          </cell>
          <cell r="O8739">
            <v>3.1469999999999998</v>
          </cell>
        </row>
        <row r="8740">
          <cell r="E8740" t="str">
            <v>HPER</v>
          </cell>
          <cell r="F8740" t="str">
            <v>HPER-O</v>
          </cell>
          <cell r="G8740">
            <v>147</v>
          </cell>
          <cell r="H8740" t="str">
            <v>HPER-O147</v>
          </cell>
          <cell r="K8740" t="str">
            <v>Smucker,Dustin E</v>
          </cell>
          <cell r="N8740">
            <v>3.875</v>
          </cell>
          <cell r="O8740">
            <v>3.0659999999999998</v>
          </cell>
        </row>
        <row r="8741">
          <cell r="E8741" t="str">
            <v>HPER</v>
          </cell>
          <cell r="F8741" t="str">
            <v>HPER-O</v>
          </cell>
          <cell r="G8741">
            <v>147</v>
          </cell>
          <cell r="H8741" t="str">
            <v>HPER-O147</v>
          </cell>
          <cell r="K8741" t="str">
            <v>Smucker,Dustin E</v>
          </cell>
          <cell r="N8741">
            <v>3.6930000000000001</v>
          </cell>
          <cell r="O8741">
            <v>3.133</v>
          </cell>
        </row>
        <row r="8742">
          <cell r="E8742" t="str">
            <v>HPER</v>
          </cell>
          <cell r="F8742" t="str">
            <v>HPER-O</v>
          </cell>
          <cell r="G8742">
            <v>147</v>
          </cell>
          <cell r="H8742" t="str">
            <v>HPER-O147</v>
          </cell>
          <cell r="K8742" t="str">
            <v>Smucker,Dustin E</v>
          </cell>
          <cell r="N8742">
            <v>4</v>
          </cell>
          <cell r="O8742">
            <v>3.1709999999999998</v>
          </cell>
        </row>
        <row r="8743">
          <cell r="E8743" t="str">
            <v>HPER</v>
          </cell>
          <cell r="F8743" t="str">
            <v>HPER-O</v>
          </cell>
          <cell r="G8743">
            <v>147</v>
          </cell>
          <cell r="H8743" t="str">
            <v>HPER-O147</v>
          </cell>
          <cell r="K8743" t="str">
            <v>Smucker,Dustin E</v>
          </cell>
          <cell r="N8743">
            <v>3.65</v>
          </cell>
          <cell r="O8743">
            <v>2.8580000000000001</v>
          </cell>
        </row>
        <row r="8744">
          <cell r="E8744" t="str">
            <v>HPER</v>
          </cell>
          <cell r="F8744" t="str">
            <v>HPER-O</v>
          </cell>
          <cell r="G8744">
            <v>147</v>
          </cell>
          <cell r="H8744" t="str">
            <v>HPER-O147</v>
          </cell>
          <cell r="K8744" t="str">
            <v>Smucker,Dustin E</v>
          </cell>
          <cell r="N8744">
            <v>3.9380000000000002</v>
          </cell>
          <cell r="O8744">
            <v>2.867</v>
          </cell>
        </row>
        <row r="8745">
          <cell r="E8745" t="str">
            <v>HPER</v>
          </cell>
          <cell r="F8745" t="str">
            <v>HPER-O</v>
          </cell>
          <cell r="G8745">
            <v>147</v>
          </cell>
          <cell r="H8745" t="str">
            <v>HPER-O147</v>
          </cell>
          <cell r="K8745" t="str">
            <v>Smucker,Dustin E</v>
          </cell>
          <cell r="N8745">
            <v>3.4670000000000001</v>
          </cell>
          <cell r="O8745">
            <v>3.012</v>
          </cell>
        </row>
        <row r="8746">
          <cell r="E8746" t="str">
            <v>HPER</v>
          </cell>
          <cell r="F8746" t="str">
            <v>HPER-O</v>
          </cell>
          <cell r="G8746">
            <v>147</v>
          </cell>
          <cell r="H8746" t="str">
            <v>HPER-O147</v>
          </cell>
          <cell r="K8746" t="str">
            <v>Smucker,Dustin E</v>
          </cell>
          <cell r="N8746">
            <v>3.8719999999999999</v>
          </cell>
          <cell r="O8746">
            <v>2.968</v>
          </cell>
        </row>
        <row r="8747">
          <cell r="E8747" t="str">
            <v>HPER</v>
          </cell>
          <cell r="F8747" t="str">
            <v>HPER-O</v>
          </cell>
          <cell r="G8747">
            <v>148</v>
          </cell>
          <cell r="H8747" t="str">
            <v>HPER-O148</v>
          </cell>
          <cell r="K8747" t="str">
            <v>Smucker,Dustin E</v>
          </cell>
          <cell r="N8747" t="str">
            <v>NR</v>
          </cell>
          <cell r="O8747" t="str">
            <v>NR</v>
          </cell>
        </row>
        <row r="8748">
          <cell r="E8748" t="str">
            <v>HPER</v>
          </cell>
          <cell r="F8748" t="str">
            <v>HPER-O</v>
          </cell>
          <cell r="G8748">
            <v>148</v>
          </cell>
          <cell r="H8748" t="str">
            <v>HPER-O148</v>
          </cell>
          <cell r="K8748" t="str">
            <v>Smucker,Dustin E</v>
          </cell>
          <cell r="N8748">
            <v>2.556</v>
          </cell>
          <cell r="O8748">
            <v>3.0230000000000001</v>
          </cell>
        </row>
        <row r="8749">
          <cell r="E8749" t="str">
            <v>HPER</v>
          </cell>
          <cell r="F8749" t="str">
            <v>HPER-O</v>
          </cell>
          <cell r="G8749">
            <v>148</v>
          </cell>
          <cell r="H8749" t="str">
            <v>HPER-O148</v>
          </cell>
          <cell r="K8749" t="str">
            <v>Smucker,Dustin E</v>
          </cell>
          <cell r="N8749" t="str">
            <v>NR</v>
          </cell>
          <cell r="O8749" t="str">
            <v>NR</v>
          </cell>
        </row>
        <row r="8750">
          <cell r="E8750" t="str">
            <v>HPER</v>
          </cell>
          <cell r="F8750" t="str">
            <v>HPER-O</v>
          </cell>
          <cell r="G8750">
            <v>148</v>
          </cell>
          <cell r="H8750" t="str">
            <v>HPER-O148</v>
          </cell>
          <cell r="K8750" t="str">
            <v>Smucker,Dustin E</v>
          </cell>
          <cell r="N8750">
            <v>4</v>
          </cell>
          <cell r="O8750">
            <v>3.1120000000000001</v>
          </cell>
        </row>
        <row r="8751">
          <cell r="E8751" t="str">
            <v>HPER</v>
          </cell>
          <cell r="F8751" t="str">
            <v>HPER-O</v>
          </cell>
          <cell r="G8751">
            <v>148</v>
          </cell>
          <cell r="H8751" t="str">
            <v>HPER-O148</v>
          </cell>
          <cell r="K8751" t="str">
            <v>Smucker,Dustin E</v>
          </cell>
          <cell r="N8751" t="str">
            <v>NR</v>
          </cell>
          <cell r="O8751" t="str">
            <v>NR</v>
          </cell>
        </row>
        <row r="8752">
          <cell r="E8752" t="str">
            <v>HPER</v>
          </cell>
          <cell r="F8752" t="str">
            <v>HPER-O</v>
          </cell>
          <cell r="G8752">
            <v>148</v>
          </cell>
          <cell r="H8752" t="str">
            <v>HPER-O148</v>
          </cell>
          <cell r="K8752" t="str">
            <v>Smucker,Dustin E</v>
          </cell>
          <cell r="N8752">
            <v>3.6920000000000002</v>
          </cell>
          <cell r="O8752">
            <v>3.34</v>
          </cell>
        </row>
        <row r="8753">
          <cell r="E8753" t="str">
            <v>HPER</v>
          </cell>
          <cell r="F8753" t="str">
            <v>HPER-O</v>
          </cell>
          <cell r="G8753">
            <v>148</v>
          </cell>
          <cell r="H8753" t="str">
            <v>HPER-O148</v>
          </cell>
          <cell r="K8753" t="str">
            <v>Smucker,Dustin E</v>
          </cell>
          <cell r="N8753">
            <v>4</v>
          </cell>
          <cell r="O8753">
            <v>3.0059999999999998</v>
          </cell>
        </row>
        <row r="8754">
          <cell r="E8754" t="str">
            <v>HPER</v>
          </cell>
          <cell r="F8754" t="str">
            <v>HPER-O</v>
          </cell>
          <cell r="G8754">
            <v>305</v>
          </cell>
          <cell r="H8754" t="str">
            <v>HPER-O305</v>
          </cell>
          <cell r="K8754" t="str">
            <v>Collins,Kimberly Anne</v>
          </cell>
          <cell r="N8754">
            <v>3.8919999999999999</v>
          </cell>
          <cell r="O8754">
            <v>3.4129999999999998</v>
          </cell>
        </row>
        <row r="8755">
          <cell r="E8755" t="str">
            <v>HPER</v>
          </cell>
          <cell r="F8755" t="str">
            <v>HPER-O</v>
          </cell>
          <cell r="G8755">
            <v>305</v>
          </cell>
          <cell r="H8755" t="str">
            <v>HPER-O305</v>
          </cell>
          <cell r="K8755" t="str">
            <v>Kivland,Tyler</v>
          </cell>
          <cell r="N8755">
            <v>3</v>
          </cell>
          <cell r="O8755">
            <v>2.9740000000000002</v>
          </cell>
        </row>
        <row r="8756">
          <cell r="E8756" t="str">
            <v>HPER</v>
          </cell>
          <cell r="F8756" t="str">
            <v>HPER-O</v>
          </cell>
          <cell r="G8756">
            <v>305</v>
          </cell>
          <cell r="H8756" t="str">
            <v>HPER-O305</v>
          </cell>
          <cell r="K8756" t="str">
            <v>Smucker,Dustin E</v>
          </cell>
          <cell r="N8756">
            <v>3.8170000000000002</v>
          </cell>
          <cell r="O8756">
            <v>3.3140000000000001</v>
          </cell>
        </row>
        <row r="8757">
          <cell r="E8757" t="str">
            <v>HPER</v>
          </cell>
          <cell r="F8757" t="str">
            <v>HPER-OS</v>
          </cell>
          <cell r="G8757">
            <v>100</v>
          </cell>
          <cell r="H8757" t="str">
            <v>HPER-OS100</v>
          </cell>
          <cell r="N8757" t="str">
            <v>NR</v>
          </cell>
          <cell r="O8757" t="str">
            <v>NR</v>
          </cell>
        </row>
        <row r="8758">
          <cell r="E8758" t="str">
            <v>HPER</v>
          </cell>
          <cell r="F8758" t="str">
            <v>HPER-OS</v>
          </cell>
          <cell r="G8758">
            <v>100</v>
          </cell>
          <cell r="H8758" t="str">
            <v>HPER-OS100</v>
          </cell>
          <cell r="N8758" t="str">
            <v>NR</v>
          </cell>
          <cell r="O8758" t="str">
            <v>NR</v>
          </cell>
        </row>
        <row r="8759">
          <cell r="E8759" t="str">
            <v>HPER</v>
          </cell>
          <cell r="F8759" t="str">
            <v>HPER-P</v>
          </cell>
          <cell r="G8759">
            <v>140</v>
          </cell>
          <cell r="H8759" t="str">
            <v>HPER-P140</v>
          </cell>
          <cell r="K8759" t="str">
            <v>Cothran,Donetta Jean</v>
          </cell>
          <cell r="N8759">
            <v>3.383</v>
          </cell>
          <cell r="O8759">
            <v>3.0390000000000001</v>
          </cell>
        </row>
        <row r="8760">
          <cell r="E8760" t="str">
            <v>HPER</v>
          </cell>
          <cell r="F8760" t="str">
            <v>HPER-P</v>
          </cell>
          <cell r="G8760">
            <v>140</v>
          </cell>
          <cell r="H8760" t="str">
            <v>HPER-P140</v>
          </cell>
          <cell r="K8760" t="str">
            <v>Huntoon,Ann Marie</v>
          </cell>
          <cell r="N8760">
            <v>3.25</v>
          </cell>
          <cell r="O8760">
            <v>2.681</v>
          </cell>
        </row>
        <row r="8761">
          <cell r="E8761" t="str">
            <v>HPER</v>
          </cell>
          <cell r="F8761" t="str">
            <v>HPER-P</v>
          </cell>
          <cell r="G8761">
            <v>141</v>
          </cell>
          <cell r="H8761" t="str">
            <v>HPER-P141</v>
          </cell>
          <cell r="K8761" t="str">
            <v>Aungst,Holly Christine</v>
          </cell>
          <cell r="N8761">
            <v>3.2</v>
          </cell>
          <cell r="O8761">
            <v>2.681</v>
          </cell>
        </row>
        <row r="8762">
          <cell r="E8762" t="str">
            <v>HPER</v>
          </cell>
          <cell r="F8762" t="str">
            <v>HPER-P</v>
          </cell>
          <cell r="G8762">
            <v>200</v>
          </cell>
          <cell r="H8762" t="str">
            <v>HPER-P200</v>
          </cell>
          <cell r="K8762" t="str">
            <v>Furman Jr,Lowell B</v>
          </cell>
          <cell r="N8762">
            <v>3.4710000000000001</v>
          </cell>
          <cell r="O8762">
            <v>2.9649999999999999</v>
          </cell>
        </row>
        <row r="8763">
          <cell r="E8763" t="str">
            <v>HPER</v>
          </cell>
          <cell r="F8763" t="str">
            <v>HPER-P</v>
          </cell>
          <cell r="G8763">
            <v>200</v>
          </cell>
          <cell r="H8763" t="str">
            <v>HPER-P200</v>
          </cell>
          <cell r="K8763" t="str">
            <v>Furman Jr,Lowell B</v>
          </cell>
          <cell r="N8763">
            <v>3.714</v>
          </cell>
          <cell r="O8763">
            <v>2.903</v>
          </cell>
        </row>
        <row r="8764">
          <cell r="E8764" t="str">
            <v>HPER</v>
          </cell>
          <cell r="F8764" t="str">
            <v>HPER-P</v>
          </cell>
          <cell r="G8764">
            <v>200</v>
          </cell>
          <cell r="H8764" t="str">
            <v>HPER-P200</v>
          </cell>
          <cell r="K8764" t="str">
            <v>Lion,Margaret Melanie</v>
          </cell>
          <cell r="N8764">
            <v>3.7229999999999999</v>
          </cell>
          <cell r="O8764">
            <v>3.1320000000000001</v>
          </cell>
        </row>
        <row r="8765">
          <cell r="E8765" t="str">
            <v>HPER</v>
          </cell>
          <cell r="F8765" t="str">
            <v>HPER-P</v>
          </cell>
          <cell r="G8765">
            <v>200</v>
          </cell>
          <cell r="H8765" t="str">
            <v>HPER-P200</v>
          </cell>
          <cell r="K8765" t="str">
            <v>Lion,Margaret Melanie</v>
          </cell>
          <cell r="N8765">
            <v>3.4780000000000002</v>
          </cell>
          <cell r="O8765">
            <v>3.085</v>
          </cell>
        </row>
        <row r="8766">
          <cell r="E8766" t="str">
            <v>HPER</v>
          </cell>
          <cell r="F8766" t="str">
            <v>HPER-P</v>
          </cell>
          <cell r="G8766">
            <v>200</v>
          </cell>
          <cell r="H8766" t="str">
            <v>HPER-P200</v>
          </cell>
          <cell r="K8766" t="str">
            <v>Lion,Margaret Melanie</v>
          </cell>
          <cell r="N8766">
            <v>3.8039999999999998</v>
          </cell>
          <cell r="O8766">
            <v>3.1059999999999999</v>
          </cell>
        </row>
        <row r="8767">
          <cell r="E8767" t="str">
            <v>HPER</v>
          </cell>
          <cell r="F8767" t="str">
            <v>HPER-P</v>
          </cell>
          <cell r="G8767">
            <v>200</v>
          </cell>
          <cell r="H8767" t="str">
            <v>HPER-P200</v>
          </cell>
          <cell r="K8767" t="str">
            <v>Lion,Margaret Melanie</v>
          </cell>
          <cell r="N8767">
            <v>3.7690000000000001</v>
          </cell>
          <cell r="O8767">
            <v>3.2730000000000001</v>
          </cell>
        </row>
        <row r="8768">
          <cell r="E8768" t="str">
            <v>HPER</v>
          </cell>
          <cell r="F8768" t="str">
            <v>HPER-P</v>
          </cell>
          <cell r="G8768">
            <v>200</v>
          </cell>
          <cell r="H8768" t="str">
            <v>HPER-P200</v>
          </cell>
          <cell r="K8768" t="str">
            <v>Lion,Margaret Melanie</v>
          </cell>
          <cell r="N8768">
            <v>3.2269999999999999</v>
          </cell>
          <cell r="O8768">
            <v>2.9140000000000001</v>
          </cell>
        </row>
        <row r="8769">
          <cell r="E8769" t="str">
            <v>HPER</v>
          </cell>
          <cell r="F8769" t="str">
            <v>HPER-P</v>
          </cell>
          <cell r="G8769">
            <v>200</v>
          </cell>
          <cell r="H8769" t="str">
            <v>HPER-P200</v>
          </cell>
          <cell r="K8769" t="str">
            <v>Lion,Margaret Melanie</v>
          </cell>
          <cell r="N8769">
            <v>3.726</v>
          </cell>
          <cell r="O8769">
            <v>3.0449999999999999</v>
          </cell>
        </row>
        <row r="8770">
          <cell r="E8770" t="str">
            <v>HPER</v>
          </cell>
          <cell r="F8770" t="str">
            <v>HPER-P</v>
          </cell>
          <cell r="G8770">
            <v>200</v>
          </cell>
          <cell r="H8770" t="str">
            <v>HPER-P200</v>
          </cell>
          <cell r="K8770" t="str">
            <v>Lion,Margaret Melanie</v>
          </cell>
          <cell r="N8770">
            <v>3.6960000000000002</v>
          </cell>
          <cell r="O8770">
            <v>3.1429999999999998</v>
          </cell>
        </row>
        <row r="8771">
          <cell r="E8771" t="str">
            <v>HPER</v>
          </cell>
          <cell r="F8771" t="str">
            <v>HPER-P</v>
          </cell>
          <cell r="G8771">
            <v>200</v>
          </cell>
          <cell r="H8771" t="str">
            <v>HPER-P200</v>
          </cell>
          <cell r="K8771" t="str">
            <v>Lion,Margaret Melanie</v>
          </cell>
          <cell r="N8771">
            <v>3.4289999999999998</v>
          </cell>
          <cell r="O8771">
            <v>3</v>
          </cell>
        </row>
        <row r="8772">
          <cell r="E8772" t="str">
            <v>HPER</v>
          </cell>
          <cell r="F8772" t="str">
            <v>HPER-P</v>
          </cell>
          <cell r="G8772">
            <v>203</v>
          </cell>
          <cell r="H8772" t="str">
            <v>HPER-P203</v>
          </cell>
          <cell r="K8772" t="str">
            <v>Chapin,G Keith</v>
          </cell>
          <cell r="N8772" t="str">
            <v>NR</v>
          </cell>
          <cell r="O8772" t="str">
            <v>NR</v>
          </cell>
        </row>
        <row r="8773">
          <cell r="E8773" t="str">
            <v>HPER</v>
          </cell>
          <cell r="F8773" t="str">
            <v>HPER-P</v>
          </cell>
          <cell r="G8773">
            <v>203</v>
          </cell>
          <cell r="H8773" t="str">
            <v>HPER-P203</v>
          </cell>
          <cell r="K8773" t="str">
            <v>Chapin,G Keith</v>
          </cell>
          <cell r="N8773" t="str">
            <v>NR</v>
          </cell>
          <cell r="O8773" t="str">
            <v>NR</v>
          </cell>
        </row>
        <row r="8774">
          <cell r="E8774" t="str">
            <v>HPER</v>
          </cell>
          <cell r="F8774" t="str">
            <v>HPER-P</v>
          </cell>
          <cell r="G8774">
            <v>205</v>
          </cell>
          <cell r="H8774" t="str">
            <v>HPER-P205</v>
          </cell>
          <cell r="K8774" t="str">
            <v>Kingma,Jackie</v>
          </cell>
          <cell r="N8774">
            <v>2.766</v>
          </cell>
          <cell r="O8774">
            <v>2.9380000000000002</v>
          </cell>
        </row>
        <row r="8775">
          <cell r="E8775" t="str">
            <v>HPER</v>
          </cell>
          <cell r="F8775" t="str">
            <v>HPER-P</v>
          </cell>
          <cell r="G8775">
            <v>205</v>
          </cell>
          <cell r="H8775" t="str">
            <v>HPER-P205</v>
          </cell>
          <cell r="K8775" t="str">
            <v>Kingma,Jackie</v>
          </cell>
          <cell r="N8775">
            <v>2.6659999999999999</v>
          </cell>
          <cell r="O8775">
            <v>2.9569999999999999</v>
          </cell>
        </row>
        <row r="8776">
          <cell r="E8776" t="str">
            <v>HPER</v>
          </cell>
          <cell r="F8776" t="str">
            <v>HPER-P</v>
          </cell>
          <cell r="G8776">
            <v>206</v>
          </cell>
          <cell r="H8776" t="str">
            <v>HPER-P206</v>
          </cell>
          <cell r="K8776" t="str">
            <v>Ross,Craig M.</v>
          </cell>
          <cell r="N8776">
            <v>3.387</v>
          </cell>
          <cell r="O8776">
            <v>2.8879999999999999</v>
          </cell>
        </row>
        <row r="8777">
          <cell r="E8777" t="str">
            <v>HPER</v>
          </cell>
          <cell r="F8777" t="str">
            <v>HPER-P</v>
          </cell>
          <cell r="G8777">
            <v>206</v>
          </cell>
          <cell r="H8777" t="str">
            <v>HPER-P206</v>
          </cell>
          <cell r="K8777" t="str">
            <v>Ross,Craig M.</v>
          </cell>
          <cell r="N8777">
            <v>2.9049999999999998</v>
          </cell>
          <cell r="O8777">
            <v>2.7440000000000002</v>
          </cell>
        </row>
        <row r="8778">
          <cell r="E8778" t="str">
            <v>HPER</v>
          </cell>
          <cell r="F8778" t="str">
            <v>HPER-P</v>
          </cell>
          <cell r="G8778">
            <v>211</v>
          </cell>
          <cell r="H8778" t="str">
            <v>HPER-P211</v>
          </cell>
          <cell r="K8778" t="str">
            <v>Allen,Rebecca Milton</v>
          </cell>
          <cell r="N8778">
            <v>3.31</v>
          </cell>
          <cell r="O8778">
            <v>2.91</v>
          </cell>
        </row>
        <row r="8779">
          <cell r="E8779" t="str">
            <v>HPER</v>
          </cell>
          <cell r="F8779" t="str">
            <v>HPER-P</v>
          </cell>
          <cell r="G8779">
            <v>211</v>
          </cell>
          <cell r="H8779" t="str">
            <v>HPER-P211</v>
          </cell>
          <cell r="K8779" t="str">
            <v>Burch,Lauren Marie</v>
          </cell>
          <cell r="N8779">
            <v>3.2610000000000001</v>
          </cell>
          <cell r="O8779">
            <v>2.839</v>
          </cell>
        </row>
        <row r="8780">
          <cell r="E8780" t="str">
            <v>HPER</v>
          </cell>
          <cell r="F8780" t="str">
            <v>HPER-P</v>
          </cell>
          <cell r="G8780">
            <v>211</v>
          </cell>
          <cell r="H8780" t="str">
            <v>HPER-P211</v>
          </cell>
          <cell r="K8780" t="str">
            <v>Wright,Benjamin</v>
          </cell>
          <cell r="N8780">
            <v>2.8</v>
          </cell>
          <cell r="O8780">
            <v>2.8260000000000001</v>
          </cell>
        </row>
        <row r="8781">
          <cell r="E8781" t="str">
            <v>HPER</v>
          </cell>
          <cell r="F8781" t="str">
            <v>HPER-P</v>
          </cell>
          <cell r="G8781">
            <v>212</v>
          </cell>
          <cell r="H8781" t="str">
            <v>HPER-P212</v>
          </cell>
          <cell r="K8781" t="str">
            <v>Henson,Phillip Likins</v>
          </cell>
          <cell r="N8781">
            <v>3.4980000000000002</v>
          </cell>
          <cell r="O8781">
            <v>3.2349999999999999</v>
          </cell>
        </row>
        <row r="8782">
          <cell r="E8782" t="str">
            <v>HPER</v>
          </cell>
          <cell r="F8782" t="str">
            <v>HPER-P</v>
          </cell>
          <cell r="G8782">
            <v>212</v>
          </cell>
          <cell r="H8782" t="str">
            <v>HPER-P212</v>
          </cell>
          <cell r="K8782" t="str">
            <v>Henson,Phillip Likins</v>
          </cell>
          <cell r="N8782">
            <v>2.7930000000000001</v>
          </cell>
          <cell r="O8782">
            <v>2.96</v>
          </cell>
        </row>
        <row r="8783">
          <cell r="E8783" t="str">
            <v>HPER</v>
          </cell>
          <cell r="F8783" t="str">
            <v>HPER-P</v>
          </cell>
          <cell r="G8783">
            <v>212</v>
          </cell>
          <cell r="H8783" t="str">
            <v>HPER-P212</v>
          </cell>
          <cell r="K8783" t="str">
            <v>Henson,Phillip Likins</v>
          </cell>
          <cell r="N8783">
            <v>2.8839999999999999</v>
          </cell>
          <cell r="O8783">
            <v>2.8340000000000001</v>
          </cell>
        </row>
        <row r="8784">
          <cell r="E8784" t="str">
            <v>HPER</v>
          </cell>
          <cell r="F8784" t="str">
            <v>HPER-P</v>
          </cell>
          <cell r="G8784">
            <v>213</v>
          </cell>
          <cell r="H8784" t="str">
            <v>HPER-P213</v>
          </cell>
          <cell r="K8784" t="str">
            <v>Pedersen,Paul Mark</v>
          </cell>
          <cell r="N8784">
            <v>2.8029999999999999</v>
          </cell>
          <cell r="O8784">
            <v>2.9329999999999998</v>
          </cell>
        </row>
        <row r="8785">
          <cell r="E8785" t="str">
            <v>HPER</v>
          </cell>
          <cell r="F8785" t="str">
            <v>HPER-P</v>
          </cell>
          <cell r="G8785">
            <v>213</v>
          </cell>
          <cell r="H8785" t="str">
            <v>HPER-P213</v>
          </cell>
          <cell r="K8785" t="str">
            <v>Pedersen,Paul Mark</v>
          </cell>
          <cell r="N8785">
            <v>3.1030000000000002</v>
          </cell>
          <cell r="O8785">
            <v>3.0790000000000002</v>
          </cell>
        </row>
        <row r="8786">
          <cell r="E8786" t="str">
            <v>HPER</v>
          </cell>
          <cell r="F8786" t="str">
            <v>HPER-P</v>
          </cell>
          <cell r="G8786">
            <v>213</v>
          </cell>
          <cell r="H8786" t="str">
            <v>HPER-P213</v>
          </cell>
          <cell r="K8786" t="str">
            <v>Pedersen,Paul Mark</v>
          </cell>
          <cell r="N8786">
            <v>2.83</v>
          </cell>
          <cell r="O8786">
            <v>2.7549999999999999</v>
          </cell>
        </row>
        <row r="8787">
          <cell r="E8787" t="str">
            <v>HPER</v>
          </cell>
          <cell r="F8787" t="str">
            <v>HPER-P</v>
          </cell>
          <cell r="G8787">
            <v>214</v>
          </cell>
          <cell r="H8787" t="str">
            <v>HPER-P214</v>
          </cell>
          <cell r="K8787" t="str">
            <v>Cothran,Donetta Jean</v>
          </cell>
          <cell r="N8787">
            <v>3.456</v>
          </cell>
          <cell r="O8787">
            <v>2.94</v>
          </cell>
        </row>
        <row r="8788">
          <cell r="E8788" t="str">
            <v>HPER</v>
          </cell>
          <cell r="F8788" t="str">
            <v>HPER-P</v>
          </cell>
          <cell r="G8788">
            <v>216</v>
          </cell>
          <cell r="H8788" t="str">
            <v>HPER-P216</v>
          </cell>
          <cell r="K8788" t="str">
            <v>Miller,K. Michelle</v>
          </cell>
          <cell r="N8788">
            <v>3.6779999999999999</v>
          </cell>
          <cell r="O8788">
            <v>3.0449999999999999</v>
          </cell>
        </row>
        <row r="8789">
          <cell r="E8789" t="str">
            <v>HPER</v>
          </cell>
          <cell r="F8789" t="str">
            <v>HPER-P</v>
          </cell>
          <cell r="G8789">
            <v>216</v>
          </cell>
          <cell r="H8789" t="str">
            <v>HPER-P216</v>
          </cell>
          <cell r="K8789" t="str">
            <v>Miller,K. Michelle</v>
          </cell>
          <cell r="N8789">
            <v>3.65</v>
          </cell>
          <cell r="O8789">
            <v>2.9889999999999999</v>
          </cell>
        </row>
        <row r="8790">
          <cell r="E8790" t="str">
            <v>HPER</v>
          </cell>
          <cell r="F8790" t="str">
            <v>HPER-P</v>
          </cell>
          <cell r="G8790">
            <v>217</v>
          </cell>
          <cell r="H8790" t="str">
            <v>HPER-P217</v>
          </cell>
          <cell r="K8790" t="str">
            <v>Yoke,Mary</v>
          </cell>
          <cell r="N8790">
            <v>3.4</v>
          </cell>
          <cell r="O8790">
            <v>3.0270000000000001</v>
          </cell>
        </row>
        <row r="8791">
          <cell r="E8791" t="str">
            <v>HPER</v>
          </cell>
          <cell r="F8791" t="str">
            <v>HPER-P</v>
          </cell>
          <cell r="G8791">
            <v>217</v>
          </cell>
          <cell r="H8791" t="str">
            <v>HPER-P217</v>
          </cell>
          <cell r="K8791" t="str">
            <v>Yoke,Mary</v>
          </cell>
          <cell r="N8791">
            <v>2.9830000000000001</v>
          </cell>
          <cell r="O8791">
            <v>2.9009999999999998</v>
          </cell>
        </row>
        <row r="8792">
          <cell r="E8792" t="str">
            <v>HPER</v>
          </cell>
          <cell r="F8792" t="str">
            <v>HPER-P</v>
          </cell>
          <cell r="G8792">
            <v>218</v>
          </cell>
          <cell r="H8792" t="str">
            <v>HPER-P218</v>
          </cell>
          <cell r="K8792" t="str">
            <v>Yoke,Mary</v>
          </cell>
          <cell r="N8792">
            <v>2.8969999999999998</v>
          </cell>
          <cell r="O8792">
            <v>2.9569999999999999</v>
          </cell>
        </row>
        <row r="8793">
          <cell r="E8793" t="str">
            <v>HPER</v>
          </cell>
          <cell r="F8793" t="str">
            <v>HPER-P</v>
          </cell>
          <cell r="G8793">
            <v>218</v>
          </cell>
          <cell r="H8793" t="str">
            <v>HPER-P218</v>
          </cell>
          <cell r="K8793" t="str">
            <v>Yoke,Mary</v>
          </cell>
          <cell r="N8793">
            <v>3.0649999999999999</v>
          </cell>
          <cell r="O8793">
            <v>2.972</v>
          </cell>
        </row>
        <row r="8794">
          <cell r="E8794" t="str">
            <v>HPER</v>
          </cell>
          <cell r="F8794" t="str">
            <v>HPER-P</v>
          </cell>
          <cell r="G8794">
            <v>219</v>
          </cell>
          <cell r="H8794" t="str">
            <v>HPER-P219</v>
          </cell>
          <cell r="K8794" t="str">
            <v>Stroud,Michelle Dawn</v>
          </cell>
          <cell r="N8794">
            <v>3.9169999999999998</v>
          </cell>
          <cell r="O8794">
            <v>2.78</v>
          </cell>
        </row>
        <row r="8795">
          <cell r="E8795" t="str">
            <v>HPER</v>
          </cell>
          <cell r="F8795" t="str">
            <v>HPER-P</v>
          </cell>
          <cell r="G8795">
            <v>219</v>
          </cell>
          <cell r="H8795" t="str">
            <v>HPER-P219</v>
          </cell>
          <cell r="K8795" t="str">
            <v>Stroud,Michelle Dawn</v>
          </cell>
          <cell r="N8795">
            <v>4</v>
          </cell>
          <cell r="O8795">
            <v>3.0830000000000002</v>
          </cell>
        </row>
        <row r="8796">
          <cell r="E8796" t="str">
            <v>HPER</v>
          </cell>
          <cell r="F8796" t="str">
            <v>HPER-P</v>
          </cell>
          <cell r="G8796">
            <v>224</v>
          </cell>
          <cell r="H8796" t="str">
            <v>HPER-P224</v>
          </cell>
          <cell r="K8796" t="str">
            <v>Hamm,Gwendolyn A.</v>
          </cell>
          <cell r="N8796">
            <v>3.7639999999999998</v>
          </cell>
          <cell r="O8796">
            <v>2.9569999999999999</v>
          </cell>
        </row>
        <row r="8797">
          <cell r="E8797" t="str">
            <v>HPER</v>
          </cell>
          <cell r="F8797" t="str">
            <v>HPER-P</v>
          </cell>
          <cell r="G8797">
            <v>224</v>
          </cell>
          <cell r="H8797" t="str">
            <v>HPER-P224</v>
          </cell>
          <cell r="K8797" t="str">
            <v>Hamm,Gwendolyn A.</v>
          </cell>
          <cell r="N8797">
            <v>3.6440000000000001</v>
          </cell>
          <cell r="O8797">
            <v>2.95</v>
          </cell>
        </row>
        <row r="8798">
          <cell r="E8798" t="str">
            <v>HPER</v>
          </cell>
          <cell r="F8798" t="str">
            <v>HPER-P</v>
          </cell>
          <cell r="G8798">
            <v>251</v>
          </cell>
          <cell r="H8798" t="str">
            <v>HPER-P251</v>
          </cell>
          <cell r="K8798" t="str">
            <v>Vooris,Ryan P</v>
          </cell>
          <cell r="N8798">
            <v>2.8140000000000001</v>
          </cell>
          <cell r="O8798">
            <v>2.8479999999999999</v>
          </cell>
        </row>
        <row r="8799">
          <cell r="E8799" t="str">
            <v>HPER</v>
          </cell>
          <cell r="F8799" t="str">
            <v>HPER-P</v>
          </cell>
          <cell r="G8799">
            <v>251</v>
          </cell>
          <cell r="H8799" t="str">
            <v>HPER-P251</v>
          </cell>
          <cell r="K8799" t="str">
            <v>Zimmerman,Matthew Henry</v>
          </cell>
          <cell r="N8799">
            <v>3.9140000000000001</v>
          </cell>
          <cell r="O8799">
            <v>3.0369999999999999</v>
          </cell>
        </row>
        <row r="8800">
          <cell r="E8800" t="str">
            <v>HPER</v>
          </cell>
          <cell r="F8800" t="str">
            <v>HPER-P</v>
          </cell>
          <cell r="G8800">
            <v>280</v>
          </cell>
          <cell r="H8800" t="str">
            <v>HPER-P280</v>
          </cell>
          <cell r="K8800" t="str">
            <v>Clemens,Adam B</v>
          </cell>
          <cell r="N8800">
            <v>2.7810000000000001</v>
          </cell>
          <cell r="O8800">
            <v>2.7919999999999998</v>
          </cell>
        </row>
        <row r="8801">
          <cell r="E8801" t="str">
            <v>HPER</v>
          </cell>
          <cell r="F8801" t="str">
            <v>HPER-P</v>
          </cell>
          <cell r="G8801">
            <v>280</v>
          </cell>
          <cell r="H8801" t="str">
            <v>HPER-P280</v>
          </cell>
          <cell r="K8801" t="str">
            <v>Donahue,Matthew Shawn</v>
          </cell>
          <cell r="N8801">
            <v>2.7589999999999999</v>
          </cell>
          <cell r="O8801">
            <v>2.9289999999999998</v>
          </cell>
        </row>
        <row r="8802">
          <cell r="E8802" t="str">
            <v>HPER</v>
          </cell>
          <cell r="F8802" t="str">
            <v>HPER-P</v>
          </cell>
          <cell r="G8802">
            <v>280</v>
          </cell>
          <cell r="H8802" t="str">
            <v>HPER-P280</v>
          </cell>
          <cell r="K8802" t="str">
            <v>Grove,Katie A.</v>
          </cell>
          <cell r="N8802">
            <v>2.742</v>
          </cell>
          <cell r="O8802">
            <v>2.8980000000000001</v>
          </cell>
        </row>
        <row r="8803">
          <cell r="E8803" t="str">
            <v>HPER</v>
          </cell>
          <cell r="F8803" t="str">
            <v>HPER-P</v>
          </cell>
          <cell r="G8803">
            <v>280</v>
          </cell>
          <cell r="H8803" t="str">
            <v>HPER-P280</v>
          </cell>
          <cell r="K8803" t="str">
            <v>Klossner,Joanne Carmella</v>
          </cell>
          <cell r="N8803">
            <v>2.726</v>
          </cell>
          <cell r="O8803">
            <v>2.9849999999999999</v>
          </cell>
        </row>
        <row r="8804">
          <cell r="E8804" t="str">
            <v>HPER</v>
          </cell>
          <cell r="F8804" t="str">
            <v>HPER-P</v>
          </cell>
          <cell r="G8804">
            <v>280</v>
          </cell>
          <cell r="H8804" t="str">
            <v>HPER-P280</v>
          </cell>
          <cell r="K8804" t="str">
            <v>Klossner,Joanne Carmella</v>
          </cell>
          <cell r="N8804">
            <v>2.9060000000000001</v>
          </cell>
          <cell r="O8804">
            <v>2.9420000000000002</v>
          </cell>
        </row>
        <row r="8805">
          <cell r="E8805" t="str">
            <v>HPER</v>
          </cell>
          <cell r="F8805" t="str">
            <v>HPER-P</v>
          </cell>
          <cell r="G8805">
            <v>280</v>
          </cell>
          <cell r="H8805" t="str">
            <v>HPER-P280</v>
          </cell>
          <cell r="K8805" t="str">
            <v>Simon,Janet Elise</v>
          </cell>
          <cell r="N8805">
            <v>2.726</v>
          </cell>
          <cell r="O8805">
            <v>3.0880000000000001</v>
          </cell>
        </row>
        <row r="8806">
          <cell r="E8806" t="str">
            <v>HPER</v>
          </cell>
          <cell r="F8806" t="str">
            <v>HPER-P</v>
          </cell>
          <cell r="G8806">
            <v>290</v>
          </cell>
          <cell r="H8806" t="str">
            <v>HPER-P290</v>
          </cell>
          <cell r="K8806" t="str">
            <v>Aungst,Holly Christine</v>
          </cell>
          <cell r="N8806">
            <v>4</v>
          </cell>
          <cell r="O8806">
            <v>3.41</v>
          </cell>
        </row>
        <row r="8807">
          <cell r="E8807" t="str">
            <v>HPER</v>
          </cell>
          <cell r="F8807" t="str">
            <v>HPER-P</v>
          </cell>
          <cell r="G8807">
            <v>290</v>
          </cell>
          <cell r="H8807" t="str">
            <v>HPER-P290</v>
          </cell>
          <cell r="K8807" t="str">
            <v>Huntoon,Ann Marie</v>
          </cell>
          <cell r="N8807">
            <v>3.9790000000000001</v>
          </cell>
          <cell r="O8807">
            <v>3.4</v>
          </cell>
        </row>
        <row r="8808">
          <cell r="E8808" t="str">
            <v>HPER</v>
          </cell>
          <cell r="F8808" t="str">
            <v>HPER-P</v>
          </cell>
          <cell r="G8808">
            <v>290</v>
          </cell>
          <cell r="H8808" t="str">
            <v>HPER-P290</v>
          </cell>
          <cell r="K8808" t="str">
            <v>Huntoon,Ann Marie</v>
          </cell>
          <cell r="N8808">
            <v>3.8929999999999998</v>
          </cell>
          <cell r="O8808">
            <v>3.4169999999999998</v>
          </cell>
        </row>
        <row r="8809">
          <cell r="E8809" t="str">
            <v>HPER</v>
          </cell>
          <cell r="F8809" t="str">
            <v>HPER-P</v>
          </cell>
          <cell r="G8809">
            <v>290</v>
          </cell>
          <cell r="H8809" t="str">
            <v>HPER-P290</v>
          </cell>
          <cell r="K8809" t="str">
            <v>Huntoon,Ann Marie</v>
          </cell>
          <cell r="N8809">
            <v>3.7370000000000001</v>
          </cell>
          <cell r="O8809">
            <v>3.4039999999999999</v>
          </cell>
        </row>
        <row r="8810">
          <cell r="E8810" t="str">
            <v>HPER</v>
          </cell>
          <cell r="F8810" t="str">
            <v>HPER-P</v>
          </cell>
          <cell r="G8810">
            <v>290</v>
          </cell>
          <cell r="H8810" t="str">
            <v>HPER-P290</v>
          </cell>
          <cell r="K8810" t="str">
            <v>Huntoon,Ann Marie</v>
          </cell>
          <cell r="N8810">
            <v>3.823</v>
          </cell>
          <cell r="O8810">
            <v>3.4630000000000001</v>
          </cell>
        </row>
        <row r="8811">
          <cell r="E8811" t="str">
            <v>HPER</v>
          </cell>
          <cell r="F8811" t="str">
            <v>HPER-P</v>
          </cell>
          <cell r="G8811">
            <v>290</v>
          </cell>
          <cell r="H8811" t="str">
            <v>HPER-P290</v>
          </cell>
          <cell r="K8811" t="str">
            <v>Mc Kinney,Judith Mae Earnshaw</v>
          </cell>
          <cell r="N8811">
            <v>3.5419999999999998</v>
          </cell>
          <cell r="O8811">
            <v>3.3759999999999999</v>
          </cell>
        </row>
        <row r="8812">
          <cell r="E8812" t="str">
            <v>HPER</v>
          </cell>
          <cell r="F8812" t="str">
            <v>HPER-P</v>
          </cell>
          <cell r="G8812">
            <v>301</v>
          </cell>
          <cell r="H8812" t="str">
            <v>HPER-P301</v>
          </cell>
          <cell r="K8812" t="str">
            <v>Myers,Sarah Helen</v>
          </cell>
          <cell r="N8812">
            <v>3.8330000000000002</v>
          </cell>
          <cell r="O8812">
            <v>2.95</v>
          </cell>
        </row>
        <row r="8813">
          <cell r="E8813" t="str">
            <v>HPER</v>
          </cell>
          <cell r="F8813" t="str">
            <v>HPER-P</v>
          </cell>
          <cell r="G8813">
            <v>301</v>
          </cell>
          <cell r="H8813" t="str">
            <v>HPER-P301</v>
          </cell>
          <cell r="K8813" t="str">
            <v>Myers,Sarah Helen</v>
          </cell>
          <cell r="N8813">
            <v>3.605</v>
          </cell>
          <cell r="O8813">
            <v>2.9089999999999998</v>
          </cell>
        </row>
        <row r="8814">
          <cell r="E8814" t="str">
            <v>HPER</v>
          </cell>
          <cell r="F8814" t="str">
            <v>HPER-P</v>
          </cell>
          <cell r="G8814">
            <v>301</v>
          </cell>
          <cell r="H8814" t="str">
            <v>HPER-P301</v>
          </cell>
          <cell r="K8814" t="str">
            <v>Simmons,Susan E</v>
          </cell>
          <cell r="N8814">
            <v>3.6320000000000001</v>
          </cell>
          <cell r="O8814">
            <v>3.13</v>
          </cell>
        </row>
        <row r="8815">
          <cell r="E8815" t="str">
            <v>HPER</v>
          </cell>
          <cell r="F8815" t="str">
            <v>HPER-P</v>
          </cell>
          <cell r="G8815">
            <v>301</v>
          </cell>
          <cell r="H8815" t="str">
            <v>HPER-P301</v>
          </cell>
          <cell r="K8815" t="str">
            <v>Simmons,Susan E</v>
          </cell>
          <cell r="N8815">
            <v>2.7</v>
          </cell>
          <cell r="O8815">
            <v>2.6819999999999999</v>
          </cell>
        </row>
        <row r="8816">
          <cell r="E8816" t="str">
            <v>HPER</v>
          </cell>
          <cell r="F8816" t="str">
            <v>HPER-P</v>
          </cell>
          <cell r="G8816">
            <v>303</v>
          </cell>
          <cell r="H8816" t="str">
            <v>HPER-P303</v>
          </cell>
          <cell r="K8816" t="str">
            <v>Chapin,G Keith</v>
          </cell>
          <cell r="N8816" t="str">
            <v>NR</v>
          </cell>
          <cell r="O8816" t="str">
            <v>NR</v>
          </cell>
        </row>
        <row r="8817">
          <cell r="E8817" t="str">
            <v>HPER</v>
          </cell>
          <cell r="F8817" t="str">
            <v>HPER-P</v>
          </cell>
          <cell r="G8817">
            <v>304</v>
          </cell>
          <cell r="H8817" t="str">
            <v>HPER-P304</v>
          </cell>
          <cell r="K8817" t="str">
            <v>Clavio,Galen Emil</v>
          </cell>
          <cell r="N8817">
            <v>3.6880000000000002</v>
          </cell>
          <cell r="O8817">
            <v>3.0470000000000002</v>
          </cell>
        </row>
        <row r="8818">
          <cell r="E8818" t="str">
            <v>HPER</v>
          </cell>
          <cell r="F8818" t="str">
            <v>HPER-P</v>
          </cell>
          <cell r="G8818">
            <v>304</v>
          </cell>
          <cell r="H8818" t="str">
            <v>HPER-P304</v>
          </cell>
          <cell r="K8818" t="str">
            <v>Clavio,Galen Emil</v>
          </cell>
          <cell r="N8818">
            <v>3.6970000000000001</v>
          </cell>
          <cell r="O8818">
            <v>3</v>
          </cell>
        </row>
        <row r="8819">
          <cell r="E8819" t="str">
            <v>HPER</v>
          </cell>
          <cell r="F8819" t="str">
            <v>HPER-P</v>
          </cell>
          <cell r="G8819">
            <v>304</v>
          </cell>
          <cell r="H8819" t="str">
            <v>HPER-P304</v>
          </cell>
          <cell r="K8819" t="str">
            <v>Harrell,John R</v>
          </cell>
          <cell r="N8819">
            <v>2.573</v>
          </cell>
          <cell r="O8819">
            <v>2.8340000000000001</v>
          </cell>
        </row>
        <row r="8820">
          <cell r="E8820" t="str">
            <v>HPER</v>
          </cell>
          <cell r="F8820" t="str">
            <v>HPER-P</v>
          </cell>
          <cell r="G8820">
            <v>313</v>
          </cell>
          <cell r="H8820" t="str">
            <v>HPER-P313</v>
          </cell>
          <cell r="K8820" t="str">
            <v>Cothran,Donetta Jean</v>
          </cell>
          <cell r="N8820">
            <v>3.1059999999999999</v>
          </cell>
          <cell r="O8820">
            <v>3.0289999999999999</v>
          </cell>
        </row>
        <row r="8821">
          <cell r="E8821" t="str">
            <v>HPER</v>
          </cell>
          <cell r="F8821" t="str">
            <v>HPER-P</v>
          </cell>
          <cell r="G8821">
            <v>314</v>
          </cell>
          <cell r="H8821" t="str">
            <v>HPER-P314</v>
          </cell>
          <cell r="K8821" t="str">
            <v>Cothran,Donetta Jean</v>
          </cell>
          <cell r="N8821">
            <v>3.629</v>
          </cell>
          <cell r="O8821">
            <v>3.1949999999999998</v>
          </cell>
        </row>
        <row r="8822">
          <cell r="E8822" t="str">
            <v>HPER</v>
          </cell>
          <cell r="F8822" t="str">
            <v>HPER-P</v>
          </cell>
          <cell r="G8822">
            <v>316</v>
          </cell>
          <cell r="H8822" t="str">
            <v>HPER-P316</v>
          </cell>
          <cell r="K8822" t="str">
            <v>Eckert,Nathan Ross</v>
          </cell>
          <cell r="N8822">
            <v>3.6070000000000002</v>
          </cell>
          <cell r="O8822">
            <v>3.2789999999999999</v>
          </cell>
        </row>
        <row r="8823">
          <cell r="E8823" t="str">
            <v>HPER</v>
          </cell>
          <cell r="F8823" t="str">
            <v>HPER-P</v>
          </cell>
          <cell r="G8823">
            <v>316</v>
          </cell>
          <cell r="H8823" t="str">
            <v>HPER-P316</v>
          </cell>
          <cell r="K8823" t="str">
            <v>Eckert,Nathan Ross</v>
          </cell>
          <cell r="N8823">
            <v>2.95</v>
          </cell>
          <cell r="O8823">
            <v>2.9630000000000001</v>
          </cell>
        </row>
        <row r="8824">
          <cell r="E8824" t="str">
            <v>HPER</v>
          </cell>
          <cell r="F8824" t="str">
            <v>HPER-P</v>
          </cell>
          <cell r="G8824">
            <v>317</v>
          </cell>
          <cell r="H8824" t="str">
            <v>HPER-P317</v>
          </cell>
          <cell r="K8824" t="str">
            <v>Simmons,Gregory Matthew</v>
          </cell>
          <cell r="N8824">
            <v>3.6949999999999998</v>
          </cell>
          <cell r="O8824">
            <v>2.96</v>
          </cell>
        </row>
        <row r="8825">
          <cell r="E8825" t="str">
            <v>HPER</v>
          </cell>
          <cell r="F8825" t="str">
            <v>HPER-P</v>
          </cell>
          <cell r="G8825">
            <v>317</v>
          </cell>
          <cell r="H8825" t="str">
            <v>HPER-P317</v>
          </cell>
          <cell r="K8825" t="str">
            <v>Simmons,Gregory Matthew</v>
          </cell>
          <cell r="N8825">
            <v>3.524</v>
          </cell>
          <cell r="O8825">
            <v>3.06</v>
          </cell>
        </row>
        <row r="8826">
          <cell r="E8826" t="str">
            <v>HPER</v>
          </cell>
          <cell r="F8826" t="str">
            <v>HPER-P</v>
          </cell>
          <cell r="G8826">
            <v>318</v>
          </cell>
          <cell r="H8826" t="str">
            <v>HPER-P318</v>
          </cell>
          <cell r="K8826" t="str">
            <v>Lee,Jacqueline Danielle</v>
          </cell>
          <cell r="N8826">
            <v>3.1030000000000002</v>
          </cell>
          <cell r="O8826">
            <v>2.9940000000000002</v>
          </cell>
        </row>
        <row r="8827">
          <cell r="E8827" t="str">
            <v>HPER</v>
          </cell>
          <cell r="F8827" t="str">
            <v>HPER-P</v>
          </cell>
          <cell r="G8827">
            <v>318</v>
          </cell>
          <cell r="H8827" t="str">
            <v>HPER-P318</v>
          </cell>
          <cell r="K8827" t="str">
            <v>Lee,Jacqueline Danielle</v>
          </cell>
          <cell r="N8827">
            <v>3.3050000000000002</v>
          </cell>
          <cell r="O8827">
            <v>2.8660000000000001</v>
          </cell>
        </row>
        <row r="8828">
          <cell r="E8828" t="str">
            <v>HPER</v>
          </cell>
          <cell r="F8828" t="str">
            <v>HPER-P</v>
          </cell>
          <cell r="G8828">
            <v>318</v>
          </cell>
          <cell r="H8828" t="str">
            <v>HPER-P318</v>
          </cell>
          <cell r="K8828" t="str">
            <v>Rhenwrick,Isabell Loretta</v>
          </cell>
          <cell r="N8828">
            <v>3.09</v>
          </cell>
          <cell r="O8828">
            <v>3.157</v>
          </cell>
        </row>
        <row r="8829">
          <cell r="E8829" t="str">
            <v>HPER</v>
          </cell>
          <cell r="F8829" t="str">
            <v>HPER-P</v>
          </cell>
          <cell r="G8829">
            <v>318</v>
          </cell>
          <cell r="H8829" t="str">
            <v>HPER-P318</v>
          </cell>
          <cell r="K8829" t="str">
            <v>Rhenwrick,Isabell Loretta</v>
          </cell>
          <cell r="N8829">
            <v>3.2629999999999999</v>
          </cell>
          <cell r="O8829">
            <v>3.2090000000000001</v>
          </cell>
        </row>
        <row r="8830">
          <cell r="E8830" t="str">
            <v>HPER</v>
          </cell>
          <cell r="F8830" t="str">
            <v>HPER-P</v>
          </cell>
          <cell r="G8830">
            <v>319</v>
          </cell>
          <cell r="H8830" t="str">
            <v>HPER-P319</v>
          </cell>
          <cell r="K8830" t="str">
            <v>Miller,K. Michelle</v>
          </cell>
          <cell r="N8830" t="str">
            <v>NR</v>
          </cell>
          <cell r="O8830" t="str">
            <v>NR</v>
          </cell>
        </row>
        <row r="8831">
          <cell r="E8831" t="str">
            <v>HPER</v>
          </cell>
          <cell r="F8831" t="str">
            <v>HPER-P</v>
          </cell>
          <cell r="G8831">
            <v>319</v>
          </cell>
          <cell r="H8831" t="str">
            <v>HPER-P319</v>
          </cell>
          <cell r="K8831" t="str">
            <v>Miller,K. Michelle</v>
          </cell>
          <cell r="N8831" t="str">
            <v>NR</v>
          </cell>
          <cell r="O8831" t="str">
            <v>NR</v>
          </cell>
        </row>
        <row r="8832">
          <cell r="E8832" t="str">
            <v>HPER</v>
          </cell>
          <cell r="F8832" t="str">
            <v>HPER-P</v>
          </cell>
          <cell r="G8832">
            <v>323</v>
          </cell>
          <cell r="H8832" t="str">
            <v>HPER-P323</v>
          </cell>
          <cell r="K8832" t="str">
            <v>Aungst,Holly Christine</v>
          </cell>
          <cell r="N8832">
            <v>4</v>
          </cell>
          <cell r="O8832">
            <v>3.044</v>
          </cell>
        </row>
        <row r="8833">
          <cell r="E8833" t="str">
            <v>HPER</v>
          </cell>
          <cell r="F8833" t="str">
            <v>HPER-P</v>
          </cell>
          <cell r="G8833">
            <v>325</v>
          </cell>
          <cell r="H8833" t="str">
            <v>HPER-P325</v>
          </cell>
          <cell r="K8833" t="str">
            <v>Huntoon,Ann Marie</v>
          </cell>
          <cell r="N8833">
            <v>3.9569999999999999</v>
          </cell>
          <cell r="O8833">
            <v>3.1739999999999999</v>
          </cell>
        </row>
        <row r="8834">
          <cell r="E8834" t="str">
            <v>HPER</v>
          </cell>
          <cell r="F8834" t="str">
            <v>HPER-P</v>
          </cell>
          <cell r="G8834">
            <v>326</v>
          </cell>
          <cell r="H8834" t="str">
            <v>HPER-P326</v>
          </cell>
          <cell r="K8834" t="str">
            <v>Cousins,Lucinda Gant</v>
          </cell>
          <cell r="N8834" t="str">
            <v>NR</v>
          </cell>
          <cell r="O8834" t="str">
            <v>NR</v>
          </cell>
        </row>
        <row r="8835">
          <cell r="E8835" t="str">
            <v>HPER</v>
          </cell>
          <cell r="F8835" t="str">
            <v>HPER-P</v>
          </cell>
          <cell r="G8835">
            <v>326</v>
          </cell>
          <cell r="H8835" t="str">
            <v>HPER-P326</v>
          </cell>
          <cell r="K8835" t="str">
            <v>Kessler,Robert G.</v>
          </cell>
          <cell r="N8835" t="str">
            <v>NR</v>
          </cell>
          <cell r="O8835" t="str">
            <v>NR</v>
          </cell>
        </row>
        <row r="8836">
          <cell r="E8836" t="str">
            <v>HPER</v>
          </cell>
          <cell r="F8836" t="str">
            <v>HPER-P</v>
          </cell>
          <cell r="G8836">
            <v>328</v>
          </cell>
          <cell r="H8836" t="str">
            <v>HPER-P328</v>
          </cell>
          <cell r="K8836" t="str">
            <v>Allen,Rebecca Milton</v>
          </cell>
          <cell r="N8836">
            <v>3.508</v>
          </cell>
          <cell r="O8836">
            <v>3.1030000000000002</v>
          </cell>
        </row>
        <row r="8837">
          <cell r="E8837" t="str">
            <v>HPER</v>
          </cell>
          <cell r="F8837" t="str">
            <v>HPER-P</v>
          </cell>
          <cell r="G8837">
            <v>328</v>
          </cell>
          <cell r="H8837" t="str">
            <v>HPER-P328</v>
          </cell>
          <cell r="K8837" t="str">
            <v>Sailes,Gary A.</v>
          </cell>
          <cell r="N8837">
            <v>3.0529999999999999</v>
          </cell>
          <cell r="O8837">
            <v>2.9889999999999999</v>
          </cell>
        </row>
        <row r="8838">
          <cell r="E8838" t="str">
            <v>HPER</v>
          </cell>
          <cell r="F8838" t="str">
            <v>HPER-P</v>
          </cell>
          <cell r="G8838">
            <v>329</v>
          </cell>
          <cell r="H8838" t="str">
            <v>HPER-P329</v>
          </cell>
          <cell r="K8838" t="str">
            <v>Klein,Keith Kyle</v>
          </cell>
          <cell r="N8838">
            <v>3.6139999999999999</v>
          </cell>
          <cell r="O8838">
            <v>2.9350000000000001</v>
          </cell>
        </row>
        <row r="8839">
          <cell r="E8839" t="str">
            <v>HPER</v>
          </cell>
          <cell r="F8839" t="str">
            <v>HPER-P</v>
          </cell>
          <cell r="G8839">
            <v>333</v>
          </cell>
          <cell r="H8839" t="str">
            <v>HPER-P333</v>
          </cell>
          <cell r="K8839" t="str">
            <v>Blaszka,Matthew Mark</v>
          </cell>
          <cell r="N8839">
            <v>2.5590000000000002</v>
          </cell>
          <cell r="O8839">
            <v>2.839</v>
          </cell>
        </row>
        <row r="8840">
          <cell r="E8840" t="str">
            <v>HPER</v>
          </cell>
          <cell r="F8840" t="str">
            <v>HPER-P</v>
          </cell>
          <cell r="G8840">
            <v>333</v>
          </cell>
          <cell r="H8840" t="str">
            <v>HPER-P333</v>
          </cell>
          <cell r="K8840" t="str">
            <v>Blaszka,Matthew Mark</v>
          </cell>
          <cell r="N8840">
            <v>2.5150000000000001</v>
          </cell>
          <cell r="O8840">
            <v>2.7770000000000001</v>
          </cell>
        </row>
        <row r="8841">
          <cell r="E8841" t="str">
            <v>HPER</v>
          </cell>
          <cell r="F8841" t="str">
            <v>HPER-P</v>
          </cell>
          <cell r="G8841">
            <v>333</v>
          </cell>
          <cell r="H8841" t="str">
            <v>HPER-P333</v>
          </cell>
          <cell r="K8841" t="str">
            <v>Fielding,Larry</v>
          </cell>
          <cell r="N8841">
            <v>3.5169999999999999</v>
          </cell>
          <cell r="O8841">
            <v>3.117</v>
          </cell>
        </row>
        <row r="8842">
          <cell r="E8842" t="str">
            <v>HPER</v>
          </cell>
          <cell r="F8842" t="str">
            <v>HPER-P</v>
          </cell>
          <cell r="G8842">
            <v>333</v>
          </cell>
          <cell r="H8842" t="str">
            <v>HPER-P333</v>
          </cell>
          <cell r="K8842" t="str">
            <v>Fielding,Larry</v>
          </cell>
          <cell r="N8842">
            <v>2.9929999999999999</v>
          </cell>
          <cell r="O8842">
            <v>2.944</v>
          </cell>
        </row>
        <row r="8843">
          <cell r="E8843" t="str">
            <v>HPER</v>
          </cell>
          <cell r="F8843" t="str">
            <v>HPER-P</v>
          </cell>
          <cell r="G8843">
            <v>335</v>
          </cell>
          <cell r="H8843" t="str">
            <v>HPER-P335</v>
          </cell>
          <cell r="K8843" t="str">
            <v>Henson,Phillip Likins</v>
          </cell>
          <cell r="N8843">
            <v>3.7919999999999998</v>
          </cell>
          <cell r="O8843">
            <v>3.11</v>
          </cell>
        </row>
        <row r="8844">
          <cell r="E8844" t="str">
            <v>HPER</v>
          </cell>
          <cell r="F8844" t="str">
            <v>HPER-P</v>
          </cell>
          <cell r="G8844">
            <v>391</v>
          </cell>
          <cell r="H8844" t="str">
            <v>HPER-P391</v>
          </cell>
          <cell r="K8844" t="str">
            <v>Dapena,Jesus</v>
          </cell>
          <cell r="N8844">
            <v>2.96</v>
          </cell>
          <cell r="O8844">
            <v>3.1779999999999999</v>
          </cell>
        </row>
        <row r="8845">
          <cell r="E8845" t="str">
            <v>HPER</v>
          </cell>
          <cell r="F8845" t="str">
            <v>HPER-P</v>
          </cell>
          <cell r="G8845">
            <v>391</v>
          </cell>
          <cell r="H8845" t="str">
            <v>HPER-P391</v>
          </cell>
          <cell r="K8845" t="str">
            <v>Dapena,Jesus</v>
          </cell>
          <cell r="N8845">
            <v>2.5379999999999998</v>
          </cell>
          <cell r="O8845">
            <v>3.1030000000000002</v>
          </cell>
        </row>
        <row r="8846">
          <cell r="E8846" t="str">
            <v>HPER</v>
          </cell>
          <cell r="F8846" t="str">
            <v>HPER-P</v>
          </cell>
          <cell r="G8846">
            <v>392</v>
          </cell>
          <cell r="H8846" t="str">
            <v>HPER-P392</v>
          </cell>
          <cell r="K8846" t="str">
            <v>Sailes,Gary A.</v>
          </cell>
          <cell r="N8846">
            <v>3.2090000000000001</v>
          </cell>
          <cell r="O8846">
            <v>2.9809999999999999</v>
          </cell>
        </row>
        <row r="8847">
          <cell r="E8847" t="str">
            <v>HPER</v>
          </cell>
          <cell r="F8847" t="str">
            <v>HPER-P</v>
          </cell>
          <cell r="G8847">
            <v>398</v>
          </cell>
          <cell r="H8847" t="str">
            <v>HPER-P398</v>
          </cell>
          <cell r="K8847" t="str">
            <v>Frey,Georgia C.</v>
          </cell>
          <cell r="N8847">
            <v>3.0179999999999998</v>
          </cell>
          <cell r="O8847">
            <v>3.1139999999999999</v>
          </cell>
        </row>
        <row r="8848">
          <cell r="E8848" t="str">
            <v>HPER</v>
          </cell>
          <cell r="F8848" t="str">
            <v>HPER-P</v>
          </cell>
          <cell r="G8848">
            <v>398</v>
          </cell>
          <cell r="H8848" t="str">
            <v>HPER-P398</v>
          </cell>
          <cell r="K8848" t="str">
            <v>Frey,Georgia C.</v>
          </cell>
          <cell r="N8848">
            <v>2.996</v>
          </cell>
          <cell r="O8848">
            <v>3.1640000000000001</v>
          </cell>
        </row>
        <row r="8849">
          <cell r="E8849" t="str">
            <v>HPER</v>
          </cell>
          <cell r="F8849" t="str">
            <v>HPER-P</v>
          </cell>
          <cell r="G8849">
            <v>399</v>
          </cell>
          <cell r="H8849" t="str">
            <v>HPER-P399</v>
          </cell>
          <cell r="K8849" t="str">
            <v>Frey,Georgia C.</v>
          </cell>
          <cell r="N8849" t="str">
            <v>NR</v>
          </cell>
          <cell r="O8849" t="str">
            <v>NR</v>
          </cell>
        </row>
        <row r="8850">
          <cell r="E8850" t="str">
            <v>HPER</v>
          </cell>
          <cell r="F8850" t="str">
            <v>HPER-P</v>
          </cell>
          <cell r="G8850">
            <v>399</v>
          </cell>
          <cell r="H8850" t="str">
            <v>HPER-P399</v>
          </cell>
          <cell r="K8850" t="str">
            <v>Frey,Georgia C.</v>
          </cell>
          <cell r="N8850" t="str">
            <v>NR</v>
          </cell>
          <cell r="O8850" t="str">
            <v>NR</v>
          </cell>
        </row>
        <row r="8851">
          <cell r="E8851" t="str">
            <v>HPER</v>
          </cell>
          <cell r="F8851" t="str">
            <v>HPER-P</v>
          </cell>
          <cell r="G8851">
            <v>404</v>
          </cell>
          <cell r="H8851" t="str">
            <v>HPER-P404</v>
          </cell>
          <cell r="K8851" t="str">
            <v>Clavio,Galen Emil</v>
          </cell>
          <cell r="N8851">
            <v>3.419</v>
          </cell>
          <cell r="O8851">
            <v>2.8380000000000001</v>
          </cell>
        </row>
        <row r="8852">
          <cell r="E8852" t="str">
            <v>HPER</v>
          </cell>
          <cell r="F8852" t="str">
            <v>HPER-P</v>
          </cell>
          <cell r="G8852">
            <v>404</v>
          </cell>
          <cell r="H8852" t="str">
            <v>HPER-P404</v>
          </cell>
          <cell r="K8852" t="str">
            <v>Heitner,Darren A</v>
          </cell>
          <cell r="N8852">
            <v>3.6059999999999999</v>
          </cell>
          <cell r="O8852">
            <v>3.1</v>
          </cell>
        </row>
        <row r="8853">
          <cell r="E8853" t="str">
            <v>HPER</v>
          </cell>
          <cell r="F8853" t="str">
            <v>HPER-P</v>
          </cell>
          <cell r="G8853">
            <v>404</v>
          </cell>
          <cell r="H8853" t="str">
            <v>HPER-P404</v>
          </cell>
          <cell r="K8853" t="str">
            <v>Yoo,Sang Keon</v>
          </cell>
          <cell r="N8853">
            <v>3.71</v>
          </cell>
          <cell r="O8853">
            <v>3.085</v>
          </cell>
        </row>
        <row r="8854">
          <cell r="E8854" t="str">
            <v>HPER</v>
          </cell>
          <cell r="F8854" t="str">
            <v>HPER-P</v>
          </cell>
          <cell r="G8854">
            <v>405</v>
          </cell>
          <cell r="H8854" t="str">
            <v>HPER-P405</v>
          </cell>
          <cell r="K8854" t="str">
            <v>Baute,Kelly Jo</v>
          </cell>
          <cell r="N8854">
            <v>3.29</v>
          </cell>
          <cell r="O8854">
            <v>3.14</v>
          </cell>
        </row>
        <row r="8855">
          <cell r="E8855" t="str">
            <v>HPER</v>
          </cell>
          <cell r="F8855" t="str">
            <v>HPER-P</v>
          </cell>
          <cell r="G8855">
            <v>405</v>
          </cell>
          <cell r="H8855" t="str">
            <v>HPER-P405</v>
          </cell>
          <cell r="K8855" t="str">
            <v>Baute,Kelly Jo</v>
          </cell>
          <cell r="N8855">
            <v>2.944</v>
          </cell>
          <cell r="O8855">
            <v>2.7850000000000001</v>
          </cell>
        </row>
        <row r="8856">
          <cell r="E8856" t="str">
            <v>HPER</v>
          </cell>
          <cell r="F8856" t="str">
            <v>HPER-P</v>
          </cell>
          <cell r="G8856">
            <v>405</v>
          </cell>
          <cell r="H8856" t="str">
            <v>HPER-P405</v>
          </cell>
          <cell r="K8856" t="str">
            <v>Raglin,John S.</v>
          </cell>
          <cell r="N8856">
            <v>3.2480000000000002</v>
          </cell>
          <cell r="O8856">
            <v>3.2210000000000001</v>
          </cell>
        </row>
        <row r="8857">
          <cell r="E8857" t="str">
            <v>HPER</v>
          </cell>
          <cell r="F8857" t="str">
            <v>HPER-P</v>
          </cell>
          <cell r="G8857">
            <v>405</v>
          </cell>
          <cell r="H8857" t="str">
            <v>HPER-P405</v>
          </cell>
          <cell r="K8857" t="str">
            <v>Raglin,John S.</v>
          </cell>
          <cell r="N8857">
            <v>3.1269999999999998</v>
          </cell>
          <cell r="O8857">
            <v>3.1819999999999999</v>
          </cell>
        </row>
        <row r="8858">
          <cell r="E8858" t="str">
            <v>HPER</v>
          </cell>
          <cell r="F8858" t="str">
            <v>HPER-P</v>
          </cell>
          <cell r="G8858">
            <v>409</v>
          </cell>
          <cell r="H8858" t="str">
            <v>HPER-P409</v>
          </cell>
          <cell r="K8858" t="str">
            <v>Chapman,Robert</v>
          </cell>
          <cell r="N8858">
            <v>3.3439999999999999</v>
          </cell>
          <cell r="O8858">
            <v>3.298</v>
          </cell>
        </row>
        <row r="8859">
          <cell r="E8859" t="str">
            <v>HPER</v>
          </cell>
          <cell r="F8859" t="str">
            <v>HPER-P</v>
          </cell>
          <cell r="G8859">
            <v>409</v>
          </cell>
          <cell r="H8859" t="str">
            <v>HPER-P409</v>
          </cell>
          <cell r="K8859" t="str">
            <v>Chapman,Robert</v>
          </cell>
          <cell r="N8859" t="str">
            <v>NR</v>
          </cell>
          <cell r="O8859" t="str">
            <v>NR</v>
          </cell>
        </row>
        <row r="8860">
          <cell r="E8860" t="str">
            <v>HPER</v>
          </cell>
          <cell r="F8860" t="str">
            <v>HPER-P</v>
          </cell>
          <cell r="G8860">
            <v>409</v>
          </cell>
          <cell r="H8860" t="str">
            <v>HPER-P409</v>
          </cell>
          <cell r="K8860" t="str">
            <v>Chapman,Robert</v>
          </cell>
          <cell r="N8860">
            <v>3.1960000000000002</v>
          </cell>
          <cell r="O8860">
            <v>3.1589999999999998</v>
          </cell>
        </row>
        <row r="8861">
          <cell r="E8861" t="str">
            <v>HPER</v>
          </cell>
          <cell r="F8861" t="str">
            <v>HPER-P</v>
          </cell>
          <cell r="G8861">
            <v>411</v>
          </cell>
          <cell r="H8861" t="str">
            <v>HPER-P411</v>
          </cell>
          <cell r="K8861" t="str">
            <v>Vooris,Ryan P</v>
          </cell>
          <cell r="N8861">
            <v>2.7829999999999999</v>
          </cell>
          <cell r="O8861">
            <v>3.089</v>
          </cell>
        </row>
        <row r="8862">
          <cell r="E8862" t="str">
            <v>HPER</v>
          </cell>
          <cell r="F8862" t="str">
            <v>HPER-P</v>
          </cell>
          <cell r="G8862">
            <v>411</v>
          </cell>
          <cell r="H8862" t="str">
            <v>HPER-P411</v>
          </cell>
          <cell r="K8862" t="str">
            <v>Young,Sarah J</v>
          </cell>
          <cell r="N8862">
            <v>3.31</v>
          </cell>
          <cell r="O8862">
            <v>3.4689999999999999</v>
          </cell>
        </row>
        <row r="8863">
          <cell r="E8863" t="str">
            <v>HPER</v>
          </cell>
          <cell r="F8863" t="str">
            <v>HPER-P</v>
          </cell>
          <cell r="G8863">
            <v>412</v>
          </cell>
          <cell r="H8863" t="str">
            <v>HPER-P412</v>
          </cell>
          <cell r="K8863" t="str">
            <v>Wallace,Janet Patricia</v>
          </cell>
          <cell r="N8863">
            <v>3.1320000000000001</v>
          </cell>
          <cell r="O8863">
            <v>3.2829999999999999</v>
          </cell>
        </row>
        <row r="8864">
          <cell r="E8864" t="str">
            <v>HPER</v>
          </cell>
          <cell r="F8864" t="str">
            <v>HPER-P</v>
          </cell>
          <cell r="G8864">
            <v>414</v>
          </cell>
          <cell r="H8864" t="str">
            <v>HPER-P414</v>
          </cell>
          <cell r="K8864" t="str">
            <v>Cothran,Donetta Jean</v>
          </cell>
          <cell r="N8864">
            <v>4</v>
          </cell>
          <cell r="O8864">
            <v>3.0990000000000002</v>
          </cell>
        </row>
        <row r="8865">
          <cell r="E8865" t="str">
            <v>HPER</v>
          </cell>
          <cell r="F8865" t="str">
            <v>HPER-P</v>
          </cell>
          <cell r="G8865">
            <v>414</v>
          </cell>
          <cell r="H8865" t="str">
            <v>HPER-P414</v>
          </cell>
          <cell r="K8865" t="str">
            <v>Cothran,Donetta Jean</v>
          </cell>
          <cell r="N8865">
            <v>3.7130000000000001</v>
          </cell>
          <cell r="O8865">
            <v>3.2669999999999999</v>
          </cell>
        </row>
        <row r="8866">
          <cell r="E8866" t="str">
            <v>HPER</v>
          </cell>
          <cell r="F8866" t="str">
            <v>HPER-P</v>
          </cell>
          <cell r="G8866">
            <v>415</v>
          </cell>
          <cell r="H8866" t="str">
            <v>HPER-P415</v>
          </cell>
          <cell r="K8866" t="str">
            <v>Lim,Choong Hoon</v>
          </cell>
          <cell r="N8866">
            <v>3.0670000000000002</v>
          </cell>
          <cell r="O8866">
            <v>3.07</v>
          </cell>
        </row>
        <row r="8867">
          <cell r="E8867" t="str">
            <v>HPER</v>
          </cell>
          <cell r="F8867" t="str">
            <v>HPER-P</v>
          </cell>
          <cell r="G8867">
            <v>415</v>
          </cell>
          <cell r="H8867" t="str">
            <v>HPER-P415</v>
          </cell>
          <cell r="K8867" t="str">
            <v>Pantaleoni,Alexandria</v>
          </cell>
          <cell r="N8867">
            <v>3.14</v>
          </cell>
          <cell r="O8867">
            <v>2.9430000000000001</v>
          </cell>
        </row>
        <row r="8868">
          <cell r="E8868" t="str">
            <v>HPER</v>
          </cell>
          <cell r="F8868" t="str">
            <v>HPER-P</v>
          </cell>
          <cell r="G8868">
            <v>415</v>
          </cell>
          <cell r="H8868" t="str">
            <v>HPER-P415</v>
          </cell>
          <cell r="K8868" t="str">
            <v>Yoo,Sang Keon</v>
          </cell>
          <cell r="N8868">
            <v>3.4529999999999998</v>
          </cell>
          <cell r="O8868">
            <v>2.69</v>
          </cell>
        </row>
        <row r="8869">
          <cell r="E8869" t="str">
            <v>HPER</v>
          </cell>
          <cell r="F8869" t="str">
            <v>HPER-P</v>
          </cell>
          <cell r="G8869">
            <v>416</v>
          </cell>
          <cell r="H8869" t="str">
            <v>HPER-P416</v>
          </cell>
          <cell r="K8869" t="str">
            <v>Baute,Kelly Jo</v>
          </cell>
          <cell r="N8869">
            <v>3.4369999999999998</v>
          </cell>
          <cell r="O8869">
            <v>3.085</v>
          </cell>
        </row>
        <row r="8870">
          <cell r="E8870" t="str">
            <v>HPER</v>
          </cell>
          <cell r="F8870" t="str">
            <v>HPER-P</v>
          </cell>
          <cell r="G8870">
            <v>416</v>
          </cell>
          <cell r="H8870" t="str">
            <v>HPER-P416</v>
          </cell>
          <cell r="K8870" t="str">
            <v>Kennedy-Armbruster,Carol</v>
          </cell>
          <cell r="N8870">
            <v>3.2029999999999998</v>
          </cell>
          <cell r="O8870">
            <v>2.9729999999999999</v>
          </cell>
        </row>
        <row r="8871">
          <cell r="E8871" t="str">
            <v>HPER</v>
          </cell>
          <cell r="F8871" t="str">
            <v>HPER-P</v>
          </cell>
          <cell r="G8871">
            <v>417</v>
          </cell>
          <cell r="H8871" t="str">
            <v>HPER-P417</v>
          </cell>
          <cell r="K8871" t="str">
            <v>Johnston,Jeanne Deborah</v>
          </cell>
          <cell r="N8871">
            <v>3.3159999999999998</v>
          </cell>
          <cell r="O8871">
            <v>3.1080000000000001</v>
          </cell>
        </row>
        <row r="8872">
          <cell r="E8872" t="str">
            <v>HPER</v>
          </cell>
          <cell r="F8872" t="str">
            <v>HPER-P</v>
          </cell>
          <cell r="G8872">
            <v>418</v>
          </cell>
          <cell r="H8872" t="str">
            <v>HPER-P418</v>
          </cell>
          <cell r="K8872" t="str">
            <v>Walsh,Patrick Thomas</v>
          </cell>
          <cell r="N8872">
            <v>3.3740000000000001</v>
          </cell>
          <cell r="O8872">
            <v>3.1859999999999999</v>
          </cell>
        </row>
        <row r="8873">
          <cell r="E8873" t="str">
            <v>HPER</v>
          </cell>
          <cell r="F8873" t="str">
            <v>HPER-P</v>
          </cell>
          <cell r="G8873">
            <v>418</v>
          </cell>
          <cell r="H8873" t="str">
            <v>HPER-P418</v>
          </cell>
          <cell r="K8873" t="str">
            <v>Walsh,Patrick Thomas</v>
          </cell>
          <cell r="N8873">
            <v>3.423</v>
          </cell>
          <cell r="O8873">
            <v>3.22</v>
          </cell>
        </row>
        <row r="8874">
          <cell r="E8874" t="str">
            <v>HPER</v>
          </cell>
          <cell r="F8874" t="str">
            <v>HPER-P</v>
          </cell>
          <cell r="G8874">
            <v>418</v>
          </cell>
          <cell r="H8874" t="str">
            <v>HPER-P418</v>
          </cell>
          <cell r="K8874" t="str">
            <v>Williams,Antonio Sentel</v>
          </cell>
          <cell r="N8874">
            <v>3.29</v>
          </cell>
          <cell r="O8874">
            <v>2.8809999999999998</v>
          </cell>
        </row>
        <row r="8875">
          <cell r="E8875" t="str">
            <v>HPER</v>
          </cell>
          <cell r="F8875" t="str">
            <v>HPER-P</v>
          </cell>
          <cell r="G8875">
            <v>418</v>
          </cell>
          <cell r="H8875" t="str">
            <v>HPER-P418</v>
          </cell>
          <cell r="K8875" t="str">
            <v>Williams,Antonio Sentel</v>
          </cell>
          <cell r="N8875">
            <v>3.9140000000000001</v>
          </cell>
          <cell r="O8875">
            <v>3.359</v>
          </cell>
        </row>
        <row r="8876">
          <cell r="E8876" t="str">
            <v>HPER</v>
          </cell>
          <cell r="F8876" t="str">
            <v>HPER-P</v>
          </cell>
          <cell r="G8876">
            <v>419</v>
          </cell>
          <cell r="H8876" t="str">
            <v>HPER-P419</v>
          </cell>
          <cell r="K8876" t="str">
            <v>Miller,K. Michelle</v>
          </cell>
          <cell r="N8876">
            <v>3.4079999999999999</v>
          </cell>
          <cell r="O8876">
            <v>3.0960000000000001</v>
          </cell>
        </row>
        <row r="8877">
          <cell r="E8877" t="str">
            <v>HPER</v>
          </cell>
          <cell r="F8877" t="str">
            <v>HPER-P</v>
          </cell>
          <cell r="G8877">
            <v>420</v>
          </cell>
          <cell r="H8877" t="str">
            <v>HPER-P420</v>
          </cell>
          <cell r="K8877" t="str">
            <v>Miller,K. Michelle</v>
          </cell>
          <cell r="N8877">
            <v>3.3069999999999999</v>
          </cell>
          <cell r="O8877">
            <v>2.931</v>
          </cell>
        </row>
        <row r="8878">
          <cell r="E8878" t="str">
            <v>HPER</v>
          </cell>
          <cell r="F8878" t="str">
            <v>HPER-P</v>
          </cell>
          <cell r="G8878">
            <v>423</v>
          </cell>
          <cell r="H8878" t="str">
            <v>HPER-P423</v>
          </cell>
          <cell r="K8878" t="str">
            <v>Choi,Wanyong</v>
          </cell>
          <cell r="N8878">
            <v>3.35</v>
          </cell>
          <cell r="O8878">
            <v>3.0470000000000002</v>
          </cell>
        </row>
        <row r="8879">
          <cell r="E8879" t="str">
            <v>HPER</v>
          </cell>
          <cell r="F8879" t="str">
            <v>HPER-P</v>
          </cell>
          <cell r="G8879">
            <v>423</v>
          </cell>
          <cell r="H8879" t="str">
            <v>HPER-P423</v>
          </cell>
          <cell r="K8879" t="str">
            <v>Kim,DaeYeon</v>
          </cell>
          <cell r="N8879">
            <v>3.5289999999999999</v>
          </cell>
          <cell r="O8879">
            <v>3.3130000000000002</v>
          </cell>
        </row>
        <row r="8880">
          <cell r="E8880" t="str">
            <v>HPER</v>
          </cell>
          <cell r="F8880" t="str">
            <v>HPER-P</v>
          </cell>
          <cell r="G8880">
            <v>423</v>
          </cell>
          <cell r="H8880" t="str">
            <v>HPER-P423</v>
          </cell>
          <cell r="K8880" t="str">
            <v>Kim,DaeYeon</v>
          </cell>
          <cell r="N8880">
            <v>3.3530000000000002</v>
          </cell>
          <cell r="O8880">
            <v>3.1230000000000002</v>
          </cell>
        </row>
        <row r="8881">
          <cell r="E8881" t="str">
            <v>HPER</v>
          </cell>
          <cell r="F8881" t="str">
            <v>HPER-P</v>
          </cell>
          <cell r="G8881">
            <v>426</v>
          </cell>
          <cell r="H8881" t="str">
            <v>HPER-P426</v>
          </cell>
          <cell r="K8881" t="str">
            <v>Schoenfeld,Jared Bradley</v>
          </cell>
          <cell r="N8881">
            <v>3.746</v>
          </cell>
          <cell r="O8881">
            <v>3.2789999999999999</v>
          </cell>
        </row>
        <row r="8882">
          <cell r="E8882" t="str">
            <v>HPER</v>
          </cell>
          <cell r="F8882" t="str">
            <v>HPER-P</v>
          </cell>
          <cell r="G8882">
            <v>426</v>
          </cell>
          <cell r="H8882" t="str">
            <v>HPER-P426</v>
          </cell>
          <cell r="K8882" t="str">
            <v>Wright,Cara</v>
          </cell>
          <cell r="N8882">
            <v>4</v>
          </cell>
          <cell r="O8882">
            <v>3.2509999999999999</v>
          </cell>
        </row>
        <row r="8883">
          <cell r="E8883" t="str">
            <v>HPER</v>
          </cell>
          <cell r="F8883" t="str">
            <v>HPER-P</v>
          </cell>
          <cell r="G8883">
            <v>428</v>
          </cell>
          <cell r="H8883" t="str">
            <v>HPER-P428</v>
          </cell>
          <cell r="K8883" t="str">
            <v>Burch,Lauren Marie</v>
          </cell>
          <cell r="N8883">
            <v>3.5870000000000002</v>
          </cell>
          <cell r="O8883">
            <v>3.254</v>
          </cell>
        </row>
        <row r="8884">
          <cell r="E8884" t="str">
            <v>HPER</v>
          </cell>
          <cell r="F8884" t="str">
            <v>HPER-P</v>
          </cell>
          <cell r="G8884">
            <v>428</v>
          </cell>
          <cell r="H8884" t="str">
            <v>HPER-P428</v>
          </cell>
          <cell r="K8884" t="str">
            <v>Chung,Jinwook</v>
          </cell>
          <cell r="N8884">
            <v>3.827</v>
          </cell>
          <cell r="O8884">
            <v>3.246</v>
          </cell>
        </row>
        <row r="8885">
          <cell r="E8885" t="str">
            <v>HPER</v>
          </cell>
          <cell r="F8885" t="str">
            <v>HPER-P</v>
          </cell>
          <cell r="G8885">
            <v>435</v>
          </cell>
          <cell r="H8885" t="str">
            <v>HPER-P435</v>
          </cell>
          <cell r="K8885" t="str">
            <v>Henson,Phillip Likins</v>
          </cell>
          <cell r="N8885">
            <v>3.8220000000000001</v>
          </cell>
          <cell r="O8885">
            <v>3.0449999999999999</v>
          </cell>
        </row>
        <row r="8886">
          <cell r="E8886" t="str">
            <v>HPER</v>
          </cell>
          <cell r="F8886" t="str">
            <v>HPER-P</v>
          </cell>
          <cell r="G8886">
            <v>438</v>
          </cell>
          <cell r="H8886" t="str">
            <v>HPER-P438</v>
          </cell>
          <cell r="K8886" t="str">
            <v>Hamm,Gwendolyn A.</v>
          </cell>
          <cell r="N8886" t="str">
            <v>NR</v>
          </cell>
          <cell r="O8886" t="str">
            <v>NR</v>
          </cell>
        </row>
        <row r="8887">
          <cell r="E8887" t="str">
            <v>HPER</v>
          </cell>
          <cell r="F8887" t="str">
            <v>HPER-P</v>
          </cell>
          <cell r="G8887">
            <v>438</v>
          </cell>
          <cell r="H8887" t="str">
            <v>HPER-P438</v>
          </cell>
          <cell r="K8887" t="str">
            <v>Hamm,Gwendolyn A.</v>
          </cell>
          <cell r="N8887" t="str">
            <v>NR</v>
          </cell>
          <cell r="O8887" t="str">
            <v>NR</v>
          </cell>
        </row>
        <row r="8888">
          <cell r="E8888" t="str">
            <v>HPER</v>
          </cell>
          <cell r="F8888" t="str">
            <v>HPER-P</v>
          </cell>
          <cell r="G8888">
            <v>439</v>
          </cell>
          <cell r="H8888" t="str">
            <v>HPER-P439</v>
          </cell>
          <cell r="K8888" t="str">
            <v>Hamm,Gwendolyn A.</v>
          </cell>
          <cell r="N8888" t="str">
            <v>NR</v>
          </cell>
          <cell r="O8888" t="str">
            <v>NR</v>
          </cell>
        </row>
        <row r="8889">
          <cell r="E8889" t="str">
            <v>HPER</v>
          </cell>
          <cell r="F8889" t="str">
            <v>HPER-P</v>
          </cell>
          <cell r="G8889">
            <v>439</v>
          </cell>
          <cell r="H8889" t="str">
            <v>HPER-P439</v>
          </cell>
          <cell r="K8889" t="str">
            <v>Hamm,Gwendolyn A.</v>
          </cell>
          <cell r="N8889" t="str">
            <v>NR</v>
          </cell>
          <cell r="O8889" t="str">
            <v>NR</v>
          </cell>
        </row>
        <row r="8890">
          <cell r="E8890" t="str">
            <v>HPER</v>
          </cell>
          <cell r="F8890" t="str">
            <v>HPER-P</v>
          </cell>
          <cell r="G8890">
            <v>439</v>
          </cell>
          <cell r="H8890" t="str">
            <v>HPER-P439</v>
          </cell>
          <cell r="K8890" t="str">
            <v>Hamm,Gwendolyn A.</v>
          </cell>
          <cell r="N8890" t="str">
            <v>NR</v>
          </cell>
          <cell r="O8890" t="str">
            <v>NR</v>
          </cell>
        </row>
        <row r="8891">
          <cell r="E8891" t="str">
            <v>HPER</v>
          </cell>
          <cell r="F8891" t="str">
            <v>HPER-P</v>
          </cell>
          <cell r="G8891">
            <v>445</v>
          </cell>
          <cell r="H8891" t="str">
            <v>HPER-P445</v>
          </cell>
          <cell r="K8891" t="str">
            <v>Carter,Selene B</v>
          </cell>
          <cell r="N8891" t="str">
            <v>NR</v>
          </cell>
          <cell r="O8891" t="str">
            <v>NR</v>
          </cell>
        </row>
        <row r="8892">
          <cell r="E8892" t="str">
            <v>HPER</v>
          </cell>
          <cell r="F8892" t="str">
            <v>HPER-P</v>
          </cell>
          <cell r="G8892">
            <v>445</v>
          </cell>
          <cell r="H8892" t="str">
            <v>HPER-P445</v>
          </cell>
          <cell r="K8892" t="str">
            <v>Deal,Mark R</v>
          </cell>
          <cell r="N8892">
            <v>3.8</v>
          </cell>
          <cell r="O8892">
            <v>3.0790000000000002</v>
          </cell>
        </row>
        <row r="8893">
          <cell r="E8893" t="str">
            <v>HPER</v>
          </cell>
          <cell r="F8893" t="str">
            <v>HPER-P</v>
          </cell>
          <cell r="G8893">
            <v>445</v>
          </cell>
          <cell r="H8893" t="str">
            <v>HPER-P445</v>
          </cell>
          <cell r="K8893" t="str">
            <v>Frederick,Evan Layne</v>
          </cell>
          <cell r="N8893">
            <v>3.4689999999999999</v>
          </cell>
          <cell r="O8893">
            <v>2.8959999999999999</v>
          </cell>
        </row>
        <row r="8894">
          <cell r="E8894" t="str">
            <v>HPER</v>
          </cell>
          <cell r="F8894" t="str">
            <v>HPER-P</v>
          </cell>
          <cell r="G8894">
            <v>445</v>
          </cell>
          <cell r="H8894" t="str">
            <v>HPER-P445</v>
          </cell>
          <cell r="K8894" t="str">
            <v>Harrell,John R</v>
          </cell>
          <cell r="N8894">
            <v>2.9</v>
          </cell>
          <cell r="O8894">
            <v>2.8540000000000001</v>
          </cell>
        </row>
        <row r="8895">
          <cell r="E8895" t="str">
            <v>HPER</v>
          </cell>
          <cell r="F8895" t="str">
            <v>HPER-P</v>
          </cell>
          <cell r="G8895">
            <v>445</v>
          </cell>
          <cell r="H8895" t="str">
            <v>HPER-P445</v>
          </cell>
          <cell r="K8895" t="str">
            <v>Henson,Phillip Likins</v>
          </cell>
          <cell r="N8895" t="str">
            <v>NR</v>
          </cell>
          <cell r="O8895" t="str">
            <v>NR</v>
          </cell>
        </row>
        <row r="8896">
          <cell r="E8896" t="str">
            <v>HPER</v>
          </cell>
          <cell r="F8896" t="str">
            <v>HPER-P</v>
          </cell>
          <cell r="G8896">
            <v>445</v>
          </cell>
          <cell r="H8896" t="str">
            <v>HPER-P445</v>
          </cell>
          <cell r="K8896" t="str">
            <v>Henson,Phillip Likins</v>
          </cell>
          <cell r="N8896" t="str">
            <v>NR</v>
          </cell>
          <cell r="O8896" t="str">
            <v>NR</v>
          </cell>
        </row>
        <row r="8897">
          <cell r="E8897" t="str">
            <v>HPER</v>
          </cell>
          <cell r="F8897" t="str">
            <v>HPER-P</v>
          </cell>
          <cell r="G8897">
            <v>445</v>
          </cell>
          <cell r="H8897" t="str">
            <v>HPER-P445</v>
          </cell>
          <cell r="K8897" t="str">
            <v>Huber,Lesa</v>
          </cell>
          <cell r="N8897" t="str">
            <v>NR</v>
          </cell>
          <cell r="O8897" t="str">
            <v>NR</v>
          </cell>
        </row>
        <row r="8898">
          <cell r="E8898" t="str">
            <v>HPER</v>
          </cell>
          <cell r="F8898" t="str">
            <v>HPER-P</v>
          </cell>
          <cell r="G8898">
            <v>445</v>
          </cell>
          <cell r="H8898" t="str">
            <v>HPER-P445</v>
          </cell>
          <cell r="K8898" t="str">
            <v>Mc Kinney,Thomas David</v>
          </cell>
          <cell r="N8898">
            <v>3.5129999999999999</v>
          </cell>
          <cell r="O8898">
            <v>2.9649999999999999</v>
          </cell>
        </row>
        <row r="8899">
          <cell r="E8899" t="str">
            <v>HPER</v>
          </cell>
          <cell r="F8899" t="str">
            <v>HPER-P</v>
          </cell>
          <cell r="G8899">
            <v>445</v>
          </cell>
          <cell r="H8899" t="str">
            <v>HPER-P445</v>
          </cell>
          <cell r="K8899" t="str">
            <v>Mc Kinney,Thomas David</v>
          </cell>
          <cell r="N8899">
            <v>3.56</v>
          </cell>
          <cell r="O8899">
            <v>3.141</v>
          </cell>
        </row>
        <row r="8900">
          <cell r="E8900" t="str">
            <v>HPER</v>
          </cell>
          <cell r="F8900" t="str">
            <v>HPER-P</v>
          </cell>
          <cell r="G8900">
            <v>445</v>
          </cell>
          <cell r="H8900" t="str">
            <v>HPER-P445</v>
          </cell>
          <cell r="K8900" t="str">
            <v>Noble,Melissa L</v>
          </cell>
          <cell r="N8900">
            <v>4</v>
          </cell>
          <cell r="O8900">
            <v>3.5009999999999999</v>
          </cell>
        </row>
        <row r="8901">
          <cell r="E8901" t="str">
            <v>HPER</v>
          </cell>
          <cell r="F8901" t="str">
            <v>HPER-P</v>
          </cell>
          <cell r="G8901">
            <v>445</v>
          </cell>
          <cell r="H8901" t="str">
            <v>HPER-P445</v>
          </cell>
          <cell r="K8901" t="str">
            <v>Sieg,Brandon Lee</v>
          </cell>
          <cell r="N8901" t="str">
            <v>NR</v>
          </cell>
          <cell r="O8901" t="str">
            <v>NR</v>
          </cell>
        </row>
        <row r="8902">
          <cell r="E8902" t="str">
            <v>HPER</v>
          </cell>
          <cell r="F8902" t="str">
            <v>HPER-P</v>
          </cell>
          <cell r="G8902">
            <v>445</v>
          </cell>
          <cell r="H8902" t="str">
            <v>HPER-P445</v>
          </cell>
          <cell r="K8902" t="str">
            <v>Singleton,Braden Tilly</v>
          </cell>
          <cell r="N8902" t="str">
            <v>NR</v>
          </cell>
          <cell r="O8902" t="str">
            <v>NR</v>
          </cell>
        </row>
        <row r="8903">
          <cell r="E8903" t="str">
            <v>HPER</v>
          </cell>
          <cell r="F8903" t="str">
            <v>HPER-P</v>
          </cell>
          <cell r="G8903">
            <v>445</v>
          </cell>
          <cell r="H8903" t="str">
            <v>HPER-P445</v>
          </cell>
          <cell r="K8903" t="str">
            <v>Yoke,Mary</v>
          </cell>
          <cell r="N8903">
            <v>3.2690000000000001</v>
          </cell>
          <cell r="O8903">
            <v>3.1259999999999999</v>
          </cell>
        </row>
        <row r="8904">
          <cell r="E8904" t="str">
            <v>HPER</v>
          </cell>
          <cell r="F8904" t="str">
            <v>HPER-P</v>
          </cell>
          <cell r="G8904">
            <v>448</v>
          </cell>
          <cell r="H8904" t="str">
            <v>HPER-P448</v>
          </cell>
          <cell r="K8904" t="str">
            <v>Miller,K. Michelle</v>
          </cell>
          <cell r="N8904" t="str">
            <v>NR</v>
          </cell>
          <cell r="O8904" t="str">
            <v>NR</v>
          </cell>
        </row>
        <row r="8905">
          <cell r="E8905" t="str">
            <v>HPER</v>
          </cell>
          <cell r="F8905" t="str">
            <v>HPER-P</v>
          </cell>
          <cell r="G8905">
            <v>448</v>
          </cell>
          <cell r="H8905" t="str">
            <v>HPER-P448</v>
          </cell>
          <cell r="K8905" t="str">
            <v>Myers,Sarah Helen</v>
          </cell>
          <cell r="N8905" t="str">
            <v>NR</v>
          </cell>
          <cell r="O8905" t="str">
            <v>NR</v>
          </cell>
        </row>
        <row r="8906">
          <cell r="E8906" t="str">
            <v>HPER</v>
          </cell>
          <cell r="F8906" t="str">
            <v>HPER-P</v>
          </cell>
          <cell r="G8906">
            <v>448</v>
          </cell>
          <cell r="H8906" t="str">
            <v>HPER-P448</v>
          </cell>
          <cell r="K8906" t="str">
            <v>Simmons,Susan E</v>
          </cell>
          <cell r="N8906" t="str">
            <v>NR</v>
          </cell>
          <cell r="O8906" t="str">
            <v>NR</v>
          </cell>
        </row>
        <row r="8907">
          <cell r="E8907" t="str">
            <v>HPER</v>
          </cell>
          <cell r="F8907" t="str">
            <v>HPER-P</v>
          </cell>
          <cell r="G8907">
            <v>449</v>
          </cell>
          <cell r="H8907" t="str">
            <v>HPER-P449</v>
          </cell>
          <cell r="K8907" t="str">
            <v>Hamm,Gwendolyn A.</v>
          </cell>
          <cell r="N8907" t="str">
            <v>NR</v>
          </cell>
          <cell r="O8907" t="str">
            <v>NR</v>
          </cell>
        </row>
        <row r="8908">
          <cell r="E8908" t="str">
            <v>HPER</v>
          </cell>
          <cell r="F8908" t="str">
            <v>HPER-P</v>
          </cell>
          <cell r="G8908">
            <v>449</v>
          </cell>
          <cell r="H8908" t="str">
            <v>HPER-P449</v>
          </cell>
          <cell r="K8908" t="str">
            <v>Hamm,Gwendolyn A.</v>
          </cell>
          <cell r="N8908" t="str">
            <v>NR</v>
          </cell>
          <cell r="O8908" t="str">
            <v>NR</v>
          </cell>
        </row>
        <row r="8909">
          <cell r="E8909" t="str">
            <v>HPER</v>
          </cell>
          <cell r="F8909" t="str">
            <v>HPER-P</v>
          </cell>
          <cell r="G8909">
            <v>449</v>
          </cell>
          <cell r="H8909" t="str">
            <v>HPER-P449</v>
          </cell>
          <cell r="K8909" t="str">
            <v>Hamm,Gwendolyn A.</v>
          </cell>
          <cell r="N8909" t="str">
            <v>NR</v>
          </cell>
          <cell r="O8909" t="str">
            <v>NR</v>
          </cell>
        </row>
        <row r="8910">
          <cell r="E8910" t="str">
            <v>HPER</v>
          </cell>
          <cell r="F8910" t="str">
            <v>HPER-P</v>
          </cell>
          <cell r="G8910">
            <v>452</v>
          </cell>
          <cell r="H8910" t="str">
            <v>HPER-P452</v>
          </cell>
          <cell r="K8910" t="str">
            <v>Shea,John B.</v>
          </cell>
          <cell r="N8910">
            <v>3.4220000000000002</v>
          </cell>
          <cell r="O8910">
            <v>3.1520000000000001</v>
          </cell>
        </row>
        <row r="8911">
          <cell r="E8911" t="str">
            <v>HPER</v>
          </cell>
          <cell r="F8911" t="str">
            <v>HPER-P</v>
          </cell>
          <cell r="G8911">
            <v>452</v>
          </cell>
          <cell r="H8911" t="str">
            <v>HPER-P452</v>
          </cell>
          <cell r="K8911" t="str">
            <v>Shea,John B.</v>
          </cell>
          <cell r="N8911">
            <v>3.327</v>
          </cell>
          <cell r="O8911">
            <v>3.2050000000000001</v>
          </cell>
        </row>
        <row r="8912">
          <cell r="E8912" t="str">
            <v>HPER</v>
          </cell>
          <cell r="F8912" t="str">
            <v>HPER-P</v>
          </cell>
          <cell r="G8912">
            <v>455</v>
          </cell>
          <cell r="H8912" t="str">
            <v>HPER-P455</v>
          </cell>
          <cell r="K8912" t="str">
            <v>Henson,Phillip Likins</v>
          </cell>
          <cell r="N8912">
            <v>4</v>
          </cell>
          <cell r="O8912">
            <v>3.2930000000000001</v>
          </cell>
        </row>
        <row r="8913">
          <cell r="E8913" t="str">
            <v>HPER</v>
          </cell>
          <cell r="F8913" t="str">
            <v>HPER-P</v>
          </cell>
          <cell r="G8913">
            <v>455</v>
          </cell>
          <cell r="H8913" t="str">
            <v>HPER-P455</v>
          </cell>
          <cell r="K8913" t="str">
            <v>Henson,Phillip Likins</v>
          </cell>
          <cell r="N8913">
            <v>4</v>
          </cell>
          <cell r="O8913">
            <v>3.1110000000000002</v>
          </cell>
        </row>
        <row r="8914">
          <cell r="E8914" t="str">
            <v>HPER</v>
          </cell>
          <cell r="F8914" t="str">
            <v>HPER-P</v>
          </cell>
          <cell r="G8914">
            <v>472</v>
          </cell>
          <cell r="H8914" t="str">
            <v>HPER-P472</v>
          </cell>
          <cell r="K8914" t="str">
            <v>Kessler,Robert G.</v>
          </cell>
          <cell r="N8914">
            <v>4</v>
          </cell>
          <cell r="O8914">
            <v>3.391</v>
          </cell>
        </row>
        <row r="8915">
          <cell r="E8915" t="str">
            <v>HPER</v>
          </cell>
          <cell r="F8915" t="str">
            <v>HPER-P</v>
          </cell>
          <cell r="G8915">
            <v>488</v>
          </cell>
          <cell r="H8915" t="str">
            <v>HPER-P488</v>
          </cell>
          <cell r="K8915" t="str">
            <v>Kingma,Jackie</v>
          </cell>
          <cell r="N8915">
            <v>3.64</v>
          </cell>
          <cell r="O8915">
            <v>3.1920000000000002</v>
          </cell>
        </row>
        <row r="8916">
          <cell r="E8916" t="str">
            <v>HPER</v>
          </cell>
          <cell r="F8916" t="str">
            <v>HPER-P</v>
          </cell>
          <cell r="G8916">
            <v>490</v>
          </cell>
          <cell r="H8916" t="str">
            <v>HPER-P490</v>
          </cell>
          <cell r="K8916" t="str">
            <v>Frey,Georgia C.</v>
          </cell>
          <cell r="N8916">
            <v>2.5329999999999999</v>
          </cell>
          <cell r="O8916">
            <v>3.2210000000000001</v>
          </cell>
        </row>
        <row r="8917">
          <cell r="E8917" t="str">
            <v>HPER</v>
          </cell>
          <cell r="F8917" t="str">
            <v>HPER-P</v>
          </cell>
          <cell r="G8917">
            <v>491</v>
          </cell>
          <cell r="H8917" t="str">
            <v>HPER-P491</v>
          </cell>
          <cell r="K8917" t="str">
            <v>Beeker,Charles Dean</v>
          </cell>
          <cell r="N8917" t="str">
            <v>NR</v>
          </cell>
          <cell r="O8917" t="str">
            <v>NR</v>
          </cell>
        </row>
        <row r="8918">
          <cell r="E8918" t="str">
            <v>HPER</v>
          </cell>
          <cell r="F8918" t="str">
            <v>HPER-P</v>
          </cell>
          <cell r="G8918">
            <v>491</v>
          </cell>
          <cell r="H8918" t="str">
            <v>HPER-P491</v>
          </cell>
          <cell r="K8918" t="str">
            <v>Frey,Georgia C.</v>
          </cell>
          <cell r="N8918" t="str">
            <v>NR</v>
          </cell>
          <cell r="O8918" t="str">
            <v>NR</v>
          </cell>
        </row>
        <row r="8919">
          <cell r="E8919" t="str">
            <v>HPER</v>
          </cell>
          <cell r="F8919" t="str">
            <v>HPER-P</v>
          </cell>
          <cell r="G8919">
            <v>491</v>
          </cell>
          <cell r="H8919" t="str">
            <v>HPER-P491</v>
          </cell>
          <cell r="K8919" t="str">
            <v>Hong,S. Lee</v>
          </cell>
          <cell r="N8919" t="str">
            <v>NR</v>
          </cell>
          <cell r="O8919" t="str">
            <v>NR</v>
          </cell>
        </row>
        <row r="8920">
          <cell r="E8920" t="str">
            <v>HPER</v>
          </cell>
          <cell r="F8920" t="str">
            <v>HPER-P</v>
          </cell>
          <cell r="G8920">
            <v>491</v>
          </cell>
          <cell r="H8920" t="str">
            <v>HPER-P491</v>
          </cell>
          <cell r="K8920" t="str">
            <v>Sailes,Gary A.</v>
          </cell>
          <cell r="N8920" t="str">
            <v>NR</v>
          </cell>
          <cell r="O8920" t="str">
            <v>NR</v>
          </cell>
        </row>
        <row r="8921">
          <cell r="E8921" t="str">
            <v>HPER</v>
          </cell>
          <cell r="F8921" t="str">
            <v>HPER-P</v>
          </cell>
          <cell r="G8921">
            <v>492</v>
          </cell>
          <cell r="H8921" t="str">
            <v>HPER-P492</v>
          </cell>
          <cell r="K8921" t="str">
            <v>Connelly,Cassandra Lee</v>
          </cell>
          <cell r="N8921" t="str">
            <v>NR</v>
          </cell>
          <cell r="O8921" t="str">
            <v>NR</v>
          </cell>
        </row>
        <row r="8922">
          <cell r="E8922" t="str">
            <v>HPER</v>
          </cell>
          <cell r="F8922" t="str">
            <v>HPER-P</v>
          </cell>
          <cell r="G8922">
            <v>492</v>
          </cell>
          <cell r="H8922" t="str">
            <v>HPER-P492</v>
          </cell>
          <cell r="K8922" t="str">
            <v>Grove,Katie A.</v>
          </cell>
          <cell r="N8922" t="str">
            <v>NR</v>
          </cell>
          <cell r="O8922" t="str">
            <v>NR</v>
          </cell>
        </row>
        <row r="8923">
          <cell r="E8923" t="str">
            <v>HPER</v>
          </cell>
          <cell r="F8923" t="str">
            <v>HPER-P</v>
          </cell>
          <cell r="G8923">
            <v>492</v>
          </cell>
          <cell r="H8923" t="str">
            <v>HPER-P492</v>
          </cell>
          <cell r="K8923" t="str">
            <v>Kennedy-Armbruster,Carol</v>
          </cell>
          <cell r="N8923" t="str">
            <v>NR</v>
          </cell>
          <cell r="O8923" t="str">
            <v>NR</v>
          </cell>
        </row>
        <row r="8924">
          <cell r="E8924" t="str">
            <v>HPER</v>
          </cell>
          <cell r="F8924" t="str">
            <v>HPER-P</v>
          </cell>
          <cell r="G8924">
            <v>492</v>
          </cell>
          <cell r="H8924" t="str">
            <v>HPER-P492</v>
          </cell>
          <cell r="K8924" t="str">
            <v>Mickleborough,Timothy Derek</v>
          </cell>
          <cell r="N8924" t="str">
            <v>NR</v>
          </cell>
          <cell r="O8924" t="str">
            <v>NR</v>
          </cell>
        </row>
        <row r="8925">
          <cell r="E8925" t="str">
            <v>HPER</v>
          </cell>
          <cell r="F8925" t="str">
            <v>HPER-P</v>
          </cell>
          <cell r="G8925">
            <v>492</v>
          </cell>
          <cell r="H8925" t="str">
            <v>HPER-P492</v>
          </cell>
          <cell r="K8925" t="str">
            <v>Miller,K. Michelle</v>
          </cell>
          <cell r="N8925" t="str">
            <v>NR</v>
          </cell>
          <cell r="O8925" t="str">
            <v>NR</v>
          </cell>
        </row>
        <row r="8926">
          <cell r="E8926" t="str">
            <v>HPER</v>
          </cell>
          <cell r="F8926" t="str">
            <v>HPER-P</v>
          </cell>
          <cell r="G8926">
            <v>492</v>
          </cell>
          <cell r="H8926" t="str">
            <v>HPER-P492</v>
          </cell>
          <cell r="K8926" t="str">
            <v>Miller,K. Michelle</v>
          </cell>
          <cell r="N8926" t="str">
            <v>NR</v>
          </cell>
          <cell r="O8926" t="str">
            <v>NR</v>
          </cell>
        </row>
        <row r="8927">
          <cell r="E8927" t="str">
            <v>HPER</v>
          </cell>
          <cell r="F8927" t="str">
            <v>HPER-P</v>
          </cell>
          <cell r="G8927">
            <v>492</v>
          </cell>
          <cell r="H8927" t="str">
            <v>HPER-P492</v>
          </cell>
          <cell r="K8927" t="str">
            <v>Miller,K. Michelle</v>
          </cell>
          <cell r="N8927" t="str">
            <v>NR</v>
          </cell>
          <cell r="O8927" t="str">
            <v>NR</v>
          </cell>
        </row>
        <row r="8928">
          <cell r="E8928" t="str">
            <v>HPER</v>
          </cell>
          <cell r="F8928" t="str">
            <v>HPER-P</v>
          </cell>
          <cell r="G8928">
            <v>492</v>
          </cell>
          <cell r="H8928" t="str">
            <v>HPER-P492</v>
          </cell>
          <cell r="K8928" t="str">
            <v>Myers,Sarah Helen</v>
          </cell>
          <cell r="N8928" t="str">
            <v>NR</v>
          </cell>
          <cell r="O8928" t="str">
            <v>NR</v>
          </cell>
        </row>
        <row r="8929">
          <cell r="E8929" t="str">
            <v>HPER</v>
          </cell>
          <cell r="F8929" t="str">
            <v>HPER-P</v>
          </cell>
          <cell r="G8929">
            <v>492</v>
          </cell>
          <cell r="H8929" t="str">
            <v>HPER-P492</v>
          </cell>
          <cell r="K8929" t="str">
            <v>Myers,Sarah Helen</v>
          </cell>
          <cell r="N8929" t="str">
            <v>NR</v>
          </cell>
          <cell r="O8929" t="str">
            <v>NR</v>
          </cell>
        </row>
        <row r="8930">
          <cell r="E8930" t="str">
            <v>HPER</v>
          </cell>
          <cell r="F8930" t="str">
            <v>HPER-P</v>
          </cell>
          <cell r="G8930">
            <v>492</v>
          </cell>
          <cell r="H8930" t="str">
            <v>HPER-P492</v>
          </cell>
          <cell r="K8930" t="str">
            <v>Nichols,Tammy M</v>
          </cell>
          <cell r="N8930" t="str">
            <v>NR</v>
          </cell>
          <cell r="O8930" t="str">
            <v>NR</v>
          </cell>
        </row>
        <row r="8931">
          <cell r="E8931" t="str">
            <v>HPER</v>
          </cell>
          <cell r="F8931" t="str">
            <v>HPER-P</v>
          </cell>
          <cell r="G8931">
            <v>492</v>
          </cell>
          <cell r="H8931" t="str">
            <v>HPER-P492</v>
          </cell>
          <cell r="K8931" t="str">
            <v>Nichols,Tammy M</v>
          </cell>
          <cell r="N8931" t="str">
            <v>NR</v>
          </cell>
          <cell r="O8931" t="str">
            <v>NR</v>
          </cell>
        </row>
        <row r="8932">
          <cell r="E8932" t="str">
            <v>HPER</v>
          </cell>
          <cell r="F8932" t="str">
            <v>HPER-P</v>
          </cell>
          <cell r="G8932">
            <v>492</v>
          </cell>
          <cell r="H8932" t="str">
            <v>HPER-P492</v>
          </cell>
          <cell r="K8932" t="str">
            <v>Nichols,Tammy M</v>
          </cell>
          <cell r="N8932" t="str">
            <v>NR</v>
          </cell>
          <cell r="O8932" t="str">
            <v>NR</v>
          </cell>
        </row>
        <row r="8933">
          <cell r="E8933" t="str">
            <v>HPER</v>
          </cell>
          <cell r="F8933" t="str">
            <v>HPER-P</v>
          </cell>
          <cell r="G8933">
            <v>492</v>
          </cell>
          <cell r="H8933" t="str">
            <v>HPER-P492</v>
          </cell>
          <cell r="K8933" t="str">
            <v>Simmons,Susan E</v>
          </cell>
          <cell r="N8933" t="str">
            <v>NR</v>
          </cell>
          <cell r="O8933" t="str">
            <v>NR</v>
          </cell>
        </row>
        <row r="8934">
          <cell r="E8934" t="str">
            <v>HPER</v>
          </cell>
          <cell r="F8934" t="str">
            <v>HPER-P</v>
          </cell>
          <cell r="G8934">
            <v>492</v>
          </cell>
          <cell r="H8934" t="str">
            <v>HPER-P492</v>
          </cell>
          <cell r="K8934" t="str">
            <v>Simmons,Susan E</v>
          </cell>
          <cell r="N8934" t="str">
            <v>NR</v>
          </cell>
          <cell r="O8934" t="str">
            <v>NR</v>
          </cell>
        </row>
        <row r="8935">
          <cell r="E8935" t="str">
            <v>HPER</v>
          </cell>
          <cell r="F8935" t="str">
            <v>HPER-P</v>
          </cell>
          <cell r="G8935">
            <v>495</v>
          </cell>
          <cell r="H8935" t="str">
            <v>HPER-P495</v>
          </cell>
          <cell r="K8935" t="str">
            <v>Willett,Michael</v>
          </cell>
          <cell r="N8935" t="str">
            <v>NR</v>
          </cell>
          <cell r="O8935" t="str">
            <v>NR</v>
          </cell>
        </row>
        <row r="8936">
          <cell r="E8936" t="str">
            <v>HPER</v>
          </cell>
          <cell r="F8936" t="str">
            <v>HPER-P</v>
          </cell>
          <cell r="G8936">
            <v>495</v>
          </cell>
          <cell r="H8936" t="str">
            <v>HPER-P495</v>
          </cell>
          <cell r="K8936" t="str">
            <v>Willett,Michael</v>
          </cell>
          <cell r="N8936" t="str">
            <v>NR</v>
          </cell>
          <cell r="O8936" t="str">
            <v>NR</v>
          </cell>
        </row>
        <row r="8937">
          <cell r="E8937" t="str">
            <v>HPER</v>
          </cell>
          <cell r="F8937" t="str">
            <v>HPER-P</v>
          </cell>
          <cell r="G8937">
            <v>498</v>
          </cell>
          <cell r="H8937" t="str">
            <v>HPER-P498</v>
          </cell>
          <cell r="K8937" t="str">
            <v>Barbrick,Donna M</v>
          </cell>
          <cell r="N8937" t="str">
            <v>NR</v>
          </cell>
          <cell r="O8937" t="str">
            <v>NR</v>
          </cell>
        </row>
        <row r="8938">
          <cell r="E8938" t="str">
            <v>HPER</v>
          </cell>
          <cell r="F8938" t="str">
            <v>HPER-P</v>
          </cell>
          <cell r="G8938">
            <v>498</v>
          </cell>
          <cell r="H8938" t="str">
            <v>HPER-P498</v>
          </cell>
          <cell r="K8938" t="str">
            <v>Barbrick,Donna M</v>
          </cell>
          <cell r="N8938" t="str">
            <v>NR</v>
          </cell>
          <cell r="O8938" t="str">
            <v>NR</v>
          </cell>
        </row>
        <row r="8939">
          <cell r="E8939" t="str">
            <v>HPER</v>
          </cell>
          <cell r="F8939" t="str">
            <v>HPER-P</v>
          </cell>
          <cell r="G8939">
            <v>498</v>
          </cell>
          <cell r="H8939" t="str">
            <v>HPER-P498</v>
          </cell>
          <cell r="K8939" t="str">
            <v>Kelly,Patrick Charles</v>
          </cell>
          <cell r="N8939" t="str">
            <v>NR</v>
          </cell>
          <cell r="O8939" t="str">
            <v>NR</v>
          </cell>
        </row>
        <row r="8940">
          <cell r="E8940" t="str">
            <v>HPER</v>
          </cell>
          <cell r="F8940" t="str">
            <v>HPER-P</v>
          </cell>
          <cell r="G8940">
            <v>498</v>
          </cell>
          <cell r="H8940" t="str">
            <v>HPER-P498</v>
          </cell>
          <cell r="K8940" t="str">
            <v>Kelly,Patrick Charles</v>
          </cell>
          <cell r="N8940" t="str">
            <v>NR</v>
          </cell>
          <cell r="O8940" t="str">
            <v>NR</v>
          </cell>
        </row>
        <row r="8941">
          <cell r="E8941" t="str">
            <v>HPER</v>
          </cell>
          <cell r="F8941" t="str">
            <v>HPER-P</v>
          </cell>
          <cell r="G8941">
            <v>498</v>
          </cell>
          <cell r="H8941" t="str">
            <v>HPER-P498</v>
          </cell>
          <cell r="K8941" t="str">
            <v>Kelly,Patrick Charles</v>
          </cell>
          <cell r="N8941" t="str">
            <v>NR</v>
          </cell>
          <cell r="O8941" t="str">
            <v>NR</v>
          </cell>
        </row>
        <row r="8942">
          <cell r="E8942" t="str">
            <v>HPER</v>
          </cell>
          <cell r="F8942" t="str">
            <v>HPER-P</v>
          </cell>
          <cell r="G8942">
            <v>498</v>
          </cell>
          <cell r="H8942" t="str">
            <v>HPER-P498</v>
          </cell>
          <cell r="K8942" t="str">
            <v>Miller,K. Michelle</v>
          </cell>
          <cell r="N8942" t="str">
            <v>NR</v>
          </cell>
          <cell r="O8942" t="str">
            <v>NR</v>
          </cell>
        </row>
        <row r="8943">
          <cell r="E8943" t="str">
            <v>HPER</v>
          </cell>
          <cell r="F8943" t="str">
            <v>HPER-P</v>
          </cell>
          <cell r="G8943">
            <v>498</v>
          </cell>
          <cell r="H8943" t="str">
            <v>HPER-P498</v>
          </cell>
          <cell r="K8943" t="str">
            <v>Miller,K. Michelle</v>
          </cell>
          <cell r="N8943" t="str">
            <v>NR</v>
          </cell>
          <cell r="O8943" t="str">
            <v>NR</v>
          </cell>
        </row>
        <row r="8944">
          <cell r="E8944" t="str">
            <v>HPER</v>
          </cell>
          <cell r="F8944" t="str">
            <v>HPER-P</v>
          </cell>
          <cell r="G8944">
            <v>498</v>
          </cell>
          <cell r="H8944" t="str">
            <v>HPER-P498</v>
          </cell>
          <cell r="K8944" t="str">
            <v>Willett,Michael</v>
          </cell>
          <cell r="N8944" t="str">
            <v>NR</v>
          </cell>
          <cell r="O8944" t="str">
            <v>NR</v>
          </cell>
        </row>
        <row r="8945">
          <cell r="E8945" t="str">
            <v>HPER</v>
          </cell>
          <cell r="F8945" t="str">
            <v>HPER-R</v>
          </cell>
          <cell r="G8945">
            <v>160</v>
          </cell>
          <cell r="H8945" t="str">
            <v>HPER-R160</v>
          </cell>
          <cell r="K8945" t="str">
            <v>Mowatt,Rasul A</v>
          </cell>
          <cell r="N8945">
            <v>3.198</v>
          </cell>
          <cell r="O8945">
            <v>2.9340000000000002</v>
          </cell>
        </row>
        <row r="8946">
          <cell r="E8946" t="str">
            <v>HPER</v>
          </cell>
          <cell r="F8946" t="str">
            <v>HPER-R</v>
          </cell>
          <cell r="G8946">
            <v>160</v>
          </cell>
          <cell r="H8946" t="str">
            <v>HPER-R160</v>
          </cell>
          <cell r="K8946" t="str">
            <v>Mowatt,Rasul A</v>
          </cell>
          <cell r="N8946">
            <v>4</v>
          </cell>
          <cell r="O8946">
            <v>3.7210000000000001</v>
          </cell>
        </row>
        <row r="8947">
          <cell r="E8947" t="str">
            <v>HPER</v>
          </cell>
          <cell r="F8947" t="str">
            <v>HPER-R</v>
          </cell>
          <cell r="G8947">
            <v>160</v>
          </cell>
          <cell r="H8947" t="str">
            <v>HPER-R160</v>
          </cell>
          <cell r="K8947" t="str">
            <v>Mowatt,Rasul A</v>
          </cell>
          <cell r="N8947">
            <v>3.9470000000000001</v>
          </cell>
          <cell r="O8947">
            <v>2.9390000000000001</v>
          </cell>
        </row>
        <row r="8948">
          <cell r="E8948" t="str">
            <v>HPER</v>
          </cell>
          <cell r="F8948" t="str">
            <v>HPER-R</v>
          </cell>
          <cell r="G8948">
            <v>160</v>
          </cell>
          <cell r="H8948" t="str">
            <v>HPER-R160</v>
          </cell>
          <cell r="K8948" t="str">
            <v>Mowatt,Rasul A</v>
          </cell>
          <cell r="N8948">
            <v>3.1240000000000001</v>
          </cell>
          <cell r="O8948">
            <v>2.8849999999999998</v>
          </cell>
        </row>
        <row r="8949">
          <cell r="E8949" t="str">
            <v>HPER</v>
          </cell>
          <cell r="F8949" t="str">
            <v>HPER-R</v>
          </cell>
          <cell r="G8949">
            <v>160</v>
          </cell>
          <cell r="H8949" t="str">
            <v>HPER-R160</v>
          </cell>
          <cell r="K8949" t="str">
            <v>Vernon,Franklin Lee</v>
          </cell>
          <cell r="N8949">
            <v>3.2650000000000001</v>
          </cell>
          <cell r="O8949">
            <v>2.778</v>
          </cell>
        </row>
        <row r="8950">
          <cell r="E8950" t="str">
            <v>HPER</v>
          </cell>
          <cell r="F8950" t="str">
            <v>HPER-R</v>
          </cell>
          <cell r="G8950">
            <v>160</v>
          </cell>
          <cell r="H8950" t="str">
            <v>HPER-R160</v>
          </cell>
          <cell r="K8950" t="str">
            <v>Vernon,Franklin Lee</v>
          </cell>
          <cell r="N8950">
            <v>3.4289999999999998</v>
          </cell>
          <cell r="O8950">
            <v>2.86</v>
          </cell>
        </row>
        <row r="8951">
          <cell r="E8951" t="str">
            <v>HPER</v>
          </cell>
          <cell r="F8951" t="str">
            <v>HPER-R</v>
          </cell>
          <cell r="G8951">
            <v>206</v>
          </cell>
          <cell r="H8951" t="str">
            <v>HPER-R206</v>
          </cell>
          <cell r="K8951" t="str">
            <v>Ross,Craig M.</v>
          </cell>
          <cell r="N8951">
            <v>3.319</v>
          </cell>
          <cell r="O8951">
            <v>2.9790000000000001</v>
          </cell>
        </row>
        <row r="8952">
          <cell r="E8952" t="str">
            <v>HPER</v>
          </cell>
          <cell r="F8952" t="str">
            <v>HPER-R</v>
          </cell>
          <cell r="G8952">
            <v>206</v>
          </cell>
          <cell r="H8952" t="str">
            <v>HPER-R206</v>
          </cell>
          <cell r="K8952" t="str">
            <v>Ross,Craig M.</v>
          </cell>
          <cell r="N8952">
            <v>2.9809999999999999</v>
          </cell>
          <cell r="O8952">
            <v>2.8460000000000001</v>
          </cell>
        </row>
        <row r="8953">
          <cell r="E8953" t="str">
            <v>HPER</v>
          </cell>
          <cell r="F8953" t="str">
            <v>HPER-R</v>
          </cell>
          <cell r="G8953">
            <v>210</v>
          </cell>
          <cell r="H8953" t="str">
            <v>HPER-R210</v>
          </cell>
          <cell r="K8953" t="str">
            <v>Overholt,Jillisa Rae</v>
          </cell>
          <cell r="N8953">
            <v>3.121</v>
          </cell>
          <cell r="O8953">
            <v>2.92</v>
          </cell>
        </row>
        <row r="8954">
          <cell r="E8954" t="str">
            <v>HPER</v>
          </cell>
          <cell r="F8954" t="str">
            <v>HPER-R</v>
          </cell>
          <cell r="G8954">
            <v>220</v>
          </cell>
          <cell r="H8954" t="str">
            <v>HPER-R220</v>
          </cell>
          <cell r="K8954" t="str">
            <v>McAfee,Mike</v>
          </cell>
          <cell r="N8954">
            <v>3.343</v>
          </cell>
          <cell r="O8954">
            <v>2.8220000000000001</v>
          </cell>
        </row>
        <row r="8955">
          <cell r="E8955" t="str">
            <v>HPER</v>
          </cell>
          <cell r="F8955" t="str">
            <v>HPER-R</v>
          </cell>
          <cell r="G8955">
            <v>220</v>
          </cell>
          <cell r="H8955" t="str">
            <v>HPER-R220</v>
          </cell>
          <cell r="K8955" t="str">
            <v>Richard,Monica June</v>
          </cell>
          <cell r="N8955" t="str">
            <v>NR</v>
          </cell>
          <cell r="O8955" t="str">
            <v>NR</v>
          </cell>
        </row>
        <row r="8956">
          <cell r="E8956" t="str">
            <v>HPER</v>
          </cell>
          <cell r="F8956" t="str">
            <v>HPER-R</v>
          </cell>
          <cell r="G8956">
            <v>231</v>
          </cell>
          <cell r="H8956" t="str">
            <v>HPER-R231</v>
          </cell>
          <cell r="K8956" t="str">
            <v>Bishop,Catharine Frances</v>
          </cell>
          <cell r="N8956">
            <v>3.4369999999999998</v>
          </cell>
          <cell r="O8956">
            <v>2.8969999999999998</v>
          </cell>
        </row>
        <row r="8957">
          <cell r="E8957" t="str">
            <v>HPER</v>
          </cell>
          <cell r="F8957" t="str">
            <v>HPER-R</v>
          </cell>
          <cell r="G8957">
            <v>231</v>
          </cell>
          <cell r="H8957" t="str">
            <v>HPER-R231</v>
          </cell>
          <cell r="K8957" t="str">
            <v>Whitacre,Jay</v>
          </cell>
          <cell r="N8957">
            <v>3.2949999999999999</v>
          </cell>
          <cell r="O8957">
            <v>2.883</v>
          </cell>
        </row>
        <row r="8958">
          <cell r="E8958" t="str">
            <v>HPER</v>
          </cell>
          <cell r="F8958" t="str">
            <v>HPER-R</v>
          </cell>
          <cell r="G8958">
            <v>236</v>
          </cell>
          <cell r="H8958" t="str">
            <v>HPER-R236</v>
          </cell>
          <cell r="K8958" t="str">
            <v>Duffy,Lauren Nicole</v>
          </cell>
          <cell r="N8958">
            <v>3.6349999999999998</v>
          </cell>
          <cell r="O8958">
            <v>3.032</v>
          </cell>
        </row>
        <row r="8959">
          <cell r="E8959" t="str">
            <v>HPER</v>
          </cell>
          <cell r="F8959" t="str">
            <v>HPER-R</v>
          </cell>
          <cell r="G8959">
            <v>236</v>
          </cell>
          <cell r="H8959" t="str">
            <v>HPER-R236</v>
          </cell>
          <cell r="K8959" t="str">
            <v>Wang,Wei</v>
          </cell>
          <cell r="N8959">
            <v>3.7909999999999999</v>
          </cell>
          <cell r="O8959">
            <v>3.2229999999999999</v>
          </cell>
        </row>
        <row r="8960">
          <cell r="E8960" t="str">
            <v>HPER</v>
          </cell>
          <cell r="F8960" t="str">
            <v>HPER-R</v>
          </cell>
          <cell r="G8960">
            <v>236</v>
          </cell>
          <cell r="H8960" t="str">
            <v>HPER-R236</v>
          </cell>
          <cell r="K8960" t="str">
            <v>Wang,Wei</v>
          </cell>
          <cell r="N8960">
            <v>3.4630000000000001</v>
          </cell>
          <cell r="O8960">
            <v>2.9740000000000002</v>
          </cell>
        </row>
        <row r="8961">
          <cell r="E8961" t="str">
            <v>HPER</v>
          </cell>
          <cell r="F8961" t="str">
            <v>HPER-R</v>
          </cell>
          <cell r="G8961">
            <v>237</v>
          </cell>
          <cell r="H8961" t="str">
            <v>HPER-R237</v>
          </cell>
          <cell r="K8961" t="str">
            <v>Ross,Craig M.</v>
          </cell>
          <cell r="N8961">
            <v>3.2909999999999999</v>
          </cell>
          <cell r="O8961">
            <v>2.8340000000000001</v>
          </cell>
        </row>
        <row r="8962">
          <cell r="E8962" t="str">
            <v>HPER</v>
          </cell>
          <cell r="F8962" t="str">
            <v>HPER-R</v>
          </cell>
          <cell r="G8962">
            <v>237</v>
          </cell>
          <cell r="H8962" t="str">
            <v>HPER-R237</v>
          </cell>
          <cell r="K8962" t="str">
            <v>Wang,Chun Chieh</v>
          </cell>
          <cell r="N8962">
            <v>3.3650000000000002</v>
          </cell>
          <cell r="O8962">
            <v>3.1080000000000001</v>
          </cell>
        </row>
        <row r="8963">
          <cell r="E8963" t="str">
            <v>HPER</v>
          </cell>
          <cell r="F8963" t="str">
            <v>HPER-R</v>
          </cell>
          <cell r="G8963">
            <v>237</v>
          </cell>
          <cell r="H8963" t="str">
            <v>HPER-R237</v>
          </cell>
          <cell r="K8963" t="str">
            <v>Wang,Chun Chieh</v>
          </cell>
          <cell r="N8963">
            <v>3.1829999999999998</v>
          </cell>
          <cell r="O8963">
            <v>3.0459999999999998</v>
          </cell>
        </row>
        <row r="8964">
          <cell r="E8964" t="str">
            <v>HPER</v>
          </cell>
          <cell r="F8964" t="str">
            <v>HPER-R</v>
          </cell>
          <cell r="G8964">
            <v>240</v>
          </cell>
          <cell r="H8964" t="str">
            <v>HPER-R240</v>
          </cell>
          <cell r="K8964" t="str">
            <v>Duffy,Lauren Nicole</v>
          </cell>
          <cell r="N8964">
            <v>3.7559999999999998</v>
          </cell>
          <cell r="O8964">
            <v>3.0619999999999998</v>
          </cell>
        </row>
        <row r="8965">
          <cell r="E8965" t="str">
            <v>HPER</v>
          </cell>
          <cell r="F8965" t="str">
            <v>HPER-R</v>
          </cell>
          <cell r="G8965">
            <v>240</v>
          </cell>
          <cell r="H8965" t="str">
            <v>HPER-R240</v>
          </cell>
          <cell r="K8965" t="str">
            <v>Zhang,Ye</v>
          </cell>
          <cell r="N8965">
            <v>3.3380000000000001</v>
          </cell>
          <cell r="O8965">
            <v>3.1389999999999998</v>
          </cell>
        </row>
        <row r="8966">
          <cell r="E8966" t="str">
            <v>HPER</v>
          </cell>
          <cell r="F8966" t="str">
            <v>HPER-R</v>
          </cell>
          <cell r="G8966">
            <v>241</v>
          </cell>
          <cell r="H8966" t="str">
            <v>HPER-R241</v>
          </cell>
          <cell r="K8966" t="str">
            <v>Erwin,Julia B</v>
          </cell>
          <cell r="N8966">
            <v>3.8759999999999999</v>
          </cell>
          <cell r="O8966">
            <v>3.1859999999999999</v>
          </cell>
        </row>
        <row r="8967">
          <cell r="E8967" t="str">
            <v>HPER</v>
          </cell>
          <cell r="F8967" t="str">
            <v>HPER-R</v>
          </cell>
          <cell r="G8967">
            <v>241</v>
          </cell>
          <cell r="H8967" t="str">
            <v>HPER-R241</v>
          </cell>
          <cell r="K8967" t="str">
            <v>Erwin,Julia B</v>
          </cell>
          <cell r="N8967">
            <v>3.4220000000000002</v>
          </cell>
          <cell r="O8967">
            <v>2.903</v>
          </cell>
        </row>
        <row r="8968">
          <cell r="E8968" t="str">
            <v>HPER</v>
          </cell>
          <cell r="F8968" t="str">
            <v>HPER-R</v>
          </cell>
          <cell r="G8968">
            <v>250</v>
          </cell>
          <cell r="H8968" t="str">
            <v>HPER-R250</v>
          </cell>
          <cell r="K8968" t="str">
            <v>Bonchek,Fern</v>
          </cell>
          <cell r="N8968">
            <v>3.379</v>
          </cell>
          <cell r="O8968">
            <v>2.964</v>
          </cell>
        </row>
        <row r="8969">
          <cell r="E8969" t="str">
            <v>HPER</v>
          </cell>
          <cell r="F8969" t="str">
            <v>HPER-R</v>
          </cell>
          <cell r="G8969">
            <v>252</v>
          </cell>
          <cell r="H8969" t="str">
            <v>HPER-R252</v>
          </cell>
          <cell r="K8969" t="str">
            <v>Chen,Joseph S.</v>
          </cell>
          <cell r="N8969">
            <v>3.6890000000000001</v>
          </cell>
          <cell r="O8969">
            <v>3.1539999999999999</v>
          </cell>
        </row>
        <row r="8970">
          <cell r="E8970" t="str">
            <v>HPER</v>
          </cell>
          <cell r="F8970" t="str">
            <v>HPER-R</v>
          </cell>
          <cell r="G8970">
            <v>252</v>
          </cell>
          <cell r="H8970" t="str">
            <v>HPER-R252</v>
          </cell>
          <cell r="K8970" t="str">
            <v>Chen,Joseph S.</v>
          </cell>
          <cell r="N8970">
            <v>3.5070000000000001</v>
          </cell>
          <cell r="O8970">
            <v>3.0579999999999998</v>
          </cell>
        </row>
        <row r="8971">
          <cell r="E8971" t="str">
            <v>HPER</v>
          </cell>
          <cell r="F8971" t="str">
            <v>HPER-R</v>
          </cell>
          <cell r="G8971">
            <v>266</v>
          </cell>
          <cell r="H8971" t="str">
            <v>HPER-R266</v>
          </cell>
          <cell r="K8971" t="str">
            <v>Renneisen,Mick</v>
          </cell>
          <cell r="N8971">
            <v>3.1160000000000001</v>
          </cell>
          <cell r="O8971">
            <v>2.8159999999999998</v>
          </cell>
        </row>
        <row r="8972">
          <cell r="E8972" t="str">
            <v>HPER</v>
          </cell>
          <cell r="F8972" t="str">
            <v>HPER-R</v>
          </cell>
          <cell r="G8972">
            <v>266</v>
          </cell>
          <cell r="H8972" t="str">
            <v>HPER-R266</v>
          </cell>
          <cell r="K8972" t="str">
            <v>Renneisen,Mick</v>
          </cell>
          <cell r="N8972">
            <v>3.3370000000000002</v>
          </cell>
          <cell r="O8972">
            <v>2.9809999999999999</v>
          </cell>
        </row>
        <row r="8973">
          <cell r="E8973" t="str">
            <v>HPER</v>
          </cell>
          <cell r="F8973" t="str">
            <v>HPER-R</v>
          </cell>
          <cell r="G8973">
            <v>270</v>
          </cell>
          <cell r="H8973" t="str">
            <v>HPER-R270</v>
          </cell>
          <cell r="K8973" t="str">
            <v>Taylor,Jenn</v>
          </cell>
          <cell r="N8973">
            <v>3.3769999999999998</v>
          </cell>
          <cell r="O8973">
            <v>2.9689999999999999</v>
          </cell>
        </row>
        <row r="8974">
          <cell r="E8974" t="str">
            <v>HPER</v>
          </cell>
          <cell r="F8974" t="str">
            <v>HPER-R</v>
          </cell>
          <cell r="G8974">
            <v>270</v>
          </cell>
          <cell r="H8974" t="str">
            <v>HPER-R270</v>
          </cell>
          <cell r="K8974" t="str">
            <v>Voight,Alison E</v>
          </cell>
          <cell r="N8974">
            <v>3.0449999999999999</v>
          </cell>
          <cell r="O8974">
            <v>3.121</v>
          </cell>
        </row>
        <row r="8975">
          <cell r="E8975" t="str">
            <v>HPER</v>
          </cell>
          <cell r="F8975" t="str">
            <v>HPER-R</v>
          </cell>
          <cell r="G8975">
            <v>271</v>
          </cell>
          <cell r="H8975" t="str">
            <v>HPER-R271</v>
          </cell>
          <cell r="K8975" t="str">
            <v>Overholt,Jillisa Rae</v>
          </cell>
          <cell r="N8975">
            <v>3.319</v>
          </cell>
          <cell r="O8975">
            <v>3.0819999999999999</v>
          </cell>
        </row>
        <row r="8976">
          <cell r="E8976" t="str">
            <v>HPER</v>
          </cell>
          <cell r="F8976" t="str">
            <v>HPER-R</v>
          </cell>
          <cell r="G8976">
            <v>272</v>
          </cell>
          <cell r="H8976" t="str">
            <v>HPER-R272</v>
          </cell>
          <cell r="K8976" t="str">
            <v>Bishop,Catharine Frances</v>
          </cell>
          <cell r="N8976">
            <v>3.5720000000000001</v>
          </cell>
          <cell r="O8976">
            <v>2.839</v>
          </cell>
        </row>
        <row r="8977">
          <cell r="E8977" t="str">
            <v>HPER</v>
          </cell>
          <cell r="F8977" t="str">
            <v>HPER-R</v>
          </cell>
          <cell r="G8977">
            <v>272</v>
          </cell>
          <cell r="H8977" t="str">
            <v>HPER-R272</v>
          </cell>
          <cell r="K8977" t="str">
            <v>Bishop,Catharine Frances</v>
          </cell>
          <cell r="N8977">
            <v>3.423</v>
          </cell>
          <cell r="O8977">
            <v>2.9980000000000002</v>
          </cell>
        </row>
        <row r="8978">
          <cell r="E8978" t="str">
            <v>HPER</v>
          </cell>
          <cell r="F8978" t="str">
            <v>HPER-R</v>
          </cell>
          <cell r="G8978">
            <v>272</v>
          </cell>
          <cell r="H8978" t="str">
            <v>HPER-R272</v>
          </cell>
          <cell r="K8978" t="str">
            <v>Ewert,Alan</v>
          </cell>
          <cell r="N8978">
            <v>3.5249999999999999</v>
          </cell>
          <cell r="O8978">
            <v>3.2090000000000001</v>
          </cell>
        </row>
        <row r="8979">
          <cell r="E8979" t="str">
            <v>HPER</v>
          </cell>
          <cell r="F8979" t="str">
            <v>HPER-R</v>
          </cell>
          <cell r="G8979">
            <v>277</v>
          </cell>
          <cell r="H8979" t="str">
            <v>HPER-R277</v>
          </cell>
          <cell r="K8979" t="str">
            <v>Gray,Cara Noelle</v>
          </cell>
          <cell r="N8979">
            <v>3.3149999999999999</v>
          </cell>
          <cell r="O8979">
            <v>3.056</v>
          </cell>
        </row>
        <row r="8980">
          <cell r="E8980" t="str">
            <v>HPER</v>
          </cell>
          <cell r="F8980" t="str">
            <v>HPER-R</v>
          </cell>
          <cell r="G8980">
            <v>279</v>
          </cell>
          <cell r="H8980" t="str">
            <v>HPER-R279</v>
          </cell>
          <cell r="K8980" t="str">
            <v>Vernon,Franklin Lee</v>
          </cell>
          <cell r="N8980">
            <v>3.931</v>
          </cell>
          <cell r="O8980">
            <v>3.18</v>
          </cell>
        </row>
        <row r="8981">
          <cell r="E8981" t="str">
            <v>HPER</v>
          </cell>
          <cell r="F8981" t="str">
            <v>HPER-R</v>
          </cell>
          <cell r="G8981">
            <v>280</v>
          </cell>
          <cell r="H8981" t="str">
            <v>HPER-R280</v>
          </cell>
          <cell r="K8981" t="str">
            <v>Knapp,Douglas H.</v>
          </cell>
          <cell r="N8981">
            <v>2.4279999999999999</v>
          </cell>
          <cell r="O8981">
            <v>2.8719999999999999</v>
          </cell>
        </row>
        <row r="8982">
          <cell r="E8982" t="str">
            <v>HPER</v>
          </cell>
          <cell r="F8982" t="str">
            <v>HPER-R</v>
          </cell>
          <cell r="G8982">
            <v>283</v>
          </cell>
          <cell r="H8982" t="str">
            <v>HPER-R283</v>
          </cell>
          <cell r="K8982" t="str">
            <v>Chancellor,Herbert Charles</v>
          </cell>
          <cell r="N8982">
            <v>3.15</v>
          </cell>
          <cell r="O8982">
            <v>3.0110000000000001</v>
          </cell>
        </row>
        <row r="8983">
          <cell r="E8983" t="str">
            <v>HPER</v>
          </cell>
          <cell r="F8983" t="str">
            <v>HPER-R</v>
          </cell>
          <cell r="G8983">
            <v>301</v>
          </cell>
          <cell r="H8983" t="str">
            <v>HPER-R301</v>
          </cell>
          <cell r="K8983" t="str">
            <v>Dawson,Shay Leonard</v>
          </cell>
          <cell r="N8983" t="str">
            <v>NR</v>
          </cell>
          <cell r="O8983" t="str">
            <v>NR</v>
          </cell>
        </row>
        <row r="8984">
          <cell r="E8984" t="str">
            <v>HPER</v>
          </cell>
          <cell r="F8984" t="str">
            <v>HPER-R</v>
          </cell>
          <cell r="G8984">
            <v>301</v>
          </cell>
          <cell r="H8984" t="str">
            <v>HPER-R301</v>
          </cell>
          <cell r="K8984" t="str">
            <v>Knapp,Julia Sesow</v>
          </cell>
          <cell r="N8984" t="str">
            <v>NR</v>
          </cell>
          <cell r="O8984" t="str">
            <v>NR</v>
          </cell>
        </row>
        <row r="8985">
          <cell r="E8985" t="str">
            <v>HPER</v>
          </cell>
          <cell r="F8985" t="str">
            <v>HPER-R</v>
          </cell>
          <cell r="G8985">
            <v>301</v>
          </cell>
          <cell r="H8985" t="str">
            <v>HPER-R301</v>
          </cell>
          <cell r="K8985" t="str">
            <v>Knapp,Julia Sesow</v>
          </cell>
          <cell r="N8985" t="str">
            <v>NR</v>
          </cell>
          <cell r="O8985" t="str">
            <v>NR</v>
          </cell>
        </row>
        <row r="8986">
          <cell r="E8986" t="str">
            <v>HPER</v>
          </cell>
          <cell r="F8986" t="str">
            <v>HPER-R</v>
          </cell>
          <cell r="G8986">
            <v>302</v>
          </cell>
          <cell r="H8986" t="str">
            <v>HPER-R302</v>
          </cell>
          <cell r="K8986" t="str">
            <v>Ramos,William Dominic</v>
          </cell>
          <cell r="N8986" t="str">
            <v>NR</v>
          </cell>
          <cell r="O8986" t="str">
            <v>NR</v>
          </cell>
        </row>
        <row r="8987">
          <cell r="E8987" t="str">
            <v>HPER</v>
          </cell>
          <cell r="F8987" t="str">
            <v>HPER-R</v>
          </cell>
          <cell r="G8987">
            <v>310</v>
          </cell>
          <cell r="H8987" t="str">
            <v>HPER-R310</v>
          </cell>
          <cell r="K8987" t="str">
            <v>Mowatt,Rasul A</v>
          </cell>
          <cell r="N8987">
            <v>2.0539999999999998</v>
          </cell>
          <cell r="O8987">
            <v>2.4279999999999999</v>
          </cell>
        </row>
        <row r="8988">
          <cell r="E8988" t="str">
            <v>HPER</v>
          </cell>
          <cell r="F8988" t="str">
            <v>HPER-R</v>
          </cell>
          <cell r="G8988">
            <v>317</v>
          </cell>
          <cell r="H8988" t="str">
            <v>HPER-R317</v>
          </cell>
          <cell r="K8988" t="str">
            <v>Jamieson,Lynn Marie</v>
          </cell>
          <cell r="N8988" t="str">
            <v>NR</v>
          </cell>
          <cell r="O8988" t="str">
            <v>NR</v>
          </cell>
        </row>
        <row r="8989">
          <cell r="E8989" t="str">
            <v>HPER</v>
          </cell>
          <cell r="F8989" t="str">
            <v>HPER-R</v>
          </cell>
          <cell r="G8989">
            <v>317</v>
          </cell>
          <cell r="H8989" t="str">
            <v>HPER-R317</v>
          </cell>
          <cell r="K8989" t="str">
            <v>Kivland,Tyler</v>
          </cell>
          <cell r="N8989">
            <v>3.7559999999999998</v>
          </cell>
          <cell r="O8989">
            <v>3.0609999999999999</v>
          </cell>
        </row>
        <row r="8990">
          <cell r="E8990" t="str">
            <v>HPER</v>
          </cell>
          <cell r="F8990" t="str">
            <v>HPER-R</v>
          </cell>
          <cell r="G8990">
            <v>323</v>
          </cell>
          <cell r="H8990" t="str">
            <v>HPER-R323</v>
          </cell>
          <cell r="K8990" t="str">
            <v>Knapp,Douglas H.</v>
          </cell>
          <cell r="N8990">
            <v>3.4809999999999999</v>
          </cell>
          <cell r="O8990">
            <v>3.03</v>
          </cell>
        </row>
        <row r="8991">
          <cell r="E8991" t="str">
            <v>HPER</v>
          </cell>
          <cell r="F8991" t="str">
            <v>HPER-R</v>
          </cell>
          <cell r="G8991">
            <v>326</v>
          </cell>
          <cell r="H8991" t="str">
            <v>HPER-R326</v>
          </cell>
          <cell r="K8991" t="str">
            <v>Jacobs,Bruce Arthur</v>
          </cell>
          <cell r="N8991">
            <v>3.1160000000000001</v>
          </cell>
          <cell r="O8991">
            <v>2.919</v>
          </cell>
        </row>
        <row r="8992">
          <cell r="E8992" t="str">
            <v>HPER</v>
          </cell>
          <cell r="F8992" t="str">
            <v>HPER-R</v>
          </cell>
          <cell r="G8992">
            <v>326</v>
          </cell>
          <cell r="H8992" t="str">
            <v>HPER-R326</v>
          </cell>
          <cell r="K8992" t="str">
            <v>Jacobs,Bruce Arthur</v>
          </cell>
          <cell r="N8992">
            <v>2.931</v>
          </cell>
          <cell r="O8992">
            <v>2.9220000000000002</v>
          </cell>
        </row>
        <row r="8993">
          <cell r="E8993" t="str">
            <v>HPER</v>
          </cell>
          <cell r="F8993" t="str">
            <v>HPER-R</v>
          </cell>
          <cell r="G8993">
            <v>330</v>
          </cell>
          <cell r="H8993" t="str">
            <v>HPER-R330</v>
          </cell>
          <cell r="K8993" t="str">
            <v>Knapp,Julia Sesow</v>
          </cell>
          <cell r="N8993">
            <v>3.44</v>
          </cell>
          <cell r="O8993">
            <v>3.093</v>
          </cell>
        </row>
        <row r="8994">
          <cell r="E8994" t="str">
            <v>HPER</v>
          </cell>
          <cell r="F8994" t="str">
            <v>HPER-R</v>
          </cell>
          <cell r="G8994">
            <v>340</v>
          </cell>
          <cell r="H8994" t="str">
            <v>HPER-R340</v>
          </cell>
          <cell r="K8994" t="str">
            <v>Townsend,Jasmine Aileen</v>
          </cell>
          <cell r="N8994">
            <v>2.7879999999999998</v>
          </cell>
          <cell r="O8994">
            <v>3.0070000000000001</v>
          </cell>
        </row>
        <row r="8995">
          <cell r="E8995" t="str">
            <v>HPER</v>
          </cell>
          <cell r="F8995" t="str">
            <v>HPER-R</v>
          </cell>
          <cell r="G8995">
            <v>345</v>
          </cell>
          <cell r="H8995" t="str">
            <v>HPER-R345</v>
          </cell>
          <cell r="K8995" t="str">
            <v>Voight,Alison E</v>
          </cell>
          <cell r="N8995">
            <v>2.427</v>
          </cell>
          <cell r="O8995">
            <v>2.5830000000000002</v>
          </cell>
        </row>
        <row r="8996">
          <cell r="E8996" t="str">
            <v>HPER</v>
          </cell>
          <cell r="F8996" t="str">
            <v>HPER-R</v>
          </cell>
          <cell r="G8996">
            <v>350</v>
          </cell>
          <cell r="H8996" t="str">
            <v>HPER-R350</v>
          </cell>
          <cell r="K8996" t="str">
            <v>Basman,Cem Mehmet</v>
          </cell>
          <cell r="N8996">
            <v>3.8679999999999999</v>
          </cell>
          <cell r="O8996">
            <v>3.008</v>
          </cell>
        </row>
        <row r="8997">
          <cell r="E8997" t="str">
            <v>HPER</v>
          </cell>
          <cell r="F8997" t="str">
            <v>HPER-R</v>
          </cell>
          <cell r="G8997">
            <v>350</v>
          </cell>
          <cell r="H8997" t="str">
            <v>HPER-R350</v>
          </cell>
          <cell r="K8997" t="str">
            <v>Chancellor,Herbert Charles</v>
          </cell>
          <cell r="N8997">
            <v>2.9060000000000001</v>
          </cell>
          <cell r="O8997">
            <v>2.9660000000000002</v>
          </cell>
        </row>
        <row r="8998">
          <cell r="E8998" t="str">
            <v>HPER</v>
          </cell>
          <cell r="F8998" t="str">
            <v>HPER-R</v>
          </cell>
          <cell r="G8998">
            <v>350</v>
          </cell>
          <cell r="H8998" t="str">
            <v>HPER-R350</v>
          </cell>
          <cell r="K8998" t="str">
            <v>Duffy,Lauren Nicole</v>
          </cell>
          <cell r="N8998">
            <v>3.3889999999999998</v>
          </cell>
          <cell r="O8998">
            <v>3.0129999999999999</v>
          </cell>
        </row>
        <row r="8999">
          <cell r="E8999" t="str">
            <v>HPER</v>
          </cell>
          <cell r="F8999" t="str">
            <v>HPER-R</v>
          </cell>
          <cell r="G8999">
            <v>351</v>
          </cell>
          <cell r="H8999" t="str">
            <v>HPER-R351</v>
          </cell>
          <cell r="K8999" t="str">
            <v>Franzidis,Alexia Francesca</v>
          </cell>
          <cell r="N8999">
            <v>3.4769999999999999</v>
          </cell>
          <cell r="O8999">
            <v>3.109</v>
          </cell>
        </row>
        <row r="9000">
          <cell r="E9000" t="str">
            <v>HPER</v>
          </cell>
          <cell r="F9000" t="str">
            <v>HPER-R</v>
          </cell>
          <cell r="G9000">
            <v>351</v>
          </cell>
          <cell r="H9000" t="str">
            <v>HPER-R351</v>
          </cell>
          <cell r="K9000" t="str">
            <v>Pena,Valerie J</v>
          </cell>
          <cell r="N9000">
            <v>3.851</v>
          </cell>
          <cell r="O9000">
            <v>3.2629999999999999</v>
          </cell>
        </row>
        <row r="9001">
          <cell r="E9001" t="str">
            <v>HPER</v>
          </cell>
          <cell r="F9001" t="str">
            <v>HPER-R</v>
          </cell>
          <cell r="G9001">
            <v>352</v>
          </cell>
          <cell r="H9001" t="str">
            <v>HPER-R352</v>
          </cell>
          <cell r="K9001" t="str">
            <v>Chen,Joseph S.</v>
          </cell>
          <cell r="N9001">
            <v>3.8679999999999999</v>
          </cell>
          <cell r="O9001">
            <v>3.286</v>
          </cell>
        </row>
        <row r="9002">
          <cell r="E9002" t="str">
            <v>HPER</v>
          </cell>
          <cell r="F9002" t="str">
            <v>HPER-R</v>
          </cell>
          <cell r="G9002">
            <v>355</v>
          </cell>
          <cell r="H9002" t="str">
            <v>HPER-R355</v>
          </cell>
          <cell r="K9002" t="str">
            <v>Knapp,Douglas H.</v>
          </cell>
          <cell r="N9002">
            <v>3.32</v>
          </cell>
          <cell r="O9002">
            <v>2.9380000000000002</v>
          </cell>
        </row>
        <row r="9003">
          <cell r="E9003" t="str">
            <v>HPER</v>
          </cell>
          <cell r="F9003" t="str">
            <v>HPER-R</v>
          </cell>
          <cell r="G9003">
            <v>363</v>
          </cell>
          <cell r="H9003" t="str">
            <v>HPER-R363</v>
          </cell>
          <cell r="K9003" t="str">
            <v>Gray,Cara Noelle</v>
          </cell>
          <cell r="N9003" t="str">
            <v>NR</v>
          </cell>
          <cell r="O9003" t="str">
            <v>NR</v>
          </cell>
        </row>
        <row r="9004">
          <cell r="E9004" t="str">
            <v>HPER</v>
          </cell>
          <cell r="F9004" t="str">
            <v>HPER-R</v>
          </cell>
          <cell r="G9004">
            <v>363</v>
          </cell>
          <cell r="H9004" t="str">
            <v>HPER-R363</v>
          </cell>
          <cell r="K9004" t="str">
            <v>Gray,Cara Noelle</v>
          </cell>
          <cell r="N9004" t="str">
            <v>NR</v>
          </cell>
          <cell r="O9004" t="str">
            <v>NR</v>
          </cell>
        </row>
        <row r="9005">
          <cell r="E9005" t="str">
            <v>HPER</v>
          </cell>
          <cell r="F9005" t="str">
            <v>HPER-R</v>
          </cell>
          <cell r="G9005">
            <v>363</v>
          </cell>
          <cell r="H9005" t="str">
            <v>HPER-R363</v>
          </cell>
          <cell r="K9005" t="str">
            <v>Gray,Cara Noelle</v>
          </cell>
          <cell r="N9005" t="str">
            <v>NR</v>
          </cell>
          <cell r="O9005" t="str">
            <v>NR</v>
          </cell>
        </row>
        <row r="9006">
          <cell r="E9006" t="str">
            <v>HPER</v>
          </cell>
          <cell r="F9006" t="str">
            <v>HPER-R</v>
          </cell>
          <cell r="G9006">
            <v>363</v>
          </cell>
          <cell r="H9006" t="str">
            <v>HPER-R363</v>
          </cell>
          <cell r="K9006" t="str">
            <v>Gray,Cara Noelle</v>
          </cell>
          <cell r="N9006" t="str">
            <v>NR</v>
          </cell>
          <cell r="O9006" t="str">
            <v>NR</v>
          </cell>
        </row>
        <row r="9007">
          <cell r="E9007" t="str">
            <v>HPER</v>
          </cell>
          <cell r="F9007" t="str">
            <v>HPER-R</v>
          </cell>
          <cell r="G9007">
            <v>363</v>
          </cell>
          <cell r="H9007" t="str">
            <v>HPER-R363</v>
          </cell>
          <cell r="K9007" t="str">
            <v>Knapp,Julia Sesow</v>
          </cell>
          <cell r="N9007" t="str">
            <v>NR</v>
          </cell>
          <cell r="O9007" t="str">
            <v>NR</v>
          </cell>
        </row>
        <row r="9008">
          <cell r="E9008" t="str">
            <v>HPER</v>
          </cell>
          <cell r="F9008" t="str">
            <v>HPER-R</v>
          </cell>
          <cell r="G9008">
            <v>363</v>
          </cell>
          <cell r="H9008" t="str">
            <v>HPER-R363</v>
          </cell>
          <cell r="K9008" t="str">
            <v>Knapp,Julia Sesow</v>
          </cell>
          <cell r="N9008" t="str">
            <v>NR</v>
          </cell>
          <cell r="O9008" t="str">
            <v>NR</v>
          </cell>
        </row>
        <row r="9009">
          <cell r="E9009" t="str">
            <v>HPER</v>
          </cell>
          <cell r="F9009" t="str">
            <v>HPER-R</v>
          </cell>
          <cell r="G9009">
            <v>363</v>
          </cell>
          <cell r="H9009" t="str">
            <v>HPER-R363</v>
          </cell>
          <cell r="K9009" t="str">
            <v>Knapp,Julia Sesow</v>
          </cell>
          <cell r="N9009" t="str">
            <v>NR</v>
          </cell>
          <cell r="O9009" t="str">
            <v>NR</v>
          </cell>
        </row>
        <row r="9010">
          <cell r="E9010" t="str">
            <v>HPER</v>
          </cell>
          <cell r="F9010" t="str">
            <v>HPER-R</v>
          </cell>
          <cell r="G9010">
            <v>363</v>
          </cell>
          <cell r="H9010" t="str">
            <v>HPER-R363</v>
          </cell>
          <cell r="K9010" t="str">
            <v>Knapp,Julia Sesow</v>
          </cell>
          <cell r="N9010" t="str">
            <v>NR</v>
          </cell>
          <cell r="O9010" t="str">
            <v>NR</v>
          </cell>
        </row>
        <row r="9011">
          <cell r="E9011" t="str">
            <v>HPER</v>
          </cell>
          <cell r="F9011" t="str">
            <v>HPER-R</v>
          </cell>
          <cell r="G9011">
            <v>365</v>
          </cell>
          <cell r="H9011" t="str">
            <v>HPER-R365</v>
          </cell>
          <cell r="K9011" t="str">
            <v>Gray,Cara Noelle</v>
          </cell>
          <cell r="N9011">
            <v>3.036</v>
          </cell>
          <cell r="O9011">
            <v>2.9420000000000002</v>
          </cell>
        </row>
        <row r="9012">
          <cell r="E9012" t="str">
            <v>HPER</v>
          </cell>
          <cell r="F9012" t="str">
            <v>HPER-R</v>
          </cell>
          <cell r="G9012">
            <v>365</v>
          </cell>
          <cell r="H9012" t="str">
            <v>HPER-R365</v>
          </cell>
          <cell r="K9012" t="str">
            <v>Hawkins,Barbara Ames</v>
          </cell>
          <cell r="N9012">
            <v>3.11</v>
          </cell>
          <cell r="O9012">
            <v>2.8730000000000002</v>
          </cell>
        </row>
        <row r="9013">
          <cell r="E9013" t="str">
            <v>HPER</v>
          </cell>
          <cell r="F9013" t="str">
            <v>HPER-R</v>
          </cell>
          <cell r="G9013">
            <v>367</v>
          </cell>
          <cell r="H9013" t="str">
            <v>HPER-R367</v>
          </cell>
          <cell r="K9013" t="str">
            <v>Bennett,Jessie Lynn</v>
          </cell>
          <cell r="N9013">
            <v>3.6320000000000001</v>
          </cell>
          <cell r="O9013">
            <v>3.077</v>
          </cell>
        </row>
        <row r="9014">
          <cell r="E9014" t="str">
            <v>HPER</v>
          </cell>
          <cell r="F9014" t="str">
            <v>HPER-R</v>
          </cell>
          <cell r="G9014">
            <v>370</v>
          </cell>
          <cell r="H9014" t="str">
            <v>HPER-R370</v>
          </cell>
          <cell r="K9014" t="str">
            <v>Calvin,David Michael</v>
          </cell>
          <cell r="N9014">
            <v>3.335</v>
          </cell>
          <cell r="O9014">
            <v>2.8079999999999998</v>
          </cell>
        </row>
        <row r="9015">
          <cell r="E9015" t="str">
            <v>HPER</v>
          </cell>
          <cell r="F9015" t="str">
            <v>HPER-R</v>
          </cell>
          <cell r="G9015">
            <v>370</v>
          </cell>
          <cell r="H9015" t="str">
            <v>HPER-R370</v>
          </cell>
          <cell r="K9015" t="str">
            <v>Calvin,David Michael</v>
          </cell>
          <cell r="N9015">
            <v>3.6</v>
          </cell>
          <cell r="O9015">
            <v>3.1819999999999999</v>
          </cell>
        </row>
        <row r="9016">
          <cell r="E9016" t="str">
            <v>HPER</v>
          </cell>
          <cell r="F9016" t="str">
            <v>HPER-R</v>
          </cell>
          <cell r="G9016">
            <v>370</v>
          </cell>
          <cell r="H9016" t="str">
            <v>HPER-R370</v>
          </cell>
          <cell r="K9016" t="str">
            <v>Calvin,David Michael</v>
          </cell>
          <cell r="N9016">
            <v>3.238</v>
          </cell>
          <cell r="O9016">
            <v>3.1789999999999998</v>
          </cell>
        </row>
        <row r="9017">
          <cell r="E9017" t="str">
            <v>HPER</v>
          </cell>
          <cell r="F9017" t="str">
            <v>HPER-R</v>
          </cell>
          <cell r="G9017">
            <v>372</v>
          </cell>
          <cell r="H9017" t="str">
            <v>HPER-R372</v>
          </cell>
          <cell r="K9017" t="str">
            <v>Farmer,James Robert</v>
          </cell>
          <cell r="N9017">
            <v>2.9460000000000002</v>
          </cell>
          <cell r="O9017">
            <v>3.0819999999999999</v>
          </cell>
        </row>
        <row r="9018">
          <cell r="E9018" t="str">
            <v>HPER</v>
          </cell>
          <cell r="F9018" t="str">
            <v>HPER-R</v>
          </cell>
          <cell r="G9018">
            <v>378</v>
          </cell>
          <cell r="H9018" t="str">
            <v>HPER-R378</v>
          </cell>
          <cell r="K9018" t="str">
            <v>Van Puymbroeck,Marieke</v>
          </cell>
          <cell r="N9018">
            <v>3.786</v>
          </cell>
          <cell r="O9018">
            <v>3.206</v>
          </cell>
        </row>
        <row r="9019">
          <cell r="E9019" t="str">
            <v>HPER</v>
          </cell>
          <cell r="F9019" t="str">
            <v>HPER-R</v>
          </cell>
          <cell r="G9019">
            <v>379</v>
          </cell>
          <cell r="H9019" t="str">
            <v>HPER-R379</v>
          </cell>
          <cell r="K9019" t="str">
            <v>Smith,Rachel Lee</v>
          </cell>
          <cell r="N9019">
            <v>3.7170000000000001</v>
          </cell>
          <cell r="O9019">
            <v>3.173</v>
          </cell>
        </row>
        <row r="9020">
          <cell r="E9020" t="str">
            <v>HPER</v>
          </cell>
          <cell r="F9020" t="str">
            <v>HPER-R</v>
          </cell>
          <cell r="G9020">
            <v>380</v>
          </cell>
          <cell r="H9020" t="str">
            <v>HPER-R380</v>
          </cell>
          <cell r="K9020" t="str">
            <v>Ewert,Alan</v>
          </cell>
          <cell r="N9020">
            <v>3.133</v>
          </cell>
          <cell r="O9020">
            <v>3.1819999999999999</v>
          </cell>
        </row>
        <row r="9021">
          <cell r="E9021" t="str">
            <v>HPER</v>
          </cell>
          <cell r="F9021" t="str">
            <v>HPER-R</v>
          </cell>
          <cell r="G9021">
            <v>385</v>
          </cell>
          <cell r="H9021" t="str">
            <v>HPER-R385</v>
          </cell>
          <cell r="K9021" t="str">
            <v>Ewert,Alan</v>
          </cell>
          <cell r="N9021">
            <v>3.4329999999999998</v>
          </cell>
          <cell r="O9021">
            <v>3.1819999999999999</v>
          </cell>
        </row>
        <row r="9022">
          <cell r="E9022" t="str">
            <v>HPER</v>
          </cell>
          <cell r="F9022" t="str">
            <v>HPER-R</v>
          </cell>
          <cell r="G9022">
            <v>385</v>
          </cell>
          <cell r="H9022" t="str">
            <v>HPER-R385</v>
          </cell>
          <cell r="K9022" t="str">
            <v>Knapp,Douglas H.</v>
          </cell>
          <cell r="N9022">
            <v>2.9849999999999999</v>
          </cell>
          <cell r="O9022">
            <v>3.0089999999999999</v>
          </cell>
        </row>
        <row r="9023">
          <cell r="E9023" t="str">
            <v>HPER</v>
          </cell>
          <cell r="F9023" t="str">
            <v>HPER-R</v>
          </cell>
          <cell r="G9023">
            <v>390</v>
          </cell>
          <cell r="H9023" t="str">
            <v>HPER-R390</v>
          </cell>
          <cell r="K9023" t="str">
            <v>Chang,Yun</v>
          </cell>
          <cell r="N9023">
            <v>2.7919999999999998</v>
          </cell>
          <cell r="O9023">
            <v>2.8849999999999998</v>
          </cell>
        </row>
        <row r="9024">
          <cell r="E9024" t="str">
            <v>HPER</v>
          </cell>
          <cell r="F9024" t="str">
            <v>HPER-R</v>
          </cell>
          <cell r="G9024">
            <v>390</v>
          </cell>
          <cell r="H9024" t="str">
            <v>HPER-R390</v>
          </cell>
          <cell r="K9024" t="str">
            <v>Kim,Kiboum</v>
          </cell>
          <cell r="N9024">
            <v>2.5649999999999999</v>
          </cell>
          <cell r="O9024">
            <v>2.98</v>
          </cell>
        </row>
        <row r="9025">
          <cell r="E9025" t="str">
            <v>HPER</v>
          </cell>
          <cell r="F9025" t="str">
            <v>HPER-R</v>
          </cell>
          <cell r="G9025">
            <v>398</v>
          </cell>
          <cell r="H9025" t="str">
            <v>HPER-R398</v>
          </cell>
          <cell r="K9025" t="str">
            <v>Ewert,Alan</v>
          </cell>
          <cell r="N9025" t="str">
            <v>NR</v>
          </cell>
          <cell r="O9025" t="str">
            <v>NR</v>
          </cell>
        </row>
        <row r="9026">
          <cell r="E9026" t="str">
            <v>HPER</v>
          </cell>
          <cell r="F9026" t="str">
            <v>HPER-R</v>
          </cell>
          <cell r="G9026">
            <v>398</v>
          </cell>
          <cell r="H9026" t="str">
            <v>HPER-R398</v>
          </cell>
          <cell r="K9026" t="str">
            <v>Knapp,Douglas H.</v>
          </cell>
          <cell r="N9026" t="str">
            <v>NR</v>
          </cell>
          <cell r="O9026" t="str">
            <v>NR</v>
          </cell>
        </row>
        <row r="9027">
          <cell r="E9027" t="str">
            <v>HPER</v>
          </cell>
          <cell r="F9027" t="str">
            <v>HPER-R</v>
          </cell>
          <cell r="G9027">
            <v>398</v>
          </cell>
          <cell r="H9027" t="str">
            <v>HPER-R398</v>
          </cell>
          <cell r="K9027" t="str">
            <v>Knapp,Douglas H.</v>
          </cell>
          <cell r="N9027" t="str">
            <v>NR</v>
          </cell>
          <cell r="O9027" t="str">
            <v>NR</v>
          </cell>
        </row>
        <row r="9028">
          <cell r="E9028" t="str">
            <v>HPER</v>
          </cell>
          <cell r="F9028" t="str">
            <v>HPER-R</v>
          </cell>
          <cell r="G9028">
            <v>398</v>
          </cell>
          <cell r="H9028" t="str">
            <v>HPER-R398</v>
          </cell>
          <cell r="K9028" t="str">
            <v>Leininger,Chris</v>
          </cell>
          <cell r="N9028">
            <v>2.331</v>
          </cell>
          <cell r="O9028">
            <v>2.8420000000000001</v>
          </cell>
        </row>
        <row r="9029">
          <cell r="E9029" t="str">
            <v>HPER</v>
          </cell>
          <cell r="F9029" t="str">
            <v>HPER-R</v>
          </cell>
          <cell r="G9029">
            <v>398</v>
          </cell>
          <cell r="H9029" t="str">
            <v>HPER-R398</v>
          </cell>
          <cell r="K9029" t="str">
            <v>McAfee,Mike</v>
          </cell>
          <cell r="N9029">
            <v>3.8330000000000002</v>
          </cell>
          <cell r="O9029">
            <v>3.31</v>
          </cell>
        </row>
        <row r="9030">
          <cell r="E9030" t="str">
            <v>HPER</v>
          </cell>
          <cell r="F9030" t="str">
            <v>HPER-R</v>
          </cell>
          <cell r="G9030">
            <v>398</v>
          </cell>
          <cell r="H9030" t="str">
            <v>HPER-R398</v>
          </cell>
          <cell r="K9030" t="str">
            <v>Richard,Monica June</v>
          </cell>
          <cell r="N9030" t="str">
            <v>NR</v>
          </cell>
          <cell r="O9030" t="str">
            <v>NR</v>
          </cell>
        </row>
        <row r="9031">
          <cell r="E9031" t="str">
            <v>HPER</v>
          </cell>
          <cell r="F9031" t="str">
            <v>HPER-R</v>
          </cell>
          <cell r="G9031">
            <v>399</v>
          </cell>
          <cell r="H9031" t="str">
            <v>HPER-R399</v>
          </cell>
          <cell r="K9031" t="str">
            <v>Knapp,Douglas H.</v>
          </cell>
          <cell r="N9031" t="str">
            <v>NR</v>
          </cell>
          <cell r="O9031" t="str">
            <v>NR</v>
          </cell>
        </row>
        <row r="9032">
          <cell r="E9032" t="str">
            <v>HPER</v>
          </cell>
          <cell r="F9032" t="str">
            <v>HPER-R</v>
          </cell>
          <cell r="G9032">
            <v>402</v>
          </cell>
          <cell r="H9032" t="str">
            <v>HPER-R402</v>
          </cell>
          <cell r="K9032" t="str">
            <v>Knapp,Douglas H.</v>
          </cell>
          <cell r="N9032">
            <v>3.7269999999999999</v>
          </cell>
          <cell r="O9032">
            <v>3.1539999999999999</v>
          </cell>
        </row>
        <row r="9033">
          <cell r="E9033" t="str">
            <v>HPER</v>
          </cell>
          <cell r="F9033" t="str">
            <v>HPER-R</v>
          </cell>
          <cell r="G9033">
            <v>411</v>
          </cell>
          <cell r="H9033" t="str">
            <v>HPER-R411</v>
          </cell>
          <cell r="K9033" t="str">
            <v>Vooris,Ryan P</v>
          </cell>
          <cell r="N9033">
            <v>3.3170000000000002</v>
          </cell>
          <cell r="O9033">
            <v>3.25</v>
          </cell>
        </row>
        <row r="9034">
          <cell r="E9034" t="str">
            <v>HPER</v>
          </cell>
          <cell r="F9034" t="str">
            <v>HPER-R</v>
          </cell>
          <cell r="G9034">
            <v>411</v>
          </cell>
          <cell r="H9034" t="str">
            <v>HPER-R411</v>
          </cell>
          <cell r="K9034" t="str">
            <v>Young,Sarah J</v>
          </cell>
          <cell r="N9034">
            <v>2.5499999999999998</v>
          </cell>
          <cell r="O9034">
            <v>3.1869999999999998</v>
          </cell>
        </row>
        <row r="9035">
          <cell r="E9035" t="str">
            <v>HPER</v>
          </cell>
          <cell r="F9035" t="str">
            <v>HPER-R</v>
          </cell>
          <cell r="G9035">
            <v>412</v>
          </cell>
          <cell r="H9035" t="str">
            <v>HPER-R412</v>
          </cell>
          <cell r="K9035" t="str">
            <v>Voight,Alison E</v>
          </cell>
          <cell r="N9035">
            <v>2.508</v>
          </cell>
          <cell r="O9035">
            <v>2.6680000000000001</v>
          </cell>
        </row>
        <row r="9036">
          <cell r="E9036" t="str">
            <v>HPER</v>
          </cell>
          <cell r="F9036" t="str">
            <v>HPER-R</v>
          </cell>
          <cell r="G9036">
            <v>413</v>
          </cell>
          <cell r="H9036" t="str">
            <v>HPER-R413</v>
          </cell>
          <cell r="K9036" t="str">
            <v>Ewert,Alan</v>
          </cell>
          <cell r="N9036">
            <v>3.3610000000000002</v>
          </cell>
          <cell r="O9036">
            <v>3.1819999999999999</v>
          </cell>
        </row>
        <row r="9037">
          <cell r="E9037" t="str">
            <v>HPER</v>
          </cell>
          <cell r="F9037" t="str">
            <v>HPER-R</v>
          </cell>
          <cell r="G9037">
            <v>422</v>
          </cell>
          <cell r="H9037" t="str">
            <v>HPER-R422</v>
          </cell>
          <cell r="K9037" t="str">
            <v>Cole,Shu Tian</v>
          </cell>
          <cell r="N9037">
            <v>2.7549999999999999</v>
          </cell>
          <cell r="O9037">
            <v>2.9849999999999999</v>
          </cell>
        </row>
        <row r="9038">
          <cell r="E9038" t="str">
            <v>HPER</v>
          </cell>
          <cell r="F9038" t="str">
            <v>HPER-R</v>
          </cell>
          <cell r="G9038">
            <v>422</v>
          </cell>
          <cell r="H9038" t="str">
            <v>HPER-R422</v>
          </cell>
          <cell r="K9038" t="str">
            <v>Cole,Shu Tian</v>
          </cell>
          <cell r="N9038">
            <v>2.738</v>
          </cell>
          <cell r="O9038">
            <v>3.0329999999999999</v>
          </cell>
        </row>
        <row r="9039">
          <cell r="E9039" t="str">
            <v>HPER</v>
          </cell>
          <cell r="F9039" t="str">
            <v>HPER-R</v>
          </cell>
          <cell r="G9039">
            <v>423</v>
          </cell>
          <cell r="H9039" t="str">
            <v>HPER-R423</v>
          </cell>
          <cell r="K9039" t="str">
            <v>Basman,Cem Mehmet</v>
          </cell>
          <cell r="N9039">
            <v>3.992</v>
          </cell>
          <cell r="O9039">
            <v>3.0920000000000001</v>
          </cell>
        </row>
        <row r="9040">
          <cell r="E9040" t="str">
            <v>HPER</v>
          </cell>
          <cell r="F9040" t="str">
            <v>HPER-R</v>
          </cell>
          <cell r="G9040">
            <v>429</v>
          </cell>
          <cell r="H9040" t="str">
            <v>HPER-R429</v>
          </cell>
          <cell r="K9040" t="str">
            <v>Duffy,Lauren Nicole</v>
          </cell>
          <cell r="N9040">
            <v>3.8159999999999998</v>
          </cell>
          <cell r="O9040">
            <v>3.0840000000000001</v>
          </cell>
        </row>
        <row r="9041">
          <cell r="E9041" t="str">
            <v>HPER</v>
          </cell>
          <cell r="F9041" t="str">
            <v>HPER-R</v>
          </cell>
          <cell r="G9041">
            <v>430</v>
          </cell>
          <cell r="H9041" t="str">
            <v>HPER-R430</v>
          </cell>
          <cell r="K9041" t="str">
            <v>Bennett,Jessie Lynn</v>
          </cell>
          <cell r="N9041">
            <v>3.8109999999999999</v>
          </cell>
          <cell r="O9041">
            <v>3.101</v>
          </cell>
        </row>
        <row r="9042">
          <cell r="E9042" t="str">
            <v>HPER</v>
          </cell>
          <cell r="F9042" t="str">
            <v>HPER-R</v>
          </cell>
          <cell r="G9042">
            <v>441</v>
          </cell>
          <cell r="H9042" t="str">
            <v>HPER-R441</v>
          </cell>
          <cell r="K9042" t="str">
            <v>Ramos,William Dominic</v>
          </cell>
          <cell r="N9042">
            <v>3.4670000000000001</v>
          </cell>
          <cell r="O9042">
            <v>3.2149999999999999</v>
          </cell>
        </row>
        <row r="9043">
          <cell r="E9043" t="str">
            <v>HPER</v>
          </cell>
          <cell r="F9043" t="str">
            <v>HPER-R</v>
          </cell>
          <cell r="G9043">
            <v>441</v>
          </cell>
          <cell r="H9043" t="str">
            <v>HPER-R441</v>
          </cell>
          <cell r="K9043" t="str">
            <v>Young,Sarah J</v>
          </cell>
          <cell r="N9043">
            <v>2.8279999999999998</v>
          </cell>
          <cell r="O9043">
            <v>3.14</v>
          </cell>
        </row>
        <row r="9044">
          <cell r="E9044" t="str">
            <v>HPER</v>
          </cell>
          <cell r="F9044" t="str">
            <v>HPER-R</v>
          </cell>
          <cell r="G9044">
            <v>451</v>
          </cell>
          <cell r="H9044" t="str">
            <v>HPER-R451</v>
          </cell>
          <cell r="K9044" t="str">
            <v>Ostermeyer,Matthew Daniel</v>
          </cell>
          <cell r="N9044">
            <v>3.36</v>
          </cell>
          <cell r="O9044">
            <v>3.0539999999999998</v>
          </cell>
        </row>
        <row r="9045">
          <cell r="E9045" t="str">
            <v>HPER</v>
          </cell>
          <cell r="F9045" t="str">
            <v>HPER-R</v>
          </cell>
          <cell r="G9045">
            <v>451</v>
          </cell>
          <cell r="H9045" t="str">
            <v>HPER-R451</v>
          </cell>
          <cell r="K9045" t="str">
            <v>Williams,David Kinne</v>
          </cell>
          <cell r="N9045">
            <v>3.0619999999999998</v>
          </cell>
          <cell r="O9045">
            <v>3.0369999999999999</v>
          </cell>
        </row>
        <row r="9046">
          <cell r="E9046" t="str">
            <v>HPER</v>
          </cell>
          <cell r="F9046" t="str">
            <v>HPER-R</v>
          </cell>
          <cell r="G9046">
            <v>455</v>
          </cell>
          <cell r="H9046" t="str">
            <v>HPER-R455</v>
          </cell>
          <cell r="K9046" t="str">
            <v>Franzidis,Alexia Francesca</v>
          </cell>
          <cell r="N9046">
            <v>4</v>
          </cell>
          <cell r="O9046">
            <v>3.2080000000000002</v>
          </cell>
        </row>
        <row r="9047">
          <cell r="E9047" t="str">
            <v>HPER</v>
          </cell>
          <cell r="F9047" t="str">
            <v>HPER-R</v>
          </cell>
          <cell r="G9047">
            <v>462</v>
          </cell>
          <cell r="H9047" t="str">
            <v>HPER-R462</v>
          </cell>
          <cell r="K9047" t="str">
            <v>Van Puymbroeck,Marieke</v>
          </cell>
          <cell r="N9047">
            <v>3.42</v>
          </cell>
          <cell r="O9047">
            <v>3.1219999999999999</v>
          </cell>
        </row>
        <row r="9048">
          <cell r="E9048" t="str">
            <v>HPER</v>
          </cell>
          <cell r="F9048" t="str">
            <v>HPER-R</v>
          </cell>
          <cell r="G9048">
            <v>466</v>
          </cell>
          <cell r="H9048" t="str">
            <v>HPER-R466</v>
          </cell>
          <cell r="K9048" t="str">
            <v>Knapp,Julia Sesow</v>
          </cell>
          <cell r="N9048">
            <v>3.0739999999999998</v>
          </cell>
          <cell r="O9048">
            <v>2.92</v>
          </cell>
        </row>
        <row r="9049">
          <cell r="E9049" t="str">
            <v>HPER</v>
          </cell>
          <cell r="F9049" t="str">
            <v>HPER-R</v>
          </cell>
          <cell r="G9049">
            <v>468</v>
          </cell>
          <cell r="H9049" t="str">
            <v>HPER-R468</v>
          </cell>
          <cell r="K9049" t="str">
            <v>Chancellor,Herbert Charles</v>
          </cell>
          <cell r="N9049">
            <v>2.887</v>
          </cell>
          <cell r="O9049">
            <v>3.2360000000000002</v>
          </cell>
        </row>
        <row r="9050">
          <cell r="E9050" t="str">
            <v>HPER</v>
          </cell>
          <cell r="F9050" t="str">
            <v>HPER-R</v>
          </cell>
          <cell r="G9050">
            <v>468</v>
          </cell>
          <cell r="H9050" t="str">
            <v>HPER-R468</v>
          </cell>
          <cell r="K9050" t="str">
            <v>Pena,Valerie J</v>
          </cell>
          <cell r="N9050">
            <v>3.6789999999999998</v>
          </cell>
          <cell r="O9050">
            <v>3.06</v>
          </cell>
        </row>
        <row r="9051">
          <cell r="E9051" t="str">
            <v>HPER</v>
          </cell>
          <cell r="F9051" t="str">
            <v>HPER-R</v>
          </cell>
          <cell r="G9051">
            <v>471</v>
          </cell>
          <cell r="H9051" t="str">
            <v>HPER-R471</v>
          </cell>
          <cell r="K9051" t="str">
            <v>Sturts,Jill Rena</v>
          </cell>
          <cell r="N9051">
            <v>3.1890000000000001</v>
          </cell>
          <cell r="O9051">
            <v>3.0139999999999998</v>
          </cell>
        </row>
        <row r="9052">
          <cell r="E9052" t="str">
            <v>HPER</v>
          </cell>
          <cell r="F9052" t="str">
            <v>HPER-R</v>
          </cell>
          <cell r="G9052">
            <v>471</v>
          </cell>
          <cell r="H9052" t="str">
            <v>HPER-R471</v>
          </cell>
          <cell r="K9052" t="str">
            <v>Sturts,Jill Rena</v>
          </cell>
          <cell r="N9052">
            <v>2.9129999999999998</v>
          </cell>
          <cell r="O9052">
            <v>2.9929999999999999</v>
          </cell>
        </row>
        <row r="9053">
          <cell r="E9053" t="str">
            <v>HPER</v>
          </cell>
          <cell r="F9053" t="str">
            <v>HPER-R</v>
          </cell>
          <cell r="G9053">
            <v>472</v>
          </cell>
          <cell r="H9053" t="str">
            <v>HPER-R472</v>
          </cell>
          <cell r="K9053" t="str">
            <v>Ross,Craig M.</v>
          </cell>
          <cell r="N9053">
            <v>2.835</v>
          </cell>
          <cell r="O9053">
            <v>2.8</v>
          </cell>
        </row>
        <row r="9054">
          <cell r="E9054" t="str">
            <v>HPER</v>
          </cell>
          <cell r="F9054" t="str">
            <v>HPER-R</v>
          </cell>
          <cell r="G9054">
            <v>479</v>
          </cell>
          <cell r="H9054" t="str">
            <v>HPER-R479</v>
          </cell>
          <cell r="K9054" t="str">
            <v>Gray,Cara Noelle</v>
          </cell>
          <cell r="N9054">
            <v>3.4590000000000001</v>
          </cell>
          <cell r="O9054">
            <v>3.081</v>
          </cell>
        </row>
        <row r="9055">
          <cell r="E9055" t="str">
            <v>HPER</v>
          </cell>
          <cell r="F9055" t="str">
            <v>HPER-R</v>
          </cell>
          <cell r="G9055">
            <v>490</v>
          </cell>
          <cell r="H9055" t="str">
            <v>HPER-R490</v>
          </cell>
          <cell r="K9055" t="str">
            <v>Piatt,Jennifer Ann</v>
          </cell>
          <cell r="N9055">
            <v>3.0710000000000002</v>
          </cell>
          <cell r="O9055">
            <v>3.0630000000000002</v>
          </cell>
        </row>
        <row r="9056">
          <cell r="E9056" t="str">
            <v>HPER</v>
          </cell>
          <cell r="F9056" t="str">
            <v>HPER-R</v>
          </cell>
          <cell r="G9056">
            <v>490</v>
          </cell>
          <cell r="H9056" t="str">
            <v>HPER-R490</v>
          </cell>
          <cell r="K9056" t="str">
            <v>Voight,Alison E</v>
          </cell>
          <cell r="N9056">
            <v>3.0030000000000001</v>
          </cell>
          <cell r="O9056">
            <v>3.1579999999999999</v>
          </cell>
        </row>
        <row r="9057">
          <cell r="E9057" t="str">
            <v>HPER</v>
          </cell>
          <cell r="F9057" t="str">
            <v>HPER-R</v>
          </cell>
          <cell r="G9057">
            <v>500</v>
          </cell>
          <cell r="H9057" t="str">
            <v>HPER-R500</v>
          </cell>
          <cell r="K9057" t="str">
            <v>Hawkins,Barbara Ames</v>
          </cell>
          <cell r="N9057">
            <v>3.9089999999999998</v>
          </cell>
          <cell r="O9057">
            <v>3.831</v>
          </cell>
        </row>
        <row r="9058">
          <cell r="E9058" t="str">
            <v>HPER</v>
          </cell>
          <cell r="F9058" t="str">
            <v>HPER-R</v>
          </cell>
          <cell r="G9058">
            <v>504</v>
          </cell>
          <cell r="H9058" t="str">
            <v>HPER-R504</v>
          </cell>
          <cell r="K9058" t="str">
            <v>Voight,Alison E</v>
          </cell>
          <cell r="N9058" t="str">
            <v>NR</v>
          </cell>
          <cell r="O9058" t="str">
            <v>NR</v>
          </cell>
        </row>
        <row r="9059">
          <cell r="E9059" t="str">
            <v>HPER</v>
          </cell>
          <cell r="F9059" t="str">
            <v>HPER-R</v>
          </cell>
          <cell r="G9059">
            <v>506</v>
          </cell>
          <cell r="H9059" t="str">
            <v>HPER-R506</v>
          </cell>
          <cell r="K9059" t="str">
            <v>Overholt,Jillisa Rae</v>
          </cell>
          <cell r="N9059">
            <v>3.7749999999999999</v>
          </cell>
          <cell r="O9059">
            <v>3.302</v>
          </cell>
        </row>
        <row r="9060">
          <cell r="E9060" t="str">
            <v>HPER</v>
          </cell>
          <cell r="F9060" t="str">
            <v>HPER-R</v>
          </cell>
          <cell r="G9060">
            <v>512</v>
          </cell>
          <cell r="H9060" t="str">
            <v>HPER-R512</v>
          </cell>
          <cell r="K9060" t="str">
            <v>Voight,Alison E</v>
          </cell>
          <cell r="N9060" t="str">
            <v>NR</v>
          </cell>
          <cell r="O9060" t="str">
            <v>NR</v>
          </cell>
        </row>
        <row r="9061">
          <cell r="E9061" t="str">
            <v>HPER</v>
          </cell>
          <cell r="F9061" t="str">
            <v>HPER-R</v>
          </cell>
          <cell r="G9061">
            <v>513</v>
          </cell>
          <cell r="H9061" t="str">
            <v>HPER-R513</v>
          </cell>
          <cell r="K9061" t="str">
            <v>Ewert,Alan</v>
          </cell>
          <cell r="N9061" t="str">
            <v>NR</v>
          </cell>
          <cell r="O9061" t="str">
            <v>NR</v>
          </cell>
        </row>
        <row r="9062">
          <cell r="E9062" t="str">
            <v>HPER</v>
          </cell>
          <cell r="F9062" t="str">
            <v>HPER-R</v>
          </cell>
          <cell r="G9062">
            <v>515</v>
          </cell>
          <cell r="H9062" t="str">
            <v>HPER-R515</v>
          </cell>
          <cell r="K9062" t="str">
            <v>Cole,Shu Tian</v>
          </cell>
          <cell r="N9062" t="str">
            <v>NR</v>
          </cell>
          <cell r="O9062" t="str">
            <v>NR</v>
          </cell>
        </row>
        <row r="9063">
          <cell r="E9063" t="str">
            <v>HPER</v>
          </cell>
          <cell r="F9063" t="str">
            <v>HPER-R</v>
          </cell>
          <cell r="G9063">
            <v>515</v>
          </cell>
          <cell r="H9063" t="str">
            <v>HPER-R515</v>
          </cell>
          <cell r="K9063" t="str">
            <v>Ewert,Alan</v>
          </cell>
          <cell r="N9063" t="str">
            <v>NR</v>
          </cell>
          <cell r="O9063" t="str">
            <v>NR</v>
          </cell>
        </row>
        <row r="9064">
          <cell r="E9064" t="str">
            <v>HPER</v>
          </cell>
          <cell r="F9064" t="str">
            <v>HPER-R</v>
          </cell>
          <cell r="G9064">
            <v>515</v>
          </cell>
          <cell r="H9064" t="str">
            <v>HPER-R515</v>
          </cell>
          <cell r="K9064" t="str">
            <v>McCormick,Bryan P.</v>
          </cell>
          <cell r="N9064" t="str">
            <v>NR</v>
          </cell>
          <cell r="O9064" t="str">
            <v>NR</v>
          </cell>
        </row>
        <row r="9065">
          <cell r="E9065" t="str">
            <v>HPER</v>
          </cell>
          <cell r="F9065" t="str">
            <v>HPER-R</v>
          </cell>
          <cell r="G9065">
            <v>520</v>
          </cell>
          <cell r="H9065" t="str">
            <v>HPER-R520</v>
          </cell>
          <cell r="K9065" t="str">
            <v>Ewert,Alan</v>
          </cell>
          <cell r="N9065" t="str">
            <v>NR</v>
          </cell>
          <cell r="O9065" t="str">
            <v>NR</v>
          </cell>
        </row>
        <row r="9066">
          <cell r="E9066" t="str">
            <v>HPER</v>
          </cell>
          <cell r="F9066" t="str">
            <v>HPER-R</v>
          </cell>
          <cell r="G9066">
            <v>520</v>
          </cell>
          <cell r="H9066" t="str">
            <v>HPER-R520</v>
          </cell>
          <cell r="K9066" t="str">
            <v>Wolter,Stephen A.</v>
          </cell>
          <cell r="N9066">
            <v>3.9</v>
          </cell>
          <cell r="O9066">
            <v>3.698</v>
          </cell>
        </row>
        <row r="9067">
          <cell r="E9067" t="str">
            <v>HPER</v>
          </cell>
          <cell r="F9067" t="str">
            <v>HPER-R</v>
          </cell>
          <cell r="G9067">
            <v>522</v>
          </cell>
          <cell r="H9067" t="str">
            <v>HPER-R522</v>
          </cell>
          <cell r="K9067" t="str">
            <v>Chen,Joseph S.</v>
          </cell>
          <cell r="N9067">
            <v>4</v>
          </cell>
          <cell r="O9067">
            <v>3.7839999999999998</v>
          </cell>
        </row>
        <row r="9068">
          <cell r="E9068" t="str">
            <v>HPER</v>
          </cell>
          <cell r="F9068" t="str">
            <v>HPER-R</v>
          </cell>
          <cell r="G9068">
            <v>523</v>
          </cell>
          <cell r="H9068" t="str">
            <v>HPER-R523</v>
          </cell>
          <cell r="K9068" t="str">
            <v>Basman,Cem Mehmet</v>
          </cell>
          <cell r="N9068">
            <v>4</v>
          </cell>
          <cell r="O9068">
            <v>3.6469999999999998</v>
          </cell>
        </row>
        <row r="9069">
          <cell r="E9069" t="str">
            <v>HPER</v>
          </cell>
          <cell r="F9069" t="str">
            <v>HPER-R</v>
          </cell>
          <cell r="G9069">
            <v>525</v>
          </cell>
          <cell r="H9069" t="str">
            <v>HPER-R525</v>
          </cell>
          <cell r="K9069" t="str">
            <v>Jamieson,Lynn Marie</v>
          </cell>
          <cell r="N9069">
            <v>4</v>
          </cell>
          <cell r="O9069">
            <v>3.899</v>
          </cell>
        </row>
        <row r="9070">
          <cell r="E9070" t="str">
            <v>HPER</v>
          </cell>
          <cell r="F9070" t="str">
            <v>HPER-R</v>
          </cell>
          <cell r="G9070">
            <v>539</v>
          </cell>
          <cell r="H9070" t="str">
            <v>HPER-R539</v>
          </cell>
          <cell r="K9070" t="str">
            <v>Basman,Cem Mehmet</v>
          </cell>
          <cell r="N9070" t="str">
            <v>NR</v>
          </cell>
          <cell r="O9070" t="str">
            <v>NR</v>
          </cell>
        </row>
        <row r="9071">
          <cell r="E9071" t="str">
            <v>HPER</v>
          </cell>
          <cell r="F9071" t="str">
            <v>HPER-R</v>
          </cell>
          <cell r="G9071">
            <v>539</v>
          </cell>
          <cell r="H9071" t="str">
            <v>HPER-R539</v>
          </cell>
          <cell r="K9071" t="str">
            <v>Jamieson,Lynn Marie</v>
          </cell>
          <cell r="N9071" t="str">
            <v>NR</v>
          </cell>
          <cell r="O9071" t="str">
            <v>NR</v>
          </cell>
        </row>
        <row r="9072">
          <cell r="E9072" t="str">
            <v>HPER</v>
          </cell>
          <cell r="F9072" t="str">
            <v>HPER-R</v>
          </cell>
          <cell r="G9072">
            <v>539</v>
          </cell>
          <cell r="H9072" t="str">
            <v>HPER-R539</v>
          </cell>
          <cell r="K9072" t="str">
            <v>Ross,Craig M.</v>
          </cell>
          <cell r="N9072" t="str">
            <v>NR</v>
          </cell>
          <cell r="O9072" t="str">
            <v>NR</v>
          </cell>
        </row>
        <row r="9073">
          <cell r="E9073" t="str">
            <v>HPER</v>
          </cell>
          <cell r="F9073" t="str">
            <v>HPER-R</v>
          </cell>
          <cell r="G9073">
            <v>539</v>
          </cell>
          <cell r="H9073" t="str">
            <v>HPER-R539</v>
          </cell>
          <cell r="K9073" t="str">
            <v>Ross,Craig M.</v>
          </cell>
          <cell r="N9073" t="str">
            <v>NR</v>
          </cell>
          <cell r="O9073" t="str">
            <v>NR</v>
          </cell>
        </row>
        <row r="9074">
          <cell r="E9074" t="str">
            <v>HPER</v>
          </cell>
          <cell r="F9074" t="str">
            <v>HPER-R</v>
          </cell>
          <cell r="G9074">
            <v>544</v>
          </cell>
          <cell r="H9074" t="str">
            <v>HPER-R544</v>
          </cell>
          <cell r="K9074" t="str">
            <v>Hronek,Bruce B.</v>
          </cell>
          <cell r="N9074">
            <v>3.85</v>
          </cell>
          <cell r="O9074">
            <v>3.8119999999999998</v>
          </cell>
        </row>
        <row r="9075">
          <cell r="E9075" t="str">
            <v>HPER</v>
          </cell>
          <cell r="F9075" t="str">
            <v>HPER-R</v>
          </cell>
          <cell r="G9075">
            <v>555</v>
          </cell>
          <cell r="H9075" t="str">
            <v>HPER-R555</v>
          </cell>
          <cell r="K9075" t="str">
            <v>Knapp,Douglas H.</v>
          </cell>
          <cell r="N9075" t="str">
            <v>NR</v>
          </cell>
          <cell r="O9075" t="str">
            <v>NR</v>
          </cell>
        </row>
        <row r="9076">
          <cell r="E9076" t="str">
            <v>HPER</v>
          </cell>
          <cell r="F9076" t="str">
            <v>HPER-R</v>
          </cell>
          <cell r="G9076">
            <v>560</v>
          </cell>
          <cell r="H9076" t="str">
            <v>HPER-R560</v>
          </cell>
          <cell r="K9076" t="str">
            <v>Piatt,Jennifer Ann</v>
          </cell>
          <cell r="N9076">
            <v>2.8330000000000002</v>
          </cell>
          <cell r="O9076">
            <v>3.548</v>
          </cell>
        </row>
        <row r="9077">
          <cell r="E9077" t="str">
            <v>HPER</v>
          </cell>
          <cell r="F9077" t="str">
            <v>HPER-R</v>
          </cell>
          <cell r="G9077">
            <v>560</v>
          </cell>
          <cell r="H9077" t="str">
            <v>HPER-R560</v>
          </cell>
          <cell r="K9077" t="str">
            <v>Piatt,Jennifer Ann</v>
          </cell>
          <cell r="N9077">
            <v>3.9630000000000001</v>
          </cell>
          <cell r="O9077">
            <v>3.601</v>
          </cell>
        </row>
        <row r="9078">
          <cell r="E9078" t="str">
            <v>HPER</v>
          </cell>
          <cell r="F9078" t="str">
            <v>HPER-R</v>
          </cell>
          <cell r="G9078">
            <v>561</v>
          </cell>
          <cell r="H9078" t="str">
            <v>HPER-R561</v>
          </cell>
          <cell r="K9078" t="str">
            <v>Piatt,Jennifer Ann</v>
          </cell>
          <cell r="N9078" t="str">
            <v>NR</v>
          </cell>
          <cell r="O9078" t="str">
            <v>NR</v>
          </cell>
        </row>
        <row r="9079">
          <cell r="E9079" t="str">
            <v>HPER</v>
          </cell>
          <cell r="F9079" t="str">
            <v>HPER-R</v>
          </cell>
          <cell r="G9079">
            <v>561</v>
          </cell>
          <cell r="H9079" t="str">
            <v>HPER-R561</v>
          </cell>
          <cell r="K9079" t="str">
            <v>Piatt,Jennifer Ann</v>
          </cell>
          <cell r="N9079">
            <v>3.7709999999999999</v>
          </cell>
          <cell r="O9079">
            <v>3.544</v>
          </cell>
        </row>
        <row r="9080">
          <cell r="E9080" t="str">
            <v>HPER</v>
          </cell>
          <cell r="F9080" t="str">
            <v>HPER-R</v>
          </cell>
          <cell r="G9080">
            <v>563</v>
          </cell>
          <cell r="H9080" t="str">
            <v>HPER-R563</v>
          </cell>
          <cell r="K9080" t="str">
            <v>Van Puymbroeck,Marieke</v>
          </cell>
          <cell r="N9080" t="str">
            <v>NR</v>
          </cell>
          <cell r="O9080" t="str">
            <v>NR</v>
          </cell>
        </row>
        <row r="9081">
          <cell r="E9081" t="str">
            <v>HPER</v>
          </cell>
          <cell r="F9081" t="str">
            <v>HPER-R</v>
          </cell>
          <cell r="G9081">
            <v>585</v>
          </cell>
          <cell r="H9081" t="str">
            <v>HPER-R585</v>
          </cell>
          <cell r="K9081" t="str">
            <v>Ewert,Alan</v>
          </cell>
          <cell r="N9081" t="str">
            <v>NR</v>
          </cell>
          <cell r="O9081" t="str">
            <v>NR</v>
          </cell>
        </row>
        <row r="9082">
          <cell r="E9082" t="str">
            <v>HPER</v>
          </cell>
          <cell r="F9082" t="str">
            <v>HPER-R</v>
          </cell>
          <cell r="G9082">
            <v>585</v>
          </cell>
          <cell r="H9082" t="str">
            <v>HPER-R585</v>
          </cell>
          <cell r="K9082" t="str">
            <v>Knapp,Douglas H.</v>
          </cell>
          <cell r="N9082" t="str">
            <v>NR</v>
          </cell>
          <cell r="O9082" t="str">
            <v>NR</v>
          </cell>
        </row>
        <row r="9083">
          <cell r="E9083" t="str">
            <v>HPER</v>
          </cell>
          <cell r="F9083" t="str">
            <v>HPER-R</v>
          </cell>
          <cell r="G9083">
            <v>599</v>
          </cell>
          <cell r="H9083" t="str">
            <v>HPER-R599</v>
          </cell>
          <cell r="K9083" t="str">
            <v>Chancellor,Herbert Charles</v>
          </cell>
          <cell r="N9083" t="str">
            <v>NR</v>
          </cell>
          <cell r="O9083" t="str">
            <v>NR</v>
          </cell>
        </row>
        <row r="9084">
          <cell r="E9084" t="str">
            <v>HPER</v>
          </cell>
          <cell r="F9084" t="str">
            <v>HPER-R</v>
          </cell>
          <cell r="G9084">
            <v>599</v>
          </cell>
          <cell r="H9084" t="str">
            <v>HPER-R599</v>
          </cell>
          <cell r="K9084" t="str">
            <v>Ewert,Alan</v>
          </cell>
          <cell r="N9084" t="str">
            <v>NR</v>
          </cell>
          <cell r="O9084" t="str">
            <v>NR</v>
          </cell>
        </row>
        <row r="9085">
          <cell r="E9085" t="str">
            <v>HPER</v>
          </cell>
          <cell r="F9085" t="str">
            <v>HPER-R</v>
          </cell>
          <cell r="G9085">
            <v>599</v>
          </cell>
          <cell r="H9085" t="str">
            <v>HPER-R599</v>
          </cell>
          <cell r="K9085" t="str">
            <v>Knapp,Douglas H.</v>
          </cell>
          <cell r="N9085" t="str">
            <v>NR</v>
          </cell>
          <cell r="O9085" t="str">
            <v>NR</v>
          </cell>
        </row>
        <row r="9086">
          <cell r="E9086" t="str">
            <v>HPER</v>
          </cell>
          <cell r="F9086" t="str">
            <v>HPER-R</v>
          </cell>
          <cell r="G9086">
            <v>599</v>
          </cell>
          <cell r="H9086" t="str">
            <v>HPER-R599</v>
          </cell>
          <cell r="K9086" t="str">
            <v>Van Puymbroeck,Marieke</v>
          </cell>
          <cell r="N9086" t="str">
            <v>NR</v>
          </cell>
          <cell r="O9086" t="str">
            <v>NR</v>
          </cell>
        </row>
        <row r="9087">
          <cell r="E9087" t="str">
            <v>HPER</v>
          </cell>
          <cell r="F9087" t="str">
            <v>HPER-R</v>
          </cell>
          <cell r="G9087">
            <v>640</v>
          </cell>
          <cell r="H9087" t="str">
            <v>HPER-R640</v>
          </cell>
          <cell r="K9087" t="str">
            <v>Chen,Joseph S.</v>
          </cell>
          <cell r="N9087" t="str">
            <v>NR</v>
          </cell>
          <cell r="O9087" t="str">
            <v>NR</v>
          </cell>
        </row>
        <row r="9088">
          <cell r="E9088" t="str">
            <v>HPER</v>
          </cell>
          <cell r="F9088" t="str">
            <v>HPER-R</v>
          </cell>
          <cell r="G9088">
            <v>640</v>
          </cell>
          <cell r="H9088" t="str">
            <v>HPER-R640</v>
          </cell>
          <cell r="K9088" t="str">
            <v>Ewert,Alan</v>
          </cell>
          <cell r="N9088" t="str">
            <v>NR</v>
          </cell>
          <cell r="O9088" t="str">
            <v>NR</v>
          </cell>
        </row>
        <row r="9089">
          <cell r="E9089" t="str">
            <v>HPER</v>
          </cell>
          <cell r="F9089" t="str">
            <v>HPER-R</v>
          </cell>
          <cell r="G9089">
            <v>640</v>
          </cell>
          <cell r="H9089" t="str">
            <v>HPER-R640</v>
          </cell>
          <cell r="K9089" t="str">
            <v>Ewert,Alan</v>
          </cell>
          <cell r="N9089" t="str">
            <v>NR</v>
          </cell>
          <cell r="O9089" t="str">
            <v>NR</v>
          </cell>
        </row>
        <row r="9090">
          <cell r="E9090" t="str">
            <v>HPER</v>
          </cell>
          <cell r="F9090" t="str">
            <v>HPER-R</v>
          </cell>
          <cell r="G9090">
            <v>640</v>
          </cell>
          <cell r="H9090" t="str">
            <v>HPER-R640</v>
          </cell>
          <cell r="K9090" t="str">
            <v>McCormick,Bryan P.</v>
          </cell>
          <cell r="N9090" t="str">
            <v>NR</v>
          </cell>
          <cell r="O9090" t="str">
            <v>NR</v>
          </cell>
        </row>
        <row r="9091">
          <cell r="E9091" t="str">
            <v>HPER</v>
          </cell>
          <cell r="F9091" t="str">
            <v>HPER-R</v>
          </cell>
          <cell r="G9091">
            <v>640</v>
          </cell>
          <cell r="H9091" t="str">
            <v>HPER-R640</v>
          </cell>
          <cell r="K9091" t="str">
            <v>Ross,Craig M.</v>
          </cell>
          <cell r="N9091" t="str">
            <v>NR</v>
          </cell>
          <cell r="O9091" t="str">
            <v>NR</v>
          </cell>
        </row>
        <row r="9092">
          <cell r="E9092" t="str">
            <v>HPER</v>
          </cell>
          <cell r="F9092" t="str">
            <v>HPER-R</v>
          </cell>
          <cell r="G9092">
            <v>640</v>
          </cell>
          <cell r="H9092" t="str">
            <v>HPER-R640</v>
          </cell>
          <cell r="K9092" t="str">
            <v>Voight,Alison E</v>
          </cell>
          <cell r="N9092" t="str">
            <v>NR</v>
          </cell>
          <cell r="O9092" t="str">
            <v>NR</v>
          </cell>
        </row>
        <row r="9093">
          <cell r="E9093" t="str">
            <v>HPER</v>
          </cell>
          <cell r="F9093" t="str">
            <v>HPER-R</v>
          </cell>
          <cell r="G9093">
            <v>641</v>
          </cell>
          <cell r="H9093" t="str">
            <v>HPER-R641</v>
          </cell>
          <cell r="K9093" t="str">
            <v>Chancellor,Herbert Charles</v>
          </cell>
          <cell r="N9093" t="str">
            <v>NR</v>
          </cell>
          <cell r="O9093" t="str">
            <v>NR</v>
          </cell>
        </row>
        <row r="9094">
          <cell r="E9094" t="str">
            <v>HPER</v>
          </cell>
          <cell r="F9094" t="str">
            <v>HPER-R</v>
          </cell>
          <cell r="G9094">
            <v>641</v>
          </cell>
          <cell r="H9094" t="str">
            <v>HPER-R641</v>
          </cell>
          <cell r="K9094" t="str">
            <v>Piatt,Jennifer Ann</v>
          </cell>
          <cell r="N9094" t="str">
            <v>NR</v>
          </cell>
          <cell r="O9094" t="str">
            <v>NR</v>
          </cell>
        </row>
        <row r="9095">
          <cell r="E9095" t="str">
            <v>HPER</v>
          </cell>
          <cell r="F9095" t="str">
            <v>HPER-R</v>
          </cell>
          <cell r="G9095">
            <v>641</v>
          </cell>
          <cell r="H9095" t="str">
            <v>HPER-R641</v>
          </cell>
          <cell r="K9095" t="str">
            <v>Van Puymbroeck,Marieke</v>
          </cell>
          <cell r="N9095" t="str">
            <v>NR</v>
          </cell>
          <cell r="O9095" t="str">
            <v>NR</v>
          </cell>
        </row>
        <row r="9096">
          <cell r="E9096" t="str">
            <v>HPER</v>
          </cell>
          <cell r="F9096" t="str">
            <v>HPER-R</v>
          </cell>
          <cell r="G9096">
            <v>641</v>
          </cell>
          <cell r="H9096" t="str">
            <v>HPER-R641</v>
          </cell>
          <cell r="K9096" t="str">
            <v>Van Puymbroeck,Marieke</v>
          </cell>
          <cell r="N9096" t="str">
            <v>NR</v>
          </cell>
          <cell r="O9096" t="str">
            <v>NR</v>
          </cell>
        </row>
        <row r="9097">
          <cell r="E9097" t="str">
            <v>HPER</v>
          </cell>
          <cell r="F9097" t="str">
            <v>HPER-R</v>
          </cell>
          <cell r="G9097">
            <v>641</v>
          </cell>
          <cell r="H9097" t="str">
            <v>HPER-R641</v>
          </cell>
          <cell r="K9097" t="str">
            <v>Van Puymbroeck,Marieke</v>
          </cell>
          <cell r="N9097" t="str">
            <v>NR</v>
          </cell>
          <cell r="O9097" t="str">
            <v>NR</v>
          </cell>
        </row>
        <row r="9098">
          <cell r="E9098" t="str">
            <v>HPER</v>
          </cell>
          <cell r="F9098" t="str">
            <v>HPER-R</v>
          </cell>
          <cell r="G9098">
            <v>642</v>
          </cell>
          <cell r="H9098" t="str">
            <v>HPER-R642</v>
          </cell>
          <cell r="K9098" t="str">
            <v>Chancellor,Herbert Charles</v>
          </cell>
          <cell r="N9098" t="str">
            <v>NR</v>
          </cell>
          <cell r="O9098" t="str">
            <v>NR</v>
          </cell>
        </row>
        <row r="9099">
          <cell r="E9099" t="str">
            <v>HPER</v>
          </cell>
          <cell r="F9099" t="str">
            <v>HPER-R</v>
          </cell>
          <cell r="G9099">
            <v>642</v>
          </cell>
          <cell r="H9099" t="str">
            <v>HPER-R642</v>
          </cell>
          <cell r="K9099" t="str">
            <v>Jamieson,Lynn Marie</v>
          </cell>
          <cell r="N9099" t="str">
            <v>NR</v>
          </cell>
          <cell r="O9099" t="str">
            <v>NR</v>
          </cell>
        </row>
        <row r="9100">
          <cell r="E9100" t="str">
            <v>HPER</v>
          </cell>
          <cell r="F9100" t="str">
            <v>HPER-R</v>
          </cell>
          <cell r="G9100">
            <v>642</v>
          </cell>
          <cell r="H9100" t="str">
            <v>HPER-R642</v>
          </cell>
          <cell r="K9100" t="str">
            <v>McCormick,Bryan P.</v>
          </cell>
          <cell r="N9100" t="str">
            <v>NR</v>
          </cell>
          <cell r="O9100" t="str">
            <v>NR</v>
          </cell>
        </row>
        <row r="9101">
          <cell r="E9101" t="str">
            <v>HPER</v>
          </cell>
          <cell r="F9101" t="str">
            <v>HPER-R</v>
          </cell>
          <cell r="G9101">
            <v>642</v>
          </cell>
          <cell r="H9101" t="str">
            <v>HPER-R642</v>
          </cell>
          <cell r="K9101" t="str">
            <v>Van Puymbroeck,Marieke</v>
          </cell>
          <cell r="N9101" t="str">
            <v>NR</v>
          </cell>
          <cell r="O9101" t="str">
            <v>NR</v>
          </cell>
        </row>
        <row r="9102">
          <cell r="E9102" t="str">
            <v>HPER</v>
          </cell>
          <cell r="F9102" t="str">
            <v>HPER-R</v>
          </cell>
          <cell r="G9102">
            <v>642</v>
          </cell>
          <cell r="H9102" t="str">
            <v>HPER-R642</v>
          </cell>
          <cell r="K9102" t="str">
            <v>Van Puymbroeck,Marieke</v>
          </cell>
          <cell r="N9102" t="str">
            <v>NR</v>
          </cell>
          <cell r="O9102" t="str">
            <v>NR</v>
          </cell>
        </row>
        <row r="9103">
          <cell r="E9103" t="str">
            <v>HPER</v>
          </cell>
          <cell r="F9103" t="str">
            <v>HPER-R</v>
          </cell>
          <cell r="G9103">
            <v>642</v>
          </cell>
          <cell r="H9103" t="str">
            <v>HPER-R642</v>
          </cell>
          <cell r="K9103" t="str">
            <v>Van Puymbroeck,Marieke</v>
          </cell>
          <cell r="N9103" t="str">
            <v>NR</v>
          </cell>
          <cell r="O9103" t="str">
            <v>NR</v>
          </cell>
        </row>
        <row r="9104">
          <cell r="E9104" t="str">
            <v>HPER</v>
          </cell>
          <cell r="F9104" t="str">
            <v>HPER-R</v>
          </cell>
          <cell r="G9104">
            <v>643</v>
          </cell>
          <cell r="H9104" t="str">
            <v>HPER-R643</v>
          </cell>
          <cell r="K9104" t="str">
            <v>Chancellor,Herbert Charles</v>
          </cell>
          <cell r="N9104" t="str">
            <v>NR</v>
          </cell>
          <cell r="O9104" t="str">
            <v>NR</v>
          </cell>
        </row>
        <row r="9105">
          <cell r="E9105" t="str">
            <v>HPER</v>
          </cell>
          <cell r="F9105" t="str">
            <v>HPER-R</v>
          </cell>
          <cell r="G9105">
            <v>643</v>
          </cell>
          <cell r="H9105" t="str">
            <v>HPER-R643</v>
          </cell>
          <cell r="K9105" t="str">
            <v>Jamieson,Lynn Marie</v>
          </cell>
          <cell r="N9105" t="str">
            <v>NR</v>
          </cell>
          <cell r="O9105" t="str">
            <v>NR</v>
          </cell>
        </row>
        <row r="9106">
          <cell r="E9106" t="str">
            <v>HPER</v>
          </cell>
          <cell r="F9106" t="str">
            <v>HPER-R</v>
          </cell>
          <cell r="G9106">
            <v>645</v>
          </cell>
          <cell r="H9106" t="str">
            <v>HPER-R645</v>
          </cell>
          <cell r="K9106" t="str">
            <v>Cole,Shu Tian</v>
          </cell>
          <cell r="N9106">
            <v>4</v>
          </cell>
          <cell r="O9106">
            <v>3.8050000000000002</v>
          </cell>
        </row>
        <row r="9107">
          <cell r="E9107" t="str">
            <v>HPER</v>
          </cell>
          <cell r="F9107" t="str">
            <v>HPER-R</v>
          </cell>
          <cell r="G9107">
            <v>645</v>
          </cell>
          <cell r="H9107" t="str">
            <v>HPER-R645</v>
          </cell>
          <cell r="K9107" t="str">
            <v>Jamieson,Lynn Marie</v>
          </cell>
          <cell r="N9107" t="str">
            <v>NR</v>
          </cell>
          <cell r="O9107" t="str">
            <v>NR</v>
          </cell>
        </row>
        <row r="9108">
          <cell r="E9108" t="str">
            <v>HPER</v>
          </cell>
          <cell r="F9108" t="str">
            <v>HPER-R</v>
          </cell>
          <cell r="G9108">
            <v>703</v>
          </cell>
          <cell r="H9108" t="str">
            <v>HPER-R703</v>
          </cell>
          <cell r="K9108" t="str">
            <v>Mowatt,Rasul A</v>
          </cell>
          <cell r="N9108">
            <v>4</v>
          </cell>
          <cell r="O9108">
            <v>3.7909999999999999</v>
          </cell>
        </row>
        <row r="9109">
          <cell r="E9109" t="str">
            <v>HPER</v>
          </cell>
          <cell r="F9109" t="str">
            <v>HPER-R</v>
          </cell>
          <cell r="G9109">
            <v>704</v>
          </cell>
          <cell r="H9109" t="str">
            <v>HPER-R704</v>
          </cell>
          <cell r="K9109" t="str">
            <v>Jamieson,Lynn Marie</v>
          </cell>
          <cell r="N9109">
            <v>3.9449999999999998</v>
          </cell>
          <cell r="O9109">
            <v>3.49</v>
          </cell>
        </row>
        <row r="9110">
          <cell r="E9110" t="str">
            <v>HPER</v>
          </cell>
          <cell r="F9110" t="str">
            <v>HPER-R</v>
          </cell>
          <cell r="G9110">
            <v>740</v>
          </cell>
          <cell r="H9110" t="str">
            <v>HPER-R740</v>
          </cell>
          <cell r="K9110" t="str">
            <v>Chancellor,Herbert Charles</v>
          </cell>
          <cell r="N9110" t="str">
            <v>NR</v>
          </cell>
          <cell r="O9110" t="str">
            <v>NR</v>
          </cell>
        </row>
        <row r="9111">
          <cell r="E9111" t="str">
            <v>HPER</v>
          </cell>
          <cell r="F9111" t="str">
            <v>HPER-R</v>
          </cell>
          <cell r="G9111">
            <v>740</v>
          </cell>
          <cell r="H9111" t="str">
            <v>HPER-R740</v>
          </cell>
          <cell r="K9111" t="str">
            <v>Cole,Shu Tian</v>
          </cell>
          <cell r="N9111" t="str">
            <v>NR</v>
          </cell>
          <cell r="O9111" t="str">
            <v>NR</v>
          </cell>
        </row>
        <row r="9112">
          <cell r="E9112" t="str">
            <v>HPER</v>
          </cell>
          <cell r="F9112" t="str">
            <v>HPER-R</v>
          </cell>
          <cell r="G9112">
            <v>740</v>
          </cell>
          <cell r="H9112" t="str">
            <v>HPER-R740</v>
          </cell>
          <cell r="K9112" t="str">
            <v>Ewert,Alan</v>
          </cell>
          <cell r="N9112" t="str">
            <v>NR</v>
          </cell>
          <cell r="O9112" t="str">
            <v>NR</v>
          </cell>
        </row>
        <row r="9113">
          <cell r="E9113" t="str">
            <v>HPER</v>
          </cell>
          <cell r="F9113" t="str">
            <v>HPER-R</v>
          </cell>
          <cell r="G9113">
            <v>740</v>
          </cell>
          <cell r="H9113" t="str">
            <v>HPER-R740</v>
          </cell>
          <cell r="K9113" t="str">
            <v>Ewert,Alan</v>
          </cell>
          <cell r="N9113" t="str">
            <v>NR</v>
          </cell>
          <cell r="O9113" t="str">
            <v>NR</v>
          </cell>
        </row>
        <row r="9114">
          <cell r="E9114" t="str">
            <v>HPER</v>
          </cell>
          <cell r="F9114" t="str">
            <v>HPER-R</v>
          </cell>
          <cell r="G9114">
            <v>740</v>
          </cell>
          <cell r="H9114" t="str">
            <v>HPER-R740</v>
          </cell>
          <cell r="K9114" t="str">
            <v>Van Puymbroeck,Marieke</v>
          </cell>
          <cell r="N9114" t="str">
            <v>NR</v>
          </cell>
          <cell r="O9114" t="str">
            <v>NR</v>
          </cell>
        </row>
        <row r="9115">
          <cell r="E9115" t="str">
            <v>HPER</v>
          </cell>
          <cell r="F9115" t="str">
            <v>HPER-R</v>
          </cell>
          <cell r="G9115">
            <v>741</v>
          </cell>
          <cell r="H9115" t="str">
            <v>HPER-R741</v>
          </cell>
          <cell r="K9115" t="str">
            <v>Basman,Cem Mehmet</v>
          </cell>
          <cell r="N9115" t="str">
            <v>NR</v>
          </cell>
          <cell r="O9115" t="str">
            <v>NR</v>
          </cell>
        </row>
        <row r="9116">
          <cell r="E9116" t="str">
            <v>HPER</v>
          </cell>
          <cell r="F9116" t="str">
            <v>HPER-R</v>
          </cell>
          <cell r="G9116">
            <v>741</v>
          </cell>
          <cell r="H9116" t="str">
            <v>HPER-R741</v>
          </cell>
          <cell r="K9116" t="str">
            <v>Chancellor,Herbert Charles</v>
          </cell>
          <cell r="N9116" t="str">
            <v>NR</v>
          </cell>
          <cell r="O9116" t="str">
            <v>NR</v>
          </cell>
        </row>
        <row r="9117">
          <cell r="E9117" t="str">
            <v>HPER</v>
          </cell>
          <cell r="F9117" t="str">
            <v>HPER-R</v>
          </cell>
          <cell r="G9117">
            <v>741</v>
          </cell>
          <cell r="H9117" t="str">
            <v>HPER-R741</v>
          </cell>
          <cell r="K9117" t="str">
            <v>Cole,Shu Tian</v>
          </cell>
          <cell r="N9117" t="str">
            <v>NR</v>
          </cell>
          <cell r="O9117" t="str">
            <v>NR</v>
          </cell>
        </row>
        <row r="9118">
          <cell r="E9118" t="str">
            <v>HPER</v>
          </cell>
          <cell r="F9118" t="str">
            <v>HPER-R</v>
          </cell>
          <cell r="G9118">
            <v>741</v>
          </cell>
          <cell r="H9118" t="str">
            <v>HPER-R741</v>
          </cell>
          <cell r="K9118" t="str">
            <v>Ross,Craig M.</v>
          </cell>
          <cell r="N9118" t="str">
            <v>NR</v>
          </cell>
          <cell r="O9118" t="str">
            <v>NR</v>
          </cell>
        </row>
        <row r="9119">
          <cell r="E9119" t="str">
            <v>HPER</v>
          </cell>
          <cell r="F9119" t="str">
            <v>HPER-R</v>
          </cell>
          <cell r="G9119">
            <v>799</v>
          </cell>
          <cell r="H9119" t="str">
            <v>HPER-R799</v>
          </cell>
          <cell r="K9119" t="str">
            <v>Chancellor,Herbert Charles</v>
          </cell>
          <cell r="N9119" t="str">
            <v>NR</v>
          </cell>
          <cell r="O9119" t="str">
            <v>NR</v>
          </cell>
        </row>
        <row r="9120">
          <cell r="E9120" t="str">
            <v>HPER</v>
          </cell>
          <cell r="F9120" t="str">
            <v>HPER-R</v>
          </cell>
          <cell r="G9120">
            <v>799</v>
          </cell>
          <cell r="H9120" t="str">
            <v>HPER-R799</v>
          </cell>
          <cell r="K9120" t="str">
            <v>Cole,Shu Tian</v>
          </cell>
          <cell r="N9120" t="str">
            <v>NR</v>
          </cell>
          <cell r="O9120" t="str">
            <v>NR</v>
          </cell>
        </row>
        <row r="9121">
          <cell r="E9121" t="str">
            <v>HPER</v>
          </cell>
          <cell r="F9121" t="str">
            <v>HPER-R</v>
          </cell>
          <cell r="G9121">
            <v>799</v>
          </cell>
          <cell r="H9121" t="str">
            <v>HPER-R799</v>
          </cell>
          <cell r="K9121" t="str">
            <v>Cole,Shu Tian</v>
          </cell>
          <cell r="N9121" t="str">
            <v>NR</v>
          </cell>
          <cell r="O9121" t="str">
            <v>NR</v>
          </cell>
        </row>
        <row r="9122">
          <cell r="E9122" t="str">
            <v>HPER</v>
          </cell>
          <cell r="F9122" t="str">
            <v>HPER-R</v>
          </cell>
          <cell r="G9122">
            <v>799</v>
          </cell>
          <cell r="H9122" t="str">
            <v>HPER-R799</v>
          </cell>
          <cell r="K9122" t="str">
            <v>Ewert,Alan</v>
          </cell>
          <cell r="N9122" t="str">
            <v>NR</v>
          </cell>
          <cell r="O9122" t="str">
            <v>NR</v>
          </cell>
        </row>
        <row r="9123">
          <cell r="E9123" t="str">
            <v>HPER</v>
          </cell>
          <cell r="F9123" t="str">
            <v>HPER-R</v>
          </cell>
          <cell r="G9123">
            <v>799</v>
          </cell>
          <cell r="H9123" t="str">
            <v>HPER-R799</v>
          </cell>
          <cell r="K9123" t="str">
            <v>Ewert,Alan</v>
          </cell>
          <cell r="N9123" t="str">
            <v>NR</v>
          </cell>
          <cell r="O9123" t="str">
            <v>NR</v>
          </cell>
        </row>
        <row r="9124">
          <cell r="E9124" t="str">
            <v>HPER</v>
          </cell>
          <cell r="F9124" t="str">
            <v>HPER-R</v>
          </cell>
          <cell r="G9124">
            <v>799</v>
          </cell>
          <cell r="H9124" t="str">
            <v>HPER-R799</v>
          </cell>
          <cell r="K9124" t="str">
            <v>Jamieson,Lynn Marie</v>
          </cell>
          <cell r="N9124" t="str">
            <v>NR</v>
          </cell>
          <cell r="O9124" t="str">
            <v>NR</v>
          </cell>
        </row>
        <row r="9125">
          <cell r="E9125" t="str">
            <v>HPER</v>
          </cell>
          <cell r="F9125" t="str">
            <v>HPER-R</v>
          </cell>
          <cell r="G9125">
            <v>799</v>
          </cell>
          <cell r="H9125" t="str">
            <v>HPER-R799</v>
          </cell>
          <cell r="K9125" t="str">
            <v>Jamieson,Lynn Marie</v>
          </cell>
          <cell r="N9125" t="str">
            <v>NR</v>
          </cell>
          <cell r="O9125" t="str">
            <v>NR</v>
          </cell>
        </row>
        <row r="9126">
          <cell r="E9126" t="str">
            <v>HPER</v>
          </cell>
          <cell r="F9126" t="str">
            <v>HPER-R</v>
          </cell>
          <cell r="G9126">
            <v>799</v>
          </cell>
          <cell r="H9126" t="str">
            <v>HPER-R799</v>
          </cell>
          <cell r="K9126" t="str">
            <v>Mowatt,Rasul A</v>
          </cell>
          <cell r="N9126" t="str">
            <v>NR</v>
          </cell>
          <cell r="O9126" t="str">
            <v>NR</v>
          </cell>
        </row>
        <row r="9127">
          <cell r="E9127" t="str">
            <v>HPER</v>
          </cell>
          <cell r="F9127" t="str">
            <v>HPER-R</v>
          </cell>
          <cell r="G9127">
            <v>799</v>
          </cell>
          <cell r="H9127" t="str">
            <v>HPER-R799</v>
          </cell>
          <cell r="K9127" t="str">
            <v>Ross,Craig M.</v>
          </cell>
          <cell r="N9127" t="str">
            <v>NR</v>
          </cell>
          <cell r="O9127" t="str">
            <v>NR</v>
          </cell>
        </row>
        <row r="9128">
          <cell r="E9128" t="str">
            <v>HPER</v>
          </cell>
          <cell r="F9128" t="str">
            <v>HPER-R</v>
          </cell>
          <cell r="G9128">
            <v>799</v>
          </cell>
          <cell r="H9128" t="str">
            <v>HPER-R799</v>
          </cell>
          <cell r="K9128" t="str">
            <v>Ross,Craig M.</v>
          </cell>
          <cell r="N9128" t="str">
            <v>NR</v>
          </cell>
          <cell r="O9128" t="str">
            <v>NR</v>
          </cell>
        </row>
        <row r="9129">
          <cell r="E9129" t="str">
            <v>HPER</v>
          </cell>
          <cell r="F9129" t="str">
            <v>HPER-R</v>
          </cell>
          <cell r="G9129">
            <v>799</v>
          </cell>
          <cell r="H9129" t="str">
            <v>HPER-R799</v>
          </cell>
          <cell r="K9129" t="str">
            <v>Van Puymbroeck,Marieke</v>
          </cell>
          <cell r="N9129" t="str">
            <v>NR</v>
          </cell>
          <cell r="O9129" t="str">
            <v>NR</v>
          </cell>
        </row>
        <row r="9130">
          <cell r="E9130" t="str">
            <v>HPER</v>
          </cell>
          <cell r="F9130" t="str">
            <v>HPER-R</v>
          </cell>
          <cell r="G9130">
            <v>799</v>
          </cell>
          <cell r="H9130" t="str">
            <v>HPER-R799</v>
          </cell>
          <cell r="K9130" t="str">
            <v>Van Puymbroeck,Marieke</v>
          </cell>
          <cell r="N9130" t="str">
            <v>NR</v>
          </cell>
          <cell r="O9130" t="str">
            <v>NR</v>
          </cell>
        </row>
        <row r="9131">
          <cell r="E9131" t="str">
            <v>HPER</v>
          </cell>
          <cell r="F9131" t="str">
            <v>HPER-S</v>
          </cell>
          <cell r="G9131">
            <v>101</v>
          </cell>
          <cell r="H9131" t="str">
            <v>HPER-S101</v>
          </cell>
          <cell r="K9131" t="str">
            <v>Smith,Susan Madison</v>
          </cell>
          <cell r="N9131">
            <v>3.83</v>
          </cell>
          <cell r="O9131">
            <v>2.9809999999999999</v>
          </cell>
        </row>
        <row r="9132">
          <cell r="E9132" t="str">
            <v>HPER</v>
          </cell>
          <cell r="F9132" t="str">
            <v>HPER-S</v>
          </cell>
          <cell r="G9132">
            <v>151</v>
          </cell>
          <cell r="H9132" t="str">
            <v>HPER-S151</v>
          </cell>
          <cell r="K9132" t="str">
            <v>Kinder,Jennifer Leigh</v>
          </cell>
          <cell r="N9132">
            <v>3.476</v>
          </cell>
          <cell r="O9132">
            <v>3.0419999999999998</v>
          </cell>
        </row>
        <row r="9133">
          <cell r="E9133" t="str">
            <v>HPER</v>
          </cell>
          <cell r="F9133" t="str">
            <v>HPER-S</v>
          </cell>
          <cell r="G9133">
            <v>201</v>
          </cell>
          <cell r="H9133" t="str">
            <v>HPER-S201</v>
          </cell>
          <cell r="K9133" t="str">
            <v>Slates,Kevin Joe</v>
          </cell>
          <cell r="N9133">
            <v>3.056</v>
          </cell>
          <cell r="O9133">
            <v>2.9430000000000001</v>
          </cell>
        </row>
        <row r="9134">
          <cell r="E9134" t="str">
            <v>HPER</v>
          </cell>
          <cell r="F9134" t="str">
            <v>HPER-S</v>
          </cell>
          <cell r="G9134">
            <v>202</v>
          </cell>
          <cell r="H9134" t="str">
            <v>HPER-S202</v>
          </cell>
          <cell r="K9134" t="str">
            <v>Robbins,Brandon Charles</v>
          </cell>
          <cell r="N9134">
            <v>3.3809999999999998</v>
          </cell>
          <cell r="O9134">
            <v>3.048</v>
          </cell>
        </row>
        <row r="9135">
          <cell r="E9135" t="str">
            <v>HPER</v>
          </cell>
          <cell r="F9135" t="str">
            <v>HPER-S</v>
          </cell>
          <cell r="G9135">
            <v>210</v>
          </cell>
          <cell r="H9135" t="str">
            <v>HPER-S210</v>
          </cell>
          <cell r="K9135" t="str">
            <v>Modglin,Joseph Shane</v>
          </cell>
          <cell r="N9135">
            <v>3.5</v>
          </cell>
          <cell r="O9135">
            <v>2.82</v>
          </cell>
        </row>
        <row r="9136">
          <cell r="E9136" t="str">
            <v>HPER</v>
          </cell>
          <cell r="F9136" t="str">
            <v>HPER-S</v>
          </cell>
          <cell r="G9136">
            <v>214</v>
          </cell>
          <cell r="H9136" t="str">
            <v>HPER-S214</v>
          </cell>
          <cell r="K9136" t="str">
            <v>Grizz Jr,William J</v>
          </cell>
          <cell r="N9136">
            <v>3.9220000000000002</v>
          </cell>
          <cell r="O9136">
            <v>2.782</v>
          </cell>
        </row>
        <row r="9137">
          <cell r="E9137" t="str">
            <v>HPER</v>
          </cell>
          <cell r="F9137" t="str">
            <v>HPER-S</v>
          </cell>
          <cell r="G9137">
            <v>217</v>
          </cell>
          <cell r="H9137" t="str">
            <v>HPER-S217</v>
          </cell>
          <cell r="K9137" t="str">
            <v>Sichting,Daphne DeAnne</v>
          </cell>
          <cell r="N9137">
            <v>3.2810000000000001</v>
          </cell>
          <cell r="O9137">
            <v>2.6030000000000002</v>
          </cell>
        </row>
        <row r="9138">
          <cell r="E9138" t="str">
            <v>HPER</v>
          </cell>
          <cell r="F9138" t="str">
            <v>HPER-S</v>
          </cell>
          <cell r="G9138">
            <v>217</v>
          </cell>
          <cell r="H9138" t="str">
            <v>HPER-S217</v>
          </cell>
          <cell r="K9138" t="str">
            <v>Sichting,Daphne DeAnne</v>
          </cell>
          <cell r="N9138">
            <v>2.431</v>
          </cell>
          <cell r="O9138">
            <v>2.548</v>
          </cell>
        </row>
        <row r="9139">
          <cell r="E9139" t="str">
            <v>HPER</v>
          </cell>
          <cell r="F9139" t="str">
            <v>HPER-S</v>
          </cell>
          <cell r="G9139">
            <v>251</v>
          </cell>
          <cell r="H9139" t="str">
            <v>HPER-S251</v>
          </cell>
          <cell r="K9139" t="str">
            <v>Newton,Larry Richard</v>
          </cell>
          <cell r="N9139">
            <v>3.1</v>
          </cell>
          <cell r="O9139">
            <v>2.9319999999999999</v>
          </cell>
        </row>
        <row r="9140">
          <cell r="E9140" t="str">
            <v>HPER</v>
          </cell>
          <cell r="F9140" t="str">
            <v>HPER-S</v>
          </cell>
          <cell r="G9140">
            <v>302</v>
          </cell>
          <cell r="H9140" t="str">
            <v>HPER-S302</v>
          </cell>
          <cell r="K9140" t="str">
            <v>Robbins,Brandon Charles</v>
          </cell>
          <cell r="N9140">
            <v>3.5179999999999998</v>
          </cell>
          <cell r="O9140">
            <v>2.7080000000000002</v>
          </cell>
        </row>
        <row r="9141">
          <cell r="E9141" t="str">
            <v>HPER</v>
          </cell>
          <cell r="F9141" t="str">
            <v>HPER-S</v>
          </cell>
          <cell r="G9141">
            <v>317</v>
          </cell>
          <cell r="H9141" t="str">
            <v>HPER-S317</v>
          </cell>
          <cell r="K9141" t="str">
            <v>Marsischky,Jerry W.</v>
          </cell>
          <cell r="N9141">
            <v>3.8650000000000002</v>
          </cell>
          <cell r="O9141">
            <v>2.8250000000000002</v>
          </cell>
        </row>
        <row r="9142">
          <cell r="E9142" t="str">
            <v>HPER</v>
          </cell>
          <cell r="F9142" t="str">
            <v>HPER-S</v>
          </cell>
          <cell r="G9142">
            <v>317</v>
          </cell>
          <cell r="H9142" t="str">
            <v>HPER-S317</v>
          </cell>
          <cell r="K9142" t="str">
            <v>Marsischky,Jerry W.</v>
          </cell>
          <cell r="N9142">
            <v>3.8849999999999998</v>
          </cell>
          <cell r="O9142">
            <v>2.9660000000000002</v>
          </cell>
        </row>
        <row r="9143">
          <cell r="E9143" t="str">
            <v>HPER</v>
          </cell>
          <cell r="F9143" t="str">
            <v>HPER-S</v>
          </cell>
          <cell r="G9143">
            <v>317</v>
          </cell>
          <cell r="H9143" t="str">
            <v>HPER-S317</v>
          </cell>
          <cell r="K9143" t="str">
            <v>Marsischky,Jerry W.</v>
          </cell>
          <cell r="N9143">
            <v>3.9449999999999998</v>
          </cell>
          <cell r="O9143">
            <v>2.8740000000000001</v>
          </cell>
        </row>
        <row r="9144">
          <cell r="E9144" t="str">
            <v>HPER</v>
          </cell>
          <cell r="F9144" t="str">
            <v>HPER-S</v>
          </cell>
          <cell r="G9144">
            <v>332</v>
          </cell>
          <cell r="H9144" t="str">
            <v>HPER-S332</v>
          </cell>
          <cell r="K9144" t="str">
            <v>Slates,Kevin Joe</v>
          </cell>
          <cell r="N9144">
            <v>3.375</v>
          </cell>
          <cell r="O9144">
            <v>2.8420000000000001</v>
          </cell>
        </row>
        <row r="9145">
          <cell r="E9145" t="str">
            <v>HPER</v>
          </cell>
          <cell r="F9145" t="str">
            <v>HPER-S</v>
          </cell>
          <cell r="G9145">
            <v>336</v>
          </cell>
          <cell r="H9145" t="str">
            <v>HPER-S336</v>
          </cell>
          <cell r="K9145" t="str">
            <v>Gooch,Lisa Lynnette</v>
          </cell>
          <cell r="N9145" t="str">
            <v>NR</v>
          </cell>
          <cell r="O9145" t="str">
            <v>NR</v>
          </cell>
        </row>
        <row r="9146">
          <cell r="E9146" t="str">
            <v>HPER</v>
          </cell>
          <cell r="F9146" t="str">
            <v>HPER-S</v>
          </cell>
          <cell r="G9146">
            <v>345</v>
          </cell>
          <cell r="H9146" t="str">
            <v>HPER-S345</v>
          </cell>
          <cell r="K9146" t="str">
            <v>Capuano,Alfred Anthony</v>
          </cell>
          <cell r="N9146">
            <v>3.7749999999999999</v>
          </cell>
          <cell r="O9146">
            <v>3.024</v>
          </cell>
        </row>
        <row r="9147">
          <cell r="E9147" t="str">
            <v>HPER</v>
          </cell>
          <cell r="F9147" t="str">
            <v>HPER-S</v>
          </cell>
          <cell r="G9147">
            <v>410</v>
          </cell>
          <cell r="H9147" t="str">
            <v>HPER-S410</v>
          </cell>
          <cell r="K9147" t="str">
            <v>Slates,Kevin Joe</v>
          </cell>
          <cell r="N9147">
            <v>3.2450000000000001</v>
          </cell>
          <cell r="O9147">
            <v>2.996</v>
          </cell>
        </row>
        <row r="9148">
          <cell r="E9148" t="str">
            <v>HPER</v>
          </cell>
          <cell r="F9148" t="str">
            <v>HPER-S</v>
          </cell>
          <cell r="G9148">
            <v>411</v>
          </cell>
          <cell r="H9148" t="str">
            <v>HPER-S411</v>
          </cell>
          <cell r="K9148" t="str">
            <v>Newton,Larry Richard</v>
          </cell>
          <cell r="N9148">
            <v>3.1890000000000001</v>
          </cell>
          <cell r="O9148">
            <v>2.9159999999999999</v>
          </cell>
        </row>
        <row r="9149">
          <cell r="E9149" t="str">
            <v>HPER</v>
          </cell>
          <cell r="F9149" t="str">
            <v>HPER-S</v>
          </cell>
          <cell r="G9149">
            <v>411</v>
          </cell>
          <cell r="H9149" t="str">
            <v>HPER-S411</v>
          </cell>
          <cell r="K9149" t="str">
            <v>Slates,Kevin Joe</v>
          </cell>
          <cell r="N9149" t="str">
            <v>NR</v>
          </cell>
          <cell r="O9149" t="str">
            <v>NR</v>
          </cell>
        </row>
        <row r="9150">
          <cell r="E9150" t="str">
            <v>HPER</v>
          </cell>
          <cell r="F9150" t="str">
            <v>HPER-S</v>
          </cell>
          <cell r="G9150">
            <v>415</v>
          </cell>
          <cell r="H9150" t="str">
            <v>HPER-S415</v>
          </cell>
          <cell r="K9150" t="str">
            <v>Gooch,Lisa Lynnette</v>
          </cell>
          <cell r="N9150">
            <v>3.7109999999999999</v>
          </cell>
          <cell r="O9150">
            <v>3.0059999999999998</v>
          </cell>
        </row>
        <row r="9151">
          <cell r="E9151" t="str">
            <v>HPER</v>
          </cell>
          <cell r="F9151" t="str">
            <v>HPER-S</v>
          </cell>
          <cell r="G9151">
            <v>444</v>
          </cell>
          <cell r="H9151" t="str">
            <v>HPER-S444</v>
          </cell>
          <cell r="K9151" t="str">
            <v>Applegate,Trent E</v>
          </cell>
          <cell r="N9151" t="str">
            <v>NR</v>
          </cell>
          <cell r="O9151" t="str">
            <v>NR</v>
          </cell>
        </row>
        <row r="9152">
          <cell r="E9152" t="str">
            <v>HPER</v>
          </cell>
          <cell r="F9152" t="str">
            <v>HPER-S</v>
          </cell>
          <cell r="G9152">
            <v>502</v>
          </cell>
          <cell r="H9152" t="str">
            <v>HPER-S502</v>
          </cell>
          <cell r="K9152" t="str">
            <v>Blair,Earl H</v>
          </cell>
          <cell r="N9152">
            <v>3.7829999999999999</v>
          </cell>
          <cell r="O9152">
            <v>3.63</v>
          </cell>
        </row>
        <row r="9153">
          <cell r="E9153" t="str">
            <v>HPER</v>
          </cell>
          <cell r="F9153" t="str">
            <v>HPER-S</v>
          </cell>
          <cell r="G9153">
            <v>513</v>
          </cell>
          <cell r="H9153" t="str">
            <v>HPER-S513</v>
          </cell>
          <cell r="K9153" t="str">
            <v>Blair,Earl H</v>
          </cell>
          <cell r="N9153">
            <v>3.68</v>
          </cell>
          <cell r="O9153">
            <v>3.7120000000000002</v>
          </cell>
        </row>
        <row r="9154">
          <cell r="E9154" t="str">
            <v>HPER</v>
          </cell>
          <cell r="F9154" t="str">
            <v>HPER-S</v>
          </cell>
          <cell r="G9154">
            <v>515</v>
          </cell>
          <cell r="H9154" t="str">
            <v>HPER-S515</v>
          </cell>
          <cell r="K9154" t="str">
            <v>Blair,Earl H</v>
          </cell>
          <cell r="N9154">
            <v>3.6629999999999998</v>
          </cell>
          <cell r="O9154">
            <v>3.6150000000000002</v>
          </cell>
        </row>
        <row r="9155">
          <cell r="E9155" t="str">
            <v>HPER</v>
          </cell>
          <cell r="F9155" t="str">
            <v>HPER-S</v>
          </cell>
          <cell r="G9155">
            <v>517</v>
          </cell>
          <cell r="H9155" t="str">
            <v>HPER-S517</v>
          </cell>
          <cell r="K9155" t="str">
            <v>Slates,Kevin Joe</v>
          </cell>
          <cell r="N9155" t="str">
            <v>NR</v>
          </cell>
          <cell r="O9155" t="str">
            <v>NR</v>
          </cell>
        </row>
        <row r="9156">
          <cell r="E9156" t="str">
            <v>HPER</v>
          </cell>
          <cell r="F9156" t="str">
            <v>HPER-S</v>
          </cell>
          <cell r="G9156">
            <v>535</v>
          </cell>
          <cell r="H9156" t="str">
            <v>HPER-S535</v>
          </cell>
          <cell r="K9156" t="str">
            <v>Smith,Susan Madison</v>
          </cell>
          <cell r="N9156">
            <v>3.9</v>
          </cell>
          <cell r="O9156">
            <v>3.7330000000000001</v>
          </cell>
        </row>
        <row r="9157">
          <cell r="E9157" t="str">
            <v>HPER</v>
          </cell>
          <cell r="F9157" t="str">
            <v>HPER-S</v>
          </cell>
          <cell r="G9157">
            <v>536</v>
          </cell>
          <cell r="H9157" t="str">
            <v>HPER-S536</v>
          </cell>
          <cell r="K9157" t="str">
            <v>Smith,Susan Madison</v>
          </cell>
          <cell r="N9157">
            <v>4</v>
          </cell>
          <cell r="O9157">
            <v>3.7309999999999999</v>
          </cell>
        </row>
        <row r="9158">
          <cell r="E9158" t="str">
            <v>HPER</v>
          </cell>
          <cell r="F9158" t="str">
            <v>HPER-S</v>
          </cell>
          <cell r="G9158">
            <v>537</v>
          </cell>
          <cell r="H9158" t="str">
            <v>HPER-S537</v>
          </cell>
          <cell r="K9158" t="str">
            <v>Smith,Susan Madison</v>
          </cell>
          <cell r="N9158" t="str">
            <v>NR</v>
          </cell>
          <cell r="O9158" t="str">
            <v>NR</v>
          </cell>
        </row>
        <row r="9159">
          <cell r="E9159" t="str">
            <v>HPER</v>
          </cell>
          <cell r="F9159" t="str">
            <v>HPER-S</v>
          </cell>
          <cell r="G9159">
            <v>552</v>
          </cell>
          <cell r="H9159" t="str">
            <v>HPER-S552</v>
          </cell>
          <cell r="K9159" t="str">
            <v>Blair,Earl H</v>
          </cell>
          <cell r="N9159">
            <v>3.5569999999999999</v>
          </cell>
          <cell r="O9159">
            <v>3.7189999999999999</v>
          </cell>
        </row>
        <row r="9160">
          <cell r="E9160" t="str">
            <v>HPER</v>
          </cell>
          <cell r="F9160" t="str">
            <v>HPER-S</v>
          </cell>
          <cell r="G9160">
            <v>610</v>
          </cell>
          <cell r="H9160" t="str">
            <v>HPER-S610</v>
          </cell>
          <cell r="K9160" t="str">
            <v>Slates,Kevin Joe</v>
          </cell>
          <cell r="N9160">
            <v>4</v>
          </cell>
          <cell r="O9160">
            <v>3.5880000000000001</v>
          </cell>
        </row>
        <row r="9161">
          <cell r="E9161" t="str">
            <v>HPER</v>
          </cell>
          <cell r="F9161" t="str">
            <v>HPER-S</v>
          </cell>
          <cell r="G9161">
            <v>617</v>
          </cell>
          <cell r="H9161" t="str">
            <v>HPER-S617</v>
          </cell>
          <cell r="K9161" t="str">
            <v>Marsischky,Jerry W.</v>
          </cell>
          <cell r="N9161" t="str">
            <v>NR</v>
          </cell>
          <cell r="O9161" t="str">
            <v>NR</v>
          </cell>
        </row>
        <row r="9162">
          <cell r="E9162" t="str">
            <v>HPER</v>
          </cell>
          <cell r="F9162" t="str">
            <v>HPER-S</v>
          </cell>
          <cell r="G9162">
            <v>632</v>
          </cell>
          <cell r="H9162" t="str">
            <v>HPER-S632</v>
          </cell>
          <cell r="K9162" t="str">
            <v>Slates,Kevin Joe</v>
          </cell>
          <cell r="N9162" t="str">
            <v>NR</v>
          </cell>
          <cell r="O9162" t="str">
            <v>NR</v>
          </cell>
        </row>
        <row r="9163">
          <cell r="E9163" t="str">
            <v>HPER</v>
          </cell>
          <cell r="F9163" t="str">
            <v>HPER-S</v>
          </cell>
          <cell r="G9163">
            <v>640</v>
          </cell>
          <cell r="H9163" t="str">
            <v>HPER-S640</v>
          </cell>
          <cell r="K9163" t="str">
            <v>Slates,Kevin Joe</v>
          </cell>
          <cell r="N9163" t="str">
            <v>NR</v>
          </cell>
          <cell r="O9163" t="str">
            <v>NR</v>
          </cell>
        </row>
        <row r="9164">
          <cell r="E9164" t="str">
            <v>HPER</v>
          </cell>
          <cell r="F9164" t="str">
            <v>HPER-S</v>
          </cell>
          <cell r="G9164">
            <v>640</v>
          </cell>
          <cell r="H9164" t="str">
            <v>HPER-S640</v>
          </cell>
          <cell r="K9164" t="str">
            <v>Smith,Susan Madison</v>
          </cell>
          <cell r="N9164" t="str">
            <v>NR</v>
          </cell>
          <cell r="O9164" t="str">
            <v>NR</v>
          </cell>
        </row>
        <row r="9165">
          <cell r="E9165" t="str">
            <v>HPER</v>
          </cell>
          <cell r="F9165" t="str">
            <v>HPER-S</v>
          </cell>
          <cell r="G9165">
            <v>641</v>
          </cell>
          <cell r="H9165" t="str">
            <v>HPER-S641</v>
          </cell>
          <cell r="K9165" t="str">
            <v>Blair,Earl H</v>
          </cell>
          <cell r="N9165" t="str">
            <v>NR</v>
          </cell>
          <cell r="O9165" t="str">
            <v>NR</v>
          </cell>
        </row>
        <row r="9166">
          <cell r="E9166" t="str">
            <v>HPER</v>
          </cell>
          <cell r="F9166" t="str">
            <v>HPER-S</v>
          </cell>
          <cell r="G9166">
            <v>641</v>
          </cell>
          <cell r="H9166" t="str">
            <v>HPER-S641</v>
          </cell>
          <cell r="K9166" t="str">
            <v>Blair,Earl H</v>
          </cell>
          <cell r="N9166" t="str">
            <v>NR</v>
          </cell>
          <cell r="O9166" t="str">
            <v>NR</v>
          </cell>
        </row>
        <row r="9167">
          <cell r="E9167" t="str">
            <v>HPER</v>
          </cell>
          <cell r="F9167" t="str">
            <v>HPER-S</v>
          </cell>
          <cell r="G9167">
            <v>641</v>
          </cell>
          <cell r="H9167" t="str">
            <v>HPER-S641</v>
          </cell>
          <cell r="K9167" t="str">
            <v>Slates,Kevin Joe</v>
          </cell>
          <cell r="N9167" t="str">
            <v>NR</v>
          </cell>
          <cell r="O9167" t="str">
            <v>NR</v>
          </cell>
        </row>
        <row r="9168">
          <cell r="E9168" t="str">
            <v>HPER</v>
          </cell>
          <cell r="F9168" t="str">
            <v>HPER-S</v>
          </cell>
          <cell r="G9168">
            <v>641</v>
          </cell>
          <cell r="H9168" t="str">
            <v>HPER-S641</v>
          </cell>
          <cell r="K9168" t="str">
            <v>Smith,Susan Madison</v>
          </cell>
          <cell r="N9168" t="str">
            <v>NR</v>
          </cell>
          <cell r="O9168" t="str">
            <v>NR</v>
          </cell>
        </row>
        <row r="9169">
          <cell r="E9169" t="str">
            <v>HPER</v>
          </cell>
          <cell r="F9169" t="str">
            <v>HPER-S</v>
          </cell>
          <cell r="G9169">
            <v>642</v>
          </cell>
          <cell r="H9169" t="str">
            <v>HPER-S642</v>
          </cell>
          <cell r="K9169" t="str">
            <v>Applegate,Trent E</v>
          </cell>
          <cell r="N9169" t="str">
            <v>NR</v>
          </cell>
          <cell r="O9169" t="str">
            <v>NR</v>
          </cell>
        </row>
        <row r="9170">
          <cell r="E9170" t="str">
            <v>HPER</v>
          </cell>
          <cell r="F9170" t="str">
            <v>HPER-S</v>
          </cell>
          <cell r="G9170">
            <v>642</v>
          </cell>
          <cell r="H9170" t="str">
            <v>HPER-S642</v>
          </cell>
          <cell r="K9170" t="str">
            <v>Applegate,Trent E</v>
          </cell>
          <cell r="N9170" t="str">
            <v>NR</v>
          </cell>
          <cell r="O9170" t="str">
            <v>NR</v>
          </cell>
        </row>
        <row r="9171">
          <cell r="E9171" t="str">
            <v>HPER</v>
          </cell>
          <cell r="F9171" t="str">
            <v>HPER-T</v>
          </cell>
          <cell r="G9171">
            <v>101</v>
          </cell>
          <cell r="H9171" t="str">
            <v>HPER-T101</v>
          </cell>
          <cell r="K9171" t="str">
            <v>Hatch,Jeremy M</v>
          </cell>
          <cell r="N9171">
            <v>3.613</v>
          </cell>
          <cell r="O9171">
            <v>3.1360000000000001</v>
          </cell>
        </row>
        <row r="9172">
          <cell r="E9172" t="str">
            <v>HPER</v>
          </cell>
          <cell r="F9172" t="str">
            <v>HPER-T</v>
          </cell>
          <cell r="G9172">
            <v>101</v>
          </cell>
          <cell r="H9172" t="str">
            <v>HPER-T101</v>
          </cell>
          <cell r="K9172" t="str">
            <v>Purvis,Jonathan David</v>
          </cell>
          <cell r="N9172">
            <v>3.6669999999999998</v>
          </cell>
          <cell r="O9172">
            <v>3.18</v>
          </cell>
        </row>
        <row r="9173">
          <cell r="E9173" t="str">
            <v>HPER</v>
          </cell>
          <cell r="F9173" t="str">
            <v>HPER-T</v>
          </cell>
          <cell r="G9173">
            <v>142</v>
          </cell>
          <cell r="H9173" t="str">
            <v>HPER-T142</v>
          </cell>
          <cell r="K9173" t="str">
            <v>Chen,Ya-Ling</v>
          </cell>
          <cell r="N9173">
            <v>2.8260000000000001</v>
          </cell>
          <cell r="O9173">
            <v>2.8340000000000001</v>
          </cell>
        </row>
        <row r="9174">
          <cell r="E9174" t="str">
            <v>HPER</v>
          </cell>
          <cell r="F9174" t="str">
            <v>HPER-T</v>
          </cell>
          <cell r="G9174">
            <v>142</v>
          </cell>
          <cell r="H9174" t="str">
            <v>HPER-T142</v>
          </cell>
          <cell r="K9174" t="str">
            <v>Getz,Deborah A</v>
          </cell>
          <cell r="N9174">
            <v>3.7149999999999999</v>
          </cell>
          <cell r="O9174">
            <v>3.1819999999999999</v>
          </cell>
        </row>
        <row r="9175">
          <cell r="E9175" t="str">
            <v>HPER</v>
          </cell>
          <cell r="F9175" t="str">
            <v>HPER-T</v>
          </cell>
          <cell r="G9175">
            <v>142</v>
          </cell>
          <cell r="H9175" t="str">
            <v>HPER-T142</v>
          </cell>
          <cell r="K9175" t="str">
            <v>Getz,Deborah A</v>
          </cell>
          <cell r="N9175">
            <v>3.2930000000000001</v>
          </cell>
          <cell r="O9175">
            <v>3.0310000000000001</v>
          </cell>
        </row>
        <row r="9176">
          <cell r="E9176" t="str">
            <v>HPER</v>
          </cell>
          <cell r="F9176" t="str">
            <v>HPER-T</v>
          </cell>
          <cell r="G9176">
            <v>142</v>
          </cell>
          <cell r="H9176" t="str">
            <v>HPER-T142</v>
          </cell>
          <cell r="K9176" t="str">
            <v>Overholt,Jillisa Rae</v>
          </cell>
          <cell r="N9176">
            <v>3.5230000000000001</v>
          </cell>
          <cell r="O9176">
            <v>3.254</v>
          </cell>
        </row>
        <row r="9177">
          <cell r="E9177" t="str">
            <v>HPER</v>
          </cell>
          <cell r="F9177" t="str">
            <v>HPER-T</v>
          </cell>
          <cell r="G9177">
            <v>142</v>
          </cell>
          <cell r="H9177" t="str">
            <v>HPER-T142</v>
          </cell>
          <cell r="K9177" t="str">
            <v>Ramos,William Dominic</v>
          </cell>
          <cell r="N9177">
            <v>3.577</v>
          </cell>
          <cell r="O9177">
            <v>3.06</v>
          </cell>
        </row>
        <row r="9178">
          <cell r="E9178" t="str">
            <v>HPER</v>
          </cell>
          <cell r="F9178" t="str">
            <v>HPER-T</v>
          </cell>
          <cell r="G9178">
            <v>142</v>
          </cell>
          <cell r="H9178" t="str">
            <v>HPER-T142</v>
          </cell>
          <cell r="K9178" t="str">
            <v>Ramos,William Dominic</v>
          </cell>
          <cell r="N9178">
            <v>3.4529999999999998</v>
          </cell>
          <cell r="O9178">
            <v>3.08</v>
          </cell>
        </row>
        <row r="9179">
          <cell r="E9179" t="str">
            <v>HPER</v>
          </cell>
          <cell r="F9179" t="str">
            <v>HPER-T</v>
          </cell>
          <cell r="G9179">
            <v>142</v>
          </cell>
          <cell r="H9179" t="str">
            <v>HPER-T142</v>
          </cell>
          <cell r="K9179" t="str">
            <v>Ramos,William Dominic</v>
          </cell>
          <cell r="N9179">
            <v>3.585</v>
          </cell>
          <cell r="O9179">
            <v>3.097</v>
          </cell>
        </row>
        <row r="9180">
          <cell r="E9180" t="str">
            <v>HPER</v>
          </cell>
          <cell r="F9180" t="str">
            <v>HPER-T</v>
          </cell>
          <cell r="G9180">
            <v>150</v>
          </cell>
          <cell r="H9180" t="str">
            <v>HPER-T150</v>
          </cell>
          <cell r="K9180" t="str">
            <v>Goodman,Bob M.</v>
          </cell>
          <cell r="N9180">
            <v>2.6379999999999999</v>
          </cell>
          <cell r="O9180">
            <v>2.778</v>
          </cell>
        </row>
        <row r="9181">
          <cell r="E9181" t="str">
            <v>HPER</v>
          </cell>
          <cell r="F9181" t="str">
            <v>HPER-T</v>
          </cell>
          <cell r="G9181">
            <v>201</v>
          </cell>
          <cell r="H9181" t="str">
            <v>HPER-T201</v>
          </cell>
          <cell r="K9181" t="str">
            <v>Hatch,Jeremy M</v>
          </cell>
          <cell r="N9181">
            <v>3.8460000000000001</v>
          </cell>
          <cell r="O9181">
            <v>3.1640000000000001</v>
          </cell>
        </row>
        <row r="9182">
          <cell r="E9182" t="str">
            <v>HPER</v>
          </cell>
          <cell r="F9182" t="str">
            <v>HPER-T</v>
          </cell>
          <cell r="G9182">
            <v>202</v>
          </cell>
          <cell r="H9182" t="str">
            <v>HPER-T202</v>
          </cell>
          <cell r="K9182" t="str">
            <v>Kubat,Natalie Gallogly</v>
          </cell>
          <cell r="N9182">
            <v>3.456</v>
          </cell>
          <cell r="O9182">
            <v>3.3490000000000002</v>
          </cell>
        </row>
        <row r="9183">
          <cell r="E9183" t="str">
            <v>HPER</v>
          </cell>
          <cell r="F9183" t="str">
            <v>HPER-T</v>
          </cell>
          <cell r="G9183">
            <v>220</v>
          </cell>
          <cell r="H9183" t="str">
            <v>HPER-T220</v>
          </cell>
          <cell r="K9183" t="str">
            <v>Gray,Cara Noelle</v>
          </cell>
          <cell r="N9183">
            <v>3.4039999999999999</v>
          </cell>
          <cell r="O9183">
            <v>3.1259999999999999</v>
          </cell>
        </row>
        <row r="9184">
          <cell r="E9184" t="str">
            <v>HPER</v>
          </cell>
          <cell r="F9184" t="str">
            <v>HPER-T</v>
          </cell>
          <cell r="G9184">
            <v>301</v>
          </cell>
          <cell r="H9184" t="str">
            <v>HPER-T301</v>
          </cell>
          <cell r="K9184" t="str">
            <v>Kubat,Natalie Gallogly</v>
          </cell>
          <cell r="N9184">
            <v>3.0369999999999999</v>
          </cell>
          <cell r="O9184">
            <v>3.0259999999999998</v>
          </cell>
        </row>
        <row r="9185">
          <cell r="E9185" t="str">
            <v>HPER</v>
          </cell>
          <cell r="F9185" t="str">
            <v>HPER-T</v>
          </cell>
          <cell r="G9185">
            <v>399</v>
          </cell>
          <cell r="H9185" t="str">
            <v>HPER-T399</v>
          </cell>
          <cell r="K9185" t="str">
            <v>Jamieson,Lynn Marie</v>
          </cell>
          <cell r="N9185" t="str">
            <v>NR</v>
          </cell>
          <cell r="O9185" t="str">
            <v>NR</v>
          </cell>
        </row>
        <row r="9186">
          <cell r="E9186" t="str">
            <v>HPER</v>
          </cell>
          <cell r="F9186" t="str">
            <v>HPER-T</v>
          </cell>
          <cell r="G9186">
            <v>580</v>
          </cell>
          <cell r="H9186" t="str">
            <v>HPER-T580</v>
          </cell>
          <cell r="K9186" t="str">
            <v>Obeng,Cecilia Sem</v>
          </cell>
          <cell r="N9186">
            <v>3.85</v>
          </cell>
          <cell r="O9186">
            <v>3.746</v>
          </cell>
        </row>
        <row r="9187">
          <cell r="E9187" t="str">
            <v>HPER</v>
          </cell>
          <cell r="F9187" t="str">
            <v>HPER-T</v>
          </cell>
          <cell r="G9187">
            <v>590</v>
          </cell>
          <cell r="H9187" t="str">
            <v>HPER-T590</v>
          </cell>
          <cell r="K9187" t="str">
            <v>Dodge,Brian Mark</v>
          </cell>
          <cell r="N9187">
            <v>3.738</v>
          </cell>
          <cell r="O9187">
            <v>3.516</v>
          </cell>
        </row>
        <row r="9188">
          <cell r="E9188" t="str">
            <v>HPER</v>
          </cell>
          <cell r="F9188" t="str">
            <v>HPER-T</v>
          </cell>
          <cell r="G9188">
            <v>590</v>
          </cell>
          <cell r="H9188" t="str">
            <v>HPER-T590</v>
          </cell>
          <cell r="K9188" t="str">
            <v>Schick,Vanessa</v>
          </cell>
          <cell r="N9188">
            <v>3.609</v>
          </cell>
          <cell r="O9188">
            <v>3.7250000000000001</v>
          </cell>
        </row>
        <row r="9189">
          <cell r="E9189" t="str">
            <v>HPER</v>
          </cell>
          <cell r="F9189" t="str">
            <v>HPER-T</v>
          </cell>
          <cell r="G9189">
            <v>591</v>
          </cell>
          <cell r="H9189" t="str">
            <v>HPER-T591</v>
          </cell>
          <cell r="K9189" t="str">
            <v>Schick,Vanessa</v>
          </cell>
          <cell r="N9189">
            <v>3.29</v>
          </cell>
          <cell r="O9189">
            <v>3.714</v>
          </cell>
        </row>
        <row r="9190">
          <cell r="E9190" t="str">
            <v>HPER</v>
          </cell>
          <cell r="F9190" t="str">
            <v>HPER-T</v>
          </cell>
          <cell r="G9190">
            <v>591</v>
          </cell>
          <cell r="H9190" t="str">
            <v>HPER-T591</v>
          </cell>
          <cell r="K9190" t="str">
            <v>Youssefagha,Ahmed Hassan Youssef</v>
          </cell>
          <cell r="N9190">
            <v>3.7090000000000001</v>
          </cell>
          <cell r="O9190">
            <v>3.8029999999999999</v>
          </cell>
        </row>
        <row r="9191">
          <cell r="E9191" t="str">
            <v>HPER</v>
          </cell>
          <cell r="F9191" t="str">
            <v>HPER-T</v>
          </cell>
          <cell r="G9191">
            <v>591</v>
          </cell>
          <cell r="H9191" t="str">
            <v>HPER-T591</v>
          </cell>
          <cell r="K9191" t="str">
            <v>Youssefagha,Ahmed Hassan Youssef</v>
          </cell>
          <cell r="N9191">
            <v>3.7519999999999998</v>
          </cell>
          <cell r="O9191">
            <v>3.5190000000000001</v>
          </cell>
        </row>
        <row r="9192">
          <cell r="E9192" t="str">
            <v>HPER</v>
          </cell>
          <cell r="F9192" t="str">
            <v>HPER-T</v>
          </cell>
          <cell r="G9192">
            <v>592</v>
          </cell>
          <cell r="H9192" t="str">
            <v>HPER-T592</v>
          </cell>
          <cell r="K9192" t="str">
            <v>Seo,Dong Chul</v>
          </cell>
          <cell r="N9192">
            <v>3.7040000000000002</v>
          </cell>
          <cell r="O9192">
            <v>3.71</v>
          </cell>
        </row>
        <row r="9193">
          <cell r="E9193" t="str">
            <v>HPER</v>
          </cell>
          <cell r="F9193" t="str">
            <v>HPER-T</v>
          </cell>
          <cell r="G9193">
            <v>594</v>
          </cell>
          <cell r="H9193" t="str">
            <v>HPER-T594</v>
          </cell>
          <cell r="K9193" t="str">
            <v>Skirvin,David M.</v>
          </cell>
          <cell r="N9193">
            <v>3.3650000000000002</v>
          </cell>
          <cell r="O9193">
            <v>3.7229999999999999</v>
          </cell>
        </row>
        <row r="9194">
          <cell r="E9194" t="str">
            <v>HPER</v>
          </cell>
          <cell r="F9194" t="str">
            <v>HPER-T</v>
          </cell>
          <cell r="G9194">
            <v>693</v>
          </cell>
          <cell r="H9194" t="str">
            <v>HPER-T693</v>
          </cell>
          <cell r="K9194" t="str">
            <v>Youssefagha,Ahmed Hassan Youssef</v>
          </cell>
          <cell r="N9194">
            <v>4</v>
          </cell>
          <cell r="O9194">
            <v>3.891</v>
          </cell>
        </row>
        <row r="9195">
          <cell r="E9195" t="str">
            <v>HPER</v>
          </cell>
          <cell r="F9195" t="str">
            <v>HPER-T</v>
          </cell>
          <cell r="G9195">
            <v>694</v>
          </cell>
          <cell r="H9195" t="str">
            <v>HPER-T694</v>
          </cell>
          <cell r="K9195" t="str">
            <v>Seo,Dong Chul</v>
          </cell>
          <cell r="N9195">
            <v>3.7170000000000001</v>
          </cell>
          <cell r="O9195">
            <v>3.823</v>
          </cell>
        </row>
        <row r="9196">
          <cell r="E9196" t="str">
            <v>HPER</v>
          </cell>
          <cell r="F9196" t="str">
            <v>HPER-V</v>
          </cell>
          <cell r="G9196">
            <v>512</v>
          </cell>
          <cell r="H9196" t="str">
            <v>HPER-V512</v>
          </cell>
          <cell r="K9196" t="str">
            <v>Kamendulis,Lisa M.</v>
          </cell>
          <cell r="N9196">
            <v>3.62</v>
          </cell>
          <cell r="O9196">
            <v>3.7789999999999999</v>
          </cell>
        </row>
        <row r="9197">
          <cell r="E9197" t="str">
            <v>HPER</v>
          </cell>
          <cell r="F9197" t="str">
            <v>HPER-V</v>
          </cell>
          <cell r="G9197">
            <v>513</v>
          </cell>
          <cell r="H9197" t="str">
            <v>HPER-V513</v>
          </cell>
          <cell r="K9197" t="str">
            <v>Kamendulis,Lisa M.</v>
          </cell>
          <cell r="N9197">
            <v>3.7570000000000001</v>
          </cell>
          <cell r="O9197">
            <v>3.66</v>
          </cell>
        </row>
        <row r="9198">
          <cell r="E9198" t="str">
            <v>HPER</v>
          </cell>
          <cell r="F9198" t="str">
            <v>HPER-V</v>
          </cell>
          <cell r="G9198">
            <v>519</v>
          </cell>
          <cell r="H9198" t="str">
            <v>HPER-V519</v>
          </cell>
          <cell r="K9198" t="str">
            <v>Shimek,Jo Anna Marie</v>
          </cell>
          <cell r="N9198">
            <v>3.7130000000000001</v>
          </cell>
          <cell r="O9198">
            <v>3.6709999999999998</v>
          </cell>
        </row>
        <row r="9199">
          <cell r="E9199" t="str">
            <v>HPER</v>
          </cell>
          <cell r="F9199" t="str">
            <v>HPER-V</v>
          </cell>
          <cell r="G9199">
            <v>520</v>
          </cell>
          <cell r="H9199" t="str">
            <v>HPER-V520</v>
          </cell>
          <cell r="K9199" t="str">
            <v>Klaunig,James E.</v>
          </cell>
          <cell r="N9199" t="str">
            <v>NR</v>
          </cell>
          <cell r="O9199" t="str">
            <v>NR</v>
          </cell>
        </row>
        <row r="9200">
          <cell r="E9200" t="str">
            <v>HPER</v>
          </cell>
          <cell r="F9200" t="str">
            <v>HPER-V</v>
          </cell>
          <cell r="G9200">
            <v>522</v>
          </cell>
          <cell r="H9200" t="str">
            <v>HPER-V522</v>
          </cell>
          <cell r="K9200" t="str">
            <v>Kamendulis,Lisa M.</v>
          </cell>
          <cell r="N9200" t="str">
            <v>NR</v>
          </cell>
          <cell r="O9200" t="str">
            <v>NR</v>
          </cell>
        </row>
        <row r="9201">
          <cell r="E9201" t="str">
            <v>HPER</v>
          </cell>
          <cell r="F9201" t="str">
            <v>HPER-V</v>
          </cell>
          <cell r="G9201">
            <v>640</v>
          </cell>
          <cell r="H9201" t="str">
            <v>HPER-V640</v>
          </cell>
          <cell r="K9201" t="str">
            <v>Hocevar,Barbara A.</v>
          </cell>
          <cell r="N9201" t="str">
            <v>NR</v>
          </cell>
          <cell r="O9201" t="str">
            <v>NR</v>
          </cell>
        </row>
        <row r="9202">
          <cell r="E9202" t="str">
            <v>HPER</v>
          </cell>
          <cell r="F9202" t="str">
            <v>HPER-V</v>
          </cell>
          <cell r="G9202">
            <v>640</v>
          </cell>
          <cell r="H9202" t="str">
            <v>HPER-V640</v>
          </cell>
          <cell r="K9202" t="str">
            <v>Klaunig,James E.</v>
          </cell>
          <cell r="N9202" t="str">
            <v>NR</v>
          </cell>
          <cell r="O9202" t="str">
            <v>NR</v>
          </cell>
        </row>
        <row r="9203">
          <cell r="E9203" t="str">
            <v>HPER</v>
          </cell>
          <cell r="F9203" t="str">
            <v>HPER-V</v>
          </cell>
          <cell r="G9203">
            <v>650</v>
          </cell>
          <cell r="H9203" t="str">
            <v>HPER-V650</v>
          </cell>
          <cell r="K9203" t="str">
            <v>Middlestadt,Susan Elizabeth</v>
          </cell>
          <cell r="N9203" t="str">
            <v>NR</v>
          </cell>
          <cell r="O9203" t="str">
            <v>NR</v>
          </cell>
        </row>
        <row r="9204">
          <cell r="E9204" t="str">
            <v>HPER</v>
          </cell>
          <cell r="F9204" t="str">
            <v>HPER-V</v>
          </cell>
          <cell r="G9204">
            <v>701</v>
          </cell>
          <cell r="H9204" t="str">
            <v>HPER-V701</v>
          </cell>
          <cell r="K9204" t="str">
            <v>Kamendulis,Lisa M.</v>
          </cell>
          <cell r="N9204" t="str">
            <v>NR</v>
          </cell>
          <cell r="O9204" t="str">
            <v>NR</v>
          </cell>
        </row>
        <row r="9205">
          <cell r="E9205" t="str">
            <v>HPER</v>
          </cell>
          <cell r="F9205" t="str">
            <v>HPER-V</v>
          </cell>
          <cell r="G9205">
            <v>703</v>
          </cell>
          <cell r="H9205" t="str">
            <v>HPER-V703</v>
          </cell>
          <cell r="K9205" t="str">
            <v>Hocevar,Barbara A.</v>
          </cell>
          <cell r="N9205" t="str">
            <v>NR</v>
          </cell>
          <cell r="O9205" t="str">
            <v>NR</v>
          </cell>
        </row>
        <row r="9206">
          <cell r="E9206" t="str">
            <v>HPER</v>
          </cell>
          <cell r="F9206" t="str">
            <v>HPER-V</v>
          </cell>
          <cell r="G9206">
            <v>704</v>
          </cell>
          <cell r="H9206" t="str">
            <v>HPER-V704</v>
          </cell>
          <cell r="K9206" t="str">
            <v>Hocevar,Barbara A.</v>
          </cell>
          <cell r="N9206" t="str">
            <v>NR</v>
          </cell>
          <cell r="O9206" t="str">
            <v>NR</v>
          </cell>
        </row>
        <row r="9207">
          <cell r="E9207" t="str">
            <v>HPER</v>
          </cell>
          <cell r="F9207" t="str">
            <v>HPER-V</v>
          </cell>
          <cell r="G9207">
            <v>713</v>
          </cell>
          <cell r="H9207" t="str">
            <v>HPER-V713</v>
          </cell>
          <cell r="K9207" t="str">
            <v>Kamendulis,Lisa M.</v>
          </cell>
          <cell r="N9207" t="str">
            <v>NR</v>
          </cell>
          <cell r="O9207" t="str">
            <v>NR</v>
          </cell>
        </row>
        <row r="9208">
          <cell r="E9208" t="str">
            <v>HPER</v>
          </cell>
          <cell r="F9208" t="str">
            <v>HPER-V</v>
          </cell>
          <cell r="G9208">
            <v>740</v>
          </cell>
          <cell r="H9208" t="str">
            <v>HPER-V740</v>
          </cell>
          <cell r="K9208" t="str">
            <v>Hocevar,Barbara A.</v>
          </cell>
          <cell r="N9208" t="str">
            <v>NR</v>
          </cell>
          <cell r="O9208" t="str">
            <v>NR</v>
          </cell>
        </row>
        <row r="9209">
          <cell r="E9209" t="str">
            <v>HPER</v>
          </cell>
          <cell r="F9209" t="str">
            <v>HPER-V</v>
          </cell>
          <cell r="G9209">
            <v>741</v>
          </cell>
          <cell r="H9209" t="str">
            <v>HPER-V741</v>
          </cell>
          <cell r="K9209" t="str">
            <v>Klaunig,James E.</v>
          </cell>
          <cell r="N9209" t="str">
            <v>NR</v>
          </cell>
          <cell r="O9209" t="str">
            <v>NR</v>
          </cell>
        </row>
        <row r="9210">
          <cell r="E9210" t="str">
            <v>HPER</v>
          </cell>
          <cell r="F9210" t="str">
            <v>HPER-Y</v>
          </cell>
          <cell r="G9210">
            <v>611</v>
          </cell>
          <cell r="H9210" t="str">
            <v>HPER-Y611</v>
          </cell>
          <cell r="K9210" t="str">
            <v>Van Der Pol,Barbara Jean</v>
          </cell>
          <cell r="N9210">
            <v>3.964</v>
          </cell>
          <cell r="O9210">
            <v>3.758</v>
          </cell>
        </row>
        <row r="9211">
          <cell r="E9211" t="str">
            <v>HPER</v>
          </cell>
          <cell r="F9211" t="str">
            <v>HPER-Y</v>
          </cell>
          <cell r="G9211">
            <v>614</v>
          </cell>
          <cell r="H9211" t="str">
            <v>HPER-Y614</v>
          </cell>
          <cell r="K9211" t="str">
            <v>Feresu,Shinga Alifina</v>
          </cell>
          <cell r="N9211">
            <v>3.8220000000000001</v>
          </cell>
          <cell r="O9211">
            <v>3.7389999999999999</v>
          </cell>
        </row>
        <row r="9212">
          <cell r="E9212" t="str">
            <v>HPER</v>
          </cell>
          <cell r="F9212" t="str">
            <v>HPER-Y</v>
          </cell>
          <cell r="G9212">
            <v>619</v>
          </cell>
          <cell r="H9212" t="str">
            <v>HPER-Y619</v>
          </cell>
          <cell r="K9212" t="str">
            <v>Van Der Pol,Barbara Jean</v>
          </cell>
          <cell r="N9212">
            <v>3.923</v>
          </cell>
          <cell r="O9212">
            <v>3.774</v>
          </cell>
        </row>
        <row r="9213">
          <cell r="E9213" t="str">
            <v>HPSC</v>
          </cell>
          <cell r="F9213" t="str">
            <v>HPSC-G</v>
          </cell>
          <cell r="G9213">
            <v>901</v>
          </cell>
          <cell r="H9213" t="str">
            <v>HPSC-G901</v>
          </cell>
          <cell r="K9213" t="str">
            <v>Bertoloni Meli,Domenico</v>
          </cell>
          <cell r="N9213" t="str">
            <v>NR</v>
          </cell>
          <cell r="O9213" t="str">
            <v>NR</v>
          </cell>
        </row>
        <row r="9214">
          <cell r="E9214" t="str">
            <v>HPSC</v>
          </cell>
          <cell r="F9214" t="str">
            <v>HPSC-G</v>
          </cell>
          <cell r="G9214">
            <v>901</v>
          </cell>
          <cell r="H9214" t="str">
            <v>HPSC-G901</v>
          </cell>
          <cell r="K9214" t="str">
            <v>Gliboff,Sander J.</v>
          </cell>
          <cell r="N9214" t="str">
            <v>NR</v>
          </cell>
          <cell r="O9214" t="str">
            <v>NR</v>
          </cell>
        </row>
        <row r="9215">
          <cell r="E9215" t="str">
            <v>HPSC</v>
          </cell>
          <cell r="F9215" t="str">
            <v>HPSC-X</v>
          </cell>
          <cell r="G9215">
            <v>100</v>
          </cell>
          <cell r="H9215" t="str">
            <v>HPSC-X100</v>
          </cell>
          <cell r="K9215" t="str">
            <v>Coko,Klodian</v>
          </cell>
          <cell r="N9215">
            <v>2.605</v>
          </cell>
          <cell r="O9215">
            <v>2.7349999999999999</v>
          </cell>
        </row>
        <row r="9216">
          <cell r="E9216" t="str">
            <v>HPSC</v>
          </cell>
          <cell r="F9216" t="str">
            <v>HPSC-X</v>
          </cell>
          <cell r="G9216">
            <v>100</v>
          </cell>
          <cell r="H9216" t="str">
            <v>HPSC-X100</v>
          </cell>
          <cell r="K9216" t="str">
            <v>Friesen,Stephen Mark</v>
          </cell>
          <cell r="N9216">
            <v>3.2109999999999999</v>
          </cell>
          <cell r="O9216">
            <v>2.8809999999999998</v>
          </cell>
        </row>
        <row r="9217">
          <cell r="E9217" t="str">
            <v>HPSC</v>
          </cell>
          <cell r="F9217" t="str">
            <v>HPSC-X</v>
          </cell>
          <cell r="G9217">
            <v>100</v>
          </cell>
          <cell r="H9217" t="str">
            <v>HPSC-X100</v>
          </cell>
          <cell r="K9217" t="str">
            <v>Inglehart,Ashley J.</v>
          </cell>
          <cell r="N9217">
            <v>2.8839999999999999</v>
          </cell>
          <cell r="O9217">
            <v>3.0070000000000001</v>
          </cell>
        </row>
        <row r="9218">
          <cell r="E9218" t="str">
            <v>HPSC</v>
          </cell>
          <cell r="F9218" t="str">
            <v>HPSC-X</v>
          </cell>
          <cell r="G9218">
            <v>100</v>
          </cell>
          <cell r="H9218" t="str">
            <v>HPSC-X100</v>
          </cell>
          <cell r="K9218" t="str">
            <v>Inglehart,Ashley J.</v>
          </cell>
          <cell r="N9218">
            <v>2.92</v>
          </cell>
          <cell r="O9218">
            <v>2.968</v>
          </cell>
        </row>
        <row r="9219">
          <cell r="E9219" t="str">
            <v>HPSC</v>
          </cell>
          <cell r="F9219" t="str">
            <v>HPSC-X</v>
          </cell>
          <cell r="G9219">
            <v>100</v>
          </cell>
          <cell r="H9219" t="str">
            <v>HPSC-X100</v>
          </cell>
          <cell r="K9219" t="str">
            <v>Seger,Laura Marie</v>
          </cell>
          <cell r="N9219">
            <v>2.63</v>
          </cell>
          <cell r="O9219">
            <v>2.9220000000000002</v>
          </cell>
        </row>
        <row r="9220">
          <cell r="E9220" t="str">
            <v>HPSC</v>
          </cell>
          <cell r="F9220" t="str">
            <v>HPSC-X</v>
          </cell>
          <cell r="G9220">
            <v>102</v>
          </cell>
          <cell r="H9220" t="str">
            <v>HPSC-X102</v>
          </cell>
          <cell r="K9220" t="str">
            <v>Coko,Klodian</v>
          </cell>
          <cell r="N9220">
            <v>2</v>
          </cell>
          <cell r="O9220">
            <v>2.82</v>
          </cell>
        </row>
        <row r="9221">
          <cell r="E9221" t="str">
            <v>HPSC</v>
          </cell>
          <cell r="F9221" t="str">
            <v>HPSC-X</v>
          </cell>
          <cell r="G9221">
            <v>102</v>
          </cell>
          <cell r="H9221" t="str">
            <v>HPSC-X102</v>
          </cell>
          <cell r="K9221" t="str">
            <v>Mc Neela,Martin Patrick</v>
          </cell>
          <cell r="N9221">
            <v>3.5910000000000002</v>
          </cell>
          <cell r="O9221">
            <v>3.1019999999999999</v>
          </cell>
        </row>
        <row r="9222">
          <cell r="E9222" t="str">
            <v>HPSC</v>
          </cell>
          <cell r="F9222" t="str">
            <v>HPSC-X</v>
          </cell>
          <cell r="G9222">
            <v>102</v>
          </cell>
          <cell r="H9222" t="str">
            <v>HPSC-X102</v>
          </cell>
          <cell r="K9222" t="str">
            <v>Mc Neela,Martin Patrick</v>
          </cell>
          <cell r="N9222">
            <v>2.952</v>
          </cell>
          <cell r="O9222">
            <v>3.012</v>
          </cell>
        </row>
        <row r="9223">
          <cell r="E9223" t="str">
            <v>HPSC</v>
          </cell>
          <cell r="F9223" t="str">
            <v>HPSC-X</v>
          </cell>
          <cell r="G9223">
            <v>200</v>
          </cell>
          <cell r="H9223" t="str">
            <v>HPSC-X200</v>
          </cell>
          <cell r="K9223" t="str">
            <v>Evans,Weston Joseph</v>
          </cell>
          <cell r="N9223">
            <v>3.4119999999999999</v>
          </cell>
          <cell r="O9223">
            <v>3.2829999999999999</v>
          </cell>
        </row>
        <row r="9224">
          <cell r="E9224" t="str">
            <v>HPSC</v>
          </cell>
          <cell r="F9224" t="str">
            <v>HPSC-X</v>
          </cell>
          <cell r="G9224">
            <v>200</v>
          </cell>
          <cell r="H9224" t="str">
            <v>HPSC-X200</v>
          </cell>
          <cell r="K9224" t="str">
            <v>Hyslop,Scott Jeffrey</v>
          </cell>
          <cell r="N9224">
            <v>3.3109999999999999</v>
          </cell>
          <cell r="O9224">
            <v>3.137</v>
          </cell>
        </row>
        <row r="9225">
          <cell r="E9225" t="str">
            <v>HPSC</v>
          </cell>
          <cell r="F9225" t="str">
            <v>HPSC-X</v>
          </cell>
          <cell r="G9225">
            <v>200</v>
          </cell>
          <cell r="H9225" t="str">
            <v>HPSC-X200</v>
          </cell>
          <cell r="K9225" t="str">
            <v>Paydar,Naveed Hamed</v>
          </cell>
          <cell r="N9225">
            <v>3.6230000000000002</v>
          </cell>
          <cell r="O9225">
            <v>3.2549999999999999</v>
          </cell>
        </row>
        <row r="9226">
          <cell r="E9226" t="str">
            <v>HPSC</v>
          </cell>
          <cell r="F9226" t="str">
            <v>HPSC-X</v>
          </cell>
          <cell r="G9226">
            <v>200</v>
          </cell>
          <cell r="H9226" t="str">
            <v>HPSC-X200</v>
          </cell>
          <cell r="K9226" t="str">
            <v>Seger,Laura Marie</v>
          </cell>
          <cell r="N9226">
            <v>2.6150000000000002</v>
          </cell>
          <cell r="O9226">
            <v>2.931</v>
          </cell>
        </row>
        <row r="9227">
          <cell r="E9227" t="str">
            <v>HPSC</v>
          </cell>
          <cell r="F9227" t="str">
            <v>HPSC-X</v>
          </cell>
          <cell r="G9227">
            <v>223</v>
          </cell>
          <cell r="H9227" t="str">
            <v>HPSC-X223</v>
          </cell>
          <cell r="K9227" t="str">
            <v>Capshew,James H.</v>
          </cell>
          <cell r="N9227">
            <v>2</v>
          </cell>
          <cell r="O9227">
            <v>2.4180000000000001</v>
          </cell>
        </row>
        <row r="9228">
          <cell r="E9228" t="str">
            <v>HPSC</v>
          </cell>
          <cell r="F9228" t="str">
            <v>HPSC-X</v>
          </cell>
          <cell r="G9228">
            <v>226</v>
          </cell>
          <cell r="H9228" t="str">
            <v>HPSC-X226</v>
          </cell>
          <cell r="K9228" t="str">
            <v>Cat,Jordi</v>
          </cell>
          <cell r="N9228">
            <v>1.9450000000000001</v>
          </cell>
          <cell r="O9228">
            <v>2.802</v>
          </cell>
        </row>
        <row r="9229">
          <cell r="E9229" t="str">
            <v>HPSC</v>
          </cell>
          <cell r="F9229" t="str">
            <v>HPSC-X</v>
          </cell>
          <cell r="G9229">
            <v>227</v>
          </cell>
          <cell r="H9229" t="str">
            <v>HPSC-X227</v>
          </cell>
          <cell r="K9229" t="str">
            <v>Hagar,Amit</v>
          </cell>
          <cell r="N9229">
            <v>2.8239999999999998</v>
          </cell>
          <cell r="O9229">
            <v>2.79</v>
          </cell>
        </row>
        <row r="9230">
          <cell r="E9230" t="str">
            <v>HPSC</v>
          </cell>
          <cell r="F9230" t="str">
            <v>HPSC-X</v>
          </cell>
          <cell r="G9230">
            <v>300</v>
          </cell>
          <cell r="H9230" t="str">
            <v>HPSC-X300</v>
          </cell>
          <cell r="K9230" t="str">
            <v>Gliboff,Sander J.</v>
          </cell>
          <cell r="N9230" t="str">
            <v>NR</v>
          </cell>
          <cell r="O9230" t="str">
            <v>NR</v>
          </cell>
        </row>
        <row r="9231">
          <cell r="E9231" t="str">
            <v>HPSC</v>
          </cell>
          <cell r="F9231" t="str">
            <v>HPSC-X</v>
          </cell>
          <cell r="G9231">
            <v>320</v>
          </cell>
          <cell r="H9231" t="str">
            <v>HPSC-X320</v>
          </cell>
          <cell r="K9231" t="str">
            <v>Newman,William Royall</v>
          </cell>
          <cell r="N9231">
            <v>2.7650000000000001</v>
          </cell>
          <cell r="O9231">
            <v>2.988</v>
          </cell>
        </row>
        <row r="9232">
          <cell r="E9232" t="str">
            <v>HPSC</v>
          </cell>
          <cell r="F9232" t="str">
            <v>HPSC-X</v>
          </cell>
          <cell r="G9232">
            <v>406</v>
          </cell>
          <cell r="H9232" t="str">
            <v>HPSC-X406</v>
          </cell>
          <cell r="K9232" t="str">
            <v>Newman,William Royall</v>
          </cell>
          <cell r="N9232" t="str">
            <v>NR</v>
          </cell>
          <cell r="O9232" t="str">
            <v>NR</v>
          </cell>
        </row>
        <row r="9233">
          <cell r="E9233" t="str">
            <v>HPSC</v>
          </cell>
          <cell r="F9233" t="str">
            <v>HPSC-X</v>
          </cell>
          <cell r="G9233">
            <v>407</v>
          </cell>
          <cell r="H9233" t="str">
            <v>HPSC-X407</v>
          </cell>
          <cell r="K9233" t="str">
            <v>Gliboff,Sander J.</v>
          </cell>
          <cell r="N9233" t="str">
            <v>NR</v>
          </cell>
          <cell r="O9233" t="str">
            <v>NR</v>
          </cell>
        </row>
        <row r="9234">
          <cell r="E9234" t="str">
            <v>HPSC</v>
          </cell>
          <cell r="F9234" t="str">
            <v>HPSC-X</v>
          </cell>
          <cell r="G9234">
            <v>451</v>
          </cell>
          <cell r="H9234" t="str">
            <v>HPSC-X451</v>
          </cell>
          <cell r="K9234" t="str">
            <v>Lloyd,Elisabeth A.</v>
          </cell>
          <cell r="N9234" t="str">
            <v>NR</v>
          </cell>
          <cell r="O9234" t="str">
            <v>NR</v>
          </cell>
        </row>
        <row r="9235">
          <cell r="E9235" t="str">
            <v>HPSC</v>
          </cell>
          <cell r="F9235" t="str">
            <v>HPSC-X</v>
          </cell>
          <cell r="G9235">
            <v>452</v>
          </cell>
          <cell r="H9235" t="str">
            <v>HPSC-X452</v>
          </cell>
          <cell r="K9235" t="str">
            <v>Cat,Jordi</v>
          </cell>
          <cell r="N9235" t="str">
            <v>NR</v>
          </cell>
          <cell r="O9235" t="str">
            <v>NR</v>
          </cell>
        </row>
        <row r="9236">
          <cell r="E9236" t="str">
            <v>HPSC</v>
          </cell>
          <cell r="F9236" t="str">
            <v>HPSC-X</v>
          </cell>
          <cell r="G9236">
            <v>506</v>
          </cell>
          <cell r="H9236" t="str">
            <v>HPSC-X506</v>
          </cell>
          <cell r="K9236" t="str">
            <v>Newman,William Royall</v>
          </cell>
          <cell r="N9236" t="str">
            <v>NR</v>
          </cell>
          <cell r="O9236" t="str">
            <v>NR</v>
          </cell>
        </row>
        <row r="9237">
          <cell r="E9237" t="str">
            <v>HPSC</v>
          </cell>
          <cell r="F9237" t="str">
            <v>HPSC-X</v>
          </cell>
          <cell r="G9237">
            <v>507</v>
          </cell>
          <cell r="H9237" t="str">
            <v>HPSC-X507</v>
          </cell>
          <cell r="K9237" t="str">
            <v>Gliboff,Sander J.</v>
          </cell>
          <cell r="N9237" t="str">
            <v>NR</v>
          </cell>
          <cell r="O9237" t="str">
            <v>NR</v>
          </cell>
        </row>
        <row r="9238">
          <cell r="E9238" t="str">
            <v>HPSC</v>
          </cell>
          <cell r="F9238" t="str">
            <v>HPSC-X</v>
          </cell>
          <cell r="G9238">
            <v>508</v>
          </cell>
          <cell r="H9238" t="str">
            <v>HPSC-X508</v>
          </cell>
          <cell r="K9238" t="str">
            <v>Gliboff,Sander J.</v>
          </cell>
          <cell r="N9238" t="str">
            <v>NR</v>
          </cell>
          <cell r="O9238" t="str">
            <v>NR</v>
          </cell>
        </row>
        <row r="9239">
          <cell r="E9239" t="str">
            <v>HPSC</v>
          </cell>
          <cell r="F9239" t="str">
            <v>HPSC-X</v>
          </cell>
          <cell r="G9239">
            <v>551</v>
          </cell>
          <cell r="H9239" t="str">
            <v>HPSC-X551</v>
          </cell>
          <cell r="K9239" t="str">
            <v>Lloyd,Elisabeth A.</v>
          </cell>
          <cell r="N9239">
            <v>3.97</v>
          </cell>
          <cell r="O9239">
            <v>3.5409999999999999</v>
          </cell>
        </row>
        <row r="9240">
          <cell r="E9240" t="str">
            <v>HPSC</v>
          </cell>
          <cell r="F9240" t="str">
            <v>HPSC-X</v>
          </cell>
          <cell r="G9240">
            <v>552</v>
          </cell>
          <cell r="H9240" t="str">
            <v>HPSC-X552</v>
          </cell>
          <cell r="K9240" t="str">
            <v>Cat,Jordi</v>
          </cell>
          <cell r="N9240">
            <v>3.7629999999999999</v>
          </cell>
          <cell r="O9240">
            <v>3.423</v>
          </cell>
        </row>
        <row r="9241">
          <cell r="E9241" t="str">
            <v>HPSC</v>
          </cell>
          <cell r="F9241" t="str">
            <v>HPSC-X</v>
          </cell>
          <cell r="G9241">
            <v>600</v>
          </cell>
          <cell r="H9241" t="str">
            <v>HPSC-X600</v>
          </cell>
          <cell r="K9241" t="str">
            <v>Bertoloni Meli,Domenico</v>
          </cell>
          <cell r="N9241" t="str">
            <v>NR</v>
          </cell>
          <cell r="O9241" t="str">
            <v>NR</v>
          </cell>
        </row>
        <row r="9242">
          <cell r="E9242" t="str">
            <v>HPSC</v>
          </cell>
          <cell r="F9242" t="str">
            <v>HPSC-X</v>
          </cell>
          <cell r="G9242">
            <v>600</v>
          </cell>
          <cell r="H9242" t="str">
            <v>HPSC-X600</v>
          </cell>
          <cell r="K9242" t="str">
            <v>Gliboff,Sander J.</v>
          </cell>
          <cell r="N9242" t="str">
            <v>NR</v>
          </cell>
          <cell r="O9242" t="str">
            <v>NR</v>
          </cell>
        </row>
        <row r="9243">
          <cell r="E9243" t="str">
            <v>HPSC</v>
          </cell>
          <cell r="F9243" t="str">
            <v>HPSC-X</v>
          </cell>
          <cell r="G9243">
            <v>600</v>
          </cell>
          <cell r="H9243" t="str">
            <v>HPSC-X600</v>
          </cell>
          <cell r="K9243" t="str">
            <v>Gliboff,Sander J.</v>
          </cell>
          <cell r="N9243" t="str">
            <v>NR</v>
          </cell>
          <cell r="O9243" t="str">
            <v>NR</v>
          </cell>
        </row>
        <row r="9244">
          <cell r="E9244" t="str">
            <v>HPSC</v>
          </cell>
          <cell r="F9244" t="str">
            <v>HPSC-X</v>
          </cell>
          <cell r="G9244">
            <v>700</v>
          </cell>
          <cell r="H9244" t="str">
            <v>HPSC-X700</v>
          </cell>
          <cell r="K9244" t="str">
            <v>Bertoloni Meli,Domenico</v>
          </cell>
          <cell r="N9244" t="str">
            <v>NR</v>
          </cell>
          <cell r="O9244" t="str">
            <v>NR</v>
          </cell>
        </row>
        <row r="9245">
          <cell r="E9245" t="str">
            <v>HPSC</v>
          </cell>
          <cell r="F9245" t="str">
            <v>HPSC-X</v>
          </cell>
          <cell r="G9245">
            <v>700</v>
          </cell>
          <cell r="H9245" t="str">
            <v>HPSC-X700</v>
          </cell>
          <cell r="K9245" t="str">
            <v>Gliboff,Sander J.</v>
          </cell>
          <cell r="N9245" t="str">
            <v>NR</v>
          </cell>
          <cell r="O9245" t="str">
            <v>NR</v>
          </cell>
        </row>
        <row r="9246">
          <cell r="E9246" t="str">
            <v>HPSC</v>
          </cell>
          <cell r="F9246" t="str">
            <v>HPSC-X</v>
          </cell>
          <cell r="G9246">
            <v>705</v>
          </cell>
          <cell r="H9246" t="str">
            <v>HPSC-X705</v>
          </cell>
          <cell r="K9246" t="str">
            <v>Capshew,James H.</v>
          </cell>
          <cell r="N9246" t="str">
            <v>NR</v>
          </cell>
          <cell r="O9246" t="str">
            <v>NR</v>
          </cell>
        </row>
        <row r="9247">
          <cell r="E9247" t="str">
            <v>HPSC</v>
          </cell>
          <cell r="F9247" t="str">
            <v>HPSC-X</v>
          </cell>
          <cell r="G9247">
            <v>705</v>
          </cell>
          <cell r="H9247" t="str">
            <v>HPSC-X705</v>
          </cell>
          <cell r="K9247" t="str">
            <v>Newman,William Royall</v>
          </cell>
          <cell r="N9247" t="str">
            <v>NR</v>
          </cell>
          <cell r="O9247" t="str">
            <v>NR</v>
          </cell>
        </row>
        <row r="9248">
          <cell r="E9248" t="str">
            <v>HPSC</v>
          </cell>
          <cell r="F9248" t="str">
            <v>HPSC-X</v>
          </cell>
          <cell r="G9248">
            <v>706</v>
          </cell>
          <cell r="H9248" t="str">
            <v>HPSC-X706</v>
          </cell>
          <cell r="K9248" t="str">
            <v>Schickore,Jutta</v>
          </cell>
          <cell r="N9248">
            <v>3.7440000000000002</v>
          </cell>
          <cell r="O9248">
            <v>3.843</v>
          </cell>
        </row>
        <row r="9249">
          <cell r="E9249" t="str">
            <v>HPSC</v>
          </cell>
          <cell r="F9249" t="str">
            <v>HPSC-X</v>
          </cell>
          <cell r="G9249">
            <v>755</v>
          </cell>
          <cell r="H9249" t="str">
            <v>HPSC-X755</v>
          </cell>
          <cell r="K9249" t="str">
            <v>Cat,Jordi</v>
          </cell>
          <cell r="N9249" t="str">
            <v>NR</v>
          </cell>
          <cell r="O9249" t="str">
            <v>NR</v>
          </cell>
        </row>
        <row r="9250">
          <cell r="E9250" t="str">
            <v>HPSC</v>
          </cell>
          <cell r="F9250" t="str">
            <v>HPSC-X</v>
          </cell>
          <cell r="G9250">
            <v>756</v>
          </cell>
          <cell r="H9250" t="str">
            <v>HPSC-X756</v>
          </cell>
          <cell r="K9250" t="str">
            <v>Hagar,Amit</v>
          </cell>
          <cell r="N9250" t="str">
            <v>NR</v>
          </cell>
          <cell r="O9250" t="str">
            <v>NR</v>
          </cell>
        </row>
        <row r="9251">
          <cell r="E9251" t="str">
            <v>HPSC</v>
          </cell>
          <cell r="F9251" t="str">
            <v>HPSC-X</v>
          </cell>
          <cell r="G9251">
            <v>800</v>
          </cell>
          <cell r="H9251" t="str">
            <v>HPSC-X800</v>
          </cell>
          <cell r="K9251" t="str">
            <v>Bertoloni Meli,Domenico</v>
          </cell>
          <cell r="N9251" t="str">
            <v>NR</v>
          </cell>
          <cell r="O9251" t="str">
            <v>NR</v>
          </cell>
        </row>
        <row r="9252">
          <cell r="E9252" t="str">
            <v>HPSC</v>
          </cell>
          <cell r="F9252" t="str">
            <v>HPSC-X</v>
          </cell>
          <cell r="G9252">
            <v>800</v>
          </cell>
          <cell r="H9252" t="str">
            <v>HPSC-X800</v>
          </cell>
          <cell r="K9252" t="str">
            <v>Bertoloni Meli,Domenico</v>
          </cell>
          <cell r="N9252" t="str">
            <v>NR</v>
          </cell>
          <cell r="O9252" t="str">
            <v>NR</v>
          </cell>
        </row>
        <row r="9253">
          <cell r="E9253" t="str">
            <v>HPSC</v>
          </cell>
          <cell r="F9253" t="str">
            <v>HPSC-X</v>
          </cell>
          <cell r="G9253">
            <v>800</v>
          </cell>
          <cell r="H9253" t="str">
            <v>HPSC-X800</v>
          </cell>
          <cell r="K9253" t="str">
            <v>Gliboff,Sander J.</v>
          </cell>
          <cell r="N9253" t="str">
            <v>NR</v>
          </cell>
          <cell r="O9253" t="str">
            <v>NR</v>
          </cell>
        </row>
        <row r="9254">
          <cell r="E9254" t="str">
            <v>HPSC</v>
          </cell>
          <cell r="F9254" t="str">
            <v>HPSC-X</v>
          </cell>
          <cell r="G9254">
            <v>800</v>
          </cell>
          <cell r="H9254" t="str">
            <v>HPSC-X800</v>
          </cell>
          <cell r="K9254" t="str">
            <v>Gliboff,Sander J.</v>
          </cell>
          <cell r="N9254" t="str">
            <v>NR</v>
          </cell>
          <cell r="O9254" t="str">
            <v>NR</v>
          </cell>
        </row>
        <row r="9255">
          <cell r="E9255" t="str">
            <v>HUBI</v>
          </cell>
          <cell r="F9255" t="str">
            <v>HUBI-B</v>
          </cell>
          <cell r="G9255">
            <v>200</v>
          </cell>
          <cell r="H9255" t="str">
            <v>HUBI-B200</v>
          </cell>
          <cell r="K9255" t="str">
            <v>Wiley,Andrea S.</v>
          </cell>
          <cell r="N9255">
            <v>3.052</v>
          </cell>
          <cell r="O9255">
            <v>3.26</v>
          </cell>
        </row>
        <row r="9256">
          <cell r="E9256" t="str">
            <v>HUBI</v>
          </cell>
          <cell r="F9256" t="str">
            <v>HUBI-B</v>
          </cell>
          <cell r="G9256">
            <v>300</v>
          </cell>
          <cell r="H9256" t="str">
            <v>HUBI-B300</v>
          </cell>
          <cell r="K9256" t="str">
            <v>Quirk,Phillip L</v>
          </cell>
          <cell r="N9256">
            <v>3.7120000000000002</v>
          </cell>
          <cell r="O9256">
            <v>3.2509999999999999</v>
          </cell>
        </row>
        <row r="9257">
          <cell r="E9257" t="str">
            <v>HUBI</v>
          </cell>
          <cell r="F9257" t="str">
            <v>HUBI-B</v>
          </cell>
          <cell r="G9257">
            <v>400</v>
          </cell>
          <cell r="H9257" t="str">
            <v>HUBI-B400</v>
          </cell>
          <cell r="K9257" t="str">
            <v>Quirk,Phillip L</v>
          </cell>
          <cell r="N9257">
            <v>3.7679999999999998</v>
          </cell>
          <cell r="O9257">
            <v>3.3660000000000001</v>
          </cell>
        </row>
        <row r="9258">
          <cell r="E9258" t="str">
            <v>HUBI</v>
          </cell>
          <cell r="F9258" t="str">
            <v>HUBI-B</v>
          </cell>
          <cell r="G9258">
            <v>400</v>
          </cell>
          <cell r="H9258" t="str">
            <v>HUBI-B400</v>
          </cell>
          <cell r="K9258" t="str">
            <v>Vitzthum,Virginia Judith</v>
          </cell>
          <cell r="N9258">
            <v>3.6110000000000002</v>
          </cell>
          <cell r="O9258">
            <v>3.1720000000000002</v>
          </cell>
        </row>
        <row r="9259">
          <cell r="E9259" t="str">
            <v>HUBI</v>
          </cell>
          <cell r="F9259" t="str">
            <v>HUBI-B</v>
          </cell>
          <cell r="G9259">
            <v>400</v>
          </cell>
          <cell r="H9259" t="str">
            <v>HUBI-B400</v>
          </cell>
          <cell r="K9259" t="str">
            <v>Wiley,Andrea S.</v>
          </cell>
          <cell r="N9259">
            <v>3.3959999999999999</v>
          </cell>
          <cell r="O9259">
            <v>3.3479999999999999</v>
          </cell>
        </row>
        <row r="9260">
          <cell r="E9260" t="str">
            <v>HUBI</v>
          </cell>
          <cell r="F9260" t="str">
            <v>HUBI-B</v>
          </cell>
          <cell r="G9260">
            <v>460</v>
          </cell>
          <cell r="H9260" t="str">
            <v>HUBI-B460</v>
          </cell>
          <cell r="K9260" t="str">
            <v>Wiley,Andrea S.</v>
          </cell>
          <cell r="N9260" t="str">
            <v>NR</v>
          </cell>
          <cell r="O9260" t="str">
            <v>NR</v>
          </cell>
        </row>
        <row r="9261">
          <cell r="E9261" t="str">
            <v>HUBI</v>
          </cell>
          <cell r="F9261" t="str">
            <v>HUBI-B</v>
          </cell>
          <cell r="G9261">
            <v>460</v>
          </cell>
          <cell r="H9261" t="str">
            <v>HUBI-B460</v>
          </cell>
          <cell r="K9261" t="str">
            <v>Wiley,Andrea S.</v>
          </cell>
          <cell r="N9261" t="str">
            <v>NR</v>
          </cell>
          <cell r="O9261" t="str">
            <v>NR</v>
          </cell>
        </row>
        <row r="9262">
          <cell r="E9262" t="str">
            <v>HUBI</v>
          </cell>
          <cell r="F9262" t="str">
            <v>HUBI-B</v>
          </cell>
          <cell r="G9262">
            <v>480</v>
          </cell>
          <cell r="H9262" t="str">
            <v>HUBI-B480</v>
          </cell>
          <cell r="K9262" t="str">
            <v>Wiley,Andrea S.</v>
          </cell>
          <cell r="N9262" t="str">
            <v>NR</v>
          </cell>
          <cell r="O9262" t="str">
            <v>NR</v>
          </cell>
        </row>
        <row r="9263">
          <cell r="E9263" t="str">
            <v>HUBI</v>
          </cell>
          <cell r="F9263" t="str">
            <v>HUBI-B</v>
          </cell>
          <cell r="G9263">
            <v>490</v>
          </cell>
          <cell r="H9263" t="str">
            <v>HUBI-B490</v>
          </cell>
          <cell r="K9263" t="str">
            <v>Wiley,Andrea S.</v>
          </cell>
          <cell r="N9263" t="str">
            <v>NR</v>
          </cell>
          <cell r="O9263" t="str">
            <v>NR</v>
          </cell>
        </row>
        <row r="9264">
          <cell r="E9264" t="str">
            <v>HUBI</v>
          </cell>
          <cell r="F9264" t="str">
            <v>HUBI-B</v>
          </cell>
          <cell r="G9264">
            <v>490</v>
          </cell>
          <cell r="H9264" t="str">
            <v>HUBI-B490</v>
          </cell>
          <cell r="K9264" t="str">
            <v>Wiley,Andrea S.</v>
          </cell>
          <cell r="N9264" t="str">
            <v>NR</v>
          </cell>
          <cell r="O9264" t="str">
            <v>NR</v>
          </cell>
        </row>
        <row r="9265">
          <cell r="E9265" t="str">
            <v>IMP</v>
          </cell>
          <cell r="F9265" t="str">
            <v xml:space="preserve">IMP-I </v>
          </cell>
          <cell r="G9265">
            <v>360</v>
          </cell>
          <cell r="H9265" t="str">
            <v>IMP-I 360</v>
          </cell>
          <cell r="K9265" t="str">
            <v>Aarstad,Paul N</v>
          </cell>
          <cell r="N9265" t="str">
            <v>NR</v>
          </cell>
          <cell r="O9265" t="str">
            <v>NR</v>
          </cell>
        </row>
        <row r="9266">
          <cell r="E9266" t="str">
            <v>IMP</v>
          </cell>
          <cell r="F9266" t="str">
            <v xml:space="preserve">IMP-I </v>
          </cell>
          <cell r="G9266">
            <v>360</v>
          </cell>
          <cell r="H9266" t="str">
            <v>IMP-I 360</v>
          </cell>
          <cell r="K9266" t="str">
            <v>Aarstad,Paul N</v>
          </cell>
          <cell r="N9266" t="str">
            <v>NR</v>
          </cell>
          <cell r="O9266" t="str">
            <v>NR</v>
          </cell>
        </row>
        <row r="9267">
          <cell r="E9267" t="str">
            <v>IMP</v>
          </cell>
          <cell r="F9267" t="str">
            <v xml:space="preserve">IMP-I </v>
          </cell>
          <cell r="G9267">
            <v>450</v>
          </cell>
          <cell r="H9267" t="str">
            <v>IMP-I 450</v>
          </cell>
          <cell r="K9267" t="str">
            <v>Aarstad,Paul N</v>
          </cell>
          <cell r="N9267" t="str">
            <v>NR</v>
          </cell>
          <cell r="O9267" t="str">
            <v>NR</v>
          </cell>
        </row>
        <row r="9268">
          <cell r="E9268" t="str">
            <v>IMP</v>
          </cell>
          <cell r="F9268" t="str">
            <v xml:space="preserve">IMP-I </v>
          </cell>
          <cell r="G9268">
            <v>460</v>
          </cell>
          <cell r="H9268" t="str">
            <v>IMP-I 460</v>
          </cell>
          <cell r="K9268" t="str">
            <v>Aarstad,Paul N</v>
          </cell>
          <cell r="N9268">
            <v>3.8330000000000002</v>
          </cell>
          <cell r="O9268">
            <v>3.4729999999999999</v>
          </cell>
        </row>
        <row r="9269">
          <cell r="E9269" t="str">
            <v>IMP</v>
          </cell>
          <cell r="F9269" t="str">
            <v xml:space="preserve">IMP-I </v>
          </cell>
          <cell r="G9269">
            <v>460</v>
          </cell>
          <cell r="H9269" t="str">
            <v>IMP-I 460</v>
          </cell>
          <cell r="K9269" t="str">
            <v>Aarstad,Paul N</v>
          </cell>
          <cell r="N9269">
            <v>3.8039999999999998</v>
          </cell>
          <cell r="O9269">
            <v>3.4</v>
          </cell>
        </row>
        <row r="9270">
          <cell r="E9270" t="str">
            <v>IMP</v>
          </cell>
          <cell r="F9270" t="str">
            <v xml:space="preserve">IMP-I </v>
          </cell>
          <cell r="G9270">
            <v>470</v>
          </cell>
          <cell r="H9270" t="str">
            <v>IMP-I 470</v>
          </cell>
          <cell r="K9270" t="str">
            <v>Aarstad,Paul N</v>
          </cell>
          <cell r="N9270" t="str">
            <v>NR</v>
          </cell>
          <cell r="O9270" t="str">
            <v>NR</v>
          </cell>
        </row>
        <row r="9271">
          <cell r="E9271" t="str">
            <v>IMP</v>
          </cell>
          <cell r="F9271" t="str">
            <v xml:space="preserve">IMP-I </v>
          </cell>
          <cell r="G9271">
            <v>470</v>
          </cell>
          <cell r="H9271" t="str">
            <v>IMP-I 470</v>
          </cell>
          <cell r="K9271" t="str">
            <v>Aarstad,Paul N</v>
          </cell>
          <cell r="N9271">
            <v>4</v>
          </cell>
          <cell r="O9271">
            <v>3.2229999999999999</v>
          </cell>
        </row>
        <row r="9272">
          <cell r="E9272" t="str">
            <v>INFO</v>
          </cell>
          <cell r="F9272" t="str">
            <v>INFO-G</v>
          </cell>
          <cell r="G9272">
            <v>599</v>
          </cell>
          <cell r="H9272" t="str">
            <v>INFO-G599</v>
          </cell>
          <cell r="K9272" t="str">
            <v>Siegel,Martin A</v>
          </cell>
          <cell r="N9272" t="str">
            <v>NR</v>
          </cell>
          <cell r="O9272" t="str">
            <v>NR</v>
          </cell>
        </row>
        <row r="9273">
          <cell r="E9273" t="str">
            <v>INFO</v>
          </cell>
          <cell r="F9273" t="str">
            <v>INFO-G</v>
          </cell>
          <cell r="G9273">
            <v>599</v>
          </cell>
          <cell r="H9273" t="str">
            <v>INFO-G599</v>
          </cell>
          <cell r="K9273" t="str">
            <v>Siegel,Martin A</v>
          </cell>
          <cell r="N9273" t="str">
            <v>NR</v>
          </cell>
          <cell r="O9273" t="str">
            <v>NR</v>
          </cell>
        </row>
        <row r="9274">
          <cell r="E9274" t="str">
            <v>INFO</v>
          </cell>
          <cell r="F9274" t="str">
            <v>INFO-G</v>
          </cell>
          <cell r="G9274">
            <v>901</v>
          </cell>
          <cell r="H9274" t="str">
            <v>INFO-G901</v>
          </cell>
          <cell r="K9274" t="str">
            <v>Siegel,Martin A</v>
          </cell>
          <cell r="N9274" t="str">
            <v>NR</v>
          </cell>
          <cell r="O9274" t="str">
            <v>NR</v>
          </cell>
        </row>
        <row r="9275">
          <cell r="E9275" t="str">
            <v>INFO</v>
          </cell>
          <cell r="F9275" t="str">
            <v>INFO-G</v>
          </cell>
          <cell r="G9275">
            <v>901</v>
          </cell>
          <cell r="H9275" t="str">
            <v>INFO-G901</v>
          </cell>
          <cell r="K9275" t="str">
            <v>Siegel,Martin A</v>
          </cell>
          <cell r="N9275" t="str">
            <v>NR</v>
          </cell>
          <cell r="O9275" t="str">
            <v>NR</v>
          </cell>
        </row>
        <row r="9276">
          <cell r="E9276" t="str">
            <v>INFO</v>
          </cell>
          <cell r="F9276" t="str">
            <v>INFO-H</v>
          </cell>
          <cell r="G9276">
            <v>101</v>
          </cell>
          <cell r="H9276" t="str">
            <v>INFO-H101</v>
          </cell>
          <cell r="K9276" t="str">
            <v>Dalkilic,Mehmet M.</v>
          </cell>
          <cell r="N9276">
            <v>3.984</v>
          </cell>
          <cell r="O9276">
            <v>3.734</v>
          </cell>
        </row>
        <row r="9277">
          <cell r="E9277" t="str">
            <v>INFO</v>
          </cell>
          <cell r="F9277" t="str">
            <v>INFO-H</v>
          </cell>
          <cell r="G9277">
            <v>201</v>
          </cell>
          <cell r="H9277" t="str">
            <v>INFO-H201</v>
          </cell>
          <cell r="K9277" t="str">
            <v>Haghverdi,Esfandiar</v>
          </cell>
          <cell r="N9277">
            <v>3.64</v>
          </cell>
          <cell r="O9277">
            <v>3.532</v>
          </cell>
        </row>
        <row r="9278">
          <cell r="E9278" t="str">
            <v>INFO</v>
          </cell>
          <cell r="F9278" t="str">
            <v>INFO-H</v>
          </cell>
          <cell r="G9278">
            <v>400</v>
          </cell>
          <cell r="H9278" t="str">
            <v>INFO-H400</v>
          </cell>
          <cell r="K9278" t="str">
            <v>Ahn,Yong Yeol</v>
          </cell>
          <cell r="N9278" t="str">
            <v>NR</v>
          </cell>
          <cell r="O9278" t="str">
            <v>NR</v>
          </cell>
        </row>
        <row r="9279">
          <cell r="E9279" t="str">
            <v>INFO</v>
          </cell>
          <cell r="F9279" t="str">
            <v>INFO-H</v>
          </cell>
          <cell r="G9279">
            <v>400</v>
          </cell>
          <cell r="H9279" t="str">
            <v>INFO-H400</v>
          </cell>
          <cell r="K9279" t="str">
            <v>Groth,Dennis Patrick</v>
          </cell>
          <cell r="N9279" t="str">
            <v>NR</v>
          </cell>
          <cell r="O9279" t="str">
            <v>NR</v>
          </cell>
        </row>
        <row r="9280">
          <cell r="E9280" t="str">
            <v>INFO</v>
          </cell>
          <cell r="F9280" t="str">
            <v>INFO-H</v>
          </cell>
          <cell r="G9280">
            <v>400</v>
          </cell>
          <cell r="H9280" t="str">
            <v>INFO-H400</v>
          </cell>
          <cell r="K9280" t="str">
            <v>Menczer,Filippo</v>
          </cell>
          <cell r="N9280" t="str">
            <v>NR</v>
          </cell>
          <cell r="O9280" t="str">
            <v>NR</v>
          </cell>
        </row>
        <row r="9281">
          <cell r="E9281" t="str">
            <v>INFO</v>
          </cell>
          <cell r="F9281" t="str">
            <v>INFO-H</v>
          </cell>
          <cell r="G9281">
            <v>400</v>
          </cell>
          <cell r="H9281" t="str">
            <v>INFO-H400</v>
          </cell>
          <cell r="K9281" t="str">
            <v>Mills,Jonathan Wayne</v>
          </cell>
          <cell r="N9281" t="str">
            <v>NR</v>
          </cell>
          <cell r="O9281" t="str">
            <v>NR</v>
          </cell>
        </row>
        <row r="9282">
          <cell r="E9282" t="str">
            <v>INFO</v>
          </cell>
          <cell r="F9282" t="str">
            <v>INFO-H</v>
          </cell>
          <cell r="G9282">
            <v>400</v>
          </cell>
          <cell r="H9282" t="str">
            <v>INFO-H400</v>
          </cell>
          <cell r="K9282" t="str">
            <v>Rocha,Luis M.</v>
          </cell>
          <cell r="N9282" t="str">
            <v>NR</v>
          </cell>
          <cell r="O9282" t="str">
            <v>NR</v>
          </cell>
        </row>
        <row r="9283">
          <cell r="E9283" t="str">
            <v>INFO</v>
          </cell>
          <cell r="F9283" t="str">
            <v>INFO-H</v>
          </cell>
          <cell r="G9283">
            <v>400</v>
          </cell>
          <cell r="H9283" t="str">
            <v>INFO-H400</v>
          </cell>
          <cell r="K9283" t="str">
            <v>Sabanovic,Selma</v>
          </cell>
          <cell r="N9283" t="str">
            <v>NR</v>
          </cell>
          <cell r="O9283" t="str">
            <v>NR</v>
          </cell>
        </row>
        <row r="9284">
          <cell r="E9284" t="str">
            <v>INFO</v>
          </cell>
          <cell r="F9284" t="str">
            <v>INFO-H</v>
          </cell>
          <cell r="G9284">
            <v>400</v>
          </cell>
          <cell r="H9284" t="str">
            <v>INFO-H400</v>
          </cell>
          <cell r="K9284" t="str">
            <v>Todd,Peter Martin</v>
          </cell>
          <cell r="N9284" t="str">
            <v>NR</v>
          </cell>
          <cell r="O9284" t="str">
            <v>NR</v>
          </cell>
        </row>
        <row r="9285">
          <cell r="E9285" t="str">
            <v>INFO</v>
          </cell>
          <cell r="F9285" t="str">
            <v>INFO-H</v>
          </cell>
          <cell r="G9285">
            <v>494</v>
          </cell>
          <cell r="H9285" t="str">
            <v>INFO-H494</v>
          </cell>
          <cell r="K9285" t="str">
            <v>Hottell,Matthew</v>
          </cell>
          <cell r="N9285" t="str">
            <v>NR</v>
          </cell>
          <cell r="O9285" t="str">
            <v>NR</v>
          </cell>
        </row>
        <row r="9286">
          <cell r="E9286" t="str">
            <v>INFO</v>
          </cell>
          <cell r="F9286" t="str">
            <v>INFO-H</v>
          </cell>
          <cell r="G9286">
            <v>495</v>
          </cell>
          <cell r="H9286" t="str">
            <v>INFO-H495</v>
          </cell>
          <cell r="K9286" t="str">
            <v>Hottell,Matthew</v>
          </cell>
          <cell r="N9286" t="str">
            <v>NR</v>
          </cell>
          <cell r="O9286" t="str">
            <v>NR</v>
          </cell>
        </row>
        <row r="9287">
          <cell r="E9287" t="str">
            <v>INFO</v>
          </cell>
          <cell r="F9287" t="str">
            <v>INFO-H</v>
          </cell>
          <cell r="G9287">
            <v>495</v>
          </cell>
          <cell r="H9287" t="str">
            <v>INFO-H495</v>
          </cell>
          <cell r="K9287" t="str">
            <v>Hottell,Matthew</v>
          </cell>
          <cell r="N9287" t="str">
            <v>NR</v>
          </cell>
          <cell r="O9287" t="str">
            <v>NR</v>
          </cell>
        </row>
        <row r="9288">
          <cell r="E9288" t="str">
            <v>INFO</v>
          </cell>
          <cell r="F9288" t="str">
            <v>INFO-I</v>
          </cell>
          <cell r="G9288">
            <v>101</v>
          </cell>
          <cell r="H9288" t="str">
            <v>INFO-I101</v>
          </cell>
          <cell r="K9288" t="str">
            <v>Onesti,Nina Soo</v>
          </cell>
          <cell r="N9288">
            <v>3.3010000000000002</v>
          </cell>
          <cell r="O9288">
            <v>2.8860000000000001</v>
          </cell>
        </row>
        <row r="9289">
          <cell r="E9289" t="str">
            <v>INFO</v>
          </cell>
          <cell r="F9289" t="str">
            <v>INFO-I</v>
          </cell>
          <cell r="G9289">
            <v>101</v>
          </cell>
          <cell r="H9289" t="str">
            <v>INFO-I101</v>
          </cell>
          <cell r="K9289" t="str">
            <v>Onesti,Nina Soo</v>
          </cell>
          <cell r="N9289">
            <v>3.26</v>
          </cell>
          <cell r="O9289">
            <v>2.968</v>
          </cell>
        </row>
        <row r="9290">
          <cell r="E9290" t="str">
            <v>INFO</v>
          </cell>
          <cell r="F9290" t="str">
            <v>INFO-I</v>
          </cell>
          <cell r="G9290">
            <v>101</v>
          </cell>
          <cell r="H9290" t="str">
            <v>INFO-I101</v>
          </cell>
          <cell r="K9290" t="str">
            <v>Onesti,Nina Soo</v>
          </cell>
          <cell r="N9290">
            <v>3.2389999999999999</v>
          </cell>
          <cell r="O9290">
            <v>2.8889999999999998</v>
          </cell>
        </row>
        <row r="9291">
          <cell r="E9291" t="str">
            <v>INFO</v>
          </cell>
          <cell r="F9291" t="str">
            <v>INFO-I</v>
          </cell>
          <cell r="G9291">
            <v>101</v>
          </cell>
          <cell r="H9291" t="str">
            <v>INFO-I101</v>
          </cell>
          <cell r="K9291" t="str">
            <v>Onesti,Nina Soo</v>
          </cell>
          <cell r="N9291">
            <v>3.016</v>
          </cell>
          <cell r="O9291">
            <v>2.7429999999999999</v>
          </cell>
        </row>
        <row r="9292">
          <cell r="E9292" t="str">
            <v>INFO</v>
          </cell>
          <cell r="F9292" t="str">
            <v>INFO-I</v>
          </cell>
          <cell r="G9292">
            <v>101</v>
          </cell>
          <cell r="H9292" t="str">
            <v>INFO-I101</v>
          </cell>
          <cell r="K9292" t="str">
            <v>Onesti,Nina Soo</v>
          </cell>
          <cell r="N9292">
            <v>2.8730000000000002</v>
          </cell>
          <cell r="O9292">
            <v>2.6030000000000002</v>
          </cell>
        </row>
        <row r="9293">
          <cell r="E9293" t="str">
            <v>INFO</v>
          </cell>
          <cell r="F9293" t="str">
            <v>INFO-I</v>
          </cell>
          <cell r="G9293">
            <v>101</v>
          </cell>
          <cell r="H9293" t="str">
            <v>INFO-I101</v>
          </cell>
          <cell r="K9293" t="str">
            <v>Onesti,Nina Soo</v>
          </cell>
          <cell r="N9293">
            <v>3.129</v>
          </cell>
          <cell r="O9293">
            <v>2.8370000000000002</v>
          </cell>
        </row>
        <row r="9294">
          <cell r="E9294" t="str">
            <v>INFO</v>
          </cell>
          <cell r="F9294" t="str">
            <v>INFO-I</v>
          </cell>
          <cell r="G9294">
            <v>101</v>
          </cell>
          <cell r="H9294" t="str">
            <v>INFO-I101</v>
          </cell>
          <cell r="K9294" t="str">
            <v>Onesti,Nina Soo</v>
          </cell>
          <cell r="N9294">
            <v>2.9950000000000001</v>
          </cell>
          <cell r="O9294">
            <v>2.6920000000000002</v>
          </cell>
        </row>
        <row r="9295">
          <cell r="E9295" t="str">
            <v>INFO</v>
          </cell>
          <cell r="F9295" t="str">
            <v>INFO-I</v>
          </cell>
          <cell r="G9295">
            <v>101</v>
          </cell>
          <cell r="H9295" t="str">
            <v>INFO-I101</v>
          </cell>
          <cell r="K9295" t="str">
            <v>Onesti,Nina Soo</v>
          </cell>
          <cell r="N9295">
            <v>3.5710000000000002</v>
          </cell>
          <cell r="O9295">
            <v>3.0859999999999999</v>
          </cell>
        </row>
        <row r="9296">
          <cell r="E9296" t="str">
            <v>INFO</v>
          </cell>
          <cell r="F9296" t="str">
            <v>INFO-I</v>
          </cell>
          <cell r="G9296">
            <v>130</v>
          </cell>
          <cell r="H9296" t="str">
            <v>INFO-I130</v>
          </cell>
          <cell r="K9296" t="str">
            <v>Duncan,J</v>
          </cell>
          <cell r="N9296">
            <v>3.5619999999999998</v>
          </cell>
          <cell r="O9296">
            <v>3.105</v>
          </cell>
        </row>
        <row r="9297">
          <cell r="E9297" t="str">
            <v>INFO</v>
          </cell>
          <cell r="F9297" t="str">
            <v>INFO-I</v>
          </cell>
          <cell r="G9297">
            <v>130</v>
          </cell>
          <cell r="H9297" t="str">
            <v>INFO-I130</v>
          </cell>
          <cell r="K9297" t="str">
            <v>Duncan,J</v>
          </cell>
          <cell r="N9297">
            <v>3.3090000000000002</v>
          </cell>
          <cell r="O9297">
            <v>2.875</v>
          </cell>
        </row>
        <row r="9298">
          <cell r="E9298" t="str">
            <v>INFO</v>
          </cell>
          <cell r="F9298" t="str">
            <v>INFO-I</v>
          </cell>
          <cell r="G9298">
            <v>201</v>
          </cell>
          <cell r="H9298" t="str">
            <v>INFO-I201</v>
          </cell>
          <cell r="K9298" t="str">
            <v>Duncan,J</v>
          </cell>
          <cell r="N9298">
            <v>3.4049999999999998</v>
          </cell>
          <cell r="O9298">
            <v>2.9420000000000002</v>
          </cell>
        </row>
        <row r="9299">
          <cell r="E9299" t="str">
            <v>INFO</v>
          </cell>
          <cell r="F9299" t="str">
            <v>INFO-I</v>
          </cell>
          <cell r="G9299">
            <v>201</v>
          </cell>
          <cell r="H9299" t="str">
            <v>INFO-I201</v>
          </cell>
          <cell r="K9299" t="str">
            <v>Duncan,J</v>
          </cell>
          <cell r="N9299">
            <v>3.3759999999999999</v>
          </cell>
          <cell r="O9299">
            <v>2.7970000000000002</v>
          </cell>
        </row>
        <row r="9300">
          <cell r="E9300" t="str">
            <v>INFO</v>
          </cell>
          <cell r="F9300" t="str">
            <v>INFO-I</v>
          </cell>
          <cell r="G9300">
            <v>201</v>
          </cell>
          <cell r="H9300" t="str">
            <v>INFO-I201</v>
          </cell>
          <cell r="K9300" t="str">
            <v>Duncan,J</v>
          </cell>
          <cell r="N9300">
            <v>3.4369999999999998</v>
          </cell>
          <cell r="O9300">
            <v>2.9009999999999998</v>
          </cell>
        </row>
        <row r="9301">
          <cell r="E9301" t="str">
            <v>INFO</v>
          </cell>
          <cell r="F9301" t="str">
            <v>INFO-I</v>
          </cell>
          <cell r="G9301">
            <v>201</v>
          </cell>
          <cell r="H9301" t="str">
            <v>INFO-I201</v>
          </cell>
          <cell r="K9301" t="str">
            <v>Wennstrom,Erik Michael</v>
          </cell>
          <cell r="N9301">
            <v>2.2629999999999999</v>
          </cell>
          <cell r="O9301">
            <v>2.847</v>
          </cell>
        </row>
        <row r="9302">
          <cell r="E9302" t="str">
            <v>INFO</v>
          </cell>
          <cell r="F9302" t="str">
            <v>INFO-I</v>
          </cell>
          <cell r="G9302">
            <v>202</v>
          </cell>
          <cell r="H9302" t="str">
            <v>INFO-I202</v>
          </cell>
          <cell r="K9302" t="str">
            <v>Medina,Eden</v>
          </cell>
          <cell r="N9302">
            <v>3.0529999999999999</v>
          </cell>
          <cell r="O9302">
            <v>2.7269999999999999</v>
          </cell>
        </row>
        <row r="9303">
          <cell r="E9303" t="str">
            <v>INFO</v>
          </cell>
          <cell r="F9303" t="str">
            <v>INFO-I</v>
          </cell>
          <cell r="G9303">
            <v>202</v>
          </cell>
          <cell r="H9303" t="str">
            <v>INFO-I202</v>
          </cell>
          <cell r="K9303" t="str">
            <v>Medina,Eden</v>
          </cell>
          <cell r="N9303">
            <v>3.508</v>
          </cell>
          <cell r="O9303">
            <v>3.0670000000000002</v>
          </cell>
        </row>
        <row r="9304">
          <cell r="E9304" t="str">
            <v>INFO</v>
          </cell>
          <cell r="F9304" t="str">
            <v>INFO-I</v>
          </cell>
          <cell r="G9304">
            <v>202</v>
          </cell>
          <cell r="H9304" t="str">
            <v>INFO-I202</v>
          </cell>
          <cell r="K9304" t="str">
            <v>Terrell,Jennifer Anne</v>
          </cell>
          <cell r="N9304">
            <v>2.9870000000000001</v>
          </cell>
          <cell r="O9304">
            <v>2.9929999999999999</v>
          </cell>
        </row>
        <row r="9305">
          <cell r="E9305" t="str">
            <v>INFO</v>
          </cell>
          <cell r="F9305" t="str">
            <v>INFO-I</v>
          </cell>
          <cell r="G9305">
            <v>202</v>
          </cell>
          <cell r="H9305" t="str">
            <v>INFO-I202</v>
          </cell>
          <cell r="K9305" t="str">
            <v>Wiltse,Heather Rachelle</v>
          </cell>
          <cell r="N9305">
            <v>3.1880000000000002</v>
          </cell>
          <cell r="O9305">
            <v>2.8860000000000001</v>
          </cell>
        </row>
        <row r="9306">
          <cell r="E9306" t="str">
            <v>INFO</v>
          </cell>
          <cell r="F9306" t="str">
            <v>INFO-I</v>
          </cell>
          <cell r="G9306">
            <v>210</v>
          </cell>
          <cell r="H9306" t="str">
            <v>INFO-I210</v>
          </cell>
          <cell r="K9306" t="str">
            <v>Bollen,Johan L.</v>
          </cell>
          <cell r="N9306">
            <v>3.0920000000000001</v>
          </cell>
          <cell r="O9306">
            <v>3.089</v>
          </cell>
        </row>
        <row r="9307">
          <cell r="E9307" t="str">
            <v>INFO</v>
          </cell>
          <cell r="F9307" t="str">
            <v>INFO-I</v>
          </cell>
          <cell r="G9307">
            <v>210</v>
          </cell>
          <cell r="H9307" t="str">
            <v>INFO-I210</v>
          </cell>
          <cell r="K9307" t="str">
            <v>Bollen,Johan L.</v>
          </cell>
          <cell r="N9307">
            <v>2.9590000000000001</v>
          </cell>
          <cell r="O9307">
            <v>2.6459999999999999</v>
          </cell>
        </row>
        <row r="9308">
          <cell r="E9308" t="str">
            <v>INFO</v>
          </cell>
          <cell r="F9308" t="str">
            <v>INFO-I</v>
          </cell>
          <cell r="G9308">
            <v>210</v>
          </cell>
          <cell r="H9308" t="str">
            <v>INFO-I210</v>
          </cell>
          <cell r="K9308" t="str">
            <v>Duncan,J</v>
          </cell>
          <cell r="N9308">
            <v>2.657</v>
          </cell>
          <cell r="O9308">
            <v>2.8580000000000001</v>
          </cell>
        </row>
        <row r="9309">
          <cell r="E9309" t="str">
            <v>INFO</v>
          </cell>
          <cell r="F9309" t="str">
            <v>INFO-I</v>
          </cell>
          <cell r="G9309">
            <v>210</v>
          </cell>
          <cell r="H9309" t="str">
            <v>INFO-I210</v>
          </cell>
          <cell r="K9309" t="str">
            <v>Duncan,J</v>
          </cell>
          <cell r="N9309">
            <v>3.141</v>
          </cell>
          <cell r="O9309">
            <v>2.92</v>
          </cell>
        </row>
        <row r="9310">
          <cell r="E9310" t="str">
            <v>INFO</v>
          </cell>
          <cell r="F9310" t="str">
            <v>INFO-I</v>
          </cell>
          <cell r="G9310">
            <v>211</v>
          </cell>
          <cell r="H9310" t="str">
            <v>INFO-I211</v>
          </cell>
          <cell r="K9310" t="str">
            <v>Ahn,Yong Yeol</v>
          </cell>
          <cell r="N9310">
            <v>2.7549999999999999</v>
          </cell>
          <cell r="O9310">
            <v>3.0070000000000001</v>
          </cell>
        </row>
        <row r="9311">
          <cell r="E9311" t="str">
            <v>INFO</v>
          </cell>
          <cell r="F9311" t="str">
            <v>INFO-I</v>
          </cell>
          <cell r="G9311">
            <v>211</v>
          </cell>
          <cell r="H9311" t="str">
            <v>INFO-I211</v>
          </cell>
          <cell r="K9311" t="str">
            <v>Mutsuddi,Adity Upoma</v>
          </cell>
          <cell r="N9311">
            <v>2.6789999999999998</v>
          </cell>
          <cell r="O9311">
            <v>2.956</v>
          </cell>
        </row>
        <row r="9312">
          <cell r="E9312" t="str">
            <v>INFO</v>
          </cell>
          <cell r="F9312" t="str">
            <v>INFO-I</v>
          </cell>
          <cell r="G9312">
            <v>211</v>
          </cell>
          <cell r="H9312" t="str">
            <v>INFO-I211</v>
          </cell>
          <cell r="K9312" t="str">
            <v>Mutsuddi,Adity Upoma</v>
          </cell>
          <cell r="N9312">
            <v>3.1579999999999999</v>
          </cell>
          <cell r="O9312">
            <v>3.0419999999999998</v>
          </cell>
        </row>
        <row r="9313">
          <cell r="E9313" t="str">
            <v>INFO</v>
          </cell>
          <cell r="F9313" t="str">
            <v>INFO-I</v>
          </cell>
          <cell r="G9313">
            <v>211</v>
          </cell>
          <cell r="H9313" t="str">
            <v>INFO-I211</v>
          </cell>
          <cell r="K9313" t="str">
            <v>Paolillo,John C.</v>
          </cell>
          <cell r="N9313">
            <v>3.0270000000000001</v>
          </cell>
          <cell r="O9313">
            <v>3.0089999999999999</v>
          </cell>
        </row>
        <row r="9314">
          <cell r="E9314" t="str">
            <v>INFO</v>
          </cell>
          <cell r="F9314" t="str">
            <v>INFO-I</v>
          </cell>
          <cell r="G9314">
            <v>230</v>
          </cell>
          <cell r="H9314" t="str">
            <v>INFO-I230</v>
          </cell>
          <cell r="K9314" t="str">
            <v>Kapadia,Apu Chandrasen</v>
          </cell>
          <cell r="N9314">
            <v>2.847</v>
          </cell>
          <cell r="O9314">
            <v>2.952</v>
          </cell>
        </row>
        <row r="9315">
          <cell r="E9315" t="str">
            <v>INFO</v>
          </cell>
          <cell r="F9315" t="str">
            <v>INFO-I</v>
          </cell>
          <cell r="G9315">
            <v>231</v>
          </cell>
          <cell r="H9315" t="str">
            <v>INFO-I231</v>
          </cell>
          <cell r="K9315" t="str">
            <v>Haghverdi,Esfandiar</v>
          </cell>
          <cell r="N9315">
            <v>2.7839999999999998</v>
          </cell>
          <cell r="O9315">
            <v>2.7839999999999998</v>
          </cell>
        </row>
        <row r="9316">
          <cell r="E9316" t="str">
            <v>INFO</v>
          </cell>
          <cell r="F9316" t="str">
            <v>INFO-I</v>
          </cell>
          <cell r="G9316">
            <v>300</v>
          </cell>
          <cell r="H9316" t="str">
            <v>INFO-I300</v>
          </cell>
          <cell r="K9316" t="str">
            <v>Richert,Daniel John</v>
          </cell>
          <cell r="N9316">
            <v>3.206</v>
          </cell>
          <cell r="O9316">
            <v>2.9159999999999999</v>
          </cell>
        </row>
        <row r="9317">
          <cell r="E9317" t="str">
            <v>INFO</v>
          </cell>
          <cell r="F9317" t="str">
            <v>INFO-I</v>
          </cell>
          <cell r="G9317">
            <v>300</v>
          </cell>
          <cell r="H9317" t="str">
            <v>INFO-I300</v>
          </cell>
          <cell r="K9317" t="str">
            <v>Siegel,Martin A</v>
          </cell>
          <cell r="N9317">
            <v>3.85</v>
          </cell>
          <cell r="O9317">
            <v>3.0990000000000002</v>
          </cell>
        </row>
        <row r="9318">
          <cell r="E9318" t="str">
            <v>INFO</v>
          </cell>
          <cell r="F9318" t="str">
            <v>INFO-I</v>
          </cell>
          <cell r="G9318">
            <v>303</v>
          </cell>
          <cell r="H9318" t="str">
            <v>INFO-I303</v>
          </cell>
          <cell r="K9318" t="str">
            <v>Hakken,David James</v>
          </cell>
          <cell r="N9318">
            <v>2.8119999999999998</v>
          </cell>
          <cell r="O9318">
            <v>2.96</v>
          </cell>
        </row>
        <row r="9319">
          <cell r="E9319" t="str">
            <v>INFO</v>
          </cell>
          <cell r="F9319" t="str">
            <v>INFO-I</v>
          </cell>
          <cell r="G9319">
            <v>308</v>
          </cell>
          <cell r="H9319" t="str">
            <v>INFO-I308</v>
          </cell>
          <cell r="K9319" t="str">
            <v>Richert,Daniel John</v>
          </cell>
          <cell r="N9319">
            <v>3.3570000000000002</v>
          </cell>
          <cell r="O9319">
            <v>3.0760000000000001</v>
          </cell>
        </row>
        <row r="9320">
          <cell r="E9320" t="str">
            <v>INFO</v>
          </cell>
          <cell r="F9320" t="str">
            <v>INFO-I</v>
          </cell>
          <cell r="G9320">
            <v>308</v>
          </cell>
          <cell r="H9320" t="str">
            <v>INFO-I308</v>
          </cell>
          <cell r="K9320" t="str">
            <v>Richert,Daniel John</v>
          </cell>
          <cell r="N9320">
            <v>2.8130000000000002</v>
          </cell>
          <cell r="O9320">
            <v>2.7709999999999999</v>
          </cell>
        </row>
        <row r="9321">
          <cell r="E9321" t="str">
            <v>INFO</v>
          </cell>
          <cell r="F9321" t="str">
            <v>INFO-I</v>
          </cell>
          <cell r="G9321">
            <v>308</v>
          </cell>
          <cell r="H9321" t="str">
            <v>INFO-I308</v>
          </cell>
          <cell r="K9321" t="str">
            <v>Wild,David John</v>
          </cell>
          <cell r="N9321">
            <v>3.6760000000000002</v>
          </cell>
          <cell r="O9321">
            <v>3.222</v>
          </cell>
        </row>
        <row r="9322">
          <cell r="E9322" t="str">
            <v>INFO</v>
          </cell>
          <cell r="F9322" t="str">
            <v>INFO-I</v>
          </cell>
          <cell r="G9322">
            <v>310</v>
          </cell>
          <cell r="H9322" t="str">
            <v>INFO-I310</v>
          </cell>
          <cell r="K9322" t="str">
            <v>Pace,Tyler M</v>
          </cell>
          <cell r="N9322">
            <v>3.3050000000000002</v>
          </cell>
          <cell r="O9322">
            <v>2.9350000000000001</v>
          </cell>
        </row>
        <row r="9323">
          <cell r="E9323" t="str">
            <v>INFO</v>
          </cell>
          <cell r="F9323" t="str">
            <v>INFO-I</v>
          </cell>
          <cell r="G9323">
            <v>310</v>
          </cell>
          <cell r="H9323" t="str">
            <v>INFO-I310</v>
          </cell>
          <cell r="K9323" t="str">
            <v>Wiltse,Heather Rachelle</v>
          </cell>
          <cell r="N9323">
            <v>3.0640000000000001</v>
          </cell>
          <cell r="O9323">
            <v>3.0030000000000001</v>
          </cell>
        </row>
        <row r="9324">
          <cell r="E9324" t="str">
            <v>INFO</v>
          </cell>
          <cell r="F9324" t="str">
            <v>INFO-I</v>
          </cell>
          <cell r="G9324">
            <v>330</v>
          </cell>
          <cell r="H9324" t="str">
            <v>INFO-I330</v>
          </cell>
          <cell r="K9324" t="str">
            <v>Camp,L Jean</v>
          </cell>
          <cell r="N9324">
            <v>3.1040000000000001</v>
          </cell>
          <cell r="O9324">
            <v>2.944</v>
          </cell>
        </row>
        <row r="9325">
          <cell r="E9325" t="str">
            <v>INFO</v>
          </cell>
          <cell r="F9325" t="str">
            <v>INFO-I</v>
          </cell>
          <cell r="G9325">
            <v>391</v>
          </cell>
          <cell r="H9325" t="str">
            <v>INFO-I391</v>
          </cell>
          <cell r="K9325" t="str">
            <v>Hottell,Matthew</v>
          </cell>
          <cell r="N9325" t="str">
            <v>NR</v>
          </cell>
          <cell r="O9325" t="str">
            <v>NR</v>
          </cell>
        </row>
        <row r="9326">
          <cell r="E9326" t="str">
            <v>INFO</v>
          </cell>
          <cell r="F9326" t="str">
            <v>INFO-I</v>
          </cell>
          <cell r="G9326">
            <v>391</v>
          </cell>
          <cell r="H9326" t="str">
            <v>INFO-I391</v>
          </cell>
          <cell r="K9326" t="str">
            <v>Hottell,Matthew</v>
          </cell>
          <cell r="N9326">
            <v>3.79</v>
          </cell>
          <cell r="O9326">
            <v>3.3919999999999999</v>
          </cell>
        </row>
        <row r="9327">
          <cell r="E9327" t="str">
            <v>INFO</v>
          </cell>
          <cell r="F9327" t="str">
            <v>INFO-I</v>
          </cell>
          <cell r="G9327">
            <v>391</v>
          </cell>
          <cell r="H9327" t="str">
            <v>INFO-I391</v>
          </cell>
          <cell r="K9327" t="str">
            <v>Hottell,Matthew</v>
          </cell>
          <cell r="N9327" t="str">
            <v>NR</v>
          </cell>
          <cell r="O9327" t="str">
            <v>NR</v>
          </cell>
        </row>
        <row r="9328">
          <cell r="E9328" t="str">
            <v>INFO</v>
          </cell>
          <cell r="F9328" t="str">
            <v>INFO-I</v>
          </cell>
          <cell r="G9328">
            <v>391</v>
          </cell>
          <cell r="H9328" t="str">
            <v>INFO-I391</v>
          </cell>
          <cell r="K9328" t="str">
            <v>Hottell,Matthew</v>
          </cell>
          <cell r="N9328" t="str">
            <v>NR</v>
          </cell>
          <cell r="O9328" t="str">
            <v>NR</v>
          </cell>
        </row>
        <row r="9329">
          <cell r="E9329" t="str">
            <v>INFO</v>
          </cell>
          <cell r="F9329" t="str">
            <v>INFO-I</v>
          </cell>
          <cell r="G9329">
            <v>399</v>
          </cell>
          <cell r="H9329" t="str">
            <v>INFO-I399</v>
          </cell>
          <cell r="K9329" t="str">
            <v>Fox,Geoffrey C.</v>
          </cell>
          <cell r="N9329">
            <v>3.9169999999999998</v>
          </cell>
          <cell r="O9329">
            <v>2.91</v>
          </cell>
        </row>
        <row r="9330">
          <cell r="E9330" t="str">
            <v>INFO</v>
          </cell>
          <cell r="F9330" t="str">
            <v>INFO-I</v>
          </cell>
          <cell r="G9330">
            <v>399</v>
          </cell>
          <cell r="H9330" t="str">
            <v>INFO-I399</v>
          </cell>
          <cell r="K9330" t="str">
            <v>Fox,Geoffrey C.</v>
          </cell>
          <cell r="N9330">
            <v>3.552</v>
          </cell>
          <cell r="O9330">
            <v>3.1070000000000002</v>
          </cell>
        </row>
        <row r="9331">
          <cell r="E9331" t="str">
            <v>INFO</v>
          </cell>
          <cell r="F9331" t="str">
            <v>INFO-I</v>
          </cell>
          <cell r="G9331">
            <v>400</v>
          </cell>
          <cell r="H9331" t="str">
            <v>INFO-I400</v>
          </cell>
          <cell r="K9331" t="str">
            <v>Ahn,Yong Yeol</v>
          </cell>
          <cell r="N9331">
            <v>3.0390000000000001</v>
          </cell>
          <cell r="O9331">
            <v>2.9750000000000001</v>
          </cell>
        </row>
        <row r="9332">
          <cell r="E9332" t="str">
            <v>INFO</v>
          </cell>
          <cell r="F9332" t="str">
            <v>INFO-I</v>
          </cell>
          <cell r="G9332">
            <v>400</v>
          </cell>
          <cell r="H9332" t="str">
            <v>INFO-I400</v>
          </cell>
          <cell r="K9332" t="str">
            <v>Blevis,Eli B.</v>
          </cell>
          <cell r="N9332">
            <v>3.5179999999999998</v>
          </cell>
          <cell r="O9332">
            <v>3.1429999999999998</v>
          </cell>
        </row>
        <row r="9333">
          <cell r="E9333" t="str">
            <v>INFO</v>
          </cell>
          <cell r="F9333" t="str">
            <v>INFO-I</v>
          </cell>
          <cell r="G9333">
            <v>400</v>
          </cell>
          <cell r="H9333" t="str">
            <v>INFO-I400</v>
          </cell>
          <cell r="K9333" t="str">
            <v>Blevis,Eli B.</v>
          </cell>
          <cell r="N9333">
            <v>3.95</v>
          </cell>
          <cell r="O9333">
            <v>3.2120000000000002</v>
          </cell>
        </row>
        <row r="9334">
          <cell r="E9334" t="str">
            <v>INFO</v>
          </cell>
          <cell r="F9334" t="str">
            <v>INFO-I</v>
          </cell>
          <cell r="G9334">
            <v>400</v>
          </cell>
          <cell r="H9334" t="str">
            <v>INFO-I400</v>
          </cell>
          <cell r="K9334" t="str">
            <v>Menczer,Filippo</v>
          </cell>
          <cell r="N9334">
            <v>2.7189999999999999</v>
          </cell>
          <cell r="O9334">
            <v>2.8180000000000001</v>
          </cell>
        </row>
        <row r="9335">
          <cell r="E9335" t="str">
            <v>INFO</v>
          </cell>
          <cell r="F9335" t="str">
            <v>INFO-I</v>
          </cell>
          <cell r="G9335">
            <v>400</v>
          </cell>
          <cell r="H9335" t="str">
            <v>INFO-I400</v>
          </cell>
          <cell r="K9335" t="str">
            <v>Mills,Jonathan Wayne</v>
          </cell>
          <cell r="N9335">
            <v>4</v>
          </cell>
          <cell r="O9335">
            <v>3.1640000000000001</v>
          </cell>
        </row>
        <row r="9336">
          <cell r="E9336" t="str">
            <v>INFO</v>
          </cell>
          <cell r="F9336" t="str">
            <v>INFO-I</v>
          </cell>
          <cell r="G9336">
            <v>400</v>
          </cell>
          <cell r="H9336" t="str">
            <v>INFO-I400</v>
          </cell>
          <cell r="K9336" t="str">
            <v>Mills,Jonathan Wayne</v>
          </cell>
          <cell r="N9336">
            <v>4</v>
          </cell>
          <cell r="O9336">
            <v>2.9249999999999998</v>
          </cell>
        </row>
        <row r="9337">
          <cell r="E9337" t="str">
            <v>INFO</v>
          </cell>
          <cell r="F9337" t="str">
            <v>INFO-I</v>
          </cell>
          <cell r="G9337">
            <v>400</v>
          </cell>
          <cell r="H9337" t="str">
            <v>INFO-I400</v>
          </cell>
          <cell r="K9337" t="str">
            <v>Rawlins,Gregory J.e.</v>
          </cell>
          <cell r="N9337">
            <v>2.9</v>
          </cell>
          <cell r="O9337">
            <v>3.052</v>
          </cell>
        </row>
        <row r="9338">
          <cell r="E9338" t="str">
            <v>INFO</v>
          </cell>
          <cell r="F9338" t="str">
            <v>INFO-I</v>
          </cell>
          <cell r="G9338">
            <v>400</v>
          </cell>
          <cell r="H9338" t="str">
            <v>INFO-I400</v>
          </cell>
          <cell r="K9338" t="str">
            <v>Sabanovic,Selma</v>
          </cell>
          <cell r="N9338">
            <v>3.2</v>
          </cell>
          <cell r="O9338">
            <v>3.1850000000000001</v>
          </cell>
        </row>
        <row r="9339">
          <cell r="E9339" t="str">
            <v>INFO</v>
          </cell>
          <cell r="F9339" t="str">
            <v>INFO-I</v>
          </cell>
          <cell r="G9339">
            <v>400</v>
          </cell>
          <cell r="H9339" t="str">
            <v>INFO-I400</v>
          </cell>
          <cell r="K9339" t="str">
            <v>Todd,Peter Martin</v>
          </cell>
          <cell r="N9339">
            <v>2.69</v>
          </cell>
          <cell r="O9339">
            <v>2.9990000000000001</v>
          </cell>
        </row>
        <row r="9340">
          <cell r="E9340" t="str">
            <v>INFO</v>
          </cell>
          <cell r="F9340" t="str">
            <v>INFO-I</v>
          </cell>
          <cell r="G9340">
            <v>421</v>
          </cell>
          <cell r="H9340" t="str">
            <v>INFO-I421</v>
          </cell>
          <cell r="K9340" t="str">
            <v>Groth,Dennis Patrick</v>
          </cell>
          <cell r="N9340">
            <v>3.1619999999999999</v>
          </cell>
          <cell r="O9340">
            <v>3.0960000000000001</v>
          </cell>
        </row>
        <row r="9341">
          <cell r="E9341" t="str">
            <v>INFO</v>
          </cell>
          <cell r="F9341" t="str">
            <v>INFO-I</v>
          </cell>
          <cell r="G9341">
            <v>427</v>
          </cell>
          <cell r="H9341" t="str">
            <v>INFO-I427</v>
          </cell>
          <cell r="K9341" t="str">
            <v>Crandall,David</v>
          </cell>
          <cell r="N9341">
            <v>3.2349999999999999</v>
          </cell>
          <cell r="O9341">
            <v>3.07</v>
          </cell>
        </row>
        <row r="9342">
          <cell r="E9342" t="str">
            <v>INFO</v>
          </cell>
          <cell r="F9342" t="str">
            <v>INFO-I</v>
          </cell>
          <cell r="G9342">
            <v>433</v>
          </cell>
          <cell r="H9342" t="str">
            <v>INFO-I433</v>
          </cell>
          <cell r="K9342" t="str">
            <v>Kapadia,Apu Chandrasen</v>
          </cell>
          <cell r="N9342">
            <v>3.044</v>
          </cell>
          <cell r="O9342">
            <v>3.0979999999999999</v>
          </cell>
        </row>
        <row r="9343">
          <cell r="E9343" t="str">
            <v>INFO</v>
          </cell>
          <cell r="F9343" t="str">
            <v>INFO-I</v>
          </cell>
          <cell r="G9343">
            <v>433</v>
          </cell>
          <cell r="H9343" t="str">
            <v>INFO-I433</v>
          </cell>
          <cell r="K9343" t="str">
            <v>Myers,Steven Andrew</v>
          </cell>
          <cell r="N9343">
            <v>3.1309999999999998</v>
          </cell>
          <cell r="O9343">
            <v>3.0110000000000001</v>
          </cell>
        </row>
        <row r="9344">
          <cell r="E9344" t="str">
            <v>INFO</v>
          </cell>
          <cell r="F9344" t="str">
            <v>INFO-I</v>
          </cell>
          <cell r="G9344">
            <v>453</v>
          </cell>
          <cell r="H9344" t="str">
            <v>INFO-I453</v>
          </cell>
          <cell r="K9344" t="str">
            <v>Ensmenger,Nathan</v>
          </cell>
          <cell r="N9344">
            <v>3.4830000000000001</v>
          </cell>
          <cell r="O9344">
            <v>3.1230000000000002</v>
          </cell>
        </row>
        <row r="9345">
          <cell r="E9345" t="str">
            <v>INFO</v>
          </cell>
          <cell r="F9345" t="str">
            <v>INFO-I</v>
          </cell>
          <cell r="G9345">
            <v>485</v>
          </cell>
          <cell r="H9345" t="str">
            <v>INFO-I485</v>
          </cell>
          <cell r="K9345" t="str">
            <v>Rocha,Luis M.</v>
          </cell>
          <cell r="N9345">
            <v>3.012</v>
          </cell>
          <cell r="O9345">
            <v>3.387</v>
          </cell>
        </row>
        <row r="9346">
          <cell r="E9346" t="str">
            <v>INFO</v>
          </cell>
          <cell r="F9346" t="str">
            <v>INFO-I</v>
          </cell>
          <cell r="G9346">
            <v>490</v>
          </cell>
          <cell r="H9346" t="str">
            <v>INFO-I490</v>
          </cell>
          <cell r="K9346" t="str">
            <v>Campbell,Kerri</v>
          </cell>
          <cell r="N9346" t="str">
            <v>NR</v>
          </cell>
          <cell r="O9346" t="str">
            <v>NR</v>
          </cell>
        </row>
        <row r="9347">
          <cell r="E9347" t="str">
            <v>INFO</v>
          </cell>
          <cell r="F9347" t="str">
            <v>INFO-I</v>
          </cell>
          <cell r="G9347">
            <v>490</v>
          </cell>
          <cell r="H9347" t="str">
            <v>INFO-I490</v>
          </cell>
          <cell r="K9347" t="str">
            <v>Campbell,Kerri</v>
          </cell>
          <cell r="N9347" t="str">
            <v>NR</v>
          </cell>
          <cell r="O9347" t="str">
            <v>NR</v>
          </cell>
        </row>
        <row r="9348">
          <cell r="E9348" t="str">
            <v>INFO</v>
          </cell>
          <cell r="F9348" t="str">
            <v>INFO-I</v>
          </cell>
          <cell r="G9348">
            <v>491</v>
          </cell>
          <cell r="H9348" t="str">
            <v>INFO-I491</v>
          </cell>
          <cell r="K9348" t="str">
            <v>Hottell,Matthew</v>
          </cell>
          <cell r="N9348" t="str">
            <v>NR</v>
          </cell>
          <cell r="O9348" t="str">
            <v>NR</v>
          </cell>
        </row>
        <row r="9349">
          <cell r="E9349" t="str">
            <v>INFO</v>
          </cell>
          <cell r="F9349" t="str">
            <v>INFO-I</v>
          </cell>
          <cell r="G9349">
            <v>491</v>
          </cell>
          <cell r="H9349" t="str">
            <v>INFO-I491</v>
          </cell>
          <cell r="K9349" t="str">
            <v>Hottell,Matthew</v>
          </cell>
          <cell r="N9349" t="str">
            <v>NR</v>
          </cell>
          <cell r="O9349" t="str">
            <v>NR</v>
          </cell>
        </row>
        <row r="9350">
          <cell r="E9350" t="str">
            <v>INFO</v>
          </cell>
          <cell r="F9350" t="str">
            <v>INFO-I</v>
          </cell>
          <cell r="G9350">
            <v>491</v>
          </cell>
          <cell r="H9350" t="str">
            <v>INFO-I491</v>
          </cell>
          <cell r="K9350" t="str">
            <v>Hottell,Matthew</v>
          </cell>
          <cell r="N9350" t="str">
            <v>NR</v>
          </cell>
          <cell r="O9350" t="str">
            <v>NR</v>
          </cell>
        </row>
        <row r="9351">
          <cell r="E9351" t="str">
            <v>INFO</v>
          </cell>
          <cell r="F9351" t="str">
            <v>INFO-I</v>
          </cell>
          <cell r="G9351">
            <v>491</v>
          </cell>
          <cell r="H9351" t="str">
            <v>INFO-I491</v>
          </cell>
          <cell r="K9351" t="str">
            <v>Hottell,Matthew</v>
          </cell>
          <cell r="N9351" t="str">
            <v>NR</v>
          </cell>
          <cell r="O9351" t="str">
            <v>NR</v>
          </cell>
        </row>
        <row r="9352">
          <cell r="E9352" t="str">
            <v>INFO</v>
          </cell>
          <cell r="F9352" t="str">
            <v>INFO-I</v>
          </cell>
          <cell r="G9352">
            <v>491</v>
          </cell>
          <cell r="H9352" t="str">
            <v>INFO-I491</v>
          </cell>
          <cell r="K9352" t="str">
            <v>Hottell,Matthew</v>
          </cell>
          <cell r="N9352">
            <v>4</v>
          </cell>
          <cell r="O9352">
            <v>3.4129999999999998</v>
          </cell>
        </row>
        <row r="9353">
          <cell r="E9353" t="str">
            <v>INFO</v>
          </cell>
          <cell r="F9353" t="str">
            <v>INFO-I</v>
          </cell>
          <cell r="G9353">
            <v>492</v>
          </cell>
          <cell r="H9353" t="str">
            <v>INFO-I492</v>
          </cell>
          <cell r="K9353" t="str">
            <v>Flammini,Alessandro</v>
          </cell>
          <cell r="N9353" t="str">
            <v>NR</v>
          </cell>
          <cell r="O9353" t="str">
            <v>NR</v>
          </cell>
        </row>
        <row r="9354">
          <cell r="E9354" t="str">
            <v>INFO</v>
          </cell>
          <cell r="F9354" t="str">
            <v>INFO-I</v>
          </cell>
          <cell r="G9354">
            <v>493</v>
          </cell>
          <cell r="H9354" t="str">
            <v>INFO-I493</v>
          </cell>
          <cell r="K9354" t="str">
            <v>Flammini,Alessandro</v>
          </cell>
          <cell r="N9354" t="str">
            <v>NR</v>
          </cell>
          <cell r="O9354" t="str">
            <v>NR</v>
          </cell>
        </row>
        <row r="9355">
          <cell r="E9355" t="str">
            <v>INFO</v>
          </cell>
          <cell r="F9355" t="str">
            <v>INFO-I</v>
          </cell>
          <cell r="G9355">
            <v>493</v>
          </cell>
          <cell r="H9355" t="str">
            <v>INFO-I493</v>
          </cell>
          <cell r="K9355" t="str">
            <v>Flammini,Alessandro</v>
          </cell>
          <cell r="N9355" t="str">
            <v>NR</v>
          </cell>
          <cell r="O9355" t="str">
            <v>NR</v>
          </cell>
        </row>
        <row r="9356">
          <cell r="E9356" t="str">
            <v>INFO</v>
          </cell>
          <cell r="F9356" t="str">
            <v>INFO-I</v>
          </cell>
          <cell r="G9356">
            <v>494</v>
          </cell>
          <cell r="H9356" t="str">
            <v>INFO-I494</v>
          </cell>
          <cell r="K9356" t="str">
            <v>Hottell,Matthew</v>
          </cell>
          <cell r="N9356" t="str">
            <v>NR</v>
          </cell>
          <cell r="O9356" t="str">
            <v>NR</v>
          </cell>
        </row>
        <row r="9357">
          <cell r="E9357" t="str">
            <v>INFO</v>
          </cell>
          <cell r="F9357" t="str">
            <v>INFO-I</v>
          </cell>
          <cell r="G9357">
            <v>495</v>
          </cell>
          <cell r="H9357" t="str">
            <v>INFO-I495</v>
          </cell>
          <cell r="K9357" t="str">
            <v>Hottell,Matthew</v>
          </cell>
          <cell r="N9357">
            <v>3.2530000000000001</v>
          </cell>
          <cell r="O9357">
            <v>3.0790000000000002</v>
          </cell>
        </row>
        <row r="9358">
          <cell r="E9358" t="str">
            <v>INFO</v>
          </cell>
          <cell r="F9358" t="str">
            <v>INFO-I</v>
          </cell>
          <cell r="G9358">
            <v>495</v>
          </cell>
          <cell r="H9358" t="str">
            <v>INFO-I495</v>
          </cell>
          <cell r="K9358" t="str">
            <v>Hottell,Matthew</v>
          </cell>
          <cell r="N9358">
            <v>3.25</v>
          </cell>
          <cell r="O9358">
            <v>3.012</v>
          </cell>
        </row>
        <row r="9359">
          <cell r="E9359" t="str">
            <v>INFO</v>
          </cell>
          <cell r="F9359" t="str">
            <v>INFO-I</v>
          </cell>
          <cell r="G9359">
            <v>495</v>
          </cell>
          <cell r="H9359" t="str">
            <v>INFO-I495</v>
          </cell>
          <cell r="K9359" t="str">
            <v>Hottell,Matthew</v>
          </cell>
          <cell r="N9359">
            <v>3.1309999999999998</v>
          </cell>
          <cell r="O9359">
            <v>3.0139999999999998</v>
          </cell>
        </row>
        <row r="9360">
          <cell r="E9360" t="str">
            <v>INFO</v>
          </cell>
          <cell r="F9360" t="str">
            <v>INFO-I</v>
          </cell>
          <cell r="G9360">
            <v>495</v>
          </cell>
          <cell r="H9360" t="str">
            <v>INFO-I495</v>
          </cell>
          <cell r="K9360" t="str">
            <v>Hottell,Matthew</v>
          </cell>
          <cell r="N9360">
            <v>3.2050000000000001</v>
          </cell>
          <cell r="O9360">
            <v>2.9780000000000002</v>
          </cell>
        </row>
        <row r="9361">
          <cell r="E9361" t="str">
            <v>INFO</v>
          </cell>
          <cell r="F9361" t="str">
            <v>INFO-I</v>
          </cell>
          <cell r="G9361">
            <v>499</v>
          </cell>
          <cell r="H9361" t="str">
            <v>INFO-I499</v>
          </cell>
          <cell r="K9361" t="str">
            <v>Flammini,Alessandro</v>
          </cell>
          <cell r="N9361" t="str">
            <v>NR</v>
          </cell>
          <cell r="O9361" t="str">
            <v>NR</v>
          </cell>
        </row>
        <row r="9362">
          <cell r="E9362" t="str">
            <v>INFO</v>
          </cell>
          <cell r="F9362" t="str">
            <v>INFO-I</v>
          </cell>
          <cell r="G9362">
            <v>500</v>
          </cell>
          <cell r="H9362" t="str">
            <v>INFO-I500</v>
          </cell>
          <cell r="K9362" t="str">
            <v>Dalkilic,Mehmet M.</v>
          </cell>
          <cell r="N9362">
            <v>3.2189999999999999</v>
          </cell>
          <cell r="O9362">
            <v>3.3759999999999999</v>
          </cell>
        </row>
        <row r="9363">
          <cell r="E9363" t="str">
            <v>INFO</v>
          </cell>
          <cell r="F9363" t="str">
            <v>INFO-I</v>
          </cell>
          <cell r="G9363">
            <v>501</v>
          </cell>
          <cell r="H9363" t="str">
            <v>INFO-I501</v>
          </cell>
          <cell r="K9363" t="str">
            <v>Bollen,Johan L.</v>
          </cell>
          <cell r="N9363">
            <v>3.8450000000000002</v>
          </cell>
          <cell r="O9363">
            <v>3.8170000000000002</v>
          </cell>
        </row>
        <row r="9364">
          <cell r="E9364" t="str">
            <v>INFO</v>
          </cell>
          <cell r="F9364" t="str">
            <v>INFO-I</v>
          </cell>
          <cell r="G9364">
            <v>519</v>
          </cell>
          <cell r="H9364" t="str">
            <v>INFO-I519</v>
          </cell>
          <cell r="K9364" t="str">
            <v>Tang,Haixu</v>
          </cell>
          <cell r="N9364">
            <v>3.5030000000000001</v>
          </cell>
          <cell r="O9364">
            <v>3.4380000000000002</v>
          </cell>
        </row>
        <row r="9365">
          <cell r="E9365" t="str">
            <v>INFO</v>
          </cell>
          <cell r="F9365" t="str">
            <v>INFO-I</v>
          </cell>
          <cell r="G9365">
            <v>521</v>
          </cell>
          <cell r="H9365" t="str">
            <v>INFO-I521</v>
          </cell>
          <cell r="K9365" t="str">
            <v>Wang,Xiaofeng</v>
          </cell>
          <cell r="N9365">
            <v>3.9249999999999998</v>
          </cell>
          <cell r="O9365">
            <v>3.581</v>
          </cell>
        </row>
        <row r="9366">
          <cell r="E9366" t="str">
            <v>INFO</v>
          </cell>
          <cell r="F9366" t="str">
            <v>INFO-I</v>
          </cell>
          <cell r="G9366">
            <v>521</v>
          </cell>
          <cell r="H9366" t="str">
            <v>INFO-I521</v>
          </cell>
          <cell r="K9366" t="str">
            <v>Wang,Xiaofeng</v>
          </cell>
          <cell r="N9366" t="str">
            <v>NR</v>
          </cell>
          <cell r="O9366" t="str">
            <v>NR</v>
          </cell>
        </row>
        <row r="9367">
          <cell r="E9367" t="str">
            <v>INFO</v>
          </cell>
          <cell r="F9367" t="str">
            <v>INFO-I</v>
          </cell>
          <cell r="G9367">
            <v>525</v>
          </cell>
          <cell r="H9367" t="str">
            <v>INFO-I525</v>
          </cell>
          <cell r="K9367" t="str">
            <v>Camp,L Jean</v>
          </cell>
          <cell r="N9367">
            <v>2.988</v>
          </cell>
          <cell r="O9367">
            <v>3.3359999999999999</v>
          </cell>
        </row>
        <row r="9368">
          <cell r="E9368" t="str">
            <v>INFO</v>
          </cell>
          <cell r="F9368" t="str">
            <v>INFO-I</v>
          </cell>
          <cell r="G9368">
            <v>529</v>
          </cell>
          <cell r="H9368" t="str">
            <v>INFO-I529</v>
          </cell>
          <cell r="K9368" t="str">
            <v>Tang,Haixu</v>
          </cell>
          <cell r="N9368">
            <v>3.754</v>
          </cell>
          <cell r="O9368">
            <v>3.6579999999999999</v>
          </cell>
        </row>
        <row r="9369">
          <cell r="E9369" t="str">
            <v>INFO</v>
          </cell>
          <cell r="F9369" t="str">
            <v>INFO-I</v>
          </cell>
          <cell r="G9369">
            <v>533</v>
          </cell>
          <cell r="H9369" t="str">
            <v>INFO-I533</v>
          </cell>
          <cell r="K9369" t="str">
            <v>Kapadia,Apu Chandrasen</v>
          </cell>
          <cell r="N9369">
            <v>3.4220000000000002</v>
          </cell>
          <cell r="O9369">
            <v>3.4590000000000001</v>
          </cell>
        </row>
        <row r="9370">
          <cell r="E9370" t="str">
            <v>INFO</v>
          </cell>
          <cell r="F9370" t="str">
            <v>INFO-I</v>
          </cell>
          <cell r="G9370">
            <v>533</v>
          </cell>
          <cell r="H9370" t="str">
            <v>INFO-I533</v>
          </cell>
          <cell r="K9370" t="str">
            <v>Myers,Steven Andrew</v>
          </cell>
          <cell r="N9370">
            <v>3.67</v>
          </cell>
          <cell r="O9370">
            <v>3.56</v>
          </cell>
        </row>
        <row r="9371">
          <cell r="E9371" t="str">
            <v>INFO</v>
          </cell>
          <cell r="F9371" t="str">
            <v>INFO-I</v>
          </cell>
          <cell r="G9371">
            <v>541</v>
          </cell>
          <cell r="H9371" t="str">
            <v>INFO-I541</v>
          </cell>
          <cell r="K9371" t="str">
            <v>Siegel,Martin A</v>
          </cell>
          <cell r="N9371">
            <v>3.5880000000000001</v>
          </cell>
          <cell r="O9371">
            <v>3.6429999999999998</v>
          </cell>
        </row>
        <row r="9372">
          <cell r="E9372" t="str">
            <v>INFO</v>
          </cell>
          <cell r="F9372" t="str">
            <v>INFO-I</v>
          </cell>
          <cell r="G9372">
            <v>542</v>
          </cell>
          <cell r="H9372" t="str">
            <v>INFO-I542</v>
          </cell>
          <cell r="K9372" t="str">
            <v>Bardzell,Jeffrey S</v>
          </cell>
          <cell r="N9372">
            <v>3.5289999999999999</v>
          </cell>
          <cell r="O9372">
            <v>3.5950000000000002</v>
          </cell>
        </row>
        <row r="9373">
          <cell r="E9373" t="str">
            <v>INFO</v>
          </cell>
          <cell r="F9373" t="str">
            <v>INFO-I</v>
          </cell>
          <cell r="G9373">
            <v>543</v>
          </cell>
          <cell r="H9373" t="str">
            <v>INFO-I543</v>
          </cell>
          <cell r="K9373" t="str">
            <v>Bardzell,Shaowen</v>
          </cell>
          <cell r="N9373">
            <v>3.448</v>
          </cell>
          <cell r="O9373">
            <v>3.6480000000000001</v>
          </cell>
        </row>
        <row r="9374">
          <cell r="E9374" t="str">
            <v>INFO</v>
          </cell>
          <cell r="F9374" t="str">
            <v>INFO-I</v>
          </cell>
          <cell r="G9374">
            <v>544</v>
          </cell>
          <cell r="H9374" t="str">
            <v>INFO-I544</v>
          </cell>
          <cell r="K9374" t="str">
            <v>Stolterman,Erik Agnar</v>
          </cell>
          <cell r="N9374">
            <v>3.8450000000000002</v>
          </cell>
          <cell r="O9374">
            <v>3.6859999999999999</v>
          </cell>
        </row>
        <row r="9375">
          <cell r="E9375" t="str">
            <v>INFO</v>
          </cell>
          <cell r="F9375" t="str">
            <v>INFO-I</v>
          </cell>
          <cell r="G9375">
            <v>547</v>
          </cell>
          <cell r="H9375" t="str">
            <v>INFO-I547</v>
          </cell>
          <cell r="K9375" t="str">
            <v>Gu,Yupeng</v>
          </cell>
          <cell r="N9375" t="str">
            <v>NR</v>
          </cell>
          <cell r="O9375" t="str">
            <v>NR</v>
          </cell>
        </row>
        <row r="9376">
          <cell r="E9376" t="str">
            <v>INFO</v>
          </cell>
          <cell r="F9376" t="str">
            <v>INFO-I</v>
          </cell>
          <cell r="G9376">
            <v>547</v>
          </cell>
          <cell r="H9376" t="str">
            <v>INFO-I547</v>
          </cell>
          <cell r="K9376" t="str">
            <v>Raphael,Christopher S.</v>
          </cell>
          <cell r="N9376" t="str">
            <v>NR</v>
          </cell>
          <cell r="O9376" t="str">
            <v>NR</v>
          </cell>
        </row>
        <row r="9377">
          <cell r="E9377" t="str">
            <v>INFO</v>
          </cell>
          <cell r="F9377" t="str">
            <v>INFO-I</v>
          </cell>
          <cell r="G9377">
            <v>552</v>
          </cell>
          <cell r="H9377" t="str">
            <v>INFO-I552</v>
          </cell>
          <cell r="K9377" t="str">
            <v>Siegel,Martin A</v>
          </cell>
          <cell r="N9377" t="str">
            <v>NR</v>
          </cell>
          <cell r="O9377" t="str">
            <v>NR</v>
          </cell>
        </row>
        <row r="9378">
          <cell r="E9378" t="str">
            <v>INFO</v>
          </cell>
          <cell r="F9378" t="str">
            <v>INFO-I</v>
          </cell>
          <cell r="G9378">
            <v>554</v>
          </cell>
          <cell r="H9378" t="str">
            <v>INFO-I554</v>
          </cell>
          <cell r="K9378" t="str">
            <v>Siegel,Martin A</v>
          </cell>
          <cell r="N9378" t="str">
            <v>NR</v>
          </cell>
          <cell r="O9378" t="str">
            <v>NR</v>
          </cell>
        </row>
        <row r="9379">
          <cell r="E9379" t="str">
            <v>INFO</v>
          </cell>
          <cell r="F9379" t="str">
            <v>INFO-I</v>
          </cell>
          <cell r="G9379">
            <v>554</v>
          </cell>
          <cell r="H9379" t="str">
            <v>INFO-I554</v>
          </cell>
          <cell r="K9379" t="str">
            <v>Siegel,Martin A</v>
          </cell>
          <cell r="N9379">
            <v>3.8380000000000001</v>
          </cell>
          <cell r="O9379">
            <v>3.6989999999999998</v>
          </cell>
        </row>
        <row r="9380">
          <cell r="E9380" t="str">
            <v>INFO</v>
          </cell>
          <cell r="F9380" t="str">
            <v>INFO-I</v>
          </cell>
          <cell r="G9380">
            <v>561</v>
          </cell>
          <cell r="H9380" t="str">
            <v>INFO-I561</v>
          </cell>
          <cell r="K9380" t="str">
            <v>Blevis,Eli B.</v>
          </cell>
          <cell r="N9380">
            <v>3.806</v>
          </cell>
          <cell r="O9380">
            <v>3.6720000000000002</v>
          </cell>
        </row>
        <row r="9381">
          <cell r="E9381" t="str">
            <v>INFO</v>
          </cell>
          <cell r="F9381" t="str">
            <v>INFO-I</v>
          </cell>
          <cell r="G9381">
            <v>585</v>
          </cell>
          <cell r="H9381" t="str">
            <v>INFO-I585</v>
          </cell>
          <cell r="K9381" t="str">
            <v>Rocha,Luis M.</v>
          </cell>
          <cell r="N9381" t="str">
            <v>NR</v>
          </cell>
          <cell r="O9381" t="str">
            <v>NR</v>
          </cell>
        </row>
        <row r="9382">
          <cell r="E9382" t="str">
            <v>INFO</v>
          </cell>
          <cell r="F9382" t="str">
            <v>INFO-I</v>
          </cell>
          <cell r="G9382">
            <v>590</v>
          </cell>
          <cell r="H9382" t="str">
            <v>INFO-I590</v>
          </cell>
          <cell r="K9382" t="str">
            <v>Ahn,Yong Yeol</v>
          </cell>
          <cell r="N9382" t="str">
            <v>NR</v>
          </cell>
          <cell r="O9382" t="str">
            <v>NR</v>
          </cell>
        </row>
        <row r="9383">
          <cell r="E9383" t="str">
            <v>INFO</v>
          </cell>
          <cell r="F9383" t="str">
            <v>INFO-I</v>
          </cell>
          <cell r="G9383">
            <v>590</v>
          </cell>
          <cell r="H9383" t="str">
            <v>INFO-I590</v>
          </cell>
          <cell r="K9383" t="str">
            <v>Ahn,Yong Yeol</v>
          </cell>
          <cell r="N9383">
            <v>3.8879999999999999</v>
          </cell>
          <cell r="O9383">
            <v>3.621</v>
          </cell>
        </row>
        <row r="9384">
          <cell r="E9384" t="str">
            <v>INFO</v>
          </cell>
          <cell r="F9384" t="str">
            <v>INFO-I</v>
          </cell>
          <cell r="G9384">
            <v>590</v>
          </cell>
          <cell r="H9384" t="str">
            <v>INFO-I590</v>
          </cell>
          <cell r="K9384" t="str">
            <v>Bardzell,Jeffrey S</v>
          </cell>
          <cell r="N9384">
            <v>3.8370000000000002</v>
          </cell>
          <cell r="O9384">
            <v>3.867</v>
          </cell>
        </row>
        <row r="9385">
          <cell r="E9385" t="str">
            <v>INFO</v>
          </cell>
          <cell r="F9385" t="str">
            <v>INFO-I</v>
          </cell>
          <cell r="G9385">
            <v>590</v>
          </cell>
          <cell r="H9385" t="str">
            <v>INFO-I590</v>
          </cell>
          <cell r="K9385" t="str">
            <v>Bardzell,Shaowen</v>
          </cell>
          <cell r="N9385">
            <v>3.5529999999999999</v>
          </cell>
          <cell r="O9385">
            <v>3.698</v>
          </cell>
        </row>
        <row r="9386">
          <cell r="E9386" t="str">
            <v>INFO</v>
          </cell>
          <cell r="F9386" t="str">
            <v>INFO-I</v>
          </cell>
          <cell r="G9386">
            <v>590</v>
          </cell>
          <cell r="H9386" t="str">
            <v>INFO-I590</v>
          </cell>
          <cell r="K9386" t="str">
            <v>Hahn,Matthew William</v>
          </cell>
          <cell r="N9386">
            <v>3.95</v>
          </cell>
          <cell r="O9386">
            <v>3.78</v>
          </cell>
        </row>
        <row r="9387">
          <cell r="E9387" t="str">
            <v>INFO</v>
          </cell>
          <cell r="F9387" t="str">
            <v>INFO-I</v>
          </cell>
          <cell r="G9387">
            <v>590</v>
          </cell>
          <cell r="H9387" t="str">
            <v>INFO-I590</v>
          </cell>
          <cell r="K9387" t="str">
            <v>Nguyen,Stephanie Thanh Xuan</v>
          </cell>
          <cell r="N9387" t="str">
            <v>NR</v>
          </cell>
          <cell r="O9387" t="str">
            <v>NR</v>
          </cell>
        </row>
        <row r="9388">
          <cell r="E9388" t="str">
            <v>INFO</v>
          </cell>
          <cell r="F9388" t="str">
            <v>INFO-I</v>
          </cell>
          <cell r="G9388">
            <v>590</v>
          </cell>
          <cell r="H9388" t="str">
            <v>INFO-I590</v>
          </cell>
          <cell r="K9388" t="str">
            <v>Paolillo,John C.</v>
          </cell>
          <cell r="N9388">
            <v>3.625</v>
          </cell>
          <cell r="O9388">
            <v>3.8029999999999999</v>
          </cell>
        </row>
        <row r="9389">
          <cell r="E9389" t="str">
            <v>INFO</v>
          </cell>
          <cell r="F9389" t="str">
            <v>INFO-I</v>
          </cell>
          <cell r="G9389">
            <v>590</v>
          </cell>
          <cell r="H9389" t="str">
            <v>INFO-I590</v>
          </cell>
          <cell r="K9389" t="str">
            <v>Sabanovic,Selma</v>
          </cell>
          <cell r="N9389" t="str">
            <v>NR</v>
          </cell>
          <cell r="O9389" t="str">
            <v>NR</v>
          </cell>
        </row>
        <row r="9390">
          <cell r="E9390" t="str">
            <v>INFO</v>
          </cell>
          <cell r="F9390" t="str">
            <v>INFO-I</v>
          </cell>
          <cell r="G9390">
            <v>590</v>
          </cell>
          <cell r="H9390" t="str">
            <v>INFO-I590</v>
          </cell>
          <cell r="K9390" t="str">
            <v>Siegel,Martin A</v>
          </cell>
          <cell r="N9390">
            <v>3.9729999999999999</v>
          </cell>
          <cell r="O9390">
            <v>3.714</v>
          </cell>
        </row>
        <row r="9391">
          <cell r="E9391" t="str">
            <v>INFO</v>
          </cell>
          <cell r="F9391" t="str">
            <v>INFO-I</v>
          </cell>
          <cell r="G9391">
            <v>590</v>
          </cell>
          <cell r="H9391" t="str">
            <v>INFO-I590</v>
          </cell>
          <cell r="K9391" t="str">
            <v>Siegel,Martin A</v>
          </cell>
          <cell r="N9391">
            <v>3.6240000000000001</v>
          </cell>
          <cell r="O9391">
            <v>3.637</v>
          </cell>
        </row>
        <row r="9392">
          <cell r="E9392" t="str">
            <v>INFO</v>
          </cell>
          <cell r="F9392" t="str">
            <v>INFO-I</v>
          </cell>
          <cell r="G9392">
            <v>590</v>
          </cell>
          <cell r="H9392" t="str">
            <v>INFO-I590</v>
          </cell>
          <cell r="K9392" t="str">
            <v>Todd,Peter Martin</v>
          </cell>
          <cell r="N9392" t="str">
            <v>NR</v>
          </cell>
          <cell r="O9392" t="str">
            <v>NR</v>
          </cell>
        </row>
        <row r="9393">
          <cell r="E9393" t="str">
            <v>INFO</v>
          </cell>
          <cell r="F9393" t="str">
            <v>INFO-I</v>
          </cell>
          <cell r="G9393">
            <v>591</v>
          </cell>
          <cell r="H9393" t="str">
            <v>INFO-I591</v>
          </cell>
          <cell r="K9393" t="str">
            <v>Siegel,Martin A</v>
          </cell>
          <cell r="N9393" t="str">
            <v>NR</v>
          </cell>
          <cell r="O9393" t="str">
            <v>NR</v>
          </cell>
        </row>
        <row r="9394">
          <cell r="E9394" t="str">
            <v>INFO</v>
          </cell>
          <cell r="F9394" t="str">
            <v>INFO-I</v>
          </cell>
          <cell r="G9394">
            <v>591</v>
          </cell>
          <cell r="H9394" t="str">
            <v>INFO-I591</v>
          </cell>
          <cell r="K9394" t="str">
            <v>Siegel,Martin A</v>
          </cell>
          <cell r="N9394" t="str">
            <v>NR</v>
          </cell>
          <cell r="O9394" t="str">
            <v>NR</v>
          </cell>
        </row>
        <row r="9395">
          <cell r="E9395" t="str">
            <v>INFO</v>
          </cell>
          <cell r="F9395" t="str">
            <v>INFO-I</v>
          </cell>
          <cell r="G9395">
            <v>591</v>
          </cell>
          <cell r="H9395" t="str">
            <v>INFO-I591</v>
          </cell>
          <cell r="K9395" t="str">
            <v>Siegel,Martin A</v>
          </cell>
          <cell r="N9395" t="str">
            <v>NR</v>
          </cell>
          <cell r="O9395" t="str">
            <v>NR</v>
          </cell>
        </row>
        <row r="9396">
          <cell r="E9396" t="str">
            <v>INFO</v>
          </cell>
          <cell r="F9396" t="str">
            <v>INFO-I</v>
          </cell>
          <cell r="G9396">
            <v>591</v>
          </cell>
          <cell r="H9396" t="str">
            <v>INFO-I591</v>
          </cell>
          <cell r="K9396" t="str">
            <v>Siegel,Martin A</v>
          </cell>
          <cell r="N9396" t="str">
            <v>NR</v>
          </cell>
          <cell r="O9396" t="str">
            <v>NR</v>
          </cell>
        </row>
        <row r="9397">
          <cell r="E9397" t="str">
            <v>INFO</v>
          </cell>
          <cell r="F9397" t="str">
            <v>INFO-I</v>
          </cell>
          <cell r="G9397">
            <v>601</v>
          </cell>
          <cell r="H9397" t="str">
            <v>INFO-I601</v>
          </cell>
          <cell r="K9397" t="str">
            <v>Rocha,Luis M.</v>
          </cell>
          <cell r="N9397">
            <v>3.7440000000000002</v>
          </cell>
          <cell r="O9397">
            <v>3.8149999999999999</v>
          </cell>
        </row>
        <row r="9398">
          <cell r="E9398" t="str">
            <v>INFO</v>
          </cell>
          <cell r="F9398" t="str">
            <v>INFO-I</v>
          </cell>
          <cell r="G9398">
            <v>602</v>
          </cell>
          <cell r="H9398" t="str">
            <v>INFO-I602</v>
          </cell>
          <cell r="K9398" t="str">
            <v>Raphael,Christopher S.</v>
          </cell>
          <cell r="N9398" t="str">
            <v>NR</v>
          </cell>
          <cell r="O9398" t="str">
            <v>NR</v>
          </cell>
        </row>
        <row r="9399">
          <cell r="E9399" t="str">
            <v>INFO</v>
          </cell>
          <cell r="F9399" t="str">
            <v>INFO-I</v>
          </cell>
          <cell r="G9399">
            <v>604</v>
          </cell>
          <cell r="H9399" t="str">
            <v>INFO-I604</v>
          </cell>
          <cell r="K9399" t="str">
            <v>Stolterman,Erik Agnar</v>
          </cell>
          <cell r="N9399">
            <v>3.8519999999999999</v>
          </cell>
          <cell r="O9399">
            <v>3.798</v>
          </cell>
        </row>
        <row r="9400">
          <cell r="E9400" t="str">
            <v>INFO</v>
          </cell>
          <cell r="F9400" t="str">
            <v>INFO-I</v>
          </cell>
          <cell r="G9400">
            <v>609</v>
          </cell>
          <cell r="H9400" t="str">
            <v>INFO-I609</v>
          </cell>
          <cell r="K9400" t="str">
            <v>Hakken,David James</v>
          </cell>
          <cell r="N9400">
            <v>4</v>
          </cell>
          <cell r="O9400">
            <v>3.9</v>
          </cell>
        </row>
        <row r="9401">
          <cell r="E9401" t="str">
            <v>INFO</v>
          </cell>
          <cell r="F9401" t="str">
            <v>INFO-I</v>
          </cell>
          <cell r="G9401">
            <v>609</v>
          </cell>
          <cell r="H9401" t="str">
            <v>INFO-I609</v>
          </cell>
          <cell r="K9401" t="str">
            <v>Rocha,Luis M.</v>
          </cell>
          <cell r="N9401">
            <v>3.8570000000000002</v>
          </cell>
          <cell r="O9401">
            <v>3.7719999999999998</v>
          </cell>
        </row>
        <row r="9402">
          <cell r="E9402" t="str">
            <v>INFO</v>
          </cell>
          <cell r="F9402" t="str">
            <v>INFO-I</v>
          </cell>
          <cell r="G9402">
            <v>609</v>
          </cell>
          <cell r="H9402" t="str">
            <v>INFO-I609</v>
          </cell>
          <cell r="K9402" t="str">
            <v>Wild,David John</v>
          </cell>
          <cell r="N9402" t="str">
            <v>NR</v>
          </cell>
          <cell r="O9402" t="str">
            <v>NR</v>
          </cell>
        </row>
        <row r="9403">
          <cell r="E9403" t="str">
            <v>INFO</v>
          </cell>
          <cell r="F9403" t="str">
            <v>INFO-I</v>
          </cell>
          <cell r="G9403">
            <v>692</v>
          </cell>
          <cell r="H9403" t="str">
            <v>INFO-I692</v>
          </cell>
          <cell r="K9403" t="str">
            <v>Brendel,Volker</v>
          </cell>
          <cell r="N9403" t="str">
            <v>NR</v>
          </cell>
          <cell r="O9403" t="str">
            <v>NR</v>
          </cell>
        </row>
        <row r="9404">
          <cell r="E9404" t="str">
            <v>INFO</v>
          </cell>
          <cell r="F9404" t="str">
            <v>INFO-I</v>
          </cell>
          <cell r="G9404">
            <v>692</v>
          </cell>
          <cell r="H9404" t="str">
            <v>INFO-I692</v>
          </cell>
          <cell r="K9404" t="str">
            <v>Dalkilic,Mehmet M.</v>
          </cell>
          <cell r="N9404" t="str">
            <v>NR</v>
          </cell>
          <cell r="O9404" t="str">
            <v>NR</v>
          </cell>
        </row>
        <row r="9405">
          <cell r="E9405" t="str">
            <v>INFO</v>
          </cell>
          <cell r="F9405" t="str">
            <v>INFO-I</v>
          </cell>
          <cell r="G9405">
            <v>693</v>
          </cell>
          <cell r="H9405" t="str">
            <v>INFO-I693</v>
          </cell>
          <cell r="K9405" t="str">
            <v>Wild,David John</v>
          </cell>
          <cell r="N9405" t="str">
            <v>NR</v>
          </cell>
          <cell r="O9405" t="str">
            <v>NR</v>
          </cell>
        </row>
        <row r="9406">
          <cell r="E9406" t="str">
            <v>INFO</v>
          </cell>
          <cell r="F9406" t="str">
            <v>INFO-I</v>
          </cell>
          <cell r="G9406">
            <v>694</v>
          </cell>
          <cell r="H9406" t="str">
            <v>INFO-I694</v>
          </cell>
          <cell r="K9406" t="str">
            <v>Bardzell,Jeffrey S</v>
          </cell>
          <cell r="N9406">
            <v>3.71</v>
          </cell>
          <cell r="O9406">
            <v>3.8069999999999999</v>
          </cell>
        </row>
        <row r="9407">
          <cell r="E9407" t="str">
            <v>INFO</v>
          </cell>
          <cell r="F9407" t="str">
            <v>INFO-I</v>
          </cell>
          <cell r="G9407">
            <v>698</v>
          </cell>
          <cell r="H9407" t="str">
            <v>INFO-I698</v>
          </cell>
          <cell r="K9407" t="str">
            <v>Siegel,Martin A</v>
          </cell>
          <cell r="N9407" t="str">
            <v>NR</v>
          </cell>
          <cell r="O9407" t="str">
            <v>NR</v>
          </cell>
        </row>
        <row r="9408">
          <cell r="E9408" t="str">
            <v>INFO</v>
          </cell>
          <cell r="F9408" t="str">
            <v>INFO-I</v>
          </cell>
          <cell r="G9408">
            <v>698</v>
          </cell>
          <cell r="H9408" t="str">
            <v>INFO-I698</v>
          </cell>
          <cell r="K9408" t="str">
            <v>Siegel,Martin A</v>
          </cell>
          <cell r="N9408" t="str">
            <v>NR</v>
          </cell>
          <cell r="O9408" t="str">
            <v>NR</v>
          </cell>
        </row>
        <row r="9409">
          <cell r="E9409" t="str">
            <v>INFO</v>
          </cell>
          <cell r="F9409" t="str">
            <v>INFO-I</v>
          </cell>
          <cell r="G9409">
            <v>698</v>
          </cell>
          <cell r="H9409" t="str">
            <v>INFO-I698</v>
          </cell>
          <cell r="K9409" t="str">
            <v>Siegel,Martin A</v>
          </cell>
          <cell r="N9409" t="str">
            <v>NR</v>
          </cell>
          <cell r="O9409" t="str">
            <v>NR</v>
          </cell>
        </row>
        <row r="9410">
          <cell r="E9410" t="str">
            <v>INFO</v>
          </cell>
          <cell r="F9410" t="str">
            <v>INFO-I</v>
          </cell>
          <cell r="G9410">
            <v>699</v>
          </cell>
          <cell r="H9410" t="str">
            <v>INFO-I699</v>
          </cell>
          <cell r="K9410" t="str">
            <v>Siegel,Martin A</v>
          </cell>
          <cell r="N9410">
            <v>4</v>
          </cell>
          <cell r="O9410">
            <v>3.8130000000000002</v>
          </cell>
        </row>
        <row r="9411">
          <cell r="E9411" t="str">
            <v>INFO</v>
          </cell>
          <cell r="F9411" t="str">
            <v>INFO-I</v>
          </cell>
          <cell r="G9411">
            <v>699</v>
          </cell>
          <cell r="H9411" t="str">
            <v>INFO-I699</v>
          </cell>
          <cell r="K9411" t="str">
            <v>Siegel,Martin A</v>
          </cell>
          <cell r="N9411" t="str">
            <v>NR</v>
          </cell>
          <cell r="O9411" t="str">
            <v>NR</v>
          </cell>
        </row>
        <row r="9412">
          <cell r="E9412" t="str">
            <v>INFO</v>
          </cell>
          <cell r="F9412" t="str">
            <v>INFO-I</v>
          </cell>
          <cell r="G9412">
            <v>699</v>
          </cell>
          <cell r="H9412" t="str">
            <v>INFO-I699</v>
          </cell>
          <cell r="K9412" t="str">
            <v>Siegel,Martin A</v>
          </cell>
          <cell r="N9412">
            <v>4</v>
          </cell>
          <cell r="O9412">
            <v>3.6669999999999998</v>
          </cell>
        </row>
        <row r="9413">
          <cell r="E9413" t="str">
            <v>INFO</v>
          </cell>
          <cell r="F9413" t="str">
            <v>INFO-I</v>
          </cell>
          <cell r="G9413">
            <v>709</v>
          </cell>
          <cell r="H9413" t="str">
            <v>INFO-I709</v>
          </cell>
          <cell r="K9413" t="str">
            <v>Wild,David John</v>
          </cell>
          <cell r="N9413" t="str">
            <v>NR</v>
          </cell>
          <cell r="O9413" t="str">
            <v>NR</v>
          </cell>
        </row>
        <row r="9414">
          <cell r="E9414" t="str">
            <v>INFO</v>
          </cell>
          <cell r="F9414" t="str">
            <v>INFO-I</v>
          </cell>
          <cell r="G9414">
            <v>790</v>
          </cell>
          <cell r="H9414" t="str">
            <v>INFO-I790</v>
          </cell>
          <cell r="K9414" t="str">
            <v>Siegel,Martin A</v>
          </cell>
          <cell r="N9414" t="str">
            <v>NR</v>
          </cell>
          <cell r="O9414" t="str">
            <v>NR</v>
          </cell>
        </row>
        <row r="9415">
          <cell r="E9415" t="str">
            <v>INFO</v>
          </cell>
          <cell r="F9415" t="str">
            <v>INFO-I</v>
          </cell>
          <cell r="G9415">
            <v>790</v>
          </cell>
          <cell r="H9415" t="str">
            <v>INFO-I790</v>
          </cell>
          <cell r="K9415" t="str">
            <v>Siegel,Martin A</v>
          </cell>
          <cell r="N9415">
            <v>3.875</v>
          </cell>
          <cell r="O9415">
            <v>3.831</v>
          </cell>
        </row>
        <row r="9416">
          <cell r="E9416" t="str">
            <v>INFO</v>
          </cell>
          <cell r="F9416" t="str">
            <v>INFO-I</v>
          </cell>
          <cell r="G9416">
            <v>798</v>
          </cell>
          <cell r="H9416" t="str">
            <v>INFO-I798</v>
          </cell>
          <cell r="K9416" t="str">
            <v>Siegel,Martin A</v>
          </cell>
          <cell r="N9416" t="str">
            <v>NR</v>
          </cell>
          <cell r="O9416" t="str">
            <v>NR</v>
          </cell>
        </row>
        <row r="9417">
          <cell r="E9417" t="str">
            <v>INFO</v>
          </cell>
          <cell r="F9417" t="str">
            <v>INFO-I</v>
          </cell>
          <cell r="G9417">
            <v>798</v>
          </cell>
          <cell r="H9417" t="str">
            <v>INFO-I798</v>
          </cell>
          <cell r="K9417" t="str">
            <v>Siegel,Martin A</v>
          </cell>
          <cell r="N9417" t="str">
            <v>NR</v>
          </cell>
          <cell r="O9417" t="str">
            <v>NR</v>
          </cell>
        </row>
        <row r="9418">
          <cell r="E9418" t="str">
            <v>INFO</v>
          </cell>
          <cell r="F9418" t="str">
            <v>INFO-I</v>
          </cell>
          <cell r="G9418">
            <v>798</v>
          </cell>
          <cell r="H9418" t="str">
            <v>INFO-I798</v>
          </cell>
          <cell r="K9418" t="str">
            <v>Siegel,Martin A</v>
          </cell>
          <cell r="N9418" t="str">
            <v>NR</v>
          </cell>
          <cell r="O9418" t="str">
            <v>NR</v>
          </cell>
        </row>
        <row r="9419">
          <cell r="E9419" t="str">
            <v>INFO</v>
          </cell>
          <cell r="F9419" t="str">
            <v>INFO-I</v>
          </cell>
          <cell r="G9419">
            <v>798</v>
          </cell>
          <cell r="H9419" t="str">
            <v>INFO-I798</v>
          </cell>
          <cell r="K9419" t="str">
            <v>Siegel,Martin A</v>
          </cell>
          <cell r="N9419" t="str">
            <v>NR</v>
          </cell>
          <cell r="O9419" t="str">
            <v>NR</v>
          </cell>
        </row>
        <row r="9420">
          <cell r="E9420" t="str">
            <v>INFO</v>
          </cell>
          <cell r="F9420" t="str">
            <v>INFO-I</v>
          </cell>
          <cell r="G9420">
            <v>890</v>
          </cell>
          <cell r="H9420" t="str">
            <v>INFO-I890</v>
          </cell>
          <cell r="K9420" t="str">
            <v>Siegel,Martin A</v>
          </cell>
          <cell r="N9420" t="str">
            <v>NR</v>
          </cell>
          <cell r="O9420" t="str">
            <v>NR</v>
          </cell>
        </row>
        <row r="9421">
          <cell r="E9421" t="str">
            <v>INFO</v>
          </cell>
          <cell r="F9421" t="str">
            <v>INFO-I</v>
          </cell>
          <cell r="G9421">
            <v>890</v>
          </cell>
          <cell r="H9421" t="str">
            <v>INFO-I890</v>
          </cell>
          <cell r="K9421" t="str">
            <v>Siegel,Martin A</v>
          </cell>
          <cell r="N9421" t="str">
            <v>NR</v>
          </cell>
          <cell r="O9421" t="str">
            <v>NR</v>
          </cell>
        </row>
        <row r="9422">
          <cell r="E9422" t="str">
            <v>INFO</v>
          </cell>
          <cell r="F9422" t="str">
            <v>INFO-I</v>
          </cell>
          <cell r="G9422">
            <v>890</v>
          </cell>
          <cell r="H9422" t="str">
            <v>INFO-I890</v>
          </cell>
          <cell r="K9422" t="str">
            <v>Siegel,Martin A</v>
          </cell>
          <cell r="N9422" t="str">
            <v>NR</v>
          </cell>
          <cell r="O9422" t="str">
            <v>NR</v>
          </cell>
        </row>
        <row r="9423">
          <cell r="E9423" t="str">
            <v>INFO</v>
          </cell>
          <cell r="F9423" t="str">
            <v>INFO-I</v>
          </cell>
          <cell r="G9423">
            <v>890</v>
          </cell>
          <cell r="H9423" t="str">
            <v>INFO-I890</v>
          </cell>
          <cell r="K9423" t="str">
            <v>Siegel,Martin A</v>
          </cell>
          <cell r="N9423" t="str">
            <v>NR</v>
          </cell>
          <cell r="O9423" t="str">
            <v>NR</v>
          </cell>
        </row>
        <row r="9424">
          <cell r="E9424" t="str">
            <v>INFO</v>
          </cell>
          <cell r="F9424" t="str">
            <v>INFO-T</v>
          </cell>
          <cell r="G9424">
            <v>100</v>
          </cell>
          <cell r="H9424" t="str">
            <v>INFO-T100</v>
          </cell>
          <cell r="K9424" t="str">
            <v>Lemons,Nancy Joan</v>
          </cell>
          <cell r="N9424">
            <v>4</v>
          </cell>
          <cell r="O9424">
            <v>3.2450000000000001</v>
          </cell>
        </row>
        <row r="9425">
          <cell r="E9425" t="str">
            <v>INFO</v>
          </cell>
          <cell r="F9425" t="str">
            <v>INFO-Y</v>
          </cell>
          <cell r="G9425">
            <v>100</v>
          </cell>
          <cell r="H9425" t="str">
            <v>INFO-Y100</v>
          </cell>
          <cell r="K9425" t="str">
            <v>Lemons,Nancy Joan</v>
          </cell>
          <cell r="N9425">
            <v>3.6859999999999999</v>
          </cell>
          <cell r="O9425">
            <v>2.8530000000000002</v>
          </cell>
        </row>
        <row r="9426">
          <cell r="E9426" t="str">
            <v>INFO</v>
          </cell>
          <cell r="F9426" t="str">
            <v>INFO-Y</v>
          </cell>
          <cell r="G9426">
            <v>100</v>
          </cell>
          <cell r="H9426" t="str">
            <v>INFO-Y100</v>
          </cell>
          <cell r="K9426" t="str">
            <v>Scheuer,Carol A</v>
          </cell>
          <cell r="N9426">
            <v>3.1589999999999998</v>
          </cell>
          <cell r="O9426">
            <v>2.649</v>
          </cell>
        </row>
        <row r="9427">
          <cell r="E9427" t="str">
            <v>INFO</v>
          </cell>
          <cell r="F9427" t="str">
            <v>INFO-Y</v>
          </cell>
          <cell r="G9427">
            <v>100</v>
          </cell>
          <cell r="H9427" t="str">
            <v>INFO-Y100</v>
          </cell>
          <cell r="K9427" t="str">
            <v>Scheuer,Carol A</v>
          </cell>
          <cell r="N9427">
            <v>3.645</v>
          </cell>
          <cell r="O9427">
            <v>2.9870000000000001</v>
          </cell>
        </row>
        <row r="9428">
          <cell r="E9428" t="str">
            <v>INFO</v>
          </cell>
          <cell r="F9428" t="str">
            <v>INFO-Y</v>
          </cell>
          <cell r="G9428">
            <v>100</v>
          </cell>
          <cell r="H9428" t="str">
            <v>INFO-Y100</v>
          </cell>
          <cell r="K9428" t="str">
            <v>Scheuer,Carol A</v>
          </cell>
          <cell r="N9428">
            <v>3.4830000000000001</v>
          </cell>
          <cell r="O9428">
            <v>2.577</v>
          </cell>
        </row>
        <row r="9429">
          <cell r="E9429" t="str">
            <v>INFO</v>
          </cell>
          <cell r="F9429" t="str">
            <v>INFO-Y</v>
          </cell>
          <cell r="G9429">
            <v>395</v>
          </cell>
          <cell r="H9429" t="str">
            <v>INFO-Y395</v>
          </cell>
          <cell r="K9429" t="str">
            <v>Campbell,Kerri</v>
          </cell>
          <cell r="N9429">
            <v>3.9780000000000002</v>
          </cell>
          <cell r="O9429">
            <v>3.1269999999999998</v>
          </cell>
        </row>
        <row r="9430">
          <cell r="E9430" t="str">
            <v>INFO</v>
          </cell>
          <cell r="F9430" t="str">
            <v>INFO-Y</v>
          </cell>
          <cell r="G9430">
            <v>395</v>
          </cell>
          <cell r="H9430" t="str">
            <v>INFO-Y395</v>
          </cell>
          <cell r="K9430" t="str">
            <v>Campbell,Kerri</v>
          </cell>
          <cell r="N9430">
            <v>3.617</v>
          </cell>
          <cell r="O9430">
            <v>2.9740000000000002</v>
          </cell>
        </row>
        <row r="9431">
          <cell r="E9431" t="str">
            <v>INFO</v>
          </cell>
          <cell r="F9431" t="str">
            <v>INFO-Y</v>
          </cell>
          <cell r="G9431">
            <v>395</v>
          </cell>
          <cell r="H9431" t="str">
            <v>INFO-Y395</v>
          </cell>
          <cell r="K9431" t="str">
            <v>Campbell,Kerri</v>
          </cell>
          <cell r="N9431">
            <v>3.6139999999999999</v>
          </cell>
          <cell r="O9431">
            <v>3.0150000000000001</v>
          </cell>
        </row>
        <row r="9432">
          <cell r="E9432" t="str">
            <v>INFO</v>
          </cell>
          <cell r="F9432" t="str">
            <v>INFO-Y</v>
          </cell>
          <cell r="G9432">
            <v>395</v>
          </cell>
          <cell r="H9432" t="str">
            <v>INFO-Y395</v>
          </cell>
          <cell r="K9432" t="str">
            <v>Campbell,Kerri</v>
          </cell>
          <cell r="N9432">
            <v>3.5409999999999999</v>
          </cell>
          <cell r="O9432">
            <v>2.8980000000000001</v>
          </cell>
        </row>
        <row r="9433">
          <cell r="E9433" t="str">
            <v>INFO</v>
          </cell>
          <cell r="F9433" t="str">
            <v>INFO-Y</v>
          </cell>
          <cell r="G9433">
            <v>395</v>
          </cell>
          <cell r="H9433" t="str">
            <v>INFO-Y395</v>
          </cell>
          <cell r="K9433" t="str">
            <v>Nguyen,Stephanie Thanh Xuan</v>
          </cell>
          <cell r="N9433">
            <v>3.65</v>
          </cell>
          <cell r="O9433">
            <v>3.0249999999999999</v>
          </cell>
        </row>
        <row r="9434">
          <cell r="E9434" t="str">
            <v>INFO</v>
          </cell>
          <cell r="F9434" t="str">
            <v>INFO-Y</v>
          </cell>
          <cell r="G9434">
            <v>395</v>
          </cell>
          <cell r="H9434" t="str">
            <v>INFO-Y395</v>
          </cell>
          <cell r="K9434" t="str">
            <v>Winslow-Edmonson,Cassiopeia Mackenzie</v>
          </cell>
          <cell r="N9434">
            <v>3.452</v>
          </cell>
          <cell r="O9434">
            <v>3.0139999999999998</v>
          </cell>
        </row>
        <row r="9435">
          <cell r="E9435" t="str">
            <v>INFO</v>
          </cell>
          <cell r="F9435" t="str">
            <v>INFO-Y</v>
          </cell>
          <cell r="G9435">
            <v>395</v>
          </cell>
          <cell r="H9435" t="str">
            <v>INFO-Y395</v>
          </cell>
          <cell r="K9435" t="str">
            <v>Winslow-Edmonson,Cassiopeia Mackenzie</v>
          </cell>
          <cell r="N9435">
            <v>3.335</v>
          </cell>
          <cell r="O9435">
            <v>2.9369999999999998</v>
          </cell>
        </row>
        <row r="9436">
          <cell r="E9436" t="str">
            <v>INST</v>
          </cell>
          <cell r="F9436" t="str">
            <v>INST-B</v>
          </cell>
          <cell r="G9436">
            <v>150</v>
          </cell>
          <cell r="H9436" t="str">
            <v>INST-B150</v>
          </cell>
          <cell r="K9436" t="str">
            <v>Roy,Sudipta</v>
          </cell>
          <cell r="N9436" t="str">
            <v>NR</v>
          </cell>
          <cell r="O9436" t="str">
            <v>NR</v>
          </cell>
        </row>
        <row r="9437">
          <cell r="E9437" t="str">
            <v>INST</v>
          </cell>
          <cell r="F9437" t="str">
            <v>INST-B</v>
          </cell>
          <cell r="G9437">
            <v>200</v>
          </cell>
          <cell r="H9437" t="str">
            <v>INST-B200</v>
          </cell>
          <cell r="K9437" t="str">
            <v>Hakim,Abdul</v>
          </cell>
          <cell r="N9437" t="str">
            <v>NR</v>
          </cell>
          <cell r="O9437" t="str">
            <v>NR</v>
          </cell>
        </row>
        <row r="9438">
          <cell r="E9438" t="str">
            <v>INST</v>
          </cell>
          <cell r="F9438" t="str">
            <v>INST-B</v>
          </cell>
          <cell r="G9438">
            <v>200</v>
          </cell>
          <cell r="H9438" t="str">
            <v>INST-B200</v>
          </cell>
          <cell r="K9438" t="str">
            <v>Roy,Sudipta</v>
          </cell>
          <cell r="N9438" t="str">
            <v>NR</v>
          </cell>
          <cell r="O9438" t="str">
            <v>NR</v>
          </cell>
        </row>
        <row r="9439">
          <cell r="E9439" t="str">
            <v>INST</v>
          </cell>
          <cell r="F9439" t="str">
            <v>INST-B</v>
          </cell>
          <cell r="G9439">
            <v>250</v>
          </cell>
          <cell r="H9439" t="str">
            <v>INST-B250</v>
          </cell>
          <cell r="K9439" t="str">
            <v>Hakim,Abdul</v>
          </cell>
          <cell r="N9439" t="str">
            <v>NR</v>
          </cell>
          <cell r="O9439" t="str">
            <v>NR</v>
          </cell>
        </row>
        <row r="9440">
          <cell r="E9440" t="str">
            <v>INST</v>
          </cell>
          <cell r="F9440" t="str">
            <v>INST-H</v>
          </cell>
          <cell r="G9440">
            <v>150</v>
          </cell>
          <cell r="H9440" t="str">
            <v>INST-H150</v>
          </cell>
          <cell r="K9440" t="str">
            <v>Hong,Sungok</v>
          </cell>
          <cell r="N9440">
            <v>3.85</v>
          </cell>
          <cell r="O9440">
            <v>3.5569999999999999</v>
          </cell>
        </row>
        <row r="9441">
          <cell r="E9441" t="str">
            <v>INST</v>
          </cell>
          <cell r="F9441" t="str">
            <v>INST-H</v>
          </cell>
          <cell r="G9441">
            <v>150</v>
          </cell>
          <cell r="H9441" t="str">
            <v>INST-H150</v>
          </cell>
          <cell r="K9441" t="str">
            <v>Hong,Sungok</v>
          </cell>
          <cell r="N9441">
            <v>3.4820000000000002</v>
          </cell>
          <cell r="O9441">
            <v>3.1080000000000001</v>
          </cell>
        </row>
        <row r="9442">
          <cell r="E9442" t="str">
            <v>INST</v>
          </cell>
          <cell r="F9442" t="str">
            <v>INST-H</v>
          </cell>
          <cell r="G9442">
            <v>200</v>
          </cell>
          <cell r="H9442" t="str">
            <v>INST-H200</v>
          </cell>
          <cell r="K9442" t="str">
            <v>Saxena,Pooja</v>
          </cell>
          <cell r="N9442">
            <v>3.4420000000000002</v>
          </cell>
          <cell r="O9442">
            <v>3.1230000000000002</v>
          </cell>
        </row>
        <row r="9443">
          <cell r="E9443" t="str">
            <v>INST</v>
          </cell>
          <cell r="F9443" t="str">
            <v>INST-H</v>
          </cell>
          <cell r="G9443">
            <v>250</v>
          </cell>
          <cell r="H9443" t="str">
            <v>INST-H250</v>
          </cell>
          <cell r="K9443" t="str">
            <v>Hong,Sungok</v>
          </cell>
          <cell r="N9443">
            <v>3.6379999999999999</v>
          </cell>
          <cell r="O9443">
            <v>3.335</v>
          </cell>
        </row>
        <row r="9444">
          <cell r="E9444" t="str">
            <v>INST</v>
          </cell>
          <cell r="F9444" t="str">
            <v>INST-I</v>
          </cell>
          <cell r="G9444">
            <v>100</v>
          </cell>
          <cell r="H9444" t="str">
            <v>INST-I100</v>
          </cell>
          <cell r="K9444" t="str">
            <v>Manring,Rebecca</v>
          </cell>
          <cell r="N9444">
            <v>2.8</v>
          </cell>
          <cell r="O9444">
            <v>2.7559999999999998</v>
          </cell>
        </row>
        <row r="9445">
          <cell r="E9445" t="str">
            <v>INST</v>
          </cell>
          <cell r="F9445" t="str">
            <v>INST-I</v>
          </cell>
          <cell r="G9445">
            <v>496</v>
          </cell>
          <cell r="H9445" t="str">
            <v>INST-I496</v>
          </cell>
          <cell r="K9445" t="str">
            <v>Manring,Rebecca</v>
          </cell>
          <cell r="N9445" t="str">
            <v>NR</v>
          </cell>
          <cell r="O9445" t="str">
            <v>NR</v>
          </cell>
        </row>
        <row r="9446">
          <cell r="E9446" t="str">
            <v>INST</v>
          </cell>
          <cell r="F9446" t="str">
            <v>INST-I</v>
          </cell>
          <cell r="G9446">
            <v>496</v>
          </cell>
          <cell r="H9446" t="str">
            <v>INST-I496</v>
          </cell>
          <cell r="K9446" t="str">
            <v>Manring,Rebecca</v>
          </cell>
          <cell r="N9446" t="str">
            <v>NR</v>
          </cell>
          <cell r="O9446" t="str">
            <v>NR</v>
          </cell>
        </row>
        <row r="9447">
          <cell r="E9447" t="str">
            <v>INST</v>
          </cell>
          <cell r="F9447" t="str">
            <v>INST-I</v>
          </cell>
          <cell r="G9447">
            <v>502</v>
          </cell>
          <cell r="H9447" t="str">
            <v>INST-I502</v>
          </cell>
          <cell r="K9447" t="str">
            <v>Manring,Rebecca</v>
          </cell>
          <cell r="N9447" t="str">
            <v>NR</v>
          </cell>
          <cell r="O9447" t="str">
            <v>NR</v>
          </cell>
        </row>
        <row r="9448">
          <cell r="E9448" t="str">
            <v>INST</v>
          </cell>
          <cell r="F9448" t="str">
            <v>INST-I</v>
          </cell>
          <cell r="G9448">
            <v>507</v>
          </cell>
          <cell r="H9448" t="str">
            <v>INST-I507</v>
          </cell>
          <cell r="K9448" t="str">
            <v>Hong,Sungok</v>
          </cell>
          <cell r="N9448" t="str">
            <v>NR</v>
          </cell>
          <cell r="O9448" t="str">
            <v>NR</v>
          </cell>
        </row>
        <row r="9449">
          <cell r="E9449" t="str">
            <v>INST</v>
          </cell>
          <cell r="F9449" t="str">
            <v>INST-I</v>
          </cell>
          <cell r="G9449">
            <v>561</v>
          </cell>
          <cell r="H9449" t="str">
            <v>INST-I561</v>
          </cell>
          <cell r="K9449" t="str">
            <v>Manring,Rebecca</v>
          </cell>
          <cell r="N9449" t="str">
            <v>NR</v>
          </cell>
          <cell r="O9449" t="str">
            <v>NR</v>
          </cell>
        </row>
        <row r="9450">
          <cell r="E9450" t="str">
            <v>INST</v>
          </cell>
          <cell r="F9450" t="str">
            <v>INST-I</v>
          </cell>
          <cell r="G9450">
            <v>656</v>
          </cell>
          <cell r="H9450" t="str">
            <v>INST-I656</v>
          </cell>
          <cell r="K9450" t="str">
            <v>Dodson,Michael Sinclair</v>
          </cell>
          <cell r="N9450" t="str">
            <v>NR</v>
          </cell>
          <cell r="O9450" t="str">
            <v>NR</v>
          </cell>
        </row>
        <row r="9451">
          <cell r="E9451" t="str">
            <v>INST</v>
          </cell>
          <cell r="F9451" t="str">
            <v>INST-I</v>
          </cell>
          <cell r="G9451">
            <v>656</v>
          </cell>
          <cell r="H9451" t="str">
            <v>INST-I656</v>
          </cell>
          <cell r="K9451" t="str">
            <v>Haberman,David L.</v>
          </cell>
          <cell r="N9451" t="str">
            <v>NR</v>
          </cell>
          <cell r="O9451" t="str">
            <v>NR</v>
          </cell>
        </row>
        <row r="9452">
          <cell r="E9452" t="str">
            <v>INST</v>
          </cell>
          <cell r="F9452" t="str">
            <v>INST-I</v>
          </cell>
          <cell r="G9452">
            <v>656</v>
          </cell>
          <cell r="H9452" t="str">
            <v>INST-I656</v>
          </cell>
          <cell r="K9452" t="str">
            <v>Manring,Rebecca</v>
          </cell>
          <cell r="N9452" t="str">
            <v>NR</v>
          </cell>
          <cell r="O9452" t="str">
            <v>NR</v>
          </cell>
        </row>
        <row r="9453">
          <cell r="E9453" t="str">
            <v>INST</v>
          </cell>
          <cell r="F9453" t="str">
            <v>INST-I</v>
          </cell>
          <cell r="G9453">
            <v>656</v>
          </cell>
          <cell r="H9453" t="str">
            <v>INST-I656</v>
          </cell>
          <cell r="K9453" t="str">
            <v>Manring,Rebecca</v>
          </cell>
          <cell r="N9453" t="str">
            <v>NR</v>
          </cell>
          <cell r="O9453" t="str">
            <v>NR</v>
          </cell>
        </row>
        <row r="9454">
          <cell r="E9454" t="str">
            <v>INST</v>
          </cell>
          <cell r="F9454" t="str">
            <v>INST-L</v>
          </cell>
          <cell r="G9454">
            <v>570</v>
          </cell>
          <cell r="H9454" t="str">
            <v>INST-L570</v>
          </cell>
          <cell r="K9454" t="str">
            <v>Roy,Sudipta</v>
          </cell>
          <cell r="N9454" t="str">
            <v>NR</v>
          </cell>
          <cell r="O9454" t="str">
            <v>NR</v>
          </cell>
        </row>
        <row r="9455">
          <cell r="E9455" t="str">
            <v>INST</v>
          </cell>
          <cell r="F9455" t="str">
            <v>INST-S</v>
          </cell>
          <cell r="G9455">
            <v>150</v>
          </cell>
          <cell r="H9455" t="str">
            <v>INST-S150</v>
          </cell>
          <cell r="K9455" t="str">
            <v>Manring,Rebecca</v>
          </cell>
          <cell r="N9455" t="str">
            <v>NR</v>
          </cell>
          <cell r="O9455" t="str">
            <v>NR</v>
          </cell>
        </row>
        <row r="9456">
          <cell r="E9456" t="str">
            <v>INST</v>
          </cell>
          <cell r="F9456" t="str">
            <v>INST-S</v>
          </cell>
          <cell r="G9456">
            <v>200</v>
          </cell>
          <cell r="H9456" t="str">
            <v>INST-S200</v>
          </cell>
          <cell r="K9456" t="str">
            <v>Manring,Rebecca</v>
          </cell>
          <cell r="N9456" t="str">
            <v>NR</v>
          </cell>
          <cell r="O9456" t="str">
            <v>NR</v>
          </cell>
        </row>
        <row r="9457">
          <cell r="E9457" t="str">
            <v>INST</v>
          </cell>
          <cell r="F9457" t="str">
            <v>INST-U</v>
          </cell>
          <cell r="G9457">
            <v>150</v>
          </cell>
          <cell r="H9457" t="str">
            <v>INST-U150</v>
          </cell>
          <cell r="K9457" t="str">
            <v>Hong,Sungok</v>
          </cell>
          <cell r="N9457" t="str">
            <v>NR</v>
          </cell>
          <cell r="O9457" t="str">
            <v>NR</v>
          </cell>
        </row>
        <row r="9458">
          <cell r="E9458" t="str">
            <v>INST</v>
          </cell>
          <cell r="F9458" t="str">
            <v>INST-U</v>
          </cell>
          <cell r="G9458">
            <v>250</v>
          </cell>
          <cell r="H9458" t="str">
            <v>INST-U250</v>
          </cell>
          <cell r="K9458" t="str">
            <v>Hong,Sungok</v>
          </cell>
          <cell r="N9458" t="str">
            <v>NR</v>
          </cell>
          <cell r="O9458" t="str">
            <v>NR</v>
          </cell>
        </row>
        <row r="9459">
          <cell r="E9459" t="str">
            <v>INTL</v>
          </cell>
          <cell r="F9459" t="str">
            <v>INTL-I</v>
          </cell>
          <cell r="G9459">
            <v>100</v>
          </cell>
          <cell r="H9459" t="str">
            <v>INTL-I100</v>
          </cell>
          <cell r="K9459" t="str">
            <v>Baskin,Feray Jacky</v>
          </cell>
          <cell r="N9459">
            <v>3.0859999999999999</v>
          </cell>
          <cell r="O9459">
            <v>3.0960000000000001</v>
          </cell>
        </row>
        <row r="9460">
          <cell r="E9460" t="str">
            <v>INTL</v>
          </cell>
          <cell r="F9460" t="str">
            <v>INTL-I</v>
          </cell>
          <cell r="G9460">
            <v>100</v>
          </cell>
          <cell r="H9460" t="str">
            <v>INTL-I100</v>
          </cell>
          <cell r="K9460" t="str">
            <v>Baskin,Feray Jacky</v>
          </cell>
          <cell r="N9460">
            <v>2.3730000000000002</v>
          </cell>
          <cell r="O9460">
            <v>2.8780000000000001</v>
          </cell>
        </row>
        <row r="9461">
          <cell r="E9461" t="str">
            <v>INTL</v>
          </cell>
          <cell r="F9461" t="str">
            <v>INTL-I</v>
          </cell>
          <cell r="G9461">
            <v>100</v>
          </cell>
          <cell r="H9461" t="str">
            <v>INTL-I100</v>
          </cell>
          <cell r="K9461" t="str">
            <v>Gingging,Flory Mansor</v>
          </cell>
          <cell r="N9461">
            <v>3.2709999999999999</v>
          </cell>
          <cell r="O9461">
            <v>3.0680000000000001</v>
          </cell>
        </row>
        <row r="9462">
          <cell r="E9462" t="str">
            <v>INTL</v>
          </cell>
          <cell r="F9462" t="str">
            <v>INTL-I</v>
          </cell>
          <cell r="G9462">
            <v>100</v>
          </cell>
          <cell r="H9462" t="str">
            <v>INTL-I100</v>
          </cell>
          <cell r="K9462" t="str">
            <v>Gingging,Flory Mansor</v>
          </cell>
          <cell r="N9462">
            <v>3.2160000000000002</v>
          </cell>
          <cell r="O9462">
            <v>3.02</v>
          </cell>
        </row>
        <row r="9463">
          <cell r="E9463" t="str">
            <v>INTL</v>
          </cell>
          <cell r="F9463" t="str">
            <v>INTL-I</v>
          </cell>
          <cell r="G9463">
            <v>201</v>
          </cell>
          <cell r="H9463" t="str">
            <v>INTL-I201</v>
          </cell>
          <cell r="K9463" t="str">
            <v>Minetti,Alfredo Ignacio</v>
          </cell>
          <cell r="N9463">
            <v>3.758</v>
          </cell>
          <cell r="O9463">
            <v>3.28</v>
          </cell>
        </row>
        <row r="9464">
          <cell r="E9464" t="str">
            <v>INTL</v>
          </cell>
          <cell r="F9464" t="str">
            <v>INTL-I</v>
          </cell>
          <cell r="G9464">
            <v>201</v>
          </cell>
          <cell r="H9464" t="str">
            <v>INTL-I201</v>
          </cell>
          <cell r="K9464" t="str">
            <v>Nemes,Peter</v>
          </cell>
          <cell r="N9464">
            <v>3.395</v>
          </cell>
          <cell r="O9464">
            <v>3.2850000000000001</v>
          </cell>
        </row>
        <row r="9465">
          <cell r="E9465" t="str">
            <v>INTL</v>
          </cell>
          <cell r="F9465" t="str">
            <v>INTL-I</v>
          </cell>
          <cell r="G9465">
            <v>201</v>
          </cell>
          <cell r="H9465" t="str">
            <v>INTL-I201</v>
          </cell>
          <cell r="K9465" t="str">
            <v>Nemes,Peter</v>
          </cell>
          <cell r="N9465">
            <v>3.5659999999999998</v>
          </cell>
          <cell r="O9465">
            <v>3.2570000000000001</v>
          </cell>
        </row>
        <row r="9466">
          <cell r="E9466" t="str">
            <v>INTL</v>
          </cell>
          <cell r="F9466" t="str">
            <v>INTL-I</v>
          </cell>
          <cell r="G9466">
            <v>201</v>
          </cell>
          <cell r="H9466" t="str">
            <v>INTL-I201</v>
          </cell>
          <cell r="K9466" t="str">
            <v>Nemes,Peter</v>
          </cell>
          <cell r="N9466">
            <v>3.5630000000000002</v>
          </cell>
          <cell r="O9466">
            <v>3.2629999999999999</v>
          </cell>
        </row>
        <row r="9467">
          <cell r="E9467" t="str">
            <v>INTL</v>
          </cell>
          <cell r="F9467" t="str">
            <v>INTL-I</v>
          </cell>
          <cell r="G9467">
            <v>202</v>
          </cell>
          <cell r="H9467" t="str">
            <v>INTL-I202</v>
          </cell>
          <cell r="K9467" t="str">
            <v>Fiorini,Stefano</v>
          </cell>
          <cell r="N9467">
            <v>3.6139999999999999</v>
          </cell>
          <cell r="O9467">
            <v>3.3450000000000002</v>
          </cell>
        </row>
        <row r="9468">
          <cell r="E9468" t="str">
            <v>INTL</v>
          </cell>
          <cell r="F9468" t="str">
            <v>INTL-I</v>
          </cell>
          <cell r="G9468">
            <v>202</v>
          </cell>
          <cell r="H9468" t="str">
            <v>INTL-I202</v>
          </cell>
          <cell r="K9468" t="str">
            <v>Fiorini,Stefano</v>
          </cell>
          <cell r="N9468">
            <v>3.6080000000000001</v>
          </cell>
          <cell r="O9468">
            <v>3.1989999999999998</v>
          </cell>
        </row>
        <row r="9469">
          <cell r="E9469" t="str">
            <v>INTL</v>
          </cell>
          <cell r="F9469" t="str">
            <v>INTL-I</v>
          </cell>
          <cell r="G9469">
            <v>203</v>
          </cell>
          <cell r="H9469" t="str">
            <v>INTL-I203</v>
          </cell>
          <cell r="K9469" t="str">
            <v>Doran,Christopher R</v>
          </cell>
          <cell r="N9469">
            <v>3.2029999999999998</v>
          </cell>
          <cell r="O9469">
            <v>3.1909999999999998</v>
          </cell>
        </row>
        <row r="9470">
          <cell r="E9470" t="str">
            <v>INTL</v>
          </cell>
          <cell r="F9470" t="str">
            <v>INTL-I</v>
          </cell>
          <cell r="G9470">
            <v>203</v>
          </cell>
          <cell r="H9470" t="str">
            <v>INTL-I203</v>
          </cell>
          <cell r="K9470" t="str">
            <v>Lindley,Todd David</v>
          </cell>
          <cell r="N9470">
            <v>2.8479999999999999</v>
          </cell>
          <cell r="O9470">
            <v>3.1150000000000002</v>
          </cell>
        </row>
        <row r="9471">
          <cell r="E9471" t="str">
            <v>INTL</v>
          </cell>
          <cell r="F9471" t="str">
            <v>INTL-I</v>
          </cell>
          <cell r="G9471">
            <v>204</v>
          </cell>
          <cell r="H9471" t="str">
            <v>INTL-I204</v>
          </cell>
          <cell r="K9471" t="str">
            <v>Horowitz,Amy L</v>
          </cell>
          <cell r="N9471">
            <v>3.9129999999999998</v>
          </cell>
          <cell r="O9471">
            <v>3.3250000000000002</v>
          </cell>
        </row>
        <row r="9472">
          <cell r="E9472" t="str">
            <v>INTL</v>
          </cell>
          <cell r="F9472" t="str">
            <v>INTL-I</v>
          </cell>
          <cell r="G9472">
            <v>204</v>
          </cell>
          <cell r="H9472" t="str">
            <v>INTL-I204</v>
          </cell>
          <cell r="K9472" t="str">
            <v>Horowitz,Amy L</v>
          </cell>
          <cell r="N9472">
            <v>3.835</v>
          </cell>
          <cell r="O9472">
            <v>3.3620000000000001</v>
          </cell>
        </row>
        <row r="9473">
          <cell r="E9473" t="str">
            <v>INTL</v>
          </cell>
          <cell r="F9473" t="str">
            <v>INTL-I</v>
          </cell>
          <cell r="G9473">
            <v>204</v>
          </cell>
          <cell r="H9473" t="str">
            <v>INTL-I204</v>
          </cell>
          <cell r="K9473" t="str">
            <v>Kousaleos,Nicole Serena</v>
          </cell>
          <cell r="N9473">
            <v>3.8769999999999998</v>
          </cell>
          <cell r="O9473">
            <v>3.4129999999999998</v>
          </cell>
        </row>
        <row r="9474">
          <cell r="E9474" t="str">
            <v>INTL</v>
          </cell>
          <cell r="F9474" t="str">
            <v>INTL-I</v>
          </cell>
          <cell r="G9474">
            <v>204</v>
          </cell>
          <cell r="H9474" t="str">
            <v>INTL-I204</v>
          </cell>
          <cell r="K9474" t="str">
            <v>Kousaleos,Nicole Serena</v>
          </cell>
          <cell r="N9474">
            <v>3.9</v>
          </cell>
          <cell r="O9474">
            <v>3.3660000000000001</v>
          </cell>
        </row>
        <row r="9475">
          <cell r="E9475" t="str">
            <v>INTL</v>
          </cell>
          <cell r="F9475" t="str">
            <v>INTL-I</v>
          </cell>
          <cell r="G9475">
            <v>204</v>
          </cell>
          <cell r="H9475" t="str">
            <v>INTL-I204</v>
          </cell>
          <cell r="K9475" t="str">
            <v>Siqueira,Andrea Dalledone</v>
          </cell>
          <cell r="N9475">
            <v>3.214</v>
          </cell>
          <cell r="O9475">
            <v>3.28</v>
          </cell>
        </row>
        <row r="9476">
          <cell r="E9476" t="str">
            <v>INTL</v>
          </cell>
          <cell r="F9476" t="str">
            <v>INTL-I</v>
          </cell>
          <cell r="G9476">
            <v>204</v>
          </cell>
          <cell r="H9476" t="str">
            <v>INTL-I204</v>
          </cell>
          <cell r="K9476" t="str">
            <v>Siqueira,Andrea Dalledone</v>
          </cell>
          <cell r="N9476">
            <v>3.2690000000000001</v>
          </cell>
          <cell r="O9476">
            <v>3.2040000000000002</v>
          </cell>
        </row>
        <row r="9477">
          <cell r="E9477" t="str">
            <v>INTL</v>
          </cell>
          <cell r="F9477" t="str">
            <v>INTL-I</v>
          </cell>
          <cell r="G9477">
            <v>205</v>
          </cell>
          <cell r="H9477" t="str">
            <v>INTL-I205</v>
          </cell>
          <cell r="K9477" t="str">
            <v>De Boer,Stephanie Ann</v>
          </cell>
          <cell r="N9477">
            <v>3.6760000000000002</v>
          </cell>
          <cell r="O9477">
            <v>3.3180000000000001</v>
          </cell>
        </row>
        <row r="9478">
          <cell r="E9478" t="str">
            <v>INTL</v>
          </cell>
          <cell r="F9478" t="str">
            <v>INTL-I</v>
          </cell>
          <cell r="G9478">
            <v>205</v>
          </cell>
          <cell r="H9478" t="str">
            <v>INTL-I205</v>
          </cell>
          <cell r="K9478" t="str">
            <v>De Boer,Stephanie Ann</v>
          </cell>
          <cell r="N9478">
            <v>3.67</v>
          </cell>
          <cell r="O9478">
            <v>3.2890000000000001</v>
          </cell>
        </row>
        <row r="9479">
          <cell r="E9479" t="str">
            <v>INTL</v>
          </cell>
          <cell r="F9479" t="str">
            <v>INTL-I</v>
          </cell>
          <cell r="G9479">
            <v>205</v>
          </cell>
          <cell r="H9479" t="str">
            <v>INTL-I205</v>
          </cell>
          <cell r="K9479" t="str">
            <v>Kousaleos,Nicole Serena</v>
          </cell>
          <cell r="N9479">
            <v>3.8860000000000001</v>
          </cell>
          <cell r="O9479">
            <v>3.2959999999999998</v>
          </cell>
        </row>
        <row r="9480">
          <cell r="E9480" t="str">
            <v>INTL</v>
          </cell>
          <cell r="F9480" t="str">
            <v>INTL-I</v>
          </cell>
          <cell r="G9480">
            <v>206</v>
          </cell>
          <cell r="H9480" t="str">
            <v>INTL-I206</v>
          </cell>
          <cell r="K9480" t="str">
            <v>Kalentzidou,Olga</v>
          </cell>
          <cell r="N9480">
            <v>2.8239999999999998</v>
          </cell>
          <cell r="O9480">
            <v>3.2229999999999999</v>
          </cell>
        </row>
        <row r="9481">
          <cell r="E9481" t="str">
            <v>INTL</v>
          </cell>
          <cell r="F9481" t="str">
            <v>INTL-I</v>
          </cell>
          <cell r="G9481">
            <v>206</v>
          </cell>
          <cell r="H9481" t="str">
            <v>INTL-I206</v>
          </cell>
          <cell r="K9481" t="str">
            <v>Kalentzidou,Olga</v>
          </cell>
          <cell r="N9481">
            <v>2.8679999999999999</v>
          </cell>
          <cell r="O9481">
            <v>3.2410000000000001</v>
          </cell>
        </row>
        <row r="9482">
          <cell r="E9482" t="str">
            <v>INTL</v>
          </cell>
          <cell r="F9482" t="str">
            <v>INTL-I</v>
          </cell>
          <cell r="G9482">
            <v>206</v>
          </cell>
          <cell r="H9482" t="str">
            <v>INTL-I206</v>
          </cell>
          <cell r="K9482" t="str">
            <v>Nordahl,Per Christian</v>
          </cell>
          <cell r="N9482">
            <v>3.65</v>
          </cell>
          <cell r="O9482">
            <v>3.3660000000000001</v>
          </cell>
        </row>
        <row r="9483">
          <cell r="E9483" t="str">
            <v>INTL</v>
          </cell>
          <cell r="F9483" t="str">
            <v>INTL-I</v>
          </cell>
          <cell r="G9483">
            <v>206</v>
          </cell>
          <cell r="H9483" t="str">
            <v>INTL-I206</v>
          </cell>
          <cell r="K9483" t="str">
            <v>Simmons,Terry Wayne</v>
          </cell>
          <cell r="N9483">
            <v>3.7090000000000001</v>
          </cell>
          <cell r="O9483">
            <v>3.1640000000000001</v>
          </cell>
        </row>
        <row r="9484">
          <cell r="E9484" t="str">
            <v>INTL</v>
          </cell>
          <cell r="F9484" t="str">
            <v>INTL-I</v>
          </cell>
          <cell r="G9484">
            <v>300</v>
          </cell>
          <cell r="H9484" t="str">
            <v>INTL-I300</v>
          </cell>
          <cell r="K9484" t="str">
            <v>Korytova,Stepanka</v>
          </cell>
          <cell r="N9484">
            <v>3.4239999999999999</v>
          </cell>
          <cell r="O9484">
            <v>3.2229999999999999</v>
          </cell>
        </row>
        <row r="9485">
          <cell r="E9485" t="str">
            <v>INTL</v>
          </cell>
          <cell r="F9485" t="str">
            <v>INTL-I</v>
          </cell>
          <cell r="G9485">
            <v>300</v>
          </cell>
          <cell r="H9485" t="str">
            <v>INTL-I300</v>
          </cell>
          <cell r="K9485" t="str">
            <v>Korytova,Stepanka</v>
          </cell>
          <cell r="N9485">
            <v>3.4630000000000001</v>
          </cell>
          <cell r="O9485">
            <v>3.2360000000000002</v>
          </cell>
        </row>
        <row r="9486">
          <cell r="E9486" t="str">
            <v>INTL</v>
          </cell>
          <cell r="F9486" t="str">
            <v>INTL-I</v>
          </cell>
          <cell r="G9486">
            <v>300</v>
          </cell>
          <cell r="H9486" t="str">
            <v>INTL-I300</v>
          </cell>
          <cell r="K9486" t="str">
            <v>Nemes,Peter</v>
          </cell>
          <cell r="N9486">
            <v>3.2069999999999999</v>
          </cell>
          <cell r="O9486">
            <v>3.0510000000000002</v>
          </cell>
        </row>
        <row r="9487">
          <cell r="E9487" t="str">
            <v>INTL</v>
          </cell>
          <cell r="F9487" t="str">
            <v>INTL-I</v>
          </cell>
          <cell r="G9487">
            <v>315</v>
          </cell>
          <cell r="H9487" t="str">
            <v>INTL-I315</v>
          </cell>
          <cell r="K9487" t="str">
            <v>Kousaleos,Nicole Serena</v>
          </cell>
          <cell r="N9487">
            <v>3.6309999999999998</v>
          </cell>
          <cell r="O9487">
            <v>3.1920000000000002</v>
          </cell>
        </row>
        <row r="9488">
          <cell r="E9488" t="str">
            <v>INTL</v>
          </cell>
          <cell r="F9488" t="str">
            <v>INTL-I</v>
          </cell>
          <cell r="G9488">
            <v>315</v>
          </cell>
          <cell r="H9488" t="str">
            <v>INTL-I315</v>
          </cell>
          <cell r="K9488" t="str">
            <v>Lindley,Todd David</v>
          </cell>
          <cell r="N9488">
            <v>3.5830000000000002</v>
          </cell>
          <cell r="O9488">
            <v>3.3540000000000001</v>
          </cell>
        </row>
        <row r="9489">
          <cell r="E9489" t="str">
            <v>INTL</v>
          </cell>
          <cell r="F9489" t="str">
            <v>INTL-I</v>
          </cell>
          <cell r="G9489">
            <v>315</v>
          </cell>
          <cell r="H9489" t="str">
            <v>INTL-I315</v>
          </cell>
          <cell r="K9489" t="str">
            <v>Nemes,Peter</v>
          </cell>
          <cell r="N9489">
            <v>3.5329999999999999</v>
          </cell>
          <cell r="O9489">
            <v>3.2690000000000001</v>
          </cell>
        </row>
        <row r="9490">
          <cell r="E9490" t="str">
            <v>INTL</v>
          </cell>
          <cell r="F9490" t="str">
            <v>INTL-I</v>
          </cell>
          <cell r="G9490">
            <v>400</v>
          </cell>
          <cell r="H9490" t="str">
            <v>INTL-I400</v>
          </cell>
          <cell r="K9490" t="str">
            <v>Kalentzidou,Olga</v>
          </cell>
          <cell r="N9490">
            <v>2.7669999999999999</v>
          </cell>
          <cell r="O9490">
            <v>3.2269999999999999</v>
          </cell>
        </row>
        <row r="9491">
          <cell r="E9491" t="str">
            <v>INTL</v>
          </cell>
          <cell r="F9491" t="str">
            <v>INTL-I</v>
          </cell>
          <cell r="G9491">
            <v>400</v>
          </cell>
          <cell r="H9491" t="str">
            <v>INTL-I400</v>
          </cell>
          <cell r="K9491" t="str">
            <v>Kalentzidou,Olga</v>
          </cell>
          <cell r="N9491">
            <v>3.12</v>
          </cell>
          <cell r="O9491">
            <v>3.34</v>
          </cell>
        </row>
        <row r="9492">
          <cell r="E9492" t="str">
            <v>INTL</v>
          </cell>
          <cell r="F9492" t="str">
            <v>INTL-I</v>
          </cell>
          <cell r="G9492">
            <v>400</v>
          </cell>
          <cell r="H9492" t="str">
            <v>INTL-I400</v>
          </cell>
          <cell r="K9492" t="str">
            <v>Kousaleos,Nicole Serena</v>
          </cell>
          <cell r="N9492">
            <v>3.4470000000000001</v>
          </cell>
          <cell r="O9492">
            <v>3.4849999999999999</v>
          </cell>
        </row>
        <row r="9493">
          <cell r="E9493" t="str">
            <v>INTL</v>
          </cell>
          <cell r="F9493" t="str">
            <v>INTL-I</v>
          </cell>
          <cell r="G9493">
            <v>400</v>
          </cell>
          <cell r="H9493" t="str">
            <v>INTL-I400</v>
          </cell>
          <cell r="K9493" t="str">
            <v>Kousaleos,Nicole Serena</v>
          </cell>
          <cell r="N9493">
            <v>3.6709999999999998</v>
          </cell>
          <cell r="O9493">
            <v>3.214</v>
          </cell>
        </row>
        <row r="9494">
          <cell r="E9494" t="str">
            <v>INTL</v>
          </cell>
          <cell r="F9494" t="str">
            <v>INTL-I</v>
          </cell>
          <cell r="G9494">
            <v>400</v>
          </cell>
          <cell r="H9494" t="str">
            <v>INTL-I400</v>
          </cell>
          <cell r="K9494" t="str">
            <v>Lindley,Todd David</v>
          </cell>
          <cell r="N9494">
            <v>2.2850000000000001</v>
          </cell>
          <cell r="O9494">
            <v>2.972</v>
          </cell>
        </row>
        <row r="9495">
          <cell r="E9495" t="str">
            <v>INTL</v>
          </cell>
          <cell r="F9495" t="str">
            <v>INTL-I</v>
          </cell>
          <cell r="G9495">
            <v>400</v>
          </cell>
          <cell r="H9495" t="str">
            <v>INTL-I400</v>
          </cell>
          <cell r="K9495" t="str">
            <v>Lloyd,Paulette</v>
          </cell>
          <cell r="N9495">
            <v>3.407</v>
          </cell>
          <cell r="O9495">
            <v>3.2839999999999998</v>
          </cell>
        </row>
        <row r="9496">
          <cell r="E9496" t="str">
            <v>INTL</v>
          </cell>
          <cell r="F9496" t="str">
            <v>INTL-I</v>
          </cell>
          <cell r="G9496">
            <v>400</v>
          </cell>
          <cell r="H9496" t="str">
            <v>INTL-I400</v>
          </cell>
          <cell r="K9496" t="str">
            <v>Nordahl,Per Christian</v>
          </cell>
          <cell r="N9496">
            <v>3.7559999999999998</v>
          </cell>
          <cell r="O9496">
            <v>3.2989999999999999</v>
          </cell>
        </row>
        <row r="9497">
          <cell r="E9497" t="str">
            <v>INTL</v>
          </cell>
          <cell r="F9497" t="str">
            <v>INTL-I</v>
          </cell>
          <cell r="G9497">
            <v>405</v>
          </cell>
          <cell r="H9497" t="str">
            <v>INTL-I405</v>
          </cell>
          <cell r="K9497" t="str">
            <v>Rasch,William W.</v>
          </cell>
          <cell r="N9497" t="str">
            <v>NR</v>
          </cell>
          <cell r="O9497" t="str">
            <v>NR</v>
          </cell>
        </row>
        <row r="9498">
          <cell r="E9498" t="str">
            <v>INTL</v>
          </cell>
          <cell r="F9498" t="str">
            <v>INTL-I</v>
          </cell>
          <cell r="G9498">
            <v>406</v>
          </cell>
          <cell r="H9498" t="str">
            <v>INTL-I406</v>
          </cell>
          <cell r="K9498" t="str">
            <v>Knudsen,Daniel Curtis</v>
          </cell>
          <cell r="N9498" t="str">
            <v>NR</v>
          </cell>
          <cell r="O9498" t="str">
            <v>NR</v>
          </cell>
        </row>
        <row r="9499">
          <cell r="E9499" t="str">
            <v>INTL</v>
          </cell>
          <cell r="F9499" t="str">
            <v>INTL-I</v>
          </cell>
          <cell r="G9499">
            <v>415</v>
          </cell>
          <cell r="H9499" t="str">
            <v>INTL-I415</v>
          </cell>
          <cell r="K9499" t="str">
            <v>Knudsen,Daniel Curtis</v>
          </cell>
          <cell r="N9499">
            <v>3.6669999999999998</v>
          </cell>
          <cell r="O9499">
            <v>3.161</v>
          </cell>
        </row>
        <row r="9500">
          <cell r="E9500" t="str">
            <v>INTL</v>
          </cell>
          <cell r="F9500" t="str">
            <v>INTL-I</v>
          </cell>
          <cell r="G9500">
            <v>415</v>
          </cell>
          <cell r="H9500" t="str">
            <v>INTL-I415</v>
          </cell>
          <cell r="K9500" t="str">
            <v>Knudsen,Daniel Curtis</v>
          </cell>
          <cell r="N9500" t="str">
            <v>NR</v>
          </cell>
          <cell r="O9500" t="str">
            <v>NR</v>
          </cell>
        </row>
        <row r="9501">
          <cell r="E9501" t="str">
            <v>INTL</v>
          </cell>
          <cell r="F9501" t="str">
            <v>INTL-I</v>
          </cell>
          <cell r="G9501">
            <v>415</v>
          </cell>
          <cell r="H9501" t="str">
            <v>INTL-I415</v>
          </cell>
          <cell r="K9501" t="str">
            <v>Rasch,William W.</v>
          </cell>
          <cell r="N9501" t="str">
            <v>NR</v>
          </cell>
          <cell r="O9501" t="str">
            <v>NR</v>
          </cell>
        </row>
        <row r="9502">
          <cell r="E9502" t="str">
            <v>INTL</v>
          </cell>
          <cell r="F9502" t="str">
            <v>INTL-I</v>
          </cell>
          <cell r="G9502">
            <v>498</v>
          </cell>
          <cell r="H9502" t="str">
            <v>INTL-I498</v>
          </cell>
          <cell r="K9502" t="str">
            <v>Knudsen,Daniel Curtis</v>
          </cell>
          <cell r="N9502" t="str">
            <v>NR</v>
          </cell>
          <cell r="O9502" t="str">
            <v>NR</v>
          </cell>
        </row>
        <row r="9503">
          <cell r="E9503" t="str">
            <v>JOUR</v>
          </cell>
          <cell r="F9503" t="str">
            <v>JOUR-C</v>
          </cell>
          <cell r="G9503">
            <v>201</v>
          </cell>
          <cell r="H9503" t="str">
            <v>JOUR-C201</v>
          </cell>
          <cell r="K9503" t="str">
            <v>Holt,Lanier Frush</v>
          </cell>
          <cell r="N9503">
            <v>2.343</v>
          </cell>
          <cell r="O9503">
            <v>2.573</v>
          </cell>
        </row>
        <row r="9504">
          <cell r="E9504" t="str">
            <v>JOUR</v>
          </cell>
          <cell r="F9504" t="str">
            <v>JOUR-C</v>
          </cell>
          <cell r="G9504">
            <v>201</v>
          </cell>
          <cell r="H9504" t="str">
            <v>JOUR-C201</v>
          </cell>
          <cell r="K9504" t="str">
            <v>Ross,Betsy M</v>
          </cell>
          <cell r="N9504">
            <v>3.5710000000000002</v>
          </cell>
          <cell r="O9504">
            <v>2.843</v>
          </cell>
        </row>
        <row r="9505">
          <cell r="E9505" t="str">
            <v>JOUR</v>
          </cell>
          <cell r="F9505" t="str">
            <v>JOUR-G</v>
          </cell>
          <cell r="G9505">
            <v>599</v>
          </cell>
          <cell r="H9505" t="str">
            <v>JOUR-G599</v>
          </cell>
          <cell r="K9505" t="str">
            <v>Arthur,Erin Beth</v>
          </cell>
          <cell r="N9505" t="str">
            <v>NR</v>
          </cell>
          <cell r="O9505" t="str">
            <v>NR</v>
          </cell>
        </row>
        <row r="9506">
          <cell r="E9506" t="str">
            <v>JOUR</v>
          </cell>
          <cell r="F9506" t="str">
            <v>JOUR-G</v>
          </cell>
          <cell r="G9506">
            <v>901</v>
          </cell>
          <cell r="H9506" t="str">
            <v>JOUR-G901</v>
          </cell>
          <cell r="K9506" t="str">
            <v>Arthur,Erin Beth</v>
          </cell>
          <cell r="N9506" t="str">
            <v>NR</v>
          </cell>
          <cell r="O9506" t="str">
            <v>NR</v>
          </cell>
        </row>
        <row r="9507">
          <cell r="E9507" t="str">
            <v>JOUR</v>
          </cell>
          <cell r="F9507" t="str">
            <v>JOUR-G</v>
          </cell>
          <cell r="G9507">
            <v>901</v>
          </cell>
          <cell r="H9507" t="str">
            <v>JOUR-G901</v>
          </cell>
          <cell r="K9507" t="str">
            <v>Major,Lesa Hatley</v>
          </cell>
          <cell r="N9507" t="str">
            <v>NR</v>
          </cell>
          <cell r="O9507" t="str">
            <v>NR</v>
          </cell>
        </row>
        <row r="9508">
          <cell r="E9508" t="str">
            <v>JOUR</v>
          </cell>
          <cell r="F9508" t="str">
            <v>JOUR-H</v>
          </cell>
          <cell r="G9508">
            <v>110</v>
          </cell>
          <cell r="H9508" t="str">
            <v>JOUR-H110</v>
          </cell>
          <cell r="K9508" t="str">
            <v>Fargo,Anthony L</v>
          </cell>
          <cell r="N9508">
            <v>3.7810000000000001</v>
          </cell>
          <cell r="O9508">
            <v>3.54</v>
          </cell>
        </row>
        <row r="9509">
          <cell r="E9509" t="str">
            <v>JOUR</v>
          </cell>
          <cell r="F9509" t="str">
            <v>JOUR-H</v>
          </cell>
          <cell r="G9509">
            <v>200</v>
          </cell>
          <cell r="H9509" t="str">
            <v>JOUR-H200</v>
          </cell>
          <cell r="K9509" t="str">
            <v>White,Teresa Ann</v>
          </cell>
          <cell r="N9509">
            <v>3.6749999999999998</v>
          </cell>
          <cell r="O9509">
            <v>3.6480000000000001</v>
          </cell>
        </row>
        <row r="9510">
          <cell r="E9510" t="str">
            <v>JOUR</v>
          </cell>
          <cell r="F9510" t="str">
            <v>JOUR-H</v>
          </cell>
          <cell r="G9510">
            <v>300</v>
          </cell>
          <cell r="H9510" t="str">
            <v>JOUR-H300</v>
          </cell>
          <cell r="K9510" t="str">
            <v>Hornaday,Bill W.</v>
          </cell>
          <cell r="N9510">
            <v>3.8889999999999998</v>
          </cell>
          <cell r="O9510">
            <v>3.6760000000000002</v>
          </cell>
        </row>
        <row r="9511">
          <cell r="E9511" t="str">
            <v>JOUR</v>
          </cell>
          <cell r="F9511" t="str">
            <v>JOUR-H</v>
          </cell>
          <cell r="G9511">
            <v>410</v>
          </cell>
          <cell r="H9511" t="str">
            <v>JOUR-H410</v>
          </cell>
          <cell r="K9511" t="str">
            <v>Johnson,Owen V</v>
          </cell>
          <cell r="N9511">
            <v>3.7080000000000002</v>
          </cell>
          <cell r="O9511">
            <v>3.64</v>
          </cell>
        </row>
        <row r="9512">
          <cell r="E9512" t="str">
            <v>JOUR</v>
          </cell>
          <cell r="F9512" t="str">
            <v>JOUR-H</v>
          </cell>
          <cell r="G9512">
            <v>461</v>
          </cell>
          <cell r="H9512" t="str">
            <v>JOUR-H461</v>
          </cell>
          <cell r="K9512" t="str">
            <v>Major,Lesa Hatley</v>
          </cell>
          <cell r="N9512">
            <v>3.867</v>
          </cell>
          <cell r="O9512">
            <v>3.6480000000000001</v>
          </cell>
        </row>
        <row r="9513">
          <cell r="E9513" t="str">
            <v>JOUR</v>
          </cell>
          <cell r="F9513" t="str">
            <v>JOUR-H</v>
          </cell>
          <cell r="G9513">
            <v>499</v>
          </cell>
          <cell r="H9513" t="str">
            <v>JOUR-H499</v>
          </cell>
          <cell r="K9513" t="str">
            <v>Kelly,James D</v>
          </cell>
          <cell r="N9513" t="str">
            <v>NR</v>
          </cell>
          <cell r="O9513" t="str">
            <v>NR</v>
          </cell>
        </row>
        <row r="9514">
          <cell r="E9514" t="str">
            <v>JOUR</v>
          </cell>
          <cell r="F9514" t="str">
            <v>JOUR-H</v>
          </cell>
          <cell r="G9514">
            <v>499</v>
          </cell>
          <cell r="H9514" t="str">
            <v>JOUR-H499</v>
          </cell>
          <cell r="K9514" t="str">
            <v>Kelly,James D</v>
          </cell>
          <cell r="N9514" t="str">
            <v>NR</v>
          </cell>
          <cell r="O9514" t="str">
            <v>NR</v>
          </cell>
        </row>
        <row r="9515">
          <cell r="E9515" t="str">
            <v>JOUR</v>
          </cell>
          <cell r="F9515" t="str">
            <v>JOUR-J</v>
          </cell>
          <cell r="G9515">
            <v>110</v>
          </cell>
          <cell r="H9515" t="str">
            <v>JOUR-J110</v>
          </cell>
          <cell r="K9515" t="str">
            <v>Cannon,Jeffrey Day</v>
          </cell>
          <cell r="N9515">
            <v>3.1960000000000002</v>
          </cell>
          <cell r="O9515">
            <v>3.0569999999999999</v>
          </cell>
        </row>
        <row r="9516">
          <cell r="E9516" t="str">
            <v>JOUR</v>
          </cell>
          <cell r="F9516" t="str">
            <v>JOUR-J</v>
          </cell>
          <cell r="G9516">
            <v>110</v>
          </cell>
          <cell r="H9516" t="str">
            <v>JOUR-J110</v>
          </cell>
          <cell r="K9516" t="str">
            <v>Layton,Bonnie L</v>
          </cell>
          <cell r="N9516">
            <v>2.8029999999999999</v>
          </cell>
          <cell r="O9516">
            <v>2.8839999999999999</v>
          </cell>
        </row>
        <row r="9517">
          <cell r="E9517" t="str">
            <v>JOUR</v>
          </cell>
          <cell r="F9517" t="str">
            <v>JOUR-J</v>
          </cell>
          <cell r="G9517">
            <v>110</v>
          </cell>
          <cell r="H9517" t="str">
            <v>JOUR-J110</v>
          </cell>
          <cell r="K9517" t="str">
            <v>Layton,Stephen</v>
          </cell>
          <cell r="N9517">
            <v>3.0939999999999999</v>
          </cell>
          <cell r="O9517">
            <v>2.9260000000000002</v>
          </cell>
        </row>
        <row r="9518">
          <cell r="E9518" t="str">
            <v>JOUR</v>
          </cell>
          <cell r="F9518" t="str">
            <v>JOUR-J</v>
          </cell>
          <cell r="G9518">
            <v>110</v>
          </cell>
          <cell r="H9518" t="str">
            <v>JOUR-J110</v>
          </cell>
          <cell r="K9518" t="str">
            <v>Metzgar,Emily</v>
          </cell>
          <cell r="N9518">
            <v>2.9159999999999999</v>
          </cell>
          <cell r="O9518">
            <v>2.9940000000000002</v>
          </cell>
        </row>
        <row r="9519">
          <cell r="E9519" t="str">
            <v>JOUR</v>
          </cell>
          <cell r="F9519" t="str">
            <v>JOUR-J</v>
          </cell>
          <cell r="G9519">
            <v>110</v>
          </cell>
          <cell r="H9519" t="str">
            <v>JOUR-J110</v>
          </cell>
          <cell r="K9519" t="str">
            <v>Metzgar,Emily</v>
          </cell>
          <cell r="N9519">
            <v>3.2050000000000001</v>
          </cell>
          <cell r="O9519">
            <v>2.9620000000000002</v>
          </cell>
        </row>
        <row r="9520">
          <cell r="E9520" t="str">
            <v>JOUR</v>
          </cell>
          <cell r="F9520" t="str">
            <v>JOUR-J</v>
          </cell>
          <cell r="G9520">
            <v>155</v>
          </cell>
          <cell r="H9520" t="str">
            <v>JOUR-J155</v>
          </cell>
          <cell r="K9520" t="str">
            <v>Higgs,Steven C.</v>
          </cell>
          <cell r="N9520">
            <v>3.0619999999999998</v>
          </cell>
          <cell r="O9520">
            <v>2.9740000000000002</v>
          </cell>
        </row>
        <row r="9521">
          <cell r="E9521" t="str">
            <v>JOUR</v>
          </cell>
          <cell r="F9521" t="str">
            <v>JOUR-J</v>
          </cell>
          <cell r="G9521">
            <v>155</v>
          </cell>
          <cell r="H9521" t="str">
            <v>JOUR-J155</v>
          </cell>
          <cell r="K9521" t="str">
            <v>Higgs,Steven C.</v>
          </cell>
          <cell r="N9521">
            <v>2.863</v>
          </cell>
          <cell r="O9521">
            <v>3.081</v>
          </cell>
        </row>
        <row r="9522">
          <cell r="E9522" t="str">
            <v>JOUR</v>
          </cell>
          <cell r="F9522" t="str">
            <v>JOUR-J</v>
          </cell>
          <cell r="G9522">
            <v>160</v>
          </cell>
          <cell r="H9522" t="str">
            <v>JOUR-J160</v>
          </cell>
          <cell r="K9522" t="str">
            <v>Neal-Estes,Sarah Stuart</v>
          </cell>
          <cell r="N9522">
            <v>4</v>
          </cell>
          <cell r="O9522">
            <v>3.1150000000000002</v>
          </cell>
        </row>
        <row r="9523">
          <cell r="E9523" t="str">
            <v>JOUR</v>
          </cell>
          <cell r="F9523" t="str">
            <v>JOUR-J</v>
          </cell>
          <cell r="G9523">
            <v>170</v>
          </cell>
          <cell r="H9523" t="str">
            <v>JOUR-J170</v>
          </cell>
          <cell r="K9523" t="str">
            <v>Jankowski,Stacie Meihaus</v>
          </cell>
          <cell r="N9523">
            <v>3.4590000000000001</v>
          </cell>
          <cell r="O9523">
            <v>3.2269999999999999</v>
          </cell>
        </row>
        <row r="9524">
          <cell r="E9524" t="str">
            <v>JOUR</v>
          </cell>
          <cell r="F9524" t="str">
            <v>JOUR-J</v>
          </cell>
          <cell r="G9524">
            <v>170</v>
          </cell>
          <cell r="H9524" t="str">
            <v>JOUR-J170</v>
          </cell>
          <cell r="K9524" t="str">
            <v>Johnson,Ronald E</v>
          </cell>
          <cell r="N9524">
            <v>3.448</v>
          </cell>
          <cell r="O9524">
            <v>3.0350000000000001</v>
          </cell>
        </row>
        <row r="9525">
          <cell r="E9525" t="str">
            <v>JOUR</v>
          </cell>
          <cell r="F9525" t="str">
            <v>JOUR-J</v>
          </cell>
          <cell r="G9525">
            <v>170</v>
          </cell>
          <cell r="H9525" t="str">
            <v>JOUR-J170</v>
          </cell>
          <cell r="K9525" t="str">
            <v>Johnson,Ronald E</v>
          </cell>
          <cell r="N9525">
            <v>2.69</v>
          </cell>
          <cell r="O9525">
            <v>2.7440000000000002</v>
          </cell>
        </row>
        <row r="9526">
          <cell r="E9526" t="str">
            <v>JOUR</v>
          </cell>
          <cell r="F9526" t="str">
            <v>JOUR-J</v>
          </cell>
          <cell r="G9526">
            <v>170</v>
          </cell>
          <cell r="H9526" t="str">
            <v>JOUR-J170</v>
          </cell>
          <cell r="K9526" t="str">
            <v>Johnson,Ronald E</v>
          </cell>
          <cell r="N9526">
            <v>3.1389999999999998</v>
          </cell>
          <cell r="O9526">
            <v>3.14</v>
          </cell>
        </row>
        <row r="9527">
          <cell r="E9527" t="str">
            <v>JOUR</v>
          </cell>
          <cell r="F9527" t="str">
            <v>JOUR-J</v>
          </cell>
          <cell r="G9527">
            <v>170</v>
          </cell>
          <cell r="H9527" t="str">
            <v>JOUR-J170</v>
          </cell>
          <cell r="K9527" t="str">
            <v>Purvis,Amy Renee</v>
          </cell>
          <cell r="N9527">
            <v>3.4140000000000001</v>
          </cell>
          <cell r="O9527">
            <v>2.964</v>
          </cell>
        </row>
        <row r="9528">
          <cell r="E9528" t="str">
            <v>JOUR</v>
          </cell>
          <cell r="F9528" t="str">
            <v>JOUR-J</v>
          </cell>
          <cell r="G9528">
            <v>170</v>
          </cell>
          <cell r="H9528" t="str">
            <v>JOUR-J170</v>
          </cell>
          <cell r="K9528" t="str">
            <v>Ransford,Amy Renee</v>
          </cell>
          <cell r="N9528">
            <v>3.2210000000000001</v>
          </cell>
          <cell r="O9528">
            <v>3.0110000000000001</v>
          </cell>
        </row>
        <row r="9529">
          <cell r="E9529" t="str">
            <v>JOUR</v>
          </cell>
          <cell r="F9529" t="str">
            <v>JOUR-J</v>
          </cell>
          <cell r="G9529">
            <v>170</v>
          </cell>
          <cell r="H9529" t="str">
            <v>JOUR-J170</v>
          </cell>
          <cell r="K9529" t="str">
            <v>Trager-Bohley,Kim D</v>
          </cell>
          <cell r="N9529">
            <v>3.016</v>
          </cell>
          <cell r="O9529">
            <v>2.9830000000000001</v>
          </cell>
        </row>
        <row r="9530">
          <cell r="E9530" t="str">
            <v>JOUR</v>
          </cell>
          <cell r="F9530" t="str">
            <v>JOUR-J</v>
          </cell>
          <cell r="G9530">
            <v>170</v>
          </cell>
          <cell r="H9530" t="str">
            <v>JOUR-J170</v>
          </cell>
          <cell r="K9530" t="str">
            <v>White,Teresa Ann</v>
          </cell>
          <cell r="N9530">
            <v>2.8420000000000001</v>
          </cell>
          <cell r="O9530">
            <v>3.0179999999999998</v>
          </cell>
        </row>
        <row r="9531">
          <cell r="E9531" t="str">
            <v>JOUR</v>
          </cell>
          <cell r="F9531" t="str">
            <v>JOUR-J</v>
          </cell>
          <cell r="G9531">
            <v>200</v>
          </cell>
          <cell r="H9531" t="str">
            <v>JOUR-J200</v>
          </cell>
          <cell r="K9531" t="str">
            <v>Burgins,Robert Scott</v>
          </cell>
          <cell r="N9531">
            <v>2.7330000000000001</v>
          </cell>
          <cell r="O9531">
            <v>2.7930000000000001</v>
          </cell>
        </row>
        <row r="9532">
          <cell r="E9532" t="str">
            <v>JOUR</v>
          </cell>
          <cell r="F9532" t="str">
            <v>JOUR-J</v>
          </cell>
          <cell r="G9532">
            <v>200</v>
          </cell>
          <cell r="H9532" t="str">
            <v>JOUR-J200</v>
          </cell>
          <cell r="K9532" t="str">
            <v>Coleman,Joseph M</v>
          </cell>
          <cell r="N9532">
            <v>3.4180000000000001</v>
          </cell>
          <cell r="O9532">
            <v>3.1680000000000001</v>
          </cell>
        </row>
        <row r="9533">
          <cell r="E9533" t="str">
            <v>JOUR</v>
          </cell>
          <cell r="F9533" t="str">
            <v>JOUR-J</v>
          </cell>
          <cell r="G9533">
            <v>200</v>
          </cell>
          <cell r="H9533" t="str">
            <v>JOUR-J200</v>
          </cell>
          <cell r="K9533" t="str">
            <v>Comiskey,Nancy Lee</v>
          </cell>
          <cell r="N9533">
            <v>3.411</v>
          </cell>
          <cell r="O9533">
            <v>3.1070000000000002</v>
          </cell>
        </row>
        <row r="9534">
          <cell r="E9534" t="str">
            <v>JOUR</v>
          </cell>
          <cell r="F9534" t="str">
            <v>JOUR-J</v>
          </cell>
          <cell r="G9534">
            <v>200</v>
          </cell>
          <cell r="H9534" t="str">
            <v>JOUR-J200</v>
          </cell>
          <cell r="K9534" t="str">
            <v>Doran,Christopher Todd</v>
          </cell>
          <cell r="N9534">
            <v>3.7</v>
          </cell>
          <cell r="O9534">
            <v>3.1019999999999999</v>
          </cell>
        </row>
        <row r="9535">
          <cell r="E9535" t="str">
            <v>JOUR</v>
          </cell>
          <cell r="F9535" t="str">
            <v>JOUR-J</v>
          </cell>
          <cell r="G9535">
            <v>200</v>
          </cell>
          <cell r="H9535" t="str">
            <v>JOUR-J200</v>
          </cell>
          <cell r="K9535" t="str">
            <v>Ehmer,Emily Ann</v>
          </cell>
          <cell r="N9535">
            <v>3.4060000000000001</v>
          </cell>
          <cell r="O9535">
            <v>2.9620000000000002</v>
          </cell>
        </row>
        <row r="9536">
          <cell r="E9536" t="str">
            <v>JOUR</v>
          </cell>
          <cell r="F9536" t="str">
            <v>JOUR-J</v>
          </cell>
          <cell r="G9536">
            <v>200</v>
          </cell>
          <cell r="H9536" t="str">
            <v>JOUR-J200</v>
          </cell>
          <cell r="K9536" t="str">
            <v>Higgs,Steven C.</v>
          </cell>
          <cell r="N9536">
            <v>3.4289999999999998</v>
          </cell>
          <cell r="O9536">
            <v>3.218</v>
          </cell>
        </row>
        <row r="9537">
          <cell r="E9537" t="str">
            <v>JOUR</v>
          </cell>
          <cell r="F9537" t="str">
            <v>JOUR-J</v>
          </cell>
          <cell r="G9537">
            <v>200</v>
          </cell>
          <cell r="H9537" t="str">
            <v>JOUR-J200</v>
          </cell>
          <cell r="K9537" t="str">
            <v>Hinnefeld,Steve</v>
          </cell>
          <cell r="N9537">
            <v>3.5110000000000001</v>
          </cell>
          <cell r="O9537">
            <v>2.9409999999999998</v>
          </cell>
        </row>
        <row r="9538">
          <cell r="E9538" t="str">
            <v>JOUR</v>
          </cell>
          <cell r="F9538" t="str">
            <v>JOUR-J</v>
          </cell>
          <cell r="G9538">
            <v>200</v>
          </cell>
          <cell r="H9538" t="str">
            <v>JOUR-J200</v>
          </cell>
          <cell r="K9538" t="str">
            <v>Kibbler,Anne</v>
          </cell>
          <cell r="N9538">
            <v>3.4940000000000002</v>
          </cell>
          <cell r="O9538">
            <v>3.133</v>
          </cell>
        </row>
        <row r="9539">
          <cell r="E9539" t="str">
            <v>JOUR</v>
          </cell>
          <cell r="F9539" t="str">
            <v>JOUR-J</v>
          </cell>
          <cell r="G9539">
            <v>200</v>
          </cell>
          <cell r="H9539" t="str">
            <v>JOUR-J200</v>
          </cell>
          <cell r="K9539" t="str">
            <v>Kothari,Ammina Burair</v>
          </cell>
          <cell r="N9539">
            <v>3.661</v>
          </cell>
          <cell r="O9539">
            <v>3.069</v>
          </cell>
        </row>
        <row r="9540">
          <cell r="E9540" t="str">
            <v>JOUR</v>
          </cell>
          <cell r="F9540" t="str">
            <v>JOUR-J</v>
          </cell>
          <cell r="G9540">
            <v>200</v>
          </cell>
          <cell r="H9540" t="str">
            <v>JOUR-J200</v>
          </cell>
          <cell r="K9540" t="str">
            <v>Land,Mark David</v>
          </cell>
          <cell r="N9540">
            <v>3.1139999999999999</v>
          </cell>
          <cell r="O9540">
            <v>2.9020000000000001</v>
          </cell>
        </row>
        <row r="9541">
          <cell r="E9541" t="str">
            <v>JOUR</v>
          </cell>
          <cell r="F9541" t="str">
            <v>JOUR-J</v>
          </cell>
          <cell r="G9541">
            <v>200</v>
          </cell>
          <cell r="H9541" t="str">
            <v>JOUR-J200</v>
          </cell>
          <cell r="K9541" t="str">
            <v>Lane,Laura Lea</v>
          </cell>
          <cell r="N9541">
            <v>3.7749999999999999</v>
          </cell>
          <cell r="O9541">
            <v>3.2490000000000001</v>
          </cell>
        </row>
        <row r="9542">
          <cell r="E9542" t="str">
            <v>JOUR</v>
          </cell>
          <cell r="F9542" t="str">
            <v>JOUR-J</v>
          </cell>
          <cell r="G9542">
            <v>200</v>
          </cell>
          <cell r="H9542" t="str">
            <v>JOUR-J200</v>
          </cell>
          <cell r="K9542" t="str">
            <v>Lane,Laura Lea</v>
          </cell>
          <cell r="N9542">
            <v>3.327</v>
          </cell>
          <cell r="O9542">
            <v>2.6709999999999998</v>
          </cell>
        </row>
        <row r="9543">
          <cell r="E9543" t="str">
            <v>JOUR</v>
          </cell>
          <cell r="F9543" t="str">
            <v>JOUR-J</v>
          </cell>
          <cell r="G9543">
            <v>200</v>
          </cell>
          <cell r="H9543" t="str">
            <v>JOUR-J200</v>
          </cell>
          <cell r="K9543" t="str">
            <v>Niles,Daniel</v>
          </cell>
          <cell r="N9543">
            <v>3.0830000000000002</v>
          </cell>
          <cell r="O9543">
            <v>3.0089999999999999</v>
          </cell>
        </row>
        <row r="9544">
          <cell r="E9544" t="str">
            <v>JOUR</v>
          </cell>
          <cell r="F9544" t="str">
            <v>JOUR-J</v>
          </cell>
          <cell r="G9544">
            <v>200</v>
          </cell>
          <cell r="H9544" t="str">
            <v>JOUR-J200</v>
          </cell>
          <cell r="K9544" t="str">
            <v>Niles,Daniel</v>
          </cell>
          <cell r="N9544">
            <v>2.9249999999999998</v>
          </cell>
          <cell r="O9544">
            <v>2.93</v>
          </cell>
        </row>
        <row r="9545">
          <cell r="E9545" t="str">
            <v>JOUR</v>
          </cell>
          <cell r="F9545" t="str">
            <v>JOUR-J</v>
          </cell>
          <cell r="G9545">
            <v>200</v>
          </cell>
          <cell r="H9545" t="str">
            <v>JOUR-J200</v>
          </cell>
          <cell r="K9545" t="str">
            <v>Oates,Bill</v>
          </cell>
          <cell r="N9545">
            <v>3.306</v>
          </cell>
          <cell r="O9545">
            <v>3.004</v>
          </cell>
        </row>
        <row r="9546">
          <cell r="E9546" t="str">
            <v>JOUR</v>
          </cell>
          <cell r="F9546" t="str">
            <v>JOUR-J</v>
          </cell>
          <cell r="G9546">
            <v>200</v>
          </cell>
          <cell r="H9546" t="str">
            <v>JOUR-J200</v>
          </cell>
          <cell r="K9546" t="str">
            <v>Overby,Katrina Marie</v>
          </cell>
          <cell r="N9546">
            <v>3.3809999999999998</v>
          </cell>
          <cell r="O9546">
            <v>3.177</v>
          </cell>
        </row>
        <row r="9547">
          <cell r="E9547" t="str">
            <v>JOUR</v>
          </cell>
          <cell r="F9547" t="str">
            <v>JOUR-J</v>
          </cell>
          <cell r="G9547">
            <v>200</v>
          </cell>
          <cell r="H9547" t="str">
            <v>JOUR-J200</v>
          </cell>
          <cell r="K9547" t="str">
            <v>Park,Sangwon</v>
          </cell>
          <cell r="N9547">
            <v>3.8170000000000002</v>
          </cell>
          <cell r="O9547">
            <v>3.3290000000000002</v>
          </cell>
        </row>
        <row r="9548">
          <cell r="E9548" t="str">
            <v>JOUR</v>
          </cell>
          <cell r="F9548" t="str">
            <v>JOUR-J</v>
          </cell>
          <cell r="G9548">
            <v>200</v>
          </cell>
          <cell r="H9548" t="str">
            <v>JOUR-J200</v>
          </cell>
          <cell r="K9548" t="str">
            <v>Pennington,Rosemary Maria</v>
          </cell>
          <cell r="N9548">
            <v>3.5880000000000001</v>
          </cell>
          <cell r="O9548">
            <v>3.0030000000000001</v>
          </cell>
        </row>
        <row r="9549">
          <cell r="E9549" t="str">
            <v>JOUR</v>
          </cell>
          <cell r="F9549" t="str">
            <v>JOUR-J</v>
          </cell>
          <cell r="G9549">
            <v>200</v>
          </cell>
          <cell r="H9549" t="str">
            <v>JOUR-J200</v>
          </cell>
          <cell r="K9549" t="str">
            <v>Szymanski,Zakary B</v>
          </cell>
          <cell r="N9549">
            <v>3.2629999999999999</v>
          </cell>
          <cell r="O9549">
            <v>3.0870000000000002</v>
          </cell>
        </row>
        <row r="9550">
          <cell r="E9550" t="str">
            <v>JOUR</v>
          </cell>
          <cell r="F9550" t="str">
            <v>JOUR-J</v>
          </cell>
          <cell r="G9550">
            <v>200</v>
          </cell>
          <cell r="H9550" t="str">
            <v>JOUR-J200</v>
          </cell>
          <cell r="K9550" t="str">
            <v>Wellman,Curt Paul</v>
          </cell>
          <cell r="N9550">
            <v>2.9889999999999999</v>
          </cell>
          <cell r="O9550">
            <v>2.9950000000000001</v>
          </cell>
        </row>
        <row r="9551">
          <cell r="E9551" t="str">
            <v>JOUR</v>
          </cell>
          <cell r="F9551" t="str">
            <v>JOUR-J</v>
          </cell>
          <cell r="G9551">
            <v>200</v>
          </cell>
          <cell r="H9551" t="str">
            <v>JOUR-J200</v>
          </cell>
          <cell r="K9551" t="str">
            <v>Wellman,Curt Paul</v>
          </cell>
          <cell r="N9551">
            <v>3.2930000000000001</v>
          </cell>
          <cell r="O9551">
            <v>2.9980000000000002</v>
          </cell>
        </row>
        <row r="9552">
          <cell r="E9552" t="str">
            <v>JOUR</v>
          </cell>
          <cell r="F9552" t="str">
            <v>JOUR-J</v>
          </cell>
          <cell r="G9552">
            <v>201</v>
          </cell>
          <cell r="H9552" t="str">
            <v>JOUR-J201</v>
          </cell>
          <cell r="K9552" t="str">
            <v>Jackson,Cheryl Owsley</v>
          </cell>
          <cell r="N9552">
            <v>3.8</v>
          </cell>
          <cell r="O9552">
            <v>3.105</v>
          </cell>
        </row>
        <row r="9553">
          <cell r="E9553" t="str">
            <v>JOUR</v>
          </cell>
          <cell r="F9553" t="str">
            <v>JOUR-J</v>
          </cell>
          <cell r="G9553">
            <v>201</v>
          </cell>
          <cell r="H9553" t="str">
            <v>JOUR-J201</v>
          </cell>
          <cell r="K9553" t="str">
            <v>Jackson,Cheryl Owsley</v>
          </cell>
          <cell r="N9553">
            <v>3.1930000000000001</v>
          </cell>
          <cell r="O9553">
            <v>2.819</v>
          </cell>
        </row>
        <row r="9554">
          <cell r="E9554" t="str">
            <v>JOUR</v>
          </cell>
          <cell r="F9554" t="str">
            <v>JOUR-J</v>
          </cell>
          <cell r="G9554">
            <v>201</v>
          </cell>
          <cell r="H9554" t="str">
            <v>JOUR-J201</v>
          </cell>
          <cell r="K9554" t="str">
            <v>Jackson,Cheryl Owsley</v>
          </cell>
          <cell r="N9554">
            <v>3.4249999999999998</v>
          </cell>
          <cell r="O9554">
            <v>3.0859999999999999</v>
          </cell>
        </row>
        <row r="9555">
          <cell r="E9555" t="str">
            <v>JOUR</v>
          </cell>
          <cell r="F9555" t="str">
            <v>JOUR-J</v>
          </cell>
          <cell r="G9555">
            <v>201</v>
          </cell>
          <cell r="H9555" t="str">
            <v>JOUR-J201</v>
          </cell>
          <cell r="K9555" t="str">
            <v>Jackson,Cheryl Owsley</v>
          </cell>
          <cell r="N9555">
            <v>3.343</v>
          </cell>
          <cell r="O9555">
            <v>3.0590000000000002</v>
          </cell>
        </row>
        <row r="9556">
          <cell r="E9556" t="str">
            <v>JOUR</v>
          </cell>
          <cell r="F9556" t="str">
            <v>JOUR-J</v>
          </cell>
          <cell r="G9556">
            <v>206</v>
          </cell>
          <cell r="H9556" t="str">
            <v>JOUR-J206</v>
          </cell>
          <cell r="K9556" t="str">
            <v>Coleman,Joseph M</v>
          </cell>
          <cell r="N9556">
            <v>3.3330000000000002</v>
          </cell>
          <cell r="O9556">
            <v>3.0030000000000001</v>
          </cell>
        </row>
        <row r="9557">
          <cell r="E9557" t="str">
            <v>JOUR</v>
          </cell>
          <cell r="F9557" t="str">
            <v>JOUR-J</v>
          </cell>
          <cell r="G9557">
            <v>210</v>
          </cell>
          <cell r="H9557" t="str">
            <v>JOUR-J210</v>
          </cell>
          <cell r="K9557" t="str">
            <v>Cookman,Claude H.</v>
          </cell>
          <cell r="N9557">
            <v>3.2330000000000001</v>
          </cell>
          <cell r="O9557">
            <v>3.0990000000000002</v>
          </cell>
        </row>
        <row r="9558">
          <cell r="E9558" t="str">
            <v>JOUR</v>
          </cell>
          <cell r="F9558" t="str">
            <v>JOUR-J</v>
          </cell>
          <cell r="G9558">
            <v>210</v>
          </cell>
          <cell r="H9558" t="str">
            <v>JOUR-J210</v>
          </cell>
          <cell r="K9558" t="str">
            <v>Layton,Bonnie L</v>
          </cell>
          <cell r="N9558">
            <v>3.1360000000000001</v>
          </cell>
          <cell r="O9558">
            <v>3.0369999999999999</v>
          </cell>
        </row>
        <row r="9559">
          <cell r="E9559" t="str">
            <v>JOUR</v>
          </cell>
          <cell r="F9559" t="str">
            <v>JOUR-J</v>
          </cell>
          <cell r="G9559">
            <v>210</v>
          </cell>
          <cell r="H9559" t="str">
            <v>JOUR-J210</v>
          </cell>
          <cell r="K9559" t="str">
            <v>Li,Shi</v>
          </cell>
          <cell r="N9559">
            <v>3.464</v>
          </cell>
          <cell r="O9559">
            <v>3.109</v>
          </cell>
        </row>
        <row r="9560">
          <cell r="E9560" t="str">
            <v>JOUR</v>
          </cell>
          <cell r="F9560" t="str">
            <v>JOUR-J</v>
          </cell>
          <cell r="G9560">
            <v>210</v>
          </cell>
          <cell r="H9560" t="str">
            <v>JOUR-J210</v>
          </cell>
          <cell r="K9560" t="str">
            <v>Li,Shi</v>
          </cell>
          <cell r="N9560">
            <v>3.403</v>
          </cell>
          <cell r="O9560">
            <v>3.024</v>
          </cell>
        </row>
        <row r="9561">
          <cell r="E9561" t="str">
            <v>JOUR</v>
          </cell>
          <cell r="F9561" t="str">
            <v>JOUR-J</v>
          </cell>
          <cell r="G9561">
            <v>261</v>
          </cell>
          <cell r="H9561" t="str">
            <v>JOUR-J261</v>
          </cell>
          <cell r="K9561" t="str">
            <v>Alahmed,Anas Malik</v>
          </cell>
          <cell r="N9561">
            <v>3.2709999999999999</v>
          </cell>
          <cell r="O9561">
            <v>2.8679999999999999</v>
          </cell>
        </row>
        <row r="9562">
          <cell r="E9562" t="str">
            <v>JOUR</v>
          </cell>
          <cell r="F9562" t="str">
            <v>JOUR-J</v>
          </cell>
          <cell r="G9562">
            <v>261</v>
          </cell>
          <cell r="H9562" t="str">
            <v>JOUR-J261</v>
          </cell>
          <cell r="K9562" t="str">
            <v>Asher,Gena</v>
          </cell>
          <cell r="N9562">
            <v>2.0960000000000001</v>
          </cell>
          <cell r="O9562">
            <v>2.7709999999999999</v>
          </cell>
        </row>
        <row r="9563">
          <cell r="E9563" t="str">
            <v>JOUR</v>
          </cell>
          <cell r="F9563" t="str">
            <v>JOUR-J</v>
          </cell>
          <cell r="G9563">
            <v>261</v>
          </cell>
          <cell r="H9563" t="str">
            <v>JOUR-J261</v>
          </cell>
          <cell r="K9563" t="str">
            <v>Choi,Chang Hee</v>
          </cell>
          <cell r="N9563">
            <v>3.306</v>
          </cell>
          <cell r="O9563">
            <v>2.879</v>
          </cell>
        </row>
        <row r="9564">
          <cell r="E9564" t="str">
            <v>JOUR</v>
          </cell>
          <cell r="F9564" t="str">
            <v>JOUR-J</v>
          </cell>
          <cell r="G9564">
            <v>261</v>
          </cell>
          <cell r="H9564" t="str">
            <v>JOUR-J261</v>
          </cell>
          <cell r="K9564" t="str">
            <v>Debnam,Marcia F</v>
          </cell>
          <cell r="N9564">
            <v>3.7429999999999999</v>
          </cell>
          <cell r="O9564">
            <v>3.238</v>
          </cell>
        </row>
        <row r="9565">
          <cell r="E9565" t="str">
            <v>JOUR</v>
          </cell>
          <cell r="F9565" t="str">
            <v>JOUR-J</v>
          </cell>
          <cell r="G9565">
            <v>261</v>
          </cell>
          <cell r="H9565" t="str">
            <v>JOUR-J261</v>
          </cell>
          <cell r="K9565" t="str">
            <v>Debnam,Marcia F</v>
          </cell>
          <cell r="N9565">
            <v>3.8380000000000001</v>
          </cell>
          <cell r="O9565">
            <v>3.1720000000000002</v>
          </cell>
        </row>
        <row r="9566">
          <cell r="E9566" t="str">
            <v>JOUR</v>
          </cell>
          <cell r="F9566" t="str">
            <v>JOUR-J</v>
          </cell>
          <cell r="G9566">
            <v>261</v>
          </cell>
          <cell r="H9566" t="str">
            <v>JOUR-J261</v>
          </cell>
          <cell r="K9566" t="str">
            <v>Jankowski,Stacie Meihaus</v>
          </cell>
          <cell r="N9566">
            <v>2.996</v>
          </cell>
          <cell r="O9566">
            <v>2.8239999999999998</v>
          </cell>
        </row>
        <row r="9567">
          <cell r="E9567" t="str">
            <v>JOUR</v>
          </cell>
          <cell r="F9567" t="str">
            <v>JOUR-J</v>
          </cell>
          <cell r="G9567">
            <v>261</v>
          </cell>
          <cell r="H9567" t="str">
            <v>JOUR-J261</v>
          </cell>
          <cell r="K9567" t="str">
            <v>Layton,Stephen</v>
          </cell>
          <cell r="N9567">
            <v>2.9769999999999999</v>
          </cell>
          <cell r="O9567">
            <v>2.952</v>
          </cell>
        </row>
        <row r="9568">
          <cell r="E9568" t="str">
            <v>JOUR</v>
          </cell>
          <cell r="F9568" t="str">
            <v>JOUR-J</v>
          </cell>
          <cell r="G9568">
            <v>261</v>
          </cell>
          <cell r="H9568" t="str">
            <v>JOUR-J261</v>
          </cell>
          <cell r="K9568" t="str">
            <v>Pieratt,Marty Ford</v>
          </cell>
          <cell r="N9568">
            <v>3.806</v>
          </cell>
          <cell r="O9568">
            <v>3.1040000000000001</v>
          </cell>
        </row>
        <row r="9569">
          <cell r="E9569" t="str">
            <v>JOUR</v>
          </cell>
          <cell r="F9569" t="str">
            <v>JOUR-J</v>
          </cell>
          <cell r="G9569">
            <v>261</v>
          </cell>
          <cell r="H9569" t="str">
            <v>JOUR-J261</v>
          </cell>
          <cell r="K9569" t="str">
            <v>Ross,Betsy M</v>
          </cell>
          <cell r="N9569">
            <v>3.738</v>
          </cell>
          <cell r="O9569">
            <v>2.7890000000000001</v>
          </cell>
        </row>
        <row r="9570">
          <cell r="E9570" t="str">
            <v>JOUR</v>
          </cell>
          <cell r="F9570" t="str">
            <v>JOUR-J</v>
          </cell>
          <cell r="G9570">
            <v>261</v>
          </cell>
          <cell r="H9570" t="str">
            <v>JOUR-J261</v>
          </cell>
          <cell r="K9570" t="str">
            <v>Shain,Stacie Lynn</v>
          </cell>
          <cell r="N9570">
            <v>2.9089999999999998</v>
          </cell>
          <cell r="O9570">
            <v>2.9780000000000002</v>
          </cell>
        </row>
        <row r="9571">
          <cell r="E9571" t="str">
            <v>JOUR</v>
          </cell>
          <cell r="F9571" t="str">
            <v>JOUR-J</v>
          </cell>
          <cell r="G9571">
            <v>261</v>
          </cell>
          <cell r="H9571" t="str">
            <v>JOUR-J261</v>
          </cell>
          <cell r="K9571" t="str">
            <v>Szymanski,Zakary B</v>
          </cell>
          <cell r="N9571">
            <v>3.36</v>
          </cell>
          <cell r="O9571">
            <v>2.794</v>
          </cell>
        </row>
        <row r="9572">
          <cell r="E9572" t="str">
            <v>JOUR</v>
          </cell>
          <cell r="F9572" t="str">
            <v>JOUR-J</v>
          </cell>
          <cell r="G9572">
            <v>300</v>
          </cell>
          <cell r="H9572" t="str">
            <v>JOUR-J300</v>
          </cell>
          <cell r="K9572" t="str">
            <v>Hornaday,Bill W.</v>
          </cell>
          <cell r="N9572">
            <v>2.6989999999999998</v>
          </cell>
          <cell r="O9572">
            <v>3.0579999999999998</v>
          </cell>
        </row>
        <row r="9573">
          <cell r="E9573" t="str">
            <v>JOUR</v>
          </cell>
          <cell r="F9573" t="str">
            <v>JOUR-J</v>
          </cell>
          <cell r="G9573">
            <v>300</v>
          </cell>
          <cell r="H9573" t="str">
            <v>JOUR-J300</v>
          </cell>
          <cell r="K9573" t="str">
            <v>Martin,Shannon R</v>
          </cell>
          <cell r="N9573">
            <v>2.72</v>
          </cell>
          <cell r="O9573">
            <v>3.0609999999999999</v>
          </cell>
        </row>
        <row r="9574">
          <cell r="E9574" t="str">
            <v>JOUR</v>
          </cell>
          <cell r="F9574" t="str">
            <v>JOUR-J</v>
          </cell>
          <cell r="G9574">
            <v>303</v>
          </cell>
          <cell r="H9574" t="str">
            <v>JOUR-J303</v>
          </cell>
          <cell r="K9574" t="str">
            <v>Higgs,Steven C.</v>
          </cell>
          <cell r="N9574">
            <v>3.58</v>
          </cell>
          <cell r="O9574">
            <v>3.18</v>
          </cell>
        </row>
        <row r="9575">
          <cell r="E9575" t="str">
            <v>JOUR</v>
          </cell>
          <cell r="F9575" t="str">
            <v>JOUR-J</v>
          </cell>
          <cell r="G9575">
            <v>303</v>
          </cell>
          <cell r="H9575" t="str">
            <v>JOUR-J303</v>
          </cell>
          <cell r="K9575" t="str">
            <v>Higgs,Steven C.</v>
          </cell>
          <cell r="N9575">
            <v>3.52</v>
          </cell>
          <cell r="O9575">
            <v>3.202</v>
          </cell>
        </row>
        <row r="9576">
          <cell r="E9576" t="str">
            <v>JOUR</v>
          </cell>
          <cell r="F9576" t="str">
            <v>JOUR-J</v>
          </cell>
          <cell r="G9576">
            <v>303</v>
          </cell>
          <cell r="H9576" t="str">
            <v>JOUR-J303</v>
          </cell>
          <cell r="K9576" t="str">
            <v>Higgs,Steven C.</v>
          </cell>
          <cell r="N9576">
            <v>3.4249999999999998</v>
          </cell>
          <cell r="O9576">
            <v>2.8439999999999999</v>
          </cell>
        </row>
        <row r="9577">
          <cell r="E9577" t="str">
            <v>JOUR</v>
          </cell>
          <cell r="F9577" t="str">
            <v>JOUR-J</v>
          </cell>
          <cell r="G9577">
            <v>320</v>
          </cell>
          <cell r="H9577" t="str">
            <v>JOUR-J320</v>
          </cell>
          <cell r="K9577" t="str">
            <v>Wood,Craig Park</v>
          </cell>
          <cell r="N9577">
            <v>3.5190000000000001</v>
          </cell>
          <cell r="O9577">
            <v>3.117</v>
          </cell>
        </row>
        <row r="9578">
          <cell r="E9578" t="str">
            <v>JOUR</v>
          </cell>
          <cell r="F9578" t="str">
            <v>JOUR-J</v>
          </cell>
          <cell r="G9578">
            <v>320</v>
          </cell>
          <cell r="H9578" t="str">
            <v>JOUR-J320</v>
          </cell>
          <cell r="K9578" t="str">
            <v>Wood,Craig Park</v>
          </cell>
          <cell r="N9578">
            <v>3.17</v>
          </cell>
          <cell r="O9578">
            <v>3.0009999999999999</v>
          </cell>
        </row>
        <row r="9579">
          <cell r="E9579" t="str">
            <v>JOUR</v>
          </cell>
          <cell r="F9579" t="str">
            <v>JOUR-J</v>
          </cell>
          <cell r="G9579">
            <v>321</v>
          </cell>
          <cell r="H9579" t="str">
            <v>JOUR-J321</v>
          </cell>
          <cell r="K9579" t="str">
            <v>Elliott,Dennis Dawson</v>
          </cell>
          <cell r="N9579">
            <v>3.1309999999999998</v>
          </cell>
          <cell r="O9579">
            <v>3.1579999999999999</v>
          </cell>
        </row>
        <row r="9580">
          <cell r="E9580" t="str">
            <v>JOUR</v>
          </cell>
          <cell r="F9580" t="str">
            <v>JOUR-J</v>
          </cell>
          <cell r="G9580">
            <v>321</v>
          </cell>
          <cell r="H9580" t="str">
            <v>JOUR-J321</v>
          </cell>
          <cell r="K9580" t="str">
            <v>Elliott,Dennis Dawson</v>
          </cell>
          <cell r="N9580">
            <v>3.125</v>
          </cell>
          <cell r="O9580">
            <v>3.1230000000000002</v>
          </cell>
        </row>
        <row r="9581">
          <cell r="E9581" t="str">
            <v>JOUR</v>
          </cell>
          <cell r="F9581" t="str">
            <v>JOUR-J</v>
          </cell>
          <cell r="G9581">
            <v>341</v>
          </cell>
          <cell r="H9581" t="str">
            <v>JOUR-J341</v>
          </cell>
          <cell r="K9581" t="str">
            <v>Land,Mark David</v>
          </cell>
          <cell r="N9581">
            <v>3.16</v>
          </cell>
          <cell r="O9581">
            <v>3.0230000000000001</v>
          </cell>
        </row>
        <row r="9582">
          <cell r="E9582" t="str">
            <v>JOUR</v>
          </cell>
          <cell r="F9582" t="str">
            <v>JOUR-J</v>
          </cell>
          <cell r="G9582">
            <v>341</v>
          </cell>
          <cell r="H9582" t="str">
            <v>JOUR-J341</v>
          </cell>
          <cell r="K9582" t="str">
            <v>Lee,Jae Kook</v>
          </cell>
          <cell r="N9582">
            <v>3.4239999999999999</v>
          </cell>
          <cell r="O9582">
            <v>2.9180000000000001</v>
          </cell>
        </row>
        <row r="9583">
          <cell r="E9583" t="str">
            <v>JOUR</v>
          </cell>
          <cell r="F9583" t="str">
            <v>JOUR-J</v>
          </cell>
          <cell r="G9583">
            <v>341</v>
          </cell>
          <cell r="H9583" t="str">
            <v>JOUR-J341</v>
          </cell>
          <cell r="K9583" t="str">
            <v>Lee,Jae Kook</v>
          </cell>
          <cell r="N9583">
            <v>2.8940000000000001</v>
          </cell>
          <cell r="O9583">
            <v>2.9420000000000002</v>
          </cell>
        </row>
        <row r="9584">
          <cell r="E9584" t="str">
            <v>JOUR</v>
          </cell>
          <cell r="F9584" t="str">
            <v>JOUR-J</v>
          </cell>
          <cell r="G9584">
            <v>342</v>
          </cell>
          <cell r="H9584" t="str">
            <v>JOUR-J342</v>
          </cell>
          <cell r="K9584" t="str">
            <v>Burgins,Robert Scott</v>
          </cell>
          <cell r="N9584">
            <v>2.7890000000000001</v>
          </cell>
          <cell r="O9584">
            <v>3.05</v>
          </cell>
        </row>
        <row r="9585">
          <cell r="E9585" t="str">
            <v>JOUR</v>
          </cell>
          <cell r="F9585" t="str">
            <v>JOUR-J</v>
          </cell>
          <cell r="G9585">
            <v>342</v>
          </cell>
          <cell r="H9585" t="str">
            <v>JOUR-J342</v>
          </cell>
          <cell r="K9585" t="str">
            <v>Jacobi,Peter P</v>
          </cell>
          <cell r="N9585">
            <v>2.9889999999999999</v>
          </cell>
          <cell r="O9585">
            <v>3.1539999999999999</v>
          </cell>
        </row>
        <row r="9586">
          <cell r="E9586" t="str">
            <v>JOUR</v>
          </cell>
          <cell r="F9586" t="str">
            <v>JOUR-J</v>
          </cell>
          <cell r="G9586">
            <v>342</v>
          </cell>
          <cell r="H9586" t="str">
            <v>JOUR-J342</v>
          </cell>
          <cell r="K9586" t="str">
            <v>Kibbler,Anne</v>
          </cell>
          <cell r="N9586">
            <v>3.4940000000000002</v>
          </cell>
          <cell r="O9586">
            <v>3.3260000000000001</v>
          </cell>
        </row>
        <row r="9587">
          <cell r="E9587" t="str">
            <v>JOUR</v>
          </cell>
          <cell r="F9587" t="str">
            <v>JOUR-J</v>
          </cell>
          <cell r="G9587">
            <v>342</v>
          </cell>
          <cell r="H9587" t="str">
            <v>JOUR-J342</v>
          </cell>
          <cell r="K9587" t="str">
            <v>Shere,Jeremy</v>
          </cell>
          <cell r="N9587">
            <v>3.2709999999999999</v>
          </cell>
          <cell r="O9587">
            <v>3.3479999999999999</v>
          </cell>
        </row>
        <row r="9588">
          <cell r="E9588" t="str">
            <v>JOUR</v>
          </cell>
          <cell r="F9588" t="str">
            <v>JOUR-J</v>
          </cell>
          <cell r="G9588">
            <v>342</v>
          </cell>
          <cell r="H9588" t="str">
            <v>JOUR-J342</v>
          </cell>
          <cell r="K9588" t="str">
            <v>Shere,Jeremy</v>
          </cell>
          <cell r="N9588">
            <v>2.9380000000000002</v>
          </cell>
          <cell r="O9588">
            <v>3.1059999999999999</v>
          </cell>
        </row>
        <row r="9589">
          <cell r="E9589" t="str">
            <v>JOUR</v>
          </cell>
          <cell r="F9589" t="str">
            <v>JOUR-J</v>
          </cell>
          <cell r="G9589">
            <v>342</v>
          </cell>
          <cell r="H9589" t="str">
            <v>JOUR-J342</v>
          </cell>
          <cell r="K9589" t="str">
            <v>Szymanski,Zakary B</v>
          </cell>
          <cell r="N9589">
            <v>3.2469999999999999</v>
          </cell>
          <cell r="O9589">
            <v>3.2890000000000001</v>
          </cell>
        </row>
        <row r="9590">
          <cell r="E9590" t="str">
            <v>JOUR</v>
          </cell>
          <cell r="F9590" t="str">
            <v>JOUR-J</v>
          </cell>
          <cell r="G9590">
            <v>343</v>
          </cell>
          <cell r="H9590" t="str">
            <v>JOUR-J343</v>
          </cell>
          <cell r="K9590" t="str">
            <v>Doran,Christopher Todd</v>
          </cell>
          <cell r="N9590">
            <v>3.6120000000000001</v>
          </cell>
          <cell r="O9590">
            <v>3.0390000000000001</v>
          </cell>
        </row>
        <row r="9591">
          <cell r="E9591" t="str">
            <v>JOUR</v>
          </cell>
          <cell r="F9591" t="str">
            <v>JOUR-J</v>
          </cell>
          <cell r="G9591">
            <v>343</v>
          </cell>
          <cell r="H9591" t="str">
            <v>JOUR-J343</v>
          </cell>
          <cell r="K9591" t="str">
            <v>Doran,Christopher Todd</v>
          </cell>
          <cell r="N9591">
            <v>3.8220000000000001</v>
          </cell>
          <cell r="O9591">
            <v>3.19</v>
          </cell>
        </row>
        <row r="9592">
          <cell r="E9592" t="str">
            <v>JOUR</v>
          </cell>
          <cell r="F9592" t="str">
            <v>JOUR-J</v>
          </cell>
          <cell r="G9592">
            <v>343</v>
          </cell>
          <cell r="H9592" t="str">
            <v>JOUR-J343</v>
          </cell>
          <cell r="K9592" t="str">
            <v>Doran,Christopher Todd</v>
          </cell>
          <cell r="N9592">
            <v>3.2949999999999999</v>
          </cell>
          <cell r="O9592">
            <v>3.2320000000000002</v>
          </cell>
        </row>
        <row r="9593">
          <cell r="E9593" t="str">
            <v>JOUR</v>
          </cell>
          <cell r="F9593" t="str">
            <v>JOUR-J</v>
          </cell>
          <cell r="G9593">
            <v>343</v>
          </cell>
          <cell r="H9593" t="str">
            <v>JOUR-J343</v>
          </cell>
          <cell r="K9593" t="str">
            <v>Jastrzebski,Stan</v>
          </cell>
          <cell r="N9593">
            <v>2.9860000000000002</v>
          </cell>
          <cell r="O9593">
            <v>3.1139999999999999</v>
          </cell>
        </row>
        <row r="9594">
          <cell r="E9594" t="str">
            <v>JOUR</v>
          </cell>
          <cell r="F9594" t="str">
            <v>JOUR-J</v>
          </cell>
          <cell r="G9594">
            <v>344</v>
          </cell>
          <cell r="H9594" t="str">
            <v>JOUR-J344</v>
          </cell>
          <cell r="K9594" t="str">
            <v>Howell,Chris Anthony</v>
          </cell>
          <cell r="N9594">
            <v>3.1880000000000002</v>
          </cell>
          <cell r="O9594">
            <v>3.222</v>
          </cell>
        </row>
        <row r="9595">
          <cell r="E9595" t="str">
            <v>JOUR</v>
          </cell>
          <cell r="F9595" t="str">
            <v>JOUR-J</v>
          </cell>
          <cell r="G9595">
            <v>344</v>
          </cell>
          <cell r="H9595" t="str">
            <v>JOUR-J344</v>
          </cell>
          <cell r="K9595" t="str">
            <v>Howell,Chris Anthony</v>
          </cell>
          <cell r="N9595">
            <v>3.0169999999999999</v>
          </cell>
          <cell r="O9595">
            <v>3.0009999999999999</v>
          </cell>
        </row>
        <row r="9596">
          <cell r="E9596" t="str">
            <v>JOUR</v>
          </cell>
          <cell r="F9596" t="str">
            <v>JOUR-J</v>
          </cell>
          <cell r="G9596">
            <v>344</v>
          </cell>
          <cell r="H9596" t="str">
            <v>JOUR-J344</v>
          </cell>
          <cell r="K9596" t="str">
            <v>Kelly,James D</v>
          </cell>
          <cell r="N9596">
            <v>3.133</v>
          </cell>
          <cell r="O9596">
            <v>3.169</v>
          </cell>
        </row>
        <row r="9597">
          <cell r="E9597" t="str">
            <v>JOUR</v>
          </cell>
          <cell r="F9597" t="str">
            <v>JOUR-J</v>
          </cell>
          <cell r="G9597">
            <v>349</v>
          </cell>
          <cell r="H9597" t="str">
            <v>JOUR-J349</v>
          </cell>
          <cell r="K9597" t="str">
            <v>Elliott,Dennis Dawson</v>
          </cell>
          <cell r="N9597">
            <v>3.5110000000000001</v>
          </cell>
          <cell r="O9597">
            <v>3.24</v>
          </cell>
        </row>
        <row r="9598">
          <cell r="E9598" t="str">
            <v>JOUR</v>
          </cell>
          <cell r="F9598" t="str">
            <v>JOUR-J</v>
          </cell>
          <cell r="G9598">
            <v>349</v>
          </cell>
          <cell r="H9598" t="str">
            <v>JOUR-J349</v>
          </cell>
          <cell r="K9598" t="str">
            <v>Oates,Bill</v>
          </cell>
          <cell r="N9598">
            <v>3.488</v>
          </cell>
          <cell r="O9598">
            <v>3.262</v>
          </cell>
        </row>
        <row r="9599">
          <cell r="E9599" t="str">
            <v>JOUR</v>
          </cell>
          <cell r="F9599" t="str">
            <v>JOUR-J</v>
          </cell>
          <cell r="G9599">
            <v>349</v>
          </cell>
          <cell r="H9599" t="str">
            <v>JOUR-J349</v>
          </cell>
          <cell r="K9599" t="str">
            <v>Parham,James Bryan</v>
          </cell>
          <cell r="N9599">
            <v>4</v>
          </cell>
          <cell r="O9599">
            <v>3.1429999999999998</v>
          </cell>
        </row>
        <row r="9600">
          <cell r="E9600" t="str">
            <v>JOUR</v>
          </cell>
          <cell r="F9600" t="str">
            <v>JOUR-J</v>
          </cell>
          <cell r="G9600">
            <v>349</v>
          </cell>
          <cell r="H9600" t="str">
            <v>JOUR-J349</v>
          </cell>
          <cell r="K9600" t="str">
            <v>Parham,James Bryan</v>
          </cell>
          <cell r="N9600">
            <v>3.9830000000000001</v>
          </cell>
          <cell r="O9600">
            <v>3.0619999999999998</v>
          </cell>
        </row>
        <row r="9601">
          <cell r="E9601" t="str">
            <v>JOUR</v>
          </cell>
          <cell r="F9601" t="str">
            <v>JOUR-J</v>
          </cell>
          <cell r="G9601">
            <v>351</v>
          </cell>
          <cell r="H9601" t="str">
            <v>JOUR-J351</v>
          </cell>
          <cell r="K9601" t="str">
            <v>Comiskey,Nancy Lee</v>
          </cell>
          <cell r="N9601">
            <v>3.194</v>
          </cell>
          <cell r="O9601">
            <v>3.1040000000000001</v>
          </cell>
        </row>
        <row r="9602">
          <cell r="E9602" t="str">
            <v>JOUR</v>
          </cell>
          <cell r="F9602" t="str">
            <v>JOUR-J</v>
          </cell>
          <cell r="G9602">
            <v>351</v>
          </cell>
          <cell r="H9602" t="str">
            <v>JOUR-J351</v>
          </cell>
          <cell r="K9602" t="str">
            <v>Comiskey,Nancy Lee</v>
          </cell>
          <cell r="N9602">
            <v>3.4609999999999999</v>
          </cell>
          <cell r="O9602">
            <v>3.3420000000000001</v>
          </cell>
        </row>
        <row r="9603">
          <cell r="E9603" t="str">
            <v>JOUR</v>
          </cell>
          <cell r="F9603" t="str">
            <v>JOUR-J</v>
          </cell>
          <cell r="G9603">
            <v>352</v>
          </cell>
          <cell r="H9603" t="str">
            <v>JOUR-J352</v>
          </cell>
          <cell r="K9603" t="str">
            <v>Denny,J D</v>
          </cell>
          <cell r="N9603">
            <v>3.4060000000000001</v>
          </cell>
          <cell r="O9603">
            <v>3.234</v>
          </cell>
        </row>
        <row r="9604">
          <cell r="E9604" t="str">
            <v>JOUR</v>
          </cell>
          <cell r="F9604" t="str">
            <v>JOUR-J</v>
          </cell>
          <cell r="G9604">
            <v>352</v>
          </cell>
          <cell r="H9604" t="str">
            <v>JOUR-J352</v>
          </cell>
          <cell r="K9604" t="str">
            <v>Metz,Nancy Davis</v>
          </cell>
          <cell r="N9604">
            <v>3.129</v>
          </cell>
          <cell r="O9604">
            <v>3.1469999999999998</v>
          </cell>
        </row>
        <row r="9605">
          <cell r="E9605" t="str">
            <v>JOUR</v>
          </cell>
          <cell r="F9605" t="str">
            <v>JOUR-J</v>
          </cell>
          <cell r="G9605">
            <v>353</v>
          </cell>
          <cell r="H9605" t="str">
            <v>JOUR-J353</v>
          </cell>
          <cell r="K9605" t="str">
            <v>Conway,Michael Thomas</v>
          </cell>
          <cell r="N9605">
            <v>3.4929999999999999</v>
          </cell>
          <cell r="O9605">
            <v>3.23</v>
          </cell>
        </row>
        <row r="9606">
          <cell r="E9606" t="str">
            <v>JOUR</v>
          </cell>
          <cell r="F9606" t="str">
            <v>JOUR-J</v>
          </cell>
          <cell r="G9606">
            <v>360</v>
          </cell>
          <cell r="H9606" t="str">
            <v>JOUR-J360</v>
          </cell>
          <cell r="K9606" t="str">
            <v>Comiskey,Nancy Lee</v>
          </cell>
          <cell r="N9606">
            <v>3.6880000000000002</v>
          </cell>
          <cell r="O9606">
            <v>3.286</v>
          </cell>
        </row>
        <row r="9607">
          <cell r="E9607" t="str">
            <v>JOUR</v>
          </cell>
          <cell r="F9607" t="str">
            <v>JOUR-J</v>
          </cell>
          <cell r="G9607">
            <v>360</v>
          </cell>
          <cell r="H9607" t="str">
            <v>JOUR-J360</v>
          </cell>
          <cell r="K9607" t="str">
            <v>Comiskey,Nancy Lee</v>
          </cell>
          <cell r="N9607">
            <v>3.581</v>
          </cell>
          <cell r="O9607">
            <v>3.286</v>
          </cell>
        </row>
        <row r="9608">
          <cell r="E9608" t="str">
            <v>JOUR</v>
          </cell>
          <cell r="F9608" t="str">
            <v>JOUR-J</v>
          </cell>
          <cell r="G9608">
            <v>360</v>
          </cell>
          <cell r="H9608" t="str">
            <v>JOUR-J360</v>
          </cell>
          <cell r="K9608" t="str">
            <v>Ferber,Daniel Mark</v>
          </cell>
          <cell r="N9608">
            <v>3.411</v>
          </cell>
          <cell r="O9608">
            <v>2.91</v>
          </cell>
        </row>
        <row r="9609">
          <cell r="E9609" t="str">
            <v>JOUR</v>
          </cell>
          <cell r="F9609" t="str">
            <v>JOUR-J</v>
          </cell>
          <cell r="G9609">
            <v>360</v>
          </cell>
          <cell r="H9609" t="str">
            <v>JOUR-J360</v>
          </cell>
          <cell r="K9609" t="str">
            <v>Hutchens,Terry M.</v>
          </cell>
          <cell r="N9609">
            <v>3.7709999999999999</v>
          </cell>
          <cell r="O9609">
            <v>3.3250000000000002</v>
          </cell>
        </row>
        <row r="9610">
          <cell r="E9610" t="str">
            <v>JOUR</v>
          </cell>
          <cell r="F9610" t="str">
            <v>JOUR-J</v>
          </cell>
          <cell r="G9610">
            <v>360</v>
          </cell>
          <cell r="H9610" t="str">
            <v>JOUR-J360</v>
          </cell>
          <cell r="K9610" t="str">
            <v>Laucella,Pamela Carol</v>
          </cell>
          <cell r="N9610">
            <v>3.3210000000000002</v>
          </cell>
          <cell r="O9610">
            <v>3.125</v>
          </cell>
        </row>
        <row r="9611">
          <cell r="E9611" t="str">
            <v>JOUR</v>
          </cell>
          <cell r="F9611" t="str">
            <v>JOUR-J</v>
          </cell>
          <cell r="G9611">
            <v>360</v>
          </cell>
          <cell r="H9611" t="str">
            <v>JOUR-J360</v>
          </cell>
          <cell r="K9611" t="str">
            <v>Lee,Erika Biga</v>
          </cell>
          <cell r="N9611">
            <v>3.6629999999999998</v>
          </cell>
          <cell r="O9611">
            <v>3.2509999999999999</v>
          </cell>
        </row>
        <row r="9612">
          <cell r="E9612" t="str">
            <v>JOUR</v>
          </cell>
          <cell r="F9612" t="str">
            <v>JOUR-J</v>
          </cell>
          <cell r="G9612">
            <v>360</v>
          </cell>
          <cell r="H9612" t="str">
            <v>JOUR-J360</v>
          </cell>
          <cell r="K9612" t="str">
            <v>Lee,Erika Biga</v>
          </cell>
          <cell r="N9612">
            <v>3.5</v>
          </cell>
          <cell r="O9612">
            <v>3.4060000000000001</v>
          </cell>
        </row>
        <row r="9613">
          <cell r="E9613" t="str">
            <v>JOUR</v>
          </cell>
          <cell r="F9613" t="str">
            <v>JOUR-J</v>
          </cell>
          <cell r="G9613">
            <v>360</v>
          </cell>
          <cell r="H9613" t="str">
            <v>JOUR-J360</v>
          </cell>
          <cell r="K9613" t="str">
            <v>Neal-Estes,Sarah Stuart</v>
          </cell>
          <cell r="N9613">
            <v>3.9569999999999999</v>
          </cell>
          <cell r="O9613">
            <v>3.258</v>
          </cell>
        </row>
        <row r="9614">
          <cell r="E9614" t="str">
            <v>JOUR</v>
          </cell>
          <cell r="F9614" t="str">
            <v>JOUR-J</v>
          </cell>
          <cell r="G9614">
            <v>360</v>
          </cell>
          <cell r="H9614" t="str">
            <v>JOUR-J360</v>
          </cell>
          <cell r="K9614" t="str">
            <v>Neal-Estes,Sarah Stuart</v>
          </cell>
          <cell r="N9614">
            <v>3.5640000000000001</v>
          </cell>
          <cell r="O9614">
            <v>3.0470000000000002</v>
          </cell>
        </row>
        <row r="9615">
          <cell r="E9615" t="str">
            <v>JOUR</v>
          </cell>
          <cell r="F9615" t="str">
            <v>JOUR-J</v>
          </cell>
          <cell r="G9615">
            <v>362</v>
          </cell>
          <cell r="H9615" t="str">
            <v>JOUR-J362</v>
          </cell>
          <cell r="K9615" t="str">
            <v>Cookman,Claude H.</v>
          </cell>
          <cell r="N9615">
            <v>3.661</v>
          </cell>
          <cell r="O9615">
            <v>3.2930000000000001</v>
          </cell>
        </row>
        <row r="9616">
          <cell r="E9616" t="str">
            <v>JOUR</v>
          </cell>
          <cell r="F9616" t="str">
            <v>JOUR-J</v>
          </cell>
          <cell r="G9616">
            <v>362</v>
          </cell>
          <cell r="H9616" t="str">
            <v>JOUR-J362</v>
          </cell>
          <cell r="K9616" t="str">
            <v>Layton,Bonnie L</v>
          </cell>
          <cell r="N9616">
            <v>3.1669999999999998</v>
          </cell>
          <cell r="O9616">
            <v>3.25</v>
          </cell>
        </row>
        <row r="9617">
          <cell r="E9617" t="str">
            <v>JOUR</v>
          </cell>
          <cell r="F9617" t="str">
            <v>JOUR-J</v>
          </cell>
          <cell r="G9617">
            <v>375</v>
          </cell>
          <cell r="H9617" t="str">
            <v>JOUR-J375</v>
          </cell>
          <cell r="K9617" t="str">
            <v>Cannon,Jeffrey Day</v>
          </cell>
          <cell r="N9617">
            <v>3.298</v>
          </cell>
          <cell r="O9617">
            <v>3.0449999999999999</v>
          </cell>
        </row>
        <row r="9618">
          <cell r="E9618" t="str">
            <v>JOUR</v>
          </cell>
          <cell r="F9618" t="str">
            <v>JOUR-J</v>
          </cell>
          <cell r="G9618">
            <v>375</v>
          </cell>
          <cell r="H9618" t="str">
            <v>JOUR-J375</v>
          </cell>
          <cell r="K9618" t="str">
            <v>Cannon,Jeffrey Day</v>
          </cell>
          <cell r="N9618">
            <v>3.0019999999999998</v>
          </cell>
          <cell r="O9618">
            <v>3.0139999999999998</v>
          </cell>
        </row>
        <row r="9619">
          <cell r="E9619" t="str">
            <v>JOUR</v>
          </cell>
          <cell r="F9619" t="str">
            <v>JOUR-J</v>
          </cell>
          <cell r="G9619">
            <v>401</v>
          </cell>
          <cell r="H9619" t="str">
            <v>JOUR-J401</v>
          </cell>
          <cell r="K9619" t="str">
            <v>French,Thomas M</v>
          </cell>
          <cell r="N9619">
            <v>2.9849999999999999</v>
          </cell>
          <cell r="O9619">
            <v>3.5230000000000001</v>
          </cell>
        </row>
        <row r="9620">
          <cell r="E9620" t="str">
            <v>JOUR</v>
          </cell>
          <cell r="F9620" t="str">
            <v>JOUR-J</v>
          </cell>
          <cell r="G9620">
            <v>403</v>
          </cell>
          <cell r="H9620" t="str">
            <v>JOUR-J403</v>
          </cell>
          <cell r="K9620" t="str">
            <v>White,Teresa Ann</v>
          </cell>
          <cell r="N9620" t="str">
            <v>NR</v>
          </cell>
          <cell r="O9620" t="str">
            <v>NR</v>
          </cell>
        </row>
        <row r="9621">
          <cell r="E9621" t="str">
            <v>JOUR</v>
          </cell>
          <cell r="F9621" t="str">
            <v>JOUR-J</v>
          </cell>
          <cell r="G9621">
            <v>407</v>
          </cell>
          <cell r="H9621" t="str">
            <v>JOUR-J407</v>
          </cell>
          <cell r="K9621" t="str">
            <v>Fargo,Anthony L</v>
          </cell>
          <cell r="N9621">
            <v>3.5</v>
          </cell>
          <cell r="O9621">
            <v>3.1389999999999998</v>
          </cell>
        </row>
        <row r="9622">
          <cell r="E9622" t="str">
            <v>JOUR</v>
          </cell>
          <cell r="F9622" t="str">
            <v>JOUR-J</v>
          </cell>
          <cell r="G9622">
            <v>410</v>
          </cell>
          <cell r="H9622" t="str">
            <v>JOUR-J410</v>
          </cell>
          <cell r="K9622" t="str">
            <v>Fargo,Anthony L</v>
          </cell>
          <cell r="N9622">
            <v>3.6030000000000002</v>
          </cell>
          <cell r="O9622">
            <v>3.161</v>
          </cell>
        </row>
        <row r="9623">
          <cell r="E9623" t="str">
            <v>JOUR</v>
          </cell>
          <cell r="F9623" t="str">
            <v>JOUR-J</v>
          </cell>
          <cell r="G9623">
            <v>410</v>
          </cell>
          <cell r="H9623" t="str">
            <v>JOUR-J410</v>
          </cell>
          <cell r="K9623" t="str">
            <v>Ibold,Hans Peter</v>
          </cell>
          <cell r="N9623">
            <v>3.3</v>
          </cell>
          <cell r="O9623">
            <v>2.9870000000000001</v>
          </cell>
        </row>
        <row r="9624">
          <cell r="E9624" t="str">
            <v>JOUR</v>
          </cell>
          <cell r="F9624" t="str">
            <v>JOUR-J</v>
          </cell>
          <cell r="G9624">
            <v>410</v>
          </cell>
          <cell r="H9624" t="str">
            <v>JOUR-J410</v>
          </cell>
          <cell r="K9624" t="str">
            <v>Raymer,Steven Laurence</v>
          </cell>
          <cell r="N9624">
            <v>3.6840000000000002</v>
          </cell>
          <cell r="O9624">
            <v>3.1819999999999999</v>
          </cell>
        </row>
        <row r="9625">
          <cell r="E9625" t="str">
            <v>JOUR</v>
          </cell>
          <cell r="F9625" t="str">
            <v>JOUR-J</v>
          </cell>
          <cell r="G9625">
            <v>410</v>
          </cell>
          <cell r="H9625" t="str">
            <v>JOUR-J410</v>
          </cell>
          <cell r="K9625" t="str">
            <v>Raymer,Steven Laurence</v>
          </cell>
          <cell r="N9625">
            <v>3.6880000000000002</v>
          </cell>
          <cell r="O9625">
            <v>3.0880000000000001</v>
          </cell>
        </row>
        <row r="9626">
          <cell r="E9626" t="str">
            <v>JOUR</v>
          </cell>
          <cell r="F9626" t="str">
            <v>JOUR-J</v>
          </cell>
          <cell r="G9626">
            <v>410</v>
          </cell>
          <cell r="H9626" t="str">
            <v>JOUR-J410</v>
          </cell>
          <cell r="K9626" t="str">
            <v>Wellman,Curt Paul</v>
          </cell>
          <cell r="N9626">
            <v>3.2360000000000002</v>
          </cell>
          <cell r="O9626">
            <v>3.335</v>
          </cell>
        </row>
        <row r="9627">
          <cell r="E9627" t="str">
            <v>JOUR</v>
          </cell>
          <cell r="F9627" t="str">
            <v>JOUR-J</v>
          </cell>
          <cell r="G9627">
            <v>410</v>
          </cell>
          <cell r="H9627" t="str">
            <v>JOUR-J410</v>
          </cell>
          <cell r="K9627" t="str">
            <v>White,Teresa Ann</v>
          </cell>
          <cell r="N9627">
            <v>3.82</v>
          </cell>
          <cell r="O9627">
            <v>3.3</v>
          </cell>
        </row>
        <row r="9628">
          <cell r="E9628" t="str">
            <v>JOUR</v>
          </cell>
          <cell r="F9628" t="str">
            <v>JOUR-J</v>
          </cell>
          <cell r="G9628">
            <v>410</v>
          </cell>
          <cell r="H9628" t="str">
            <v>JOUR-J410</v>
          </cell>
          <cell r="K9628" t="str">
            <v>White,Teresa Ann</v>
          </cell>
          <cell r="N9628">
            <v>3.3109999999999999</v>
          </cell>
          <cell r="O9628">
            <v>3.11</v>
          </cell>
        </row>
        <row r="9629">
          <cell r="E9629" t="str">
            <v>JOUR</v>
          </cell>
          <cell r="F9629" t="str">
            <v>JOUR-J</v>
          </cell>
          <cell r="G9629">
            <v>414</v>
          </cell>
          <cell r="H9629" t="str">
            <v>JOUR-J414</v>
          </cell>
          <cell r="K9629" t="str">
            <v>Brownlee,Bonnie Jeanne</v>
          </cell>
          <cell r="N9629">
            <v>2.968</v>
          </cell>
          <cell r="O9629">
            <v>3.0409999999999999</v>
          </cell>
        </row>
        <row r="9630">
          <cell r="E9630" t="str">
            <v>JOUR</v>
          </cell>
          <cell r="F9630" t="str">
            <v>JOUR-J</v>
          </cell>
          <cell r="G9630">
            <v>414</v>
          </cell>
          <cell r="H9630" t="str">
            <v>JOUR-J414</v>
          </cell>
          <cell r="K9630" t="str">
            <v>Pennington,Rosemary Maria</v>
          </cell>
          <cell r="N9630">
            <v>3.77</v>
          </cell>
          <cell r="O9630">
            <v>3.2250000000000001</v>
          </cell>
        </row>
        <row r="9631">
          <cell r="E9631" t="str">
            <v>JOUR</v>
          </cell>
          <cell r="F9631" t="str">
            <v>JOUR-J</v>
          </cell>
          <cell r="G9631">
            <v>415</v>
          </cell>
          <cell r="H9631" t="str">
            <v>JOUR-J415</v>
          </cell>
          <cell r="K9631" t="str">
            <v>Cannon,Jeffrey Day</v>
          </cell>
          <cell r="N9631">
            <v>3.7</v>
          </cell>
          <cell r="O9631">
            <v>3.0529999999999999</v>
          </cell>
        </row>
        <row r="9632">
          <cell r="E9632" t="str">
            <v>JOUR</v>
          </cell>
          <cell r="F9632" t="str">
            <v>JOUR-J</v>
          </cell>
          <cell r="G9632">
            <v>418</v>
          </cell>
          <cell r="H9632" t="str">
            <v>JOUR-J418</v>
          </cell>
          <cell r="K9632" t="str">
            <v>Brownlee,Bonnie Jeanne</v>
          </cell>
          <cell r="N9632">
            <v>3.38</v>
          </cell>
          <cell r="O9632">
            <v>3.3380000000000001</v>
          </cell>
        </row>
        <row r="9633">
          <cell r="E9633" t="str">
            <v>JOUR</v>
          </cell>
          <cell r="F9633" t="str">
            <v>JOUR-J</v>
          </cell>
          <cell r="G9633">
            <v>418</v>
          </cell>
          <cell r="H9633" t="str">
            <v>JOUR-J418</v>
          </cell>
          <cell r="K9633" t="str">
            <v>Coleman,Joseph M</v>
          </cell>
          <cell r="N9633">
            <v>3.1859999999999999</v>
          </cell>
          <cell r="O9633">
            <v>3.1930000000000001</v>
          </cell>
        </row>
        <row r="9634">
          <cell r="E9634" t="str">
            <v>JOUR</v>
          </cell>
          <cell r="F9634" t="str">
            <v>JOUR-J</v>
          </cell>
          <cell r="G9634">
            <v>418</v>
          </cell>
          <cell r="H9634" t="str">
            <v>JOUR-J418</v>
          </cell>
          <cell r="K9634" t="str">
            <v>Conway,Michael Thomas</v>
          </cell>
          <cell r="N9634" t="str">
            <v>NR</v>
          </cell>
          <cell r="O9634" t="str">
            <v>NR</v>
          </cell>
        </row>
        <row r="9635">
          <cell r="E9635" t="str">
            <v>JOUR</v>
          </cell>
          <cell r="F9635" t="str">
            <v>JOUR-J</v>
          </cell>
          <cell r="G9635">
            <v>418</v>
          </cell>
          <cell r="H9635" t="str">
            <v>JOUR-J418</v>
          </cell>
          <cell r="K9635" t="str">
            <v>Ibold,Hans Peter</v>
          </cell>
          <cell r="N9635">
            <v>4</v>
          </cell>
          <cell r="O9635">
            <v>3.379</v>
          </cell>
        </row>
        <row r="9636">
          <cell r="E9636" t="str">
            <v>JOUR</v>
          </cell>
          <cell r="F9636" t="str">
            <v>JOUR-J</v>
          </cell>
          <cell r="G9636">
            <v>418</v>
          </cell>
          <cell r="H9636" t="str">
            <v>JOUR-J418</v>
          </cell>
          <cell r="K9636" t="str">
            <v>Johnson,Owen V</v>
          </cell>
          <cell r="N9636">
            <v>3.3809999999999998</v>
          </cell>
          <cell r="O9636">
            <v>3.3079999999999998</v>
          </cell>
        </row>
        <row r="9637">
          <cell r="E9637" t="str">
            <v>JOUR</v>
          </cell>
          <cell r="F9637" t="str">
            <v>JOUR-J</v>
          </cell>
          <cell r="G9637">
            <v>418</v>
          </cell>
          <cell r="H9637" t="str">
            <v>JOUR-J418</v>
          </cell>
          <cell r="K9637" t="str">
            <v>Willnat,Lars</v>
          </cell>
          <cell r="N9637">
            <v>3.8210000000000002</v>
          </cell>
          <cell r="O9637">
            <v>3.4460000000000002</v>
          </cell>
        </row>
        <row r="9638">
          <cell r="E9638" t="str">
            <v>JOUR</v>
          </cell>
          <cell r="F9638" t="str">
            <v>JOUR-J</v>
          </cell>
          <cell r="G9638">
            <v>420</v>
          </cell>
          <cell r="H9638" t="str">
            <v>JOUR-J420</v>
          </cell>
          <cell r="K9638" t="str">
            <v>Rund,Christopher Scott</v>
          </cell>
          <cell r="N9638">
            <v>3.3940000000000001</v>
          </cell>
          <cell r="O9638">
            <v>3.0539999999999998</v>
          </cell>
        </row>
        <row r="9639">
          <cell r="E9639" t="str">
            <v>JOUR</v>
          </cell>
          <cell r="F9639" t="str">
            <v>JOUR-J</v>
          </cell>
          <cell r="G9639">
            <v>420</v>
          </cell>
          <cell r="H9639" t="str">
            <v>JOUR-J420</v>
          </cell>
          <cell r="K9639" t="str">
            <v>Rund,Christopher Scott</v>
          </cell>
          <cell r="N9639">
            <v>3.5609999999999999</v>
          </cell>
          <cell r="O9639">
            <v>3.1259999999999999</v>
          </cell>
        </row>
        <row r="9640">
          <cell r="E9640" t="str">
            <v>JOUR</v>
          </cell>
          <cell r="F9640" t="str">
            <v>JOUR-J</v>
          </cell>
          <cell r="G9640">
            <v>420</v>
          </cell>
          <cell r="H9640" t="str">
            <v>JOUR-J420</v>
          </cell>
          <cell r="K9640" t="str">
            <v>Wood,Craig Park</v>
          </cell>
          <cell r="N9640">
            <v>3.806</v>
          </cell>
          <cell r="O9640">
            <v>3.1659999999999999</v>
          </cell>
        </row>
        <row r="9641">
          <cell r="E9641" t="str">
            <v>JOUR</v>
          </cell>
          <cell r="F9641" t="str">
            <v>JOUR-J</v>
          </cell>
          <cell r="G9641">
            <v>423</v>
          </cell>
          <cell r="H9641" t="str">
            <v>JOUR-J423</v>
          </cell>
          <cell r="K9641" t="str">
            <v>Ireri,Kioko</v>
          </cell>
          <cell r="N9641">
            <v>3.407</v>
          </cell>
          <cell r="O9641">
            <v>2.9119999999999999</v>
          </cell>
        </row>
        <row r="9642">
          <cell r="E9642" t="str">
            <v>JOUR</v>
          </cell>
          <cell r="F9642" t="str">
            <v>JOUR-J</v>
          </cell>
          <cell r="G9642">
            <v>425</v>
          </cell>
          <cell r="H9642" t="str">
            <v>JOUR-J425</v>
          </cell>
          <cell r="K9642" t="str">
            <v>White,Teresa Ann</v>
          </cell>
          <cell r="N9642" t="str">
            <v>NR</v>
          </cell>
          <cell r="O9642" t="str">
            <v>NR</v>
          </cell>
        </row>
        <row r="9643">
          <cell r="E9643" t="str">
            <v>JOUR</v>
          </cell>
          <cell r="F9643" t="str">
            <v>JOUR-J</v>
          </cell>
          <cell r="G9643">
            <v>428</v>
          </cell>
          <cell r="H9643" t="str">
            <v>JOUR-J428</v>
          </cell>
          <cell r="K9643" t="str">
            <v>Elliott,Dennis Dawson</v>
          </cell>
          <cell r="N9643">
            <v>3.379</v>
          </cell>
          <cell r="O9643">
            <v>3.1579999999999999</v>
          </cell>
        </row>
        <row r="9644">
          <cell r="E9644" t="str">
            <v>JOUR</v>
          </cell>
          <cell r="F9644" t="str">
            <v>JOUR-J</v>
          </cell>
          <cell r="G9644">
            <v>428</v>
          </cell>
          <cell r="H9644" t="str">
            <v>JOUR-J428</v>
          </cell>
          <cell r="K9644" t="str">
            <v>Elliott,Dennis Dawson</v>
          </cell>
          <cell r="N9644">
            <v>3.29</v>
          </cell>
          <cell r="O9644">
            <v>3.2170000000000001</v>
          </cell>
        </row>
        <row r="9645">
          <cell r="E9645" t="str">
            <v>JOUR</v>
          </cell>
          <cell r="F9645" t="str">
            <v>JOUR-J</v>
          </cell>
          <cell r="G9645">
            <v>428</v>
          </cell>
          <cell r="H9645" t="str">
            <v>JOUR-J428</v>
          </cell>
          <cell r="K9645" t="str">
            <v>Willnat,Annette</v>
          </cell>
          <cell r="N9645">
            <v>3.2789999999999999</v>
          </cell>
          <cell r="O9645">
            <v>3.0640000000000001</v>
          </cell>
        </row>
        <row r="9646">
          <cell r="E9646" t="str">
            <v>JOUR</v>
          </cell>
          <cell r="F9646" t="str">
            <v>JOUR-J</v>
          </cell>
          <cell r="G9646">
            <v>428</v>
          </cell>
          <cell r="H9646" t="str">
            <v>JOUR-J428</v>
          </cell>
          <cell r="K9646" t="str">
            <v>Yang,Sung Un</v>
          </cell>
          <cell r="N9646">
            <v>3.7280000000000002</v>
          </cell>
          <cell r="O9646">
            <v>3.181</v>
          </cell>
        </row>
        <row r="9647">
          <cell r="E9647" t="str">
            <v>JOUR</v>
          </cell>
          <cell r="F9647" t="str">
            <v>JOUR-J</v>
          </cell>
          <cell r="G9647">
            <v>429</v>
          </cell>
          <cell r="H9647" t="str">
            <v>JOUR-J429</v>
          </cell>
          <cell r="K9647" t="str">
            <v>Ehmer,Emily Ann</v>
          </cell>
          <cell r="N9647">
            <v>3.9470000000000001</v>
          </cell>
          <cell r="O9647">
            <v>3.21</v>
          </cell>
        </row>
        <row r="9648">
          <cell r="E9648" t="str">
            <v>JOUR</v>
          </cell>
          <cell r="F9648" t="str">
            <v>JOUR-J</v>
          </cell>
          <cell r="G9648">
            <v>429</v>
          </cell>
          <cell r="H9648" t="str">
            <v>JOUR-J429</v>
          </cell>
          <cell r="K9648" t="str">
            <v>Willnat,Annette</v>
          </cell>
          <cell r="N9648">
            <v>3.5059999999999998</v>
          </cell>
          <cell r="O9648">
            <v>3.1549999999999998</v>
          </cell>
        </row>
        <row r="9649">
          <cell r="E9649" t="str">
            <v>JOUR</v>
          </cell>
          <cell r="F9649" t="str">
            <v>JOUR-J</v>
          </cell>
          <cell r="G9649">
            <v>431</v>
          </cell>
          <cell r="H9649" t="str">
            <v>JOUR-J431</v>
          </cell>
          <cell r="K9649" t="str">
            <v>Elliott,Dennis Dawson</v>
          </cell>
          <cell r="N9649">
            <v>3.5579999999999998</v>
          </cell>
          <cell r="O9649">
            <v>3.19</v>
          </cell>
        </row>
        <row r="9650">
          <cell r="E9650" t="str">
            <v>JOUR</v>
          </cell>
          <cell r="F9650" t="str">
            <v>JOUR-J</v>
          </cell>
          <cell r="G9650">
            <v>438</v>
          </cell>
          <cell r="H9650" t="str">
            <v>JOUR-J438</v>
          </cell>
          <cell r="K9650" t="str">
            <v>Wood,Craig Park</v>
          </cell>
          <cell r="N9650">
            <v>3.5059999999999998</v>
          </cell>
          <cell r="O9650">
            <v>3.3519999999999999</v>
          </cell>
        </row>
        <row r="9651">
          <cell r="E9651" t="str">
            <v>JOUR</v>
          </cell>
          <cell r="F9651" t="str">
            <v>JOUR-J</v>
          </cell>
          <cell r="G9651">
            <v>438</v>
          </cell>
          <cell r="H9651" t="str">
            <v>JOUR-J438</v>
          </cell>
          <cell r="K9651" t="str">
            <v>Wood,Craig Park</v>
          </cell>
          <cell r="N9651">
            <v>3.65</v>
          </cell>
          <cell r="O9651">
            <v>3.2440000000000002</v>
          </cell>
        </row>
        <row r="9652">
          <cell r="E9652" t="str">
            <v>JOUR</v>
          </cell>
          <cell r="F9652" t="str">
            <v>JOUR-J</v>
          </cell>
          <cell r="G9652">
            <v>450</v>
          </cell>
          <cell r="H9652" t="str">
            <v>JOUR-J450</v>
          </cell>
          <cell r="K9652" t="str">
            <v>Conway,Michael Thomas</v>
          </cell>
          <cell r="N9652">
            <v>3.0840000000000001</v>
          </cell>
          <cell r="O9652">
            <v>3.0710000000000002</v>
          </cell>
        </row>
        <row r="9653">
          <cell r="E9653" t="str">
            <v>JOUR</v>
          </cell>
          <cell r="F9653" t="str">
            <v>JOUR-J</v>
          </cell>
          <cell r="G9653">
            <v>460</v>
          </cell>
          <cell r="H9653" t="str">
            <v>JOUR-J460</v>
          </cell>
          <cell r="K9653" t="str">
            <v>French,Thomas M</v>
          </cell>
          <cell r="N9653">
            <v>3.117</v>
          </cell>
          <cell r="O9653">
            <v>3.4980000000000002</v>
          </cell>
        </row>
        <row r="9654">
          <cell r="E9654" t="str">
            <v>JOUR</v>
          </cell>
          <cell r="F9654" t="str">
            <v>JOUR-J</v>
          </cell>
          <cell r="G9654">
            <v>460</v>
          </cell>
          <cell r="H9654" t="str">
            <v>JOUR-J460</v>
          </cell>
          <cell r="K9654" t="str">
            <v>French,Thomas M</v>
          </cell>
          <cell r="N9654">
            <v>2.4889999999999999</v>
          </cell>
          <cell r="O9654">
            <v>3.3029999999999999</v>
          </cell>
        </row>
        <row r="9655">
          <cell r="E9655" t="str">
            <v>JOUR</v>
          </cell>
          <cell r="F9655" t="str">
            <v>JOUR-J</v>
          </cell>
          <cell r="G9655">
            <v>460</v>
          </cell>
          <cell r="H9655" t="str">
            <v>JOUR-J460</v>
          </cell>
          <cell r="K9655" t="str">
            <v>French,Thomas M</v>
          </cell>
          <cell r="N9655">
            <v>2.9</v>
          </cell>
          <cell r="O9655">
            <v>3.2440000000000002</v>
          </cell>
        </row>
        <row r="9656">
          <cell r="E9656" t="str">
            <v>JOUR</v>
          </cell>
          <cell r="F9656" t="str">
            <v>JOUR-J</v>
          </cell>
          <cell r="G9656">
            <v>460</v>
          </cell>
          <cell r="H9656" t="str">
            <v>JOUR-J460</v>
          </cell>
          <cell r="K9656" t="str">
            <v>Jacobi,Peter P</v>
          </cell>
          <cell r="N9656">
            <v>3.0289999999999999</v>
          </cell>
          <cell r="O9656">
            <v>3.0739999999999998</v>
          </cell>
        </row>
        <row r="9657">
          <cell r="E9657" t="str">
            <v>JOUR</v>
          </cell>
          <cell r="F9657" t="str">
            <v>JOUR-J</v>
          </cell>
          <cell r="G9657">
            <v>460</v>
          </cell>
          <cell r="H9657" t="str">
            <v>JOUR-J460</v>
          </cell>
          <cell r="K9657" t="str">
            <v>Kelly,James D</v>
          </cell>
          <cell r="N9657">
            <v>3.5710000000000002</v>
          </cell>
          <cell r="O9657">
            <v>3.2690000000000001</v>
          </cell>
        </row>
        <row r="9658">
          <cell r="E9658" t="str">
            <v>JOUR</v>
          </cell>
          <cell r="F9658" t="str">
            <v>JOUR-J</v>
          </cell>
          <cell r="G9658">
            <v>460</v>
          </cell>
          <cell r="H9658" t="str">
            <v>JOUR-J460</v>
          </cell>
          <cell r="K9658" t="str">
            <v>Laucella,Pamela Carol</v>
          </cell>
          <cell r="N9658">
            <v>3.55</v>
          </cell>
          <cell r="O9658">
            <v>3.1579999999999999</v>
          </cell>
        </row>
        <row r="9659">
          <cell r="E9659" t="str">
            <v>JOUR</v>
          </cell>
          <cell r="F9659" t="str">
            <v>JOUR-J</v>
          </cell>
          <cell r="G9659">
            <v>460</v>
          </cell>
          <cell r="H9659" t="str">
            <v>JOUR-J460</v>
          </cell>
          <cell r="K9659" t="str">
            <v>Neal-Estes,Sarah Stuart</v>
          </cell>
          <cell r="N9659">
            <v>3.7639999999999998</v>
          </cell>
          <cell r="O9659">
            <v>3.379</v>
          </cell>
        </row>
        <row r="9660">
          <cell r="E9660" t="str">
            <v>JOUR</v>
          </cell>
          <cell r="F9660" t="str">
            <v>JOUR-J</v>
          </cell>
          <cell r="G9660">
            <v>460</v>
          </cell>
          <cell r="H9660" t="str">
            <v>JOUR-J460</v>
          </cell>
          <cell r="K9660" t="str">
            <v>Neal-Estes,Sarah Stuart</v>
          </cell>
          <cell r="N9660">
            <v>3.6669999999999998</v>
          </cell>
          <cell r="O9660">
            <v>3.25</v>
          </cell>
        </row>
        <row r="9661">
          <cell r="E9661" t="str">
            <v>JOUR</v>
          </cell>
          <cell r="F9661" t="str">
            <v>JOUR-J</v>
          </cell>
          <cell r="G9661">
            <v>460</v>
          </cell>
          <cell r="H9661" t="str">
            <v>JOUR-J460</v>
          </cell>
          <cell r="K9661" t="str">
            <v>Raymer,Steven Laurence</v>
          </cell>
          <cell r="N9661">
            <v>3.4409999999999998</v>
          </cell>
          <cell r="O9661">
            <v>3.2010000000000001</v>
          </cell>
        </row>
        <row r="9662">
          <cell r="E9662" t="str">
            <v>JOUR</v>
          </cell>
          <cell r="F9662" t="str">
            <v>JOUR-J</v>
          </cell>
          <cell r="G9662">
            <v>460</v>
          </cell>
          <cell r="H9662" t="str">
            <v>JOUR-J460</v>
          </cell>
          <cell r="K9662" t="str">
            <v>Raymer,Steven Laurence</v>
          </cell>
          <cell r="N9662">
            <v>3.77</v>
          </cell>
          <cell r="O9662">
            <v>3.2589999999999999</v>
          </cell>
        </row>
        <row r="9663">
          <cell r="E9663" t="str">
            <v>JOUR</v>
          </cell>
          <cell r="F9663" t="str">
            <v>JOUR-J</v>
          </cell>
          <cell r="G9663">
            <v>460</v>
          </cell>
          <cell r="H9663" t="str">
            <v>JOUR-J460</v>
          </cell>
          <cell r="K9663" t="str">
            <v>Wood,Craig Park</v>
          </cell>
          <cell r="N9663">
            <v>3.7440000000000002</v>
          </cell>
          <cell r="O9663">
            <v>3.12</v>
          </cell>
        </row>
        <row r="9664">
          <cell r="E9664" t="str">
            <v>JOUR</v>
          </cell>
          <cell r="F9664" t="str">
            <v>JOUR-J</v>
          </cell>
          <cell r="G9664">
            <v>460</v>
          </cell>
          <cell r="H9664" t="str">
            <v>JOUR-J460</v>
          </cell>
          <cell r="K9664" t="str">
            <v>Wood,Craig Park</v>
          </cell>
          <cell r="N9664">
            <v>3.7879999999999998</v>
          </cell>
          <cell r="O9664">
            <v>3.371</v>
          </cell>
        </row>
        <row r="9665">
          <cell r="E9665" t="str">
            <v>JOUR</v>
          </cell>
          <cell r="F9665" t="str">
            <v>JOUR-J</v>
          </cell>
          <cell r="G9665">
            <v>462</v>
          </cell>
          <cell r="H9665" t="str">
            <v>JOUR-J462</v>
          </cell>
          <cell r="K9665" t="str">
            <v>Cookman,Claude H.</v>
          </cell>
          <cell r="N9665">
            <v>3.3039999999999998</v>
          </cell>
          <cell r="O9665">
            <v>3.2450000000000001</v>
          </cell>
        </row>
        <row r="9666">
          <cell r="E9666" t="str">
            <v>JOUR</v>
          </cell>
          <cell r="F9666" t="str">
            <v>JOUR-J</v>
          </cell>
          <cell r="G9666">
            <v>463</v>
          </cell>
          <cell r="H9666" t="str">
            <v>JOUR-J463</v>
          </cell>
          <cell r="K9666" t="str">
            <v>Birthisel,Jessica Ann</v>
          </cell>
          <cell r="N9666">
            <v>2.9060000000000001</v>
          </cell>
          <cell r="O9666">
            <v>3.0139999999999998</v>
          </cell>
        </row>
        <row r="9667">
          <cell r="E9667" t="str">
            <v>JOUR</v>
          </cell>
          <cell r="F9667" t="str">
            <v>JOUR-J</v>
          </cell>
          <cell r="G9667">
            <v>463</v>
          </cell>
          <cell r="H9667" t="str">
            <v>JOUR-J463</v>
          </cell>
          <cell r="K9667" t="str">
            <v>Cookman,Claude H.</v>
          </cell>
          <cell r="N9667">
            <v>3.7650000000000001</v>
          </cell>
          <cell r="O9667">
            <v>3.5230000000000001</v>
          </cell>
        </row>
        <row r="9668">
          <cell r="E9668" t="str">
            <v>JOUR</v>
          </cell>
          <cell r="F9668" t="str">
            <v>JOUR-J</v>
          </cell>
          <cell r="G9668">
            <v>463</v>
          </cell>
          <cell r="H9668" t="str">
            <v>JOUR-J463</v>
          </cell>
          <cell r="K9668" t="str">
            <v>Kelly,James D</v>
          </cell>
          <cell r="N9668">
            <v>3.5710000000000002</v>
          </cell>
          <cell r="O9668">
            <v>3.4470000000000001</v>
          </cell>
        </row>
        <row r="9669">
          <cell r="E9669" t="str">
            <v>JOUR</v>
          </cell>
          <cell r="F9669" t="str">
            <v>JOUR-J</v>
          </cell>
          <cell r="G9669">
            <v>463</v>
          </cell>
          <cell r="H9669" t="str">
            <v>JOUR-J463</v>
          </cell>
          <cell r="K9669" t="str">
            <v>Kelly,James D</v>
          </cell>
          <cell r="N9669">
            <v>3.5939999999999999</v>
          </cell>
          <cell r="O9669">
            <v>3.32</v>
          </cell>
        </row>
        <row r="9670">
          <cell r="E9670" t="str">
            <v>JOUR</v>
          </cell>
          <cell r="F9670" t="str">
            <v>JOUR-J</v>
          </cell>
          <cell r="G9670">
            <v>463</v>
          </cell>
          <cell r="H9670" t="str">
            <v>JOUR-J463</v>
          </cell>
          <cell r="K9670" t="str">
            <v>Mc Deavitt,Daniel Charles</v>
          </cell>
          <cell r="N9670">
            <v>3.6589999999999998</v>
          </cell>
          <cell r="O9670">
            <v>3.3250000000000002</v>
          </cell>
        </row>
        <row r="9671">
          <cell r="E9671" t="str">
            <v>JOUR</v>
          </cell>
          <cell r="F9671" t="str">
            <v>JOUR-J</v>
          </cell>
          <cell r="G9671">
            <v>463</v>
          </cell>
          <cell r="H9671" t="str">
            <v>JOUR-J463</v>
          </cell>
          <cell r="K9671" t="str">
            <v>White,Teresa Ann</v>
          </cell>
          <cell r="N9671">
            <v>3.4529999999999998</v>
          </cell>
          <cell r="O9671">
            <v>3.07</v>
          </cell>
        </row>
        <row r="9672">
          <cell r="E9672" t="str">
            <v>JOUR</v>
          </cell>
          <cell r="F9672" t="str">
            <v>JOUR-J</v>
          </cell>
          <cell r="G9672">
            <v>465</v>
          </cell>
          <cell r="H9672" t="str">
            <v>JOUR-J465</v>
          </cell>
          <cell r="K9672" t="str">
            <v>Layton,Stephen</v>
          </cell>
          <cell r="N9672">
            <v>3.4</v>
          </cell>
          <cell r="O9672">
            <v>3.2839999999999998</v>
          </cell>
        </row>
        <row r="9673">
          <cell r="E9673" t="str">
            <v>JOUR</v>
          </cell>
          <cell r="F9673" t="str">
            <v>JOUR-J</v>
          </cell>
          <cell r="G9673">
            <v>465</v>
          </cell>
          <cell r="H9673" t="str">
            <v>JOUR-J465</v>
          </cell>
          <cell r="K9673" t="str">
            <v>Layton,Stephen</v>
          </cell>
          <cell r="N9673">
            <v>3.4</v>
          </cell>
          <cell r="O9673">
            <v>3.3679999999999999</v>
          </cell>
        </row>
        <row r="9674">
          <cell r="E9674" t="str">
            <v>JOUR</v>
          </cell>
          <cell r="F9674" t="str">
            <v>JOUR-J</v>
          </cell>
          <cell r="G9674">
            <v>488</v>
          </cell>
          <cell r="H9674" t="str">
            <v>JOUR-J488</v>
          </cell>
          <cell r="K9674" t="str">
            <v>Hetrick,Bruce Kevin</v>
          </cell>
          <cell r="N9674">
            <v>3.3079999999999998</v>
          </cell>
          <cell r="O9674">
            <v>3.0350000000000001</v>
          </cell>
        </row>
        <row r="9675">
          <cell r="E9675" t="str">
            <v>JOUR</v>
          </cell>
          <cell r="F9675" t="str">
            <v>JOUR-J</v>
          </cell>
          <cell r="G9675">
            <v>488</v>
          </cell>
          <cell r="H9675" t="str">
            <v>JOUR-J488</v>
          </cell>
          <cell r="K9675" t="str">
            <v>Hetrick,Bruce Kevin</v>
          </cell>
          <cell r="N9675">
            <v>3.4369999999999998</v>
          </cell>
          <cell r="O9675">
            <v>2.9550000000000001</v>
          </cell>
        </row>
        <row r="9676">
          <cell r="E9676" t="str">
            <v>JOUR</v>
          </cell>
          <cell r="F9676" t="str">
            <v>JOUR-J</v>
          </cell>
          <cell r="G9676">
            <v>492</v>
          </cell>
          <cell r="H9676" t="str">
            <v>JOUR-J492</v>
          </cell>
          <cell r="K9676" t="str">
            <v>Debnam,Marcia F</v>
          </cell>
          <cell r="N9676">
            <v>3.7879999999999998</v>
          </cell>
          <cell r="O9676">
            <v>3.1320000000000001</v>
          </cell>
        </row>
        <row r="9677">
          <cell r="E9677" t="str">
            <v>JOUR</v>
          </cell>
          <cell r="F9677" t="str">
            <v>JOUR-J</v>
          </cell>
          <cell r="G9677">
            <v>492</v>
          </cell>
          <cell r="H9677" t="str">
            <v>JOUR-J492</v>
          </cell>
          <cell r="K9677" t="str">
            <v>Debnam,Marcia F</v>
          </cell>
          <cell r="N9677">
            <v>3.9169999999999998</v>
          </cell>
          <cell r="O9677">
            <v>3.2879999999999998</v>
          </cell>
        </row>
        <row r="9678">
          <cell r="E9678" t="str">
            <v>JOUR</v>
          </cell>
          <cell r="F9678" t="str">
            <v>JOUR-J</v>
          </cell>
          <cell r="G9678">
            <v>492</v>
          </cell>
          <cell r="H9678" t="str">
            <v>JOUR-J492</v>
          </cell>
          <cell r="K9678" t="str">
            <v>Debnam,Marcia F</v>
          </cell>
          <cell r="N9678" t="str">
            <v>NR</v>
          </cell>
          <cell r="O9678" t="str">
            <v>NR</v>
          </cell>
        </row>
        <row r="9679">
          <cell r="E9679" t="str">
            <v>JOUR</v>
          </cell>
          <cell r="F9679" t="str">
            <v>JOUR-J</v>
          </cell>
          <cell r="G9679">
            <v>493</v>
          </cell>
          <cell r="H9679" t="str">
            <v>JOUR-J493</v>
          </cell>
          <cell r="K9679" t="str">
            <v>Brownlee,Bonnie Jeanne</v>
          </cell>
          <cell r="N9679" t="str">
            <v>NR</v>
          </cell>
          <cell r="O9679" t="str">
            <v>NR</v>
          </cell>
        </row>
        <row r="9680">
          <cell r="E9680" t="str">
            <v>JOUR</v>
          </cell>
          <cell r="F9680" t="str">
            <v>JOUR-J</v>
          </cell>
          <cell r="G9680">
            <v>499</v>
          </cell>
          <cell r="H9680" t="str">
            <v>JOUR-J499</v>
          </cell>
          <cell r="K9680" t="str">
            <v>Brownlee,Bonnie Jeanne</v>
          </cell>
          <cell r="N9680" t="str">
            <v>NR</v>
          </cell>
          <cell r="O9680" t="str">
            <v>NR</v>
          </cell>
        </row>
        <row r="9681">
          <cell r="E9681" t="str">
            <v>JOUR</v>
          </cell>
          <cell r="F9681" t="str">
            <v>JOUR-J</v>
          </cell>
          <cell r="G9681">
            <v>499</v>
          </cell>
          <cell r="H9681" t="str">
            <v>JOUR-J499</v>
          </cell>
          <cell r="K9681" t="str">
            <v>Elliott,Dennis Dawson</v>
          </cell>
          <cell r="N9681" t="str">
            <v>NR</v>
          </cell>
          <cell r="O9681" t="str">
            <v>NR</v>
          </cell>
        </row>
        <row r="9682">
          <cell r="E9682" t="str">
            <v>JOUR</v>
          </cell>
          <cell r="F9682" t="str">
            <v>JOUR-J</v>
          </cell>
          <cell r="G9682">
            <v>499</v>
          </cell>
          <cell r="H9682" t="str">
            <v>JOUR-J499</v>
          </cell>
          <cell r="K9682" t="str">
            <v>Evans,Michael Robert</v>
          </cell>
          <cell r="N9682" t="str">
            <v>NR</v>
          </cell>
          <cell r="O9682" t="str">
            <v>NR</v>
          </cell>
        </row>
        <row r="9683">
          <cell r="E9683" t="str">
            <v>JOUR</v>
          </cell>
          <cell r="F9683" t="str">
            <v>JOUR-J</v>
          </cell>
          <cell r="G9683">
            <v>499</v>
          </cell>
          <cell r="H9683" t="str">
            <v>JOUR-J499</v>
          </cell>
          <cell r="K9683" t="str">
            <v>Evans,Michael Robert</v>
          </cell>
          <cell r="N9683" t="str">
            <v>NR</v>
          </cell>
          <cell r="O9683" t="str">
            <v>NR</v>
          </cell>
        </row>
        <row r="9684">
          <cell r="E9684" t="str">
            <v>JOUR</v>
          </cell>
          <cell r="F9684" t="str">
            <v>JOUR-J</v>
          </cell>
          <cell r="G9684">
            <v>500</v>
          </cell>
          <cell r="H9684" t="str">
            <v>JOUR-J500</v>
          </cell>
          <cell r="K9684" t="str">
            <v>Martin,Shannon R</v>
          </cell>
          <cell r="N9684">
            <v>3.9</v>
          </cell>
          <cell r="O9684">
            <v>3.6349999999999998</v>
          </cell>
        </row>
        <row r="9685">
          <cell r="E9685" t="str">
            <v>JOUR</v>
          </cell>
          <cell r="F9685" t="str">
            <v>JOUR-J</v>
          </cell>
          <cell r="G9685">
            <v>501</v>
          </cell>
          <cell r="H9685" t="str">
            <v>JOUR-J501</v>
          </cell>
          <cell r="K9685" t="str">
            <v>Asher,Gena</v>
          </cell>
          <cell r="N9685">
            <v>3.1829999999999998</v>
          </cell>
          <cell r="O9685">
            <v>3.4220000000000002</v>
          </cell>
        </row>
        <row r="9686">
          <cell r="E9686" t="str">
            <v>JOUR</v>
          </cell>
          <cell r="F9686" t="str">
            <v>JOUR-J</v>
          </cell>
          <cell r="G9686">
            <v>502</v>
          </cell>
          <cell r="H9686" t="str">
            <v>JOUR-J502</v>
          </cell>
          <cell r="K9686" t="str">
            <v>Lanosga,Gerry</v>
          </cell>
          <cell r="N9686">
            <v>3.3359999999999999</v>
          </cell>
          <cell r="O9686">
            <v>3.4670000000000001</v>
          </cell>
        </row>
        <row r="9687">
          <cell r="E9687" t="str">
            <v>JOUR</v>
          </cell>
          <cell r="F9687" t="str">
            <v>JOUR-J</v>
          </cell>
          <cell r="G9687">
            <v>510</v>
          </cell>
          <cell r="H9687" t="str">
            <v>JOUR-J510</v>
          </cell>
          <cell r="K9687" t="str">
            <v>Johnson,Owen V</v>
          </cell>
          <cell r="N9687">
            <v>3.4249999999999998</v>
          </cell>
          <cell r="O9687">
            <v>3.5259999999999998</v>
          </cell>
        </row>
        <row r="9688">
          <cell r="E9688" t="str">
            <v>JOUR</v>
          </cell>
          <cell r="F9688" t="str">
            <v>JOUR-J</v>
          </cell>
          <cell r="G9688">
            <v>510</v>
          </cell>
          <cell r="H9688" t="str">
            <v>JOUR-J510</v>
          </cell>
          <cell r="K9688" t="str">
            <v>Martin,Shannon R</v>
          </cell>
          <cell r="N9688" t="str">
            <v>NR</v>
          </cell>
          <cell r="O9688" t="str">
            <v>NR</v>
          </cell>
        </row>
        <row r="9689">
          <cell r="E9689" t="str">
            <v>JOUR</v>
          </cell>
          <cell r="F9689" t="str">
            <v>JOUR-J</v>
          </cell>
          <cell r="G9689">
            <v>516</v>
          </cell>
          <cell r="H9689" t="str">
            <v>JOUR-J516</v>
          </cell>
          <cell r="K9689" t="str">
            <v>Layton,Bonnie L</v>
          </cell>
          <cell r="N9689">
            <v>3.9</v>
          </cell>
          <cell r="O9689">
            <v>3.706</v>
          </cell>
        </row>
        <row r="9690">
          <cell r="E9690" t="str">
            <v>JOUR</v>
          </cell>
          <cell r="F9690" t="str">
            <v>JOUR-J</v>
          </cell>
          <cell r="G9690">
            <v>517</v>
          </cell>
          <cell r="H9690" t="str">
            <v>JOUR-J517</v>
          </cell>
          <cell r="K9690" t="str">
            <v>Layton,Bonnie L</v>
          </cell>
          <cell r="N9690" t="str">
            <v>NR</v>
          </cell>
          <cell r="O9690" t="str">
            <v>NR</v>
          </cell>
        </row>
        <row r="9691">
          <cell r="E9691" t="str">
            <v>JOUR</v>
          </cell>
          <cell r="F9691" t="str">
            <v>JOUR-J</v>
          </cell>
          <cell r="G9691">
            <v>518</v>
          </cell>
          <cell r="H9691" t="str">
            <v>JOUR-J518</v>
          </cell>
          <cell r="K9691" t="str">
            <v>Coleman,Joseph M</v>
          </cell>
          <cell r="N9691" t="str">
            <v>NR</v>
          </cell>
          <cell r="O9691" t="str">
            <v>NR</v>
          </cell>
        </row>
        <row r="9692">
          <cell r="E9692" t="str">
            <v>JOUR</v>
          </cell>
          <cell r="F9692" t="str">
            <v>JOUR-J</v>
          </cell>
          <cell r="G9692">
            <v>518</v>
          </cell>
          <cell r="H9692" t="str">
            <v>JOUR-J518</v>
          </cell>
          <cell r="K9692" t="str">
            <v>Conway,Michael Thomas</v>
          </cell>
          <cell r="N9692" t="str">
            <v>NR</v>
          </cell>
          <cell r="O9692" t="str">
            <v>NR</v>
          </cell>
        </row>
        <row r="9693">
          <cell r="E9693" t="str">
            <v>JOUR</v>
          </cell>
          <cell r="F9693" t="str">
            <v>JOUR-J</v>
          </cell>
          <cell r="G9693">
            <v>518</v>
          </cell>
          <cell r="H9693" t="str">
            <v>JOUR-J518</v>
          </cell>
          <cell r="K9693" t="str">
            <v>Ibold,Hans Peter</v>
          </cell>
          <cell r="N9693" t="str">
            <v>NR</v>
          </cell>
          <cell r="O9693" t="str">
            <v>NR</v>
          </cell>
        </row>
        <row r="9694">
          <cell r="E9694" t="str">
            <v>JOUR</v>
          </cell>
          <cell r="F9694" t="str">
            <v>JOUR-J</v>
          </cell>
          <cell r="G9694">
            <v>518</v>
          </cell>
          <cell r="H9694" t="str">
            <v>JOUR-J518</v>
          </cell>
          <cell r="K9694" t="str">
            <v>Johnson,Owen V</v>
          </cell>
          <cell r="N9694" t="str">
            <v>NR</v>
          </cell>
          <cell r="O9694" t="str">
            <v>NR</v>
          </cell>
        </row>
        <row r="9695">
          <cell r="E9695" t="str">
            <v>JOUR</v>
          </cell>
          <cell r="F9695" t="str">
            <v>JOUR-J</v>
          </cell>
          <cell r="G9695">
            <v>518</v>
          </cell>
          <cell r="H9695" t="str">
            <v>JOUR-J518</v>
          </cell>
          <cell r="K9695" t="str">
            <v>Willnat,Lars</v>
          </cell>
          <cell r="N9695" t="str">
            <v>NR</v>
          </cell>
          <cell r="O9695" t="str">
            <v>NR</v>
          </cell>
        </row>
        <row r="9696">
          <cell r="E9696" t="str">
            <v>JOUR</v>
          </cell>
          <cell r="F9696" t="str">
            <v>JOUR-J</v>
          </cell>
          <cell r="G9696">
            <v>520</v>
          </cell>
          <cell r="H9696" t="str">
            <v>JOUR-J520</v>
          </cell>
          <cell r="K9696" t="str">
            <v>Major,Lesa Hatley</v>
          </cell>
          <cell r="N9696">
            <v>3.875</v>
          </cell>
          <cell r="O9696">
            <v>3.5339999999999998</v>
          </cell>
        </row>
        <row r="9697">
          <cell r="E9697" t="str">
            <v>JOUR</v>
          </cell>
          <cell r="F9697" t="str">
            <v>JOUR-J</v>
          </cell>
          <cell r="G9697">
            <v>525</v>
          </cell>
          <cell r="H9697" t="str">
            <v>JOUR-J525</v>
          </cell>
          <cell r="K9697" t="str">
            <v>White,Teresa Ann</v>
          </cell>
          <cell r="N9697" t="str">
            <v>NR</v>
          </cell>
          <cell r="O9697" t="str">
            <v>NR</v>
          </cell>
        </row>
        <row r="9698">
          <cell r="E9698" t="str">
            <v>JOUR</v>
          </cell>
          <cell r="F9698" t="str">
            <v>JOUR-J</v>
          </cell>
          <cell r="G9698">
            <v>530</v>
          </cell>
          <cell r="H9698" t="str">
            <v>JOUR-J530</v>
          </cell>
          <cell r="K9698" t="str">
            <v>Ibold,Hans Peter</v>
          </cell>
          <cell r="N9698">
            <v>3.7919999999999998</v>
          </cell>
          <cell r="O9698">
            <v>3.7040000000000002</v>
          </cell>
        </row>
        <row r="9699">
          <cell r="E9699" t="str">
            <v>JOUR</v>
          </cell>
          <cell r="F9699" t="str">
            <v>JOUR-J</v>
          </cell>
          <cell r="G9699">
            <v>552</v>
          </cell>
          <cell r="H9699" t="str">
            <v>JOUR-J552</v>
          </cell>
          <cell r="K9699" t="str">
            <v>Jacobi,Peter P</v>
          </cell>
          <cell r="N9699" t="str">
            <v>NR</v>
          </cell>
          <cell r="O9699" t="str">
            <v>NR</v>
          </cell>
        </row>
        <row r="9700">
          <cell r="E9700" t="str">
            <v>JOUR</v>
          </cell>
          <cell r="F9700" t="str">
            <v>JOUR-J</v>
          </cell>
          <cell r="G9700">
            <v>560</v>
          </cell>
          <cell r="H9700" t="str">
            <v>JOUR-J560</v>
          </cell>
          <cell r="K9700" t="str">
            <v>Coleman,Joseph M</v>
          </cell>
          <cell r="N9700">
            <v>3.5</v>
          </cell>
          <cell r="O9700">
            <v>3.6640000000000001</v>
          </cell>
        </row>
        <row r="9701">
          <cell r="E9701" t="str">
            <v>JOUR</v>
          </cell>
          <cell r="F9701" t="str">
            <v>JOUR-J</v>
          </cell>
          <cell r="G9701">
            <v>560</v>
          </cell>
          <cell r="H9701" t="str">
            <v>JOUR-J560</v>
          </cell>
          <cell r="K9701" t="str">
            <v>Willnat,Lars</v>
          </cell>
          <cell r="N9701">
            <v>3.62</v>
          </cell>
          <cell r="O9701">
            <v>3.6680000000000001</v>
          </cell>
        </row>
        <row r="9702">
          <cell r="E9702" t="str">
            <v>JOUR</v>
          </cell>
          <cell r="F9702" t="str">
            <v>JOUR-J</v>
          </cell>
          <cell r="G9702">
            <v>563</v>
          </cell>
          <cell r="H9702" t="str">
            <v>JOUR-J563</v>
          </cell>
          <cell r="K9702" t="str">
            <v>Layton,Stephen</v>
          </cell>
          <cell r="N9702">
            <v>3.5230000000000001</v>
          </cell>
          <cell r="O9702">
            <v>3.67</v>
          </cell>
        </row>
        <row r="9703">
          <cell r="E9703" t="str">
            <v>JOUR</v>
          </cell>
          <cell r="F9703" t="str">
            <v>JOUR-J</v>
          </cell>
          <cell r="G9703">
            <v>571</v>
          </cell>
          <cell r="H9703" t="str">
            <v>JOUR-J571</v>
          </cell>
          <cell r="K9703" t="str">
            <v>Lee,Jae Kook</v>
          </cell>
          <cell r="N9703">
            <v>3.7330000000000001</v>
          </cell>
          <cell r="O9703">
            <v>3.8330000000000002</v>
          </cell>
        </row>
        <row r="9704">
          <cell r="E9704" t="str">
            <v>JOUR</v>
          </cell>
          <cell r="F9704" t="str">
            <v>JOUR-J</v>
          </cell>
          <cell r="G9704">
            <v>571</v>
          </cell>
          <cell r="H9704" t="str">
            <v>JOUR-J571</v>
          </cell>
          <cell r="K9704" t="str">
            <v>Lee,Jae Kook</v>
          </cell>
          <cell r="N9704">
            <v>3.8130000000000002</v>
          </cell>
          <cell r="O9704">
            <v>3.6320000000000001</v>
          </cell>
        </row>
        <row r="9705">
          <cell r="E9705" t="str">
            <v>JOUR</v>
          </cell>
          <cell r="F9705" t="str">
            <v>JOUR-J</v>
          </cell>
          <cell r="G9705">
            <v>572</v>
          </cell>
          <cell r="H9705" t="str">
            <v>JOUR-J572</v>
          </cell>
          <cell r="K9705" t="str">
            <v>Fargo,Anthony L</v>
          </cell>
          <cell r="N9705">
            <v>3.8330000000000002</v>
          </cell>
          <cell r="O9705">
            <v>3.6429999999999998</v>
          </cell>
        </row>
        <row r="9706">
          <cell r="E9706" t="str">
            <v>JOUR</v>
          </cell>
          <cell r="F9706" t="str">
            <v>JOUR-J</v>
          </cell>
          <cell r="G9706">
            <v>592</v>
          </cell>
          <cell r="H9706" t="str">
            <v>JOUR-J592</v>
          </cell>
          <cell r="K9706" t="str">
            <v>Arthur,Erin Beth</v>
          </cell>
          <cell r="N9706" t="str">
            <v>NR</v>
          </cell>
          <cell r="O9706" t="str">
            <v>NR</v>
          </cell>
        </row>
        <row r="9707">
          <cell r="E9707" t="str">
            <v>JOUR</v>
          </cell>
          <cell r="F9707" t="str">
            <v>JOUR-J</v>
          </cell>
          <cell r="G9707">
            <v>592</v>
          </cell>
          <cell r="H9707" t="str">
            <v>JOUR-J592</v>
          </cell>
          <cell r="K9707" t="str">
            <v>Debnam,Marcia F</v>
          </cell>
          <cell r="N9707" t="str">
            <v>NR</v>
          </cell>
          <cell r="O9707" t="str">
            <v>NR</v>
          </cell>
        </row>
        <row r="9708">
          <cell r="E9708" t="str">
            <v>JOUR</v>
          </cell>
          <cell r="F9708" t="str">
            <v>JOUR-J</v>
          </cell>
          <cell r="G9708">
            <v>614</v>
          </cell>
          <cell r="H9708" t="str">
            <v>JOUR-J614</v>
          </cell>
          <cell r="K9708" t="str">
            <v>Parameswaran,Radhika</v>
          </cell>
          <cell r="N9708">
            <v>3.722</v>
          </cell>
          <cell r="O9708">
            <v>3.67</v>
          </cell>
        </row>
        <row r="9709">
          <cell r="E9709" t="str">
            <v>JOUR</v>
          </cell>
          <cell r="F9709" t="str">
            <v>JOUR-J</v>
          </cell>
          <cell r="G9709">
            <v>624</v>
          </cell>
          <cell r="H9709" t="str">
            <v>JOUR-J624</v>
          </cell>
          <cell r="K9709" t="str">
            <v>Johnson,Owen V</v>
          </cell>
          <cell r="N9709">
            <v>3.4910000000000001</v>
          </cell>
          <cell r="O9709">
            <v>3.758</v>
          </cell>
        </row>
        <row r="9710">
          <cell r="E9710" t="str">
            <v>JOUR</v>
          </cell>
          <cell r="F9710" t="str">
            <v>JOUR-J</v>
          </cell>
          <cell r="G9710">
            <v>651</v>
          </cell>
          <cell r="H9710" t="str">
            <v>JOUR-J651</v>
          </cell>
          <cell r="K9710" t="str">
            <v>Parameswaran,Radhika</v>
          </cell>
          <cell r="N9710">
            <v>3.4830000000000001</v>
          </cell>
          <cell r="O9710">
            <v>3.5579999999999998</v>
          </cell>
        </row>
        <row r="9711">
          <cell r="E9711" t="str">
            <v>JOUR</v>
          </cell>
          <cell r="F9711" t="str">
            <v>JOUR-J</v>
          </cell>
          <cell r="G9711">
            <v>653</v>
          </cell>
          <cell r="H9711" t="str">
            <v>JOUR-J653</v>
          </cell>
          <cell r="K9711" t="str">
            <v>Conway,Michael Thomas</v>
          </cell>
          <cell r="N9711">
            <v>3.581</v>
          </cell>
          <cell r="O9711">
            <v>3.66</v>
          </cell>
        </row>
        <row r="9712">
          <cell r="E9712" t="str">
            <v>JOUR</v>
          </cell>
          <cell r="F9712" t="str">
            <v>JOUR-J</v>
          </cell>
          <cell r="G9712">
            <v>700</v>
          </cell>
          <cell r="H9712" t="str">
            <v>JOUR-J700</v>
          </cell>
          <cell r="K9712" t="str">
            <v>Arthur,Erin Beth</v>
          </cell>
          <cell r="N9712" t="str">
            <v>NR</v>
          </cell>
          <cell r="O9712" t="str">
            <v>NR</v>
          </cell>
        </row>
        <row r="9713">
          <cell r="E9713" t="str">
            <v>JOUR</v>
          </cell>
          <cell r="F9713" t="str">
            <v>JOUR-J</v>
          </cell>
          <cell r="G9713">
            <v>700</v>
          </cell>
          <cell r="H9713" t="str">
            <v>JOUR-J700</v>
          </cell>
          <cell r="K9713" t="str">
            <v>Major,Lesa Hatley</v>
          </cell>
          <cell r="N9713" t="str">
            <v>NR</v>
          </cell>
          <cell r="O9713" t="str">
            <v>NR</v>
          </cell>
        </row>
        <row r="9714">
          <cell r="E9714" t="str">
            <v>JOUR</v>
          </cell>
          <cell r="F9714" t="str">
            <v>JOUR-J</v>
          </cell>
          <cell r="G9714">
            <v>800</v>
          </cell>
          <cell r="H9714" t="str">
            <v>JOUR-J800</v>
          </cell>
          <cell r="K9714" t="str">
            <v>Arthur,Erin Beth</v>
          </cell>
          <cell r="N9714" t="str">
            <v>NR</v>
          </cell>
          <cell r="O9714" t="str">
            <v>NR</v>
          </cell>
        </row>
        <row r="9715">
          <cell r="E9715" t="str">
            <v>JOUR</v>
          </cell>
          <cell r="F9715" t="str">
            <v>JOUR-J</v>
          </cell>
          <cell r="G9715">
            <v>800</v>
          </cell>
          <cell r="H9715" t="str">
            <v>JOUR-J800</v>
          </cell>
          <cell r="K9715" t="str">
            <v>Major,Lesa Hatley</v>
          </cell>
          <cell r="N9715" t="str">
            <v>NR</v>
          </cell>
          <cell r="O9715" t="str">
            <v>NR</v>
          </cell>
        </row>
        <row r="9716">
          <cell r="E9716" t="str">
            <v>JOUR</v>
          </cell>
          <cell r="F9716" t="str">
            <v>JOUR-J</v>
          </cell>
          <cell r="G9716">
            <v>804</v>
          </cell>
          <cell r="H9716" t="str">
            <v>JOUR-J804</v>
          </cell>
          <cell r="K9716" t="str">
            <v>Arthur,Erin Beth</v>
          </cell>
          <cell r="N9716" t="str">
            <v>NR</v>
          </cell>
          <cell r="O9716" t="str">
            <v>NR</v>
          </cell>
        </row>
        <row r="9717">
          <cell r="E9717" t="str">
            <v>JOUR</v>
          </cell>
          <cell r="F9717" t="str">
            <v>JOUR-J</v>
          </cell>
          <cell r="G9717">
            <v>804</v>
          </cell>
          <cell r="H9717" t="str">
            <v>JOUR-J804</v>
          </cell>
          <cell r="K9717" t="str">
            <v>Arthur,Erin Beth</v>
          </cell>
          <cell r="N9717" t="str">
            <v>NR</v>
          </cell>
          <cell r="O9717" t="str">
            <v>NR</v>
          </cell>
        </row>
        <row r="9718">
          <cell r="E9718" t="str">
            <v>JOUR</v>
          </cell>
          <cell r="F9718" t="str">
            <v>JOUR-J</v>
          </cell>
          <cell r="G9718">
            <v>804</v>
          </cell>
          <cell r="H9718" t="str">
            <v>JOUR-J804</v>
          </cell>
          <cell r="K9718" t="str">
            <v>Major,Lesa Hatley</v>
          </cell>
          <cell r="N9718">
            <v>3.7170000000000001</v>
          </cell>
          <cell r="O9718">
            <v>3.7</v>
          </cell>
        </row>
        <row r="9719">
          <cell r="E9719" t="str">
            <v>JOUR</v>
          </cell>
          <cell r="F9719" t="str">
            <v>JOUR-J</v>
          </cell>
          <cell r="G9719">
            <v>804</v>
          </cell>
          <cell r="H9719" t="str">
            <v>JOUR-J804</v>
          </cell>
          <cell r="K9719" t="str">
            <v>Major,Lesa Hatley</v>
          </cell>
          <cell r="N9719" t="str">
            <v>NR</v>
          </cell>
          <cell r="O9719" t="str">
            <v>NR</v>
          </cell>
        </row>
        <row r="9720">
          <cell r="E9720" t="str">
            <v>JOUR</v>
          </cell>
          <cell r="F9720" t="str">
            <v>JOUR-OS</v>
          </cell>
          <cell r="G9720">
            <v>300</v>
          </cell>
          <cell r="H9720" t="str">
            <v>JOUR-OS300</v>
          </cell>
          <cell r="N9720" t="str">
            <v>NR</v>
          </cell>
          <cell r="O9720" t="str">
            <v>NR</v>
          </cell>
        </row>
        <row r="9721">
          <cell r="E9721" t="str">
            <v>JOUR</v>
          </cell>
          <cell r="F9721" t="str">
            <v>JOUR-OS</v>
          </cell>
          <cell r="G9721">
            <v>300</v>
          </cell>
          <cell r="H9721" t="str">
            <v>JOUR-OS300</v>
          </cell>
          <cell r="N9721" t="str">
            <v>NR</v>
          </cell>
          <cell r="O9721" t="str">
            <v>NR</v>
          </cell>
        </row>
        <row r="9722">
          <cell r="E9722" t="str">
            <v>JSTU</v>
          </cell>
          <cell r="F9722" t="str">
            <v>JSTU-B</v>
          </cell>
          <cell r="G9722">
            <v>250</v>
          </cell>
          <cell r="H9722" t="str">
            <v>JSTU-B250</v>
          </cell>
          <cell r="K9722" t="str">
            <v>Maoz-Levy,Michal</v>
          </cell>
          <cell r="N9722" t="str">
            <v>NR</v>
          </cell>
          <cell r="O9722" t="str">
            <v>NR</v>
          </cell>
        </row>
        <row r="9723">
          <cell r="E9723" t="str">
            <v>JSTU</v>
          </cell>
          <cell r="F9723" t="str">
            <v>JSTU-C</v>
          </cell>
          <cell r="G9723">
            <v>240</v>
          </cell>
          <cell r="H9723" t="str">
            <v>JSTU-C240</v>
          </cell>
          <cell r="K9723" t="str">
            <v>Katz,Stephen</v>
          </cell>
          <cell r="N9723">
            <v>3.415</v>
          </cell>
          <cell r="O9723">
            <v>3.1520000000000001</v>
          </cell>
        </row>
        <row r="9724">
          <cell r="E9724" t="str">
            <v>JSTU</v>
          </cell>
          <cell r="F9724" t="str">
            <v>JSTU-H</v>
          </cell>
          <cell r="G9724">
            <v>100</v>
          </cell>
          <cell r="H9724" t="str">
            <v>JSTU-H100</v>
          </cell>
          <cell r="K9724" t="str">
            <v>Maoz-Levy,Michal</v>
          </cell>
          <cell r="N9724">
            <v>3.3140000000000001</v>
          </cell>
          <cell r="O9724">
            <v>3.1110000000000002</v>
          </cell>
        </row>
        <row r="9725">
          <cell r="E9725" t="str">
            <v>JSTU</v>
          </cell>
          <cell r="F9725" t="str">
            <v>JSTU-H</v>
          </cell>
          <cell r="G9725">
            <v>100</v>
          </cell>
          <cell r="H9725" t="str">
            <v>JSTU-H100</v>
          </cell>
          <cell r="K9725" t="str">
            <v>Naor,Rachel A</v>
          </cell>
          <cell r="N9725">
            <v>2.992</v>
          </cell>
          <cell r="O9725">
            <v>2.766</v>
          </cell>
        </row>
        <row r="9726">
          <cell r="E9726" t="str">
            <v>JSTU</v>
          </cell>
          <cell r="F9726" t="str">
            <v>JSTU-H</v>
          </cell>
          <cell r="G9726">
            <v>100</v>
          </cell>
          <cell r="H9726" t="str">
            <v>JSTU-H100</v>
          </cell>
          <cell r="K9726" t="str">
            <v>Naor,Rachel A</v>
          </cell>
          <cell r="N9726">
            <v>3.3740000000000001</v>
          </cell>
          <cell r="O9726">
            <v>3.169</v>
          </cell>
        </row>
        <row r="9727">
          <cell r="E9727" t="str">
            <v>JSTU</v>
          </cell>
          <cell r="F9727" t="str">
            <v>JSTU-H</v>
          </cell>
          <cell r="G9727">
            <v>150</v>
          </cell>
          <cell r="H9727" t="str">
            <v>JSTU-H150</v>
          </cell>
          <cell r="K9727" t="str">
            <v>Maoz-Levy,Michal</v>
          </cell>
          <cell r="N9727">
            <v>3.4079999999999999</v>
          </cell>
          <cell r="O9727">
            <v>3.508</v>
          </cell>
        </row>
        <row r="9728">
          <cell r="E9728" t="str">
            <v>JSTU</v>
          </cell>
          <cell r="F9728" t="str">
            <v>JSTU-H</v>
          </cell>
          <cell r="G9728">
            <v>150</v>
          </cell>
          <cell r="H9728" t="str">
            <v>JSTU-H150</v>
          </cell>
          <cell r="K9728" t="str">
            <v>Naor,Rachel A</v>
          </cell>
          <cell r="N9728">
            <v>3.621</v>
          </cell>
          <cell r="O9728">
            <v>3.335</v>
          </cell>
        </row>
        <row r="9729">
          <cell r="E9729" t="str">
            <v>JSTU</v>
          </cell>
          <cell r="F9729" t="str">
            <v>JSTU-H</v>
          </cell>
          <cell r="G9729">
            <v>150</v>
          </cell>
          <cell r="H9729" t="str">
            <v>JSTU-H150</v>
          </cell>
          <cell r="K9729" t="str">
            <v>Naor,Rachel A</v>
          </cell>
          <cell r="N9729">
            <v>3.3069999999999999</v>
          </cell>
          <cell r="O9729">
            <v>3.274</v>
          </cell>
        </row>
        <row r="9730">
          <cell r="E9730" t="str">
            <v>JSTU</v>
          </cell>
          <cell r="F9730" t="str">
            <v>JSTU-H</v>
          </cell>
          <cell r="G9730">
            <v>150</v>
          </cell>
          <cell r="H9730" t="str">
            <v>JSTU-H150</v>
          </cell>
          <cell r="K9730" t="str">
            <v>Naor,Rachel A</v>
          </cell>
          <cell r="N9730">
            <v>2.6539999999999999</v>
          </cell>
          <cell r="O9730">
            <v>2.9239999999999999</v>
          </cell>
        </row>
        <row r="9731">
          <cell r="E9731" t="str">
            <v>JSTU</v>
          </cell>
          <cell r="F9731" t="str">
            <v>JSTU-H</v>
          </cell>
          <cell r="G9731">
            <v>200</v>
          </cell>
          <cell r="H9731" t="str">
            <v>JSTU-H200</v>
          </cell>
          <cell r="K9731" t="str">
            <v>Maoz-Levy,Michal</v>
          </cell>
          <cell r="N9731">
            <v>2.879</v>
          </cell>
          <cell r="O9731">
            <v>3.302</v>
          </cell>
        </row>
        <row r="9732">
          <cell r="E9732" t="str">
            <v>JSTU</v>
          </cell>
          <cell r="F9732" t="str">
            <v>JSTU-H</v>
          </cell>
          <cell r="G9732">
            <v>200</v>
          </cell>
          <cell r="H9732" t="str">
            <v>JSTU-H200</v>
          </cell>
          <cell r="K9732" t="str">
            <v>Weiss,Ayelet</v>
          </cell>
          <cell r="N9732">
            <v>2.8879999999999999</v>
          </cell>
          <cell r="O9732">
            <v>3.238</v>
          </cell>
        </row>
        <row r="9733">
          <cell r="E9733" t="str">
            <v>JSTU</v>
          </cell>
          <cell r="F9733" t="str">
            <v>JSTU-H</v>
          </cell>
          <cell r="G9733">
            <v>200</v>
          </cell>
          <cell r="H9733" t="str">
            <v>JSTU-H200</v>
          </cell>
          <cell r="K9733" t="str">
            <v>Weiss,Ayelet</v>
          </cell>
          <cell r="N9733">
            <v>2.722</v>
          </cell>
          <cell r="O9733">
            <v>3.169</v>
          </cell>
        </row>
        <row r="9734">
          <cell r="E9734" t="str">
            <v>JSTU</v>
          </cell>
          <cell r="F9734" t="str">
            <v>JSTU-H</v>
          </cell>
          <cell r="G9734">
            <v>250</v>
          </cell>
          <cell r="H9734" t="str">
            <v>JSTU-H250</v>
          </cell>
          <cell r="K9734" t="str">
            <v>Maoz-Levy,Michal</v>
          </cell>
          <cell r="N9734">
            <v>3.0670000000000002</v>
          </cell>
          <cell r="O9734">
            <v>3.23</v>
          </cell>
        </row>
        <row r="9735">
          <cell r="E9735" t="str">
            <v>JSTU</v>
          </cell>
          <cell r="F9735" t="str">
            <v>JSTU-H</v>
          </cell>
          <cell r="G9735">
            <v>250</v>
          </cell>
          <cell r="H9735" t="str">
            <v>JSTU-H250</v>
          </cell>
          <cell r="K9735" t="str">
            <v>Weiss,Ayelet</v>
          </cell>
          <cell r="N9735">
            <v>3.3290000000000002</v>
          </cell>
          <cell r="O9735">
            <v>3.2519999999999998</v>
          </cell>
        </row>
        <row r="9736">
          <cell r="E9736" t="str">
            <v>JSTU</v>
          </cell>
          <cell r="F9736" t="str">
            <v>JSTU-H</v>
          </cell>
          <cell r="G9736">
            <v>300</v>
          </cell>
          <cell r="H9736" t="str">
            <v>JSTU-H300</v>
          </cell>
          <cell r="K9736" t="str">
            <v>Maoz-Levy,Michal</v>
          </cell>
          <cell r="N9736">
            <v>3</v>
          </cell>
          <cell r="O9736">
            <v>3.331</v>
          </cell>
        </row>
        <row r="9737">
          <cell r="E9737" t="str">
            <v>JSTU</v>
          </cell>
          <cell r="F9737" t="str">
            <v>JSTU-H</v>
          </cell>
          <cell r="G9737">
            <v>350</v>
          </cell>
          <cell r="H9737" t="str">
            <v>JSTU-H350</v>
          </cell>
          <cell r="K9737" t="str">
            <v>Weiss,Ayelet</v>
          </cell>
          <cell r="N9737" t="str">
            <v>NR</v>
          </cell>
          <cell r="O9737" t="str">
            <v>NR</v>
          </cell>
        </row>
        <row r="9738">
          <cell r="E9738" t="str">
            <v>JSTU</v>
          </cell>
          <cell r="F9738" t="str">
            <v>JSTU-H</v>
          </cell>
          <cell r="G9738">
            <v>399</v>
          </cell>
          <cell r="H9738" t="str">
            <v>JSTU-H399</v>
          </cell>
          <cell r="K9738" t="str">
            <v>Veidlinger,Jeffrey</v>
          </cell>
          <cell r="N9738" t="str">
            <v>NR</v>
          </cell>
          <cell r="O9738" t="str">
            <v>NR</v>
          </cell>
        </row>
        <row r="9739">
          <cell r="E9739" t="str">
            <v>JSTU</v>
          </cell>
          <cell r="F9739" t="str">
            <v>JSTU-H</v>
          </cell>
          <cell r="G9739">
            <v>485</v>
          </cell>
          <cell r="H9739" t="str">
            <v>JSTU-H485</v>
          </cell>
          <cell r="K9739" t="str">
            <v>Katz,Stephen</v>
          </cell>
          <cell r="N9739" t="str">
            <v>NR</v>
          </cell>
          <cell r="O9739" t="str">
            <v>NR</v>
          </cell>
        </row>
        <row r="9740">
          <cell r="E9740" t="str">
            <v>JSTU</v>
          </cell>
          <cell r="F9740" t="str">
            <v>JSTU-H</v>
          </cell>
          <cell r="G9740">
            <v>495</v>
          </cell>
          <cell r="H9740" t="str">
            <v>JSTU-H495</v>
          </cell>
          <cell r="K9740" t="str">
            <v>Veidlinger,Jeffrey</v>
          </cell>
          <cell r="N9740" t="str">
            <v>NR</v>
          </cell>
          <cell r="O9740" t="str">
            <v>NR</v>
          </cell>
        </row>
        <row r="9741">
          <cell r="E9741" t="str">
            <v>JSTU</v>
          </cell>
          <cell r="F9741" t="str">
            <v>JSTU-H</v>
          </cell>
          <cell r="G9741">
            <v>499</v>
          </cell>
          <cell r="H9741" t="str">
            <v>JSTU-H499</v>
          </cell>
          <cell r="K9741" t="str">
            <v>Veidlinger,Jeffrey</v>
          </cell>
          <cell r="N9741" t="str">
            <v>NR</v>
          </cell>
          <cell r="O9741" t="str">
            <v>NR</v>
          </cell>
        </row>
        <row r="9742">
          <cell r="E9742" t="str">
            <v>JSTU</v>
          </cell>
          <cell r="F9742" t="str">
            <v>JSTU-H</v>
          </cell>
          <cell r="G9742">
            <v>500</v>
          </cell>
          <cell r="H9742" t="str">
            <v>JSTU-H500</v>
          </cell>
          <cell r="K9742" t="str">
            <v>Naor,Rachel A</v>
          </cell>
          <cell r="N9742" t="str">
            <v>NR</v>
          </cell>
          <cell r="O9742" t="str">
            <v>NR</v>
          </cell>
        </row>
        <row r="9743">
          <cell r="E9743" t="str">
            <v>JSTU</v>
          </cell>
          <cell r="F9743" t="str">
            <v>JSTU-H</v>
          </cell>
          <cell r="G9743">
            <v>520</v>
          </cell>
          <cell r="H9743" t="str">
            <v>JSTU-H520</v>
          </cell>
          <cell r="K9743" t="str">
            <v>Imhoff,Sarah Emily</v>
          </cell>
          <cell r="N9743" t="str">
            <v>NR</v>
          </cell>
          <cell r="O9743" t="str">
            <v>NR</v>
          </cell>
        </row>
        <row r="9744">
          <cell r="E9744" t="str">
            <v>JSTU</v>
          </cell>
          <cell r="F9744" t="str">
            <v>JSTU-H</v>
          </cell>
          <cell r="G9744">
            <v>520</v>
          </cell>
          <cell r="H9744" t="str">
            <v>JSTU-H520</v>
          </cell>
          <cell r="K9744" t="str">
            <v>Magid,Shaul</v>
          </cell>
          <cell r="N9744" t="str">
            <v>NR</v>
          </cell>
          <cell r="O9744" t="str">
            <v>NR</v>
          </cell>
        </row>
        <row r="9745">
          <cell r="E9745" t="str">
            <v>JSTU</v>
          </cell>
          <cell r="F9745" t="str">
            <v>JSTU-H</v>
          </cell>
          <cell r="G9745">
            <v>595</v>
          </cell>
          <cell r="H9745" t="str">
            <v>JSTU-H595</v>
          </cell>
          <cell r="K9745" t="str">
            <v>Veidlinger,Jeffrey</v>
          </cell>
          <cell r="N9745" t="str">
            <v>NR</v>
          </cell>
          <cell r="O9745" t="str">
            <v>NR</v>
          </cell>
        </row>
        <row r="9746">
          <cell r="E9746" t="str">
            <v>JSTU</v>
          </cell>
          <cell r="F9746" t="str">
            <v>JSTU-H</v>
          </cell>
          <cell r="G9746">
            <v>595</v>
          </cell>
          <cell r="H9746" t="str">
            <v>JSTU-H595</v>
          </cell>
          <cell r="K9746" t="str">
            <v>Veidlinger,Jeffrey</v>
          </cell>
          <cell r="N9746" t="str">
            <v>NR</v>
          </cell>
          <cell r="O9746" t="str">
            <v>NR</v>
          </cell>
        </row>
        <row r="9747">
          <cell r="E9747" t="str">
            <v>JSTU</v>
          </cell>
          <cell r="F9747" t="str">
            <v>JSTU-J</v>
          </cell>
          <cell r="G9747">
            <v>203</v>
          </cell>
          <cell r="H9747" t="str">
            <v>JSTU-J203</v>
          </cell>
          <cell r="K9747" t="str">
            <v>Bar-Itzhak,Haya</v>
          </cell>
          <cell r="N9747">
            <v>2.9670000000000001</v>
          </cell>
          <cell r="O9747">
            <v>3.0710000000000002</v>
          </cell>
        </row>
        <row r="9748">
          <cell r="E9748" t="str">
            <v>JSTU</v>
          </cell>
          <cell r="F9748" t="str">
            <v>JSTU-J</v>
          </cell>
          <cell r="G9748">
            <v>203</v>
          </cell>
          <cell r="H9748" t="str">
            <v>JSTU-J203</v>
          </cell>
          <cell r="K9748" t="str">
            <v>Cohen,Judah M</v>
          </cell>
          <cell r="N9748">
            <v>3.3069999999999999</v>
          </cell>
          <cell r="O9748">
            <v>3.2229999999999999</v>
          </cell>
        </row>
        <row r="9749">
          <cell r="E9749" t="str">
            <v>JSTU</v>
          </cell>
          <cell r="F9749" t="str">
            <v>JSTU-J</v>
          </cell>
          <cell r="G9749">
            <v>203</v>
          </cell>
          <cell r="H9749" t="str">
            <v>JSTU-J203</v>
          </cell>
          <cell r="K9749" t="str">
            <v>Rosenfeld,Alvin H.</v>
          </cell>
          <cell r="N9749" t="str">
            <v>NR</v>
          </cell>
          <cell r="O9749" t="str">
            <v>NR</v>
          </cell>
        </row>
        <row r="9750">
          <cell r="E9750" t="str">
            <v>JSTU</v>
          </cell>
          <cell r="F9750" t="str">
            <v>JSTU-J</v>
          </cell>
          <cell r="G9750">
            <v>203</v>
          </cell>
          <cell r="H9750" t="str">
            <v>JSTU-J203</v>
          </cell>
          <cell r="K9750" t="str">
            <v>Rosenfeld,Alvin H.</v>
          </cell>
          <cell r="N9750" t="str">
            <v>NR</v>
          </cell>
          <cell r="O9750" t="str">
            <v>NR</v>
          </cell>
        </row>
        <row r="9751">
          <cell r="E9751" t="str">
            <v>JSTU</v>
          </cell>
          <cell r="F9751" t="str">
            <v>JSTU-J</v>
          </cell>
          <cell r="G9751">
            <v>203</v>
          </cell>
          <cell r="H9751" t="str">
            <v>JSTU-J203</v>
          </cell>
          <cell r="K9751" t="str">
            <v>Volkova,Bronislava</v>
          </cell>
          <cell r="N9751">
            <v>2.8540000000000001</v>
          </cell>
          <cell r="O9751">
            <v>2.7839999999999998</v>
          </cell>
        </row>
        <row r="9752">
          <cell r="E9752" t="str">
            <v>JSTU</v>
          </cell>
          <cell r="F9752" t="str">
            <v>JSTU-J</v>
          </cell>
          <cell r="G9752">
            <v>251</v>
          </cell>
          <cell r="H9752" t="str">
            <v>JSTU-J251</v>
          </cell>
          <cell r="K9752" t="str">
            <v>Mokhtarian,Jason Sion</v>
          </cell>
          <cell r="N9752">
            <v>3.0379999999999998</v>
          </cell>
          <cell r="O9752">
            <v>3.0750000000000002</v>
          </cell>
        </row>
        <row r="9753">
          <cell r="E9753" t="str">
            <v>JSTU</v>
          </cell>
          <cell r="F9753" t="str">
            <v>JSTU-J</v>
          </cell>
          <cell r="G9753">
            <v>252</v>
          </cell>
          <cell r="H9753" t="str">
            <v>JSTU-J252</v>
          </cell>
          <cell r="K9753" t="str">
            <v>Veidlinger,Jeffrey</v>
          </cell>
          <cell r="N9753">
            <v>3.3119999999999998</v>
          </cell>
          <cell r="O9753">
            <v>3.1230000000000002</v>
          </cell>
        </row>
        <row r="9754">
          <cell r="E9754" t="str">
            <v>JSTU</v>
          </cell>
          <cell r="F9754" t="str">
            <v>JSTU-J</v>
          </cell>
          <cell r="G9754">
            <v>303</v>
          </cell>
          <cell r="H9754" t="str">
            <v>JSTU-J303</v>
          </cell>
          <cell r="K9754" t="str">
            <v>Bar-Itzhak,Haya</v>
          </cell>
          <cell r="N9754" t="str">
            <v>NR</v>
          </cell>
          <cell r="O9754" t="str">
            <v>NR</v>
          </cell>
        </row>
        <row r="9755">
          <cell r="E9755" t="str">
            <v>JSTU</v>
          </cell>
          <cell r="F9755" t="str">
            <v>JSTU-J</v>
          </cell>
          <cell r="G9755">
            <v>303</v>
          </cell>
          <cell r="H9755" t="str">
            <v>JSTU-J303</v>
          </cell>
          <cell r="K9755" t="str">
            <v>Imhoff,Sarah Emily</v>
          </cell>
          <cell r="N9755">
            <v>3.319</v>
          </cell>
          <cell r="O9755">
            <v>3.165</v>
          </cell>
        </row>
        <row r="9756">
          <cell r="E9756" t="str">
            <v>JSTU</v>
          </cell>
          <cell r="F9756" t="str">
            <v>JSTU-J</v>
          </cell>
          <cell r="G9756">
            <v>303</v>
          </cell>
          <cell r="H9756" t="str">
            <v>JSTU-J303</v>
          </cell>
          <cell r="K9756" t="str">
            <v>Mokhtarian,Jason Sion</v>
          </cell>
          <cell r="N9756" t="str">
            <v>NR</v>
          </cell>
          <cell r="O9756" t="str">
            <v>NR</v>
          </cell>
        </row>
        <row r="9757">
          <cell r="E9757" t="str">
            <v>JSTU</v>
          </cell>
          <cell r="F9757" t="str">
            <v>JSTU-L</v>
          </cell>
          <cell r="G9757">
            <v>280</v>
          </cell>
          <cell r="H9757" t="str">
            <v>JSTU-L280</v>
          </cell>
          <cell r="K9757" t="str">
            <v>Katz,Stephen</v>
          </cell>
          <cell r="N9757">
            <v>3.4129999999999998</v>
          </cell>
          <cell r="O9757">
            <v>3.14</v>
          </cell>
        </row>
        <row r="9758">
          <cell r="E9758" t="str">
            <v>JSTU</v>
          </cell>
          <cell r="F9758" t="str">
            <v>JSTU-L</v>
          </cell>
          <cell r="G9758">
            <v>385</v>
          </cell>
          <cell r="H9758" t="str">
            <v>JSTU-L385</v>
          </cell>
          <cell r="K9758" t="str">
            <v>Katz,Stephen</v>
          </cell>
          <cell r="N9758">
            <v>2.8849999999999998</v>
          </cell>
          <cell r="O9758">
            <v>2.6930000000000001</v>
          </cell>
        </row>
        <row r="9759">
          <cell r="E9759" t="str">
            <v>JSTU</v>
          </cell>
          <cell r="F9759" t="str">
            <v>JSTU-L</v>
          </cell>
          <cell r="G9759">
            <v>390</v>
          </cell>
          <cell r="H9759" t="str">
            <v>JSTU-L390</v>
          </cell>
          <cell r="K9759" t="str">
            <v>Katz,Stephen</v>
          </cell>
          <cell r="N9759">
            <v>3.786</v>
          </cell>
          <cell r="O9759">
            <v>3.1269999999999998</v>
          </cell>
        </row>
        <row r="9760">
          <cell r="E9760" t="str">
            <v>JSTU</v>
          </cell>
          <cell r="F9760" t="str">
            <v>JSTU-P</v>
          </cell>
          <cell r="G9760">
            <v>180</v>
          </cell>
          <cell r="H9760" t="str">
            <v>JSTU-P180</v>
          </cell>
          <cell r="K9760" t="str">
            <v>Magid,Shaul</v>
          </cell>
          <cell r="N9760" t="str">
            <v>NR</v>
          </cell>
          <cell r="O9760" t="str">
            <v>NR</v>
          </cell>
        </row>
        <row r="9761">
          <cell r="E9761" t="str">
            <v>JSTU</v>
          </cell>
          <cell r="F9761" t="str">
            <v>JSTU-P</v>
          </cell>
          <cell r="G9761">
            <v>180</v>
          </cell>
          <cell r="H9761" t="str">
            <v>JSTU-P180</v>
          </cell>
          <cell r="K9761" t="str">
            <v>Magid,Shaul</v>
          </cell>
          <cell r="N9761" t="str">
            <v>NR</v>
          </cell>
          <cell r="O9761" t="str">
            <v>NR</v>
          </cell>
        </row>
        <row r="9762">
          <cell r="E9762" t="str">
            <v>JSTU</v>
          </cell>
          <cell r="F9762" t="str">
            <v>JSTU-P</v>
          </cell>
          <cell r="G9762">
            <v>180</v>
          </cell>
          <cell r="H9762" t="str">
            <v>JSTU-P180</v>
          </cell>
          <cell r="K9762" t="str">
            <v>Magid,Shaul</v>
          </cell>
          <cell r="N9762">
            <v>4</v>
          </cell>
          <cell r="O9762">
            <v>2.9729999999999999</v>
          </cell>
        </row>
        <row r="9763">
          <cell r="E9763" t="str">
            <v>JSTU</v>
          </cell>
          <cell r="F9763" t="str">
            <v>JSTU-P</v>
          </cell>
          <cell r="G9763">
            <v>180</v>
          </cell>
          <cell r="H9763" t="str">
            <v>JSTU-P180</v>
          </cell>
          <cell r="K9763" t="str">
            <v>Magid,Shaul</v>
          </cell>
          <cell r="N9763" t="str">
            <v>NR</v>
          </cell>
          <cell r="O9763" t="str">
            <v>NR</v>
          </cell>
        </row>
        <row r="9764">
          <cell r="E9764" t="str">
            <v>JSTU</v>
          </cell>
          <cell r="F9764" t="str">
            <v>JSTU-P</v>
          </cell>
          <cell r="G9764">
            <v>180</v>
          </cell>
          <cell r="H9764" t="str">
            <v>JSTU-P180</v>
          </cell>
          <cell r="K9764" t="str">
            <v>Magid,Shaul</v>
          </cell>
          <cell r="N9764" t="str">
            <v>NR</v>
          </cell>
          <cell r="O9764" t="str">
            <v>NR</v>
          </cell>
        </row>
        <row r="9765">
          <cell r="E9765" t="str">
            <v>JSTU</v>
          </cell>
          <cell r="F9765" t="str">
            <v>JSTU-P</v>
          </cell>
          <cell r="G9765">
            <v>180</v>
          </cell>
          <cell r="H9765" t="str">
            <v>JSTU-P180</v>
          </cell>
          <cell r="K9765" t="str">
            <v>Magid,Shaul</v>
          </cell>
          <cell r="N9765" t="str">
            <v>NR</v>
          </cell>
          <cell r="O9765" t="str">
            <v>NR</v>
          </cell>
        </row>
        <row r="9766">
          <cell r="E9766" t="str">
            <v>JSTU</v>
          </cell>
          <cell r="F9766" t="str">
            <v>JSTU-P</v>
          </cell>
          <cell r="G9766">
            <v>180</v>
          </cell>
          <cell r="H9766" t="str">
            <v>JSTU-P180</v>
          </cell>
          <cell r="K9766" t="str">
            <v>Magid,Shaul</v>
          </cell>
          <cell r="N9766">
            <v>4</v>
          </cell>
          <cell r="O9766">
            <v>3.4319999999999999</v>
          </cell>
        </row>
        <row r="9767">
          <cell r="E9767" t="str">
            <v>JSTU</v>
          </cell>
          <cell r="F9767" t="str">
            <v>JSTU-P</v>
          </cell>
          <cell r="G9767">
            <v>180</v>
          </cell>
          <cell r="H9767" t="str">
            <v>JSTU-P180</v>
          </cell>
          <cell r="K9767" t="str">
            <v>Veidlinger,Jeffrey</v>
          </cell>
          <cell r="N9767">
            <v>4</v>
          </cell>
          <cell r="O9767">
            <v>3.2090000000000001</v>
          </cell>
        </row>
        <row r="9768">
          <cell r="E9768" t="str">
            <v>JSTU</v>
          </cell>
          <cell r="F9768" t="str">
            <v>JSTU-P</v>
          </cell>
          <cell r="G9768">
            <v>180</v>
          </cell>
          <cell r="H9768" t="str">
            <v>JSTU-P180</v>
          </cell>
          <cell r="K9768" t="str">
            <v>Veidlinger,Jeffrey</v>
          </cell>
          <cell r="N9768">
            <v>4</v>
          </cell>
          <cell r="O9768">
            <v>3.0609999999999999</v>
          </cell>
        </row>
        <row r="9769">
          <cell r="E9769" t="str">
            <v>JSTU</v>
          </cell>
          <cell r="F9769" t="str">
            <v>JSTU-P</v>
          </cell>
          <cell r="G9769">
            <v>180</v>
          </cell>
          <cell r="H9769" t="str">
            <v>JSTU-P180</v>
          </cell>
          <cell r="K9769" t="str">
            <v>Veidlinger,Jeffrey</v>
          </cell>
          <cell r="N9769">
            <v>4</v>
          </cell>
          <cell r="O9769">
            <v>3.2090000000000001</v>
          </cell>
        </row>
        <row r="9770">
          <cell r="E9770" t="str">
            <v>JSTU</v>
          </cell>
          <cell r="F9770" t="str">
            <v>JSTU-P</v>
          </cell>
          <cell r="G9770">
            <v>180</v>
          </cell>
          <cell r="H9770" t="str">
            <v>JSTU-P180</v>
          </cell>
          <cell r="K9770" t="str">
            <v>Veidlinger,Jeffrey</v>
          </cell>
          <cell r="N9770" t="str">
            <v>NR</v>
          </cell>
          <cell r="O9770" t="str">
            <v>NR</v>
          </cell>
        </row>
        <row r="9771">
          <cell r="E9771" t="str">
            <v>JSTU</v>
          </cell>
          <cell r="F9771" t="str">
            <v>JSTU-P</v>
          </cell>
          <cell r="G9771">
            <v>180</v>
          </cell>
          <cell r="H9771" t="str">
            <v>JSTU-P180</v>
          </cell>
          <cell r="K9771" t="str">
            <v>Veidlinger,Jeffrey</v>
          </cell>
          <cell r="N9771" t="str">
            <v>NR</v>
          </cell>
          <cell r="O9771" t="str">
            <v>NR</v>
          </cell>
        </row>
        <row r="9772">
          <cell r="E9772" t="str">
            <v>JSTU</v>
          </cell>
          <cell r="F9772" t="str">
            <v>JSTU-P</v>
          </cell>
          <cell r="G9772">
            <v>180</v>
          </cell>
          <cell r="H9772" t="str">
            <v>JSTU-P180</v>
          </cell>
          <cell r="K9772" t="str">
            <v>Veidlinger,Jeffrey</v>
          </cell>
          <cell r="N9772">
            <v>4</v>
          </cell>
          <cell r="O9772">
            <v>3.2839999999999998</v>
          </cell>
        </row>
        <row r="9773">
          <cell r="E9773" t="str">
            <v>JSTU</v>
          </cell>
          <cell r="F9773" t="str">
            <v>JSTU-P</v>
          </cell>
          <cell r="G9773">
            <v>180</v>
          </cell>
          <cell r="H9773" t="str">
            <v>JSTU-P180</v>
          </cell>
          <cell r="K9773" t="str">
            <v>Veidlinger,Jeffrey</v>
          </cell>
          <cell r="N9773" t="str">
            <v>NR</v>
          </cell>
          <cell r="O9773" t="str">
            <v>NR</v>
          </cell>
        </row>
        <row r="9774">
          <cell r="E9774" t="str">
            <v>JSTU</v>
          </cell>
          <cell r="F9774" t="str">
            <v>JSTU-P</v>
          </cell>
          <cell r="G9774">
            <v>180</v>
          </cell>
          <cell r="H9774" t="str">
            <v>JSTU-P180</v>
          </cell>
          <cell r="K9774" t="str">
            <v>Veidlinger,Jeffrey</v>
          </cell>
          <cell r="N9774" t="str">
            <v>NR</v>
          </cell>
          <cell r="O9774" t="str">
            <v>NR</v>
          </cell>
        </row>
        <row r="9775">
          <cell r="E9775" t="str">
            <v>JSTU</v>
          </cell>
          <cell r="F9775" t="str">
            <v>JSTU-P</v>
          </cell>
          <cell r="G9775">
            <v>498</v>
          </cell>
          <cell r="H9775" t="str">
            <v>JSTU-P498</v>
          </cell>
          <cell r="K9775" t="str">
            <v>Magid,Shaul</v>
          </cell>
          <cell r="N9775" t="str">
            <v>NR</v>
          </cell>
          <cell r="O9775" t="str">
            <v>NR</v>
          </cell>
        </row>
        <row r="9776">
          <cell r="E9776" t="str">
            <v>JSTU</v>
          </cell>
          <cell r="F9776" t="str">
            <v>JSTU-P</v>
          </cell>
          <cell r="G9776">
            <v>498</v>
          </cell>
          <cell r="H9776" t="str">
            <v>JSTU-P498</v>
          </cell>
          <cell r="K9776" t="str">
            <v>Magid,Shaul</v>
          </cell>
          <cell r="N9776" t="str">
            <v>NR</v>
          </cell>
          <cell r="O9776" t="str">
            <v>NR</v>
          </cell>
        </row>
        <row r="9777">
          <cell r="E9777" t="str">
            <v>LAMP</v>
          </cell>
          <cell r="F9777" t="str">
            <v>LAMP-L</v>
          </cell>
          <cell r="G9777">
            <v>216</v>
          </cell>
          <cell r="H9777" t="str">
            <v>LAMP-L216</v>
          </cell>
          <cell r="K9777" t="str">
            <v>Bonner,James Jose</v>
          </cell>
          <cell r="N9777">
            <v>3.9359999999999999</v>
          </cell>
          <cell r="O9777">
            <v>3.6</v>
          </cell>
        </row>
        <row r="9778">
          <cell r="E9778" t="str">
            <v>LAMP</v>
          </cell>
          <cell r="F9778" t="str">
            <v>LAMP-L</v>
          </cell>
          <cell r="G9778">
            <v>216</v>
          </cell>
          <cell r="H9778" t="str">
            <v>LAMP-L216</v>
          </cell>
          <cell r="K9778" t="str">
            <v>Morrone,Michael C</v>
          </cell>
          <cell r="N9778">
            <v>3.9460000000000002</v>
          </cell>
          <cell r="O9778">
            <v>3.7349999999999999</v>
          </cell>
        </row>
        <row r="9779">
          <cell r="E9779" t="str">
            <v>LAMP</v>
          </cell>
          <cell r="F9779" t="str">
            <v>LAMP-L</v>
          </cell>
          <cell r="G9779">
            <v>216</v>
          </cell>
          <cell r="H9779" t="str">
            <v>LAMP-L216</v>
          </cell>
          <cell r="K9779" t="str">
            <v>Savion,Leah</v>
          </cell>
          <cell r="N9779">
            <v>3.7130000000000001</v>
          </cell>
          <cell r="O9779">
            <v>3.5670000000000002</v>
          </cell>
        </row>
        <row r="9780">
          <cell r="E9780" t="str">
            <v>LAMP</v>
          </cell>
          <cell r="F9780" t="str">
            <v>LAMP-L</v>
          </cell>
          <cell r="G9780">
            <v>216</v>
          </cell>
          <cell r="H9780" t="str">
            <v>LAMP-L216</v>
          </cell>
          <cell r="K9780" t="str">
            <v>Walters,Pamela B.</v>
          </cell>
          <cell r="N9780">
            <v>3.718</v>
          </cell>
          <cell r="O9780">
            <v>3.6070000000000002</v>
          </cell>
        </row>
        <row r="9781">
          <cell r="E9781" t="str">
            <v>LAMP</v>
          </cell>
          <cell r="F9781" t="str">
            <v>LAMP-L</v>
          </cell>
          <cell r="G9781">
            <v>316</v>
          </cell>
          <cell r="H9781" t="str">
            <v>LAMP-L316</v>
          </cell>
          <cell r="K9781" t="str">
            <v>DiGrazia,Joseph Peter</v>
          </cell>
          <cell r="N9781">
            <v>3.9119999999999999</v>
          </cell>
          <cell r="O9781">
            <v>3.6059999999999999</v>
          </cell>
        </row>
        <row r="9782">
          <cell r="E9782" t="str">
            <v>LAMP</v>
          </cell>
          <cell r="F9782" t="str">
            <v>LAMP-L</v>
          </cell>
          <cell r="G9782">
            <v>316</v>
          </cell>
          <cell r="H9782" t="str">
            <v>LAMP-L316</v>
          </cell>
          <cell r="K9782" t="str">
            <v>DiGrazia,Joseph Peter</v>
          </cell>
          <cell r="N9782">
            <v>3.9319999999999999</v>
          </cell>
          <cell r="O9782">
            <v>3.6859999999999999</v>
          </cell>
        </row>
        <row r="9783">
          <cell r="E9783" t="str">
            <v>LAMP</v>
          </cell>
          <cell r="F9783" t="str">
            <v>LAMP-L</v>
          </cell>
          <cell r="G9783">
            <v>316</v>
          </cell>
          <cell r="H9783" t="str">
            <v>LAMP-L316</v>
          </cell>
          <cell r="K9783" t="str">
            <v>Noy,Shiri</v>
          </cell>
          <cell r="N9783">
            <v>3.8460000000000001</v>
          </cell>
          <cell r="O9783">
            <v>3.6829999999999998</v>
          </cell>
        </row>
        <row r="9784">
          <cell r="E9784" t="str">
            <v>LAMP</v>
          </cell>
          <cell r="F9784" t="str">
            <v>LAMP-L</v>
          </cell>
          <cell r="G9784">
            <v>416</v>
          </cell>
          <cell r="H9784" t="str">
            <v>LAMP-L416</v>
          </cell>
          <cell r="K9784" t="str">
            <v>Lippke,Richard L.</v>
          </cell>
          <cell r="N9784">
            <v>3.589</v>
          </cell>
          <cell r="O9784">
            <v>3.6459999999999999</v>
          </cell>
        </row>
        <row r="9785">
          <cell r="E9785" t="str">
            <v>LAMP</v>
          </cell>
          <cell r="F9785" t="str">
            <v>LAMP-L</v>
          </cell>
          <cell r="G9785">
            <v>416</v>
          </cell>
          <cell r="H9785" t="str">
            <v>LAMP-L416</v>
          </cell>
          <cell r="K9785" t="str">
            <v>Lippke,Richard L.</v>
          </cell>
          <cell r="N9785">
            <v>3.8330000000000002</v>
          </cell>
          <cell r="O9785">
            <v>3.673</v>
          </cell>
        </row>
        <row r="9786">
          <cell r="E9786" t="str">
            <v>LAMP</v>
          </cell>
          <cell r="F9786" t="str">
            <v>LAMP-L</v>
          </cell>
          <cell r="G9786">
            <v>416</v>
          </cell>
          <cell r="H9786" t="str">
            <v>LAMP-L416</v>
          </cell>
          <cell r="K9786" t="str">
            <v>Metzler,Eric</v>
          </cell>
          <cell r="N9786">
            <v>3.65</v>
          </cell>
          <cell r="O9786">
            <v>3.7309999999999999</v>
          </cell>
        </row>
        <row r="9787">
          <cell r="E9787" t="str">
            <v>LAMP</v>
          </cell>
          <cell r="F9787" t="str">
            <v>LAMP-L</v>
          </cell>
          <cell r="G9787">
            <v>416</v>
          </cell>
          <cell r="H9787" t="str">
            <v>LAMP-L416</v>
          </cell>
          <cell r="K9787" t="str">
            <v>Prenkert,Jamie D</v>
          </cell>
          <cell r="N9787">
            <v>3.78</v>
          </cell>
          <cell r="O9787">
            <v>3.6349999999999998</v>
          </cell>
        </row>
        <row r="9788">
          <cell r="E9788" t="str">
            <v>LAMP</v>
          </cell>
          <cell r="F9788" t="str">
            <v>LAMP-L</v>
          </cell>
          <cell r="G9788">
            <v>416</v>
          </cell>
          <cell r="H9788" t="str">
            <v>LAMP-L416</v>
          </cell>
          <cell r="K9788" t="str">
            <v>Walters,Pamela B.</v>
          </cell>
          <cell r="N9788">
            <v>3.8769999999999998</v>
          </cell>
          <cell r="O9788">
            <v>3.5459999999999998</v>
          </cell>
        </row>
        <row r="9789">
          <cell r="E9789" t="str">
            <v>LAMP</v>
          </cell>
          <cell r="F9789" t="str">
            <v>LAMP-L</v>
          </cell>
          <cell r="G9789">
            <v>416</v>
          </cell>
          <cell r="H9789" t="str">
            <v>LAMP-L416</v>
          </cell>
          <cell r="K9789" t="str">
            <v>Weinberg,Carl R.</v>
          </cell>
          <cell r="N9789">
            <v>3.5</v>
          </cell>
          <cell r="O9789">
            <v>3.6970000000000001</v>
          </cell>
        </row>
        <row r="9790">
          <cell r="E9790" t="str">
            <v>LAMP</v>
          </cell>
          <cell r="F9790" t="str">
            <v>LAMP-X</v>
          </cell>
          <cell r="G9790">
            <v>215</v>
          </cell>
          <cell r="H9790" t="str">
            <v>LAMP-X215</v>
          </cell>
          <cell r="K9790" t="str">
            <v>Rogan,Jane Lesley</v>
          </cell>
          <cell r="N9790">
            <v>3.5830000000000002</v>
          </cell>
          <cell r="O9790">
            <v>3.6549999999999998</v>
          </cell>
        </row>
        <row r="9791">
          <cell r="E9791" t="str">
            <v>LAMP</v>
          </cell>
          <cell r="F9791" t="str">
            <v>LAMP-X</v>
          </cell>
          <cell r="G9791">
            <v>215</v>
          </cell>
          <cell r="H9791" t="str">
            <v>LAMP-X215</v>
          </cell>
          <cell r="K9791" t="str">
            <v>Rogan,Jane Lesley</v>
          </cell>
          <cell r="N9791">
            <v>3.4260000000000002</v>
          </cell>
          <cell r="O9791">
            <v>3.7029999999999998</v>
          </cell>
        </row>
        <row r="9792">
          <cell r="E9792" t="str">
            <v>LAMP</v>
          </cell>
          <cell r="F9792" t="str">
            <v>LAMP-X</v>
          </cell>
          <cell r="G9792">
            <v>298</v>
          </cell>
          <cell r="H9792" t="str">
            <v>LAMP-X298</v>
          </cell>
          <cell r="K9792" t="str">
            <v>Rogan,Jane Lesley</v>
          </cell>
          <cell r="N9792" t="str">
            <v>NR</v>
          </cell>
          <cell r="O9792" t="str">
            <v>NR</v>
          </cell>
        </row>
        <row r="9793">
          <cell r="E9793" t="str">
            <v>LAMP</v>
          </cell>
          <cell r="F9793" t="str">
            <v>LAMP-X</v>
          </cell>
          <cell r="G9793">
            <v>398</v>
          </cell>
          <cell r="H9793" t="str">
            <v>LAMP-X398</v>
          </cell>
          <cell r="K9793" t="str">
            <v>Walters,Pamela B.</v>
          </cell>
          <cell r="N9793" t="str">
            <v>NR</v>
          </cell>
          <cell r="O9793" t="str">
            <v>NR</v>
          </cell>
        </row>
        <row r="9794">
          <cell r="E9794" t="str">
            <v>LAMP</v>
          </cell>
          <cell r="F9794" t="str">
            <v>LAMP-X</v>
          </cell>
          <cell r="G9794">
            <v>398</v>
          </cell>
          <cell r="H9794" t="str">
            <v>LAMP-X398</v>
          </cell>
          <cell r="K9794" t="str">
            <v>Walters,Pamela B.</v>
          </cell>
          <cell r="N9794" t="str">
            <v>NR</v>
          </cell>
          <cell r="O9794" t="str">
            <v>NR</v>
          </cell>
        </row>
        <row r="9795">
          <cell r="E9795" t="str">
            <v>LATS</v>
          </cell>
          <cell r="F9795" t="str">
            <v>LATS-L</v>
          </cell>
          <cell r="G9795">
            <v>101</v>
          </cell>
          <cell r="H9795" t="str">
            <v>LATS-L101</v>
          </cell>
          <cell r="K9795" t="str">
            <v>Acosta,Aide</v>
          </cell>
          <cell r="N9795">
            <v>3.4209999999999998</v>
          </cell>
          <cell r="O9795">
            <v>2.948</v>
          </cell>
        </row>
        <row r="9796">
          <cell r="E9796" t="str">
            <v>LATS</v>
          </cell>
          <cell r="F9796" t="str">
            <v>LATS-L</v>
          </cell>
          <cell r="G9796">
            <v>101</v>
          </cell>
          <cell r="H9796" t="str">
            <v>LATS-L101</v>
          </cell>
          <cell r="K9796" t="str">
            <v>Gonzalez,Rachel Valentina</v>
          </cell>
          <cell r="N9796">
            <v>2.9649999999999999</v>
          </cell>
          <cell r="O9796">
            <v>2.71</v>
          </cell>
        </row>
        <row r="9797">
          <cell r="E9797" t="str">
            <v>LATS</v>
          </cell>
          <cell r="F9797" t="str">
            <v>LATS-L</v>
          </cell>
          <cell r="G9797">
            <v>101</v>
          </cell>
          <cell r="H9797" t="str">
            <v>LATS-L101</v>
          </cell>
          <cell r="K9797" t="str">
            <v>Rivera,Irasema</v>
          </cell>
          <cell r="N9797">
            <v>3.0569999999999999</v>
          </cell>
          <cell r="O9797">
            <v>2.9460000000000002</v>
          </cell>
        </row>
        <row r="9798">
          <cell r="E9798" t="str">
            <v>LATS</v>
          </cell>
          <cell r="F9798" t="str">
            <v>LATS-L</v>
          </cell>
          <cell r="G9798">
            <v>102</v>
          </cell>
          <cell r="H9798" t="str">
            <v>LATS-L102</v>
          </cell>
          <cell r="K9798" t="str">
            <v>Najar,Jos_x001A_D</v>
          </cell>
          <cell r="N9798">
            <v>3.5840000000000001</v>
          </cell>
          <cell r="O9798">
            <v>3.0329999999999999</v>
          </cell>
        </row>
        <row r="9799">
          <cell r="E9799" t="str">
            <v>LATS</v>
          </cell>
          <cell r="F9799" t="str">
            <v>LATS-L</v>
          </cell>
          <cell r="G9799">
            <v>102</v>
          </cell>
          <cell r="H9799" t="str">
            <v>LATS-L102</v>
          </cell>
          <cell r="K9799" t="str">
            <v>Wolf,Juan Eduardo</v>
          </cell>
          <cell r="N9799">
            <v>3.113</v>
          </cell>
          <cell r="O9799">
            <v>2.9630000000000001</v>
          </cell>
        </row>
        <row r="9800">
          <cell r="E9800" t="str">
            <v>LATS</v>
          </cell>
          <cell r="F9800" t="str">
            <v>LATS-L</v>
          </cell>
          <cell r="G9800">
            <v>103</v>
          </cell>
          <cell r="H9800" t="str">
            <v>LATS-L103</v>
          </cell>
          <cell r="K9800" t="str">
            <v>Acosta,Aide</v>
          </cell>
          <cell r="N9800">
            <v>3.8330000000000002</v>
          </cell>
          <cell r="O9800">
            <v>3.3679999999999999</v>
          </cell>
        </row>
        <row r="9801">
          <cell r="E9801" t="str">
            <v>LATS</v>
          </cell>
          <cell r="F9801" t="str">
            <v>LATS-L</v>
          </cell>
          <cell r="G9801">
            <v>105</v>
          </cell>
          <cell r="H9801" t="str">
            <v>LATS-L105</v>
          </cell>
          <cell r="K9801" t="str">
            <v>Martinez,Sylvia</v>
          </cell>
          <cell r="N9801">
            <v>2.5379999999999998</v>
          </cell>
          <cell r="O9801">
            <v>2.96</v>
          </cell>
        </row>
        <row r="9802">
          <cell r="E9802" t="str">
            <v>LATS</v>
          </cell>
          <cell r="F9802" t="str">
            <v>LATS-L</v>
          </cell>
          <cell r="G9802">
            <v>228</v>
          </cell>
          <cell r="H9802" t="str">
            <v>LATS-L228</v>
          </cell>
          <cell r="K9802" t="str">
            <v>Martinez,Sylvia</v>
          </cell>
          <cell r="N9802">
            <v>3.617</v>
          </cell>
          <cell r="O9802">
            <v>3.1749999999999998</v>
          </cell>
        </row>
        <row r="9803">
          <cell r="E9803" t="str">
            <v>LATS</v>
          </cell>
          <cell r="F9803" t="str">
            <v>LATS-L</v>
          </cell>
          <cell r="G9803">
            <v>396</v>
          </cell>
          <cell r="H9803" t="str">
            <v>LATS-L396</v>
          </cell>
          <cell r="K9803" t="str">
            <v>Acosta,Aide</v>
          </cell>
          <cell r="N9803">
            <v>3.33</v>
          </cell>
          <cell r="O9803">
            <v>2.9849999999999999</v>
          </cell>
        </row>
        <row r="9804">
          <cell r="E9804" t="str">
            <v>LATS</v>
          </cell>
          <cell r="F9804" t="str">
            <v>LATS-L</v>
          </cell>
          <cell r="G9804">
            <v>396</v>
          </cell>
          <cell r="H9804" t="str">
            <v>LATS-L396</v>
          </cell>
          <cell r="K9804" t="str">
            <v>Nieto-Phillips,John M.</v>
          </cell>
          <cell r="N9804" t="str">
            <v>NR</v>
          </cell>
          <cell r="O9804" t="str">
            <v>NR</v>
          </cell>
        </row>
        <row r="9805">
          <cell r="E9805" t="str">
            <v>LATS</v>
          </cell>
          <cell r="F9805" t="str">
            <v>LATS-L</v>
          </cell>
          <cell r="G9805">
            <v>396</v>
          </cell>
          <cell r="H9805" t="str">
            <v>LATS-L396</v>
          </cell>
          <cell r="K9805" t="str">
            <v>Nieto-Phillips,John M.</v>
          </cell>
          <cell r="N9805">
            <v>3.4169999999999998</v>
          </cell>
          <cell r="O9805">
            <v>3.0590000000000002</v>
          </cell>
        </row>
        <row r="9806">
          <cell r="E9806" t="str">
            <v>LATS</v>
          </cell>
          <cell r="F9806" t="str">
            <v>LATS-L</v>
          </cell>
          <cell r="G9806">
            <v>396</v>
          </cell>
          <cell r="H9806" t="str">
            <v>LATS-L396</v>
          </cell>
          <cell r="K9806" t="str">
            <v>Rivera,Irasema</v>
          </cell>
          <cell r="N9806">
            <v>2.7549999999999999</v>
          </cell>
          <cell r="O9806">
            <v>3.0430000000000001</v>
          </cell>
        </row>
        <row r="9807">
          <cell r="E9807" t="str">
            <v>LATS</v>
          </cell>
          <cell r="F9807" t="str">
            <v>LATS-L</v>
          </cell>
          <cell r="G9807">
            <v>396</v>
          </cell>
          <cell r="H9807" t="str">
            <v>LATS-L396</v>
          </cell>
          <cell r="K9807" t="str">
            <v>Wolf,Juan Eduardo</v>
          </cell>
          <cell r="N9807">
            <v>3.0640000000000001</v>
          </cell>
          <cell r="O9807">
            <v>2.972</v>
          </cell>
        </row>
        <row r="9808">
          <cell r="E9808" t="str">
            <v>LATS</v>
          </cell>
          <cell r="F9808" t="str">
            <v>LATS-L</v>
          </cell>
          <cell r="G9808">
            <v>398</v>
          </cell>
          <cell r="H9808" t="str">
            <v>LATS-L398</v>
          </cell>
          <cell r="K9808" t="str">
            <v>Martinez-Rivera,Mintzi Auanda</v>
          </cell>
          <cell r="N9808">
            <v>3.55</v>
          </cell>
          <cell r="O9808">
            <v>2.88</v>
          </cell>
        </row>
        <row r="9809">
          <cell r="E9809" t="str">
            <v>LATS</v>
          </cell>
          <cell r="F9809" t="str">
            <v>LATS-L</v>
          </cell>
          <cell r="G9809">
            <v>398</v>
          </cell>
          <cell r="H9809" t="str">
            <v>LATS-L398</v>
          </cell>
          <cell r="K9809" t="str">
            <v>Martinez-Rivera,Mintzi Auanda</v>
          </cell>
          <cell r="N9809">
            <v>3.391</v>
          </cell>
          <cell r="O9809">
            <v>2.8959999999999999</v>
          </cell>
        </row>
        <row r="9810">
          <cell r="E9810" t="str">
            <v>LATS</v>
          </cell>
          <cell r="F9810" t="str">
            <v>LATS-L</v>
          </cell>
          <cell r="G9810">
            <v>400</v>
          </cell>
          <cell r="H9810" t="str">
            <v>LATS-L400</v>
          </cell>
          <cell r="K9810" t="str">
            <v>Acosta,Aide</v>
          </cell>
          <cell r="N9810" t="str">
            <v>NR</v>
          </cell>
          <cell r="O9810" t="str">
            <v>NR</v>
          </cell>
        </row>
        <row r="9811">
          <cell r="E9811" t="str">
            <v>LATS</v>
          </cell>
          <cell r="F9811" t="str">
            <v>LATS-L</v>
          </cell>
          <cell r="G9811">
            <v>400</v>
          </cell>
          <cell r="H9811" t="str">
            <v>LATS-L400</v>
          </cell>
          <cell r="K9811" t="str">
            <v>Quevedo,Marysol</v>
          </cell>
          <cell r="N9811" t="str">
            <v>NR</v>
          </cell>
          <cell r="O9811" t="str">
            <v>NR</v>
          </cell>
        </row>
        <row r="9812">
          <cell r="E9812" t="str">
            <v>LATS</v>
          </cell>
          <cell r="F9812" t="str">
            <v>LATS-L</v>
          </cell>
          <cell r="G9812">
            <v>400</v>
          </cell>
          <cell r="H9812" t="str">
            <v>LATS-L400</v>
          </cell>
          <cell r="K9812" t="str">
            <v>Sanchez,Guido A</v>
          </cell>
          <cell r="N9812" t="str">
            <v>NR</v>
          </cell>
          <cell r="O9812" t="str">
            <v>NR</v>
          </cell>
        </row>
        <row r="9813">
          <cell r="E9813" t="str">
            <v>LATS</v>
          </cell>
          <cell r="F9813" t="str">
            <v>LATS-L</v>
          </cell>
          <cell r="G9813">
            <v>400</v>
          </cell>
          <cell r="H9813" t="str">
            <v>LATS-L400</v>
          </cell>
          <cell r="K9813" t="str">
            <v>Varon,Alberto</v>
          </cell>
          <cell r="N9813" t="str">
            <v>NR</v>
          </cell>
          <cell r="O9813" t="str">
            <v>NR</v>
          </cell>
        </row>
        <row r="9814">
          <cell r="E9814" t="str">
            <v>LATS</v>
          </cell>
          <cell r="F9814" t="str">
            <v>LATS-L</v>
          </cell>
          <cell r="G9814">
            <v>599</v>
          </cell>
          <cell r="H9814" t="str">
            <v>LATS-L599</v>
          </cell>
          <cell r="K9814" t="str">
            <v>Acosta,Aide</v>
          </cell>
          <cell r="N9814" t="str">
            <v>NR</v>
          </cell>
          <cell r="O9814" t="str">
            <v>NR</v>
          </cell>
        </row>
        <row r="9815">
          <cell r="E9815" t="str">
            <v>LATS</v>
          </cell>
          <cell r="F9815" t="str">
            <v>LATS-L</v>
          </cell>
          <cell r="G9815">
            <v>599</v>
          </cell>
          <cell r="H9815" t="str">
            <v>LATS-L599</v>
          </cell>
          <cell r="K9815" t="str">
            <v>Martinez,Sylvia</v>
          </cell>
          <cell r="N9815" t="str">
            <v>NR</v>
          </cell>
          <cell r="O9815" t="str">
            <v>NR</v>
          </cell>
        </row>
        <row r="9816">
          <cell r="E9816" t="str">
            <v>LAW</v>
          </cell>
          <cell r="F9816" t="str">
            <v xml:space="preserve">LAW-B </v>
          </cell>
          <cell r="G9816">
            <v>501</v>
          </cell>
          <cell r="H9816" t="str">
            <v>LAW-B 501</v>
          </cell>
          <cell r="K9816" t="str">
            <v>Boshkoff,Douglass G</v>
          </cell>
          <cell r="N9816">
            <v>3.2080000000000002</v>
          </cell>
          <cell r="O9816">
            <v>3.2080000000000002</v>
          </cell>
        </row>
        <row r="9817">
          <cell r="E9817" t="str">
            <v>LAW</v>
          </cell>
          <cell r="F9817" t="str">
            <v xml:space="preserve">LAW-B </v>
          </cell>
          <cell r="G9817">
            <v>501</v>
          </cell>
          <cell r="H9817" t="str">
            <v>LAW-B 501</v>
          </cell>
          <cell r="K9817" t="str">
            <v>Mattioli,Michael</v>
          </cell>
          <cell r="N9817">
            <v>3.3029999999999999</v>
          </cell>
          <cell r="O9817">
            <v>3.3039999999999998</v>
          </cell>
        </row>
        <row r="9818">
          <cell r="E9818" t="str">
            <v>LAW</v>
          </cell>
          <cell r="F9818" t="str">
            <v xml:space="preserve">LAW-B </v>
          </cell>
          <cell r="G9818">
            <v>501</v>
          </cell>
          <cell r="H9818" t="str">
            <v>LAW-B 501</v>
          </cell>
          <cell r="K9818" t="str">
            <v>Mattioli,Michael</v>
          </cell>
          <cell r="N9818" t="str">
            <v>NR</v>
          </cell>
          <cell r="O9818" t="str">
            <v>NR</v>
          </cell>
        </row>
        <row r="9819">
          <cell r="E9819" t="str">
            <v>LAW</v>
          </cell>
          <cell r="F9819" t="str">
            <v xml:space="preserve">LAW-B </v>
          </cell>
          <cell r="G9819">
            <v>501</v>
          </cell>
          <cell r="H9819" t="str">
            <v>LAW-B 501</v>
          </cell>
          <cell r="K9819" t="str">
            <v>Ochoa,Christiana</v>
          </cell>
          <cell r="N9819">
            <v>3.2919999999999998</v>
          </cell>
          <cell r="O9819">
            <v>3.2639999999999998</v>
          </cell>
        </row>
        <row r="9820">
          <cell r="E9820" t="str">
            <v>LAW</v>
          </cell>
          <cell r="F9820" t="str">
            <v xml:space="preserve">LAW-B </v>
          </cell>
          <cell r="G9820">
            <v>501</v>
          </cell>
          <cell r="H9820" t="str">
            <v>LAW-B 501</v>
          </cell>
          <cell r="K9820" t="str">
            <v>Ochoa,Christiana</v>
          </cell>
          <cell r="N9820">
            <v>3.4950000000000001</v>
          </cell>
          <cell r="O9820">
            <v>3.5990000000000002</v>
          </cell>
        </row>
        <row r="9821">
          <cell r="E9821" t="str">
            <v>LAW</v>
          </cell>
          <cell r="F9821" t="str">
            <v xml:space="preserve">LAW-B </v>
          </cell>
          <cell r="G9821">
            <v>503</v>
          </cell>
          <cell r="H9821" t="str">
            <v>LAW-B 503</v>
          </cell>
          <cell r="K9821" t="str">
            <v>Ochoa,Christiana</v>
          </cell>
          <cell r="N9821">
            <v>3.6909999999999998</v>
          </cell>
          <cell r="O9821">
            <v>3.46</v>
          </cell>
        </row>
        <row r="9822">
          <cell r="E9822" t="str">
            <v>LAW</v>
          </cell>
          <cell r="F9822" t="str">
            <v xml:space="preserve">LAW-B </v>
          </cell>
          <cell r="G9822">
            <v>504</v>
          </cell>
          <cell r="H9822" t="str">
            <v>LAW-B 504</v>
          </cell>
          <cell r="K9822" t="str">
            <v>Gjerdingen,Donald H.</v>
          </cell>
          <cell r="N9822">
            <v>3.7679999999999998</v>
          </cell>
          <cell r="O9822">
            <v>3.621</v>
          </cell>
        </row>
        <row r="9823">
          <cell r="E9823" t="str">
            <v>LAW</v>
          </cell>
          <cell r="F9823" t="str">
            <v xml:space="preserve">LAW-B </v>
          </cell>
          <cell r="G9823">
            <v>504</v>
          </cell>
          <cell r="H9823" t="str">
            <v>LAW-B 504</v>
          </cell>
          <cell r="K9823" t="str">
            <v>Goodman,Sophia C.</v>
          </cell>
          <cell r="N9823">
            <v>3.8170000000000002</v>
          </cell>
          <cell r="O9823">
            <v>3.613</v>
          </cell>
        </row>
        <row r="9824">
          <cell r="E9824" t="str">
            <v>LAW</v>
          </cell>
          <cell r="F9824" t="str">
            <v xml:space="preserve">LAW-B </v>
          </cell>
          <cell r="G9824">
            <v>507</v>
          </cell>
          <cell r="H9824" t="str">
            <v>LAW-B 507</v>
          </cell>
          <cell r="K9824" t="str">
            <v>Mallon Jr,David Joseph</v>
          </cell>
          <cell r="N9824" t="str">
            <v>NR</v>
          </cell>
          <cell r="O9824" t="str">
            <v>NR</v>
          </cell>
        </row>
        <row r="9825">
          <cell r="E9825" t="str">
            <v>LAW</v>
          </cell>
          <cell r="F9825" t="str">
            <v xml:space="preserve">LAW-B </v>
          </cell>
          <cell r="G9825">
            <v>511</v>
          </cell>
          <cell r="H9825" t="str">
            <v>LAW-B 511</v>
          </cell>
          <cell r="K9825" t="str">
            <v>Bradley,Craig M.</v>
          </cell>
          <cell r="N9825">
            <v>3.3050000000000002</v>
          </cell>
          <cell r="O9825">
            <v>3.1760000000000002</v>
          </cell>
        </row>
        <row r="9826">
          <cell r="E9826" t="str">
            <v>LAW</v>
          </cell>
          <cell r="F9826" t="str">
            <v xml:space="preserve">LAW-B </v>
          </cell>
          <cell r="G9826">
            <v>511</v>
          </cell>
          <cell r="H9826" t="str">
            <v>LAW-B 511</v>
          </cell>
          <cell r="K9826" t="str">
            <v>Hoffmann,Joseph L.</v>
          </cell>
          <cell r="N9826">
            <v>3.492</v>
          </cell>
          <cell r="O9826">
            <v>3.452</v>
          </cell>
        </row>
        <row r="9827">
          <cell r="E9827" t="str">
            <v>LAW</v>
          </cell>
          <cell r="F9827" t="str">
            <v xml:space="preserve">LAW-B </v>
          </cell>
          <cell r="G9827">
            <v>511</v>
          </cell>
          <cell r="H9827" t="str">
            <v>LAW-B 511</v>
          </cell>
          <cell r="K9827" t="str">
            <v>Scott,Ryan W.</v>
          </cell>
          <cell r="N9827">
            <v>3.3140000000000001</v>
          </cell>
          <cell r="O9827">
            <v>3.3119999999999998</v>
          </cell>
        </row>
        <row r="9828">
          <cell r="E9828" t="str">
            <v>LAW</v>
          </cell>
          <cell r="F9828" t="str">
            <v xml:space="preserve">LAW-B </v>
          </cell>
          <cell r="G9828">
            <v>513</v>
          </cell>
          <cell r="H9828" t="str">
            <v>LAW-B 513</v>
          </cell>
          <cell r="K9828" t="str">
            <v>Conkle,Daniel O.</v>
          </cell>
          <cell r="N9828">
            <v>3.2810000000000001</v>
          </cell>
          <cell r="O9828">
            <v>3.3170000000000002</v>
          </cell>
        </row>
        <row r="9829">
          <cell r="E9829" t="str">
            <v>LAW</v>
          </cell>
          <cell r="F9829" t="str">
            <v xml:space="preserve">LAW-B </v>
          </cell>
          <cell r="G9829">
            <v>513</v>
          </cell>
          <cell r="H9829" t="str">
            <v>LAW-B 513</v>
          </cell>
          <cell r="K9829" t="str">
            <v>Johnsen,Dawn Elizabeth</v>
          </cell>
          <cell r="N9829">
            <v>3.3010000000000002</v>
          </cell>
          <cell r="O9829">
            <v>3.2759999999999998</v>
          </cell>
        </row>
        <row r="9830">
          <cell r="E9830" t="str">
            <v>LAW</v>
          </cell>
          <cell r="F9830" t="str">
            <v xml:space="preserve">LAW-B </v>
          </cell>
          <cell r="G9830">
            <v>513</v>
          </cell>
          <cell r="H9830" t="str">
            <v>LAW-B 513</v>
          </cell>
          <cell r="K9830" t="str">
            <v>Williams,David Clair</v>
          </cell>
          <cell r="N9830">
            <v>3.3340000000000001</v>
          </cell>
          <cell r="O9830">
            <v>3.3170000000000002</v>
          </cell>
        </row>
        <row r="9831">
          <cell r="E9831" t="str">
            <v>LAW</v>
          </cell>
          <cell r="F9831" t="str">
            <v xml:space="preserve">LAW-B </v>
          </cell>
          <cell r="G9831">
            <v>519</v>
          </cell>
          <cell r="H9831" t="str">
            <v>LAW-B 519</v>
          </cell>
          <cell r="K9831" t="str">
            <v>Fisher,Thomas Molnar</v>
          </cell>
          <cell r="N9831">
            <v>3.4750000000000001</v>
          </cell>
          <cell r="O9831">
            <v>3.327</v>
          </cell>
        </row>
        <row r="9832">
          <cell r="E9832" t="str">
            <v>LAW</v>
          </cell>
          <cell r="F9832" t="str">
            <v xml:space="preserve">LAW-B </v>
          </cell>
          <cell r="G9832">
            <v>521</v>
          </cell>
          <cell r="H9832" t="str">
            <v>LAW-B 521</v>
          </cell>
          <cell r="K9832" t="str">
            <v>Krishnan,Jayanth K</v>
          </cell>
          <cell r="N9832">
            <v>3.234</v>
          </cell>
          <cell r="O9832">
            <v>3.3140000000000001</v>
          </cell>
        </row>
        <row r="9833">
          <cell r="E9833" t="str">
            <v>LAW</v>
          </cell>
          <cell r="F9833" t="str">
            <v xml:space="preserve">LAW-B </v>
          </cell>
          <cell r="G9833">
            <v>521</v>
          </cell>
          <cell r="H9833" t="str">
            <v>LAW-B 521</v>
          </cell>
          <cell r="K9833" t="str">
            <v>Stake,Jeffrey E.</v>
          </cell>
          <cell r="N9833">
            <v>3.3279999999999998</v>
          </cell>
          <cell r="O9833">
            <v>3.367</v>
          </cell>
        </row>
        <row r="9834">
          <cell r="E9834" t="str">
            <v>LAW</v>
          </cell>
          <cell r="F9834" t="str">
            <v xml:space="preserve">LAW-B </v>
          </cell>
          <cell r="G9834">
            <v>521</v>
          </cell>
          <cell r="H9834" t="str">
            <v>LAW-B 521</v>
          </cell>
          <cell r="K9834" t="str">
            <v>Williams,Susan H.</v>
          </cell>
          <cell r="N9834">
            <v>3.2519999999999998</v>
          </cell>
          <cell r="O9834">
            <v>3.31</v>
          </cell>
        </row>
        <row r="9835">
          <cell r="E9835" t="str">
            <v>LAW</v>
          </cell>
          <cell r="F9835" t="str">
            <v xml:space="preserve">LAW-B </v>
          </cell>
          <cell r="G9835">
            <v>524</v>
          </cell>
          <cell r="H9835" t="str">
            <v>LAW-B 524</v>
          </cell>
          <cell r="K9835" t="str">
            <v>Fisher,Thomas Molnar</v>
          </cell>
          <cell r="N9835">
            <v>3.35</v>
          </cell>
          <cell r="O9835">
            <v>3.327</v>
          </cell>
        </row>
        <row r="9836">
          <cell r="E9836" t="str">
            <v>LAW</v>
          </cell>
          <cell r="F9836" t="str">
            <v xml:space="preserve">LAW-B </v>
          </cell>
          <cell r="G9836">
            <v>525</v>
          </cell>
          <cell r="H9836" t="str">
            <v>LAW-B 525</v>
          </cell>
          <cell r="K9836" t="str">
            <v>Bradley,Craig M.</v>
          </cell>
          <cell r="N9836">
            <v>3.2949999999999999</v>
          </cell>
          <cell r="O9836">
            <v>3.4020000000000001</v>
          </cell>
        </row>
        <row r="9837">
          <cell r="E9837" t="str">
            <v>LAW</v>
          </cell>
          <cell r="F9837" t="str">
            <v xml:space="preserve">LAW-B </v>
          </cell>
          <cell r="G9837">
            <v>526</v>
          </cell>
          <cell r="H9837" t="str">
            <v>LAW-B 526</v>
          </cell>
          <cell r="K9837" t="str">
            <v>Mehrotra,Ajay</v>
          </cell>
          <cell r="N9837">
            <v>3.7</v>
          </cell>
          <cell r="O9837">
            <v>3.4</v>
          </cell>
        </row>
        <row r="9838">
          <cell r="E9838" t="str">
            <v>LAW</v>
          </cell>
          <cell r="F9838" t="str">
            <v xml:space="preserve">LAW-B </v>
          </cell>
          <cell r="G9838">
            <v>528</v>
          </cell>
          <cell r="H9838" t="str">
            <v>LAW-B 528</v>
          </cell>
          <cell r="K9838" t="str">
            <v>Janis,Mark David</v>
          </cell>
          <cell r="N9838" t="str">
            <v>NR</v>
          </cell>
          <cell r="O9838" t="str">
            <v>NR</v>
          </cell>
        </row>
        <row r="9839">
          <cell r="E9839" t="str">
            <v>LAW</v>
          </cell>
          <cell r="F9839" t="str">
            <v xml:space="preserve">LAW-B </v>
          </cell>
          <cell r="G9839">
            <v>528</v>
          </cell>
          <cell r="H9839" t="str">
            <v>LAW-B 528</v>
          </cell>
          <cell r="K9839" t="str">
            <v>Lahn,Seth Michael</v>
          </cell>
          <cell r="N9839" t="str">
            <v>NR</v>
          </cell>
          <cell r="O9839" t="str">
            <v>NR</v>
          </cell>
        </row>
        <row r="9840">
          <cell r="E9840" t="str">
            <v>LAW</v>
          </cell>
          <cell r="F9840" t="str">
            <v xml:space="preserve">LAW-B </v>
          </cell>
          <cell r="G9840">
            <v>528</v>
          </cell>
          <cell r="H9840" t="str">
            <v>LAW-B 528</v>
          </cell>
          <cell r="K9840" t="str">
            <v>Lahn,Seth Michael</v>
          </cell>
          <cell r="N9840" t="str">
            <v>NR</v>
          </cell>
          <cell r="O9840" t="str">
            <v>NR</v>
          </cell>
        </row>
        <row r="9841">
          <cell r="E9841" t="str">
            <v>LAW</v>
          </cell>
          <cell r="F9841" t="str">
            <v xml:space="preserve">LAW-B </v>
          </cell>
          <cell r="G9841">
            <v>530</v>
          </cell>
          <cell r="H9841" t="str">
            <v>LAW-B 530</v>
          </cell>
          <cell r="K9841" t="str">
            <v>Farnsworth,Lisa A.</v>
          </cell>
          <cell r="N9841" t="str">
            <v>NR</v>
          </cell>
          <cell r="O9841" t="str">
            <v>NR</v>
          </cell>
        </row>
        <row r="9842">
          <cell r="E9842" t="str">
            <v>LAW</v>
          </cell>
          <cell r="F9842" t="str">
            <v xml:space="preserve">LAW-B </v>
          </cell>
          <cell r="G9842">
            <v>530</v>
          </cell>
          <cell r="H9842" t="str">
            <v>LAW-B 530</v>
          </cell>
          <cell r="K9842" t="str">
            <v>Farnsworth,Lisa A.</v>
          </cell>
          <cell r="N9842" t="str">
            <v>NR</v>
          </cell>
          <cell r="O9842" t="str">
            <v>NR</v>
          </cell>
        </row>
        <row r="9843">
          <cell r="E9843" t="str">
            <v>LAW</v>
          </cell>
          <cell r="F9843" t="str">
            <v xml:space="preserve">LAW-B </v>
          </cell>
          <cell r="G9843">
            <v>530</v>
          </cell>
          <cell r="H9843" t="str">
            <v>LAW-B 530</v>
          </cell>
          <cell r="K9843" t="str">
            <v>Goodwin,Gabrielle Lynn</v>
          </cell>
          <cell r="N9843" t="str">
            <v>NR</v>
          </cell>
          <cell r="O9843" t="str">
            <v>NR</v>
          </cell>
        </row>
        <row r="9844">
          <cell r="E9844" t="str">
            <v>LAW</v>
          </cell>
          <cell r="F9844" t="str">
            <v xml:space="preserve">LAW-B </v>
          </cell>
          <cell r="G9844">
            <v>530</v>
          </cell>
          <cell r="H9844" t="str">
            <v>LAW-B 530</v>
          </cell>
          <cell r="K9844" t="str">
            <v>Goodwin,Gabrielle Lynn</v>
          </cell>
          <cell r="N9844" t="str">
            <v>NR</v>
          </cell>
          <cell r="O9844" t="str">
            <v>NR</v>
          </cell>
        </row>
        <row r="9845">
          <cell r="E9845" t="str">
            <v>LAW</v>
          </cell>
          <cell r="F9845" t="str">
            <v xml:space="preserve">LAW-B </v>
          </cell>
          <cell r="G9845">
            <v>531</v>
          </cell>
          <cell r="H9845" t="str">
            <v>LAW-B 531</v>
          </cell>
          <cell r="K9845" t="str">
            <v>Brown,Kevin D.</v>
          </cell>
          <cell r="N9845">
            <v>3.4020000000000001</v>
          </cell>
          <cell r="O9845">
            <v>3.2679999999999998</v>
          </cell>
        </row>
        <row r="9846">
          <cell r="E9846" t="str">
            <v>LAW</v>
          </cell>
          <cell r="F9846" t="str">
            <v xml:space="preserve">LAW-B </v>
          </cell>
          <cell r="G9846">
            <v>531</v>
          </cell>
          <cell r="H9846" t="str">
            <v>LAW-B 531</v>
          </cell>
          <cell r="K9846" t="str">
            <v>Gjerdingen,Donald H.</v>
          </cell>
          <cell r="N9846">
            <v>3.302</v>
          </cell>
          <cell r="O9846">
            <v>3.2389999999999999</v>
          </cell>
        </row>
        <row r="9847">
          <cell r="E9847" t="str">
            <v>LAW</v>
          </cell>
          <cell r="F9847" t="str">
            <v xml:space="preserve">LAW-B </v>
          </cell>
          <cell r="G9847">
            <v>531</v>
          </cell>
          <cell r="H9847" t="str">
            <v>LAW-B 531</v>
          </cell>
          <cell r="K9847" t="str">
            <v>Gjerdingen,Donald H.</v>
          </cell>
          <cell r="N9847">
            <v>3.681</v>
          </cell>
          <cell r="O9847">
            <v>3.6389999999999998</v>
          </cell>
        </row>
        <row r="9848">
          <cell r="E9848" t="str">
            <v>LAW</v>
          </cell>
          <cell r="F9848" t="str">
            <v xml:space="preserve">LAW-B </v>
          </cell>
          <cell r="G9848">
            <v>531</v>
          </cell>
          <cell r="H9848" t="str">
            <v>LAW-B 531</v>
          </cell>
          <cell r="K9848" t="str">
            <v>Heidt,Robert H.</v>
          </cell>
          <cell r="N9848">
            <v>3.2210000000000001</v>
          </cell>
          <cell r="O9848">
            <v>3.2919999999999998</v>
          </cell>
        </row>
        <row r="9849">
          <cell r="E9849" t="str">
            <v>LAW</v>
          </cell>
          <cell r="F9849" t="str">
            <v xml:space="preserve">LAW-B </v>
          </cell>
          <cell r="G9849">
            <v>531</v>
          </cell>
          <cell r="H9849" t="str">
            <v>LAW-B 531</v>
          </cell>
          <cell r="K9849" t="str">
            <v>Madeira,Jody Lynee</v>
          </cell>
          <cell r="N9849">
            <v>3.3239999999999998</v>
          </cell>
          <cell r="O9849">
            <v>3.3050000000000002</v>
          </cell>
        </row>
        <row r="9850">
          <cell r="E9850" t="str">
            <v>LAW</v>
          </cell>
          <cell r="F9850" t="str">
            <v xml:space="preserve">LAW-B </v>
          </cell>
          <cell r="G9850">
            <v>532</v>
          </cell>
          <cell r="H9850" t="str">
            <v>LAW-B 532</v>
          </cell>
          <cell r="K9850" t="str">
            <v>Castanias,Gregory Andrew</v>
          </cell>
          <cell r="N9850">
            <v>3.5630000000000002</v>
          </cell>
          <cell r="O9850">
            <v>3.4620000000000002</v>
          </cell>
        </row>
        <row r="9851">
          <cell r="E9851" t="str">
            <v>LAW</v>
          </cell>
          <cell r="F9851" t="str">
            <v xml:space="preserve">LAW-B </v>
          </cell>
          <cell r="G9851">
            <v>533</v>
          </cell>
          <cell r="H9851" t="str">
            <v>LAW-B 533</v>
          </cell>
          <cell r="K9851" t="str">
            <v>Orenstein,Aviva Anne</v>
          </cell>
          <cell r="N9851">
            <v>3.3279999999999998</v>
          </cell>
          <cell r="O9851">
            <v>3.3180000000000001</v>
          </cell>
        </row>
        <row r="9852">
          <cell r="E9852" t="str">
            <v>LAW</v>
          </cell>
          <cell r="F9852" t="str">
            <v xml:space="preserve">LAW-B </v>
          </cell>
          <cell r="G9852">
            <v>533</v>
          </cell>
          <cell r="H9852" t="str">
            <v>LAW-B 533</v>
          </cell>
          <cell r="K9852" t="str">
            <v>Quintanilla,Victor David</v>
          </cell>
          <cell r="N9852">
            <v>3.2949999999999999</v>
          </cell>
          <cell r="O9852">
            <v>3.22</v>
          </cell>
        </row>
        <row r="9853">
          <cell r="E9853" t="str">
            <v>LAW</v>
          </cell>
          <cell r="F9853" t="str">
            <v xml:space="preserve">LAW-B </v>
          </cell>
          <cell r="G9853">
            <v>533</v>
          </cell>
          <cell r="H9853" t="str">
            <v>LAW-B 533</v>
          </cell>
          <cell r="K9853" t="str">
            <v>Shreve,Gene R.</v>
          </cell>
          <cell r="N9853">
            <v>3.3170000000000002</v>
          </cell>
          <cell r="O9853">
            <v>3.2639999999999998</v>
          </cell>
        </row>
        <row r="9854">
          <cell r="E9854" t="str">
            <v>LAW</v>
          </cell>
          <cell r="F9854" t="str">
            <v xml:space="preserve">LAW-B </v>
          </cell>
          <cell r="G9854">
            <v>538</v>
          </cell>
          <cell r="H9854" t="str">
            <v>LAW-B 538</v>
          </cell>
          <cell r="K9854" t="str">
            <v>Lamber,Julia C.</v>
          </cell>
          <cell r="N9854" t="str">
            <v>NR</v>
          </cell>
          <cell r="O9854" t="str">
            <v>NR</v>
          </cell>
        </row>
        <row r="9855">
          <cell r="E9855" t="str">
            <v>LAW</v>
          </cell>
          <cell r="F9855" t="str">
            <v xml:space="preserve">LAW-B </v>
          </cell>
          <cell r="G9855">
            <v>539</v>
          </cell>
          <cell r="H9855" t="str">
            <v>LAW-B 539</v>
          </cell>
          <cell r="K9855" t="str">
            <v>Barnes,A James</v>
          </cell>
          <cell r="N9855">
            <v>4</v>
          </cell>
          <cell r="O9855">
            <v>3.2679999999999998</v>
          </cell>
        </row>
        <row r="9856">
          <cell r="E9856" t="str">
            <v>LAW</v>
          </cell>
          <cell r="F9856" t="str">
            <v xml:space="preserve">LAW-B </v>
          </cell>
          <cell r="G9856">
            <v>542</v>
          </cell>
          <cell r="H9856" t="str">
            <v>LAW-B 542</v>
          </cell>
          <cell r="K9856" t="str">
            <v>Daghe,Laura B.</v>
          </cell>
          <cell r="N9856" t="str">
            <v>NR</v>
          </cell>
          <cell r="O9856" t="str">
            <v>NR</v>
          </cell>
        </row>
        <row r="9857">
          <cell r="E9857" t="str">
            <v>LAW</v>
          </cell>
          <cell r="F9857" t="str">
            <v xml:space="preserve">LAW-B </v>
          </cell>
          <cell r="G9857">
            <v>542</v>
          </cell>
          <cell r="H9857" t="str">
            <v>LAW-B 542</v>
          </cell>
          <cell r="K9857" t="str">
            <v>Daghe,Laura B.</v>
          </cell>
          <cell r="N9857" t="str">
            <v>NR</v>
          </cell>
          <cell r="O9857" t="str">
            <v>NR</v>
          </cell>
        </row>
        <row r="9858">
          <cell r="E9858" t="str">
            <v>LAW</v>
          </cell>
          <cell r="F9858" t="str">
            <v xml:space="preserve">LAW-B </v>
          </cell>
          <cell r="G9858">
            <v>542</v>
          </cell>
          <cell r="H9858" t="str">
            <v>LAW-B 542</v>
          </cell>
          <cell r="K9858" t="str">
            <v>Downey,Robert Edmund</v>
          </cell>
          <cell r="N9858" t="str">
            <v>NR</v>
          </cell>
          <cell r="O9858" t="str">
            <v>NR</v>
          </cell>
        </row>
        <row r="9859">
          <cell r="E9859" t="str">
            <v>LAW</v>
          </cell>
          <cell r="F9859" t="str">
            <v xml:space="preserve">LAW-B </v>
          </cell>
          <cell r="G9859">
            <v>542</v>
          </cell>
          <cell r="H9859" t="str">
            <v>LAW-B 542</v>
          </cell>
          <cell r="K9859" t="str">
            <v>Downey,Robert Edmund</v>
          </cell>
          <cell r="N9859" t="str">
            <v>NR</v>
          </cell>
          <cell r="O9859" t="str">
            <v>NR</v>
          </cell>
        </row>
        <row r="9860">
          <cell r="E9860" t="str">
            <v>LAW</v>
          </cell>
          <cell r="F9860" t="str">
            <v xml:space="preserve">LAW-B </v>
          </cell>
          <cell r="G9860">
            <v>542</v>
          </cell>
          <cell r="H9860" t="str">
            <v>LAW-B 542</v>
          </cell>
          <cell r="K9860" t="str">
            <v>Du Bois,Catharine L</v>
          </cell>
          <cell r="N9860" t="str">
            <v>NR</v>
          </cell>
          <cell r="O9860" t="str">
            <v>NR</v>
          </cell>
        </row>
        <row r="9861">
          <cell r="E9861" t="str">
            <v>LAW</v>
          </cell>
          <cell r="F9861" t="str">
            <v xml:space="preserve">LAW-B </v>
          </cell>
          <cell r="G9861">
            <v>542</v>
          </cell>
          <cell r="H9861" t="str">
            <v>LAW-B 542</v>
          </cell>
          <cell r="K9861" t="str">
            <v>Du Bois,Catharine L</v>
          </cell>
          <cell r="N9861" t="str">
            <v>NR</v>
          </cell>
          <cell r="O9861" t="str">
            <v>NR</v>
          </cell>
        </row>
        <row r="9862">
          <cell r="E9862" t="str">
            <v>LAW</v>
          </cell>
          <cell r="F9862" t="str">
            <v xml:space="preserve">LAW-B </v>
          </cell>
          <cell r="G9862">
            <v>542</v>
          </cell>
          <cell r="H9862" t="str">
            <v>LAW-B 542</v>
          </cell>
          <cell r="K9862" t="str">
            <v>Goodman,Sophia C.</v>
          </cell>
          <cell r="N9862" t="str">
            <v>NR</v>
          </cell>
          <cell r="O9862" t="str">
            <v>NR</v>
          </cell>
        </row>
        <row r="9863">
          <cell r="E9863" t="str">
            <v>LAW</v>
          </cell>
          <cell r="F9863" t="str">
            <v xml:space="preserve">LAW-B </v>
          </cell>
          <cell r="G9863">
            <v>542</v>
          </cell>
          <cell r="H9863" t="str">
            <v>LAW-B 542</v>
          </cell>
          <cell r="K9863" t="str">
            <v>Reichard,Cynthia Jean</v>
          </cell>
          <cell r="N9863" t="str">
            <v>NR</v>
          </cell>
          <cell r="O9863" t="str">
            <v>NR</v>
          </cell>
        </row>
        <row r="9864">
          <cell r="E9864" t="str">
            <v>LAW</v>
          </cell>
          <cell r="F9864" t="str">
            <v xml:space="preserve">LAW-B </v>
          </cell>
          <cell r="G9864">
            <v>542</v>
          </cell>
          <cell r="H9864" t="str">
            <v>LAW-B 542</v>
          </cell>
          <cell r="K9864" t="str">
            <v>Reichard,Cynthia Jean</v>
          </cell>
          <cell r="N9864" t="str">
            <v>NR</v>
          </cell>
          <cell r="O9864" t="str">
            <v>NR</v>
          </cell>
        </row>
        <row r="9865">
          <cell r="E9865" t="str">
            <v>LAW</v>
          </cell>
          <cell r="F9865" t="str">
            <v xml:space="preserve">LAW-B </v>
          </cell>
          <cell r="G9865">
            <v>543</v>
          </cell>
          <cell r="H9865" t="str">
            <v>LAW-B 543</v>
          </cell>
          <cell r="K9865" t="str">
            <v>Daghe,Laura B.</v>
          </cell>
          <cell r="N9865" t="str">
            <v>NR</v>
          </cell>
          <cell r="O9865" t="str">
            <v>NR</v>
          </cell>
        </row>
        <row r="9866">
          <cell r="E9866" t="str">
            <v>LAW</v>
          </cell>
          <cell r="F9866" t="str">
            <v xml:space="preserve">LAW-B </v>
          </cell>
          <cell r="G9866">
            <v>543</v>
          </cell>
          <cell r="H9866" t="str">
            <v>LAW-B 543</v>
          </cell>
          <cell r="K9866" t="str">
            <v>Daghe,Laura B.</v>
          </cell>
          <cell r="N9866" t="str">
            <v>NR</v>
          </cell>
          <cell r="O9866" t="str">
            <v>NR</v>
          </cell>
        </row>
        <row r="9867">
          <cell r="E9867" t="str">
            <v>LAW</v>
          </cell>
          <cell r="F9867" t="str">
            <v xml:space="preserve">LAW-B </v>
          </cell>
          <cell r="G9867">
            <v>543</v>
          </cell>
          <cell r="H9867" t="str">
            <v>LAW-B 543</v>
          </cell>
          <cell r="K9867" t="str">
            <v>Downey,Robert Edmund</v>
          </cell>
          <cell r="N9867" t="str">
            <v>NR</v>
          </cell>
          <cell r="O9867" t="str">
            <v>NR</v>
          </cell>
        </row>
        <row r="9868">
          <cell r="E9868" t="str">
            <v>LAW</v>
          </cell>
          <cell r="F9868" t="str">
            <v xml:space="preserve">LAW-B </v>
          </cell>
          <cell r="G9868">
            <v>543</v>
          </cell>
          <cell r="H9868" t="str">
            <v>LAW-B 543</v>
          </cell>
          <cell r="K9868" t="str">
            <v>Downey,Robert Edmund</v>
          </cell>
          <cell r="N9868" t="str">
            <v>NR</v>
          </cell>
          <cell r="O9868" t="str">
            <v>NR</v>
          </cell>
        </row>
        <row r="9869">
          <cell r="E9869" t="str">
            <v>LAW</v>
          </cell>
          <cell r="F9869" t="str">
            <v xml:space="preserve">LAW-B </v>
          </cell>
          <cell r="G9869">
            <v>543</v>
          </cell>
          <cell r="H9869" t="str">
            <v>LAW-B 543</v>
          </cell>
          <cell r="K9869" t="str">
            <v>Du Bois,Catharine L</v>
          </cell>
          <cell r="N9869" t="str">
            <v>NR</v>
          </cell>
          <cell r="O9869" t="str">
            <v>NR</v>
          </cell>
        </row>
        <row r="9870">
          <cell r="E9870" t="str">
            <v>LAW</v>
          </cell>
          <cell r="F9870" t="str">
            <v xml:space="preserve">LAW-B </v>
          </cell>
          <cell r="G9870">
            <v>543</v>
          </cell>
          <cell r="H9870" t="str">
            <v>LAW-B 543</v>
          </cell>
          <cell r="K9870" t="str">
            <v>Du Bois,Catharine L</v>
          </cell>
          <cell r="N9870" t="str">
            <v>NR</v>
          </cell>
          <cell r="O9870" t="str">
            <v>NR</v>
          </cell>
        </row>
        <row r="9871">
          <cell r="E9871" t="str">
            <v>LAW</v>
          </cell>
          <cell r="F9871" t="str">
            <v xml:space="preserve">LAW-B </v>
          </cell>
          <cell r="G9871">
            <v>543</v>
          </cell>
          <cell r="H9871" t="str">
            <v>LAW-B 543</v>
          </cell>
          <cell r="K9871" t="str">
            <v>Goodman,Sophia C.</v>
          </cell>
          <cell r="N9871" t="str">
            <v>NR</v>
          </cell>
          <cell r="O9871" t="str">
            <v>NR</v>
          </cell>
        </row>
        <row r="9872">
          <cell r="E9872" t="str">
            <v>LAW</v>
          </cell>
          <cell r="F9872" t="str">
            <v xml:space="preserve">LAW-B </v>
          </cell>
          <cell r="G9872">
            <v>543</v>
          </cell>
          <cell r="H9872" t="str">
            <v>LAW-B 543</v>
          </cell>
          <cell r="K9872" t="str">
            <v>Goodman,Sophia C.</v>
          </cell>
          <cell r="N9872" t="str">
            <v>NR</v>
          </cell>
          <cell r="O9872" t="str">
            <v>NR</v>
          </cell>
        </row>
        <row r="9873">
          <cell r="E9873" t="str">
            <v>LAW</v>
          </cell>
          <cell r="F9873" t="str">
            <v xml:space="preserve">LAW-B </v>
          </cell>
          <cell r="G9873">
            <v>543</v>
          </cell>
          <cell r="H9873" t="str">
            <v>LAW-B 543</v>
          </cell>
          <cell r="K9873" t="str">
            <v>Reichard,Cynthia Jean</v>
          </cell>
          <cell r="N9873" t="str">
            <v>NR</v>
          </cell>
          <cell r="O9873" t="str">
            <v>NR</v>
          </cell>
        </row>
        <row r="9874">
          <cell r="E9874" t="str">
            <v>LAW</v>
          </cell>
          <cell r="F9874" t="str">
            <v xml:space="preserve">LAW-B </v>
          </cell>
          <cell r="G9874">
            <v>543</v>
          </cell>
          <cell r="H9874" t="str">
            <v>LAW-B 543</v>
          </cell>
          <cell r="K9874" t="str">
            <v>Reichard,Cynthia Jean</v>
          </cell>
          <cell r="N9874" t="str">
            <v>NR</v>
          </cell>
          <cell r="O9874" t="str">
            <v>NR</v>
          </cell>
        </row>
        <row r="9875">
          <cell r="E9875" t="str">
            <v>LAW</v>
          </cell>
          <cell r="F9875" t="str">
            <v xml:space="preserve">LAW-B </v>
          </cell>
          <cell r="G9875">
            <v>545</v>
          </cell>
          <cell r="H9875" t="str">
            <v>LAW-B 545</v>
          </cell>
          <cell r="K9875" t="str">
            <v>Main,David Michael</v>
          </cell>
          <cell r="N9875" t="str">
            <v>NR</v>
          </cell>
          <cell r="O9875" t="str">
            <v>NR</v>
          </cell>
        </row>
        <row r="9876">
          <cell r="E9876" t="str">
            <v>LAW</v>
          </cell>
          <cell r="F9876" t="str">
            <v xml:space="preserve">LAW-B </v>
          </cell>
          <cell r="G9876">
            <v>545</v>
          </cell>
          <cell r="H9876" t="str">
            <v>LAW-B 545</v>
          </cell>
          <cell r="K9876" t="str">
            <v>Main,David Michael</v>
          </cell>
          <cell r="N9876" t="str">
            <v>NR</v>
          </cell>
          <cell r="O9876" t="str">
            <v>NR</v>
          </cell>
        </row>
        <row r="9877">
          <cell r="E9877" t="str">
            <v>LAW</v>
          </cell>
          <cell r="F9877" t="str">
            <v xml:space="preserve">LAW-B </v>
          </cell>
          <cell r="G9877">
            <v>545</v>
          </cell>
          <cell r="H9877" t="str">
            <v>LAW-B 545</v>
          </cell>
          <cell r="K9877" t="str">
            <v>Main,David Michael</v>
          </cell>
          <cell r="N9877" t="str">
            <v>NR</v>
          </cell>
          <cell r="O9877" t="str">
            <v>NR</v>
          </cell>
        </row>
        <row r="9878">
          <cell r="E9878" t="str">
            <v>LAW</v>
          </cell>
          <cell r="F9878" t="str">
            <v xml:space="preserve">LAW-B </v>
          </cell>
          <cell r="G9878">
            <v>545</v>
          </cell>
          <cell r="H9878" t="str">
            <v>LAW-B 545</v>
          </cell>
          <cell r="K9878" t="str">
            <v>Main,David Michael</v>
          </cell>
          <cell r="N9878" t="str">
            <v>NR</v>
          </cell>
          <cell r="O9878" t="str">
            <v>NR</v>
          </cell>
        </row>
        <row r="9879">
          <cell r="E9879" t="str">
            <v>LAW</v>
          </cell>
          <cell r="F9879" t="str">
            <v xml:space="preserve">LAW-B </v>
          </cell>
          <cell r="G9879">
            <v>545</v>
          </cell>
          <cell r="H9879" t="str">
            <v>LAW-B 545</v>
          </cell>
          <cell r="K9879" t="str">
            <v>Main,David Michael</v>
          </cell>
          <cell r="N9879" t="str">
            <v>NR</v>
          </cell>
          <cell r="O9879" t="str">
            <v>NR</v>
          </cell>
        </row>
        <row r="9880">
          <cell r="E9880" t="str">
            <v>LAW</v>
          </cell>
          <cell r="F9880" t="str">
            <v xml:space="preserve">LAW-B </v>
          </cell>
          <cell r="G9880">
            <v>545</v>
          </cell>
          <cell r="H9880" t="str">
            <v>LAW-B 545</v>
          </cell>
          <cell r="K9880" t="str">
            <v>Main,David Michael</v>
          </cell>
          <cell r="N9880" t="str">
            <v>NR</v>
          </cell>
          <cell r="O9880" t="str">
            <v>NR</v>
          </cell>
        </row>
        <row r="9881">
          <cell r="E9881" t="str">
            <v>LAW</v>
          </cell>
          <cell r="F9881" t="str">
            <v xml:space="preserve">LAW-B </v>
          </cell>
          <cell r="G9881">
            <v>545</v>
          </cell>
          <cell r="H9881" t="str">
            <v>LAW-B 545</v>
          </cell>
          <cell r="K9881" t="str">
            <v>Main,David Michael</v>
          </cell>
          <cell r="N9881" t="str">
            <v>NR</v>
          </cell>
          <cell r="O9881" t="str">
            <v>NR</v>
          </cell>
        </row>
        <row r="9882">
          <cell r="E9882" t="str">
            <v>LAW</v>
          </cell>
          <cell r="F9882" t="str">
            <v xml:space="preserve">LAW-B </v>
          </cell>
          <cell r="G9882">
            <v>549</v>
          </cell>
          <cell r="H9882" t="str">
            <v>LAW-B 549</v>
          </cell>
          <cell r="K9882" t="str">
            <v>Leaffer,Marshall Allin</v>
          </cell>
          <cell r="N9882">
            <v>3.4969999999999999</v>
          </cell>
          <cell r="O9882">
            <v>3.4180000000000001</v>
          </cell>
        </row>
        <row r="9883">
          <cell r="E9883" t="str">
            <v>LAW</v>
          </cell>
          <cell r="F9883" t="str">
            <v xml:space="preserve">LAW-B </v>
          </cell>
          <cell r="G9883">
            <v>551</v>
          </cell>
          <cell r="H9883" t="str">
            <v>LAW-B 551</v>
          </cell>
          <cell r="K9883" t="str">
            <v>Janis,Mark David</v>
          </cell>
          <cell r="N9883" t="str">
            <v>NR</v>
          </cell>
          <cell r="O9883" t="str">
            <v>NR</v>
          </cell>
        </row>
        <row r="9884">
          <cell r="E9884" t="str">
            <v>LAW</v>
          </cell>
          <cell r="F9884" t="str">
            <v xml:space="preserve">LAW-B </v>
          </cell>
          <cell r="G9884">
            <v>551</v>
          </cell>
          <cell r="H9884" t="str">
            <v>LAW-B 551</v>
          </cell>
          <cell r="K9884" t="str">
            <v>Janis,Mark David</v>
          </cell>
          <cell r="N9884" t="str">
            <v>NR</v>
          </cell>
          <cell r="O9884" t="str">
            <v>NR</v>
          </cell>
        </row>
        <row r="9885">
          <cell r="E9885" t="str">
            <v>LAW</v>
          </cell>
          <cell r="F9885" t="str">
            <v xml:space="preserve">LAW-B </v>
          </cell>
          <cell r="G9885">
            <v>551</v>
          </cell>
          <cell r="H9885" t="str">
            <v>LAW-B 551</v>
          </cell>
          <cell r="K9885" t="str">
            <v>Janis,Mark David</v>
          </cell>
          <cell r="N9885" t="str">
            <v>NR</v>
          </cell>
          <cell r="O9885" t="str">
            <v>NR</v>
          </cell>
        </row>
        <row r="9886">
          <cell r="E9886" t="str">
            <v>LAW</v>
          </cell>
          <cell r="F9886" t="str">
            <v xml:space="preserve">LAW-B </v>
          </cell>
          <cell r="G9886">
            <v>551</v>
          </cell>
          <cell r="H9886" t="str">
            <v>LAW-B 551</v>
          </cell>
          <cell r="K9886" t="str">
            <v>Janis,Mark David</v>
          </cell>
          <cell r="N9886" t="str">
            <v>NR</v>
          </cell>
          <cell r="O9886" t="str">
            <v>NR</v>
          </cell>
        </row>
        <row r="9887">
          <cell r="E9887" t="str">
            <v>LAW</v>
          </cell>
          <cell r="F9887" t="str">
            <v xml:space="preserve">LAW-B </v>
          </cell>
          <cell r="G9887">
            <v>551</v>
          </cell>
          <cell r="H9887" t="str">
            <v>LAW-B 551</v>
          </cell>
          <cell r="K9887" t="str">
            <v>Janis,Mark David</v>
          </cell>
          <cell r="N9887" t="str">
            <v>NR</v>
          </cell>
          <cell r="O9887" t="str">
            <v>NR</v>
          </cell>
        </row>
        <row r="9888">
          <cell r="E9888" t="str">
            <v>LAW</v>
          </cell>
          <cell r="F9888" t="str">
            <v xml:space="preserve">LAW-B </v>
          </cell>
          <cell r="G9888">
            <v>553</v>
          </cell>
          <cell r="H9888" t="str">
            <v>LAW-B 553</v>
          </cell>
          <cell r="K9888" t="str">
            <v>Weng,Carwina</v>
          </cell>
          <cell r="N9888">
            <v>4</v>
          </cell>
          <cell r="O9888">
            <v>3.3679999999999999</v>
          </cell>
        </row>
        <row r="9889">
          <cell r="E9889" t="str">
            <v>LAW</v>
          </cell>
          <cell r="F9889" t="str">
            <v xml:space="preserve">LAW-B </v>
          </cell>
          <cell r="G9889">
            <v>554</v>
          </cell>
          <cell r="H9889" t="str">
            <v>LAW-B 554</v>
          </cell>
          <cell r="K9889" t="str">
            <v>Popkin,William D.</v>
          </cell>
          <cell r="N9889">
            <v>3.5880000000000001</v>
          </cell>
          <cell r="O9889">
            <v>3.3980000000000001</v>
          </cell>
        </row>
        <row r="9890">
          <cell r="E9890" t="str">
            <v>LAW</v>
          </cell>
          <cell r="F9890" t="str">
            <v xml:space="preserve">LAW-B </v>
          </cell>
          <cell r="G9890">
            <v>554</v>
          </cell>
          <cell r="H9890" t="str">
            <v>LAW-B 554</v>
          </cell>
          <cell r="K9890" t="str">
            <v>Widiss,Deborah Anne</v>
          </cell>
          <cell r="N9890">
            <v>3.2759999999999998</v>
          </cell>
          <cell r="O9890">
            <v>3.2829999999999999</v>
          </cell>
        </row>
        <row r="9891">
          <cell r="E9891" t="str">
            <v>LAW</v>
          </cell>
          <cell r="F9891" t="str">
            <v xml:space="preserve">LAW-B </v>
          </cell>
          <cell r="G9891">
            <v>558</v>
          </cell>
          <cell r="H9891" t="str">
            <v>LAW-B 558</v>
          </cell>
          <cell r="K9891" t="str">
            <v>Weeks,W. William</v>
          </cell>
          <cell r="N9891">
            <v>3.85</v>
          </cell>
          <cell r="O9891">
            <v>3.42</v>
          </cell>
        </row>
        <row r="9892">
          <cell r="E9892" t="str">
            <v>LAW</v>
          </cell>
          <cell r="F9892" t="str">
            <v xml:space="preserve">LAW-B </v>
          </cell>
          <cell r="G9892">
            <v>558</v>
          </cell>
          <cell r="H9892" t="str">
            <v>LAW-B 558</v>
          </cell>
          <cell r="K9892" t="str">
            <v>Weeks,W. William</v>
          </cell>
          <cell r="N9892">
            <v>3.7290000000000001</v>
          </cell>
          <cell r="O9892">
            <v>3.4319999999999999</v>
          </cell>
        </row>
        <row r="9893">
          <cell r="E9893" t="str">
            <v>LAW</v>
          </cell>
          <cell r="F9893" t="str">
            <v xml:space="preserve">LAW-B </v>
          </cell>
          <cell r="G9893">
            <v>559</v>
          </cell>
          <cell r="H9893" t="str">
            <v>LAW-B 559</v>
          </cell>
          <cell r="K9893" t="str">
            <v>Gandy,Kenneth Allen</v>
          </cell>
          <cell r="N9893">
            <v>3.488</v>
          </cell>
          <cell r="O9893">
            <v>3.3690000000000002</v>
          </cell>
        </row>
        <row r="9894">
          <cell r="E9894" t="str">
            <v>LAW</v>
          </cell>
          <cell r="F9894" t="str">
            <v xml:space="preserve">LAW-B </v>
          </cell>
          <cell r="G9894">
            <v>560</v>
          </cell>
          <cell r="H9894" t="str">
            <v>LAW-B 560</v>
          </cell>
          <cell r="K9894" t="str">
            <v>Farnsworth,Lisa A.</v>
          </cell>
          <cell r="N9894" t="str">
            <v>NR</v>
          </cell>
          <cell r="O9894" t="str">
            <v>NR</v>
          </cell>
        </row>
        <row r="9895">
          <cell r="E9895" t="str">
            <v>LAW</v>
          </cell>
          <cell r="F9895" t="str">
            <v xml:space="preserve">LAW-B </v>
          </cell>
          <cell r="G9895">
            <v>561</v>
          </cell>
          <cell r="H9895" t="str">
            <v>LAW-B 561</v>
          </cell>
          <cell r="K9895" t="str">
            <v>Need,Mark E</v>
          </cell>
          <cell r="N9895" t="str">
            <v>NR</v>
          </cell>
          <cell r="O9895" t="str">
            <v>NR</v>
          </cell>
        </row>
        <row r="9896">
          <cell r="E9896" t="str">
            <v>LAW</v>
          </cell>
          <cell r="F9896" t="str">
            <v xml:space="preserve">LAW-B </v>
          </cell>
          <cell r="G9896">
            <v>561</v>
          </cell>
          <cell r="H9896" t="str">
            <v>LAW-B 561</v>
          </cell>
          <cell r="K9896" t="str">
            <v>Need,Mark E</v>
          </cell>
          <cell r="N9896" t="str">
            <v>NR</v>
          </cell>
          <cell r="O9896" t="str">
            <v>NR</v>
          </cell>
        </row>
        <row r="9897">
          <cell r="E9897" t="str">
            <v>LAW</v>
          </cell>
          <cell r="F9897" t="str">
            <v xml:space="preserve">LAW-B </v>
          </cell>
          <cell r="G9897">
            <v>562</v>
          </cell>
          <cell r="H9897" t="str">
            <v>LAW-B 562</v>
          </cell>
          <cell r="K9897" t="str">
            <v>Farnsworth,Lisa A.</v>
          </cell>
          <cell r="N9897" t="str">
            <v>NR</v>
          </cell>
          <cell r="O9897" t="str">
            <v>NR</v>
          </cell>
        </row>
        <row r="9898">
          <cell r="E9898" t="str">
            <v>LAW</v>
          </cell>
          <cell r="F9898" t="str">
            <v xml:space="preserve">LAW-B </v>
          </cell>
          <cell r="G9898">
            <v>562</v>
          </cell>
          <cell r="H9898" t="str">
            <v>LAW-B 562</v>
          </cell>
          <cell r="K9898" t="str">
            <v>Farnsworth,Lisa A.</v>
          </cell>
          <cell r="N9898" t="str">
            <v>NR</v>
          </cell>
          <cell r="O9898" t="str">
            <v>NR</v>
          </cell>
        </row>
        <row r="9899">
          <cell r="E9899" t="str">
            <v>LAW</v>
          </cell>
          <cell r="F9899" t="str">
            <v xml:space="preserve">LAW-B </v>
          </cell>
          <cell r="G9899">
            <v>563</v>
          </cell>
          <cell r="H9899" t="str">
            <v>LAW-B 563</v>
          </cell>
          <cell r="K9899" t="str">
            <v>Applegate,Amy</v>
          </cell>
          <cell r="N9899">
            <v>3.7810000000000001</v>
          </cell>
          <cell r="O9899">
            <v>3.286</v>
          </cell>
        </row>
        <row r="9900">
          <cell r="E9900" t="str">
            <v>LAW</v>
          </cell>
          <cell r="F9900" t="str">
            <v xml:space="preserve">LAW-B </v>
          </cell>
          <cell r="G9900">
            <v>567</v>
          </cell>
          <cell r="H9900" t="str">
            <v>LAW-B 567</v>
          </cell>
          <cell r="K9900" t="str">
            <v>Meitus,Robert Shannon</v>
          </cell>
          <cell r="N9900">
            <v>3.8639999999999999</v>
          </cell>
          <cell r="O9900">
            <v>3.3140000000000001</v>
          </cell>
        </row>
        <row r="9901">
          <cell r="E9901" t="str">
            <v>LAW</v>
          </cell>
          <cell r="F9901" t="str">
            <v xml:space="preserve">LAW-B </v>
          </cell>
          <cell r="G9901">
            <v>568</v>
          </cell>
          <cell r="H9901" t="str">
            <v>LAW-B 568</v>
          </cell>
          <cell r="K9901" t="str">
            <v>Matthews,Catherine LeAnn</v>
          </cell>
          <cell r="N9901" t="str">
            <v>NR</v>
          </cell>
          <cell r="O9901" t="str">
            <v>NR</v>
          </cell>
        </row>
        <row r="9902">
          <cell r="E9902" t="str">
            <v>LAW</v>
          </cell>
          <cell r="F9902" t="str">
            <v xml:space="preserve">LAW-B </v>
          </cell>
          <cell r="G9902">
            <v>570</v>
          </cell>
          <cell r="H9902" t="str">
            <v>LAW-B 570</v>
          </cell>
          <cell r="K9902" t="str">
            <v>Gjerdingen,Donald H.</v>
          </cell>
          <cell r="N9902">
            <v>3.6659999999999999</v>
          </cell>
          <cell r="O9902">
            <v>3.4969999999999999</v>
          </cell>
        </row>
        <row r="9903">
          <cell r="E9903" t="str">
            <v>LAW</v>
          </cell>
          <cell r="F9903" t="str">
            <v xml:space="preserve">LAW-B </v>
          </cell>
          <cell r="G9903">
            <v>570</v>
          </cell>
          <cell r="H9903" t="str">
            <v>LAW-B 570</v>
          </cell>
          <cell r="K9903" t="str">
            <v>Gjerdingen,Donald H.</v>
          </cell>
          <cell r="N9903">
            <v>3.85</v>
          </cell>
          <cell r="O9903">
            <v>3.56</v>
          </cell>
        </row>
        <row r="9904">
          <cell r="E9904" t="str">
            <v>LAW</v>
          </cell>
          <cell r="F9904" t="str">
            <v xml:space="preserve">LAW-B </v>
          </cell>
          <cell r="G9904">
            <v>584</v>
          </cell>
          <cell r="H9904" t="str">
            <v>LAW-B 584</v>
          </cell>
          <cell r="K9904" t="str">
            <v>Tanford,J. Alexander</v>
          </cell>
          <cell r="N9904" t="str">
            <v>NR</v>
          </cell>
          <cell r="O9904" t="str">
            <v>NR</v>
          </cell>
        </row>
        <row r="9905">
          <cell r="E9905" t="str">
            <v>LAW</v>
          </cell>
          <cell r="F9905" t="str">
            <v xml:space="preserve">LAW-B </v>
          </cell>
          <cell r="G9905">
            <v>584</v>
          </cell>
          <cell r="H9905" t="str">
            <v>LAW-B 584</v>
          </cell>
          <cell r="K9905" t="str">
            <v>Tanford,J. Alexander</v>
          </cell>
          <cell r="N9905" t="str">
            <v>NR</v>
          </cell>
          <cell r="O9905" t="str">
            <v>NR</v>
          </cell>
        </row>
        <row r="9906">
          <cell r="E9906" t="str">
            <v>LAW</v>
          </cell>
          <cell r="F9906" t="str">
            <v xml:space="preserve">LAW-B </v>
          </cell>
          <cell r="G9906">
            <v>587</v>
          </cell>
          <cell r="H9906" t="str">
            <v>LAW-B 587</v>
          </cell>
          <cell r="K9906" t="str">
            <v>Cate,Fred H.</v>
          </cell>
          <cell r="N9906">
            <v>3.3820000000000001</v>
          </cell>
          <cell r="O9906">
            <v>3.3380000000000001</v>
          </cell>
        </row>
        <row r="9907">
          <cell r="E9907" t="str">
            <v>LAW</v>
          </cell>
          <cell r="F9907" t="str">
            <v xml:space="preserve">LAW-B </v>
          </cell>
          <cell r="G9907">
            <v>588</v>
          </cell>
          <cell r="H9907" t="str">
            <v>LAW-B 588</v>
          </cell>
          <cell r="K9907" t="str">
            <v>Conrad,Stephen A.</v>
          </cell>
          <cell r="N9907">
            <v>3.774</v>
          </cell>
          <cell r="O9907">
            <v>3.302</v>
          </cell>
        </row>
        <row r="9908">
          <cell r="E9908" t="str">
            <v>LAW</v>
          </cell>
          <cell r="F9908" t="str">
            <v xml:space="preserve">LAW-B </v>
          </cell>
          <cell r="G9908">
            <v>590</v>
          </cell>
          <cell r="H9908" t="str">
            <v>LAW-B 590</v>
          </cell>
          <cell r="K9908" t="str">
            <v>Meitus,Robert Shannon</v>
          </cell>
          <cell r="N9908">
            <v>3.4020000000000001</v>
          </cell>
          <cell r="O9908">
            <v>3.2730000000000001</v>
          </cell>
        </row>
        <row r="9909">
          <cell r="E9909" t="str">
            <v>LAW</v>
          </cell>
          <cell r="F9909" t="str">
            <v xml:space="preserve">LAW-B </v>
          </cell>
          <cell r="G9909">
            <v>595</v>
          </cell>
          <cell r="H9909" t="str">
            <v>LAW-B 595</v>
          </cell>
          <cell r="K9909" t="str">
            <v>Barnes,A James</v>
          </cell>
          <cell r="N9909">
            <v>4</v>
          </cell>
          <cell r="O9909">
            <v>3.4329999999999998</v>
          </cell>
        </row>
        <row r="9910">
          <cell r="E9910" t="str">
            <v>LAW</v>
          </cell>
          <cell r="F9910" t="str">
            <v xml:space="preserve">LAW-B </v>
          </cell>
          <cell r="G9910">
            <v>600</v>
          </cell>
          <cell r="H9910" t="str">
            <v>LAW-B 600</v>
          </cell>
          <cell r="K9910" t="str">
            <v>Fromm,Leonard</v>
          </cell>
          <cell r="N9910" t="str">
            <v>NR</v>
          </cell>
          <cell r="O9910" t="str">
            <v>NR</v>
          </cell>
        </row>
        <row r="9911">
          <cell r="E9911" t="str">
            <v>LAW</v>
          </cell>
          <cell r="F9911" t="str">
            <v xml:space="preserve">LAW-B </v>
          </cell>
          <cell r="G9911">
            <v>600</v>
          </cell>
          <cell r="H9911" t="str">
            <v>LAW-B 600</v>
          </cell>
          <cell r="K9911" t="str">
            <v>Matthews,Catherine LeAnn</v>
          </cell>
          <cell r="N9911" t="str">
            <v>NR</v>
          </cell>
          <cell r="O9911" t="str">
            <v>NR</v>
          </cell>
        </row>
        <row r="9912">
          <cell r="E9912" t="str">
            <v>LAW</v>
          </cell>
          <cell r="F9912" t="str">
            <v xml:space="preserve">LAW-B </v>
          </cell>
          <cell r="G9912">
            <v>601</v>
          </cell>
          <cell r="H9912" t="str">
            <v>LAW-B 601</v>
          </cell>
          <cell r="K9912" t="str">
            <v>Bell,Jeannine</v>
          </cell>
          <cell r="N9912">
            <v>3.3820000000000001</v>
          </cell>
          <cell r="O9912">
            <v>3.3820000000000001</v>
          </cell>
        </row>
        <row r="9913">
          <cell r="E9913" t="str">
            <v>LAW</v>
          </cell>
          <cell r="F9913" t="str">
            <v xml:space="preserve">LAW-B </v>
          </cell>
          <cell r="G9913">
            <v>601</v>
          </cell>
          <cell r="H9913" t="str">
            <v>LAW-B 601</v>
          </cell>
          <cell r="K9913" t="str">
            <v>Hoffmann,Joseph L.</v>
          </cell>
          <cell r="N9913">
            <v>3.3109999999999999</v>
          </cell>
          <cell r="O9913">
            <v>3.3039999999999998</v>
          </cell>
        </row>
        <row r="9914">
          <cell r="E9914" t="str">
            <v>LAW</v>
          </cell>
          <cell r="F9914" t="str">
            <v xml:space="preserve">LAW-B </v>
          </cell>
          <cell r="G9914">
            <v>602</v>
          </cell>
          <cell r="H9914" t="str">
            <v>LAW-B 602</v>
          </cell>
          <cell r="K9914" t="str">
            <v>Scott,Ryan W.</v>
          </cell>
          <cell r="N9914" t="str">
            <v>NR</v>
          </cell>
          <cell r="O9914" t="str">
            <v>NR</v>
          </cell>
        </row>
        <row r="9915">
          <cell r="E9915" t="str">
            <v>LAW</v>
          </cell>
          <cell r="F9915" t="str">
            <v xml:space="preserve">LAW-B </v>
          </cell>
          <cell r="G9915">
            <v>603</v>
          </cell>
          <cell r="H9915" t="str">
            <v>LAW-B 603</v>
          </cell>
          <cell r="K9915" t="str">
            <v>Conrad,Stephen A.</v>
          </cell>
          <cell r="N9915">
            <v>3.8759999999999999</v>
          </cell>
          <cell r="O9915">
            <v>3.4260000000000002</v>
          </cell>
        </row>
        <row r="9916">
          <cell r="E9916" t="str">
            <v>LAW</v>
          </cell>
          <cell r="F9916" t="str">
            <v xml:space="preserve">LAW-B </v>
          </cell>
          <cell r="G9916">
            <v>608</v>
          </cell>
          <cell r="H9916" t="str">
            <v>LAW-B 608</v>
          </cell>
          <cell r="K9916" t="str">
            <v>Widiss,Deborah Anne</v>
          </cell>
          <cell r="N9916">
            <v>3.2989999999999999</v>
          </cell>
          <cell r="O9916">
            <v>3.3319999999999999</v>
          </cell>
        </row>
        <row r="9917">
          <cell r="E9917" t="str">
            <v>LAW</v>
          </cell>
          <cell r="F9917" t="str">
            <v xml:space="preserve">LAW-B </v>
          </cell>
          <cell r="G9917">
            <v>614</v>
          </cell>
          <cell r="H9917" t="str">
            <v>LAW-B 614</v>
          </cell>
          <cell r="K9917" t="str">
            <v>Geyh,Charles Gardner</v>
          </cell>
          <cell r="N9917">
            <v>3.4470000000000001</v>
          </cell>
          <cell r="O9917">
            <v>3.3290000000000002</v>
          </cell>
        </row>
        <row r="9918">
          <cell r="E9918" t="str">
            <v>LAW</v>
          </cell>
          <cell r="F9918" t="str">
            <v xml:space="preserve">LAW-B </v>
          </cell>
          <cell r="G9918">
            <v>614</v>
          </cell>
          <cell r="H9918" t="str">
            <v>LAW-B 614</v>
          </cell>
          <cell r="K9918" t="str">
            <v>Henderson,William</v>
          </cell>
          <cell r="N9918">
            <v>3.4569999999999999</v>
          </cell>
          <cell r="O9918">
            <v>3.2839999999999998</v>
          </cell>
        </row>
        <row r="9919">
          <cell r="E9919" t="str">
            <v>LAW</v>
          </cell>
          <cell r="F9919" t="str">
            <v xml:space="preserve">LAW-B </v>
          </cell>
          <cell r="G9919">
            <v>614</v>
          </cell>
          <cell r="H9919" t="str">
            <v>LAW-B 614</v>
          </cell>
          <cell r="K9919" t="str">
            <v>Silver,Carole</v>
          </cell>
          <cell r="N9919">
            <v>3.4550000000000001</v>
          </cell>
          <cell r="O9919">
            <v>3.32</v>
          </cell>
        </row>
        <row r="9920">
          <cell r="E9920" t="str">
            <v>LAW</v>
          </cell>
          <cell r="F9920" t="str">
            <v xml:space="preserve">LAW-B </v>
          </cell>
          <cell r="G9920">
            <v>614</v>
          </cell>
          <cell r="H9920" t="str">
            <v>LAW-B 614</v>
          </cell>
          <cell r="K9920" t="str">
            <v>Weng,Carwina</v>
          </cell>
          <cell r="N9920">
            <v>3.4460000000000002</v>
          </cell>
          <cell r="O9920">
            <v>3.331</v>
          </cell>
        </row>
        <row r="9921">
          <cell r="E9921" t="str">
            <v>LAW</v>
          </cell>
          <cell r="F9921" t="str">
            <v xml:space="preserve">LAW-B </v>
          </cell>
          <cell r="G9921">
            <v>615</v>
          </cell>
          <cell r="H9921" t="str">
            <v>LAW-B 615</v>
          </cell>
          <cell r="K9921" t="str">
            <v>Stake,Jeffrey E.</v>
          </cell>
          <cell r="N9921">
            <v>3.302</v>
          </cell>
          <cell r="O9921">
            <v>3.335</v>
          </cell>
        </row>
        <row r="9922">
          <cell r="E9922" t="str">
            <v>LAW</v>
          </cell>
          <cell r="F9922" t="str">
            <v xml:space="preserve">LAW-B </v>
          </cell>
          <cell r="G9922">
            <v>619</v>
          </cell>
          <cell r="H9922" t="str">
            <v>LAW-B 619</v>
          </cell>
          <cell r="K9922" t="str">
            <v>Madeira,Jody Lynee</v>
          </cell>
          <cell r="N9922">
            <v>3.581</v>
          </cell>
          <cell r="O9922">
            <v>3.4060000000000001</v>
          </cell>
        </row>
        <row r="9923">
          <cell r="E9923" t="str">
            <v>LAW</v>
          </cell>
          <cell r="F9923" t="str">
            <v xml:space="preserve">LAW-B </v>
          </cell>
          <cell r="G9923">
            <v>620</v>
          </cell>
          <cell r="H9923" t="str">
            <v>LAW-B 620</v>
          </cell>
          <cell r="K9923" t="str">
            <v>Ardery,Samuel Richard</v>
          </cell>
          <cell r="N9923">
            <v>3.5369999999999999</v>
          </cell>
          <cell r="O9923">
            <v>3.387</v>
          </cell>
        </row>
        <row r="9924">
          <cell r="E9924" t="str">
            <v>LAW</v>
          </cell>
          <cell r="F9924" t="str">
            <v xml:space="preserve">LAW-B </v>
          </cell>
          <cell r="G9924">
            <v>620</v>
          </cell>
          <cell r="H9924" t="str">
            <v>LAW-B 620</v>
          </cell>
          <cell r="K9924" t="str">
            <v>Ardery,Samuel Richard</v>
          </cell>
          <cell r="N9924">
            <v>3.4670000000000001</v>
          </cell>
          <cell r="O9924">
            <v>3.383</v>
          </cell>
        </row>
        <row r="9925">
          <cell r="E9925" t="str">
            <v>LAW</v>
          </cell>
          <cell r="F9925" t="str">
            <v xml:space="preserve">LAW-B </v>
          </cell>
          <cell r="G9925">
            <v>620</v>
          </cell>
          <cell r="H9925" t="str">
            <v>LAW-B 620</v>
          </cell>
          <cell r="K9925" t="str">
            <v>Bingham,Lisa Blomgren</v>
          </cell>
          <cell r="N9925">
            <v>3.395</v>
          </cell>
          <cell r="O9925">
            <v>3.3050000000000002</v>
          </cell>
        </row>
        <row r="9926">
          <cell r="E9926" t="str">
            <v>LAW</v>
          </cell>
          <cell r="F9926" t="str">
            <v xml:space="preserve">LAW-B </v>
          </cell>
          <cell r="G9926">
            <v>623</v>
          </cell>
          <cell r="H9926" t="str">
            <v>LAW-B 623</v>
          </cell>
          <cell r="K9926" t="str">
            <v>Hughes,Sarah Jane</v>
          </cell>
          <cell r="N9926">
            <v>3.41</v>
          </cell>
          <cell r="O9926">
            <v>3.331</v>
          </cell>
        </row>
        <row r="9927">
          <cell r="E9927" t="str">
            <v>LAW</v>
          </cell>
          <cell r="F9927" t="str">
            <v xml:space="preserve">LAW-B </v>
          </cell>
          <cell r="G9927">
            <v>631</v>
          </cell>
          <cell r="H9927" t="str">
            <v>LAW-B 631</v>
          </cell>
          <cell r="K9927" t="str">
            <v>Lorch III,Basil H</v>
          </cell>
          <cell r="N9927">
            <v>3.6619999999999999</v>
          </cell>
          <cell r="O9927">
            <v>3.3820000000000001</v>
          </cell>
        </row>
        <row r="9928">
          <cell r="E9928" t="str">
            <v>LAW</v>
          </cell>
          <cell r="F9928" t="str">
            <v xml:space="preserve">LAW-B </v>
          </cell>
          <cell r="G9928">
            <v>634</v>
          </cell>
          <cell r="H9928" t="str">
            <v>LAW-B 634</v>
          </cell>
          <cell r="K9928" t="str">
            <v>Fargo,Anthony L</v>
          </cell>
          <cell r="N9928" t="str">
            <v>NR</v>
          </cell>
          <cell r="O9928" t="str">
            <v>NR</v>
          </cell>
        </row>
        <row r="9929">
          <cell r="E9929" t="str">
            <v>LAW</v>
          </cell>
          <cell r="F9929" t="str">
            <v xml:space="preserve">LAW-B </v>
          </cell>
          <cell r="G9929">
            <v>642</v>
          </cell>
          <cell r="H9929" t="str">
            <v>LAW-B 642</v>
          </cell>
          <cell r="K9929" t="str">
            <v>Lahn,Seth Michael</v>
          </cell>
          <cell r="N9929" t="str">
            <v>NR</v>
          </cell>
          <cell r="O9929" t="str">
            <v>NR</v>
          </cell>
        </row>
        <row r="9930">
          <cell r="E9930" t="str">
            <v>LAW</v>
          </cell>
          <cell r="F9930" t="str">
            <v xml:space="preserve">LAW-B </v>
          </cell>
          <cell r="G9930">
            <v>642</v>
          </cell>
          <cell r="H9930" t="str">
            <v>LAW-B 642</v>
          </cell>
          <cell r="K9930" t="str">
            <v>Lahn,Seth Michael</v>
          </cell>
          <cell r="N9930" t="str">
            <v>NR</v>
          </cell>
          <cell r="O9930" t="str">
            <v>NR</v>
          </cell>
        </row>
        <row r="9931">
          <cell r="E9931" t="str">
            <v>LAW</v>
          </cell>
          <cell r="F9931" t="str">
            <v xml:space="preserve">LAW-B </v>
          </cell>
          <cell r="G9931">
            <v>644</v>
          </cell>
          <cell r="H9931" t="str">
            <v>LAW-B 644</v>
          </cell>
          <cell r="K9931" t="str">
            <v>Dannenmaier,Eric R</v>
          </cell>
          <cell r="N9931" t="str">
            <v>NR</v>
          </cell>
          <cell r="O9931" t="str">
            <v>NR</v>
          </cell>
        </row>
        <row r="9932">
          <cell r="E9932" t="str">
            <v>LAW</v>
          </cell>
          <cell r="F9932" t="str">
            <v xml:space="preserve">LAW-B </v>
          </cell>
          <cell r="G9932">
            <v>645</v>
          </cell>
          <cell r="H9932" t="str">
            <v>LAW-B 645</v>
          </cell>
          <cell r="K9932" t="str">
            <v>Gjerdingen,Donald H.</v>
          </cell>
          <cell r="N9932">
            <v>3.3639999999999999</v>
          </cell>
          <cell r="O9932">
            <v>3.3069999999999999</v>
          </cell>
        </row>
        <row r="9933">
          <cell r="E9933" t="str">
            <v>LAW</v>
          </cell>
          <cell r="F9933" t="str">
            <v xml:space="preserve">LAW-B </v>
          </cell>
          <cell r="G9933">
            <v>645</v>
          </cell>
          <cell r="H9933" t="str">
            <v>LAW-B 645</v>
          </cell>
          <cell r="K9933" t="str">
            <v>Stake,Jeffrey E.</v>
          </cell>
          <cell r="N9933">
            <v>3.3170000000000002</v>
          </cell>
          <cell r="O9933">
            <v>3.3969999999999998</v>
          </cell>
        </row>
        <row r="9934">
          <cell r="E9934" t="str">
            <v>LAW</v>
          </cell>
          <cell r="F9934" t="str">
            <v xml:space="preserve">LAW-B </v>
          </cell>
          <cell r="G9934">
            <v>649</v>
          </cell>
          <cell r="H9934" t="str">
            <v>LAW-B 649</v>
          </cell>
          <cell r="K9934" t="str">
            <v>Paul,Stephen Howard</v>
          </cell>
          <cell r="N9934">
            <v>3.3530000000000002</v>
          </cell>
          <cell r="O9934">
            <v>3.4060000000000001</v>
          </cell>
        </row>
        <row r="9935">
          <cell r="E9935" t="str">
            <v>LAW</v>
          </cell>
          <cell r="F9935" t="str">
            <v xml:space="preserve">LAW-B </v>
          </cell>
          <cell r="G9935">
            <v>650</v>
          </cell>
          <cell r="H9935" t="str">
            <v>LAW-B 650</v>
          </cell>
          <cell r="K9935" t="str">
            <v>Lederman,Leandra</v>
          </cell>
          <cell r="N9935">
            <v>3.3679999999999999</v>
          </cell>
          <cell r="O9935">
            <v>3.3860000000000001</v>
          </cell>
        </row>
        <row r="9936">
          <cell r="E9936" t="str">
            <v>LAW</v>
          </cell>
          <cell r="F9936" t="str">
            <v xml:space="preserve">LAW-B </v>
          </cell>
          <cell r="G9936">
            <v>650</v>
          </cell>
          <cell r="H9936" t="str">
            <v>LAW-B 650</v>
          </cell>
          <cell r="K9936" t="str">
            <v>Mehrotra,Ajay</v>
          </cell>
          <cell r="N9936">
            <v>3.3069999999999999</v>
          </cell>
          <cell r="O9936">
            <v>3.3690000000000002</v>
          </cell>
        </row>
        <row r="9937">
          <cell r="E9937" t="str">
            <v>LAW</v>
          </cell>
          <cell r="F9937" t="str">
            <v xml:space="preserve">LAW-B </v>
          </cell>
          <cell r="G9937">
            <v>652</v>
          </cell>
          <cell r="H9937" t="str">
            <v>LAW-B 652</v>
          </cell>
          <cell r="K9937" t="str">
            <v>Head,Julie S.</v>
          </cell>
          <cell r="N9937" t="str">
            <v>NR</v>
          </cell>
          <cell r="O9937" t="str">
            <v>NR</v>
          </cell>
        </row>
        <row r="9938">
          <cell r="E9938" t="str">
            <v>LAW</v>
          </cell>
          <cell r="F9938" t="str">
            <v xml:space="preserve">LAW-B </v>
          </cell>
          <cell r="G9938">
            <v>652</v>
          </cell>
          <cell r="H9938" t="str">
            <v>LAW-B 652</v>
          </cell>
          <cell r="K9938" t="str">
            <v>Head,Julie S.</v>
          </cell>
          <cell r="N9938" t="str">
            <v>NR</v>
          </cell>
          <cell r="O9938" t="str">
            <v>NR</v>
          </cell>
        </row>
        <row r="9939">
          <cell r="E9939" t="str">
            <v>LAW</v>
          </cell>
          <cell r="F9939" t="str">
            <v xml:space="preserve">LAW-B </v>
          </cell>
          <cell r="G9939">
            <v>653</v>
          </cell>
          <cell r="H9939" t="str">
            <v>LAW-B 653</v>
          </cell>
          <cell r="K9939" t="str">
            <v>Henderson,William</v>
          </cell>
          <cell r="N9939" t="str">
            <v>NR</v>
          </cell>
          <cell r="O9939" t="str">
            <v>NR</v>
          </cell>
        </row>
        <row r="9940">
          <cell r="E9940" t="str">
            <v>LAW</v>
          </cell>
          <cell r="F9940" t="str">
            <v xml:space="preserve">LAW-B </v>
          </cell>
          <cell r="G9940">
            <v>653</v>
          </cell>
          <cell r="H9940" t="str">
            <v>LAW-B 653</v>
          </cell>
          <cell r="K9940" t="str">
            <v>Nagy,Donna M</v>
          </cell>
          <cell r="N9940">
            <v>3.323</v>
          </cell>
          <cell r="O9940">
            <v>3.4369999999999998</v>
          </cell>
        </row>
        <row r="9941">
          <cell r="E9941" t="str">
            <v>LAW</v>
          </cell>
          <cell r="F9941" t="str">
            <v xml:space="preserve">LAW-B </v>
          </cell>
          <cell r="G9941">
            <v>656</v>
          </cell>
          <cell r="H9941" t="str">
            <v>LAW-B 656</v>
          </cell>
          <cell r="K9941" t="str">
            <v>Broughman,Brian Jeffrey</v>
          </cell>
          <cell r="N9941">
            <v>3.4039999999999999</v>
          </cell>
          <cell r="O9941">
            <v>3.3490000000000002</v>
          </cell>
        </row>
        <row r="9942">
          <cell r="E9942" t="str">
            <v>LAW</v>
          </cell>
          <cell r="F9942" t="str">
            <v xml:space="preserve">LAW-B </v>
          </cell>
          <cell r="G9942">
            <v>658</v>
          </cell>
          <cell r="H9942" t="str">
            <v>LAW-B 658</v>
          </cell>
          <cell r="K9942" t="str">
            <v>Matthews,Catherine LeAnn</v>
          </cell>
          <cell r="N9942" t="str">
            <v>NR</v>
          </cell>
          <cell r="O9942" t="str">
            <v>NR</v>
          </cell>
        </row>
        <row r="9943">
          <cell r="E9943" t="str">
            <v>LAW</v>
          </cell>
          <cell r="F9943" t="str">
            <v xml:space="preserve">LAW-B </v>
          </cell>
          <cell r="G9943">
            <v>659</v>
          </cell>
          <cell r="H9943" t="str">
            <v>LAW-B 659</v>
          </cell>
          <cell r="K9943" t="str">
            <v>Conrad,Stephen A.</v>
          </cell>
          <cell r="N9943">
            <v>3.8210000000000002</v>
          </cell>
          <cell r="O9943">
            <v>3.3410000000000002</v>
          </cell>
        </row>
        <row r="9944">
          <cell r="E9944" t="str">
            <v>LAW</v>
          </cell>
          <cell r="F9944" t="str">
            <v xml:space="preserve">LAW-B </v>
          </cell>
          <cell r="G9944">
            <v>661</v>
          </cell>
          <cell r="H9944" t="str">
            <v>LAW-B 661</v>
          </cell>
          <cell r="K9944" t="str">
            <v>Cripps,Yvonne</v>
          </cell>
          <cell r="N9944">
            <v>3.3919999999999999</v>
          </cell>
          <cell r="O9944">
            <v>3.343</v>
          </cell>
        </row>
        <row r="9945">
          <cell r="E9945" t="str">
            <v>LAW</v>
          </cell>
          <cell r="F9945" t="str">
            <v xml:space="preserve">LAW-B </v>
          </cell>
          <cell r="G9945">
            <v>662</v>
          </cell>
          <cell r="H9945" t="str">
            <v>LAW-B 662</v>
          </cell>
          <cell r="K9945" t="str">
            <v>Leaffer,Marshall Allin</v>
          </cell>
          <cell r="N9945">
            <v>3.3980000000000001</v>
          </cell>
          <cell r="O9945">
            <v>3.3769999999999998</v>
          </cell>
        </row>
        <row r="9946">
          <cell r="E9946" t="str">
            <v>LAW</v>
          </cell>
          <cell r="F9946" t="str">
            <v xml:space="preserve">LAW-B </v>
          </cell>
          <cell r="G9946">
            <v>662</v>
          </cell>
          <cell r="H9946" t="str">
            <v>LAW-B 662</v>
          </cell>
          <cell r="K9946" t="str">
            <v>Leaffer,Marshall Allin</v>
          </cell>
          <cell r="N9946">
            <v>3.3039999999999998</v>
          </cell>
          <cell r="O9946">
            <v>3.3519999999999999</v>
          </cell>
        </row>
        <row r="9947">
          <cell r="E9947" t="str">
            <v>LAW</v>
          </cell>
          <cell r="F9947" t="str">
            <v xml:space="preserve">LAW-B </v>
          </cell>
          <cell r="G9947">
            <v>663</v>
          </cell>
          <cell r="H9947" t="str">
            <v>LAW-B 663</v>
          </cell>
          <cell r="K9947" t="str">
            <v>Dau-Schmidt,Kenneth Glenn</v>
          </cell>
          <cell r="N9947">
            <v>3.5790000000000002</v>
          </cell>
          <cell r="O9947">
            <v>3.331</v>
          </cell>
        </row>
        <row r="9948">
          <cell r="E9948" t="str">
            <v>LAW</v>
          </cell>
          <cell r="F9948" t="str">
            <v xml:space="preserve">LAW-B </v>
          </cell>
          <cell r="G9948">
            <v>663</v>
          </cell>
          <cell r="H9948" t="str">
            <v>LAW-B 663</v>
          </cell>
          <cell r="K9948" t="str">
            <v>Dau-Schmidt,Kenneth Glenn</v>
          </cell>
          <cell r="N9948">
            <v>3.694</v>
          </cell>
          <cell r="O9948">
            <v>3.492</v>
          </cell>
        </row>
        <row r="9949">
          <cell r="E9949" t="str">
            <v>LAW</v>
          </cell>
          <cell r="F9949" t="str">
            <v xml:space="preserve">LAW-B </v>
          </cell>
          <cell r="G9949">
            <v>665</v>
          </cell>
          <cell r="H9949" t="str">
            <v>LAW-B 665</v>
          </cell>
          <cell r="K9949" t="str">
            <v>Waters,Timothy William</v>
          </cell>
          <cell r="N9949">
            <v>3.3719999999999999</v>
          </cell>
          <cell r="O9949">
            <v>3.3180000000000001</v>
          </cell>
        </row>
        <row r="9950">
          <cell r="E9950" t="str">
            <v>LAW</v>
          </cell>
          <cell r="F9950" t="str">
            <v xml:space="preserve">LAW-B </v>
          </cell>
          <cell r="G9950">
            <v>666</v>
          </cell>
          <cell r="H9950" t="str">
            <v>LAW-B 666</v>
          </cell>
          <cell r="K9950" t="str">
            <v>Hicks,J. William</v>
          </cell>
          <cell r="N9950">
            <v>3.2509999999999999</v>
          </cell>
          <cell r="O9950">
            <v>3.3730000000000002</v>
          </cell>
        </row>
        <row r="9951">
          <cell r="E9951" t="str">
            <v>LAW</v>
          </cell>
          <cell r="F9951" t="str">
            <v xml:space="preserve">LAW-B </v>
          </cell>
          <cell r="G9951">
            <v>668</v>
          </cell>
          <cell r="H9951" t="str">
            <v>LAW-B 668</v>
          </cell>
          <cell r="K9951" t="str">
            <v>Johnsen,Dawn Elizabeth</v>
          </cell>
          <cell r="N9951">
            <v>3.452</v>
          </cell>
          <cell r="O9951">
            <v>3.472</v>
          </cell>
        </row>
        <row r="9952">
          <cell r="E9952" t="str">
            <v>LAW</v>
          </cell>
          <cell r="F9952" t="str">
            <v xml:space="preserve">LAW-B </v>
          </cell>
          <cell r="G9952">
            <v>668</v>
          </cell>
          <cell r="H9952" t="str">
            <v>LAW-B 668</v>
          </cell>
          <cell r="K9952" t="str">
            <v>Williams,Susan H.</v>
          </cell>
          <cell r="N9952">
            <v>3.355</v>
          </cell>
          <cell r="O9952">
            <v>3.383</v>
          </cell>
        </row>
        <row r="9953">
          <cell r="E9953" t="str">
            <v>LAW</v>
          </cell>
          <cell r="F9953" t="str">
            <v xml:space="preserve">LAW-B </v>
          </cell>
          <cell r="G9953">
            <v>669</v>
          </cell>
          <cell r="H9953" t="str">
            <v>LAW-B 669</v>
          </cell>
          <cell r="K9953" t="str">
            <v>Krishnan,Jayanth K</v>
          </cell>
          <cell r="N9953">
            <v>3.4889999999999999</v>
          </cell>
          <cell r="O9953">
            <v>3.286</v>
          </cell>
        </row>
        <row r="9954">
          <cell r="E9954" t="str">
            <v>LAW</v>
          </cell>
          <cell r="F9954" t="str">
            <v xml:space="preserve">LAW-B </v>
          </cell>
          <cell r="G9954">
            <v>670</v>
          </cell>
          <cell r="H9954" t="str">
            <v>LAW-B 670</v>
          </cell>
          <cell r="K9954" t="str">
            <v>Hughes,Sarah Jane</v>
          </cell>
          <cell r="N9954">
            <v>3.62</v>
          </cell>
          <cell r="O9954">
            <v>3.3759999999999999</v>
          </cell>
        </row>
        <row r="9955">
          <cell r="E9955" t="str">
            <v>LAW</v>
          </cell>
          <cell r="F9955" t="str">
            <v xml:space="preserve">LAW-B </v>
          </cell>
          <cell r="G9955">
            <v>672</v>
          </cell>
          <cell r="H9955" t="str">
            <v>LAW-B 672</v>
          </cell>
          <cell r="K9955" t="str">
            <v>Buxbaum,Hannah Luise</v>
          </cell>
          <cell r="N9955">
            <v>3.3090000000000002</v>
          </cell>
          <cell r="O9955">
            <v>3.4119999999999999</v>
          </cell>
        </row>
        <row r="9956">
          <cell r="E9956" t="str">
            <v>LAW</v>
          </cell>
          <cell r="F9956" t="str">
            <v xml:space="preserve">LAW-B </v>
          </cell>
          <cell r="G9956">
            <v>672</v>
          </cell>
          <cell r="H9956" t="str">
            <v>LAW-B 672</v>
          </cell>
          <cell r="K9956" t="str">
            <v>Hughes,Sarah Jane</v>
          </cell>
          <cell r="N9956">
            <v>3.4729999999999999</v>
          </cell>
          <cell r="O9956">
            <v>3.3490000000000002</v>
          </cell>
        </row>
        <row r="9957">
          <cell r="E9957" t="str">
            <v>LAW</v>
          </cell>
          <cell r="F9957" t="str">
            <v xml:space="preserve">LAW-B </v>
          </cell>
          <cell r="G9957">
            <v>674</v>
          </cell>
          <cell r="H9957" t="str">
            <v>LAW-B 674</v>
          </cell>
          <cell r="K9957" t="str">
            <v>Aman Jr,Alfred C</v>
          </cell>
          <cell r="N9957" t="str">
            <v>NR</v>
          </cell>
          <cell r="O9957" t="str">
            <v>NR</v>
          </cell>
        </row>
        <row r="9958">
          <cell r="E9958" t="str">
            <v>LAW</v>
          </cell>
          <cell r="F9958" t="str">
            <v xml:space="preserve">LAW-B </v>
          </cell>
          <cell r="G9958">
            <v>674</v>
          </cell>
          <cell r="H9958" t="str">
            <v>LAW-B 674</v>
          </cell>
          <cell r="K9958" t="str">
            <v>Aman Jr,Alfred C</v>
          </cell>
          <cell r="N9958" t="str">
            <v>NR</v>
          </cell>
          <cell r="O9958" t="str">
            <v>NR</v>
          </cell>
        </row>
        <row r="9959">
          <cell r="E9959" t="str">
            <v>LAW</v>
          </cell>
          <cell r="F9959" t="str">
            <v xml:space="preserve">LAW-B </v>
          </cell>
          <cell r="G9959">
            <v>674</v>
          </cell>
          <cell r="H9959" t="str">
            <v>LAW-B 674</v>
          </cell>
          <cell r="K9959" t="str">
            <v>Aman Jr,Alfred C</v>
          </cell>
          <cell r="N9959" t="str">
            <v>NR</v>
          </cell>
          <cell r="O9959" t="str">
            <v>NR</v>
          </cell>
        </row>
        <row r="9960">
          <cell r="E9960" t="str">
            <v>LAW</v>
          </cell>
          <cell r="F9960" t="str">
            <v xml:space="preserve">LAW-B </v>
          </cell>
          <cell r="G9960">
            <v>674</v>
          </cell>
          <cell r="H9960" t="str">
            <v>LAW-B 674</v>
          </cell>
          <cell r="K9960" t="str">
            <v>Conkle,Daniel O.</v>
          </cell>
          <cell r="N9960" t="str">
            <v>NR</v>
          </cell>
          <cell r="O9960" t="str">
            <v>NR</v>
          </cell>
        </row>
        <row r="9961">
          <cell r="E9961" t="str">
            <v>LAW</v>
          </cell>
          <cell r="F9961" t="str">
            <v xml:space="preserve">LAW-B </v>
          </cell>
          <cell r="G9961">
            <v>674</v>
          </cell>
          <cell r="H9961" t="str">
            <v>LAW-B 674</v>
          </cell>
          <cell r="K9961" t="str">
            <v>Conkle,Daniel O.</v>
          </cell>
          <cell r="N9961" t="str">
            <v>NR</v>
          </cell>
          <cell r="O9961" t="str">
            <v>NR</v>
          </cell>
        </row>
        <row r="9962">
          <cell r="E9962" t="str">
            <v>LAW</v>
          </cell>
          <cell r="F9962" t="str">
            <v xml:space="preserve">LAW-B </v>
          </cell>
          <cell r="G9962">
            <v>674</v>
          </cell>
          <cell r="H9962" t="str">
            <v>LAW-B 674</v>
          </cell>
          <cell r="K9962" t="str">
            <v>Lamber,Julia C.</v>
          </cell>
          <cell r="N9962" t="str">
            <v>NR</v>
          </cell>
          <cell r="O9962" t="str">
            <v>NR</v>
          </cell>
        </row>
        <row r="9963">
          <cell r="E9963" t="str">
            <v>LAW</v>
          </cell>
          <cell r="F9963" t="str">
            <v xml:space="preserve">LAW-B </v>
          </cell>
          <cell r="G9963">
            <v>674</v>
          </cell>
          <cell r="H9963" t="str">
            <v>LAW-B 674</v>
          </cell>
          <cell r="K9963" t="str">
            <v>Lamber,Julia C.</v>
          </cell>
          <cell r="N9963" t="str">
            <v>NR</v>
          </cell>
          <cell r="O9963" t="str">
            <v>NR</v>
          </cell>
        </row>
        <row r="9964">
          <cell r="E9964" t="str">
            <v>LAW</v>
          </cell>
          <cell r="F9964" t="str">
            <v xml:space="preserve">LAW-B </v>
          </cell>
          <cell r="G9964">
            <v>674</v>
          </cell>
          <cell r="H9964" t="str">
            <v>LAW-B 674</v>
          </cell>
          <cell r="K9964" t="str">
            <v>Lamber,Julia C.</v>
          </cell>
          <cell r="N9964" t="str">
            <v>NR</v>
          </cell>
          <cell r="O9964" t="str">
            <v>NR</v>
          </cell>
        </row>
        <row r="9965">
          <cell r="E9965" t="str">
            <v>LAW</v>
          </cell>
          <cell r="F9965" t="str">
            <v xml:space="preserve">LAW-B </v>
          </cell>
          <cell r="G9965">
            <v>674</v>
          </cell>
          <cell r="H9965" t="str">
            <v>LAW-B 674</v>
          </cell>
          <cell r="K9965" t="str">
            <v>Lamber,Julia C.</v>
          </cell>
          <cell r="N9965" t="str">
            <v>NR</v>
          </cell>
          <cell r="O9965" t="str">
            <v>NR</v>
          </cell>
        </row>
        <row r="9966">
          <cell r="E9966" t="str">
            <v>LAW</v>
          </cell>
          <cell r="F9966" t="str">
            <v xml:space="preserve">LAW-B </v>
          </cell>
          <cell r="G9966">
            <v>674</v>
          </cell>
          <cell r="H9966" t="str">
            <v>LAW-B 674</v>
          </cell>
          <cell r="K9966" t="str">
            <v>McGregor,Michael</v>
          </cell>
          <cell r="N9966" t="str">
            <v>NR</v>
          </cell>
          <cell r="O9966" t="str">
            <v>NR</v>
          </cell>
        </row>
        <row r="9967">
          <cell r="E9967" t="str">
            <v>LAW</v>
          </cell>
          <cell r="F9967" t="str">
            <v xml:space="preserve">LAW-B </v>
          </cell>
          <cell r="G9967">
            <v>674</v>
          </cell>
          <cell r="H9967" t="str">
            <v>LAW-B 674</v>
          </cell>
          <cell r="K9967" t="str">
            <v>McGregor,Michael</v>
          </cell>
          <cell r="N9967" t="str">
            <v>NR</v>
          </cell>
          <cell r="O9967" t="str">
            <v>NR</v>
          </cell>
        </row>
        <row r="9968">
          <cell r="E9968" t="str">
            <v>LAW</v>
          </cell>
          <cell r="F9968" t="str">
            <v xml:space="preserve">LAW-B </v>
          </cell>
          <cell r="G9968">
            <v>675</v>
          </cell>
          <cell r="H9968" t="str">
            <v>LAW-B 675</v>
          </cell>
          <cell r="K9968" t="str">
            <v>Fischman,Robert L</v>
          </cell>
          <cell r="N9968">
            <v>3.4820000000000002</v>
          </cell>
          <cell r="O9968">
            <v>3.5870000000000002</v>
          </cell>
        </row>
        <row r="9969">
          <cell r="E9969" t="str">
            <v>LAW</v>
          </cell>
          <cell r="F9969" t="str">
            <v xml:space="preserve">LAW-B </v>
          </cell>
          <cell r="G9969">
            <v>679</v>
          </cell>
          <cell r="H9969" t="str">
            <v>LAW-B 679</v>
          </cell>
          <cell r="K9969" t="str">
            <v>Farnsworth,Lisa A.</v>
          </cell>
          <cell r="N9969" t="str">
            <v>NR</v>
          </cell>
          <cell r="O9969" t="str">
            <v>NR</v>
          </cell>
        </row>
        <row r="9970">
          <cell r="E9970" t="str">
            <v>LAW</v>
          </cell>
          <cell r="F9970" t="str">
            <v xml:space="preserve">LAW-B </v>
          </cell>
          <cell r="G9970">
            <v>679</v>
          </cell>
          <cell r="H9970" t="str">
            <v>LAW-B 679</v>
          </cell>
          <cell r="K9970" t="str">
            <v>Farnsworth,Lisa A.</v>
          </cell>
          <cell r="N9970" t="str">
            <v>NR</v>
          </cell>
          <cell r="O9970" t="str">
            <v>NR</v>
          </cell>
        </row>
        <row r="9971">
          <cell r="E9971" t="str">
            <v>LAW</v>
          </cell>
          <cell r="F9971" t="str">
            <v xml:space="preserve">LAW-B </v>
          </cell>
          <cell r="G9971">
            <v>681</v>
          </cell>
          <cell r="H9971" t="str">
            <v>LAW-B 681</v>
          </cell>
          <cell r="K9971" t="str">
            <v>Halloran,Kevin Andrew</v>
          </cell>
          <cell r="N9971">
            <v>3.3380000000000001</v>
          </cell>
          <cell r="O9971">
            <v>3.395</v>
          </cell>
        </row>
        <row r="9972">
          <cell r="E9972" t="str">
            <v>LAW</v>
          </cell>
          <cell r="F9972" t="str">
            <v xml:space="preserve">LAW-B </v>
          </cell>
          <cell r="G9972">
            <v>688</v>
          </cell>
          <cell r="H9972" t="str">
            <v>LAW-B 688</v>
          </cell>
          <cell r="K9972" t="str">
            <v>Singleton,Earl R.c.</v>
          </cell>
          <cell r="N9972">
            <v>3.8290000000000002</v>
          </cell>
          <cell r="O9972">
            <v>3.3359999999999999</v>
          </cell>
        </row>
        <row r="9973">
          <cell r="E9973" t="str">
            <v>LAW</v>
          </cell>
          <cell r="F9973" t="str">
            <v xml:space="preserve">LAW-B </v>
          </cell>
          <cell r="G9973">
            <v>688</v>
          </cell>
          <cell r="H9973" t="str">
            <v>LAW-B 688</v>
          </cell>
          <cell r="K9973" t="str">
            <v>Singleton,Earl R.c.</v>
          </cell>
          <cell r="N9973">
            <v>3.8180000000000001</v>
          </cell>
          <cell r="O9973">
            <v>3.2349999999999999</v>
          </cell>
        </row>
        <row r="9974">
          <cell r="E9974" t="str">
            <v>LAW</v>
          </cell>
          <cell r="F9974" t="str">
            <v xml:space="preserve">LAW-B </v>
          </cell>
          <cell r="G9974">
            <v>691</v>
          </cell>
          <cell r="H9974" t="str">
            <v>LAW-B 691</v>
          </cell>
          <cell r="K9974" t="str">
            <v>Applegate,Amy</v>
          </cell>
          <cell r="N9974">
            <v>3.8130000000000002</v>
          </cell>
          <cell r="O9974">
            <v>3.306</v>
          </cell>
        </row>
        <row r="9975">
          <cell r="E9975" t="str">
            <v>LAW</v>
          </cell>
          <cell r="F9975" t="str">
            <v xml:space="preserve">LAW-B </v>
          </cell>
          <cell r="G9975">
            <v>691</v>
          </cell>
          <cell r="H9975" t="str">
            <v>LAW-B 691</v>
          </cell>
          <cell r="K9975" t="str">
            <v>Applegate,Amy</v>
          </cell>
          <cell r="N9975">
            <v>3.7749999999999999</v>
          </cell>
          <cell r="O9975">
            <v>3.351</v>
          </cell>
        </row>
        <row r="9976">
          <cell r="E9976" t="str">
            <v>LAW</v>
          </cell>
          <cell r="F9976" t="str">
            <v xml:space="preserve">LAW-B </v>
          </cell>
          <cell r="G9976">
            <v>698</v>
          </cell>
          <cell r="H9976" t="str">
            <v>LAW-B 698</v>
          </cell>
          <cell r="K9976" t="str">
            <v>Lahn,Seth Michael</v>
          </cell>
          <cell r="N9976" t="str">
            <v>NR</v>
          </cell>
          <cell r="O9976" t="str">
            <v>NR</v>
          </cell>
        </row>
        <row r="9977">
          <cell r="E9977" t="str">
            <v>LAW</v>
          </cell>
          <cell r="F9977" t="str">
            <v xml:space="preserve">LAW-B </v>
          </cell>
          <cell r="G9977">
            <v>698</v>
          </cell>
          <cell r="H9977" t="str">
            <v>LAW-B 698</v>
          </cell>
          <cell r="K9977" t="str">
            <v>Lahn,Seth Michael</v>
          </cell>
          <cell r="N9977" t="str">
            <v>NR</v>
          </cell>
          <cell r="O9977" t="str">
            <v>NR</v>
          </cell>
        </row>
        <row r="9978">
          <cell r="E9978" t="str">
            <v>LAW</v>
          </cell>
          <cell r="F9978" t="str">
            <v xml:space="preserve">LAW-B </v>
          </cell>
          <cell r="G9978">
            <v>699</v>
          </cell>
          <cell r="H9978" t="str">
            <v>LAW-B 699</v>
          </cell>
          <cell r="K9978" t="str">
            <v>Geyh,Charles Gardner</v>
          </cell>
          <cell r="N9978">
            <v>3.3</v>
          </cell>
          <cell r="O9978">
            <v>3.4849999999999999</v>
          </cell>
        </row>
        <row r="9979">
          <cell r="E9979" t="str">
            <v>LAW</v>
          </cell>
          <cell r="F9979" t="str">
            <v xml:space="preserve">LAW-B </v>
          </cell>
          <cell r="G9979">
            <v>699</v>
          </cell>
          <cell r="H9979" t="str">
            <v>LAW-B 699</v>
          </cell>
          <cell r="K9979" t="str">
            <v>Orenstein,Aviva Anne</v>
          </cell>
          <cell r="N9979">
            <v>3.74</v>
          </cell>
          <cell r="O9979">
            <v>3.4630000000000001</v>
          </cell>
        </row>
        <row r="9980">
          <cell r="E9980" t="str">
            <v>LAW</v>
          </cell>
          <cell r="F9980" t="str">
            <v xml:space="preserve">LAW-B </v>
          </cell>
          <cell r="G9980">
            <v>706</v>
          </cell>
          <cell r="H9980" t="str">
            <v>LAW-B 706</v>
          </cell>
          <cell r="K9980" t="str">
            <v>Fromm,Leonard</v>
          </cell>
          <cell r="N9980">
            <v>3.9</v>
          </cell>
          <cell r="O9980">
            <v>3.452</v>
          </cell>
        </row>
        <row r="9981">
          <cell r="E9981" t="str">
            <v>LAW</v>
          </cell>
          <cell r="F9981" t="str">
            <v xml:space="preserve">LAW-B </v>
          </cell>
          <cell r="G9981">
            <v>706</v>
          </cell>
          <cell r="H9981" t="str">
            <v>LAW-B 706</v>
          </cell>
          <cell r="K9981" t="str">
            <v>Fromm,Leonard</v>
          </cell>
          <cell r="N9981">
            <v>3.9670000000000001</v>
          </cell>
          <cell r="O9981">
            <v>3.476</v>
          </cell>
        </row>
        <row r="9982">
          <cell r="E9982" t="str">
            <v>LAW</v>
          </cell>
          <cell r="F9982" t="str">
            <v xml:space="preserve">LAW-B </v>
          </cell>
          <cell r="G9982">
            <v>706</v>
          </cell>
          <cell r="H9982" t="str">
            <v>LAW-B 706</v>
          </cell>
          <cell r="K9982" t="str">
            <v>Fromm,Leonard</v>
          </cell>
          <cell r="N9982">
            <v>3.98</v>
          </cell>
          <cell r="O9982">
            <v>3.5030000000000001</v>
          </cell>
        </row>
        <row r="9983">
          <cell r="E9983" t="str">
            <v>LAW</v>
          </cell>
          <cell r="F9983" t="str">
            <v xml:space="preserve">LAW-B </v>
          </cell>
          <cell r="G9983">
            <v>706</v>
          </cell>
          <cell r="H9983" t="str">
            <v>LAW-B 706</v>
          </cell>
          <cell r="K9983" t="str">
            <v>Fromm,Leonard</v>
          </cell>
          <cell r="N9983" t="str">
            <v>NR</v>
          </cell>
          <cell r="O9983" t="str">
            <v>NR</v>
          </cell>
        </row>
        <row r="9984">
          <cell r="E9984" t="str">
            <v>LAW</v>
          </cell>
          <cell r="F9984" t="str">
            <v xml:space="preserve">LAW-B </v>
          </cell>
          <cell r="G9984">
            <v>706</v>
          </cell>
          <cell r="H9984" t="str">
            <v>LAW-B 706</v>
          </cell>
          <cell r="K9984" t="str">
            <v>Fromm,Leonard</v>
          </cell>
          <cell r="N9984" t="str">
            <v>NR</v>
          </cell>
          <cell r="O9984" t="str">
            <v>NR</v>
          </cell>
        </row>
        <row r="9985">
          <cell r="E9985" t="str">
            <v>LAW</v>
          </cell>
          <cell r="F9985" t="str">
            <v xml:space="preserve">LAW-B </v>
          </cell>
          <cell r="G9985">
            <v>706</v>
          </cell>
          <cell r="H9985" t="str">
            <v>LAW-B 706</v>
          </cell>
          <cell r="K9985" t="str">
            <v>Fromm,Leonard</v>
          </cell>
          <cell r="N9985" t="str">
            <v>NR</v>
          </cell>
          <cell r="O9985" t="str">
            <v>NR</v>
          </cell>
        </row>
        <row r="9986">
          <cell r="E9986" t="str">
            <v>LAW</v>
          </cell>
          <cell r="F9986" t="str">
            <v xml:space="preserve">LAW-B </v>
          </cell>
          <cell r="G9986">
            <v>706</v>
          </cell>
          <cell r="H9986" t="str">
            <v>LAW-B 706</v>
          </cell>
          <cell r="K9986" t="str">
            <v>Fromm,Leonard</v>
          </cell>
          <cell r="N9986" t="str">
            <v>NR</v>
          </cell>
          <cell r="O9986" t="str">
            <v>NR</v>
          </cell>
        </row>
        <row r="9987">
          <cell r="E9987" t="str">
            <v>LAW</v>
          </cell>
          <cell r="F9987" t="str">
            <v xml:space="preserve">LAW-B </v>
          </cell>
          <cell r="G9987">
            <v>706</v>
          </cell>
          <cell r="H9987" t="str">
            <v>LAW-B 706</v>
          </cell>
          <cell r="K9987" t="str">
            <v>Fromm,Leonard</v>
          </cell>
          <cell r="N9987" t="str">
            <v>NR</v>
          </cell>
          <cell r="O9987" t="str">
            <v>NR</v>
          </cell>
        </row>
        <row r="9988">
          <cell r="E9988" t="str">
            <v>LAW</v>
          </cell>
          <cell r="F9988" t="str">
            <v xml:space="preserve">LAW-B </v>
          </cell>
          <cell r="G9988">
            <v>706</v>
          </cell>
          <cell r="H9988" t="str">
            <v>LAW-B 706</v>
          </cell>
          <cell r="K9988" t="str">
            <v>Matthews,Catherine LeAnn</v>
          </cell>
          <cell r="N9988" t="str">
            <v>NR</v>
          </cell>
          <cell r="O9988" t="str">
            <v>NR</v>
          </cell>
        </row>
        <row r="9989">
          <cell r="E9989" t="str">
            <v>LAW</v>
          </cell>
          <cell r="F9989" t="str">
            <v xml:space="preserve">LAW-B </v>
          </cell>
          <cell r="G9989">
            <v>706</v>
          </cell>
          <cell r="H9989" t="str">
            <v>LAW-B 706</v>
          </cell>
          <cell r="K9989" t="str">
            <v>Matthews,Catherine LeAnn</v>
          </cell>
          <cell r="N9989" t="str">
            <v>NR</v>
          </cell>
          <cell r="O9989" t="str">
            <v>NR</v>
          </cell>
        </row>
        <row r="9990">
          <cell r="E9990" t="str">
            <v>LAW</v>
          </cell>
          <cell r="F9990" t="str">
            <v xml:space="preserve">LAW-B </v>
          </cell>
          <cell r="G9990">
            <v>706</v>
          </cell>
          <cell r="H9990" t="str">
            <v>LAW-B 706</v>
          </cell>
          <cell r="K9990" t="str">
            <v>Matthews,Catherine LeAnn</v>
          </cell>
          <cell r="N9990" t="str">
            <v>NR</v>
          </cell>
          <cell r="O9990" t="str">
            <v>NR</v>
          </cell>
        </row>
        <row r="9991">
          <cell r="E9991" t="str">
            <v>LAW</v>
          </cell>
          <cell r="F9991" t="str">
            <v xml:space="preserve">LAW-B </v>
          </cell>
          <cell r="G9991">
            <v>706</v>
          </cell>
          <cell r="H9991" t="str">
            <v>LAW-B 706</v>
          </cell>
          <cell r="K9991" t="str">
            <v>Matthews,Catherine LeAnn</v>
          </cell>
          <cell r="N9991" t="str">
            <v>NR</v>
          </cell>
          <cell r="O9991" t="str">
            <v>NR</v>
          </cell>
        </row>
        <row r="9992">
          <cell r="E9992" t="str">
            <v>LAW</v>
          </cell>
          <cell r="F9992" t="str">
            <v xml:space="preserve">LAW-B </v>
          </cell>
          <cell r="G9992">
            <v>706</v>
          </cell>
          <cell r="H9992" t="str">
            <v>LAW-B 706</v>
          </cell>
          <cell r="K9992" t="str">
            <v>Matthews,Catherine LeAnn</v>
          </cell>
          <cell r="N9992">
            <v>4</v>
          </cell>
          <cell r="O9992">
            <v>3.4079999999999999</v>
          </cell>
        </row>
        <row r="9993">
          <cell r="E9993" t="str">
            <v>LAW</v>
          </cell>
          <cell r="F9993" t="str">
            <v xml:space="preserve">LAW-B </v>
          </cell>
          <cell r="G9993">
            <v>706</v>
          </cell>
          <cell r="H9993" t="str">
            <v>LAW-B 706</v>
          </cell>
          <cell r="K9993" t="str">
            <v>Matthews,Catherine LeAnn</v>
          </cell>
          <cell r="N9993">
            <v>3.9630000000000001</v>
          </cell>
          <cell r="O9993">
            <v>3.657</v>
          </cell>
        </row>
        <row r="9994">
          <cell r="E9994" t="str">
            <v>LAW</v>
          </cell>
          <cell r="F9994" t="str">
            <v xml:space="preserve">LAW-B </v>
          </cell>
          <cell r="G9994">
            <v>706</v>
          </cell>
          <cell r="H9994" t="str">
            <v>LAW-B 706</v>
          </cell>
          <cell r="K9994" t="str">
            <v>Matthews,Catherine LeAnn</v>
          </cell>
          <cell r="N9994" t="str">
            <v>NR</v>
          </cell>
          <cell r="O9994" t="str">
            <v>NR</v>
          </cell>
        </row>
        <row r="9995">
          <cell r="E9995" t="str">
            <v>LAW</v>
          </cell>
          <cell r="F9995" t="str">
            <v xml:space="preserve">LAW-B </v>
          </cell>
          <cell r="G9995">
            <v>706</v>
          </cell>
          <cell r="H9995" t="str">
            <v>LAW-B 706</v>
          </cell>
          <cell r="K9995" t="str">
            <v>Matthews,Catherine LeAnn</v>
          </cell>
          <cell r="N9995" t="str">
            <v>NR</v>
          </cell>
          <cell r="O9995" t="str">
            <v>NR</v>
          </cell>
        </row>
        <row r="9996">
          <cell r="E9996" t="str">
            <v>LAW</v>
          </cell>
          <cell r="F9996" t="str">
            <v xml:space="preserve">LAW-B </v>
          </cell>
          <cell r="G9996">
            <v>706</v>
          </cell>
          <cell r="H9996" t="str">
            <v>LAW-B 706</v>
          </cell>
          <cell r="K9996" t="str">
            <v>Matthews,Catherine LeAnn</v>
          </cell>
          <cell r="N9996" t="str">
            <v>NR</v>
          </cell>
          <cell r="O9996" t="str">
            <v>NR</v>
          </cell>
        </row>
        <row r="9997">
          <cell r="E9997" t="str">
            <v>LAW</v>
          </cell>
          <cell r="F9997" t="str">
            <v xml:space="preserve">LAW-B </v>
          </cell>
          <cell r="G9997">
            <v>706</v>
          </cell>
          <cell r="H9997" t="str">
            <v>LAW-B 706</v>
          </cell>
          <cell r="K9997" t="str">
            <v>Matthews,Catherine LeAnn</v>
          </cell>
          <cell r="N9997" t="str">
            <v>NR</v>
          </cell>
          <cell r="O9997" t="str">
            <v>NR</v>
          </cell>
        </row>
        <row r="9998">
          <cell r="E9998" t="str">
            <v>LAW</v>
          </cell>
          <cell r="F9998" t="str">
            <v xml:space="preserve">LAW-B </v>
          </cell>
          <cell r="G9998">
            <v>706</v>
          </cell>
          <cell r="H9998" t="str">
            <v>LAW-B 706</v>
          </cell>
          <cell r="K9998" t="str">
            <v>Matthews,Catherine LeAnn</v>
          </cell>
          <cell r="N9998" t="str">
            <v>NR</v>
          </cell>
          <cell r="O9998" t="str">
            <v>NR</v>
          </cell>
        </row>
        <row r="9999">
          <cell r="E9999" t="str">
            <v>LAW</v>
          </cell>
          <cell r="F9999" t="str">
            <v xml:space="preserve">LAW-B </v>
          </cell>
          <cell r="G9999">
            <v>709</v>
          </cell>
          <cell r="H9999" t="str">
            <v>LAW-B 709</v>
          </cell>
          <cell r="K9999" t="str">
            <v>Becker,Alan W.</v>
          </cell>
          <cell r="N9999">
            <v>3.3439999999999999</v>
          </cell>
          <cell r="O9999">
            <v>3.3719999999999999</v>
          </cell>
        </row>
        <row r="10000">
          <cell r="E10000" t="str">
            <v>LAW</v>
          </cell>
          <cell r="F10000" t="str">
            <v xml:space="preserve">LAW-B </v>
          </cell>
          <cell r="G10000">
            <v>709</v>
          </cell>
          <cell r="H10000" t="str">
            <v>LAW-B 709</v>
          </cell>
          <cell r="K10000" t="str">
            <v>Need,Mark E</v>
          </cell>
          <cell r="N10000">
            <v>3.3820000000000001</v>
          </cell>
          <cell r="O10000">
            <v>3.3559999999999999</v>
          </cell>
        </row>
        <row r="10001">
          <cell r="E10001" t="str">
            <v>LAW</v>
          </cell>
          <cell r="F10001" t="str">
            <v xml:space="preserve">LAW-B </v>
          </cell>
          <cell r="G10001">
            <v>710</v>
          </cell>
          <cell r="H10001" t="str">
            <v>LAW-B 710</v>
          </cell>
          <cell r="K10001" t="str">
            <v>Fromm,Leonard</v>
          </cell>
          <cell r="N10001" t="str">
            <v>NR</v>
          </cell>
          <cell r="O10001" t="str">
            <v>NR</v>
          </cell>
        </row>
        <row r="10002">
          <cell r="E10002" t="str">
            <v>LAW</v>
          </cell>
          <cell r="F10002" t="str">
            <v xml:space="preserve">LAW-B </v>
          </cell>
          <cell r="G10002">
            <v>710</v>
          </cell>
          <cell r="H10002" t="str">
            <v>LAW-B 710</v>
          </cell>
          <cell r="K10002" t="str">
            <v>Fromm,Leonard</v>
          </cell>
          <cell r="N10002">
            <v>3.9329999999999998</v>
          </cell>
          <cell r="O10002">
            <v>3.4039999999999999</v>
          </cell>
        </row>
        <row r="10003">
          <cell r="E10003" t="str">
            <v>LAW</v>
          </cell>
          <cell r="F10003" t="str">
            <v xml:space="preserve">LAW-B </v>
          </cell>
          <cell r="G10003">
            <v>710</v>
          </cell>
          <cell r="H10003" t="str">
            <v>LAW-B 710</v>
          </cell>
          <cell r="K10003" t="str">
            <v>Fromm,Leonard</v>
          </cell>
          <cell r="N10003" t="str">
            <v>NR</v>
          </cell>
          <cell r="O10003" t="str">
            <v>NR</v>
          </cell>
        </row>
        <row r="10004">
          <cell r="E10004" t="str">
            <v>LAW</v>
          </cell>
          <cell r="F10004" t="str">
            <v xml:space="preserve">LAW-B </v>
          </cell>
          <cell r="G10004">
            <v>710</v>
          </cell>
          <cell r="H10004" t="str">
            <v>LAW-B 710</v>
          </cell>
          <cell r="K10004" t="str">
            <v>Fromm,Leonard</v>
          </cell>
          <cell r="N10004" t="str">
            <v>NR</v>
          </cell>
          <cell r="O10004" t="str">
            <v>NR</v>
          </cell>
        </row>
        <row r="10005">
          <cell r="E10005" t="str">
            <v>LAW</v>
          </cell>
          <cell r="F10005" t="str">
            <v xml:space="preserve">LAW-B </v>
          </cell>
          <cell r="G10005">
            <v>710</v>
          </cell>
          <cell r="H10005" t="str">
            <v>LAW-B 710</v>
          </cell>
          <cell r="K10005" t="str">
            <v>Fromm,Leonard</v>
          </cell>
          <cell r="N10005" t="str">
            <v>NR</v>
          </cell>
          <cell r="O10005" t="str">
            <v>NR</v>
          </cell>
        </row>
        <row r="10006">
          <cell r="E10006" t="str">
            <v>LAW</v>
          </cell>
          <cell r="F10006" t="str">
            <v xml:space="preserve">LAW-B </v>
          </cell>
          <cell r="G10006">
            <v>710</v>
          </cell>
          <cell r="H10006" t="str">
            <v>LAW-B 710</v>
          </cell>
          <cell r="K10006" t="str">
            <v>Fromm,Leonard</v>
          </cell>
          <cell r="N10006" t="str">
            <v>NR</v>
          </cell>
          <cell r="O10006" t="str">
            <v>NR</v>
          </cell>
        </row>
        <row r="10007">
          <cell r="E10007" t="str">
            <v>LAW</v>
          </cell>
          <cell r="F10007" t="str">
            <v xml:space="preserve">LAW-B </v>
          </cell>
          <cell r="G10007">
            <v>710</v>
          </cell>
          <cell r="H10007" t="str">
            <v>LAW-B 710</v>
          </cell>
          <cell r="K10007" t="str">
            <v>Fromm,Leonard</v>
          </cell>
          <cell r="N10007" t="str">
            <v>NR</v>
          </cell>
          <cell r="O10007" t="str">
            <v>NR</v>
          </cell>
        </row>
        <row r="10008">
          <cell r="E10008" t="str">
            <v>LAW</v>
          </cell>
          <cell r="F10008" t="str">
            <v xml:space="preserve">LAW-B </v>
          </cell>
          <cell r="G10008">
            <v>710</v>
          </cell>
          <cell r="H10008" t="str">
            <v>LAW-B 710</v>
          </cell>
          <cell r="K10008" t="str">
            <v>Fromm,Leonard</v>
          </cell>
          <cell r="N10008" t="str">
            <v>NR</v>
          </cell>
          <cell r="O10008" t="str">
            <v>NR</v>
          </cell>
        </row>
        <row r="10009">
          <cell r="E10009" t="str">
            <v>LAW</v>
          </cell>
          <cell r="F10009" t="str">
            <v xml:space="preserve">LAW-B </v>
          </cell>
          <cell r="G10009">
            <v>710</v>
          </cell>
          <cell r="H10009" t="str">
            <v>LAW-B 710</v>
          </cell>
          <cell r="K10009" t="str">
            <v>Fromm,Leonard</v>
          </cell>
          <cell r="N10009" t="str">
            <v>NR</v>
          </cell>
          <cell r="O10009" t="str">
            <v>NR</v>
          </cell>
        </row>
        <row r="10010">
          <cell r="E10010" t="str">
            <v>LAW</v>
          </cell>
          <cell r="F10010" t="str">
            <v xml:space="preserve">LAW-B </v>
          </cell>
          <cell r="G10010">
            <v>710</v>
          </cell>
          <cell r="H10010" t="str">
            <v>LAW-B 710</v>
          </cell>
          <cell r="K10010" t="str">
            <v>Matthews,Catherine LeAnn</v>
          </cell>
          <cell r="N10010" t="str">
            <v>NR</v>
          </cell>
          <cell r="O10010" t="str">
            <v>NR</v>
          </cell>
        </row>
        <row r="10011">
          <cell r="E10011" t="str">
            <v>LAW</v>
          </cell>
          <cell r="F10011" t="str">
            <v xml:space="preserve">LAW-B </v>
          </cell>
          <cell r="G10011">
            <v>710</v>
          </cell>
          <cell r="H10011" t="str">
            <v>LAW-B 710</v>
          </cell>
          <cell r="K10011" t="str">
            <v>Matthews,Catherine LeAnn</v>
          </cell>
          <cell r="N10011" t="str">
            <v>NR</v>
          </cell>
          <cell r="O10011" t="str">
            <v>NR</v>
          </cell>
        </row>
        <row r="10012">
          <cell r="E10012" t="str">
            <v>LAW</v>
          </cell>
          <cell r="F10012" t="str">
            <v xml:space="preserve">LAW-B </v>
          </cell>
          <cell r="G10012">
            <v>710</v>
          </cell>
          <cell r="H10012" t="str">
            <v>LAW-B 710</v>
          </cell>
          <cell r="K10012" t="str">
            <v>Matthews,Catherine LeAnn</v>
          </cell>
          <cell r="N10012" t="str">
            <v>NR</v>
          </cell>
          <cell r="O10012" t="str">
            <v>NR</v>
          </cell>
        </row>
        <row r="10013">
          <cell r="E10013" t="str">
            <v>LAW</v>
          </cell>
          <cell r="F10013" t="str">
            <v xml:space="preserve">LAW-B </v>
          </cell>
          <cell r="G10013">
            <v>710</v>
          </cell>
          <cell r="H10013" t="str">
            <v>LAW-B 710</v>
          </cell>
          <cell r="K10013" t="str">
            <v>Matthews,Catherine LeAnn</v>
          </cell>
          <cell r="N10013" t="str">
            <v>NR</v>
          </cell>
          <cell r="O10013" t="str">
            <v>NR</v>
          </cell>
        </row>
        <row r="10014">
          <cell r="E10014" t="str">
            <v>LAW</v>
          </cell>
          <cell r="F10014" t="str">
            <v xml:space="preserve">LAW-B </v>
          </cell>
          <cell r="G10014">
            <v>710</v>
          </cell>
          <cell r="H10014" t="str">
            <v>LAW-B 710</v>
          </cell>
          <cell r="K10014" t="str">
            <v>Matthews,Catherine LeAnn</v>
          </cell>
          <cell r="N10014" t="str">
            <v>NR</v>
          </cell>
          <cell r="O10014" t="str">
            <v>NR</v>
          </cell>
        </row>
        <row r="10015">
          <cell r="E10015" t="str">
            <v>LAW</v>
          </cell>
          <cell r="F10015" t="str">
            <v xml:space="preserve">LAW-B </v>
          </cell>
          <cell r="G10015">
            <v>710</v>
          </cell>
          <cell r="H10015" t="str">
            <v>LAW-B 710</v>
          </cell>
          <cell r="K10015" t="str">
            <v>Matthews,Catherine LeAnn</v>
          </cell>
          <cell r="N10015" t="str">
            <v>NR</v>
          </cell>
          <cell r="O10015" t="str">
            <v>NR</v>
          </cell>
        </row>
        <row r="10016">
          <cell r="E10016" t="str">
            <v>LAW</v>
          </cell>
          <cell r="F10016" t="str">
            <v xml:space="preserve">LAW-B </v>
          </cell>
          <cell r="G10016">
            <v>710</v>
          </cell>
          <cell r="H10016" t="str">
            <v>LAW-B 710</v>
          </cell>
          <cell r="K10016" t="str">
            <v>Matthews,Catherine LeAnn</v>
          </cell>
          <cell r="N10016" t="str">
            <v>NR</v>
          </cell>
          <cell r="O10016" t="str">
            <v>NR</v>
          </cell>
        </row>
        <row r="10017">
          <cell r="E10017" t="str">
            <v>LAW</v>
          </cell>
          <cell r="F10017" t="str">
            <v xml:space="preserve">LAW-B </v>
          </cell>
          <cell r="G10017">
            <v>710</v>
          </cell>
          <cell r="H10017" t="str">
            <v>LAW-B 710</v>
          </cell>
          <cell r="K10017" t="str">
            <v>Matthews,Catherine LeAnn</v>
          </cell>
          <cell r="N10017" t="str">
            <v>NR</v>
          </cell>
          <cell r="O10017" t="str">
            <v>NR</v>
          </cell>
        </row>
        <row r="10018">
          <cell r="E10018" t="str">
            <v>LAW</v>
          </cell>
          <cell r="F10018" t="str">
            <v xml:space="preserve">LAW-B </v>
          </cell>
          <cell r="G10018">
            <v>713</v>
          </cell>
          <cell r="H10018" t="str">
            <v>LAW-B 713</v>
          </cell>
          <cell r="K10018" t="str">
            <v>Aman Jr,Alfred C</v>
          </cell>
          <cell r="N10018">
            <v>3.3130000000000002</v>
          </cell>
          <cell r="O10018">
            <v>3.395</v>
          </cell>
        </row>
        <row r="10019">
          <cell r="E10019" t="str">
            <v>LAW</v>
          </cell>
          <cell r="F10019" t="str">
            <v xml:space="preserve">LAW-B </v>
          </cell>
          <cell r="G10019">
            <v>713</v>
          </cell>
          <cell r="H10019" t="str">
            <v>LAW-B 713</v>
          </cell>
          <cell r="K10019" t="str">
            <v>Craig,Paul P.</v>
          </cell>
          <cell r="N10019">
            <v>3.3210000000000002</v>
          </cell>
          <cell r="O10019">
            <v>3.4060000000000001</v>
          </cell>
        </row>
        <row r="10020">
          <cell r="E10020" t="str">
            <v>LAW</v>
          </cell>
          <cell r="F10020" t="str">
            <v xml:space="preserve">LAW-B </v>
          </cell>
          <cell r="G10020">
            <v>719</v>
          </cell>
          <cell r="H10020" t="str">
            <v>LAW-B 719</v>
          </cell>
          <cell r="K10020" t="str">
            <v>Dau-Schmidt,Kenneth Glenn</v>
          </cell>
          <cell r="N10020">
            <v>3.4550000000000001</v>
          </cell>
          <cell r="O10020">
            <v>3.3769999999999998</v>
          </cell>
        </row>
        <row r="10021">
          <cell r="E10021" t="str">
            <v>LAW</v>
          </cell>
          <cell r="F10021" t="str">
            <v xml:space="preserve">LAW-B </v>
          </cell>
          <cell r="G10021">
            <v>720</v>
          </cell>
          <cell r="H10021" t="str">
            <v>LAW-B 720</v>
          </cell>
          <cell r="K10021" t="str">
            <v>Tanford,J. Alexander</v>
          </cell>
          <cell r="N10021">
            <v>3.7050000000000001</v>
          </cell>
          <cell r="O10021">
            <v>3.4159999999999999</v>
          </cell>
        </row>
        <row r="10022">
          <cell r="E10022" t="str">
            <v>LAW</v>
          </cell>
          <cell r="F10022" t="str">
            <v xml:space="preserve">LAW-B </v>
          </cell>
          <cell r="G10022">
            <v>722</v>
          </cell>
          <cell r="H10022" t="str">
            <v>LAW-B 722</v>
          </cell>
          <cell r="K10022" t="str">
            <v>Barnes,Michael P</v>
          </cell>
          <cell r="N10022">
            <v>3.6640000000000001</v>
          </cell>
          <cell r="O10022">
            <v>3.4289999999999998</v>
          </cell>
        </row>
        <row r="10023">
          <cell r="E10023" t="str">
            <v>LAW</v>
          </cell>
          <cell r="F10023" t="str">
            <v xml:space="preserve">LAW-B </v>
          </cell>
          <cell r="G10023">
            <v>722</v>
          </cell>
          <cell r="H10023" t="str">
            <v>LAW-B 722</v>
          </cell>
          <cell r="K10023" t="str">
            <v>Brown,Elaine Marie Becher</v>
          </cell>
          <cell r="N10023">
            <v>3.5920000000000001</v>
          </cell>
          <cell r="O10023">
            <v>3.335</v>
          </cell>
        </row>
        <row r="10024">
          <cell r="E10024" t="str">
            <v>LAW</v>
          </cell>
          <cell r="F10024" t="str">
            <v xml:space="preserve">LAW-B </v>
          </cell>
          <cell r="G10024">
            <v>722</v>
          </cell>
          <cell r="H10024" t="str">
            <v>LAW-B 722</v>
          </cell>
          <cell r="K10024" t="str">
            <v>Cook,Jessie Ann</v>
          </cell>
          <cell r="N10024">
            <v>3.556</v>
          </cell>
          <cell r="O10024">
            <v>3.4529999999999998</v>
          </cell>
        </row>
        <row r="10025">
          <cell r="E10025" t="str">
            <v>LAW</v>
          </cell>
          <cell r="F10025" t="str">
            <v xml:space="preserve">LAW-B </v>
          </cell>
          <cell r="G10025">
            <v>722</v>
          </cell>
          <cell r="H10025" t="str">
            <v>LAW-B 722</v>
          </cell>
          <cell r="K10025" t="str">
            <v>Diekhoff,Mary Ellen</v>
          </cell>
          <cell r="N10025">
            <v>3.6909999999999998</v>
          </cell>
          <cell r="O10025">
            <v>3.379</v>
          </cell>
        </row>
        <row r="10026">
          <cell r="E10026" t="str">
            <v>LAW</v>
          </cell>
          <cell r="F10026" t="str">
            <v xml:space="preserve">LAW-B </v>
          </cell>
          <cell r="G10026">
            <v>722</v>
          </cell>
          <cell r="H10026" t="str">
            <v>LAW-B 722</v>
          </cell>
          <cell r="K10026" t="str">
            <v>Kellams,Marc Reed</v>
          </cell>
          <cell r="N10026">
            <v>3.7730000000000001</v>
          </cell>
          <cell r="O10026">
            <v>3.3839999999999999</v>
          </cell>
        </row>
        <row r="10027">
          <cell r="E10027" t="str">
            <v>LAW</v>
          </cell>
          <cell r="F10027" t="str">
            <v xml:space="preserve">LAW-B </v>
          </cell>
          <cell r="G10027">
            <v>722</v>
          </cell>
          <cell r="H10027" t="str">
            <v>LAW-B 722</v>
          </cell>
          <cell r="K10027" t="str">
            <v>Kellams,Marc Reed</v>
          </cell>
          <cell r="N10027">
            <v>3.754</v>
          </cell>
          <cell r="O10027">
            <v>3.4329999999999998</v>
          </cell>
        </row>
        <row r="10028">
          <cell r="E10028" t="str">
            <v>LAW</v>
          </cell>
          <cell r="F10028" t="str">
            <v xml:space="preserve">LAW-B </v>
          </cell>
          <cell r="G10028">
            <v>722</v>
          </cell>
          <cell r="H10028" t="str">
            <v>LAW-B 722</v>
          </cell>
          <cell r="K10028" t="str">
            <v>Levco,Stanley Michael</v>
          </cell>
          <cell r="N10028">
            <v>3.6</v>
          </cell>
          <cell r="O10028">
            <v>3.464</v>
          </cell>
        </row>
        <row r="10029">
          <cell r="E10029" t="str">
            <v>LAW</v>
          </cell>
          <cell r="F10029" t="str">
            <v xml:space="preserve">LAW-B </v>
          </cell>
          <cell r="G10029">
            <v>722</v>
          </cell>
          <cell r="H10029" t="str">
            <v>LAW-B 722</v>
          </cell>
          <cell r="K10029" t="str">
            <v>Vaidik,Nancy H.</v>
          </cell>
          <cell r="N10029">
            <v>3.5329999999999999</v>
          </cell>
          <cell r="O10029">
            <v>3.3769999999999998</v>
          </cell>
        </row>
        <row r="10030">
          <cell r="E10030" t="str">
            <v>LAW</v>
          </cell>
          <cell r="F10030" t="str">
            <v xml:space="preserve">LAW-B </v>
          </cell>
          <cell r="G10030">
            <v>722</v>
          </cell>
          <cell r="H10030" t="str">
            <v>LAW-B 722</v>
          </cell>
          <cell r="K10030" t="str">
            <v>Vaidik,Nancy H.</v>
          </cell>
          <cell r="N10030">
            <v>3.4769999999999999</v>
          </cell>
          <cell r="O10030">
            <v>3.351</v>
          </cell>
        </row>
        <row r="10031">
          <cell r="E10031" t="str">
            <v>LAW</v>
          </cell>
          <cell r="F10031" t="str">
            <v xml:space="preserve">LAW-B </v>
          </cell>
          <cell r="G10031">
            <v>723</v>
          </cell>
          <cell r="H10031" t="str">
            <v>LAW-B 723</v>
          </cell>
          <cell r="K10031" t="str">
            <v>Tanford,J. Alexander</v>
          </cell>
          <cell r="N10031">
            <v>3.2759999999999998</v>
          </cell>
          <cell r="O10031">
            <v>3.3439999999999999</v>
          </cell>
        </row>
        <row r="10032">
          <cell r="E10032" t="str">
            <v>LAW</v>
          </cell>
          <cell r="F10032" t="str">
            <v xml:space="preserve">LAW-B </v>
          </cell>
          <cell r="G10032">
            <v>723</v>
          </cell>
          <cell r="H10032" t="str">
            <v>LAW-B 723</v>
          </cell>
          <cell r="K10032" t="str">
            <v>Tanford,J. Alexander</v>
          </cell>
          <cell r="N10032">
            <v>3.1909999999999998</v>
          </cell>
          <cell r="O10032">
            <v>3.3109999999999999</v>
          </cell>
        </row>
        <row r="10033">
          <cell r="E10033" t="str">
            <v>LAW</v>
          </cell>
          <cell r="F10033" t="str">
            <v xml:space="preserve">LAW-B </v>
          </cell>
          <cell r="G10033">
            <v>723</v>
          </cell>
          <cell r="H10033" t="str">
            <v>LAW-B 723</v>
          </cell>
          <cell r="K10033" t="str">
            <v>Tanford,J. Alexander</v>
          </cell>
          <cell r="N10033">
            <v>3.3050000000000002</v>
          </cell>
          <cell r="O10033">
            <v>3.3889999999999998</v>
          </cell>
        </row>
        <row r="10034">
          <cell r="E10034" t="str">
            <v>LAW</v>
          </cell>
          <cell r="F10034" t="str">
            <v xml:space="preserve">LAW-B </v>
          </cell>
          <cell r="G10034">
            <v>725</v>
          </cell>
          <cell r="H10034" t="str">
            <v>LAW-B 725</v>
          </cell>
          <cell r="K10034" t="str">
            <v>Lorch III,Basil H</v>
          </cell>
          <cell r="N10034">
            <v>3.2879999999999998</v>
          </cell>
          <cell r="O10034">
            <v>3.37</v>
          </cell>
        </row>
        <row r="10035">
          <cell r="E10035" t="str">
            <v>LAW</v>
          </cell>
          <cell r="F10035" t="str">
            <v xml:space="preserve">LAW-B </v>
          </cell>
          <cell r="G10035">
            <v>727</v>
          </cell>
          <cell r="H10035" t="str">
            <v>LAW-B 727</v>
          </cell>
          <cell r="K10035" t="str">
            <v>Nagy,Donna M</v>
          </cell>
          <cell r="N10035">
            <v>3.331</v>
          </cell>
          <cell r="O10035">
            <v>3.4750000000000001</v>
          </cell>
        </row>
        <row r="10036">
          <cell r="E10036" t="str">
            <v>LAW</v>
          </cell>
          <cell r="F10036" t="str">
            <v xml:space="preserve">LAW-B </v>
          </cell>
          <cell r="G10036">
            <v>727</v>
          </cell>
          <cell r="H10036" t="str">
            <v>LAW-B 727</v>
          </cell>
          <cell r="K10036" t="str">
            <v>Nagy,Donna M</v>
          </cell>
          <cell r="N10036">
            <v>3.3279999999999998</v>
          </cell>
          <cell r="O10036">
            <v>3.3450000000000002</v>
          </cell>
        </row>
        <row r="10037">
          <cell r="E10037" t="str">
            <v>LAW</v>
          </cell>
          <cell r="F10037" t="str">
            <v xml:space="preserve">LAW-B </v>
          </cell>
          <cell r="G10037">
            <v>729</v>
          </cell>
          <cell r="H10037" t="str">
            <v>LAW-B 729</v>
          </cell>
          <cell r="K10037" t="str">
            <v>Heidt,Robert H.</v>
          </cell>
          <cell r="N10037">
            <v>3.5169999999999999</v>
          </cell>
          <cell r="O10037">
            <v>3.3319999999999999</v>
          </cell>
        </row>
        <row r="10038">
          <cell r="E10038" t="str">
            <v>LAW</v>
          </cell>
          <cell r="F10038" t="str">
            <v xml:space="preserve">LAW-B </v>
          </cell>
          <cell r="G10038">
            <v>729</v>
          </cell>
          <cell r="H10038" t="str">
            <v>LAW-B 729</v>
          </cell>
          <cell r="K10038" t="str">
            <v>Knebel,Donald</v>
          </cell>
          <cell r="N10038">
            <v>3.3559999999999999</v>
          </cell>
          <cell r="O10038">
            <v>3.452</v>
          </cell>
        </row>
        <row r="10039">
          <cell r="E10039" t="str">
            <v>LAW</v>
          </cell>
          <cell r="F10039" t="str">
            <v xml:space="preserve">LAW-B </v>
          </cell>
          <cell r="G10039">
            <v>732</v>
          </cell>
          <cell r="H10039" t="str">
            <v>LAW-B 732</v>
          </cell>
          <cell r="K10039" t="str">
            <v>Mehrotra,Ajay</v>
          </cell>
          <cell r="N10039">
            <v>3.6440000000000001</v>
          </cell>
          <cell r="O10039">
            <v>3.4449999999999998</v>
          </cell>
        </row>
        <row r="10040">
          <cell r="E10040" t="str">
            <v>LAW</v>
          </cell>
          <cell r="F10040" t="str">
            <v xml:space="preserve">LAW-B </v>
          </cell>
          <cell r="G10040">
            <v>732</v>
          </cell>
          <cell r="H10040" t="str">
            <v>LAW-B 732</v>
          </cell>
          <cell r="K10040" t="str">
            <v>Mehrotra,Ajay</v>
          </cell>
          <cell r="N10040">
            <v>3.714</v>
          </cell>
          <cell r="O10040">
            <v>3.492</v>
          </cell>
        </row>
        <row r="10041">
          <cell r="E10041" t="str">
            <v>LAW</v>
          </cell>
          <cell r="F10041" t="str">
            <v xml:space="preserve">LAW-B </v>
          </cell>
          <cell r="G10041">
            <v>733</v>
          </cell>
          <cell r="H10041" t="str">
            <v>LAW-B 733</v>
          </cell>
          <cell r="K10041" t="str">
            <v>Scott,Ryan W.</v>
          </cell>
          <cell r="N10041">
            <v>3.391</v>
          </cell>
          <cell r="O10041">
            <v>3.4830000000000001</v>
          </cell>
        </row>
        <row r="10042">
          <cell r="E10042" t="str">
            <v>LAW</v>
          </cell>
          <cell r="F10042" t="str">
            <v xml:space="preserve">LAW-B </v>
          </cell>
          <cell r="G10042">
            <v>734</v>
          </cell>
          <cell r="H10042" t="str">
            <v>LAW-B 734</v>
          </cell>
          <cell r="K10042" t="str">
            <v>Fischman,Robert L</v>
          </cell>
          <cell r="N10042" t="str">
            <v>NR</v>
          </cell>
          <cell r="O10042" t="str">
            <v>NR</v>
          </cell>
        </row>
        <row r="10043">
          <cell r="E10043" t="str">
            <v>LAW</v>
          </cell>
          <cell r="F10043" t="str">
            <v xml:space="preserve">LAW-B </v>
          </cell>
          <cell r="G10043">
            <v>734</v>
          </cell>
          <cell r="H10043" t="str">
            <v>LAW-B 734</v>
          </cell>
          <cell r="K10043" t="str">
            <v>Fromm,Leonard</v>
          </cell>
          <cell r="N10043" t="str">
            <v>NR</v>
          </cell>
          <cell r="O10043" t="str">
            <v>NR</v>
          </cell>
        </row>
        <row r="10044">
          <cell r="E10044" t="str">
            <v>LAW</v>
          </cell>
          <cell r="F10044" t="str">
            <v xml:space="preserve">LAW-B </v>
          </cell>
          <cell r="G10044">
            <v>734</v>
          </cell>
          <cell r="H10044" t="str">
            <v>LAW-B 734</v>
          </cell>
          <cell r="K10044" t="str">
            <v>Lahn,Seth Michael</v>
          </cell>
          <cell r="N10044" t="str">
            <v>NR</v>
          </cell>
          <cell r="O10044" t="str">
            <v>NR</v>
          </cell>
        </row>
        <row r="10045">
          <cell r="E10045" t="str">
            <v>LAW</v>
          </cell>
          <cell r="F10045" t="str">
            <v xml:space="preserve">LAW-B </v>
          </cell>
          <cell r="G10045">
            <v>734</v>
          </cell>
          <cell r="H10045" t="str">
            <v>LAW-B 734</v>
          </cell>
          <cell r="K10045" t="str">
            <v>Matthews,Catherine LeAnn</v>
          </cell>
          <cell r="N10045" t="str">
            <v>NR</v>
          </cell>
          <cell r="O10045" t="str">
            <v>NR</v>
          </cell>
        </row>
        <row r="10046">
          <cell r="E10046" t="str">
            <v>LAW</v>
          </cell>
          <cell r="F10046" t="str">
            <v xml:space="preserve">LAW-B </v>
          </cell>
          <cell r="G10046">
            <v>735</v>
          </cell>
          <cell r="H10046" t="str">
            <v>LAW-B 735</v>
          </cell>
          <cell r="K10046" t="str">
            <v>Fidler,David Paul</v>
          </cell>
          <cell r="N10046">
            <v>3.23</v>
          </cell>
          <cell r="O10046">
            <v>3.339</v>
          </cell>
        </row>
        <row r="10047">
          <cell r="E10047" t="str">
            <v>LAW</v>
          </cell>
          <cell r="F10047" t="str">
            <v xml:space="preserve">LAW-B </v>
          </cell>
          <cell r="G10047">
            <v>739</v>
          </cell>
          <cell r="H10047" t="str">
            <v>LAW-B 739</v>
          </cell>
          <cell r="K10047" t="str">
            <v>Bradley,Craig M.</v>
          </cell>
          <cell r="N10047">
            <v>3.4260000000000002</v>
          </cell>
          <cell r="O10047">
            <v>3.411</v>
          </cell>
        </row>
        <row r="10048">
          <cell r="E10048" t="str">
            <v>LAW</v>
          </cell>
          <cell r="F10048" t="str">
            <v xml:space="preserve">LAW-B </v>
          </cell>
          <cell r="G10048">
            <v>740</v>
          </cell>
          <cell r="H10048" t="str">
            <v>LAW-B 740</v>
          </cell>
          <cell r="K10048" t="str">
            <v>Retzner,Rodney Scott</v>
          </cell>
          <cell r="N10048">
            <v>3.23</v>
          </cell>
          <cell r="O10048">
            <v>3.3180000000000001</v>
          </cell>
        </row>
        <row r="10049">
          <cell r="E10049" t="str">
            <v>LAW</v>
          </cell>
          <cell r="F10049" t="str">
            <v xml:space="preserve">LAW-B </v>
          </cell>
          <cell r="G10049">
            <v>743</v>
          </cell>
          <cell r="H10049" t="str">
            <v>LAW-B 743</v>
          </cell>
          <cell r="K10049" t="str">
            <v>Janis,Mark David</v>
          </cell>
          <cell r="N10049">
            <v>3.3519999999999999</v>
          </cell>
          <cell r="O10049">
            <v>3.4460000000000002</v>
          </cell>
        </row>
        <row r="10050">
          <cell r="E10050" t="str">
            <v>LAW</v>
          </cell>
          <cell r="F10050" t="str">
            <v xml:space="preserve">LAW-B </v>
          </cell>
          <cell r="G10050">
            <v>745</v>
          </cell>
          <cell r="H10050" t="str">
            <v>LAW-B 745</v>
          </cell>
          <cell r="K10050" t="str">
            <v>Shreve,Gene R.</v>
          </cell>
          <cell r="N10050">
            <v>3.677</v>
          </cell>
          <cell r="O10050">
            <v>3.3780000000000001</v>
          </cell>
        </row>
        <row r="10051">
          <cell r="E10051" t="str">
            <v>LAW</v>
          </cell>
          <cell r="F10051" t="str">
            <v xml:space="preserve">LAW-B </v>
          </cell>
          <cell r="G10051">
            <v>748</v>
          </cell>
          <cell r="H10051" t="str">
            <v>LAW-B 748</v>
          </cell>
          <cell r="K10051" t="str">
            <v>Krishnan,Jayanth K</v>
          </cell>
          <cell r="N10051">
            <v>3.476</v>
          </cell>
          <cell r="O10051">
            <v>3.39</v>
          </cell>
        </row>
        <row r="10052">
          <cell r="E10052" t="str">
            <v>LAW</v>
          </cell>
          <cell r="F10052" t="str">
            <v xml:space="preserve">LAW-B </v>
          </cell>
          <cell r="G10052">
            <v>748</v>
          </cell>
          <cell r="H10052" t="str">
            <v>LAW-B 748</v>
          </cell>
          <cell r="K10052" t="str">
            <v>Zoller,Elisabeth</v>
          </cell>
          <cell r="N10052" t="str">
            <v>NR</v>
          </cell>
          <cell r="O10052" t="str">
            <v>NR</v>
          </cell>
        </row>
        <row r="10053">
          <cell r="E10053" t="str">
            <v>LAW</v>
          </cell>
          <cell r="F10053" t="str">
            <v xml:space="preserve">LAW-B </v>
          </cell>
          <cell r="G10053">
            <v>755</v>
          </cell>
          <cell r="H10053" t="str">
            <v>LAW-B 755</v>
          </cell>
          <cell r="K10053" t="str">
            <v>Craig,Paul P.</v>
          </cell>
          <cell r="N10053">
            <v>3.2549999999999999</v>
          </cell>
          <cell r="O10053">
            <v>3.399</v>
          </cell>
        </row>
        <row r="10054">
          <cell r="E10054" t="str">
            <v>LAW</v>
          </cell>
          <cell r="F10054" t="str">
            <v xml:space="preserve">LAW-B </v>
          </cell>
          <cell r="G10054">
            <v>756</v>
          </cell>
          <cell r="H10054" t="str">
            <v>LAW-B 756</v>
          </cell>
          <cell r="K10054" t="str">
            <v>Brown,Kevin D.</v>
          </cell>
          <cell r="N10054">
            <v>3.42</v>
          </cell>
          <cell r="O10054">
            <v>3.246</v>
          </cell>
        </row>
        <row r="10055">
          <cell r="E10055" t="str">
            <v>LAW</v>
          </cell>
          <cell r="F10055" t="str">
            <v xml:space="preserve">LAW-B </v>
          </cell>
          <cell r="G10055">
            <v>756</v>
          </cell>
          <cell r="H10055" t="str">
            <v>LAW-B 756</v>
          </cell>
          <cell r="K10055" t="str">
            <v>Lovelace Jr,Herbert Timothy</v>
          </cell>
          <cell r="N10055">
            <v>3.431</v>
          </cell>
          <cell r="O10055">
            <v>3.2730000000000001</v>
          </cell>
        </row>
        <row r="10056">
          <cell r="E10056" t="str">
            <v>LAW</v>
          </cell>
          <cell r="F10056" t="str">
            <v xml:space="preserve">LAW-B </v>
          </cell>
          <cell r="G10056">
            <v>758</v>
          </cell>
          <cell r="H10056" t="str">
            <v>LAW-B 758</v>
          </cell>
          <cell r="K10056" t="str">
            <v>Janis,Mark David</v>
          </cell>
          <cell r="N10056">
            <v>3.302</v>
          </cell>
          <cell r="O10056">
            <v>3.39</v>
          </cell>
        </row>
        <row r="10057">
          <cell r="E10057" t="str">
            <v>LAW</v>
          </cell>
          <cell r="F10057" t="str">
            <v xml:space="preserve">LAW-B </v>
          </cell>
          <cell r="G10057">
            <v>759</v>
          </cell>
          <cell r="H10057" t="str">
            <v>LAW-B 759</v>
          </cell>
          <cell r="K10057" t="str">
            <v>Fidler,David Paul</v>
          </cell>
          <cell r="N10057">
            <v>3.3039999999999998</v>
          </cell>
          <cell r="O10057">
            <v>3.367</v>
          </cell>
        </row>
        <row r="10058">
          <cell r="E10058" t="str">
            <v>LAW</v>
          </cell>
          <cell r="F10058" t="str">
            <v xml:space="preserve">LAW-B </v>
          </cell>
          <cell r="G10058">
            <v>760</v>
          </cell>
          <cell r="H10058" t="str">
            <v>LAW-B 760</v>
          </cell>
          <cell r="K10058" t="str">
            <v>Conrad,Stephen A.</v>
          </cell>
          <cell r="N10058">
            <v>3.7549999999999999</v>
          </cell>
          <cell r="O10058">
            <v>3.419</v>
          </cell>
        </row>
        <row r="10059">
          <cell r="E10059" t="str">
            <v>LAW</v>
          </cell>
          <cell r="F10059" t="str">
            <v xml:space="preserve">LAW-B </v>
          </cell>
          <cell r="G10059">
            <v>767</v>
          </cell>
          <cell r="H10059" t="str">
            <v>LAW-B 767</v>
          </cell>
          <cell r="K10059" t="str">
            <v>Fuentes-Rohwer,Luis E.</v>
          </cell>
          <cell r="N10059">
            <v>3.55</v>
          </cell>
          <cell r="O10059">
            <v>3.4790000000000001</v>
          </cell>
        </row>
        <row r="10060">
          <cell r="E10060" t="str">
            <v>LAW</v>
          </cell>
          <cell r="F10060" t="str">
            <v xml:space="preserve">LAW-B </v>
          </cell>
          <cell r="G10060">
            <v>770</v>
          </cell>
          <cell r="H10060" t="str">
            <v>LAW-B 770</v>
          </cell>
          <cell r="K10060" t="str">
            <v>Williams,David Clair</v>
          </cell>
          <cell r="N10060">
            <v>3.3290000000000002</v>
          </cell>
          <cell r="O10060">
            <v>3.3490000000000002</v>
          </cell>
        </row>
        <row r="10061">
          <cell r="E10061" t="str">
            <v>LAW</v>
          </cell>
          <cell r="F10061" t="str">
            <v xml:space="preserve">LAW-B </v>
          </cell>
          <cell r="G10061">
            <v>771</v>
          </cell>
          <cell r="H10061" t="str">
            <v>LAW-B 771</v>
          </cell>
          <cell r="K10061" t="str">
            <v>O Connor III,Joseph Daniel</v>
          </cell>
          <cell r="N10061">
            <v>3.7050000000000001</v>
          </cell>
          <cell r="O10061">
            <v>3.355</v>
          </cell>
        </row>
        <row r="10062">
          <cell r="E10062" t="str">
            <v>LAW</v>
          </cell>
          <cell r="F10062" t="str">
            <v xml:space="preserve">LAW-B </v>
          </cell>
          <cell r="G10062">
            <v>771</v>
          </cell>
          <cell r="H10062" t="str">
            <v>LAW-B 771</v>
          </cell>
          <cell r="K10062" t="str">
            <v>O Connor III,Joseph Daniel</v>
          </cell>
          <cell r="N10062">
            <v>3.6259999999999999</v>
          </cell>
          <cell r="O10062">
            <v>3.4159999999999999</v>
          </cell>
        </row>
        <row r="10063">
          <cell r="E10063" t="str">
            <v>LAW</v>
          </cell>
          <cell r="F10063" t="str">
            <v xml:space="preserve">LAW-B </v>
          </cell>
          <cell r="G10063">
            <v>775</v>
          </cell>
          <cell r="H10063" t="str">
            <v>LAW-B 775</v>
          </cell>
          <cell r="K10063" t="str">
            <v>O'Bryan,Rory</v>
          </cell>
          <cell r="N10063" t="str">
            <v>NR</v>
          </cell>
          <cell r="O10063" t="str">
            <v>NR</v>
          </cell>
        </row>
        <row r="10064">
          <cell r="E10064" t="str">
            <v>LAW</v>
          </cell>
          <cell r="F10064" t="str">
            <v xml:space="preserve">LAW-B </v>
          </cell>
          <cell r="G10064">
            <v>777</v>
          </cell>
          <cell r="H10064" t="str">
            <v>LAW-B 777</v>
          </cell>
          <cell r="K10064" t="str">
            <v>Tyler,Lynn</v>
          </cell>
          <cell r="N10064">
            <v>3.3250000000000002</v>
          </cell>
          <cell r="O10064">
            <v>3.371</v>
          </cell>
        </row>
        <row r="10065">
          <cell r="E10065" t="str">
            <v>LAW</v>
          </cell>
          <cell r="F10065" t="str">
            <v xml:space="preserve">LAW-B </v>
          </cell>
          <cell r="G10065">
            <v>782</v>
          </cell>
          <cell r="H10065" t="str">
            <v>LAW-B 782</v>
          </cell>
          <cell r="K10065" t="str">
            <v>Barnes,A James</v>
          </cell>
          <cell r="N10065">
            <v>3.4969999999999999</v>
          </cell>
          <cell r="O10065">
            <v>3.4079999999999999</v>
          </cell>
        </row>
        <row r="10066">
          <cell r="E10066" t="str">
            <v>LAW</v>
          </cell>
          <cell r="F10066" t="str">
            <v xml:space="preserve">LAW-B </v>
          </cell>
          <cell r="G10066">
            <v>783</v>
          </cell>
          <cell r="H10066" t="str">
            <v>LAW-B 783</v>
          </cell>
          <cell r="K10066" t="str">
            <v>Simmons,Jacqueline</v>
          </cell>
          <cell r="N10066">
            <v>3.3860000000000001</v>
          </cell>
          <cell r="O10066">
            <v>3.2549999999999999</v>
          </cell>
        </row>
        <row r="10067">
          <cell r="E10067" t="str">
            <v>LAW</v>
          </cell>
          <cell r="F10067" t="str">
            <v xml:space="preserve">LAW-B </v>
          </cell>
          <cell r="G10067">
            <v>790</v>
          </cell>
          <cell r="H10067" t="str">
            <v>LAW-B 790</v>
          </cell>
          <cell r="K10067" t="str">
            <v>Farnsworth,Lisa A.</v>
          </cell>
          <cell r="N10067" t="str">
            <v>NR</v>
          </cell>
          <cell r="O10067" t="str">
            <v>NR</v>
          </cell>
        </row>
        <row r="10068">
          <cell r="E10068" t="str">
            <v>LAW</v>
          </cell>
          <cell r="F10068" t="str">
            <v xml:space="preserve">LAW-B </v>
          </cell>
          <cell r="G10068">
            <v>790</v>
          </cell>
          <cell r="H10068" t="str">
            <v>LAW-B 790</v>
          </cell>
          <cell r="K10068" t="str">
            <v>Goodwin,Gabrielle Lynn</v>
          </cell>
          <cell r="N10068" t="str">
            <v>NR</v>
          </cell>
          <cell r="O10068" t="str">
            <v>NR</v>
          </cell>
        </row>
        <row r="10069">
          <cell r="E10069" t="str">
            <v>LAW</v>
          </cell>
          <cell r="F10069" t="str">
            <v xml:space="preserve">LAW-B </v>
          </cell>
          <cell r="G10069">
            <v>792</v>
          </cell>
          <cell r="H10069" t="str">
            <v>LAW-B 792</v>
          </cell>
          <cell r="K10069" t="str">
            <v>Rose,Anthony J.</v>
          </cell>
          <cell r="N10069">
            <v>3.45</v>
          </cell>
          <cell r="O10069">
            <v>3.3039999999999998</v>
          </cell>
        </row>
        <row r="10070">
          <cell r="E10070" t="str">
            <v>LAW</v>
          </cell>
          <cell r="F10070" t="str">
            <v xml:space="preserve">LAW-B </v>
          </cell>
          <cell r="G10070">
            <v>798</v>
          </cell>
          <cell r="H10070" t="str">
            <v>LAW-B 798</v>
          </cell>
          <cell r="K10070" t="str">
            <v>Fromm,Leonard</v>
          </cell>
          <cell r="N10070" t="str">
            <v>NR</v>
          </cell>
          <cell r="O10070" t="str">
            <v>NR</v>
          </cell>
        </row>
        <row r="10071">
          <cell r="E10071" t="str">
            <v>LAW</v>
          </cell>
          <cell r="F10071" t="str">
            <v xml:space="preserve">LAW-B </v>
          </cell>
          <cell r="G10071">
            <v>798</v>
          </cell>
          <cell r="H10071" t="str">
            <v>LAW-B 798</v>
          </cell>
          <cell r="K10071" t="str">
            <v>Matthews,Catherine LeAnn</v>
          </cell>
          <cell r="N10071" t="str">
            <v>NR</v>
          </cell>
          <cell r="O10071" t="str">
            <v>NR</v>
          </cell>
        </row>
        <row r="10072">
          <cell r="E10072" t="str">
            <v>LAW</v>
          </cell>
          <cell r="F10072" t="str">
            <v xml:space="preserve">LAW-B </v>
          </cell>
          <cell r="G10072">
            <v>799</v>
          </cell>
          <cell r="H10072" t="str">
            <v>LAW-B 799</v>
          </cell>
          <cell r="K10072" t="str">
            <v>Fromm,Leonard</v>
          </cell>
          <cell r="N10072" t="str">
            <v>NR</v>
          </cell>
          <cell r="O10072" t="str">
            <v>NR</v>
          </cell>
        </row>
        <row r="10073">
          <cell r="E10073" t="str">
            <v>LAW</v>
          </cell>
          <cell r="F10073" t="str">
            <v xml:space="preserve">LAW-B </v>
          </cell>
          <cell r="G10073">
            <v>799</v>
          </cell>
          <cell r="H10073" t="str">
            <v>LAW-B 799</v>
          </cell>
          <cell r="K10073" t="str">
            <v>Matthews,Catherine LeAnn</v>
          </cell>
          <cell r="N10073" t="str">
            <v>NR</v>
          </cell>
          <cell r="O10073" t="str">
            <v>NR</v>
          </cell>
        </row>
        <row r="10074">
          <cell r="E10074" t="str">
            <v>LAW</v>
          </cell>
          <cell r="F10074" t="str">
            <v xml:space="preserve">LAW-B </v>
          </cell>
          <cell r="G10074">
            <v>800</v>
          </cell>
          <cell r="H10074" t="str">
            <v>LAW-B 800</v>
          </cell>
          <cell r="K10074" t="str">
            <v>Fromm,Leonard</v>
          </cell>
          <cell r="N10074" t="str">
            <v>NR</v>
          </cell>
          <cell r="O10074" t="str">
            <v>NR</v>
          </cell>
        </row>
        <row r="10075">
          <cell r="E10075" t="str">
            <v>LAW</v>
          </cell>
          <cell r="F10075" t="str">
            <v xml:space="preserve">LAW-B </v>
          </cell>
          <cell r="G10075">
            <v>800</v>
          </cell>
          <cell r="H10075" t="str">
            <v>LAW-B 800</v>
          </cell>
          <cell r="K10075" t="str">
            <v>Matthews,Catherine LeAnn</v>
          </cell>
          <cell r="N10075" t="str">
            <v>NR</v>
          </cell>
          <cell r="O10075" t="str">
            <v>NR</v>
          </cell>
        </row>
        <row r="10076">
          <cell r="E10076" t="str">
            <v>LAW</v>
          </cell>
          <cell r="F10076" t="str">
            <v xml:space="preserve">LAW-L </v>
          </cell>
          <cell r="G10076">
            <v>566</v>
          </cell>
          <cell r="H10076" t="str">
            <v>LAW-L 566</v>
          </cell>
          <cell r="K10076" t="str">
            <v>McGregor,Michael</v>
          </cell>
          <cell r="N10076">
            <v>3.4670000000000001</v>
          </cell>
          <cell r="O10076">
            <v>3.3069999999999999</v>
          </cell>
        </row>
        <row r="10077">
          <cell r="E10077" t="str">
            <v>LAW</v>
          </cell>
          <cell r="F10077" t="str">
            <v xml:space="preserve">LAW-L </v>
          </cell>
          <cell r="G10077">
            <v>636</v>
          </cell>
          <cell r="H10077" t="str">
            <v>LAW-L 636</v>
          </cell>
          <cell r="K10077" t="str">
            <v>Aman Jr,Alfred C</v>
          </cell>
          <cell r="N10077">
            <v>3.5790000000000002</v>
          </cell>
          <cell r="O10077">
            <v>3.3260000000000001</v>
          </cell>
        </row>
        <row r="10078">
          <cell r="E10078" t="str">
            <v>LAW</v>
          </cell>
          <cell r="F10078" t="str">
            <v xml:space="preserve">LAW-L </v>
          </cell>
          <cell r="G10078">
            <v>637</v>
          </cell>
          <cell r="H10078" t="str">
            <v>LAW-L 637</v>
          </cell>
          <cell r="K10078" t="str">
            <v>Cripps,Yvonne</v>
          </cell>
          <cell r="N10078">
            <v>3.4950000000000001</v>
          </cell>
          <cell r="O10078">
            <v>3.355</v>
          </cell>
        </row>
        <row r="10079">
          <cell r="E10079" t="str">
            <v>LAW</v>
          </cell>
          <cell r="F10079" t="str">
            <v xml:space="preserve">LAW-L </v>
          </cell>
          <cell r="G10079">
            <v>639</v>
          </cell>
          <cell r="H10079" t="str">
            <v>LAW-L 639</v>
          </cell>
          <cell r="K10079" t="str">
            <v>Fuentes-Rohwer,Luis E.</v>
          </cell>
          <cell r="N10079">
            <v>3.6930000000000001</v>
          </cell>
          <cell r="O10079">
            <v>3.4489999999999998</v>
          </cell>
        </row>
        <row r="10080">
          <cell r="E10080" t="str">
            <v>LAW</v>
          </cell>
          <cell r="F10080" t="str">
            <v xml:space="preserve">LAW-L </v>
          </cell>
          <cell r="G10080">
            <v>684</v>
          </cell>
          <cell r="H10080" t="str">
            <v>LAW-L 684</v>
          </cell>
          <cell r="K10080" t="str">
            <v>Williams,Susan H.</v>
          </cell>
          <cell r="N10080">
            <v>3.5329999999999999</v>
          </cell>
          <cell r="O10080">
            <v>3.3719999999999999</v>
          </cell>
        </row>
        <row r="10081">
          <cell r="E10081" t="str">
            <v>LAW</v>
          </cell>
          <cell r="F10081" t="str">
            <v xml:space="preserve">LAW-L </v>
          </cell>
          <cell r="G10081">
            <v>690</v>
          </cell>
          <cell r="H10081" t="str">
            <v>LAW-L 690</v>
          </cell>
          <cell r="K10081" t="str">
            <v>Broughman,Brian Jeffrey</v>
          </cell>
          <cell r="N10081">
            <v>3.78</v>
          </cell>
          <cell r="O10081">
            <v>3.4590000000000001</v>
          </cell>
        </row>
        <row r="10082">
          <cell r="E10082" t="str">
            <v>LAW</v>
          </cell>
          <cell r="F10082" t="str">
            <v xml:space="preserve">LAW-L </v>
          </cell>
          <cell r="G10082">
            <v>694</v>
          </cell>
          <cell r="H10082" t="str">
            <v>LAW-L 694</v>
          </cell>
          <cell r="K10082" t="str">
            <v>Fuentes-Rohwer,Luis E.</v>
          </cell>
          <cell r="N10082">
            <v>3.58</v>
          </cell>
          <cell r="O10082">
            <v>3.339</v>
          </cell>
        </row>
        <row r="10083">
          <cell r="E10083" t="str">
            <v>LAW</v>
          </cell>
          <cell r="F10083" t="str">
            <v xml:space="preserve">LAW-L </v>
          </cell>
          <cell r="G10083">
            <v>713</v>
          </cell>
          <cell r="H10083" t="str">
            <v>LAW-L 713</v>
          </cell>
          <cell r="K10083" t="str">
            <v>Dau-Schmidt,Kenneth Glenn</v>
          </cell>
          <cell r="N10083">
            <v>3.7749999999999999</v>
          </cell>
          <cell r="O10083">
            <v>3.5009999999999999</v>
          </cell>
        </row>
        <row r="10084">
          <cell r="E10084" t="str">
            <v>LAW</v>
          </cell>
          <cell r="F10084" t="str">
            <v xml:space="preserve">LAW-L </v>
          </cell>
          <cell r="G10084">
            <v>713</v>
          </cell>
          <cell r="H10084" t="str">
            <v>LAW-L 713</v>
          </cell>
          <cell r="K10084" t="str">
            <v>Dau-Schmidt,Kenneth Glenn</v>
          </cell>
          <cell r="N10084">
            <v>3.6560000000000001</v>
          </cell>
          <cell r="O10084">
            <v>3.3929999999999998</v>
          </cell>
        </row>
        <row r="10085">
          <cell r="E10085" t="str">
            <v>LAW</v>
          </cell>
          <cell r="F10085" t="str">
            <v xml:space="preserve">LAW-L </v>
          </cell>
          <cell r="G10085">
            <v>724</v>
          </cell>
          <cell r="H10085" t="str">
            <v>LAW-L 724</v>
          </cell>
          <cell r="K10085" t="str">
            <v>Michelson,Ethan</v>
          </cell>
          <cell r="N10085">
            <v>3.8</v>
          </cell>
          <cell r="O10085">
            <v>3.2679999999999998</v>
          </cell>
        </row>
        <row r="10086">
          <cell r="E10086" t="str">
            <v>LAW</v>
          </cell>
          <cell r="F10086" t="str">
            <v xml:space="preserve">LAW-L </v>
          </cell>
          <cell r="G10086">
            <v>728</v>
          </cell>
          <cell r="H10086" t="str">
            <v>LAW-L 728</v>
          </cell>
          <cell r="K10086" t="str">
            <v>Aman Jr,Alfred C</v>
          </cell>
          <cell r="N10086">
            <v>3.694</v>
          </cell>
          <cell r="O10086">
            <v>3.399</v>
          </cell>
        </row>
        <row r="10087">
          <cell r="E10087" t="str">
            <v>LAW</v>
          </cell>
          <cell r="F10087" t="str">
            <v xml:space="preserve">LAW-L </v>
          </cell>
          <cell r="G10087">
            <v>730</v>
          </cell>
          <cell r="H10087" t="str">
            <v>LAW-L 730</v>
          </cell>
          <cell r="K10087" t="str">
            <v>Leaffer,Marshall Allin</v>
          </cell>
          <cell r="N10087">
            <v>3.778</v>
          </cell>
          <cell r="O10087">
            <v>3.335</v>
          </cell>
        </row>
        <row r="10088">
          <cell r="E10088" t="str">
            <v>LAW</v>
          </cell>
          <cell r="F10088" t="str">
            <v xml:space="preserve">LAW-L </v>
          </cell>
          <cell r="G10088">
            <v>736</v>
          </cell>
          <cell r="H10088" t="str">
            <v>LAW-L 736</v>
          </cell>
          <cell r="K10088" t="str">
            <v>Johnsen,Dawn Elizabeth</v>
          </cell>
          <cell r="N10088">
            <v>3.71</v>
          </cell>
          <cell r="O10088">
            <v>3.3460000000000001</v>
          </cell>
        </row>
        <row r="10089">
          <cell r="E10089" t="str">
            <v>LAW</v>
          </cell>
          <cell r="F10089" t="str">
            <v xml:space="preserve">LAW-L </v>
          </cell>
          <cell r="G10089">
            <v>748</v>
          </cell>
          <cell r="H10089" t="str">
            <v>LAW-L 748</v>
          </cell>
          <cell r="K10089" t="str">
            <v>Hoffmann,Joseph L.</v>
          </cell>
          <cell r="N10089">
            <v>3.9449999999999998</v>
          </cell>
          <cell r="O10089">
            <v>3.4140000000000001</v>
          </cell>
        </row>
        <row r="10090">
          <cell r="E10090" t="str">
            <v>LAW</v>
          </cell>
          <cell r="F10090" t="str">
            <v xml:space="preserve">LAW-L </v>
          </cell>
          <cell r="G10090">
            <v>766</v>
          </cell>
          <cell r="H10090" t="str">
            <v>LAW-L 766</v>
          </cell>
          <cell r="K10090" t="str">
            <v>Levesque,Roger J. R.</v>
          </cell>
          <cell r="N10090">
            <v>4</v>
          </cell>
          <cell r="O10090">
            <v>3.2829999999999999</v>
          </cell>
        </row>
        <row r="10091">
          <cell r="E10091" t="str">
            <v>LAW</v>
          </cell>
          <cell r="F10091" t="str">
            <v xml:space="preserve">LAW-L </v>
          </cell>
          <cell r="G10091">
            <v>766</v>
          </cell>
          <cell r="H10091" t="str">
            <v>LAW-L 766</v>
          </cell>
          <cell r="K10091" t="str">
            <v>Orenstein,Aviva Anne</v>
          </cell>
          <cell r="N10091">
            <v>3.8559999999999999</v>
          </cell>
          <cell r="O10091">
            <v>3.4060000000000001</v>
          </cell>
        </row>
        <row r="10092">
          <cell r="E10092" t="str">
            <v>LAW</v>
          </cell>
          <cell r="F10092" t="str">
            <v xml:space="preserve">LAW-L </v>
          </cell>
          <cell r="G10092">
            <v>793</v>
          </cell>
          <cell r="H10092" t="str">
            <v>LAW-L 793</v>
          </cell>
          <cell r="K10092" t="str">
            <v>Ochoa,Christiana</v>
          </cell>
          <cell r="N10092">
            <v>3.4820000000000002</v>
          </cell>
          <cell r="O10092">
            <v>3.3180000000000001</v>
          </cell>
        </row>
        <row r="10093">
          <cell r="E10093" t="str">
            <v>LAW</v>
          </cell>
          <cell r="F10093" t="str">
            <v xml:space="preserve">LAW-L </v>
          </cell>
          <cell r="G10093">
            <v>797</v>
          </cell>
          <cell r="H10093" t="str">
            <v>LAW-L 797</v>
          </cell>
          <cell r="K10093" t="str">
            <v>Shreve,Gene R.</v>
          </cell>
          <cell r="N10093">
            <v>3.5369999999999999</v>
          </cell>
          <cell r="O10093">
            <v>3.4359999999999999</v>
          </cell>
        </row>
        <row r="10094">
          <cell r="E10094" t="str">
            <v>LAW</v>
          </cell>
          <cell r="F10094" t="str">
            <v xml:space="preserve">LAW-L </v>
          </cell>
          <cell r="G10094">
            <v>799</v>
          </cell>
          <cell r="H10094" t="str">
            <v>LAW-L 799</v>
          </cell>
          <cell r="K10094" t="str">
            <v>Bell,Jeannine</v>
          </cell>
          <cell r="N10094">
            <v>3.5920000000000001</v>
          </cell>
          <cell r="O10094">
            <v>3.46</v>
          </cell>
        </row>
        <row r="10095">
          <cell r="E10095" t="str">
            <v>LAW</v>
          </cell>
          <cell r="F10095" t="str">
            <v xml:space="preserve">LAW-L </v>
          </cell>
          <cell r="G10095">
            <v>799</v>
          </cell>
          <cell r="H10095" t="str">
            <v>LAW-L 799</v>
          </cell>
          <cell r="K10095" t="str">
            <v>Bell,Jeannine</v>
          </cell>
          <cell r="N10095">
            <v>3.6669999999999998</v>
          </cell>
          <cell r="O10095">
            <v>3.403</v>
          </cell>
        </row>
        <row r="10096">
          <cell r="E10096" t="str">
            <v>LAW</v>
          </cell>
          <cell r="F10096" t="str">
            <v xml:space="preserve">LAW-L </v>
          </cell>
          <cell r="G10096">
            <v>799</v>
          </cell>
          <cell r="H10096" t="str">
            <v>LAW-L 799</v>
          </cell>
          <cell r="K10096" t="str">
            <v>Johnsen,Dawn Elizabeth</v>
          </cell>
          <cell r="N10096">
            <v>3.5270000000000001</v>
          </cell>
          <cell r="O10096">
            <v>3.3439999999999999</v>
          </cell>
        </row>
        <row r="10097">
          <cell r="E10097" t="str">
            <v>LING</v>
          </cell>
          <cell r="F10097" t="str">
            <v>LING-A</v>
          </cell>
          <cell r="G10097">
            <v>400</v>
          </cell>
          <cell r="H10097" t="str">
            <v>LING-A400</v>
          </cell>
          <cell r="K10097" t="str">
            <v>Omar,Alwiya Saleh</v>
          </cell>
          <cell r="N10097" t="str">
            <v>NR</v>
          </cell>
          <cell r="O10097" t="str">
            <v>NR</v>
          </cell>
        </row>
        <row r="10098">
          <cell r="E10098" t="str">
            <v>LING</v>
          </cell>
          <cell r="F10098" t="str">
            <v>LING-A</v>
          </cell>
          <cell r="G10098">
            <v>400</v>
          </cell>
          <cell r="H10098" t="str">
            <v>LING-A400</v>
          </cell>
          <cell r="K10098" t="str">
            <v>Omar,Alwiya Saleh</v>
          </cell>
          <cell r="N10098" t="str">
            <v>NR</v>
          </cell>
          <cell r="O10098" t="str">
            <v>NR</v>
          </cell>
        </row>
        <row r="10099">
          <cell r="E10099" t="str">
            <v>LING</v>
          </cell>
          <cell r="F10099" t="str">
            <v>LING-A</v>
          </cell>
          <cell r="G10099">
            <v>501</v>
          </cell>
          <cell r="H10099" t="str">
            <v>LING-A501</v>
          </cell>
          <cell r="K10099" t="str">
            <v>Obeng,Samuel Gyasi</v>
          </cell>
          <cell r="N10099" t="str">
            <v>NR</v>
          </cell>
          <cell r="O10099" t="str">
            <v>NR</v>
          </cell>
        </row>
        <row r="10100">
          <cell r="E10100" t="str">
            <v>LING</v>
          </cell>
          <cell r="F10100" t="str">
            <v>LING-B</v>
          </cell>
          <cell r="G10100">
            <v>102</v>
          </cell>
          <cell r="H10100" t="str">
            <v>LING-B102</v>
          </cell>
          <cell r="K10100" t="str">
            <v>Sow,Amadou Beidy</v>
          </cell>
          <cell r="N10100" t="str">
            <v>NR</v>
          </cell>
          <cell r="O10100" t="str">
            <v>NR</v>
          </cell>
        </row>
        <row r="10101">
          <cell r="E10101" t="str">
            <v>LING</v>
          </cell>
          <cell r="F10101" t="str">
            <v>LING-B</v>
          </cell>
          <cell r="G10101">
            <v>201</v>
          </cell>
          <cell r="H10101" t="str">
            <v>LING-B201</v>
          </cell>
          <cell r="K10101" t="str">
            <v>Sow,Amadou Beidy</v>
          </cell>
          <cell r="N10101" t="str">
            <v>NR</v>
          </cell>
          <cell r="O10101" t="str">
            <v>NR</v>
          </cell>
        </row>
        <row r="10102">
          <cell r="E10102" t="str">
            <v>LING</v>
          </cell>
          <cell r="F10102" t="str">
            <v>LING-B</v>
          </cell>
          <cell r="G10102">
            <v>202</v>
          </cell>
          <cell r="H10102" t="str">
            <v>LING-B202</v>
          </cell>
          <cell r="K10102" t="str">
            <v>Sow,Amadou Beidy</v>
          </cell>
          <cell r="N10102" t="str">
            <v>NR</v>
          </cell>
          <cell r="O10102" t="str">
            <v>NR</v>
          </cell>
        </row>
        <row r="10103">
          <cell r="E10103" t="str">
            <v>LING</v>
          </cell>
          <cell r="F10103" t="str">
            <v>LING-B</v>
          </cell>
          <cell r="G10103">
            <v>301</v>
          </cell>
          <cell r="H10103" t="str">
            <v>LING-B301</v>
          </cell>
          <cell r="K10103" t="str">
            <v>Sow,Amadou Beidy</v>
          </cell>
          <cell r="N10103" t="str">
            <v>NR</v>
          </cell>
          <cell r="O10103" t="str">
            <v>NR</v>
          </cell>
        </row>
        <row r="10104">
          <cell r="E10104" t="str">
            <v>LING</v>
          </cell>
          <cell r="F10104" t="str">
            <v>LING-B</v>
          </cell>
          <cell r="G10104">
            <v>501</v>
          </cell>
          <cell r="H10104" t="str">
            <v>LING-B501</v>
          </cell>
          <cell r="K10104" t="str">
            <v>Sow,Amadou Beidy</v>
          </cell>
          <cell r="N10104" t="str">
            <v>NR</v>
          </cell>
          <cell r="O10104" t="str">
            <v>NR</v>
          </cell>
        </row>
        <row r="10105">
          <cell r="E10105" t="str">
            <v>LING</v>
          </cell>
          <cell r="F10105" t="str">
            <v>LING-B</v>
          </cell>
          <cell r="G10105">
            <v>602</v>
          </cell>
          <cell r="H10105" t="str">
            <v>LING-B602</v>
          </cell>
          <cell r="K10105" t="str">
            <v>Sow,Amadou Beidy</v>
          </cell>
          <cell r="N10105" t="str">
            <v>NR</v>
          </cell>
          <cell r="O10105" t="str">
            <v>NR</v>
          </cell>
        </row>
        <row r="10106">
          <cell r="E10106" t="str">
            <v>LING</v>
          </cell>
          <cell r="F10106" t="str">
            <v>LING-B</v>
          </cell>
          <cell r="G10106">
            <v>701</v>
          </cell>
          <cell r="H10106" t="str">
            <v>LING-B701</v>
          </cell>
          <cell r="K10106" t="str">
            <v>Sow,Amadou Beidy</v>
          </cell>
          <cell r="N10106" t="str">
            <v>NR</v>
          </cell>
          <cell r="O10106" t="str">
            <v>NR</v>
          </cell>
        </row>
        <row r="10107">
          <cell r="E10107" t="str">
            <v>LING</v>
          </cell>
          <cell r="F10107" t="str">
            <v>LING-G</v>
          </cell>
          <cell r="G10107">
            <v>901</v>
          </cell>
          <cell r="H10107" t="str">
            <v>LING-G901</v>
          </cell>
          <cell r="K10107" t="str">
            <v>Botne,Robert</v>
          </cell>
          <cell r="N10107" t="str">
            <v>NR</v>
          </cell>
          <cell r="O10107" t="str">
            <v>NR</v>
          </cell>
        </row>
        <row r="10108">
          <cell r="E10108" t="str">
            <v>LING</v>
          </cell>
          <cell r="F10108" t="str">
            <v>LING-G</v>
          </cell>
          <cell r="G10108">
            <v>901</v>
          </cell>
          <cell r="H10108" t="str">
            <v>LING-G901</v>
          </cell>
          <cell r="K10108" t="str">
            <v>Botne,Robert</v>
          </cell>
          <cell r="N10108" t="str">
            <v>NR</v>
          </cell>
          <cell r="O10108" t="str">
            <v>NR</v>
          </cell>
        </row>
        <row r="10109">
          <cell r="E10109" t="str">
            <v>LING</v>
          </cell>
          <cell r="F10109" t="str">
            <v>LING-K</v>
          </cell>
          <cell r="G10109">
            <v>101</v>
          </cell>
          <cell r="H10109" t="str">
            <v>LING-K101</v>
          </cell>
          <cell r="K10109" t="str">
            <v>Essien,Hannah</v>
          </cell>
          <cell r="N10109">
            <v>3.6709999999999998</v>
          </cell>
          <cell r="O10109">
            <v>3.2879999999999998</v>
          </cell>
        </row>
        <row r="10110">
          <cell r="E10110" t="str">
            <v>LING</v>
          </cell>
          <cell r="F10110" t="str">
            <v>LING-K</v>
          </cell>
          <cell r="G10110">
            <v>102</v>
          </cell>
          <cell r="H10110" t="str">
            <v>LING-K102</v>
          </cell>
          <cell r="K10110" t="str">
            <v>Essien,Hannah</v>
          </cell>
          <cell r="N10110">
            <v>3.1859999999999999</v>
          </cell>
          <cell r="O10110">
            <v>3.0169999999999999</v>
          </cell>
        </row>
        <row r="10111">
          <cell r="E10111" t="str">
            <v>LING</v>
          </cell>
          <cell r="F10111" t="str">
            <v>LING-K</v>
          </cell>
          <cell r="G10111">
            <v>201</v>
          </cell>
          <cell r="H10111" t="str">
            <v>LING-K201</v>
          </cell>
          <cell r="K10111" t="str">
            <v>Adu-Amankwah,David</v>
          </cell>
          <cell r="N10111" t="str">
            <v>NR</v>
          </cell>
          <cell r="O10111" t="str">
            <v>NR</v>
          </cell>
        </row>
        <row r="10112">
          <cell r="E10112" t="str">
            <v>LING</v>
          </cell>
          <cell r="F10112" t="str">
            <v>LING-K</v>
          </cell>
          <cell r="G10112">
            <v>202</v>
          </cell>
          <cell r="H10112" t="str">
            <v>LING-K202</v>
          </cell>
          <cell r="K10112" t="str">
            <v>Adu-Amankwah,David</v>
          </cell>
          <cell r="N10112" t="str">
            <v>NR</v>
          </cell>
          <cell r="O10112" t="str">
            <v>NR</v>
          </cell>
        </row>
        <row r="10113">
          <cell r="E10113" t="str">
            <v>LING</v>
          </cell>
          <cell r="F10113" t="str">
            <v>LING-K</v>
          </cell>
          <cell r="G10113">
            <v>501</v>
          </cell>
          <cell r="H10113" t="str">
            <v>LING-K501</v>
          </cell>
          <cell r="K10113" t="str">
            <v>Essien,Hannah</v>
          </cell>
          <cell r="N10113" t="str">
            <v>NR</v>
          </cell>
          <cell r="O10113" t="str">
            <v>NR</v>
          </cell>
        </row>
        <row r="10114">
          <cell r="E10114" t="str">
            <v>LING</v>
          </cell>
          <cell r="F10114" t="str">
            <v>LING-K</v>
          </cell>
          <cell r="G10114">
            <v>502</v>
          </cell>
          <cell r="H10114" t="str">
            <v>LING-K502</v>
          </cell>
          <cell r="K10114" t="str">
            <v>Essien,Hannah</v>
          </cell>
          <cell r="N10114" t="str">
            <v>NR</v>
          </cell>
          <cell r="O10114" t="str">
            <v>NR</v>
          </cell>
        </row>
        <row r="10115">
          <cell r="E10115" t="str">
            <v>LING</v>
          </cell>
          <cell r="F10115" t="str">
            <v>LING-K</v>
          </cell>
          <cell r="G10115">
            <v>601</v>
          </cell>
          <cell r="H10115" t="str">
            <v>LING-K601</v>
          </cell>
          <cell r="K10115" t="str">
            <v>Adu-Amankwah,David</v>
          </cell>
          <cell r="N10115" t="str">
            <v>NR</v>
          </cell>
          <cell r="O10115" t="str">
            <v>NR</v>
          </cell>
        </row>
        <row r="10116">
          <cell r="E10116" t="str">
            <v>LING</v>
          </cell>
          <cell r="F10116" t="str">
            <v>LING-K</v>
          </cell>
          <cell r="G10116">
            <v>701</v>
          </cell>
          <cell r="H10116" t="str">
            <v>LING-K701</v>
          </cell>
          <cell r="K10116" t="str">
            <v>Adu-Amankwah,David</v>
          </cell>
          <cell r="N10116" t="str">
            <v>NR</v>
          </cell>
          <cell r="O10116" t="str">
            <v>NR</v>
          </cell>
        </row>
        <row r="10117">
          <cell r="E10117" t="str">
            <v>LING</v>
          </cell>
          <cell r="F10117" t="str">
            <v>LING-K</v>
          </cell>
          <cell r="G10117">
            <v>702</v>
          </cell>
          <cell r="H10117" t="str">
            <v>LING-K702</v>
          </cell>
          <cell r="K10117" t="str">
            <v>Adu-Amankwah,David</v>
          </cell>
          <cell r="N10117" t="str">
            <v>NR</v>
          </cell>
          <cell r="O10117" t="str">
            <v>NR</v>
          </cell>
        </row>
        <row r="10118">
          <cell r="E10118" t="str">
            <v>LING</v>
          </cell>
          <cell r="F10118" t="str">
            <v>LING-L</v>
          </cell>
          <cell r="G10118">
            <v>103</v>
          </cell>
          <cell r="H10118" t="str">
            <v>LING-L103</v>
          </cell>
          <cell r="K10118" t="str">
            <v>Janda,Richard</v>
          </cell>
          <cell r="N10118">
            <v>3.2320000000000002</v>
          </cell>
          <cell r="O10118">
            <v>3.2170000000000001</v>
          </cell>
        </row>
        <row r="10119">
          <cell r="E10119" t="str">
            <v>LING</v>
          </cell>
          <cell r="F10119" t="str">
            <v>LING-L</v>
          </cell>
          <cell r="G10119">
            <v>103</v>
          </cell>
          <cell r="H10119" t="str">
            <v>LING-L103</v>
          </cell>
          <cell r="K10119" t="str">
            <v>Janda,Richard</v>
          </cell>
          <cell r="N10119">
            <v>3.1440000000000001</v>
          </cell>
          <cell r="O10119">
            <v>3.16</v>
          </cell>
        </row>
        <row r="10120">
          <cell r="E10120" t="str">
            <v>LING</v>
          </cell>
          <cell r="F10120" t="str">
            <v>LING-L</v>
          </cell>
          <cell r="G10120">
            <v>210</v>
          </cell>
          <cell r="H10120" t="str">
            <v>LING-L210</v>
          </cell>
          <cell r="K10120" t="str">
            <v>Janda,Richard</v>
          </cell>
          <cell r="N10120">
            <v>3.5470000000000002</v>
          </cell>
          <cell r="O10120">
            <v>3.1019999999999999</v>
          </cell>
        </row>
        <row r="10121">
          <cell r="E10121" t="str">
            <v>LING</v>
          </cell>
          <cell r="F10121" t="str">
            <v>LING-L</v>
          </cell>
          <cell r="G10121">
            <v>210</v>
          </cell>
          <cell r="H10121" t="str">
            <v>LING-L210</v>
          </cell>
          <cell r="K10121" t="str">
            <v>Kitagawa,Yoshihisa</v>
          </cell>
          <cell r="N10121">
            <v>2.9670000000000001</v>
          </cell>
          <cell r="O10121">
            <v>2.867</v>
          </cell>
        </row>
        <row r="10122">
          <cell r="E10122" t="str">
            <v>LING</v>
          </cell>
          <cell r="F10122" t="str">
            <v>LING-L</v>
          </cell>
          <cell r="G10122">
            <v>210</v>
          </cell>
          <cell r="H10122" t="str">
            <v>LING-L210</v>
          </cell>
          <cell r="K10122" t="str">
            <v>Lulich,Steven Michael</v>
          </cell>
          <cell r="N10122">
            <v>3.931</v>
          </cell>
          <cell r="O10122">
            <v>2.9860000000000002</v>
          </cell>
        </row>
        <row r="10123">
          <cell r="E10123" t="str">
            <v>LING</v>
          </cell>
          <cell r="F10123" t="str">
            <v>LING-L</v>
          </cell>
          <cell r="G10123">
            <v>245</v>
          </cell>
          <cell r="H10123" t="str">
            <v>LING-L245</v>
          </cell>
          <cell r="K10123" t="str">
            <v>Dickinson,Markus</v>
          </cell>
          <cell r="N10123">
            <v>3.14</v>
          </cell>
          <cell r="O10123">
            <v>3.044</v>
          </cell>
        </row>
        <row r="10124">
          <cell r="E10124" t="str">
            <v>LING</v>
          </cell>
          <cell r="F10124" t="str">
            <v>LING-L</v>
          </cell>
          <cell r="G10124">
            <v>303</v>
          </cell>
          <cell r="H10124" t="str">
            <v>LING-L303</v>
          </cell>
          <cell r="K10124" t="str">
            <v>De Jong,Kenneth J.</v>
          </cell>
          <cell r="N10124">
            <v>3.21</v>
          </cell>
          <cell r="O10124">
            <v>3.1320000000000001</v>
          </cell>
        </row>
        <row r="10125">
          <cell r="E10125" t="str">
            <v>LING</v>
          </cell>
          <cell r="F10125" t="str">
            <v>LING-L</v>
          </cell>
          <cell r="G10125">
            <v>303</v>
          </cell>
          <cell r="H10125" t="str">
            <v>LING-L303</v>
          </cell>
          <cell r="K10125" t="str">
            <v>Franks,Steven Laurence</v>
          </cell>
          <cell r="N10125">
            <v>3.0259999999999998</v>
          </cell>
          <cell r="O10125">
            <v>3.319</v>
          </cell>
        </row>
        <row r="10126">
          <cell r="E10126" t="str">
            <v>LING</v>
          </cell>
          <cell r="F10126" t="str">
            <v>LING-L</v>
          </cell>
          <cell r="G10126">
            <v>306</v>
          </cell>
          <cell r="H10126" t="str">
            <v>LING-L306</v>
          </cell>
          <cell r="K10126" t="str">
            <v>Hao,Yen-Chen</v>
          </cell>
          <cell r="N10126">
            <v>2.7610000000000001</v>
          </cell>
          <cell r="O10126">
            <v>3.28</v>
          </cell>
        </row>
        <row r="10127">
          <cell r="E10127" t="str">
            <v>LING</v>
          </cell>
          <cell r="F10127" t="str">
            <v>LING-L</v>
          </cell>
          <cell r="G10127">
            <v>306</v>
          </cell>
          <cell r="H10127" t="str">
            <v>LING-L306</v>
          </cell>
          <cell r="K10127" t="str">
            <v>Lulich,Steven Michael</v>
          </cell>
          <cell r="N10127">
            <v>3.1139999999999999</v>
          </cell>
          <cell r="O10127">
            <v>3.109</v>
          </cell>
        </row>
        <row r="10128">
          <cell r="E10128" t="str">
            <v>LING</v>
          </cell>
          <cell r="F10128" t="str">
            <v>LING-L</v>
          </cell>
          <cell r="G10128">
            <v>307</v>
          </cell>
          <cell r="H10128" t="str">
            <v>LING-L307</v>
          </cell>
          <cell r="K10128" t="str">
            <v>Becker,Michael</v>
          </cell>
          <cell r="N10128">
            <v>3.504</v>
          </cell>
          <cell r="O10128">
            <v>3.3260000000000001</v>
          </cell>
        </row>
        <row r="10129">
          <cell r="E10129" t="str">
            <v>LING</v>
          </cell>
          <cell r="F10129" t="str">
            <v>LING-L</v>
          </cell>
          <cell r="G10129">
            <v>307</v>
          </cell>
          <cell r="H10129" t="str">
            <v>LING-L307</v>
          </cell>
          <cell r="K10129" t="str">
            <v>Jose,Brian</v>
          </cell>
          <cell r="N10129">
            <v>3.0230000000000001</v>
          </cell>
          <cell r="O10129">
            <v>3.4020000000000001</v>
          </cell>
        </row>
        <row r="10130">
          <cell r="E10130" t="str">
            <v>LING</v>
          </cell>
          <cell r="F10130" t="str">
            <v>LING-L</v>
          </cell>
          <cell r="G10130">
            <v>308</v>
          </cell>
          <cell r="H10130" t="str">
            <v>LING-L308</v>
          </cell>
          <cell r="K10130" t="str">
            <v>Botne,Robert</v>
          </cell>
          <cell r="N10130">
            <v>2.8159999999999998</v>
          </cell>
          <cell r="O10130">
            <v>3.246</v>
          </cell>
        </row>
        <row r="10131">
          <cell r="E10131" t="str">
            <v>LING</v>
          </cell>
          <cell r="F10131" t="str">
            <v>LING-L</v>
          </cell>
          <cell r="G10131">
            <v>310</v>
          </cell>
          <cell r="H10131" t="str">
            <v>LING-L310</v>
          </cell>
          <cell r="K10131" t="str">
            <v>Dickinson,Markus</v>
          </cell>
          <cell r="N10131">
            <v>3.2170000000000001</v>
          </cell>
          <cell r="O10131">
            <v>3.28</v>
          </cell>
        </row>
        <row r="10132">
          <cell r="E10132" t="str">
            <v>LING</v>
          </cell>
          <cell r="F10132" t="str">
            <v>LING-L</v>
          </cell>
          <cell r="G10132">
            <v>310</v>
          </cell>
          <cell r="H10132" t="str">
            <v>LING-L310</v>
          </cell>
          <cell r="K10132" t="str">
            <v>Kitagawa,Yoshihisa</v>
          </cell>
          <cell r="N10132">
            <v>3.4550000000000001</v>
          </cell>
          <cell r="O10132">
            <v>3.3149999999999999</v>
          </cell>
        </row>
        <row r="10133">
          <cell r="E10133" t="str">
            <v>LING</v>
          </cell>
          <cell r="F10133" t="str">
            <v>LING-L</v>
          </cell>
          <cell r="G10133">
            <v>315</v>
          </cell>
          <cell r="H10133" t="str">
            <v>LING-L315</v>
          </cell>
          <cell r="K10133" t="str">
            <v>Auger,Julie</v>
          </cell>
          <cell r="N10133">
            <v>2.5259999999999998</v>
          </cell>
          <cell r="O10133">
            <v>3.165</v>
          </cell>
        </row>
        <row r="10134">
          <cell r="E10134" t="str">
            <v>LING</v>
          </cell>
          <cell r="F10134" t="str">
            <v>LING-L</v>
          </cell>
          <cell r="G10134">
            <v>325</v>
          </cell>
          <cell r="H10134" t="str">
            <v>LING-L325</v>
          </cell>
          <cell r="K10134" t="str">
            <v>Gabriele,Leslie Anne Pereira</v>
          </cell>
          <cell r="N10134">
            <v>3.004</v>
          </cell>
          <cell r="O10134">
            <v>3.3279999999999998</v>
          </cell>
        </row>
        <row r="10135">
          <cell r="E10135" t="str">
            <v>LING</v>
          </cell>
          <cell r="F10135" t="str">
            <v>LING-L</v>
          </cell>
          <cell r="G10135">
            <v>399</v>
          </cell>
          <cell r="H10135" t="str">
            <v>LING-L399</v>
          </cell>
          <cell r="K10135" t="str">
            <v>Auger,Julie</v>
          </cell>
          <cell r="N10135" t="str">
            <v>NR</v>
          </cell>
          <cell r="O10135" t="str">
            <v>NR</v>
          </cell>
        </row>
        <row r="10136">
          <cell r="E10136" t="str">
            <v>LING</v>
          </cell>
          <cell r="F10136" t="str">
            <v>LING-L</v>
          </cell>
          <cell r="G10136">
            <v>399</v>
          </cell>
          <cell r="H10136" t="str">
            <v>LING-L399</v>
          </cell>
          <cell r="K10136" t="str">
            <v>Clements,Joseph Clancy</v>
          </cell>
          <cell r="N10136" t="str">
            <v>NR</v>
          </cell>
          <cell r="O10136" t="str">
            <v>NR</v>
          </cell>
        </row>
        <row r="10137">
          <cell r="E10137" t="str">
            <v>LING</v>
          </cell>
          <cell r="F10137" t="str">
            <v>LING-L</v>
          </cell>
          <cell r="G10137">
            <v>399</v>
          </cell>
          <cell r="H10137" t="str">
            <v>LING-L399</v>
          </cell>
          <cell r="K10137" t="str">
            <v>Davis,Stuart</v>
          </cell>
          <cell r="N10137" t="str">
            <v>NR</v>
          </cell>
          <cell r="O10137" t="str">
            <v>NR</v>
          </cell>
        </row>
        <row r="10138">
          <cell r="E10138" t="str">
            <v>LING</v>
          </cell>
          <cell r="F10138" t="str">
            <v>LING-L</v>
          </cell>
          <cell r="G10138">
            <v>408</v>
          </cell>
          <cell r="H10138" t="str">
            <v>LING-L408</v>
          </cell>
          <cell r="K10138" t="str">
            <v>De Jong,Kenneth J.</v>
          </cell>
          <cell r="N10138" t="str">
            <v>NR</v>
          </cell>
          <cell r="O10138" t="str">
            <v>NR</v>
          </cell>
        </row>
        <row r="10139">
          <cell r="E10139" t="str">
            <v>LING</v>
          </cell>
          <cell r="F10139" t="str">
            <v>LING-L</v>
          </cell>
          <cell r="G10139">
            <v>408</v>
          </cell>
          <cell r="H10139" t="str">
            <v>LING-L408</v>
          </cell>
          <cell r="K10139" t="str">
            <v>Dickinson,Markus</v>
          </cell>
          <cell r="N10139" t="str">
            <v>NR</v>
          </cell>
          <cell r="O10139" t="str">
            <v>NR</v>
          </cell>
        </row>
        <row r="10140">
          <cell r="E10140" t="str">
            <v>LING</v>
          </cell>
          <cell r="F10140" t="str">
            <v>LING-L</v>
          </cell>
          <cell r="G10140">
            <v>430</v>
          </cell>
          <cell r="H10140" t="str">
            <v>LING-L430</v>
          </cell>
          <cell r="K10140" t="str">
            <v>Janda,Richard</v>
          </cell>
          <cell r="N10140">
            <v>3.8530000000000002</v>
          </cell>
          <cell r="O10140">
            <v>3.3210000000000002</v>
          </cell>
        </row>
        <row r="10141">
          <cell r="E10141" t="str">
            <v>LING</v>
          </cell>
          <cell r="F10141" t="str">
            <v>LING-L</v>
          </cell>
          <cell r="G10141">
            <v>431</v>
          </cell>
          <cell r="H10141" t="str">
            <v>LING-L431</v>
          </cell>
          <cell r="K10141" t="str">
            <v>Auger,Julie</v>
          </cell>
          <cell r="N10141">
            <v>3.1629999999999998</v>
          </cell>
          <cell r="O10141">
            <v>3.3029999999999999</v>
          </cell>
        </row>
        <row r="10142">
          <cell r="E10142" t="str">
            <v>LING</v>
          </cell>
          <cell r="F10142" t="str">
            <v>LING-L</v>
          </cell>
          <cell r="G10142">
            <v>431</v>
          </cell>
          <cell r="H10142" t="str">
            <v>LING-L431</v>
          </cell>
          <cell r="K10142" t="str">
            <v>Obeng,Samuel Gyasi</v>
          </cell>
          <cell r="N10142">
            <v>3.64</v>
          </cell>
          <cell r="O10142">
            <v>3.5529999999999999</v>
          </cell>
        </row>
        <row r="10143">
          <cell r="E10143" t="str">
            <v>LING</v>
          </cell>
          <cell r="F10143" t="str">
            <v>LING-L</v>
          </cell>
          <cell r="G10143">
            <v>432</v>
          </cell>
          <cell r="H10143" t="str">
            <v>LING-L432</v>
          </cell>
          <cell r="K10143" t="str">
            <v>Botne,Robert</v>
          </cell>
          <cell r="N10143" t="str">
            <v>NR</v>
          </cell>
          <cell r="O10143" t="str">
            <v>NR</v>
          </cell>
        </row>
        <row r="10144">
          <cell r="E10144" t="str">
            <v>LING</v>
          </cell>
          <cell r="F10144" t="str">
            <v>LING-L</v>
          </cell>
          <cell r="G10144">
            <v>480</v>
          </cell>
          <cell r="H10144" t="str">
            <v>LING-L480</v>
          </cell>
          <cell r="K10144" t="str">
            <v>Obeng,Samuel Gyasi</v>
          </cell>
          <cell r="N10144">
            <v>3.7639999999999998</v>
          </cell>
          <cell r="O10144">
            <v>3.36</v>
          </cell>
        </row>
        <row r="10145">
          <cell r="E10145" t="str">
            <v>LING</v>
          </cell>
          <cell r="F10145" t="str">
            <v>LING-L</v>
          </cell>
          <cell r="G10145">
            <v>485</v>
          </cell>
          <cell r="H10145" t="str">
            <v>LING-L485</v>
          </cell>
          <cell r="K10145" t="str">
            <v>Dinnsen,Daniel A.</v>
          </cell>
          <cell r="N10145" t="str">
            <v>NR</v>
          </cell>
          <cell r="O10145" t="str">
            <v>NR</v>
          </cell>
        </row>
        <row r="10146">
          <cell r="E10146" t="str">
            <v>LING</v>
          </cell>
          <cell r="F10146" t="str">
            <v>LING-L</v>
          </cell>
          <cell r="G10146">
            <v>485</v>
          </cell>
          <cell r="H10146" t="str">
            <v>LING-L485</v>
          </cell>
          <cell r="K10146" t="str">
            <v>Kuebler,Sandra Claudia</v>
          </cell>
          <cell r="N10146" t="str">
            <v>NR</v>
          </cell>
          <cell r="O10146" t="str">
            <v>NR</v>
          </cell>
        </row>
        <row r="10147">
          <cell r="E10147" t="str">
            <v>LING</v>
          </cell>
          <cell r="F10147" t="str">
            <v>LING-L</v>
          </cell>
          <cell r="G10147">
            <v>499</v>
          </cell>
          <cell r="H10147" t="str">
            <v>LING-L499</v>
          </cell>
          <cell r="K10147" t="str">
            <v>Clements,Joseph Clancy</v>
          </cell>
          <cell r="N10147" t="str">
            <v>NR</v>
          </cell>
          <cell r="O10147" t="str">
            <v>NR</v>
          </cell>
        </row>
        <row r="10148">
          <cell r="E10148" t="str">
            <v>LING</v>
          </cell>
          <cell r="F10148" t="str">
            <v>LING-L</v>
          </cell>
          <cell r="G10148">
            <v>499</v>
          </cell>
          <cell r="H10148" t="str">
            <v>LING-L499</v>
          </cell>
          <cell r="K10148" t="str">
            <v>Clements,Joseph Clancy</v>
          </cell>
          <cell r="N10148" t="str">
            <v>NR</v>
          </cell>
          <cell r="O10148" t="str">
            <v>NR</v>
          </cell>
        </row>
        <row r="10149">
          <cell r="E10149" t="str">
            <v>LING</v>
          </cell>
          <cell r="F10149" t="str">
            <v>LING-L</v>
          </cell>
          <cell r="G10149">
            <v>499</v>
          </cell>
          <cell r="H10149" t="str">
            <v>LING-L499</v>
          </cell>
          <cell r="K10149" t="str">
            <v>De Jong,Kenneth J.</v>
          </cell>
          <cell r="N10149" t="str">
            <v>NR</v>
          </cell>
          <cell r="O10149" t="str">
            <v>NR</v>
          </cell>
        </row>
        <row r="10150">
          <cell r="E10150" t="str">
            <v>LING</v>
          </cell>
          <cell r="F10150" t="str">
            <v>LING-L</v>
          </cell>
          <cell r="G10150">
            <v>499</v>
          </cell>
          <cell r="H10150" t="str">
            <v>LING-L499</v>
          </cell>
          <cell r="K10150" t="str">
            <v>Dinnsen,Daniel A.</v>
          </cell>
          <cell r="N10150" t="str">
            <v>NR</v>
          </cell>
          <cell r="O10150" t="str">
            <v>NR</v>
          </cell>
        </row>
        <row r="10151">
          <cell r="E10151" t="str">
            <v>LING</v>
          </cell>
          <cell r="F10151" t="str">
            <v>LING-L</v>
          </cell>
          <cell r="G10151">
            <v>506</v>
          </cell>
          <cell r="H10151" t="str">
            <v>LING-L506</v>
          </cell>
          <cell r="K10151" t="str">
            <v>Omar,Alwiya Saleh</v>
          </cell>
          <cell r="N10151" t="str">
            <v>NR</v>
          </cell>
          <cell r="O10151" t="str">
            <v>NR</v>
          </cell>
        </row>
        <row r="10152">
          <cell r="E10152" t="str">
            <v>LING</v>
          </cell>
          <cell r="F10152" t="str">
            <v>LING-L</v>
          </cell>
          <cell r="G10152">
            <v>506</v>
          </cell>
          <cell r="H10152" t="str">
            <v>LING-L506</v>
          </cell>
          <cell r="K10152" t="str">
            <v>Omar,Alwiya Saleh</v>
          </cell>
          <cell r="N10152" t="str">
            <v>NR</v>
          </cell>
          <cell r="O10152" t="str">
            <v>NR</v>
          </cell>
        </row>
        <row r="10153">
          <cell r="E10153" t="str">
            <v>LING</v>
          </cell>
          <cell r="F10153" t="str">
            <v>LING-L</v>
          </cell>
          <cell r="G10153">
            <v>520</v>
          </cell>
          <cell r="H10153" t="str">
            <v>LING-L520</v>
          </cell>
          <cell r="K10153" t="str">
            <v>Clements,Joseph Clancy</v>
          </cell>
          <cell r="N10153">
            <v>3.8940000000000001</v>
          </cell>
          <cell r="O10153">
            <v>3.738</v>
          </cell>
        </row>
        <row r="10154">
          <cell r="E10154" t="str">
            <v>LING</v>
          </cell>
          <cell r="F10154" t="str">
            <v>LING-L</v>
          </cell>
          <cell r="G10154">
            <v>530</v>
          </cell>
          <cell r="H10154" t="str">
            <v>LING-L530</v>
          </cell>
          <cell r="K10154" t="str">
            <v>Vance,Barbara S.</v>
          </cell>
          <cell r="N10154">
            <v>3.8210000000000002</v>
          </cell>
          <cell r="O10154">
            <v>3.8919999999999999</v>
          </cell>
        </row>
        <row r="10155">
          <cell r="E10155" t="str">
            <v>LING</v>
          </cell>
          <cell r="F10155" t="str">
            <v>LING-L</v>
          </cell>
          <cell r="G10155">
            <v>541</v>
          </cell>
          <cell r="H10155" t="str">
            <v>LING-L541</v>
          </cell>
          <cell r="K10155" t="str">
            <v>De Jong,Kenneth J.</v>
          </cell>
          <cell r="N10155">
            <v>3.5419999999999998</v>
          </cell>
          <cell r="O10155">
            <v>3.8039999999999998</v>
          </cell>
        </row>
        <row r="10156">
          <cell r="E10156" t="str">
            <v>LING</v>
          </cell>
          <cell r="F10156" t="str">
            <v>LING-L</v>
          </cell>
          <cell r="G10156">
            <v>542</v>
          </cell>
          <cell r="H10156" t="str">
            <v>LING-L542</v>
          </cell>
          <cell r="K10156" t="str">
            <v>Davis,Stuart</v>
          </cell>
          <cell r="N10156">
            <v>3.923</v>
          </cell>
          <cell r="O10156">
            <v>3.823</v>
          </cell>
        </row>
        <row r="10157">
          <cell r="E10157" t="str">
            <v>LING</v>
          </cell>
          <cell r="F10157" t="str">
            <v>LING-L</v>
          </cell>
          <cell r="G10157">
            <v>543</v>
          </cell>
          <cell r="H10157" t="str">
            <v>LING-L543</v>
          </cell>
          <cell r="K10157" t="str">
            <v>Kitagawa,Yoshihisa</v>
          </cell>
          <cell r="N10157">
            <v>3.6160000000000001</v>
          </cell>
          <cell r="O10157">
            <v>3.738</v>
          </cell>
        </row>
        <row r="10158">
          <cell r="E10158" t="str">
            <v>LING</v>
          </cell>
          <cell r="F10158" t="str">
            <v>LING-L</v>
          </cell>
          <cell r="G10158">
            <v>544</v>
          </cell>
          <cell r="H10158" t="str">
            <v>LING-L544</v>
          </cell>
          <cell r="K10158" t="str">
            <v>Vance,Barbara S.</v>
          </cell>
          <cell r="N10158">
            <v>3.6669999999999998</v>
          </cell>
          <cell r="O10158">
            <v>3.7559999999999998</v>
          </cell>
        </row>
        <row r="10159">
          <cell r="E10159" t="str">
            <v>LING</v>
          </cell>
          <cell r="F10159" t="str">
            <v>LING-L</v>
          </cell>
          <cell r="G10159">
            <v>545</v>
          </cell>
          <cell r="H10159" t="str">
            <v>LING-L545</v>
          </cell>
          <cell r="K10159" t="str">
            <v>Kuebler,Sandra Claudia</v>
          </cell>
          <cell r="N10159" t="str">
            <v>NR</v>
          </cell>
          <cell r="O10159" t="str">
            <v>NR</v>
          </cell>
        </row>
        <row r="10160">
          <cell r="E10160" t="str">
            <v>LING</v>
          </cell>
          <cell r="F10160" t="str">
            <v>LING-L</v>
          </cell>
          <cell r="G10160">
            <v>555</v>
          </cell>
          <cell r="H10160" t="str">
            <v>LING-L555</v>
          </cell>
          <cell r="K10160" t="str">
            <v>Dickinson,Markus</v>
          </cell>
          <cell r="N10160">
            <v>3.8380000000000001</v>
          </cell>
          <cell r="O10160">
            <v>3.7480000000000002</v>
          </cell>
        </row>
        <row r="10161">
          <cell r="E10161" t="str">
            <v>LING</v>
          </cell>
          <cell r="F10161" t="str">
            <v>LING-L</v>
          </cell>
          <cell r="G10161">
            <v>625</v>
          </cell>
          <cell r="H10161" t="str">
            <v>LING-L625</v>
          </cell>
          <cell r="K10161" t="str">
            <v>Rottet,Kevin James</v>
          </cell>
          <cell r="N10161">
            <v>3.82</v>
          </cell>
          <cell r="O10161">
            <v>3.8330000000000002</v>
          </cell>
        </row>
        <row r="10162">
          <cell r="E10162" t="str">
            <v>LING</v>
          </cell>
          <cell r="F10162" t="str">
            <v>LING-L</v>
          </cell>
          <cell r="G10162">
            <v>630</v>
          </cell>
          <cell r="H10162" t="str">
            <v>LING-L630</v>
          </cell>
          <cell r="K10162" t="str">
            <v>Rottet,Kevin James</v>
          </cell>
          <cell r="N10162" t="str">
            <v>NR</v>
          </cell>
          <cell r="O10162" t="str">
            <v>NR</v>
          </cell>
        </row>
        <row r="10163">
          <cell r="E10163" t="str">
            <v>LING</v>
          </cell>
          <cell r="F10163" t="str">
            <v>LING-L</v>
          </cell>
          <cell r="G10163">
            <v>636</v>
          </cell>
          <cell r="H10163" t="str">
            <v>LING-L636</v>
          </cell>
          <cell r="K10163" t="str">
            <v>Clements,Joseph Clancy</v>
          </cell>
          <cell r="N10163">
            <v>4</v>
          </cell>
          <cell r="O10163">
            <v>3.931</v>
          </cell>
        </row>
        <row r="10164">
          <cell r="E10164" t="str">
            <v>LING</v>
          </cell>
          <cell r="F10164" t="str">
            <v>LING-L</v>
          </cell>
          <cell r="G10164">
            <v>642</v>
          </cell>
          <cell r="H10164" t="str">
            <v>LING-L642</v>
          </cell>
          <cell r="K10164" t="str">
            <v>Dinnsen,Daniel A.</v>
          </cell>
          <cell r="N10164">
            <v>3.8879999999999999</v>
          </cell>
          <cell r="O10164">
            <v>3.847</v>
          </cell>
        </row>
        <row r="10165">
          <cell r="E10165" t="str">
            <v>LING</v>
          </cell>
          <cell r="F10165" t="str">
            <v>LING-L</v>
          </cell>
          <cell r="G10165">
            <v>643</v>
          </cell>
          <cell r="H10165" t="str">
            <v>LING-L643</v>
          </cell>
          <cell r="K10165" t="str">
            <v>Kitagawa,Yoshihisa</v>
          </cell>
          <cell r="N10165">
            <v>4</v>
          </cell>
          <cell r="O10165">
            <v>3.847</v>
          </cell>
        </row>
        <row r="10166">
          <cell r="E10166" t="str">
            <v>LING</v>
          </cell>
          <cell r="F10166" t="str">
            <v>LING-L</v>
          </cell>
          <cell r="G10166">
            <v>645</v>
          </cell>
          <cell r="H10166" t="str">
            <v>LING-L645</v>
          </cell>
          <cell r="K10166" t="str">
            <v>Dickinson,Markus</v>
          </cell>
          <cell r="N10166">
            <v>4</v>
          </cell>
          <cell r="O10166">
            <v>3.8620000000000001</v>
          </cell>
        </row>
        <row r="10167">
          <cell r="E10167" t="str">
            <v>LING</v>
          </cell>
          <cell r="F10167" t="str">
            <v>LING-L</v>
          </cell>
          <cell r="G10167">
            <v>653</v>
          </cell>
          <cell r="H10167" t="str">
            <v>LING-L653</v>
          </cell>
          <cell r="K10167" t="str">
            <v>Obeng,Samuel Gyasi</v>
          </cell>
          <cell r="N10167" t="str">
            <v>NR</v>
          </cell>
          <cell r="O10167" t="str">
            <v>NR</v>
          </cell>
        </row>
        <row r="10168">
          <cell r="E10168" t="str">
            <v>LING</v>
          </cell>
          <cell r="F10168" t="str">
            <v>LING-L</v>
          </cell>
          <cell r="G10168">
            <v>654</v>
          </cell>
          <cell r="H10168" t="str">
            <v>LING-L654</v>
          </cell>
          <cell r="K10168" t="str">
            <v>Botne,Robert</v>
          </cell>
          <cell r="N10168" t="str">
            <v>NR</v>
          </cell>
          <cell r="O10168" t="str">
            <v>NR</v>
          </cell>
        </row>
        <row r="10169">
          <cell r="E10169" t="str">
            <v>LING</v>
          </cell>
          <cell r="F10169" t="str">
            <v>LING-L</v>
          </cell>
          <cell r="G10169">
            <v>670</v>
          </cell>
          <cell r="H10169" t="str">
            <v>LING-L670</v>
          </cell>
          <cell r="K10169" t="str">
            <v>Kroeber,Paul Demarest</v>
          </cell>
          <cell r="N10169" t="str">
            <v>NR</v>
          </cell>
          <cell r="O10169" t="str">
            <v>NR</v>
          </cell>
        </row>
        <row r="10170">
          <cell r="E10170" t="str">
            <v>LING</v>
          </cell>
          <cell r="F10170" t="str">
            <v>LING-L</v>
          </cell>
          <cell r="G10170">
            <v>690</v>
          </cell>
          <cell r="H10170" t="str">
            <v>LING-L690</v>
          </cell>
          <cell r="K10170" t="str">
            <v>Dickinson,Markus</v>
          </cell>
          <cell r="N10170" t="str">
            <v>NR</v>
          </cell>
          <cell r="O10170" t="str">
            <v>NR</v>
          </cell>
        </row>
        <row r="10171">
          <cell r="E10171" t="str">
            <v>LING</v>
          </cell>
          <cell r="F10171" t="str">
            <v>LING-L</v>
          </cell>
          <cell r="G10171">
            <v>690</v>
          </cell>
          <cell r="H10171" t="str">
            <v>LING-L690</v>
          </cell>
          <cell r="K10171" t="str">
            <v>Kuebler,Sandra Claudia</v>
          </cell>
          <cell r="N10171" t="str">
            <v>NR</v>
          </cell>
          <cell r="O10171" t="str">
            <v>NR</v>
          </cell>
        </row>
        <row r="10172">
          <cell r="E10172" t="str">
            <v>LING</v>
          </cell>
          <cell r="F10172" t="str">
            <v>LING-L</v>
          </cell>
          <cell r="G10172">
            <v>690</v>
          </cell>
          <cell r="H10172" t="str">
            <v>LING-L690</v>
          </cell>
          <cell r="K10172" t="str">
            <v>Lulich,Steven Michael</v>
          </cell>
          <cell r="N10172" t="str">
            <v>NR</v>
          </cell>
          <cell r="O10172" t="str">
            <v>NR</v>
          </cell>
        </row>
        <row r="10173">
          <cell r="E10173" t="str">
            <v>LING</v>
          </cell>
          <cell r="F10173" t="str">
            <v>LING-L</v>
          </cell>
          <cell r="G10173">
            <v>690</v>
          </cell>
          <cell r="H10173" t="str">
            <v>LING-L690</v>
          </cell>
          <cell r="K10173" t="str">
            <v>Moss,Lawrence S.</v>
          </cell>
          <cell r="N10173" t="str">
            <v>NR</v>
          </cell>
          <cell r="O10173" t="str">
            <v>NR</v>
          </cell>
        </row>
        <row r="10174">
          <cell r="E10174" t="str">
            <v>LING</v>
          </cell>
          <cell r="F10174" t="str">
            <v>LING-L</v>
          </cell>
          <cell r="G10174">
            <v>700</v>
          </cell>
          <cell r="H10174" t="str">
            <v>LING-L700</v>
          </cell>
          <cell r="K10174" t="str">
            <v>Franks,Steven Laurence</v>
          </cell>
          <cell r="N10174" t="str">
            <v>NR</v>
          </cell>
          <cell r="O10174" t="str">
            <v>NR</v>
          </cell>
        </row>
        <row r="10175">
          <cell r="E10175" t="str">
            <v>LING</v>
          </cell>
          <cell r="F10175" t="str">
            <v>LING-L</v>
          </cell>
          <cell r="G10175">
            <v>700</v>
          </cell>
          <cell r="H10175" t="str">
            <v>LING-L700</v>
          </cell>
          <cell r="K10175" t="str">
            <v>Lulich,Steven Michael</v>
          </cell>
          <cell r="N10175">
            <v>4</v>
          </cell>
          <cell r="O10175">
            <v>3.8530000000000002</v>
          </cell>
        </row>
        <row r="10176">
          <cell r="E10176" t="str">
            <v>LING</v>
          </cell>
          <cell r="F10176" t="str">
            <v>LING-L</v>
          </cell>
          <cell r="G10176">
            <v>700</v>
          </cell>
          <cell r="H10176" t="str">
            <v>LING-L700</v>
          </cell>
          <cell r="K10176" t="str">
            <v>Trix,Frances</v>
          </cell>
          <cell r="N10176">
            <v>3.8330000000000002</v>
          </cell>
          <cell r="O10176">
            <v>3.7389999999999999</v>
          </cell>
        </row>
        <row r="10177">
          <cell r="E10177" t="str">
            <v>LING</v>
          </cell>
          <cell r="F10177" t="str">
            <v>LING-L</v>
          </cell>
          <cell r="G10177">
            <v>715</v>
          </cell>
          <cell r="H10177" t="str">
            <v>LING-L715</v>
          </cell>
          <cell r="K10177" t="str">
            <v>Kuebler,Sandra Claudia</v>
          </cell>
          <cell r="N10177">
            <v>4</v>
          </cell>
          <cell r="O10177">
            <v>3.8450000000000002</v>
          </cell>
        </row>
        <row r="10178">
          <cell r="E10178" t="str">
            <v>LING</v>
          </cell>
          <cell r="F10178" t="str">
            <v>LING-L</v>
          </cell>
          <cell r="G10178">
            <v>800</v>
          </cell>
          <cell r="H10178" t="str">
            <v>LING-L800</v>
          </cell>
          <cell r="K10178" t="str">
            <v>Botne,Robert</v>
          </cell>
          <cell r="N10178" t="str">
            <v>NR</v>
          </cell>
          <cell r="O10178" t="str">
            <v>NR</v>
          </cell>
        </row>
        <row r="10179">
          <cell r="E10179" t="str">
            <v>LING</v>
          </cell>
          <cell r="F10179" t="str">
            <v>LING-L</v>
          </cell>
          <cell r="G10179">
            <v>800</v>
          </cell>
          <cell r="H10179" t="str">
            <v>LING-L800</v>
          </cell>
          <cell r="K10179" t="str">
            <v>Botne,Robert</v>
          </cell>
          <cell r="N10179" t="str">
            <v>NR</v>
          </cell>
          <cell r="O10179" t="str">
            <v>NR</v>
          </cell>
        </row>
        <row r="10180">
          <cell r="E10180" t="str">
            <v>LING</v>
          </cell>
          <cell r="F10180" t="str">
            <v>LING-S</v>
          </cell>
          <cell r="G10180">
            <v>90</v>
          </cell>
          <cell r="H10180" t="str">
            <v>LING-S90</v>
          </cell>
          <cell r="K10180" t="str">
            <v>Wamathai,William Kanyi</v>
          </cell>
          <cell r="N10180" t="str">
            <v>NR</v>
          </cell>
          <cell r="O10180" t="str">
            <v>NR</v>
          </cell>
        </row>
        <row r="10181">
          <cell r="E10181" t="str">
            <v>LING</v>
          </cell>
          <cell r="F10181" t="str">
            <v>LING-S</v>
          </cell>
          <cell r="G10181">
            <v>101</v>
          </cell>
          <cell r="H10181" t="str">
            <v>LING-S101</v>
          </cell>
          <cell r="K10181" t="str">
            <v>Okelo,Beatrice Nguono</v>
          </cell>
          <cell r="N10181">
            <v>3.6349999999999998</v>
          </cell>
          <cell r="O10181">
            <v>3.1680000000000001</v>
          </cell>
        </row>
        <row r="10182">
          <cell r="E10182" t="str">
            <v>LING</v>
          </cell>
          <cell r="F10182" t="str">
            <v>LING-S</v>
          </cell>
          <cell r="G10182">
            <v>101</v>
          </cell>
          <cell r="H10182" t="str">
            <v>LING-S101</v>
          </cell>
          <cell r="K10182" t="str">
            <v>Okelo,Beatrice Nguono</v>
          </cell>
          <cell r="N10182">
            <v>3.6520000000000001</v>
          </cell>
          <cell r="O10182">
            <v>3.069</v>
          </cell>
        </row>
        <row r="10183">
          <cell r="E10183" t="str">
            <v>LING</v>
          </cell>
          <cell r="F10183" t="str">
            <v>LING-S</v>
          </cell>
          <cell r="G10183">
            <v>102</v>
          </cell>
          <cell r="H10183" t="str">
            <v>LING-S102</v>
          </cell>
          <cell r="K10183" t="str">
            <v>Mazrui,Abdulwahid Mohamed</v>
          </cell>
          <cell r="N10183">
            <v>2.8170000000000002</v>
          </cell>
          <cell r="O10183">
            <v>2.984</v>
          </cell>
        </row>
        <row r="10184">
          <cell r="E10184" t="str">
            <v>LING</v>
          </cell>
          <cell r="F10184" t="str">
            <v>LING-S</v>
          </cell>
          <cell r="G10184">
            <v>102</v>
          </cell>
          <cell r="H10184" t="str">
            <v>LING-S102</v>
          </cell>
          <cell r="K10184" t="str">
            <v>Mazrui,Abdulwahid Mohamed</v>
          </cell>
          <cell r="N10184">
            <v>3.25</v>
          </cell>
          <cell r="O10184">
            <v>3.2240000000000002</v>
          </cell>
        </row>
        <row r="10185">
          <cell r="E10185" t="str">
            <v>LING</v>
          </cell>
          <cell r="F10185" t="str">
            <v>LING-S</v>
          </cell>
          <cell r="G10185">
            <v>104</v>
          </cell>
          <cell r="H10185" t="str">
            <v>LING-S104</v>
          </cell>
          <cell r="K10185" t="str">
            <v>Omar,Alwiya Saleh</v>
          </cell>
          <cell r="N10185" t="str">
            <v>NR</v>
          </cell>
          <cell r="O10185" t="str">
            <v>NR</v>
          </cell>
        </row>
        <row r="10186">
          <cell r="E10186" t="str">
            <v>LING</v>
          </cell>
          <cell r="F10186" t="str">
            <v>LING-S</v>
          </cell>
          <cell r="G10186">
            <v>201</v>
          </cell>
          <cell r="H10186" t="str">
            <v>LING-S201</v>
          </cell>
          <cell r="K10186" t="str">
            <v>Mwingira,Margaret Philip</v>
          </cell>
          <cell r="N10186">
            <v>3.9140000000000001</v>
          </cell>
          <cell r="O10186">
            <v>3.4239999999999999</v>
          </cell>
        </row>
        <row r="10187">
          <cell r="E10187" t="str">
            <v>LING</v>
          </cell>
          <cell r="F10187" t="str">
            <v>LING-S</v>
          </cell>
          <cell r="G10187">
            <v>201</v>
          </cell>
          <cell r="H10187" t="str">
            <v>LING-S201</v>
          </cell>
          <cell r="K10187" t="str">
            <v>Omar,Alwiya Saleh</v>
          </cell>
          <cell r="N10187">
            <v>3.5289999999999999</v>
          </cell>
          <cell r="O10187">
            <v>3.0489999999999999</v>
          </cell>
        </row>
        <row r="10188">
          <cell r="E10188" t="str">
            <v>LING</v>
          </cell>
          <cell r="F10188" t="str">
            <v>LING-S</v>
          </cell>
          <cell r="G10188">
            <v>202</v>
          </cell>
          <cell r="H10188" t="str">
            <v>LING-S202</v>
          </cell>
          <cell r="K10188" t="str">
            <v>Okelo,Beatrice Nguono</v>
          </cell>
          <cell r="N10188" t="str">
            <v>NR</v>
          </cell>
          <cell r="O10188" t="str">
            <v>NR</v>
          </cell>
        </row>
        <row r="10189">
          <cell r="E10189" t="str">
            <v>LING</v>
          </cell>
          <cell r="F10189" t="str">
            <v>LING-S</v>
          </cell>
          <cell r="G10189">
            <v>202</v>
          </cell>
          <cell r="H10189" t="str">
            <v>LING-S202</v>
          </cell>
          <cell r="K10189" t="str">
            <v>Okelo,Beatrice Nguono</v>
          </cell>
          <cell r="N10189">
            <v>3.7709999999999999</v>
          </cell>
          <cell r="O10189">
            <v>3.3540000000000001</v>
          </cell>
        </row>
        <row r="10190">
          <cell r="E10190" t="str">
            <v>LING</v>
          </cell>
          <cell r="F10190" t="str">
            <v>LING-S</v>
          </cell>
          <cell r="G10190">
            <v>301</v>
          </cell>
          <cell r="H10190" t="str">
            <v>LING-S301</v>
          </cell>
          <cell r="K10190" t="str">
            <v>Tungaraza,Deo</v>
          </cell>
          <cell r="N10190">
            <v>3.95</v>
          </cell>
          <cell r="O10190">
            <v>3.8090000000000002</v>
          </cell>
        </row>
        <row r="10191">
          <cell r="E10191" t="str">
            <v>LING</v>
          </cell>
          <cell r="F10191" t="str">
            <v>LING-S</v>
          </cell>
          <cell r="G10191">
            <v>302</v>
          </cell>
          <cell r="H10191" t="str">
            <v>LING-S302</v>
          </cell>
          <cell r="K10191" t="str">
            <v>Tungaraza,Deo</v>
          </cell>
          <cell r="N10191" t="str">
            <v>NR</v>
          </cell>
          <cell r="O10191" t="str">
            <v>NR</v>
          </cell>
        </row>
        <row r="10192">
          <cell r="E10192" t="str">
            <v>LING</v>
          </cell>
          <cell r="F10192" t="str">
            <v>LING-S</v>
          </cell>
          <cell r="G10192">
            <v>501</v>
          </cell>
          <cell r="H10192" t="str">
            <v>LING-S501</v>
          </cell>
          <cell r="K10192" t="str">
            <v>Okelo,Beatrice Nguono</v>
          </cell>
          <cell r="N10192" t="str">
            <v>NR</v>
          </cell>
          <cell r="O10192" t="str">
            <v>NR</v>
          </cell>
        </row>
        <row r="10193">
          <cell r="E10193" t="str">
            <v>LING</v>
          </cell>
          <cell r="F10193" t="str">
            <v>LING-S</v>
          </cell>
          <cell r="G10193">
            <v>501</v>
          </cell>
          <cell r="H10193" t="str">
            <v>LING-S501</v>
          </cell>
          <cell r="K10193" t="str">
            <v>Okelo,Beatrice Nguono</v>
          </cell>
          <cell r="N10193" t="str">
            <v>NR</v>
          </cell>
          <cell r="O10193" t="str">
            <v>NR</v>
          </cell>
        </row>
        <row r="10194">
          <cell r="E10194" t="str">
            <v>LING</v>
          </cell>
          <cell r="F10194" t="str">
            <v>LING-S</v>
          </cell>
          <cell r="G10194">
            <v>502</v>
          </cell>
          <cell r="H10194" t="str">
            <v>LING-S502</v>
          </cell>
          <cell r="K10194" t="str">
            <v>Mazrui,Abdulwahid Mohamed</v>
          </cell>
          <cell r="N10194" t="str">
            <v>NR</v>
          </cell>
          <cell r="O10194" t="str">
            <v>NR</v>
          </cell>
        </row>
        <row r="10195">
          <cell r="E10195" t="str">
            <v>LING</v>
          </cell>
          <cell r="F10195" t="str">
            <v>LING-S</v>
          </cell>
          <cell r="G10195">
            <v>601</v>
          </cell>
          <cell r="H10195" t="str">
            <v>LING-S601</v>
          </cell>
          <cell r="K10195" t="str">
            <v>Mwingira,Margaret Philip</v>
          </cell>
          <cell r="N10195" t="str">
            <v>NR</v>
          </cell>
          <cell r="O10195" t="str">
            <v>NR</v>
          </cell>
        </row>
        <row r="10196">
          <cell r="E10196" t="str">
            <v>LING</v>
          </cell>
          <cell r="F10196" t="str">
            <v>LING-S</v>
          </cell>
          <cell r="G10196">
            <v>601</v>
          </cell>
          <cell r="H10196" t="str">
            <v>LING-S601</v>
          </cell>
          <cell r="K10196" t="str">
            <v>Omar,Alwiya Saleh</v>
          </cell>
          <cell r="N10196" t="str">
            <v>NR</v>
          </cell>
          <cell r="O10196" t="str">
            <v>NR</v>
          </cell>
        </row>
        <row r="10197">
          <cell r="E10197" t="str">
            <v>LING</v>
          </cell>
          <cell r="F10197" t="str">
            <v>LING-S</v>
          </cell>
          <cell r="G10197">
            <v>602</v>
          </cell>
          <cell r="H10197" t="str">
            <v>LING-S602</v>
          </cell>
          <cell r="K10197" t="str">
            <v>Okelo,Beatrice Nguono</v>
          </cell>
          <cell r="N10197" t="str">
            <v>NR</v>
          </cell>
          <cell r="O10197" t="str">
            <v>NR</v>
          </cell>
        </row>
        <row r="10198">
          <cell r="E10198" t="str">
            <v>LING</v>
          </cell>
          <cell r="F10198" t="str">
            <v>LING-S</v>
          </cell>
          <cell r="G10198">
            <v>602</v>
          </cell>
          <cell r="H10198" t="str">
            <v>LING-S602</v>
          </cell>
          <cell r="K10198" t="str">
            <v>Okelo,Beatrice Nguono</v>
          </cell>
          <cell r="N10198" t="str">
            <v>NR</v>
          </cell>
          <cell r="O10198" t="str">
            <v>NR</v>
          </cell>
        </row>
        <row r="10199">
          <cell r="E10199" t="str">
            <v>LING</v>
          </cell>
          <cell r="F10199" t="str">
            <v>LING-S</v>
          </cell>
          <cell r="G10199">
            <v>701</v>
          </cell>
          <cell r="H10199" t="str">
            <v>LING-S701</v>
          </cell>
          <cell r="K10199" t="str">
            <v>Tungaraza,Deo</v>
          </cell>
          <cell r="N10199" t="str">
            <v>NR</v>
          </cell>
          <cell r="O10199" t="str">
            <v>NR</v>
          </cell>
        </row>
        <row r="10200">
          <cell r="E10200" t="str">
            <v>LING</v>
          </cell>
          <cell r="F10200" t="str">
            <v>LING-S</v>
          </cell>
          <cell r="G10200">
            <v>702</v>
          </cell>
          <cell r="H10200" t="str">
            <v>LING-S702</v>
          </cell>
          <cell r="K10200" t="str">
            <v>Tungaraza,Deo</v>
          </cell>
          <cell r="N10200" t="str">
            <v>NR</v>
          </cell>
          <cell r="O10200" t="str">
            <v>NR</v>
          </cell>
        </row>
        <row r="10201">
          <cell r="E10201" t="str">
            <v>LING</v>
          </cell>
          <cell r="F10201" t="str">
            <v>LING-X</v>
          </cell>
          <cell r="G10201">
            <v>101</v>
          </cell>
          <cell r="H10201" t="str">
            <v>LING-X101</v>
          </cell>
          <cell r="K10201" t="str">
            <v>Diouf,Fabienne Ngone</v>
          </cell>
          <cell r="N10201" t="str">
            <v>NR</v>
          </cell>
          <cell r="O10201" t="str">
            <v>NR</v>
          </cell>
        </row>
        <row r="10202">
          <cell r="E10202" t="str">
            <v>LING</v>
          </cell>
          <cell r="F10202" t="str">
            <v>LING-X</v>
          </cell>
          <cell r="G10202">
            <v>501</v>
          </cell>
          <cell r="H10202" t="str">
            <v>LING-X501</v>
          </cell>
          <cell r="K10202" t="str">
            <v>Diouf,Fabienne Ngone</v>
          </cell>
          <cell r="N10202" t="str">
            <v>NR</v>
          </cell>
          <cell r="O10202" t="str">
            <v>NR</v>
          </cell>
        </row>
        <row r="10203">
          <cell r="E10203" t="str">
            <v>LING</v>
          </cell>
          <cell r="F10203" t="str">
            <v>LING-X</v>
          </cell>
          <cell r="G10203">
            <v>702</v>
          </cell>
          <cell r="H10203" t="str">
            <v>LING-X702</v>
          </cell>
          <cell r="K10203" t="str">
            <v>Diouf,Fabienne Ngone</v>
          </cell>
          <cell r="N10203" t="str">
            <v>NR</v>
          </cell>
          <cell r="O10203" t="str">
            <v>NR</v>
          </cell>
        </row>
        <row r="10204">
          <cell r="E10204" t="str">
            <v>LING</v>
          </cell>
          <cell r="F10204" t="str">
            <v>LING-Z</v>
          </cell>
          <cell r="G10204">
            <v>101</v>
          </cell>
          <cell r="H10204" t="str">
            <v>LING-Z101</v>
          </cell>
          <cell r="K10204" t="str">
            <v>Lesetla II,Mpolokeng Victoria</v>
          </cell>
          <cell r="N10204" t="str">
            <v>NR</v>
          </cell>
          <cell r="O10204" t="str">
            <v>NR</v>
          </cell>
        </row>
        <row r="10205">
          <cell r="E10205" t="str">
            <v>LING</v>
          </cell>
          <cell r="F10205" t="str">
            <v>LING-Z</v>
          </cell>
          <cell r="G10205">
            <v>102</v>
          </cell>
          <cell r="H10205" t="str">
            <v>LING-Z102</v>
          </cell>
          <cell r="K10205" t="str">
            <v>Dlamini,Betty Sibongile</v>
          </cell>
          <cell r="N10205" t="str">
            <v>NR</v>
          </cell>
          <cell r="O10205" t="str">
            <v>NR</v>
          </cell>
        </row>
        <row r="10206">
          <cell r="E10206" t="str">
            <v>LING</v>
          </cell>
          <cell r="F10206" t="str">
            <v>LING-Z</v>
          </cell>
          <cell r="G10206">
            <v>201</v>
          </cell>
          <cell r="H10206" t="str">
            <v>LING-Z201</v>
          </cell>
          <cell r="K10206" t="str">
            <v>Dlamini,Betty Sibongile</v>
          </cell>
          <cell r="N10206" t="str">
            <v>NR</v>
          </cell>
          <cell r="O10206" t="str">
            <v>NR</v>
          </cell>
        </row>
        <row r="10207">
          <cell r="E10207" t="str">
            <v>LING</v>
          </cell>
          <cell r="F10207" t="str">
            <v>LING-Z</v>
          </cell>
          <cell r="G10207">
            <v>202</v>
          </cell>
          <cell r="H10207" t="str">
            <v>LING-Z202</v>
          </cell>
          <cell r="K10207" t="str">
            <v>Lekoba,Sindisiwe Sindy Lorraine</v>
          </cell>
          <cell r="N10207" t="str">
            <v>NR</v>
          </cell>
          <cell r="O10207" t="str">
            <v>NR</v>
          </cell>
        </row>
        <row r="10208">
          <cell r="E10208" t="str">
            <v>LING</v>
          </cell>
          <cell r="F10208" t="str">
            <v>LING-Z</v>
          </cell>
          <cell r="G10208">
            <v>501</v>
          </cell>
          <cell r="H10208" t="str">
            <v>LING-Z501</v>
          </cell>
          <cell r="K10208" t="str">
            <v>Lesetla II,Mpolokeng Victoria</v>
          </cell>
          <cell r="N10208" t="str">
            <v>NR</v>
          </cell>
          <cell r="O10208" t="str">
            <v>NR</v>
          </cell>
        </row>
        <row r="10209">
          <cell r="E10209" t="str">
            <v>LING</v>
          </cell>
          <cell r="F10209" t="str">
            <v>LING-Z</v>
          </cell>
          <cell r="G10209">
            <v>502</v>
          </cell>
          <cell r="H10209" t="str">
            <v>LING-Z502</v>
          </cell>
          <cell r="K10209" t="str">
            <v>Dlamini,Betty Sibongile</v>
          </cell>
          <cell r="N10209" t="str">
            <v>NR</v>
          </cell>
          <cell r="O10209" t="str">
            <v>NR</v>
          </cell>
        </row>
        <row r="10210">
          <cell r="E10210" t="str">
            <v>LING</v>
          </cell>
          <cell r="F10210" t="str">
            <v>LING-Z</v>
          </cell>
          <cell r="G10210">
            <v>602</v>
          </cell>
          <cell r="H10210" t="str">
            <v>LING-Z602</v>
          </cell>
          <cell r="K10210" t="str">
            <v>Lekoba,Sindisiwe Sindy Lorraine</v>
          </cell>
          <cell r="N10210" t="str">
            <v>NR</v>
          </cell>
          <cell r="O10210" t="str">
            <v>NR</v>
          </cell>
        </row>
        <row r="10211">
          <cell r="E10211" t="str">
            <v>LING</v>
          </cell>
          <cell r="F10211" t="str">
            <v>LING-Z</v>
          </cell>
          <cell r="G10211">
            <v>602</v>
          </cell>
          <cell r="H10211" t="str">
            <v>LING-Z602</v>
          </cell>
          <cell r="K10211" t="str">
            <v>Lekoba,Sindisiwe Sindy Lorraine</v>
          </cell>
          <cell r="N10211" t="str">
            <v>NR</v>
          </cell>
          <cell r="O10211" t="str">
            <v>NR</v>
          </cell>
        </row>
        <row r="10212">
          <cell r="E10212" t="str">
            <v>LING</v>
          </cell>
          <cell r="F10212" t="str">
            <v>LING-Z</v>
          </cell>
          <cell r="G10212">
            <v>701</v>
          </cell>
          <cell r="H10212" t="str">
            <v>LING-Z701</v>
          </cell>
          <cell r="K10212" t="str">
            <v>Dlamini,Betty Sibongile</v>
          </cell>
          <cell r="N10212" t="str">
            <v>NR</v>
          </cell>
          <cell r="O10212" t="str">
            <v>NR</v>
          </cell>
        </row>
        <row r="10213">
          <cell r="E10213" t="str">
            <v>LING</v>
          </cell>
          <cell r="F10213" t="str">
            <v>LING-Z</v>
          </cell>
          <cell r="G10213">
            <v>701</v>
          </cell>
          <cell r="H10213" t="str">
            <v>LING-Z701</v>
          </cell>
          <cell r="K10213" t="str">
            <v>Dlamini,Betty Sibongile</v>
          </cell>
          <cell r="N10213" t="str">
            <v>NR</v>
          </cell>
          <cell r="O10213" t="str">
            <v>NR</v>
          </cell>
        </row>
        <row r="10214">
          <cell r="E10214" t="str">
            <v>LING</v>
          </cell>
          <cell r="F10214" t="str">
            <v>LING-Z</v>
          </cell>
          <cell r="G10214">
            <v>702</v>
          </cell>
          <cell r="H10214" t="str">
            <v>LING-Z702</v>
          </cell>
          <cell r="K10214" t="str">
            <v>Dlamini,Betty Sibongile</v>
          </cell>
          <cell r="N10214" t="str">
            <v>NR</v>
          </cell>
          <cell r="O10214" t="str">
            <v>NR</v>
          </cell>
        </row>
        <row r="10215">
          <cell r="E10215" t="str">
            <v>LING</v>
          </cell>
          <cell r="F10215" t="str">
            <v>LING-Z</v>
          </cell>
          <cell r="G10215">
            <v>702</v>
          </cell>
          <cell r="H10215" t="str">
            <v>LING-Z702</v>
          </cell>
          <cell r="K10215" t="str">
            <v>Dlamini,Betty Sibongile</v>
          </cell>
          <cell r="N10215" t="str">
            <v>NR</v>
          </cell>
          <cell r="O10215" t="str">
            <v>NR</v>
          </cell>
        </row>
        <row r="10216">
          <cell r="E10216" t="str">
            <v>LSTU</v>
          </cell>
          <cell r="F10216" t="str">
            <v>LSTU-L</v>
          </cell>
          <cell r="G10216">
            <v>100</v>
          </cell>
          <cell r="H10216" t="str">
            <v>LSTU-L100</v>
          </cell>
          <cell r="K10216" t="str">
            <v>Davis,Charles</v>
          </cell>
          <cell r="N10216" t="str">
            <v>NR</v>
          </cell>
          <cell r="O10216" t="str">
            <v>NR</v>
          </cell>
        </row>
        <row r="10217">
          <cell r="E10217" t="str">
            <v>LSTU</v>
          </cell>
          <cell r="F10217" t="str">
            <v>LSTU-L</v>
          </cell>
          <cell r="G10217">
            <v>100</v>
          </cell>
          <cell r="H10217" t="str">
            <v>LSTU-L100</v>
          </cell>
          <cell r="K10217" t="str">
            <v>Davis,Charles</v>
          </cell>
          <cell r="N10217" t="str">
            <v>NR</v>
          </cell>
          <cell r="O10217" t="str">
            <v>NR</v>
          </cell>
        </row>
        <row r="10218">
          <cell r="E10218" t="str">
            <v>LSTU</v>
          </cell>
          <cell r="F10218" t="str">
            <v>LSTU-L</v>
          </cell>
          <cell r="G10218">
            <v>100</v>
          </cell>
          <cell r="H10218" t="str">
            <v>LSTU-L100</v>
          </cell>
          <cell r="K10218" t="str">
            <v>Davis,Charles</v>
          </cell>
          <cell r="N10218" t="str">
            <v>NR</v>
          </cell>
          <cell r="O10218" t="str">
            <v>NR</v>
          </cell>
        </row>
        <row r="10219">
          <cell r="E10219" t="str">
            <v>LSTU</v>
          </cell>
          <cell r="F10219" t="str">
            <v>LSTU-L</v>
          </cell>
          <cell r="G10219">
            <v>100</v>
          </cell>
          <cell r="H10219" t="str">
            <v>LSTU-L100</v>
          </cell>
          <cell r="K10219" t="str">
            <v>Davis,Charles</v>
          </cell>
          <cell r="N10219" t="str">
            <v>NR</v>
          </cell>
          <cell r="O10219" t="str">
            <v>NR</v>
          </cell>
        </row>
        <row r="10220">
          <cell r="E10220" t="str">
            <v>LSTU</v>
          </cell>
          <cell r="F10220" t="str">
            <v>LSTU-L</v>
          </cell>
          <cell r="G10220">
            <v>100</v>
          </cell>
          <cell r="H10220" t="str">
            <v>LSTU-L100</v>
          </cell>
          <cell r="K10220" t="str">
            <v>Davis,Charles</v>
          </cell>
          <cell r="N10220" t="str">
            <v>NR</v>
          </cell>
          <cell r="O10220" t="str">
            <v>NR</v>
          </cell>
        </row>
        <row r="10221">
          <cell r="E10221" t="str">
            <v>LSTU</v>
          </cell>
          <cell r="F10221" t="str">
            <v>LSTU-L</v>
          </cell>
          <cell r="G10221">
            <v>100</v>
          </cell>
          <cell r="H10221" t="str">
            <v>LSTU-L100</v>
          </cell>
          <cell r="K10221" t="str">
            <v>Davis,Charles</v>
          </cell>
          <cell r="N10221">
            <v>2.21</v>
          </cell>
          <cell r="O10221">
            <v>2.665</v>
          </cell>
        </row>
        <row r="10222">
          <cell r="E10222" t="str">
            <v>LSTU</v>
          </cell>
          <cell r="F10222" t="str">
            <v>LSTU-L</v>
          </cell>
          <cell r="G10222">
            <v>100</v>
          </cell>
          <cell r="H10222" t="str">
            <v>LSTU-L100</v>
          </cell>
          <cell r="K10222" t="str">
            <v>Hammer,Frank Henry</v>
          </cell>
          <cell r="N10222" t="str">
            <v>NR</v>
          </cell>
          <cell r="O10222" t="str">
            <v>NR</v>
          </cell>
        </row>
        <row r="10223">
          <cell r="E10223" t="str">
            <v>LSTU</v>
          </cell>
          <cell r="F10223" t="str">
            <v>LSTU-L</v>
          </cell>
          <cell r="G10223">
            <v>100</v>
          </cell>
          <cell r="H10223" t="str">
            <v>LSTU-L100</v>
          </cell>
          <cell r="K10223" t="str">
            <v>Hawking,C.J.</v>
          </cell>
          <cell r="N10223" t="str">
            <v>NR</v>
          </cell>
          <cell r="O10223" t="str">
            <v>NR</v>
          </cell>
        </row>
        <row r="10224">
          <cell r="E10224" t="str">
            <v>LSTU</v>
          </cell>
          <cell r="F10224" t="str">
            <v>LSTU-L</v>
          </cell>
          <cell r="G10224">
            <v>100</v>
          </cell>
          <cell r="H10224" t="str">
            <v>LSTU-L100</v>
          </cell>
          <cell r="K10224" t="str">
            <v>Hawking,C.J.</v>
          </cell>
          <cell r="N10224" t="str">
            <v>NR</v>
          </cell>
          <cell r="O10224" t="str">
            <v>NR</v>
          </cell>
        </row>
        <row r="10225">
          <cell r="E10225" t="str">
            <v>LSTU</v>
          </cell>
          <cell r="F10225" t="str">
            <v>LSTU-L</v>
          </cell>
          <cell r="G10225">
            <v>100</v>
          </cell>
          <cell r="H10225" t="str">
            <v>LSTU-L100</v>
          </cell>
          <cell r="K10225" t="str">
            <v>Hawking,C.J.</v>
          </cell>
          <cell r="N10225" t="str">
            <v>NR</v>
          </cell>
          <cell r="O10225" t="str">
            <v>NR</v>
          </cell>
        </row>
        <row r="10226">
          <cell r="E10226" t="str">
            <v>LSTU</v>
          </cell>
          <cell r="F10226" t="str">
            <v>LSTU-L</v>
          </cell>
          <cell r="G10226">
            <v>100</v>
          </cell>
          <cell r="H10226" t="str">
            <v>LSTU-L100</v>
          </cell>
          <cell r="K10226" t="str">
            <v>Hawking,C.J.</v>
          </cell>
          <cell r="N10226">
            <v>1.9650000000000001</v>
          </cell>
          <cell r="O10226">
            <v>2.5790000000000002</v>
          </cell>
        </row>
        <row r="10227">
          <cell r="E10227" t="str">
            <v>LSTU</v>
          </cell>
          <cell r="F10227" t="str">
            <v>LSTU-L</v>
          </cell>
          <cell r="G10227">
            <v>100</v>
          </cell>
          <cell r="H10227" t="str">
            <v>LSTU-L100</v>
          </cell>
          <cell r="K10227" t="str">
            <v>Siddiqui,Shariq Ahmed</v>
          </cell>
          <cell r="N10227" t="str">
            <v>NR</v>
          </cell>
          <cell r="O10227" t="str">
            <v>NR</v>
          </cell>
        </row>
        <row r="10228">
          <cell r="E10228" t="str">
            <v>LSTU</v>
          </cell>
          <cell r="F10228" t="str">
            <v>LSTU-L</v>
          </cell>
          <cell r="G10228">
            <v>100</v>
          </cell>
          <cell r="H10228" t="str">
            <v>LSTU-L100</v>
          </cell>
          <cell r="K10228" t="str">
            <v>Varga,Joseph J.</v>
          </cell>
          <cell r="N10228" t="str">
            <v>NR</v>
          </cell>
          <cell r="O10228" t="str">
            <v>NR</v>
          </cell>
        </row>
        <row r="10229">
          <cell r="E10229" t="str">
            <v>LSTU</v>
          </cell>
          <cell r="F10229" t="str">
            <v>LSTU-L</v>
          </cell>
          <cell r="G10229">
            <v>100</v>
          </cell>
          <cell r="H10229" t="str">
            <v>LSTU-L100</v>
          </cell>
          <cell r="K10229" t="str">
            <v>Varga,Joseph J.</v>
          </cell>
          <cell r="N10229" t="str">
            <v>NR</v>
          </cell>
          <cell r="O10229" t="str">
            <v>NR</v>
          </cell>
        </row>
        <row r="10230">
          <cell r="E10230" t="str">
            <v>LSTU</v>
          </cell>
          <cell r="F10230" t="str">
            <v>LSTU-L</v>
          </cell>
          <cell r="G10230">
            <v>101</v>
          </cell>
          <cell r="H10230" t="str">
            <v>LSTU-L101</v>
          </cell>
          <cell r="K10230" t="str">
            <v>Mishler,Paul C</v>
          </cell>
          <cell r="N10230" t="str">
            <v>NR</v>
          </cell>
          <cell r="O10230" t="str">
            <v>NR</v>
          </cell>
        </row>
        <row r="10231">
          <cell r="E10231" t="str">
            <v>LSTU</v>
          </cell>
          <cell r="F10231" t="str">
            <v>LSTU-L</v>
          </cell>
          <cell r="G10231">
            <v>101</v>
          </cell>
          <cell r="H10231" t="str">
            <v>LSTU-L101</v>
          </cell>
          <cell r="K10231" t="str">
            <v>Mishler,Paul C</v>
          </cell>
          <cell r="N10231" t="str">
            <v>NR</v>
          </cell>
          <cell r="O10231" t="str">
            <v>NR</v>
          </cell>
        </row>
        <row r="10232">
          <cell r="E10232" t="str">
            <v>LSTU</v>
          </cell>
          <cell r="F10232" t="str">
            <v>LSTU-L</v>
          </cell>
          <cell r="G10232">
            <v>101</v>
          </cell>
          <cell r="H10232" t="str">
            <v>LSTU-L101</v>
          </cell>
          <cell r="K10232" t="str">
            <v>Sovereign,Nancy Rae</v>
          </cell>
          <cell r="N10232" t="str">
            <v>NR</v>
          </cell>
          <cell r="O10232" t="str">
            <v>NR</v>
          </cell>
        </row>
        <row r="10233">
          <cell r="E10233" t="str">
            <v>LSTU</v>
          </cell>
          <cell r="F10233" t="str">
            <v>LSTU-L</v>
          </cell>
          <cell r="G10233">
            <v>101</v>
          </cell>
          <cell r="H10233" t="str">
            <v>LSTU-L101</v>
          </cell>
          <cell r="K10233" t="str">
            <v>Sovereign,Nancy Rae</v>
          </cell>
          <cell r="N10233" t="str">
            <v>NR</v>
          </cell>
          <cell r="O10233" t="str">
            <v>NR</v>
          </cell>
        </row>
        <row r="10234">
          <cell r="E10234" t="str">
            <v>LSTU</v>
          </cell>
          <cell r="F10234" t="str">
            <v>LSTU-L</v>
          </cell>
          <cell r="G10234">
            <v>101</v>
          </cell>
          <cell r="H10234" t="str">
            <v>LSTU-L101</v>
          </cell>
          <cell r="K10234" t="str">
            <v>Varga,Joseph J.</v>
          </cell>
          <cell r="N10234" t="str">
            <v>NR</v>
          </cell>
          <cell r="O10234" t="str">
            <v>NR</v>
          </cell>
        </row>
        <row r="10235">
          <cell r="E10235" t="str">
            <v>LSTU</v>
          </cell>
          <cell r="F10235" t="str">
            <v>LSTU-L</v>
          </cell>
          <cell r="G10235">
            <v>104</v>
          </cell>
          <cell r="H10235" t="str">
            <v>LSTU-L104</v>
          </cell>
          <cell r="K10235" t="str">
            <v>Cushman-Wood,Darren R</v>
          </cell>
          <cell r="N10235" t="str">
            <v>NR</v>
          </cell>
          <cell r="O10235" t="str">
            <v>NR</v>
          </cell>
        </row>
        <row r="10236">
          <cell r="E10236" t="str">
            <v>LSTU</v>
          </cell>
          <cell r="F10236" t="str">
            <v>LSTU-L</v>
          </cell>
          <cell r="G10236">
            <v>104</v>
          </cell>
          <cell r="H10236" t="str">
            <v>LSTU-L104</v>
          </cell>
          <cell r="K10236" t="str">
            <v>Cushman-Wood,Darren R</v>
          </cell>
          <cell r="N10236">
            <v>2.823</v>
          </cell>
          <cell r="O10236">
            <v>2.7389999999999999</v>
          </cell>
        </row>
        <row r="10237">
          <cell r="E10237" t="str">
            <v>LSTU</v>
          </cell>
          <cell r="F10237" t="str">
            <v>LSTU-L</v>
          </cell>
          <cell r="G10237">
            <v>104</v>
          </cell>
          <cell r="H10237" t="str">
            <v>LSTU-L104</v>
          </cell>
          <cell r="K10237" t="str">
            <v>Cushman-Wood,Darren R</v>
          </cell>
          <cell r="N10237" t="str">
            <v>NR</v>
          </cell>
          <cell r="O10237" t="str">
            <v>NR</v>
          </cell>
        </row>
        <row r="10238">
          <cell r="E10238" t="str">
            <v>LSTU</v>
          </cell>
          <cell r="F10238" t="str">
            <v>LSTU-L</v>
          </cell>
          <cell r="G10238">
            <v>104</v>
          </cell>
          <cell r="H10238" t="str">
            <v>LSTU-L104</v>
          </cell>
          <cell r="K10238" t="str">
            <v>Cushman-Wood,Darren R</v>
          </cell>
          <cell r="N10238" t="str">
            <v>NR</v>
          </cell>
          <cell r="O10238" t="str">
            <v>NR</v>
          </cell>
        </row>
        <row r="10239">
          <cell r="E10239" t="str">
            <v>LSTU</v>
          </cell>
          <cell r="F10239" t="str">
            <v>LSTU-L</v>
          </cell>
          <cell r="G10239">
            <v>104</v>
          </cell>
          <cell r="H10239" t="str">
            <v>LSTU-L104</v>
          </cell>
          <cell r="K10239" t="str">
            <v>Mello,William J.</v>
          </cell>
          <cell r="N10239">
            <v>3.1859999999999999</v>
          </cell>
          <cell r="O10239">
            <v>2.7610000000000001</v>
          </cell>
        </row>
        <row r="10240">
          <cell r="E10240" t="str">
            <v>LSTU</v>
          </cell>
          <cell r="F10240" t="str">
            <v>LSTU-L</v>
          </cell>
          <cell r="G10240">
            <v>104</v>
          </cell>
          <cell r="H10240" t="str">
            <v>LSTU-L104</v>
          </cell>
          <cell r="K10240" t="str">
            <v>Mishler,Paul C</v>
          </cell>
          <cell r="N10240" t="str">
            <v>NR</v>
          </cell>
          <cell r="O10240" t="str">
            <v>NR</v>
          </cell>
        </row>
        <row r="10241">
          <cell r="E10241" t="str">
            <v>LSTU</v>
          </cell>
          <cell r="F10241" t="str">
            <v>LSTU-L</v>
          </cell>
          <cell r="G10241">
            <v>104</v>
          </cell>
          <cell r="H10241" t="str">
            <v>LSTU-L104</v>
          </cell>
          <cell r="K10241" t="str">
            <v>Varga,Joseph J.</v>
          </cell>
          <cell r="N10241" t="str">
            <v>NR</v>
          </cell>
          <cell r="O10241" t="str">
            <v>NR</v>
          </cell>
        </row>
        <row r="10242">
          <cell r="E10242" t="str">
            <v>LSTU</v>
          </cell>
          <cell r="F10242" t="str">
            <v>LSTU-L</v>
          </cell>
          <cell r="G10242">
            <v>104</v>
          </cell>
          <cell r="H10242" t="str">
            <v>LSTU-L104</v>
          </cell>
          <cell r="K10242" t="str">
            <v>Varga,Joseph J.</v>
          </cell>
          <cell r="N10242" t="str">
            <v>NR</v>
          </cell>
          <cell r="O10242" t="str">
            <v>NR</v>
          </cell>
        </row>
        <row r="10243">
          <cell r="E10243" t="str">
            <v>LSTU</v>
          </cell>
          <cell r="F10243" t="str">
            <v>LSTU-L</v>
          </cell>
          <cell r="G10243">
            <v>110</v>
          </cell>
          <cell r="H10243" t="str">
            <v>LSTU-L110</v>
          </cell>
          <cell r="K10243" t="str">
            <v>Casey,Gerrie</v>
          </cell>
          <cell r="N10243" t="str">
            <v>NR</v>
          </cell>
          <cell r="O10243" t="str">
            <v>NR</v>
          </cell>
        </row>
        <row r="10244">
          <cell r="E10244" t="str">
            <v>LSTU</v>
          </cell>
          <cell r="F10244" t="str">
            <v>LSTU-L</v>
          </cell>
          <cell r="G10244">
            <v>110</v>
          </cell>
          <cell r="H10244" t="str">
            <v>LSTU-L110</v>
          </cell>
          <cell r="K10244" t="str">
            <v>Casey,Gerrie</v>
          </cell>
          <cell r="N10244" t="str">
            <v>NR</v>
          </cell>
          <cell r="O10244" t="str">
            <v>NR</v>
          </cell>
        </row>
        <row r="10245">
          <cell r="E10245" t="str">
            <v>LSTU</v>
          </cell>
          <cell r="F10245" t="str">
            <v>LSTU-L</v>
          </cell>
          <cell r="G10245">
            <v>110</v>
          </cell>
          <cell r="H10245" t="str">
            <v>LSTU-L110</v>
          </cell>
          <cell r="K10245" t="str">
            <v>Casey,Gerrie</v>
          </cell>
          <cell r="N10245" t="str">
            <v>NR</v>
          </cell>
          <cell r="O10245" t="str">
            <v>NR</v>
          </cell>
        </row>
        <row r="10246">
          <cell r="E10246" t="str">
            <v>LSTU</v>
          </cell>
          <cell r="F10246" t="str">
            <v>LSTU-L</v>
          </cell>
          <cell r="G10246">
            <v>110</v>
          </cell>
          <cell r="H10246" t="str">
            <v>LSTU-L110</v>
          </cell>
          <cell r="K10246" t="str">
            <v>Casey,Gerrie</v>
          </cell>
          <cell r="N10246" t="str">
            <v>NR</v>
          </cell>
          <cell r="O10246" t="str">
            <v>NR</v>
          </cell>
        </row>
        <row r="10247">
          <cell r="E10247" t="str">
            <v>LSTU</v>
          </cell>
          <cell r="F10247" t="str">
            <v>LSTU-L</v>
          </cell>
          <cell r="G10247">
            <v>110</v>
          </cell>
          <cell r="H10247" t="str">
            <v>LSTU-L110</v>
          </cell>
          <cell r="K10247" t="str">
            <v>Mulder,Catherine P</v>
          </cell>
          <cell r="N10247" t="str">
            <v>NR</v>
          </cell>
          <cell r="O10247" t="str">
            <v>NR</v>
          </cell>
        </row>
        <row r="10248">
          <cell r="E10248" t="str">
            <v>LSTU</v>
          </cell>
          <cell r="F10248" t="str">
            <v>LSTU-L</v>
          </cell>
          <cell r="G10248">
            <v>110</v>
          </cell>
          <cell r="H10248" t="str">
            <v>LSTU-L110</v>
          </cell>
          <cell r="K10248" t="str">
            <v>Mulder,Catherine P</v>
          </cell>
          <cell r="N10248">
            <v>2.0939999999999999</v>
          </cell>
          <cell r="O10248">
            <v>2.57</v>
          </cell>
        </row>
        <row r="10249">
          <cell r="E10249" t="str">
            <v>LSTU</v>
          </cell>
          <cell r="F10249" t="str">
            <v>LSTU-L</v>
          </cell>
          <cell r="G10249">
            <v>110</v>
          </cell>
          <cell r="H10249" t="str">
            <v>LSTU-L110</v>
          </cell>
          <cell r="K10249" t="str">
            <v>Mulder,Catherine P</v>
          </cell>
          <cell r="N10249" t="str">
            <v>NR</v>
          </cell>
          <cell r="O10249" t="str">
            <v>NR</v>
          </cell>
        </row>
        <row r="10250">
          <cell r="E10250" t="str">
            <v>LSTU</v>
          </cell>
          <cell r="F10250" t="str">
            <v>LSTU-L</v>
          </cell>
          <cell r="G10250">
            <v>110</v>
          </cell>
          <cell r="H10250" t="str">
            <v>LSTU-L110</v>
          </cell>
          <cell r="K10250" t="str">
            <v>Saute',Robert B</v>
          </cell>
          <cell r="N10250">
            <v>1.829</v>
          </cell>
          <cell r="O10250">
            <v>2.7349999999999999</v>
          </cell>
        </row>
        <row r="10251">
          <cell r="E10251" t="str">
            <v>LSTU</v>
          </cell>
          <cell r="F10251" t="str">
            <v>LSTU-L</v>
          </cell>
          <cell r="G10251">
            <v>110</v>
          </cell>
          <cell r="H10251" t="str">
            <v>LSTU-L110</v>
          </cell>
          <cell r="K10251" t="str">
            <v>Saute',Robert B</v>
          </cell>
          <cell r="N10251">
            <v>2.2410000000000001</v>
          </cell>
          <cell r="O10251">
            <v>2.5329999999999999</v>
          </cell>
        </row>
        <row r="10252">
          <cell r="E10252" t="str">
            <v>LSTU</v>
          </cell>
          <cell r="F10252" t="str">
            <v>LSTU-L</v>
          </cell>
          <cell r="G10252">
            <v>110</v>
          </cell>
          <cell r="H10252" t="str">
            <v>LSTU-L110</v>
          </cell>
          <cell r="K10252" t="str">
            <v>Saute',Robert B</v>
          </cell>
          <cell r="N10252">
            <v>1.427</v>
          </cell>
          <cell r="O10252">
            <v>2.3719999999999999</v>
          </cell>
        </row>
        <row r="10253">
          <cell r="E10253" t="str">
            <v>LSTU</v>
          </cell>
          <cell r="F10253" t="str">
            <v>LSTU-L</v>
          </cell>
          <cell r="G10253">
            <v>110</v>
          </cell>
          <cell r="H10253" t="str">
            <v>LSTU-L110</v>
          </cell>
          <cell r="K10253" t="str">
            <v>Siddiqui,Shariq Ahmed</v>
          </cell>
          <cell r="N10253">
            <v>2.7109999999999999</v>
          </cell>
          <cell r="O10253">
            <v>2.7290000000000001</v>
          </cell>
        </row>
        <row r="10254">
          <cell r="E10254" t="str">
            <v>LSTU</v>
          </cell>
          <cell r="F10254" t="str">
            <v>LSTU-L</v>
          </cell>
          <cell r="G10254">
            <v>110</v>
          </cell>
          <cell r="H10254" t="str">
            <v>LSTU-L110</v>
          </cell>
          <cell r="K10254" t="str">
            <v>Walker,Marquita R</v>
          </cell>
          <cell r="N10254" t="str">
            <v>NR</v>
          </cell>
          <cell r="O10254" t="str">
            <v>NR</v>
          </cell>
        </row>
        <row r="10255">
          <cell r="E10255" t="str">
            <v>LSTU</v>
          </cell>
          <cell r="F10255" t="str">
            <v>LSTU-L</v>
          </cell>
          <cell r="G10255">
            <v>110</v>
          </cell>
          <cell r="H10255" t="str">
            <v>LSTU-L110</v>
          </cell>
          <cell r="K10255" t="str">
            <v>Walker,Marquita R</v>
          </cell>
          <cell r="N10255" t="str">
            <v>NR</v>
          </cell>
          <cell r="O10255" t="str">
            <v>NR</v>
          </cell>
        </row>
        <row r="10256">
          <cell r="E10256" t="str">
            <v>LSTU</v>
          </cell>
          <cell r="F10256" t="str">
            <v>LSTU-L</v>
          </cell>
          <cell r="G10256">
            <v>200</v>
          </cell>
          <cell r="H10256" t="str">
            <v>LSTU-L200</v>
          </cell>
          <cell r="K10256" t="str">
            <v>Helmond,Tyler Daniel</v>
          </cell>
          <cell r="N10256" t="str">
            <v>NR</v>
          </cell>
          <cell r="O10256" t="str">
            <v>NR</v>
          </cell>
        </row>
        <row r="10257">
          <cell r="E10257" t="str">
            <v>LSTU</v>
          </cell>
          <cell r="F10257" t="str">
            <v>LSTU-L</v>
          </cell>
          <cell r="G10257">
            <v>200</v>
          </cell>
          <cell r="H10257" t="str">
            <v>LSTU-L200</v>
          </cell>
          <cell r="K10257" t="str">
            <v>Helmond,Tyler Daniel</v>
          </cell>
          <cell r="N10257" t="str">
            <v>NR</v>
          </cell>
          <cell r="O10257" t="str">
            <v>NR</v>
          </cell>
        </row>
        <row r="10258">
          <cell r="E10258" t="str">
            <v>LSTU</v>
          </cell>
          <cell r="F10258" t="str">
            <v>LSTU-L</v>
          </cell>
          <cell r="G10258">
            <v>201</v>
          </cell>
          <cell r="H10258" t="str">
            <v>LSTU-L201</v>
          </cell>
          <cell r="K10258" t="str">
            <v>Mello,William J.</v>
          </cell>
          <cell r="N10258" t="str">
            <v>NR</v>
          </cell>
          <cell r="O10258" t="str">
            <v>NR</v>
          </cell>
        </row>
        <row r="10259">
          <cell r="E10259" t="str">
            <v>LSTU</v>
          </cell>
          <cell r="F10259" t="str">
            <v>LSTU-L</v>
          </cell>
          <cell r="G10259">
            <v>201</v>
          </cell>
          <cell r="H10259" t="str">
            <v>LSTU-L201</v>
          </cell>
          <cell r="K10259" t="str">
            <v>Mello,William J.</v>
          </cell>
          <cell r="N10259" t="str">
            <v>NR</v>
          </cell>
          <cell r="O10259" t="str">
            <v>NR</v>
          </cell>
        </row>
        <row r="10260">
          <cell r="E10260" t="str">
            <v>LSTU</v>
          </cell>
          <cell r="F10260" t="str">
            <v>LSTU-L</v>
          </cell>
          <cell r="G10260">
            <v>203</v>
          </cell>
          <cell r="H10260" t="str">
            <v>LSTU-L203</v>
          </cell>
          <cell r="K10260" t="str">
            <v>Mello,William J.</v>
          </cell>
          <cell r="N10260" t="str">
            <v>NR</v>
          </cell>
          <cell r="O10260" t="str">
            <v>NR</v>
          </cell>
        </row>
        <row r="10261">
          <cell r="E10261" t="str">
            <v>LSTU</v>
          </cell>
          <cell r="F10261" t="str">
            <v>LSTU-L</v>
          </cell>
          <cell r="G10261">
            <v>203</v>
          </cell>
          <cell r="H10261" t="str">
            <v>LSTU-L203</v>
          </cell>
          <cell r="K10261" t="str">
            <v>Mello,William J.</v>
          </cell>
          <cell r="N10261" t="str">
            <v>NR</v>
          </cell>
          <cell r="O10261" t="str">
            <v>NR</v>
          </cell>
        </row>
        <row r="10262">
          <cell r="E10262" t="str">
            <v>LSTU</v>
          </cell>
          <cell r="F10262" t="str">
            <v>LSTU-L</v>
          </cell>
          <cell r="G10262">
            <v>205</v>
          </cell>
          <cell r="H10262" t="str">
            <v>LSTU-L205</v>
          </cell>
          <cell r="K10262" t="str">
            <v>Mello,William J.</v>
          </cell>
          <cell r="N10262" t="str">
            <v>NR</v>
          </cell>
          <cell r="O10262" t="str">
            <v>NR</v>
          </cell>
        </row>
        <row r="10263">
          <cell r="E10263" t="str">
            <v>LSTU</v>
          </cell>
          <cell r="F10263" t="str">
            <v>LSTU-L</v>
          </cell>
          <cell r="G10263">
            <v>205</v>
          </cell>
          <cell r="H10263" t="str">
            <v>LSTU-L205</v>
          </cell>
          <cell r="K10263" t="str">
            <v>Mello,William J.</v>
          </cell>
          <cell r="N10263" t="str">
            <v>NR</v>
          </cell>
          <cell r="O10263" t="str">
            <v>NR</v>
          </cell>
        </row>
        <row r="10264">
          <cell r="E10264" t="str">
            <v>LSTU</v>
          </cell>
          <cell r="F10264" t="str">
            <v>LSTU-L</v>
          </cell>
          <cell r="G10264">
            <v>205</v>
          </cell>
          <cell r="H10264" t="str">
            <v>LSTU-L205</v>
          </cell>
          <cell r="K10264" t="str">
            <v>Mello,William J.</v>
          </cell>
          <cell r="N10264" t="str">
            <v>NR</v>
          </cell>
          <cell r="O10264" t="str">
            <v>NR</v>
          </cell>
        </row>
        <row r="10265">
          <cell r="E10265" t="str">
            <v>LSTU</v>
          </cell>
          <cell r="F10265" t="str">
            <v>LSTU-L</v>
          </cell>
          <cell r="G10265">
            <v>205</v>
          </cell>
          <cell r="H10265" t="str">
            <v>LSTU-L205</v>
          </cell>
          <cell r="K10265" t="str">
            <v>Takahashi,Beverly</v>
          </cell>
          <cell r="N10265" t="str">
            <v>NR</v>
          </cell>
          <cell r="O10265" t="str">
            <v>NR</v>
          </cell>
        </row>
        <row r="10266">
          <cell r="E10266" t="str">
            <v>LSTU</v>
          </cell>
          <cell r="F10266" t="str">
            <v>LSTU-L</v>
          </cell>
          <cell r="G10266">
            <v>205</v>
          </cell>
          <cell r="H10266" t="str">
            <v>LSTU-L205</v>
          </cell>
          <cell r="K10266" t="str">
            <v>Takahashi,Beverly</v>
          </cell>
          <cell r="N10266" t="str">
            <v>NR</v>
          </cell>
          <cell r="O10266" t="str">
            <v>NR</v>
          </cell>
        </row>
        <row r="10267">
          <cell r="E10267" t="str">
            <v>LSTU</v>
          </cell>
          <cell r="F10267" t="str">
            <v>LSTU-L</v>
          </cell>
          <cell r="G10267">
            <v>205</v>
          </cell>
          <cell r="H10267" t="str">
            <v>LSTU-L205</v>
          </cell>
          <cell r="K10267" t="str">
            <v>Takahashi,Beverly</v>
          </cell>
          <cell r="N10267" t="str">
            <v>NR</v>
          </cell>
          <cell r="O10267" t="str">
            <v>NR</v>
          </cell>
        </row>
        <row r="10268">
          <cell r="E10268" t="str">
            <v>LSTU</v>
          </cell>
          <cell r="F10268" t="str">
            <v>LSTU-L</v>
          </cell>
          <cell r="G10268">
            <v>205</v>
          </cell>
          <cell r="H10268" t="str">
            <v>LSTU-L205</v>
          </cell>
          <cell r="K10268" t="str">
            <v>Takahashi,Beverly</v>
          </cell>
          <cell r="N10268">
            <v>2.4049999999999998</v>
          </cell>
          <cell r="O10268">
            <v>2.4790000000000001</v>
          </cell>
        </row>
        <row r="10269">
          <cell r="E10269" t="str">
            <v>LSTU</v>
          </cell>
          <cell r="F10269" t="str">
            <v>LSTU-L</v>
          </cell>
          <cell r="G10269">
            <v>205</v>
          </cell>
          <cell r="H10269" t="str">
            <v>LSTU-L205</v>
          </cell>
          <cell r="K10269" t="str">
            <v>Varga,Joseph J.</v>
          </cell>
          <cell r="N10269">
            <v>2.2669999999999999</v>
          </cell>
          <cell r="O10269">
            <v>2.7370000000000001</v>
          </cell>
        </row>
        <row r="10270">
          <cell r="E10270" t="str">
            <v>LSTU</v>
          </cell>
          <cell r="F10270" t="str">
            <v>LSTU-L</v>
          </cell>
          <cell r="G10270">
            <v>210</v>
          </cell>
          <cell r="H10270" t="str">
            <v>LSTU-L210</v>
          </cell>
          <cell r="K10270" t="str">
            <v>Iverson,Marion V.</v>
          </cell>
          <cell r="N10270" t="str">
            <v>NR</v>
          </cell>
          <cell r="O10270" t="str">
            <v>NR</v>
          </cell>
        </row>
        <row r="10271">
          <cell r="E10271" t="str">
            <v>LSTU</v>
          </cell>
          <cell r="F10271" t="str">
            <v>LSTU-L</v>
          </cell>
          <cell r="G10271">
            <v>210</v>
          </cell>
          <cell r="H10271" t="str">
            <v>LSTU-L210</v>
          </cell>
          <cell r="K10271" t="str">
            <v>Sovereign,Nancy Rae</v>
          </cell>
          <cell r="N10271" t="str">
            <v>NR</v>
          </cell>
          <cell r="O10271" t="str">
            <v>NR</v>
          </cell>
        </row>
        <row r="10272">
          <cell r="E10272" t="str">
            <v>LSTU</v>
          </cell>
          <cell r="F10272" t="str">
            <v>LSTU-L</v>
          </cell>
          <cell r="G10272">
            <v>210</v>
          </cell>
          <cell r="H10272" t="str">
            <v>LSTU-L210</v>
          </cell>
          <cell r="K10272" t="str">
            <v>Sovereign,Nancy Rae</v>
          </cell>
          <cell r="N10272" t="str">
            <v>NR</v>
          </cell>
          <cell r="O10272" t="str">
            <v>NR</v>
          </cell>
        </row>
        <row r="10273">
          <cell r="E10273" t="str">
            <v>LSTU</v>
          </cell>
          <cell r="F10273" t="str">
            <v>LSTU-L</v>
          </cell>
          <cell r="G10273">
            <v>220</v>
          </cell>
          <cell r="H10273" t="str">
            <v>LSTU-L220</v>
          </cell>
          <cell r="K10273" t="str">
            <v>Conwell,Wayne A</v>
          </cell>
          <cell r="N10273" t="str">
            <v>NR</v>
          </cell>
          <cell r="O10273" t="str">
            <v>NR</v>
          </cell>
        </row>
        <row r="10274">
          <cell r="E10274" t="str">
            <v>LSTU</v>
          </cell>
          <cell r="F10274" t="str">
            <v>LSTU-L</v>
          </cell>
          <cell r="G10274">
            <v>230</v>
          </cell>
          <cell r="H10274" t="str">
            <v>LSTU-L230</v>
          </cell>
          <cell r="K10274" t="str">
            <v>Duggan,Lynn S.</v>
          </cell>
          <cell r="N10274">
            <v>2.6850000000000001</v>
          </cell>
          <cell r="O10274">
            <v>3.22</v>
          </cell>
        </row>
        <row r="10275">
          <cell r="E10275" t="str">
            <v>LSTU</v>
          </cell>
          <cell r="F10275" t="str">
            <v>LSTU-L</v>
          </cell>
          <cell r="G10275">
            <v>230</v>
          </cell>
          <cell r="H10275" t="str">
            <v>LSTU-L230</v>
          </cell>
          <cell r="K10275" t="str">
            <v>Duggan,Lynn S.</v>
          </cell>
          <cell r="N10275" t="str">
            <v>NR</v>
          </cell>
          <cell r="O10275" t="str">
            <v>NR</v>
          </cell>
        </row>
        <row r="10276">
          <cell r="E10276" t="str">
            <v>LSTU</v>
          </cell>
          <cell r="F10276" t="str">
            <v>LSTU-L</v>
          </cell>
          <cell r="G10276">
            <v>231</v>
          </cell>
          <cell r="H10276" t="str">
            <v>LSTU-L231</v>
          </cell>
          <cell r="K10276" t="str">
            <v>Walker,Marquita R</v>
          </cell>
          <cell r="N10276" t="str">
            <v>NR</v>
          </cell>
          <cell r="O10276" t="str">
            <v>NR</v>
          </cell>
        </row>
        <row r="10277">
          <cell r="E10277" t="str">
            <v>LSTU</v>
          </cell>
          <cell r="F10277" t="str">
            <v>LSTU-L</v>
          </cell>
          <cell r="G10277">
            <v>240</v>
          </cell>
          <cell r="H10277" t="str">
            <v>LSTU-L240</v>
          </cell>
          <cell r="K10277" t="str">
            <v>Sebelski Sr,Ronald Andrew</v>
          </cell>
          <cell r="N10277" t="str">
            <v>NR</v>
          </cell>
          <cell r="O10277" t="str">
            <v>NR</v>
          </cell>
        </row>
        <row r="10278">
          <cell r="E10278" t="str">
            <v>LSTU</v>
          </cell>
          <cell r="F10278" t="str">
            <v>LSTU-L</v>
          </cell>
          <cell r="G10278">
            <v>290</v>
          </cell>
          <cell r="H10278" t="str">
            <v>LSTU-L290</v>
          </cell>
          <cell r="K10278" t="str">
            <v>Casey,Gerrie</v>
          </cell>
          <cell r="N10278" t="str">
            <v>NR</v>
          </cell>
          <cell r="O10278" t="str">
            <v>NR</v>
          </cell>
        </row>
        <row r="10279">
          <cell r="E10279" t="str">
            <v>LSTU</v>
          </cell>
          <cell r="F10279" t="str">
            <v>LSTU-L</v>
          </cell>
          <cell r="G10279">
            <v>290</v>
          </cell>
          <cell r="H10279" t="str">
            <v>LSTU-L290</v>
          </cell>
          <cell r="K10279" t="str">
            <v>Doran,Christopher R</v>
          </cell>
          <cell r="N10279" t="str">
            <v>NR</v>
          </cell>
          <cell r="O10279" t="str">
            <v>NR</v>
          </cell>
        </row>
        <row r="10280">
          <cell r="E10280" t="str">
            <v>LSTU</v>
          </cell>
          <cell r="F10280" t="str">
            <v>LSTU-L</v>
          </cell>
          <cell r="G10280">
            <v>290</v>
          </cell>
          <cell r="H10280" t="str">
            <v>LSTU-L290</v>
          </cell>
          <cell r="K10280" t="str">
            <v>Doran,Christopher R</v>
          </cell>
          <cell r="N10280" t="str">
            <v>NR</v>
          </cell>
          <cell r="O10280" t="str">
            <v>NR</v>
          </cell>
        </row>
        <row r="10281">
          <cell r="E10281" t="str">
            <v>LSTU</v>
          </cell>
          <cell r="F10281" t="str">
            <v>LSTU-L</v>
          </cell>
          <cell r="G10281">
            <v>290</v>
          </cell>
          <cell r="H10281" t="str">
            <v>LSTU-L290</v>
          </cell>
          <cell r="K10281" t="str">
            <v>Doran,Christopher R</v>
          </cell>
          <cell r="N10281">
            <v>3.5070000000000001</v>
          </cell>
          <cell r="O10281">
            <v>3.5049999999999999</v>
          </cell>
        </row>
        <row r="10282">
          <cell r="E10282" t="str">
            <v>LSTU</v>
          </cell>
          <cell r="F10282" t="str">
            <v>LSTU-L</v>
          </cell>
          <cell r="G10282">
            <v>290</v>
          </cell>
          <cell r="H10282" t="str">
            <v>LSTU-L290</v>
          </cell>
          <cell r="K10282" t="str">
            <v>Queiro-Tajalli,Irene R.</v>
          </cell>
          <cell r="N10282">
            <v>2.8140000000000001</v>
          </cell>
          <cell r="O10282">
            <v>2.839</v>
          </cell>
        </row>
        <row r="10283">
          <cell r="E10283" t="str">
            <v>LSTU</v>
          </cell>
          <cell r="F10283" t="str">
            <v>LSTU-L</v>
          </cell>
          <cell r="G10283">
            <v>290</v>
          </cell>
          <cell r="H10283" t="str">
            <v>LSTU-L290</v>
          </cell>
          <cell r="K10283" t="str">
            <v>Sovereign,Nancy Rae</v>
          </cell>
          <cell r="N10283" t="str">
            <v>NR</v>
          </cell>
          <cell r="O10283" t="str">
            <v>NR</v>
          </cell>
        </row>
        <row r="10284">
          <cell r="E10284" t="str">
            <v>LSTU</v>
          </cell>
          <cell r="F10284" t="str">
            <v>LSTU-L</v>
          </cell>
          <cell r="G10284">
            <v>290</v>
          </cell>
          <cell r="H10284" t="str">
            <v>LSTU-L290</v>
          </cell>
          <cell r="K10284" t="str">
            <v>Sovereign,Nancy Rae</v>
          </cell>
          <cell r="N10284" t="str">
            <v>NR</v>
          </cell>
          <cell r="O10284" t="str">
            <v>NR</v>
          </cell>
        </row>
        <row r="10285">
          <cell r="E10285" t="str">
            <v>LSTU</v>
          </cell>
          <cell r="F10285" t="str">
            <v>LSTU-L</v>
          </cell>
          <cell r="G10285">
            <v>290</v>
          </cell>
          <cell r="H10285" t="str">
            <v>LSTU-L290</v>
          </cell>
          <cell r="K10285" t="str">
            <v>Sovereign,Nancy Rae</v>
          </cell>
          <cell r="N10285" t="str">
            <v>NR</v>
          </cell>
          <cell r="O10285" t="str">
            <v>NR</v>
          </cell>
        </row>
        <row r="10286">
          <cell r="E10286" t="str">
            <v>LSTU</v>
          </cell>
          <cell r="F10286" t="str">
            <v>LSTU-L</v>
          </cell>
          <cell r="G10286">
            <v>290</v>
          </cell>
          <cell r="H10286" t="str">
            <v>LSTU-L290</v>
          </cell>
          <cell r="K10286" t="str">
            <v>Sovereign,Nancy Rae</v>
          </cell>
          <cell r="N10286" t="str">
            <v>NR</v>
          </cell>
          <cell r="O10286" t="str">
            <v>NR</v>
          </cell>
        </row>
        <row r="10287">
          <cell r="E10287" t="str">
            <v>LSTU</v>
          </cell>
          <cell r="F10287" t="str">
            <v>LSTU-L</v>
          </cell>
          <cell r="G10287">
            <v>290</v>
          </cell>
          <cell r="H10287" t="str">
            <v>LSTU-L290</v>
          </cell>
          <cell r="K10287" t="str">
            <v>Sovereign,Nancy Rae</v>
          </cell>
          <cell r="N10287" t="str">
            <v>NR</v>
          </cell>
          <cell r="O10287" t="str">
            <v>NR</v>
          </cell>
        </row>
        <row r="10288">
          <cell r="E10288" t="str">
            <v>LSTU</v>
          </cell>
          <cell r="F10288" t="str">
            <v>LSTU-L</v>
          </cell>
          <cell r="G10288">
            <v>290</v>
          </cell>
          <cell r="H10288" t="str">
            <v>LSTU-L290</v>
          </cell>
          <cell r="K10288" t="str">
            <v>Sovereign,Nancy Rae</v>
          </cell>
          <cell r="N10288" t="str">
            <v>NR</v>
          </cell>
          <cell r="O10288" t="str">
            <v>NR</v>
          </cell>
        </row>
        <row r="10289">
          <cell r="E10289" t="str">
            <v>LSTU</v>
          </cell>
          <cell r="F10289" t="str">
            <v>LSTU-L</v>
          </cell>
          <cell r="G10289">
            <v>290</v>
          </cell>
          <cell r="H10289" t="str">
            <v>LSTU-L290</v>
          </cell>
          <cell r="K10289" t="str">
            <v>Yaudes,Cynthia Gwynne</v>
          </cell>
          <cell r="N10289" t="str">
            <v>NR</v>
          </cell>
          <cell r="O10289" t="str">
            <v>NR</v>
          </cell>
        </row>
        <row r="10290">
          <cell r="E10290" t="str">
            <v>LSTU</v>
          </cell>
          <cell r="F10290" t="str">
            <v>LSTU-L</v>
          </cell>
          <cell r="G10290">
            <v>314</v>
          </cell>
          <cell r="H10290" t="str">
            <v>LSTU-L314</v>
          </cell>
          <cell r="K10290" t="str">
            <v>Walker,Marquita R</v>
          </cell>
          <cell r="N10290">
            <v>2.5710000000000002</v>
          </cell>
          <cell r="O10290">
            <v>2.883</v>
          </cell>
        </row>
        <row r="10291">
          <cell r="E10291" t="str">
            <v>LSTU</v>
          </cell>
          <cell r="F10291" t="str">
            <v>LSTU-L</v>
          </cell>
          <cell r="G10291">
            <v>314</v>
          </cell>
          <cell r="H10291" t="str">
            <v>LSTU-L314</v>
          </cell>
          <cell r="K10291" t="str">
            <v>Walker,Marquita R</v>
          </cell>
          <cell r="N10291" t="str">
            <v>NR</v>
          </cell>
          <cell r="O10291" t="str">
            <v>NR</v>
          </cell>
        </row>
        <row r="10292">
          <cell r="E10292" t="str">
            <v>LSTU</v>
          </cell>
          <cell r="F10292" t="str">
            <v>LSTU-L</v>
          </cell>
          <cell r="G10292">
            <v>315</v>
          </cell>
          <cell r="H10292" t="str">
            <v>LSTU-L315</v>
          </cell>
          <cell r="K10292" t="str">
            <v>Koso,Gregor Allyn</v>
          </cell>
          <cell r="N10292" t="str">
            <v>NR</v>
          </cell>
          <cell r="O10292" t="str">
            <v>NR</v>
          </cell>
        </row>
        <row r="10293">
          <cell r="E10293" t="str">
            <v>LSTU</v>
          </cell>
          <cell r="F10293" t="str">
            <v>LSTU-L</v>
          </cell>
          <cell r="G10293">
            <v>315</v>
          </cell>
          <cell r="H10293" t="str">
            <v>LSTU-L315</v>
          </cell>
          <cell r="K10293" t="str">
            <v>Koso,Gregor Allyn</v>
          </cell>
          <cell r="N10293" t="str">
            <v>NR</v>
          </cell>
          <cell r="O10293" t="str">
            <v>NR</v>
          </cell>
        </row>
        <row r="10294">
          <cell r="E10294" t="str">
            <v>LSTU</v>
          </cell>
          <cell r="F10294" t="str">
            <v>LSTU-L</v>
          </cell>
          <cell r="G10294">
            <v>315</v>
          </cell>
          <cell r="H10294" t="str">
            <v>LSTU-L315</v>
          </cell>
          <cell r="N10294" t="str">
            <v>NR</v>
          </cell>
          <cell r="O10294" t="str">
            <v>NR</v>
          </cell>
        </row>
        <row r="10295">
          <cell r="E10295" t="str">
            <v>LSTU</v>
          </cell>
          <cell r="F10295" t="str">
            <v>LSTU-L</v>
          </cell>
          <cell r="G10295">
            <v>320</v>
          </cell>
          <cell r="H10295" t="str">
            <v>LSTU-L320</v>
          </cell>
          <cell r="K10295" t="str">
            <v>Davis,Charles</v>
          </cell>
          <cell r="N10295" t="str">
            <v>NR</v>
          </cell>
          <cell r="O10295" t="str">
            <v>NR</v>
          </cell>
        </row>
        <row r="10296">
          <cell r="E10296" t="str">
            <v>LSTU</v>
          </cell>
          <cell r="F10296" t="str">
            <v>LSTU-L</v>
          </cell>
          <cell r="G10296">
            <v>330</v>
          </cell>
          <cell r="H10296" t="str">
            <v>LSTU-L330</v>
          </cell>
          <cell r="K10296" t="str">
            <v>Duggan,Lynn S.</v>
          </cell>
          <cell r="N10296" t="str">
            <v>NR</v>
          </cell>
          <cell r="O10296" t="str">
            <v>NR</v>
          </cell>
        </row>
        <row r="10297">
          <cell r="E10297" t="str">
            <v>LSTU</v>
          </cell>
          <cell r="F10297" t="str">
            <v>LSTU-L</v>
          </cell>
          <cell r="G10297">
            <v>331</v>
          </cell>
          <cell r="H10297" t="str">
            <v>LSTU-L331</v>
          </cell>
          <cell r="K10297" t="str">
            <v>Varga,Joseph J.</v>
          </cell>
          <cell r="N10297" t="str">
            <v>NR</v>
          </cell>
          <cell r="O10297" t="str">
            <v>NR</v>
          </cell>
        </row>
        <row r="10298">
          <cell r="E10298" t="str">
            <v>LSTU</v>
          </cell>
          <cell r="F10298" t="str">
            <v>LSTU-L</v>
          </cell>
          <cell r="G10298">
            <v>350</v>
          </cell>
          <cell r="H10298" t="str">
            <v>LSTU-L350</v>
          </cell>
          <cell r="K10298" t="str">
            <v>Siddiqui,Shariq Ahmed</v>
          </cell>
          <cell r="N10298" t="str">
            <v>NR</v>
          </cell>
          <cell r="O10298" t="str">
            <v>NR</v>
          </cell>
        </row>
        <row r="10299">
          <cell r="E10299" t="str">
            <v>LSTU</v>
          </cell>
          <cell r="F10299" t="str">
            <v>LSTU-L</v>
          </cell>
          <cell r="G10299">
            <v>380</v>
          </cell>
          <cell r="H10299" t="str">
            <v>LSTU-L380</v>
          </cell>
          <cell r="K10299" t="str">
            <v>Davis,Charles</v>
          </cell>
          <cell r="N10299" t="str">
            <v>NR</v>
          </cell>
          <cell r="O10299" t="str">
            <v>NR</v>
          </cell>
        </row>
        <row r="10300">
          <cell r="E10300" t="str">
            <v>LSTU</v>
          </cell>
          <cell r="F10300" t="str">
            <v>LSTU-L</v>
          </cell>
          <cell r="G10300">
            <v>385</v>
          </cell>
          <cell r="H10300" t="str">
            <v>LSTU-L385</v>
          </cell>
          <cell r="K10300" t="str">
            <v>Duggan,Lynn S.</v>
          </cell>
          <cell r="N10300" t="str">
            <v>NR</v>
          </cell>
          <cell r="O10300" t="str">
            <v>NR</v>
          </cell>
        </row>
        <row r="10301">
          <cell r="E10301" t="str">
            <v>LSTU</v>
          </cell>
          <cell r="F10301" t="str">
            <v>LSTU-L</v>
          </cell>
          <cell r="G10301">
            <v>385</v>
          </cell>
          <cell r="H10301" t="str">
            <v>LSTU-L385</v>
          </cell>
          <cell r="K10301" t="str">
            <v>Iverson,Marion V.</v>
          </cell>
          <cell r="N10301" t="str">
            <v>NR</v>
          </cell>
          <cell r="O10301" t="str">
            <v>NR</v>
          </cell>
        </row>
        <row r="10302">
          <cell r="E10302" t="str">
            <v>LSTU</v>
          </cell>
          <cell r="F10302" t="str">
            <v>LSTU-L</v>
          </cell>
          <cell r="G10302">
            <v>385</v>
          </cell>
          <cell r="H10302" t="str">
            <v>LSTU-L385</v>
          </cell>
          <cell r="K10302" t="str">
            <v>Iverson,Marion V.</v>
          </cell>
          <cell r="N10302" t="str">
            <v>NR</v>
          </cell>
          <cell r="O10302" t="str">
            <v>NR</v>
          </cell>
        </row>
        <row r="10303">
          <cell r="E10303" t="str">
            <v>LSTU</v>
          </cell>
          <cell r="F10303" t="str">
            <v>LSTU-L</v>
          </cell>
          <cell r="G10303">
            <v>385</v>
          </cell>
          <cell r="H10303" t="str">
            <v>LSTU-L385</v>
          </cell>
          <cell r="K10303" t="str">
            <v>Takahashi,Beverly</v>
          </cell>
          <cell r="N10303" t="str">
            <v>NR</v>
          </cell>
          <cell r="O10303" t="str">
            <v>NR</v>
          </cell>
        </row>
        <row r="10304">
          <cell r="E10304" t="str">
            <v>LSTU</v>
          </cell>
          <cell r="F10304" t="str">
            <v>LSTU-L</v>
          </cell>
          <cell r="G10304">
            <v>390</v>
          </cell>
          <cell r="H10304" t="str">
            <v>LSTU-L390</v>
          </cell>
          <cell r="K10304" t="str">
            <v>Chary,Lin Kaatz</v>
          </cell>
          <cell r="N10304" t="str">
            <v>NR</v>
          </cell>
          <cell r="O10304" t="str">
            <v>NR</v>
          </cell>
        </row>
        <row r="10305">
          <cell r="E10305" t="str">
            <v>LSTU</v>
          </cell>
          <cell r="F10305" t="str">
            <v>LSTU-L</v>
          </cell>
          <cell r="G10305">
            <v>390</v>
          </cell>
          <cell r="H10305" t="str">
            <v>LSTU-L390</v>
          </cell>
          <cell r="K10305" t="str">
            <v>Chary,Lin Kaatz</v>
          </cell>
          <cell r="N10305" t="str">
            <v>NR</v>
          </cell>
          <cell r="O10305" t="str">
            <v>NR</v>
          </cell>
        </row>
        <row r="10306">
          <cell r="E10306" t="str">
            <v>LSTU</v>
          </cell>
          <cell r="F10306" t="str">
            <v>LSTU-L</v>
          </cell>
          <cell r="G10306">
            <v>390</v>
          </cell>
          <cell r="H10306" t="str">
            <v>LSTU-L390</v>
          </cell>
          <cell r="K10306" t="str">
            <v>Duggan,Lynn S.</v>
          </cell>
          <cell r="N10306" t="str">
            <v>NR</v>
          </cell>
          <cell r="O10306" t="str">
            <v>NR</v>
          </cell>
        </row>
        <row r="10307">
          <cell r="E10307" t="str">
            <v>LSTU</v>
          </cell>
          <cell r="F10307" t="str">
            <v>LSTU-L</v>
          </cell>
          <cell r="G10307">
            <v>390</v>
          </cell>
          <cell r="H10307" t="str">
            <v>LSTU-L390</v>
          </cell>
          <cell r="K10307" t="str">
            <v>Iverson,Marion V.</v>
          </cell>
          <cell r="N10307" t="str">
            <v>NR</v>
          </cell>
          <cell r="O10307" t="str">
            <v>NR</v>
          </cell>
        </row>
        <row r="10308">
          <cell r="E10308" t="str">
            <v>LSTU</v>
          </cell>
          <cell r="F10308" t="str">
            <v>LSTU-L</v>
          </cell>
          <cell r="G10308">
            <v>390</v>
          </cell>
          <cell r="H10308" t="str">
            <v>LSTU-L390</v>
          </cell>
          <cell r="K10308" t="str">
            <v>Korytova,Stepanka</v>
          </cell>
          <cell r="N10308">
            <v>3.375</v>
          </cell>
          <cell r="O10308">
            <v>2.9359999999999999</v>
          </cell>
        </row>
        <row r="10309">
          <cell r="E10309" t="str">
            <v>LSTU</v>
          </cell>
          <cell r="F10309" t="str">
            <v>LSTU-L</v>
          </cell>
          <cell r="G10309">
            <v>390</v>
          </cell>
          <cell r="H10309" t="str">
            <v>LSTU-L390</v>
          </cell>
          <cell r="K10309" t="str">
            <v>Yaudes,Cynthia Gwynne</v>
          </cell>
          <cell r="N10309" t="str">
            <v>NR</v>
          </cell>
          <cell r="O10309" t="str">
            <v>NR</v>
          </cell>
        </row>
        <row r="10310">
          <cell r="E10310" t="str">
            <v>LSTU</v>
          </cell>
          <cell r="F10310" t="str">
            <v>LSTU-L</v>
          </cell>
          <cell r="G10310">
            <v>390</v>
          </cell>
          <cell r="H10310" t="str">
            <v>LSTU-L390</v>
          </cell>
          <cell r="K10310" t="str">
            <v>Zanoni,Joseph P</v>
          </cell>
          <cell r="N10310" t="str">
            <v>NR</v>
          </cell>
          <cell r="O10310" t="str">
            <v>NR</v>
          </cell>
        </row>
        <row r="10311">
          <cell r="E10311" t="str">
            <v>LSTU</v>
          </cell>
          <cell r="F10311" t="str">
            <v>LSTU-L</v>
          </cell>
          <cell r="G10311">
            <v>490</v>
          </cell>
          <cell r="H10311" t="str">
            <v>LSTU-L490</v>
          </cell>
          <cell r="K10311" t="str">
            <v>Conwell,Wayne A</v>
          </cell>
          <cell r="N10311" t="str">
            <v>NR</v>
          </cell>
          <cell r="O10311" t="str">
            <v>NR</v>
          </cell>
        </row>
        <row r="10312">
          <cell r="E10312" t="str">
            <v>LSTU</v>
          </cell>
          <cell r="F10312" t="str">
            <v>LSTU-L</v>
          </cell>
          <cell r="G10312">
            <v>495</v>
          </cell>
          <cell r="H10312" t="str">
            <v>LSTU-L495</v>
          </cell>
          <cell r="K10312" t="str">
            <v>Queiro-Tajalli,Irene R.</v>
          </cell>
          <cell r="N10312" t="str">
            <v>NR</v>
          </cell>
          <cell r="O10312" t="str">
            <v>NR</v>
          </cell>
        </row>
        <row r="10313">
          <cell r="E10313" t="str">
            <v>LTAM</v>
          </cell>
          <cell r="F10313" t="str">
            <v>LTAM-C</v>
          </cell>
          <cell r="G10313">
            <v>101</v>
          </cell>
          <cell r="H10313" t="str">
            <v>LTAM-C101</v>
          </cell>
          <cell r="K10313" t="str">
            <v>Tezil,David</v>
          </cell>
          <cell r="N10313" t="str">
            <v>NR</v>
          </cell>
          <cell r="O10313" t="str">
            <v>NR</v>
          </cell>
        </row>
        <row r="10314">
          <cell r="E10314" t="str">
            <v>LTAM</v>
          </cell>
          <cell r="F10314" t="str">
            <v>LTAM-C</v>
          </cell>
          <cell r="G10314">
            <v>102</v>
          </cell>
          <cell r="H10314" t="str">
            <v>LTAM-C102</v>
          </cell>
          <cell r="K10314" t="str">
            <v>Tezil,David</v>
          </cell>
          <cell r="N10314" t="str">
            <v>NR</v>
          </cell>
          <cell r="O10314" t="str">
            <v>NR</v>
          </cell>
        </row>
        <row r="10315">
          <cell r="E10315" t="str">
            <v>LTAM</v>
          </cell>
          <cell r="F10315" t="str">
            <v>LTAM-C</v>
          </cell>
          <cell r="G10315">
            <v>201</v>
          </cell>
          <cell r="H10315" t="str">
            <v>LTAM-C201</v>
          </cell>
          <cell r="K10315" t="str">
            <v>Tezil,David</v>
          </cell>
          <cell r="N10315" t="str">
            <v>NR</v>
          </cell>
          <cell r="O10315" t="str">
            <v>NR</v>
          </cell>
        </row>
        <row r="10316">
          <cell r="E10316" t="str">
            <v>LTAM</v>
          </cell>
          <cell r="F10316" t="str">
            <v>LTAM-C</v>
          </cell>
          <cell r="G10316">
            <v>501</v>
          </cell>
          <cell r="H10316" t="str">
            <v>LTAM-C501</v>
          </cell>
          <cell r="K10316" t="str">
            <v>Tezil,David</v>
          </cell>
          <cell r="N10316" t="str">
            <v>NR</v>
          </cell>
          <cell r="O10316" t="str">
            <v>NR</v>
          </cell>
        </row>
        <row r="10317">
          <cell r="E10317" t="str">
            <v>LTAM</v>
          </cell>
          <cell r="F10317" t="str">
            <v>LTAM-C</v>
          </cell>
          <cell r="G10317">
            <v>502</v>
          </cell>
          <cell r="H10317" t="str">
            <v>LTAM-C502</v>
          </cell>
          <cell r="K10317" t="str">
            <v>Tezil,David</v>
          </cell>
          <cell r="N10317" t="str">
            <v>NR</v>
          </cell>
          <cell r="O10317" t="str">
            <v>NR</v>
          </cell>
        </row>
        <row r="10318">
          <cell r="E10318" t="str">
            <v>LTAM</v>
          </cell>
          <cell r="F10318" t="str">
            <v>LTAM-L</v>
          </cell>
          <cell r="G10318">
            <v>200</v>
          </cell>
          <cell r="H10318" t="str">
            <v>LTAM-L200</v>
          </cell>
          <cell r="K10318" t="str">
            <v>Castaneda,Quetzil E</v>
          </cell>
          <cell r="N10318">
            <v>1.55</v>
          </cell>
          <cell r="O10318">
            <v>2.4580000000000002</v>
          </cell>
        </row>
        <row r="10319">
          <cell r="E10319" t="str">
            <v>LTAM</v>
          </cell>
          <cell r="F10319" t="str">
            <v>LTAM-L</v>
          </cell>
          <cell r="G10319">
            <v>210</v>
          </cell>
          <cell r="H10319" t="str">
            <v>LTAM-L210</v>
          </cell>
          <cell r="K10319" t="str">
            <v>Diaz,Arlene</v>
          </cell>
          <cell r="N10319">
            <v>3.2</v>
          </cell>
          <cell r="O10319">
            <v>3.085</v>
          </cell>
        </row>
        <row r="10320">
          <cell r="E10320" t="str">
            <v>LTAM</v>
          </cell>
          <cell r="F10320" t="str">
            <v>LTAM-L</v>
          </cell>
          <cell r="G10320">
            <v>426</v>
          </cell>
          <cell r="H10320" t="str">
            <v>LTAM-L426</v>
          </cell>
          <cell r="K10320" t="str">
            <v>Diaz,Arlene</v>
          </cell>
          <cell r="N10320" t="str">
            <v>NR</v>
          </cell>
          <cell r="O10320" t="str">
            <v>NR</v>
          </cell>
        </row>
        <row r="10321">
          <cell r="E10321" t="str">
            <v>LTAM</v>
          </cell>
          <cell r="F10321" t="str">
            <v>LTAM-L</v>
          </cell>
          <cell r="G10321">
            <v>426</v>
          </cell>
          <cell r="H10321" t="str">
            <v>LTAM-L426</v>
          </cell>
          <cell r="K10321" t="str">
            <v>James,Danny</v>
          </cell>
          <cell r="N10321" t="str">
            <v>NR</v>
          </cell>
          <cell r="O10321" t="str">
            <v>NR</v>
          </cell>
        </row>
        <row r="10322">
          <cell r="E10322" t="str">
            <v>LTAM</v>
          </cell>
          <cell r="F10322" t="str">
            <v>LTAM-L</v>
          </cell>
          <cell r="G10322">
            <v>426</v>
          </cell>
          <cell r="H10322" t="str">
            <v>LTAM-L426</v>
          </cell>
          <cell r="K10322" t="str">
            <v>James,Danny</v>
          </cell>
          <cell r="N10322" t="str">
            <v>NR</v>
          </cell>
          <cell r="O10322" t="str">
            <v>NR</v>
          </cell>
        </row>
        <row r="10323">
          <cell r="E10323" t="str">
            <v>LTAM</v>
          </cell>
          <cell r="F10323" t="str">
            <v>LTAM-L</v>
          </cell>
          <cell r="G10323">
            <v>426</v>
          </cell>
          <cell r="H10323" t="str">
            <v>LTAM-L426</v>
          </cell>
          <cell r="K10323" t="str">
            <v>Sadlier,Darlene J.</v>
          </cell>
          <cell r="N10323" t="str">
            <v>NR</v>
          </cell>
          <cell r="O10323" t="str">
            <v>NR</v>
          </cell>
        </row>
        <row r="10324">
          <cell r="E10324" t="str">
            <v>LTAM</v>
          </cell>
          <cell r="F10324" t="str">
            <v>LTAM-L</v>
          </cell>
          <cell r="G10324">
            <v>426</v>
          </cell>
          <cell r="H10324" t="str">
            <v>LTAM-L426</v>
          </cell>
          <cell r="K10324" t="str">
            <v>Saitta,Alfio Sebastian</v>
          </cell>
          <cell r="N10324" t="str">
            <v>NR</v>
          </cell>
          <cell r="O10324" t="str">
            <v>NR</v>
          </cell>
        </row>
        <row r="10325">
          <cell r="E10325" t="str">
            <v>LTAM</v>
          </cell>
          <cell r="F10325" t="str">
            <v>LTAM-L</v>
          </cell>
          <cell r="G10325">
            <v>501</v>
          </cell>
          <cell r="H10325" t="str">
            <v>LTAM-L501</v>
          </cell>
          <cell r="K10325" t="str">
            <v>Saitta,Alfio Sebastian</v>
          </cell>
          <cell r="N10325">
            <v>4</v>
          </cell>
          <cell r="O10325">
            <v>3.7480000000000002</v>
          </cell>
        </row>
        <row r="10326">
          <cell r="E10326" t="str">
            <v>LTAM</v>
          </cell>
          <cell r="F10326" t="str">
            <v>LTAM-L</v>
          </cell>
          <cell r="G10326">
            <v>526</v>
          </cell>
          <cell r="H10326" t="str">
            <v>LTAM-L526</v>
          </cell>
          <cell r="K10326" t="str">
            <v>James,Danny</v>
          </cell>
          <cell r="N10326" t="str">
            <v>NR</v>
          </cell>
          <cell r="O10326" t="str">
            <v>NR</v>
          </cell>
        </row>
        <row r="10327">
          <cell r="E10327" t="str">
            <v>LTAM</v>
          </cell>
          <cell r="F10327" t="str">
            <v>LTAM-L</v>
          </cell>
          <cell r="G10327">
            <v>526</v>
          </cell>
          <cell r="H10327" t="str">
            <v>LTAM-L526</v>
          </cell>
          <cell r="K10327" t="str">
            <v>McGraw,Jason P.</v>
          </cell>
          <cell r="N10327" t="str">
            <v>NR</v>
          </cell>
          <cell r="O10327" t="str">
            <v>NR</v>
          </cell>
        </row>
        <row r="10328">
          <cell r="E10328" t="str">
            <v>LTAM</v>
          </cell>
          <cell r="F10328" t="str">
            <v>LTAM-L</v>
          </cell>
          <cell r="G10328">
            <v>527</v>
          </cell>
          <cell r="H10328" t="str">
            <v>LTAM-L527</v>
          </cell>
          <cell r="K10328" t="str">
            <v>Tezil,David</v>
          </cell>
          <cell r="N10328" t="str">
            <v>NR</v>
          </cell>
          <cell r="O10328" t="str">
            <v>NR</v>
          </cell>
        </row>
        <row r="10329">
          <cell r="E10329" t="str">
            <v>LTAM</v>
          </cell>
          <cell r="F10329" t="str">
            <v>LTAM-L</v>
          </cell>
          <cell r="G10329">
            <v>727</v>
          </cell>
          <cell r="H10329" t="str">
            <v>LTAM-L727</v>
          </cell>
          <cell r="K10329" t="str">
            <v>Greene,Landon Shane</v>
          </cell>
          <cell r="N10329" t="str">
            <v>NR</v>
          </cell>
          <cell r="O10329" t="str">
            <v>NR</v>
          </cell>
        </row>
        <row r="10330">
          <cell r="E10330" t="str">
            <v>LTAM</v>
          </cell>
          <cell r="F10330" t="str">
            <v>LTAM-L</v>
          </cell>
          <cell r="G10330">
            <v>803</v>
          </cell>
          <cell r="H10330" t="str">
            <v>LTAM-L803</v>
          </cell>
          <cell r="K10330" t="str">
            <v>Greene,Landon Shane</v>
          </cell>
          <cell r="N10330" t="str">
            <v>NR</v>
          </cell>
          <cell r="O10330" t="str">
            <v>NR</v>
          </cell>
        </row>
        <row r="10331">
          <cell r="E10331" t="str">
            <v>LTAM</v>
          </cell>
          <cell r="F10331" t="str">
            <v>LTAM-L</v>
          </cell>
          <cell r="G10331">
            <v>803</v>
          </cell>
          <cell r="H10331" t="str">
            <v>LTAM-L803</v>
          </cell>
          <cell r="K10331" t="str">
            <v>Greene,Landon Shane</v>
          </cell>
          <cell r="N10331" t="str">
            <v>NR</v>
          </cell>
          <cell r="O10331" t="str">
            <v>NR</v>
          </cell>
        </row>
        <row r="10332">
          <cell r="E10332" t="str">
            <v>LTAM</v>
          </cell>
          <cell r="F10332" t="str">
            <v>LTAM-M</v>
          </cell>
          <cell r="G10332">
            <v>101</v>
          </cell>
          <cell r="H10332" t="str">
            <v>LTAM-M101</v>
          </cell>
          <cell r="K10332" t="str">
            <v>Castaneda,Quetzil E</v>
          </cell>
          <cell r="N10332" t="str">
            <v>NR</v>
          </cell>
          <cell r="O10332" t="str">
            <v>NR</v>
          </cell>
        </row>
        <row r="10333">
          <cell r="E10333" t="str">
            <v>LTAM</v>
          </cell>
          <cell r="F10333" t="str">
            <v>LTAM-M</v>
          </cell>
          <cell r="G10333">
            <v>102</v>
          </cell>
          <cell r="H10333" t="str">
            <v>LTAM-M102</v>
          </cell>
          <cell r="K10333" t="str">
            <v>Castaneda,Quetzil E</v>
          </cell>
          <cell r="N10333" t="str">
            <v>NR</v>
          </cell>
          <cell r="O10333" t="str">
            <v>NR</v>
          </cell>
        </row>
        <row r="10334">
          <cell r="E10334" t="str">
            <v>LTAM</v>
          </cell>
          <cell r="F10334" t="str">
            <v>LTAM-M</v>
          </cell>
          <cell r="G10334">
            <v>202</v>
          </cell>
          <cell r="H10334" t="str">
            <v>LTAM-M202</v>
          </cell>
          <cell r="K10334" t="str">
            <v>Castaneda,Quetzil E</v>
          </cell>
          <cell r="N10334" t="str">
            <v>NR</v>
          </cell>
          <cell r="O10334" t="str">
            <v>NR</v>
          </cell>
        </row>
        <row r="10335">
          <cell r="E10335" t="str">
            <v>LTAM</v>
          </cell>
          <cell r="F10335" t="str">
            <v>LTAM-M</v>
          </cell>
          <cell r="G10335">
            <v>501</v>
          </cell>
          <cell r="H10335" t="str">
            <v>LTAM-M501</v>
          </cell>
          <cell r="K10335" t="str">
            <v>Castaneda,Quetzil E</v>
          </cell>
          <cell r="N10335" t="str">
            <v>NR</v>
          </cell>
          <cell r="O10335" t="str">
            <v>NR</v>
          </cell>
        </row>
        <row r="10336">
          <cell r="E10336" t="str">
            <v>LTAM</v>
          </cell>
          <cell r="F10336" t="str">
            <v>LTAM-M</v>
          </cell>
          <cell r="G10336">
            <v>502</v>
          </cell>
          <cell r="H10336" t="str">
            <v>LTAM-M502</v>
          </cell>
          <cell r="K10336" t="str">
            <v>Castaneda,Quetzil E</v>
          </cell>
          <cell r="N10336" t="str">
            <v>NR</v>
          </cell>
          <cell r="O10336" t="str">
            <v>NR</v>
          </cell>
        </row>
        <row r="10337">
          <cell r="E10337" t="str">
            <v>LTAM</v>
          </cell>
          <cell r="F10337" t="str">
            <v>LTAM-Q</v>
          </cell>
          <cell r="G10337">
            <v>101</v>
          </cell>
          <cell r="H10337" t="str">
            <v>LTAM-Q101</v>
          </cell>
          <cell r="K10337" t="str">
            <v>Tandioy Jansasoy,Francisco</v>
          </cell>
          <cell r="N10337" t="str">
            <v>NR</v>
          </cell>
          <cell r="O10337" t="str">
            <v>NR</v>
          </cell>
        </row>
        <row r="10338">
          <cell r="E10338" t="str">
            <v>LTAM</v>
          </cell>
          <cell r="F10338" t="str">
            <v>LTAM-Q</v>
          </cell>
          <cell r="G10338">
            <v>102</v>
          </cell>
          <cell r="H10338" t="str">
            <v>LTAM-Q102</v>
          </cell>
          <cell r="K10338" t="str">
            <v>Tandioy Jansasoy,Francisco</v>
          </cell>
          <cell r="N10338" t="str">
            <v>NR</v>
          </cell>
          <cell r="O10338" t="str">
            <v>NR</v>
          </cell>
        </row>
        <row r="10339">
          <cell r="E10339" t="str">
            <v>LTAM</v>
          </cell>
          <cell r="F10339" t="str">
            <v>LTAM-Q</v>
          </cell>
          <cell r="G10339">
            <v>501</v>
          </cell>
          <cell r="H10339" t="str">
            <v>LTAM-Q501</v>
          </cell>
          <cell r="K10339" t="str">
            <v>Tandioy Jansasoy,Francisco</v>
          </cell>
          <cell r="N10339" t="str">
            <v>NR</v>
          </cell>
          <cell r="O10339" t="str">
            <v>NR</v>
          </cell>
        </row>
        <row r="10340">
          <cell r="E10340" t="str">
            <v>LTAM</v>
          </cell>
          <cell r="F10340" t="str">
            <v>LTAM-Q</v>
          </cell>
          <cell r="G10340">
            <v>502</v>
          </cell>
          <cell r="H10340" t="str">
            <v>LTAM-Q502</v>
          </cell>
          <cell r="K10340" t="str">
            <v>Tandioy Jansasoy,Francisco</v>
          </cell>
          <cell r="N10340" t="str">
            <v>NR</v>
          </cell>
          <cell r="O10340" t="str">
            <v>NR</v>
          </cell>
        </row>
        <row r="10341">
          <cell r="E10341" t="str">
            <v>LTAM</v>
          </cell>
          <cell r="F10341" t="str">
            <v>LTAM-Q</v>
          </cell>
          <cell r="G10341">
            <v>602</v>
          </cell>
          <cell r="H10341" t="str">
            <v>LTAM-Q602</v>
          </cell>
          <cell r="K10341" t="str">
            <v>Tandioy Jansasoy,Francisco</v>
          </cell>
          <cell r="N10341" t="str">
            <v>NR</v>
          </cell>
          <cell r="O10341" t="str">
            <v>NR</v>
          </cell>
        </row>
        <row r="10342">
          <cell r="E10342" t="str">
            <v>MATH</v>
          </cell>
          <cell r="F10342" t="str">
            <v>MATH-D</v>
          </cell>
          <cell r="G10342">
            <v>116</v>
          </cell>
          <cell r="H10342" t="str">
            <v>MATH-D116</v>
          </cell>
          <cell r="K10342" t="str">
            <v>Coti Zelati,Michele</v>
          </cell>
          <cell r="N10342">
            <v>2.71</v>
          </cell>
          <cell r="O10342">
            <v>2.84</v>
          </cell>
        </row>
        <row r="10343">
          <cell r="E10343" t="str">
            <v>MATH</v>
          </cell>
          <cell r="F10343" t="str">
            <v>MATH-D</v>
          </cell>
          <cell r="G10343">
            <v>116</v>
          </cell>
          <cell r="H10343" t="str">
            <v>MATH-D116</v>
          </cell>
          <cell r="K10343" t="str">
            <v>Coti Zelati,Michele</v>
          </cell>
          <cell r="N10343">
            <v>2.3340000000000001</v>
          </cell>
          <cell r="O10343">
            <v>2.827</v>
          </cell>
        </row>
        <row r="10344">
          <cell r="E10344" t="str">
            <v>MATH</v>
          </cell>
          <cell r="F10344" t="str">
            <v>MATH-D</v>
          </cell>
          <cell r="G10344">
            <v>116</v>
          </cell>
          <cell r="H10344" t="str">
            <v>MATH-D116</v>
          </cell>
          <cell r="K10344" t="str">
            <v>Lithio,Daniel James</v>
          </cell>
          <cell r="N10344">
            <v>2.72</v>
          </cell>
          <cell r="O10344">
            <v>2.7080000000000002</v>
          </cell>
        </row>
        <row r="10345">
          <cell r="E10345" t="str">
            <v>MATH</v>
          </cell>
          <cell r="F10345" t="str">
            <v>MATH-D</v>
          </cell>
          <cell r="G10345">
            <v>116</v>
          </cell>
          <cell r="H10345" t="str">
            <v>MATH-D116</v>
          </cell>
          <cell r="K10345" t="str">
            <v>Lithio,Daniel James</v>
          </cell>
          <cell r="N10345">
            <v>2.6219999999999999</v>
          </cell>
          <cell r="O10345">
            <v>2.7370000000000001</v>
          </cell>
        </row>
        <row r="10346">
          <cell r="E10346" t="str">
            <v>MATH</v>
          </cell>
          <cell r="F10346" t="str">
            <v>MATH-D</v>
          </cell>
          <cell r="G10346">
            <v>116</v>
          </cell>
          <cell r="H10346" t="str">
            <v>MATH-D116</v>
          </cell>
          <cell r="K10346" t="str">
            <v>Nguyen,Le Mai Liwag</v>
          </cell>
          <cell r="N10346">
            <v>2.177</v>
          </cell>
          <cell r="O10346">
            <v>2.6779999999999999</v>
          </cell>
        </row>
        <row r="10347">
          <cell r="E10347" t="str">
            <v>MATH</v>
          </cell>
          <cell r="F10347" t="str">
            <v>MATH-D</v>
          </cell>
          <cell r="G10347">
            <v>116</v>
          </cell>
          <cell r="H10347" t="str">
            <v>MATH-D116</v>
          </cell>
          <cell r="K10347" t="str">
            <v>Pinzon Caicedo,Juanita</v>
          </cell>
          <cell r="N10347">
            <v>2.2490000000000001</v>
          </cell>
          <cell r="O10347">
            <v>2.7810000000000001</v>
          </cell>
        </row>
        <row r="10348">
          <cell r="E10348" t="str">
            <v>MATH</v>
          </cell>
          <cell r="F10348" t="str">
            <v>MATH-D</v>
          </cell>
          <cell r="G10348">
            <v>116</v>
          </cell>
          <cell r="H10348" t="str">
            <v>MATH-D116</v>
          </cell>
          <cell r="K10348" t="str">
            <v>Pinzon Caicedo,Juanita</v>
          </cell>
          <cell r="N10348">
            <v>2.2240000000000002</v>
          </cell>
          <cell r="O10348">
            <v>2.7730000000000001</v>
          </cell>
        </row>
        <row r="10349">
          <cell r="E10349" t="str">
            <v>MATH</v>
          </cell>
          <cell r="F10349" t="str">
            <v>MATH-D</v>
          </cell>
          <cell r="G10349">
            <v>116</v>
          </cell>
          <cell r="H10349" t="str">
            <v>MATH-D116</v>
          </cell>
          <cell r="K10349" t="str">
            <v>Powder,David Alexander</v>
          </cell>
          <cell r="N10349">
            <v>1.381</v>
          </cell>
          <cell r="O10349">
            <v>2.6179999999999999</v>
          </cell>
        </row>
        <row r="10350">
          <cell r="E10350" t="str">
            <v>MATH</v>
          </cell>
          <cell r="F10350" t="str">
            <v>MATH-D</v>
          </cell>
          <cell r="G10350">
            <v>116</v>
          </cell>
          <cell r="H10350" t="str">
            <v>MATH-D116</v>
          </cell>
          <cell r="K10350" t="str">
            <v>Wallace,Erik Thomas</v>
          </cell>
          <cell r="N10350">
            <v>2.12</v>
          </cell>
          <cell r="O10350">
            <v>2.758</v>
          </cell>
        </row>
        <row r="10351">
          <cell r="E10351" t="str">
            <v>MATH</v>
          </cell>
          <cell r="F10351" t="str">
            <v>MATH-D</v>
          </cell>
          <cell r="G10351">
            <v>117</v>
          </cell>
          <cell r="H10351" t="str">
            <v>MATH-D117</v>
          </cell>
          <cell r="K10351" t="str">
            <v>Barker,Blake Hillstead</v>
          </cell>
          <cell r="N10351">
            <v>2.073</v>
          </cell>
          <cell r="O10351">
            <v>2.7890000000000001</v>
          </cell>
        </row>
        <row r="10352">
          <cell r="E10352" t="str">
            <v>MATH</v>
          </cell>
          <cell r="F10352" t="str">
            <v>MATH-D</v>
          </cell>
          <cell r="G10352">
            <v>117</v>
          </cell>
          <cell r="H10352" t="str">
            <v>MATH-D117</v>
          </cell>
          <cell r="K10352" t="str">
            <v>Bhattacharya,Prasit</v>
          </cell>
          <cell r="N10352">
            <v>2.339</v>
          </cell>
          <cell r="O10352">
            <v>2.8279999999999998</v>
          </cell>
        </row>
        <row r="10353">
          <cell r="E10353" t="str">
            <v>MATH</v>
          </cell>
          <cell r="F10353" t="str">
            <v>MATH-D</v>
          </cell>
          <cell r="G10353">
            <v>117</v>
          </cell>
          <cell r="H10353" t="str">
            <v>MATH-D117</v>
          </cell>
          <cell r="K10353" t="str">
            <v>Coti Zelati,Michele</v>
          </cell>
          <cell r="N10353">
            <v>2.2050000000000001</v>
          </cell>
          <cell r="O10353">
            <v>2.819</v>
          </cell>
        </row>
        <row r="10354">
          <cell r="E10354" t="str">
            <v>MATH</v>
          </cell>
          <cell r="F10354" t="str">
            <v>MATH-D</v>
          </cell>
          <cell r="G10354">
            <v>117</v>
          </cell>
          <cell r="H10354" t="str">
            <v>MATH-D117</v>
          </cell>
          <cell r="K10354" t="str">
            <v>Sengul,Mustafa Taylan</v>
          </cell>
          <cell r="N10354">
            <v>2.4470000000000001</v>
          </cell>
          <cell r="O10354">
            <v>2.867</v>
          </cell>
        </row>
        <row r="10355">
          <cell r="E10355" t="str">
            <v>MATH</v>
          </cell>
          <cell r="F10355" t="str">
            <v>MATH-D</v>
          </cell>
          <cell r="G10355">
            <v>117</v>
          </cell>
          <cell r="H10355" t="str">
            <v>MATH-D117</v>
          </cell>
          <cell r="K10355" t="str">
            <v>Skolfield,Kyle</v>
          </cell>
          <cell r="N10355">
            <v>2.956</v>
          </cell>
          <cell r="O10355">
            <v>2.95</v>
          </cell>
        </row>
        <row r="10356">
          <cell r="E10356" t="str">
            <v>MATH</v>
          </cell>
          <cell r="F10356" t="str">
            <v>MATH-D</v>
          </cell>
          <cell r="G10356">
            <v>117</v>
          </cell>
          <cell r="H10356" t="str">
            <v>MATH-D117</v>
          </cell>
          <cell r="K10356" t="str">
            <v>Wallace,Erik Thomas</v>
          </cell>
          <cell r="N10356">
            <v>2.2330000000000001</v>
          </cell>
          <cell r="O10356">
            <v>2.8340000000000001</v>
          </cell>
        </row>
        <row r="10357">
          <cell r="E10357" t="str">
            <v>MATH</v>
          </cell>
          <cell r="F10357" t="str">
            <v>MATH-D</v>
          </cell>
          <cell r="G10357">
            <v>117</v>
          </cell>
          <cell r="H10357" t="str">
            <v>MATH-D117</v>
          </cell>
          <cell r="K10357" t="str">
            <v>Wallace,Erik Thomas</v>
          </cell>
          <cell r="N10357">
            <v>2.073</v>
          </cell>
          <cell r="O10357">
            <v>2.7890000000000001</v>
          </cell>
        </row>
        <row r="10358">
          <cell r="E10358" t="str">
            <v>MATH</v>
          </cell>
          <cell r="F10358" t="str">
            <v>MATH-G</v>
          </cell>
          <cell r="G10358">
            <v>901</v>
          </cell>
          <cell r="H10358" t="str">
            <v>MATH-G901</v>
          </cell>
          <cell r="K10358" t="str">
            <v>Judge,Christopher Martin</v>
          </cell>
          <cell r="N10358">
            <v>3.9430000000000001</v>
          </cell>
          <cell r="O10358">
            <v>3.8740000000000001</v>
          </cell>
        </row>
        <row r="10359">
          <cell r="E10359" t="str">
            <v>MATH</v>
          </cell>
          <cell r="F10359" t="str">
            <v>MATH-G</v>
          </cell>
          <cell r="G10359">
            <v>901</v>
          </cell>
          <cell r="H10359" t="str">
            <v>MATH-G901</v>
          </cell>
          <cell r="K10359" t="str">
            <v>Judge,Christopher Martin</v>
          </cell>
          <cell r="N10359">
            <v>4</v>
          </cell>
          <cell r="O10359">
            <v>3.903</v>
          </cell>
        </row>
        <row r="10360">
          <cell r="E10360" t="str">
            <v>MATH</v>
          </cell>
          <cell r="F10360" t="str">
            <v>MATH-J</v>
          </cell>
          <cell r="G10360">
            <v>111</v>
          </cell>
          <cell r="H10360" t="str">
            <v>MATH-J111</v>
          </cell>
          <cell r="K10360" t="str">
            <v>Chung,Yu-Min</v>
          </cell>
          <cell r="N10360">
            <v>2.25</v>
          </cell>
          <cell r="O10360">
            <v>2.407</v>
          </cell>
        </row>
        <row r="10361">
          <cell r="E10361" t="str">
            <v>MATH</v>
          </cell>
          <cell r="F10361" t="str">
            <v>MATH-J</v>
          </cell>
          <cell r="G10361">
            <v>111</v>
          </cell>
          <cell r="H10361" t="str">
            <v>MATH-J111</v>
          </cell>
          <cell r="K10361" t="str">
            <v>Chung,Yu-Min</v>
          </cell>
          <cell r="N10361">
            <v>1.97</v>
          </cell>
          <cell r="O10361">
            <v>2.306</v>
          </cell>
        </row>
        <row r="10362">
          <cell r="E10362" t="str">
            <v>MATH</v>
          </cell>
          <cell r="F10362" t="str">
            <v>MATH-J</v>
          </cell>
          <cell r="G10362">
            <v>111</v>
          </cell>
          <cell r="H10362" t="str">
            <v>MATH-J111</v>
          </cell>
          <cell r="K10362" t="str">
            <v>Highbaugh,James Michael Raye</v>
          </cell>
          <cell r="N10362">
            <v>2.0419999999999998</v>
          </cell>
          <cell r="O10362">
            <v>2.0649999999999999</v>
          </cell>
        </row>
        <row r="10363">
          <cell r="E10363" t="str">
            <v>MATH</v>
          </cell>
          <cell r="F10363" t="str">
            <v>MATH-J</v>
          </cell>
          <cell r="G10363">
            <v>111</v>
          </cell>
          <cell r="H10363" t="str">
            <v>MATH-J111</v>
          </cell>
          <cell r="K10363" t="str">
            <v>Tune,William Lee</v>
          </cell>
          <cell r="N10363">
            <v>1.522</v>
          </cell>
          <cell r="O10363">
            <v>2.335</v>
          </cell>
        </row>
        <row r="10364">
          <cell r="E10364" t="str">
            <v>MATH</v>
          </cell>
          <cell r="F10364" t="str">
            <v>MATH-J</v>
          </cell>
          <cell r="G10364">
            <v>111</v>
          </cell>
          <cell r="H10364" t="str">
            <v>MATH-J111</v>
          </cell>
          <cell r="K10364" t="str">
            <v>Tune,William Lee</v>
          </cell>
          <cell r="N10364">
            <v>1.675</v>
          </cell>
          <cell r="O10364">
            <v>2.5449999999999999</v>
          </cell>
        </row>
        <row r="10365">
          <cell r="E10365" t="str">
            <v>MATH</v>
          </cell>
          <cell r="F10365" t="str">
            <v>MATH-J</v>
          </cell>
          <cell r="G10365">
            <v>111</v>
          </cell>
          <cell r="H10365" t="str">
            <v>MATH-J111</v>
          </cell>
          <cell r="K10365" t="str">
            <v>Valenti,Tony Michael</v>
          </cell>
          <cell r="N10365">
            <v>2.073</v>
          </cell>
          <cell r="O10365">
            <v>2.512</v>
          </cell>
        </row>
        <row r="10366">
          <cell r="E10366" t="str">
            <v>MATH</v>
          </cell>
          <cell r="F10366" t="str">
            <v>MATH-J</v>
          </cell>
          <cell r="G10366">
            <v>112</v>
          </cell>
          <cell r="H10366" t="str">
            <v>MATH-J112</v>
          </cell>
          <cell r="K10366" t="str">
            <v>Highbaugh,James Michael Raye</v>
          </cell>
          <cell r="N10366">
            <v>2.238</v>
          </cell>
          <cell r="O10366">
            <v>2.5329999999999999</v>
          </cell>
        </row>
        <row r="10367">
          <cell r="E10367" t="str">
            <v>MATH</v>
          </cell>
          <cell r="F10367" t="str">
            <v>MATH-J</v>
          </cell>
          <cell r="G10367">
            <v>112</v>
          </cell>
          <cell r="H10367" t="str">
            <v>MATH-J112</v>
          </cell>
          <cell r="K10367" t="str">
            <v>Scofield,Rebecca Ann</v>
          </cell>
          <cell r="N10367">
            <v>1.2909999999999999</v>
          </cell>
          <cell r="O10367">
            <v>2.383</v>
          </cell>
        </row>
        <row r="10368">
          <cell r="E10368" t="str">
            <v>MATH</v>
          </cell>
          <cell r="F10368" t="str">
            <v>MATH-J</v>
          </cell>
          <cell r="G10368">
            <v>112</v>
          </cell>
          <cell r="H10368" t="str">
            <v>MATH-J112</v>
          </cell>
          <cell r="K10368" t="str">
            <v>Sprunger,David</v>
          </cell>
          <cell r="N10368">
            <v>2.2210000000000001</v>
          </cell>
          <cell r="O10368">
            <v>2.6549999999999998</v>
          </cell>
        </row>
        <row r="10369">
          <cell r="E10369" t="str">
            <v>MATH</v>
          </cell>
          <cell r="F10369" t="str">
            <v>MATH-J</v>
          </cell>
          <cell r="G10369">
            <v>112</v>
          </cell>
          <cell r="H10369" t="str">
            <v>MATH-J112</v>
          </cell>
          <cell r="K10369" t="str">
            <v>Sprunger,David</v>
          </cell>
          <cell r="N10369">
            <v>2.048</v>
          </cell>
          <cell r="O10369">
            <v>2.472</v>
          </cell>
        </row>
        <row r="10370">
          <cell r="E10370" t="str">
            <v>MATH</v>
          </cell>
          <cell r="F10370" t="str">
            <v>MATH-J</v>
          </cell>
          <cell r="G10370">
            <v>112</v>
          </cell>
          <cell r="H10370" t="str">
            <v>MATH-J112</v>
          </cell>
          <cell r="K10370" t="str">
            <v>Tune,William Lee</v>
          </cell>
          <cell r="N10370">
            <v>0.98499999999999999</v>
          </cell>
          <cell r="O10370">
            <v>2.323</v>
          </cell>
        </row>
        <row r="10371">
          <cell r="E10371" t="str">
            <v>MATH</v>
          </cell>
          <cell r="F10371" t="str">
            <v>MATH-J</v>
          </cell>
          <cell r="G10371">
            <v>112</v>
          </cell>
          <cell r="H10371" t="str">
            <v>MATH-J112</v>
          </cell>
          <cell r="K10371" t="str">
            <v>Tune,William Lee</v>
          </cell>
          <cell r="N10371">
            <v>0.92500000000000004</v>
          </cell>
          <cell r="O10371">
            <v>2.2999999999999998</v>
          </cell>
        </row>
        <row r="10372">
          <cell r="E10372" t="str">
            <v>MATH</v>
          </cell>
          <cell r="F10372" t="str">
            <v>MATH-J</v>
          </cell>
          <cell r="G10372">
            <v>113</v>
          </cell>
          <cell r="H10372" t="str">
            <v>MATH-J113</v>
          </cell>
          <cell r="K10372" t="str">
            <v>Link,Joshua Allan</v>
          </cell>
          <cell r="N10372">
            <v>2.1480000000000001</v>
          </cell>
          <cell r="O10372">
            <v>2.62</v>
          </cell>
        </row>
        <row r="10373">
          <cell r="E10373" t="str">
            <v>MATH</v>
          </cell>
          <cell r="F10373" t="str">
            <v>MATH-J</v>
          </cell>
          <cell r="G10373">
            <v>113</v>
          </cell>
          <cell r="H10373" t="str">
            <v>MATH-J113</v>
          </cell>
          <cell r="K10373" t="str">
            <v>Link,Joshua Allan</v>
          </cell>
          <cell r="N10373">
            <v>2.0099999999999998</v>
          </cell>
          <cell r="O10373">
            <v>2.62</v>
          </cell>
        </row>
        <row r="10374">
          <cell r="E10374" t="str">
            <v>MATH</v>
          </cell>
          <cell r="F10374" t="str">
            <v>MATH-J</v>
          </cell>
          <cell r="G10374">
            <v>113</v>
          </cell>
          <cell r="H10374" t="str">
            <v>MATH-J113</v>
          </cell>
          <cell r="K10374" t="str">
            <v>Martinez,Vincent Ryan</v>
          </cell>
          <cell r="N10374">
            <v>1.9</v>
          </cell>
          <cell r="O10374">
            <v>2.94</v>
          </cell>
        </row>
        <row r="10375">
          <cell r="E10375" t="str">
            <v>MATH</v>
          </cell>
          <cell r="F10375" t="str">
            <v>MATH-J</v>
          </cell>
          <cell r="G10375">
            <v>113</v>
          </cell>
          <cell r="H10375" t="str">
            <v>MATH-J113</v>
          </cell>
          <cell r="K10375" t="str">
            <v>Martinez,Vincent Ryan</v>
          </cell>
          <cell r="N10375">
            <v>2.1589999999999998</v>
          </cell>
          <cell r="O10375">
            <v>2.6030000000000002</v>
          </cell>
        </row>
        <row r="10376">
          <cell r="E10376" t="str">
            <v>MATH</v>
          </cell>
          <cell r="F10376" t="str">
            <v>MATH-J</v>
          </cell>
          <cell r="G10376">
            <v>113</v>
          </cell>
          <cell r="H10376" t="str">
            <v>MATH-J113</v>
          </cell>
          <cell r="K10376" t="str">
            <v>Rojas,Juan Carlos</v>
          </cell>
          <cell r="N10376">
            <v>2.35</v>
          </cell>
          <cell r="O10376">
            <v>2.5139999999999998</v>
          </cell>
        </row>
        <row r="10377">
          <cell r="E10377" t="str">
            <v>MATH</v>
          </cell>
          <cell r="F10377" t="str">
            <v>MATH-K</v>
          </cell>
          <cell r="G10377">
            <v>310</v>
          </cell>
          <cell r="H10377" t="str">
            <v>MATH-K310</v>
          </cell>
          <cell r="K10377" t="str">
            <v>Manoharan,Palanivel</v>
          </cell>
          <cell r="N10377">
            <v>2.99</v>
          </cell>
          <cell r="O10377">
            <v>3.3</v>
          </cell>
        </row>
        <row r="10378">
          <cell r="E10378" t="str">
            <v>MATH</v>
          </cell>
          <cell r="F10378" t="str">
            <v>MATH-K</v>
          </cell>
          <cell r="G10378">
            <v>310</v>
          </cell>
          <cell r="H10378" t="str">
            <v>MATH-K310</v>
          </cell>
          <cell r="K10378" t="str">
            <v>McKinley,Stephen Carl</v>
          </cell>
          <cell r="N10378">
            <v>3.5329999999999999</v>
          </cell>
          <cell r="O10378">
            <v>3.613</v>
          </cell>
        </row>
        <row r="10379">
          <cell r="E10379" t="str">
            <v>MATH</v>
          </cell>
          <cell r="F10379" t="str">
            <v>MATH-K</v>
          </cell>
          <cell r="G10379">
            <v>310</v>
          </cell>
          <cell r="H10379" t="str">
            <v>MATH-K310</v>
          </cell>
          <cell r="K10379" t="str">
            <v>McKinley,Stephen Carl</v>
          </cell>
          <cell r="N10379">
            <v>3.34</v>
          </cell>
          <cell r="O10379">
            <v>3.532</v>
          </cell>
        </row>
        <row r="10380">
          <cell r="E10380" t="str">
            <v>MATH</v>
          </cell>
          <cell r="F10380" t="str">
            <v>MATH-M</v>
          </cell>
          <cell r="G10380">
            <v>14</v>
          </cell>
          <cell r="H10380" t="str">
            <v>MATH-M14</v>
          </cell>
          <cell r="K10380" t="str">
            <v>Bousquet,Arthur</v>
          </cell>
          <cell r="N10380">
            <v>0</v>
          </cell>
          <cell r="O10380">
            <v>2.4129999999999998</v>
          </cell>
        </row>
        <row r="10381">
          <cell r="E10381" t="str">
            <v>MATH</v>
          </cell>
          <cell r="F10381" t="str">
            <v>MATH-M</v>
          </cell>
          <cell r="G10381">
            <v>14</v>
          </cell>
          <cell r="H10381" t="str">
            <v>MATH-M14</v>
          </cell>
          <cell r="K10381" t="str">
            <v>Brugger,Christine Elaine</v>
          </cell>
          <cell r="N10381" t="str">
            <v>NR</v>
          </cell>
          <cell r="O10381" t="str">
            <v>NR</v>
          </cell>
        </row>
        <row r="10382">
          <cell r="E10382" t="str">
            <v>MATH</v>
          </cell>
          <cell r="F10382" t="str">
            <v>MATH-M</v>
          </cell>
          <cell r="G10382">
            <v>14</v>
          </cell>
          <cell r="H10382" t="str">
            <v>MATH-M14</v>
          </cell>
          <cell r="K10382" t="str">
            <v>Huang,Hao-Wei</v>
          </cell>
          <cell r="N10382" t="str">
            <v>NR</v>
          </cell>
          <cell r="O10382" t="str">
            <v>NR</v>
          </cell>
        </row>
        <row r="10383">
          <cell r="E10383" t="str">
            <v>MATH</v>
          </cell>
          <cell r="F10383" t="str">
            <v>MATH-M</v>
          </cell>
          <cell r="G10383">
            <v>14</v>
          </cell>
          <cell r="H10383" t="str">
            <v>MATH-M14</v>
          </cell>
          <cell r="K10383" t="str">
            <v>Jung,So Yeun</v>
          </cell>
          <cell r="N10383" t="str">
            <v>NR</v>
          </cell>
          <cell r="O10383" t="str">
            <v>NR</v>
          </cell>
        </row>
        <row r="10384">
          <cell r="E10384" t="str">
            <v>MATH</v>
          </cell>
          <cell r="F10384" t="str">
            <v>MATH-M</v>
          </cell>
          <cell r="G10384">
            <v>14</v>
          </cell>
          <cell r="H10384" t="str">
            <v>MATH-M14</v>
          </cell>
          <cell r="K10384" t="str">
            <v>McShane,James</v>
          </cell>
          <cell r="N10384" t="str">
            <v>NR</v>
          </cell>
          <cell r="O10384" t="str">
            <v>NR</v>
          </cell>
        </row>
        <row r="10385">
          <cell r="E10385" t="str">
            <v>MATH</v>
          </cell>
          <cell r="F10385" t="str">
            <v>MATH-M</v>
          </cell>
          <cell r="G10385">
            <v>14</v>
          </cell>
          <cell r="H10385" t="str">
            <v>MATH-M14</v>
          </cell>
          <cell r="K10385" t="str">
            <v>Rohatgi,Ranjan</v>
          </cell>
          <cell r="N10385" t="str">
            <v>NR</v>
          </cell>
          <cell r="O10385" t="str">
            <v>NR</v>
          </cell>
        </row>
        <row r="10386">
          <cell r="E10386" t="str">
            <v>MATH</v>
          </cell>
          <cell r="F10386" t="str">
            <v>MATH-M</v>
          </cell>
          <cell r="G10386">
            <v>14</v>
          </cell>
          <cell r="H10386" t="str">
            <v>MATH-M14</v>
          </cell>
          <cell r="K10386" t="str">
            <v>Vitale,Ryan Schueler</v>
          </cell>
          <cell r="N10386" t="str">
            <v>NR</v>
          </cell>
          <cell r="O10386" t="str">
            <v>NR</v>
          </cell>
        </row>
        <row r="10387">
          <cell r="E10387" t="str">
            <v>MATH</v>
          </cell>
          <cell r="F10387" t="str">
            <v>MATH-M</v>
          </cell>
          <cell r="G10387">
            <v>18</v>
          </cell>
          <cell r="H10387" t="str">
            <v>MATH-M18</v>
          </cell>
          <cell r="K10387" t="str">
            <v>Magnusson,Jacob Scott</v>
          </cell>
          <cell r="N10387" t="str">
            <v>NR</v>
          </cell>
          <cell r="O10387" t="str">
            <v>NR</v>
          </cell>
        </row>
        <row r="10388">
          <cell r="E10388" t="str">
            <v>MATH</v>
          </cell>
          <cell r="F10388" t="str">
            <v>MATH-M</v>
          </cell>
          <cell r="G10388">
            <v>18</v>
          </cell>
          <cell r="H10388" t="str">
            <v>MATH-M18</v>
          </cell>
          <cell r="K10388" t="str">
            <v>Magnusson,Jacob Scott</v>
          </cell>
          <cell r="N10388">
            <v>0</v>
          </cell>
          <cell r="O10388">
            <v>2.657</v>
          </cell>
        </row>
        <row r="10389">
          <cell r="E10389" t="str">
            <v>MATH</v>
          </cell>
          <cell r="F10389" t="str">
            <v>MATH-M</v>
          </cell>
          <cell r="G10389">
            <v>18</v>
          </cell>
          <cell r="H10389" t="str">
            <v>MATH-M18</v>
          </cell>
          <cell r="K10389" t="str">
            <v>Magnusson,Jacob Scott</v>
          </cell>
          <cell r="N10389" t="str">
            <v>NR</v>
          </cell>
          <cell r="O10389" t="str">
            <v>NR</v>
          </cell>
        </row>
        <row r="10390">
          <cell r="E10390" t="str">
            <v>MATH</v>
          </cell>
          <cell r="F10390" t="str">
            <v>MATH-M</v>
          </cell>
          <cell r="G10390">
            <v>18</v>
          </cell>
          <cell r="H10390" t="str">
            <v>MATH-M18</v>
          </cell>
          <cell r="K10390" t="str">
            <v>Magnusson,Jacob Scott</v>
          </cell>
          <cell r="N10390" t="str">
            <v>NR</v>
          </cell>
          <cell r="O10390" t="str">
            <v>NR</v>
          </cell>
        </row>
        <row r="10391">
          <cell r="E10391" t="str">
            <v>MATH</v>
          </cell>
          <cell r="F10391" t="str">
            <v>MATH-M</v>
          </cell>
          <cell r="G10391">
            <v>18</v>
          </cell>
          <cell r="H10391" t="str">
            <v>MATH-M18</v>
          </cell>
          <cell r="K10391" t="str">
            <v>Pinzon Caicedo,Juanita</v>
          </cell>
          <cell r="N10391" t="str">
            <v>NR</v>
          </cell>
          <cell r="O10391" t="str">
            <v>NR</v>
          </cell>
        </row>
        <row r="10392">
          <cell r="E10392" t="str">
            <v>MATH</v>
          </cell>
          <cell r="F10392" t="str">
            <v>MATH-M</v>
          </cell>
          <cell r="G10392">
            <v>18</v>
          </cell>
          <cell r="H10392" t="str">
            <v>MATH-M18</v>
          </cell>
          <cell r="K10392" t="str">
            <v>Pinzon Caicedo,Juanita</v>
          </cell>
          <cell r="N10392">
            <v>0</v>
          </cell>
          <cell r="O10392">
            <v>2.2269999999999999</v>
          </cell>
        </row>
        <row r="10393">
          <cell r="E10393" t="str">
            <v>MATH</v>
          </cell>
          <cell r="F10393" t="str">
            <v>MATH-M</v>
          </cell>
          <cell r="G10393">
            <v>18</v>
          </cell>
          <cell r="H10393" t="str">
            <v>MATH-M18</v>
          </cell>
          <cell r="K10393" t="str">
            <v>Riggs,Kyle Walter</v>
          </cell>
          <cell r="N10393" t="str">
            <v>NR</v>
          </cell>
          <cell r="O10393" t="str">
            <v>NR</v>
          </cell>
        </row>
        <row r="10394">
          <cell r="E10394" t="str">
            <v>MATH</v>
          </cell>
          <cell r="F10394" t="str">
            <v>MATH-M</v>
          </cell>
          <cell r="G10394">
            <v>18</v>
          </cell>
          <cell r="H10394" t="str">
            <v>MATH-M18</v>
          </cell>
          <cell r="K10394" t="str">
            <v>Riggs,Kyle Walter</v>
          </cell>
          <cell r="N10394" t="str">
            <v>NR</v>
          </cell>
          <cell r="O10394" t="str">
            <v>NR</v>
          </cell>
        </row>
        <row r="10395">
          <cell r="E10395" t="str">
            <v>MATH</v>
          </cell>
          <cell r="F10395" t="str">
            <v>MATH-M</v>
          </cell>
          <cell r="G10395">
            <v>18</v>
          </cell>
          <cell r="H10395" t="str">
            <v>MATH-M18</v>
          </cell>
          <cell r="K10395" t="str">
            <v>Weakley,Le Mai Liwag Nguyen</v>
          </cell>
          <cell r="N10395" t="str">
            <v>NR</v>
          </cell>
          <cell r="O10395" t="str">
            <v>NR</v>
          </cell>
        </row>
        <row r="10396">
          <cell r="E10396" t="str">
            <v>MATH</v>
          </cell>
          <cell r="F10396" t="str">
            <v>MATH-M</v>
          </cell>
          <cell r="G10396">
            <v>18</v>
          </cell>
          <cell r="H10396" t="str">
            <v>MATH-M18</v>
          </cell>
          <cell r="K10396" t="str">
            <v>Weakley,Le Mai Liwag Nguyen</v>
          </cell>
          <cell r="N10396" t="str">
            <v>NR</v>
          </cell>
          <cell r="O10396" t="str">
            <v>NR</v>
          </cell>
        </row>
        <row r="10397">
          <cell r="E10397" t="str">
            <v>MATH</v>
          </cell>
          <cell r="F10397" t="str">
            <v>MATH-M</v>
          </cell>
          <cell r="G10397">
            <v>18</v>
          </cell>
          <cell r="H10397" t="str">
            <v>MATH-M18</v>
          </cell>
          <cell r="K10397" t="str">
            <v>Weakley,Le Mai Liwag Nguyen</v>
          </cell>
          <cell r="N10397" t="str">
            <v>NR</v>
          </cell>
          <cell r="O10397" t="str">
            <v>NR</v>
          </cell>
        </row>
        <row r="10398">
          <cell r="E10398" t="str">
            <v>MATH</v>
          </cell>
          <cell r="F10398" t="str">
            <v>MATH-M</v>
          </cell>
          <cell r="G10398">
            <v>18</v>
          </cell>
          <cell r="H10398" t="str">
            <v>MATH-M18</v>
          </cell>
          <cell r="K10398" t="str">
            <v>Weakley,Le Mai Liwag Nguyen</v>
          </cell>
          <cell r="N10398" t="str">
            <v>NR</v>
          </cell>
          <cell r="O10398" t="str">
            <v>NR</v>
          </cell>
        </row>
        <row r="10399">
          <cell r="E10399" t="str">
            <v>MATH</v>
          </cell>
          <cell r="F10399" t="str">
            <v>MATH-M</v>
          </cell>
          <cell r="G10399">
            <v>25</v>
          </cell>
          <cell r="H10399" t="str">
            <v>MATH-M25</v>
          </cell>
          <cell r="K10399" t="str">
            <v>Gershon,Arthur Lee</v>
          </cell>
          <cell r="N10399">
            <v>1.129</v>
          </cell>
          <cell r="O10399">
            <v>2.3170000000000002</v>
          </cell>
        </row>
        <row r="10400">
          <cell r="E10400" t="str">
            <v>MATH</v>
          </cell>
          <cell r="F10400" t="str">
            <v>MATH-M</v>
          </cell>
          <cell r="G10400">
            <v>25</v>
          </cell>
          <cell r="H10400" t="str">
            <v>MATH-M25</v>
          </cell>
          <cell r="K10400" t="str">
            <v>Hong,Youngjoon</v>
          </cell>
          <cell r="N10400">
            <v>2.157</v>
          </cell>
          <cell r="O10400">
            <v>2.863</v>
          </cell>
        </row>
        <row r="10401">
          <cell r="E10401" t="str">
            <v>MATH</v>
          </cell>
          <cell r="F10401" t="str">
            <v>MATH-M</v>
          </cell>
          <cell r="G10401">
            <v>25</v>
          </cell>
          <cell r="H10401" t="str">
            <v>MATH-M25</v>
          </cell>
          <cell r="K10401" t="str">
            <v>Hong,Youngjoon</v>
          </cell>
          <cell r="N10401">
            <v>1.6679999999999999</v>
          </cell>
          <cell r="O10401">
            <v>2.415</v>
          </cell>
        </row>
        <row r="10402">
          <cell r="E10402" t="str">
            <v>MATH</v>
          </cell>
          <cell r="F10402" t="str">
            <v>MATH-M</v>
          </cell>
          <cell r="G10402">
            <v>25</v>
          </cell>
          <cell r="H10402" t="str">
            <v>MATH-M25</v>
          </cell>
          <cell r="K10402" t="str">
            <v>Huang,Aimin</v>
          </cell>
          <cell r="N10402">
            <v>1.9930000000000001</v>
          </cell>
          <cell r="O10402">
            <v>2.8090000000000002</v>
          </cell>
        </row>
        <row r="10403">
          <cell r="E10403" t="str">
            <v>MATH</v>
          </cell>
          <cell r="F10403" t="str">
            <v>MATH-M</v>
          </cell>
          <cell r="G10403">
            <v>25</v>
          </cell>
          <cell r="H10403" t="str">
            <v>MATH-M25</v>
          </cell>
          <cell r="K10403" t="str">
            <v>Kutluay,Deniz</v>
          </cell>
          <cell r="N10403">
            <v>2.62</v>
          </cell>
          <cell r="O10403">
            <v>2.6579999999999999</v>
          </cell>
        </row>
        <row r="10404">
          <cell r="E10404" t="str">
            <v>MATH</v>
          </cell>
          <cell r="F10404" t="str">
            <v>MATH-M</v>
          </cell>
          <cell r="G10404">
            <v>25</v>
          </cell>
          <cell r="H10404" t="str">
            <v>MATH-M25</v>
          </cell>
          <cell r="K10404" t="str">
            <v>Lai,Tri Minh</v>
          </cell>
          <cell r="N10404">
            <v>1.26</v>
          </cell>
          <cell r="O10404">
            <v>2.3069999999999999</v>
          </cell>
        </row>
        <row r="10405">
          <cell r="E10405" t="str">
            <v>MATH</v>
          </cell>
          <cell r="F10405" t="str">
            <v>MATH-M</v>
          </cell>
          <cell r="G10405">
            <v>25</v>
          </cell>
          <cell r="H10405" t="str">
            <v>MATH-M25</v>
          </cell>
          <cell r="K10405" t="str">
            <v>Lai,Tri Minh</v>
          </cell>
          <cell r="N10405">
            <v>1.6379999999999999</v>
          </cell>
          <cell r="O10405">
            <v>2.452</v>
          </cell>
        </row>
        <row r="10406">
          <cell r="E10406" t="str">
            <v>MATH</v>
          </cell>
          <cell r="F10406" t="str">
            <v>MATH-M</v>
          </cell>
          <cell r="G10406">
            <v>25</v>
          </cell>
          <cell r="H10406" t="str">
            <v>MATH-M25</v>
          </cell>
          <cell r="K10406" t="str">
            <v>Tan,Kuo-Chiang</v>
          </cell>
          <cell r="N10406">
            <v>1.5289999999999999</v>
          </cell>
          <cell r="O10406">
            <v>2.6629999999999998</v>
          </cell>
        </row>
        <row r="10407">
          <cell r="E10407" t="str">
            <v>MATH</v>
          </cell>
          <cell r="F10407" t="str">
            <v>MATH-M</v>
          </cell>
          <cell r="G10407">
            <v>25</v>
          </cell>
          <cell r="H10407" t="str">
            <v>MATH-M25</v>
          </cell>
          <cell r="K10407" t="str">
            <v>Yao,Jinghua</v>
          </cell>
          <cell r="N10407">
            <v>2.0030000000000001</v>
          </cell>
          <cell r="O10407">
            <v>2.617</v>
          </cell>
        </row>
        <row r="10408">
          <cell r="E10408" t="str">
            <v>MATH</v>
          </cell>
          <cell r="F10408" t="str">
            <v>MATH-M</v>
          </cell>
          <cell r="G10408">
            <v>25</v>
          </cell>
          <cell r="H10408" t="str">
            <v>MATH-M25</v>
          </cell>
          <cell r="K10408" t="str">
            <v>Zhong,Ping</v>
          </cell>
          <cell r="N10408">
            <v>1.9410000000000001</v>
          </cell>
          <cell r="O10408">
            <v>2.605</v>
          </cell>
        </row>
        <row r="10409">
          <cell r="E10409" t="str">
            <v>MATH</v>
          </cell>
          <cell r="F10409" t="str">
            <v>MATH-M</v>
          </cell>
          <cell r="G10409">
            <v>26</v>
          </cell>
          <cell r="H10409" t="str">
            <v>MATH-M26</v>
          </cell>
          <cell r="K10409" t="str">
            <v>Chakraborty,Somnath</v>
          </cell>
          <cell r="N10409" t="str">
            <v>NR</v>
          </cell>
          <cell r="O10409" t="str">
            <v>NR</v>
          </cell>
        </row>
        <row r="10410">
          <cell r="E10410" t="str">
            <v>MATH</v>
          </cell>
          <cell r="F10410" t="str">
            <v>MATH-M</v>
          </cell>
          <cell r="G10410">
            <v>26</v>
          </cell>
          <cell r="H10410" t="str">
            <v>MATH-M26</v>
          </cell>
          <cell r="K10410" t="str">
            <v>Kutluay,Deniz</v>
          </cell>
          <cell r="N10410" t="str">
            <v>NR</v>
          </cell>
          <cell r="O10410" t="str">
            <v>NR</v>
          </cell>
        </row>
        <row r="10411">
          <cell r="E10411" t="str">
            <v>MATH</v>
          </cell>
          <cell r="F10411" t="str">
            <v>MATH-M</v>
          </cell>
          <cell r="G10411">
            <v>27</v>
          </cell>
          <cell r="H10411" t="str">
            <v>MATH-M27</v>
          </cell>
          <cell r="K10411" t="str">
            <v>Clouatre,Raphael</v>
          </cell>
          <cell r="N10411">
            <v>1.7430000000000001</v>
          </cell>
          <cell r="O10411">
            <v>2.3319999999999999</v>
          </cell>
        </row>
        <row r="10412">
          <cell r="E10412" t="str">
            <v>MATH</v>
          </cell>
          <cell r="F10412" t="str">
            <v>MATH-M</v>
          </cell>
          <cell r="G10412">
            <v>27</v>
          </cell>
          <cell r="H10412" t="str">
            <v>MATH-M27</v>
          </cell>
          <cell r="K10412" t="str">
            <v>Gupta,Nikhil</v>
          </cell>
          <cell r="N10412">
            <v>2.4609999999999999</v>
          </cell>
          <cell r="O10412">
            <v>2.5939999999999999</v>
          </cell>
        </row>
        <row r="10413">
          <cell r="E10413" t="str">
            <v>MATH</v>
          </cell>
          <cell r="F10413" t="str">
            <v>MATH-M</v>
          </cell>
          <cell r="G10413">
            <v>27</v>
          </cell>
          <cell r="H10413" t="str">
            <v>MATH-M27</v>
          </cell>
          <cell r="K10413" t="str">
            <v>Gupta,Nikhil</v>
          </cell>
          <cell r="N10413">
            <v>2.544</v>
          </cell>
          <cell r="O10413">
            <v>2.7770000000000001</v>
          </cell>
        </row>
        <row r="10414">
          <cell r="E10414" t="str">
            <v>MATH</v>
          </cell>
          <cell r="F10414" t="str">
            <v>MATH-M</v>
          </cell>
          <cell r="G10414">
            <v>27</v>
          </cell>
          <cell r="H10414" t="str">
            <v>MATH-M27</v>
          </cell>
          <cell r="K10414" t="str">
            <v>Gupta,Nikhil</v>
          </cell>
          <cell r="N10414">
            <v>1.7949999999999999</v>
          </cell>
          <cell r="O10414">
            <v>2.3109999999999999</v>
          </cell>
        </row>
        <row r="10415">
          <cell r="E10415" t="str">
            <v>MATH</v>
          </cell>
          <cell r="F10415" t="str">
            <v>MATH-M</v>
          </cell>
          <cell r="G10415">
            <v>27</v>
          </cell>
          <cell r="H10415" t="str">
            <v>MATH-M27</v>
          </cell>
          <cell r="K10415" t="str">
            <v>McShane,James</v>
          </cell>
          <cell r="N10415">
            <v>2.0139999999999998</v>
          </cell>
          <cell r="O10415">
            <v>2.4950000000000001</v>
          </cell>
        </row>
        <row r="10416">
          <cell r="E10416" t="str">
            <v>MATH</v>
          </cell>
          <cell r="F10416" t="str">
            <v>MATH-M</v>
          </cell>
          <cell r="G10416">
            <v>27</v>
          </cell>
          <cell r="H10416" t="str">
            <v>MATH-M27</v>
          </cell>
          <cell r="K10416" t="str">
            <v>Poelhuis,Jonathan Wesley</v>
          </cell>
          <cell r="N10416">
            <v>2.137</v>
          </cell>
          <cell r="O10416">
            <v>2.64</v>
          </cell>
        </row>
        <row r="10417">
          <cell r="E10417" t="str">
            <v>MATH</v>
          </cell>
          <cell r="F10417" t="str">
            <v>MATH-M</v>
          </cell>
          <cell r="G10417">
            <v>118</v>
          </cell>
          <cell r="H10417" t="str">
            <v>MATH-M118</v>
          </cell>
          <cell r="K10417" t="str">
            <v>Attenborough,Holly Elizabeth</v>
          </cell>
          <cell r="N10417">
            <v>2.9060000000000001</v>
          </cell>
          <cell r="O10417">
            <v>2.99</v>
          </cell>
        </row>
        <row r="10418">
          <cell r="E10418" t="str">
            <v>MATH</v>
          </cell>
          <cell r="F10418" t="str">
            <v>MATH-M</v>
          </cell>
          <cell r="G10418">
            <v>118</v>
          </cell>
          <cell r="H10418" t="str">
            <v>MATH-M118</v>
          </cell>
          <cell r="K10418" t="str">
            <v>Attenborough,Holly Elizabeth</v>
          </cell>
          <cell r="N10418">
            <v>2.4689999999999999</v>
          </cell>
          <cell r="O10418">
            <v>2.8130000000000002</v>
          </cell>
        </row>
        <row r="10419">
          <cell r="E10419" t="str">
            <v>MATH</v>
          </cell>
          <cell r="F10419" t="str">
            <v>MATH-M</v>
          </cell>
          <cell r="G10419">
            <v>118</v>
          </cell>
          <cell r="H10419" t="str">
            <v>MATH-M118</v>
          </cell>
          <cell r="K10419" t="str">
            <v>Balci,Nusret</v>
          </cell>
          <cell r="N10419">
            <v>2.7029999999999998</v>
          </cell>
          <cell r="O10419">
            <v>2.988</v>
          </cell>
        </row>
        <row r="10420">
          <cell r="E10420" t="str">
            <v>MATH</v>
          </cell>
          <cell r="F10420" t="str">
            <v>MATH-M</v>
          </cell>
          <cell r="G10420">
            <v>118</v>
          </cell>
          <cell r="H10420" t="str">
            <v>MATH-M118</v>
          </cell>
          <cell r="K10420" t="str">
            <v>Bercovici,Hari</v>
          </cell>
          <cell r="N10420">
            <v>2.83</v>
          </cell>
          <cell r="O10420">
            <v>3.0990000000000002</v>
          </cell>
        </row>
        <row r="10421">
          <cell r="E10421" t="str">
            <v>MATH</v>
          </cell>
          <cell r="F10421" t="str">
            <v>MATH-M</v>
          </cell>
          <cell r="G10421">
            <v>118</v>
          </cell>
          <cell r="H10421" t="str">
            <v>MATH-M118</v>
          </cell>
          <cell r="K10421" t="str">
            <v>Bhattacharya,Prasit</v>
          </cell>
          <cell r="N10421">
            <v>2.6859999999999999</v>
          </cell>
          <cell r="O10421">
            <v>3.0510000000000002</v>
          </cell>
        </row>
        <row r="10422">
          <cell r="E10422" t="str">
            <v>MATH</v>
          </cell>
          <cell r="F10422" t="str">
            <v>MATH-M</v>
          </cell>
          <cell r="G10422">
            <v>118</v>
          </cell>
          <cell r="H10422" t="str">
            <v>MATH-M118</v>
          </cell>
          <cell r="K10422" t="str">
            <v>Bhattacharya,Prasit</v>
          </cell>
          <cell r="N10422">
            <v>2.7839999999999998</v>
          </cell>
          <cell r="O10422">
            <v>2.8959999999999999</v>
          </cell>
        </row>
        <row r="10423">
          <cell r="E10423" t="str">
            <v>MATH</v>
          </cell>
          <cell r="F10423" t="str">
            <v>MATH-M</v>
          </cell>
          <cell r="G10423">
            <v>118</v>
          </cell>
          <cell r="H10423" t="str">
            <v>MATH-M118</v>
          </cell>
          <cell r="K10423" t="str">
            <v>Coleman II,Neal Edgar</v>
          </cell>
          <cell r="N10423">
            <v>2.3730000000000002</v>
          </cell>
          <cell r="O10423">
            <v>2.927</v>
          </cell>
        </row>
        <row r="10424">
          <cell r="E10424" t="str">
            <v>MATH</v>
          </cell>
          <cell r="F10424" t="str">
            <v>MATH-M</v>
          </cell>
          <cell r="G10424">
            <v>118</v>
          </cell>
          <cell r="H10424" t="str">
            <v>MATH-M118</v>
          </cell>
          <cell r="K10424" t="str">
            <v>Coleman II,Neal Edgar</v>
          </cell>
          <cell r="N10424">
            <v>2.4420000000000002</v>
          </cell>
          <cell r="O10424">
            <v>2.8620000000000001</v>
          </cell>
        </row>
        <row r="10425">
          <cell r="E10425" t="str">
            <v>MATH</v>
          </cell>
          <cell r="F10425" t="str">
            <v>MATH-M</v>
          </cell>
          <cell r="G10425">
            <v>118</v>
          </cell>
          <cell r="H10425" t="str">
            <v>MATH-M118</v>
          </cell>
          <cell r="K10425" t="str">
            <v>Coleman II,Neal Edgar</v>
          </cell>
          <cell r="N10425">
            <v>2.1419999999999999</v>
          </cell>
          <cell r="O10425">
            <v>2.8580000000000001</v>
          </cell>
        </row>
        <row r="10426">
          <cell r="E10426" t="str">
            <v>MATH</v>
          </cell>
          <cell r="F10426" t="str">
            <v>MATH-M</v>
          </cell>
          <cell r="G10426">
            <v>118</v>
          </cell>
          <cell r="H10426" t="str">
            <v>MATH-M118</v>
          </cell>
          <cell r="K10426" t="str">
            <v>Dabrowski,Andrew John</v>
          </cell>
          <cell r="N10426">
            <v>2.774</v>
          </cell>
          <cell r="O10426">
            <v>3.0190000000000001</v>
          </cell>
        </row>
        <row r="10427">
          <cell r="E10427" t="str">
            <v>MATH</v>
          </cell>
          <cell r="F10427" t="str">
            <v>MATH-M</v>
          </cell>
          <cell r="G10427">
            <v>118</v>
          </cell>
          <cell r="H10427" t="str">
            <v>MATH-M118</v>
          </cell>
          <cell r="K10427" t="str">
            <v>Hendrickson,James</v>
          </cell>
          <cell r="N10427">
            <v>2.5070000000000001</v>
          </cell>
          <cell r="O10427">
            <v>2.9369999999999998</v>
          </cell>
        </row>
        <row r="10428">
          <cell r="E10428" t="str">
            <v>MATH</v>
          </cell>
          <cell r="F10428" t="str">
            <v>MATH-M</v>
          </cell>
          <cell r="G10428">
            <v>118</v>
          </cell>
          <cell r="H10428" t="str">
            <v>MATH-M118</v>
          </cell>
          <cell r="K10428" t="str">
            <v>Hendrickson,James</v>
          </cell>
          <cell r="N10428">
            <v>2.4500000000000002</v>
          </cell>
          <cell r="O10428">
            <v>2.827</v>
          </cell>
        </row>
        <row r="10429">
          <cell r="E10429" t="str">
            <v>MATH</v>
          </cell>
          <cell r="F10429" t="str">
            <v>MATH-M</v>
          </cell>
          <cell r="G10429">
            <v>118</v>
          </cell>
          <cell r="H10429" t="str">
            <v>MATH-M118</v>
          </cell>
          <cell r="K10429" t="str">
            <v>Hong,Youngjoon</v>
          </cell>
          <cell r="N10429">
            <v>2.5950000000000002</v>
          </cell>
          <cell r="O10429">
            <v>2.9060000000000001</v>
          </cell>
        </row>
        <row r="10430">
          <cell r="E10430" t="str">
            <v>MATH</v>
          </cell>
          <cell r="F10430" t="str">
            <v>MATH-M</v>
          </cell>
          <cell r="G10430">
            <v>118</v>
          </cell>
          <cell r="H10430" t="str">
            <v>MATH-M118</v>
          </cell>
          <cell r="K10430" t="str">
            <v>Hui,Chun Yin</v>
          </cell>
          <cell r="N10430">
            <v>2.738</v>
          </cell>
          <cell r="O10430">
            <v>3.0830000000000002</v>
          </cell>
        </row>
        <row r="10431">
          <cell r="E10431" t="str">
            <v>MATH</v>
          </cell>
          <cell r="F10431" t="str">
            <v>MATH-M</v>
          </cell>
          <cell r="G10431">
            <v>118</v>
          </cell>
          <cell r="H10431" t="str">
            <v>MATH-M118</v>
          </cell>
          <cell r="K10431" t="str">
            <v>Ilinca,Liviu</v>
          </cell>
          <cell r="N10431">
            <v>1.92</v>
          </cell>
          <cell r="O10431">
            <v>2.911</v>
          </cell>
        </row>
        <row r="10432">
          <cell r="E10432" t="str">
            <v>MATH</v>
          </cell>
          <cell r="F10432" t="str">
            <v>MATH-M</v>
          </cell>
          <cell r="G10432">
            <v>118</v>
          </cell>
          <cell r="H10432" t="str">
            <v>MATH-M118</v>
          </cell>
          <cell r="K10432" t="str">
            <v>Kattner,Gregory Karl</v>
          </cell>
          <cell r="N10432">
            <v>2.8359999999999999</v>
          </cell>
          <cell r="O10432">
            <v>3.0710000000000002</v>
          </cell>
        </row>
        <row r="10433">
          <cell r="E10433" t="str">
            <v>MATH</v>
          </cell>
          <cell r="F10433" t="str">
            <v>MATH-M</v>
          </cell>
          <cell r="G10433">
            <v>118</v>
          </cell>
          <cell r="H10433" t="str">
            <v>MATH-M118</v>
          </cell>
          <cell r="K10433" t="str">
            <v>Kattner,Gregory Karl</v>
          </cell>
          <cell r="N10433">
            <v>2.4329999999999998</v>
          </cell>
          <cell r="O10433">
            <v>2.9</v>
          </cell>
        </row>
        <row r="10434">
          <cell r="E10434" t="str">
            <v>MATH</v>
          </cell>
          <cell r="F10434" t="str">
            <v>MATH-M</v>
          </cell>
          <cell r="G10434">
            <v>118</v>
          </cell>
          <cell r="H10434" t="str">
            <v>MATH-M118</v>
          </cell>
          <cell r="K10434" t="str">
            <v>Kavousian,Shabnam</v>
          </cell>
          <cell r="N10434">
            <v>2.9660000000000002</v>
          </cell>
          <cell r="O10434">
            <v>3.1589999999999998</v>
          </cell>
        </row>
        <row r="10435">
          <cell r="E10435" t="str">
            <v>MATH</v>
          </cell>
          <cell r="F10435" t="str">
            <v>MATH-M</v>
          </cell>
          <cell r="G10435">
            <v>118</v>
          </cell>
          <cell r="H10435" t="str">
            <v>MATH-M118</v>
          </cell>
          <cell r="K10435" t="str">
            <v>Kirk,Paul A.</v>
          </cell>
          <cell r="N10435">
            <v>2.36</v>
          </cell>
          <cell r="O10435">
            <v>3.016</v>
          </cell>
        </row>
        <row r="10436">
          <cell r="E10436" t="str">
            <v>MATH</v>
          </cell>
          <cell r="F10436" t="str">
            <v>MATH-M</v>
          </cell>
          <cell r="G10436">
            <v>118</v>
          </cell>
          <cell r="H10436" t="str">
            <v>MATH-M118</v>
          </cell>
          <cell r="K10436" t="str">
            <v>Manoharan,Palanivel</v>
          </cell>
          <cell r="N10436">
            <v>2.7669999999999999</v>
          </cell>
          <cell r="O10436">
            <v>2.9889999999999999</v>
          </cell>
        </row>
        <row r="10437">
          <cell r="E10437" t="str">
            <v>MATH</v>
          </cell>
          <cell r="F10437" t="str">
            <v>MATH-M</v>
          </cell>
          <cell r="G10437">
            <v>118</v>
          </cell>
          <cell r="H10437" t="str">
            <v>MATH-M118</v>
          </cell>
          <cell r="K10437" t="str">
            <v>McKinley,Stephen Carl</v>
          </cell>
          <cell r="N10437">
            <v>2.6920000000000002</v>
          </cell>
          <cell r="O10437">
            <v>3.0030000000000001</v>
          </cell>
        </row>
        <row r="10438">
          <cell r="E10438" t="str">
            <v>MATH</v>
          </cell>
          <cell r="F10438" t="str">
            <v>MATH-M</v>
          </cell>
          <cell r="G10438">
            <v>118</v>
          </cell>
          <cell r="H10438" t="str">
            <v>MATH-M118</v>
          </cell>
          <cell r="K10438" t="str">
            <v>McKinley,Stephen Carl</v>
          </cell>
          <cell r="N10438">
            <v>2.78</v>
          </cell>
          <cell r="O10438">
            <v>3.024</v>
          </cell>
        </row>
        <row r="10439">
          <cell r="E10439" t="str">
            <v>MATH</v>
          </cell>
          <cell r="F10439" t="str">
            <v>MATH-M</v>
          </cell>
          <cell r="G10439">
            <v>118</v>
          </cell>
          <cell r="H10439" t="str">
            <v>MATH-M118</v>
          </cell>
          <cell r="K10439" t="str">
            <v>McKinley,Stephen Carl</v>
          </cell>
          <cell r="N10439">
            <v>2.448</v>
          </cell>
          <cell r="O10439">
            <v>3.101</v>
          </cell>
        </row>
        <row r="10440">
          <cell r="E10440" t="str">
            <v>MATH</v>
          </cell>
          <cell r="F10440" t="str">
            <v>MATH-M</v>
          </cell>
          <cell r="G10440">
            <v>118</v>
          </cell>
          <cell r="H10440" t="str">
            <v>MATH-M118</v>
          </cell>
          <cell r="K10440" t="str">
            <v>Orr,Kent E.</v>
          </cell>
          <cell r="N10440">
            <v>2.722</v>
          </cell>
          <cell r="O10440">
            <v>3.032</v>
          </cell>
        </row>
        <row r="10441">
          <cell r="E10441" t="str">
            <v>MATH</v>
          </cell>
          <cell r="F10441" t="str">
            <v>MATH-M</v>
          </cell>
          <cell r="G10441">
            <v>118</v>
          </cell>
          <cell r="H10441" t="str">
            <v>MATH-M118</v>
          </cell>
          <cell r="K10441" t="str">
            <v>Orrick,William P.</v>
          </cell>
          <cell r="N10441">
            <v>2.1280000000000001</v>
          </cell>
          <cell r="O10441">
            <v>2.8290000000000002</v>
          </cell>
        </row>
        <row r="10442">
          <cell r="E10442" t="str">
            <v>MATH</v>
          </cell>
          <cell r="F10442" t="str">
            <v>MATH-M</v>
          </cell>
          <cell r="G10442">
            <v>118</v>
          </cell>
          <cell r="H10442" t="str">
            <v>MATH-M118</v>
          </cell>
          <cell r="K10442" t="str">
            <v>Pinchuk,Sergey Ivanovich</v>
          </cell>
          <cell r="N10442">
            <v>2.4340000000000002</v>
          </cell>
          <cell r="O10442">
            <v>3.032</v>
          </cell>
        </row>
        <row r="10443">
          <cell r="E10443" t="str">
            <v>MATH</v>
          </cell>
          <cell r="F10443" t="str">
            <v>MATH-M</v>
          </cell>
          <cell r="G10443">
            <v>118</v>
          </cell>
          <cell r="H10443" t="str">
            <v>MATH-M118</v>
          </cell>
          <cell r="K10443" t="str">
            <v>Pinchuk,Sergey Ivanovich</v>
          </cell>
          <cell r="N10443">
            <v>2.4209999999999998</v>
          </cell>
          <cell r="O10443">
            <v>3.0419999999999998</v>
          </cell>
        </row>
        <row r="10444">
          <cell r="E10444" t="str">
            <v>MATH</v>
          </cell>
          <cell r="F10444" t="str">
            <v>MATH-M</v>
          </cell>
          <cell r="G10444">
            <v>118</v>
          </cell>
          <cell r="H10444" t="str">
            <v>MATH-M118</v>
          </cell>
          <cell r="K10444" t="str">
            <v>Ratnayake,Jayampathy Kamalsiri</v>
          </cell>
          <cell r="N10444">
            <v>2.173</v>
          </cell>
          <cell r="O10444">
            <v>2.7690000000000001</v>
          </cell>
        </row>
        <row r="10445">
          <cell r="E10445" t="str">
            <v>MATH</v>
          </cell>
          <cell r="F10445" t="str">
            <v>MATH-M</v>
          </cell>
          <cell r="G10445">
            <v>118</v>
          </cell>
          <cell r="H10445" t="str">
            <v>MATH-M118</v>
          </cell>
          <cell r="K10445" t="str">
            <v>Tager,Tristan Renbourne</v>
          </cell>
          <cell r="N10445">
            <v>3.0510000000000002</v>
          </cell>
          <cell r="O10445">
            <v>3.0129999999999999</v>
          </cell>
        </row>
        <row r="10446">
          <cell r="E10446" t="str">
            <v>MATH</v>
          </cell>
          <cell r="F10446" t="str">
            <v>MATH-M</v>
          </cell>
          <cell r="G10446">
            <v>118</v>
          </cell>
          <cell r="H10446" t="str">
            <v>MATH-M118</v>
          </cell>
          <cell r="K10446" t="str">
            <v>Tager,Tristan Renbourne</v>
          </cell>
          <cell r="N10446">
            <v>2.8250000000000002</v>
          </cell>
          <cell r="O10446">
            <v>2.9660000000000002</v>
          </cell>
        </row>
        <row r="10447">
          <cell r="E10447" t="str">
            <v>MATH</v>
          </cell>
          <cell r="F10447" t="str">
            <v>MATH-M</v>
          </cell>
          <cell r="G10447">
            <v>118</v>
          </cell>
          <cell r="H10447" t="str">
            <v>MATH-M118</v>
          </cell>
          <cell r="K10447" t="str">
            <v>Tapay,Andrew Martin</v>
          </cell>
          <cell r="N10447">
            <v>2.4420000000000002</v>
          </cell>
          <cell r="O10447">
            <v>2.9569999999999999</v>
          </cell>
        </row>
        <row r="10448">
          <cell r="E10448" t="str">
            <v>MATH</v>
          </cell>
          <cell r="F10448" t="str">
            <v>MATH-M</v>
          </cell>
          <cell r="G10448">
            <v>118</v>
          </cell>
          <cell r="H10448" t="str">
            <v>MATH-M118</v>
          </cell>
          <cell r="K10448" t="str">
            <v>Tapay,Andrew Martin</v>
          </cell>
          <cell r="N10448">
            <v>2.3719999999999999</v>
          </cell>
          <cell r="O10448">
            <v>2.9020000000000001</v>
          </cell>
        </row>
        <row r="10449">
          <cell r="E10449" t="str">
            <v>MATH</v>
          </cell>
          <cell r="F10449" t="str">
            <v>MATH-M</v>
          </cell>
          <cell r="G10449">
            <v>118</v>
          </cell>
          <cell r="H10449" t="str">
            <v>MATH-M118</v>
          </cell>
          <cell r="K10449" t="str">
            <v>Whelan,Tracy M.</v>
          </cell>
          <cell r="N10449">
            <v>2.1429999999999998</v>
          </cell>
          <cell r="O10449">
            <v>2.6739999999999999</v>
          </cell>
        </row>
        <row r="10450">
          <cell r="E10450" t="str">
            <v>MATH</v>
          </cell>
          <cell r="F10450" t="str">
            <v>MATH-M</v>
          </cell>
          <cell r="G10450">
            <v>118</v>
          </cell>
          <cell r="H10450" t="str">
            <v>MATH-M118</v>
          </cell>
          <cell r="K10450" t="str">
            <v>Whelan,Tracy M.</v>
          </cell>
          <cell r="N10450">
            <v>2.2959999999999998</v>
          </cell>
          <cell r="O10450">
            <v>2.742</v>
          </cell>
        </row>
        <row r="10451">
          <cell r="E10451" t="str">
            <v>MATH</v>
          </cell>
          <cell r="F10451" t="str">
            <v>MATH-M</v>
          </cell>
          <cell r="G10451">
            <v>119</v>
          </cell>
          <cell r="H10451" t="str">
            <v>MATH-M119</v>
          </cell>
          <cell r="K10451" t="str">
            <v>Di Plinio,Francesco</v>
          </cell>
          <cell r="N10451">
            <v>2.2719999999999998</v>
          </cell>
          <cell r="O10451">
            <v>2.9180000000000001</v>
          </cell>
        </row>
        <row r="10452">
          <cell r="E10452" t="str">
            <v>MATH</v>
          </cell>
          <cell r="F10452" t="str">
            <v>MATH-M</v>
          </cell>
          <cell r="G10452">
            <v>119</v>
          </cell>
          <cell r="H10452" t="str">
            <v>MATH-M119</v>
          </cell>
          <cell r="K10452" t="str">
            <v>Gelantalis,Michael</v>
          </cell>
          <cell r="N10452">
            <v>2.0880000000000001</v>
          </cell>
          <cell r="O10452">
            <v>3.073</v>
          </cell>
        </row>
        <row r="10453">
          <cell r="E10453" t="str">
            <v>MATH</v>
          </cell>
          <cell r="F10453" t="str">
            <v>MATH-M</v>
          </cell>
          <cell r="G10453">
            <v>119</v>
          </cell>
          <cell r="H10453" t="str">
            <v>MATH-M119</v>
          </cell>
          <cell r="K10453" t="str">
            <v>Hendrickson,James</v>
          </cell>
          <cell r="N10453">
            <v>2.2120000000000002</v>
          </cell>
          <cell r="O10453">
            <v>3.0720000000000001</v>
          </cell>
        </row>
        <row r="10454">
          <cell r="E10454" t="str">
            <v>MATH</v>
          </cell>
          <cell r="F10454" t="str">
            <v>MATH-M</v>
          </cell>
          <cell r="G10454">
            <v>119</v>
          </cell>
          <cell r="H10454" t="str">
            <v>MATH-M119</v>
          </cell>
          <cell r="K10454" t="str">
            <v>Levenberg,Norman</v>
          </cell>
          <cell r="N10454">
            <v>1.9490000000000001</v>
          </cell>
          <cell r="O10454">
            <v>2.8170000000000002</v>
          </cell>
        </row>
        <row r="10455">
          <cell r="E10455" t="str">
            <v>MATH</v>
          </cell>
          <cell r="F10455" t="str">
            <v>MATH-M</v>
          </cell>
          <cell r="G10455">
            <v>119</v>
          </cell>
          <cell r="H10455" t="str">
            <v>MATH-M119</v>
          </cell>
          <cell r="K10455" t="str">
            <v>Levenberg,Norman</v>
          </cell>
          <cell r="N10455">
            <v>2.0129999999999999</v>
          </cell>
          <cell r="O10455">
            <v>2.8660000000000001</v>
          </cell>
        </row>
        <row r="10456">
          <cell r="E10456" t="str">
            <v>MATH</v>
          </cell>
          <cell r="F10456" t="str">
            <v>MATH-M</v>
          </cell>
          <cell r="G10456">
            <v>119</v>
          </cell>
          <cell r="H10456" t="str">
            <v>MATH-M119</v>
          </cell>
          <cell r="K10456" t="str">
            <v>Manoharan,Palanivel</v>
          </cell>
          <cell r="N10456">
            <v>2.2269999999999999</v>
          </cell>
          <cell r="O10456">
            <v>2.6509999999999998</v>
          </cell>
        </row>
        <row r="10457">
          <cell r="E10457" t="str">
            <v>MATH</v>
          </cell>
          <cell r="F10457" t="str">
            <v>MATH-M</v>
          </cell>
          <cell r="G10457">
            <v>119</v>
          </cell>
          <cell r="H10457" t="str">
            <v>MATH-M119</v>
          </cell>
          <cell r="K10457" t="str">
            <v>Manoharan,Palanivel</v>
          </cell>
          <cell r="N10457">
            <v>2.419</v>
          </cell>
          <cell r="O10457">
            <v>3.01</v>
          </cell>
        </row>
        <row r="10458">
          <cell r="E10458" t="str">
            <v>MATH</v>
          </cell>
          <cell r="F10458" t="str">
            <v>MATH-M</v>
          </cell>
          <cell r="G10458">
            <v>119</v>
          </cell>
          <cell r="H10458" t="str">
            <v>MATH-M119</v>
          </cell>
          <cell r="K10458" t="str">
            <v>Neese,Branden Russell</v>
          </cell>
          <cell r="N10458">
            <v>2.637</v>
          </cell>
          <cell r="O10458">
            <v>3.097</v>
          </cell>
        </row>
        <row r="10459">
          <cell r="E10459" t="str">
            <v>MATH</v>
          </cell>
          <cell r="F10459" t="str">
            <v>MATH-M</v>
          </cell>
          <cell r="G10459">
            <v>119</v>
          </cell>
          <cell r="H10459" t="str">
            <v>MATH-M119</v>
          </cell>
          <cell r="K10459" t="str">
            <v>Orrick,William P.</v>
          </cell>
          <cell r="N10459">
            <v>1.9930000000000001</v>
          </cell>
          <cell r="O10459">
            <v>2.7959999999999998</v>
          </cell>
        </row>
        <row r="10460">
          <cell r="E10460" t="str">
            <v>MATH</v>
          </cell>
          <cell r="F10460" t="str">
            <v>MATH-M</v>
          </cell>
          <cell r="G10460">
            <v>119</v>
          </cell>
          <cell r="H10460" t="str">
            <v>MATH-M119</v>
          </cell>
          <cell r="K10460" t="str">
            <v>Orrick,William P.</v>
          </cell>
          <cell r="N10460">
            <v>2.1819999999999999</v>
          </cell>
          <cell r="O10460">
            <v>2.88</v>
          </cell>
        </row>
        <row r="10461">
          <cell r="E10461" t="str">
            <v>MATH</v>
          </cell>
          <cell r="F10461" t="str">
            <v>MATH-M</v>
          </cell>
          <cell r="G10461">
            <v>119</v>
          </cell>
          <cell r="H10461" t="str">
            <v>MATH-M119</v>
          </cell>
          <cell r="K10461" t="str">
            <v>Silva,Elwadura Prabath Suranga</v>
          </cell>
          <cell r="N10461">
            <v>2.0680000000000001</v>
          </cell>
          <cell r="O10461">
            <v>2.9159999999999999</v>
          </cell>
        </row>
        <row r="10462">
          <cell r="E10462" t="str">
            <v>MATH</v>
          </cell>
          <cell r="F10462" t="str">
            <v>MATH-M</v>
          </cell>
          <cell r="G10462">
            <v>119</v>
          </cell>
          <cell r="H10462" t="str">
            <v>MATH-M119</v>
          </cell>
          <cell r="K10462" t="str">
            <v>Solomon,Bruce Michael</v>
          </cell>
          <cell r="N10462">
            <v>2.0950000000000002</v>
          </cell>
          <cell r="O10462">
            <v>2.8730000000000002</v>
          </cell>
        </row>
        <row r="10463">
          <cell r="E10463" t="str">
            <v>MATH</v>
          </cell>
          <cell r="F10463" t="str">
            <v>MATH-M</v>
          </cell>
          <cell r="G10463">
            <v>119</v>
          </cell>
          <cell r="H10463" t="str">
            <v>MATH-M119</v>
          </cell>
          <cell r="K10463" t="str">
            <v>Wang,Shouhong</v>
          </cell>
          <cell r="N10463">
            <v>2.3410000000000002</v>
          </cell>
          <cell r="O10463">
            <v>2.9460000000000002</v>
          </cell>
        </row>
        <row r="10464">
          <cell r="E10464" t="str">
            <v>MATH</v>
          </cell>
          <cell r="F10464" t="str">
            <v>MATH-M</v>
          </cell>
          <cell r="G10464">
            <v>119</v>
          </cell>
          <cell r="H10464" t="str">
            <v>MATH-M119</v>
          </cell>
          <cell r="K10464" t="str">
            <v>Whelan,Tracy M.</v>
          </cell>
          <cell r="N10464">
            <v>2.3039999999999998</v>
          </cell>
          <cell r="O10464">
            <v>2.9319999999999999</v>
          </cell>
        </row>
        <row r="10465">
          <cell r="E10465" t="str">
            <v>MATH</v>
          </cell>
          <cell r="F10465" t="str">
            <v>MATH-M</v>
          </cell>
          <cell r="G10465">
            <v>119</v>
          </cell>
          <cell r="H10465" t="str">
            <v>MATH-M119</v>
          </cell>
          <cell r="K10465" t="str">
            <v>Zhang,Le</v>
          </cell>
          <cell r="N10465">
            <v>2.2149999999999999</v>
          </cell>
          <cell r="O10465">
            <v>2.875</v>
          </cell>
        </row>
        <row r="10466">
          <cell r="E10466" t="str">
            <v>MATH</v>
          </cell>
          <cell r="F10466" t="str">
            <v>MATH-M</v>
          </cell>
          <cell r="G10466">
            <v>119</v>
          </cell>
          <cell r="H10466" t="str">
            <v>MATH-M119</v>
          </cell>
          <cell r="K10466" t="str">
            <v>Zhang,Le</v>
          </cell>
          <cell r="N10466">
            <v>2.2429999999999999</v>
          </cell>
          <cell r="O10466">
            <v>2.9710000000000001</v>
          </cell>
        </row>
        <row r="10467">
          <cell r="E10467" t="str">
            <v>MATH</v>
          </cell>
          <cell r="F10467" t="str">
            <v>MATH-M</v>
          </cell>
          <cell r="G10467">
            <v>120</v>
          </cell>
          <cell r="H10467" t="str">
            <v>MATH-M120</v>
          </cell>
          <cell r="K10467" t="str">
            <v>Khan,Qayum</v>
          </cell>
          <cell r="N10467">
            <v>2.2469999999999999</v>
          </cell>
          <cell r="O10467">
            <v>2.899</v>
          </cell>
        </row>
        <row r="10468">
          <cell r="E10468" t="str">
            <v>MATH</v>
          </cell>
          <cell r="F10468" t="str">
            <v>MATH-M</v>
          </cell>
          <cell r="G10468">
            <v>120</v>
          </cell>
          <cell r="H10468" t="str">
            <v>MATH-M120</v>
          </cell>
          <cell r="K10468" t="str">
            <v>Khan,Qayum</v>
          </cell>
          <cell r="N10468">
            <v>2.3439999999999999</v>
          </cell>
          <cell r="O10468">
            <v>2.984</v>
          </cell>
        </row>
        <row r="10469">
          <cell r="E10469" t="str">
            <v>MATH</v>
          </cell>
          <cell r="F10469" t="str">
            <v>MATH-M</v>
          </cell>
          <cell r="G10469">
            <v>120</v>
          </cell>
          <cell r="H10469" t="str">
            <v>MATH-M120</v>
          </cell>
          <cell r="K10469" t="str">
            <v>Li,Kevin Hung Yip</v>
          </cell>
          <cell r="N10469">
            <v>2.3290000000000002</v>
          </cell>
          <cell r="O10469">
            <v>2.94</v>
          </cell>
        </row>
        <row r="10470">
          <cell r="E10470" t="str">
            <v>MATH</v>
          </cell>
          <cell r="F10470" t="str">
            <v>MATH-M</v>
          </cell>
          <cell r="G10470">
            <v>120</v>
          </cell>
          <cell r="H10470" t="str">
            <v>MATH-M120</v>
          </cell>
          <cell r="K10470" t="str">
            <v>Patel,Deepam</v>
          </cell>
          <cell r="N10470">
            <v>2.7749999999999999</v>
          </cell>
          <cell r="O10470">
            <v>3.0390000000000001</v>
          </cell>
        </row>
        <row r="10471">
          <cell r="E10471" t="str">
            <v>MATH</v>
          </cell>
          <cell r="F10471" t="str">
            <v>MATH-M</v>
          </cell>
          <cell r="G10471">
            <v>120</v>
          </cell>
          <cell r="H10471" t="str">
            <v>MATH-M120</v>
          </cell>
          <cell r="K10471" t="str">
            <v>Powell,Mark Andrew Christopher</v>
          </cell>
          <cell r="N10471">
            <v>3.0710000000000002</v>
          </cell>
          <cell r="O10471">
            <v>3.1619999999999999</v>
          </cell>
        </row>
        <row r="10472">
          <cell r="E10472" t="str">
            <v>MATH</v>
          </cell>
          <cell r="F10472" t="str">
            <v>MATH-M</v>
          </cell>
          <cell r="G10472">
            <v>211</v>
          </cell>
          <cell r="H10472" t="str">
            <v>MATH-M211</v>
          </cell>
          <cell r="K10472" t="str">
            <v>Chipeniuk,Karsten Owen</v>
          </cell>
          <cell r="N10472">
            <v>2.1480000000000001</v>
          </cell>
          <cell r="O10472">
            <v>3.08</v>
          </cell>
        </row>
        <row r="10473">
          <cell r="E10473" t="str">
            <v>MATH</v>
          </cell>
          <cell r="F10473" t="str">
            <v>MATH-M</v>
          </cell>
          <cell r="G10473">
            <v>211</v>
          </cell>
          <cell r="H10473" t="str">
            <v>MATH-M211</v>
          </cell>
          <cell r="K10473" t="str">
            <v>Chipeniuk,Karsten Owen</v>
          </cell>
          <cell r="N10473">
            <v>2.6360000000000001</v>
          </cell>
          <cell r="O10473">
            <v>3.0449999999999999</v>
          </cell>
        </row>
        <row r="10474">
          <cell r="E10474" t="str">
            <v>MATH</v>
          </cell>
          <cell r="F10474" t="str">
            <v>MATH-M</v>
          </cell>
          <cell r="G10474">
            <v>211</v>
          </cell>
          <cell r="H10474" t="str">
            <v>MATH-M211</v>
          </cell>
          <cell r="K10474" t="str">
            <v>Chipeniuk,Karsten Owen</v>
          </cell>
          <cell r="N10474">
            <v>2.157</v>
          </cell>
          <cell r="O10474">
            <v>2.867</v>
          </cell>
        </row>
        <row r="10475">
          <cell r="E10475" t="str">
            <v>MATH</v>
          </cell>
          <cell r="F10475" t="str">
            <v>MATH-M</v>
          </cell>
          <cell r="G10475">
            <v>211</v>
          </cell>
          <cell r="H10475" t="str">
            <v>MATH-M211</v>
          </cell>
          <cell r="K10475" t="str">
            <v>Demeter,Iulia Cristina</v>
          </cell>
          <cell r="N10475">
            <v>2.456</v>
          </cell>
          <cell r="O10475">
            <v>2.8849999999999998</v>
          </cell>
        </row>
        <row r="10476">
          <cell r="E10476" t="str">
            <v>MATH</v>
          </cell>
          <cell r="F10476" t="str">
            <v>MATH-M</v>
          </cell>
          <cell r="G10476">
            <v>211</v>
          </cell>
          <cell r="H10476" t="str">
            <v>MATH-M211</v>
          </cell>
          <cell r="K10476" t="str">
            <v>Doig,Margaret</v>
          </cell>
          <cell r="N10476">
            <v>2.4849999999999999</v>
          </cell>
          <cell r="O10476">
            <v>2.9620000000000002</v>
          </cell>
        </row>
        <row r="10477">
          <cell r="E10477" t="str">
            <v>MATH</v>
          </cell>
          <cell r="F10477" t="str">
            <v>MATH-M</v>
          </cell>
          <cell r="G10477">
            <v>211</v>
          </cell>
          <cell r="H10477" t="str">
            <v>MATH-M211</v>
          </cell>
          <cell r="K10477" t="str">
            <v>Hart,David C</v>
          </cell>
          <cell r="N10477">
            <v>2.629</v>
          </cell>
          <cell r="O10477">
            <v>3.032</v>
          </cell>
        </row>
        <row r="10478">
          <cell r="E10478" t="str">
            <v>MATH</v>
          </cell>
          <cell r="F10478" t="str">
            <v>MATH-M</v>
          </cell>
          <cell r="G10478">
            <v>211</v>
          </cell>
          <cell r="H10478" t="str">
            <v>MATH-M211</v>
          </cell>
          <cell r="K10478" t="str">
            <v>Isaacson,Erica Amy</v>
          </cell>
          <cell r="N10478">
            <v>2.4390000000000001</v>
          </cell>
          <cell r="O10478">
            <v>2.9750000000000001</v>
          </cell>
        </row>
        <row r="10479">
          <cell r="E10479" t="str">
            <v>MATH</v>
          </cell>
          <cell r="F10479" t="str">
            <v>MATH-M</v>
          </cell>
          <cell r="G10479">
            <v>211</v>
          </cell>
          <cell r="H10479" t="str">
            <v>MATH-M211</v>
          </cell>
          <cell r="K10479" t="str">
            <v>Kattner,Gregory Karl</v>
          </cell>
          <cell r="N10479">
            <v>2.7730000000000001</v>
          </cell>
          <cell r="O10479">
            <v>3.2170000000000001</v>
          </cell>
        </row>
        <row r="10480">
          <cell r="E10480" t="str">
            <v>MATH</v>
          </cell>
          <cell r="F10480" t="str">
            <v>MATH-M</v>
          </cell>
          <cell r="G10480">
            <v>211</v>
          </cell>
          <cell r="H10480" t="str">
            <v>MATH-M211</v>
          </cell>
          <cell r="K10480" t="str">
            <v>Kirk,Beth Alicia</v>
          </cell>
          <cell r="N10480">
            <v>2.5979999999999999</v>
          </cell>
          <cell r="O10480">
            <v>3.069</v>
          </cell>
        </row>
        <row r="10481">
          <cell r="E10481" t="str">
            <v>MATH</v>
          </cell>
          <cell r="F10481" t="str">
            <v>MATH-M</v>
          </cell>
          <cell r="G10481">
            <v>211</v>
          </cell>
          <cell r="H10481" t="str">
            <v>MATH-M211</v>
          </cell>
          <cell r="K10481" t="str">
            <v>Lunts,Valery</v>
          </cell>
          <cell r="N10481">
            <v>2.6680000000000001</v>
          </cell>
          <cell r="O10481">
            <v>2.9889999999999999</v>
          </cell>
        </row>
        <row r="10482">
          <cell r="E10482" t="str">
            <v>MATH</v>
          </cell>
          <cell r="F10482" t="str">
            <v>MATH-M</v>
          </cell>
          <cell r="G10482">
            <v>211</v>
          </cell>
          <cell r="H10482" t="str">
            <v>MATH-M211</v>
          </cell>
          <cell r="K10482" t="str">
            <v>Orrick,William P.</v>
          </cell>
          <cell r="N10482">
            <v>2.48</v>
          </cell>
          <cell r="O10482">
            <v>2.9</v>
          </cell>
        </row>
        <row r="10483">
          <cell r="E10483" t="str">
            <v>MATH</v>
          </cell>
          <cell r="F10483" t="str">
            <v>MATH-M</v>
          </cell>
          <cell r="G10483">
            <v>211</v>
          </cell>
          <cell r="H10483" t="str">
            <v>MATH-M211</v>
          </cell>
          <cell r="K10483" t="str">
            <v>Powell,Mark Andrew Christopher</v>
          </cell>
          <cell r="N10483">
            <v>3.0390000000000001</v>
          </cell>
          <cell r="O10483">
            <v>3.0659999999999998</v>
          </cell>
        </row>
        <row r="10484">
          <cell r="E10484" t="str">
            <v>MATH</v>
          </cell>
          <cell r="F10484" t="str">
            <v>MATH-M</v>
          </cell>
          <cell r="G10484">
            <v>211</v>
          </cell>
          <cell r="H10484" t="str">
            <v>MATH-M211</v>
          </cell>
          <cell r="K10484" t="str">
            <v>Powell,Mark Andrew Christopher</v>
          </cell>
          <cell r="N10484">
            <v>2.927</v>
          </cell>
          <cell r="O10484">
            <v>2.8879999999999999</v>
          </cell>
        </row>
        <row r="10485">
          <cell r="E10485" t="str">
            <v>MATH</v>
          </cell>
          <cell r="F10485" t="str">
            <v>MATH-M</v>
          </cell>
          <cell r="G10485">
            <v>211</v>
          </cell>
          <cell r="H10485" t="str">
            <v>MATH-M211</v>
          </cell>
          <cell r="K10485" t="str">
            <v>Solomon,Bruce Michael</v>
          </cell>
          <cell r="N10485">
            <v>2.13</v>
          </cell>
          <cell r="O10485">
            <v>2.7989999999999999</v>
          </cell>
        </row>
        <row r="10486">
          <cell r="E10486" t="str">
            <v>MATH</v>
          </cell>
          <cell r="F10486" t="str">
            <v>MATH-M</v>
          </cell>
          <cell r="G10486">
            <v>211</v>
          </cell>
          <cell r="H10486" t="str">
            <v>MATH-M211</v>
          </cell>
          <cell r="K10486" t="str">
            <v>Timotin,Dan Grigore</v>
          </cell>
          <cell r="N10486">
            <v>2.464</v>
          </cell>
          <cell r="O10486">
            <v>2.8639999999999999</v>
          </cell>
        </row>
        <row r="10487">
          <cell r="E10487" t="str">
            <v>MATH</v>
          </cell>
          <cell r="F10487" t="str">
            <v>MATH-M</v>
          </cell>
          <cell r="G10487">
            <v>211</v>
          </cell>
          <cell r="H10487" t="str">
            <v>MATH-M211</v>
          </cell>
          <cell r="K10487" t="str">
            <v>Torchinsky,Alberto</v>
          </cell>
          <cell r="N10487">
            <v>2.7149999999999999</v>
          </cell>
          <cell r="O10487">
            <v>3.1230000000000002</v>
          </cell>
        </row>
        <row r="10488">
          <cell r="E10488" t="str">
            <v>MATH</v>
          </cell>
          <cell r="F10488" t="str">
            <v>MATH-M</v>
          </cell>
          <cell r="G10488">
            <v>211</v>
          </cell>
          <cell r="H10488" t="str">
            <v>MATH-M211</v>
          </cell>
          <cell r="K10488" t="str">
            <v>Weaver,Bryce</v>
          </cell>
          <cell r="N10488">
            <v>2.5390000000000001</v>
          </cell>
          <cell r="O10488">
            <v>2.9830000000000001</v>
          </cell>
        </row>
        <row r="10489">
          <cell r="E10489" t="str">
            <v>MATH</v>
          </cell>
          <cell r="F10489" t="str">
            <v>MATH-M</v>
          </cell>
          <cell r="G10489">
            <v>211</v>
          </cell>
          <cell r="H10489" t="str">
            <v>MATH-M211</v>
          </cell>
          <cell r="K10489" t="str">
            <v>Weaver,Bryce</v>
          </cell>
          <cell r="N10489">
            <v>1.8</v>
          </cell>
          <cell r="O10489">
            <v>2.8250000000000002</v>
          </cell>
        </row>
        <row r="10490">
          <cell r="E10490" t="str">
            <v>MATH</v>
          </cell>
          <cell r="F10490" t="str">
            <v>MATH-M</v>
          </cell>
          <cell r="G10490">
            <v>212</v>
          </cell>
          <cell r="H10490" t="str">
            <v>MATH-M212</v>
          </cell>
          <cell r="K10490" t="str">
            <v>Demeter,Ciprian</v>
          </cell>
          <cell r="N10490">
            <v>2.6819999999999999</v>
          </cell>
          <cell r="O10490">
            <v>3.1059999999999999</v>
          </cell>
        </row>
        <row r="10491">
          <cell r="E10491" t="str">
            <v>MATH</v>
          </cell>
          <cell r="F10491" t="str">
            <v>MATH-M</v>
          </cell>
          <cell r="G10491">
            <v>212</v>
          </cell>
          <cell r="H10491" t="str">
            <v>MATH-M212</v>
          </cell>
          <cell r="K10491" t="str">
            <v>Doig,Margaret</v>
          </cell>
          <cell r="N10491">
            <v>1.962</v>
          </cell>
          <cell r="O10491">
            <v>2.86</v>
          </cell>
        </row>
        <row r="10492">
          <cell r="E10492" t="str">
            <v>MATH</v>
          </cell>
          <cell r="F10492" t="str">
            <v>MATH-M</v>
          </cell>
          <cell r="G10492">
            <v>212</v>
          </cell>
          <cell r="H10492" t="str">
            <v>MATH-M212</v>
          </cell>
          <cell r="K10492" t="str">
            <v>Gautam,S. Zubin</v>
          </cell>
          <cell r="N10492">
            <v>2.9159999999999999</v>
          </cell>
          <cell r="O10492">
            <v>3.1429999999999998</v>
          </cell>
        </row>
        <row r="10493">
          <cell r="E10493" t="str">
            <v>MATH</v>
          </cell>
          <cell r="F10493" t="str">
            <v>MATH-M</v>
          </cell>
          <cell r="G10493">
            <v>212</v>
          </cell>
          <cell r="H10493" t="str">
            <v>MATH-M212</v>
          </cell>
          <cell r="K10493" t="str">
            <v>Gendulphe,Matthieu Raphael</v>
          </cell>
          <cell r="N10493">
            <v>2.3260000000000001</v>
          </cell>
          <cell r="O10493">
            <v>2.9460000000000002</v>
          </cell>
        </row>
        <row r="10494">
          <cell r="E10494" t="str">
            <v>MATH</v>
          </cell>
          <cell r="F10494" t="str">
            <v>MATH-M</v>
          </cell>
          <cell r="G10494">
            <v>212</v>
          </cell>
          <cell r="H10494" t="str">
            <v>MATH-M212</v>
          </cell>
          <cell r="K10494" t="str">
            <v>Gendulphe,Matthieu Raphael</v>
          </cell>
          <cell r="N10494">
            <v>2.9340000000000002</v>
          </cell>
          <cell r="O10494">
            <v>3.198</v>
          </cell>
        </row>
        <row r="10495">
          <cell r="E10495" t="str">
            <v>MATH</v>
          </cell>
          <cell r="F10495" t="str">
            <v>MATH-M</v>
          </cell>
          <cell r="G10495">
            <v>212</v>
          </cell>
          <cell r="H10495" t="str">
            <v>MATH-M212</v>
          </cell>
          <cell r="K10495" t="str">
            <v>Hoff,David C.</v>
          </cell>
          <cell r="N10495">
            <v>2.9140000000000001</v>
          </cell>
          <cell r="O10495">
            <v>3.18</v>
          </cell>
        </row>
        <row r="10496">
          <cell r="E10496" t="str">
            <v>MATH</v>
          </cell>
          <cell r="F10496" t="str">
            <v>MATH-M</v>
          </cell>
          <cell r="G10496">
            <v>212</v>
          </cell>
          <cell r="H10496" t="str">
            <v>MATH-M212</v>
          </cell>
          <cell r="K10496" t="str">
            <v>Livingston,Charles</v>
          </cell>
          <cell r="N10496">
            <v>2.8</v>
          </cell>
          <cell r="O10496">
            <v>3.2029999999999998</v>
          </cell>
        </row>
        <row r="10497">
          <cell r="E10497" t="str">
            <v>MATH</v>
          </cell>
          <cell r="F10497" t="str">
            <v>MATH-M</v>
          </cell>
          <cell r="G10497">
            <v>212</v>
          </cell>
          <cell r="H10497" t="str">
            <v>MATH-M212</v>
          </cell>
          <cell r="K10497" t="str">
            <v>Pogan,Alin</v>
          </cell>
          <cell r="N10497">
            <v>2.6110000000000002</v>
          </cell>
          <cell r="O10497">
            <v>2.9249999999999998</v>
          </cell>
        </row>
        <row r="10498">
          <cell r="E10498" t="str">
            <v>MATH</v>
          </cell>
          <cell r="F10498" t="str">
            <v>MATH-M</v>
          </cell>
          <cell r="G10498">
            <v>212</v>
          </cell>
          <cell r="H10498" t="str">
            <v>MATH-M212</v>
          </cell>
          <cell r="K10498" t="str">
            <v>Rounds,Nathaniel</v>
          </cell>
          <cell r="N10498">
            <v>2.5230000000000001</v>
          </cell>
          <cell r="O10498">
            <v>2.84</v>
          </cell>
        </row>
        <row r="10499">
          <cell r="E10499" t="str">
            <v>MATH</v>
          </cell>
          <cell r="F10499" t="str">
            <v>MATH-M</v>
          </cell>
          <cell r="G10499">
            <v>212</v>
          </cell>
          <cell r="H10499" t="str">
            <v>MATH-M212</v>
          </cell>
          <cell r="K10499" t="str">
            <v>Strauch,Matthias Johannes</v>
          </cell>
          <cell r="N10499">
            <v>2.7</v>
          </cell>
          <cell r="O10499">
            <v>3.0129999999999999</v>
          </cell>
        </row>
        <row r="10500">
          <cell r="E10500" t="str">
            <v>MATH</v>
          </cell>
          <cell r="F10500" t="str">
            <v>MATH-M</v>
          </cell>
          <cell r="G10500">
            <v>213</v>
          </cell>
          <cell r="H10500" t="str">
            <v>MATH-M213</v>
          </cell>
          <cell r="K10500" t="str">
            <v>McKinley,Linda Bidelman</v>
          </cell>
          <cell r="N10500">
            <v>2.669</v>
          </cell>
          <cell r="O10500">
            <v>3.081</v>
          </cell>
        </row>
        <row r="10501">
          <cell r="E10501" t="str">
            <v>MATH</v>
          </cell>
          <cell r="F10501" t="str">
            <v>MATH-M</v>
          </cell>
          <cell r="G10501">
            <v>301</v>
          </cell>
          <cell r="H10501" t="str">
            <v>MATH-M301</v>
          </cell>
          <cell r="K10501" t="str">
            <v>Koh,Jee Heub</v>
          </cell>
          <cell r="N10501">
            <v>2.8479999999999999</v>
          </cell>
          <cell r="O10501">
            <v>3.0409999999999999</v>
          </cell>
        </row>
        <row r="10502">
          <cell r="E10502" t="str">
            <v>MATH</v>
          </cell>
          <cell r="F10502" t="str">
            <v>MATH-M</v>
          </cell>
          <cell r="G10502">
            <v>301</v>
          </cell>
          <cell r="H10502" t="str">
            <v>MATH-M301</v>
          </cell>
          <cell r="K10502" t="str">
            <v>Powell,Mark Andrew Christopher</v>
          </cell>
          <cell r="N10502">
            <v>2.4700000000000002</v>
          </cell>
          <cell r="O10502">
            <v>3.02</v>
          </cell>
        </row>
        <row r="10503">
          <cell r="E10503" t="str">
            <v>MATH</v>
          </cell>
          <cell r="F10503" t="str">
            <v>MATH-M</v>
          </cell>
          <cell r="G10503">
            <v>303</v>
          </cell>
          <cell r="H10503" t="str">
            <v>MATH-M303</v>
          </cell>
          <cell r="K10503" t="str">
            <v>Lindenstrauss,Ayelet E.</v>
          </cell>
          <cell r="N10503">
            <v>2.8889999999999998</v>
          </cell>
          <cell r="O10503">
            <v>3.34</v>
          </cell>
        </row>
        <row r="10504">
          <cell r="E10504" t="str">
            <v>MATH</v>
          </cell>
          <cell r="F10504" t="str">
            <v>MATH-M</v>
          </cell>
          <cell r="G10504">
            <v>303</v>
          </cell>
          <cell r="H10504" t="str">
            <v>MATH-M303</v>
          </cell>
          <cell r="K10504" t="str">
            <v>Mandell,Michael A</v>
          </cell>
          <cell r="N10504">
            <v>2.7909999999999999</v>
          </cell>
          <cell r="O10504">
            <v>3.0880000000000001</v>
          </cell>
        </row>
        <row r="10505">
          <cell r="E10505" t="str">
            <v>MATH</v>
          </cell>
          <cell r="F10505" t="str">
            <v>MATH-M</v>
          </cell>
          <cell r="G10505">
            <v>303</v>
          </cell>
          <cell r="H10505" t="str">
            <v>MATH-M303</v>
          </cell>
          <cell r="K10505" t="str">
            <v>Orr,Kent E.</v>
          </cell>
          <cell r="N10505">
            <v>2.95</v>
          </cell>
          <cell r="O10505">
            <v>3.2080000000000002</v>
          </cell>
        </row>
        <row r="10506">
          <cell r="E10506" t="str">
            <v>MATH</v>
          </cell>
          <cell r="F10506" t="str">
            <v>MATH-M</v>
          </cell>
          <cell r="G10506">
            <v>303</v>
          </cell>
          <cell r="H10506" t="str">
            <v>MATH-M303</v>
          </cell>
          <cell r="K10506" t="str">
            <v>Pinchuk,Sergey Ivanovich</v>
          </cell>
          <cell r="N10506">
            <v>2.2490000000000001</v>
          </cell>
          <cell r="O10506">
            <v>3.1930000000000001</v>
          </cell>
        </row>
        <row r="10507">
          <cell r="E10507" t="str">
            <v>MATH</v>
          </cell>
          <cell r="F10507" t="str">
            <v>MATH-M</v>
          </cell>
          <cell r="G10507">
            <v>303</v>
          </cell>
          <cell r="H10507" t="str">
            <v>MATH-M303</v>
          </cell>
          <cell r="K10507" t="str">
            <v>Pogan,Alin</v>
          </cell>
          <cell r="N10507">
            <v>3.2719999999999998</v>
          </cell>
          <cell r="O10507">
            <v>3.1960000000000002</v>
          </cell>
        </row>
        <row r="10508">
          <cell r="E10508" t="str">
            <v>MATH</v>
          </cell>
          <cell r="F10508" t="str">
            <v>MATH-M</v>
          </cell>
          <cell r="G10508">
            <v>303</v>
          </cell>
          <cell r="H10508" t="str">
            <v>MATH-M303</v>
          </cell>
          <cell r="K10508" t="str">
            <v>Sha,Ji-Ping</v>
          </cell>
          <cell r="N10508">
            <v>2.5529999999999999</v>
          </cell>
          <cell r="O10508">
            <v>3.0619999999999998</v>
          </cell>
        </row>
        <row r="10509">
          <cell r="E10509" t="str">
            <v>MATH</v>
          </cell>
          <cell r="F10509" t="str">
            <v>MATH-M</v>
          </cell>
          <cell r="G10509">
            <v>303</v>
          </cell>
          <cell r="H10509" t="str">
            <v>MATH-M303</v>
          </cell>
          <cell r="K10509" t="str">
            <v>Solomon,Bruce Michael</v>
          </cell>
          <cell r="N10509">
            <v>2.7549999999999999</v>
          </cell>
          <cell r="O10509">
            <v>3.1440000000000001</v>
          </cell>
        </row>
        <row r="10510">
          <cell r="E10510" t="str">
            <v>MATH</v>
          </cell>
          <cell r="F10510" t="str">
            <v>MATH-M</v>
          </cell>
          <cell r="G10510">
            <v>311</v>
          </cell>
          <cell r="H10510" t="str">
            <v>MATH-M311</v>
          </cell>
          <cell r="K10510" t="str">
            <v>Balci,Nusret</v>
          </cell>
          <cell r="N10510">
            <v>2.2330000000000001</v>
          </cell>
          <cell r="O10510">
            <v>2.8849999999999998</v>
          </cell>
        </row>
        <row r="10511">
          <cell r="E10511" t="str">
            <v>MATH</v>
          </cell>
          <cell r="F10511" t="str">
            <v>MATH-M</v>
          </cell>
          <cell r="G10511">
            <v>311</v>
          </cell>
          <cell r="H10511" t="str">
            <v>MATH-M311</v>
          </cell>
          <cell r="K10511" t="str">
            <v>Dabrowski,Andrew John</v>
          </cell>
          <cell r="N10511">
            <v>3.5510000000000002</v>
          </cell>
          <cell r="O10511">
            <v>3.24</v>
          </cell>
        </row>
        <row r="10512">
          <cell r="E10512" t="str">
            <v>MATH</v>
          </cell>
          <cell r="F10512" t="str">
            <v>MATH-M</v>
          </cell>
          <cell r="G10512">
            <v>311</v>
          </cell>
          <cell r="H10512" t="str">
            <v>MATH-M311</v>
          </cell>
          <cell r="K10512" t="str">
            <v>Eden,Alp</v>
          </cell>
          <cell r="N10512">
            <v>3.0169999999999999</v>
          </cell>
          <cell r="O10512">
            <v>3.2650000000000001</v>
          </cell>
        </row>
        <row r="10513">
          <cell r="E10513" t="str">
            <v>MATH</v>
          </cell>
          <cell r="F10513" t="str">
            <v>MATH-M</v>
          </cell>
          <cell r="G10513">
            <v>311</v>
          </cell>
          <cell r="H10513" t="str">
            <v>MATH-M311</v>
          </cell>
          <cell r="K10513" t="str">
            <v>Im,Bo-Hae</v>
          </cell>
          <cell r="N10513">
            <v>2.7890000000000001</v>
          </cell>
          <cell r="O10513">
            <v>3.1030000000000002</v>
          </cell>
        </row>
        <row r="10514">
          <cell r="E10514" t="str">
            <v>MATH</v>
          </cell>
          <cell r="F10514" t="str">
            <v>MATH-M</v>
          </cell>
          <cell r="G10514">
            <v>311</v>
          </cell>
          <cell r="H10514" t="str">
            <v>MATH-M311</v>
          </cell>
          <cell r="K10514" t="str">
            <v>Larsen,Michael J.</v>
          </cell>
          <cell r="N10514">
            <v>2.8730000000000002</v>
          </cell>
          <cell r="O10514">
            <v>3.149</v>
          </cell>
        </row>
        <row r="10515">
          <cell r="E10515" t="str">
            <v>MATH</v>
          </cell>
          <cell r="F10515" t="str">
            <v>MATH-M</v>
          </cell>
          <cell r="G10515">
            <v>311</v>
          </cell>
          <cell r="H10515" t="str">
            <v>MATH-M311</v>
          </cell>
          <cell r="K10515" t="str">
            <v>Marion,Martine Louise</v>
          </cell>
          <cell r="N10515">
            <v>2.4319999999999999</v>
          </cell>
          <cell r="O10515">
            <v>3.2850000000000001</v>
          </cell>
        </row>
        <row r="10516">
          <cell r="E10516" t="str">
            <v>MATH</v>
          </cell>
          <cell r="F10516" t="str">
            <v>MATH-M</v>
          </cell>
          <cell r="G10516">
            <v>311</v>
          </cell>
          <cell r="H10516" t="str">
            <v>MATH-M311</v>
          </cell>
          <cell r="K10516" t="str">
            <v>Sha,Ji-Ping</v>
          </cell>
          <cell r="N10516">
            <v>2.7770000000000001</v>
          </cell>
          <cell r="O10516">
            <v>3.0830000000000002</v>
          </cell>
        </row>
        <row r="10517">
          <cell r="E10517" t="str">
            <v>MATH</v>
          </cell>
          <cell r="F10517" t="str">
            <v>MATH-M</v>
          </cell>
          <cell r="G10517">
            <v>311</v>
          </cell>
          <cell r="H10517" t="str">
            <v>MATH-M311</v>
          </cell>
          <cell r="K10517" t="str">
            <v>Timotin,Dan Grigore</v>
          </cell>
          <cell r="N10517">
            <v>2.4359999999999999</v>
          </cell>
          <cell r="O10517">
            <v>3.1150000000000002</v>
          </cell>
        </row>
        <row r="10518">
          <cell r="E10518" t="str">
            <v>MATH</v>
          </cell>
          <cell r="F10518" t="str">
            <v>MATH-M</v>
          </cell>
          <cell r="G10518">
            <v>312</v>
          </cell>
          <cell r="H10518" t="str">
            <v>MATH-M312</v>
          </cell>
          <cell r="K10518" t="str">
            <v>Lindenstrauss,Ayelet E.</v>
          </cell>
          <cell r="N10518">
            <v>2.6850000000000001</v>
          </cell>
          <cell r="O10518">
            <v>3.1920000000000002</v>
          </cell>
        </row>
        <row r="10519">
          <cell r="E10519" t="str">
            <v>MATH</v>
          </cell>
          <cell r="F10519" t="str">
            <v>MATH-M</v>
          </cell>
          <cell r="G10519">
            <v>312</v>
          </cell>
          <cell r="H10519" t="str">
            <v>MATH-M312</v>
          </cell>
          <cell r="K10519" t="str">
            <v>Sternberg,Peter J.</v>
          </cell>
          <cell r="N10519">
            <v>2.7320000000000002</v>
          </cell>
          <cell r="O10519">
            <v>3.1190000000000002</v>
          </cell>
        </row>
        <row r="10520">
          <cell r="E10520" t="str">
            <v>MATH</v>
          </cell>
          <cell r="F10520" t="str">
            <v>MATH-M</v>
          </cell>
          <cell r="G10520">
            <v>330</v>
          </cell>
          <cell r="H10520" t="str">
            <v>MATH-M330</v>
          </cell>
          <cell r="K10520" t="str">
            <v>Weber,Matthias</v>
          </cell>
          <cell r="N10520">
            <v>3.25</v>
          </cell>
          <cell r="O10520">
            <v>3.3260000000000001</v>
          </cell>
        </row>
        <row r="10521">
          <cell r="E10521" t="str">
            <v>MATH</v>
          </cell>
          <cell r="F10521" t="str">
            <v>MATH-M</v>
          </cell>
          <cell r="G10521">
            <v>343</v>
          </cell>
          <cell r="H10521" t="str">
            <v>MATH-M343</v>
          </cell>
          <cell r="K10521" t="str">
            <v>Farhat,Aseel</v>
          </cell>
          <cell r="N10521">
            <v>2.5129999999999999</v>
          </cell>
          <cell r="O10521">
            <v>3.14</v>
          </cell>
        </row>
        <row r="10522">
          <cell r="E10522" t="str">
            <v>MATH</v>
          </cell>
          <cell r="F10522" t="str">
            <v>MATH-M</v>
          </cell>
          <cell r="G10522">
            <v>343</v>
          </cell>
          <cell r="H10522" t="str">
            <v>MATH-M343</v>
          </cell>
          <cell r="K10522" t="str">
            <v>Farhat,Aseel</v>
          </cell>
          <cell r="N10522">
            <v>2.3660000000000001</v>
          </cell>
          <cell r="O10522">
            <v>3.07</v>
          </cell>
        </row>
        <row r="10523">
          <cell r="E10523" t="str">
            <v>MATH</v>
          </cell>
          <cell r="F10523" t="str">
            <v>MATH-M</v>
          </cell>
          <cell r="G10523">
            <v>343</v>
          </cell>
          <cell r="H10523" t="str">
            <v>MATH-M343</v>
          </cell>
          <cell r="K10523" t="str">
            <v>Hoff,David C.</v>
          </cell>
          <cell r="N10523">
            <v>2.6440000000000001</v>
          </cell>
          <cell r="O10523">
            <v>3.15</v>
          </cell>
        </row>
        <row r="10524">
          <cell r="E10524" t="str">
            <v>MATH</v>
          </cell>
          <cell r="F10524" t="str">
            <v>MATH-M</v>
          </cell>
          <cell r="G10524">
            <v>343</v>
          </cell>
          <cell r="H10524" t="str">
            <v>MATH-M343</v>
          </cell>
          <cell r="K10524" t="str">
            <v>Jolly,Michael S.</v>
          </cell>
          <cell r="N10524">
            <v>2.8069999999999999</v>
          </cell>
          <cell r="O10524">
            <v>3.2970000000000002</v>
          </cell>
        </row>
        <row r="10525">
          <cell r="E10525" t="str">
            <v>MATH</v>
          </cell>
          <cell r="F10525" t="str">
            <v>MATH-M</v>
          </cell>
          <cell r="G10525">
            <v>343</v>
          </cell>
          <cell r="H10525" t="str">
            <v>MATH-M343</v>
          </cell>
          <cell r="K10525" t="str">
            <v>Marion,Martine Louise</v>
          </cell>
          <cell r="N10525">
            <v>2.14</v>
          </cell>
          <cell r="O10525">
            <v>3.0539999999999998</v>
          </cell>
        </row>
        <row r="10526">
          <cell r="E10526" t="str">
            <v>MATH</v>
          </cell>
          <cell r="F10526" t="str">
            <v>MATH-M</v>
          </cell>
          <cell r="G10526">
            <v>343</v>
          </cell>
          <cell r="H10526" t="str">
            <v>MATH-M343</v>
          </cell>
          <cell r="K10526" t="str">
            <v>Sternberg,Peter J.</v>
          </cell>
          <cell r="N10526">
            <v>2.7629999999999999</v>
          </cell>
          <cell r="O10526">
            <v>3.117</v>
          </cell>
        </row>
        <row r="10527">
          <cell r="E10527" t="str">
            <v>MATH</v>
          </cell>
          <cell r="F10527" t="str">
            <v>MATH-M</v>
          </cell>
          <cell r="G10527">
            <v>344</v>
          </cell>
          <cell r="H10527" t="str">
            <v>MATH-M344</v>
          </cell>
          <cell r="K10527" t="str">
            <v>Dadok,Jiri</v>
          </cell>
          <cell r="N10527">
            <v>3.2370000000000001</v>
          </cell>
          <cell r="O10527">
            <v>3.1859999999999999</v>
          </cell>
        </row>
        <row r="10528">
          <cell r="E10528" t="str">
            <v>MATH</v>
          </cell>
          <cell r="F10528" t="str">
            <v>MATH-M</v>
          </cell>
          <cell r="G10528">
            <v>365</v>
          </cell>
          <cell r="H10528" t="str">
            <v>MATH-M365</v>
          </cell>
          <cell r="K10528" t="str">
            <v>Bradley Jr,Richard C.</v>
          </cell>
          <cell r="N10528">
            <v>3.2109999999999999</v>
          </cell>
          <cell r="O10528">
            <v>3.3530000000000002</v>
          </cell>
        </row>
        <row r="10529">
          <cell r="E10529" t="str">
            <v>MATH</v>
          </cell>
          <cell r="F10529" t="str">
            <v>MATH-M</v>
          </cell>
          <cell r="G10529">
            <v>365</v>
          </cell>
          <cell r="H10529" t="str">
            <v>MATH-M365</v>
          </cell>
          <cell r="K10529" t="str">
            <v>Ilinca,Liviu</v>
          </cell>
          <cell r="N10529">
            <v>2.75</v>
          </cell>
          <cell r="O10529">
            <v>3.4239999999999999</v>
          </cell>
        </row>
        <row r="10530">
          <cell r="E10530" t="str">
            <v>MATH</v>
          </cell>
          <cell r="F10530" t="str">
            <v>MATH-M</v>
          </cell>
          <cell r="G10530">
            <v>365</v>
          </cell>
          <cell r="H10530" t="str">
            <v>MATH-M365</v>
          </cell>
          <cell r="K10530" t="str">
            <v>Wheeler,William H.</v>
          </cell>
          <cell r="N10530">
            <v>3.2559999999999998</v>
          </cell>
          <cell r="O10530">
            <v>3.2149999999999999</v>
          </cell>
        </row>
        <row r="10531">
          <cell r="E10531" t="str">
            <v>MATH</v>
          </cell>
          <cell r="F10531" t="str">
            <v>MATH-M</v>
          </cell>
          <cell r="G10531">
            <v>371</v>
          </cell>
          <cell r="H10531" t="str">
            <v>MATH-M371</v>
          </cell>
          <cell r="K10531" t="str">
            <v>Edmonds,Allan L.</v>
          </cell>
          <cell r="N10531">
            <v>3.09</v>
          </cell>
          <cell r="O10531">
            <v>3.2989999999999999</v>
          </cell>
        </row>
        <row r="10532">
          <cell r="E10532" t="str">
            <v>MATH</v>
          </cell>
          <cell r="F10532" t="str">
            <v>MATH-M</v>
          </cell>
          <cell r="G10532">
            <v>380</v>
          </cell>
          <cell r="H10532" t="str">
            <v>MATH-M380</v>
          </cell>
          <cell r="K10532" t="str">
            <v>Edmonds,Allan L.</v>
          </cell>
          <cell r="N10532">
            <v>3.2629999999999999</v>
          </cell>
          <cell r="O10532">
            <v>3.153</v>
          </cell>
        </row>
        <row r="10533">
          <cell r="E10533" t="str">
            <v>MATH</v>
          </cell>
          <cell r="F10533" t="str">
            <v>MATH-M</v>
          </cell>
          <cell r="G10533">
            <v>380</v>
          </cell>
          <cell r="H10533" t="str">
            <v>MATH-M380</v>
          </cell>
          <cell r="K10533" t="str">
            <v>Whelan,Tracy M.</v>
          </cell>
          <cell r="N10533">
            <v>2.93</v>
          </cell>
          <cell r="O10533">
            <v>3.0590000000000002</v>
          </cell>
        </row>
        <row r="10534">
          <cell r="E10534" t="str">
            <v>MATH</v>
          </cell>
          <cell r="F10534" t="str">
            <v>MATH-M</v>
          </cell>
          <cell r="G10534">
            <v>391</v>
          </cell>
          <cell r="H10534" t="str">
            <v>MATH-M391</v>
          </cell>
          <cell r="K10534" t="str">
            <v>Haile,Darrell Eugene</v>
          </cell>
          <cell r="N10534">
            <v>3.1539999999999999</v>
          </cell>
          <cell r="O10534">
            <v>3.173</v>
          </cell>
        </row>
        <row r="10535">
          <cell r="E10535" t="str">
            <v>MATH</v>
          </cell>
          <cell r="F10535" t="str">
            <v>MATH-M</v>
          </cell>
          <cell r="G10535">
            <v>403</v>
          </cell>
          <cell r="H10535" t="str">
            <v>MATH-M403</v>
          </cell>
          <cell r="K10535" t="str">
            <v>Lindenstrauss,Ayelet E.</v>
          </cell>
          <cell r="N10535">
            <v>2.919</v>
          </cell>
          <cell r="O10535">
            <v>3.1629999999999998</v>
          </cell>
        </row>
        <row r="10536">
          <cell r="E10536" t="str">
            <v>MATH</v>
          </cell>
          <cell r="F10536" t="str">
            <v>MATH-M</v>
          </cell>
          <cell r="G10536">
            <v>403</v>
          </cell>
          <cell r="H10536" t="str">
            <v>MATH-M403</v>
          </cell>
          <cell r="K10536" t="str">
            <v>Lunts,Valery</v>
          </cell>
          <cell r="N10536">
            <v>3.625</v>
          </cell>
          <cell r="O10536">
            <v>3.5139999999999998</v>
          </cell>
        </row>
        <row r="10537">
          <cell r="E10537" t="str">
            <v>MATH</v>
          </cell>
          <cell r="F10537" t="str">
            <v>MATH-M</v>
          </cell>
          <cell r="G10537">
            <v>404</v>
          </cell>
          <cell r="H10537" t="str">
            <v>MATH-M404</v>
          </cell>
          <cell r="K10537" t="str">
            <v>Larsen,Michael J.</v>
          </cell>
          <cell r="N10537" t="str">
            <v>NR</v>
          </cell>
          <cell r="O10537" t="str">
            <v>NR</v>
          </cell>
        </row>
        <row r="10538">
          <cell r="E10538" t="str">
            <v>MATH</v>
          </cell>
          <cell r="F10538" t="str">
            <v>MATH-M</v>
          </cell>
          <cell r="G10538">
            <v>405</v>
          </cell>
          <cell r="H10538" t="str">
            <v>MATH-M405</v>
          </cell>
          <cell r="K10538" t="str">
            <v>Touraev,Vladimir Georgievitch</v>
          </cell>
          <cell r="N10538">
            <v>3.3969999999999998</v>
          </cell>
          <cell r="O10538">
            <v>3.254</v>
          </cell>
        </row>
        <row r="10539">
          <cell r="E10539" t="str">
            <v>MATH</v>
          </cell>
          <cell r="F10539" t="str">
            <v>MATH-M</v>
          </cell>
          <cell r="G10539">
            <v>413</v>
          </cell>
          <cell r="H10539" t="str">
            <v>MATH-M413</v>
          </cell>
          <cell r="K10539" t="str">
            <v>Eden,Alp</v>
          </cell>
          <cell r="N10539">
            <v>2.8969999999999998</v>
          </cell>
          <cell r="O10539">
            <v>3.3239999999999998</v>
          </cell>
        </row>
        <row r="10540">
          <cell r="E10540" t="str">
            <v>MATH</v>
          </cell>
          <cell r="F10540" t="str">
            <v>MATH-M</v>
          </cell>
          <cell r="G10540">
            <v>413</v>
          </cell>
          <cell r="H10540" t="str">
            <v>MATH-M413</v>
          </cell>
          <cell r="K10540" t="str">
            <v>Hoff,David C.</v>
          </cell>
          <cell r="N10540">
            <v>2.9750000000000001</v>
          </cell>
          <cell r="O10540">
            <v>3.3260000000000001</v>
          </cell>
        </row>
        <row r="10541">
          <cell r="E10541" t="str">
            <v>MATH</v>
          </cell>
          <cell r="F10541" t="str">
            <v>MATH-M</v>
          </cell>
          <cell r="G10541">
            <v>413</v>
          </cell>
          <cell r="H10541" t="str">
            <v>MATH-M413</v>
          </cell>
          <cell r="K10541" t="str">
            <v>Weber,Matthias</v>
          </cell>
          <cell r="N10541">
            <v>2.944</v>
          </cell>
          <cell r="O10541">
            <v>3.2090000000000001</v>
          </cell>
        </row>
        <row r="10542">
          <cell r="E10542" t="str">
            <v>MATH</v>
          </cell>
          <cell r="F10542" t="str">
            <v>MATH-M</v>
          </cell>
          <cell r="G10542">
            <v>414</v>
          </cell>
          <cell r="H10542" t="str">
            <v>MATH-M414</v>
          </cell>
          <cell r="K10542" t="str">
            <v>Hoff,David C.</v>
          </cell>
          <cell r="N10542" t="str">
            <v>NR</v>
          </cell>
          <cell r="O10542" t="str">
            <v>NR</v>
          </cell>
        </row>
        <row r="10543">
          <cell r="E10543" t="str">
            <v>MATH</v>
          </cell>
          <cell r="F10543" t="str">
            <v>MATH-M</v>
          </cell>
          <cell r="G10543">
            <v>415</v>
          </cell>
          <cell r="H10543" t="str">
            <v>MATH-M415</v>
          </cell>
          <cell r="K10543" t="str">
            <v>Fisher,David Michael</v>
          </cell>
          <cell r="N10543">
            <v>3.18</v>
          </cell>
          <cell r="O10543">
            <v>3.3919999999999999</v>
          </cell>
        </row>
        <row r="10544">
          <cell r="E10544" t="str">
            <v>MATH</v>
          </cell>
          <cell r="F10544" t="str">
            <v>MATH-M</v>
          </cell>
          <cell r="G10544">
            <v>435</v>
          </cell>
          <cell r="H10544" t="str">
            <v>MATH-M435</v>
          </cell>
          <cell r="K10544" t="str">
            <v>Sha,Ji-Ping</v>
          </cell>
          <cell r="N10544" t="str">
            <v>NR</v>
          </cell>
          <cell r="O10544" t="str">
            <v>NR</v>
          </cell>
        </row>
        <row r="10545">
          <cell r="E10545" t="str">
            <v>MATH</v>
          </cell>
          <cell r="F10545" t="str">
            <v>MATH-M</v>
          </cell>
          <cell r="G10545">
            <v>441</v>
          </cell>
          <cell r="H10545" t="str">
            <v>MATH-M441</v>
          </cell>
          <cell r="K10545" t="str">
            <v>Dadok,Jiri</v>
          </cell>
          <cell r="N10545">
            <v>3.206</v>
          </cell>
          <cell r="O10545">
            <v>3.4169999999999998</v>
          </cell>
        </row>
        <row r="10546">
          <cell r="E10546" t="str">
            <v>MATH</v>
          </cell>
          <cell r="F10546" t="str">
            <v>MATH-M</v>
          </cell>
          <cell r="G10546">
            <v>442</v>
          </cell>
          <cell r="H10546" t="str">
            <v>MATH-M442</v>
          </cell>
          <cell r="K10546" t="str">
            <v>Sternberg,Peter J.</v>
          </cell>
          <cell r="N10546">
            <v>3.6560000000000001</v>
          </cell>
          <cell r="O10546">
            <v>3.4740000000000002</v>
          </cell>
        </row>
        <row r="10547">
          <cell r="E10547" t="str">
            <v>MATH</v>
          </cell>
          <cell r="F10547" t="str">
            <v>MATH-M</v>
          </cell>
          <cell r="G10547">
            <v>447</v>
          </cell>
          <cell r="H10547" t="str">
            <v>MATH-M447</v>
          </cell>
          <cell r="K10547" t="str">
            <v>Koh,Jee Heub</v>
          </cell>
          <cell r="N10547">
            <v>3.05</v>
          </cell>
          <cell r="O10547">
            <v>3.19</v>
          </cell>
        </row>
        <row r="10548">
          <cell r="E10548" t="str">
            <v>MATH</v>
          </cell>
          <cell r="F10548" t="str">
            <v>MATH-M</v>
          </cell>
          <cell r="G10548">
            <v>451</v>
          </cell>
          <cell r="H10548" t="str">
            <v>MATH-M451</v>
          </cell>
          <cell r="K10548" t="str">
            <v>Katz,Nets Hawk</v>
          </cell>
          <cell r="N10548">
            <v>3.0379999999999998</v>
          </cell>
          <cell r="O10548">
            <v>3.448</v>
          </cell>
        </row>
        <row r="10549">
          <cell r="E10549" t="str">
            <v>MATH</v>
          </cell>
          <cell r="F10549" t="str">
            <v>MATH-M</v>
          </cell>
          <cell r="G10549">
            <v>453</v>
          </cell>
          <cell r="H10549" t="str">
            <v>MATH-M453</v>
          </cell>
          <cell r="K10549" t="str">
            <v>Koh,Jee Heub</v>
          </cell>
          <cell r="N10549">
            <v>3.1789999999999998</v>
          </cell>
          <cell r="O10549">
            <v>3.4550000000000001</v>
          </cell>
        </row>
        <row r="10550">
          <cell r="E10550" t="str">
            <v>MATH</v>
          </cell>
          <cell r="F10550" t="str">
            <v>MATH-M</v>
          </cell>
          <cell r="G10550">
            <v>463</v>
          </cell>
          <cell r="H10550" t="str">
            <v>MATH-M463</v>
          </cell>
          <cell r="K10550" t="str">
            <v>Dabrowski,Andrew John</v>
          </cell>
          <cell r="N10550">
            <v>3.4510000000000001</v>
          </cell>
          <cell r="O10550">
            <v>3.2519999999999998</v>
          </cell>
        </row>
        <row r="10551">
          <cell r="E10551" t="str">
            <v>MATH</v>
          </cell>
          <cell r="F10551" t="str">
            <v>MATH-M</v>
          </cell>
          <cell r="G10551">
            <v>463</v>
          </cell>
          <cell r="H10551" t="str">
            <v>MATH-M463</v>
          </cell>
          <cell r="K10551" t="str">
            <v>Dadok,Jiri</v>
          </cell>
          <cell r="N10551">
            <v>3.137</v>
          </cell>
          <cell r="O10551">
            <v>3.1150000000000002</v>
          </cell>
        </row>
        <row r="10552">
          <cell r="E10552" t="str">
            <v>MATH</v>
          </cell>
          <cell r="F10552" t="str">
            <v>MATH-M</v>
          </cell>
          <cell r="G10552">
            <v>463</v>
          </cell>
          <cell r="H10552" t="str">
            <v>MATH-M463</v>
          </cell>
          <cell r="K10552" t="str">
            <v>Housworth,Elizabeth</v>
          </cell>
          <cell r="N10552" t="str">
            <v>NR</v>
          </cell>
          <cell r="O10552" t="str">
            <v>NR</v>
          </cell>
        </row>
        <row r="10553">
          <cell r="E10553" t="str">
            <v>MATH</v>
          </cell>
          <cell r="F10553" t="str">
            <v>MATH-M</v>
          </cell>
          <cell r="G10553">
            <v>464</v>
          </cell>
          <cell r="H10553" t="str">
            <v>MATH-M464</v>
          </cell>
          <cell r="K10553" t="str">
            <v>Bradley Jr,Richard C.</v>
          </cell>
          <cell r="N10553">
            <v>3.4289999999999998</v>
          </cell>
          <cell r="O10553">
            <v>3.4670000000000001</v>
          </cell>
        </row>
        <row r="10554">
          <cell r="E10554" t="str">
            <v>MATH</v>
          </cell>
          <cell r="F10554" t="str">
            <v>MATH-M</v>
          </cell>
          <cell r="G10554">
            <v>466</v>
          </cell>
          <cell r="H10554" t="str">
            <v>MATH-M466</v>
          </cell>
          <cell r="K10554" t="str">
            <v>Dadok,Jiri</v>
          </cell>
          <cell r="N10554">
            <v>2.9129999999999998</v>
          </cell>
          <cell r="O10554">
            <v>3.1850000000000001</v>
          </cell>
        </row>
        <row r="10555">
          <cell r="E10555" t="str">
            <v>MATH</v>
          </cell>
          <cell r="F10555" t="str">
            <v>MATH-M</v>
          </cell>
          <cell r="G10555">
            <v>471</v>
          </cell>
          <cell r="H10555" t="str">
            <v>MATH-M471</v>
          </cell>
          <cell r="K10555" t="str">
            <v>Jolly,Michael S.</v>
          </cell>
          <cell r="N10555">
            <v>2.992</v>
          </cell>
          <cell r="O10555">
            <v>3.2789999999999999</v>
          </cell>
        </row>
        <row r="10556">
          <cell r="E10556" t="str">
            <v>MATH</v>
          </cell>
          <cell r="F10556" t="str">
            <v>MATH-M</v>
          </cell>
          <cell r="G10556">
            <v>472</v>
          </cell>
          <cell r="H10556" t="str">
            <v>MATH-M472</v>
          </cell>
          <cell r="K10556" t="str">
            <v>Pogan,Alin</v>
          </cell>
          <cell r="N10556" t="str">
            <v>NR</v>
          </cell>
          <cell r="O10556" t="str">
            <v>NR</v>
          </cell>
        </row>
        <row r="10557">
          <cell r="E10557" t="str">
            <v>MATH</v>
          </cell>
          <cell r="F10557" t="str">
            <v>MATH-M</v>
          </cell>
          <cell r="G10557">
            <v>491</v>
          </cell>
          <cell r="H10557" t="str">
            <v>MATH-M491</v>
          </cell>
          <cell r="K10557" t="str">
            <v>Gerber,Marlies</v>
          </cell>
          <cell r="N10557">
            <v>3.556</v>
          </cell>
          <cell r="O10557">
            <v>3.625</v>
          </cell>
        </row>
        <row r="10558">
          <cell r="E10558" t="str">
            <v>MATH</v>
          </cell>
          <cell r="F10558" t="str">
            <v>MATH-M</v>
          </cell>
          <cell r="G10558">
            <v>501</v>
          </cell>
          <cell r="H10558" t="str">
            <v>MATH-M501</v>
          </cell>
          <cell r="K10558" t="str">
            <v>Strauch,Matthias Johannes</v>
          </cell>
          <cell r="N10558">
            <v>3.4750000000000001</v>
          </cell>
          <cell r="O10558">
            <v>3.7330000000000001</v>
          </cell>
        </row>
        <row r="10559">
          <cell r="E10559" t="str">
            <v>MATH</v>
          </cell>
          <cell r="F10559" t="str">
            <v>MATH-M</v>
          </cell>
          <cell r="G10559">
            <v>502</v>
          </cell>
          <cell r="H10559" t="str">
            <v>MATH-M502</v>
          </cell>
          <cell r="K10559" t="str">
            <v>Haile,Darrell Eugene</v>
          </cell>
          <cell r="N10559">
            <v>3.57</v>
          </cell>
          <cell r="O10559">
            <v>3.8039999999999998</v>
          </cell>
        </row>
        <row r="10560">
          <cell r="E10560" t="str">
            <v>MATH</v>
          </cell>
          <cell r="F10560" t="str">
            <v>MATH-M</v>
          </cell>
          <cell r="G10560">
            <v>508</v>
          </cell>
          <cell r="H10560" t="str">
            <v>MATH-M508</v>
          </cell>
          <cell r="K10560" t="str">
            <v>Strauch,Matthias Johannes</v>
          </cell>
          <cell r="N10560">
            <v>3.6709999999999998</v>
          </cell>
          <cell r="O10560">
            <v>3.8439999999999999</v>
          </cell>
        </row>
        <row r="10561">
          <cell r="E10561" t="str">
            <v>MATH</v>
          </cell>
          <cell r="F10561" t="str">
            <v>MATH-M</v>
          </cell>
          <cell r="G10561">
            <v>511</v>
          </cell>
          <cell r="H10561" t="str">
            <v>MATH-M511</v>
          </cell>
          <cell r="K10561" t="str">
            <v>Wang,Shouhong</v>
          </cell>
          <cell r="N10561">
            <v>3.746</v>
          </cell>
          <cell r="O10561">
            <v>3.4769999999999999</v>
          </cell>
        </row>
        <row r="10562">
          <cell r="E10562" t="str">
            <v>MATH</v>
          </cell>
          <cell r="F10562" t="str">
            <v>MATH-M</v>
          </cell>
          <cell r="G10562">
            <v>512</v>
          </cell>
          <cell r="H10562" t="str">
            <v>MATH-M512</v>
          </cell>
          <cell r="K10562" t="str">
            <v>Gautam,S. Zubin</v>
          </cell>
          <cell r="N10562" t="str">
            <v>NR</v>
          </cell>
          <cell r="O10562" t="str">
            <v>NR</v>
          </cell>
        </row>
        <row r="10563">
          <cell r="E10563" t="str">
            <v>MATH</v>
          </cell>
          <cell r="F10563" t="str">
            <v>MATH-M</v>
          </cell>
          <cell r="G10563">
            <v>513</v>
          </cell>
          <cell r="H10563" t="str">
            <v>MATH-M513</v>
          </cell>
          <cell r="K10563" t="str">
            <v>Juhl-Joricke,Burglind</v>
          </cell>
          <cell r="N10563">
            <v>3.8130000000000002</v>
          </cell>
          <cell r="O10563">
            <v>3.8519999999999999</v>
          </cell>
        </row>
        <row r="10564">
          <cell r="E10564" t="str">
            <v>MATH</v>
          </cell>
          <cell r="F10564" t="str">
            <v>MATH-M</v>
          </cell>
          <cell r="G10564">
            <v>514</v>
          </cell>
          <cell r="H10564" t="str">
            <v>MATH-M514</v>
          </cell>
          <cell r="K10564" t="str">
            <v>Pilgrim,Kevin Michael</v>
          </cell>
          <cell r="N10564" t="str">
            <v>NR</v>
          </cell>
          <cell r="O10564" t="str">
            <v>NR</v>
          </cell>
        </row>
        <row r="10565">
          <cell r="E10565" t="str">
            <v>MATH</v>
          </cell>
          <cell r="F10565" t="str">
            <v>MATH-M</v>
          </cell>
          <cell r="G10565">
            <v>518</v>
          </cell>
          <cell r="H10565" t="str">
            <v>MATH-M518</v>
          </cell>
          <cell r="K10565" t="str">
            <v>Torchinsky,Alberto</v>
          </cell>
          <cell r="N10565">
            <v>4</v>
          </cell>
          <cell r="O10565">
            <v>3.726</v>
          </cell>
        </row>
        <row r="10566">
          <cell r="E10566" t="str">
            <v>MATH</v>
          </cell>
          <cell r="F10566" t="str">
            <v>MATH-M</v>
          </cell>
          <cell r="G10566">
            <v>521</v>
          </cell>
          <cell r="H10566" t="str">
            <v>MATH-M521</v>
          </cell>
          <cell r="K10566" t="str">
            <v>Doig,Margaret</v>
          </cell>
          <cell r="N10566">
            <v>3.3359999999999999</v>
          </cell>
          <cell r="O10566">
            <v>3.706</v>
          </cell>
        </row>
        <row r="10567">
          <cell r="E10567" t="str">
            <v>MATH</v>
          </cell>
          <cell r="F10567" t="str">
            <v>MATH-M</v>
          </cell>
          <cell r="G10567">
            <v>522</v>
          </cell>
          <cell r="H10567" t="str">
            <v>MATH-M522</v>
          </cell>
          <cell r="K10567" t="str">
            <v>Livingston,Charles</v>
          </cell>
          <cell r="N10567">
            <v>4</v>
          </cell>
          <cell r="O10567">
            <v>3.8359999999999999</v>
          </cell>
        </row>
        <row r="10568">
          <cell r="E10568" t="str">
            <v>MATH</v>
          </cell>
          <cell r="F10568" t="str">
            <v>MATH-M</v>
          </cell>
          <cell r="G10568">
            <v>531</v>
          </cell>
          <cell r="H10568" t="str">
            <v>MATH-M531</v>
          </cell>
          <cell r="K10568" t="str">
            <v>Judge,Christopher Martin</v>
          </cell>
          <cell r="N10568">
            <v>3.5129999999999999</v>
          </cell>
          <cell r="O10568">
            <v>3.8050000000000002</v>
          </cell>
        </row>
        <row r="10569">
          <cell r="E10569" t="str">
            <v>MATH</v>
          </cell>
          <cell r="F10569" t="str">
            <v>MATH-M</v>
          </cell>
          <cell r="G10569">
            <v>533</v>
          </cell>
          <cell r="H10569" t="str">
            <v>MATH-M533</v>
          </cell>
          <cell r="K10569" t="str">
            <v>Sha,Ji-Ping</v>
          </cell>
          <cell r="N10569">
            <v>3.78</v>
          </cell>
          <cell r="O10569">
            <v>3.657</v>
          </cell>
        </row>
        <row r="10570">
          <cell r="E10570" t="str">
            <v>MATH</v>
          </cell>
          <cell r="F10570" t="str">
            <v>MATH-M</v>
          </cell>
          <cell r="G10570">
            <v>540</v>
          </cell>
          <cell r="H10570" t="str">
            <v>MATH-M540</v>
          </cell>
          <cell r="K10570" t="str">
            <v>Judge,Christopher Martin</v>
          </cell>
          <cell r="N10570">
            <v>3.1219999999999999</v>
          </cell>
          <cell r="O10570">
            <v>3.6469999999999998</v>
          </cell>
        </row>
        <row r="10571">
          <cell r="E10571" t="str">
            <v>MATH</v>
          </cell>
          <cell r="F10571" t="str">
            <v>MATH-M</v>
          </cell>
          <cell r="G10571">
            <v>541</v>
          </cell>
          <cell r="H10571" t="str">
            <v>MATH-M541</v>
          </cell>
          <cell r="K10571" t="str">
            <v>Sternberg,Peter J.</v>
          </cell>
          <cell r="N10571">
            <v>3.855</v>
          </cell>
          <cell r="O10571">
            <v>3.7749999999999999</v>
          </cell>
        </row>
        <row r="10572">
          <cell r="E10572" t="str">
            <v>MATH</v>
          </cell>
          <cell r="F10572" t="str">
            <v>MATH-M</v>
          </cell>
          <cell r="G10572">
            <v>542</v>
          </cell>
          <cell r="H10572" t="str">
            <v>MATH-M542</v>
          </cell>
          <cell r="K10572" t="str">
            <v>Glatt-Holtz,Nathan</v>
          </cell>
          <cell r="N10572">
            <v>4</v>
          </cell>
          <cell r="O10572">
            <v>3.7810000000000001</v>
          </cell>
        </row>
        <row r="10573">
          <cell r="E10573" t="str">
            <v>MATH</v>
          </cell>
          <cell r="F10573" t="str">
            <v>MATH-M</v>
          </cell>
          <cell r="G10573">
            <v>544</v>
          </cell>
          <cell r="H10573" t="str">
            <v>MATH-M544</v>
          </cell>
          <cell r="K10573" t="str">
            <v>Zumbrun,Kevin R</v>
          </cell>
          <cell r="N10573">
            <v>3.9630000000000001</v>
          </cell>
          <cell r="O10573">
            <v>3.867</v>
          </cell>
        </row>
        <row r="10574">
          <cell r="E10574" t="str">
            <v>MATH</v>
          </cell>
          <cell r="F10574" t="str">
            <v>MATH-M</v>
          </cell>
          <cell r="G10574">
            <v>548</v>
          </cell>
          <cell r="H10574" t="str">
            <v>MATH-M548</v>
          </cell>
          <cell r="K10574" t="str">
            <v>Glazier,James Alexander</v>
          </cell>
          <cell r="N10574" t="str">
            <v>NR</v>
          </cell>
          <cell r="O10574" t="str">
            <v>NR</v>
          </cell>
        </row>
        <row r="10575">
          <cell r="E10575" t="str">
            <v>MATH</v>
          </cell>
          <cell r="F10575" t="str">
            <v>MATH-M</v>
          </cell>
          <cell r="G10575">
            <v>551</v>
          </cell>
          <cell r="H10575" t="str">
            <v>MATH-M551</v>
          </cell>
          <cell r="K10575" t="str">
            <v>Katz,Nets Hawk</v>
          </cell>
          <cell r="N10575">
            <v>3.778</v>
          </cell>
          <cell r="O10575">
            <v>3.5590000000000002</v>
          </cell>
        </row>
        <row r="10576">
          <cell r="E10576" t="str">
            <v>MATH</v>
          </cell>
          <cell r="F10576" t="str">
            <v>MATH-M</v>
          </cell>
          <cell r="G10576">
            <v>553</v>
          </cell>
          <cell r="H10576" t="str">
            <v>MATH-M553</v>
          </cell>
          <cell r="K10576" t="str">
            <v>Koh,Jee Heub</v>
          </cell>
          <cell r="N10576" t="str">
            <v>NR</v>
          </cell>
          <cell r="O10576" t="str">
            <v>NR</v>
          </cell>
        </row>
        <row r="10577">
          <cell r="E10577" t="str">
            <v>MATH</v>
          </cell>
          <cell r="F10577" t="str">
            <v>MATH-M</v>
          </cell>
          <cell r="G10577">
            <v>558</v>
          </cell>
          <cell r="H10577" t="str">
            <v>MATH-M558</v>
          </cell>
          <cell r="K10577" t="str">
            <v>Connell,Christopher G</v>
          </cell>
          <cell r="N10577" t="str">
            <v>NR</v>
          </cell>
          <cell r="O10577" t="str">
            <v>NR</v>
          </cell>
        </row>
        <row r="10578">
          <cell r="E10578" t="str">
            <v>MATH</v>
          </cell>
          <cell r="F10578" t="str">
            <v>MATH-M</v>
          </cell>
          <cell r="G10578">
            <v>560</v>
          </cell>
          <cell r="H10578" t="str">
            <v>MATH-M560</v>
          </cell>
          <cell r="K10578" t="str">
            <v>Lyons,Russell</v>
          </cell>
          <cell r="N10578">
            <v>2.95</v>
          </cell>
          <cell r="O10578">
            <v>3.7480000000000002</v>
          </cell>
        </row>
        <row r="10579">
          <cell r="E10579" t="str">
            <v>MATH</v>
          </cell>
          <cell r="F10579" t="str">
            <v>MATH-M</v>
          </cell>
          <cell r="G10579">
            <v>563</v>
          </cell>
          <cell r="H10579" t="str">
            <v>MATH-M563</v>
          </cell>
          <cell r="K10579" t="str">
            <v>Bradley Jr,Richard C.</v>
          </cell>
          <cell r="N10579">
            <v>3.7290000000000001</v>
          </cell>
          <cell r="O10579">
            <v>3.577</v>
          </cell>
        </row>
        <row r="10580">
          <cell r="E10580" t="str">
            <v>MATH</v>
          </cell>
          <cell r="F10580" t="str">
            <v>MATH-M</v>
          </cell>
          <cell r="G10580">
            <v>564</v>
          </cell>
          <cell r="H10580" t="str">
            <v>MATH-M564</v>
          </cell>
          <cell r="K10580" t="str">
            <v>Housworth,Elizabeth</v>
          </cell>
          <cell r="N10580">
            <v>3.5379999999999998</v>
          </cell>
          <cell r="O10580">
            <v>3.7040000000000002</v>
          </cell>
        </row>
        <row r="10581">
          <cell r="E10581" t="str">
            <v>MATH</v>
          </cell>
          <cell r="F10581" t="str">
            <v>MATH-M</v>
          </cell>
          <cell r="G10581">
            <v>572</v>
          </cell>
          <cell r="H10581" t="str">
            <v>MATH-M572</v>
          </cell>
          <cell r="K10581" t="str">
            <v>Wang,Shouhong</v>
          </cell>
          <cell r="N10581" t="str">
            <v>NR</v>
          </cell>
          <cell r="O10581" t="str">
            <v>NR</v>
          </cell>
        </row>
        <row r="10582">
          <cell r="E10582" t="str">
            <v>MATH</v>
          </cell>
          <cell r="F10582" t="str">
            <v>MATH-M</v>
          </cell>
          <cell r="G10582">
            <v>583</v>
          </cell>
          <cell r="H10582" t="str">
            <v>MATH-M583</v>
          </cell>
          <cell r="K10582" t="str">
            <v>Moss,Lawrence S.</v>
          </cell>
          <cell r="N10582">
            <v>3.536</v>
          </cell>
          <cell r="O10582">
            <v>3.71</v>
          </cell>
        </row>
        <row r="10583">
          <cell r="E10583" t="str">
            <v>MATH</v>
          </cell>
          <cell r="F10583" t="str">
            <v>MATH-M</v>
          </cell>
          <cell r="G10583">
            <v>584</v>
          </cell>
          <cell r="H10583" t="str">
            <v>MATH-M584</v>
          </cell>
          <cell r="K10583" t="str">
            <v>Moss,Lawrence S.</v>
          </cell>
          <cell r="N10583">
            <v>3.633</v>
          </cell>
          <cell r="O10583">
            <v>3.5840000000000001</v>
          </cell>
        </row>
        <row r="10584">
          <cell r="E10584" t="str">
            <v>MATH</v>
          </cell>
          <cell r="F10584" t="str">
            <v>MATH-M</v>
          </cell>
          <cell r="G10584">
            <v>595</v>
          </cell>
          <cell r="H10584" t="str">
            <v>MATH-M595</v>
          </cell>
          <cell r="K10584" t="str">
            <v>Peters,Greg</v>
          </cell>
          <cell r="N10584" t="str">
            <v>NR</v>
          </cell>
          <cell r="O10584" t="str">
            <v>NR</v>
          </cell>
        </row>
        <row r="10585">
          <cell r="E10585" t="str">
            <v>MATH</v>
          </cell>
          <cell r="F10585" t="str">
            <v>MATH-M</v>
          </cell>
          <cell r="G10585">
            <v>599</v>
          </cell>
          <cell r="H10585" t="str">
            <v>MATH-M599</v>
          </cell>
          <cell r="K10585" t="str">
            <v>Bercovici,Hari</v>
          </cell>
          <cell r="N10585">
            <v>4</v>
          </cell>
          <cell r="O10585">
            <v>3.88</v>
          </cell>
        </row>
        <row r="10586">
          <cell r="E10586" t="str">
            <v>MATH</v>
          </cell>
          <cell r="F10586" t="str">
            <v>MATH-M</v>
          </cell>
          <cell r="G10586">
            <v>599</v>
          </cell>
          <cell r="H10586" t="str">
            <v>MATH-M599</v>
          </cell>
          <cell r="K10586" t="str">
            <v>Weber,Matthias</v>
          </cell>
          <cell r="N10586">
            <v>3.6669999999999998</v>
          </cell>
          <cell r="O10586">
            <v>3.8929999999999998</v>
          </cell>
        </row>
        <row r="10587">
          <cell r="E10587" t="str">
            <v>MATH</v>
          </cell>
          <cell r="F10587" t="str">
            <v>MATH-M</v>
          </cell>
          <cell r="G10587">
            <v>601</v>
          </cell>
          <cell r="H10587" t="str">
            <v>MATH-M601</v>
          </cell>
          <cell r="K10587" t="str">
            <v>Haile,Darrell Eugene</v>
          </cell>
          <cell r="N10587">
            <v>3.9289999999999998</v>
          </cell>
          <cell r="O10587">
            <v>3.9049999999999998</v>
          </cell>
        </row>
        <row r="10588">
          <cell r="E10588" t="str">
            <v>MATH</v>
          </cell>
          <cell r="F10588" t="str">
            <v>MATH-M</v>
          </cell>
          <cell r="G10588">
            <v>607</v>
          </cell>
          <cell r="H10588" t="str">
            <v>MATH-M607</v>
          </cell>
          <cell r="K10588" t="str">
            <v>Libine,Matvei</v>
          </cell>
          <cell r="N10588" t="str">
            <v>NR</v>
          </cell>
          <cell r="O10588" t="str">
            <v>NR</v>
          </cell>
        </row>
        <row r="10589">
          <cell r="E10589" t="str">
            <v>MATH</v>
          </cell>
          <cell r="F10589" t="str">
            <v>MATH-M</v>
          </cell>
          <cell r="G10589">
            <v>611</v>
          </cell>
          <cell r="H10589" t="str">
            <v>MATH-M611</v>
          </cell>
          <cell r="K10589" t="str">
            <v>Fisher,David Michael</v>
          </cell>
          <cell r="N10589" t="str">
            <v>NR</v>
          </cell>
          <cell r="O10589" t="str">
            <v>NR</v>
          </cell>
        </row>
        <row r="10590">
          <cell r="E10590" t="str">
            <v>MATH</v>
          </cell>
          <cell r="F10590" t="str">
            <v>MATH-M</v>
          </cell>
          <cell r="G10590">
            <v>612</v>
          </cell>
          <cell r="H10590" t="str">
            <v>MATH-M612</v>
          </cell>
          <cell r="K10590" t="str">
            <v>Bercovici,Hari</v>
          </cell>
          <cell r="N10590">
            <v>4</v>
          </cell>
          <cell r="O10590">
            <v>3.9129999999999998</v>
          </cell>
        </row>
        <row r="10591">
          <cell r="E10591" t="str">
            <v>MATH</v>
          </cell>
          <cell r="F10591" t="str">
            <v>MATH-M</v>
          </cell>
          <cell r="G10591">
            <v>621</v>
          </cell>
          <cell r="H10591" t="str">
            <v>MATH-M621</v>
          </cell>
          <cell r="K10591" t="str">
            <v>Touraev,Vladimir Georgievitch</v>
          </cell>
          <cell r="N10591">
            <v>4</v>
          </cell>
          <cell r="O10591">
            <v>3.911</v>
          </cell>
        </row>
        <row r="10592">
          <cell r="E10592" t="str">
            <v>MATH</v>
          </cell>
          <cell r="F10592" t="str">
            <v>MATH-M</v>
          </cell>
          <cell r="G10592">
            <v>624</v>
          </cell>
          <cell r="H10592" t="str">
            <v>MATH-M624</v>
          </cell>
          <cell r="K10592" t="str">
            <v>Touraev,Vladimir Georgievitch</v>
          </cell>
          <cell r="N10592">
            <v>3.9</v>
          </cell>
          <cell r="O10592">
            <v>3.8620000000000001</v>
          </cell>
        </row>
        <row r="10593">
          <cell r="E10593" t="str">
            <v>MATH</v>
          </cell>
          <cell r="F10593" t="str">
            <v>MATH-M</v>
          </cell>
          <cell r="G10593">
            <v>634</v>
          </cell>
          <cell r="H10593" t="str">
            <v>MATH-M634</v>
          </cell>
          <cell r="K10593" t="str">
            <v>Lunts,Valery</v>
          </cell>
          <cell r="N10593">
            <v>4</v>
          </cell>
          <cell r="O10593">
            <v>3.9009999999999998</v>
          </cell>
        </row>
        <row r="10594">
          <cell r="E10594" t="str">
            <v>MATH</v>
          </cell>
          <cell r="F10594" t="str">
            <v>MATH-M</v>
          </cell>
          <cell r="G10594">
            <v>659</v>
          </cell>
          <cell r="H10594" t="str">
            <v>MATH-M659</v>
          </cell>
          <cell r="K10594" t="str">
            <v>Temam,Roger Meyer</v>
          </cell>
          <cell r="N10594">
            <v>3.9569999999999999</v>
          </cell>
          <cell r="O10594">
            <v>3.8650000000000002</v>
          </cell>
        </row>
        <row r="10595">
          <cell r="E10595" t="str">
            <v>MATH</v>
          </cell>
          <cell r="F10595" t="str">
            <v>MATH-M</v>
          </cell>
          <cell r="G10595">
            <v>701</v>
          </cell>
          <cell r="H10595" t="str">
            <v>MATH-M701</v>
          </cell>
          <cell r="K10595" t="str">
            <v>Lunts,Valery</v>
          </cell>
          <cell r="N10595">
            <v>4</v>
          </cell>
          <cell r="O10595">
            <v>3.802</v>
          </cell>
        </row>
        <row r="10596">
          <cell r="E10596" t="str">
            <v>MATH</v>
          </cell>
          <cell r="F10596" t="str">
            <v>MATH-M</v>
          </cell>
          <cell r="G10596">
            <v>702</v>
          </cell>
          <cell r="H10596" t="str">
            <v>MATH-M702</v>
          </cell>
          <cell r="K10596" t="str">
            <v>Patel,Deepam</v>
          </cell>
          <cell r="N10596">
            <v>4</v>
          </cell>
          <cell r="O10596">
            <v>3.7589999999999999</v>
          </cell>
        </row>
        <row r="10597">
          <cell r="E10597" t="str">
            <v>MATH</v>
          </cell>
          <cell r="F10597" t="str">
            <v>MATH-M</v>
          </cell>
          <cell r="G10597">
            <v>711</v>
          </cell>
          <cell r="H10597" t="str">
            <v>MATH-M711</v>
          </cell>
          <cell r="K10597" t="str">
            <v>Demeter,Ciprian</v>
          </cell>
          <cell r="N10597">
            <v>3.556</v>
          </cell>
          <cell r="O10597">
            <v>3.7789999999999999</v>
          </cell>
        </row>
        <row r="10598">
          <cell r="E10598" t="str">
            <v>MATH</v>
          </cell>
          <cell r="F10598" t="str">
            <v>MATH-M</v>
          </cell>
          <cell r="G10598">
            <v>712</v>
          </cell>
          <cell r="H10598" t="str">
            <v>MATH-M712</v>
          </cell>
          <cell r="K10598" t="str">
            <v>Bedford,Eric D.</v>
          </cell>
          <cell r="N10598">
            <v>4</v>
          </cell>
          <cell r="O10598">
            <v>3.7789999999999999</v>
          </cell>
        </row>
        <row r="10599">
          <cell r="E10599" t="str">
            <v>MATH</v>
          </cell>
          <cell r="F10599" t="str">
            <v>MATH-M</v>
          </cell>
          <cell r="G10599">
            <v>721</v>
          </cell>
          <cell r="H10599" t="str">
            <v>MATH-M721</v>
          </cell>
          <cell r="K10599" t="str">
            <v>Davis,James F.</v>
          </cell>
          <cell r="N10599">
            <v>3.8570000000000002</v>
          </cell>
          <cell r="O10599">
            <v>3.8759999999999999</v>
          </cell>
        </row>
        <row r="10600">
          <cell r="E10600" t="str">
            <v>MATH</v>
          </cell>
          <cell r="F10600" t="str">
            <v>MATH-M</v>
          </cell>
          <cell r="G10600">
            <v>721</v>
          </cell>
          <cell r="H10600" t="str">
            <v>MATH-M721</v>
          </cell>
          <cell r="K10600" t="str">
            <v>Mandell,Michael A</v>
          </cell>
          <cell r="N10600">
            <v>4</v>
          </cell>
          <cell r="O10600">
            <v>3.8570000000000002</v>
          </cell>
        </row>
        <row r="10601">
          <cell r="E10601" t="str">
            <v>MATH</v>
          </cell>
          <cell r="F10601" t="str">
            <v>MATH-M</v>
          </cell>
          <cell r="G10601">
            <v>731</v>
          </cell>
          <cell r="H10601" t="str">
            <v>MATH-M731</v>
          </cell>
          <cell r="K10601" t="str">
            <v>Bainbridge,Matt</v>
          </cell>
          <cell r="N10601" t="str">
            <v>NR</v>
          </cell>
          <cell r="O10601" t="str">
            <v>NR</v>
          </cell>
        </row>
        <row r="10602">
          <cell r="E10602" t="str">
            <v>MATH</v>
          </cell>
          <cell r="F10602" t="str">
            <v>MATH-M</v>
          </cell>
          <cell r="G10602">
            <v>732</v>
          </cell>
          <cell r="H10602" t="str">
            <v>MATH-M732</v>
          </cell>
          <cell r="K10602" t="str">
            <v>Fisher,David Michael</v>
          </cell>
          <cell r="N10602">
            <v>4</v>
          </cell>
          <cell r="O10602">
            <v>3.8570000000000002</v>
          </cell>
        </row>
        <row r="10603">
          <cell r="E10603" t="str">
            <v>MATH</v>
          </cell>
          <cell r="F10603" t="str">
            <v>MATH-M</v>
          </cell>
          <cell r="G10603">
            <v>741</v>
          </cell>
          <cell r="H10603" t="str">
            <v>MATH-M741</v>
          </cell>
          <cell r="K10603" t="str">
            <v>Temam,Roger Meyer</v>
          </cell>
          <cell r="N10603">
            <v>3.25</v>
          </cell>
          <cell r="O10603">
            <v>3.698</v>
          </cell>
        </row>
        <row r="10604">
          <cell r="E10604" t="str">
            <v>MATH</v>
          </cell>
          <cell r="F10604" t="str">
            <v>MATH-M</v>
          </cell>
          <cell r="G10604">
            <v>761</v>
          </cell>
          <cell r="H10604" t="str">
            <v>MATH-M761</v>
          </cell>
          <cell r="K10604" t="str">
            <v>Lyons,Russell</v>
          </cell>
          <cell r="N10604">
            <v>2.2000000000000002</v>
          </cell>
          <cell r="O10604">
            <v>3.698</v>
          </cell>
        </row>
        <row r="10605">
          <cell r="E10605" t="str">
            <v>MATH</v>
          </cell>
          <cell r="F10605" t="str">
            <v>MATH-M</v>
          </cell>
          <cell r="G10605">
            <v>800</v>
          </cell>
          <cell r="H10605" t="str">
            <v>MATH-M800</v>
          </cell>
          <cell r="K10605" t="str">
            <v>Judge,Christopher Martin</v>
          </cell>
          <cell r="N10605">
            <v>4</v>
          </cell>
          <cell r="O10605">
            <v>3.9140000000000001</v>
          </cell>
        </row>
        <row r="10606">
          <cell r="E10606" t="str">
            <v>MATH</v>
          </cell>
          <cell r="F10606" t="str">
            <v>MATH-M</v>
          </cell>
          <cell r="G10606">
            <v>800</v>
          </cell>
          <cell r="H10606" t="str">
            <v>MATH-M800</v>
          </cell>
          <cell r="K10606" t="str">
            <v>Judge,Christopher Martin</v>
          </cell>
          <cell r="N10606">
            <v>3.778</v>
          </cell>
          <cell r="O10606">
            <v>3.7719999999999998</v>
          </cell>
        </row>
        <row r="10607">
          <cell r="E10607" t="str">
            <v>MATH</v>
          </cell>
          <cell r="F10607" t="str">
            <v>MATH-M</v>
          </cell>
          <cell r="G10607">
            <v>800</v>
          </cell>
          <cell r="H10607" t="str">
            <v>MATH-M800</v>
          </cell>
          <cell r="K10607" t="str">
            <v>Judge,Christopher Martin</v>
          </cell>
          <cell r="N10607" t="str">
            <v>NR</v>
          </cell>
          <cell r="O10607" t="str">
            <v>NR</v>
          </cell>
        </row>
        <row r="10608">
          <cell r="E10608" t="str">
            <v>MATH</v>
          </cell>
          <cell r="F10608" t="str">
            <v>MATH-M</v>
          </cell>
          <cell r="G10608">
            <v>800</v>
          </cell>
          <cell r="H10608" t="str">
            <v>MATH-M800</v>
          </cell>
          <cell r="K10608" t="str">
            <v>Judge,Christopher Martin</v>
          </cell>
          <cell r="N10608">
            <v>3.9569999999999999</v>
          </cell>
          <cell r="O10608">
            <v>3.8460000000000001</v>
          </cell>
        </row>
        <row r="10609">
          <cell r="E10609" t="str">
            <v>MATH</v>
          </cell>
          <cell r="F10609" t="str">
            <v>MATH-M</v>
          </cell>
          <cell r="G10609">
            <v>800</v>
          </cell>
          <cell r="H10609" t="str">
            <v>MATH-M800</v>
          </cell>
          <cell r="K10609" t="str">
            <v>Judge,Christopher Martin</v>
          </cell>
          <cell r="N10609" t="str">
            <v>NR</v>
          </cell>
          <cell r="O10609" t="str">
            <v>NR</v>
          </cell>
        </row>
        <row r="10610">
          <cell r="E10610" t="str">
            <v>MATH</v>
          </cell>
          <cell r="F10610" t="str">
            <v>MATH-M</v>
          </cell>
          <cell r="G10610">
            <v>800</v>
          </cell>
          <cell r="H10610" t="str">
            <v>MATH-M800</v>
          </cell>
          <cell r="K10610" t="str">
            <v>Moss,Lawrence S.</v>
          </cell>
          <cell r="N10610" t="str">
            <v>NR</v>
          </cell>
          <cell r="O10610" t="str">
            <v>NR</v>
          </cell>
        </row>
        <row r="10611">
          <cell r="E10611" t="str">
            <v>MATH</v>
          </cell>
          <cell r="F10611" t="str">
            <v>MATH-M</v>
          </cell>
          <cell r="G10611">
            <v>800</v>
          </cell>
          <cell r="H10611" t="str">
            <v>MATH-M800</v>
          </cell>
          <cell r="K10611" t="str">
            <v>Strauch,Matthias Johannes</v>
          </cell>
          <cell r="N10611" t="str">
            <v>NR</v>
          </cell>
          <cell r="O10611" t="str">
            <v>NR</v>
          </cell>
        </row>
        <row r="10612">
          <cell r="E10612" t="str">
            <v>MATH</v>
          </cell>
          <cell r="F10612" t="str">
            <v>MATH-M</v>
          </cell>
          <cell r="G10612">
            <v>800</v>
          </cell>
          <cell r="H10612" t="str">
            <v>MATH-M800</v>
          </cell>
          <cell r="K10612" t="str">
            <v>Strauch,Matthias Johannes</v>
          </cell>
          <cell r="N10612" t="str">
            <v>NR</v>
          </cell>
          <cell r="O10612" t="str">
            <v>NR</v>
          </cell>
        </row>
        <row r="10613">
          <cell r="E10613" t="str">
            <v>MATH</v>
          </cell>
          <cell r="F10613" t="str">
            <v>MATH-M</v>
          </cell>
          <cell r="G10613">
            <v>800</v>
          </cell>
          <cell r="H10613" t="str">
            <v>MATH-M800</v>
          </cell>
          <cell r="K10613" t="str">
            <v>Torchinsky,Alberto</v>
          </cell>
          <cell r="N10613" t="str">
            <v>NR</v>
          </cell>
          <cell r="O10613" t="str">
            <v>NR</v>
          </cell>
        </row>
        <row r="10614">
          <cell r="E10614" t="str">
            <v>MATH</v>
          </cell>
          <cell r="F10614" t="str">
            <v>MATH-S</v>
          </cell>
          <cell r="G10614">
            <v>118</v>
          </cell>
          <cell r="H10614" t="str">
            <v>MATH-S118</v>
          </cell>
          <cell r="K10614" t="str">
            <v>Ilinca,Liviu</v>
          </cell>
          <cell r="N10614">
            <v>3.4350000000000001</v>
          </cell>
          <cell r="O10614">
            <v>3.48</v>
          </cell>
        </row>
        <row r="10615">
          <cell r="E10615" t="str">
            <v>MATH</v>
          </cell>
          <cell r="F10615" t="str">
            <v>MATH-S</v>
          </cell>
          <cell r="G10615">
            <v>212</v>
          </cell>
          <cell r="H10615" t="str">
            <v>MATH-S212</v>
          </cell>
          <cell r="K10615" t="str">
            <v>Peters,Greg</v>
          </cell>
          <cell r="N10615">
            <v>3.0710000000000002</v>
          </cell>
          <cell r="O10615">
            <v>3.5529999999999999</v>
          </cell>
        </row>
        <row r="10616">
          <cell r="E10616" t="str">
            <v>MATH</v>
          </cell>
          <cell r="F10616" t="str">
            <v>MATH-S</v>
          </cell>
          <cell r="G10616">
            <v>303</v>
          </cell>
          <cell r="H10616" t="str">
            <v>MATH-S303</v>
          </cell>
          <cell r="K10616" t="str">
            <v>Orr,Kent E.</v>
          </cell>
          <cell r="N10616">
            <v>3.617</v>
          </cell>
          <cell r="O10616">
            <v>3.79</v>
          </cell>
        </row>
        <row r="10617">
          <cell r="E10617" t="str">
            <v>MATH</v>
          </cell>
          <cell r="F10617" t="str">
            <v>MATH-S</v>
          </cell>
          <cell r="G10617">
            <v>311</v>
          </cell>
          <cell r="H10617" t="str">
            <v>MATH-S311</v>
          </cell>
          <cell r="K10617" t="str">
            <v>Gerber,Marlies</v>
          </cell>
          <cell r="N10617">
            <v>3.6920000000000002</v>
          </cell>
          <cell r="O10617">
            <v>3.8370000000000002</v>
          </cell>
        </row>
        <row r="10618">
          <cell r="E10618" t="str">
            <v>MATH</v>
          </cell>
          <cell r="F10618" t="str">
            <v>MATH-S</v>
          </cell>
          <cell r="G10618">
            <v>312</v>
          </cell>
          <cell r="H10618" t="str">
            <v>MATH-S312</v>
          </cell>
          <cell r="K10618" t="str">
            <v>Kirk,Paul A.</v>
          </cell>
          <cell r="N10618">
            <v>3.0859999999999999</v>
          </cell>
          <cell r="O10618">
            <v>3.37</v>
          </cell>
        </row>
        <row r="10619">
          <cell r="E10619" t="str">
            <v>MATH</v>
          </cell>
          <cell r="F10619" t="str">
            <v>MATH-S</v>
          </cell>
          <cell r="G10619">
            <v>343</v>
          </cell>
          <cell r="H10619" t="str">
            <v>MATH-S343</v>
          </cell>
          <cell r="K10619" t="str">
            <v>Jolly,Michael S.</v>
          </cell>
          <cell r="N10619">
            <v>3.2</v>
          </cell>
          <cell r="O10619">
            <v>3.456</v>
          </cell>
        </row>
        <row r="10620">
          <cell r="E10620" t="str">
            <v>MATH</v>
          </cell>
          <cell r="F10620" t="str">
            <v>MATH-S</v>
          </cell>
          <cell r="G10620">
            <v>343</v>
          </cell>
          <cell r="H10620" t="str">
            <v>MATH-S343</v>
          </cell>
          <cell r="K10620" t="str">
            <v>Sternberg,Peter J.</v>
          </cell>
          <cell r="N10620">
            <v>3.4329999999999998</v>
          </cell>
          <cell r="O10620">
            <v>3.6970000000000001</v>
          </cell>
        </row>
        <row r="10621">
          <cell r="E10621" t="str">
            <v>MATH</v>
          </cell>
          <cell r="F10621" t="str">
            <v>MATH-S</v>
          </cell>
          <cell r="G10621">
            <v>344</v>
          </cell>
          <cell r="H10621" t="str">
            <v>MATH-S344</v>
          </cell>
          <cell r="K10621" t="str">
            <v>Dadok,Jiri</v>
          </cell>
          <cell r="N10621">
            <v>3.7709999999999999</v>
          </cell>
          <cell r="O10621">
            <v>3.581</v>
          </cell>
        </row>
        <row r="10622">
          <cell r="E10622" t="str">
            <v>MATH</v>
          </cell>
          <cell r="F10622" t="str">
            <v>MATH-S</v>
          </cell>
          <cell r="G10622">
            <v>403</v>
          </cell>
          <cell r="H10622" t="str">
            <v>MATH-S403</v>
          </cell>
          <cell r="K10622" t="str">
            <v>Lunts,Valery</v>
          </cell>
          <cell r="N10622">
            <v>3.65</v>
          </cell>
          <cell r="O10622">
            <v>3.69</v>
          </cell>
        </row>
        <row r="10623">
          <cell r="E10623" t="str">
            <v>MATH</v>
          </cell>
          <cell r="F10623" t="str">
            <v>MATH-S</v>
          </cell>
          <cell r="G10623">
            <v>404</v>
          </cell>
          <cell r="H10623" t="str">
            <v>MATH-S404</v>
          </cell>
          <cell r="K10623" t="str">
            <v>Larsen,Michael J.</v>
          </cell>
          <cell r="N10623">
            <v>3.38</v>
          </cell>
          <cell r="O10623">
            <v>3.7309999999999999</v>
          </cell>
        </row>
        <row r="10624">
          <cell r="E10624" t="str">
            <v>MATH</v>
          </cell>
          <cell r="F10624" t="str">
            <v>MATH-S</v>
          </cell>
          <cell r="G10624">
            <v>413</v>
          </cell>
          <cell r="H10624" t="str">
            <v>MATH-S413</v>
          </cell>
          <cell r="K10624" t="str">
            <v>Hoff,David C.</v>
          </cell>
          <cell r="N10624">
            <v>3.6240000000000001</v>
          </cell>
          <cell r="O10624">
            <v>3.6760000000000002</v>
          </cell>
        </row>
        <row r="10625">
          <cell r="E10625" t="str">
            <v>MATH</v>
          </cell>
          <cell r="F10625" t="str">
            <v>MATH-S</v>
          </cell>
          <cell r="G10625">
            <v>414</v>
          </cell>
          <cell r="H10625" t="str">
            <v>MATH-S414</v>
          </cell>
          <cell r="K10625" t="str">
            <v>Hoff,David C.</v>
          </cell>
          <cell r="N10625">
            <v>3.35</v>
          </cell>
          <cell r="O10625">
            <v>3.3740000000000001</v>
          </cell>
        </row>
        <row r="10626">
          <cell r="E10626" t="str">
            <v>MATH</v>
          </cell>
          <cell r="F10626" t="str">
            <v>MATH-S</v>
          </cell>
          <cell r="G10626">
            <v>463</v>
          </cell>
          <cell r="H10626" t="str">
            <v>MATH-S463</v>
          </cell>
          <cell r="K10626" t="str">
            <v>Housworth,Elizabeth</v>
          </cell>
          <cell r="N10626" t="str">
            <v>NR</v>
          </cell>
          <cell r="O10626" t="str">
            <v>NR</v>
          </cell>
        </row>
        <row r="10627">
          <cell r="E10627" t="str">
            <v>MATH</v>
          </cell>
          <cell r="F10627" t="str">
            <v>MATH-S</v>
          </cell>
          <cell r="G10627">
            <v>499</v>
          </cell>
          <cell r="H10627" t="str">
            <v>MATH-S499</v>
          </cell>
          <cell r="K10627" t="str">
            <v>Connell,Christopher G</v>
          </cell>
          <cell r="N10627" t="str">
            <v>NR</v>
          </cell>
          <cell r="O10627" t="str">
            <v>NR</v>
          </cell>
        </row>
        <row r="10628">
          <cell r="E10628" t="str">
            <v>MATH</v>
          </cell>
          <cell r="F10628" t="str">
            <v>MATH-S</v>
          </cell>
          <cell r="G10628">
            <v>499</v>
          </cell>
          <cell r="H10628" t="str">
            <v>MATH-S499</v>
          </cell>
          <cell r="K10628" t="str">
            <v>Connell,Christopher G</v>
          </cell>
          <cell r="N10628" t="str">
            <v>NR</v>
          </cell>
          <cell r="O10628" t="str">
            <v>NR</v>
          </cell>
        </row>
        <row r="10629">
          <cell r="E10629" t="str">
            <v>MATH</v>
          </cell>
          <cell r="F10629" t="str">
            <v>MATH-S</v>
          </cell>
          <cell r="G10629">
            <v>499</v>
          </cell>
          <cell r="H10629" t="str">
            <v>MATH-S499</v>
          </cell>
          <cell r="K10629" t="str">
            <v>Connell,Christopher G</v>
          </cell>
          <cell r="N10629" t="str">
            <v>NR</v>
          </cell>
          <cell r="O10629" t="str">
            <v>NR</v>
          </cell>
        </row>
        <row r="10630">
          <cell r="E10630" t="str">
            <v>MATH</v>
          </cell>
          <cell r="F10630" t="str">
            <v>MATH-T</v>
          </cell>
          <cell r="G10630">
            <v>101</v>
          </cell>
          <cell r="H10630" t="str">
            <v>MATH-T101</v>
          </cell>
          <cell r="K10630" t="str">
            <v>Gerber,Marlies</v>
          </cell>
          <cell r="N10630">
            <v>2.46</v>
          </cell>
          <cell r="O10630">
            <v>3.016</v>
          </cell>
        </row>
        <row r="10631">
          <cell r="E10631" t="str">
            <v>MATH</v>
          </cell>
          <cell r="F10631" t="str">
            <v>MATH-T</v>
          </cell>
          <cell r="G10631">
            <v>101</v>
          </cell>
          <cell r="H10631" t="str">
            <v>MATH-T101</v>
          </cell>
          <cell r="K10631" t="str">
            <v>Kattner,Gregory Karl</v>
          </cell>
          <cell r="N10631">
            <v>2.6</v>
          </cell>
          <cell r="O10631">
            <v>3.0630000000000002</v>
          </cell>
        </row>
        <row r="10632">
          <cell r="E10632" t="str">
            <v>MATH</v>
          </cell>
          <cell r="F10632" t="str">
            <v>MATH-T</v>
          </cell>
          <cell r="G10632">
            <v>101</v>
          </cell>
          <cell r="H10632" t="str">
            <v>MATH-T101</v>
          </cell>
          <cell r="K10632" t="str">
            <v>Kavousian,Shabnam</v>
          </cell>
          <cell r="N10632">
            <v>3.1</v>
          </cell>
          <cell r="O10632">
            <v>3.3490000000000002</v>
          </cell>
        </row>
        <row r="10633">
          <cell r="E10633" t="str">
            <v>MATH</v>
          </cell>
          <cell r="F10633" t="str">
            <v>MATH-T</v>
          </cell>
          <cell r="G10633">
            <v>101</v>
          </cell>
          <cell r="H10633" t="str">
            <v>MATH-T101</v>
          </cell>
          <cell r="K10633" t="str">
            <v>Kavousian,Shabnam</v>
          </cell>
          <cell r="N10633">
            <v>2.4249999999999998</v>
          </cell>
          <cell r="O10633">
            <v>3.0209999999999999</v>
          </cell>
        </row>
        <row r="10634">
          <cell r="E10634" t="str">
            <v>MATH</v>
          </cell>
          <cell r="F10634" t="str">
            <v>MATH-T</v>
          </cell>
          <cell r="G10634">
            <v>101</v>
          </cell>
          <cell r="H10634" t="str">
            <v>MATH-T101</v>
          </cell>
          <cell r="K10634" t="str">
            <v>Kavousian,Shabnam</v>
          </cell>
          <cell r="N10634">
            <v>2.645</v>
          </cell>
          <cell r="O10634">
            <v>2.976</v>
          </cell>
        </row>
        <row r="10635">
          <cell r="E10635" t="str">
            <v>MATH</v>
          </cell>
          <cell r="F10635" t="str">
            <v>MATH-T</v>
          </cell>
          <cell r="G10635">
            <v>101</v>
          </cell>
          <cell r="H10635" t="str">
            <v>MATH-T101</v>
          </cell>
          <cell r="K10635" t="str">
            <v>Kavousian,Shabnam</v>
          </cell>
          <cell r="N10635">
            <v>2.4500000000000002</v>
          </cell>
          <cell r="O10635">
            <v>2.9449999999999998</v>
          </cell>
        </row>
        <row r="10636">
          <cell r="E10636" t="str">
            <v>MATH</v>
          </cell>
          <cell r="F10636" t="str">
            <v>MATH-T</v>
          </cell>
          <cell r="G10636">
            <v>103</v>
          </cell>
          <cell r="H10636" t="str">
            <v>MATH-T103</v>
          </cell>
          <cell r="K10636" t="str">
            <v>Carter,Anne Toulson</v>
          </cell>
          <cell r="N10636">
            <v>2.7429999999999999</v>
          </cell>
          <cell r="O10636">
            <v>3.14</v>
          </cell>
        </row>
        <row r="10637">
          <cell r="E10637" t="str">
            <v>MATH</v>
          </cell>
          <cell r="F10637" t="str">
            <v>MATH-T</v>
          </cell>
          <cell r="G10637">
            <v>103</v>
          </cell>
          <cell r="H10637" t="str">
            <v>MATH-T103</v>
          </cell>
          <cell r="K10637" t="str">
            <v>Kavousian,Shabnam</v>
          </cell>
          <cell r="N10637">
            <v>3.306</v>
          </cell>
          <cell r="O10637">
            <v>3.4159999999999999</v>
          </cell>
        </row>
        <row r="10638">
          <cell r="E10638" t="str">
            <v>MATH</v>
          </cell>
          <cell r="F10638" t="str">
            <v>MATH-T</v>
          </cell>
          <cell r="G10638">
            <v>336</v>
          </cell>
          <cell r="H10638" t="str">
            <v>MATH-T336</v>
          </cell>
          <cell r="K10638" t="str">
            <v>Touraev,Vladimir Georgievitch</v>
          </cell>
          <cell r="N10638">
            <v>3.3929999999999998</v>
          </cell>
          <cell r="O10638">
            <v>3.4569999999999999</v>
          </cell>
        </row>
        <row r="10639">
          <cell r="E10639" t="str">
            <v>MATH</v>
          </cell>
          <cell r="F10639" t="str">
            <v>MATH-T</v>
          </cell>
          <cell r="G10639">
            <v>403</v>
          </cell>
          <cell r="H10639" t="str">
            <v>MATH-T403</v>
          </cell>
          <cell r="K10639" t="str">
            <v>Koh,Jee Heub</v>
          </cell>
          <cell r="N10639">
            <v>3.2530000000000001</v>
          </cell>
          <cell r="O10639">
            <v>3.2869999999999999</v>
          </cell>
        </row>
        <row r="10640">
          <cell r="E10640" t="str">
            <v>MATH</v>
          </cell>
          <cell r="F10640" t="str">
            <v>MATH-V</v>
          </cell>
          <cell r="G10640">
            <v>118</v>
          </cell>
          <cell r="H10640" t="str">
            <v>MATH-V118</v>
          </cell>
          <cell r="K10640" t="str">
            <v>Dabrowski,Andrew John</v>
          </cell>
          <cell r="N10640">
            <v>2.6240000000000001</v>
          </cell>
          <cell r="O10640">
            <v>3.012</v>
          </cell>
        </row>
        <row r="10641">
          <cell r="E10641" t="str">
            <v>MATH</v>
          </cell>
          <cell r="F10641" t="str">
            <v>MATH-V</v>
          </cell>
          <cell r="G10641">
            <v>118</v>
          </cell>
          <cell r="H10641" t="str">
            <v>MATH-V118</v>
          </cell>
          <cell r="K10641" t="str">
            <v>Housworth,Elizabeth</v>
          </cell>
          <cell r="N10641">
            <v>2.3740000000000001</v>
          </cell>
          <cell r="O10641">
            <v>3.0419999999999998</v>
          </cell>
        </row>
        <row r="10642">
          <cell r="E10642" t="str">
            <v>MATH</v>
          </cell>
          <cell r="F10642" t="str">
            <v>MATH-V</v>
          </cell>
          <cell r="G10642">
            <v>118</v>
          </cell>
          <cell r="H10642" t="str">
            <v>MATH-V118</v>
          </cell>
          <cell r="K10642" t="str">
            <v>Wheeler,William H.</v>
          </cell>
          <cell r="N10642">
            <v>2.3330000000000002</v>
          </cell>
          <cell r="O10642">
            <v>3.012</v>
          </cell>
        </row>
        <row r="10643">
          <cell r="E10643" t="str">
            <v>MBIO</v>
          </cell>
          <cell r="F10643" t="str">
            <v>MBIO-M</v>
          </cell>
          <cell r="G10643">
            <v>540</v>
          </cell>
          <cell r="H10643" t="str">
            <v>MBIO-M540</v>
          </cell>
          <cell r="K10643" t="str">
            <v>Hrisomalos,Tom Frank</v>
          </cell>
          <cell r="N10643" t="str">
            <v>NR</v>
          </cell>
          <cell r="O10643" t="str">
            <v>NR</v>
          </cell>
        </row>
        <row r="10644">
          <cell r="E10644" t="str">
            <v>MCHE</v>
          </cell>
          <cell r="F10644" t="str">
            <v>MCHE-C</v>
          </cell>
          <cell r="G10644">
            <v>580</v>
          </cell>
          <cell r="H10644" t="str">
            <v>MCHE-C580</v>
          </cell>
          <cell r="K10644" t="str">
            <v>Walczak,Claire E</v>
          </cell>
          <cell r="N10644" t="str">
            <v>NR</v>
          </cell>
          <cell r="O10644" t="str">
            <v>NR</v>
          </cell>
        </row>
        <row r="10645">
          <cell r="E10645" t="str">
            <v>MCHE</v>
          </cell>
          <cell r="F10645" t="str">
            <v>MCHE-C</v>
          </cell>
          <cell r="G10645">
            <v>583</v>
          </cell>
          <cell r="H10645" t="str">
            <v>MCHE-C583</v>
          </cell>
          <cell r="K10645" t="str">
            <v>Daleke,David L</v>
          </cell>
          <cell r="N10645" t="str">
            <v>NR</v>
          </cell>
          <cell r="O10645" t="str">
            <v>NR</v>
          </cell>
        </row>
        <row r="10646">
          <cell r="E10646" t="str">
            <v>MEST</v>
          </cell>
          <cell r="F10646" t="str">
            <v>MEST-M</v>
          </cell>
          <cell r="G10646">
            <v>390</v>
          </cell>
          <cell r="H10646" t="str">
            <v>MEST-M390</v>
          </cell>
          <cell r="K10646" t="str">
            <v>Balint,Bridget Kennedy</v>
          </cell>
          <cell r="N10646">
            <v>2.7709999999999999</v>
          </cell>
          <cell r="O10646">
            <v>2.9449999999999998</v>
          </cell>
        </row>
        <row r="10647">
          <cell r="E10647" t="str">
            <v>MEST</v>
          </cell>
          <cell r="F10647" t="str">
            <v>MEST-M</v>
          </cell>
          <cell r="G10647">
            <v>390</v>
          </cell>
          <cell r="H10647" t="str">
            <v>MEST-M390</v>
          </cell>
          <cell r="K10647" t="str">
            <v>Beckwith,Christopher I.</v>
          </cell>
          <cell r="N10647" t="str">
            <v>NR</v>
          </cell>
          <cell r="O10647" t="str">
            <v>NR</v>
          </cell>
        </row>
        <row r="10648">
          <cell r="E10648" t="str">
            <v>MEST</v>
          </cell>
          <cell r="F10648" t="str">
            <v>MEST-M</v>
          </cell>
          <cell r="G10648">
            <v>390</v>
          </cell>
          <cell r="H10648" t="str">
            <v>MEST-M390</v>
          </cell>
          <cell r="K10648" t="str">
            <v>McGerr,Rosemarie</v>
          </cell>
          <cell r="N10648">
            <v>2.84</v>
          </cell>
          <cell r="O10648">
            <v>2.8479999999999999</v>
          </cell>
        </row>
        <row r="10649">
          <cell r="E10649" t="str">
            <v>MEST</v>
          </cell>
          <cell r="F10649" t="str">
            <v>MEST-M</v>
          </cell>
          <cell r="G10649">
            <v>490</v>
          </cell>
          <cell r="H10649" t="str">
            <v>MEST-M490</v>
          </cell>
          <cell r="K10649" t="str">
            <v>Keller,Hildegard Elisabeth</v>
          </cell>
          <cell r="N10649" t="str">
            <v>NR</v>
          </cell>
          <cell r="O10649" t="str">
            <v>NR</v>
          </cell>
        </row>
        <row r="10650">
          <cell r="E10650" t="str">
            <v>MEST</v>
          </cell>
          <cell r="F10650" t="str">
            <v>MEST-M</v>
          </cell>
          <cell r="G10650">
            <v>490</v>
          </cell>
          <cell r="H10650" t="str">
            <v>MEST-M490</v>
          </cell>
          <cell r="K10650" t="str">
            <v>Wood,Rega</v>
          </cell>
          <cell r="N10650" t="str">
            <v>NR</v>
          </cell>
          <cell r="O10650" t="str">
            <v>NR</v>
          </cell>
        </row>
        <row r="10651">
          <cell r="E10651" t="str">
            <v>MEST</v>
          </cell>
          <cell r="F10651" t="str">
            <v>MEST-M</v>
          </cell>
          <cell r="G10651">
            <v>502</v>
          </cell>
          <cell r="H10651" t="str">
            <v>MEST-M502</v>
          </cell>
          <cell r="K10651" t="str">
            <v>Beckwith,Christopher I.</v>
          </cell>
          <cell r="N10651" t="str">
            <v>NR</v>
          </cell>
          <cell r="O10651" t="str">
            <v>NR</v>
          </cell>
        </row>
        <row r="10652">
          <cell r="E10652" t="str">
            <v>MEST</v>
          </cell>
          <cell r="F10652" t="str">
            <v>MEST-M</v>
          </cell>
          <cell r="G10652">
            <v>502</v>
          </cell>
          <cell r="H10652" t="str">
            <v>MEST-M502</v>
          </cell>
          <cell r="K10652" t="str">
            <v>McGerr,Rosemarie</v>
          </cell>
          <cell r="N10652" t="str">
            <v>NR</v>
          </cell>
          <cell r="O10652" t="str">
            <v>NR</v>
          </cell>
        </row>
        <row r="10653">
          <cell r="E10653" t="str">
            <v>MEST</v>
          </cell>
          <cell r="F10653" t="str">
            <v>MEST-M</v>
          </cell>
          <cell r="G10653">
            <v>650</v>
          </cell>
          <cell r="H10653" t="str">
            <v>MEST-M650</v>
          </cell>
          <cell r="K10653" t="str">
            <v>Di Bacco,Giuliano</v>
          </cell>
          <cell r="N10653" t="str">
            <v>NR</v>
          </cell>
          <cell r="O10653" t="str">
            <v>NR</v>
          </cell>
        </row>
        <row r="10654">
          <cell r="E10654" t="str">
            <v>MIL</v>
          </cell>
          <cell r="F10654" t="str">
            <v xml:space="preserve">MIL-G </v>
          </cell>
          <cell r="G10654">
            <v>101</v>
          </cell>
          <cell r="H10654" t="str">
            <v>MIL-G 101</v>
          </cell>
          <cell r="K10654" t="str">
            <v>Vargas,Ralph Ruegamer</v>
          </cell>
          <cell r="N10654">
            <v>3.4540000000000002</v>
          </cell>
          <cell r="O10654">
            <v>2.9689999999999999</v>
          </cell>
        </row>
        <row r="10655">
          <cell r="E10655" t="str">
            <v>MIL</v>
          </cell>
          <cell r="F10655" t="str">
            <v xml:space="preserve">MIL-G </v>
          </cell>
          <cell r="G10655">
            <v>101</v>
          </cell>
          <cell r="H10655" t="str">
            <v>MIL-G 101</v>
          </cell>
          <cell r="K10655" t="str">
            <v>Vargas,Ralph Ruegamer</v>
          </cell>
          <cell r="N10655">
            <v>3.4390000000000001</v>
          </cell>
          <cell r="O10655">
            <v>2.9420000000000002</v>
          </cell>
        </row>
        <row r="10656">
          <cell r="E10656" t="str">
            <v>MIL</v>
          </cell>
          <cell r="F10656" t="str">
            <v xml:space="preserve">MIL-G </v>
          </cell>
          <cell r="G10656">
            <v>102</v>
          </cell>
          <cell r="H10656" t="str">
            <v>MIL-G 102</v>
          </cell>
          <cell r="K10656" t="str">
            <v>Vargas,Ralph Ruegamer</v>
          </cell>
          <cell r="N10656">
            <v>3.66</v>
          </cell>
          <cell r="O10656">
            <v>2.7789999999999999</v>
          </cell>
        </row>
        <row r="10657">
          <cell r="E10657" t="str">
            <v>MIL</v>
          </cell>
          <cell r="F10657" t="str">
            <v xml:space="preserve">MIL-G </v>
          </cell>
          <cell r="G10657">
            <v>102</v>
          </cell>
          <cell r="H10657" t="str">
            <v>MIL-G 102</v>
          </cell>
          <cell r="K10657" t="str">
            <v>Vargas,Ralph Ruegamer</v>
          </cell>
          <cell r="N10657">
            <v>3.5579999999999998</v>
          </cell>
          <cell r="O10657">
            <v>2.8719999999999999</v>
          </cell>
        </row>
        <row r="10658">
          <cell r="E10658" t="str">
            <v>MIL</v>
          </cell>
          <cell r="F10658" t="str">
            <v xml:space="preserve">MIL-G </v>
          </cell>
          <cell r="G10658">
            <v>201</v>
          </cell>
          <cell r="H10658" t="str">
            <v>MIL-G 201</v>
          </cell>
          <cell r="K10658" t="str">
            <v>Greathouse,Jeff</v>
          </cell>
          <cell r="N10658">
            <v>3.71</v>
          </cell>
          <cell r="O10658">
            <v>2.6739999999999999</v>
          </cell>
        </row>
        <row r="10659">
          <cell r="E10659" t="str">
            <v>MIL</v>
          </cell>
          <cell r="F10659" t="str">
            <v xml:space="preserve">MIL-G </v>
          </cell>
          <cell r="G10659">
            <v>201</v>
          </cell>
          <cell r="H10659" t="str">
            <v>MIL-G 201</v>
          </cell>
          <cell r="K10659" t="str">
            <v>Greathouse,Jeff</v>
          </cell>
          <cell r="N10659">
            <v>3.726</v>
          </cell>
          <cell r="O10659">
            <v>2.9039999999999999</v>
          </cell>
        </row>
        <row r="10660">
          <cell r="E10660" t="str">
            <v>MIL</v>
          </cell>
          <cell r="F10660" t="str">
            <v xml:space="preserve">MIL-G </v>
          </cell>
          <cell r="G10660">
            <v>202</v>
          </cell>
          <cell r="H10660" t="str">
            <v>MIL-G 202</v>
          </cell>
          <cell r="K10660" t="str">
            <v>Greathouse,Jeff</v>
          </cell>
          <cell r="N10660">
            <v>3.427</v>
          </cell>
          <cell r="O10660">
            <v>2.9460000000000002</v>
          </cell>
        </row>
        <row r="10661">
          <cell r="E10661" t="str">
            <v>MIL</v>
          </cell>
          <cell r="F10661" t="str">
            <v xml:space="preserve">MIL-G </v>
          </cell>
          <cell r="G10661">
            <v>202</v>
          </cell>
          <cell r="H10661" t="str">
            <v>MIL-G 202</v>
          </cell>
          <cell r="K10661" t="str">
            <v>Greathouse,Jeff</v>
          </cell>
          <cell r="N10661">
            <v>3.6419999999999999</v>
          </cell>
          <cell r="O10661">
            <v>2.6669999999999998</v>
          </cell>
        </row>
        <row r="10662">
          <cell r="E10662" t="str">
            <v>MIL</v>
          </cell>
          <cell r="F10662" t="str">
            <v xml:space="preserve">MIL-G </v>
          </cell>
          <cell r="G10662">
            <v>290</v>
          </cell>
          <cell r="H10662" t="str">
            <v>MIL-G 290</v>
          </cell>
          <cell r="K10662" t="str">
            <v>Ogden,Michael</v>
          </cell>
          <cell r="N10662" t="str">
            <v>NR</v>
          </cell>
          <cell r="O10662" t="str">
            <v>NR</v>
          </cell>
        </row>
        <row r="10663">
          <cell r="E10663" t="str">
            <v>MIL</v>
          </cell>
          <cell r="F10663" t="str">
            <v xml:space="preserve">MIL-G </v>
          </cell>
          <cell r="G10663">
            <v>301</v>
          </cell>
          <cell r="H10663" t="str">
            <v>MIL-G 301</v>
          </cell>
          <cell r="K10663" t="str">
            <v>Ogden,Michael</v>
          </cell>
          <cell r="N10663">
            <v>3.98</v>
          </cell>
          <cell r="O10663">
            <v>3.1259999999999999</v>
          </cell>
        </row>
        <row r="10664">
          <cell r="E10664" t="str">
            <v>MIL</v>
          </cell>
          <cell r="F10664" t="str">
            <v xml:space="preserve">MIL-G </v>
          </cell>
          <cell r="G10664">
            <v>301</v>
          </cell>
          <cell r="H10664" t="str">
            <v>MIL-G 301</v>
          </cell>
          <cell r="K10664" t="str">
            <v>Ogden,Michael</v>
          </cell>
          <cell r="N10664" t="str">
            <v>NR</v>
          </cell>
          <cell r="O10664" t="str">
            <v>NR</v>
          </cell>
        </row>
        <row r="10665">
          <cell r="E10665" t="str">
            <v>MIL</v>
          </cell>
          <cell r="F10665" t="str">
            <v xml:space="preserve">MIL-G </v>
          </cell>
          <cell r="G10665">
            <v>302</v>
          </cell>
          <cell r="H10665" t="str">
            <v>MIL-G 302</v>
          </cell>
          <cell r="K10665" t="str">
            <v>Ogden,Michael</v>
          </cell>
          <cell r="N10665">
            <v>4</v>
          </cell>
          <cell r="O10665">
            <v>3.3460000000000001</v>
          </cell>
        </row>
        <row r="10666">
          <cell r="E10666" t="str">
            <v>MIL</v>
          </cell>
          <cell r="F10666" t="str">
            <v xml:space="preserve">MIL-G </v>
          </cell>
          <cell r="G10666">
            <v>302</v>
          </cell>
          <cell r="H10666" t="str">
            <v>MIL-G 302</v>
          </cell>
          <cell r="K10666" t="str">
            <v>Ogden,Michael</v>
          </cell>
          <cell r="N10666">
            <v>3.7330000000000001</v>
          </cell>
          <cell r="O10666">
            <v>3.3719999999999999</v>
          </cell>
        </row>
        <row r="10667">
          <cell r="E10667" t="str">
            <v>MIL</v>
          </cell>
          <cell r="F10667" t="str">
            <v xml:space="preserve">MIL-G </v>
          </cell>
          <cell r="G10667">
            <v>401</v>
          </cell>
          <cell r="H10667" t="str">
            <v>MIL-G 401</v>
          </cell>
          <cell r="K10667" t="str">
            <v>Ogden,Michael</v>
          </cell>
          <cell r="N10667">
            <v>4</v>
          </cell>
          <cell r="O10667">
            <v>3.4020000000000001</v>
          </cell>
        </row>
        <row r="10668">
          <cell r="E10668" t="str">
            <v>MIL</v>
          </cell>
          <cell r="F10668" t="str">
            <v xml:space="preserve">MIL-G </v>
          </cell>
          <cell r="G10668">
            <v>402</v>
          </cell>
          <cell r="H10668" t="str">
            <v>MIL-G 402</v>
          </cell>
          <cell r="K10668" t="str">
            <v>Ogden,Michael</v>
          </cell>
          <cell r="N10668">
            <v>4</v>
          </cell>
          <cell r="O10668">
            <v>3.2839999999999998</v>
          </cell>
        </row>
        <row r="10669">
          <cell r="E10669" t="str">
            <v>MSCI</v>
          </cell>
          <cell r="F10669" t="str">
            <v>MSCI-G</v>
          </cell>
          <cell r="G10669">
            <v>901</v>
          </cell>
          <cell r="H10669" t="str">
            <v>MSCI-G901</v>
          </cell>
          <cell r="K10669" t="str">
            <v>Watkins III,John B</v>
          </cell>
          <cell r="N10669" t="str">
            <v>NR</v>
          </cell>
          <cell r="O10669" t="str">
            <v>NR</v>
          </cell>
        </row>
        <row r="10670">
          <cell r="E10670" t="str">
            <v>MSCI</v>
          </cell>
          <cell r="F10670" t="str">
            <v>MSCI-M</v>
          </cell>
          <cell r="G10670">
            <v>100</v>
          </cell>
          <cell r="H10670" t="str">
            <v>MSCI-M100</v>
          </cell>
          <cell r="K10670" t="str">
            <v>Martin,Bruce Joseph</v>
          </cell>
          <cell r="N10670">
            <v>3.31</v>
          </cell>
          <cell r="O10670">
            <v>3.077</v>
          </cell>
        </row>
        <row r="10671">
          <cell r="E10671" t="str">
            <v>MSCI</v>
          </cell>
          <cell r="F10671" t="str">
            <v>MSCI-M</v>
          </cell>
          <cell r="G10671">
            <v>100</v>
          </cell>
          <cell r="H10671" t="str">
            <v>MSCI-M100</v>
          </cell>
          <cell r="K10671" t="str">
            <v>Schutte,Audra Faye</v>
          </cell>
          <cell r="N10671">
            <v>4</v>
          </cell>
          <cell r="O10671">
            <v>3.1960000000000002</v>
          </cell>
        </row>
        <row r="10672">
          <cell r="E10672" t="str">
            <v>MSCI</v>
          </cell>
          <cell r="F10672" t="str">
            <v>MSCI-M</v>
          </cell>
          <cell r="G10672">
            <v>100</v>
          </cell>
          <cell r="H10672" t="str">
            <v>MSCI-M100</v>
          </cell>
          <cell r="K10672" t="str">
            <v>Schutte,Audra Faye</v>
          </cell>
          <cell r="N10672">
            <v>3.25</v>
          </cell>
          <cell r="O10672">
            <v>3.1120000000000001</v>
          </cell>
        </row>
        <row r="10673">
          <cell r="E10673" t="str">
            <v>MSCI</v>
          </cell>
          <cell r="F10673" t="str">
            <v>MSCI-M</v>
          </cell>
          <cell r="G10673">
            <v>131</v>
          </cell>
          <cell r="H10673" t="str">
            <v>MSCI-M131</v>
          </cell>
          <cell r="K10673" t="str">
            <v>Mynark,Richard G</v>
          </cell>
          <cell r="N10673">
            <v>2.4470000000000001</v>
          </cell>
          <cell r="O10673">
            <v>2.9380000000000002</v>
          </cell>
        </row>
        <row r="10674">
          <cell r="E10674" t="str">
            <v>MSCI</v>
          </cell>
          <cell r="F10674" t="str">
            <v>MSCI-M</v>
          </cell>
          <cell r="G10674">
            <v>131</v>
          </cell>
          <cell r="H10674" t="str">
            <v>MSCI-M131</v>
          </cell>
          <cell r="K10674" t="str">
            <v>Mynark,Richard G</v>
          </cell>
          <cell r="N10674">
            <v>2.5859999999999999</v>
          </cell>
          <cell r="O10674">
            <v>3.069</v>
          </cell>
        </row>
        <row r="10675">
          <cell r="E10675" t="str">
            <v>MSCI</v>
          </cell>
          <cell r="F10675" t="str">
            <v>MSCI-M</v>
          </cell>
          <cell r="G10675">
            <v>216</v>
          </cell>
          <cell r="H10675" t="str">
            <v>MSCI-M216</v>
          </cell>
          <cell r="K10675" t="str">
            <v>Martin,Bruce Joseph</v>
          </cell>
          <cell r="N10675">
            <v>2.4750000000000001</v>
          </cell>
          <cell r="O10675">
            <v>3.04</v>
          </cell>
        </row>
        <row r="10676">
          <cell r="E10676" t="str">
            <v>MSCI</v>
          </cell>
          <cell r="F10676" t="str">
            <v>MSCI-M</v>
          </cell>
          <cell r="G10676">
            <v>216</v>
          </cell>
          <cell r="H10676" t="str">
            <v>MSCI-M216</v>
          </cell>
          <cell r="K10676" t="str">
            <v>Martin,Bruce Joseph</v>
          </cell>
          <cell r="N10676">
            <v>2.3959999999999999</v>
          </cell>
          <cell r="O10676">
            <v>2.9689999999999999</v>
          </cell>
        </row>
        <row r="10677">
          <cell r="E10677" t="str">
            <v>MSCI</v>
          </cell>
          <cell r="F10677" t="str">
            <v>MSCI-M</v>
          </cell>
          <cell r="G10677">
            <v>450</v>
          </cell>
          <cell r="H10677" t="str">
            <v>MSCI-M450</v>
          </cell>
          <cell r="K10677" t="str">
            <v>Braden,Shirley A</v>
          </cell>
          <cell r="N10677" t="str">
            <v>NR</v>
          </cell>
          <cell r="O10677" t="str">
            <v>NR</v>
          </cell>
        </row>
        <row r="10678">
          <cell r="E10678" t="str">
            <v>MSCI</v>
          </cell>
          <cell r="F10678" t="str">
            <v>MSCI-M</v>
          </cell>
          <cell r="G10678">
            <v>450</v>
          </cell>
          <cell r="H10678" t="str">
            <v>MSCI-M450</v>
          </cell>
          <cell r="K10678" t="str">
            <v>Braden,Shirley A</v>
          </cell>
          <cell r="N10678" t="str">
            <v>NR</v>
          </cell>
          <cell r="O10678" t="str">
            <v>NR</v>
          </cell>
        </row>
        <row r="10679">
          <cell r="E10679" t="str">
            <v>MSCI</v>
          </cell>
          <cell r="F10679" t="str">
            <v>MSCI-M</v>
          </cell>
          <cell r="G10679">
            <v>470</v>
          </cell>
          <cell r="H10679" t="str">
            <v>MSCI-M470</v>
          </cell>
          <cell r="K10679" t="str">
            <v>Braun,Mark William</v>
          </cell>
          <cell r="N10679">
            <v>3.8069999999999999</v>
          </cell>
          <cell r="O10679">
            <v>3.4329999999999998</v>
          </cell>
        </row>
        <row r="10680">
          <cell r="E10680" t="str">
            <v>MSCI</v>
          </cell>
          <cell r="F10680" t="str">
            <v>MSCI-M</v>
          </cell>
          <cell r="G10680">
            <v>480</v>
          </cell>
          <cell r="H10680" t="str">
            <v>MSCI-M480</v>
          </cell>
          <cell r="K10680" t="str">
            <v>Foley,John G</v>
          </cell>
          <cell r="N10680">
            <v>3.3570000000000002</v>
          </cell>
          <cell r="O10680">
            <v>3.3090000000000002</v>
          </cell>
        </row>
        <row r="10681">
          <cell r="E10681" t="str">
            <v>MSCI</v>
          </cell>
          <cell r="F10681" t="str">
            <v>MSCI-M</v>
          </cell>
          <cell r="G10681">
            <v>485</v>
          </cell>
          <cell r="H10681" t="str">
            <v>MSCI-M485</v>
          </cell>
          <cell r="K10681" t="str">
            <v>Carr,Douglas Edward</v>
          </cell>
          <cell r="N10681">
            <v>3.2839999999999998</v>
          </cell>
          <cell r="O10681">
            <v>3.3340000000000001</v>
          </cell>
        </row>
        <row r="10682">
          <cell r="E10682" t="str">
            <v>MSCI</v>
          </cell>
          <cell r="F10682" t="str">
            <v>MSCI-M</v>
          </cell>
          <cell r="G10682">
            <v>485</v>
          </cell>
          <cell r="H10682" t="str">
            <v>MSCI-M485</v>
          </cell>
          <cell r="K10682" t="str">
            <v>Carr,Douglas Edward</v>
          </cell>
          <cell r="N10682">
            <v>3.3279999999999998</v>
          </cell>
          <cell r="O10682">
            <v>3.3330000000000002</v>
          </cell>
        </row>
        <row r="10683">
          <cell r="E10683" t="str">
            <v>MSCI</v>
          </cell>
          <cell r="F10683" t="str">
            <v>MSCI-M</v>
          </cell>
          <cell r="G10683">
            <v>499</v>
          </cell>
          <cell r="H10683" t="str">
            <v>MSCI-M499</v>
          </cell>
          <cell r="K10683" t="str">
            <v>Mynark,Richard G</v>
          </cell>
          <cell r="N10683" t="str">
            <v>NR</v>
          </cell>
          <cell r="O10683" t="str">
            <v>NR</v>
          </cell>
        </row>
        <row r="10684">
          <cell r="E10684" t="str">
            <v>MSCI</v>
          </cell>
          <cell r="F10684" t="str">
            <v>MSCI-M</v>
          </cell>
          <cell r="G10684">
            <v>499</v>
          </cell>
          <cell r="H10684" t="str">
            <v>MSCI-M499</v>
          </cell>
          <cell r="K10684" t="str">
            <v>Mynark,Richard G</v>
          </cell>
          <cell r="N10684" t="str">
            <v>NR</v>
          </cell>
          <cell r="O10684" t="str">
            <v>NR</v>
          </cell>
        </row>
        <row r="10685">
          <cell r="E10685" t="str">
            <v>MSCI</v>
          </cell>
          <cell r="F10685" t="str">
            <v>MSCI-M</v>
          </cell>
          <cell r="G10685">
            <v>505</v>
          </cell>
          <cell r="H10685" t="str">
            <v>MSCI-M505</v>
          </cell>
          <cell r="K10685" t="str">
            <v>Forrester,Wayne C.</v>
          </cell>
          <cell r="N10685" t="str">
            <v>NR</v>
          </cell>
          <cell r="O10685" t="str">
            <v>NR</v>
          </cell>
        </row>
        <row r="10686">
          <cell r="E10686" t="str">
            <v>MSCI</v>
          </cell>
          <cell r="F10686" t="str">
            <v>MSCI-M</v>
          </cell>
          <cell r="G10686">
            <v>555</v>
          </cell>
          <cell r="H10686" t="str">
            <v>MSCI-M555</v>
          </cell>
          <cell r="K10686" t="str">
            <v>Ronan,Mark</v>
          </cell>
          <cell r="N10686" t="str">
            <v>NR</v>
          </cell>
          <cell r="O10686" t="str">
            <v>NR</v>
          </cell>
        </row>
        <row r="10687">
          <cell r="E10687" t="str">
            <v>MSCI</v>
          </cell>
          <cell r="F10687" t="str">
            <v>MSCI-M</v>
          </cell>
          <cell r="G10687">
            <v>570</v>
          </cell>
          <cell r="H10687" t="str">
            <v>MSCI-M570</v>
          </cell>
          <cell r="K10687" t="str">
            <v>Braun,Mark William</v>
          </cell>
          <cell r="N10687" t="str">
            <v>NR</v>
          </cell>
          <cell r="O10687" t="str">
            <v>NR</v>
          </cell>
        </row>
        <row r="10688">
          <cell r="E10688" t="str">
            <v>MSCI</v>
          </cell>
          <cell r="F10688" t="str">
            <v>MSCI-M</v>
          </cell>
          <cell r="G10688">
            <v>580</v>
          </cell>
          <cell r="H10688" t="str">
            <v>MSCI-M580</v>
          </cell>
          <cell r="K10688" t="str">
            <v>Foley,John G</v>
          </cell>
          <cell r="N10688" t="str">
            <v>NR</v>
          </cell>
          <cell r="O10688" t="str">
            <v>NR</v>
          </cell>
        </row>
        <row r="10689">
          <cell r="E10689" t="str">
            <v>MUS</v>
          </cell>
          <cell r="F10689" t="str">
            <v xml:space="preserve">MUS-A </v>
          </cell>
          <cell r="G10689">
            <v>100</v>
          </cell>
          <cell r="H10689" t="str">
            <v>MUS-A 100</v>
          </cell>
          <cell r="K10689" t="str">
            <v>Hopson,Andrew R.</v>
          </cell>
          <cell r="N10689">
            <v>3.5790000000000002</v>
          </cell>
          <cell r="O10689">
            <v>3.05</v>
          </cell>
        </row>
        <row r="10690">
          <cell r="E10690" t="str">
            <v>MUS</v>
          </cell>
          <cell r="F10690" t="str">
            <v xml:space="preserve">MUS-A </v>
          </cell>
          <cell r="G10690">
            <v>100</v>
          </cell>
          <cell r="H10690" t="str">
            <v>MUS-A 100</v>
          </cell>
          <cell r="K10690" t="str">
            <v>Hopson,Andrew R.</v>
          </cell>
          <cell r="N10690">
            <v>3.7480000000000002</v>
          </cell>
          <cell r="O10690">
            <v>2.956</v>
          </cell>
        </row>
        <row r="10691">
          <cell r="E10691" t="str">
            <v>MUS</v>
          </cell>
          <cell r="F10691" t="str">
            <v xml:space="preserve">MUS-A </v>
          </cell>
          <cell r="G10691">
            <v>101</v>
          </cell>
          <cell r="H10691" t="str">
            <v>MUS-A 101</v>
          </cell>
          <cell r="K10691" t="str">
            <v>Hood,Mark</v>
          </cell>
          <cell r="N10691">
            <v>2.9</v>
          </cell>
          <cell r="O10691">
            <v>3.3969999999999998</v>
          </cell>
        </row>
        <row r="10692">
          <cell r="E10692" t="str">
            <v>MUS</v>
          </cell>
          <cell r="F10692" t="str">
            <v xml:space="preserve">MUS-A </v>
          </cell>
          <cell r="G10692">
            <v>102</v>
          </cell>
          <cell r="H10692" t="str">
            <v>MUS-A 102</v>
          </cell>
          <cell r="K10692" t="str">
            <v>McKinnie,Douglas John</v>
          </cell>
          <cell r="N10692">
            <v>3.4380000000000002</v>
          </cell>
          <cell r="O10692">
            <v>3.43</v>
          </cell>
        </row>
        <row r="10693">
          <cell r="E10693" t="str">
            <v>MUS</v>
          </cell>
          <cell r="F10693" t="str">
            <v xml:space="preserve">MUS-A </v>
          </cell>
          <cell r="G10693">
            <v>111</v>
          </cell>
          <cell r="H10693" t="str">
            <v>MUS-A 111</v>
          </cell>
          <cell r="K10693" t="str">
            <v>Stucker,Michael D</v>
          </cell>
          <cell r="N10693">
            <v>3.5350000000000001</v>
          </cell>
          <cell r="O10693">
            <v>3.3969999999999998</v>
          </cell>
        </row>
        <row r="10694">
          <cell r="E10694" t="str">
            <v>MUS</v>
          </cell>
          <cell r="F10694" t="str">
            <v xml:space="preserve">MUS-A </v>
          </cell>
          <cell r="G10694">
            <v>112</v>
          </cell>
          <cell r="H10694" t="str">
            <v>MUS-A 112</v>
          </cell>
          <cell r="K10694" t="str">
            <v>Stucker,Michael D</v>
          </cell>
          <cell r="N10694">
            <v>3.375</v>
          </cell>
          <cell r="O10694">
            <v>3.43</v>
          </cell>
        </row>
        <row r="10695">
          <cell r="E10695" t="str">
            <v>MUS</v>
          </cell>
          <cell r="F10695" t="str">
            <v xml:space="preserve">MUS-A </v>
          </cell>
          <cell r="G10695">
            <v>150</v>
          </cell>
          <cell r="H10695" t="str">
            <v>MUS-A 150</v>
          </cell>
          <cell r="K10695" t="str">
            <v>Strauss,Konrad A</v>
          </cell>
          <cell r="N10695">
            <v>4</v>
          </cell>
          <cell r="O10695">
            <v>3.3969999999999998</v>
          </cell>
        </row>
        <row r="10696">
          <cell r="E10696" t="str">
            <v>MUS</v>
          </cell>
          <cell r="F10696" t="str">
            <v xml:space="preserve">MUS-A </v>
          </cell>
          <cell r="G10696">
            <v>201</v>
          </cell>
          <cell r="H10696" t="str">
            <v>MUS-A 201</v>
          </cell>
          <cell r="K10696" t="str">
            <v>McKinnie,Douglas John</v>
          </cell>
          <cell r="N10696">
            <v>3</v>
          </cell>
          <cell r="O10696">
            <v>3.4329999999999998</v>
          </cell>
        </row>
        <row r="10697">
          <cell r="E10697" t="str">
            <v>MUS</v>
          </cell>
          <cell r="F10697" t="str">
            <v xml:space="preserve">MUS-A </v>
          </cell>
          <cell r="G10697">
            <v>202</v>
          </cell>
          <cell r="H10697" t="str">
            <v>MUS-A 202</v>
          </cell>
          <cell r="K10697" t="str">
            <v>Hood,Mark</v>
          </cell>
          <cell r="N10697">
            <v>3.044</v>
          </cell>
          <cell r="O10697">
            <v>3.4950000000000001</v>
          </cell>
        </row>
        <row r="10698">
          <cell r="E10698" t="str">
            <v>MUS</v>
          </cell>
          <cell r="F10698" t="str">
            <v xml:space="preserve">MUS-A </v>
          </cell>
          <cell r="G10698">
            <v>211</v>
          </cell>
          <cell r="H10698" t="str">
            <v>MUS-A 211</v>
          </cell>
          <cell r="K10698" t="str">
            <v>Stucker,Michael D</v>
          </cell>
          <cell r="N10698">
            <v>3.52</v>
          </cell>
          <cell r="O10698">
            <v>3.4329999999999998</v>
          </cell>
        </row>
        <row r="10699">
          <cell r="E10699" t="str">
            <v>MUS</v>
          </cell>
          <cell r="F10699" t="str">
            <v xml:space="preserve">MUS-A </v>
          </cell>
          <cell r="G10699">
            <v>270</v>
          </cell>
          <cell r="H10699" t="str">
            <v>MUS-A 270</v>
          </cell>
          <cell r="K10699" t="str">
            <v>Stucker,Michael D</v>
          </cell>
          <cell r="N10699">
            <v>4</v>
          </cell>
          <cell r="O10699">
            <v>3.7469999999999999</v>
          </cell>
        </row>
        <row r="10700">
          <cell r="E10700" t="str">
            <v>MUS</v>
          </cell>
          <cell r="F10700" t="str">
            <v xml:space="preserve">MUS-A </v>
          </cell>
          <cell r="G10700">
            <v>311</v>
          </cell>
          <cell r="H10700" t="str">
            <v>MUS-A 311</v>
          </cell>
          <cell r="K10700" t="str">
            <v>Stucker,Michael D</v>
          </cell>
          <cell r="N10700">
            <v>3.4889999999999999</v>
          </cell>
          <cell r="O10700">
            <v>3.4950000000000001</v>
          </cell>
        </row>
        <row r="10701">
          <cell r="E10701" t="str">
            <v>MUS</v>
          </cell>
          <cell r="F10701" t="str">
            <v xml:space="preserve">MUS-A </v>
          </cell>
          <cell r="G10701">
            <v>320</v>
          </cell>
          <cell r="H10701" t="str">
            <v>MUS-A 320</v>
          </cell>
          <cell r="K10701" t="str">
            <v>McKinnie,Douglas John</v>
          </cell>
          <cell r="N10701">
            <v>3.3639999999999999</v>
          </cell>
          <cell r="O10701">
            <v>3.5750000000000002</v>
          </cell>
        </row>
        <row r="10702">
          <cell r="E10702" t="str">
            <v>MUS</v>
          </cell>
          <cell r="F10702" t="str">
            <v xml:space="preserve">MUS-A </v>
          </cell>
          <cell r="G10702">
            <v>321</v>
          </cell>
          <cell r="H10702" t="str">
            <v>MUS-A 321</v>
          </cell>
          <cell r="K10702" t="str">
            <v>Hood,Mark</v>
          </cell>
          <cell r="N10702">
            <v>3.6110000000000002</v>
          </cell>
          <cell r="O10702">
            <v>3.492</v>
          </cell>
        </row>
        <row r="10703">
          <cell r="E10703" t="str">
            <v>MUS</v>
          </cell>
          <cell r="F10703" t="str">
            <v xml:space="preserve">MUS-A </v>
          </cell>
          <cell r="G10703">
            <v>325</v>
          </cell>
          <cell r="H10703" t="str">
            <v>MUS-A 325</v>
          </cell>
          <cell r="K10703" t="str">
            <v>Stucker,Michael D</v>
          </cell>
          <cell r="N10703">
            <v>3.56</v>
          </cell>
          <cell r="O10703">
            <v>3.5720000000000001</v>
          </cell>
        </row>
        <row r="10704">
          <cell r="E10704" t="str">
            <v>MUS</v>
          </cell>
          <cell r="F10704" t="str">
            <v xml:space="preserve">MUS-A </v>
          </cell>
          <cell r="G10704">
            <v>350</v>
          </cell>
          <cell r="H10704" t="str">
            <v>MUS-A 350</v>
          </cell>
          <cell r="K10704" t="str">
            <v>Bowles,David v.R.</v>
          </cell>
          <cell r="N10704">
            <v>2.823</v>
          </cell>
          <cell r="O10704">
            <v>3.56</v>
          </cell>
        </row>
        <row r="10705">
          <cell r="E10705" t="str">
            <v>MUS</v>
          </cell>
          <cell r="F10705" t="str">
            <v xml:space="preserve">MUS-A </v>
          </cell>
          <cell r="G10705">
            <v>350</v>
          </cell>
          <cell r="H10705" t="str">
            <v>MUS-A 350</v>
          </cell>
          <cell r="K10705" t="str">
            <v>Hood,Mark</v>
          </cell>
          <cell r="N10705">
            <v>3.8860000000000001</v>
          </cell>
          <cell r="O10705">
            <v>3.548</v>
          </cell>
        </row>
        <row r="10706">
          <cell r="E10706" t="str">
            <v>MUS</v>
          </cell>
          <cell r="F10706" t="str">
            <v xml:space="preserve">MUS-A </v>
          </cell>
          <cell r="G10706">
            <v>360</v>
          </cell>
          <cell r="H10706" t="str">
            <v>MUS-A 360</v>
          </cell>
          <cell r="K10706" t="str">
            <v>Bowles,David v.R.</v>
          </cell>
          <cell r="N10706">
            <v>3.29</v>
          </cell>
          <cell r="O10706">
            <v>3.4849999999999999</v>
          </cell>
        </row>
        <row r="10707">
          <cell r="E10707" t="str">
            <v>MUS</v>
          </cell>
          <cell r="F10707" t="str">
            <v xml:space="preserve">MUS-A </v>
          </cell>
          <cell r="G10707">
            <v>370</v>
          </cell>
          <cell r="H10707" t="str">
            <v>MUS-A 370</v>
          </cell>
          <cell r="K10707" t="str">
            <v>Hood,Mark</v>
          </cell>
          <cell r="N10707">
            <v>3.7829999999999999</v>
          </cell>
          <cell r="O10707">
            <v>3.5110000000000001</v>
          </cell>
        </row>
        <row r="10708">
          <cell r="E10708" t="str">
            <v>MUS</v>
          </cell>
          <cell r="F10708" t="str">
            <v xml:space="preserve">MUS-A </v>
          </cell>
          <cell r="G10708">
            <v>420</v>
          </cell>
          <cell r="H10708" t="str">
            <v>MUS-A 420</v>
          </cell>
          <cell r="K10708" t="str">
            <v>McKinnie,Douglas John</v>
          </cell>
          <cell r="N10708">
            <v>3.3330000000000002</v>
          </cell>
          <cell r="O10708">
            <v>3.3879999999999999</v>
          </cell>
        </row>
        <row r="10709">
          <cell r="E10709" t="str">
            <v>MUS</v>
          </cell>
          <cell r="F10709" t="str">
            <v xml:space="preserve">MUS-A </v>
          </cell>
          <cell r="G10709">
            <v>440</v>
          </cell>
          <cell r="H10709" t="str">
            <v>MUS-A 440</v>
          </cell>
          <cell r="K10709" t="str">
            <v>Hood,Mark</v>
          </cell>
          <cell r="N10709" t="str">
            <v>NR</v>
          </cell>
          <cell r="O10709" t="str">
            <v>NR</v>
          </cell>
        </row>
        <row r="10710">
          <cell r="E10710" t="str">
            <v>MUS</v>
          </cell>
          <cell r="F10710" t="str">
            <v xml:space="preserve">MUS-A </v>
          </cell>
          <cell r="G10710">
            <v>440</v>
          </cell>
          <cell r="H10710" t="str">
            <v>MUS-A 440</v>
          </cell>
          <cell r="K10710" t="str">
            <v>McKinnie,Douglas John</v>
          </cell>
          <cell r="N10710" t="str">
            <v>NR</v>
          </cell>
          <cell r="O10710" t="str">
            <v>NR</v>
          </cell>
        </row>
        <row r="10711">
          <cell r="E10711" t="str">
            <v>MUS</v>
          </cell>
          <cell r="F10711" t="str">
            <v xml:space="preserve">MUS-A </v>
          </cell>
          <cell r="G10711">
            <v>440</v>
          </cell>
          <cell r="H10711" t="str">
            <v>MUS-A 440</v>
          </cell>
          <cell r="K10711" t="str">
            <v>Strauss,Konrad A</v>
          </cell>
          <cell r="N10711" t="str">
            <v>NR</v>
          </cell>
          <cell r="O10711" t="str">
            <v>NR</v>
          </cell>
        </row>
        <row r="10712">
          <cell r="E10712" t="str">
            <v>MUS</v>
          </cell>
          <cell r="F10712" t="str">
            <v xml:space="preserve">MUS-A </v>
          </cell>
          <cell r="G10712">
            <v>460</v>
          </cell>
          <cell r="H10712" t="str">
            <v>MUS-A 460</v>
          </cell>
          <cell r="K10712" t="str">
            <v>Strauss,Konrad A</v>
          </cell>
          <cell r="N10712" t="str">
            <v>NR</v>
          </cell>
          <cell r="O10712" t="str">
            <v>NR</v>
          </cell>
        </row>
        <row r="10713">
          <cell r="E10713" t="str">
            <v>MUS</v>
          </cell>
          <cell r="F10713" t="str">
            <v xml:space="preserve">MUS-A </v>
          </cell>
          <cell r="G10713">
            <v>461</v>
          </cell>
          <cell r="H10713" t="str">
            <v>MUS-A 461</v>
          </cell>
          <cell r="K10713" t="str">
            <v>McKinnie,Douglas John</v>
          </cell>
          <cell r="N10713">
            <v>3.625</v>
          </cell>
          <cell r="O10713">
            <v>3.4529999999999998</v>
          </cell>
        </row>
        <row r="10714">
          <cell r="E10714" t="str">
            <v>MUS</v>
          </cell>
          <cell r="F10714" t="str">
            <v xml:space="preserve">MUS-A </v>
          </cell>
          <cell r="G10714">
            <v>461</v>
          </cell>
          <cell r="H10714" t="str">
            <v>MUS-A 461</v>
          </cell>
          <cell r="K10714" t="str">
            <v>Strauss,Konrad A</v>
          </cell>
          <cell r="N10714" t="str">
            <v>NR</v>
          </cell>
          <cell r="O10714" t="str">
            <v>NR</v>
          </cell>
        </row>
        <row r="10715">
          <cell r="E10715" t="str">
            <v>MUS</v>
          </cell>
          <cell r="F10715" t="str">
            <v xml:space="preserve">MUS-A </v>
          </cell>
          <cell r="G10715">
            <v>470</v>
          </cell>
          <cell r="H10715" t="str">
            <v>MUS-A 470</v>
          </cell>
          <cell r="K10715" t="str">
            <v>Hood,Mark</v>
          </cell>
          <cell r="N10715">
            <v>4</v>
          </cell>
          <cell r="O10715">
            <v>3.41</v>
          </cell>
        </row>
        <row r="10716">
          <cell r="E10716" t="str">
            <v>MUS</v>
          </cell>
          <cell r="F10716" t="str">
            <v xml:space="preserve">MUS-A </v>
          </cell>
          <cell r="G10716">
            <v>470</v>
          </cell>
          <cell r="H10716" t="str">
            <v>MUS-A 470</v>
          </cell>
          <cell r="K10716" t="str">
            <v>Mahern,Paul Cantwell</v>
          </cell>
          <cell r="N10716" t="str">
            <v>NR</v>
          </cell>
          <cell r="O10716" t="str">
            <v>NR</v>
          </cell>
        </row>
        <row r="10717">
          <cell r="E10717" t="str">
            <v>MUS</v>
          </cell>
          <cell r="F10717" t="str">
            <v xml:space="preserve">MUS-A </v>
          </cell>
          <cell r="G10717">
            <v>471</v>
          </cell>
          <cell r="H10717" t="str">
            <v>MUS-A 471</v>
          </cell>
          <cell r="K10717" t="str">
            <v>Hood,Mark</v>
          </cell>
          <cell r="N10717" t="str">
            <v>NR</v>
          </cell>
          <cell r="O10717" t="str">
            <v>NR</v>
          </cell>
        </row>
        <row r="10718">
          <cell r="E10718" t="str">
            <v>MUS</v>
          </cell>
          <cell r="F10718" t="str">
            <v xml:space="preserve">MUS-A </v>
          </cell>
          <cell r="G10718">
            <v>471</v>
          </cell>
          <cell r="H10718" t="str">
            <v>MUS-A 471</v>
          </cell>
          <cell r="K10718" t="str">
            <v>Mahern,Paul Cantwell</v>
          </cell>
          <cell r="N10718">
            <v>4</v>
          </cell>
          <cell r="O10718">
            <v>3.52</v>
          </cell>
        </row>
        <row r="10719">
          <cell r="E10719" t="str">
            <v>MUS</v>
          </cell>
          <cell r="F10719" t="str">
            <v xml:space="preserve">MUS-A </v>
          </cell>
          <cell r="G10719">
            <v>480</v>
          </cell>
          <cell r="H10719" t="str">
            <v>MUS-A 480</v>
          </cell>
          <cell r="K10719" t="str">
            <v>Strauss,Konrad A</v>
          </cell>
          <cell r="N10719" t="str">
            <v>NR</v>
          </cell>
          <cell r="O10719" t="str">
            <v>NR</v>
          </cell>
        </row>
        <row r="10720">
          <cell r="E10720" t="str">
            <v>MUS</v>
          </cell>
          <cell r="F10720" t="str">
            <v xml:space="preserve">MUS-B </v>
          </cell>
          <cell r="G10720">
            <v>110</v>
          </cell>
          <cell r="H10720" t="str">
            <v>MUS-B 110</v>
          </cell>
          <cell r="K10720" t="str">
            <v>Cumming,Ashley</v>
          </cell>
          <cell r="N10720" t="str">
            <v>NR</v>
          </cell>
          <cell r="O10720" t="str">
            <v>NR</v>
          </cell>
        </row>
        <row r="10721">
          <cell r="E10721" t="str">
            <v>MUS</v>
          </cell>
          <cell r="F10721" t="str">
            <v xml:space="preserve">MUS-B </v>
          </cell>
          <cell r="G10721">
            <v>110</v>
          </cell>
          <cell r="H10721" t="str">
            <v>MUS-B 110</v>
          </cell>
          <cell r="K10721" t="str">
            <v>Huebscher,Olivier</v>
          </cell>
          <cell r="N10721" t="str">
            <v>NR</v>
          </cell>
          <cell r="O10721" t="str">
            <v>NR</v>
          </cell>
        </row>
        <row r="10722">
          <cell r="E10722" t="str">
            <v>MUS</v>
          </cell>
          <cell r="F10722" t="str">
            <v xml:space="preserve">MUS-B </v>
          </cell>
          <cell r="G10722">
            <v>120</v>
          </cell>
          <cell r="H10722" t="str">
            <v>MUS-B 120</v>
          </cell>
          <cell r="K10722" t="str">
            <v>Cumming,Ashley</v>
          </cell>
          <cell r="N10722" t="str">
            <v>NR</v>
          </cell>
          <cell r="O10722" t="str">
            <v>NR</v>
          </cell>
        </row>
        <row r="10723">
          <cell r="E10723" t="str">
            <v>MUS</v>
          </cell>
          <cell r="F10723" t="str">
            <v xml:space="preserve">MUS-B </v>
          </cell>
          <cell r="G10723">
            <v>120</v>
          </cell>
          <cell r="H10723" t="str">
            <v>MUS-B 120</v>
          </cell>
          <cell r="K10723" t="str">
            <v>Huebscher,Olivier</v>
          </cell>
          <cell r="N10723" t="str">
            <v>NR</v>
          </cell>
          <cell r="O10723" t="str">
            <v>NR</v>
          </cell>
        </row>
        <row r="10724">
          <cell r="E10724" t="str">
            <v>MUS</v>
          </cell>
          <cell r="F10724" t="str">
            <v xml:space="preserve">MUS-B </v>
          </cell>
          <cell r="G10724">
            <v>130</v>
          </cell>
          <cell r="H10724" t="str">
            <v>MUS-B 130</v>
          </cell>
          <cell r="K10724" t="str">
            <v>Cumming,Ashley</v>
          </cell>
          <cell r="N10724" t="str">
            <v>NR</v>
          </cell>
          <cell r="O10724" t="str">
            <v>NR</v>
          </cell>
        </row>
        <row r="10725">
          <cell r="E10725" t="str">
            <v>MUS</v>
          </cell>
          <cell r="F10725" t="str">
            <v xml:space="preserve">MUS-B </v>
          </cell>
          <cell r="G10725">
            <v>150</v>
          </cell>
          <cell r="H10725" t="str">
            <v>MUS-B 150</v>
          </cell>
          <cell r="K10725" t="str">
            <v>Cumming,Ashley</v>
          </cell>
          <cell r="N10725" t="str">
            <v>NR</v>
          </cell>
          <cell r="O10725" t="str">
            <v>NR</v>
          </cell>
        </row>
        <row r="10726">
          <cell r="E10726" t="str">
            <v>MUS</v>
          </cell>
          <cell r="F10726" t="str">
            <v xml:space="preserve">MUS-B </v>
          </cell>
          <cell r="G10726">
            <v>150</v>
          </cell>
          <cell r="H10726" t="str">
            <v>MUS-B 150</v>
          </cell>
          <cell r="K10726" t="str">
            <v>Huebscher,Olivier</v>
          </cell>
          <cell r="N10726" t="str">
            <v>NR</v>
          </cell>
          <cell r="O10726" t="str">
            <v>NR</v>
          </cell>
        </row>
        <row r="10727">
          <cell r="E10727" t="str">
            <v>MUS</v>
          </cell>
          <cell r="F10727" t="str">
            <v xml:space="preserve">MUS-B </v>
          </cell>
          <cell r="G10727">
            <v>410</v>
          </cell>
          <cell r="H10727" t="str">
            <v>MUS-B 410</v>
          </cell>
          <cell r="K10727" t="str">
            <v>Bloom,Myron</v>
          </cell>
          <cell r="N10727" t="str">
            <v>NR</v>
          </cell>
          <cell r="O10727" t="str">
            <v>NR</v>
          </cell>
        </row>
        <row r="10728">
          <cell r="E10728" t="str">
            <v>MUS</v>
          </cell>
          <cell r="F10728" t="str">
            <v xml:space="preserve">MUS-B </v>
          </cell>
          <cell r="G10728">
            <v>410</v>
          </cell>
          <cell r="H10728" t="str">
            <v>MUS-B 410</v>
          </cell>
          <cell r="K10728" t="str">
            <v>Bloom,Myron</v>
          </cell>
          <cell r="N10728">
            <v>3.3860000000000001</v>
          </cell>
          <cell r="O10728">
            <v>3.3849999999999998</v>
          </cell>
        </row>
        <row r="10729">
          <cell r="E10729" t="str">
            <v>MUS</v>
          </cell>
          <cell r="F10729" t="str">
            <v xml:space="preserve">MUS-B </v>
          </cell>
          <cell r="G10729">
            <v>410</v>
          </cell>
          <cell r="H10729" t="str">
            <v>MUS-B 410</v>
          </cell>
          <cell r="K10729" t="str">
            <v>Nelsen,Jeff</v>
          </cell>
          <cell r="N10729">
            <v>3.97</v>
          </cell>
          <cell r="O10729">
            <v>3.653</v>
          </cell>
        </row>
        <row r="10730">
          <cell r="E10730" t="str">
            <v>MUS</v>
          </cell>
          <cell r="F10730" t="str">
            <v xml:space="preserve">MUS-B </v>
          </cell>
          <cell r="G10730">
            <v>410</v>
          </cell>
          <cell r="H10730" t="str">
            <v>MUS-B 410</v>
          </cell>
          <cell r="K10730" t="str">
            <v>Nelsen,Jeff</v>
          </cell>
          <cell r="N10730">
            <v>3.8559999999999999</v>
          </cell>
          <cell r="O10730">
            <v>3.5030000000000001</v>
          </cell>
        </row>
        <row r="10731">
          <cell r="E10731" t="str">
            <v>MUS</v>
          </cell>
          <cell r="F10731" t="str">
            <v xml:space="preserve">MUS-B </v>
          </cell>
          <cell r="G10731">
            <v>410</v>
          </cell>
          <cell r="H10731" t="str">
            <v>MUS-B 410</v>
          </cell>
          <cell r="K10731" t="str">
            <v>Richards,Gwyn</v>
          </cell>
          <cell r="N10731" t="str">
            <v>NR</v>
          </cell>
          <cell r="O10731" t="str">
            <v>NR</v>
          </cell>
        </row>
        <row r="10732">
          <cell r="E10732" t="str">
            <v>MUS</v>
          </cell>
          <cell r="F10732" t="str">
            <v xml:space="preserve">MUS-B </v>
          </cell>
          <cell r="G10732">
            <v>410</v>
          </cell>
          <cell r="H10732" t="str">
            <v>MUS-B 410</v>
          </cell>
          <cell r="K10732" t="str">
            <v>Seraphinoff,Richard M.</v>
          </cell>
          <cell r="N10732" t="str">
            <v>NR</v>
          </cell>
          <cell r="O10732" t="str">
            <v>NR</v>
          </cell>
        </row>
        <row r="10733">
          <cell r="E10733" t="str">
            <v>MUS</v>
          </cell>
          <cell r="F10733" t="str">
            <v xml:space="preserve">MUS-B </v>
          </cell>
          <cell r="G10733">
            <v>410</v>
          </cell>
          <cell r="H10733" t="str">
            <v>MUS-B 410</v>
          </cell>
          <cell r="K10733" t="str">
            <v>Seraphinoff,Richard M.</v>
          </cell>
          <cell r="N10733">
            <v>3.871</v>
          </cell>
          <cell r="O10733">
            <v>3.5649999999999999</v>
          </cell>
        </row>
        <row r="10734">
          <cell r="E10734" t="str">
            <v>MUS</v>
          </cell>
          <cell r="F10734" t="str">
            <v xml:space="preserve">MUS-B </v>
          </cell>
          <cell r="G10734">
            <v>420</v>
          </cell>
          <cell r="H10734" t="str">
            <v>MUS-B 420</v>
          </cell>
          <cell r="K10734" t="str">
            <v>Cord,Edmund</v>
          </cell>
          <cell r="N10734">
            <v>4</v>
          </cell>
          <cell r="O10734">
            <v>3.601</v>
          </cell>
        </row>
        <row r="10735">
          <cell r="E10735" t="str">
            <v>MUS</v>
          </cell>
          <cell r="F10735" t="str">
            <v xml:space="preserve">MUS-B </v>
          </cell>
          <cell r="G10735">
            <v>420</v>
          </cell>
          <cell r="H10735" t="str">
            <v>MUS-B 420</v>
          </cell>
          <cell r="K10735" t="str">
            <v>Cord,Edmund</v>
          </cell>
          <cell r="N10735">
            <v>3.8220000000000001</v>
          </cell>
          <cell r="O10735">
            <v>3.7090000000000001</v>
          </cell>
        </row>
        <row r="10736">
          <cell r="E10736" t="str">
            <v>MUS</v>
          </cell>
          <cell r="F10736" t="str">
            <v xml:space="preserve">MUS-B </v>
          </cell>
          <cell r="G10736">
            <v>420</v>
          </cell>
          <cell r="H10736" t="str">
            <v>MUS-B 420</v>
          </cell>
          <cell r="K10736" t="str">
            <v>Richards,Gwyn</v>
          </cell>
          <cell r="N10736" t="str">
            <v>NR</v>
          </cell>
          <cell r="O10736" t="str">
            <v>NR</v>
          </cell>
        </row>
        <row r="10737">
          <cell r="E10737" t="str">
            <v>MUS</v>
          </cell>
          <cell r="F10737" t="str">
            <v xml:space="preserve">MUS-B </v>
          </cell>
          <cell r="G10737">
            <v>420</v>
          </cell>
          <cell r="H10737" t="str">
            <v>MUS-B 420</v>
          </cell>
          <cell r="K10737" t="str">
            <v>Rommel,John D.</v>
          </cell>
          <cell r="N10737">
            <v>4</v>
          </cell>
          <cell r="O10737">
            <v>3.6669999999999998</v>
          </cell>
        </row>
        <row r="10738">
          <cell r="E10738" t="str">
            <v>MUS</v>
          </cell>
          <cell r="F10738" t="str">
            <v xml:space="preserve">MUS-B </v>
          </cell>
          <cell r="G10738">
            <v>420</v>
          </cell>
          <cell r="H10738" t="str">
            <v>MUS-B 420</v>
          </cell>
          <cell r="K10738" t="str">
            <v>Rommel,John D.</v>
          </cell>
          <cell r="N10738">
            <v>3.9180000000000001</v>
          </cell>
          <cell r="O10738">
            <v>3.6509999999999998</v>
          </cell>
        </row>
        <row r="10739">
          <cell r="E10739" t="str">
            <v>MUS</v>
          </cell>
          <cell r="F10739" t="str">
            <v xml:space="preserve">MUS-B </v>
          </cell>
          <cell r="G10739">
            <v>420</v>
          </cell>
          <cell r="H10739" t="str">
            <v>MUS-B 420</v>
          </cell>
          <cell r="K10739" t="str">
            <v>Tartell,Joey</v>
          </cell>
          <cell r="N10739">
            <v>3.8860000000000001</v>
          </cell>
          <cell r="O10739">
            <v>3.5270000000000001</v>
          </cell>
        </row>
        <row r="10740">
          <cell r="E10740" t="str">
            <v>MUS</v>
          </cell>
          <cell r="F10740" t="str">
            <v xml:space="preserve">MUS-B </v>
          </cell>
          <cell r="G10740">
            <v>420</v>
          </cell>
          <cell r="H10740" t="str">
            <v>MUS-B 420</v>
          </cell>
          <cell r="K10740" t="str">
            <v>Tartell,Joey</v>
          </cell>
          <cell r="N10740">
            <v>3.7250000000000001</v>
          </cell>
          <cell r="O10740">
            <v>3.53</v>
          </cell>
        </row>
        <row r="10741">
          <cell r="E10741" t="str">
            <v>MUS</v>
          </cell>
          <cell r="F10741" t="str">
            <v xml:space="preserve">MUS-B </v>
          </cell>
          <cell r="G10741">
            <v>430</v>
          </cell>
          <cell r="H10741" t="str">
            <v>MUS-B 430</v>
          </cell>
          <cell r="K10741" t="str">
            <v>Ellefson,Peter E.</v>
          </cell>
          <cell r="N10741">
            <v>3.87</v>
          </cell>
          <cell r="O10741">
            <v>3.5990000000000002</v>
          </cell>
        </row>
        <row r="10742">
          <cell r="E10742" t="str">
            <v>MUS</v>
          </cell>
          <cell r="F10742" t="str">
            <v xml:space="preserve">MUS-B </v>
          </cell>
          <cell r="G10742">
            <v>430</v>
          </cell>
          <cell r="H10742" t="str">
            <v>MUS-B 430</v>
          </cell>
          <cell r="K10742" t="str">
            <v>Ellefson,Peter E.</v>
          </cell>
          <cell r="N10742">
            <v>3.9750000000000001</v>
          </cell>
          <cell r="O10742">
            <v>3.5979999999999999</v>
          </cell>
        </row>
        <row r="10743">
          <cell r="E10743" t="str">
            <v>MUS</v>
          </cell>
          <cell r="F10743" t="str">
            <v xml:space="preserve">MUS-B </v>
          </cell>
          <cell r="G10743">
            <v>430</v>
          </cell>
          <cell r="H10743" t="str">
            <v>MUS-B 430</v>
          </cell>
          <cell r="K10743" t="str">
            <v>Lenthe,Carl</v>
          </cell>
          <cell r="N10743" t="str">
            <v>NR</v>
          </cell>
          <cell r="O10743" t="str">
            <v>NR</v>
          </cell>
        </row>
        <row r="10744">
          <cell r="E10744" t="str">
            <v>MUS</v>
          </cell>
          <cell r="F10744" t="str">
            <v xml:space="preserve">MUS-B </v>
          </cell>
          <cell r="G10744">
            <v>430</v>
          </cell>
          <cell r="H10744" t="str">
            <v>MUS-B 430</v>
          </cell>
          <cell r="K10744" t="str">
            <v>Lenthe,Carl</v>
          </cell>
          <cell r="N10744" t="str">
            <v>NR</v>
          </cell>
          <cell r="O10744" t="str">
            <v>NR</v>
          </cell>
        </row>
        <row r="10745">
          <cell r="E10745" t="str">
            <v>MUS</v>
          </cell>
          <cell r="F10745" t="str">
            <v xml:space="preserve">MUS-B </v>
          </cell>
          <cell r="G10745">
            <v>430</v>
          </cell>
          <cell r="H10745" t="str">
            <v>MUS-B 430</v>
          </cell>
          <cell r="K10745" t="str">
            <v>Richards,Gwyn</v>
          </cell>
          <cell r="N10745" t="str">
            <v>NR</v>
          </cell>
          <cell r="O10745" t="str">
            <v>NR</v>
          </cell>
        </row>
        <row r="10746">
          <cell r="E10746" t="str">
            <v>MUS</v>
          </cell>
          <cell r="F10746" t="str">
            <v xml:space="preserve">MUS-B </v>
          </cell>
          <cell r="G10746">
            <v>430</v>
          </cell>
          <cell r="H10746" t="str">
            <v>MUS-B 430</v>
          </cell>
          <cell r="K10746" t="str">
            <v>Richards,Gwyn</v>
          </cell>
          <cell r="N10746" t="str">
            <v>NR</v>
          </cell>
          <cell r="O10746" t="str">
            <v>NR</v>
          </cell>
        </row>
        <row r="10747">
          <cell r="E10747" t="str">
            <v>MUS</v>
          </cell>
          <cell r="F10747" t="str">
            <v xml:space="preserve">MUS-B </v>
          </cell>
          <cell r="G10747">
            <v>430</v>
          </cell>
          <cell r="H10747" t="str">
            <v>MUS-B 430</v>
          </cell>
          <cell r="K10747" t="str">
            <v>Stewart,M. Dee</v>
          </cell>
          <cell r="N10747">
            <v>3.87</v>
          </cell>
          <cell r="O10747">
            <v>3.5190000000000001</v>
          </cell>
        </row>
        <row r="10748">
          <cell r="E10748" t="str">
            <v>MUS</v>
          </cell>
          <cell r="F10748" t="str">
            <v xml:space="preserve">MUS-B </v>
          </cell>
          <cell r="G10748">
            <v>430</v>
          </cell>
          <cell r="H10748" t="str">
            <v>MUS-B 430</v>
          </cell>
          <cell r="K10748" t="str">
            <v>Stewart,M. Dee</v>
          </cell>
          <cell r="N10748">
            <v>3.9249999999999998</v>
          </cell>
          <cell r="O10748">
            <v>3.4670000000000001</v>
          </cell>
        </row>
        <row r="10749">
          <cell r="E10749" t="str">
            <v>MUS</v>
          </cell>
          <cell r="F10749" t="str">
            <v xml:space="preserve">MUS-B </v>
          </cell>
          <cell r="G10749">
            <v>440</v>
          </cell>
          <cell r="H10749" t="str">
            <v>MUS-B 440</v>
          </cell>
          <cell r="K10749" t="str">
            <v>Lenthe,Carl</v>
          </cell>
          <cell r="N10749" t="str">
            <v>NR</v>
          </cell>
          <cell r="O10749" t="str">
            <v>NR</v>
          </cell>
        </row>
        <row r="10750">
          <cell r="E10750" t="str">
            <v>MUS</v>
          </cell>
          <cell r="F10750" t="str">
            <v xml:space="preserve">MUS-B </v>
          </cell>
          <cell r="G10750">
            <v>440</v>
          </cell>
          <cell r="H10750" t="str">
            <v>MUS-B 440</v>
          </cell>
          <cell r="K10750" t="str">
            <v>Lenthe,Carl</v>
          </cell>
          <cell r="N10750" t="str">
            <v>NR</v>
          </cell>
          <cell r="O10750" t="str">
            <v>NR</v>
          </cell>
        </row>
        <row r="10751">
          <cell r="E10751" t="str">
            <v>MUS</v>
          </cell>
          <cell r="F10751" t="str">
            <v xml:space="preserve">MUS-B </v>
          </cell>
          <cell r="G10751">
            <v>440</v>
          </cell>
          <cell r="H10751" t="str">
            <v>MUS-B 440</v>
          </cell>
          <cell r="K10751" t="str">
            <v>Perantoni,Daniel Thomas</v>
          </cell>
          <cell r="N10751" t="str">
            <v>NR</v>
          </cell>
          <cell r="O10751" t="str">
            <v>NR</v>
          </cell>
        </row>
        <row r="10752">
          <cell r="E10752" t="str">
            <v>MUS</v>
          </cell>
          <cell r="F10752" t="str">
            <v xml:space="preserve">MUS-B </v>
          </cell>
          <cell r="G10752">
            <v>440</v>
          </cell>
          <cell r="H10752" t="str">
            <v>MUS-B 440</v>
          </cell>
          <cell r="K10752" t="str">
            <v>Perantoni,Daniel Thomas</v>
          </cell>
          <cell r="N10752" t="str">
            <v>NR</v>
          </cell>
          <cell r="O10752" t="str">
            <v>NR</v>
          </cell>
        </row>
        <row r="10753">
          <cell r="E10753" t="str">
            <v>MUS</v>
          </cell>
          <cell r="F10753" t="str">
            <v xml:space="preserve">MUS-B </v>
          </cell>
          <cell r="G10753">
            <v>440</v>
          </cell>
          <cell r="H10753" t="str">
            <v>MUS-B 440</v>
          </cell>
          <cell r="K10753" t="str">
            <v>Stewart,M. Dee</v>
          </cell>
          <cell r="N10753" t="str">
            <v>NR</v>
          </cell>
          <cell r="O10753" t="str">
            <v>NR</v>
          </cell>
        </row>
        <row r="10754">
          <cell r="E10754" t="str">
            <v>MUS</v>
          </cell>
          <cell r="F10754" t="str">
            <v xml:space="preserve">MUS-B </v>
          </cell>
          <cell r="G10754">
            <v>450</v>
          </cell>
          <cell r="H10754" t="str">
            <v>MUS-B 450</v>
          </cell>
          <cell r="K10754" t="str">
            <v>Perantoni,Daniel Thomas</v>
          </cell>
          <cell r="N10754">
            <v>4</v>
          </cell>
          <cell r="O10754">
            <v>3.6480000000000001</v>
          </cell>
        </row>
        <row r="10755">
          <cell r="E10755" t="str">
            <v>MUS</v>
          </cell>
          <cell r="F10755" t="str">
            <v xml:space="preserve">MUS-B </v>
          </cell>
          <cell r="G10755">
            <v>450</v>
          </cell>
          <cell r="H10755" t="str">
            <v>MUS-B 450</v>
          </cell>
          <cell r="K10755" t="str">
            <v>Perantoni,Daniel Thomas</v>
          </cell>
          <cell r="N10755">
            <v>4</v>
          </cell>
          <cell r="O10755">
            <v>3.5659999999999998</v>
          </cell>
        </row>
        <row r="10756">
          <cell r="E10756" t="str">
            <v>MUS</v>
          </cell>
          <cell r="F10756" t="str">
            <v xml:space="preserve">MUS-B </v>
          </cell>
          <cell r="G10756">
            <v>601</v>
          </cell>
          <cell r="H10756" t="str">
            <v>MUS-B 601</v>
          </cell>
          <cell r="K10756" t="str">
            <v>Isaacson,Eric John</v>
          </cell>
          <cell r="N10756" t="str">
            <v>NR</v>
          </cell>
          <cell r="O10756" t="str">
            <v>NR</v>
          </cell>
        </row>
        <row r="10757">
          <cell r="E10757" t="str">
            <v>MUS</v>
          </cell>
          <cell r="F10757" t="str">
            <v xml:space="preserve">MUS-B </v>
          </cell>
          <cell r="G10757">
            <v>601</v>
          </cell>
          <cell r="H10757" t="str">
            <v>MUS-B 601</v>
          </cell>
          <cell r="K10757" t="str">
            <v>Isaacson,Eric John</v>
          </cell>
          <cell r="N10757" t="str">
            <v>NR</v>
          </cell>
          <cell r="O10757" t="str">
            <v>NR</v>
          </cell>
        </row>
        <row r="10758">
          <cell r="E10758" t="str">
            <v>MUS</v>
          </cell>
          <cell r="F10758" t="str">
            <v xml:space="preserve">MUS-B </v>
          </cell>
          <cell r="G10758">
            <v>602</v>
          </cell>
          <cell r="H10758" t="str">
            <v>MUS-B 602</v>
          </cell>
          <cell r="K10758" t="str">
            <v>Isaacson,Eric John</v>
          </cell>
          <cell r="N10758" t="str">
            <v>NR</v>
          </cell>
          <cell r="O10758" t="str">
            <v>NR</v>
          </cell>
        </row>
        <row r="10759">
          <cell r="E10759" t="str">
            <v>MUS</v>
          </cell>
          <cell r="F10759" t="str">
            <v xml:space="preserve">MUS-B </v>
          </cell>
          <cell r="G10759">
            <v>602</v>
          </cell>
          <cell r="H10759" t="str">
            <v>MUS-B 602</v>
          </cell>
          <cell r="K10759" t="str">
            <v>Isaacson,Eric John</v>
          </cell>
          <cell r="N10759" t="str">
            <v>NR</v>
          </cell>
          <cell r="O10759" t="str">
            <v>NR</v>
          </cell>
        </row>
        <row r="10760">
          <cell r="E10760" t="str">
            <v>MUS</v>
          </cell>
          <cell r="F10760" t="str">
            <v xml:space="preserve">MUS-B </v>
          </cell>
          <cell r="G10760">
            <v>710</v>
          </cell>
          <cell r="H10760" t="str">
            <v>MUS-B 710</v>
          </cell>
          <cell r="K10760" t="str">
            <v>Cumming,Ashley</v>
          </cell>
          <cell r="N10760" t="str">
            <v>NR</v>
          </cell>
          <cell r="O10760" t="str">
            <v>NR</v>
          </cell>
        </row>
        <row r="10761">
          <cell r="E10761" t="str">
            <v>MUS</v>
          </cell>
          <cell r="F10761" t="str">
            <v xml:space="preserve">MUS-B </v>
          </cell>
          <cell r="G10761">
            <v>720</v>
          </cell>
          <cell r="H10761" t="str">
            <v>MUS-B 720</v>
          </cell>
          <cell r="K10761" t="str">
            <v>Cumming,Ashley</v>
          </cell>
          <cell r="N10761" t="str">
            <v>NR</v>
          </cell>
          <cell r="O10761" t="str">
            <v>NR</v>
          </cell>
        </row>
        <row r="10762">
          <cell r="E10762" t="str">
            <v>MUS</v>
          </cell>
          <cell r="F10762" t="str">
            <v xml:space="preserve">MUS-B </v>
          </cell>
          <cell r="G10762">
            <v>720</v>
          </cell>
          <cell r="H10762" t="str">
            <v>MUS-B 720</v>
          </cell>
          <cell r="K10762" t="str">
            <v>Huebscher,Olivier</v>
          </cell>
          <cell r="N10762" t="str">
            <v>NR</v>
          </cell>
          <cell r="O10762" t="str">
            <v>NR</v>
          </cell>
        </row>
        <row r="10763">
          <cell r="E10763" t="str">
            <v>MUS</v>
          </cell>
          <cell r="F10763" t="str">
            <v xml:space="preserve">MUS-B </v>
          </cell>
          <cell r="G10763">
            <v>810</v>
          </cell>
          <cell r="H10763" t="str">
            <v>MUS-B 810</v>
          </cell>
          <cell r="K10763" t="str">
            <v>Bloom,Myron</v>
          </cell>
          <cell r="N10763" t="str">
            <v>NR</v>
          </cell>
          <cell r="O10763" t="str">
            <v>NR</v>
          </cell>
        </row>
        <row r="10764">
          <cell r="E10764" t="str">
            <v>MUS</v>
          </cell>
          <cell r="F10764" t="str">
            <v xml:space="preserve">MUS-B </v>
          </cell>
          <cell r="G10764">
            <v>810</v>
          </cell>
          <cell r="H10764" t="str">
            <v>MUS-B 810</v>
          </cell>
          <cell r="K10764" t="str">
            <v>Bloom,Myron</v>
          </cell>
          <cell r="N10764" t="str">
            <v>NR</v>
          </cell>
          <cell r="O10764" t="str">
            <v>NR</v>
          </cell>
        </row>
        <row r="10765">
          <cell r="E10765" t="str">
            <v>MUS</v>
          </cell>
          <cell r="F10765" t="str">
            <v xml:space="preserve">MUS-B </v>
          </cell>
          <cell r="G10765">
            <v>820</v>
          </cell>
          <cell r="H10765" t="str">
            <v>MUS-B 820</v>
          </cell>
          <cell r="K10765" t="str">
            <v>Rommel,John D.</v>
          </cell>
          <cell r="N10765" t="str">
            <v>NR</v>
          </cell>
          <cell r="O10765" t="str">
            <v>NR</v>
          </cell>
        </row>
        <row r="10766">
          <cell r="E10766" t="str">
            <v>MUS</v>
          </cell>
          <cell r="F10766" t="str">
            <v xml:space="preserve">MUS-B </v>
          </cell>
          <cell r="G10766">
            <v>820</v>
          </cell>
          <cell r="H10766" t="str">
            <v>MUS-B 820</v>
          </cell>
          <cell r="K10766" t="str">
            <v>Rommel,John D.</v>
          </cell>
          <cell r="N10766" t="str">
            <v>NR</v>
          </cell>
          <cell r="O10766" t="str">
            <v>NR</v>
          </cell>
        </row>
        <row r="10767">
          <cell r="E10767" t="str">
            <v>MUS</v>
          </cell>
          <cell r="F10767" t="str">
            <v xml:space="preserve">MUS-B </v>
          </cell>
          <cell r="G10767">
            <v>820</v>
          </cell>
          <cell r="H10767" t="str">
            <v>MUS-B 820</v>
          </cell>
          <cell r="K10767" t="str">
            <v>Tartell,Joey</v>
          </cell>
          <cell r="N10767" t="str">
            <v>NR</v>
          </cell>
          <cell r="O10767" t="str">
            <v>NR</v>
          </cell>
        </row>
        <row r="10768">
          <cell r="E10768" t="str">
            <v>MUS</v>
          </cell>
          <cell r="F10768" t="str">
            <v xml:space="preserve">MUS-B </v>
          </cell>
          <cell r="G10768">
            <v>830</v>
          </cell>
          <cell r="H10768" t="str">
            <v>MUS-B 830</v>
          </cell>
          <cell r="K10768" t="str">
            <v>Stewart,M. Dee</v>
          </cell>
          <cell r="N10768" t="str">
            <v>NR</v>
          </cell>
          <cell r="O10768" t="str">
            <v>NR</v>
          </cell>
        </row>
        <row r="10769">
          <cell r="E10769" t="str">
            <v>MUS</v>
          </cell>
          <cell r="F10769" t="str">
            <v xml:space="preserve">MUS-B </v>
          </cell>
          <cell r="G10769">
            <v>830</v>
          </cell>
          <cell r="H10769" t="str">
            <v>MUS-B 830</v>
          </cell>
          <cell r="K10769" t="str">
            <v>Stewart,M. Dee</v>
          </cell>
          <cell r="N10769" t="str">
            <v>NR</v>
          </cell>
          <cell r="O10769" t="str">
            <v>NR</v>
          </cell>
        </row>
        <row r="10770">
          <cell r="E10770" t="str">
            <v>MUS</v>
          </cell>
          <cell r="F10770" t="str">
            <v xml:space="preserve">MUS-B </v>
          </cell>
          <cell r="G10770">
            <v>850</v>
          </cell>
          <cell r="H10770" t="str">
            <v>MUS-B 850</v>
          </cell>
          <cell r="K10770" t="str">
            <v>Perantoni,Daniel Thomas</v>
          </cell>
          <cell r="N10770" t="str">
            <v>NR</v>
          </cell>
          <cell r="O10770" t="str">
            <v>NR</v>
          </cell>
        </row>
        <row r="10771">
          <cell r="E10771" t="str">
            <v>MUS</v>
          </cell>
          <cell r="F10771" t="str">
            <v xml:space="preserve">MUS-B </v>
          </cell>
          <cell r="G10771">
            <v>910</v>
          </cell>
          <cell r="H10771" t="str">
            <v>MUS-B 910</v>
          </cell>
          <cell r="K10771" t="str">
            <v>Bloom,Myron</v>
          </cell>
          <cell r="N10771" t="str">
            <v>NR</v>
          </cell>
          <cell r="O10771" t="str">
            <v>NR</v>
          </cell>
        </row>
        <row r="10772">
          <cell r="E10772" t="str">
            <v>MUS</v>
          </cell>
          <cell r="F10772" t="str">
            <v xml:space="preserve">MUS-B </v>
          </cell>
          <cell r="G10772">
            <v>910</v>
          </cell>
          <cell r="H10772" t="str">
            <v>MUS-B 910</v>
          </cell>
          <cell r="K10772" t="str">
            <v>Bloom,Myron</v>
          </cell>
          <cell r="N10772" t="str">
            <v>NR</v>
          </cell>
          <cell r="O10772" t="str">
            <v>NR</v>
          </cell>
        </row>
        <row r="10773">
          <cell r="E10773" t="str">
            <v>MUS</v>
          </cell>
          <cell r="F10773" t="str">
            <v xml:space="preserve">MUS-B </v>
          </cell>
          <cell r="G10773">
            <v>910</v>
          </cell>
          <cell r="H10773" t="str">
            <v>MUS-B 910</v>
          </cell>
          <cell r="K10773" t="str">
            <v>Nelsen,Jeff</v>
          </cell>
          <cell r="N10773">
            <v>4</v>
          </cell>
          <cell r="O10773">
            <v>3.8450000000000002</v>
          </cell>
        </row>
        <row r="10774">
          <cell r="E10774" t="str">
            <v>MUS</v>
          </cell>
          <cell r="F10774" t="str">
            <v xml:space="preserve">MUS-B </v>
          </cell>
          <cell r="G10774">
            <v>910</v>
          </cell>
          <cell r="H10774" t="str">
            <v>MUS-B 910</v>
          </cell>
          <cell r="K10774" t="str">
            <v>Nelsen,Jeff</v>
          </cell>
          <cell r="N10774">
            <v>4</v>
          </cell>
          <cell r="O10774">
            <v>3.8279999999999998</v>
          </cell>
        </row>
        <row r="10775">
          <cell r="E10775" t="str">
            <v>MUS</v>
          </cell>
          <cell r="F10775" t="str">
            <v xml:space="preserve">MUS-B </v>
          </cell>
          <cell r="G10775">
            <v>910</v>
          </cell>
          <cell r="H10775" t="str">
            <v>MUS-B 910</v>
          </cell>
          <cell r="K10775" t="str">
            <v>Richards,Gwyn</v>
          </cell>
          <cell r="N10775" t="str">
            <v>NR</v>
          </cell>
          <cell r="O10775" t="str">
            <v>NR</v>
          </cell>
        </row>
        <row r="10776">
          <cell r="E10776" t="str">
            <v>MUS</v>
          </cell>
          <cell r="F10776" t="str">
            <v xml:space="preserve">MUS-B </v>
          </cell>
          <cell r="G10776">
            <v>910</v>
          </cell>
          <cell r="H10776" t="str">
            <v>MUS-B 910</v>
          </cell>
          <cell r="K10776" t="str">
            <v>Seraphinoff,Richard M.</v>
          </cell>
          <cell r="N10776" t="str">
            <v>NR</v>
          </cell>
          <cell r="O10776" t="str">
            <v>NR</v>
          </cell>
        </row>
        <row r="10777">
          <cell r="E10777" t="str">
            <v>MUS</v>
          </cell>
          <cell r="F10777" t="str">
            <v xml:space="preserve">MUS-B </v>
          </cell>
          <cell r="G10777">
            <v>910</v>
          </cell>
          <cell r="H10777" t="str">
            <v>MUS-B 910</v>
          </cell>
          <cell r="K10777" t="str">
            <v>Seraphinoff,Richard M.</v>
          </cell>
          <cell r="N10777" t="str">
            <v>NR</v>
          </cell>
          <cell r="O10777" t="str">
            <v>NR</v>
          </cell>
        </row>
        <row r="10778">
          <cell r="E10778" t="str">
            <v>MUS</v>
          </cell>
          <cell r="F10778" t="str">
            <v xml:space="preserve">MUS-B </v>
          </cell>
          <cell r="G10778">
            <v>920</v>
          </cell>
          <cell r="H10778" t="str">
            <v>MUS-B 920</v>
          </cell>
          <cell r="K10778" t="str">
            <v>Cord,Edmund</v>
          </cell>
          <cell r="N10778" t="str">
            <v>NR</v>
          </cell>
          <cell r="O10778" t="str">
            <v>NR</v>
          </cell>
        </row>
        <row r="10779">
          <cell r="E10779" t="str">
            <v>MUS</v>
          </cell>
          <cell r="F10779" t="str">
            <v xml:space="preserve">MUS-B </v>
          </cell>
          <cell r="G10779">
            <v>920</v>
          </cell>
          <cell r="H10779" t="str">
            <v>MUS-B 920</v>
          </cell>
          <cell r="K10779" t="str">
            <v>Cord,Edmund</v>
          </cell>
          <cell r="N10779" t="str">
            <v>NR</v>
          </cell>
          <cell r="O10779" t="str">
            <v>NR</v>
          </cell>
        </row>
        <row r="10780">
          <cell r="E10780" t="str">
            <v>MUS</v>
          </cell>
          <cell r="F10780" t="str">
            <v xml:space="preserve">MUS-B </v>
          </cell>
          <cell r="G10780">
            <v>920</v>
          </cell>
          <cell r="H10780" t="str">
            <v>MUS-B 920</v>
          </cell>
          <cell r="K10780" t="str">
            <v>Rommel,John D.</v>
          </cell>
          <cell r="N10780">
            <v>4</v>
          </cell>
          <cell r="O10780">
            <v>3.915</v>
          </cell>
        </row>
        <row r="10781">
          <cell r="E10781" t="str">
            <v>MUS</v>
          </cell>
          <cell r="F10781" t="str">
            <v xml:space="preserve">MUS-B </v>
          </cell>
          <cell r="G10781">
            <v>920</v>
          </cell>
          <cell r="H10781" t="str">
            <v>MUS-B 920</v>
          </cell>
          <cell r="K10781" t="str">
            <v>Rommel,John D.</v>
          </cell>
          <cell r="N10781">
            <v>4</v>
          </cell>
          <cell r="O10781">
            <v>3.9140000000000001</v>
          </cell>
        </row>
        <row r="10782">
          <cell r="E10782" t="str">
            <v>MUS</v>
          </cell>
          <cell r="F10782" t="str">
            <v xml:space="preserve">MUS-B </v>
          </cell>
          <cell r="G10782">
            <v>920</v>
          </cell>
          <cell r="H10782" t="str">
            <v>MUS-B 920</v>
          </cell>
          <cell r="K10782" t="str">
            <v>Tartell,Joey</v>
          </cell>
          <cell r="N10782" t="str">
            <v>NR</v>
          </cell>
          <cell r="O10782" t="str">
            <v>NR</v>
          </cell>
        </row>
        <row r="10783">
          <cell r="E10783" t="str">
            <v>MUS</v>
          </cell>
          <cell r="F10783" t="str">
            <v xml:space="preserve">MUS-B </v>
          </cell>
          <cell r="G10783">
            <v>930</v>
          </cell>
          <cell r="H10783" t="str">
            <v>MUS-B 930</v>
          </cell>
          <cell r="K10783" t="str">
            <v>Ellefson,Peter E.</v>
          </cell>
          <cell r="N10783" t="str">
            <v>NR</v>
          </cell>
          <cell r="O10783" t="str">
            <v>NR</v>
          </cell>
        </row>
        <row r="10784">
          <cell r="E10784" t="str">
            <v>MUS</v>
          </cell>
          <cell r="F10784" t="str">
            <v xml:space="preserve">MUS-B </v>
          </cell>
          <cell r="G10784">
            <v>930</v>
          </cell>
          <cell r="H10784" t="str">
            <v>MUS-B 930</v>
          </cell>
          <cell r="K10784" t="str">
            <v>Ellefson,Peter E.</v>
          </cell>
          <cell r="N10784" t="str">
            <v>NR</v>
          </cell>
          <cell r="O10784" t="str">
            <v>NR</v>
          </cell>
        </row>
        <row r="10785">
          <cell r="E10785" t="str">
            <v>MUS</v>
          </cell>
          <cell r="F10785" t="str">
            <v xml:space="preserve">MUS-B </v>
          </cell>
          <cell r="G10785">
            <v>930</v>
          </cell>
          <cell r="H10785" t="str">
            <v>MUS-B 930</v>
          </cell>
          <cell r="K10785" t="str">
            <v>Lenthe,Carl</v>
          </cell>
          <cell r="N10785" t="str">
            <v>NR</v>
          </cell>
          <cell r="O10785" t="str">
            <v>NR</v>
          </cell>
        </row>
        <row r="10786">
          <cell r="E10786" t="str">
            <v>MUS</v>
          </cell>
          <cell r="F10786" t="str">
            <v xml:space="preserve">MUS-B </v>
          </cell>
          <cell r="G10786">
            <v>930</v>
          </cell>
          <cell r="H10786" t="str">
            <v>MUS-B 930</v>
          </cell>
          <cell r="K10786" t="str">
            <v>Lenthe,Carl</v>
          </cell>
          <cell r="N10786" t="str">
            <v>NR</v>
          </cell>
          <cell r="O10786" t="str">
            <v>NR</v>
          </cell>
        </row>
        <row r="10787">
          <cell r="E10787" t="str">
            <v>MUS</v>
          </cell>
          <cell r="F10787" t="str">
            <v xml:space="preserve">MUS-B </v>
          </cell>
          <cell r="G10787">
            <v>930</v>
          </cell>
          <cell r="H10787" t="str">
            <v>MUS-B 930</v>
          </cell>
          <cell r="K10787" t="str">
            <v>Stewart,M. Dee</v>
          </cell>
          <cell r="N10787" t="str">
            <v>NR</v>
          </cell>
          <cell r="O10787" t="str">
            <v>NR</v>
          </cell>
        </row>
        <row r="10788">
          <cell r="E10788" t="str">
            <v>MUS</v>
          </cell>
          <cell r="F10788" t="str">
            <v xml:space="preserve">MUS-B </v>
          </cell>
          <cell r="G10788">
            <v>930</v>
          </cell>
          <cell r="H10788" t="str">
            <v>MUS-B 930</v>
          </cell>
          <cell r="K10788" t="str">
            <v>Stewart,M. Dee</v>
          </cell>
          <cell r="N10788" t="str">
            <v>NR</v>
          </cell>
          <cell r="O10788" t="str">
            <v>NR</v>
          </cell>
        </row>
        <row r="10789">
          <cell r="E10789" t="str">
            <v>MUS</v>
          </cell>
          <cell r="F10789" t="str">
            <v xml:space="preserve">MUS-B </v>
          </cell>
          <cell r="G10789">
            <v>940</v>
          </cell>
          <cell r="H10789" t="str">
            <v>MUS-B 940</v>
          </cell>
          <cell r="K10789" t="str">
            <v>Lenthe,Carl</v>
          </cell>
          <cell r="N10789" t="str">
            <v>NR</v>
          </cell>
          <cell r="O10789" t="str">
            <v>NR</v>
          </cell>
        </row>
        <row r="10790">
          <cell r="E10790" t="str">
            <v>MUS</v>
          </cell>
          <cell r="F10790" t="str">
            <v xml:space="preserve">MUS-B </v>
          </cell>
          <cell r="G10790">
            <v>940</v>
          </cell>
          <cell r="H10790" t="str">
            <v>MUS-B 940</v>
          </cell>
          <cell r="K10790" t="str">
            <v>Perantoni,Daniel Thomas</v>
          </cell>
          <cell r="N10790" t="str">
            <v>NR</v>
          </cell>
          <cell r="O10790" t="str">
            <v>NR</v>
          </cell>
        </row>
        <row r="10791">
          <cell r="E10791" t="str">
            <v>MUS</v>
          </cell>
          <cell r="F10791" t="str">
            <v xml:space="preserve">MUS-B </v>
          </cell>
          <cell r="G10791">
            <v>940</v>
          </cell>
          <cell r="H10791" t="str">
            <v>MUS-B 940</v>
          </cell>
          <cell r="K10791" t="str">
            <v>Perantoni,Daniel Thomas</v>
          </cell>
          <cell r="N10791" t="str">
            <v>NR</v>
          </cell>
          <cell r="O10791" t="str">
            <v>NR</v>
          </cell>
        </row>
        <row r="10792">
          <cell r="E10792" t="str">
            <v>MUS</v>
          </cell>
          <cell r="F10792" t="str">
            <v xml:space="preserve">MUS-B </v>
          </cell>
          <cell r="G10792">
            <v>950</v>
          </cell>
          <cell r="H10792" t="str">
            <v>MUS-B 950</v>
          </cell>
          <cell r="K10792" t="str">
            <v>Perantoni,Daniel Thomas</v>
          </cell>
          <cell r="N10792" t="str">
            <v>NR</v>
          </cell>
          <cell r="O10792" t="str">
            <v>NR</v>
          </cell>
        </row>
        <row r="10793">
          <cell r="E10793" t="str">
            <v>MUS</v>
          </cell>
          <cell r="F10793" t="str">
            <v xml:space="preserve">MUS-B </v>
          </cell>
          <cell r="G10793">
            <v>950</v>
          </cell>
          <cell r="H10793" t="str">
            <v>MUS-B 950</v>
          </cell>
          <cell r="K10793" t="str">
            <v>Perantoni,Daniel Thomas</v>
          </cell>
          <cell r="N10793" t="str">
            <v>NR</v>
          </cell>
          <cell r="O10793" t="str">
            <v>NR</v>
          </cell>
        </row>
        <row r="10794">
          <cell r="E10794" t="str">
            <v>MUS</v>
          </cell>
          <cell r="F10794" t="str">
            <v xml:space="preserve">MUS-C </v>
          </cell>
          <cell r="G10794">
            <v>401</v>
          </cell>
          <cell r="H10794" t="str">
            <v>MUS-C 401</v>
          </cell>
          <cell r="K10794" t="str">
            <v>Neswick,Bruce Eldon</v>
          </cell>
          <cell r="N10794">
            <v>3.9140000000000001</v>
          </cell>
          <cell r="O10794">
            <v>3.702</v>
          </cell>
        </row>
        <row r="10795">
          <cell r="E10795" t="str">
            <v>MUS</v>
          </cell>
          <cell r="F10795" t="str">
            <v xml:space="preserve">MUS-C </v>
          </cell>
          <cell r="G10795">
            <v>404</v>
          </cell>
          <cell r="H10795" t="str">
            <v>MUS-C 404</v>
          </cell>
          <cell r="K10795" t="str">
            <v>Neswick,Bruce Eldon</v>
          </cell>
          <cell r="N10795" t="str">
            <v>NR</v>
          </cell>
          <cell r="O10795" t="str">
            <v>NR</v>
          </cell>
        </row>
        <row r="10796">
          <cell r="E10796" t="str">
            <v>MUS</v>
          </cell>
          <cell r="F10796" t="str">
            <v xml:space="preserve">MUS-C </v>
          </cell>
          <cell r="G10796">
            <v>504</v>
          </cell>
          <cell r="H10796" t="str">
            <v>MUS-C 504</v>
          </cell>
          <cell r="K10796" t="str">
            <v>Neswick,Bruce Eldon</v>
          </cell>
          <cell r="N10796">
            <v>3.891</v>
          </cell>
          <cell r="O10796">
            <v>3.839</v>
          </cell>
        </row>
        <row r="10797">
          <cell r="E10797" t="str">
            <v>MUS</v>
          </cell>
          <cell r="F10797" t="str">
            <v xml:space="preserve">MUS-C </v>
          </cell>
          <cell r="G10797">
            <v>510</v>
          </cell>
          <cell r="H10797" t="str">
            <v>MUS-C 510</v>
          </cell>
          <cell r="K10797" t="str">
            <v>Neswick,Bruce Eldon</v>
          </cell>
          <cell r="N10797">
            <v>3.7669999999999999</v>
          </cell>
          <cell r="O10797">
            <v>3.7850000000000001</v>
          </cell>
        </row>
        <row r="10798">
          <cell r="E10798" t="str">
            <v>MUS</v>
          </cell>
          <cell r="F10798" t="str">
            <v xml:space="preserve">MUS-C </v>
          </cell>
          <cell r="G10798">
            <v>524</v>
          </cell>
          <cell r="H10798" t="str">
            <v>MUS-C 524</v>
          </cell>
          <cell r="K10798" t="str">
            <v>Neswick,Bruce Eldon</v>
          </cell>
          <cell r="N10798" t="str">
            <v>NR</v>
          </cell>
          <cell r="O10798" t="str">
            <v>NR</v>
          </cell>
        </row>
        <row r="10799">
          <cell r="E10799" t="str">
            <v>MUS</v>
          </cell>
          <cell r="F10799" t="str">
            <v xml:space="preserve">MUS-C </v>
          </cell>
          <cell r="G10799">
            <v>540</v>
          </cell>
          <cell r="H10799" t="str">
            <v>MUS-C 540</v>
          </cell>
          <cell r="K10799" t="str">
            <v>Andrews,Colin Mark</v>
          </cell>
          <cell r="N10799">
            <v>3.875</v>
          </cell>
          <cell r="O10799">
            <v>3.5350000000000001</v>
          </cell>
        </row>
        <row r="10800">
          <cell r="E10800" t="str">
            <v>MUS</v>
          </cell>
          <cell r="F10800" t="str">
            <v xml:space="preserve">MUS-C </v>
          </cell>
          <cell r="G10800">
            <v>542</v>
          </cell>
          <cell r="H10800" t="str">
            <v>MUS-C 542</v>
          </cell>
          <cell r="K10800" t="str">
            <v>Neswick,Bruce Eldon</v>
          </cell>
          <cell r="N10800" t="str">
            <v>NR</v>
          </cell>
          <cell r="O10800" t="str">
            <v>NR</v>
          </cell>
        </row>
        <row r="10801">
          <cell r="E10801" t="str">
            <v>MUS</v>
          </cell>
          <cell r="F10801" t="str">
            <v xml:space="preserve">MUS-D </v>
          </cell>
          <cell r="G10801">
            <v>100</v>
          </cell>
          <cell r="H10801" t="str">
            <v>MUS-D 100</v>
          </cell>
          <cell r="K10801" t="str">
            <v>Cumming,Ashley</v>
          </cell>
          <cell r="N10801">
            <v>4</v>
          </cell>
          <cell r="O10801">
            <v>3.6070000000000002</v>
          </cell>
        </row>
        <row r="10802">
          <cell r="E10802" t="str">
            <v>MUS</v>
          </cell>
          <cell r="F10802" t="str">
            <v xml:space="preserve">MUS-D </v>
          </cell>
          <cell r="G10802">
            <v>100</v>
          </cell>
          <cell r="H10802" t="str">
            <v>MUS-D 100</v>
          </cell>
          <cell r="K10802" t="str">
            <v>Huebscher,Olivier</v>
          </cell>
          <cell r="N10802" t="str">
            <v>NR</v>
          </cell>
          <cell r="O10802" t="str">
            <v>NR</v>
          </cell>
        </row>
        <row r="10803">
          <cell r="E10803" t="str">
            <v>MUS</v>
          </cell>
          <cell r="F10803" t="str">
            <v xml:space="preserve">MUS-D </v>
          </cell>
          <cell r="G10803">
            <v>400</v>
          </cell>
          <cell r="H10803" t="str">
            <v>MUS-D 400</v>
          </cell>
          <cell r="K10803" t="str">
            <v>Bobo,Kevin Andrew</v>
          </cell>
          <cell r="N10803">
            <v>3.9729999999999999</v>
          </cell>
          <cell r="O10803">
            <v>3.726</v>
          </cell>
        </row>
        <row r="10804">
          <cell r="E10804" t="str">
            <v>MUS</v>
          </cell>
          <cell r="F10804" t="str">
            <v xml:space="preserve">MUS-D </v>
          </cell>
          <cell r="G10804">
            <v>400</v>
          </cell>
          <cell r="H10804" t="str">
            <v>MUS-D 400</v>
          </cell>
          <cell r="K10804" t="str">
            <v>Bobo,Kevin Andrew</v>
          </cell>
          <cell r="N10804">
            <v>4</v>
          </cell>
          <cell r="O10804">
            <v>3.7170000000000001</v>
          </cell>
        </row>
        <row r="10805">
          <cell r="E10805" t="str">
            <v>MUS</v>
          </cell>
          <cell r="F10805" t="str">
            <v xml:space="preserve">MUS-D </v>
          </cell>
          <cell r="G10805">
            <v>400</v>
          </cell>
          <cell r="H10805" t="str">
            <v>MUS-D 400</v>
          </cell>
          <cell r="K10805" t="str">
            <v>Houghton,Stephen</v>
          </cell>
          <cell r="N10805">
            <v>3.77</v>
          </cell>
          <cell r="O10805">
            <v>3.5419999999999998</v>
          </cell>
        </row>
        <row r="10806">
          <cell r="E10806" t="str">
            <v>MUS</v>
          </cell>
          <cell r="F10806" t="str">
            <v xml:space="preserve">MUS-D </v>
          </cell>
          <cell r="G10806">
            <v>400</v>
          </cell>
          <cell r="H10806" t="str">
            <v>MUS-D 400</v>
          </cell>
          <cell r="K10806" t="str">
            <v>Houghton,Stephen</v>
          </cell>
          <cell r="N10806">
            <v>3.875</v>
          </cell>
          <cell r="O10806">
            <v>3.59</v>
          </cell>
        </row>
        <row r="10807">
          <cell r="E10807" t="str">
            <v>MUS</v>
          </cell>
          <cell r="F10807" t="str">
            <v xml:space="preserve">MUS-D </v>
          </cell>
          <cell r="G10807">
            <v>400</v>
          </cell>
          <cell r="H10807" t="str">
            <v>MUS-D 400</v>
          </cell>
          <cell r="K10807" t="str">
            <v>Richards,Gwyn</v>
          </cell>
          <cell r="N10807" t="str">
            <v>NR</v>
          </cell>
          <cell r="O10807" t="str">
            <v>NR</v>
          </cell>
        </row>
        <row r="10808">
          <cell r="E10808" t="str">
            <v>MUS</v>
          </cell>
          <cell r="F10808" t="str">
            <v xml:space="preserve">MUS-D </v>
          </cell>
          <cell r="G10808">
            <v>400</v>
          </cell>
          <cell r="H10808" t="str">
            <v>MUS-D 400</v>
          </cell>
          <cell r="K10808" t="str">
            <v>Spiro,Michael Elliot</v>
          </cell>
          <cell r="N10808">
            <v>4</v>
          </cell>
          <cell r="O10808">
            <v>3.6320000000000001</v>
          </cell>
        </row>
        <row r="10809">
          <cell r="E10809" t="str">
            <v>MUS</v>
          </cell>
          <cell r="F10809" t="str">
            <v xml:space="preserve">MUS-D </v>
          </cell>
          <cell r="G10809">
            <v>400</v>
          </cell>
          <cell r="H10809" t="str">
            <v>MUS-D 400</v>
          </cell>
          <cell r="K10809" t="str">
            <v>Spiro,Michael Elliot</v>
          </cell>
          <cell r="N10809">
            <v>4</v>
          </cell>
          <cell r="O10809">
            <v>3.6150000000000002</v>
          </cell>
        </row>
        <row r="10810">
          <cell r="E10810" t="str">
            <v>MUS</v>
          </cell>
          <cell r="F10810" t="str">
            <v xml:space="preserve">MUS-D </v>
          </cell>
          <cell r="G10810">
            <v>400</v>
          </cell>
          <cell r="H10810" t="str">
            <v>MUS-D 400</v>
          </cell>
          <cell r="K10810" t="str">
            <v>Tafoya,John Joseph</v>
          </cell>
          <cell r="N10810">
            <v>4</v>
          </cell>
          <cell r="O10810">
            <v>3.5920000000000001</v>
          </cell>
        </row>
        <row r="10811">
          <cell r="E10811" t="str">
            <v>MUS</v>
          </cell>
          <cell r="F10811" t="str">
            <v xml:space="preserve">MUS-D </v>
          </cell>
          <cell r="G10811">
            <v>400</v>
          </cell>
          <cell r="H10811" t="str">
            <v>MUS-D 400</v>
          </cell>
          <cell r="K10811" t="str">
            <v>Tafoya,John Joseph</v>
          </cell>
          <cell r="N10811">
            <v>4</v>
          </cell>
          <cell r="O10811">
            <v>3.577</v>
          </cell>
        </row>
        <row r="10812">
          <cell r="E10812" t="str">
            <v>MUS</v>
          </cell>
          <cell r="F10812" t="str">
            <v xml:space="preserve">MUS-D </v>
          </cell>
          <cell r="G10812">
            <v>604</v>
          </cell>
          <cell r="H10812" t="str">
            <v>MUS-D 604</v>
          </cell>
          <cell r="K10812" t="str">
            <v>Isaacson,Eric John</v>
          </cell>
          <cell r="N10812" t="str">
            <v>NR</v>
          </cell>
          <cell r="O10812" t="str">
            <v>NR</v>
          </cell>
        </row>
        <row r="10813">
          <cell r="E10813" t="str">
            <v>MUS</v>
          </cell>
          <cell r="F10813" t="str">
            <v xml:space="preserve">MUS-D </v>
          </cell>
          <cell r="G10813">
            <v>700</v>
          </cell>
          <cell r="H10813" t="str">
            <v>MUS-D 700</v>
          </cell>
          <cell r="K10813" t="str">
            <v>Cumming,Ashley</v>
          </cell>
          <cell r="N10813" t="str">
            <v>NR</v>
          </cell>
          <cell r="O10813" t="str">
            <v>NR</v>
          </cell>
        </row>
        <row r="10814">
          <cell r="E10814" t="str">
            <v>MUS</v>
          </cell>
          <cell r="F10814" t="str">
            <v xml:space="preserve">MUS-D </v>
          </cell>
          <cell r="G10814">
            <v>700</v>
          </cell>
          <cell r="H10814" t="str">
            <v>MUS-D 700</v>
          </cell>
          <cell r="K10814" t="str">
            <v>Huebscher,Olivier</v>
          </cell>
          <cell r="N10814" t="str">
            <v>NR</v>
          </cell>
          <cell r="O10814" t="str">
            <v>NR</v>
          </cell>
        </row>
        <row r="10815">
          <cell r="E10815" t="str">
            <v>MUS</v>
          </cell>
          <cell r="F10815" t="str">
            <v xml:space="preserve">MUS-D </v>
          </cell>
          <cell r="G10815">
            <v>800</v>
          </cell>
          <cell r="H10815" t="str">
            <v>MUS-D 800</v>
          </cell>
          <cell r="K10815" t="str">
            <v>Houghton,Stephen</v>
          </cell>
          <cell r="N10815" t="str">
            <v>NR</v>
          </cell>
          <cell r="O10815" t="str">
            <v>NR</v>
          </cell>
        </row>
        <row r="10816">
          <cell r="E10816" t="str">
            <v>MUS</v>
          </cell>
          <cell r="F10816" t="str">
            <v xml:space="preserve">MUS-D </v>
          </cell>
          <cell r="G10816">
            <v>800</v>
          </cell>
          <cell r="H10816" t="str">
            <v>MUS-D 800</v>
          </cell>
          <cell r="K10816" t="str">
            <v>Spiro,Michael Elliot</v>
          </cell>
          <cell r="N10816" t="str">
            <v>NR</v>
          </cell>
          <cell r="O10816" t="str">
            <v>NR</v>
          </cell>
        </row>
        <row r="10817">
          <cell r="E10817" t="str">
            <v>MUS</v>
          </cell>
          <cell r="F10817" t="str">
            <v xml:space="preserve">MUS-D </v>
          </cell>
          <cell r="G10817">
            <v>900</v>
          </cell>
          <cell r="H10817" t="str">
            <v>MUS-D 900</v>
          </cell>
          <cell r="K10817" t="str">
            <v>Bobo,Kevin Andrew</v>
          </cell>
          <cell r="N10817" t="str">
            <v>NR</v>
          </cell>
          <cell r="O10817" t="str">
            <v>NR</v>
          </cell>
        </row>
        <row r="10818">
          <cell r="E10818" t="str">
            <v>MUS</v>
          </cell>
          <cell r="F10818" t="str">
            <v xml:space="preserve">MUS-D </v>
          </cell>
          <cell r="G10818">
            <v>900</v>
          </cell>
          <cell r="H10818" t="str">
            <v>MUS-D 900</v>
          </cell>
          <cell r="K10818" t="str">
            <v>Bobo,Kevin Andrew</v>
          </cell>
          <cell r="N10818" t="str">
            <v>NR</v>
          </cell>
          <cell r="O10818" t="str">
            <v>NR</v>
          </cell>
        </row>
        <row r="10819">
          <cell r="E10819" t="str">
            <v>MUS</v>
          </cell>
          <cell r="F10819" t="str">
            <v xml:space="preserve">MUS-D </v>
          </cell>
          <cell r="G10819">
            <v>900</v>
          </cell>
          <cell r="H10819" t="str">
            <v>MUS-D 900</v>
          </cell>
          <cell r="K10819" t="str">
            <v>Houghton,Stephen</v>
          </cell>
          <cell r="N10819" t="str">
            <v>NR</v>
          </cell>
          <cell r="O10819" t="str">
            <v>NR</v>
          </cell>
        </row>
        <row r="10820">
          <cell r="E10820" t="str">
            <v>MUS</v>
          </cell>
          <cell r="F10820" t="str">
            <v xml:space="preserve">MUS-D </v>
          </cell>
          <cell r="G10820">
            <v>900</v>
          </cell>
          <cell r="H10820" t="str">
            <v>MUS-D 900</v>
          </cell>
          <cell r="K10820" t="str">
            <v>Houghton,Stephen</v>
          </cell>
          <cell r="N10820" t="str">
            <v>NR</v>
          </cell>
          <cell r="O10820" t="str">
            <v>NR</v>
          </cell>
        </row>
        <row r="10821">
          <cell r="E10821" t="str">
            <v>MUS</v>
          </cell>
          <cell r="F10821" t="str">
            <v xml:space="preserve">MUS-D </v>
          </cell>
          <cell r="G10821">
            <v>900</v>
          </cell>
          <cell r="H10821" t="str">
            <v>MUS-D 900</v>
          </cell>
          <cell r="K10821" t="str">
            <v>Spiro,Michael Elliot</v>
          </cell>
          <cell r="N10821" t="str">
            <v>NR</v>
          </cell>
          <cell r="O10821" t="str">
            <v>NR</v>
          </cell>
        </row>
        <row r="10822">
          <cell r="E10822" t="str">
            <v>MUS</v>
          </cell>
          <cell r="F10822" t="str">
            <v xml:space="preserve">MUS-D </v>
          </cell>
          <cell r="G10822">
            <v>900</v>
          </cell>
          <cell r="H10822" t="str">
            <v>MUS-D 900</v>
          </cell>
          <cell r="K10822" t="str">
            <v>Spiro,Michael Elliot</v>
          </cell>
          <cell r="N10822" t="str">
            <v>NR</v>
          </cell>
          <cell r="O10822" t="str">
            <v>NR</v>
          </cell>
        </row>
        <row r="10823">
          <cell r="E10823" t="str">
            <v>MUS</v>
          </cell>
          <cell r="F10823" t="str">
            <v xml:space="preserve">MUS-D </v>
          </cell>
          <cell r="G10823">
            <v>900</v>
          </cell>
          <cell r="H10823" t="str">
            <v>MUS-D 900</v>
          </cell>
          <cell r="K10823" t="str">
            <v>Tafoya,John Joseph</v>
          </cell>
          <cell r="N10823">
            <v>4</v>
          </cell>
          <cell r="O10823">
            <v>3.9159999999999999</v>
          </cell>
        </row>
        <row r="10824">
          <cell r="E10824" t="str">
            <v>MUS</v>
          </cell>
          <cell r="F10824" t="str">
            <v xml:space="preserve">MUS-D </v>
          </cell>
          <cell r="G10824">
            <v>900</v>
          </cell>
          <cell r="H10824" t="str">
            <v>MUS-D 900</v>
          </cell>
          <cell r="K10824" t="str">
            <v>Tafoya,John Joseph</v>
          </cell>
          <cell r="N10824" t="str">
            <v>NR</v>
          </cell>
          <cell r="O10824" t="str">
            <v>NR</v>
          </cell>
        </row>
        <row r="10825">
          <cell r="E10825" t="str">
            <v>MUS</v>
          </cell>
          <cell r="F10825" t="str">
            <v xml:space="preserve">MUS-E </v>
          </cell>
          <cell r="G10825">
            <v>130</v>
          </cell>
          <cell r="H10825" t="str">
            <v>MUS-E 130</v>
          </cell>
          <cell r="K10825" t="str">
            <v>Miksza,Peter John</v>
          </cell>
          <cell r="N10825">
            <v>3.3330000000000002</v>
          </cell>
          <cell r="O10825">
            <v>3.5840000000000001</v>
          </cell>
        </row>
        <row r="10826">
          <cell r="E10826" t="str">
            <v>MUS</v>
          </cell>
          <cell r="F10826" t="str">
            <v xml:space="preserve">MUS-E </v>
          </cell>
          <cell r="G10826">
            <v>131</v>
          </cell>
          <cell r="H10826" t="str">
            <v>MUS-E 131</v>
          </cell>
          <cell r="K10826" t="str">
            <v>Gault,Brent Michael</v>
          </cell>
          <cell r="N10826">
            <v>3.62</v>
          </cell>
          <cell r="O10826">
            <v>3.431</v>
          </cell>
        </row>
        <row r="10827">
          <cell r="E10827" t="str">
            <v>MUS</v>
          </cell>
          <cell r="F10827" t="str">
            <v xml:space="preserve">MUS-E </v>
          </cell>
          <cell r="G10827">
            <v>131</v>
          </cell>
          <cell r="H10827" t="str">
            <v>MUS-E 131</v>
          </cell>
          <cell r="K10827" t="str">
            <v>Miksza,Peter John</v>
          </cell>
          <cell r="N10827">
            <v>2.95</v>
          </cell>
          <cell r="O10827">
            <v>3.3220000000000001</v>
          </cell>
        </row>
        <row r="10828">
          <cell r="E10828" t="str">
            <v>MUS</v>
          </cell>
          <cell r="F10828" t="str">
            <v xml:space="preserve">MUS-E </v>
          </cell>
          <cell r="G10828">
            <v>231</v>
          </cell>
          <cell r="H10828" t="str">
            <v>MUS-E 231</v>
          </cell>
          <cell r="K10828" t="str">
            <v>Strand,Katherine Dagmar</v>
          </cell>
          <cell r="N10828">
            <v>3.37</v>
          </cell>
          <cell r="O10828">
            <v>3.5249999999999999</v>
          </cell>
        </row>
        <row r="10829">
          <cell r="E10829" t="str">
            <v>MUS</v>
          </cell>
          <cell r="F10829" t="str">
            <v xml:space="preserve">MUS-E </v>
          </cell>
          <cell r="G10829">
            <v>231</v>
          </cell>
          <cell r="H10829" t="str">
            <v>MUS-E 231</v>
          </cell>
          <cell r="K10829" t="str">
            <v>Strand,Katherine Dagmar</v>
          </cell>
          <cell r="N10829">
            <v>3.7709999999999999</v>
          </cell>
          <cell r="O10829">
            <v>3.6120000000000001</v>
          </cell>
        </row>
        <row r="10830">
          <cell r="E10830" t="str">
            <v>MUS</v>
          </cell>
          <cell r="F10830" t="str">
            <v xml:space="preserve">MUS-E </v>
          </cell>
          <cell r="G10830">
            <v>241</v>
          </cell>
          <cell r="H10830" t="str">
            <v>MUS-E 241</v>
          </cell>
          <cell r="K10830" t="str">
            <v>Gault,Brent Michael</v>
          </cell>
          <cell r="N10830" t="str">
            <v>NR</v>
          </cell>
          <cell r="O10830" t="str">
            <v>NR</v>
          </cell>
        </row>
        <row r="10831">
          <cell r="E10831" t="str">
            <v>MUS</v>
          </cell>
          <cell r="F10831" t="str">
            <v xml:space="preserve">MUS-E </v>
          </cell>
          <cell r="G10831">
            <v>241</v>
          </cell>
          <cell r="H10831" t="str">
            <v>MUS-E 241</v>
          </cell>
          <cell r="K10831" t="str">
            <v>Gault,Brent Michael</v>
          </cell>
          <cell r="N10831">
            <v>3.3759999999999999</v>
          </cell>
          <cell r="O10831">
            <v>3.2829999999999999</v>
          </cell>
        </row>
        <row r="10832">
          <cell r="E10832" t="str">
            <v>MUS</v>
          </cell>
          <cell r="F10832" t="str">
            <v xml:space="preserve">MUS-E </v>
          </cell>
          <cell r="G10832">
            <v>241</v>
          </cell>
          <cell r="H10832" t="str">
            <v>MUS-E 241</v>
          </cell>
          <cell r="K10832" t="str">
            <v>Gault,Brent Michael</v>
          </cell>
          <cell r="N10832" t="str">
            <v>NR</v>
          </cell>
          <cell r="O10832" t="str">
            <v>NR</v>
          </cell>
        </row>
        <row r="10833">
          <cell r="E10833" t="str">
            <v>MUS</v>
          </cell>
          <cell r="F10833" t="str">
            <v xml:space="preserve">MUS-E </v>
          </cell>
          <cell r="G10833">
            <v>241</v>
          </cell>
          <cell r="H10833" t="str">
            <v>MUS-E 241</v>
          </cell>
          <cell r="K10833" t="str">
            <v>Gault,Brent Michael</v>
          </cell>
          <cell r="N10833" t="str">
            <v>NR</v>
          </cell>
          <cell r="O10833" t="str">
            <v>NR</v>
          </cell>
        </row>
        <row r="10834">
          <cell r="E10834" t="str">
            <v>MUS</v>
          </cell>
          <cell r="F10834" t="str">
            <v xml:space="preserve">MUS-E </v>
          </cell>
          <cell r="G10834">
            <v>241</v>
          </cell>
          <cell r="H10834" t="str">
            <v>MUS-E 241</v>
          </cell>
          <cell r="K10834" t="str">
            <v>Gault,Brent Michael</v>
          </cell>
          <cell r="N10834">
            <v>3.5270000000000001</v>
          </cell>
          <cell r="O10834">
            <v>3.26</v>
          </cell>
        </row>
        <row r="10835">
          <cell r="E10835" t="str">
            <v>MUS</v>
          </cell>
          <cell r="F10835" t="str">
            <v xml:space="preserve">MUS-E </v>
          </cell>
          <cell r="G10835">
            <v>241</v>
          </cell>
          <cell r="H10835" t="str">
            <v>MUS-E 241</v>
          </cell>
          <cell r="K10835" t="str">
            <v>Gault,Brent Michael</v>
          </cell>
          <cell r="N10835" t="str">
            <v>NR</v>
          </cell>
          <cell r="O10835" t="str">
            <v>NR</v>
          </cell>
        </row>
        <row r="10836">
          <cell r="E10836" t="str">
            <v>MUS</v>
          </cell>
          <cell r="F10836" t="str">
            <v xml:space="preserve">MUS-E </v>
          </cell>
          <cell r="G10836">
            <v>241</v>
          </cell>
          <cell r="H10836" t="str">
            <v>MUS-E 241</v>
          </cell>
          <cell r="K10836" t="str">
            <v>Gault,Brent Michael</v>
          </cell>
          <cell r="N10836">
            <v>3.9239999999999999</v>
          </cell>
          <cell r="O10836">
            <v>3.266</v>
          </cell>
        </row>
        <row r="10837">
          <cell r="E10837" t="str">
            <v>MUS</v>
          </cell>
          <cell r="F10837" t="str">
            <v xml:space="preserve">MUS-E </v>
          </cell>
          <cell r="G10837">
            <v>241</v>
          </cell>
          <cell r="H10837" t="str">
            <v>MUS-E 241</v>
          </cell>
          <cell r="K10837" t="str">
            <v>Gault,Brent Michael</v>
          </cell>
          <cell r="N10837">
            <v>3.3109999999999999</v>
          </cell>
          <cell r="O10837">
            <v>3.1619999999999999</v>
          </cell>
        </row>
        <row r="10838">
          <cell r="E10838" t="str">
            <v>MUS</v>
          </cell>
          <cell r="F10838" t="str">
            <v xml:space="preserve">MUS-E </v>
          </cell>
          <cell r="G10838">
            <v>241</v>
          </cell>
          <cell r="H10838" t="str">
            <v>MUS-E 241</v>
          </cell>
          <cell r="K10838" t="str">
            <v>May,Lissa Fleming</v>
          </cell>
          <cell r="N10838" t="str">
            <v>NR</v>
          </cell>
          <cell r="O10838" t="str">
            <v>NR</v>
          </cell>
        </row>
        <row r="10839">
          <cell r="E10839" t="str">
            <v>MUS</v>
          </cell>
          <cell r="F10839" t="str">
            <v xml:space="preserve">MUS-E </v>
          </cell>
          <cell r="G10839">
            <v>241</v>
          </cell>
          <cell r="H10839" t="str">
            <v>MUS-E 241</v>
          </cell>
          <cell r="K10839" t="str">
            <v>May,Lissa Fleming</v>
          </cell>
          <cell r="N10839">
            <v>3.0430000000000001</v>
          </cell>
          <cell r="O10839">
            <v>3.0990000000000002</v>
          </cell>
        </row>
        <row r="10840">
          <cell r="E10840" t="str">
            <v>MUS</v>
          </cell>
          <cell r="F10840" t="str">
            <v xml:space="preserve">MUS-E </v>
          </cell>
          <cell r="G10840">
            <v>241</v>
          </cell>
          <cell r="H10840" t="str">
            <v>MUS-E 241</v>
          </cell>
          <cell r="K10840" t="str">
            <v>May,Lissa Fleming</v>
          </cell>
          <cell r="N10840">
            <v>3.6469999999999998</v>
          </cell>
          <cell r="O10840">
            <v>3.1309999999999998</v>
          </cell>
        </row>
        <row r="10841">
          <cell r="E10841" t="str">
            <v>MUS</v>
          </cell>
          <cell r="F10841" t="str">
            <v xml:space="preserve">MUS-E </v>
          </cell>
          <cell r="G10841">
            <v>241</v>
          </cell>
          <cell r="H10841" t="str">
            <v>MUS-E 241</v>
          </cell>
          <cell r="K10841" t="str">
            <v>May,Lissa Fleming</v>
          </cell>
          <cell r="N10841">
            <v>3.2469999999999999</v>
          </cell>
          <cell r="O10841">
            <v>3.0880000000000001</v>
          </cell>
        </row>
        <row r="10842">
          <cell r="E10842" t="str">
            <v>MUS</v>
          </cell>
          <cell r="F10842" t="str">
            <v xml:space="preserve">MUS-E </v>
          </cell>
          <cell r="G10842">
            <v>241</v>
          </cell>
          <cell r="H10842" t="str">
            <v>MUS-E 241</v>
          </cell>
          <cell r="K10842" t="str">
            <v>May,Lissa Fleming</v>
          </cell>
          <cell r="N10842" t="str">
            <v>NR</v>
          </cell>
          <cell r="O10842" t="str">
            <v>NR</v>
          </cell>
        </row>
        <row r="10843">
          <cell r="E10843" t="str">
            <v>MUS</v>
          </cell>
          <cell r="F10843" t="str">
            <v xml:space="preserve">MUS-E </v>
          </cell>
          <cell r="G10843">
            <v>241</v>
          </cell>
          <cell r="H10843" t="str">
            <v>MUS-E 241</v>
          </cell>
          <cell r="K10843" t="str">
            <v>May,Lissa Fleming</v>
          </cell>
          <cell r="N10843">
            <v>3.5289999999999999</v>
          </cell>
          <cell r="O10843">
            <v>3.4319999999999999</v>
          </cell>
        </row>
        <row r="10844">
          <cell r="E10844" t="str">
            <v>MUS</v>
          </cell>
          <cell r="F10844" t="str">
            <v xml:space="preserve">MUS-E </v>
          </cell>
          <cell r="G10844">
            <v>241</v>
          </cell>
          <cell r="H10844" t="str">
            <v>MUS-E 241</v>
          </cell>
          <cell r="K10844" t="str">
            <v>May,Lissa Fleming</v>
          </cell>
          <cell r="N10844">
            <v>3.7549999999999999</v>
          </cell>
          <cell r="O10844">
            <v>3.0270000000000001</v>
          </cell>
        </row>
        <row r="10845">
          <cell r="E10845" t="str">
            <v>MUS</v>
          </cell>
          <cell r="F10845" t="str">
            <v xml:space="preserve">MUS-E </v>
          </cell>
          <cell r="G10845">
            <v>241</v>
          </cell>
          <cell r="H10845" t="str">
            <v>MUS-E 241</v>
          </cell>
          <cell r="K10845" t="str">
            <v>May,Lissa Fleming</v>
          </cell>
          <cell r="N10845">
            <v>3.9849999999999999</v>
          </cell>
          <cell r="O10845">
            <v>3.3849999999999998</v>
          </cell>
        </row>
        <row r="10846">
          <cell r="E10846" t="str">
            <v>MUS</v>
          </cell>
          <cell r="F10846" t="str">
            <v xml:space="preserve">MUS-E </v>
          </cell>
          <cell r="G10846">
            <v>241</v>
          </cell>
          <cell r="H10846" t="str">
            <v>MUS-E 241</v>
          </cell>
          <cell r="K10846" t="str">
            <v>May,Lissa Fleming</v>
          </cell>
          <cell r="N10846">
            <v>3.7450000000000001</v>
          </cell>
          <cell r="O10846">
            <v>3.448</v>
          </cell>
        </row>
        <row r="10847">
          <cell r="E10847" t="str">
            <v>MUS</v>
          </cell>
          <cell r="F10847" t="str">
            <v xml:space="preserve">MUS-E </v>
          </cell>
          <cell r="G10847">
            <v>303</v>
          </cell>
          <cell r="H10847" t="str">
            <v>MUS-E 303</v>
          </cell>
          <cell r="K10847" t="str">
            <v>Brenner,Brenda L.</v>
          </cell>
          <cell r="N10847">
            <v>3.8359999999999999</v>
          </cell>
          <cell r="O10847">
            <v>3.7210000000000001</v>
          </cell>
        </row>
        <row r="10848">
          <cell r="E10848" t="str">
            <v>MUS</v>
          </cell>
          <cell r="F10848" t="str">
            <v xml:space="preserve">MUS-E </v>
          </cell>
          <cell r="G10848">
            <v>303</v>
          </cell>
          <cell r="H10848" t="str">
            <v>MUS-E 303</v>
          </cell>
          <cell r="K10848" t="str">
            <v>Brenner,Brenda L.</v>
          </cell>
          <cell r="N10848">
            <v>3.9809999999999999</v>
          </cell>
          <cell r="O10848">
            <v>3.7389999999999999</v>
          </cell>
        </row>
        <row r="10849">
          <cell r="E10849" t="str">
            <v>MUS</v>
          </cell>
          <cell r="F10849" t="str">
            <v xml:space="preserve">MUS-E </v>
          </cell>
          <cell r="G10849">
            <v>304</v>
          </cell>
          <cell r="H10849" t="str">
            <v>MUS-E 304</v>
          </cell>
          <cell r="K10849" t="str">
            <v>Zweig,Mimi H</v>
          </cell>
          <cell r="N10849">
            <v>3.9569999999999999</v>
          </cell>
          <cell r="O10849">
            <v>3.6560000000000001</v>
          </cell>
        </row>
        <row r="10850">
          <cell r="E10850" t="str">
            <v>MUS</v>
          </cell>
          <cell r="F10850" t="str">
            <v xml:space="preserve">MUS-E </v>
          </cell>
          <cell r="G10850">
            <v>306</v>
          </cell>
          <cell r="H10850" t="str">
            <v>MUS-E 306</v>
          </cell>
          <cell r="K10850" t="str">
            <v>Colon,Emilio W.</v>
          </cell>
          <cell r="N10850" t="str">
            <v>NR</v>
          </cell>
          <cell r="O10850" t="str">
            <v>NR</v>
          </cell>
        </row>
        <row r="10851">
          <cell r="E10851" t="str">
            <v>MUS</v>
          </cell>
          <cell r="F10851" t="str">
            <v xml:space="preserve">MUS-E </v>
          </cell>
          <cell r="G10851">
            <v>306</v>
          </cell>
          <cell r="H10851" t="str">
            <v>MUS-E 306</v>
          </cell>
          <cell r="K10851" t="str">
            <v>Contino,Adriana</v>
          </cell>
          <cell r="N10851" t="str">
            <v>NR</v>
          </cell>
          <cell r="O10851" t="str">
            <v>NR</v>
          </cell>
        </row>
        <row r="10852">
          <cell r="E10852" t="str">
            <v>MUS</v>
          </cell>
          <cell r="F10852" t="str">
            <v xml:space="preserve">MUS-E </v>
          </cell>
          <cell r="G10852">
            <v>312</v>
          </cell>
          <cell r="H10852" t="str">
            <v>MUS-E 312</v>
          </cell>
          <cell r="K10852" t="str">
            <v>Madura,Patrice</v>
          </cell>
          <cell r="N10852">
            <v>3.7730000000000001</v>
          </cell>
          <cell r="O10852">
            <v>3.5350000000000001</v>
          </cell>
        </row>
        <row r="10853">
          <cell r="E10853" t="str">
            <v>MUS</v>
          </cell>
          <cell r="F10853" t="str">
            <v xml:space="preserve">MUS-E </v>
          </cell>
          <cell r="G10853">
            <v>312</v>
          </cell>
          <cell r="H10853" t="str">
            <v>MUS-E 312</v>
          </cell>
          <cell r="K10853" t="str">
            <v>Woodley,Dave C.</v>
          </cell>
          <cell r="N10853">
            <v>3.94</v>
          </cell>
          <cell r="O10853">
            <v>3.7010000000000001</v>
          </cell>
        </row>
        <row r="10854">
          <cell r="E10854" t="str">
            <v>MUS</v>
          </cell>
          <cell r="F10854" t="str">
            <v xml:space="preserve">MUS-E </v>
          </cell>
          <cell r="G10854">
            <v>400</v>
          </cell>
          <cell r="H10854" t="str">
            <v>MUS-E 400</v>
          </cell>
          <cell r="K10854" t="str">
            <v>Potter,Gary Morton</v>
          </cell>
          <cell r="N10854" t="str">
            <v>NR</v>
          </cell>
          <cell r="O10854" t="str">
            <v>NR</v>
          </cell>
        </row>
        <row r="10855">
          <cell r="E10855" t="str">
            <v>MUS</v>
          </cell>
          <cell r="F10855" t="str">
            <v xml:space="preserve">MUS-E </v>
          </cell>
          <cell r="G10855">
            <v>414</v>
          </cell>
          <cell r="H10855" t="str">
            <v>MUS-E 414</v>
          </cell>
          <cell r="K10855" t="str">
            <v>Szmyt,Elzbieta Monika</v>
          </cell>
          <cell r="N10855" t="str">
            <v>NR</v>
          </cell>
          <cell r="O10855" t="str">
            <v>NR</v>
          </cell>
        </row>
        <row r="10856">
          <cell r="E10856" t="str">
            <v>MUS</v>
          </cell>
          <cell r="F10856" t="str">
            <v xml:space="preserve">MUS-E </v>
          </cell>
          <cell r="G10856">
            <v>459</v>
          </cell>
          <cell r="H10856" t="str">
            <v>MUS-E 459</v>
          </cell>
          <cell r="K10856" t="str">
            <v>Klug,Howard</v>
          </cell>
          <cell r="N10856">
            <v>3.7330000000000001</v>
          </cell>
          <cell r="O10856">
            <v>3.802</v>
          </cell>
        </row>
        <row r="10857">
          <cell r="E10857" t="str">
            <v>MUS</v>
          </cell>
          <cell r="F10857" t="str">
            <v xml:space="preserve">MUS-E </v>
          </cell>
          <cell r="G10857">
            <v>459</v>
          </cell>
          <cell r="H10857" t="str">
            <v>MUS-E 459</v>
          </cell>
          <cell r="K10857" t="str">
            <v>Ludwig,William Ernest</v>
          </cell>
          <cell r="N10857" t="str">
            <v>NR</v>
          </cell>
          <cell r="O10857" t="str">
            <v>NR</v>
          </cell>
        </row>
        <row r="10858">
          <cell r="E10858" t="str">
            <v>MUS</v>
          </cell>
          <cell r="F10858" t="str">
            <v xml:space="preserve">MUS-E </v>
          </cell>
          <cell r="G10858">
            <v>459</v>
          </cell>
          <cell r="H10858" t="str">
            <v>MUS-E 459</v>
          </cell>
          <cell r="K10858" t="str">
            <v>Lukas,Kathryn</v>
          </cell>
          <cell r="N10858" t="str">
            <v>NR</v>
          </cell>
          <cell r="O10858" t="str">
            <v>NR</v>
          </cell>
        </row>
        <row r="10859">
          <cell r="E10859" t="str">
            <v>MUS</v>
          </cell>
          <cell r="F10859" t="str">
            <v xml:space="preserve">MUS-E </v>
          </cell>
          <cell r="G10859">
            <v>459</v>
          </cell>
          <cell r="H10859" t="str">
            <v>MUS-E 459</v>
          </cell>
          <cell r="K10859" t="str">
            <v>Strommen,Linda</v>
          </cell>
          <cell r="N10859" t="str">
            <v>NR</v>
          </cell>
          <cell r="O10859" t="str">
            <v>NR</v>
          </cell>
        </row>
        <row r="10860">
          <cell r="E10860" t="str">
            <v>MUS</v>
          </cell>
          <cell r="F10860" t="str">
            <v xml:space="preserve">MUS-E </v>
          </cell>
          <cell r="G10860">
            <v>459</v>
          </cell>
          <cell r="H10860" t="str">
            <v>MUS-E 459</v>
          </cell>
          <cell r="K10860" t="str">
            <v>Walsh,Thomas P.</v>
          </cell>
          <cell r="N10860" t="str">
            <v>NR</v>
          </cell>
          <cell r="O10860" t="str">
            <v>NR</v>
          </cell>
        </row>
        <row r="10861">
          <cell r="E10861" t="str">
            <v>MUS</v>
          </cell>
          <cell r="F10861" t="str">
            <v xml:space="preserve">MUS-E </v>
          </cell>
          <cell r="G10861">
            <v>470</v>
          </cell>
          <cell r="H10861" t="str">
            <v>MUS-E 470</v>
          </cell>
          <cell r="K10861" t="str">
            <v>Harbison,Patrick Lewis</v>
          </cell>
          <cell r="N10861">
            <v>3.4129999999999998</v>
          </cell>
          <cell r="O10861">
            <v>3.5510000000000002</v>
          </cell>
        </row>
        <row r="10862">
          <cell r="E10862" t="str">
            <v>MUS</v>
          </cell>
          <cell r="F10862" t="str">
            <v xml:space="preserve">MUS-E </v>
          </cell>
          <cell r="G10862">
            <v>480</v>
          </cell>
          <cell r="H10862" t="str">
            <v>MUS-E 480</v>
          </cell>
          <cell r="K10862" t="str">
            <v>Brenner,Brenda L.</v>
          </cell>
          <cell r="N10862" t="str">
            <v>NR</v>
          </cell>
          <cell r="O10862" t="str">
            <v>NR</v>
          </cell>
        </row>
        <row r="10863">
          <cell r="E10863" t="str">
            <v>MUS</v>
          </cell>
          <cell r="F10863" t="str">
            <v xml:space="preserve">MUS-E </v>
          </cell>
          <cell r="G10863">
            <v>481</v>
          </cell>
          <cell r="H10863" t="str">
            <v>MUS-E 481</v>
          </cell>
          <cell r="K10863" t="str">
            <v>May,Lissa Fleming</v>
          </cell>
          <cell r="N10863">
            <v>3.512</v>
          </cell>
          <cell r="O10863">
            <v>3.7050000000000001</v>
          </cell>
        </row>
        <row r="10864">
          <cell r="E10864" t="str">
            <v>MUS</v>
          </cell>
          <cell r="F10864" t="str">
            <v xml:space="preserve">MUS-E </v>
          </cell>
          <cell r="G10864">
            <v>491</v>
          </cell>
          <cell r="H10864" t="str">
            <v>MUS-E 491</v>
          </cell>
          <cell r="K10864" t="str">
            <v>May,Lissa Fleming</v>
          </cell>
          <cell r="N10864">
            <v>3.8330000000000002</v>
          </cell>
          <cell r="O10864">
            <v>3.665</v>
          </cell>
        </row>
        <row r="10865">
          <cell r="E10865" t="str">
            <v>MUS</v>
          </cell>
          <cell r="F10865" t="str">
            <v xml:space="preserve">MUS-E </v>
          </cell>
          <cell r="G10865">
            <v>493</v>
          </cell>
          <cell r="H10865" t="str">
            <v>MUS-E 493</v>
          </cell>
          <cell r="K10865" t="str">
            <v>Taylor,Karen M.</v>
          </cell>
          <cell r="N10865">
            <v>3.7440000000000002</v>
          </cell>
          <cell r="O10865">
            <v>3.863</v>
          </cell>
        </row>
        <row r="10866">
          <cell r="E10866" t="str">
            <v>MUS</v>
          </cell>
          <cell r="F10866" t="str">
            <v xml:space="preserve">MUS-E </v>
          </cell>
          <cell r="G10866">
            <v>493</v>
          </cell>
          <cell r="H10866" t="str">
            <v>MUS-E 493</v>
          </cell>
          <cell r="K10866" t="str">
            <v>Taylor,Karen M.</v>
          </cell>
          <cell r="N10866">
            <v>3.8220000000000001</v>
          </cell>
          <cell r="O10866">
            <v>3.7749999999999999</v>
          </cell>
        </row>
        <row r="10867">
          <cell r="E10867" t="str">
            <v>MUS</v>
          </cell>
          <cell r="F10867" t="str">
            <v xml:space="preserve">MUS-E </v>
          </cell>
          <cell r="G10867">
            <v>494</v>
          </cell>
          <cell r="H10867" t="str">
            <v>MUS-E 494</v>
          </cell>
          <cell r="K10867" t="str">
            <v>Wood,Rachel Lindsay</v>
          </cell>
          <cell r="N10867">
            <v>3.4129999999999998</v>
          </cell>
          <cell r="O10867">
            <v>3.528</v>
          </cell>
        </row>
        <row r="10868">
          <cell r="E10868" t="str">
            <v>MUS</v>
          </cell>
          <cell r="F10868" t="str">
            <v xml:space="preserve">MUS-E </v>
          </cell>
          <cell r="G10868">
            <v>494</v>
          </cell>
          <cell r="H10868" t="str">
            <v>MUS-E 494</v>
          </cell>
          <cell r="K10868" t="str">
            <v>Yoon,Angela</v>
          </cell>
          <cell r="N10868">
            <v>3.1949999999999998</v>
          </cell>
          <cell r="O10868">
            <v>3.609</v>
          </cell>
        </row>
        <row r="10869">
          <cell r="E10869" t="str">
            <v>MUS</v>
          </cell>
          <cell r="F10869" t="str">
            <v xml:space="preserve">MUS-E </v>
          </cell>
          <cell r="G10869">
            <v>502</v>
          </cell>
          <cell r="H10869" t="str">
            <v>MUS-E 502</v>
          </cell>
          <cell r="K10869" t="str">
            <v>Gault,Brent Michael</v>
          </cell>
          <cell r="N10869">
            <v>4</v>
          </cell>
          <cell r="O10869">
            <v>3.7719999999999998</v>
          </cell>
        </row>
        <row r="10870">
          <cell r="E10870" t="str">
            <v>MUS</v>
          </cell>
          <cell r="F10870" t="str">
            <v xml:space="preserve">MUS-E </v>
          </cell>
          <cell r="G10870">
            <v>503</v>
          </cell>
          <cell r="H10870" t="str">
            <v>MUS-E 503</v>
          </cell>
          <cell r="K10870" t="str">
            <v>Brenner,Brenda L.</v>
          </cell>
          <cell r="N10870">
            <v>4</v>
          </cell>
          <cell r="O10870">
            <v>3.8919999999999999</v>
          </cell>
        </row>
        <row r="10871">
          <cell r="E10871" t="str">
            <v>MUS</v>
          </cell>
          <cell r="F10871" t="str">
            <v xml:space="preserve">MUS-E </v>
          </cell>
          <cell r="G10871">
            <v>503</v>
          </cell>
          <cell r="H10871" t="str">
            <v>MUS-E 503</v>
          </cell>
          <cell r="K10871" t="str">
            <v>Zweig,Mimi H</v>
          </cell>
          <cell r="N10871">
            <v>4</v>
          </cell>
          <cell r="O10871">
            <v>3.919</v>
          </cell>
        </row>
        <row r="10872">
          <cell r="E10872" t="str">
            <v>MUS</v>
          </cell>
          <cell r="F10872" t="str">
            <v xml:space="preserve">MUS-E </v>
          </cell>
          <cell r="G10872">
            <v>504</v>
          </cell>
          <cell r="H10872" t="str">
            <v>MUS-E 504</v>
          </cell>
          <cell r="K10872" t="str">
            <v>Zweig,Mimi H</v>
          </cell>
          <cell r="N10872">
            <v>3.879</v>
          </cell>
          <cell r="O10872">
            <v>3.9289999999999998</v>
          </cell>
        </row>
        <row r="10873">
          <cell r="E10873" t="str">
            <v>MUS</v>
          </cell>
          <cell r="F10873" t="str">
            <v xml:space="preserve">MUS-E </v>
          </cell>
          <cell r="G10873">
            <v>505</v>
          </cell>
          <cell r="H10873" t="str">
            <v>MUS-E 505</v>
          </cell>
          <cell r="K10873" t="str">
            <v>Zweig,Mimi H</v>
          </cell>
          <cell r="N10873">
            <v>4</v>
          </cell>
          <cell r="O10873">
            <v>3.9569999999999999</v>
          </cell>
        </row>
        <row r="10874">
          <cell r="E10874" t="str">
            <v>MUS</v>
          </cell>
          <cell r="F10874" t="str">
            <v xml:space="preserve">MUS-E </v>
          </cell>
          <cell r="G10874">
            <v>505</v>
          </cell>
          <cell r="H10874" t="str">
            <v>MUS-E 505</v>
          </cell>
          <cell r="K10874" t="str">
            <v>Zweig,Mimi H</v>
          </cell>
          <cell r="N10874" t="str">
            <v>NR</v>
          </cell>
          <cell r="O10874" t="str">
            <v>NR</v>
          </cell>
        </row>
        <row r="10875">
          <cell r="E10875" t="str">
            <v>MUS</v>
          </cell>
          <cell r="F10875" t="str">
            <v xml:space="preserve">MUS-E </v>
          </cell>
          <cell r="G10875">
            <v>506</v>
          </cell>
          <cell r="H10875" t="str">
            <v>MUS-E 506</v>
          </cell>
          <cell r="K10875" t="str">
            <v>Colon,Emilio W.</v>
          </cell>
          <cell r="N10875" t="str">
            <v>NR</v>
          </cell>
          <cell r="O10875" t="str">
            <v>NR</v>
          </cell>
        </row>
        <row r="10876">
          <cell r="E10876" t="str">
            <v>MUS</v>
          </cell>
          <cell r="F10876" t="str">
            <v xml:space="preserve">MUS-E </v>
          </cell>
          <cell r="G10876">
            <v>506</v>
          </cell>
          <cell r="H10876" t="str">
            <v>MUS-E 506</v>
          </cell>
          <cell r="K10876" t="str">
            <v>Contino,Adriana</v>
          </cell>
          <cell r="N10876" t="str">
            <v>NR</v>
          </cell>
          <cell r="O10876" t="str">
            <v>NR</v>
          </cell>
        </row>
        <row r="10877">
          <cell r="E10877" t="str">
            <v>MUS</v>
          </cell>
          <cell r="F10877" t="str">
            <v xml:space="preserve">MUS-E </v>
          </cell>
          <cell r="G10877">
            <v>509</v>
          </cell>
          <cell r="H10877" t="str">
            <v>MUS-E 509</v>
          </cell>
          <cell r="K10877" t="str">
            <v>Nelsen,Jeff</v>
          </cell>
          <cell r="N10877" t="str">
            <v>NR</v>
          </cell>
          <cell r="O10877" t="str">
            <v>NR</v>
          </cell>
        </row>
        <row r="10878">
          <cell r="E10878" t="str">
            <v>MUS</v>
          </cell>
          <cell r="F10878" t="str">
            <v xml:space="preserve">MUS-E </v>
          </cell>
          <cell r="G10878">
            <v>509</v>
          </cell>
          <cell r="H10878" t="str">
            <v>MUS-E 509</v>
          </cell>
          <cell r="K10878" t="str">
            <v>Nelsen,Jeff</v>
          </cell>
          <cell r="N10878" t="str">
            <v>NR</v>
          </cell>
          <cell r="O10878" t="str">
            <v>NR</v>
          </cell>
        </row>
        <row r="10879">
          <cell r="E10879" t="str">
            <v>MUS</v>
          </cell>
          <cell r="F10879" t="str">
            <v xml:space="preserve">MUS-E </v>
          </cell>
          <cell r="G10879">
            <v>510</v>
          </cell>
          <cell r="H10879" t="str">
            <v>MUS-E 510</v>
          </cell>
          <cell r="K10879" t="str">
            <v>Rommel,John D.</v>
          </cell>
          <cell r="N10879" t="str">
            <v>NR</v>
          </cell>
          <cell r="O10879" t="str">
            <v>NR</v>
          </cell>
        </row>
        <row r="10880">
          <cell r="E10880" t="str">
            <v>MUS</v>
          </cell>
          <cell r="F10880" t="str">
            <v xml:space="preserve">MUS-E </v>
          </cell>
          <cell r="G10880">
            <v>511</v>
          </cell>
          <cell r="H10880" t="str">
            <v>MUS-E 511</v>
          </cell>
          <cell r="K10880" t="str">
            <v>Ellefson,Peter E.</v>
          </cell>
          <cell r="N10880" t="str">
            <v>NR</v>
          </cell>
          <cell r="O10880" t="str">
            <v>NR</v>
          </cell>
        </row>
        <row r="10881">
          <cell r="E10881" t="str">
            <v>MUS</v>
          </cell>
          <cell r="F10881" t="str">
            <v xml:space="preserve">MUS-E </v>
          </cell>
          <cell r="G10881">
            <v>511</v>
          </cell>
          <cell r="H10881" t="str">
            <v>MUS-E 511</v>
          </cell>
          <cell r="K10881" t="str">
            <v>Ellefson,Peter E.</v>
          </cell>
          <cell r="N10881" t="str">
            <v>NR</v>
          </cell>
          <cell r="O10881" t="str">
            <v>NR</v>
          </cell>
        </row>
        <row r="10882">
          <cell r="E10882" t="str">
            <v>MUS</v>
          </cell>
          <cell r="F10882" t="str">
            <v xml:space="preserve">MUS-E </v>
          </cell>
          <cell r="G10882">
            <v>511</v>
          </cell>
          <cell r="H10882" t="str">
            <v>MUS-E 511</v>
          </cell>
          <cell r="K10882" t="str">
            <v>Stewart,M. Dee</v>
          </cell>
          <cell r="N10882" t="str">
            <v>NR</v>
          </cell>
          <cell r="O10882" t="str">
            <v>NR</v>
          </cell>
        </row>
        <row r="10883">
          <cell r="E10883" t="str">
            <v>MUS</v>
          </cell>
          <cell r="F10883" t="str">
            <v xml:space="preserve">MUS-E </v>
          </cell>
          <cell r="G10883">
            <v>512</v>
          </cell>
          <cell r="H10883" t="str">
            <v>MUS-E 512</v>
          </cell>
          <cell r="K10883" t="str">
            <v>Perantoni,Daniel Thomas</v>
          </cell>
          <cell r="N10883" t="str">
            <v>NR</v>
          </cell>
          <cell r="O10883" t="str">
            <v>NR</v>
          </cell>
        </row>
        <row r="10884">
          <cell r="E10884" t="str">
            <v>MUS</v>
          </cell>
          <cell r="F10884" t="str">
            <v xml:space="preserve">MUS-E </v>
          </cell>
          <cell r="G10884">
            <v>512</v>
          </cell>
          <cell r="H10884" t="str">
            <v>MUS-E 512</v>
          </cell>
          <cell r="K10884" t="str">
            <v>Perantoni,Daniel Thomas</v>
          </cell>
          <cell r="N10884" t="str">
            <v>NR</v>
          </cell>
          <cell r="O10884" t="str">
            <v>NR</v>
          </cell>
        </row>
        <row r="10885">
          <cell r="E10885" t="str">
            <v>MUS</v>
          </cell>
          <cell r="F10885" t="str">
            <v xml:space="preserve">MUS-E </v>
          </cell>
          <cell r="G10885">
            <v>513</v>
          </cell>
          <cell r="H10885" t="str">
            <v>MUS-E 513</v>
          </cell>
          <cell r="K10885" t="str">
            <v>Szmyt,Elzbieta Monika</v>
          </cell>
          <cell r="N10885" t="str">
            <v>NR</v>
          </cell>
          <cell r="O10885" t="str">
            <v>NR</v>
          </cell>
        </row>
        <row r="10886">
          <cell r="E10886" t="str">
            <v>MUS</v>
          </cell>
          <cell r="F10886" t="str">
            <v xml:space="preserve">MUS-E </v>
          </cell>
          <cell r="G10886">
            <v>515</v>
          </cell>
          <cell r="H10886" t="str">
            <v>MUS-E 515</v>
          </cell>
          <cell r="K10886" t="str">
            <v>Hurst,Lawrence P.</v>
          </cell>
          <cell r="N10886" t="str">
            <v>NR</v>
          </cell>
          <cell r="O10886" t="str">
            <v>NR</v>
          </cell>
        </row>
        <row r="10887">
          <cell r="E10887" t="str">
            <v>MUS</v>
          </cell>
          <cell r="F10887" t="str">
            <v xml:space="preserve">MUS-E </v>
          </cell>
          <cell r="G10887">
            <v>518</v>
          </cell>
          <cell r="H10887" t="str">
            <v>MUS-E 518</v>
          </cell>
          <cell r="K10887" t="str">
            <v>Jorgensen,Estelle Ruth</v>
          </cell>
          <cell r="N10887">
            <v>3.653</v>
          </cell>
          <cell r="O10887">
            <v>3.6709999999999998</v>
          </cell>
        </row>
        <row r="10888">
          <cell r="E10888" t="str">
            <v>MUS</v>
          </cell>
          <cell r="F10888" t="str">
            <v xml:space="preserve">MUS-E </v>
          </cell>
          <cell r="G10888">
            <v>520</v>
          </cell>
          <cell r="H10888" t="str">
            <v>MUS-E 520</v>
          </cell>
          <cell r="K10888" t="str">
            <v>Madura,Patrice</v>
          </cell>
          <cell r="N10888" t="str">
            <v>NR</v>
          </cell>
          <cell r="O10888" t="str">
            <v>NR</v>
          </cell>
        </row>
        <row r="10889">
          <cell r="E10889" t="str">
            <v>MUS</v>
          </cell>
          <cell r="F10889" t="str">
            <v xml:space="preserve">MUS-E </v>
          </cell>
          <cell r="G10889">
            <v>528</v>
          </cell>
          <cell r="H10889" t="str">
            <v>MUS-E 528</v>
          </cell>
          <cell r="K10889" t="str">
            <v>Madura,Patrice</v>
          </cell>
          <cell r="N10889">
            <v>3.9</v>
          </cell>
          <cell r="O10889">
            <v>3.7989999999999999</v>
          </cell>
        </row>
        <row r="10890">
          <cell r="E10890" t="str">
            <v>MUS</v>
          </cell>
          <cell r="F10890" t="str">
            <v xml:space="preserve">MUS-E </v>
          </cell>
          <cell r="G10890">
            <v>533</v>
          </cell>
          <cell r="H10890" t="str">
            <v>MUS-E 533</v>
          </cell>
          <cell r="K10890" t="str">
            <v>Gault,Brent Michael</v>
          </cell>
          <cell r="N10890" t="str">
            <v>NR</v>
          </cell>
          <cell r="O10890" t="str">
            <v>NR</v>
          </cell>
        </row>
        <row r="10891">
          <cell r="E10891" t="str">
            <v>MUS</v>
          </cell>
          <cell r="F10891" t="str">
            <v xml:space="preserve">MUS-E </v>
          </cell>
          <cell r="G10891">
            <v>533</v>
          </cell>
          <cell r="H10891" t="str">
            <v>MUS-E 533</v>
          </cell>
          <cell r="K10891" t="str">
            <v>May,Lissa Fleming</v>
          </cell>
          <cell r="N10891" t="str">
            <v>NR</v>
          </cell>
          <cell r="O10891" t="str">
            <v>NR</v>
          </cell>
        </row>
        <row r="10892">
          <cell r="E10892" t="str">
            <v>MUS</v>
          </cell>
          <cell r="F10892" t="str">
            <v xml:space="preserve">MUS-E </v>
          </cell>
          <cell r="G10892">
            <v>535</v>
          </cell>
          <cell r="H10892" t="str">
            <v>MUS-E 535</v>
          </cell>
          <cell r="K10892" t="str">
            <v>Miksza,Peter John</v>
          </cell>
          <cell r="N10892">
            <v>3.786</v>
          </cell>
          <cell r="O10892">
            <v>3.8450000000000002</v>
          </cell>
        </row>
        <row r="10893">
          <cell r="E10893" t="str">
            <v>MUS</v>
          </cell>
          <cell r="F10893" t="str">
            <v xml:space="preserve">MUS-E </v>
          </cell>
          <cell r="G10893">
            <v>545</v>
          </cell>
          <cell r="H10893" t="str">
            <v>MUS-E 545</v>
          </cell>
          <cell r="K10893" t="str">
            <v>May,Lissa Fleming</v>
          </cell>
          <cell r="N10893" t="str">
            <v>NR</v>
          </cell>
          <cell r="O10893" t="str">
            <v>NR</v>
          </cell>
        </row>
        <row r="10894">
          <cell r="E10894" t="str">
            <v>MUS</v>
          </cell>
          <cell r="F10894" t="str">
            <v xml:space="preserve">MUS-E </v>
          </cell>
          <cell r="G10894">
            <v>557</v>
          </cell>
          <cell r="H10894" t="str">
            <v>MUS-E 557</v>
          </cell>
          <cell r="K10894" t="str">
            <v>Woodley,Dave C.</v>
          </cell>
          <cell r="N10894" t="str">
            <v>NR</v>
          </cell>
          <cell r="O10894" t="str">
            <v>NR</v>
          </cell>
        </row>
        <row r="10895">
          <cell r="E10895" t="str">
            <v>MUS</v>
          </cell>
          <cell r="F10895" t="str">
            <v xml:space="preserve">MUS-E </v>
          </cell>
          <cell r="G10895">
            <v>559</v>
          </cell>
          <cell r="H10895" t="str">
            <v>MUS-E 559</v>
          </cell>
          <cell r="K10895" t="str">
            <v>Klug,Howard</v>
          </cell>
          <cell r="N10895">
            <v>3.7879999999999998</v>
          </cell>
          <cell r="O10895">
            <v>3.89</v>
          </cell>
        </row>
        <row r="10896">
          <cell r="E10896" t="str">
            <v>MUS</v>
          </cell>
          <cell r="F10896" t="str">
            <v xml:space="preserve">MUS-E </v>
          </cell>
          <cell r="G10896">
            <v>559</v>
          </cell>
          <cell r="H10896" t="str">
            <v>MUS-E 559</v>
          </cell>
          <cell r="K10896" t="str">
            <v>Ludwig,William Ernest</v>
          </cell>
          <cell r="N10896" t="str">
            <v>NR</v>
          </cell>
          <cell r="O10896" t="str">
            <v>NR</v>
          </cell>
        </row>
        <row r="10897">
          <cell r="E10897" t="str">
            <v>MUS</v>
          </cell>
          <cell r="F10897" t="str">
            <v xml:space="preserve">MUS-E </v>
          </cell>
          <cell r="G10897">
            <v>559</v>
          </cell>
          <cell r="H10897" t="str">
            <v>MUS-E 559</v>
          </cell>
          <cell r="K10897" t="str">
            <v>Lukas,Kathryn</v>
          </cell>
          <cell r="N10897">
            <v>4</v>
          </cell>
          <cell r="O10897">
            <v>3.7679999999999998</v>
          </cell>
        </row>
        <row r="10898">
          <cell r="E10898" t="str">
            <v>MUS</v>
          </cell>
          <cell r="F10898" t="str">
            <v xml:space="preserve">MUS-E </v>
          </cell>
          <cell r="G10898">
            <v>559</v>
          </cell>
          <cell r="H10898" t="str">
            <v>MUS-E 559</v>
          </cell>
          <cell r="K10898" t="str">
            <v>Strommen,Linda</v>
          </cell>
          <cell r="N10898" t="str">
            <v>NR</v>
          </cell>
          <cell r="O10898" t="str">
            <v>NR</v>
          </cell>
        </row>
        <row r="10899">
          <cell r="E10899" t="str">
            <v>MUS</v>
          </cell>
          <cell r="F10899" t="str">
            <v xml:space="preserve">MUS-E </v>
          </cell>
          <cell r="G10899">
            <v>559</v>
          </cell>
          <cell r="H10899" t="str">
            <v>MUS-E 559</v>
          </cell>
          <cell r="K10899" t="str">
            <v>Walsh,Thomas P.</v>
          </cell>
          <cell r="N10899" t="str">
            <v>NR</v>
          </cell>
          <cell r="O10899" t="str">
            <v>NR</v>
          </cell>
        </row>
        <row r="10900">
          <cell r="E10900" t="str">
            <v>MUS</v>
          </cell>
          <cell r="F10900" t="str">
            <v xml:space="preserve">MUS-E </v>
          </cell>
          <cell r="G10900">
            <v>570</v>
          </cell>
          <cell r="H10900" t="str">
            <v>MUS-E 570</v>
          </cell>
          <cell r="K10900" t="str">
            <v>Harbison,Patrick Lewis</v>
          </cell>
          <cell r="N10900" t="str">
            <v>NR</v>
          </cell>
          <cell r="O10900" t="str">
            <v>NR</v>
          </cell>
        </row>
        <row r="10901">
          <cell r="E10901" t="str">
            <v>MUS</v>
          </cell>
          <cell r="F10901" t="str">
            <v xml:space="preserve">MUS-E </v>
          </cell>
          <cell r="G10901">
            <v>580</v>
          </cell>
          <cell r="H10901" t="str">
            <v>MUS-E 580</v>
          </cell>
          <cell r="K10901" t="str">
            <v>Brenner,Brenda L.</v>
          </cell>
          <cell r="N10901" t="str">
            <v>NR</v>
          </cell>
          <cell r="O10901" t="str">
            <v>NR</v>
          </cell>
        </row>
        <row r="10902">
          <cell r="E10902" t="str">
            <v>MUS</v>
          </cell>
          <cell r="F10902" t="str">
            <v xml:space="preserve">MUS-E </v>
          </cell>
          <cell r="G10902">
            <v>581</v>
          </cell>
          <cell r="H10902" t="str">
            <v>MUS-E 581</v>
          </cell>
          <cell r="K10902" t="str">
            <v>May,Lissa Fleming</v>
          </cell>
          <cell r="N10902" t="str">
            <v>NR</v>
          </cell>
          <cell r="O10902" t="str">
            <v>NR</v>
          </cell>
        </row>
        <row r="10903">
          <cell r="E10903" t="str">
            <v>MUS</v>
          </cell>
          <cell r="F10903" t="str">
            <v xml:space="preserve">MUS-E </v>
          </cell>
          <cell r="G10903">
            <v>594</v>
          </cell>
          <cell r="H10903" t="str">
            <v>MUS-E 594</v>
          </cell>
          <cell r="K10903" t="str">
            <v>Horne,Brian L.</v>
          </cell>
          <cell r="N10903">
            <v>3.4809999999999999</v>
          </cell>
          <cell r="O10903">
            <v>3.7290000000000001</v>
          </cell>
        </row>
        <row r="10904">
          <cell r="E10904" t="str">
            <v>MUS</v>
          </cell>
          <cell r="F10904" t="str">
            <v xml:space="preserve">MUS-E </v>
          </cell>
          <cell r="G10904">
            <v>594</v>
          </cell>
          <cell r="H10904" t="str">
            <v>MUS-E 594</v>
          </cell>
          <cell r="K10904" t="str">
            <v>Horne,Brian L.</v>
          </cell>
          <cell r="N10904">
            <v>3.5070000000000001</v>
          </cell>
          <cell r="O10904">
            <v>3.706</v>
          </cell>
        </row>
        <row r="10905">
          <cell r="E10905" t="str">
            <v>MUS</v>
          </cell>
          <cell r="F10905" t="str">
            <v xml:space="preserve">MUS-E </v>
          </cell>
          <cell r="G10905">
            <v>598</v>
          </cell>
          <cell r="H10905" t="str">
            <v>MUS-E 598</v>
          </cell>
          <cell r="K10905" t="str">
            <v>May,Lissa Fleming</v>
          </cell>
          <cell r="N10905" t="str">
            <v>NR</v>
          </cell>
          <cell r="O10905" t="str">
            <v>NR</v>
          </cell>
        </row>
        <row r="10906">
          <cell r="E10906" t="str">
            <v>MUS</v>
          </cell>
          <cell r="F10906" t="str">
            <v xml:space="preserve">MUS-E </v>
          </cell>
          <cell r="G10906">
            <v>600</v>
          </cell>
          <cell r="H10906" t="str">
            <v>MUS-E 600</v>
          </cell>
          <cell r="K10906" t="str">
            <v>Isaacson,Eric John</v>
          </cell>
          <cell r="N10906" t="str">
            <v>NR</v>
          </cell>
          <cell r="O10906" t="str">
            <v>NR</v>
          </cell>
        </row>
        <row r="10907">
          <cell r="E10907" t="str">
            <v>MUS</v>
          </cell>
          <cell r="F10907" t="str">
            <v xml:space="preserve">MUS-E </v>
          </cell>
          <cell r="G10907">
            <v>616</v>
          </cell>
          <cell r="H10907" t="str">
            <v>MUS-E 616</v>
          </cell>
          <cell r="K10907" t="str">
            <v>Jorgensen,Estelle Ruth</v>
          </cell>
          <cell r="N10907" t="str">
            <v>NR</v>
          </cell>
          <cell r="O10907" t="str">
            <v>NR</v>
          </cell>
        </row>
        <row r="10908">
          <cell r="E10908" t="str">
            <v>MUS</v>
          </cell>
          <cell r="F10908" t="str">
            <v xml:space="preserve">MUS-E </v>
          </cell>
          <cell r="G10908">
            <v>619</v>
          </cell>
          <cell r="H10908" t="str">
            <v>MUS-E 619</v>
          </cell>
          <cell r="K10908" t="str">
            <v>Miksza,Peter John</v>
          </cell>
          <cell r="N10908">
            <v>3.6669999999999998</v>
          </cell>
          <cell r="O10908">
            <v>3.7650000000000001</v>
          </cell>
        </row>
        <row r="10909">
          <cell r="E10909" t="str">
            <v>MUS</v>
          </cell>
          <cell r="F10909" t="str">
            <v xml:space="preserve">MUS-E </v>
          </cell>
          <cell r="G10909">
            <v>619</v>
          </cell>
          <cell r="H10909" t="str">
            <v>MUS-E 619</v>
          </cell>
          <cell r="K10909" t="str">
            <v>Miksza,Peter John</v>
          </cell>
          <cell r="N10909">
            <v>3.5270000000000001</v>
          </cell>
          <cell r="O10909">
            <v>3.8370000000000002</v>
          </cell>
        </row>
        <row r="10910">
          <cell r="E10910" t="str">
            <v>MUS</v>
          </cell>
          <cell r="F10910" t="str">
            <v xml:space="preserve">MUS-E </v>
          </cell>
          <cell r="G10910">
            <v>632</v>
          </cell>
          <cell r="H10910" t="str">
            <v>MUS-E 632</v>
          </cell>
          <cell r="K10910" t="str">
            <v>Madura,Patrice</v>
          </cell>
          <cell r="N10910" t="str">
            <v>NR</v>
          </cell>
          <cell r="O10910" t="str">
            <v>NR</v>
          </cell>
        </row>
        <row r="10911">
          <cell r="E10911" t="str">
            <v>MUS</v>
          </cell>
          <cell r="F10911" t="str">
            <v xml:space="preserve">MUS-E </v>
          </cell>
          <cell r="G10911">
            <v>640</v>
          </cell>
          <cell r="H10911" t="str">
            <v>MUS-E 640</v>
          </cell>
          <cell r="K10911" t="str">
            <v>Strand,Katherine Dagmar</v>
          </cell>
          <cell r="N10911" t="str">
            <v>NR</v>
          </cell>
          <cell r="O10911" t="str">
            <v>NR</v>
          </cell>
        </row>
        <row r="10912">
          <cell r="E10912" t="str">
            <v>MUS</v>
          </cell>
          <cell r="F10912" t="str">
            <v xml:space="preserve">MUS-E </v>
          </cell>
          <cell r="G10912">
            <v>650</v>
          </cell>
          <cell r="H10912" t="str">
            <v>MUS-E 650</v>
          </cell>
          <cell r="K10912" t="str">
            <v>Gault,Brent Michael</v>
          </cell>
          <cell r="N10912" t="str">
            <v>NR</v>
          </cell>
          <cell r="O10912" t="str">
            <v>NR</v>
          </cell>
        </row>
        <row r="10913">
          <cell r="E10913" t="str">
            <v>MUS</v>
          </cell>
          <cell r="F10913" t="str">
            <v xml:space="preserve">MUS-E </v>
          </cell>
          <cell r="G10913">
            <v>650</v>
          </cell>
          <cell r="H10913" t="str">
            <v>MUS-E 650</v>
          </cell>
          <cell r="K10913" t="str">
            <v>May,Lissa Fleming</v>
          </cell>
          <cell r="N10913" t="str">
            <v>NR</v>
          </cell>
          <cell r="O10913" t="str">
            <v>NR</v>
          </cell>
        </row>
        <row r="10914">
          <cell r="E10914" t="str">
            <v>MUS</v>
          </cell>
          <cell r="F10914" t="str">
            <v xml:space="preserve">MUS-E </v>
          </cell>
          <cell r="G10914">
            <v>659</v>
          </cell>
          <cell r="H10914" t="str">
            <v>MUS-E 659</v>
          </cell>
          <cell r="K10914" t="str">
            <v>May,Lissa Fleming</v>
          </cell>
          <cell r="N10914" t="str">
            <v>NR</v>
          </cell>
          <cell r="O10914" t="str">
            <v>NR</v>
          </cell>
        </row>
        <row r="10915">
          <cell r="E10915" t="str">
            <v>MUS</v>
          </cell>
          <cell r="F10915" t="str">
            <v xml:space="preserve">MUS-E </v>
          </cell>
          <cell r="G10915">
            <v>695</v>
          </cell>
          <cell r="H10915" t="str">
            <v>MUS-E 695</v>
          </cell>
          <cell r="K10915" t="str">
            <v>Horne,Brian L.</v>
          </cell>
          <cell r="N10915">
            <v>4</v>
          </cell>
          <cell r="O10915">
            <v>3.8319999999999999</v>
          </cell>
        </row>
        <row r="10916">
          <cell r="E10916" t="str">
            <v>MUS</v>
          </cell>
          <cell r="F10916" t="str">
            <v xml:space="preserve">MUS-E </v>
          </cell>
          <cell r="G10916">
            <v>696</v>
          </cell>
          <cell r="H10916" t="str">
            <v>MUS-E 696</v>
          </cell>
          <cell r="K10916" t="str">
            <v>Hart,Mary Ann</v>
          </cell>
          <cell r="N10916" t="str">
            <v>NR</v>
          </cell>
          <cell r="O10916" t="str">
            <v>NR</v>
          </cell>
        </row>
        <row r="10917">
          <cell r="E10917" t="str">
            <v>MUS</v>
          </cell>
          <cell r="F10917" t="str">
            <v xml:space="preserve">MUS-E </v>
          </cell>
          <cell r="G10917">
            <v>696</v>
          </cell>
          <cell r="H10917" t="str">
            <v>MUS-E 696</v>
          </cell>
          <cell r="K10917" t="str">
            <v>Hart,Mary Ann</v>
          </cell>
          <cell r="N10917" t="str">
            <v>NR</v>
          </cell>
          <cell r="O10917" t="str">
            <v>NR</v>
          </cell>
        </row>
        <row r="10918">
          <cell r="E10918" t="str">
            <v>MUS</v>
          </cell>
          <cell r="F10918" t="str">
            <v xml:space="preserve">MUS-E </v>
          </cell>
          <cell r="G10918">
            <v>700</v>
          </cell>
          <cell r="H10918" t="str">
            <v>MUS-E 700</v>
          </cell>
          <cell r="K10918" t="str">
            <v>Isaacson,Eric John</v>
          </cell>
          <cell r="N10918" t="str">
            <v>NR</v>
          </cell>
          <cell r="O10918" t="str">
            <v>NR</v>
          </cell>
        </row>
        <row r="10919">
          <cell r="E10919" t="str">
            <v>MUS</v>
          </cell>
          <cell r="F10919" t="str">
            <v xml:space="preserve">MUS-E </v>
          </cell>
          <cell r="G10919">
            <v>700</v>
          </cell>
          <cell r="H10919" t="str">
            <v>MUS-E 700</v>
          </cell>
          <cell r="K10919" t="str">
            <v>Isaacson,Eric John</v>
          </cell>
          <cell r="N10919" t="str">
            <v>NR</v>
          </cell>
          <cell r="O10919" t="str">
            <v>NR</v>
          </cell>
        </row>
        <row r="10920">
          <cell r="E10920" t="str">
            <v>MUS</v>
          </cell>
          <cell r="F10920" t="str">
            <v xml:space="preserve">MUS-E </v>
          </cell>
          <cell r="G10920">
            <v>700</v>
          </cell>
          <cell r="H10920" t="str">
            <v>MUS-E 700</v>
          </cell>
          <cell r="K10920" t="str">
            <v>Isaacson,Eric John</v>
          </cell>
          <cell r="N10920" t="str">
            <v>NR</v>
          </cell>
          <cell r="O10920" t="str">
            <v>NR</v>
          </cell>
        </row>
        <row r="10921">
          <cell r="E10921" t="str">
            <v>MUS</v>
          </cell>
          <cell r="F10921" t="str">
            <v xml:space="preserve">MUS-E </v>
          </cell>
          <cell r="G10921">
            <v>700</v>
          </cell>
          <cell r="H10921" t="str">
            <v>MUS-E 700</v>
          </cell>
          <cell r="K10921" t="str">
            <v>Isaacson,Eric John</v>
          </cell>
          <cell r="N10921" t="str">
            <v>NR</v>
          </cell>
          <cell r="O10921" t="str">
            <v>NR</v>
          </cell>
        </row>
        <row r="10922">
          <cell r="E10922" t="str">
            <v>MUS</v>
          </cell>
          <cell r="F10922" t="str">
            <v xml:space="preserve">MUS-F </v>
          </cell>
          <cell r="G10922">
            <v>200</v>
          </cell>
          <cell r="H10922" t="str">
            <v>MUS-F 200</v>
          </cell>
          <cell r="K10922" t="str">
            <v>May,Lissa Fleming</v>
          </cell>
          <cell r="N10922">
            <v>3.7589999999999999</v>
          </cell>
          <cell r="O10922">
            <v>3.7229999999999999</v>
          </cell>
        </row>
        <row r="10923">
          <cell r="E10923" t="str">
            <v>MUS</v>
          </cell>
          <cell r="F10923" t="str">
            <v xml:space="preserve">MUS-F </v>
          </cell>
          <cell r="G10923">
            <v>200</v>
          </cell>
          <cell r="H10923" t="str">
            <v>MUS-F 200</v>
          </cell>
          <cell r="K10923" t="str">
            <v>May,Lissa Fleming</v>
          </cell>
          <cell r="N10923">
            <v>3.8620000000000001</v>
          </cell>
          <cell r="O10923">
            <v>3.758</v>
          </cell>
        </row>
        <row r="10924">
          <cell r="E10924" t="str">
            <v>MUS</v>
          </cell>
          <cell r="F10924" t="str">
            <v xml:space="preserve">MUS-F </v>
          </cell>
          <cell r="G10924">
            <v>200</v>
          </cell>
          <cell r="H10924" t="str">
            <v>MUS-F 200</v>
          </cell>
          <cell r="K10924" t="str">
            <v>May,Lissa Fleming</v>
          </cell>
          <cell r="N10924">
            <v>3.8290000000000002</v>
          </cell>
          <cell r="O10924">
            <v>3.5920000000000001</v>
          </cell>
        </row>
        <row r="10925">
          <cell r="E10925" t="str">
            <v>MUS</v>
          </cell>
          <cell r="F10925" t="str">
            <v xml:space="preserve">MUS-F </v>
          </cell>
          <cell r="G10925">
            <v>205</v>
          </cell>
          <cell r="H10925" t="str">
            <v>MUS-F 205</v>
          </cell>
          <cell r="K10925" t="str">
            <v>May,Lissa Fleming</v>
          </cell>
          <cell r="N10925" t="str">
            <v>NR</v>
          </cell>
          <cell r="O10925" t="str">
            <v>NR</v>
          </cell>
        </row>
        <row r="10926">
          <cell r="E10926" t="str">
            <v>MUS</v>
          </cell>
          <cell r="F10926" t="str">
            <v xml:space="preserve">MUS-F </v>
          </cell>
          <cell r="G10926">
            <v>205</v>
          </cell>
          <cell r="H10926" t="str">
            <v>MUS-F 205</v>
          </cell>
          <cell r="K10926" t="str">
            <v>May,Lissa Fleming</v>
          </cell>
          <cell r="N10926">
            <v>3.5139999999999998</v>
          </cell>
          <cell r="O10926">
            <v>3.5870000000000002</v>
          </cell>
        </row>
        <row r="10927">
          <cell r="E10927" t="str">
            <v>MUS</v>
          </cell>
          <cell r="F10927" t="str">
            <v xml:space="preserve">MUS-F </v>
          </cell>
          <cell r="G10927">
            <v>261</v>
          </cell>
          <cell r="H10927" t="str">
            <v>MUS-F 261</v>
          </cell>
          <cell r="K10927" t="str">
            <v>Brenner,Brenda L.</v>
          </cell>
          <cell r="N10927" t="str">
            <v>NR</v>
          </cell>
          <cell r="O10927" t="str">
            <v>NR</v>
          </cell>
        </row>
        <row r="10928">
          <cell r="E10928" t="str">
            <v>MUS</v>
          </cell>
          <cell r="F10928" t="str">
            <v xml:space="preserve">MUS-F </v>
          </cell>
          <cell r="G10928">
            <v>261</v>
          </cell>
          <cell r="H10928" t="str">
            <v>MUS-F 261</v>
          </cell>
          <cell r="K10928" t="str">
            <v>Brenner,Brenda L.</v>
          </cell>
          <cell r="N10928">
            <v>3.6070000000000002</v>
          </cell>
          <cell r="O10928">
            <v>3.734</v>
          </cell>
        </row>
        <row r="10929">
          <cell r="E10929" t="str">
            <v>MUS</v>
          </cell>
          <cell r="F10929" t="str">
            <v xml:space="preserve">MUS-F </v>
          </cell>
          <cell r="G10929">
            <v>281</v>
          </cell>
          <cell r="H10929" t="str">
            <v>MUS-F 281</v>
          </cell>
          <cell r="K10929" t="str">
            <v>May,Lissa Fleming</v>
          </cell>
          <cell r="N10929">
            <v>3.5</v>
          </cell>
          <cell r="O10929">
            <v>3.7349999999999999</v>
          </cell>
        </row>
        <row r="10930">
          <cell r="E10930" t="str">
            <v>MUS</v>
          </cell>
          <cell r="F10930" t="str">
            <v xml:space="preserve">MUS-F </v>
          </cell>
          <cell r="G10930">
            <v>281</v>
          </cell>
          <cell r="H10930" t="str">
            <v>MUS-F 281</v>
          </cell>
          <cell r="K10930" t="str">
            <v>May,Lissa Fleming</v>
          </cell>
          <cell r="N10930">
            <v>3.9860000000000002</v>
          </cell>
          <cell r="O10930">
            <v>3.758</v>
          </cell>
        </row>
        <row r="10931">
          <cell r="E10931" t="str">
            <v>MUS</v>
          </cell>
          <cell r="F10931" t="str">
            <v xml:space="preserve">MUS-F </v>
          </cell>
          <cell r="G10931">
            <v>300</v>
          </cell>
          <cell r="H10931" t="str">
            <v>MUS-F 300</v>
          </cell>
          <cell r="K10931" t="str">
            <v>Chen,Chih-Yi</v>
          </cell>
          <cell r="N10931">
            <v>3.8</v>
          </cell>
          <cell r="O10931">
            <v>3.7469999999999999</v>
          </cell>
        </row>
        <row r="10932">
          <cell r="E10932" t="str">
            <v>MUS</v>
          </cell>
          <cell r="F10932" t="str">
            <v xml:space="preserve">MUS-F </v>
          </cell>
          <cell r="G10932">
            <v>300</v>
          </cell>
          <cell r="H10932" t="str">
            <v>MUS-F 300</v>
          </cell>
          <cell r="K10932" t="str">
            <v>Chen,Chih-Yi</v>
          </cell>
          <cell r="N10932">
            <v>3.98</v>
          </cell>
          <cell r="O10932">
            <v>3.7360000000000002</v>
          </cell>
        </row>
        <row r="10933">
          <cell r="E10933" t="str">
            <v>MUS</v>
          </cell>
          <cell r="F10933" t="str">
            <v xml:space="preserve">MUS-F </v>
          </cell>
          <cell r="G10933">
            <v>300</v>
          </cell>
          <cell r="H10933" t="str">
            <v>MUS-F 300</v>
          </cell>
          <cell r="K10933" t="str">
            <v>Phillips,Lee</v>
          </cell>
          <cell r="N10933">
            <v>4</v>
          </cell>
          <cell r="O10933">
            <v>3.7480000000000002</v>
          </cell>
        </row>
        <row r="10934">
          <cell r="E10934" t="str">
            <v>MUS</v>
          </cell>
          <cell r="F10934" t="str">
            <v xml:space="preserve">MUS-F </v>
          </cell>
          <cell r="G10934">
            <v>300</v>
          </cell>
          <cell r="H10934" t="str">
            <v>MUS-F 300</v>
          </cell>
          <cell r="K10934" t="str">
            <v>Phillips,Lee</v>
          </cell>
          <cell r="N10934">
            <v>3.855</v>
          </cell>
          <cell r="O10934">
            <v>3.798</v>
          </cell>
        </row>
        <row r="10935">
          <cell r="E10935" t="str">
            <v>MUS</v>
          </cell>
          <cell r="F10935" t="str">
            <v xml:space="preserve">MUS-F </v>
          </cell>
          <cell r="G10935">
            <v>337</v>
          </cell>
          <cell r="H10935" t="str">
            <v>MUS-F 337</v>
          </cell>
          <cell r="K10935" t="str">
            <v>May,Lissa Fleming</v>
          </cell>
          <cell r="N10935">
            <v>3.8460000000000001</v>
          </cell>
          <cell r="O10935">
            <v>3.714</v>
          </cell>
        </row>
        <row r="10936">
          <cell r="E10936" t="str">
            <v>MUS</v>
          </cell>
          <cell r="F10936" t="str">
            <v xml:space="preserve">MUS-F </v>
          </cell>
          <cell r="G10936">
            <v>337</v>
          </cell>
          <cell r="H10936" t="str">
            <v>MUS-F 337</v>
          </cell>
          <cell r="K10936" t="str">
            <v>May,Lissa Fleming</v>
          </cell>
          <cell r="N10936">
            <v>3.754</v>
          </cell>
          <cell r="O10936">
            <v>3.5920000000000001</v>
          </cell>
        </row>
        <row r="10937">
          <cell r="E10937" t="str">
            <v>MUS</v>
          </cell>
          <cell r="F10937" t="str">
            <v xml:space="preserve">MUS-F </v>
          </cell>
          <cell r="G10937">
            <v>338</v>
          </cell>
          <cell r="H10937" t="str">
            <v>MUS-F 338</v>
          </cell>
          <cell r="K10937" t="str">
            <v>Compston,Zachary Allen</v>
          </cell>
          <cell r="N10937" t="str">
            <v>NR</v>
          </cell>
          <cell r="O10937" t="str">
            <v>NR</v>
          </cell>
        </row>
        <row r="10938">
          <cell r="E10938" t="str">
            <v>MUS</v>
          </cell>
          <cell r="F10938" t="str">
            <v xml:space="preserve">MUS-F </v>
          </cell>
          <cell r="G10938">
            <v>338</v>
          </cell>
          <cell r="H10938" t="str">
            <v>MUS-F 338</v>
          </cell>
          <cell r="K10938" t="str">
            <v>Cox,Drew Michael</v>
          </cell>
          <cell r="N10938">
            <v>3.7330000000000001</v>
          </cell>
          <cell r="O10938">
            <v>3.4990000000000001</v>
          </cell>
        </row>
        <row r="10939">
          <cell r="E10939" t="str">
            <v>MUS</v>
          </cell>
          <cell r="F10939" t="str">
            <v xml:space="preserve">MUS-F </v>
          </cell>
          <cell r="G10939">
            <v>340</v>
          </cell>
          <cell r="H10939" t="str">
            <v>MUS-F 340</v>
          </cell>
          <cell r="K10939" t="str">
            <v>Bogard,Emily</v>
          </cell>
          <cell r="N10939" t="str">
            <v>NR</v>
          </cell>
          <cell r="O10939" t="str">
            <v>NR</v>
          </cell>
        </row>
        <row r="10940">
          <cell r="E10940" t="str">
            <v>MUS</v>
          </cell>
          <cell r="F10940" t="str">
            <v xml:space="preserve">MUS-F </v>
          </cell>
          <cell r="G10940">
            <v>340</v>
          </cell>
          <cell r="H10940" t="str">
            <v>MUS-F 340</v>
          </cell>
          <cell r="K10940" t="str">
            <v>Bogard,Emily</v>
          </cell>
          <cell r="N10940">
            <v>3.8570000000000002</v>
          </cell>
          <cell r="O10940">
            <v>3.6869999999999998</v>
          </cell>
        </row>
        <row r="10941">
          <cell r="E10941" t="str">
            <v>MUS</v>
          </cell>
          <cell r="F10941" t="str">
            <v xml:space="preserve">MUS-F </v>
          </cell>
          <cell r="G10941">
            <v>340</v>
          </cell>
          <cell r="H10941" t="str">
            <v>MUS-F 340</v>
          </cell>
          <cell r="K10941" t="str">
            <v>Bogard,Emily</v>
          </cell>
          <cell r="N10941">
            <v>3.7170000000000001</v>
          </cell>
          <cell r="O10941">
            <v>3.681</v>
          </cell>
        </row>
        <row r="10942">
          <cell r="E10942" t="str">
            <v>MUS</v>
          </cell>
          <cell r="F10942" t="str">
            <v xml:space="preserve">MUS-F </v>
          </cell>
          <cell r="G10942">
            <v>340</v>
          </cell>
          <cell r="H10942" t="str">
            <v>MUS-F 340</v>
          </cell>
          <cell r="K10942" t="str">
            <v>Bogard,Emily</v>
          </cell>
          <cell r="N10942">
            <v>3.8570000000000002</v>
          </cell>
          <cell r="O10942">
            <v>3.649</v>
          </cell>
        </row>
        <row r="10943">
          <cell r="E10943" t="str">
            <v>MUS</v>
          </cell>
          <cell r="F10943" t="str">
            <v xml:space="preserve">MUS-F </v>
          </cell>
          <cell r="G10943">
            <v>400</v>
          </cell>
          <cell r="H10943" t="str">
            <v>MUS-F 400</v>
          </cell>
          <cell r="K10943" t="str">
            <v>Potter,Gary Morton</v>
          </cell>
          <cell r="N10943" t="str">
            <v>NR</v>
          </cell>
          <cell r="O10943" t="str">
            <v>NR</v>
          </cell>
        </row>
        <row r="10944">
          <cell r="E10944" t="str">
            <v>MUS</v>
          </cell>
          <cell r="F10944" t="str">
            <v xml:space="preserve">MUS-F </v>
          </cell>
          <cell r="G10944">
            <v>413</v>
          </cell>
          <cell r="H10944" t="str">
            <v>MUS-F 413</v>
          </cell>
          <cell r="K10944" t="str">
            <v>Madura,Patrice</v>
          </cell>
          <cell r="N10944">
            <v>3.8809999999999998</v>
          </cell>
          <cell r="O10944">
            <v>3.7469999999999999</v>
          </cell>
        </row>
        <row r="10945">
          <cell r="E10945" t="str">
            <v>MUS</v>
          </cell>
          <cell r="F10945" t="str">
            <v xml:space="preserve">MUS-F </v>
          </cell>
          <cell r="G10945">
            <v>414</v>
          </cell>
          <cell r="H10945" t="str">
            <v>MUS-F 414</v>
          </cell>
          <cell r="K10945" t="str">
            <v>Huffman,Carol C</v>
          </cell>
          <cell r="N10945">
            <v>3.95</v>
          </cell>
          <cell r="O10945">
            <v>3.899</v>
          </cell>
        </row>
        <row r="10946">
          <cell r="E10946" t="str">
            <v>MUS</v>
          </cell>
          <cell r="F10946" t="str">
            <v xml:space="preserve">MUS-F </v>
          </cell>
          <cell r="G10946">
            <v>415</v>
          </cell>
          <cell r="H10946" t="str">
            <v>MUS-F 415</v>
          </cell>
          <cell r="K10946" t="str">
            <v>Gault,Brent Michael</v>
          </cell>
          <cell r="N10946">
            <v>3.9249999999999998</v>
          </cell>
          <cell r="O10946">
            <v>3.8250000000000002</v>
          </cell>
        </row>
        <row r="10947">
          <cell r="E10947" t="str">
            <v>MUS</v>
          </cell>
          <cell r="F10947" t="str">
            <v xml:space="preserve">MUS-F </v>
          </cell>
          <cell r="G10947">
            <v>419</v>
          </cell>
          <cell r="H10947" t="str">
            <v>MUS-F 419</v>
          </cell>
          <cell r="K10947" t="str">
            <v>Bransby,Bruce</v>
          </cell>
          <cell r="N10947">
            <v>4</v>
          </cell>
          <cell r="O10947">
            <v>3.5710000000000002</v>
          </cell>
        </row>
        <row r="10948">
          <cell r="E10948" t="str">
            <v>MUS</v>
          </cell>
          <cell r="F10948" t="str">
            <v xml:space="preserve">MUS-F </v>
          </cell>
          <cell r="G10948">
            <v>419</v>
          </cell>
          <cell r="H10948" t="str">
            <v>MUS-F 419</v>
          </cell>
          <cell r="K10948" t="str">
            <v>Brown,Craig Murray</v>
          </cell>
          <cell r="N10948">
            <v>3.95</v>
          </cell>
          <cell r="O10948">
            <v>3.4809999999999999</v>
          </cell>
        </row>
        <row r="10949">
          <cell r="E10949" t="str">
            <v>MUS</v>
          </cell>
          <cell r="F10949" t="str">
            <v xml:space="preserve">MUS-F </v>
          </cell>
          <cell r="G10949">
            <v>419</v>
          </cell>
          <cell r="H10949" t="str">
            <v>MUS-F 419</v>
          </cell>
          <cell r="K10949" t="str">
            <v>Cord,Edmund</v>
          </cell>
          <cell r="N10949" t="str">
            <v>NR</v>
          </cell>
          <cell r="O10949" t="str">
            <v>NR</v>
          </cell>
        </row>
        <row r="10950">
          <cell r="E10950" t="str">
            <v>MUS</v>
          </cell>
          <cell r="F10950" t="str">
            <v xml:space="preserve">MUS-F </v>
          </cell>
          <cell r="G10950">
            <v>419</v>
          </cell>
          <cell r="H10950" t="str">
            <v>MUS-F 419</v>
          </cell>
          <cell r="K10950" t="str">
            <v>Cord,Edmund</v>
          </cell>
          <cell r="N10950" t="str">
            <v>NR</v>
          </cell>
          <cell r="O10950" t="str">
            <v>NR</v>
          </cell>
        </row>
        <row r="10951">
          <cell r="E10951" t="str">
            <v>MUS</v>
          </cell>
          <cell r="F10951" t="str">
            <v xml:space="preserve">MUS-F </v>
          </cell>
          <cell r="G10951">
            <v>419</v>
          </cell>
          <cell r="H10951" t="str">
            <v>MUS-F 419</v>
          </cell>
          <cell r="K10951" t="str">
            <v>Eban,Eli</v>
          </cell>
          <cell r="N10951" t="str">
            <v>NR</v>
          </cell>
          <cell r="O10951" t="str">
            <v>NR</v>
          </cell>
        </row>
        <row r="10952">
          <cell r="E10952" t="str">
            <v>MUS</v>
          </cell>
          <cell r="F10952" t="str">
            <v xml:space="preserve">MUS-F </v>
          </cell>
          <cell r="G10952">
            <v>419</v>
          </cell>
          <cell r="H10952" t="str">
            <v>MUS-F 419</v>
          </cell>
          <cell r="K10952" t="str">
            <v>Eban,Eli</v>
          </cell>
          <cell r="N10952" t="str">
            <v>NR</v>
          </cell>
          <cell r="O10952" t="str">
            <v>NR</v>
          </cell>
        </row>
        <row r="10953">
          <cell r="E10953" t="str">
            <v>MUS</v>
          </cell>
          <cell r="F10953" t="str">
            <v xml:space="preserve">MUS-F </v>
          </cell>
          <cell r="G10953">
            <v>419</v>
          </cell>
          <cell r="H10953" t="str">
            <v>MUS-F 419</v>
          </cell>
          <cell r="K10953" t="str">
            <v>Ellefson,Peter E.</v>
          </cell>
          <cell r="N10953" t="str">
            <v>NR</v>
          </cell>
          <cell r="O10953" t="str">
            <v>NR</v>
          </cell>
        </row>
        <row r="10954">
          <cell r="E10954" t="str">
            <v>MUS</v>
          </cell>
          <cell r="F10954" t="str">
            <v xml:space="preserve">MUS-F </v>
          </cell>
          <cell r="G10954">
            <v>419</v>
          </cell>
          <cell r="H10954" t="str">
            <v>MUS-F 419</v>
          </cell>
          <cell r="K10954" t="str">
            <v>Ellefson,Peter E.</v>
          </cell>
          <cell r="N10954" t="str">
            <v>NR</v>
          </cell>
          <cell r="O10954" t="str">
            <v>NR</v>
          </cell>
        </row>
        <row r="10955">
          <cell r="E10955" t="str">
            <v>MUS</v>
          </cell>
          <cell r="F10955" t="str">
            <v xml:space="preserve">MUS-F </v>
          </cell>
          <cell r="G10955">
            <v>419</v>
          </cell>
          <cell r="H10955" t="str">
            <v>MUS-F 419</v>
          </cell>
          <cell r="K10955" t="str">
            <v>Fleezanis,Jorja</v>
          </cell>
          <cell r="N10955" t="str">
            <v>NR</v>
          </cell>
          <cell r="O10955" t="str">
            <v>NR</v>
          </cell>
        </row>
        <row r="10956">
          <cell r="E10956" t="str">
            <v>MUS</v>
          </cell>
          <cell r="F10956" t="str">
            <v xml:space="preserve">MUS-F </v>
          </cell>
          <cell r="G10956">
            <v>419</v>
          </cell>
          <cell r="H10956" t="str">
            <v>MUS-F 419</v>
          </cell>
          <cell r="K10956" t="str">
            <v>Fleezanis,Jorja</v>
          </cell>
          <cell r="N10956" t="str">
            <v>NR</v>
          </cell>
          <cell r="O10956" t="str">
            <v>NR</v>
          </cell>
        </row>
        <row r="10957">
          <cell r="E10957" t="str">
            <v>MUS</v>
          </cell>
          <cell r="F10957" t="str">
            <v xml:space="preserve">MUS-F </v>
          </cell>
          <cell r="G10957">
            <v>419</v>
          </cell>
          <cell r="H10957" t="str">
            <v>MUS-F 419</v>
          </cell>
          <cell r="K10957" t="str">
            <v>Kerr,Alexander</v>
          </cell>
          <cell r="N10957" t="str">
            <v>NR</v>
          </cell>
          <cell r="O10957" t="str">
            <v>NR</v>
          </cell>
        </row>
        <row r="10958">
          <cell r="E10958" t="str">
            <v>MUS</v>
          </cell>
          <cell r="F10958" t="str">
            <v xml:space="preserve">MUS-F </v>
          </cell>
          <cell r="G10958">
            <v>419</v>
          </cell>
          <cell r="H10958" t="str">
            <v>MUS-F 419</v>
          </cell>
          <cell r="K10958" t="str">
            <v>Kerr,Alexander</v>
          </cell>
          <cell r="N10958">
            <v>3.8</v>
          </cell>
          <cell r="O10958">
            <v>3.6440000000000001</v>
          </cell>
        </row>
        <row r="10959">
          <cell r="E10959" t="str">
            <v>MUS</v>
          </cell>
          <cell r="F10959" t="str">
            <v xml:space="preserve">MUS-F </v>
          </cell>
          <cell r="G10959">
            <v>419</v>
          </cell>
          <cell r="H10959" t="str">
            <v>MUS-F 419</v>
          </cell>
          <cell r="K10959" t="str">
            <v>Kim,Eric</v>
          </cell>
          <cell r="N10959" t="str">
            <v>NR</v>
          </cell>
          <cell r="O10959" t="str">
            <v>NR</v>
          </cell>
        </row>
        <row r="10960">
          <cell r="E10960" t="str">
            <v>MUS</v>
          </cell>
          <cell r="F10960" t="str">
            <v xml:space="preserve">MUS-F </v>
          </cell>
          <cell r="G10960">
            <v>419</v>
          </cell>
          <cell r="H10960" t="str">
            <v>MUS-F 419</v>
          </cell>
          <cell r="K10960" t="str">
            <v>Kim,Eric</v>
          </cell>
          <cell r="N10960">
            <v>3.7879999999999998</v>
          </cell>
          <cell r="O10960">
            <v>3.74</v>
          </cell>
        </row>
        <row r="10961">
          <cell r="E10961" t="str">
            <v>MUS</v>
          </cell>
          <cell r="F10961" t="str">
            <v xml:space="preserve">MUS-F </v>
          </cell>
          <cell r="G10961">
            <v>419</v>
          </cell>
          <cell r="H10961" t="str">
            <v>MUS-F 419</v>
          </cell>
          <cell r="K10961" t="str">
            <v>Lenthe,Carl</v>
          </cell>
          <cell r="N10961" t="str">
            <v>NR</v>
          </cell>
          <cell r="O10961" t="str">
            <v>NR</v>
          </cell>
        </row>
        <row r="10962">
          <cell r="E10962" t="str">
            <v>MUS</v>
          </cell>
          <cell r="F10962" t="str">
            <v xml:space="preserve">MUS-F </v>
          </cell>
          <cell r="G10962">
            <v>419</v>
          </cell>
          <cell r="H10962" t="str">
            <v>MUS-F 419</v>
          </cell>
          <cell r="K10962" t="str">
            <v>Lenthe,Carl</v>
          </cell>
          <cell r="N10962" t="str">
            <v>NR</v>
          </cell>
          <cell r="O10962" t="str">
            <v>NR</v>
          </cell>
        </row>
        <row r="10963">
          <cell r="E10963" t="str">
            <v>MUS</v>
          </cell>
          <cell r="F10963" t="str">
            <v xml:space="preserve">MUS-F </v>
          </cell>
          <cell r="G10963">
            <v>419</v>
          </cell>
          <cell r="H10963" t="str">
            <v>MUS-F 419</v>
          </cell>
          <cell r="K10963" t="str">
            <v>Ludwig,William Ernest</v>
          </cell>
          <cell r="N10963" t="str">
            <v>NR</v>
          </cell>
          <cell r="O10963" t="str">
            <v>NR</v>
          </cell>
        </row>
        <row r="10964">
          <cell r="E10964" t="str">
            <v>MUS</v>
          </cell>
          <cell r="F10964" t="str">
            <v xml:space="preserve">MUS-F </v>
          </cell>
          <cell r="G10964">
            <v>419</v>
          </cell>
          <cell r="H10964" t="str">
            <v>MUS-F 419</v>
          </cell>
          <cell r="K10964" t="str">
            <v>Lukas,Kathryn</v>
          </cell>
          <cell r="N10964" t="str">
            <v>NR</v>
          </cell>
          <cell r="O10964" t="str">
            <v>NR</v>
          </cell>
        </row>
        <row r="10965">
          <cell r="E10965" t="str">
            <v>MUS</v>
          </cell>
          <cell r="F10965" t="str">
            <v xml:space="preserve">MUS-F </v>
          </cell>
          <cell r="G10965">
            <v>419</v>
          </cell>
          <cell r="H10965" t="str">
            <v>MUS-F 419</v>
          </cell>
          <cell r="K10965" t="str">
            <v>Robertello,Thomas Joseph</v>
          </cell>
          <cell r="N10965" t="str">
            <v>NR</v>
          </cell>
          <cell r="O10965" t="str">
            <v>NR</v>
          </cell>
        </row>
        <row r="10966">
          <cell r="E10966" t="str">
            <v>MUS</v>
          </cell>
          <cell r="F10966" t="str">
            <v xml:space="preserve">MUS-F </v>
          </cell>
          <cell r="G10966">
            <v>419</v>
          </cell>
          <cell r="H10966" t="str">
            <v>MUS-F 419</v>
          </cell>
          <cell r="K10966" t="str">
            <v>Wyrczynski,Stephen Paul</v>
          </cell>
          <cell r="N10966">
            <v>3.8109999999999999</v>
          </cell>
          <cell r="O10966">
            <v>3.548</v>
          </cell>
        </row>
        <row r="10967">
          <cell r="E10967" t="str">
            <v>MUS</v>
          </cell>
          <cell r="F10967" t="str">
            <v xml:space="preserve">MUS-F </v>
          </cell>
          <cell r="G10967">
            <v>419</v>
          </cell>
          <cell r="H10967" t="str">
            <v>MUS-F 419</v>
          </cell>
          <cell r="K10967" t="str">
            <v>Wyrczynski,Stephen Paul</v>
          </cell>
          <cell r="N10967">
            <v>3.74</v>
          </cell>
          <cell r="O10967">
            <v>3.6859999999999999</v>
          </cell>
        </row>
        <row r="10968">
          <cell r="E10968" t="str">
            <v>MUS</v>
          </cell>
          <cell r="F10968" t="str">
            <v xml:space="preserve">MUS-F </v>
          </cell>
          <cell r="G10968">
            <v>420</v>
          </cell>
          <cell r="H10968" t="str">
            <v>MUS-F 420</v>
          </cell>
          <cell r="K10968" t="str">
            <v>Chen,Chih-Yi</v>
          </cell>
          <cell r="N10968" t="str">
            <v>NR</v>
          </cell>
          <cell r="O10968" t="str">
            <v>NR</v>
          </cell>
        </row>
        <row r="10969">
          <cell r="E10969" t="str">
            <v>MUS</v>
          </cell>
          <cell r="F10969" t="str">
            <v xml:space="preserve">MUS-F </v>
          </cell>
          <cell r="G10969">
            <v>420</v>
          </cell>
          <cell r="H10969" t="str">
            <v>MUS-F 420</v>
          </cell>
          <cell r="K10969" t="str">
            <v>Chen,Chih-Yi</v>
          </cell>
          <cell r="N10969" t="str">
            <v>NR</v>
          </cell>
          <cell r="O10969" t="str">
            <v>NR</v>
          </cell>
        </row>
        <row r="10970">
          <cell r="E10970" t="str">
            <v>MUS</v>
          </cell>
          <cell r="F10970" t="str">
            <v xml:space="preserve">MUS-F </v>
          </cell>
          <cell r="G10970">
            <v>420</v>
          </cell>
          <cell r="H10970" t="str">
            <v>MUS-F 420</v>
          </cell>
          <cell r="K10970" t="str">
            <v>Hurst,Lawrence P.</v>
          </cell>
          <cell r="N10970" t="str">
            <v>NR</v>
          </cell>
          <cell r="O10970" t="str">
            <v>NR</v>
          </cell>
        </row>
        <row r="10971">
          <cell r="E10971" t="str">
            <v>MUS</v>
          </cell>
          <cell r="F10971" t="str">
            <v xml:space="preserve">MUS-F </v>
          </cell>
          <cell r="G10971">
            <v>420</v>
          </cell>
          <cell r="H10971" t="str">
            <v>MUS-F 420</v>
          </cell>
          <cell r="K10971" t="str">
            <v>Park,Angela</v>
          </cell>
          <cell r="N10971" t="str">
            <v>NR</v>
          </cell>
          <cell r="O10971" t="str">
            <v>NR</v>
          </cell>
        </row>
        <row r="10972">
          <cell r="E10972" t="str">
            <v>MUS</v>
          </cell>
          <cell r="F10972" t="str">
            <v xml:space="preserve">MUS-F </v>
          </cell>
          <cell r="G10972">
            <v>420</v>
          </cell>
          <cell r="H10972" t="str">
            <v>MUS-F 420</v>
          </cell>
          <cell r="K10972" t="str">
            <v>Park,Angela</v>
          </cell>
          <cell r="N10972" t="str">
            <v>NR</v>
          </cell>
          <cell r="O10972" t="str">
            <v>NR</v>
          </cell>
        </row>
        <row r="10973">
          <cell r="E10973" t="str">
            <v>MUS</v>
          </cell>
          <cell r="F10973" t="str">
            <v xml:space="preserve">MUS-F </v>
          </cell>
          <cell r="G10973">
            <v>420</v>
          </cell>
          <cell r="H10973" t="str">
            <v>MUS-F 420</v>
          </cell>
          <cell r="K10973" t="str">
            <v>Phillips,Lee</v>
          </cell>
          <cell r="N10973" t="str">
            <v>NR</v>
          </cell>
          <cell r="O10973" t="str">
            <v>NR</v>
          </cell>
        </row>
        <row r="10974">
          <cell r="E10974" t="str">
            <v>MUS</v>
          </cell>
          <cell r="F10974" t="str">
            <v xml:space="preserve">MUS-F </v>
          </cell>
          <cell r="G10974">
            <v>420</v>
          </cell>
          <cell r="H10974" t="str">
            <v>MUS-F 420</v>
          </cell>
          <cell r="K10974" t="str">
            <v>Phillips,Lee</v>
          </cell>
          <cell r="N10974">
            <v>4</v>
          </cell>
          <cell r="O10974">
            <v>3.7549999999999999</v>
          </cell>
        </row>
        <row r="10975">
          <cell r="E10975" t="str">
            <v>MUS</v>
          </cell>
          <cell r="F10975" t="str">
            <v xml:space="preserve">MUS-F </v>
          </cell>
          <cell r="G10975">
            <v>420</v>
          </cell>
          <cell r="H10975" t="str">
            <v>MUS-F 420</v>
          </cell>
          <cell r="K10975" t="str">
            <v>Robertello,Thomas Joseph</v>
          </cell>
          <cell r="N10975" t="str">
            <v>NR</v>
          </cell>
          <cell r="O10975" t="str">
            <v>NR</v>
          </cell>
        </row>
        <row r="10976">
          <cell r="E10976" t="str">
            <v>MUS</v>
          </cell>
          <cell r="F10976" t="str">
            <v xml:space="preserve">MUS-F </v>
          </cell>
          <cell r="G10976">
            <v>420</v>
          </cell>
          <cell r="H10976" t="str">
            <v>MUS-F 420</v>
          </cell>
          <cell r="K10976" t="str">
            <v>Wang,Liang-Yu</v>
          </cell>
          <cell r="N10976" t="str">
            <v>NR</v>
          </cell>
          <cell r="O10976" t="str">
            <v>NR</v>
          </cell>
        </row>
        <row r="10977">
          <cell r="E10977" t="str">
            <v>MUS</v>
          </cell>
          <cell r="F10977" t="str">
            <v xml:space="preserve">MUS-F </v>
          </cell>
          <cell r="G10977">
            <v>445</v>
          </cell>
          <cell r="H10977" t="str">
            <v>MUS-F 445</v>
          </cell>
          <cell r="K10977" t="str">
            <v>Cord,Edmund</v>
          </cell>
          <cell r="N10977">
            <v>3.9729999999999999</v>
          </cell>
          <cell r="O10977">
            <v>3.5419999999999998</v>
          </cell>
        </row>
        <row r="10978">
          <cell r="E10978" t="str">
            <v>MUS</v>
          </cell>
          <cell r="F10978" t="str">
            <v xml:space="preserve">MUS-F </v>
          </cell>
          <cell r="G10978">
            <v>445</v>
          </cell>
          <cell r="H10978" t="str">
            <v>MUS-F 445</v>
          </cell>
          <cell r="K10978" t="str">
            <v>Cord,Edmund</v>
          </cell>
          <cell r="N10978">
            <v>3.6709999999999998</v>
          </cell>
          <cell r="O10978">
            <v>3.4990000000000001</v>
          </cell>
        </row>
        <row r="10979">
          <cell r="E10979" t="str">
            <v>MUS</v>
          </cell>
          <cell r="F10979" t="str">
            <v xml:space="preserve">MUS-F </v>
          </cell>
          <cell r="G10979">
            <v>445</v>
          </cell>
          <cell r="H10979" t="str">
            <v>MUS-F 445</v>
          </cell>
          <cell r="K10979" t="str">
            <v>Lenthe,Carl</v>
          </cell>
          <cell r="N10979" t="str">
            <v>NR</v>
          </cell>
          <cell r="O10979" t="str">
            <v>NR</v>
          </cell>
        </row>
        <row r="10980">
          <cell r="E10980" t="str">
            <v>MUS</v>
          </cell>
          <cell r="F10980" t="str">
            <v xml:space="preserve">MUS-F </v>
          </cell>
          <cell r="G10980">
            <v>445</v>
          </cell>
          <cell r="H10980" t="str">
            <v>MUS-F 445</v>
          </cell>
          <cell r="K10980" t="str">
            <v>Lenthe,Carl</v>
          </cell>
          <cell r="N10980" t="str">
            <v>NR</v>
          </cell>
          <cell r="O10980" t="str">
            <v>NR</v>
          </cell>
        </row>
        <row r="10981">
          <cell r="E10981" t="str">
            <v>MUS</v>
          </cell>
          <cell r="F10981" t="str">
            <v xml:space="preserve">MUS-F </v>
          </cell>
          <cell r="G10981">
            <v>446</v>
          </cell>
          <cell r="H10981" t="str">
            <v>MUS-F 446</v>
          </cell>
          <cell r="K10981" t="str">
            <v>Klug,Howard</v>
          </cell>
          <cell r="N10981" t="str">
            <v>NR</v>
          </cell>
          <cell r="O10981" t="str">
            <v>NR</v>
          </cell>
        </row>
        <row r="10982">
          <cell r="E10982" t="str">
            <v>MUS</v>
          </cell>
          <cell r="F10982" t="str">
            <v xml:space="preserve">MUS-F </v>
          </cell>
          <cell r="G10982">
            <v>446</v>
          </cell>
          <cell r="H10982" t="str">
            <v>MUS-F 446</v>
          </cell>
          <cell r="K10982" t="str">
            <v>Klug,Howard</v>
          </cell>
          <cell r="N10982">
            <v>4</v>
          </cell>
          <cell r="O10982">
            <v>3.5830000000000002</v>
          </cell>
        </row>
        <row r="10983">
          <cell r="E10983" t="str">
            <v>MUS</v>
          </cell>
          <cell r="F10983" t="str">
            <v xml:space="preserve">MUS-F </v>
          </cell>
          <cell r="G10983">
            <v>447</v>
          </cell>
          <cell r="H10983" t="str">
            <v>MUS-F 447</v>
          </cell>
          <cell r="K10983" t="str">
            <v>Coletti,Michael</v>
          </cell>
          <cell r="N10983">
            <v>4</v>
          </cell>
          <cell r="O10983">
            <v>3.68</v>
          </cell>
        </row>
        <row r="10984">
          <cell r="E10984" t="str">
            <v>MUS</v>
          </cell>
          <cell r="F10984" t="str">
            <v xml:space="preserve">MUS-F </v>
          </cell>
          <cell r="G10984">
            <v>447</v>
          </cell>
          <cell r="H10984" t="str">
            <v>MUS-F 447</v>
          </cell>
          <cell r="K10984" t="str">
            <v>Spiro,Michael Elliot</v>
          </cell>
          <cell r="N10984">
            <v>4</v>
          </cell>
          <cell r="O10984">
            <v>3.6560000000000001</v>
          </cell>
        </row>
        <row r="10985">
          <cell r="E10985" t="str">
            <v>MUS</v>
          </cell>
          <cell r="F10985" t="str">
            <v xml:space="preserve">MUS-F </v>
          </cell>
          <cell r="G10985">
            <v>447</v>
          </cell>
          <cell r="H10985" t="str">
            <v>MUS-F 447</v>
          </cell>
          <cell r="K10985" t="str">
            <v>Spiro,Michael Elliot</v>
          </cell>
          <cell r="N10985" t="str">
            <v>NR</v>
          </cell>
          <cell r="O10985" t="str">
            <v>NR</v>
          </cell>
        </row>
        <row r="10986">
          <cell r="E10986" t="str">
            <v>MUS</v>
          </cell>
          <cell r="F10986" t="str">
            <v xml:space="preserve">MUS-F </v>
          </cell>
          <cell r="G10986">
            <v>447</v>
          </cell>
          <cell r="H10986" t="str">
            <v>MUS-F 447</v>
          </cell>
          <cell r="K10986" t="str">
            <v>Tafoya,John Joseph</v>
          </cell>
          <cell r="N10986">
            <v>4</v>
          </cell>
          <cell r="O10986">
            <v>3.7410000000000001</v>
          </cell>
        </row>
        <row r="10987">
          <cell r="E10987" t="str">
            <v>MUS</v>
          </cell>
          <cell r="F10987" t="str">
            <v xml:space="preserve">MUS-F </v>
          </cell>
          <cell r="G10987">
            <v>447</v>
          </cell>
          <cell r="H10987" t="str">
            <v>MUS-F 447</v>
          </cell>
          <cell r="K10987" t="str">
            <v>Tafoya,John Joseph</v>
          </cell>
          <cell r="N10987">
            <v>4</v>
          </cell>
          <cell r="O10987">
            <v>3.7120000000000002</v>
          </cell>
        </row>
        <row r="10988">
          <cell r="E10988" t="str">
            <v>MUS</v>
          </cell>
          <cell r="F10988" t="str">
            <v xml:space="preserve">MUS-F </v>
          </cell>
          <cell r="G10988">
            <v>449</v>
          </cell>
          <cell r="H10988" t="str">
            <v>MUS-F 449</v>
          </cell>
          <cell r="K10988" t="str">
            <v>Szmyt,Elzbieta Monika</v>
          </cell>
          <cell r="N10988">
            <v>3.9569999999999999</v>
          </cell>
          <cell r="O10988">
            <v>3.6429999999999998</v>
          </cell>
        </row>
        <row r="10989">
          <cell r="E10989" t="str">
            <v>MUS</v>
          </cell>
          <cell r="F10989" t="str">
            <v xml:space="preserve">MUS-F </v>
          </cell>
          <cell r="G10989">
            <v>449</v>
          </cell>
          <cell r="H10989" t="str">
            <v>MUS-F 449</v>
          </cell>
          <cell r="K10989" t="str">
            <v>Szmyt,Elzbieta Monika</v>
          </cell>
          <cell r="N10989" t="str">
            <v>NR</v>
          </cell>
          <cell r="O10989" t="str">
            <v>NR</v>
          </cell>
        </row>
        <row r="10990">
          <cell r="E10990" t="str">
            <v>MUS</v>
          </cell>
          <cell r="F10990" t="str">
            <v xml:space="preserve">MUS-F </v>
          </cell>
          <cell r="G10990">
            <v>450</v>
          </cell>
          <cell r="H10990" t="str">
            <v>MUS-F 450</v>
          </cell>
          <cell r="K10990" t="str">
            <v>Bae,Ik-Hwan</v>
          </cell>
          <cell r="N10990">
            <v>4</v>
          </cell>
          <cell r="O10990">
            <v>3.5419999999999998</v>
          </cell>
        </row>
        <row r="10991">
          <cell r="E10991" t="str">
            <v>MUS</v>
          </cell>
          <cell r="F10991" t="str">
            <v xml:space="preserve">MUS-F </v>
          </cell>
          <cell r="G10991">
            <v>450</v>
          </cell>
          <cell r="H10991" t="str">
            <v>MUS-F 450</v>
          </cell>
          <cell r="K10991" t="str">
            <v>Bae,Ik-Hwan</v>
          </cell>
          <cell r="N10991" t="str">
            <v>NR</v>
          </cell>
          <cell r="O10991" t="str">
            <v>NR</v>
          </cell>
        </row>
        <row r="10992">
          <cell r="E10992" t="str">
            <v>MUS</v>
          </cell>
          <cell r="F10992" t="str">
            <v xml:space="preserve">MUS-F </v>
          </cell>
          <cell r="G10992">
            <v>450</v>
          </cell>
          <cell r="H10992" t="str">
            <v>MUS-F 450</v>
          </cell>
          <cell r="K10992" t="str">
            <v>Im,Sung-Mi</v>
          </cell>
          <cell r="N10992" t="str">
            <v>NR</v>
          </cell>
          <cell r="O10992" t="str">
            <v>NR</v>
          </cell>
        </row>
        <row r="10993">
          <cell r="E10993" t="str">
            <v>MUS</v>
          </cell>
          <cell r="F10993" t="str">
            <v xml:space="preserve">MUS-F </v>
          </cell>
          <cell r="G10993">
            <v>450</v>
          </cell>
          <cell r="H10993" t="str">
            <v>MUS-F 450</v>
          </cell>
          <cell r="K10993" t="str">
            <v>Latshaw,Charles William</v>
          </cell>
          <cell r="N10993">
            <v>4</v>
          </cell>
          <cell r="O10993">
            <v>3.617</v>
          </cell>
        </row>
        <row r="10994">
          <cell r="E10994" t="str">
            <v>MUS</v>
          </cell>
          <cell r="F10994" t="str">
            <v xml:space="preserve">MUS-F </v>
          </cell>
          <cell r="G10994">
            <v>450</v>
          </cell>
          <cell r="H10994" t="str">
            <v>MUS-F 450</v>
          </cell>
          <cell r="K10994" t="str">
            <v>Latshaw,Charles William</v>
          </cell>
          <cell r="N10994">
            <v>4</v>
          </cell>
          <cell r="O10994">
            <v>3.746</v>
          </cell>
        </row>
        <row r="10995">
          <cell r="E10995" t="str">
            <v>MUS</v>
          </cell>
          <cell r="F10995" t="str">
            <v xml:space="preserve">MUS-F </v>
          </cell>
          <cell r="G10995">
            <v>450</v>
          </cell>
          <cell r="H10995" t="str">
            <v>MUS-F 450</v>
          </cell>
          <cell r="K10995" t="str">
            <v>Latshaw,Charles William</v>
          </cell>
          <cell r="N10995">
            <v>3.944</v>
          </cell>
          <cell r="O10995">
            <v>3.6339999999999999</v>
          </cell>
        </row>
        <row r="10996">
          <cell r="E10996" t="str">
            <v>MUS</v>
          </cell>
          <cell r="F10996" t="str">
            <v xml:space="preserve">MUS-F </v>
          </cell>
          <cell r="G10996">
            <v>450</v>
          </cell>
          <cell r="H10996" t="str">
            <v>MUS-F 450</v>
          </cell>
          <cell r="K10996" t="str">
            <v>Latshaw,Charles William</v>
          </cell>
          <cell r="N10996">
            <v>3.9769999999999999</v>
          </cell>
          <cell r="O10996">
            <v>3.6360000000000001</v>
          </cell>
        </row>
        <row r="10997">
          <cell r="E10997" t="str">
            <v>MUS</v>
          </cell>
          <cell r="F10997" t="str">
            <v xml:space="preserve">MUS-F </v>
          </cell>
          <cell r="G10997">
            <v>450</v>
          </cell>
          <cell r="H10997" t="str">
            <v>MUS-F 450</v>
          </cell>
          <cell r="K10997" t="str">
            <v>Latshaw,Charles William</v>
          </cell>
          <cell r="N10997" t="str">
            <v>NR</v>
          </cell>
          <cell r="O10997" t="str">
            <v>NR</v>
          </cell>
        </row>
        <row r="10998">
          <cell r="E10998" t="str">
            <v>MUS</v>
          </cell>
          <cell r="F10998" t="str">
            <v xml:space="preserve">MUS-F </v>
          </cell>
          <cell r="G10998">
            <v>450</v>
          </cell>
          <cell r="H10998" t="str">
            <v>MUS-F 450</v>
          </cell>
          <cell r="K10998" t="str">
            <v>Latshaw,Charles William</v>
          </cell>
          <cell r="N10998" t="str">
            <v>NR</v>
          </cell>
          <cell r="O10998" t="str">
            <v>NR</v>
          </cell>
        </row>
        <row r="10999">
          <cell r="E10999" t="str">
            <v>MUS</v>
          </cell>
          <cell r="F10999" t="str">
            <v xml:space="preserve">MUS-F </v>
          </cell>
          <cell r="G10999">
            <v>457</v>
          </cell>
          <cell r="H10999" t="str">
            <v>MUS-F 457</v>
          </cell>
          <cell r="K10999" t="str">
            <v>Potter,Gary Morton</v>
          </cell>
          <cell r="N10999" t="str">
            <v>NR</v>
          </cell>
          <cell r="O10999" t="str">
            <v>NR</v>
          </cell>
        </row>
        <row r="11000">
          <cell r="E11000" t="str">
            <v>MUS</v>
          </cell>
          <cell r="F11000" t="str">
            <v xml:space="preserve">MUS-F </v>
          </cell>
          <cell r="G11000">
            <v>457</v>
          </cell>
          <cell r="H11000" t="str">
            <v>MUS-F 457</v>
          </cell>
          <cell r="K11000" t="str">
            <v>Potter,Gary Morton</v>
          </cell>
          <cell r="N11000">
            <v>3.95</v>
          </cell>
          <cell r="O11000">
            <v>3.645</v>
          </cell>
        </row>
        <row r="11001">
          <cell r="E11001" t="str">
            <v>MUS</v>
          </cell>
          <cell r="F11001" t="str">
            <v xml:space="preserve">MUS-F </v>
          </cell>
          <cell r="G11001">
            <v>461</v>
          </cell>
          <cell r="H11001" t="str">
            <v>MUS-F 461</v>
          </cell>
          <cell r="K11001" t="str">
            <v>DiOrio,Dominick</v>
          </cell>
          <cell r="N11001" t="str">
            <v>NR</v>
          </cell>
          <cell r="O11001" t="str">
            <v>NR</v>
          </cell>
        </row>
        <row r="11002">
          <cell r="E11002" t="str">
            <v>MUS</v>
          </cell>
          <cell r="F11002" t="str">
            <v xml:space="preserve">MUS-F </v>
          </cell>
          <cell r="G11002">
            <v>462</v>
          </cell>
          <cell r="H11002" t="str">
            <v>MUS-F 462</v>
          </cell>
          <cell r="K11002" t="str">
            <v>Gray,William Jon</v>
          </cell>
          <cell r="N11002" t="str">
            <v>NR</v>
          </cell>
          <cell r="O11002" t="str">
            <v>NR</v>
          </cell>
        </row>
        <row r="11003">
          <cell r="E11003" t="str">
            <v>MUS</v>
          </cell>
          <cell r="F11003" t="str">
            <v xml:space="preserve">MUS-F </v>
          </cell>
          <cell r="G11003">
            <v>466</v>
          </cell>
          <cell r="H11003" t="str">
            <v>MUS-F 466</v>
          </cell>
          <cell r="K11003" t="str">
            <v>Woodley,Dave C.</v>
          </cell>
          <cell r="N11003">
            <v>4</v>
          </cell>
          <cell r="O11003">
            <v>3.6309999999999998</v>
          </cell>
        </row>
        <row r="11004">
          <cell r="E11004" t="str">
            <v>MUS</v>
          </cell>
          <cell r="F11004" t="str">
            <v xml:space="preserve">MUS-F </v>
          </cell>
          <cell r="G11004">
            <v>500</v>
          </cell>
          <cell r="H11004" t="str">
            <v>MUS-F 500</v>
          </cell>
          <cell r="K11004" t="str">
            <v>Chen,Chih-Yi</v>
          </cell>
          <cell r="N11004" t="str">
            <v>NR</v>
          </cell>
          <cell r="O11004" t="str">
            <v>NR</v>
          </cell>
        </row>
        <row r="11005">
          <cell r="E11005" t="str">
            <v>MUS</v>
          </cell>
          <cell r="F11005" t="str">
            <v xml:space="preserve">MUS-F </v>
          </cell>
          <cell r="G11005">
            <v>500</v>
          </cell>
          <cell r="H11005" t="str">
            <v>MUS-F 500</v>
          </cell>
          <cell r="K11005" t="str">
            <v>Chen,Chih-Yi</v>
          </cell>
          <cell r="N11005">
            <v>3.98</v>
          </cell>
          <cell r="O11005">
            <v>3.827</v>
          </cell>
        </row>
        <row r="11006">
          <cell r="E11006" t="str">
            <v>MUS</v>
          </cell>
          <cell r="F11006" t="str">
            <v xml:space="preserve">MUS-F </v>
          </cell>
          <cell r="G11006">
            <v>501</v>
          </cell>
          <cell r="H11006" t="str">
            <v>MUS-F 501</v>
          </cell>
          <cell r="K11006" t="str">
            <v>Wright,Elisabeth B</v>
          </cell>
          <cell r="N11006">
            <v>3.714</v>
          </cell>
          <cell r="O11006">
            <v>3.8639999999999999</v>
          </cell>
        </row>
        <row r="11007">
          <cell r="E11007" t="str">
            <v>MUS</v>
          </cell>
          <cell r="F11007" t="str">
            <v xml:space="preserve">MUS-F </v>
          </cell>
          <cell r="G11007">
            <v>519</v>
          </cell>
          <cell r="H11007" t="str">
            <v>MUS-F 519</v>
          </cell>
          <cell r="K11007" t="str">
            <v>Bloom,Myron</v>
          </cell>
          <cell r="N11007" t="str">
            <v>NR</v>
          </cell>
          <cell r="O11007" t="str">
            <v>NR</v>
          </cell>
        </row>
        <row r="11008">
          <cell r="E11008" t="str">
            <v>MUS</v>
          </cell>
          <cell r="F11008" t="str">
            <v xml:space="preserve">MUS-F </v>
          </cell>
          <cell r="G11008">
            <v>519</v>
          </cell>
          <cell r="H11008" t="str">
            <v>MUS-F 519</v>
          </cell>
          <cell r="K11008" t="str">
            <v>Bransby,Bruce</v>
          </cell>
          <cell r="N11008">
            <v>3.9569999999999999</v>
          </cell>
          <cell r="O11008">
            <v>3.9319999999999999</v>
          </cell>
        </row>
        <row r="11009">
          <cell r="E11009" t="str">
            <v>MUS</v>
          </cell>
          <cell r="F11009" t="str">
            <v xml:space="preserve">MUS-F </v>
          </cell>
          <cell r="G11009">
            <v>519</v>
          </cell>
          <cell r="H11009" t="str">
            <v>MUS-F 519</v>
          </cell>
          <cell r="K11009" t="str">
            <v>Brown,Craig Murray</v>
          </cell>
          <cell r="N11009" t="str">
            <v>NR</v>
          </cell>
          <cell r="O11009" t="str">
            <v>NR</v>
          </cell>
        </row>
        <row r="11010">
          <cell r="E11010" t="str">
            <v>MUS</v>
          </cell>
          <cell r="F11010" t="str">
            <v xml:space="preserve">MUS-F </v>
          </cell>
          <cell r="G11010">
            <v>519</v>
          </cell>
          <cell r="H11010" t="str">
            <v>MUS-F 519</v>
          </cell>
          <cell r="K11010" t="str">
            <v>Cord,Edmund</v>
          </cell>
          <cell r="N11010" t="str">
            <v>NR</v>
          </cell>
          <cell r="O11010" t="str">
            <v>NR</v>
          </cell>
        </row>
        <row r="11011">
          <cell r="E11011" t="str">
            <v>MUS</v>
          </cell>
          <cell r="F11011" t="str">
            <v xml:space="preserve">MUS-F </v>
          </cell>
          <cell r="G11011">
            <v>519</v>
          </cell>
          <cell r="H11011" t="str">
            <v>MUS-F 519</v>
          </cell>
          <cell r="K11011" t="str">
            <v>Cord,Edmund</v>
          </cell>
          <cell r="N11011" t="str">
            <v>NR</v>
          </cell>
          <cell r="O11011" t="str">
            <v>NR</v>
          </cell>
        </row>
        <row r="11012">
          <cell r="E11012" t="str">
            <v>MUS</v>
          </cell>
          <cell r="F11012" t="str">
            <v xml:space="preserve">MUS-F </v>
          </cell>
          <cell r="G11012">
            <v>519</v>
          </cell>
          <cell r="H11012" t="str">
            <v>MUS-F 519</v>
          </cell>
          <cell r="K11012" t="str">
            <v>Eban,Eli</v>
          </cell>
          <cell r="N11012">
            <v>3.867</v>
          </cell>
          <cell r="O11012">
            <v>3.8109999999999999</v>
          </cell>
        </row>
        <row r="11013">
          <cell r="E11013" t="str">
            <v>MUS</v>
          </cell>
          <cell r="F11013" t="str">
            <v xml:space="preserve">MUS-F </v>
          </cell>
          <cell r="G11013">
            <v>519</v>
          </cell>
          <cell r="H11013" t="str">
            <v>MUS-F 519</v>
          </cell>
          <cell r="K11013" t="str">
            <v>Eban,Eli</v>
          </cell>
          <cell r="N11013" t="str">
            <v>NR</v>
          </cell>
          <cell r="O11013" t="str">
            <v>NR</v>
          </cell>
        </row>
        <row r="11014">
          <cell r="E11014" t="str">
            <v>MUS</v>
          </cell>
          <cell r="F11014" t="str">
            <v xml:space="preserve">MUS-F </v>
          </cell>
          <cell r="G11014">
            <v>519</v>
          </cell>
          <cell r="H11014" t="str">
            <v>MUS-F 519</v>
          </cell>
          <cell r="K11014" t="str">
            <v>Ellefson,Peter E.</v>
          </cell>
          <cell r="N11014" t="str">
            <v>NR</v>
          </cell>
          <cell r="O11014" t="str">
            <v>NR</v>
          </cell>
        </row>
        <row r="11015">
          <cell r="E11015" t="str">
            <v>MUS</v>
          </cell>
          <cell r="F11015" t="str">
            <v xml:space="preserve">MUS-F </v>
          </cell>
          <cell r="G11015">
            <v>519</v>
          </cell>
          <cell r="H11015" t="str">
            <v>MUS-F 519</v>
          </cell>
          <cell r="K11015" t="str">
            <v>Fleezanis,Jorja</v>
          </cell>
          <cell r="N11015">
            <v>3.7170000000000001</v>
          </cell>
          <cell r="O11015">
            <v>3.94</v>
          </cell>
        </row>
        <row r="11016">
          <cell r="E11016" t="str">
            <v>MUS</v>
          </cell>
          <cell r="F11016" t="str">
            <v xml:space="preserve">MUS-F </v>
          </cell>
          <cell r="G11016">
            <v>519</v>
          </cell>
          <cell r="H11016" t="str">
            <v>MUS-F 519</v>
          </cell>
          <cell r="K11016" t="str">
            <v>Fleezanis,Jorja</v>
          </cell>
          <cell r="N11016" t="str">
            <v>NR</v>
          </cell>
          <cell r="O11016" t="str">
            <v>NR</v>
          </cell>
        </row>
        <row r="11017">
          <cell r="E11017" t="str">
            <v>MUS</v>
          </cell>
          <cell r="F11017" t="str">
            <v xml:space="preserve">MUS-F </v>
          </cell>
          <cell r="G11017">
            <v>519</v>
          </cell>
          <cell r="H11017" t="str">
            <v>MUS-F 519</v>
          </cell>
          <cell r="K11017" t="str">
            <v>Kerr,Alexander</v>
          </cell>
          <cell r="N11017">
            <v>3.97</v>
          </cell>
          <cell r="O11017">
            <v>3.8639999999999999</v>
          </cell>
        </row>
        <row r="11018">
          <cell r="E11018" t="str">
            <v>MUS</v>
          </cell>
          <cell r="F11018" t="str">
            <v xml:space="preserve">MUS-F </v>
          </cell>
          <cell r="G11018">
            <v>519</v>
          </cell>
          <cell r="H11018" t="str">
            <v>MUS-F 519</v>
          </cell>
          <cell r="K11018" t="str">
            <v>Kerr,Alexander</v>
          </cell>
          <cell r="N11018">
            <v>3.97</v>
          </cell>
          <cell r="O11018">
            <v>3.9540000000000002</v>
          </cell>
        </row>
        <row r="11019">
          <cell r="E11019" t="str">
            <v>MUS</v>
          </cell>
          <cell r="F11019" t="str">
            <v xml:space="preserve">MUS-F </v>
          </cell>
          <cell r="G11019">
            <v>519</v>
          </cell>
          <cell r="H11019" t="str">
            <v>MUS-F 519</v>
          </cell>
          <cell r="K11019" t="str">
            <v>Kim,Eric</v>
          </cell>
          <cell r="N11019" t="str">
            <v>NR</v>
          </cell>
          <cell r="O11019" t="str">
            <v>NR</v>
          </cell>
        </row>
        <row r="11020">
          <cell r="E11020" t="str">
            <v>MUS</v>
          </cell>
          <cell r="F11020" t="str">
            <v xml:space="preserve">MUS-F </v>
          </cell>
          <cell r="G11020">
            <v>519</v>
          </cell>
          <cell r="H11020" t="str">
            <v>MUS-F 519</v>
          </cell>
          <cell r="K11020" t="str">
            <v>Kim,Eric</v>
          </cell>
          <cell r="N11020" t="str">
            <v>NR</v>
          </cell>
          <cell r="O11020" t="str">
            <v>NR</v>
          </cell>
        </row>
        <row r="11021">
          <cell r="E11021" t="str">
            <v>MUS</v>
          </cell>
          <cell r="F11021" t="str">
            <v xml:space="preserve">MUS-F </v>
          </cell>
          <cell r="G11021">
            <v>519</v>
          </cell>
          <cell r="H11021" t="str">
            <v>MUS-F 519</v>
          </cell>
          <cell r="K11021" t="str">
            <v>Lenthe,Carl</v>
          </cell>
          <cell r="N11021" t="str">
            <v>NR</v>
          </cell>
          <cell r="O11021" t="str">
            <v>NR</v>
          </cell>
        </row>
        <row r="11022">
          <cell r="E11022" t="str">
            <v>MUS</v>
          </cell>
          <cell r="F11022" t="str">
            <v xml:space="preserve">MUS-F </v>
          </cell>
          <cell r="G11022">
            <v>519</v>
          </cell>
          <cell r="H11022" t="str">
            <v>MUS-F 519</v>
          </cell>
          <cell r="K11022" t="str">
            <v>Lenthe,Carl</v>
          </cell>
          <cell r="N11022" t="str">
            <v>NR</v>
          </cell>
          <cell r="O11022" t="str">
            <v>NR</v>
          </cell>
        </row>
        <row r="11023">
          <cell r="E11023" t="str">
            <v>MUS</v>
          </cell>
          <cell r="F11023" t="str">
            <v xml:space="preserve">MUS-F </v>
          </cell>
          <cell r="G11023">
            <v>519</v>
          </cell>
          <cell r="H11023" t="str">
            <v>MUS-F 519</v>
          </cell>
          <cell r="K11023" t="str">
            <v>Ludwig,William Ernest</v>
          </cell>
          <cell r="N11023">
            <v>4</v>
          </cell>
          <cell r="O11023">
            <v>3.8759999999999999</v>
          </cell>
        </row>
        <row r="11024">
          <cell r="E11024" t="str">
            <v>MUS</v>
          </cell>
          <cell r="F11024" t="str">
            <v xml:space="preserve">MUS-F </v>
          </cell>
          <cell r="G11024">
            <v>519</v>
          </cell>
          <cell r="H11024" t="str">
            <v>MUS-F 519</v>
          </cell>
          <cell r="K11024" t="str">
            <v>Lukas,Kathryn</v>
          </cell>
          <cell r="N11024" t="str">
            <v>NR</v>
          </cell>
          <cell r="O11024" t="str">
            <v>NR</v>
          </cell>
        </row>
        <row r="11025">
          <cell r="E11025" t="str">
            <v>MUS</v>
          </cell>
          <cell r="F11025" t="str">
            <v xml:space="preserve">MUS-F </v>
          </cell>
          <cell r="G11025">
            <v>519</v>
          </cell>
          <cell r="H11025" t="str">
            <v>MUS-F 519</v>
          </cell>
          <cell r="K11025" t="str">
            <v>McLean,Kathleen Kirsten</v>
          </cell>
          <cell r="N11025">
            <v>3.7170000000000001</v>
          </cell>
          <cell r="O11025">
            <v>3.72</v>
          </cell>
        </row>
        <row r="11026">
          <cell r="E11026" t="str">
            <v>MUS</v>
          </cell>
          <cell r="F11026" t="str">
            <v xml:space="preserve">MUS-F </v>
          </cell>
          <cell r="G11026">
            <v>519</v>
          </cell>
          <cell r="H11026" t="str">
            <v>MUS-F 519</v>
          </cell>
          <cell r="K11026" t="str">
            <v>Nelsen,Jeff</v>
          </cell>
          <cell r="N11026" t="str">
            <v>NR</v>
          </cell>
          <cell r="O11026" t="str">
            <v>NR</v>
          </cell>
        </row>
        <row r="11027">
          <cell r="E11027" t="str">
            <v>MUS</v>
          </cell>
          <cell r="F11027" t="str">
            <v xml:space="preserve">MUS-F </v>
          </cell>
          <cell r="G11027">
            <v>519</v>
          </cell>
          <cell r="H11027" t="str">
            <v>MUS-F 519</v>
          </cell>
          <cell r="K11027" t="str">
            <v>Perantoni,Daniel Thomas</v>
          </cell>
          <cell r="N11027" t="str">
            <v>NR</v>
          </cell>
          <cell r="O11027" t="str">
            <v>NR</v>
          </cell>
        </row>
        <row r="11028">
          <cell r="E11028" t="str">
            <v>MUS</v>
          </cell>
          <cell r="F11028" t="str">
            <v xml:space="preserve">MUS-F </v>
          </cell>
          <cell r="G11028">
            <v>519</v>
          </cell>
          <cell r="H11028" t="str">
            <v>MUS-F 519</v>
          </cell>
          <cell r="K11028" t="str">
            <v>Robertello,Thomas Joseph</v>
          </cell>
          <cell r="N11028" t="str">
            <v>NR</v>
          </cell>
          <cell r="O11028" t="str">
            <v>NR</v>
          </cell>
        </row>
        <row r="11029">
          <cell r="E11029" t="str">
            <v>MUS</v>
          </cell>
          <cell r="F11029" t="str">
            <v xml:space="preserve">MUS-F </v>
          </cell>
          <cell r="G11029">
            <v>519</v>
          </cell>
          <cell r="H11029" t="str">
            <v>MUS-F 519</v>
          </cell>
          <cell r="K11029" t="str">
            <v>Wyrczynski,Stephen Paul</v>
          </cell>
          <cell r="N11029" t="str">
            <v>NR</v>
          </cell>
          <cell r="O11029" t="str">
            <v>NR</v>
          </cell>
        </row>
        <row r="11030">
          <cell r="E11030" t="str">
            <v>MUS</v>
          </cell>
          <cell r="F11030" t="str">
            <v xml:space="preserve">MUS-F </v>
          </cell>
          <cell r="G11030">
            <v>519</v>
          </cell>
          <cell r="H11030" t="str">
            <v>MUS-F 519</v>
          </cell>
          <cell r="K11030" t="str">
            <v>Wyrczynski,Stephen Paul</v>
          </cell>
          <cell r="N11030" t="str">
            <v>NR</v>
          </cell>
          <cell r="O11030" t="str">
            <v>NR</v>
          </cell>
        </row>
        <row r="11031">
          <cell r="E11031" t="str">
            <v>MUS</v>
          </cell>
          <cell r="F11031" t="str">
            <v xml:space="preserve">MUS-F </v>
          </cell>
          <cell r="G11031">
            <v>520</v>
          </cell>
          <cell r="H11031" t="str">
            <v>MUS-F 520</v>
          </cell>
          <cell r="K11031" t="str">
            <v>Bransby,Bruce</v>
          </cell>
          <cell r="N11031">
            <v>4</v>
          </cell>
          <cell r="O11031">
            <v>3.5569999999999999</v>
          </cell>
        </row>
        <row r="11032">
          <cell r="E11032" t="str">
            <v>MUS</v>
          </cell>
          <cell r="F11032" t="str">
            <v xml:space="preserve">MUS-F </v>
          </cell>
          <cell r="G11032">
            <v>520</v>
          </cell>
          <cell r="H11032" t="str">
            <v>MUS-F 520</v>
          </cell>
          <cell r="K11032" t="str">
            <v>Hurst,Lawrence P.</v>
          </cell>
          <cell r="N11032">
            <v>4</v>
          </cell>
          <cell r="O11032">
            <v>3.7530000000000001</v>
          </cell>
        </row>
        <row r="11033">
          <cell r="E11033" t="str">
            <v>MUS</v>
          </cell>
          <cell r="F11033" t="str">
            <v xml:space="preserve">MUS-F </v>
          </cell>
          <cell r="G11033">
            <v>520</v>
          </cell>
          <cell r="H11033" t="str">
            <v>MUS-F 520</v>
          </cell>
          <cell r="K11033" t="str">
            <v>McCraw,Michael</v>
          </cell>
          <cell r="N11033" t="str">
            <v>NR</v>
          </cell>
          <cell r="O11033" t="str">
            <v>NR</v>
          </cell>
        </row>
        <row r="11034">
          <cell r="E11034" t="str">
            <v>MUS</v>
          </cell>
          <cell r="F11034" t="str">
            <v xml:space="preserve">MUS-F </v>
          </cell>
          <cell r="G11034">
            <v>520</v>
          </cell>
          <cell r="H11034" t="str">
            <v>MUS-F 520</v>
          </cell>
          <cell r="K11034" t="str">
            <v>Park,Angela</v>
          </cell>
          <cell r="N11034" t="str">
            <v>NR</v>
          </cell>
          <cell r="O11034" t="str">
            <v>NR</v>
          </cell>
        </row>
        <row r="11035">
          <cell r="E11035" t="str">
            <v>MUS</v>
          </cell>
          <cell r="F11035" t="str">
            <v xml:space="preserve">MUS-F </v>
          </cell>
          <cell r="G11035">
            <v>520</v>
          </cell>
          <cell r="H11035" t="str">
            <v>MUS-F 520</v>
          </cell>
          <cell r="K11035" t="str">
            <v>Park,Angela</v>
          </cell>
          <cell r="N11035" t="str">
            <v>NR</v>
          </cell>
          <cell r="O11035" t="str">
            <v>NR</v>
          </cell>
        </row>
        <row r="11036">
          <cell r="E11036" t="str">
            <v>MUS</v>
          </cell>
          <cell r="F11036" t="str">
            <v xml:space="preserve">MUS-F </v>
          </cell>
          <cell r="G11036">
            <v>520</v>
          </cell>
          <cell r="H11036" t="str">
            <v>MUS-F 520</v>
          </cell>
          <cell r="K11036" t="str">
            <v>Robertello,Thomas Joseph</v>
          </cell>
          <cell r="N11036">
            <v>4</v>
          </cell>
          <cell r="O11036">
            <v>3.895</v>
          </cell>
        </row>
        <row r="11037">
          <cell r="E11037" t="str">
            <v>MUS</v>
          </cell>
          <cell r="F11037" t="str">
            <v xml:space="preserve">MUS-F </v>
          </cell>
          <cell r="G11037">
            <v>520</v>
          </cell>
          <cell r="H11037" t="str">
            <v>MUS-F 520</v>
          </cell>
          <cell r="K11037" t="str">
            <v>Wang,Liang-Yu</v>
          </cell>
          <cell r="N11037" t="str">
            <v>NR</v>
          </cell>
          <cell r="O11037" t="str">
            <v>NR</v>
          </cell>
        </row>
        <row r="11038">
          <cell r="E11038" t="str">
            <v>MUS</v>
          </cell>
          <cell r="F11038" t="str">
            <v xml:space="preserve">MUS-F </v>
          </cell>
          <cell r="G11038">
            <v>520</v>
          </cell>
          <cell r="H11038" t="str">
            <v>MUS-F 520</v>
          </cell>
          <cell r="K11038" t="str">
            <v>Wang,Liang-Yu</v>
          </cell>
          <cell r="N11038" t="str">
            <v>NR</v>
          </cell>
          <cell r="O11038" t="str">
            <v>NR</v>
          </cell>
        </row>
        <row r="11039">
          <cell r="E11039" t="str">
            <v>MUS</v>
          </cell>
          <cell r="F11039" t="str">
            <v xml:space="preserve">MUS-F </v>
          </cell>
          <cell r="G11039">
            <v>531</v>
          </cell>
          <cell r="H11039" t="str">
            <v>MUS-F 531</v>
          </cell>
          <cell r="K11039" t="str">
            <v>DiOrio,Dominick</v>
          </cell>
          <cell r="N11039" t="str">
            <v>NR</v>
          </cell>
          <cell r="O11039" t="str">
            <v>NR</v>
          </cell>
        </row>
        <row r="11040">
          <cell r="E11040" t="str">
            <v>MUS</v>
          </cell>
          <cell r="F11040" t="str">
            <v xml:space="preserve">MUS-F </v>
          </cell>
          <cell r="G11040">
            <v>532</v>
          </cell>
          <cell r="H11040" t="str">
            <v>MUS-F 532</v>
          </cell>
          <cell r="K11040" t="str">
            <v>Gray,William Jon</v>
          </cell>
          <cell r="N11040" t="str">
            <v>NR</v>
          </cell>
          <cell r="O11040" t="str">
            <v>NR</v>
          </cell>
        </row>
        <row r="11041">
          <cell r="E11041" t="str">
            <v>MUS</v>
          </cell>
          <cell r="F11041" t="str">
            <v xml:space="preserve">MUS-F </v>
          </cell>
          <cell r="G11041">
            <v>534</v>
          </cell>
          <cell r="H11041" t="str">
            <v>MUS-F 534</v>
          </cell>
          <cell r="K11041" t="str">
            <v>Gray,William Jon</v>
          </cell>
          <cell r="N11041" t="str">
            <v>NR</v>
          </cell>
          <cell r="O11041" t="str">
            <v>NR</v>
          </cell>
        </row>
        <row r="11042">
          <cell r="E11042" t="str">
            <v>MUS</v>
          </cell>
          <cell r="F11042" t="str">
            <v xml:space="preserve">MUS-F </v>
          </cell>
          <cell r="G11042">
            <v>540</v>
          </cell>
          <cell r="H11042" t="str">
            <v>MUS-F 540</v>
          </cell>
          <cell r="K11042" t="str">
            <v>Bogard,Emily</v>
          </cell>
          <cell r="N11042">
            <v>3.95</v>
          </cell>
          <cell r="O11042">
            <v>3.77</v>
          </cell>
        </row>
        <row r="11043">
          <cell r="E11043" t="str">
            <v>MUS</v>
          </cell>
          <cell r="F11043" t="str">
            <v xml:space="preserve">MUS-F </v>
          </cell>
          <cell r="G11043">
            <v>540</v>
          </cell>
          <cell r="H11043" t="str">
            <v>MUS-F 540</v>
          </cell>
          <cell r="K11043" t="str">
            <v>Bogard,Emily</v>
          </cell>
          <cell r="N11043" t="str">
            <v>NR</v>
          </cell>
          <cell r="O11043" t="str">
            <v>NR</v>
          </cell>
        </row>
        <row r="11044">
          <cell r="E11044" t="str">
            <v>MUS</v>
          </cell>
          <cell r="F11044" t="str">
            <v xml:space="preserve">MUS-F </v>
          </cell>
          <cell r="G11044">
            <v>540</v>
          </cell>
          <cell r="H11044" t="str">
            <v>MUS-F 540</v>
          </cell>
          <cell r="K11044" t="str">
            <v>Bogard,Emily</v>
          </cell>
          <cell r="N11044">
            <v>3.4</v>
          </cell>
          <cell r="O11044">
            <v>3.855</v>
          </cell>
        </row>
        <row r="11045">
          <cell r="E11045" t="str">
            <v>MUS</v>
          </cell>
          <cell r="F11045" t="str">
            <v xml:space="preserve">MUS-F </v>
          </cell>
          <cell r="G11045">
            <v>540</v>
          </cell>
          <cell r="H11045" t="str">
            <v>MUS-F 540</v>
          </cell>
          <cell r="K11045" t="str">
            <v>Bogard,Emily</v>
          </cell>
          <cell r="N11045">
            <v>4</v>
          </cell>
          <cell r="O11045">
            <v>3.9630000000000001</v>
          </cell>
        </row>
        <row r="11046">
          <cell r="E11046" t="str">
            <v>MUS</v>
          </cell>
          <cell r="F11046" t="str">
            <v xml:space="preserve">MUS-F </v>
          </cell>
          <cell r="G11046">
            <v>545</v>
          </cell>
          <cell r="H11046" t="str">
            <v>MUS-F 545</v>
          </cell>
          <cell r="K11046" t="str">
            <v>Cord,Edmund</v>
          </cell>
          <cell r="N11046" t="str">
            <v>NR</v>
          </cell>
          <cell r="O11046" t="str">
            <v>NR</v>
          </cell>
        </row>
        <row r="11047">
          <cell r="E11047" t="str">
            <v>MUS</v>
          </cell>
          <cell r="F11047" t="str">
            <v xml:space="preserve">MUS-F </v>
          </cell>
          <cell r="G11047">
            <v>545</v>
          </cell>
          <cell r="H11047" t="str">
            <v>MUS-F 545</v>
          </cell>
          <cell r="K11047" t="str">
            <v>Cord,Edmund</v>
          </cell>
          <cell r="N11047">
            <v>4</v>
          </cell>
          <cell r="O11047">
            <v>3.8159999999999998</v>
          </cell>
        </row>
        <row r="11048">
          <cell r="E11048" t="str">
            <v>MUS</v>
          </cell>
          <cell r="F11048" t="str">
            <v xml:space="preserve">MUS-F </v>
          </cell>
          <cell r="G11048">
            <v>545</v>
          </cell>
          <cell r="H11048" t="str">
            <v>MUS-F 545</v>
          </cell>
          <cell r="K11048" t="str">
            <v>Lenthe,Carl</v>
          </cell>
          <cell r="N11048" t="str">
            <v>NR</v>
          </cell>
          <cell r="O11048" t="str">
            <v>NR</v>
          </cell>
        </row>
        <row r="11049">
          <cell r="E11049" t="str">
            <v>MUS</v>
          </cell>
          <cell r="F11049" t="str">
            <v xml:space="preserve">MUS-F </v>
          </cell>
          <cell r="G11049">
            <v>545</v>
          </cell>
          <cell r="H11049" t="str">
            <v>MUS-F 545</v>
          </cell>
          <cell r="K11049" t="str">
            <v>Lenthe,Carl</v>
          </cell>
          <cell r="N11049" t="str">
            <v>NR</v>
          </cell>
          <cell r="O11049" t="str">
            <v>NR</v>
          </cell>
        </row>
        <row r="11050">
          <cell r="E11050" t="str">
            <v>MUS</v>
          </cell>
          <cell r="F11050" t="str">
            <v xml:space="preserve">MUS-F </v>
          </cell>
          <cell r="G11050">
            <v>546</v>
          </cell>
          <cell r="H11050" t="str">
            <v>MUS-F 546</v>
          </cell>
          <cell r="K11050" t="str">
            <v>Klug,Howard</v>
          </cell>
          <cell r="N11050" t="str">
            <v>NR</v>
          </cell>
          <cell r="O11050" t="str">
            <v>NR</v>
          </cell>
        </row>
        <row r="11051">
          <cell r="E11051" t="str">
            <v>MUS</v>
          </cell>
          <cell r="F11051" t="str">
            <v xml:space="preserve">MUS-F </v>
          </cell>
          <cell r="G11051">
            <v>547</v>
          </cell>
          <cell r="H11051" t="str">
            <v>MUS-F 547</v>
          </cell>
          <cell r="K11051" t="str">
            <v>Coletti,Michael</v>
          </cell>
          <cell r="N11051">
            <v>4</v>
          </cell>
          <cell r="O11051">
            <v>3.714</v>
          </cell>
        </row>
        <row r="11052">
          <cell r="E11052" t="str">
            <v>MUS</v>
          </cell>
          <cell r="F11052" t="str">
            <v xml:space="preserve">MUS-F </v>
          </cell>
          <cell r="G11052">
            <v>547</v>
          </cell>
          <cell r="H11052" t="str">
            <v>MUS-F 547</v>
          </cell>
          <cell r="K11052" t="str">
            <v>Spiro,Michael Elliot</v>
          </cell>
          <cell r="N11052">
            <v>4</v>
          </cell>
          <cell r="O11052">
            <v>3.754</v>
          </cell>
        </row>
        <row r="11053">
          <cell r="E11053" t="str">
            <v>MUS</v>
          </cell>
          <cell r="F11053" t="str">
            <v xml:space="preserve">MUS-F </v>
          </cell>
          <cell r="G11053">
            <v>547</v>
          </cell>
          <cell r="H11053" t="str">
            <v>MUS-F 547</v>
          </cell>
          <cell r="K11053" t="str">
            <v>Spiro,Michael Elliot</v>
          </cell>
          <cell r="N11053" t="str">
            <v>NR</v>
          </cell>
          <cell r="O11053" t="str">
            <v>NR</v>
          </cell>
        </row>
        <row r="11054">
          <cell r="E11054" t="str">
            <v>MUS</v>
          </cell>
          <cell r="F11054" t="str">
            <v xml:space="preserve">MUS-F </v>
          </cell>
          <cell r="G11054">
            <v>547</v>
          </cell>
          <cell r="H11054" t="str">
            <v>MUS-F 547</v>
          </cell>
          <cell r="K11054" t="str">
            <v>Tafoya,John Joseph</v>
          </cell>
          <cell r="N11054">
            <v>4</v>
          </cell>
          <cell r="O11054">
            <v>3.8260000000000001</v>
          </cell>
        </row>
        <row r="11055">
          <cell r="E11055" t="str">
            <v>MUS</v>
          </cell>
          <cell r="F11055" t="str">
            <v xml:space="preserve">MUS-F </v>
          </cell>
          <cell r="G11055">
            <v>547</v>
          </cell>
          <cell r="H11055" t="str">
            <v>MUS-F 547</v>
          </cell>
          <cell r="K11055" t="str">
            <v>Tafoya,John Joseph</v>
          </cell>
          <cell r="N11055" t="str">
            <v>NR</v>
          </cell>
          <cell r="O11055" t="str">
            <v>NR</v>
          </cell>
        </row>
        <row r="11056">
          <cell r="E11056" t="str">
            <v>MUS</v>
          </cell>
          <cell r="F11056" t="str">
            <v xml:space="preserve">MUS-F </v>
          </cell>
          <cell r="G11056">
            <v>549</v>
          </cell>
          <cell r="H11056" t="str">
            <v>MUS-F 549</v>
          </cell>
          <cell r="K11056" t="str">
            <v>Szmyt,Elzbieta Monika</v>
          </cell>
          <cell r="N11056" t="str">
            <v>NR</v>
          </cell>
          <cell r="O11056" t="str">
            <v>NR</v>
          </cell>
        </row>
        <row r="11057">
          <cell r="E11057" t="str">
            <v>MUS</v>
          </cell>
          <cell r="F11057" t="str">
            <v xml:space="preserve">MUS-F </v>
          </cell>
          <cell r="G11057">
            <v>549</v>
          </cell>
          <cell r="H11057" t="str">
            <v>MUS-F 549</v>
          </cell>
          <cell r="K11057" t="str">
            <v>Szmyt,Elzbieta Monika</v>
          </cell>
          <cell r="N11057" t="str">
            <v>NR</v>
          </cell>
          <cell r="O11057" t="str">
            <v>NR</v>
          </cell>
        </row>
        <row r="11058">
          <cell r="E11058" t="str">
            <v>MUS</v>
          </cell>
          <cell r="F11058" t="str">
            <v xml:space="preserve">MUS-F </v>
          </cell>
          <cell r="G11058">
            <v>550</v>
          </cell>
          <cell r="H11058" t="str">
            <v>MUS-F 550</v>
          </cell>
          <cell r="K11058" t="str">
            <v>Bae,Ik-Hwan</v>
          </cell>
          <cell r="N11058">
            <v>3.9790000000000001</v>
          </cell>
          <cell r="O11058">
            <v>3.7919999999999998</v>
          </cell>
        </row>
        <row r="11059">
          <cell r="E11059" t="str">
            <v>MUS</v>
          </cell>
          <cell r="F11059" t="str">
            <v xml:space="preserve">MUS-F </v>
          </cell>
          <cell r="G11059">
            <v>550</v>
          </cell>
          <cell r="H11059" t="str">
            <v>MUS-F 550</v>
          </cell>
          <cell r="K11059" t="str">
            <v>Bae,Ik-Hwan</v>
          </cell>
          <cell r="N11059" t="str">
            <v>NR</v>
          </cell>
          <cell r="O11059" t="str">
            <v>NR</v>
          </cell>
        </row>
        <row r="11060">
          <cell r="E11060" t="str">
            <v>MUS</v>
          </cell>
          <cell r="F11060" t="str">
            <v xml:space="preserve">MUS-F </v>
          </cell>
          <cell r="G11060">
            <v>550</v>
          </cell>
          <cell r="H11060" t="str">
            <v>MUS-F 550</v>
          </cell>
          <cell r="K11060" t="str">
            <v>Im,Sung-Mi</v>
          </cell>
          <cell r="N11060" t="str">
            <v>NR</v>
          </cell>
          <cell r="O11060" t="str">
            <v>NR</v>
          </cell>
        </row>
        <row r="11061">
          <cell r="E11061" t="str">
            <v>MUS</v>
          </cell>
          <cell r="F11061" t="str">
            <v xml:space="preserve">MUS-F </v>
          </cell>
          <cell r="G11061">
            <v>550</v>
          </cell>
          <cell r="H11061" t="str">
            <v>MUS-F 550</v>
          </cell>
          <cell r="K11061" t="str">
            <v>Latshaw,Charles William</v>
          </cell>
          <cell r="N11061">
            <v>3.996</v>
          </cell>
          <cell r="O11061">
            <v>3.823</v>
          </cell>
        </row>
        <row r="11062">
          <cell r="E11062" t="str">
            <v>MUS</v>
          </cell>
          <cell r="F11062" t="str">
            <v xml:space="preserve">MUS-F </v>
          </cell>
          <cell r="G11062">
            <v>550</v>
          </cell>
          <cell r="H11062" t="str">
            <v>MUS-F 550</v>
          </cell>
          <cell r="K11062" t="str">
            <v>Latshaw,Charles William</v>
          </cell>
          <cell r="N11062">
            <v>3.9140000000000001</v>
          </cell>
          <cell r="O11062">
            <v>3.9609999999999999</v>
          </cell>
        </row>
        <row r="11063">
          <cell r="E11063" t="str">
            <v>MUS</v>
          </cell>
          <cell r="F11063" t="str">
            <v xml:space="preserve">MUS-F </v>
          </cell>
          <cell r="G11063">
            <v>550</v>
          </cell>
          <cell r="H11063" t="str">
            <v>MUS-F 550</v>
          </cell>
          <cell r="K11063" t="str">
            <v>Latshaw,Charles William</v>
          </cell>
          <cell r="N11063">
            <v>3.9809999999999999</v>
          </cell>
          <cell r="O11063">
            <v>3.83</v>
          </cell>
        </row>
        <row r="11064">
          <cell r="E11064" t="str">
            <v>MUS</v>
          </cell>
          <cell r="F11064" t="str">
            <v xml:space="preserve">MUS-F </v>
          </cell>
          <cell r="G11064">
            <v>550</v>
          </cell>
          <cell r="H11064" t="str">
            <v>MUS-F 550</v>
          </cell>
          <cell r="K11064" t="str">
            <v>Latshaw,Charles William</v>
          </cell>
          <cell r="N11064">
            <v>3.9750000000000001</v>
          </cell>
          <cell r="O11064">
            <v>3.8410000000000002</v>
          </cell>
        </row>
        <row r="11065">
          <cell r="E11065" t="str">
            <v>MUS</v>
          </cell>
          <cell r="F11065" t="str">
            <v xml:space="preserve">MUS-F </v>
          </cell>
          <cell r="G11065">
            <v>550</v>
          </cell>
          <cell r="H11065" t="str">
            <v>MUS-F 550</v>
          </cell>
          <cell r="K11065" t="str">
            <v>Latshaw,Charles William</v>
          </cell>
          <cell r="N11065" t="str">
            <v>NR</v>
          </cell>
          <cell r="O11065" t="str">
            <v>NR</v>
          </cell>
        </row>
        <row r="11066">
          <cell r="E11066" t="str">
            <v>MUS</v>
          </cell>
          <cell r="F11066" t="str">
            <v xml:space="preserve">MUS-F </v>
          </cell>
          <cell r="G11066">
            <v>550</v>
          </cell>
          <cell r="H11066" t="str">
            <v>MUS-F 550</v>
          </cell>
          <cell r="K11066" t="str">
            <v>Latshaw,Charles William</v>
          </cell>
          <cell r="N11066" t="str">
            <v>NR</v>
          </cell>
          <cell r="O11066" t="str">
            <v>NR</v>
          </cell>
        </row>
        <row r="11067">
          <cell r="E11067" t="str">
            <v>MUS</v>
          </cell>
          <cell r="F11067" t="str">
            <v xml:space="preserve">MUS-F </v>
          </cell>
          <cell r="G11067">
            <v>551</v>
          </cell>
          <cell r="H11067" t="str">
            <v>MUS-F 551</v>
          </cell>
          <cell r="K11067" t="str">
            <v>Bitetti,Ernesto</v>
          </cell>
          <cell r="N11067" t="str">
            <v>NR</v>
          </cell>
          <cell r="O11067" t="str">
            <v>NR</v>
          </cell>
        </row>
        <row r="11068">
          <cell r="E11068" t="str">
            <v>MUS</v>
          </cell>
          <cell r="F11068" t="str">
            <v xml:space="preserve">MUS-F </v>
          </cell>
          <cell r="G11068">
            <v>551</v>
          </cell>
          <cell r="H11068" t="str">
            <v>MUS-F 551</v>
          </cell>
          <cell r="K11068" t="str">
            <v>Bitetti,Ernesto</v>
          </cell>
          <cell r="N11068" t="str">
            <v>NR</v>
          </cell>
          <cell r="O11068" t="str">
            <v>NR</v>
          </cell>
        </row>
        <row r="11069">
          <cell r="E11069" t="str">
            <v>MUS</v>
          </cell>
          <cell r="F11069" t="str">
            <v xml:space="preserve">MUS-F </v>
          </cell>
          <cell r="G11069">
            <v>650</v>
          </cell>
          <cell r="H11069" t="str">
            <v>MUS-F 650</v>
          </cell>
          <cell r="K11069" t="str">
            <v>Latshaw,Charles William</v>
          </cell>
          <cell r="N11069" t="str">
            <v>NR</v>
          </cell>
          <cell r="O11069" t="str">
            <v>NR</v>
          </cell>
        </row>
        <row r="11070">
          <cell r="E11070" t="str">
            <v>MUS</v>
          </cell>
          <cell r="F11070" t="str">
            <v xml:space="preserve">MUS-F </v>
          </cell>
          <cell r="G11070">
            <v>650</v>
          </cell>
          <cell r="H11070" t="str">
            <v>MUS-F 650</v>
          </cell>
          <cell r="K11070" t="str">
            <v>Latshaw,Charles William</v>
          </cell>
          <cell r="N11070" t="str">
            <v>NR</v>
          </cell>
          <cell r="O11070" t="str">
            <v>NR</v>
          </cell>
        </row>
        <row r="11071">
          <cell r="E11071" t="str">
            <v>MUS</v>
          </cell>
          <cell r="F11071" t="str">
            <v xml:space="preserve">MUS-G </v>
          </cell>
          <cell r="G11071">
            <v>370</v>
          </cell>
          <cell r="H11071" t="str">
            <v>MUS-G 370</v>
          </cell>
          <cell r="K11071" t="str">
            <v>Hernandez,Juan Camilo</v>
          </cell>
          <cell r="N11071">
            <v>4</v>
          </cell>
          <cell r="O11071">
            <v>3.7559999999999998</v>
          </cell>
        </row>
        <row r="11072">
          <cell r="E11072" t="str">
            <v>MUS</v>
          </cell>
          <cell r="F11072" t="str">
            <v xml:space="preserve">MUS-G </v>
          </cell>
          <cell r="G11072">
            <v>370</v>
          </cell>
          <cell r="H11072" t="str">
            <v>MUS-G 370</v>
          </cell>
          <cell r="K11072" t="str">
            <v>Lourenco,Goncalo Nuno</v>
          </cell>
          <cell r="N11072">
            <v>4</v>
          </cell>
          <cell r="O11072">
            <v>3.718</v>
          </cell>
        </row>
        <row r="11073">
          <cell r="E11073" t="str">
            <v>MUS</v>
          </cell>
          <cell r="F11073" t="str">
            <v xml:space="preserve">MUS-G </v>
          </cell>
          <cell r="G11073">
            <v>370</v>
          </cell>
          <cell r="H11073" t="str">
            <v>MUS-G 370</v>
          </cell>
          <cell r="K11073" t="str">
            <v>Schwartzkopf,Michael Lee</v>
          </cell>
          <cell r="N11073">
            <v>4</v>
          </cell>
          <cell r="O11073">
            <v>3.7330000000000001</v>
          </cell>
        </row>
        <row r="11074">
          <cell r="E11074" t="str">
            <v>MUS</v>
          </cell>
          <cell r="F11074" t="str">
            <v xml:space="preserve">MUS-G </v>
          </cell>
          <cell r="G11074">
            <v>370</v>
          </cell>
          <cell r="H11074" t="str">
            <v>MUS-G 370</v>
          </cell>
          <cell r="K11074" t="str">
            <v>Schwartzkopf,Michael Lee</v>
          </cell>
          <cell r="N11074">
            <v>4</v>
          </cell>
          <cell r="O11074">
            <v>3.77</v>
          </cell>
        </row>
        <row r="11075">
          <cell r="E11075" t="str">
            <v>MUS</v>
          </cell>
          <cell r="F11075" t="str">
            <v xml:space="preserve">MUS-G </v>
          </cell>
          <cell r="G11075">
            <v>370</v>
          </cell>
          <cell r="H11075" t="str">
            <v>MUS-G 370</v>
          </cell>
          <cell r="K11075" t="str">
            <v>Smedley,Eric Matthew</v>
          </cell>
          <cell r="N11075">
            <v>3.56</v>
          </cell>
          <cell r="O11075">
            <v>3.7170000000000001</v>
          </cell>
        </row>
        <row r="11076">
          <cell r="E11076" t="str">
            <v>MUS</v>
          </cell>
          <cell r="F11076" t="str">
            <v xml:space="preserve">MUS-G </v>
          </cell>
          <cell r="G11076">
            <v>370</v>
          </cell>
          <cell r="H11076" t="str">
            <v>MUS-G 370</v>
          </cell>
          <cell r="K11076" t="str">
            <v>Smedley,Eric Matthew</v>
          </cell>
          <cell r="N11076">
            <v>3.5670000000000002</v>
          </cell>
          <cell r="O11076">
            <v>3.7170000000000001</v>
          </cell>
        </row>
        <row r="11077">
          <cell r="E11077" t="str">
            <v>MUS</v>
          </cell>
          <cell r="F11077" t="str">
            <v xml:space="preserve">MUS-G </v>
          </cell>
          <cell r="G11077">
            <v>371</v>
          </cell>
          <cell r="H11077" t="str">
            <v>MUS-G 371</v>
          </cell>
          <cell r="K11077" t="str">
            <v>Frizzo,Carlo Vincetti</v>
          </cell>
          <cell r="N11077">
            <v>3.9079999999999999</v>
          </cell>
          <cell r="O11077">
            <v>3.7050000000000001</v>
          </cell>
        </row>
        <row r="11078">
          <cell r="E11078" t="str">
            <v>MUS</v>
          </cell>
          <cell r="F11078" t="str">
            <v xml:space="preserve">MUS-G </v>
          </cell>
          <cell r="G11078">
            <v>371</v>
          </cell>
          <cell r="H11078" t="str">
            <v>MUS-G 371</v>
          </cell>
          <cell r="K11078" t="str">
            <v>Schwartzkopf,Michael Lee</v>
          </cell>
          <cell r="N11078" t="str">
            <v>NR</v>
          </cell>
          <cell r="O11078" t="str">
            <v>NR</v>
          </cell>
        </row>
        <row r="11079">
          <cell r="E11079" t="str">
            <v>MUS</v>
          </cell>
          <cell r="F11079" t="str">
            <v xml:space="preserve">MUS-G </v>
          </cell>
          <cell r="G11079">
            <v>372</v>
          </cell>
          <cell r="H11079" t="str">
            <v>MUS-G 372</v>
          </cell>
          <cell r="K11079" t="str">
            <v>Frizzo,Carlo Vincetti</v>
          </cell>
          <cell r="N11079" t="str">
            <v>NR</v>
          </cell>
          <cell r="O11079" t="str">
            <v>NR</v>
          </cell>
        </row>
        <row r="11080">
          <cell r="E11080" t="str">
            <v>MUS</v>
          </cell>
          <cell r="F11080" t="str">
            <v xml:space="preserve">MUS-G </v>
          </cell>
          <cell r="G11080">
            <v>372</v>
          </cell>
          <cell r="H11080" t="str">
            <v>MUS-G 372</v>
          </cell>
          <cell r="K11080" t="str">
            <v>Schwartzkopf,Michael Lee</v>
          </cell>
          <cell r="N11080" t="str">
            <v>NR</v>
          </cell>
          <cell r="O11080" t="str">
            <v>NR</v>
          </cell>
        </row>
        <row r="11081">
          <cell r="E11081" t="str">
            <v>MUS</v>
          </cell>
          <cell r="F11081" t="str">
            <v xml:space="preserve">MUS-G </v>
          </cell>
          <cell r="G11081">
            <v>373</v>
          </cell>
          <cell r="H11081" t="str">
            <v>MUS-G 373</v>
          </cell>
          <cell r="K11081" t="str">
            <v>Smedley,Eric Matthew</v>
          </cell>
          <cell r="N11081">
            <v>3.347</v>
          </cell>
          <cell r="O11081">
            <v>3.6469999999999998</v>
          </cell>
        </row>
        <row r="11082">
          <cell r="E11082" t="str">
            <v>MUS</v>
          </cell>
          <cell r="F11082" t="str">
            <v xml:space="preserve">MUS-G </v>
          </cell>
          <cell r="G11082">
            <v>373</v>
          </cell>
          <cell r="H11082" t="str">
            <v>MUS-G 373</v>
          </cell>
          <cell r="K11082" t="str">
            <v>Smedley,Eric Matthew</v>
          </cell>
          <cell r="N11082">
            <v>3.8380000000000001</v>
          </cell>
          <cell r="O11082">
            <v>3.7320000000000002</v>
          </cell>
        </row>
        <row r="11083">
          <cell r="E11083" t="str">
            <v>MUS</v>
          </cell>
          <cell r="F11083" t="str">
            <v xml:space="preserve">MUS-G </v>
          </cell>
          <cell r="G11083">
            <v>385</v>
          </cell>
          <cell r="H11083" t="str">
            <v>MUS-G 385</v>
          </cell>
          <cell r="K11083" t="str">
            <v>Woodley,Dave C.</v>
          </cell>
          <cell r="N11083">
            <v>4</v>
          </cell>
          <cell r="O11083">
            <v>3.5310000000000001</v>
          </cell>
        </row>
        <row r="11084">
          <cell r="E11084" t="str">
            <v>MUS</v>
          </cell>
          <cell r="F11084" t="str">
            <v xml:space="preserve">MUS-G </v>
          </cell>
          <cell r="G11084">
            <v>504</v>
          </cell>
          <cell r="H11084" t="str">
            <v>MUS-G 504</v>
          </cell>
          <cell r="K11084" t="str">
            <v>DiOrio,Dominick</v>
          </cell>
          <cell r="N11084" t="str">
            <v>NR</v>
          </cell>
          <cell r="O11084" t="str">
            <v>NR</v>
          </cell>
        </row>
        <row r="11085">
          <cell r="E11085" t="str">
            <v>MUS</v>
          </cell>
          <cell r="F11085" t="str">
            <v xml:space="preserve">MUS-G </v>
          </cell>
          <cell r="G11085">
            <v>504</v>
          </cell>
          <cell r="H11085" t="str">
            <v>MUS-G 504</v>
          </cell>
          <cell r="K11085" t="str">
            <v>Gray,William Jon</v>
          </cell>
          <cell r="N11085" t="str">
            <v>NR</v>
          </cell>
          <cell r="O11085" t="str">
            <v>NR</v>
          </cell>
        </row>
        <row r="11086">
          <cell r="E11086" t="str">
            <v>MUS</v>
          </cell>
          <cell r="F11086" t="str">
            <v xml:space="preserve">MUS-G </v>
          </cell>
          <cell r="G11086">
            <v>555</v>
          </cell>
          <cell r="H11086" t="str">
            <v>MUS-G 555</v>
          </cell>
          <cell r="K11086" t="str">
            <v>Swaney,Susan Lyn</v>
          </cell>
          <cell r="N11086" t="str">
            <v>NR</v>
          </cell>
          <cell r="O11086" t="str">
            <v>NR</v>
          </cell>
        </row>
        <row r="11087">
          <cell r="E11087" t="str">
            <v>MUS</v>
          </cell>
          <cell r="F11087" t="str">
            <v xml:space="preserve">MUS-G </v>
          </cell>
          <cell r="G11087">
            <v>560</v>
          </cell>
          <cell r="H11087" t="str">
            <v>MUS-G 560</v>
          </cell>
          <cell r="K11087" t="str">
            <v>Swaney,Susan Lyn</v>
          </cell>
          <cell r="N11087">
            <v>3.7709999999999999</v>
          </cell>
          <cell r="O11087">
            <v>3.827</v>
          </cell>
        </row>
        <row r="11088">
          <cell r="E11088" t="str">
            <v>MUS</v>
          </cell>
          <cell r="F11088" t="str">
            <v xml:space="preserve">MUS-G </v>
          </cell>
          <cell r="G11088">
            <v>560</v>
          </cell>
          <cell r="H11088" t="str">
            <v>MUS-G 560</v>
          </cell>
          <cell r="K11088" t="str">
            <v>Swaney,Susan Lyn</v>
          </cell>
          <cell r="N11088">
            <v>3.9249999999999998</v>
          </cell>
          <cell r="O11088">
            <v>3.8559999999999999</v>
          </cell>
        </row>
        <row r="11089">
          <cell r="E11089" t="str">
            <v>MUS</v>
          </cell>
          <cell r="F11089" t="str">
            <v xml:space="preserve">MUS-G </v>
          </cell>
          <cell r="G11089">
            <v>561</v>
          </cell>
          <cell r="H11089" t="str">
            <v>MUS-G 561</v>
          </cell>
          <cell r="K11089" t="str">
            <v>DiOrio,Dominick</v>
          </cell>
          <cell r="N11089" t="str">
            <v>NR</v>
          </cell>
          <cell r="O11089" t="str">
            <v>NR</v>
          </cell>
        </row>
        <row r="11090">
          <cell r="E11090" t="str">
            <v>MUS</v>
          </cell>
          <cell r="F11090" t="str">
            <v xml:space="preserve">MUS-G </v>
          </cell>
          <cell r="G11090">
            <v>561</v>
          </cell>
          <cell r="H11090" t="str">
            <v>MUS-G 561</v>
          </cell>
          <cell r="K11090" t="str">
            <v>Tang Yuk,Richard L</v>
          </cell>
          <cell r="N11090" t="str">
            <v>NR</v>
          </cell>
          <cell r="O11090" t="str">
            <v>NR</v>
          </cell>
        </row>
        <row r="11091">
          <cell r="E11091" t="str">
            <v>MUS</v>
          </cell>
          <cell r="F11091" t="str">
            <v xml:space="preserve">MUS-G </v>
          </cell>
          <cell r="G11091">
            <v>562</v>
          </cell>
          <cell r="H11091" t="str">
            <v>MUS-G 562</v>
          </cell>
          <cell r="K11091" t="str">
            <v>DiOrio,Dominick</v>
          </cell>
          <cell r="N11091" t="str">
            <v>NR</v>
          </cell>
          <cell r="O11091" t="str">
            <v>NR</v>
          </cell>
        </row>
        <row r="11092">
          <cell r="E11092" t="str">
            <v>MUS</v>
          </cell>
          <cell r="F11092" t="str">
            <v xml:space="preserve">MUS-G </v>
          </cell>
          <cell r="G11092">
            <v>562</v>
          </cell>
          <cell r="H11092" t="str">
            <v>MUS-G 562</v>
          </cell>
          <cell r="K11092" t="str">
            <v>Tang Yuk,Richard L</v>
          </cell>
          <cell r="N11092" t="str">
            <v>NR</v>
          </cell>
          <cell r="O11092" t="str">
            <v>NR</v>
          </cell>
        </row>
        <row r="11093">
          <cell r="E11093" t="str">
            <v>MUS</v>
          </cell>
          <cell r="F11093" t="str">
            <v xml:space="preserve">MUS-G </v>
          </cell>
          <cell r="G11093">
            <v>566</v>
          </cell>
          <cell r="H11093" t="str">
            <v>MUS-G 566</v>
          </cell>
          <cell r="K11093" t="str">
            <v>Gershman,Jeff</v>
          </cell>
          <cell r="N11093">
            <v>3.875</v>
          </cell>
          <cell r="O11093">
            <v>3.8490000000000002</v>
          </cell>
        </row>
        <row r="11094">
          <cell r="E11094" t="str">
            <v>MUS</v>
          </cell>
          <cell r="F11094" t="str">
            <v xml:space="preserve">MUS-G </v>
          </cell>
          <cell r="G11094">
            <v>566</v>
          </cell>
          <cell r="H11094" t="str">
            <v>MUS-G 566</v>
          </cell>
          <cell r="K11094" t="str">
            <v>Gershman,Jeff</v>
          </cell>
          <cell r="N11094" t="str">
            <v>NR</v>
          </cell>
          <cell r="O11094" t="str">
            <v>NR</v>
          </cell>
        </row>
        <row r="11095">
          <cell r="E11095" t="str">
            <v>MUS</v>
          </cell>
          <cell r="F11095" t="str">
            <v xml:space="preserve">MUS-G </v>
          </cell>
          <cell r="G11095">
            <v>567</v>
          </cell>
          <cell r="H11095" t="str">
            <v>MUS-G 567</v>
          </cell>
          <cell r="K11095" t="str">
            <v>Gershman,Jeff</v>
          </cell>
          <cell r="N11095">
            <v>4</v>
          </cell>
          <cell r="O11095">
            <v>3.7549999999999999</v>
          </cell>
        </row>
        <row r="11096">
          <cell r="E11096" t="str">
            <v>MUS</v>
          </cell>
          <cell r="F11096" t="str">
            <v xml:space="preserve">MUS-G </v>
          </cell>
          <cell r="G11096">
            <v>570</v>
          </cell>
          <cell r="H11096" t="str">
            <v>MUS-G 570</v>
          </cell>
          <cell r="K11096" t="str">
            <v>Bolter,Benjamin C</v>
          </cell>
          <cell r="N11096">
            <v>3.9</v>
          </cell>
          <cell r="O11096">
            <v>3.875</v>
          </cell>
        </row>
        <row r="11097">
          <cell r="E11097" t="str">
            <v>MUS</v>
          </cell>
          <cell r="F11097" t="str">
            <v xml:space="preserve">MUS-G </v>
          </cell>
          <cell r="G11097">
            <v>571</v>
          </cell>
          <cell r="H11097" t="str">
            <v>MUS-G 571</v>
          </cell>
          <cell r="K11097" t="str">
            <v>Effron,David Louis</v>
          </cell>
          <cell r="N11097" t="str">
            <v>NR</v>
          </cell>
          <cell r="O11097" t="str">
            <v>NR</v>
          </cell>
        </row>
        <row r="11098">
          <cell r="E11098" t="str">
            <v>MUS</v>
          </cell>
          <cell r="F11098" t="str">
            <v xml:space="preserve">MUS-G </v>
          </cell>
          <cell r="G11098">
            <v>571</v>
          </cell>
          <cell r="H11098" t="str">
            <v>MUS-G 571</v>
          </cell>
          <cell r="K11098" t="str">
            <v>Fagen,Arthur Howard</v>
          </cell>
          <cell r="N11098" t="str">
            <v>NR</v>
          </cell>
          <cell r="O11098" t="str">
            <v>NR</v>
          </cell>
        </row>
        <row r="11099">
          <cell r="E11099" t="str">
            <v>MUS</v>
          </cell>
          <cell r="F11099" t="str">
            <v xml:space="preserve">MUS-G </v>
          </cell>
          <cell r="G11099">
            <v>579</v>
          </cell>
          <cell r="H11099" t="str">
            <v>MUS-G 579</v>
          </cell>
          <cell r="K11099" t="str">
            <v>Pratt,Stephen Wayne</v>
          </cell>
          <cell r="N11099" t="str">
            <v>NR</v>
          </cell>
          <cell r="O11099" t="str">
            <v>NR</v>
          </cell>
        </row>
        <row r="11100">
          <cell r="E11100" t="str">
            <v>MUS</v>
          </cell>
          <cell r="F11100" t="str">
            <v xml:space="preserve">MUS-G </v>
          </cell>
          <cell r="G11100">
            <v>579</v>
          </cell>
          <cell r="H11100" t="str">
            <v>MUS-G 579</v>
          </cell>
          <cell r="K11100" t="str">
            <v>Pratt,Stephen Wayne</v>
          </cell>
          <cell r="N11100" t="str">
            <v>NR</v>
          </cell>
          <cell r="O11100" t="str">
            <v>NR</v>
          </cell>
        </row>
        <row r="11101">
          <cell r="E11101" t="str">
            <v>MUS</v>
          </cell>
          <cell r="F11101" t="str">
            <v xml:space="preserve">MUS-G </v>
          </cell>
          <cell r="G11101">
            <v>601</v>
          </cell>
          <cell r="H11101" t="str">
            <v>MUS-G 601</v>
          </cell>
          <cell r="K11101" t="str">
            <v>Isaacson,Eric John</v>
          </cell>
          <cell r="N11101" t="str">
            <v>NR</v>
          </cell>
          <cell r="O11101" t="str">
            <v>NR</v>
          </cell>
        </row>
        <row r="11102">
          <cell r="E11102" t="str">
            <v>MUS</v>
          </cell>
          <cell r="F11102" t="str">
            <v xml:space="preserve">MUS-G </v>
          </cell>
          <cell r="G11102">
            <v>601</v>
          </cell>
          <cell r="H11102" t="str">
            <v>MUS-G 601</v>
          </cell>
          <cell r="K11102" t="str">
            <v>Isaacson,Eric John</v>
          </cell>
          <cell r="N11102" t="str">
            <v>NR</v>
          </cell>
          <cell r="O11102" t="str">
            <v>NR</v>
          </cell>
        </row>
        <row r="11103">
          <cell r="E11103" t="str">
            <v>MUS</v>
          </cell>
          <cell r="F11103" t="str">
            <v xml:space="preserve">MUS-G </v>
          </cell>
          <cell r="G11103">
            <v>603</v>
          </cell>
          <cell r="H11103" t="str">
            <v>MUS-G 603</v>
          </cell>
          <cell r="K11103" t="str">
            <v>Isaacson,Eric John</v>
          </cell>
          <cell r="N11103" t="str">
            <v>NR</v>
          </cell>
          <cell r="O11103" t="str">
            <v>NR</v>
          </cell>
        </row>
        <row r="11104">
          <cell r="E11104" t="str">
            <v>MUS</v>
          </cell>
          <cell r="F11104" t="str">
            <v xml:space="preserve">MUS-G </v>
          </cell>
          <cell r="G11104">
            <v>604</v>
          </cell>
          <cell r="H11104" t="str">
            <v>MUS-G 604</v>
          </cell>
          <cell r="K11104" t="str">
            <v>Isaacson,Eric John</v>
          </cell>
          <cell r="N11104" t="str">
            <v>NR</v>
          </cell>
          <cell r="O11104" t="str">
            <v>NR</v>
          </cell>
        </row>
        <row r="11105">
          <cell r="E11105" t="str">
            <v>MUS</v>
          </cell>
          <cell r="F11105" t="str">
            <v xml:space="preserve">MUS-G </v>
          </cell>
          <cell r="G11105">
            <v>604</v>
          </cell>
          <cell r="H11105" t="str">
            <v>MUS-G 604</v>
          </cell>
          <cell r="K11105" t="str">
            <v>Isaacson,Eric John</v>
          </cell>
          <cell r="N11105" t="str">
            <v>NR</v>
          </cell>
          <cell r="O11105" t="str">
            <v>NR</v>
          </cell>
        </row>
        <row r="11106">
          <cell r="E11106" t="str">
            <v>MUS</v>
          </cell>
          <cell r="F11106" t="str">
            <v xml:space="preserve">MUS-G </v>
          </cell>
          <cell r="G11106">
            <v>605</v>
          </cell>
          <cell r="H11106" t="str">
            <v>MUS-G 605</v>
          </cell>
          <cell r="K11106" t="str">
            <v>Isaacson,Eric John</v>
          </cell>
          <cell r="N11106" t="str">
            <v>NR</v>
          </cell>
          <cell r="O11106" t="str">
            <v>NR</v>
          </cell>
        </row>
        <row r="11107">
          <cell r="E11107" t="str">
            <v>MUS</v>
          </cell>
          <cell r="F11107" t="str">
            <v xml:space="preserve">MUS-G </v>
          </cell>
          <cell r="G11107">
            <v>661</v>
          </cell>
          <cell r="H11107" t="str">
            <v>MUS-G 661</v>
          </cell>
          <cell r="K11107" t="str">
            <v>Porco,Robert</v>
          </cell>
          <cell r="N11107" t="str">
            <v>NR</v>
          </cell>
          <cell r="O11107" t="str">
            <v>NR</v>
          </cell>
        </row>
        <row r="11108">
          <cell r="E11108" t="str">
            <v>MUS</v>
          </cell>
          <cell r="F11108" t="str">
            <v xml:space="preserve">MUS-G </v>
          </cell>
          <cell r="G11108">
            <v>663</v>
          </cell>
          <cell r="H11108" t="str">
            <v>MUS-G 663</v>
          </cell>
          <cell r="K11108" t="str">
            <v>Gray,William Jon</v>
          </cell>
          <cell r="N11108" t="str">
            <v>NR</v>
          </cell>
          <cell r="O11108" t="str">
            <v>NR</v>
          </cell>
        </row>
        <row r="11109">
          <cell r="E11109" t="str">
            <v>MUS</v>
          </cell>
          <cell r="F11109" t="str">
            <v xml:space="preserve">MUS-G </v>
          </cell>
          <cell r="G11109">
            <v>671</v>
          </cell>
          <cell r="H11109" t="str">
            <v>MUS-G 671</v>
          </cell>
          <cell r="K11109" t="str">
            <v>Effron,David Louis</v>
          </cell>
          <cell r="N11109">
            <v>3.95</v>
          </cell>
          <cell r="O11109">
            <v>3.8969999999999998</v>
          </cell>
        </row>
        <row r="11110">
          <cell r="E11110" t="str">
            <v>MUS</v>
          </cell>
          <cell r="F11110" t="str">
            <v xml:space="preserve">MUS-G </v>
          </cell>
          <cell r="G11110">
            <v>671</v>
          </cell>
          <cell r="H11110" t="str">
            <v>MUS-G 671</v>
          </cell>
          <cell r="K11110" t="str">
            <v>Fagen,Arthur Howard</v>
          </cell>
          <cell r="N11110">
            <v>3.9569999999999999</v>
          </cell>
          <cell r="O11110">
            <v>3.879</v>
          </cell>
        </row>
        <row r="11111">
          <cell r="E11111" t="str">
            <v>MUS</v>
          </cell>
          <cell r="F11111" t="str">
            <v xml:space="preserve">MUS-G </v>
          </cell>
          <cell r="G11111">
            <v>679</v>
          </cell>
          <cell r="H11111" t="str">
            <v>MUS-G 679</v>
          </cell>
          <cell r="K11111" t="str">
            <v>Pratt,Stephen Wayne</v>
          </cell>
          <cell r="N11111" t="str">
            <v>NR</v>
          </cell>
          <cell r="O11111" t="str">
            <v>NR</v>
          </cell>
        </row>
        <row r="11112">
          <cell r="E11112" t="str">
            <v>MUS</v>
          </cell>
          <cell r="F11112" t="str">
            <v xml:space="preserve">MUS-G </v>
          </cell>
          <cell r="G11112">
            <v>679</v>
          </cell>
          <cell r="H11112" t="str">
            <v>MUS-G 679</v>
          </cell>
          <cell r="K11112" t="str">
            <v>Pratt,Stephen Wayne</v>
          </cell>
          <cell r="N11112" t="str">
            <v>NR</v>
          </cell>
          <cell r="O11112" t="str">
            <v>NR</v>
          </cell>
        </row>
        <row r="11113">
          <cell r="E11113" t="str">
            <v>MUS</v>
          </cell>
          <cell r="F11113" t="str">
            <v xml:space="preserve">MUS-G </v>
          </cell>
          <cell r="G11113">
            <v>801</v>
          </cell>
          <cell r="H11113" t="str">
            <v>MUS-G 801</v>
          </cell>
          <cell r="K11113" t="str">
            <v>Isaacson,Eric John</v>
          </cell>
          <cell r="N11113" t="str">
            <v>NR</v>
          </cell>
          <cell r="O11113" t="str">
            <v>NR</v>
          </cell>
        </row>
        <row r="11114">
          <cell r="E11114" t="str">
            <v>MUS</v>
          </cell>
          <cell r="F11114" t="str">
            <v xml:space="preserve">MUS-G </v>
          </cell>
          <cell r="G11114">
            <v>901</v>
          </cell>
          <cell r="H11114" t="str">
            <v>MUS-G 901</v>
          </cell>
          <cell r="K11114" t="str">
            <v>Isaacson,Eric John</v>
          </cell>
          <cell r="N11114" t="str">
            <v>NR</v>
          </cell>
          <cell r="O11114" t="str">
            <v>NR</v>
          </cell>
        </row>
        <row r="11115">
          <cell r="E11115" t="str">
            <v>MUS</v>
          </cell>
          <cell r="F11115" t="str">
            <v xml:space="preserve">MUS-G </v>
          </cell>
          <cell r="G11115">
            <v>901</v>
          </cell>
          <cell r="H11115" t="str">
            <v>MUS-G 901</v>
          </cell>
          <cell r="K11115" t="str">
            <v>Isaacson,Eric John</v>
          </cell>
          <cell r="N11115" t="str">
            <v>NR</v>
          </cell>
          <cell r="O11115" t="str">
            <v>NR</v>
          </cell>
        </row>
        <row r="11116">
          <cell r="E11116" t="str">
            <v>MUS</v>
          </cell>
          <cell r="F11116" t="str">
            <v xml:space="preserve">MUS-H </v>
          </cell>
          <cell r="G11116">
            <v>100</v>
          </cell>
          <cell r="H11116" t="str">
            <v>MUS-H 100</v>
          </cell>
          <cell r="K11116" t="str">
            <v>Szmyt,Elzbieta Monika</v>
          </cell>
          <cell r="N11116" t="str">
            <v>NR</v>
          </cell>
          <cell r="O11116" t="str">
            <v>NR</v>
          </cell>
        </row>
        <row r="11117">
          <cell r="E11117" t="str">
            <v>MUS</v>
          </cell>
          <cell r="F11117" t="str">
            <v xml:space="preserve">MUS-H </v>
          </cell>
          <cell r="G11117">
            <v>100</v>
          </cell>
          <cell r="H11117" t="str">
            <v>MUS-H 100</v>
          </cell>
          <cell r="K11117" t="str">
            <v>Szmyt,Elzbieta Monika</v>
          </cell>
          <cell r="N11117" t="str">
            <v>NR</v>
          </cell>
          <cell r="O11117" t="str">
            <v>NR</v>
          </cell>
        </row>
        <row r="11118">
          <cell r="E11118" t="str">
            <v>MUS</v>
          </cell>
          <cell r="F11118" t="str">
            <v xml:space="preserve">MUS-H </v>
          </cell>
          <cell r="G11118">
            <v>400</v>
          </cell>
          <cell r="H11118" t="str">
            <v>MUS-H 400</v>
          </cell>
          <cell r="K11118" t="str">
            <v>McDonald,Susann</v>
          </cell>
          <cell r="N11118">
            <v>3.9670000000000001</v>
          </cell>
          <cell r="O11118">
            <v>3.8239999999999998</v>
          </cell>
        </row>
        <row r="11119">
          <cell r="E11119" t="str">
            <v>MUS</v>
          </cell>
          <cell r="F11119" t="str">
            <v xml:space="preserve">MUS-H </v>
          </cell>
          <cell r="G11119">
            <v>400</v>
          </cell>
          <cell r="H11119" t="str">
            <v>MUS-H 400</v>
          </cell>
          <cell r="K11119" t="str">
            <v>McDonald,Susann</v>
          </cell>
          <cell r="N11119">
            <v>3.95</v>
          </cell>
          <cell r="O11119">
            <v>3.891</v>
          </cell>
        </row>
        <row r="11120">
          <cell r="E11120" t="str">
            <v>MUS</v>
          </cell>
          <cell r="F11120" t="str">
            <v xml:space="preserve">MUS-H </v>
          </cell>
          <cell r="G11120">
            <v>400</v>
          </cell>
          <cell r="H11120" t="str">
            <v>MUS-H 400</v>
          </cell>
          <cell r="K11120" t="str">
            <v>Richards,Gwyn</v>
          </cell>
          <cell r="N11120" t="str">
            <v>NR</v>
          </cell>
          <cell r="O11120" t="str">
            <v>NR</v>
          </cell>
        </row>
        <row r="11121">
          <cell r="E11121" t="str">
            <v>MUS</v>
          </cell>
          <cell r="F11121" t="str">
            <v xml:space="preserve">MUS-H </v>
          </cell>
          <cell r="G11121">
            <v>400</v>
          </cell>
          <cell r="H11121" t="str">
            <v>MUS-H 400</v>
          </cell>
          <cell r="K11121" t="str">
            <v>Szmyt,Elzbieta Monika</v>
          </cell>
          <cell r="N11121" t="str">
            <v>NR</v>
          </cell>
          <cell r="O11121" t="str">
            <v>NR</v>
          </cell>
        </row>
        <row r="11122">
          <cell r="E11122" t="str">
            <v>MUS</v>
          </cell>
          <cell r="F11122" t="str">
            <v xml:space="preserve">MUS-H </v>
          </cell>
          <cell r="G11122">
            <v>400</v>
          </cell>
          <cell r="H11122" t="str">
            <v>MUS-H 400</v>
          </cell>
          <cell r="K11122" t="str">
            <v>Szmyt,Elzbieta Monika</v>
          </cell>
          <cell r="N11122" t="str">
            <v>NR</v>
          </cell>
          <cell r="O11122" t="str">
            <v>NR</v>
          </cell>
        </row>
        <row r="11123">
          <cell r="E11123" t="str">
            <v>MUS</v>
          </cell>
          <cell r="F11123" t="str">
            <v xml:space="preserve">MUS-H </v>
          </cell>
          <cell r="G11123">
            <v>601</v>
          </cell>
          <cell r="H11123" t="str">
            <v>MUS-H 601</v>
          </cell>
          <cell r="K11123" t="str">
            <v>Isaacson,Eric John</v>
          </cell>
          <cell r="N11123" t="str">
            <v>NR</v>
          </cell>
          <cell r="O11123" t="str">
            <v>NR</v>
          </cell>
        </row>
        <row r="11124">
          <cell r="E11124" t="str">
            <v>MUS</v>
          </cell>
          <cell r="F11124" t="str">
            <v xml:space="preserve">MUS-H </v>
          </cell>
          <cell r="G11124">
            <v>603</v>
          </cell>
          <cell r="H11124" t="str">
            <v>MUS-H 603</v>
          </cell>
          <cell r="K11124" t="str">
            <v>Isaacson,Eric John</v>
          </cell>
          <cell r="N11124" t="str">
            <v>NR</v>
          </cell>
          <cell r="O11124" t="str">
            <v>NR</v>
          </cell>
        </row>
        <row r="11125">
          <cell r="E11125" t="str">
            <v>MUS</v>
          </cell>
          <cell r="F11125" t="str">
            <v xml:space="preserve">MUS-H </v>
          </cell>
          <cell r="G11125">
            <v>604</v>
          </cell>
          <cell r="H11125" t="str">
            <v>MUS-H 604</v>
          </cell>
          <cell r="K11125" t="str">
            <v>Isaacson,Eric John</v>
          </cell>
          <cell r="N11125" t="str">
            <v>NR</v>
          </cell>
          <cell r="O11125" t="str">
            <v>NR</v>
          </cell>
        </row>
        <row r="11126">
          <cell r="E11126" t="str">
            <v>MUS</v>
          </cell>
          <cell r="F11126" t="str">
            <v xml:space="preserve">MUS-H </v>
          </cell>
          <cell r="G11126">
            <v>700</v>
          </cell>
          <cell r="H11126" t="str">
            <v>MUS-H 700</v>
          </cell>
          <cell r="K11126" t="str">
            <v>Szmyt,Elzbieta Monika</v>
          </cell>
          <cell r="N11126" t="str">
            <v>NR</v>
          </cell>
          <cell r="O11126" t="str">
            <v>NR</v>
          </cell>
        </row>
        <row r="11127">
          <cell r="E11127" t="str">
            <v>MUS</v>
          </cell>
          <cell r="F11127" t="str">
            <v xml:space="preserve">MUS-H </v>
          </cell>
          <cell r="G11127">
            <v>900</v>
          </cell>
          <cell r="H11127" t="str">
            <v>MUS-H 900</v>
          </cell>
          <cell r="K11127" t="str">
            <v>McDonald,Susann</v>
          </cell>
          <cell r="N11127" t="str">
            <v>NR</v>
          </cell>
          <cell r="O11127" t="str">
            <v>NR</v>
          </cell>
        </row>
        <row r="11128">
          <cell r="E11128" t="str">
            <v>MUS</v>
          </cell>
          <cell r="F11128" t="str">
            <v xml:space="preserve">MUS-H </v>
          </cell>
          <cell r="G11128">
            <v>900</v>
          </cell>
          <cell r="H11128" t="str">
            <v>MUS-H 900</v>
          </cell>
          <cell r="K11128" t="str">
            <v>McDonald,Susann</v>
          </cell>
          <cell r="N11128" t="str">
            <v>NR</v>
          </cell>
          <cell r="O11128" t="str">
            <v>NR</v>
          </cell>
        </row>
        <row r="11129">
          <cell r="E11129" t="str">
            <v>MUS</v>
          </cell>
          <cell r="F11129" t="str">
            <v xml:space="preserve">MUS-I </v>
          </cell>
          <cell r="G11129">
            <v>201</v>
          </cell>
          <cell r="H11129" t="str">
            <v>MUS-I 201</v>
          </cell>
          <cell r="K11129" t="str">
            <v>Miksza,Peter John</v>
          </cell>
          <cell r="N11129">
            <v>3.8639999999999999</v>
          </cell>
          <cell r="O11129">
            <v>3.58</v>
          </cell>
        </row>
        <row r="11130">
          <cell r="E11130" t="str">
            <v>MUS</v>
          </cell>
          <cell r="F11130" t="str">
            <v xml:space="preserve">MUS-I </v>
          </cell>
          <cell r="G11130">
            <v>201</v>
          </cell>
          <cell r="H11130" t="str">
            <v>MUS-I 201</v>
          </cell>
          <cell r="K11130" t="str">
            <v>Miksza,Peter John</v>
          </cell>
          <cell r="N11130">
            <v>3.8149999999999999</v>
          </cell>
          <cell r="O11130">
            <v>3.6749999999999998</v>
          </cell>
        </row>
        <row r="11131">
          <cell r="E11131" t="str">
            <v>MUS</v>
          </cell>
          <cell r="F11131" t="str">
            <v xml:space="preserve">MUS-I </v>
          </cell>
          <cell r="G11131">
            <v>202</v>
          </cell>
          <cell r="H11131" t="str">
            <v>MUS-I 202</v>
          </cell>
          <cell r="K11131" t="str">
            <v>May,Lissa Fleming</v>
          </cell>
          <cell r="N11131">
            <v>4</v>
          </cell>
          <cell r="O11131">
            <v>3.7509999999999999</v>
          </cell>
        </row>
        <row r="11132">
          <cell r="E11132" t="str">
            <v>MUS</v>
          </cell>
          <cell r="F11132" t="str">
            <v xml:space="preserve">MUS-I </v>
          </cell>
          <cell r="G11132">
            <v>202</v>
          </cell>
          <cell r="H11132" t="str">
            <v>MUS-I 202</v>
          </cell>
          <cell r="K11132" t="str">
            <v>May,Lissa Fleming</v>
          </cell>
          <cell r="N11132">
            <v>4</v>
          </cell>
          <cell r="O11132">
            <v>3.7669999999999999</v>
          </cell>
        </row>
        <row r="11133">
          <cell r="E11133" t="str">
            <v>MUS</v>
          </cell>
          <cell r="F11133" t="str">
            <v xml:space="preserve">MUS-I </v>
          </cell>
          <cell r="G11133">
            <v>400</v>
          </cell>
          <cell r="H11133" t="str">
            <v>MUS-I 400</v>
          </cell>
          <cell r="K11133" t="str">
            <v>Potter,Gary Morton</v>
          </cell>
          <cell r="N11133" t="str">
            <v>NR</v>
          </cell>
          <cell r="O11133" t="str">
            <v>NR</v>
          </cell>
        </row>
        <row r="11134">
          <cell r="E11134" t="str">
            <v>MUS</v>
          </cell>
          <cell r="F11134" t="str">
            <v xml:space="preserve">MUS-I </v>
          </cell>
          <cell r="G11134">
            <v>400</v>
          </cell>
          <cell r="H11134" t="str">
            <v>MUS-I 400</v>
          </cell>
          <cell r="K11134" t="str">
            <v>Potter,Gary Morton</v>
          </cell>
          <cell r="N11134" t="str">
            <v>NR</v>
          </cell>
          <cell r="O11134" t="str">
            <v>NR</v>
          </cell>
        </row>
        <row r="11135">
          <cell r="E11135" t="str">
            <v>MUS</v>
          </cell>
          <cell r="F11135" t="str">
            <v xml:space="preserve">MUS-I </v>
          </cell>
          <cell r="G11135">
            <v>407</v>
          </cell>
          <cell r="H11135" t="str">
            <v>MUS-I 407</v>
          </cell>
          <cell r="K11135" t="str">
            <v>Potter,Gary Morton</v>
          </cell>
          <cell r="N11135">
            <v>3.8719999999999999</v>
          </cell>
          <cell r="O11135">
            <v>3.5609999999999999</v>
          </cell>
        </row>
        <row r="11136">
          <cell r="E11136" t="str">
            <v>MUS</v>
          </cell>
          <cell r="F11136" t="str">
            <v xml:space="preserve">MUS-I </v>
          </cell>
          <cell r="G11136">
            <v>407</v>
          </cell>
          <cell r="H11136" t="str">
            <v>MUS-I 407</v>
          </cell>
          <cell r="K11136" t="str">
            <v>Potter,Gary Morton</v>
          </cell>
          <cell r="N11136">
            <v>3.9750000000000001</v>
          </cell>
          <cell r="O11136">
            <v>3.7</v>
          </cell>
        </row>
        <row r="11137">
          <cell r="E11137" t="str">
            <v>MUS</v>
          </cell>
          <cell r="F11137" t="str">
            <v xml:space="preserve">MUS-I </v>
          </cell>
          <cell r="G11137">
            <v>408</v>
          </cell>
          <cell r="H11137" t="str">
            <v>MUS-I 408</v>
          </cell>
          <cell r="K11137" t="str">
            <v>Potter,Gary Morton</v>
          </cell>
          <cell r="N11137">
            <v>3.7440000000000002</v>
          </cell>
          <cell r="O11137">
            <v>3.4369999999999998</v>
          </cell>
        </row>
        <row r="11138">
          <cell r="E11138" t="str">
            <v>MUS</v>
          </cell>
          <cell r="F11138" t="str">
            <v xml:space="preserve">MUS-I </v>
          </cell>
          <cell r="G11138">
            <v>409</v>
          </cell>
          <cell r="H11138" t="str">
            <v>MUS-I 409</v>
          </cell>
          <cell r="K11138" t="str">
            <v>Potter,Gary Morton</v>
          </cell>
          <cell r="N11138" t="str">
            <v>NR</v>
          </cell>
          <cell r="O11138" t="str">
            <v>NR</v>
          </cell>
        </row>
        <row r="11139">
          <cell r="E11139" t="str">
            <v>MUS</v>
          </cell>
          <cell r="F11139" t="str">
            <v xml:space="preserve">MUS-I </v>
          </cell>
          <cell r="G11139">
            <v>409</v>
          </cell>
          <cell r="H11139" t="str">
            <v>MUS-I 409</v>
          </cell>
          <cell r="K11139" t="str">
            <v>Potter,Gary Morton</v>
          </cell>
          <cell r="N11139">
            <v>4</v>
          </cell>
          <cell r="O11139">
            <v>3.7250000000000001</v>
          </cell>
        </row>
        <row r="11140">
          <cell r="E11140" t="str">
            <v>MUS</v>
          </cell>
          <cell r="F11140" t="str">
            <v xml:space="preserve">MUS-I </v>
          </cell>
          <cell r="G11140">
            <v>410</v>
          </cell>
          <cell r="H11140" t="str">
            <v>MUS-I 410</v>
          </cell>
          <cell r="K11140" t="str">
            <v>Potter,Gary Morton</v>
          </cell>
          <cell r="N11140" t="str">
            <v>NR</v>
          </cell>
          <cell r="O11140" t="str">
            <v>NR</v>
          </cell>
        </row>
        <row r="11141">
          <cell r="E11141" t="str">
            <v>MUS</v>
          </cell>
          <cell r="F11141" t="str">
            <v xml:space="preserve">MUS-I </v>
          </cell>
          <cell r="G11141">
            <v>411</v>
          </cell>
          <cell r="H11141" t="str">
            <v>MUS-I 411</v>
          </cell>
          <cell r="K11141" t="str">
            <v>Potter,Gary Morton</v>
          </cell>
          <cell r="N11141">
            <v>4</v>
          </cell>
          <cell r="O11141">
            <v>3.5870000000000002</v>
          </cell>
        </row>
        <row r="11142">
          <cell r="E11142" t="str">
            <v>MUS</v>
          </cell>
          <cell r="F11142" t="str">
            <v xml:space="preserve">MUS-I </v>
          </cell>
          <cell r="G11142">
            <v>411</v>
          </cell>
          <cell r="H11142" t="str">
            <v>MUS-I 411</v>
          </cell>
          <cell r="K11142" t="str">
            <v>Potter,Gary Morton</v>
          </cell>
          <cell r="N11142">
            <v>3.9670000000000001</v>
          </cell>
          <cell r="O11142">
            <v>3.6190000000000002</v>
          </cell>
        </row>
        <row r="11143">
          <cell r="E11143" t="str">
            <v>MUS</v>
          </cell>
          <cell r="F11143" t="str">
            <v xml:space="preserve">MUS-I </v>
          </cell>
          <cell r="G11143">
            <v>412</v>
          </cell>
          <cell r="H11143" t="str">
            <v>MUS-I 412</v>
          </cell>
          <cell r="K11143" t="str">
            <v>Potter,Gary Morton</v>
          </cell>
          <cell r="N11143">
            <v>4</v>
          </cell>
          <cell r="O11143">
            <v>3.7269999999999999</v>
          </cell>
        </row>
        <row r="11144">
          <cell r="E11144" t="str">
            <v>MUS</v>
          </cell>
          <cell r="F11144" t="str">
            <v xml:space="preserve">MUS-I </v>
          </cell>
          <cell r="G11144">
            <v>412</v>
          </cell>
          <cell r="H11144" t="str">
            <v>MUS-I 412</v>
          </cell>
          <cell r="K11144" t="str">
            <v>Potter,Gary Morton</v>
          </cell>
          <cell r="N11144">
            <v>3.93</v>
          </cell>
          <cell r="O11144">
            <v>3.6280000000000001</v>
          </cell>
        </row>
        <row r="11145">
          <cell r="E11145" t="str">
            <v>MUS</v>
          </cell>
          <cell r="F11145" t="str">
            <v xml:space="preserve">MUS-I </v>
          </cell>
          <cell r="G11145">
            <v>412</v>
          </cell>
          <cell r="H11145" t="str">
            <v>MUS-I 412</v>
          </cell>
          <cell r="K11145" t="str">
            <v>Potter,Gary Morton</v>
          </cell>
          <cell r="N11145" t="str">
            <v>NR</v>
          </cell>
          <cell r="O11145" t="str">
            <v>NR</v>
          </cell>
        </row>
        <row r="11146">
          <cell r="E11146" t="str">
            <v>MUS</v>
          </cell>
          <cell r="F11146" t="str">
            <v xml:space="preserve">MUS-I </v>
          </cell>
          <cell r="G11146">
            <v>500</v>
          </cell>
          <cell r="H11146" t="str">
            <v>MUS-I 500</v>
          </cell>
          <cell r="K11146" t="str">
            <v>Agostini,Federico</v>
          </cell>
          <cell r="N11146">
            <v>4</v>
          </cell>
          <cell r="O11146">
            <v>3.6709999999999998</v>
          </cell>
        </row>
        <row r="11147">
          <cell r="E11147" t="str">
            <v>MUS</v>
          </cell>
          <cell r="F11147" t="str">
            <v xml:space="preserve">MUS-I </v>
          </cell>
          <cell r="G11147">
            <v>500</v>
          </cell>
          <cell r="H11147" t="str">
            <v>MUS-I 500</v>
          </cell>
          <cell r="K11147" t="str">
            <v>Allen,Jeremy Linn</v>
          </cell>
          <cell r="N11147" t="str">
            <v>NR</v>
          </cell>
          <cell r="O11147" t="str">
            <v>NR</v>
          </cell>
        </row>
        <row r="11148">
          <cell r="E11148" t="str">
            <v>MUS</v>
          </cell>
          <cell r="F11148" t="str">
            <v xml:space="preserve">MUS-I </v>
          </cell>
          <cell r="G11148">
            <v>500</v>
          </cell>
          <cell r="H11148" t="str">
            <v>MUS-I 500</v>
          </cell>
          <cell r="K11148" t="str">
            <v>Allen,Jeremy Linn</v>
          </cell>
          <cell r="N11148" t="str">
            <v>NR</v>
          </cell>
          <cell r="O11148" t="str">
            <v>NR</v>
          </cell>
        </row>
        <row r="11149">
          <cell r="E11149" t="str">
            <v>MUS</v>
          </cell>
          <cell r="F11149" t="str">
            <v xml:space="preserve">MUS-I </v>
          </cell>
          <cell r="G11149">
            <v>500</v>
          </cell>
          <cell r="H11149" t="str">
            <v>MUS-I 500</v>
          </cell>
          <cell r="K11149" t="str">
            <v>Arad,Atar</v>
          </cell>
          <cell r="N11149">
            <v>4</v>
          </cell>
          <cell r="O11149">
            <v>3.839</v>
          </cell>
        </row>
        <row r="11150">
          <cell r="E11150" t="str">
            <v>MUS</v>
          </cell>
          <cell r="F11150" t="str">
            <v xml:space="preserve">MUS-I </v>
          </cell>
          <cell r="G11150">
            <v>500</v>
          </cell>
          <cell r="H11150" t="str">
            <v>MUS-I 500</v>
          </cell>
          <cell r="K11150" t="str">
            <v>Arad,Atar</v>
          </cell>
          <cell r="N11150">
            <v>4</v>
          </cell>
          <cell r="O11150">
            <v>3.79</v>
          </cell>
        </row>
        <row r="11151">
          <cell r="E11151" t="str">
            <v>MUS</v>
          </cell>
          <cell r="F11151" t="str">
            <v xml:space="preserve">MUS-I </v>
          </cell>
          <cell r="G11151">
            <v>500</v>
          </cell>
          <cell r="H11151" t="str">
            <v>MUS-I 500</v>
          </cell>
          <cell r="K11151" t="str">
            <v>Auer,Edward</v>
          </cell>
          <cell r="N11151">
            <v>4</v>
          </cell>
          <cell r="O11151">
            <v>3.7370000000000001</v>
          </cell>
        </row>
        <row r="11152">
          <cell r="E11152" t="str">
            <v>MUS</v>
          </cell>
          <cell r="F11152" t="str">
            <v xml:space="preserve">MUS-I </v>
          </cell>
          <cell r="G11152">
            <v>500</v>
          </cell>
          <cell r="H11152" t="str">
            <v>MUS-I 500</v>
          </cell>
          <cell r="K11152" t="str">
            <v>Bae,Ik-Hwan</v>
          </cell>
          <cell r="N11152">
            <v>4</v>
          </cell>
          <cell r="O11152">
            <v>3.7170000000000001</v>
          </cell>
        </row>
        <row r="11153">
          <cell r="E11153" t="str">
            <v>MUS</v>
          </cell>
          <cell r="F11153" t="str">
            <v xml:space="preserve">MUS-I </v>
          </cell>
          <cell r="G11153">
            <v>500</v>
          </cell>
          <cell r="H11153" t="str">
            <v>MUS-I 500</v>
          </cell>
          <cell r="K11153" t="str">
            <v>Bae,Ik-Hwan</v>
          </cell>
          <cell r="N11153">
            <v>4</v>
          </cell>
          <cell r="O11153">
            <v>3.5670000000000002</v>
          </cell>
        </row>
        <row r="11154">
          <cell r="E11154" t="str">
            <v>MUS</v>
          </cell>
          <cell r="F11154" t="str">
            <v xml:space="preserve">MUS-I </v>
          </cell>
          <cell r="G11154">
            <v>500</v>
          </cell>
          <cell r="H11154" t="str">
            <v>MUS-I 500</v>
          </cell>
          <cell r="K11154" t="str">
            <v>Battersby,Edmund</v>
          </cell>
          <cell r="N11154">
            <v>4</v>
          </cell>
          <cell r="O11154">
            <v>3.8650000000000002</v>
          </cell>
        </row>
        <row r="11155">
          <cell r="E11155" t="str">
            <v>MUS</v>
          </cell>
          <cell r="F11155" t="str">
            <v xml:space="preserve">MUS-I </v>
          </cell>
          <cell r="G11155">
            <v>500</v>
          </cell>
          <cell r="H11155" t="str">
            <v>MUS-I 500</v>
          </cell>
          <cell r="K11155" t="str">
            <v>Battersby,Edmund</v>
          </cell>
          <cell r="N11155" t="str">
            <v>NR</v>
          </cell>
          <cell r="O11155" t="str">
            <v>NR</v>
          </cell>
        </row>
        <row r="11156">
          <cell r="E11156" t="str">
            <v>MUS</v>
          </cell>
          <cell r="F11156" t="str">
            <v xml:space="preserve">MUS-I </v>
          </cell>
          <cell r="G11156">
            <v>500</v>
          </cell>
          <cell r="H11156" t="str">
            <v>MUS-I 500</v>
          </cell>
          <cell r="K11156" t="str">
            <v>Bitetti,Ernesto</v>
          </cell>
          <cell r="N11156">
            <v>4</v>
          </cell>
          <cell r="O11156">
            <v>3.6680000000000001</v>
          </cell>
        </row>
        <row r="11157">
          <cell r="E11157" t="str">
            <v>MUS</v>
          </cell>
          <cell r="F11157" t="str">
            <v xml:space="preserve">MUS-I </v>
          </cell>
          <cell r="G11157">
            <v>500</v>
          </cell>
          <cell r="H11157" t="str">
            <v>MUS-I 500</v>
          </cell>
          <cell r="K11157" t="str">
            <v>Bitetti,Ernesto</v>
          </cell>
          <cell r="N11157">
            <v>4</v>
          </cell>
          <cell r="O11157">
            <v>3.6619999999999999</v>
          </cell>
        </row>
        <row r="11158">
          <cell r="E11158" t="str">
            <v>MUS</v>
          </cell>
          <cell r="F11158" t="str">
            <v xml:space="preserve">MUS-I </v>
          </cell>
          <cell r="G11158">
            <v>500</v>
          </cell>
          <cell r="H11158" t="str">
            <v>MUS-I 500</v>
          </cell>
          <cell r="K11158" t="str">
            <v>Brancart,Evelyne Emilie Louise</v>
          </cell>
          <cell r="N11158">
            <v>4</v>
          </cell>
          <cell r="O11158">
            <v>3.883</v>
          </cell>
        </row>
        <row r="11159">
          <cell r="E11159" t="str">
            <v>MUS</v>
          </cell>
          <cell r="F11159" t="str">
            <v xml:space="preserve">MUS-I </v>
          </cell>
          <cell r="G11159">
            <v>500</v>
          </cell>
          <cell r="H11159" t="str">
            <v>MUS-I 500</v>
          </cell>
          <cell r="K11159" t="str">
            <v>Brancart,Evelyne Emilie Louise</v>
          </cell>
          <cell r="N11159">
            <v>4</v>
          </cell>
          <cell r="O11159">
            <v>3.8929999999999998</v>
          </cell>
        </row>
        <row r="11160">
          <cell r="E11160" t="str">
            <v>MUS</v>
          </cell>
          <cell r="F11160" t="str">
            <v xml:space="preserve">MUS-I </v>
          </cell>
          <cell r="G11160">
            <v>500</v>
          </cell>
          <cell r="H11160" t="str">
            <v>MUS-I 500</v>
          </cell>
          <cell r="K11160" t="str">
            <v>Bransby,Bruce</v>
          </cell>
          <cell r="N11160">
            <v>4</v>
          </cell>
          <cell r="O11160">
            <v>3.585</v>
          </cell>
        </row>
        <row r="11161">
          <cell r="E11161" t="str">
            <v>MUS</v>
          </cell>
          <cell r="F11161" t="str">
            <v xml:space="preserve">MUS-I </v>
          </cell>
          <cell r="G11161">
            <v>500</v>
          </cell>
          <cell r="H11161" t="str">
            <v>MUS-I 500</v>
          </cell>
          <cell r="K11161" t="str">
            <v>Bransby,Bruce</v>
          </cell>
          <cell r="N11161">
            <v>4</v>
          </cell>
          <cell r="O11161">
            <v>3.6760000000000002</v>
          </cell>
        </row>
        <row r="11162">
          <cell r="E11162" t="str">
            <v>MUS</v>
          </cell>
          <cell r="F11162" t="str">
            <v xml:space="preserve">MUS-I </v>
          </cell>
          <cell r="G11162">
            <v>500</v>
          </cell>
          <cell r="H11162" t="str">
            <v>MUS-I 500</v>
          </cell>
          <cell r="K11162" t="str">
            <v>Brendel,Wolfgang R</v>
          </cell>
          <cell r="N11162" t="str">
            <v>NR</v>
          </cell>
          <cell r="O11162" t="str">
            <v>NR</v>
          </cell>
        </row>
        <row r="11163">
          <cell r="E11163" t="str">
            <v>MUS</v>
          </cell>
          <cell r="F11163" t="str">
            <v xml:space="preserve">MUS-I </v>
          </cell>
          <cell r="G11163">
            <v>500</v>
          </cell>
          <cell r="H11163" t="str">
            <v>MUS-I 500</v>
          </cell>
          <cell r="K11163" t="str">
            <v>Brown,Craig Murray</v>
          </cell>
          <cell r="N11163">
            <v>4</v>
          </cell>
          <cell r="O11163">
            <v>3.7</v>
          </cell>
        </row>
        <row r="11164">
          <cell r="E11164" t="str">
            <v>MUS</v>
          </cell>
          <cell r="F11164" t="str">
            <v xml:space="preserve">MUS-I </v>
          </cell>
          <cell r="G11164">
            <v>500</v>
          </cell>
          <cell r="H11164" t="str">
            <v>MUS-I 500</v>
          </cell>
          <cell r="K11164" t="str">
            <v>Campbell,James</v>
          </cell>
          <cell r="N11164">
            <v>4</v>
          </cell>
          <cell r="O11164">
            <v>3.7440000000000002</v>
          </cell>
        </row>
        <row r="11165">
          <cell r="E11165" t="str">
            <v>MUS</v>
          </cell>
          <cell r="F11165" t="str">
            <v xml:space="preserve">MUS-I </v>
          </cell>
          <cell r="G11165">
            <v>500</v>
          </cell>
          <cell r="H11165" t="str">
            <v>MUS-I 500</v>
          </cell>
          <cell r="K11165" t="str">
            <v>Campbell,James</v>
          </cell>
          <cell r="N11165">
            <v>4</v>
          </cell>
          <cell r="O11165">
            <v>3.7360000000000002</v>
          </cell>
        </row>
        <row r="11166">
          <cell r="E11166" t="str">
            <v>MUS</v>
          </cell>
          <cell r="F11166" t="str">
            <v xml:space="preserve">MUS-I </v>
          </cell>
          <cell r="G11166">
            <v>500</v>
          </cell>
          <cell r="H11166" t="str">
            <v>MUS-I 500</v>
          </cell>
          <cell r="K11166" t="str">
            <v>Cohen,Arnaldo</v>
          </cell>
          <cell r="N11166">
            <v>3.94</v>
          </cell>
          <cell r="O11166">
            <v>3.8380000000000001</v>
          </cell>
        </row>
        <row r="11167">
          <cell r="E11167" t="str">
            <v>MUS</v>
          </cell>
          <cell r="F11167" t="str">
            <v xml:space="preserve">MUS-I </v>
          </cell>
          <cell r="G11167">
            <v>500</v>
          </cell>
          <cell r="H11167" t="str">
            <v>MUS-I 500</v>
          </cell>
          <cell r="K11167" t="str">
            <v>Colon,Emilio W.</v>
          </cell>
          <cell r="N11167">
            <v>4</v>
          </cell>
          <cell r="O11167">
            <v>3.78</v>
          </cell>
        </row>
        <row r="11168">
          <cell r="E11168" t="str">
            <v>MUS</v>
          </cell>
          <cell r="F11168" t="str">
            <v xml:space="preserve">MUS-I </v>
          </cell>
          <cell r="G11168">
            <v>500</v>
          </cell>
          <cell r="H11168" t="str">
            <v>MUS-I 500</v>
          </cell>
          <cell r="K11168" t="str">
            <v>Colon,Emilio W.</v>
          </cell>
          <cell r="N11168">
            <v>4</v>
          </cell>
          <cell r="O11168">
            <v>3.6680000000000001</v>
          </cell>
        </row>
        <row r="11169">
          <cell r="E11169" t="str">
            <v>MUS</v>
          </cell>
          <cell r="F11169" t="str">
            <v xml:space="preserve">MUS-I </v>
          </cell>
          <cell r="G11169">
            <v>500</v>
          </cell>
          <cell r="H11169" t="str">
            <v>MUS-I 500</v>
          </cell>
          <cell r="K11169" t="str">
            <v>Cord,Edmund</v>
          </cell>
          <cell r="N11169">
            <v>4</v>
          </cell>
          <cell r="O11169">
            <v>3.649</v>
          </cell>
        </row>
        <row r="11170">
          <cell r="E11170" t="str">
            <v>MUS</v>
          </cell>
          <cell r="F11170" t="str">
            <v xml:space="preserve">MUS-I </v>
          </cell>
          <cell r="G11170">
            <v>500</v>
          </cell>
          <cell r="H11170" t="str">
            <v>MUS-I 500</v>
          </cell>
          <cell r="K11170" t="str">
            <v>Cord,Edmund</v>
          </cell>
          <cell r="N11170">
            <v>4</v>
          </cell>
          <cell r="O11170">
            <v>3.7869999999999999</v>
          </cell>
        </row>
        <row r="11171">
          <cell r="E11171" t="str">
            <v>MUS</v>
          </cell>
          <cell r="F11171" t="str">
            <v xml:space="preserve">MUS-I </v>
          </cell>
          <cell r="G11171">
            <v>500</v>
          </cell>
          <cell r="H11171" t="str">
            <v>MUS-I 500</v>
          </cell>
          <cell r="K11171" t="str">
            <v>Cuccaro-Penhorwood,Costanza</v>
          </cell>
          <cell r="N11171">
            <v>4</v>
          </cell>
          <cell r="O11171">
            <v>3.6680000000000001</v>
          </cell>
        </row>
        <row r="11172">
          <cell r="E11172" t="str">
            <v>MUS</v>
          </cell>
          <cell r="F11172" t="str">
            <v xml:space="preserve">MUS-I </v>
          </cell>
          <cell r="G11172">
            <v>500</v>
          </cell>
          <cell r="H11172" t="str">
            <v>MUS-I 500</v>
          </cell>
          <cell r="K11172" t="str">
            <v>Cuccaro-Penhorwood,Costanza</v>
          </cell>
          <cell r="N11172">
            <v>4</v>
          </cell>
          <cell r="O11172">
            <v>3.806</v>
          </cell>
        </row>
        <row r="11173">
          <cell r="E11173" t="str">
            <v>MUS</v>
          </cell>
          <cell r="F11173" t="str">
            <v xml:space="preserve">MUS-I </v>
          </cell>
          <cell r="G11173">
            <v>500</v>
          </cell>
          <cell r="H11173" t="str">
            <v>MUS-I 500</v>
          </cell>
          <cell r="K11173" t="str">
            <v>De Veritch,Alan Bisno</v>
          </cell>
          <cell r="N11173" t="str">
            <v>NR</v>
          </cell>
          <cell r="O11173" t="str">
            <v>NR</v>
          </cell>
        </row>
        <row r="11174">
          <cell r="E11174" t="str">
            <v>MUS</v>
          </cell>
          <cell r="F11174" t="str">
            <v xml:space="preserve">MUS-I </v>
          </cell>
          <cell r="G11174">
            <v>500</v>
          </cell>
          <cell r="H11174" t="str">
            <v>MUS-I 500</v>
          </cell>
          <cell r="K11174" t="str">
            <v>Dzubay,David</v>
          </cell>
          <cell r="N11174">
            <v>4</v>
          </cell>
          <cell r="O11174">
            <v>3.5529999999999999</v>
          </cell>
        </row>
        <row r="11175">
          <cell r="E11175" t="str">
            <v>MUS</v>
          </cell>
          <cell r="F11175" t="str">
            <v xml:space="preserve">MUS-I </v>
          </cell>
          <cell r="G11175">
            <v>500</v>
          </cell>
          <cell r="H11175" t="str">
            <v>MUS-I 500</v>
          </cell>
          <cell r="K11175" t="str">
            <v>Eban,Eli</v>
          </cell>
          <cell r="N11175">
            <v>3.9249999999999998</v>
          </cell>
          <cell r="O11175">
            <v>3.7879999999999998</v>
          </cell>
        </row>
        <row r="11176">
          <cell r="E11176" t="str">
            <v>MUS</v>
          </cell>
          <cell r="F11176" t="str">
            <v xml:space="preserve">MUS-I </v>
          </cell>
          <cell r="G11176">
            <v>500</v>
          </cell>
          <cell r="H11176" t="str">
            <v>MUS-I 500</v>
          </cell>
          <cell r="K11176" t="str">
            <v>Eban,Eli</v>
          </cell>
          <cell r="N11176">
            <v>4</v>
          </cell>
          <cell r="O11176">
            <v>3.7629999999999999</v>
          </cell>
        </row>
        <row r="11177">
          <cell r="E11177" t="str">
            <v>MUS</v>
          </cell>
          <cell r="F11177" t="str">
            <v xml:space="preserve">MUS-I </v>
          </cell>
          <cell r="G11177">
            <v>500</v>
          </cell>
          <cell r="H11177" t="str">
            <v>MUS-I 500</v>
          </cell>
          <cell r="K11177" t="str">
            <v>Edlina-Dubinsky,Luba</v>
          </cell>
          <cell r="N11177">
            <v>3.9569999999999999</v>
          </cell>
          <cell r="O11177">
            <v>3.8610000000000002</v>
          </cell>
        </row>
        <row r="11178">
          <cell r="E11178" t="str">
            <v>MUS</v>
          </cell>
          <cell r="F11178" t="str">
            <v xml:space="preserve">MUS-I </v>
          </cell>
          <cell r="G11178">
            <v>500</v>
          </cell>
          <cell r="H11178" t="str">
            <v>MUS-I 500</v>
          </cell>
          <cell r="K11178" t="str">
            <v>Edlina-Dubinsky,Luba</v>
          </cell>
          <cell r="N11178">
            <v>4</v>
          </cell>
          <cell r="O11178">
            <v>3.7879999999999998</v>
          </cell>
        </row>
        <row r="11179">
          <cell r="E11179" t="str">
            <v>MUS</v>
          </cell>
          <cell r="F11179" t="str">
            <v xml:space="preserve">MUS-I </v>
          </cell>
          <cell r="G11179">
            <v>500</v>
          </cell>
          <cell r="H11179" t="str">
            <v>MUS-I 500</v>
          </cell>
          <cell r="K11179" t="str">
            <v>Ellefson,Peter E.</v>
          </cell>
          <cell r="N11179">
            <v>3.9089999999999998</v>
          </cell>
          <cell r="O11179">
            <v>3.6139999999999999</v>
          </cell>
        </row>
        <row r="11180">
          <cell r="E11180" t="str">
            <v>MUS</v>
          </cell>
          <cell r="F11180" t="str">
            <v xml:space="preserve">MUS-I </v>
          </cell>
          <cell r="G11180">
            <v>500</v>
          </cell>
          <cell r="H11180" t="str">
            <v>MUS-I 500</v>
          </cell>
          <cell r="K11180" t="str">
            <v>Ellefson,Peter E.</v>
          </cell>
          <cell r="N11180">
            <v>4</v>
          </cell>
          <cell r="O11180">
            <v>3.6139999999999999</v>
          </cell>
        </row>
        <row r="11181">
          <cell r="E11181" t="str">
            <v>MUS</v>
          </cell>
          <cell r="F11181" t="str">
            <v xml:space="preserve">MUS-I </v>
          </cell>
          <cell r="G11181">
            <v>500</v>
          </cell>
          <cell r="H11181" t="str">
            <v>MUS-I 500</v>
          </cell>
          <cell r="K11181" t="str">
            <v>Elliott,Paul</v>
          </cell>
          <cell r="N11181">
            <v>4</v>
          </cell>
          <cell r="O11181">
            <v>3.863</v>
          </cell>
        </row>
        <row r="11182">
          <cell r="E11182" t="str">
            <v>MUS</v>
          </cell>
          <cell r="F11182" t="str">
            <v xml:space="preserve">MUS-I </v>
          </cell>
          <cell r="G11182">
            <v>500</v>
          </cell>
          <cell r="H11182" t="str">
            <v>MUS-I 500</v>
          </cell>
          <cell r="K11182" t="str">
            <v>Elliott,Paul</v>
          </cell>
          <cell r="N11182">
            <v>4</v>
          </cell>
          <cell r="O11182">
            <v>3.8260000000000001</v>
          </cell>
        </row>
        <row r="11183">
          <cell r="E11183" t="str">
            <v>MUS</v>
          </cell>
          <cell r="F11183" t="str">
            <v xml:space="preserve">MUS-I </v>
          </cell>
          <cell r="G11183">
            <v>500</v>
          </cell>
          <cell r="H11183" t="str">
            <v>MUS-I 500</v>
          </cell>
          <cell r="K11183" t="str">
            <v>Elliott,Paul</v>
          </cell>
          <cell r="N11183">
            <v>4</v>
          </cell>
          <cell r="O11183">
            <v>3.8460000000000001</v>
          </cell>
        </row>
        <row r="11184">
          <cell r="E11184" t="str">
            <v>MUS</v>
          </cell>
          <cell r="F11184" t="str">
            <v xml:space="preserve">MUS-I </v>
          </cell>
          <cell r="G11184">
            <v>500</v>
          </cell>
          <cell r="H11184" t="str">
            <v>MUS-I 500</v>
          </cell>
          <cell r="K11184" t="str">
            <v>Elliott,Paul</v>
          </cell>
          <cell r="N11184">
            <v>4</v>
          </cell>
          <cell r="O11184">
            <v>3.8420000000000001</v>
          </cell>
        </row>
        <row r="11185">
          <cell r="E11185" t="str">
            <v>MUS</v>
          </cell>
          <cell r="F11185" t="str">
            <v xml:space="preserve">MUS-I </v>
          </cell>
          <cell r="G11185">
            <v>500</v>
          </cell>
          <cell r="H11185" t="str">
            <v>MUS-I 500</v>
          </cell>
          <cell r="K11185" t="str">
            <v>Eotvos,Melody Teresa</v>
          </cell>
          <cell r="N11185">
            <v>3.93</v>
          </cell>
          <cell r="O11185">
            <v>3.835</v>
          </cell>
        </row>
        <row r="11186">
          <cell r="E11186" t="str">
            <v>MUS</v>
          </cell>
          <cell r="F11186" t="str">
            <v xml:space="preserve">MUS-I </v>
          </cell>
          <cell r="G11186">
            <v>500</v>
          </cell>
          <cell r="H11186" t="str">
            <v>MUS-I 500</v>
          </cell>
          <cell r="K11186" t="str">
            <v>Fishell,Janette Sue</v>
          </cell>
          <cell r="N11186">
            <v>4</v>
          </cell>
          <cell r="O11186">
            <v>3.867</v>
          </cell>
        </row>
        <row r="11187">
          <cell r="E11187" t="str">
            <v>MUS</v>
          </cell>
          <cell r="F11187" t="str">
            <v xml:space="preserve">MUS-I </v>
          </cell>
          <cell r="G11187">
            <v>500</v>
          </cell>
          <cell r="H11187" t="str">
            <v>MUS-I 500</v>
          </cell>
          <cell r="K11187" t="str">
            <v>Fishell,Janette Sue</v>
          </cell>
          <cell r="N11187">
            <v>4</v>
          </cell>
          <cell r="O11187">
            <v>3.8530000000000002</v>
          </cell>
        </row>
        <row r="11188">
          <cell r="E11188" t="str">
            <v>MUS</v>
          </cell>
          <cell r="F11188" t="str">
            <v xml:space="preserve">MUS-I </v>
          </cell>
          <cell r="G11188">
            <v>500</v>
          </cell>
          <cell r="H11188" t="str">
            <v>MUS-I 500</v>
          </cell>
          <cell r="K11188" t="str">
            <v>Fleezanis,Jorja</v>
          </cell>
          <cell r="N11188" t="str">
            <v>NR</v>
          </cell>
          <cell r="O11188" t="str">
            <v>NR</v>
          </cell>
        </row>
        <row r="11189">
          <cell r="E11189" t="str">
            <v>MUS</v>
          </cell>
          <cell r="F11189" t="str">
            <v xml:space="preserve">MUS-I </v>
          </cell>
          <cell r="G11189">
            <v>500</v>
          </cell>
          <cell r="H11189" t="str">
            <v>MUS-I 500</v>
          </cell>
          <cell r="K11189" t="str">
            <v>Fleezanis,Jorja</v>
          </cell>
          <cell r="N11189">
            <v>4</v>
          </cell>
          <cell r="O11189">
            <v>3.8380000000000001</v>
          </cell>
        </row>
        <row r="11190">
          <cell r="E11190" t="str">
            <v>MUS</v>
          </cell>
          <cell r="F11190" t="str">
            <v xml:space="preserve">MUS-I </v>
          </cell>
          <cell r="G11190">
            <v>500</v>
          </cell>
          <cell r="H11190" t="str">
            <v>MUS-I 500</v>
          </cell>
          <cell r="K11190" t="str">
            <v>Fuks,Mauricio</v>
          </cell>
          <cell r="N11190">
            <v>4</v>
          </cell>
          <cell r="O11190">
            <v>3.8130000000000002</v>
          </cell>
        </row>
        <row r="11191">
          <cell r="E11191" t="str">
            <v>MUS</v>
          </cell>
          <cell r="F11191" t="str">
            <v xml:space="preserve">MUS-I </v>
          </cell>
          <cell r="G11191">
            <v>500</v>
          </cell>
          <cell r="H11191" t="str">
            <v>MUS-I 500</v>
          </cell>
          <cell r="K11191" t="str">
            <v>Fuks,Mauricio</v>
          </cell>
          <cell r="N11191">
            <v>4</v>
          </cell>
          <cell r="O11191">
            <v>3.9169999999999998</v>
          </cell>
        </row>
        <row r="11192">
          <cell r="E11192" t="str">
            <v>MUS</v>
          </cell>
          <cell r="F11192" t="str">
            <v xml:space="preserve">MUS-I </v>
          </cell>
          <cell r="G11192">
            <v>500</v>
          </cell>
          <cell r="H11192" t="str">
            <v>MUS-I 500</v>
          </cell>
          <cell r="K11192" t="str">
            <v>Gazouleas,Edward Panjiotis</v>
          </cell>
          <cell r="N11192" t="str">
            <v>NR</v>
          </cell>
          <cell r="O11192" t="str">
            <v>NR</v>
          </cell>
        </row>
        <row r="11193">
          <cell r="E11193" t="str">
            <v>MUS</v>
          </cell>
          <cell r="F11193" t="str">
            <v xml:space="preserve">MUS-I </v>
          </cell>
          <cell r="G11193">
            <v>500</v>
          </cell>
          <cell r="H11193" t="str">
            <v>MUS-I 500</v>
          </cell>
          <cell r="K11193" t="str">
            <v>Gillespie,Luke O Neil</v>
          </cell>
          <cell r="N11193">
            <v>4</v>
          </cell>
          <cell r="O11193">
            <v>3.8809999999999998</v>
          </cell>
        </row>
        <row r="11194">
          <cell r="E11194" t="str">
            <v>MUS</v>
          </cell>
          <cell r="F11194" t="str">
            <v xml:space="preserve">MUS-I </v>
          </cell>
          <cell r="G11194">
            <v>500</v>
          </cell>
          <cell r="H11194" t="str">
            <v>MUS-I 500</v>
          </cell>
          <cell r="K11194" t="str">
            <v>Gillespie,Luke O Neil</v>
          </cell>
          <cell r="N11194">
            <v>4</v>
          </cell>
          <cell r="O11194">
            <v>3.802</v>
          </cell>
        </row>
        <row r="11195">
          <cell r="E11195" t="str">
            <v>MUS</v>
          </cell>
          <cell r="F11195" t="str">
            <v xml:space="preserve">MUS-I </v>
          </cell>
          <cell r="G11195">
            <v>500</v>
          </cell>
          <cell r="H11195" t="str">
            <v>MUS-I 500</v>
          </cell>
          <cell r="K11195" t="str">
            <v>Gillespie,Wendy</v>
          </cell>
          <cell r="N11195" t="str">
            <v>NR</v>
          </cell>
          <cell r="O11195" t="str">
            <v>NR</v>
          </cell>
        </row>
        <row r="11196">
          <cell r="E11196" t="str">
            <v>MUS</v>
          </cell>
          <cell r="F11196" t="str">
            <v xml:space="preserve">MUS-I </v>
          </cell>
          <cell r="G11196">
            <v>500</v>
          </cell>
          <cell r="H11196" t="str">
            <v>MUS-I 500</v>
          </cell>
          <cell r="K11196" t="str">
            <v>Gillespie,Wendy</v>
          </cell>
          <cell r="N11196" t="str">
            <v>NR</v>
          </cell>
          <cell r="O11196" t="str">
            <v>NR</v>
          </cell>
        </row>
        <row r="11197">
          <cell r="E11197" t="str">
            <v>MUS</v>
          </cell>
          <cell r="F11197" t="str">
            <v xml:space="preserve">MUS-I </v>
          </cell>
          <cell r="G11197">
            <v>500</v>
          </cell>
          <cell r="H11197" t="str">
            <v>MUS-I 500</v>
          </cell>
          <cell r="K11197" t="str">
            <v>Haguenauer,Jean Louis</v>
          </cell>
          <cell r="N11197">
            <v>4</v>
          </cell>
          <cell r="O11197">
            <v>3.9239999999999999</v>
          </cell>
        </row>
        <row r="11198">
          <cell r="E11198" t="str">
            <v>MUS</v>
          </cell>
          <cell r="F11198" t="str">
            <v xml:space="preserve">MUS-I </v>
          </cell>
          <cell r="G11198">
            <v>500</v>
          </cell>
          <cell r="H11198" t="str">
            <v>MUS-I 500</v>
          </cell>
          <cell r="K11198" t="str">
            <v>Haguenauer,Jean-Louis</v>
          </cell>
          <cell r="N11198">
            <v>4</v>
          </cell>
          <cell r="O11198">
            <v>3.766</v>
          </cell>
        </row>
        <row r="11199">
          <cell r="E11199" t="str">
            <v>MUS</v>
          </cell>
          <cell r="F11199" t="str">
            <v xml:space="preserve">MUS-I </v>
          </cell>
          <cell r="G11199">
            <v>500</v>
          </cell>
          <cell r="H11199" t="str">
            <v>MUS-I 500</v>
          </cell>
          <cell r="K11199" t="str">
            <v>Harrison,Robert J</v>
          </cell>
          <cell r="N11199">
            <v>4</v>
          </cell>
          <cell r="O11199">
            <v>3.7759999999999998</v>
          </cell>
        </row>
        <row r="11200">
          <cell r="E11200" t="str">
            <v>MUS</v>
          </cell>
          <cell r="F11200" t="str">
            <v xml:space="preserve">MUS-I </v>
          </cell>
          <cell r="G11200">
            <v>500</v>
          </cell>
          <cell r="H11200" t="str">
            <v>MUS-I 500</v>
          </cell>
          <cell r="K11200" t="str">
            <v>Harrison,Robert J</v>
          </cell>
          <cell r="N11200">
            <v>4</v>
          </cell>
          <cell r="O11200">
            <v>3.802</v>
          </cell>
        </row>
        <row r="11201">
          <cell r="E11201" t="str">
            <v>MUS</v>
          </cell>
          <cell r="F11201" t="str">
            <v xml:space="preserve">MUS-I </v>
          </cell>
          <cell r="G11201">
            <v>500</v>
          </cell>
          <cell r="H11201" t="str">
            <v>MUS-I 500</v>
          </cell>
          <cell r="K11201" t="str">
            <v>Hart,Mary Ann</v>
          </cell>
          <cell r="N11201">
            <v>4</v>
          </cell>
          <cell r="O11201">
            <v>3.7789999999999999</v>
          </cell>
        </row>
        <row r="11202">
          <cell r="E11202" t="str">
            <v>MUS</v>
          </cell>
          <cell r="F11202" t="str">
            <v xml:space="preserve">MUS-I </v>
          </cell>
          <cell r="G11202">
            <v>500</v>
          </cell>
          <cell r="H11202" t="str">
            <v>MUS-I 500</v>
          </cell>
          <cell r="K11202" t="str">
            <v>Hart,Mary Ann</v>
          </cell>
          <cell r="N11202" t="str">
            <v>NR</v>
          </cell>
          <cell r="O11202" t="str">
            <v>NR</v>
          </cell>
        </row>
        <row r="11203">
          <cell r="E11203" t="str">
            <v>MUS</v>
          </cell>
          <cell r="F11203" t="str">
            <v xml:space="preserve">MUS-I </v>
          </cell>
          <cell r="G11203">
            <v>500</v>
          </cell>
          <cell r="H11203" t="str">
            <v>MUS-I 500</v>
          </cell>
          <cell r="K11203" t="str">
            <v>Horne,Brian L.</v>
          </cell>
          <cell r="N11203">
            <v>4</v>
          </cell>
          <cell r="O11203">
            <v>3.573</v>
          </cell>
        </row>
        <row r="11204">
          <cell r="E11204" t="str">
            <v>MUS</v>
          </cell>
          <cell r="F11204" t="str">
            <v xml:space="preserve">MUS-I </v>
          </cell>
          <cell r="G11204">
            <v>500</v>
          </cell>
          <cell r="H11204" t="str">
            <v>MUS-I 500</v>
          </cell>
          <cell r="K11204" t="str">
            <v>Horne,Brian L.</v>
          </cell>
          <cell r="N11204">
            <v>4</v>
          </cell>
          <cell r="O11204">
            <v>3.5539999999999998</v>
          </cell>
        </row>
        <row r="11205">
          <cell r="E11205" t="str">
            <v>MUS</v>
          </cell>
          <cell r="F11205" t="str">
            <v xml:space="preserve">MUS-I </v>
          </cell>
          <cell r="G11205">
            <v>500</v>
          </cell>
          <cell r="H11205" t="str">
            <v>MUS-I 500</v>
          </cell>
          <cell r="K11205" t="str">
            <v>Hurst,Lawrence P.</v>
          </cell>
          <cell r="N11205">
            <v>4</v>
          </cell>
          <cell r="O11205">
            <v>3.7549999999999999</v>
          </cell>
        </row>
        <row r="11206">
          <cell r="E11206" t="str">
            <v>MUS</v>
          </cell>
          <cell r="F11206" t="str">
            <v xml:space="preserve">MUS-I </v>
          </cell>
          <cell r="G11206">
            <v>500</v>
          </cell>
          <cell r="H11206" t="str">
            <v>MUS-I 500</v>
          </cell>
          <cell r="K11206" t="str">
            <v>Kaplan,Mark</v>
          </cell>
          <cell r="N11206">
            <v>4</v>
          </cell>
          <cell r="O11206">
            <v>3.867</v>
          </cell>
        </row>
        <row r="11207">
          <cell r="E11207" t="str">
            <v>MUS</v>
          </cell>
          <cell r="F11207" t="str">
            <v xml:space="preserve">MUS-I </v>
          </cell>
          <cell r="G11207">
            <v>500</v>
          </cell>
          <cell r="H11207" t="str">
            <v>MUS-I 500</v>
          </cell>
          <cell r="K11207" t="str">
            <v>Kaplan,Mark</v>
          </cell>
          <cell r="N11207">
            <v>4</v>
          </cell>
          <cell r="O11207">
            <v>3.7679999999999998</v>
          </cell>
        </row>
        <row r="11208">
          <cell r="E11208" t="str">
            <v>MUS</v>
          </cell>
          <cell r="F11208" t="str">
            <v xml:space="preserve">MUS-I </v>
          </cell>
          <cell r="G11208">
            <v>500</v>
          </cell>
          <cell r="H11208" t="str">
            <v>MUS-I 500</v>
          </cell>
          <cell r="K11208" t="str">
            <v>Kerr,Alexander</v>
          </cell>
          <cell r="N11208">
            <v>4</v>
          </cell>
          <cell r="O11208">
            <v>3.641</v>
          </cell>
        </row>
        <row r="11209">
          <cell r="E11209" t="str">
            <v>MUS</v>
          </cell>
          <cell r="F11209" t="str">
            <v xml:space="preserve">MUS-I </v>
          </cell>
          <cell r="G11209">
            <v>500</v>
          </cell>
          <cell r="H11209" t="str">
            <v>MUS-I 500</v>
          </cell>
          <cell r="K11209" t="str">
            <v>Kerr,Alexander</v>
          </cell>
          <cell r="N11209">
            <v>4</v>
          </cell>
          <cell r="O11209">
            <v>3.6440000000000001</v>
          </cell>
        </row>
        <row r="11210">
          <cell r="E11210" t="str">
            <v>MUS</v>
          </cell>
          <cell r="F11210" t="str">
            <v xml:space="preserve">MUS-I </v>
          </cell>
          <cell r="G11210">
            <v>500</v>
          </cell>
          <cell r="H11210" t="str">
            <v>MUS-I 500</v>
          </cell>
          <cell r="K11210" t="str">
            <v>Kim,Eric</v>
          </cell>
          <cell r="N11210">
            <v>4</v>
          </cell>
          <cell r="O11210">
            <v>3.649</v>
          </cell>
        </row>
        <row r="11211">
          <cell r="E11211" t="str">
            <v>MUS</v>
          </cell>
          <cell r="F11211" t="str">
            <v xml:space="preserve">MUS-I </v>
          </cell>
          <cell r="G11211">
            <v>500</v>
          </cell>
          <cell r="H11211" t="str">
            <v>MUS-I 500</v>
          </cell>
          <cell r="K11211" t="str">
            <v>Kim,Eric</v>
          </cell>
          <cell r="N11211">
            <v>4</v>
          </cell>
          <cell r="O11211">
            <v>3.7509999999999999</v>
          </cell>
        </row>
        <row r="11212">
          <cell r="E11212" t="str">
            <v>MUS</v>
          </cell>
          <cell r="F11212" t="str">
            <v xml:space="preserve">MUS-I </v>
          </cell>
          <cell r="G11212">
            <v>500</v>
          </cell>
          <cell r="H11212" t="str">
            <v>MUS-I 500</v>
          </cell>
          <cell r="K11212" t="str">
            <v>Klug,Howard</v>
          </cell>
          <cell r="N11212">
            <v>4</v>
          </cell>
          <cell r="O11212">
            <v>3.73</v>
          </cell>
        </row>
        <row r="11213">
          <cell r="E11213" t="str">
            <v>MUS</v>
          </cell>
          <cell r="F11213" t="str">
            <v xml:space="preserve">MUS-I </v>
          </cell>
          <cell r="G11213">
            <v>500</v>
          </cell>
          <cell r="H11213" t="str">
            <v>MUS-I 500</v>
          </cell>
          <cell r="K11213" t="str">
            <v>Klug,Howard</v>
          </cell>
          <cell r="N11213">
            <v>4</v>
          </cell>
          <cell r="O11213">
            <v>3.601</v>
          </cell>
        </row>
        <row r="11214">
          <cell r="E11214" t="str">
            <v>MUS</v>
          </cell>
          <cell r="F11214" t="str">
            <v xml:space="preserve">MUS-I </v>
          </cell>
          <cell r="G11214">
            <v>500</v>
          </cell>
          <cell r="H11214" t="str">
            <v>MUS-I 500</v>
          </cell>
          <cell r="K11214" t="str">
            <v>Kubiak,Teresa</v>
          </cell>
          <cell r="N11214">
            <v>4</v>
          </cell>
          <cell r="O11214">
            <v>3.589</v>
          </cell>
        </row>
        <row r="11215">
          <cell r="E11215" t="str">
            <v>MUS</v>
          </cell>
          <cell r="F11215" t="str">
            <v xml:space="preserve">MUS-I </v>
          </cell>
          <cell r="G11215">
            <v>500</v>
          </cell>
          <cell r="H11215" t="str">
            <v>MUS-I 500</v>
          </cell>
          <cell r="K11215" t="str">
            <v>Kubiak,Teresa</v>
          </cell>
          <cell r="N11215">
            <v>3.9249999999999998</v>
          </cell>
          <cell r="O11215">
            <v>3.6389999999999998</v>
          </cell>
        </row>
        <row r="11216">
          <cell r="E11216" t="str">
            <v>MUS</v>
          </cell>
          <cell r="F11216" t="str">
            <v xml:space="preserve">MUS-I </v>
          </cell>
          <cell r="G11216">
            <v>500</v>
          </cell>
          <cell r="H11216" t="str">
            <v>MUS-I 500</v>
          </cell>
          <cell r="K11216" t="str">
            <v>Lenthe,Carl</v>
          </cell>
          <cell r="N11216" t="str">
            <v>NR</v>
          </cell>
          <cell r="O11216" t="str">
            <v>NR</v>
          </cell>
        </row>
        <row r="11217">
          <cell r="E11217" t="str">
            <v>MUS</v>
          </cell>
          <cell r="F11217" t="str">
            <v xml:space="preserve">MUS-I </v>
          </cell>
          <cell r="G11217">
            <v>500</v>
          </cell>
          <cell r="H11217" t="str">
            <v>MUS-I 500</v>
          </cell>
          <cell r="K11217" t="str">
            <v>Lenthe,Carl</v>
          </cell>
          <cell r="N11217">
            <v>3.7829999999999999</v>
          </cell>
          <cell r="O11217">
            <v>3.637</v>
          </cell>
        </row>
        <row r="11218">
          <cell r="E11218" t="str">
            <v>MUS</v>
          </cell>
          <cell r="F11218" t="str">
            <v xml:space="preserve">MUS-I </v>
          </cell>
          <cell r="G11218">
            <v>500</v>
          </cell>
          <cell r="H11218" t="str">
            <v>MUS-I 500</v>
          </cell>
          <cell r="K11218" t="str">
            <v>Ludwig,William Ernest</v>
          </cell>
          <cell r="N11218">
            <v>4</v>
          </cell>
          <cell r="O11218">
            <v>3.6960000000000002</v>
          </cell>
        </row>
        <row r="11219">
          <cell r="E11219" t="str">
            <v>MUS</v>
          </cell>
          <cell r="F11219" t="str">
            <v xml:space="preserve">MUS-I </v>
          </cell>
          <cell r="G11219">
            <v>500</v>
          </cell>
          <cell r="H11219" t="str">
            <v>MUS-I 500</v>
          </cell>
          <cell r="K11219" t="str">
            <v>Ludwig,William Ernest</v>
          </cell>
          <cell r="N11219">
            <v>3.9289999999999998</v>
          </cell>
          <cell r="O11219">
            <v>3.7360000000000002</v>
          </cell>
        </row>
        <row r="11220">
          <cell r="E11220" t="str">
            <v>MUS</v>
          </cell>
          <cell r="F11220" t="str">
            <v xml:space="preserve">MUS-I </v>
          </cell>
          <cell r="G11220">
            <v>500</v>
          </cell>
          <cell r="H11220" t="str">
            <v>MUS-I 500</v>
          </cell>
          <cell r="K11220" t="str">
            <v>Lukas,Kathryn</v>
          </cell>
          <cell r="N11220">
            <v>4</v>
          </cell>
          <cell r="O11220">
            <v>3.7789999999999999</v>
          </cell>
        </row>
        <row r="11221">
          <cell r="E11221" t="str">
            <v>MUS</v>
          </cell>
          <cell r="F11221" t="str">
            <v xml:space="preserve">MUS-I </v>
          </cell>
          <cell r="G11221">
            <v>500</v>
          </cell>
          <cell r="H11221" t="str">
            <v>MUS-I 500</v>
          </cell>
          <cell r="K11221" t="str">
            <v>Lukas,Kathryn</v>
          </cell>
          <cell r="N11221">
            <v>4</v>
          </cell>
          <cell r="O11221">
            <v>3.7610000000000001</v>
          </cell>
        </row>
        <row r="11222">
          <cell r="E11222" t="str">
            <v>MUS</v>
          </cell>
          <cell r="F11222" t="str">
            <v xml:space="preserve">MUS-I </v>
          </cell>
          <cell r="G11222">
            <v>500</v>
          </cell>
          <cell r="H11222" t="str">
            <v>MUS-I 500</v>
          </cell>
          <cell r="K11222" t="str">
            <v>Mardirossian,Kevork Markar</v>
          </cell>
          <cell r="N11222">
            <v>4</v>
          </cell>
          <cell r="O11222">
            <v>3.7559999999999998</v>
          </cell>
        </row>
        <row r="11223">
          <cell r="E11223" t="str">
            <v>MUS</v>
          </cell>
          <cell r="F11223" t="str">
            <v xml:space="preserve">MUS-I </v>
          </cell>
          <cell r="G11223">
            <v>500</v>
          </cell>
          <cell r="H11223" t="str">
            <v>MUS-I 500</v>
          </cell>
          <cell r="K11223" t="str">
            <v>Mardirossian,Kevork Markar</v>
          </cell>
          <cell r="N11223">
            <v>3.9329999999999998</v>
          </cell>
          <cell r="O11223">
            <v>3.7719999999999998</v>
          </cell>
        </row>
        <row r="11224">
          <cell r="E11224" t="str">
            <v>MUS</v>
          </cell>
          <cell r="F11224" t="str">
            <v xml:space="preserve">MUS-I </v>
          </cell>
          <cell r="G11224">
            <v>500</v>
          </cell>
          <cell r="H11224" t="str">
            <v>MUS-I 500</v>
          </cell>
          <cell r="K11224" t="str">
            <v>McClain,Washington</v>
          </cell>
          <cell r="N11224" t="str">
            <v>NR</v>
          </cell>
          <cell r="O11224" t="str">
            <v>NR</v>
          </cell>
        </row>
        <row r="11225">
          <cell r="E11225" t="str">
            <v>MUS</v>
          </cell>
          <cell r="F11225" t="str">
            <v xml:space="preserve">MUS-I </v>
          </cell>
          <cell r="G11225">
            <v>500</v>
          </cell>
          <cell r="H11225" t="str">
            <v>MUS-I 500</v>
          </cell>
          <cell r="K11225" t="str">
            <v>McClain,Washington</v>
          </cell>
          <cell r="N11225" t="str">
            <v>NR</v>
          </cell>
          <cell r="O11225" t="str">
            <v>NR</v>
          </cell>
        </row>
        <row r="11226">
          <cell r="E11226" t="str">
            <v>MUS</v>
          </cell>
          <cell r="F11226" t="str">
            <v xml:space="preserve">MUS-I </v>
          </cell>
          <cell r="G11226">
            <v>500</v>
          </cell>
          <cell r="H11226" t="str">
            <v>MUS-I 500</v>
          </cell>
          <cell r="K11226" t="str">
            <v>McDonald,Susann</v>
          </cell>
          <cell r="N11226">
            <v>4</v>
          </cell>
          <cell r="O11226">
            <v>3.8730000000000002</v>
          </cell>
        </row>
        <row r="11227">
          <cell r="E11227" t="str">
            <v>MUS</v>
          </cell>
          <cell r="F11227" t="str">
            <v xml:space="preserve">MUS-I </v>
          </cell>
          <cell r="G11227">
            <v>500</v>
          </cell>
          <cell r="H11227" t="str">
            <v>MUS-I 500</v>
          </cell>
          <cell r="K11227" t="str">
            <v>McDonald,Susann</v>
          </cell>
          <cell r="N11227">
            <v>4</v>
          </cell>
          <cell r="O11227">
            <v>3.9119999999999999</v>
          </cell>
        </row>
        <row r="11228">
          <cell r="E11228" t="str">
            <v>MUS</v>
          </cell>
          <cell r="F11228" t="str">
            <v xml:space="preserve">MUS-I </v>
          </cell>
          <cell r="G11228">
            <v>500</v>
          </cell>
          <cell r="H11228" t="str">
            <v>MUS-I 500</v>
          </cell>
          <cell r="K11228" t="str">
            <v>McNair,Sylvia</v>
          </cell>
          <cell r="N11228" t="str">
            <v>NR</v>
          </cell>
          <cell r="O11228" t="str">
            <v>NR</v>
          </cell>
        </row>
        <row r="11229">
          <cell r="E11229" t="str">
            <v>MUS</v>
          </cell>
          <cell r="F11229" t="str">
            <v xml:space="preserve">MUS-I </v>
          </cell>
          <cell r="G11229">
            <v>500</v>
          </cell>
          <cell r="H11229" t="str">
            <v>MUS-I 500</v>
          </cell>
          <cell r="K11229" t="str">
            <v>Montane,Carlos</v>
          </cell>
          <cell r="N11229">
            <v>4</v>
          </cell>
          <cell r="O11229">
            <v>3.5150000000000001</v>
          </cell>
        </row>
        <row r="11230">
          <cell r="E11230" t="str">
            <v>MUS</v>
          </cell>
          <cell r="F11230" t="str">
            <v xml:space="preserve">MUS-I </v>
          </cell>
          <cell r="G11230">
            <v>500</v>
          </cell>
          <cell r="H11230" t="str">
            <v>MUS-I 500</v>
          </cell>
          <cell r="K11230" t="str">
            <v>Montane,Carlos</v>
          </cell>
          <cell r="N11230" t="str">
            <v>NR</v>
          </cell>
          <cell r="O11230" t="str">
            <v>NR</v>
          </cell>
        </row>
        <row r="11231">
          <cell r="E11231" t="str">
            <v>MUS</v>
          </cell>
          <cell r="F11231" t="str">
            <v xml:space="preserve">MUS-I </v>
          </cell>
          <cell r="G11231">
            <v>500</v>
          </cell>
          <cell r="H11231" t="str">
            <v>MUS-I 500</v>
          </cell>
          <cell r="K11231" t="str">
            <v>Murphy Jr,Otis</v>
          </cell>
          <cell r="N11231">
            <v>4</v>
          </cell>
          <cell r="O11231">
            <v>3.6949999999999998</v>
          </cell>
        </row>
        <row r="11232">
          <cell r="E11232" t="str">
            <v>MUS</v>
          </cell>
          <cell r="F11232" t="str">
            <v xml:space="preserve">MUS-I </v>
          </cell>
          <cell r="G11232">
            <v>500</v>
          </cell>
          <cell r="H11232" t="str">
            <v>MUS-I 500</v>
          </cell>
          <cell r="K11232" t="str">
            <v>Murphy Jr,Otis</v>
          </cell>
          <cell r="N11232">
            <v>4</v>
          </cell>
          <cell r="O11232">
            <v>3.722</v>
          </cell>
        </row>
        <row r="11233">
          <cell r="E11233" t="str">
            <v>MUS</v>
          </cell>
          <cell r="F11233" t="str">
            <v xml:space="preserve">MUS-I </v>
          </cell>
          <cell r="G11233">
            <v>500</v>
          </cell>
          <cell r="H11233" t="str">
            <v>MUS-I 500</v>
          </cell>
          <cell r="K11233" t="str">
            <v>Naoumoff,Emile Gueorguiev</v>
          </cell>
          <cell r="N11233">
            <v>4</v>
          </cell>
          <cell r="O11233">
            <v>3.786</v>
          </cell>
        </row>
        <row r="11234">
          <cell r="E11234" t="str">
            <v>MUS</v>
          </cell>
          <cell r="F11234" t="str">
            <v xml:space="preserve">MUS-I </v>
          </cell>
          <cell r="G11234">
            <v>500</v>
          </cell>
          <cell r="H11234" t="str">
            <v>MUS-I 500</v>
          </cell>
          <cell r="K11234" t="str">
            <v>Naoumoff,Emile Gueorguiev</v>
          </cell>
          <cell r="N11234">
            <v>4</v>
          </cell>
          <cell r="O11234">
            <v>3.742</v>
          </cell>
        </row>
        <row r="11235">
          <cell r="E11235" t="str">
            <v>MUS</v>
          </cell>
          <cell r="F11235" t="str">
            <v xml:space="preserve">MUS-I </v>
          </cell>
          <cell r="G11235">
            <v>500</v>
          </cell>
          <cell r="H11235" t="str">
            <v>MUS-I 500</v>
          </cell>
          <cell r="K11235" t="str">
            <v>Nelsen,Jeff</v>
          </cell>
          <cell r="N11235">
            <v>4</v>
          </cell>
          <cell r="O11235">
            <v>3.758</v>
          </cell>
        </row>
        <row r="11236">
          <cell r="E11236" t="str">
            <v>MUS</v>
          </cell>
          <cell r="F11236" t="str">
            <v xml:space="preserve">MUS-I </v>
          </cell>
          <cell r="G11236">
            <v>500</v>
          </cell>
          <cell r="H11236" t="str">
            <v>MUS-I 500</v>
          </cell>
          <cell r="K11236" t="str">
            <v>Nelsen,Jeff</v>
          </cell>
          <cell r="N11236">
            <v>4</v>
          </cell>
          <cell r="O11236">
            <v>3.669</v>
          </cell>
        </row>
        <row r="11237">
          <cell r="E11237" t="str">
            <v>MUS</v>
          </cell>
          <cell r="F11237" t="str">
            <v xml:space="preserve">MUS-I </v>
          </cell>
          <cell r="G11237">
            <v>500</v>
          </cell>
          <cell r="H11237" t="str">
            <v>MUS-I 500</v>
          </cell>
          <cell r="K11237" t="str">
            <v>Neriki,Shigeo</v>
          </cell>
          <cell r="N11237">
            <v>4</v>
          </cell>
          <cell r="O11237">
            <v>3.7789999999999999</v>
          </cell>
        </row>
        <row r="11238">
          <cell r="E11238" t="str">
            <v>MUS</v>
          </cell>
          <cell r="F11238" t="str">
            <v xml:space="preserve">MUS-I </v>
          </cell>
          <cell r="G11238">
            <v>500</v>
          </cell>
          <cell r="H11238" t="str">
            <v>MUS-I 500</v>
          </cell>
          <cell r="K11238" t="str">
            <v>Neriki,Shigeo</v>
          </cell>
          <cell r="N11238">
            <v>4</v>
          </cell>
          <cell r="O11238">
            <v>3.5950000000000002</v>
          </cell>
        </row>
        <row r="11239">
          <cell r="E11239" t="str">
            <v>MUS</v>
          </cell>
          <cell r="F11239" t="str">
            <v xml:space="preserve">MUS-I </v>
          </cell>
          <cell r="G11239">
            <v>500</v>
          </cell>
          <cell r="H11239" t="str">
            <v>MUS-I 500</v>
          </cell>
          <cell r="K11239" t="str">
            <v>Neswick,Bruce Eldon</v>
          </cell>
          <cell r="N11239">
            <v>3.9929999999999999</v>
          </cell>
          <cell r="O11239">
            <v>3.819</v>
          </cell>
        </row>
        <row r="11240">
          <cell r="E11240" t="str">
            <v>MUS</v>
          </cell>
          <cell r="F11240" t="str">
            <v xml:space="preserve">MUS-I </v>
          </cell>
          <cell r="G11240">
            <v>500</v>
          </cell>
          <cell r="H11240" t="str">
            <v>MUS-I 500</v>
          </cell>
          <cell r="K11240" t="str">
            <v>Neswick,Bruce Eldon</v>
          </cell>
          <cell r="N11240">
            <v>3.95</v>
          </cell>
          <cell r="O11240">
            <v>3.7879999999999998</v>
          </cell>
        </row>
        <row r="11241">
          <cell r="E11241" t="str">
            <v>MUS</v>
          </cell>
          <cell r="F11241" t="str">
            <v xml:space="preserve">MUS-I </v>
          </cell>
          <cell r="G11241">
            <v>500</v>
          </cell>
          <cell r="H11241" t="str">
            <v>MUS-I 500</v>
          </cell>
          <cell r="K11241" t="str">
            <v>Neswick,Bruce Eldon</v>
          </cell>
          <cell r="N11241">
            <v>3.9670000000000001</v>
          </cell>
          <cell r="O11241">
            <v>3.754</v>
          </cell>
        </row>
        <row r="11242">
          <cell r="E11242" t="str">
            <v>MUS</v>
          </cell>
          <cell r="F11242" t="str">
            <v xml:space="preserve">MUS-I </v>
          </cell>
          <cell r="G11242">
            <v>500</v>
          </cell>
          <cell r="H11242" t="str">
            <v>MUS-I 500</v>
          </cell>
          <cell r="K11242" t="str">
            <v>Neswick,Bruce Eldon</v>
          </cell>
          <cell r="N11242" t="str">
            <v>NR</v>
          </cell>
          <cell r="O11242" t="str">
            <v>NR</v>
          </cell>
        </row>
        <row r="11243">
          <cell r="E11243" t="str">
            <v>MUS</v>
          </cell>
          <cell r="F11243" t="str">
            <v xml:space="preserve">MUS-I </v>
          </cell>
          <cell r="G11243">
            <v>500</v>
          </cell>
          <cell r="H11243" t="str">
            <v>MUS-I 500</v>
          </cell>
          <cell r="K11243" t="str">
            <v>Noble,Timothy R.</v>
          </cell>
          <cell r="N11243">
            <v>4</v>
          </cell>
          <cell r="O11243">
            <v>3.7759999999999998</v>
          </cell>
        </row>
        <row r="11244">
          <cell r="E11244" t="str">
            <v>MUS</v>
          </cell>
          <cell r="F11244" t="str">
            <v xml:space="preserve">MUS-I </v>
          </cell>
          <cell r="G11244">
            <v>500</v>
          </cell>
          <cell r="H11244" t="str">
            <v>MUS-I 500</v>
          </cell>
          <cell r="K11244" t="str">
            <v>Noble,Timothy R.</v>
          </cell>
          <cell r="N11244" t="str">
            <v>NR</v>
          </cell>
          <cell r="O11244" t="str">
            <v>NR</v>
          </cell>
        </row>
        <row r="11245">
          <cell r="E11245" t="str">
            <v>MUS</v>
          </cell>
          <cell r="F11245" t="str">
            <v xml:space="preserve">MUS-I </v>
          </cell>
          <cell r="G11245">
            <v>500</v>
          </cell>
          <cell r="H11245" t="str">
            <v>MUS-I 500</v>
          </cell>
          <cell r="K11245" t="str">
            <v>North,Nigel John</v>
          </cell>
          <cell r="N11245" t="str">
            <v>NR</v>
          </cell>
          <cell r="O11245" t="str">
            <v>NR</v>
          </cell>
        </row>
        <row r="11246">
          <cell r="E11246" t="str">
            <v>MUS</v>
          </cell>
          <cell r="F11246" t="str">
            <v xml:space="preserve">MUS-I </v>
          </cell>
          <cell r="G11246">
            <v>500</v>
          </cell>
          <cell r="H11246" t="str">
            <v>MUS-I 500</v>
          </cell>
          <cell r="K11246" t="str">
            <v>North,Nigel John</v>
          </cell>
          <cell r="N11246" t="str">
            <v>NR</v>
          </cell>
          <cell r="O11246" t="str">
            <v>NR</v>
          </cell>
        </row>
        <row r="11247">
          <cell r="E11247" t="str">
            <v>MUS</v>
          </cell>
          <cell r="F11247" t="str">
            <v xml:space="preserve">MUS-I </v>
          </cell>
          <cell r="G11247">
            <v>500</v>
          </cell>
          <cell r="H11247" t="str">
            <v>MUS-I 500</v>
          </cell>
          <cell r="K11247" t="str">
            <v>Perantoni,Daniel Thomas</v>
          </cell>
          <cell r="N11247">
            <v>4</v>
          </cell>
          <cell r="O11247">
            <v>3.7570000000000001</v>
          </cell>
        </row>
        <row r="11248">
          <cell r="E11248" t="str">
            <v>MUS</v>
          </cell>
          <cell r="F11248" t="str">
            <v xml:space="preserve">MUS-I </v>
          </cell>
          <cell r="G11248">
            <v>500</v>
          </cell>
          <cell r="H11248" t="str">
            <v>MUS-I 500</v>
          </cell>
          <cell r="K11248" t="str">
            <v>Perantoni,Daniel Thomas</v>
          </cell>
          <cell r="N11248">
            <v>4</v>
          </cell>
          <cell r="O11248">
            <v>3.7549999999999999</v>
          </cell>
        </row>
        <row r="11249">
          <cell r="E11249" t="str">
            <v>MUS</v>
          </cell>
          <cell r="F11249" t="str">
            <v xml:space="preserve">MUS-I </v>
          </cell>
          <cell r="G11249">
            <v>500</v>
          </cell>
          <cell r="H11249" t="str">
            <v>MUS-I 500</v>
          </cell>
          <cell r="K11249" t="str">
            <v>Phan,Phuc Q.</v>
          </cell>
          <cell r="N11249">
            <v>4</v>
          </cell>
          <cell r="O11249">
            <v>3.83</v>
          </cell>
        </row>
        <row r="11250">
          <cell r="E11250" t="str">
            <v>MUS</v>
          </cell>
          <cell r="F11250" t="str">
            <v xml:space="preserve">MUS-I </v>
          </cell>
          <cell r="G11250">
            <v>500</v>
          </cell>
          <cell r="H11250" t="str">
            <v>MUS-I 500</v>
          </cell>
          <cell r="K11250" t="str">
            <v>Phan,Phuc Q.</v>
          </cell>
          <cell r="N11250">
            <v>4</v>
          </cell>
          <cell r="O11250">
            <v>3.7719999999999998</v>
          </cell>
        </row>
        <row r="11251">
          <cell r="E11251" t="str">
            <v>MUS</v>
          </cell>
          <cell r="F11251" t="str">
            <v xml:space="preserve">MUS-I </v>
          </cell>
          <cell r="G11251">
            <v>500</v>
          </cell>
          <cell r="H11251" t="str">
            <v>MUS-I 500</v>
          </cell>
          <cell r="K11251" t="str">
            <v>Poulimenos,Andreas</v>
          </cell>
          <cell r="N11251">
            <v>4</v>
          </cell>
          <cell r="O11251">
            <v>3.78</v>
          </cell>
        </row>
        <row r="11252">
          <cell r="E11252" t="str">
            <v>MUS</v>
          </cell>
          <cell r="F11252" t="str">
            <v xml:space="preserve">MUS-I </v>
          </cell>
          <cell r="G11252">
            <v>500</v>
          </cell>
          <cell r="H11252" t="str">
            <v>MUS-I 500</v>
          </cell>
          <cell r="K11252" t="str">
            <v>Poulimenos,Andreas</v>
          </cell>
          <cell r="N11252">
            <v>4</v>
          </cell>
          <cell r="O11252">
            <v>3.871</v>
          </cell>
        </row>
        <row r="11253">
          <cell r="E11253" t="str">
            <v>MUS</v>
          </cell>
          <cell r="F11253" t="str">
            <v xml:space="preserve">MUS-I </v>
          </cell>
          <cell r="G11253">
            <v>500</v>
          </cell>
          <cell r="H11253" t="str">
            <v>MUS-I 500</v>
          </cell>
          <cell r="K11253" t="str">
            <v>Richards,Gwyn</v>
          </cell>
          <cell r="N11253" t="str">
            <v>NR</v>
          </cell>
          <cell r="O11253" t="str">
            <v>NR</v>
          </cell>
        </row>
        <row r="11254">
          <cell r="E11254" t="str">
            <v>MUS</v>
          </cell>
          <cell r="F11254" t="str">
            <v xml:space="preserve">MUS-I </v>
          </cell>
          <cell r="G11254">
            <v>500</v>
          </cell>
          <cell r="H11254" t="str">
            <v>MUS-I 500</v>
          </cell>
          <cell r="K11254" t="str">
            <v>Ritchie,Stanley</v>
          </cell>
          <cell r="N11254" t="str">
            <v>NR</v>
          </cell>
          <cell r="O11254" t="str">
            <v>NR</v>
          </cell>
        </row>
        <row r="11255">
          <cell r="E11255" t="str">
            <v>MUS</v>
          </cell>
          <cell r="F11255" t="str">
            <v xml:space="preserve">MUS-I </v>
          </cell>
          <cell r="G11255">
            <v>500</v>
          </cell>
          <cell r="H11255" t="str">
            <v>MUS-I 500</v>
          </cell>
          <cell r="K11255" t="str">
            <v>Ritchie,Stanley</v>
          </cell>
          <cell r="N11255" t="str">
            <v>NR</v>
          </cell>
          <cell r="O11255" t="str">
            <v>NR</v>
          </cell>
        </row>
        <row r="11256">
          <cell r="E11256" t="str">
            <v>MUS</v>
          </cell>
          <cell r="F11256" t="str">
            <v xml:space="preserve">MUS-I </v>
          </cell>
          <cell r="G11256">
            <v>500</v>
          </cell>
          <cell r="H11256" t="str">
            <v>MUS-I 500</v>
          </cell>
          <cell r="K11256" t="str">
            <v>Robertello,Thomas Joseph</v>
          </cell>
          <cell r="N11256">
            <v>4</v>
          </cell>
          <cell r="O11256">
            <v>3.754</v>
          </cell>
        </row>
        <row r="11257">
          <cell r="E11257" t="str">
            <v>MUS</v>
          </cell>
          <cell r="F11257" t="str">
            <v xml:space="preserve">MUS-I </v>
          </cell>
          <cell r="G11257">
            <v>500</v>
          </cell>
          <cell r="H11257" t="str">
            <v>MUS-I 500</v>
          </cell>
          <cell r="K11257" t="str">
            <v>Robertello,Thomas Joseph</v>
          </cell>
          <cell r="N11257">
            <v>4</v>
          </cell>
          <cell r="O11257">
            <v>3.766</v>
          </cell>
        </row>
        <row r="11258">
          <cell r="E11258" t="str">
            <v>MUS</v>
          </cell>
          <cell r="F11258" t="str">
            <v xml:space="preserve">MUS-I </v>
          </cell>
          <cell r="G11258">
            <v>500</v>
          </cell>
          <cell r="H11258" t="str">
            <v>MUS-I 500</v>
          </cell>
          <cell r="K11258" t="str">
            <v>Robinson,Sharon H</v>
          </cell>
          <cell r="N11258" t="str">
            <v>NR</v>
          </cell>
          <cell r="O11258" t="str">
            <v>NR</v>
          </cell>
        </row>
        <row r="11259">
          <cell r="E11259" t="str">
            <v>MUS</v>
          </cell>
          <cell r="F11259" t="str">
            <v xml:space="preserve">MUS-I </v>
          </cell>
          <cell r="G11259">
            <v>500</v>
          </cell>
          <cell r="H11259" t="str">
            <v>MUS-I 500</v>
          </cell>
          <cell r="K11259" t="str">
            <v>Roe,Roger A.</v>
          </cell>
          <cell r="N11259" t="str">
            <v>NR</v>
          </cell>
          <cell r="O11259" t="str">
            <v>NR</v>
          </cell>
        </row>
        <row r="11260">
          <cell r="E11260" t="str">
            <v>MUS</v>
          </cell>
          <cell r="F11260" t="str">
            <v xml:space="preserve">MUS-I </v>
          </cell>
          <cell r="G11260">
            <v>500</v>
          </cell>
          <cell r="H11260" t="str">
            <v>MUS-I 500</v>
          </cell>
          <cell r="K11260" t="str">
            <v>Roe,Roger A.</v>
          </cell>
          <cell r="N11260" t="str">
            <v>NR</v>
          </cell>
          <cell r="O11260" t="str">
            <v>NR</v>
          </cell>
        </row>
        <row r="11261">
          <cell r="E11261" t="str">
            <v>MUS</v>
          </cell>
          <cell r="F11261" t="str">
            <v xml:space="preserve">MUS-I </v>
          </cell>
          <cell r="G11261">
            <v>500</v>
          </cell>
          <cell r="H11261" t="str">
            <v>MUS-I 500</v>
          </cell>
          <cell r="K11261" t="str">
            <v>Rommel,John D.</v>
          </cell>
          <cell r="N11261">
            <v>4</v>
          </cell>
          <cell r="O11261">
            <v>3.7839999999999998</v>
          </cell>
        </row>
        <row r="11262">
          <cell r="E11262" t="str">
            <v>MUS</v>
          </cell>
          <cell r="F11262" t="str">
            <v xml:space="preserve">MUS-I </v>
          </cell>
          <cell r="G11262">
            <v>500</v>
          </cell>
          <cell r="H11262" t="str">
            <v>MUS-I 500</v>
          </cell>
          <cell r="K11262" t="str">
            <v>Rommel,John D.</v>
          </cell>
          <cell r="N11262">
            <v>4</v>
          </cell>
          <cell r="O11262">
            <v>3.8410000000000002</v>
          </cell>
        </row>
        <row r="11263">
          <cell r="E11263" t="str">
            <v>MUS</v>
          </cell>
          <cell r="F11263" t="str">
            <v xml:space="preserve">MUS-I </v>
          </cell>
          <cell r="G11263">
            <v>500</v>
          </cell>
          <cell r="H11263" t="str">
            <v>MUS-I 500</v>
          </cell>
          <cell r="K11263" t="str">
            <v>Schrock,Scharmal Kay</v>
          </cell>
          <cell r="N11263">
            <v>4</v>
          </cell>
          <cell r="O11263">
            <v>3.6859999999999999</v>
          </cell>
        </row>
        <row r="11264">
          <cell r="E11264" t="str">
            <v>MUS</v>
          </cell>
          <cell r="F11264" t="str">
            <v xml:space="preserve">MUS-I </v>
          </cell>
          <cell r="G11264">
            <v>500</v>
          </cell>
          <cell r="H11264" t="str">
            <v>MUS-I 500</v>
          </cell>
          <cell r="K11264" t="str">
            <v>Schrock,Scharmal Kay</v>
          </cell>
          <cell r="N11264">
            <v>4</v>
          </cell>
          <cell r="O11264">
            <v>3.6850000000000001</v>
          </cell>
        </row>
        <row r="11265">
          <cell r="E11265" t="str">
            <v>MUS</v>
          </cell>
          <cell r="F11265" t="str">
            <v xml:space="preserve">MUS-I </v>
          </cell>
          <cell r="G11265">
            <v>500</v>
          </cell>
          <cell r="H11265" t="str">
            <v>MUS-I 500</v>
          </cell>
          <cell r="K11265" t="str">
            <v>Seraphinoff,Richard M.</v>
          </cell>
          <cell r="N11265">
            <v>4</v>
          </cell>
          <cell r="O11265">
            <v>3.6429999999999998</v>
          </cell>
        </row>
        <row r="11266">
          <cell r="E11266" t="str">
            <v>MUS</v>
          </cell>
          <cell r="F11266" t="str">
            <v xml:space="preserve">MUS-I </v>
          </cell>
          <cell r="G11266">
            <v>500</v>
          </cell>
          <cell r="H11266" t="str">
            <v>MUS-I 500</v>
          </cell>
          <cell r="K11266" t="str">
            <v>Seraphinoff,Richard M.</v>
          </cell>
          <cell r="N11266" t="str">
            <v>NR</v>
          </cell>
          <cell r="O11266" t="str">
            <v>NR</v>
          </cell>
        </row>
        <row r="11267">
          <cell r="E11267" t="str">
            <v>MUS</v>
          </cell>
          <cell r="F11267" t="str">
            <v xml:space="preserve">MUS-I </v>
          </cell>
          <cell r="G11267">
            <v>500</v>
          </cell>
          <cell r="H11267" t="str">
            <v>MUS-I 500</v>
          </cell>
          <cell r="K11267" t="str">
            <v>Shaw,Karen</v>
          </cell>
          <cell r="N11267">
            <v>4</v>
          </cell>
          <cell r="O11267">
            <v>3.8319999999999999</v>
          </cell>
        </row>
        <row r="11268">
          <cell r="E11268" t="str">
            <v>MUS</v>
          </cell>
          <cell r="F11268" t="str">
            <v xml:space="preserve">MUS-I </v>
          </cell>
          <cell r="G11268">
            <v>500</v>
          </cell>
          <cell r="H11268" t="str">
            <v>MUS-I 500</v>
          </cell>
          <cell r="K11268" t="str">
            <v>Shaw,Karen</v>
          </cell>
          <cell r="N11268">
            <v>4</v>
          </cell>
          <cell r="O11268">
            <v>3.6179999999999999</v>
          </cell>
        </row>
        <row r="11269">
          <cell r="E11269" t="str">
            <v>MUS</v>
          </cell>
          <cell r="F11269" t="str">
            <v xml:space="preserve">MUS-I </v>
          </cell>
          <cell r="G11269">
            <v>500</v>
          </cell>
          <cell r="H11269" t="str">
            <v>MUS-I 500</v>
          </cell>
          <cell r="K11269" t="str">
            <v>Shigeoka-Neriki,Reiko</v>
          </cell>
          <cell r="N11269">
            <v>4</v>
          </cell>
          <cell r="O11269">
            <v>3.8639999999999999</v>
          </cell>
        </row>
        <row r="11270">
          <cell r="E11270" t="str">
            <v>MUS</v>
          </cell>
          <cell r="F11270" t="str">
            <v xml:space="preserve">MUS-I </v>
          </cell>
          <cell r="G11270">
            <v>500</v>
          </cell>
          <cell r="H11270" t="str">
            <v>MUS-I 500</v>
          </cell>
          <cell r="K11270" t="str">
            <v>Shigeoka-Neriki,Reiko</v>
          </cell>
          <cell r="N11270">
            <v>4</v>
          </cell>
          <cell r="O11270">
            <v>3.839</v>
          </cell>
        </row>
        <row r="11271">
          <cell r="E11271" t="str">
            <v>MUS</v>
          </cell>
          <cell r="F11271" t="str">
            <v xml:space="preserve">MUS-I </v>
          </cell>
          <cell r="G11271">
            <v>500</v>
          </cell>
          <cell r="H11271" t="str">
            <v>MUS-I 500</v>
          </cell>
          <cell r="K11271" t="str">
            <v>Simpson,Marietta</v>
          </cell>
          <cell r="N11271">
            <v>4</v>
          </cell>
          <cell r="O11271">
            <v>3.6949999999999998</v>
          </cell>
        </row>
        <row r="11272">
          <cell r="E11272" t="str">
            <v>MUS</v>
          </cell>
          <cell r="F11272" t="str">
            <v xml:space="preserve">MUS-I </v>
          </cell>
          <cell r="G11272">
            <v>500</v>
          </cell>
          <cell r="H11272" t="str">
            <v>MUS-I 500</v>
          </cell>
          <cell r="K11272" t="str">
            <v>Simpson,Marietta</v>
          </cell>
          <cell r="N11272">
            <v>4</v>
          </cell>
          <cell r="O11272">
            <v>3.7360000000000002</v>
          </cell>
        </row>
        <row r="11273">
          <cell r="E11273" t="str">
            <v>MUS</v>
          </cell>
          <cell r="F11273" t="str">
            <v xml:space="preserve">MUS-I </v>
          </cell>
          <cell r="G11273">
            <v>500</v>
          </cell>
          <cell r="H11273" t="str">
            <v>MUS-I 500</v>
          </cell>
          <cell r="K11273" t="str">
            <v>Starker,Janos</v>
          </cell>
          <cell r="N11273" t="str">
            <v>NR</v>
          </cell>
          <cell r="O11273" t="str">
            <v>NR</v>
          </cell>
        </row>
        <row r="11274">
          <cell r="E11274" t="str">
            <v>MUS</v>
          </cell>
          <cell r="F11274" t="str">
            <v xml:space="preserve">MUS-I </v>
          </cell>
          <cell r="G11274">
            <v>500</v>
          </cell>
          <cell r="H11274" t="str">
            <v>MUS-I 500</v>
          </cell>
          <cell r="K11274" t="str">
            <v>Starker,Janos</v>
          </cell>
          <cell r="N11274" t="str">
            <v>NR</v>
          </cell>
          <cell r="O11274" t="str">
            <v>NR</v>
          </cell>
        </row>
        <row r="11275">
          <cell r="E11275" t="str">
            <v>MUS</v>
          </cell>
          <cell r="F11275" t="str">
            <v xml:space="preserve">MUS-I </v>
          </cell>
          <cell r="G11275">
            <v>500</v>
          </cell>
          <cell r="H11275" t="str">
            <v>MUS-I 500</v>
          </cell>
          <cell r="K11275" t="str">
            <v>Stewart,M. Dee</v>
          </cell>
          <cell r="N11275">
            <v>4</v>
          </cell>
          <cell r="O11275">
            <v>3.5870000000000002</v>
          </cell>
        </row>
        <row r="11276">
          <cell r="E11276" t="str">
            <v>MUS</v>
          </cell>
          <cell r="F11276" t="str">
            <v xml:space="preserve">MUS-I </v>
          </cell>
          <cell r="G11276">
            <v>500</v>
          </cell>
          <cell r="H11276" t="str">
            <v>MUS-I 500</v>
          </cell>
          <cell r="K11276" t="str">
            <v>Stewart,M. Dee</v>
          </cell>
          <cell r="N11276">
            <v>4</v>
          </cell>
          <cell r="O11276">
            <v>3.633</v>
          </cell>
        </row>
        <row r="11277">
          <cell r="E11277" t="str">
            <v>MUS</v>
          </cell>
          <cell r="F11277" t="str">
            <v xml:space="preserve">MUS-I </v>
          </cell>
          <cell r="G11277">
            <v>500</v>
          </cell>
          <cell r="H11277" t="str">
            <v>MUS-I 500</v>
          </cell>
          <cell r="K11277" t="str">
            <v>Stiles,Patricia Jeane</v>
          </cell>
          <cell r="N11277">
            <v>4</v>
          </cell>
          <cell r="O11277">
            <v>3.673</v>
          </cell>
        </row>
        <row r="11278">
          <cell r="E11278" t="str">
            <v>MUS</v>
          </cell>
          <cell r="F11278" t="str">
            <v xml:space="preserve">MUS-I </v>
          </cell>
          <cell r="G11278">
            <v>500</v>
          </cell>
          <cell r="H11278" t="str">
            <v>MUS-I 500</v>
          </cell>
          <cell r="K11278" t="str">
            <v>Stiles,Patricia Jeane</v>
          </cell>
          <cell r="N11278">
            <v>4</v>
          </cell>
          <cell r="O11278">
            <v>3.5470000000000002</v>
          </cell>
        </row>
        <row r="11279">
          <cell r="E11279" t="str">
            <v>MUS</v>
          </cell>
          <cell r="F11279" t="str">
            <v xml:space="preserve">MUS-I </v>
          </cell>
          <cell r="G11279">
            <v>500</v>
          </cell>
          <cell r="H11279" t="str">
            <v>MUS-I 500</v>
          </cell>
          <cell r="K11279" t="str">
            <v>Strommen,Linda</v>
          </cell>
          <cell r="N11279">
            <v>4</v>
          </cell>
          <cell r="O11279">
            <v>3.7749999999999999</v>
          </cell>
        </row>
        <row r="11280">
          <cell r="E11280" t="str">
            <v>MUS</v>
          </cell>
          <cell r="F11280" t="str">
            <v xml:space="preserve">MUS-I </v>
          </cell>
          <cell r="G11280">
            <v>500</v>
          </cell>
          <cell r="H11280" t="str">
            <v>MUS-I 500</v>
          </cell>
          <cell r="K11280" t="str">
            <v>Strommen,Linda</v>
          </cell>
          <cell r="N11280">
            <v>3.94</v>
          </cell>
          <cell r="O11280">
            <v>3.84</v>
          </cell>
        </row>
        <row r="11281">
          <cell r="E11281" t="str">
            <v>MUS</v>
          </cell>
          <cell r="F11281" t="str">
            <v xml:space="preserve">MUS-I </v>
          </cell>
          <cell r="G11281">
            <v>500</v>
          </cell>
          <cell r="H11281" t="str">
            <v>MUS-I 500</v>
          </cell>
          <cell r="K11281" t="str">
            <v>Stumpf,Peter Daniel</v>
          </cell>
          <cell r="N11281">
            <v>4</v>
          </cell>
          <cell r="O11281">
            <v>3.629</v>
          </cell>
        </row>
        <row r="11282">
          <cell r="E11282" t="str">
            <v>MUS</v>
          </cell>
          <cell r="F11282" t="str">
            <v xml:space="preserve">MUS-I </v>
          </cell>
          <cell r="G11282">
            <v>500</v>
          </cell>
          <cell r="H11282" t="str">
            <v>MUS-I 500</v>
          </cell>
          <cell r="K11282" t="str">
            <v>Stumpf,Peter Daniel</v>
          </cell>
          <cell r="N11282">
            <v>3.8290000000000002</v>
          </cell>
          <cell r="O11282">
            <v>3.653</v>
          </cell>
        </row>
        <row r="11283">
          <cell r="E11283" t="str">
            <v>MUS</v>
          </cell>
          <cell r="F11283" t="str">
            <v xml:space="preserve">MUS-I </v>
          </cell>
          <cell r="G11283">
            <v>500</v>
          </cell>
          <cell r="H11283" t="str">
            <v>MUS-I 500</v>
          </cell>
          <cell r="K11283" t="str">
            <v>Szmyt,Elzbieta Monika</v>
          </cell>
          <cell r="N11283" t="str">
            <v>NR</v>
          </cell>
          <cell r="O11283" t="str">
            <v>NR</v>
          </cell>
        </row>
        <row r="11284">
          <cell r="E11284" t="str">
            <v>MUS</v>
          </cell>
          <cell r="F11284" t="str">
            <v xml:space="preserve">MUS-I </v>
          </cell>
          <cell r="G11284">
            <v>500</v>
          </cell>
          <cell r="H11284" t="str">
            <v>MUS-I 500</v>
          </cell>
          <cell r="K11284" t="str">
            <v>Szmyt,Elzbieta Monika</v>
          </cell>
          <cell r="N11284" t="str">
            <v>NR</v>
          </cell>
          <cell r="O11284" t="str">
            <v>NR</v>
          </cell>
        </row>
        <row r="11285">
          <cell r="E11285" t="str">
            <v>MUS</v>
          </cell>
          <cell r="F11285" t="str">
            <v xml:space="preserve">MUS-I </v>
          </cell>
          <cell r="G11285">
            <v>500</v>
          </cell>
          <cell r="H11285" t="str">
            <v>MUS-I 500</v>
          </cell>
          <cell r="K11285" t="str">
            <v>Tafoya,John Joseph</v>
          </cell>
          <cell r="N11285">
            <v>4</v>
          </cell>
          <cell r="O11285">
            <v>3.6829999999999998</v>
          </cell>
        </row>
        <row r="11286">
          <cell r="E11286" t="str">
            <v>MUS</v>
          </cell>
          <cell r="F11286" t="str">
            <v xml:space="preserve">MUS-I </v>
          </cell>
          <cell r="G11286">
            <v>500</v>
          </cell>
          <cell r="H11286" t="str">
            <v>MUS-I 500</v>
          </cell>
          <cell r="K11286" t="str">
            <v>Tafoya,John Joseph</v>
          </cell>
          <cell r="N11286">
            <v>4</v>
          </cell>
          <cell r="O11286">
            <v>3.726</v>
          </cell>
        </row>
        <row r="11287">
          <cell r="E11287" t="str">
            <v>MUS</v>
          </cell>
          <cell r="F11287" t="str">
            <v xml:space="preserve">MUS-I </v>
          </cell>
          <cell r="G11287">
            <v>500</v>
          </cell>
          <cell r="H11287" t="str">
            <v>MUS-I 500</v>
          </cell>
          <cell r="K11287" t="str">
            <v>Tartell,Joey</v>
          </cell>
          <cell r="N11287">
            <v>4</v>
          </cell>
          <cell r="O11287">
            <v>3.51</v>
          </cell>
        </row>
        <row r="11288">
          <cell r="E11288" t="str">
            <v>MUS</v>
          </cell>
          <cell r="F11288" t="str">
            <v xml:space="preserve">MUS-I </v>
          </cell>
          <cell r="G11288">
            <v>500</v>
          </cell>
          <cell r="H11288" t="str">
            <v>MUS-I 500</v>
          </cell>
          <cell r="K11288" t="str">
            <v>Tartell,Joey</v>
          </cell>
          <cell r="N11288" t="str">
            <v>NR</v>
          </cell>
          <cell r="O11288" t="str">
            <v>NR</v>
          </cell>
        </row>
        <row r="11289">
          <cell r="E11289" t="str">
            <v>MUS</v>
          </cell>
          <cell r="F11289" t="str">
            <v xml:space="preserve">MUS-I </v>
          </cell>
          <cell r="G11289">
            <v>500</v>
          </cell>
          <cell r="H11289" t="str">
            <v>MUS-I 500</v>
          </cell>
          <cell r="K11289" t="str">
            <v>Vaness,Carol Theresa</v>
          </cell>
          <cell r="N11289">
            <v>4</v>
          </cell>
          <cell r="O11289">
            <v>3.7050000000000001</v>
          </cell>
        </row>
        <row r="11290">
          <cell r="E11290" t="str">
            <v>MUS</v>
          </cell>
          <cell r="F11290" t="str">
            <v xml:space="preserve">MUS-I </v>
          </cell>
          <cell r="G11290">
            <v>500</v>
          </cell>
          <cell r="H11290" t="str">
            <v>MUS-I 500</v>
          </cell>
          <cell r="K11290" t="str">
            <v>Vaness,Carol Theresa</v>
          </cell>
          <cell r="N11290">
            <v>4</v>
          </cell>
          <cell r="O11290">
            <v>3.7879999999999998</v>
          </cell>
        </row>
        <row r="11291">
          <cell r="E11291" t="str">
            <v>MUS</v>
          </cell>
          <cell r="F11291" t="str">
            <v xml:space="preserve">MUS-I </v>
          </cell>
          <cell r="G11291">
            <v>500</v>
          </cell>
          <cell r="H11291" t="str">
            <v>MUS-I 500</v>
          </cell>
          <cell r="K11291" t="str">
            <v>Walsh,Thomas P.</v>
          </cell>
          <cell r="N11291">
            <v>4</v>
          </cell>
          <cell r="O11291">
            <v>3.8780000000000001</v>
          </cell>
        </row>
        <row r="11292">
          <cell r="E11292" t="str">
            <v>MUS</v>
          </cell>
          <cell r="F11292" t="str">
            <v xml:space="preserve">MUS-I </v>
          </cell>
          <cell r="G11292">
            <v>500</v>
          </cell>
          <cell r="H11292" t="str">
            <v>MUS-I 500</v>
          </cell>
          <cell r="K11292" t="str">
            <v>Walsh,Thomas P.</v>
          </cell>
          <cell r="N11292">
            <v>3</v>
          </cell>
          <cell r="O11292">
            <v>3.5449999999999999</v>
          </cell>
        </row>
        <row r="11293">
          <cell r="E11293" t="str">
            <v>MUS</v>
          </cell>
          <cell r="F11293" t="str">
            <v xml:space="preserve">MUS-I </v>
          </cell>
          <cell r="G11293">
            <v>500</v>
          </cell>
          <cell r="H11293" t="str">
            <v>MUS-I 500</v>
          </cell>
          <cell r="K11293" t="str">
            <v>Watts,Andre</v>
          </cell>
          <cell r="N11293">
            <v>4</v>
          </cell>
          <cell r="O11293">
            <v>3.843</v>
          </cell>
        </row>
        <row r="11294">
          <cell r="E11294" t="str">
            <v>MUS</v>
          </cell>
          <cell r="F11294" t="str">
            <v xml:space="preserve">MUS-I </v>
          </cell>
          <cell r="G11294">
            <v>500</v>
          </cell>
          <cell r="H11294" t="str">
            <v>MUS-I 500</v>
          </cell>
          <cell r="K11294" t="str">
            <v>Watts,Andre</v>
          </cell>
          <cell r="N11294">
            <v>4</v>
          </cell>
          <cell r="O11294">
            <v>3.8010000000000002</v>
          </cell>
        </row>
        <row r="11295">
          <cell r="E11295" t="str">
            <v>MUS</v>
          </cell>
          <cell r="F11295" t="str">
            <v xml:space="preserve">MUS-I </v>
          </cell>
          <cell r="G11295">
            <v>500</v>
          </cell>
          <cell r="H11295" t="str">
            <v>MUS-I 500</v>
          </cell>
          <cell r="K11295" t="str">
            <v>Wise,Patricia</v>
          </cell>
          <cell r="N11295">
            <v>4</v>
          </cell>
          <cell r="O11295">
            <v>3.7959999999999998</v>
          </cell>
        </row>
        <row r="11296">
          <cell r="E11296" t="str">
            <v>MUS</v>
          </cell>
          <cell r="F11296" t="str">
            <v xml:space="preserve">MUS-I </v>
          </cell>
          <cell r="G11296">
            <v>500</v>
          </cell>
          <cell r="H11296" t="str">
            <v>MUS-I 500</v>
          </cell>
          <cell r="K11296" t="str">
            <v>Wise,Patricia</v>
          </cell>
          <cell r="N11296">
            <v>4</v>
          </cell>
          <cell r="O11296">
            <v>3.7010000000000001</v>
          </cell>
        </row>
        <row r="11297">
          <cell r="E11297" t="str">
            <v>MUS</v>
          </cell>
          <cell r="F11297" t="str">
            <v xml:space="preserve">MUS-I </v>
          </cell>
          <cell r="G11297">
            <v>500</v>
          </cell>
          <cell r="H11297" t="str">
            <v>MUS-I 500</v>
          </cell>
          <cell r="K11297" t="str">
            <v>Wright,Elisabeth B</v>
          </cell>
          <cell r="N11297">
            <v>4</v>
          </cell>
          <cell r="O11297">
            <v>3.8090000000000002</v>
          </cell>
        </row>
        <row r="11298">
          <cell r="E11298" t="str">
            <v>MUS</v>
          </cell>
          <cell r="F11298" t="str">
            <v xml:space="preserve">MUS-I </v>
          </cell>
          <cell r="G11298">
            <v>500</v>
          </cell>
          <cell r="H11298" t="str">
            <v>MUS-I 500</v>
          </cell>
          <cell r="K11298" t="str">
            <v>Wright,Elisabeth B</v>
          </cell>
          <cell r="N11298">
            <v>4</v>
          </cell>
          <cell r="O11298">
            <v>3.9239999999999999</v>
          </cell>
        </row>
        <row r="11299">
          <cell r="E11299" t="str">
            <v>MUS</v>
          </cell>
          <cell r="F11299" t="str">
            <v xml:space="preserve">MUS-I </v>
          </cell>
          <cell r="G11299">
            <v>500</v>
          </cell>
          <cell r="H11299" t="str">
            <v>MUS-I 500</v>
          </cell>
          <cell r="K11299" t="str">
            <v>Wyrczynski,Stephen Paul</v>
          </cell>
          <cell r="N11299">
            <v>4</v>
          </cell>
          <cell r="O11299">
            <v>3.6829999999999998</v>
          </cell>
        </row>
        <row r="11300">
          <cell r="E11300" t="str">
            <v>MUS</v>
          </cell>
          <cell r="F11300" t="str">
            <v xml:space="preserve">MUS-I </v>
          </cell>
          <cell r="G11300">
            <v>500</v>
          </cell>
          <cell r="H11300" t="str">
            <v>MUS-I 500</v>
          </cell>
          <cell r="K11300" t="str">
            <v>Wyrczynski,Stephen Paul</v>
          </cell>
          <cell r="N11300">
            <v>4</v>
          </cell>
          <cell r="O11300">
            <v>3.7360000000000002</v>
          </cell>
        </row>
        <row r="11301">
          <cell r="E11301" t="str">
            <v>MUS</v>
          </cell>
          <cell r="F11301" t="str">
            <v xml:space="preserve">MUS-I </v>
          </cell>
          <cell r="G11301">
            <v>500</v>
          </cell>
          <cell r="H11301" t="str">
            <v>MUS-I 500</v>
          </cell>
          <cell r="K11301" t="str">
            <v>Young,Christopher</v>
          </cell>
          <cell r="N11301">
            <v>4</v>
          </cell>
          <cell r="O11301">
            <v>3.7450000000000001</v>
          </cell>
        </row>
        <row r="11302">
          <cell r="E11302" t="str">
            <v>MUS</v>
          </cell>
          <cell r="F11302" t="str">
            <v xml:space="preserve">MUS-I </v>
          </cell>
          <cell r="G11302">
            <v>500</v>
          </cell>
          <cell r="H11302" t="str">
            <v>MUS-I 500</v>
          </cell>
          <cell r="K11302" t="str">
            <v>Young,Christopher</v>
          </cell>
          <cell r="N11302">
            <v>4</v>
          </cell>
          <cell r="O11302">
            <v>3.7240000000000002</v>
          </cell>
        </row>
        <row r="11303">
          <cell r="E11303" t="str">
            <v>MUS</v>
          </cell>
          <cell r="F11303" t="str">
            <v xml:space="preserve">MUS-I </v>
          </cell>
          <cell r="G11303">
            <v>500</v>
          </cell>
          <cell r="H11303" t="str">
            <v>MUS-I 500</v>
          </cell>
          <cell r="K11303" t="str">
            <v>Zweig,Mimi H</v>
          </cell>
          <cell r="N11303">
            <v>4</v>
          </cell>
          <cell r="O11303">
            <v>3.7970000000000002</v>
          </cell>
        </row>
        <row r="11304">
          <cell r="E11304" t="str">
            <v>MUS</v>
          </cell>
          <cell r="F11304" t="str">
            <v xml:space="preserve">MUS-I </v>
          </cell>
          <cell r="G11304">
            <v>500</v>
          </cell>
          <cell r="H11304" t="str">
            <v>MUS-I 500</v>
          </cell>
          <cell r="K11304" t="str">
            <v>Zweig,Mimi H</v>
          </cell>
          <cell r="N11304">
            <v>4</v>
          </cell>
          <cell r="O11304">
            <v>3.84</v>
          </cell>
        </row>
        <row r="11305">
          <cell r="E11305" t="str">
            <v>MUS</v>
          </cell>
          <cell r="F11305" t="str">
            <v xml:space="preserve">MUS-I </v>
          </cell>
          <cell r="G11305">
            <v>502</v>
          </cell>
          <cell r="H11305" t="str">
            <v>MUS-I 502</v>
          </cell>
          <cell r="K11305" t="str">
            <v>May,Lissa Fleming</v>
          </cell>
          <cell r="N11305" t="str">
            <v>NR</v>
          </cell>
          <cell r="O11305" t="str">
            <v>NR</v>
          </cell>
        </row>
        <row r="11306">
          <cell r="E11306" t="str">
            <v>MUS</v>
          </cell>
          <cell r="F11306" t="str">
            <v xml:space="preserve">MUS-I </v>
          </cell>
          <cell r="G11306">
            <v>502</v>
          </cell>
          <cell r="H11306" t="str">
            <v>MUS-I 502</v>
          </cell>
          <cell r="K11306" t="str">
            <v>May,Lissa Fleming</v>
          </cell>
          <cell r="N11306" t="str">
            <v>NR</v>
          </cell>
          <cell r="O11306" t="str">
            <v>NR</v>
          </cell>
        </row>
        <row r="11307">
          <cell r="E11307" t="str">
            <v>MUS</v>
          </cell>
          <cell r="F11307" t="str">
            <v xml:space="preserve">MUS-I </v>
          </cell>
          <cell r="G11307">
            <v>611</v>
          </cell>
          <cell r="H11307" t="str">
            <v>MUS-I 611</v>
          </cell>
          <cell r="K11307" t="str">
            <v>Isaacson,Eric John</v>
          </cell>
          <cell r="N11307" t="str">
            <v>NR</v>
          </cell>
          <cell r="O11307" t="str">
            <v>NR</v>
          </cell>
        </row>
        <row r="11308">
          <cell r="E11308" t="str">
            <v>MUS</v>
          </cell>
          <cell r="F11308" t="str">
            <v xml:space="preserve">MUS-I </v>
          </cell>
          <cell r="G11308">
            <v>611</v>
          </cell>
          <cell r="H11308" t="str">
            <v>MUS-I 611</v>
          </cell>
          <cell r="K11308" t="str">
            <v>Isaacson,Eric John</v>
          </cell>
          <cell r="N11308" t="str">
            <v>NR</v>
          </cell>
          <cell r="O11308" t="str">
            <v>NR</v>
          </cell>
        </row>
        <row r="11309">
          <cell r="E11309" t="str">
            <v>MUS</v>
          </cell>
          <cell r="F11309" t="str">
            <v xml:space="preserve">MUS-I </v>
          </cell>
          <cell r="G11309">
            <v>711</v>
          </cell>
          <cell r="H11309" t="str">
            <v>MUS-I 711</v>
          </cell>
          <cell r="K11309" t="str">
            <v>Isaacson,Eric John</v>
          </cell>
          <cell r="N11309" t="str">
            <v>NR</v>
          </cell>
          <cell r="O11309" t="str">
            <v>NR</v>
          </cell>
        </row>
        <row r="11310">
          <cell r="E11310" t="str">
            <v>MUS</v>
          </cell>
          <cell r="F11310" t="str">
            <v xml:space="preserve">MUS-I </v>
          </cell>
          <cell r="G11310">
            <v>711</v>
          </cell>
          <cell r="H11310" t="str">
            <v>MUS-I 711</v>
          </cell>
          <cell r="K11310" t="str">
            <v>Isaacson,Eric John</v>
          </cell>
          <cell r="N11310" t="str">
            <v>NR</v>
          </cell>
          <cell r="O11310" t="str">
            <v>NR</v>
          </cell>
        </row>
        <row r="11311">
          <cell r="E11311" t="str">
            <v>MUS</v>
          </cell>
          <cell r="F11311" t="str">
            <v xml:space="preserve">MUS-I </v>
          </cell>
          <cell r="G11311">
            <v>711</v>
          </cell>
          <cell r="H11311" t="str">
            <v>MUS-I 711</v>
          </cell>
          <cell r="K11311" t="str">
            <v>Isaacson,Eric John</v>
          </cell>
          <cell r="N11311">
            <v>3.95</v>
          </cell>
          <cell r="O11311">
            <v>3.7749999999999999</v>
          </cell>
        </row>
        <row r="11312">
          <cell r="E11312" t="str">
            <v>MUS</v>
          </cell>
          <cell r="F11312" t="str">
            <v xml:space="preserve">MUS-I </v>
          </cell>
          <cell r="G11312">
            <v>821</v>
          </cell>
          <cell r="H11312" t="str">
            <v>MUS-I 821</v>
          </cell>
          <cell r="K11312" t="str">
            <v>Isaacson,Eric John</v>
          </cell>
          <cell r="N11312">
            <v>4</v>
          </cell>
          <cell r="O11312">
            <v>3.831</v>
          </cell>
        </row>
        <row r="11313">
          <cell r="E11313" t="str">
            <v>MUS</v>
          </cell>
          <cell r="F11313" t="str">
            <v xml:space="preserve">MUS-I </v>
          </cell>
          <cell r="G11313">
            <v>821</v>
          </cell>
          <cell r="H11313" t="str">
            <v>MUS-I 821</v>
          </cell>
          <cell r="K11313" t="str">
            <v>Isaacson,Eric John</v>
          </cell>
          <cell r="N11313" t="str">
            <v>NR</v>
          </cell>
          <cell r="O11313" t="str">
            <v>NR</v>
          </cell>
        </row>
        <row r="11314">
          <cell r="E11314" t="str">
            <v>MUS</v>
          </cell>
          <cell r="F11314" t="str">
            <v xml:space="preserve">MUS-I </v>
          </cell>
          <cell r="G11314">
            <v>911</v>
          </cell>
          <cell r="H11314" t="str">
            <v>MUS-I 911</v>
          </cell>
          <cell r="K11314" t="str">
            <v>Isaacson,Eric John</v>
          </cell>
          <cell r="N11314" t="str">
            <v>NR</v>
          </cell>
          <cell r="O11314" t="str">
            <v>NR</v>
          </cell>
        </row>
        <row r="11315">
          <cell r="E11315" t="str">
            <v>MUS</v>
          </cell>
          <cell r="F11315" t="str">
            <v xml:space="preserve">MUS-I </v>
          </cell>
          <cell r="G11315">
            <v>911</v>
          </cell>
          <cell r="H11315" t="str">
            <v>MUS-I 911</v>
          </cell>
          <cell r="K11315" t="str">
            <v>Isaacson,Eric John</v>
          </cell>
          <cell r="N11315" t="str">
            <v>NR</v>
          </cell>
          <cell r="O11315" t="str">
            <v>NR</v>
          </cell>
        </row>
        <row r="11316">
          <cell r="E11316" t="str">
            <v>MUS</v>
          </cell>
          <cell r="F11316" t="str">
            <v xml:space="preserve">MUS-I </v>
          </cell>
          <cell r="G11316">
            <v>911</v>
          </cell>
          <cell r="H11316" t="str">
            <v>MUS-I 911</v>
          </cell>
          <cell r="K11316" t="str">
            <v>Isaacson,Eric John</v>
          </cell>
          <cell r="N11316" t="str">
            <v>NR</v>
          </cell>
          <cell r="O11316" t="str">
            <v>NR</v>
          </cell>
        </row>
        <row r="11317">
          <cell r="E11317" t="str">
            <v>MUS</v>
          </cell>
          <cell r="F11317" t="str">
            <v xml:space="preserve">MUS-I </v>
          </cell>
          <cell r="G11317">
            <v>911</v>
          </cell>
          <cell r="H11317" t="str">
            <v>MUS-I 911</v>
          </cell>
          <cell r="K11317" t="str">
            <v>Isaacson,Eric John</v>
          </cell>
          <cell r="N11317" t="str">
            <v>NR</v>
          </cell>
          <cell r="O11317" t="str">
            <v>NR</v>
          </cell>
        </row>
        <row r="11318">
          <cell r="E11318" t="str">
            <v>MUS</v>
          </cell>
          <cell r="F11318" t="str">
            <v xml:space="preserve">MUS-I </v>
          </cell>
          <cell r="G11318">
            <v>911</v>
          </cell>
          <cell r="H11318" t="str">
            <v>MUS-I 911</v>
          </cell>
          <cell r="K11318" t="str">
            <v>Isaacson,Eric John</v>
          </cell>
          <cell r="N11318" t="str">
            <v>NR</v>
          </cell>
          <cell r="O11318" t="str">
            <v>NR</v>
          </cell>
        </row>
        <row r="11319">
          <cell r="E11319" t="str">
            <v>MUS</v>
          </cell>
          <cell r="F11319" t="str">
            <v xml:space="preserve">MUS-I </v>
          </cell>
          <cell r="G11319">
            <v>911</v>
          </cell>
          <cell r="H11319" t="str">
            <v>MUS-I 911</v>
          </cell>
          <cell r="K11319" t="str">
            <v>Isaacson,Eric John</v>
          </cell>
          <cell r="N11319" t="str">
            <v>NR</v>
          </cell>
          <cell r="O11319" t="str">
            <v>NR</v>
          </cell>
        </row>
        <row r="11320">
          <cell r="E11320" t="str">
            <v>MUS</v>
          </cell>
          <cell r="F11320" t="str">
            <v xml:space="preserve">MUS-I </v>
          </cell>
          <cell r="G11320">
            <v>921</v>
          </cell>
          <cell r="H11320" t="str">
            <v>MUS-I 921</v>
          </cell>
          <cell r="K11320" t="str">
            <v>Isaacson,Eric John</v>
          </cell>
          <cell r="N11320" t="str">
            <v>NR</v>
          </cell>
          <cell r="O11320" t="str">
            <v>NR</v>
          </cell>
        </row>
        <row r="11321">
          <cell r="E11321" t="str">
            <v>MUS</v>
          </cell>
          <cell r="F11321" t="str">
            <v xml:space="preserve">MUS-I </v>
          </cell>
          <cell r="G11321">
            <v>921</v>
          </cell>
          <cell r="H11321" t="str">
            <v>MUS-I 921</v>
          </cell>
          <cell r="K11321" t="str">
            <v>Isaacson,Eric John</v>
          </cell>
          <cell r="N11321" t="str">
            <v>NR</v>
          </cell>
          <cell r="O11321" t="str">
            <v>NR</v>
          </cell>
        </row>
        <row r="11322">
          <cell r="E11322" t="str">
            <v>MUS</v>
          </cell>
          <cell r="F11322" t="str">
            <v xml:space="preserve">MUS-J </v>
          </cell>
          <cell r="G11322">
            <v>100</v>
          </cell>
          <cell r="H11322" t="str">
            <v>MUS-J 100</v>
          </cell>
          <cell r="K11322" t="str">
            <v>Sales,Doricha</v>
          </cell>
          <cell r="N11322">
            <v>3.6709999999999998</v>
          </cell>
          <cell r="O11322">
            <v>3.4420000000000002</v>
          </cell>
        </row>
        <row r="11323">
          <cell r="E11323" t="str">
            <v>MUS</v>
          </cell>
          <cell r="F11323" t="str">
            <v xml:space="preserve">MUS-J </v>
          </cell>
          <cell r="G11323">
            <v>100</v>
          </cell>
          <cell r="H11323" t="str">
            <v>MUS-J 100</v>
          </cell>
          <cell r="K11323" t="str">
            <v>Sales,Doricha</v>
          </cell>
          <cell r="N11323">
            <v>3.8639999999999999</v>
          </cell>
          <cell r="O11323">
            <v>3.01</v>
          </cell>
        </row>
        <row r="11324">
          <cell r="E11324" t="str">
            <v>MUS</v>
          </cell>
          <cell r="F11324" t="str">
            <v xml:space="preserve">MUS-J </v>
          </cell>
          <cell r="G11324">
            <v>100</v>
          </cell>
          <cell r="H11324" t="str">
            <v>MUS-J 100</v>
          </cell>
          <cell r="K11324" t="str">
            <v>Sales,Doricha</v>
          </cell>
          <cell r="N11324">
            <v>3.4220000000000002</v>
          </cell>
          <cell r="O11324">
            <v>3.3380000000000001</v>
          </cell>
        </row>
        <row r="11325">
          <cell r="E11325" t="str">
            <v>MUS</v>
          </cell>
          <cell r="F11325" t="str">
            <v xml:space="preserve">MUS-J </v>
          </cell>
          <cell r="G11325">
            <v>100</v>
          </cell>
          <cell r="H11325" t="str">
            <v>MUS-J 100</v>
          </cell>
          <cell r="K11325" t="str">
            <v>Sales,Doricha</v>
          </cell>
          <cell r="N11325">
            <v>3.6269999999999998</v>
          </cell>
          <cell r="O11325">
            <v>3.6379999999999999</v>
          </cell>
        </row>
        <row r="11326">
          <cell r="E11326" t="str">
            <v>MUS</v>
          </cell>
          <cell r="F11326" t="str">
            <v xml:space="preserve">MUS-J </v>
          </cell>
          <cell r="G11326">
            <v>100</v>
          </cell>
          <cell r="H11326" t="str">
            <v>MUS-J 100</v>
          </cell>
          <cell r="K11326" t="str">
            <v>Sales,Doricha</v>
          </cell>
          <cell r="N11326">
            <v>3.8</v>
          </cell>
          <cell r="O11326">
            <v>3.0739999999999998</v>
          </cell>
        </row>
        <row r="11327">
          <cell r="E11327" t="str">
            <v>MUS</v>
          </cell>
          <cell r="F11327" t="str">
            <v xml:space="preserve">MUS-J </v>
          </cell>
          <cell r="G11327">
            <v>100</v>
          </cell>
          <cell r="H11327" t="str">
            <v>MUS-J 100</v>
          </cell>
          <cell r="K11327" t="str">
            <v>Sales,Doricha</v>
          </cell>
          <cell r="N11327">
            <v>2.95</v>
          </cell>
          <cell r="O11327">
            <v>2.976</v>
          </cell>
        </row>
        <row r="11328">
          <cell r="E11328" t="str">
            <v>MUS</v>
          </cell>
          <cell r="F11328" t="str">
            <v xml:space="preserve">MUS-J </v>
          </cell>
          <cell r="G11328">
            <v>100</v>
          </cell>
          <cell r="H11328" t="str">
            <v>MUS-J 100</v>
          </cell>
          <cell r="K11328" t="str">
            <v>Sales,Doricha</v>
          </cell>
          <cell r="N11328">
            <v>3.7850000000000001</v>
          </cell>
          <cell r="O11328">
            <v>3.157</v>
          </cell>
        </row>
        <row r="11329">
          <cell r="E11329" t="str">
            <v>MUS</v>
          </cell>
          <cell r="F11329" t="str">
            <v xml:space="preserve">MUS-J </v>
          </cell>
          <cell r="G11329">
            <v>100</v>
          </cell>
          <cell r="H11329" t="str">
            <v>MUS-J 100</v>
          </cell>
          <cell r="K11329" t="str">
            <v>Sales,Doricha</v>
          </cell>
          <cell r="N11329">
            <v>3.9129999999999998</v>
          </cell>
          <cell r="O11329">
            <v>3.3490000000000002</v>
          </cell>
        </row>
        <row r="11330">
          <cell r="E11330" t="str">
            <v>MUS</v>
          </cell>
          <cell r="F11330" t="str">
            <v xml:space="preserve">MUS-J </v>
          </cell>
          <cell r="G11330">
            <v>100</v>
          </cell>
          <cell r="H11330" t="str">
            <v>MUS-J 100</v>
          </cell>
          <cell r="K11330" t="str">
            <v>Sales,Doricha</v>
          </cell>
          <cell r="N11330">
            <v>4</v>
          </cell>
          <cell r="O11330">
            <v>3.6230000000000002</v>
          </cell>
        </row>
        <row r="11331">
          <cell r="E11331" t="str">
            <v>MUS</v>
          </cell>
          <cell r="F11331" t="str">
            <v xml:space="preserve">MUS-J </v>
          </cell>
          <cell r="G11331">
            <v>100</v>
          </cell>
          <cell r="H11331" t="str">
            <v>MUS-J 100</v>
          </cell>
          <cell r="K11331" t="str">
            <v>Sales,Doricha</v>
          </cell>
          <cell r="N11331">
            <v>3.47</v>
          </cell>
          <cell r="O11331">
            <v>3.4550000000000001</v>
          </cell>
        </row>
        <row r="11332">
          <cell r="E11332" t="str">
            <v>MUS</v>
          </cell>
          <cell r="F11332" t="str">
            <v xml:space="preserve">MUS-J </v>
          </cell>
          <cell r="G11332">
            <v>100</v>
          </cell>
          <cell r="H11332" t="str">
            <v>MUS-J 100</v>
          </cell>
          <cell r="K11332" t="str">
            <v>Sales,Doricha</v>
          </cell>
          <cell r="N11332">
            <v>3.9540000000000002</v>
          </cell>
          <cell r="O11332">
            <v>3.625</v>
          </cell>
        </row>
        <row r="11333">
          <cell r="E11333" t="str">
            <v>MUS</v>
          </cell>
          <cell r="F11333" t="str">
            <v xml:space="preserve">MUS-J </v>
          </cell>
          <cell r="G11333">
            <v>100</v>
          </cell>
          <cell r="H11333" t="str">
            <v>MUS-J 100</v>
          </cell>
          <cell r="K11333" t="str">
            <v>Sales,Doricha</v>
          </cell>
          <cell r="N11333">
            <v>3.9540000000000002</v>
          </cell>
          <cell r="O11333">
            <v>3.1080000000000001</v>
          </cell>
        </row>
        <row r="11334">
          <cell r="E11334" t="str">
            <v>MUS</v>
          </cell>
          <cell r="F11334" t="str">
            <v xml:space="preserve">MUS-J </v>
          </cell>
          <cell r="G11334">
            <v>100</v>
          </cell>
          <cell r="H11334" t="str">
            <v>MUS-J 100</v>
          </cell>
          <cell r="K11334" t="str">
            <v>Sales,Doricha</v>
          </cell>
          <cell r="N11334">
            <v>3.9079999999999999</v>
          </cell>
          <cell r="O11334">
            <v>3.29</v>
          </cell>
        </row>
        <row r="11335">
          <cell r="E11335" t="str">
            <v>MUS</v>
          </cell>
          <cell r="F11335" t="str">
            <v xml:space="preserve">MUS-J </v>
          </cell>
          <cell r="G11335">
            <v>100</v>
          </cell>
          <cell r="H11335" t="str">
            <v>MUS-J 100</v>
          </cell>
          <cell r="K11335" t="str">
            <v>Sales,Doricha</v>
          </cell>
          <cell r="N11335">
            <v>3.956</v>
          </cell>
          <cell r="O11335">
            <v>3.282</v>
          </cell>
        </row>
        <row r="11336">
          <cell r="E11336" t="str">
            <v>MUS</v>
          </cell>
          <cell r="F11336" t="str">
            <v xml:space="preserve">MUS-J </v>
          </cell>
          <cell r="G11336">
            <v>100</v>
          </cell>
          <cell r="H11336" t="str">
            <v>MUS-J 100</v>
          </cell>
          <cell r="K11336" t="str">
            <v>Sales,Doricha</v>
          </cell>
          <cell r="N11336">
            <v>3.9169999999999998</v>
          </cell>
          <cell r="O11336">
            <v>3.448</v>
          </cell>
        </row>
        <row r="11337">
          <cell r="E11337" t="str">
            <v>MUS</v>
          </cell>
          <cell r="F11337" t="str">
            <v xml:space="preserve">MUS-J </v>
          </cell>
          <cell r="G11337">
            <v>100</v>
          </cell>
          <cell r="H11337" t="str">
            <v>MUS-J 100</v>
          </cell>
          <cell r="K11337" t="str">
            <v>Sales,Doricha</v>
          </cell>
          <cell r="N11337">
            <v>3.75</v>
          </cell>
          <cell r="O11337">
            <v>3.1589999999999998</v>
          </cell>
        </row>
        <row r="11338">
          <cell r="E11338" t="str">
            <v>MUS</v>
          </cell>
          <cell r="F11338" t="str">
            <v xml:space="preserve">MUS-J </v>
          </cell>
          <cell r="G11338">
            <v>100</v>
          </cell>
          <cell r="H11338" t="str">
            <v>MUS-J 100</v>
          </cell>
          <cell r="K11338" t="str">
            <v>Sales,Doricha</v>
          </cell>
          <cell r="N11338">
            <v>3.6219999999999999</v>
          </cell>
          <cell r="O11338">
            <v>3.16</v>
          </cell>
        </row>
        <row r="11339">
          <cell r="E11339" t="str">
            <v>MUS</v>
          </cell>
          <cell r="F11339" t="str">
            <v xml:space="preserve">MUS-J </v>
          </cell>
          <cell r="G11339">
            <v>100</v>
          </cell>
          <cell r="H11339" t="str">
            <v>MUS-J 100</v>
          </cell>
          <cell r="K11339" t="str">
            <v>Sales,Doricha</v>
          </cell>
          <cell r="N11339">
            <v>4</v>
          </cell>
          <cell r="O11339">
            <v>3.78</v>
          </cell>
        </row>
        <row r="11340">
          <cell r="E11340" t="str">
            <v>MUS</v>
          </cell>
          <cell r="F11340" t="str">
            <v xml:space="preserve">MUS-J </v>
          </cell>
          <cell r="G11340">
            <v>100</v>
          </cell>
          <cell r="H11340" t="str">
            <v>MUS-J 100</v>
          </cell>
          <cell r="K11340" t="str">
            <v>Sales,Doricha</v>
          </cell>
          <cell r="N11340">
            <v>3.5939999999999999</v>
          </cell>
          <cell r="O11340">
            <v>3.5379999999999998</v>
          </cell>
        </row>
        <row r="11341">
          <cell r="E11341" t="str">
            <v>MUS</v>
          </cell>
          <cell r="F11341" t="str">
            <v xml:space="preserve">MUS-J </v>
          </cell>
          <cell r="G11341">
            <v>210</v>
          </cell>
          <cell r="H11341" t="str">
            <v>MUS-J 210</v>
          </cell>
          <cell r="K11341" t="str">
            <v>Rees,Linda Diane</v>
          </cell>
          <cell r="N11341">
            <v>4</v>
          </cell>
          <cell r="O11341">
            <v>3.4449999999999998</v>
          </cell>
        </row>
        <row r="11342">
          <cell r="E11342" t="str">
            <v>MUS</v>
          </cell>
          <cell r="F11342" t="str">
            <v xml:space="preserve">MUS-J </v>
          </cell>
          <cell r="G11342">
            <v>210</v>
          </cell>
          <cell r="H11342" t="str">
            <v>MUS-J 210</v>
          </cell>
          <cell r="K11342" t="str">
            <v>Rees,Linda Diane</v>
          </cell>
          <cell r="N11342">
            <v>3.7890000000000001</v>
          </cell>
          <cell r="O11342">
            <v>3.5979999999999999</v>
          </cell>
        </row>
        <row r="11343">
          <cell r="E11343" t="str">
            <v>MUS</v>
          </cell>
          <cell r="F11343" t="str">
            <v xml:space="preserve">MUS-J </v>
          </cell>
          <cell r="G11343">
            <v>210</v>
          </cell>
          <cell r="H11343" t="str">
            <v>MUS-J 210</v>
          </cell>
          <cell r="K11343" t="str">
            <v>Rees,Linda Diane</v>
          </cell>
          <cell r="N11343">
            <v>3.7370000000000001</v>
          </cell>
          <cell r="O11343">
            <v>3.19</v>
          </cell>
        </row>
        <row r="11344">
          <cell r="E11344" t="str">
            <v>MUS</v>
          </cell>
          <cell r="F11344" t="str">
            <v xml:space="preserve">MUS-J </v>
          </cell>
          <cell r="G11344">
            <v>210</v>
          </cell>
          <cell r="H11344" t="str">
            <v>MUS-J 210</v>
          </cell>
          <cell r="K11344" t="str">
            <v>Rees,Linda Diane</v>
          </cell>
          <cell r="N11344" t="str">
            <v>NR</v>
          </cell>
          <cell r="O11344" t="str">
            <v>NR</v>
          </cell>
        </row>
        <row r="11345">
          <cell r="E11345" t="str">
            <v>MUS</v>
          </cell>
          <cell r="F11345" t="str">
            <v xml:space="preserve">MUS-J </v>
          </cell>
          <cell r="G11345">
            <v>210</v>
          </cell>
          <cell r="H11345" t="str">
            <v>MUS-J 210</v>
          </cell>
          <cell r="K11345" t="str">
            <v>Vernon,Michael</v>
          </cell>
          <cell r="N11345" t="str">
            <v>NR</v>
          </cell>
          <cell r="O11345" t="str">
            <v>NR</v>
          </cell>
        </row>
        <row r="11346">
          <cell r="E11346" t="str">
            <v>MUS</v>
          </cell>
          <cell r="F11346" t="str">
            <v xml:space="preserve">MUS-J </v>
          </cell>
          <cell r="G11346">
            <v>210</v>
          </cell>
          <cell r="H11346" t="str">
            <v>MUS-J 210</v>
          </cell>
          <cell r="K11346" t="str">
            <v>Vernon,Michael</v>
          </cell>
          <cell r="N11346">
            <v>4</v>
          </cell>
          <cell r="O11346">
            <v>3.3250000000000002</v>
          </cell>
        </row>
        <row r="11347">
          <cell r="E11347" t="str">
            <v>MUS</v>
          </cell>
          <cell r="F11347" t="str">
            <v xml:space="preserve">MUS-J </v>
          </cell>
          <cell r="G11347">
            <v>210</v>
          </cell>
          <cell r="H11347" t="str">
            <v>MUS-J 210</v>
          </cell>
          <cell r="K11347" t="str">
            <v>Vernon,Michael</v>
          </cell>
          <cell r="N11347">
            <v>3.669</v>
          </cell>
          <cell r="O11347">
            <v>3.347</v>
          </cell>
        </row>
        <row r="11348">
          <cell r="E11348" t="str">
            <v>MUS</v>
          </cell>
          <cell r="F11348" t="str">
            <v xml:space="preserve">MUS-J </v>
          </cell>
          <cell r="G11348">
            <v>210</v>
          </cell>
          <cell r="H11348" t="str">
            <v>MUS-J 210</v>
          </cell>
          <cell r="K11348" t="str">
            <v>Vernon,Michael</v>
          </cell>
          <cell r="N11348">
            <v>3.8180000000000001</v>
          </cell>
          <cell r="O11348">
            <v>3.67</v>
          </cell>
        </row>
        <row r="11349">
          <cell r="E11349" t="str">
            <v>MUS</v>
          </cell>
          <cell r="F11349" t="str">
            <v xml:space="preserve">MUS-J </v>
          </cell>
          <cell r="G11349">
            <v>210</v>
          </cell>
          <cell r="H11349" t="str">
            <v>MUS-J 210</v>
          </cell>
          <cell r="K11349" t="str">
            <v>Vernon,Michael</v>
          </cell>
          <cell r="N11349">
            <v>4</v>
          </cell>
          <cell r="O11349">
            <v>3.573</v>
          </cell>
        </row>
        <row r="11350">
          <cell r="E11350" t="str">
            <v>MUS</v>
          </cell>
          <cell r="F11350" t="str">
            <v xml:space="preserve">MUS-J </v>
          </cell>
          <cell r="G11350">
            <v>210</v>
          </cell>
          <cell r="H11350" t="str">
            <v>MUS-J 210</v>
          </cell>
          <cell r="K11350" t="str">
            <v>Vernon,Michael</v>
          </cell>
          <cell r="N11350">
            <v>4</v>
          </cell>
          <cell r="O11350">
            <v>3.282</v>
          </cell>
        </row>
        <row r="11351">
          <cell r="E11351" t="str">
            <v>MUS</v>
          </cell>
          <cell r="F11351" t="str">
            <v xml:space="preserve">MUS-J </v>
          </cell>
          <cell r="G11351">
            <v>340</v>
          </cell>
          <cell r="H11351" t="str">
            <v>MUS-J 340</v>
          </cell>
          <cell r="K11351" t="str">
            <v>Sales,Doricha</v>
          </cell>
          <cell r="N11351">
            <v>3.867</v>
          </cell>
          <cell r="O11351">
            <v>3.7010000000000001</v>
          </cell>
        </row>
        <row r="11352">
          <cell r="E11352" t="str">
            <v>MUS</v>
          </cell>
          <cell r="F11352" t="str">
            <v xml:space="preserve">MUS-J </v>
          </cell>
          <cell r="G11352">
            <v>340</v>
          </cell>
          <cell r="H11352" t="str">
            <v>MUS-J 340</v>
          </cell>
          <cell r="K11352" t="str">
            <v>Sales,Doricha</v>
          </cell>
          <cell r="N11352" t="str">
            <v>NR</v>
          </cell>
          <cell r="O11352" t="str">
            <v>NR</v>
          </cell>
        </row>
        <row r="11353">
          <cell r="E11353" t="str">
            <v>MUS</v>
          </cell>
          <cell r="F11353" t="str">
            <v xml:space="preserve">MUS-J </v>
          </cell>
          <cell r="G11353">
            <v>340</v>
          </cell>
          <cell r="H11353" t="str">
            <v>MUS-J 340</v>
          </cell>
          <cell r="K11353" t="str">
            <v>Sales,Doricha</v>
          </cell>
          <cell r="N11353">
            <v>4</v>
          </cell>
          <cell r="O11353">
            <v>3.7650000000000001</v>
          </cell>
        </row>
        <row r="11354">
          <cell r="E11354" t="str">
            <v>MUS</v>
          </cell>
          <cell r="F11354" t="str">
            <v xml:space="preserve">MUS-J </v>
          </cell>
          <cell r="G11354">
            <v>340</v>
          </cell>
          <cell r="H11354" t="str">
            <v>MUS-J 340</v>
          </cell>
          <cell r="K11354" t="str">
            <v>Sales,Doricha</v>
          </cell>
          <cell r="N11354" t="str">
            <v>NR</v>
          </cell>
          <cell r="O11354" t="str">
            <v>NR</v>
          </cell>
        </row>
        <row r="11355">
          <cell r="E11355" t="str">
            <v>MUS</v>
          </cell>
          <cell r="F11355" t="str">
            <v xml:space="preserve">MUS-J </v>
          </cell>
          <cell r="G11355">
            <v>400</v>
          </cell>
          <cell r="H11355" t="str">
            <v>MUS-J 400</v>
          </cell>
          <cell r="K11355" t="str">
            <v>Cesbron,Jacques</v>
          </cell>
          <cell r="N11355">
            <v>4</v>
          </cell>
          <cell r="O11355">
            <v>3.7429999999999999</v>
          </cell>
        </row>
        <row r="11356">
          <cell r="E11356" t="str">
            <v>MUS</v>
          </cell>
          <cell r="F11356" t="str">
            <v xml:space="preserve">MUS-J </v>
          </cell>
          <cell r="G11356">
            <v>400</v>
          </cell>
          <cell r="H11356" t="str">
            <v>MUS-J 400</v>
          </cell>
          <cell r="K11356" t="str">
            <v>Vernon,Michael</v>
          </cell>
          <cell r="N11356">
            <v>3.9079999999999999</v>
          </cell>
          <cell r="O11356">
            <v>3.74</v>
          </cell>
        </row>
        <row r="11357">
          <cell r="E11357" t="str">
            <v>MUS</v>
          </cell>
          <cell r="F11357" t="str">
            <v xml:space="preserve">MUS-J </v>
          </cell>
          <cell r="G11357">
            <v>410</v>
          </cell>
          <cell r="H11357" t="str">
            <v>MUS-J 410</v>
          </cell>
          <cell r="K11357" t="str">
            <v>Vernon,Michael</v>
          </cell>
          <cell r="N11357">
            <v>4</v>
          </cell>
          <cell r="O11357">
            <v>3.7109999999999999</v>
          </cell>
        </row>
        <row r="11358">
          <cell r="E11358" t="str">
            <v>MUS</v>
          </cell>
          <cell r="F11358" t="str">
            <v xml:space="preserve">MUS-J </v>
          </cell>
          <cell r="G11358">
            <v>700</v>
          </cell>
          <cell r="H11358" t="str">
            <v>MUS-J 700</v>
          </cell>
          <cell r="K11358" t="str">
            <v>Sales,Doricha</v>
          </cell>
          <cell r="N11358" t="str">
            <v>NR</v>
          </cell>
          <cell r="O11358" t="str">
            <v>NR</v>
          </cell>
        </row>
        <row r="11359">
          <cell r="E11359" t="str">
            <v>MUS</v>
          </cell>
          <cell r="F11359" t="str">
            <v xml:space="preserve">MUS-J </v>
          </cell>
          <cell r="G11359">
            <v>700</v>
          </cell>
          <cell r="H11359" t="str">
            <v>MUS-J 700</v>
          </cell>
          <cell r="K11359" t="str">
            <v>Sales,Doricha</v>
          </cell>
          <cell r="N11359" t="str">
            <v>NR</v>
          </cell>
          <cell r="O11359" t="str">
            <v>NR</v>
          </cell>
        </row>
        <row r="11360">
          <cell r="E11360" t="str">
            <v>MUS</v>
          </cell>
          <cell r="F11360" t="str">
            <v xml:space="preserve">MUS-J </v>
          </cell>
          <cell r="G11360">
            <v>700</v>
          </cell>
          <cell r="H11360" t="str">
            <v>MUS-J 700</v>
          </cell>
          <cell r="K11360" t="str">
            <v>Sales,Doricha</v>
          </cell>
          <cell r="N11360" t="str">
            <v>NR</v>
          </cell>
          <cell r="O11360" t="str">
            <v>NR</v>
          </cell>
        </row>
        <row r="11361">
          <cell r="E11361" t="str">
            <v>MUS</v>
          </cell>
          <cell r="F11361" t="str">
            <v xml:space="preserve">MUS-J </v>
          </cell>
          <cell r="G11361">
            <v>700</v>
          </cell>
          <cell r="H11361" t="str">
            <v>MUS-J 700</v>
          </cell>
          <cell r="K11361" t="str">
            <v>Sales,Doricha</v>
          </cell>
          <cell r="N11361" t="str">
            <v>NR</v>
          </cell>
          <cell r="O11361" t="str">
            <v>NR</v>
          </cell>
        </row>
        <row r="11362">
          <cell r="E11362" t="str">
            <v>MUS</v>
          </cell>
          <cell r="F11362" t="str">
            <v xml:space="preserve">MUS-J </v>
          </cell>
          <cell r="G11362">
            <v>700</v>
          </cell>
          <cell r="H11362" t="str">
            <v>MUS-J 700</v>
          </cell>
          <cell r="K11362" t="str">
            <v>Sales,Doricha</v>
          </cell>
          <cell r="N11362" t="str">
            <v>NR</v>
          </cell>
          <cell r="O11362" t="str">
            <v>NR</v>
          </cell>
        </row>
        <row r="11363">
          <cell r="E11363" t="str">
            <v>MUS</v>
          </cell>
          <cell r="F11363" t="str">
            <v xml:space="preserve">MUS-J </v>
          </cell>
          <cell r="G11363">
            <v>700</v>
          </cell>
          <cell r="H11363" t="str">
            <v>MUS-J 700</v>
          </cell>
          <cell r="K11363" t="str">
            <v>Sales,Doricha</v>
          </cell>
          <cell r="N11363" t="str">
            <v>NR</v>
          </cell>
          <cell r="O11363" t="str">
            <v>NR</v>
          </cell>
        </row>
        <row r="11364">
          <cell r="E11364" t="str">
            <v>MUS</v>
          </cell>
          <cell r="F11364" t="str">
            <v xml:space="preserve">MUS-J </v>
          </cell>
          <cell r="G11364">
            <v>700</v>
          </cell>
          <cell r="H11364" t="str">
            <v>MUS-J 700</v>
          </cell>
          <cell r="K11364" t="str">
            <v>Sales,Doricha</v>
          </cell>
          <cell r="N11364" t="str">
            <v>NR</v>
          </cell>
          <cell r="O11364" t="str">
            <v>NR</v>
          </cell>
        </row>
        <row r="11365">
          <cell r="E11365" t="str">
            <v>MUS</v>
          </cell>
          <cell r="F11365" t="str">
            <v xml:space="preserve">MUS-J </v>
          </cell>
          <cell r="G11365">
            <v>700</v>
          </cell>
          <cell r="H11365" t="str">
            <v>MUS-J 700</v>
          </cell>
          <cell r="K11365" t="str">
            <v>Sales,Doricha</v>
          </cell>
          <cell r="N11365" t="str">
            <v>NR</v>
          </cell>
          <cell r="O11365" t="str">
            <v>NR</v>
          </cell>
        </row>
        <row r="11366">
          <cell r="E11366" t="str">
            <v>MUS</v>
          </cell>
          <cell r="F11366" t="str">
            <v xml:space="preserve">MUS-K </v>
          </cell>
          <cell r="G11366">
            <v>100</v>
          </cell>
          <cell r="H11366" t="str">
            <v>MUS-K 100</v>
          </cell>
          <cell r="K11366" t="str">
            <v>Dzubay,David</v>
          </cell>
          <cell r="N11366">
            <v>3.7</v>
          </cell>
          <cell r="O11366">
            <v>3.835</v>
          </cell>
        </row>
        <row r="11367">
          <cell r="E11367" t="str">
            <v>MUS</v>
          </cell>
          <cell r="F11367" t="str">
            <v xml:space="preserve">MUS-K </v>
          </cell>
          <cell r="G11367">
            <v>100</v>
          </cell>
          <cell r="H11367" t="str">
            <v>MUS-K 100</v>
          </cell>
          <cell r="K11367" t="str">
            <v>Dzubay,David</v>
          </cell>
          <cell r="N11367">
            <v>4</v>
          </cell>
          <cell r="O11367">
            <v>3.5529999999999999</v>
          </cell>
        </row>
        <row r="11368">
          <cell r="E11368" t="str">
            <v>MUS</v>
          </cell>
          <cell r="F11368" t="str">
            <v xml:space="preserve">MUS-K </v>
          </cell>
          <cell r="G11368">
            <v>133</v>
          </cell>
          <cell r="H11368" t="str">
            <v>MUS-K 133</v>
          </cell>
          <cell r="K11368" t="str">
            <v>Dzubay,David</v>
          </cell>
          <cell r="N11368">
            <v>3.6920000000000002</v>
          </cell>
          <cell r="O11368">
            <v>3.8</v>
          </cell>
        </row>
        <row r="11369">
          <cell r="E11369" t="str">
            <v>MUS</v>
          </cell>
          <cell r="F11369" t="str">
            <v xml:space="preserve">MUS-K </v>
          </cell>
          <cell r="G11369">
            <v>214</v>
          </cell>
          <cell r="H11369" t="str">
            <v>MUS-K 214</v>
          </cell>
          <cell r="K11369" t="str">
            <v>Dzubay,David</v>
          </cell>
          <cell r="N11369">
            <v>3.9089999999999998</v>
          </cell>
          <cell r="O11369">
            <v>3.6960000000000002</v>
          </cell>
        </row>
        <row r="11370">
          <cell r="E11370" t="str">
            <v>MUS</v>
          </cell>
          <cell r="F11370" t="str">
            <v xml:space="preserve">MUS-K </v>
          </cell>
          <cell r="G11370">
            <v>215</v>
          </cell>
          <cell r="H11370" t="str">
            <v>MUS-K 215</v>
          </cell>
          <cell r="K11370" t="str">
            <v>Dzubay,David</v>
          </cell>
          <cell r="N11370">
            <v>3.8420000000000001</v>
          </cell>
          <cell r="O11370">
            <v>3.6930000000000001</v>
          </cell>
        </row>
        <row r="11371">
          <cell r="E11371" t="str">
            <v>MUS</v>
          </cell>
          <cell r="F11371" t="str">
            <v xml:space="preserve">MUS-K </v>
          </cell>
          <cell r="G11371">
            <v>231</v>
          </cell>
          <cell r="H11371" t="str">
            <v>MUS-K 231</v>
          </cell>
          <cell r="K11371" t="str">
            <v>Dzubay,David</v>
          </cell>
          <cell r="N11371">
            <v>3.714</v>
          </cell>
          <cell r="O11371">
            <v>3.7629999999999999</v>
          </cell>
        </row>
        <row r="11372">
          <cell r="E11372" t="str">
            <v>MUS</v>
          </cell>
          <cell r="F11372" t="str">
            <v xml:space="preserve">MUS-K </v>
          </cell>
          <cell r="G11372">
            <v>232</v>
          </cell>
          <cell r="H11372" t="str">
            <v>MUS-K 232</v>
          </cell>
          <cell r="K11372" t="str">
            <v>Dzubay,David</v>
          </cell>
          <cell r="N11372">
            <v>3.9569999999999999</v>
          </cell>
          <cell r="O11372">
            <v>3.6429999999999998</v>
          </cell>
        </row>
        <row r="11373">
          <cell r="E11373" t="str">
            <v>MUS</v>
          </cell>
          <cell r="F11373" t="str">
            <v xml:space="preserve">MUS-K </v>
          </cell>
          <cell r="G11373">
            <v>361</v>
          </cell>
          <cell r="H11373" t="str">
            <v>MUS-K 361</v>
          </cell>
          <cell r="K11373" t="str">
            <v>Gibson,John G</v>
          </cell>
          <cell r="N11373" t="str">
            <v>NR</v>
          </cell>
          <cell r="O11373" t="str">
            <v>NR</v>
          </cell>
        </row>
        <row r="11374">
          <cell r="E11374" t="str">
            <v>MUS</v>
          </cell>
          <cell r="F11374" t="str">
            <v xml:space="preserve">MUS-K </v>
          </cell>
          <cell r="G11374">
            <v>361</v>
          </cell>
          <cell r="H11374" t="str">
            <v>MUS-K 361</v>
          </cell>
          <cell r="K11374" t="str">
            <v>Gibson,John G</v>
          </cell>
          <cell r="N11374" t="str">
            <v>NR</v>
          </cell>
          <cell r="O11374" t="str">
            <v>NR</v>
          </cell>
        </row>
        <row r="11375">
          <cell r="E11375" t="str">
            <v>MUS</v>
          </cell>
          <cell r="F11375" t="str">
            <v xml:space="preserve">MUS-K </v>
          </cell>
          <cell r="G11375">
            <v>361</v>
          </cell>
          <cell r="H11375" t="str">
            <v>MUS-K 361</v>
          </cell>
          <cell r="K11375" t="str">
            <v>Gibson,John G</v>
          </cell>
          <cell r="N11375">
            <v>3.7290000000000001</v>
          </cell>
          <cell r="O11375">
            <v>3.7050000000000001</v>
          </cell>
        </row>
        <row r="11376">
          <cell r="E11376" t="str">
            <v>MUS</v>
          </cell>
          <cell r="F11376" t="str">
            <v xml:space="preserve">MUS-K </v>
          </cell>
          <cell r="G11376">
            <v>361</v>
          </cell>
          <cell r="H11376" t="str">
            <v>MUS-K 361</v>
          </cell>
          <cell r="K11376" t="str">
            <v>Warren,Alicyn</v>
          </cell>
          <cell r="N11376" t="str">
            <v>NR</v>
          </cell>
          <cell r="O11376" t="str">
            <v>NR</v>
          </cell>
        </row>
        <row r="11377">
          <cell r="E11377" t="str">
            <v>MUS</v>
          </cell>
          <cell r="F11377" t="str">
            <v xml:space="preserve">MUS-K </v>
          </cell>
          <cell r="G11377">
            <v>361</v>
          </cell>
          <cell r="H11377" t="str">
            <v>MUS-K 361</v>
          </cell>
          <cell r="K11377" t="str">
            <v>Warren,Alicyn</v>
          </cell>
          <cell r="N11377" t="str">
            <v>NR</v>
          </cell>
          <cell r="O11377" t="str">
            <v>NR</v>
          </cell>
        </row>
        <row r="11378">
          <cell r="E11378" t="str">
            <v>MUS</v>
          </cell>
          <cell r="F11378" t="str">
            <v xml:space="preserve">MUS-K </v>
          </cell>
          <cell r="G11378">
            <v>400</v>
          </cell>
          <cell r="H11378" t="str">
            <v>MUS-K 400</v>
          </cell>
          <cell r="K11378" t="str">
            <v>Baker Jr,W. Claude</v>
          </cell>
          <cell r="N11378">
            <v>3.9129999999999998</v>
          </cell>
          <cell r="O11378">
            <v>3.7869999999999999</v>
          </cell>
        </row>
        <row r="11379">
          <cell r="E11379" t="str">
            <v>MUS</v>
          </cell>
          <cell r="F11379" t="str">
            <v xml:space="preserve">MUS-K </v>
          </cell>
          <cell r="G11379">
            <v>400</v>
          </cell>
          <cell r="H11379" t="str">
            <v>MUS-K 400</v>
          </cell>
          <cell r="K11379" t="str">
            <v>Baker Jr,W. Claude</v>
          </cell>
          <cell r="N11379" t="str">
            <v>NR</v>
          </cell>
          <cell r="O11379" t="str">
            <v>NR</v>
          </cell>
        </row>
        <row r="11380">
          <cell r="E11380" t="str">
            <v>MUS</v>
          </cell>
          <cell r="F11380" t="str">
            <v xml:space="preserve">MUS-K </v>
          </cell>
          <cell r="G11380">
            <v>400</v>
          </cell>
          <cell r="H11380" t="str">
            <v>MUS-K 400</v>
          </cell>
          <cell r="K11380" t="str">
            <v>Dzubay,David</v>
          </cell>
          <cell r="N11380" t="str">
            <v>NR</v>
          </cell>
          <cell r="O11380" t="str">
            <v>NR</v>
          </cell>
        </row>
        <row r="11381">
          <cell r="E11381" t="str">
            <v>MUS</v>
          </cell>
          <cell r="F11381" t="str">
            <v xml:space="preserve">MUS-K </v>
          </cell>
          <cell r="G11381">
            <v>400</v>
          </cell>
          <cell r="H11381" t="str">
            <v>MUS-K 400</v>
          </cell>
          <cell r="K11381" t="str">
            <v>Freund,Don</v>
          </cell>
          <cell r="N11381">
            <v>3.883</v>
          </cell>
          <cell r="O11381">
            <v>3.165</v>
          </cell>
        </row>
        <row r="11382">
          <cell r="E11382" t="str">
            <v>MUS</v>
          </cell>
          <cell r="F11382" t="str">
            <v xml:space="preserve">MUS-K </v>
          </cell>
          <cell r="G11382">
            <v>400</v>
          </cell>
          <cell r="H11382" t="str">
            <v>MUS-K 400</v>
          </cell>
          <cell r="K11382" t="str">
            <v>Phan,Phuc Q.</v>
          </cell>
          <cell r="N11382" t="str">
            <v>NR</v>
          </cell>
          <cell r="O11382" t="str">
            <v>NR</v>
          </cell>
        </row>
        <row r="11383">
          <cell r="E11383" t="str">
            <v>MUS</v>
          </cell>
          <cell r="F11383" t="str">
            <v xml:space="preserve">MUS-K </v>
          </cell>
          <cell r="G11383">
            <v>400</v>
          </cell>
          <cell r="H11383" t="str">
            <v>MUS-K 400</v>
          </cell>
          <cell r="K11383" t="str">
            <v>Phan,Phuc Q.</v>
          </cell>
          <cell r="N11383">
            <v>4</v>
          </cell>
          <cell r="O11383">
            <v>3.7690000000000001</v>
          </cell>
        </row>
        <row r="11384">
          <cell r="E11384" t="str">
            <v>MUS</v>
          </cell>
          <cell r="F11384" t="str">
            <v xml:space="preserve">MUS-K </v>
          </cell>
          <cell r="G11384">
            <v>400</v>
          </cell>
          <cell r="H11384" t="str">
            <v>MUS-K 400</v>
          </cell>
          <cell r="K11384" t="str">
            <v>Richards,Gwyn</v>
          </cell>
          <cell r="N11384" t="str">
            <v>NR</v>
          </cell>
          <cell r="O11384" t="str">
            <v>NR</v>
          </cell>
        </row>
        <row r="11385">
          <cell r="E11385" t="str">
            <v>MUS</v>
          </cell>
          <cell r="F11385" t="str">
            <v xml:space="preserve">MUS-K </v>
          </cell>
          <cell r="G11385">
            <v>400</v>
          </cell>
          <cell r="H11385" t="str">
            <v>MUS-K 400</v>
          </cell>
          <cell r="K11385" t="str">
            <v>Richards,Gwyn</v>
          </cell>
          <cell r="N11385" t="str">
            <v>NR</v>
          </cell>
          <cell r="O11385" t="str">
            <v>NR</v>
          </cell>
        </row>
        <row r="11386">
          <cell r="E11386" t="str">
            <v>MUS</v>
          </cell>
          <cell r="F11386" t="str">
            <v xml:space="preserve">MUS-K </v>
          </cell>
          <cell r="G11386">
            <v>400</v>
          </cell>
          <cell r="H11386" t="str">
            <v>MUS-K 400</v>
          </cell>
          <cell r="K11386" t="str">
            <v>Sandstrom,Sven-David</v>
          </cell>
          <cell r="N11386" t="str">
            <v>NR</v>
          </cell>
          <cell r="O11386" t="str">
            <v>NR</v>
          </cell>
        </row>
        <row r="11387">
          <cell r="E11387" t="str">
            <v>MUS</v>
          </cell>
          <cell r="F11387" t="str">
            <v xml:space="preserve">MUS-K </v>
          </cell>
          <cell r="G11387">
            <v>400</v>
          </cell>
          <cell r="H11387" t="str">
            <v>MUS-K 400</v>
          </cell>
          <cell r="K11387" t="str">
            <v>Travers,Aaron James</v>
          </cell>
          <cell r="N11387" t="str">
            <v>NR</v>
          </cell>
          <cell r="O11387" t="str">
            <v>NR</v>
          </cell>
        </row>
        <row r="11388">
          <cell r="E11388" t="str">
            <v>MUS</v>
          </cell>
          <cell r="F11388" t="str">
            <v xml:space="preserve">MUS-K </v>
          </cell>
          <cell r="G11388">
            <v>400</v>
          </cell>
          <cell r="H11388" t="str">
            <v>MUS-K 400</v>
          </cell>
          <cell r="K11388" t="str">
            <v>Travers,Aaron James</v>
          </cell>
          <cell r="N11388" t="str">
            <v>NR</v>
          </cell>
          <cell r="O11388" t="str">
            <v>NR</v>
          </cell>
        </row>
        <row r="11389">
          <cell r="E11389" t="str">
            <v>MUS</v>
          </cell>
          <cell r="F11389" t="str">
            <v xml:space="preserve">MUS-K </v>
          </cell>
          <cell r="G11389">
            <v>402</v>
          </cell>
          <cell r="H11389" t="str">
            <v>MUS-K 402</v>
          </cell>
          <cell r="K11389" t="str">
            <v>Potter,Gary Morton</v>
          </cell>
          <cell r="N11389" t="str">
            <v>NR</v>
          </cell>
          <cell r="O11389" t="str">
            <v>NR</v>
          </cell>
        </row>
        <row r="11390">
          <cell r="E11390" t="str">
            <v>MUS</v>
          </cell>
          <cell r="F11390" t="str">
            <v xml:space="preserve">MUS-K </v>
          </cell>
          <cell r="G11390">
            <v>403</v>
          </cell>
          <cell r="H11390" t="str">
            <v>MUS-K 403</v>
          </cell>
          <cell r="K11390" t="str">
            <v>Hass,Jeffrey Eli</v>
          </cell>
          <cell r="N11390" t="str">
            <v>NR</v>
          </cell>
          <cell r="O11390" t="str">
            <v>NR</v>
          </cell>
        </row>
        <row r="11391">
          <cell r="E11391" t="str">
            <v>MUS</v>
          </cell>
          <cell r="F11391" t="str">
            <v xml:space="preserve">MUS-K </v>
          </cell>
          <cell r="G11391">
            <v>404</v>
          </cell>
          <cell r="H11391" t="str">
            <v>MUS-K 404</v>
          </cell>
          <cell r="K11391" t="str">
            <v>Hass,Jeffrey Eli</v>
          </cell>
          <cell r="N11391" t="str">
            <v>NR</v>
          </cell>
          <cell r="O11391" t="str">
            <v>NR</v>
          </cell>
        </row>
        <row r="11392">
          <cell r="E11392" t="str">
            <v>MUS</v>
          </cell>
          <cell r="F11392" t="str">
            <v xml:space="preserve">MUS-K </v>
          </cell>
          <cell r="G11392">
            <v>406</v>
          </cell>
          <cell r="H11392" t="str">
            <v>MUS-K 406</v>
          </cell>
          <cell r="K11392" t="str">
            <v>Hass,Jeffrey Eli</v>
          </cell>
          <cell r="N11392" t="str">
            <v>NR</v>
          </cell>
          <cell r="O11392" t="str">
            <v>NR</v>
          </cell>
        </row>
        <row r="11393">
          <cell r="E11393" t="str">
            <v>MUS</v>
          </cell>
          <cell r="F11393" t="str">
            <v xml:space="preserve">MUS-K </v>
          </cell>
          <cell r="G11393">
            <v>451</v>
          </cell>
          <cell r="H11393" t="str">
            <v>MUS-K 451</v>
          </cell>
          <cell r="K11393" t="str">
            <v>Travers,Aaron James</v>
          </cell>
          <cell r="N11393">
            <v>3.6779999999999999</v>
          </cell>
          <cell r="O11393">
            <v>3.7930000000000001</v>
          </cell>
        </row>
        <row r="11394">
          <cell r="E11394" t="str">
            <v>MUS</v>
          </cell>
          <cell r="F11394" t="str">
            <v xml:space="preserve">MUS-K </v>
          </cell>
          <cell r="G11394">
            <v>452</v>
          </cell>
          <cell r="H11394" t="str">
            <v>MUS-K 452</v>
          </cell>
          <cell r="K11394" t="str">
            <v>Travers,Aaron James</v>
          </cell>
          <cell r="N11394" t="str">
            <v>NR</v>
          </cell>
          <cell r="O11394" t="str">
            <v>NR</v>
          </cell>
        </row>
        <row r="11395">
          <cell r="E11395" t="str">
            <v>MUS</v>
          </cell>
          <cell r="F11395" t="str">
            <v xml:space="preserve">MUS-K </v>
          </cell>
          <cell r="G11395">
            <v>503</v>
          </cell>
          <cell r="H11395" t="str">
            <v>MUS-K 503</v>
          </cell>
          <cell r="K11395" t="str">
            <v>Hass,Jeffrey Eli</v>
          </cell>
          <cell r="N11395" t="str">
            <v>NR</v>
          </cell>
          <cell r="O11395" t="str">
            <v>NR</v>
          </cell>
        </row>
        <row r="11396">
          <cell r="E11396" t="str">
            <v>MUS</v>
          </cell>
          <cell r="F11396" t="str">
            <v xml:space="preserve">MUS-K </v>
          </cell>
          <cell r="G11396">
            <v>504</v>
          </cell>
          <cell r="H11396" t="str">
            <v>MUS-K 504</v>
          </cell>
          <cell r="K11396" t="str">
            <v>Hass,Jeffrey Eli</v>
          </cell>
          <cell r="N11396">
            <v>3.9569999999999999</v>
          </cell>
          <cell r="O11396">
            <v>3.8959999999999999</v>
          </cell>
        </row>
        <row r="11397">
          <cell r="E11397" t="str">
            <v>MUS</v>
          </cell>
          <cell r="F11397" t="str">
            <v xml:space="preserve">MUS-K </v>
          </cell>
          <cell r="G11397">
            <v>506</v>
          </cell>
          <cell r="H11397" t="str">
            <v>MUS-K 506</v>
          </cell>
          <cell r="K11397" t="str">
            <v>Hass,Jeffrey Eli</v>
          </cell>
          <cell r="N11397">
            <v>3.9670000000000001</v>
          </cell>
          <cell r="O11397">
            <v>3.95</v>
          </cell>
        </row>
        <row r="11398">
          <cell r="E11398" t="str">
            <v>MUS</v>
          </cell>
          <cell r="F11398" t="str">
            <v xml:space="preserve">MUS-K </v>
          </cell>
          <cell r="G11398">
            <v>506</v>
          </cell>
          <cell r="H11398" t="str">
            <v>MUS-K 506</v>
          </cell>
          <cell r="K11398" t="str">
            <v>Hass,Jeffrey Eli</v>
          </cell>
          <cell r="N11398">
            <v>3.8570000000000002</v>
          </cell>
          <cell r="O11398">
            <v>3.952</v>
          </cell>
        </row>
        <row r="11399">
          <cell r="E11399" t="str">
            <v>MUS</v>
          </cell>
          <cell r="F11399" t="str">
            <v xml:space="preserve">MUS-K </v>
          </cell>
          <cell r="G11399">
            <v>551</v>
          </cell>
          <cell r="H11399" t="str">
            <v>MUS-K 551</v>
          </cell>
          <cell r="K11399" t="str">
            <v>Travers,Aaron James</v>
          </cell>
          <cell r="N11399" t="str">
            <v>NR</v>
          </cell>
          <cell r="O11399" t="str">
            <v>NR</v>
          </cell>
        </row>
        <row r="11400">
          <cell r="E11400" t="str">
            <v>MUS</v>
          </cell>
          <cell r="F11400" t="str">
            <v xml:space="preserve">MUS-K </v>
          </cell>
          <cell r="G11400">
            <v>554</v>
          </cell>
          <cell r="H11400" t="str">
            <v>MUS-K 554</v>
          </cell>
          <cell r="K11400" t="str">
            <v>Travers,Aaron James</v>
          </cell>
          <cell r="N11400" t="str">
            <v>NR</v>
          </cell>
          <cell r="O11400" t="str">
            <v>NR</v>
          </cell>
        </row>
        <row r="11401">
          <cell r="E11401" t="str">
            <v>MUS</v>
          </cell>
          <cell r="F11401" t="str">
            <v xml:space="preserve">MUS-K </v>
          </cell>
          <cell r="G11401">
            <v>600</v>
          </cell>
          <cell r="H11401" t="str">
            <v>MUS-K 600</v>
          </cell>
          <cell r="K11401" t="str">
            <v>Isaacson,Eric John</v>
          </cell>
          <cell r="N11401" t="str">
            <v>NR</v>
          </cell>
          <cell r="O11401" t="str">
            <v>NR</v>
          </cell>
        </row>
        <row r="11402">
          <cell r="E11402" t="str">
            <v>MUS</v>
          </cell>
          <cell r="F11402" t="str">
            <v xml:space="preserve">MUS-K </v>
          </cell>
          <cell r="G11402">
            <v>600</v>
          </cell>
          <cell r="H11402" t="str">
            <v>MUS-K 600</v>
          </cell>
          <cell r="K11402" t="str">
            <v>Isaacson,Eric John</v>
          </cell>
          <cell r="N11402" t="str">
            <v>NR</v>
          </cell>
          <cell r="O11402" t="str">
            <v>NR</v>
          </cell>
        </row>
        <row r="11403">
          <cell r="E11403" t="str">
            <v>MUS</v>
          </cell>
          <cell r="F11403" t="str">
            <v xml:space="preserve">MUS-K </v>
          </cell>
          <cell r="G11403">
            <v>700</v>
          </cell>
          <cell r="H11403" t="str">
            <v>MUS-K 700</v>
          </cell>
          <cell r="K11403" t="str">
            <v>Isaacson,Eric John</v>
          </cell>
          <cell r="N11403" t="str">
            <v>NR</v>
          </cell>
          <cell r="O11403" t="str">
            <v>NR</v>
          </cell>
        </row>
        <row r="11404">
          <cell r="E11404" t="str">
            <v>MUS</v>
          </cell>
          <cell r="F11404" t="str">
            <v xml:space="preserve">MUS-K </v>
          </cell>
          <cell r="G11404">
            <v>700</v>
          </cell>
          <cell r="H11404" t="str">
            <v>MUS-K 700</v>
          </cell>
          <cell r="K11404" t="str">
            <v>Isaacson,Eric John</v>
          </cell>
          <cell r="N11404" t="str">
            <v>NR</v>
          </cell>
          <cell r="O11404" t="str">
            <v>NR</v>
          </cell>
        </row>
        <row r="11405">
          <cell r="E11405" t="str">
            <v>MUS</v>
          </cell>
          <cell r="F11405" t="str">
            <v xml:space="preserve">MUS-K </v>
          </cell>
          <cell r="G11405">
            <v>700</v>
          </cell>
          <cell r="H11405" t="str">
            <v>MUS-K 700</v>
          </cell>
          <cell r="K11405" t="str">
            <v>Isaacson,Eric John</v>
          </cell>
          <cell r="N11405" t="str">
            <v>NR</v>
          </cell>
          <cell r="O11405" t="str">
            <v>NR</v>
          </cell>
        </row>
        <row r="11406">
          <cell r="E11406" t="str">
            <v>MUS</v>
          </cell>
          <cell r="F11406" t="str">
            <v xml:space="preserve">MUS-K </v>
          </cell>
          <cell r="G11406">
            <v>700</v>
          </cell>
          <cell r="H11406" t="str">
            <v>MUS-K 700</v>
          </cell>
          <cell r="K11406" t="str">
            <v>Isaacson,Eric John</v>
          </cell>
          <cell r="N11406" t="str">
            <v>NR</v>
          </cell>
          <cell r="O11406" t="str">
            <v>NR</v>
          </cell>
        </row>
        <row r="11407">
          <cell r="E11407" t="str">
            <v>MUS</v>
          </cell>
          <cell r="F11407" t="str">
            <v xml:space="preserve">MUS-K </v>
          </cell>
          <cell r="G11407">
            <v>701</v>
          </cell>
          <cell r="H11407" t="str">
            <v>MUS-K 701</v>
          </cell>
          <cell r="K11407" t="str">
            <v>Isaacson,Eric John</v>
          </cell>
          <cell r="N11407" t="str">
            <v>NR</v>
          </cell>
          <cell r="O11407" t="str">
            <v>NR</v>
          </cell>
        </row>
        <row r="11408">
          <cell r="E11408" t="str">
            <v>MUS</v>
          </cell>
          <cell r="F11408" t="str">
            <v xml:space="preserve">MUS-K </v>
          </cell>
          <cell r="G11408">
            <v>701</v>
          </cell>
          <cell r="H11408" t="str">
            <v>MUS-K 701</v>
          </cell>
          <cell r="K11408" t="str">
            <v>Isaacson,Eric John</v>
          </cell>
          <cell r="N11408" t="str">
            <v>NR</v>
          </cell>
          <cell r="O11408" t="str">
            <v>NR</v>
          </cell>
        </row>
        <row r="11409">
          <cell r="E11409" t="str">
            <v>MUS</v>
          </cell>
          <cell r="F11409" t="str">
            <v xml:space="preserve">MUS-K </v>
          </cell>
          <cell r="G11409">
            <v>702</v>
          </cell>
          <cell r="H11409" t="str">
            <v>MUS-K 702</v>
          </cell>
          <cell r="K11409" t="str">
            <v>Isaacson,Eric John</v>
          </cell>
          <cell r="N11409" t="str">
            <v>NR</v>
          </cell>
          <cell r="O11409" t="str">
            <v>NR</v>
          </cell>
        </row>
        <row r="11410">
          <cell r="E11410" t="str">
            <v>MUS</v>
          </cell>
          <cell r="F11410" t="str">
            <v xml:space="preserve">MUS-K </v>
          </cell>
          <cell r="G11410">
            <v>702</v>
          </cell>
          <cell r="H11410" t="str">
            <v>MUS-K 702</v>
          </cell>
          <cell r="K11410" t="str">
            <v>Isaacson,Eric John</v>
          </cell>
          <cell r="N11410" t="str">
            <v>NR</v>
          </cell>
          <cell r="O11410" t="str">
            <v>NR</v>
          </cell>
        </row>
        <row r="11411">
          <cell r="E11411" t="str">
            <v>MUS</v>
          </cell>
          <cell r="F11411" t="str">
            <v xml:space="preserve">MUS-K </v>
          </cell>
          <cell r="G11411">
            <v>703</v>
          </cell>
          <cell r="H11411" t="str">
            <v>MUS-K 703</v>
          </cell>
          <cell r="K11411" t="str">
            <v>Isaacson,Eric John</v>
          </cell>
          <cell r="N11411" t="str">
            <v>NR</v>
          </cell>
          <cell r="O11411" t="str">
            <v>NR</v>
          </cell>
        </row>
        <row r="11412">
          <cell r="E11412" t="str">
            <v>MUS</v>
          </cell>
          <cell r="F11412" t="str">
            <v xml:space="preserve">MUS-K </v>
          </cell>
          <cell r="G11412">
            <v>703</v>
          </cell>
          <cell r="H11412" t="str">
            <v>MUS-K 703</v>
          </cell>
          <cell r="K11412" t="str">
            <v>Isaacson,Eric John</v>
          </cell>
          <cell r="N11412" t="str">
            <v>NR</v>
          </cell>
          <cell r="O11412" t="str">
            <v>NR</v>
          </cell>
        </row>
        <row r="11413">
          <cell r="E11413" t="str">
            <v>MUS</v>
          </cell>
          <cell r="F11413" t="str">
            <v xml:space="preserve">MUS-K </v>
          </cell>
          <cell r="G11413">
            <v>710</v>
          </cell>
          <cell r="H11413" t="str">
            <v>MUS-K 710</v>
          </cell>
          <cell r="K11413" t="str">
            <v>Dzubay,David</v>
          </cell>
          <cell r="N11413" t="str">
            <v>NR</v>
          </cell>
          <cell r="O11413" t="str">
            <v>NR</v>
          </cell>
        </row>
        <row r="11414">
          <cell r="E11414" t="str">
            <v>MUS</v>
          </cell>
          <cell r="F11414" t="str">
            <v xml:space="preserve">MUS-K </v>
          </cell>
          <cell r="G11414">
            <v>710</v>
          </cell>
          <cell r="H11414" t="str">
            <v>MUS-K 710</v>
          </cell>
          <cell r="K11414" t="str">
            <v>Dzubay,David</v>
          </cell>
          <cell r="N11414" t="str">
            <v>NR</v>
          </cell>
          <cell r="O11414" t="str">
            <v>NR</v>
          </cell>
        </row>
        <row r="11415">
          <cell r="E11415" t="str">
            <v>MUS</v>
          </cell>
          <cell r="F11415" t="str">
            <v xml:space="preserve">MUS-K </v>
          </cell>
          <cell r="G11415">
            <v>810</v>
          </cell>
          <cell r="H11415" t="str">
            <v>MUS-K 810</v>
          </cell>
          <cell r="K11415" t="str">
            <v>Phan,Phuc Q.</v>
          </cell>
          <cell r="N11415" t="str">
            <v>NR</v>
          </cell>
          <cell r="O11415" t="str">
            <v>NR</v>
          </cell>
        </row>
        <row r="11416">
          <cell r="E11416" t="str">
            <v>MUS</v>
          </cell>
          <cell r="F11416" t="str">
            <v xml:space="preserve">MUS-K </v>
          </cell>
          <cell r="G11416">
            <v>810</v>
          </cell>
          <cell r="H11416" t="str">
            <v>MUS-K 810</v>
          </cell>
          <cell r="K11416" t="str">
            <v>Phan,Phuc Q.</v>
          </cell>
          <cell r="N11416" t="str">
            <v>NR</v>
          </cell>
          <cell r="O11416" t="str">
            <v>NR</v>
          </cell>
        </row>
        <row r="11417">
          <cell r="E11417" t="str">
            <v>MUS</v>
          </cell>
          <cell r="F11417" t="str">
            <v xml:space="preserve">MUS-K </v>
          </cell>
          <cell r="G11417">
            <v>810</v>
          </cell>
          <cell r="H11417" t="str">
            <v>MUS-K 810</v>
          </cell>
          <cell r="K11417" t="str">
            <v>Sandstrom,Sven-David</v>
          </cell>
          <cell r="N11417" t="str">
            <v>NR</v>
          </cell>
          <cell r="O11417" t="str">
            <v>NR</v>
          </cell>
        </row>
        <row r="11418">
          <cell r="E11418" t="str">
            <v>MUS</v>
          </cell>
          <cell r="F11418" t="str">
            <v xml:space="preserve">MUS-K </v>
          </cell>
          <cell r="G11418">
            <v>910</v>
          </cell>
          <cell r="H11418" t="str">
            <v>MUS-K 910</v>
          </cell>
          <cell r="K11418" t="str">
            <v>Baker Jr,W. Claude</v>
          </cell>
          <cell r="N11418" t="str">
            <v>NR</v>
          </cell>
          <cell r="O11418" t="str">
            <v>NR</v>
          </cell>
        </row>
        <row r="11419">
          <cell r="E11419" t="str">
            <v>MUS</v>
          </cell>
          <cell r="F11419" t="str">
            <v xml:space="preserve">MUS-K </v>
          </cell>
          <cell r="G11419">
            <v>910</v>
          </cell>
          <cell r="H11419" t="str">
            <v>MUS-K 910</v>
          </cell>
          <cell r="K11419" t="str">
            <v>Baker Jr,W. Claude</v>
          </cell>
          <cell r="N11419">
            <v>4</v>
          </cell>
          <cell r="O11419">
            <v>3.9359999999999999</v>
          </cell>
        </row>
        <row r="11420">
          <cell r="E11420" t="str">
            <v>MUS</v>
          </cell>
          <cell r="F11420" t="str">
            <v xml:space="preserve">MUS-K </v>
          </cell>
          <cell r="G11420">
            <v>910</v>
          </cell>
          <cell r="H11420" t="str">
            <v>MUS-K 910</v>
          </cell>
          <cell r="K11420" t="str">
            <v>Dzubay,David</v>
          </cell>
          <cell r="N11420" t="str">
            <v>NR</v>
          </cell>
          <cell r="O11420" t="str">
            <v>NR</v>
          </cell>
        </row>
        <row r="11421">
          <cell r="E11421" t="str">
            <v>MUS</v>
          </cell>
          <cell r="F11421" t="str">
            <v xml:space="preserve">MUS-K </v>
          </cell>
          <cell r="G11421">
            <v>910</v>
          </cell>
          <cell r="H11421" t="str">
            <v>MUS-K 910</v>
          </cell>
          <cell r="K11421" t="str">
            <v>Dzubay,David</v>
          </cell>
          <cell r="N11421" t="str">
            <v>NR</v>
          </cell>
          <cell r="O11421" t="str">
            <v>NR</v>
          </cell>
        </row>
        <row r="11422">
          <cell r="E11422" t="str">
            <v>MUS</v>
          </cell>
          <cell r="F11422" t="str">
            <v xml:space="preserve">MUS-K </v>
          </cell>
          <cell r="G11422">
            <v>910</v>
          </cell>
          <cell r="H11422" t="str">
            <v>MUS-K 910</v>
          </cell>
          <cell r="K11422" t="str">
            <v>Freund,Don</v>
          </cell>
          <cell r="N11422">
            <v>4</v>
          </cell>
          <cell r="O11422">
            <v>3.907</v>
          </cell>
        </row>
        <row r="11423">
          <cell r="E11423" t="str">
            <v>MUS</v>
          </cell>
          <cell r="F11423" t="str">
            <v xml:space="preserve">MUS-K </v>
          </cell>
          <cell r="G11423">
            <v>910</v>
          </cell>
          <cell r="H11423" t="str">
            <v>MUS-K 910</v>
          </cell>
          <cell r="K11423" t="str">
            <v>Phan,Phuc Q.</v>
          </cell>
          <cell r="N11423" t="str">
            <v>NR</v>
          </cell>
          <cell r="O11423" t="str">
            <v>NR</v>
          </cell>
        </row>
        <row r="11424">
          <cell r="E11424" t="str">
            <v>MUS</v>
          </cell>
          <cell r="F11424" t="str">
            <v xml:space="preserve">MUS-K </v>
          </cell>
          <cell r="G11424">
            <v>910</v>
          </cell>
          <cell r="H11424" t="str">
            <v>MUS-K 910</v>
          </cell>
          <cell r="K11424" t="str">
            <v>Phan,Phuc Q.</v>
          </cell>
          <cell r="N11424" t="str">
            <v>NR</v>
          </cell>
          <cell r="O11424" t="str">
            <v>NR</v>
          </cell>
        </row>
        <row r="11425">
          <cell r="E11425" t="str">
            <v>MUS</v>
          </cell>
          <cell r="F11425" t="str">
            <v xml:space="preserve">MUS-K </v>
          </cell>
          <cell r="G11425">
            <v>910</v>
          </cell>
          <cell r="H11425" t="str">
            <v>MUS-K 910</v>
          </cell>
          <cell r="K11425" t="str">
            <v>Richards,Gwyn</v>
          </cell>
          <cell r="N11425" t="str">
            <v>NR</v>
          </cell>
          <cell r="O11425" t="str">
            <v>NR</v>
          </cell>
        </row>
        <row r="11426">
          <cell r="E11426" t="str">
            <v>MUS</v>
          </cell>
          <cell r="F11426" t="str">
            <v xml:space="preserve">MUS-K </v>
          </cell>
          <cell r="G11426">
            <v>910</v>
          </cell>
          <cell r="H11426" t="str">
            <v>MUS-K 910</v>
          </cell>
          <cell r="K11426" t="str">
            <v>Sandstrom,Sven-David</v>
          </cell>
          <cell r="N11426" t="str">
            <v>NR</v>
          </cell>
          <cell r="O11426" t="str">
            <v>NR</v>
          </cell>
        </row>
        <row r="11427">
          <cell r="E11427" t="str">
            <v>MUS</v>
          </cell>
          <cell r="F11427" t="str">
            <v xml:space="preserve">MUS-K </v>
          </cell>
          <cell r="G11427">
            <v>910</v>
          </cell>
          <cell r="H11427" t="str">
            <v>MUS-K 910</v>
          </cell>
          <cell r="K11427" t="str">
            <v>Travers,Aaron James</v>
          </cell>
          <cell r="N11427" t="str">
            <v>NR</v>
          </cell>
          <cell r="O11427" t="str">
            <v>NR</v>
          </cell>
        </row>
        <row r="11428">
          <cell r="E11428" t="str">
            <v>MUS</v>
          </cell>
          <cell r="F11428" t="str">
            <v xml:space="preserve">MUS-K </v>
          </cell>
          <cell r="G11428">
            <v>910</v>
          </cell>
          <cell r="H11428" t="str">
            <v>MUS-K 910</v>
          </cell>
          <cell r="K11428" t="str">
            <v>Travers,Aaron James</v>
          </cell>
          <cell r="N11428">
            <v>3.8140000000000001</v>
          </cell>
          <cell r="O11428">
            <v>3.9060000000000001</v>
          </cell>
        </row>
        <row r="11429">
          <cell r="E11429" t="str">
            <v>MUS</v>
          </cell>
          <cell r="F11429" t="str">
            <v xml:space="preserve">MUS-L </v>
          </cell>
          <cell r="G11429">
            <v>100</v>
          </cell>
          <cell r="H11429" t="str">
            <v>MUS-L 100</v>
          </cell>
          <cell r="K11429" t="str">
            <v>Jankovic,Petar S</v>
          </cell>
          <cell r="N11429" t="str">
            <v>NR</v>
          </cell>
          <cell r="O11429" t="str">
            <v>NR</v>
          </cell>
        </row>
        <row r="11430">
          <cell r="E11430" t="str">
            <v>MUS</v>
          </cell>
          <cell r="F11430" t="str">
            <v xml:space="preserve">MUS-L </v>
          </cell>
          <cell r="G11430">
            <v>100</v>
          </cell>
          <cell r="H11430" t="str">
            <v>MUS-L 100</v>
          </cell>
          <cell r="K11430" t="str">
            <v>Jankovic,Petar S</v>
          </cell>
          <cell r="N11430">
            <v>4</v>
          </cell>
          <cell r="O11430">
            <v>3.472</v>
          </cell>
        </row>
        <row r="11431">
          <cell r="E11431" t="str">
            <v>MUS</v>
          </cell>
          <cell r="F11431" t="str">
            <v xml:space="preserve">MUS-L </v>
          </cell>
          <cell r="G11431">
            <v>101</v>
          </cell>
          <cell r="H11431" t="str">
            <v>MUS-L 101</v>
          </cell>
          <cell r="K11431" t="str">
            <v>Jankovic,Petar S</v>
          </cell>
          <cell r="N11431">
            <v>3.9630000000000001</v>
          </cell>
          <cell r="O11431">
            <v>3.0150000000000001</v>
          </cell>
        </row>
        <row r="11432">
          <cell r="E11432" t="str">
            <v>MUS</v>
          </cell>
          <cell r="F11432" t="str">
            <v xml:space="preserve">MUS-L </v>
          </cell>
          <cell r="G11432">
            <v>101</v>
          </cell>
          <cell r="H11432" t="str">
            <v>MUS-L 101</v>
          </cell>
          <cell r="K11432" t="str">
            <v>Jankovic,Petar S</v>
          </cell>
          <cell r="N11432">
            <v>3.76</v>
          </cell>
          <cell r="O11432">
            <v>3.36</v>
          </cell>
        </row>
        <row r="11433">
          <cell r="E11433" t="str">
            <v>MUS</v>
          </cell>
          <cell r="F11433" t="str">
            <v xml:space="preserve">MUS-L </v>
          </cell>
          <cell r="G11433">
            <v>101</v>
          </cell>
          <cell r="H11433" t="str">
            <v>MUS-L 101</v>
          </cell>
          <cell r="K11433" t="str">
            <v>Jankovic,Petar S</v>
          </cell>
          <cell r="N11433">
            <v>4</v>
          </cell>
          <cell r="O11433">
            <v>3.177</v>
          </cell>
        </row>
        <row r="11434">
          <cell r="E11434" t="str">
            <v>MUS</v>
          </cell>
          <cell r="F11434" t="str">
            <v xml:space="preserve">MUS-L </v>
          </cell>
          <cell r="G11434">
            <v>101</v>
          </cell>
          <cell r="H11434" t="str">
            <v>MUS-L 101</v>
          </cell>
          <cell r="K11434" t="str">
            <v>Jankovic,Petar S</v>
          </cell>
          <cell r="N11434">
            <v>3.94</v>
          </cell>
          <cell r="O11434">
            <v>3.1579999999999999</v>
          </cell>
        </row>
        <row r="11435">
          <cell r="E11435" t="str">
            <v>MUS</v>
          </cell>
          <cell r="F11435" t="str">
            <v xml:space="preserve">MUS-L </v>
          </cell>
          <cell r="G11435">
            <v>101</v>
          </cell>
          <cell r="H11435" t="str">
            <v>MUS-L 101</v>
          </cell>
          <cell r="K11435" t="str">
            <v>Jankovic,Petar S</v>
          </cell>
          <cell r="N11435">
            <v>4</v>
          </cell>
          <cell r="O11435">
            <v>3.1629999999999998</v>
          </cell>
        </row>
        <row r="11436">
          <cell r="E11436" t="str">
            <v>MUS</v>
          </cell>
          <cell r="F11436" t="str">
            <v xml:space="preserve">MUS-L </v>
          </cell>
          <cell r="G11436">
            <v>101</v>
          </cell>
          <cell r="H11436" t="str">
            <v>MUS-L 101</v>
          </cell>
          <cell r="K11436" t="str">
            <v>Jankovic,Petar S</v>
          </cell>
          <cell r="N11436" t="str">
            <v>NR</v>
          </cell>
          <cell r="O11436" t="str">
            <v>NR</v>
          </cell>
        </row>
        <row r="11437">
          <cell r="E11437" t="str">
            <v>MUS</v>
          </cell>
          <cell r="F11437" t="str">
            <v xml:space="preserve">MUS-L </v>
          </cell>
          <cell r="G11437">
            <v>101</v>
          </cell>
          <cell r="H11437" t="str">
            <v>MUS-L 101</v>
          </cell>
          <cell r="K11437" t="str">
            <v>Jankovic,Petar S</v>
          </cell>
          <cell r="N11437">
            <v>3.5219999999999998</v>
          </cell>
          <cell r="O11437">
            <v>2.5489999999999999</v>
          </cell>
        </row>
        <row r="11438">
          <cell r="E11438" t="str">
            <v>MUS</v>
          </cell>
          <cell r="F11438" t="str">
            <v xml:space="preserve">MUS-L </v>
          </cell>
          <cell r="G11438">
            <v>101</v>
          </cell>
          <cell r="H11438" t="str">
            <v>MUS-L 101</v>
          </cell>
          <cell r="K11438" t="str">
            <v>Jankovic,Petar S</v>
          </cell>
          <cell r="N11438">
            <v>3.24</v>
          </cell>
          <cell r="O11438">
            <v>2.9510000000000001</v>
          </cell>
        </row>
        <row r="11439">
          <cell r="E11439" t="str">
            <v>MUS</v>
          </cell>
          <cell r="F11439" t="str">
            <v xml:space="preserve">MUS-L </v>
          </cell>
          <cell r="G11439">
            <v>101</v>
          </cell>
          <cell r="H11439" t="str">
            <v>MUS-L 101</v>
          </cell>
          <cell r="K11439" t="str">
            <v>Jankovic,Petar S</v>
          </cell>
          <cell r="N11439">
            <v>4</v>
          </cell>
          <cell r="O11439">
            <v>3.198</v>
          </cell>
        </row>
        <row r="11440">
          <cell r="E11440" t="str">
            <v>MUS</v>
          </cell>
          <cell r="F11440" t="str">
            <v xml:space="preserve">MUS-L </v>
          </cell>
          <cell r="G11440">
            <v>101</v>
          </cell>
          <cell r="H11440" t="str">
            <v>MUS-L 101</v>
          </cell>
          <cell r="K11440" t="str">
            <v>Jankovic,Petar S</v>
          </cell>
          <cell r="N11440">
            <v>3.8559999999999999</v>
          </cell>
          <cell r="O11440">
            <v>3.08</v>
          </cell>
        </row>
        <row r="11441">
          <cell r="E11441" t="str">
            <v>MUS</v>
          </cell>
          <cell r="F11441" t="str">
            <v xml:space="preserve">MUS-L </v>
          </cell>
          <cell r="G11441">
            <v>101</v>
          </cell>
          <cell r="H11441" t="str">
            <v>MUS-L 101</v>
          </cell>
          <cell r="K11441" t="str">
            <v>Jankovic,Petar S</v>
          </cell>
          <cell r="N11441">
            <v>4</v>
          </cell>
          <cell r="O11441">
            <v>3.1909999999999998</v>
          </cell>
        </row>
        <row r="11442">
          <cell r="E11442" t="str">
            <v>MUS</v>
          </cell>
          <cell r="F11442" t="str">
            <v xml:space="preserve">MUS-L </v>
          </cell>
          <cell r="G11442">
            <v>101</v>
          </cell>
          <cell r="H11442" t="str">
            <v>MUS-L 101</v>
          </cell>
          <cell r="K11442" t="str">
            <v>Jankovic,Petar S</v>
          </cell>
          <cell r="N11442">
            <v>4</v>
          </cell>
          <cell r="O11442">
            <v>3.1739999999999999</v>
          </cell>
        </row>
        <row r="11443">
          <cell r="E11443" t="str">
            <v>MUS</v>
          </cell>
          <cell r="F11443" t="str">
            <v xml:space="preserve">MUS-L </v>
          </cell>
          <cell r="G11443">
            <v>101</v>
          </cell>
          <cell r="H11443" t="str">
            <v>MUS-L 101</v>
          </cell>
          <cell r="K11443" t="str">
            <v>Jankovic,Petar S</v>
          </cell>
          <cell r="N11443">
            <v>3.6</v>
          </cell>
          <cell r="O11443">
            <v>3.113</v>
          </cell>
        </row>
        <row r="11444">
          <cell r="E11444" t="str">
            <v>MUS</v>
          </cell>
          <cell r="F11444" t="str">
            <v xml:space="preserve">MUS-L </v>
          </cell>
          <cell r="G11444">
            <v>101</v>
          </cell>
          <cell r="H11444" t="str">
            <v>MUS-L 101</v>
          </cell>
          <cell r="K11444" t="str">
            <v>Jankovic,Petar S</v>
          </cell>
          <cell r="N11444">
            <v>4</v>
          </cell>
          <cell r="O11444">
            <v>2.76</v>
          </cell>
        </row>
        <row r="11445">
          <cell r="E11445" t="str">
            <v>MUS</v>
          </cell>
          <cell r="F11445" t="str">
            <v xml:space="preserve">MUS-L </v>
          </cell>
          <cell r="G11445">
            <v>101</v>
          </cell>
          <cell r="H11445" t="str">
            <v>MUS-L 101</v>
          </cell>
          <cell r="K11445" t="str">
            <v>Jankovic,Petar S</v>
          </cell>
          <cell r="N11445">
            <v>3.8889999999999998</v>
          </cell>
          <cell r="O11445">
            <v>3.3759999999999999</v>
          </cell>
        </row>
        <row r="11446">
          <cell r="E11446" t="str">
            <v>MUS</v>
          </cell>
          <cell r="F11446" t="str">
            <v xml:space="preserve">MUS-L </v>
          </cell>
          <cell r="G11446">
            <v>101</v>
          </cell>
          <cell r="H11446" t="str">
            <v>MUS-L 101</v>
          </cell>
          <cell r="K11446" t="str">
            <v>Jankovic,Petar S</v>
          </cell>
          <cell r="N11446">
            <v>3.75</v>
          </cell>
          <cell r="O11446">
            <v>2.7970000000000002</v>
          </cell>
        </row>
        <row r="11447">
          <cell r="E11447" t="str">
            <v>MUS</v>
          </cell>
          <cell r="F11447" t="str">
            <v xml:space="preserve">MUS-L </v>
          </cell>
          <cell r="G11447">
            <v>101</v>
          </cell>
          <cell r="H11447" t="str">
            <v>MUS-L 101</v>
          </cell>
          <cell r="K11447" t="str">
            <v>Jankovic,Petar S</v>
          </cell>
          <cell r="N11447">
            <v>3.6829999999999998</v>
          </cell>
          <cell r="O11447">
            <v>3.0470000000000002</v>
          </cell>
        </row>
        <row r="11448">
          <cell r="E11448" t="str">
            <v>MUS</v>
          </cell>
          <cell r="F11448" t="str">
            <v xml:space="preserve">MUS-L </v>
          </cell>
          <cell r="G11448">
            <v>101</v>
          </cell>
          <cell r="H11448" t="str">
            <v>MUS-L 101</v>
          </cell>
          <cell r="K11448" t="str">
            <v>Jankovic,Petar S</v>
          </cell>
          <cell r="N11448">
            <v>4</v>
          </cell>
          <cell r="O11448">
            <v>3.024</v>
          </cell>
        </row>
        <row r="11449">
          <cell r="E11449" t="str">
            <v>MUS</v>
          </cell>
          <cell r="F11449" t="str">
            <v xml:space="preserve">MUS-L </v>
          </cell>
          <cell r="G11449">
            <v>101</v>
          </cell>
          <cell r="H11449" t="str">
            <v>MUS-L 101</v>
          </cell>
          <cell r="K11449" t="str">
            <v>Jankovic,Petar S</v>
          </cell>
          <cell r="N11449" t="str">
            <v>NR</v>
          </cell>
          <cell r="O11449" t="str">
            <v>NR</v>
          </cell>
        </row>
        <row r="11450">
          <cell r="E11450" t="str">
            <v>MUS</v>
          </cell>
          <cell r="F11450" t="str">
            <v xml:space="preserve">MUS-L </v>
          </cell>
          <cell r="G11450">
            <v>101</v>
          </cell>
          <cell r="H11450" t="str">
            <v>MUS-L 101</v>
          </cell>
          <cell r="K11450" t="str">
            <v>Jankovic,Petar S</v>
          </cell>
          <cell r="N11450">
            <v>3.78</v>
          </cell>
          <cell r="O11450">
            <v>3.073</v>
          </cell>
        </row>
        <row r="11451">
          <cell r="E11451" t="str">
            <v>MUS</v>
          </cell>
          <cell r="F11451" t="str">
            <v xml:space="preserve">MUS-L </v>
          </cell>
          <cell r="G11451">
            <v>101</v>
          </cell>
          <cell r="H11451" t="str">
            <v>MUS-L 101</v>
          </cell>
          <cell r="K11451" t="str">
            <v>Jankovic,Petar S</v>
          </cell>
          <cell r="N11451">
            <v>3.7570000000000001</v>
          </cell>
          <cell r="O11451">
            <v>3.0459999999999998</v>
          </cell>
        </row>
        <row r="11452">
          <cell r="E11452" t="str">
            <v>MUS</v>
          </cell>
          <cell r="F11452" t="str">
            <v xml:space="preserve">MUS-L </v>
          </cell>
          <cell r="G11452">
            <v>101</v>
          </cell>
          <cell r="H11452" t="str">
            <v>MUS-L 101</v>
          </cell>
          <cell r="K11452" t="str">
            <v>Jankovic,Petar S</v>
          </cell>
          <cell r="N11452">
            <v>3.9</v>
          </cell>
          <cell r="O11452">
            <v>2.4430000000000001</v>
          </cell>
        </row>
        <row r="11453">
          <cell r="E11453" t="str">
            <v>MUS</v>
          </cell>
          <cell r="F11453" t="str">
            <v xml:space="preserve">MUS-L </v>
          </cell>
          <cell r="G11453">
            <v>101</v>
          </cell>
          <cell r="H11453" t="str">
            <v>MUS-L 101</v>
          </cell>
          <cell r="K11453" t="str">
            <v>Jankovic,Petar S</v>
          </cell>
          <cell r="N11453">
            <v>3.5219999999999998</v>
          </cell>
          <cell r="O11453">
            <v>2.694</v>
          </cell>
        </row>
        <row r="11454">
          <cell r="E11454" t="str">
            <v>MUS</v>
          </cell>
          <cell r="F11454" t="str">
            <v xml:space="preserve">MUS-L </v>
          </cell>
          <cell r="G11454">
            <v>101</v>
          </cell>
          <cell r="H11454" t="str">
            <v>MUS-L 101</v>
          </cell>
          <cell r="K11454" t="str">
            <v>Jankovic,Petar S</v>
          </cell>
          <cell r="N11454">
            <v>4</v>
          </cell>
          <cell r="O11454">
            <v>3.2360000000000002</v>
          </cell>
        </row>
        <row r="11455">
          <cell r="E11455" t="str">
            <v>MUS</v>
          </cell>
          <cell r="F11455" t="str">
            <v xml:space="preserve">MUS-L </v>
          </cell>
          <cell r="G11455">
            <v>101</v>
          </cell>
          <cell r="H11455" t="str">
            <v>MUS-L 101</v>
          </cell>
          <cell r="K11455" t="str">
            <v>Jankovic,Petar S</v>
          </cell>
          <cell r="N11455">
            <v>4</v>
          </cell>
          <cell r="O11455">
            <v>3.2029999999999998</v>
          </cell>
        </row>
        <row r="11456">
          <cell r="E11456" t="str">
            <v>MUS</v>
          </cell>
          <cell r="F11456" t="str">
            <v xml:space="preserve">MUS-L </v>
          </cell>
          <cell r="G11456">
            <v>101</v>
          </cell>
          <cell r="H11456" t="str">
            <v>MUS-L 101</v>
          </cell>
          <cell r="K11456" t="str">
            <v>Jankovic,Petar S</v>
          </cell>
          <cell r="N11456">
            <v>3.8559999999999999</v>
          </cell>
          <cell r="O11456">
            <v>2.95</v>
          </cell>
        </row>
        <row r="11457">
          <cell r="E11457" t="str">
            <v>MUS</v>
          </cell>
          <cell r="F11457" t="str">
            <v xml:space="preserve">MUS-L </v>
          </cell>
          <cell r="G11457">
            <v>101</v>
          </cell>
          <cell r="H11457" t="str">
            <v>MUS-L 101</v>
          </cell>
          <cell r="K11457" t="str">
            <v>Jankovic,Petar S</v>
          </cell>
          <cell r="N11457">
            <v>4</v>
          </cell>
          <cell r="O11457">
            <v>2.9279999999999999</v>
          </cell>
        </row>
        <row r="11458">
          <cell r="E11458" t="str">
            <v>MUS</v>
          </cell>
          <cell r="F11458" t="str">
            <v xml:space="preserve">MUS-L </v>
          </cell>
          <cell r="G11458">
            <v>101</v>
          </cell>
          <cell r="H11458" t="str">
            <v>MUS-L 101</v>
          </cell>
          <cell r="K11458" t="str">
            <v>Jankovic,Petar S</v>
          </cell>
          <cell r="N11458">
            <v>3.91</v>
          </cell>
          <cell r="O11458">
            <v>2.7450000000000001</v>
          </cell>
        </row>
        <row r="11459">
          <cell r="E11459" t="str">
            <v>MUS</v>
          </cell>
          <cell r="F11459" t="str">
            <v xml:space="preserve">MUS-L </v>
          </cell>
          <cell r="G11459">
            <v>101</v>
          </cell>
          <cell r="H11459" t="str">
            <v>MUS-L 101</v>
          </cell>
          <cell r="K11459" t="str">
            <v>Jankovic,Petar S</v>
          </cell>
          <cell r="N11459">
            <v>4</v>
          </cell>
          <cell r="O11459">
            <v>2.8010000000000002</v>
          </cell>
        </row>
        <row r="11460">
          <cell r="E11460" t="str">
            <v>MUS</v>
          </cell>
          <cell r="F11460" t="str">
            <v xml:space="preserve">MUS-L </v>
          </cell>
          <cell r="G11460">
            <v>101</v>
          </cell>
          <cell r="H11460" t="str">
            <v>MUS-L 101</v>
          </cell>
          <cell r="K11460" t="str">
            <v>Jankovic,Petar S</v>
          </cell>
          <cell r="N11460">
            <v>3.83</v>
          </cell>
          <cell r="O11460">
            <v>3.2919999999999998</v>
          </cell>
        </row>
        <row r="11461">
          <cell r="E11461" t="str">
            <v>MUS</v>
          </cell>
          <cell r="F11461" t="str">
            <v xml:space="preserve">MUS-L </v>
          </cell>
          <cell r="G11461">
            <v>101</v>
          </cell>
          <cell r="H11461" t="str">
            <v>MUS-L 101</v>
          </cell>
          <cell r="K11461" t="str">
            <v>Jankovic,Petar S</v>
          </cell>
          <cell r="N11461">
            <v>3.8</v>
          </cell>
          <cell r="O11461">
            <v>3.1480000000000001</v>
          </cell>
        </row>
        <row r="11462">
          <cell r="E11462" t="str">
            <v>MUS</v>
          </cell>
          <cell r="F11462" t="str">
            <v xml:space="preserve">MUS-L </v>
          </cell>
          <cell r="G11462">
            <v>101</v>
          </cell>
          <cell r="H11462" t="str">
            <v>MUS-L 101</v>
          </cell>
          <cell r="K11462" t="str">
            <v>Jankovic,Petar S</v>
          </cell>
          <cell r="N11462">
            <v>3.8559999999999999</v>
          </cell>
          <cell r="O11462">
            <v>2.8450000000000002</v>
          </cell>
        </row>
        <row r="11463">
          <cell r="E11463" t="str">
            <v>MUS</v>
          </cell>
          <cell r="F11463" t="str">
            <v xml:space="preserve">MUS-L </v>
          </cell>
          <cell r="G11463">
            <v>101</v>
          </cell>
          <cell r="H11463" t="str">
            <v>MUS-L 101</v>
          </cell>
          <cell r="K11463" t="str">
            <v>Jankovic,Petar S</v>
          </cell>
          <cell r="N11463">
            <v>4</v>
          </cell>
          <cell r="O11463">
            <v>3.2650000000000001</v>
          </cell>
        </row>
        <row r="11464">
          <cell r="E11464" t="str">
            <v>MUS</v>
          </cell>
          <cell r="F11464" t="str">
            <v xml:space="preserve">MUS-L </v>
          </cell>
          <cell r="G11464">
            <v>101</v>
          </cell>
          <cell r="H11464" t="str">
            <v>MUS-L 101</v>
          </cell>
          <cell r="K11464" t="str">
            <v>Jankovic,Petar S</v>
          </cell>
          <cell r="N11464">
            <v>3.54</v>
          </cell>
          <cell r="O11464">
            <v>2.7250000000000001</v>
          </cell>
        </row>
        <row r="11465">
          <cell r="E11465" t="str">
            <v>MUS</v>
          </cell>
          <cell r="F11465" t="str">
            <v xml:space="preserve">MUS-L </v>
          </cell>
          <cell r="G11465">
            <v>101</v>
          </cell>
          <cell r="H11465" t="str">
            <v>MUS-L 101</v>
          </cell>
          <cell r="K11465" t="str">
            <v>Jankovic,Petar S</v>
          </cell>
          <cell r="N11465">
            <v>4</v>
          </cell>
          <cell r="O11465">
            <v>2.9809999999999999</v>
          </cell>
        </row>
        <row r="11466">
          <cell r="E11466" t="str">
            <v>MUS</v>
          </cell>
          <cell r="F11466" t="str">
            <v xml:space="preserve">MUS-L </v>
          </cell>
          <cell r="G11466">
            <v>101</v>
          </cell>
          <cell r="H11466" t="str">
            <v>MUS-L 101</v>
          </cell>
          <cell r="K11466" t="str">
            <v>Jankovic,Petar S</v>
          </cell>
          <cell r="N11466">
            <v>3.3380000000000001</v>
          </cell>
          <cell r="O11466">
            <v>2.806</v>
          </cell>
        </row>
        <row r="11467">
          <cell r="E11467" t="str">
            <v>MUS</v>
          </cell>
          <cell r="F11467" t="str">
            <v xml:space="preserve">MUS-L </v>
          </cell>
          <cell r="G11467">
            <v>101</v>
          </cell>
          <cell r="H11467" t="str">
            <v>MUS-L 101</v>
          </cell>
          <cell r="K11467" t="str">
            <v>Jankovic,Petar S</v>
          </cell>
          <cell r="N11467">
            <v>3.94</v>
          </cell>
          <cell r="O11467">
            <v>3.3410000000000002</v>
          </cell>
        </row>
        <row r="11468">
          <cell r="E11468" t="str">
            <v>MUS</v>
          </cell>
          <cell r="F11468" t="str">
            <v xml:space="preserve">MUS-L </v>
          </cell>
          <cell r="G11468">
            <v>101</v>
          </cell>
          <cell r="H11468" t="str">
            <v>MUS-L 101</v>
          </cell>
          <cell r="K11468" t="str">
            <v>Jankovic,Petar S</v>
          </cell>
          <cell r="N11468">
            <v>4</v>
          </cell>
          <cell r="O11468">
            <v>2.5630000000000002</v>
          </cell>
        </row>
        <row r="11469">
          <cell r="E11469" t="str">
            <v>MUS</v>
          </cell>
          <cell r="F11469" t="str">
            <v xml:space="preserve">MUS-L </v>
          </cell>
          <cell r="G11469">
            <v>101</v>
          </cell>
          <cell r="H11469" t="str">
            <v>MUS-L 101</v>
          </cell>
          <cell r="K11469" t="str">
            <v>Jankovic,Petar S</v>
          </cell>
          <cell r="N11469">
            <v>4</v>
          </cell>
          <cell r="O11469">
            <v>3.2850000000000001</v>
          </cell>
        </row>
        <row r="11470">
          <cell r="E11470" t="str">
            <v>MUS</v>
          </cell>
          <cell r="F11470" t="str">
            <v xml:space="preserve">MUS-L </v>
          </cell>
          <cell r="G11470">
            <v>101</v>
          </cell>
          <cell r="H11470" t="str">
            <v>MUS-L 101</v>
          </cell>
          <cell r="K11470" t="str">
            <v>Jankovic,Petar S</v>
          </cell>
          <cell r="N11470">
            <v>3.64</v>
          </cell>
          <cell r="O11470">
            <v>3.2789999999999999</v>
          </cell>
        </row>
        <row r="11471">
          <cell r="E11471" t="str">
            <v>MUS</v>
          </cell>
          <cell r="F11471" t="str">
            <v xml:space="preserve">MUS-L </v>
          </cell>
          <cell r="G11471">
            <v>101</v>
          </cell>
          <cell r="H11471" t="str">
            <v>MUS-L 101</v>
          </cell>
          <cell r="K11471" t="str">
            <v>Jankovic,Petar S</v>
          </cell>
          <cell r="N11471">
            <v>4</v>
          </cell>
          <cell r="O11471">
            <v>2.9780000000000002</v>
          </cell>
        </row>
        <row r="11472">
          <cell r="E11472" t="str">
            <v>MUS</v>
          </cell>
          <cell r="F11472" t="str">
            <v xml:space="preserve">MUS-L </v>
          </cell>
          <cell r="G11472">
            <v>101</v>
          </cell>
          <cell r="H11472" t="str">
            <v>MUS-L 101</v>
          </cell>
          <cell r="K11472" t="str">
            <v>Jankovic,Petar S</v>
          </cell>
          <cell r="N11472">
            <v>4</v>
          </cell>
          <cell r="O11472">
            <v>2.7770000000000001</v>
          </cell>
        </row>
        <row r="11473">
          <cell r="E11473" t="str">
            <v>MUS</v>
          </cell>
          <cell r="F11473" t="str">
            <v xml:space="preserve">MUS-L </v>
          </cell>
          <cell r="G11473">
            <v>101</v>
          </cell>
          <cell r="H11473" t="str">
            <v>MUS-L 101</v>
          </cell>
          <cell r="K11473" t="str">
            <v>Jankovic,Petar S</v>
          </cell>
          <cell r="N11473">
            <v>3.6560000000000001</v>
          </cell>
          <cell r="O11473">
            <v>2.778</v>
          </cell>
        </row>
        <row r="11474">
          <cell r="E11474" t="str">
            <v>MUS</v>
          </cell>
          <cell r="F11474" t="str">
            <v xml:space="preserve">MUS-L </v>
          </cell>
          <cell r="G11474">
            <v>101</v>
          </cell>
          <cell r="H11474" t="str">
            <v>MUS-L 101</v>
          </cell>
          <cell r="K11474" t="str">
            <v>Jankovic,Petar S</v>
          </cell>
          <cell r="N11474">
            <v>4</v>
          </cell>
          <cell r="O11474">
            <v>3.11</v>
          </cell>
        </row>
        <row r="11475">
          <cell r="E11475" t="str">
            <v>MUS</v>
          </cell>
          <cell r="F11475" t="str">
            <v xml:space="preserve">MUS-L </v>
          </cell>
          <cell r="G11475">
            <v>101</v>
          </cell>
          <cell r="H11475" t="str">
            <v>MUS-L 101</v>
          </cell>
          <cell r="K11475" t="str">
            <v>Jankovic,Petar S</v>
          </cell>
          <cell r="N11475">
            <v>4</v>
          </cell>
          <cell r="O11475">
            <v>3.2189999999999999</v>
          </cell>
        </row>
        <row r="11476">
          <cell r="E11476" t="str">
            <v>MUS</v>
          </cell>
          <cell r="F11476" t="str">
            <v xml:space="preserve">MUS-L </v>
          </cell>
          <cell r="G11476">
            <v>101</v>
          </cell>
          <cell r="H11476" t="str">
            <v>MUS-L 101</v>
          </cell>
          <cell r="K11476" t="str">
            <v>Jankovic,Petar S</v>
          </cell>
          <cell r="N11476">
            <v>3.01</v>
          </cell>
          <cell r="O11476">
            <v>2.19</v>
          </cell>
        </row>
        <row r="11477">
          <cell r="E11477" t="str">
            <v>MUS</v>
          </cell>
          <cell r="F11477" t="str">
            <v xml:space="preserve">MUS-L </v>
          </cell>
          <cell r="G11477">
            <v>102</v>
          </cell>
          <cell r="H11477" t="str">
            <v>MUS-L 102</v>
          </cell>
          <cell r="K11477" t="str">
            <v>Jankovic,Petar S</v>
          </cell>
          <cell r="N11477">
            <v>3.556</v>
          </cell>
          <cell r="O11477">
            <v>3.0859999999999999</v>
          </cell>
        </row>
        <row r="11478">
          <cell r="E11478" t="str">
            <v>MUS</v>
          </cell>
          <cell r="F11478" t="str">
            <v xml:space="preserve">MUS-L </v>
          </cell>
          <cell r="G11478">
            <v>102</v>
          </cell>
          <cell r="H11478" t="str">
            <v>MUS-L 102</v>
          </cell>
          <cell r="K11478" t="str">
            <v>Jankovic,Petar S</v>
          </cell>
          <cell r="N11478" t="str">
            <v>NR</v>
          </cell>
          <cell r="O11478" t="str">
            <v>NR</v>
          </cell>
        </row>
        <row r="11479">
          <cell r="E11479" t="str">
            <v>MUS</v>
          </cell>
          <cell r="F11479" t="str">
            <v xml:space="preserve">MUS-L </v>
          </cell>
          <cell r="G11479">
            <v>102</v>
          </cell>
          <cell r="H11479" t="str">
            <v>MUS-L 102</v>
          </cell>
          <cell r="K11479" t="str">
            <v>Jankovic,Petar S</v>
          </cell>
          <cell r="N11479">
            <v>4</v>
          </cell>
          <cell r="O11479">
            <v>2.73</v>
          </cell>
        </row>
        <row r="11480">
          <cell r="E11480" t="str">
            <v>MUS</v>
          </cell>
          <cell r="F11480" t="str">
            <v xml:space="preserve">MUS-L </v>
          </cell>
          <cell r="G11480">
            <v>102</v>
          </cell>
          <cell r="H11480" t="str">
            <v>MUS-L 102</v>
          </cell>
          <cell r="K11480" t="str">
            <v>Jankovic,Petar S</v>
          </cell>
          <cell r="N11480">
            <v>3.7130000000000001</v>
          </cell>
          <cell r="O11480">
            <v>2.7210000000000001</v>
          </cell>
        </row>
        <row r="11481">
          <cell r="E11481" t="str">
            <v>MUS</v>
          </cell>
          <cell r="F11481" t="str">
            <v xml:space="preserve">MUS-L </v>
          </cell>
          <cell r="G11481">
            <v>102</v>
          </cell>
          <cell r="H11481" t="str">
            <v>MUS-L 102</v>
          </cell>
          <cell r="K11481" t="str">
            <v>Jankovic,Petar S</v>
          </cell>
          <cell r="N11481">
            <v>4</v>
          </cell>
          <cell r="O11481">
            <v>2.972</v>
          </cell>
        </row>
        <row r="11482">
          <cell r="E11482" t="str">
            <v>MUS</v>
          </cell>
          <cell r="F11482" t="str">
            <v xml:space="preserve">MUS-L </v>
          </cell>
          <cell r="G11482">
            <v>102</v>
          </cell>
          <cell r="H11482" t="str">
            <v>MUS-L 102</v>
          </cell>
          <cell r="K11482" t="str">
            <v>Jankovic,Petar S</v>
          </cell>
          <cell r="N11482">
            <v>4</v>
          </cell>
          <cell r="O11482">
            <v>3.3620000000000001</v>
          </cell>
        </row>
        <row r="11483">
          <cell r="E11483" t="str">
            <v>MUS</v>
          </cell>
          <cell r="F11483" t="str">
            <v xml:space="preserve">MUS-L </v>
          </cell>
          <cell r="G11483">
            <v>102</v>
          </cell>
          <cell r="H11483" t="str">
            <v>MUS-L 102</v>
          </cell>
          <cell r="K11483" t="str">
            <v>Jankovic,Petar S</v>
          </cell>
          <cell r="N11483">
            <v>4</v>
          </cell>
          <cell r="O11483">
            <v>3.1230000000000002</v>
          </cell>
        </row>
        <row r="11484">
          <cell r="E11484" t="str">
            <v>MUS</v>
          </cell>
          <cell r="F11484" t="str">
            <v xml:space="preserve">MUS-L </v>
          </cell>
          <cell r="G11484">
            <v>102</v>
          </cell>
          <cell r="H11484" t="str">
            <v>MUS-L 102</v>
          </cell>
          <cell r="K11484" t="str">
            <v>Jankovic,Petar S</v>
          </cell>
          <cell r="N11484">
            <v>3.9129999999999998</v>
          </cell>
          <cell r="O11484">
            <v>2.8330000000000002</v>
          </cell>
        </row>
        <row r="11485">
          <cell r="E11485" t="str">
            <v>MUS</v>
          </cell>
          <cell r="F11485" t="str">
            <v xml:space="preserve">MUS-L </v>
          </cell>
          <cell r="G11485">
            <v>102</v>
          </cell>
          <cell r="H11485" t="str">
            <v>MUS-L 102</v>
          </cell>
          <cell r="K11485" t="str">
            <v>Jankovic,Petar S</v>
          </cell>
          <cell r="N11485">
            <v>4</v>
          </cell>
          <cell r="O11485">
            <v>3.1190000000000002</v>
          </cell>
        </row>
        <row r="11486">
          <cell r="E11486" t="str">
            <v>MUS</v>
          </cell>
          <cell r="F11486" t="str">
            <v xml:space="preserve">MUS-L </v>
          </cell>
          <cell r="G11486">
            <v>102</v>
          </cell>
          <cell r="H11486" t="str">
            <v>MUS-L 102</v>
          </cell>
          <cell r="K11486" t="str">
            <v>Jankovic,Petar S</v>
          </cell>
          <cell r="N11486">
            <v>3.9670000000000001</v>
          </cell>
          <cell r="O11486">
            <v>2.746</v>
          </cell>
        </row>
        <row r="11487">
          <cell r="E11487" t="str">
            <v>MUS</v>
          </cell>
          <cell r="F11487" t="str">
            <v xml:space="preserve">MUS-L </v>
          </cell>
          <cell r="G11487">
            <v>103</v>
          </cell>
          <cell r="H11487" t="str">
            <v>MUS-L 103</v>
          </cell>
          <cell r="K11487" t="str">
            <v>Jankovic,Petar S</v>
          </cell>
          <cell r="N11487" t="str">
            <v>NR</v>
          </cell>
          <cell r="O11487" t="str">
            <v>NR</v>
          </cell>
        </row>
        <row r="11488">
          <cell r="E11488" t="str">
            <v>MUS</v>
          </cell>
          <cell r="F11488" t="str">
            <v xml:space="preserve">MUS-L </v>
          </cell>
          <cell r="G11488">
            <v>103</v>
          </cell>
          <cell r="H11488" t="str">
            <v>MUS-L 103</v>
          </cell>
          <cell r="K11488" t="str">
            <v>Jankovic,Petar S</v>
          </cell>
          <cell r="N11488" t="str">
            <v>NR</v>
          </cell>
          <cell r="O11488" t="str">
            <v>NR</v>
          </cell>
        </row>
        <row r="11489">
          <cell r="E11489" t="str">
            <v>MUS</v>
          </cell>
          <cell r="F11489" t="str">
            <v xml:space="preserve">MUS-L </v>
          </cell>
          <cell r="G11489">
            <v>400</v>
          </cell>
          <cell r="H11489" t="str">
            <v>MUS-L 400</v>
          </cell>
          <cell r="K11489" t="str">
            <v>Bitetti,Ernesto</v>
          </cell>
          <cell r="N11489" t="str">
            <v>NR</v>
          </cell>
          <cell r="O11489" t="str">
            <v>NR</v>
          </cell>
        </row>
        <row r="11490">
          <cell r="E11490" t="str">
            <v>MUS</v>
          </cell>
          <cell r="F11490" t="str">
            <v xml:space="preserve">MUS-L </v>
          </cell>
          <cell r="G11490">
            <v>400</v>
          </cell>
          <cell r="H11490" t="str">
            <v>MUS-L 400</v>
          </cell>
          <cell r="K11490" t="str">
            <v>Bitetti,Ernesto</v>
          </cell>
          <cell r="N11490" t="str">
            <v>NR</v>
          </cell>
          <cell r="O11490" t="str">
            <v>NR</v>
          </cell>
        </row>
        <row r="11491">
          <cell r="E11491" t="str">
            <v>MUS</v>
          </cell>
          <cell r="F11491" t="str">
            <v xml:space="preserve">MUS-L </v>
          </cell>
          <cell r="G11491">
            <v>400</v>
          </cell>
          <cell r="H11491" t="str">
            <v>MUS-L 400</v>
          </cell>
          <cell r="K11491" t="str">
            <v>Christiansen,Corey  Michael</v>
          </cell>
          <cell r="N11491" t="str">
            <v>NR</v>
          </cell>
          <cell r="O11491" t="str">
            <v>NR</v>
          </cell>
        </row>
        <row r="11492">
          <cell r="E11492" t="str">
            <v>MUS</v>
          </cell>
          <cell r="F11492" t="str">
            <v xml:space="preserve">MUS-L </v>
          </cell>
          <cell r="G11492">
            <v>400</v>
          </cell>
          <cell r="H11492" t="str">
            <v>MUS-L 400</v>
          </cell>
          <cell r="K11492" t="str">
            <v>Christiansen,Corey  Michael</v>
          </cell>
          <cell r="N11492">
            <v>3.9569999999999999</v>
          </cell>
          <cell r="O11492">
            <v>3.4609999999999999</v>
          </cell>
        </row>
        <row r="11493">
          <cell r="E11493" t="str">
            <v>MUS</v>
          </cell>
          <cell r="F11493" t="str">
            <v xml:space="preserve">MUS-L </v>
          </cell>
          <cell r="G11493">
            <v>400</v>
          </cell>
          <cell r="H11493" t="str">
            <v>MUS-L 400</v>
          </cell>
          <cell r="K11493" t="str">
            <v>Jankovic,Petar S</v>
          </cell>
          <cell r="N11493">
            <v>4</v>
          </cell>
          <cell r="O11493">
            <v>3.5379999999999998</v>
          </cell>
        </row>
        <row r="11494">
          <cell r="E11494" t="str">
            <v>MUS</v>
          </cell>
          <cell r="F11494" t="str">
            <v xml:space="preserve">MUS-L </v>
          </cell>
          <cell r="G11494">
            <v>400</v>
          </cell>
          <cell r="H11494" t="str">
            <v>MUS-L 400</v>
          </cell>
          <cell r="K11494" t="str">
            <v>Jankovic,Petar S</v>
          </cell>
          <cell r="N11494">
            <v>3.9</v>
          </cell>
          <cell r="O11494">
            <v>3.5219999999999998</v>
          </cell>
        </row>
        <row r="11495">
          <cell r="E11495" t="str">
            <v>MUS</v>
          </cell>
          <cell r="F11495" t="str">
            <v xml:space="preserve">MUS-L </v>
          </cell>
          <cell r="G11495">
            <v>661</v>
          </cell>
          <cell r="H11495" t="str">
            <v>MUS-L 661</v>
          </cell>
          <cell r="K11495" t="str">
            <v>Isaacson,Eric John</v>
          </cell>
          <cell r="N11495" t="str">
            <v>NR</v>
          </cell>
          <cell r="O11495" t="str">
            <v>NR</v>
          </cell>
        </row>
        <row r="11496">
          <cell r="E11496" t="str">
            <v>MUS</v>
          </cell>
          <cell r="F11496" t="str">
            <v xml:space="preserve">MUS-L </v>
          </cell>
          <cell r="G11496">
            <v>661</v>
          </cell>
          <cell r="H11496" t="str">
            <v>MUS-L 661</v>
          </cell>
          <cell r="K11496" t="str">
            <v>Isaacson,Eric John</v>
          </cell>
          <cell r="N11496" t="str">
            <v>NR</v>
          </cell>
          <cell r="O11496" t="str">
            <v>NR</v>
          </cell>
        </row>
        <row r="11497">
          <cell r="E11497" t="str">
            <v>MUS</v>
          </cell>
          <cell r="F11497" t="str">
            <v xml:space="preserve">MUS-L </v>
          </cell>
          <cell r="G11497">
            <v>661</v>
          </cell>
          <cell r="H11497" t="str">
            <v>MUS-L 661</v>
          </cell>
          <cell r="K11497" t="str">
            <v>Isaacson,Eric John</v>
          </cell>
          <cell r="N11497" t="str">
            <v>NR</v>
          </cell>
          <cell r="O11497" t="str">
            <v>NR</v>
          </cell>
        </row>
        <row r="11498">
          <cell r="E11498" t="str">
            <v>MUS</v>
          </cell>
          <cell r="F11498" t="str">
            <v xml:space="preserve">MUS-L </v>
          </cell>
          <cell r="G11498">
            <v>800</v>
          </cell>
          <cell r="H11498" t="str">
            <v>MUS-L 800</v>
          </cell>
          <cell r="K11498" t="str">
            <v>Christiansen,Corey  Michael</v>
          </cell>
          <cell r="N11498" t="str">
            <v>NR</v>
          </cell>
          <cell r="O11498" t="str">
            <v>NR</v>
          </cell>
        </row>
        <row r="11499">
          <cell r="E11499" t="str">
            <v>MUS</v>
          </cell>
          <cell r="F11499" t="str">
            <v xml:space="preserve">MUS-L </v>
          </cell>
          <cell r="G11499">
            <v>800</v>
          </cell>
          <cell r="H11499" t="str">
            <v>MUS-L 800</v>
          </cell>
          <cell r="K11499" t="str">
            <v>Christiansen,Corey  Michael</v>
          </cell>
          <cell r="N11499" t="str">
            <v>NR</v>
          </cell>
          <cell r="O11499" t="str">
            <v>NR</v>
          </cell>
        </row>
        <row r="11500">
          <cell r="E11500" t="str">
            <v>MUS</v>
          </cell>
          <cell r="F11500" t="str">
            <v xml:space="preserve">MUS-L </v>
          </cell>
          <cell r="G11500">
            <v>900</v>
          </cell>
          <cell r="H11500" t="str">
            <v>MUS-L 900</v>
          </cell>
          <cell r="K11500" t="str">
            <v>Bitetti,Ernesto</v>
          </cell>
          <cell r="N11500">
            <v>4</v>
          </cell>
          <cell r="O11500">
            <v>3.7189999999999999</v>
          </cell>
        </row>
        <row r="11501">
          <cell r="E11501" t="str">
            <v>MUS</v>
          </cell>
          <cell r="F11501" t="str">
            <v xml:space="preserve">MUS-L </v>
          </cell>
          <cell r="G11501">
            <v>900</v>
          </cell>
          <cell r="H11501" t="str">
            <v>MUS-L 900</v>
          </cell>
          <cell r="K11501" t="str">
            <v>Bitetti,Ernesto</v>
          </cell>
          <cell r="N11501">
            <v>4</v>
          </cell>
          <cell r="O11501">
            <v>3.7360000000000002</v>
          </cell>
        </row>
        <row r="11502">
          <cell r="E11502" t="str">
            <v>MUS</v>
          </cell>
          <cell r="F11502" t="str">
            <v xml:space="preserve">MUS-L </v>
          </cell>
          <cell r="G11502">
            <v>900</v>
          </cell>
          <cell r="H11502" t="str">
            <v>MUS-L 900</v>
          </cell>
          <cell r="K11502" t="str">
            <v>Jankovic,Petar S</v>
          </cell>
          <cell r="N11502" t="str">
            <v>NR</v>
          </cell>
          <cell r="O11502" t="str">
            <v>NR</v>
          </cell>
        </row>
        <row r="11503">
          <cell r="E11503" t="str">
            <v>MUS</v>
          </cell>
          <cell r="F11503" t="str">
            <v xml:space="preserve">MUS-L </v>
          </cell>
          <cell r="G11503">
            <v>900</v>
          </cell>
          <cell r="H11503" t="str">
            <v>MUS-L 900</v>
          </cell>
          <cell r="K11503" t="str">
            <v>Jankovic,Petar S</v>
          </cell>
          <cell r="N11503" t="str">
            <v>NR</v>
          </cell>
          <cell r="O11503" t="str">
            <v>NR</v>
          </cell>
        </row>
        <row r="11504">
          <cell r="E11504" t="str">
            <v>MUS</v>
          </cell>
          <cell r="F11504" t="str">
            <v xml:space="preserve">MUS-M </v>
          </cell>
          <cell r="G11504">
            <v>392</v>
          </cell>
          <cell r="H11504" t="str">
            <v>MUS-M 392</v>
          </cell>
          <cell r="K11504" t="str">
            <v>Ward-Steinman,David</v>
          </cell>
          <cell r="N11504">
            <v>3.35</v>
          </cell>
          <cell r="O11504">
            <v>3.024</v>
          </cell>
        </row>
        <row r="11505">
          <cell r="E11505" t="str">
            <v>MUS</v>
          </cell>
          <cell r="F11505" t="str">
            <v xml:space="preserve">MUS-M </v>
          </cell>
          <cell r="G11505">
            <v>392</v>
          </cell>
          <cell r="H11505" t="str">
            <v>MUS-M 392</v>
          </cell>
          <cell r="K11505" t="str">
            <v>Ward-Steinman,David</v>
          </cell>
          <cell r="N11505" t="str">
            <v>NR</v>
          </cell>
          <cell r="O11505" t="str">
            <v>NR</v>
          </cell>
        </row>
        <row r="11506">
          <cell r="E11506" t="str">
            <v>MUS</v>
          </cell>
          <cell r="F11506" t="str">
            <v xml:space="preserve">MUS-M </v>
          </cell>
          <cell r="G11506">
            <v>393</v>
          </cell>
          <cell r="H11506" t="str">
            <v>MUS-M 393</v>
          </cell>
          <cell r="K11506" t="str">
            <v>Baker,David N.</v>
          </cell>
          <cell r="N11506">
            <v>3.4</v>
          </cell>
          <cell r="O11506">
            <v>3.5139999999999998</v>
          </cell>
        </row>
        <row r="11507">
          <cell r="E11507" t="str">
            <v>MUS</v>
          </cell>
          <cell r="F11507" t="str">
            <v xml:space="preserve">MUS-M </v>
          </cell>
          <cell r="G11507">
            <v>395</v>
          </cell>
          <cell r="H11507" t="str">
            <v>MUS-M 395</v>
          </cell>
          <cell r="K11507" t="str">
            <v>Baker,David N.</v>
          </cell>
          <cell r="N11507">
            <v>3.8260000000000001</v>
          </cell>
          <cell r="O11507">
            <v>3.6360000000000001</v>
          </cell>
        </row>
        <row r="11508">
          <cell r="E11508" t="str">
            <v>MUS</v>
          </cell>
          <cell r="F11508" t="str">
            <v xml:space="preserve">MUS-M </v>
          </cell>
          <cell r="G11508">
            <v>400</v>
          </cell>
          <cell r="H11508" t="str">
            <v>MUS-M 400</v>
          </cell>
          <cell r="K11508" t="str">
            <v>Burkholder,J. Peter</v>
          </cell>
          <cell r="N11508" t="str">
            <v>NR</v>
          </cell>
          <cell r="O11508" t="str">
            <v>NR</v>
          </cell>
        </row>
        <row r="11509">
          <cell r="E11509" t="str">
            <v>MUS</v>
          </cell>
          <cell r="F11509" t="str">
            <v xml:space="preserve">MUS-M </v>
          </cell>
          <cell r="G11509">
            <v>401</v>
          </cell>
          <cell r="H11509" t="str">
            <v>MUS-M 401</v>
          </cell>
          <cell r="K11509" t="str">
            <v>Burkholder,J. Peter</v>
          </cell>
          <cell r="N11509">
            <v>2.9390000000000001</v>
          </cell>
          <cell r="O11509">
            <v>3.6419999999999999</v>
          </cell>
        </row>
        <row r="11510">
          <cell r="E11510" t="str">
            <v>MUS</v>
          </cell>
          <cell r="F11510" t="str">
            <v xml:space="preserve">MUS-M </v>
          </cell>
          <cell r="G11510">
            <v>402</v>
          </cell>
          <cell r="H11510" t="str">
            <v>MUS-M 402</v>
          </cell>
          <cell r="K11510" t="str">
            <v>Goldberg,Halina</v>
          </cell>
          <cell r="N11510">
            <v>2.7949999999999999</v>
          </cell>
          <cell r="O11510">
            <v>3.573</v>
          </cell>
        </row>
        <row r="11511">
          <cell r="E11511" t="str">
            <v>MUS</v>
          </cell>
          <cell r="F11511" t="str">
            <v xml:space="preserve">MUS-M </v>
          </cell>
          <cell r="G11511">
            <v>410</v>
          </cell>
          <cell r="H11511" t="str">
            <v>MUS-M 410</v>
          </cell>
          <cell r="K11511" t="str">
            <v>Burkholder,J. Peter</v>
          </cell>
          <cell r="N11511">
            <v>3.2930000000000001</v>
          </cell>
          <cell r="O11511">
            <v>3.637</v>
          </cell>
        </row>
        <row r="11512">
          <cell r="E11512" t="str">
            <v>MUS</v>
          </cell>
          <cell r="F11512" t="str">
            <v xml:space="preserve">MUS-M </v>
          </cell>
          <cell r="G11512">
            <v>410</v>
          </cell>
          <cell r="H11512" t="str">
            <v>MUS-M 410</v>
          </cell>
          <cell r="K11512" t="str">
            <v>Ford,Philip</v>
          </cell>
          <cell r="N11512">
            <v>3.1920000000000002</v>
          </cell>
          <cell r="O11512">
            <v>3.5910000000000002</v>
          </cell>
        </row>
        <row r="11513">
          <cell r="E11513" t="str">
            <v>MUS</v>
          </cell>
          <cell r="F11513" t="str">
            <v xml:space="preserve">MUS-M </v>
          </cell>
          <cell r="G11513">
            <v>410</v>
          </cell>
          <cell r="H11513" t="str">
            <v>MUS-M 410</v>
          </cell>
          <cell r="K11513" t="str">
            <v>Melamed,Daniel R.</v>
          </cell>
          <cell r="N11513" t="str">
            <v>NR</v>
          </cell>
          <cell r="O11513" t="str">
            <v>NR</v>
          </cell>
        </row>
        <row r="11514">
          <cell r="E11514" t="str">
            <v>MUS</v>
          </cell>
          <cell r="F11514" t="str">
            <v xml:space="preserve">MUS-M </v>
          </cell>
          <cell r="G11514">
            <v>410</v>
          </cell>
          <cell r="H11514" t="str">
            <v>MUS-M 410</v>
          </cell>
          <cell r="K11514" t="str">
            <v>Smith,Ayana Okeeva</v>
          </cell>
          <cell r="N11514">
            <v>3.2639999999999998</v>
          </cell>
          <cell r="O11514">
            <v>3.665</v>
          </cell>
        </row>
        <row r="11515">
          <cell r="E11515" t="str">
            <v>MUS</v>
          </cell>
          <cell r="F11515" t="str">
            <v xml:space="preserve">MUS-M </v>
          </cell>
          <cell r="G11515">
            <v>410</v>
          </cell>
          <cell r="H11515" t="str">
            <v>MUS-M 410</v>
          </cell>
          <cell r="K11515" t="str">
            <v>Zanovello,Giovanni</v>
          </cell>
          <cell r="N11515" t="str">
            <v>NR</v>
          </cell>
          <cell r="O11515" t="str">
            <v>NR</v>
          </cell>
        </row>
        <row r="11516">
          <cell r="E11516" t="str">
            <v>MUS</v>
          </cell>
          <cell r="F11516" t="str">
            <v xml:space="preserve">MUS-M </v>
          </cell>
          <cell r="G11516">
            <v>413</v>
          </cell>
          <cell r="H11516" t="str">
            <v>MUS-M 413</v>
          </cell>
          <cell r="K11516" t="str">
            <v>Quevedo,Marysol</v>
          </cell>
          <cell r="N11516" t="str">
            <v>NR</v>
          </cell>
          <cell r="O11516" t="str">
            <v>NR</v>
          </cell>
        </row>
        <row r="11517">
          <cell r="E11517" t="str">
            <v>MUS</v>
          </cell>
          <cell r="F11517" t="str">
            <v xml:space="preserve">MUS-M </v>
          </cell>
          <cell r="G11517">
            <v>413</v>
          </cell>
          <cell r="H11517" t="str">
            <v>MUS-M 413</v>
          </cell>
          <cell r="K11517" t="str">
            <v>Sanchez,Guido A</v>
          </cell>
          <cell r="N11517" t="str">
            <v>NR</v>
          </cell>
          <cell r="O11517" t="str">
            <v>NR</v>
          </cell>
        </row>
        <row r="11518">
          <cell r="E11518" t="str">
            <v>MUS</v>
          </cell>
          <cell r="F11518" t="str">
            <v xml:space="preserve">MUS-M </v>
          </cell>
          <cell r="G11518">
            <v>415</v>
          </cell>
          <cell r="H11518" t="str">
            <v>MUS-M 415</v>
          </cell>
          <cell r="K11518" t="str">
            <v>Ritchie,Stanley</v>
          </cell>
          <cell r="N11518" t="str">
            <v>NR</v>
          </cell>
          <cell r="O11518" t="str">
            <v>NR</v>
          </cell>
        </row>
        <row r="11519">
          <cell r="E11519" t="str">
            <v>MUS</v>
          </cell>
          <cell r="F11519" t="str">
            <v xml:space="preserve">MUS-M </v>
          </cell>
          <cell r="G11519">
            <v>415</v>
          </cell>
          <cell r="H11519" t="str">
            <v>MUS-M 415</v>
          </cell>
          <cell r="K11519" t="str">
            <v>Ritchie,Stanley</v>
          </cell>
          <cell r="N11519" t="str">
            <v>NR</v>
          </cell>
          <cell r="O11519" t="str">
            <v>NR</v>
          </cell>
        </row>
        <row r="11520">
          <cell r="E11520" t="str">
            <v>MUS</v>
          </cell>
          <cell r="F11520" t="str">
            <v xml:space="preserve">MUS-M </v>
          </cell>
          <cell r="G11520">
            <v>431</v>
          </cell>
          <cell r="H11520" t="str">
            <v>MUS-M 431</v>
          </cell>
          <cell r="K11520" t="str">
            <v>Phelps,Mark D.</v>
          </cell>
          <cell r="N11520">
            <v>3.8420000000000001</v>
          </cell>
          <cell r="O11520">
            <v>3.613</v>
          </cell>
        </row>
        <row r="11521">
          <cell r="E11521" t="str">
            <v>MUS</v>
          </cell>
          <cell r="F11521" t="str">
            <v xml:space="preserve">MUS-M </v>
          </cell>
          <cell r="G11521">
            <v>432</v>
          </cell>
          <cell r="H11521" t="str">
            <v>MUS-M 432</v>
          </cell>
          <cell r="K11521" t="str">
            <v>Phelps,Mark D.</v>
          </cell>
          <cell r="N11521">
            <v>4</v>
          </cell>
          <cell r="O11521">
            <v>3.61</v>
          </cell>
        </row>
        <row r="11522">
          <cell r="E11522" t="str">
            <v>MUS</v>
          </cell>
          <cell r="F11522" t="str">
            <v xml:space="preserve">MUS-M </v>
          </cell>
          <cell r="G11522">
            <v>434</v>
          </cell>
          <cell r="H11522" t="str">
            <v>MUS-M 434</v>
          </cell>
          <cell r="K11522" t="str">
            <v>Jankovic,Petar S</v>
          </cell>
          <cell r="N11522" t="str">
            <v>NR</v>
          </cell>
          <cell r="O11522" t="str">
            <v>NR</v>
          </cell>
        </row>
        <row r="11523">
          <cell r="E11523" t="str">
            <v>MUS</v>
          </cell>
          <cell r="F11523" t="str">
            <v xml:space="preserve">MUS-M </v>
          </cell>
          <cell r="G11523">
            <v>435</v>
          </cell>
          <cell r="H11523" t="str">
            <v>MUS-M 435</v>
          </cell>
          <cell r="K11523" t="str">
            <v>Gillespie,Wendy</v>
          </cell>
          <cell r="N11523" t="str">
            <v>NR</v>
          </cell>
          <cell r="O11523" t="str">
            <v>NR</v>
          </cell>
        </row>
        <row r="11524">
          <cell r="E11524" t="str">
            <v>MUS</v>
          </cell>
          <cell r="F11524" t="str">
            <v xml:space="preserve">MUS-M </v>
          </cell>
          <cell r="G11524">
            <v>458</v>
          </cell>
          <cell r="H11524" t="str">
            <v>MUS-M 458</v>
          </cell>
          <cell r="K11524" t="str">
            <v>Gillespie,Wendy</v>
          </cell>
          <cell r="N11524" t="str">
            <v>NR</v>
          </cell>
          <cell r="O11524" t="str">
            <v>NR</v>
          </cell>
        </row>
        <row r="11525">
          <cell r="E11525" t="str">
            <v>MUS</v>
          </cell>
          <cell r="F11525" t="str">
            <v xml:space="preserve">MUS-M </v>
          </cell>
          <cell r="G11525">
            <v>458</v>
          </cell>
          <cell r="H11525" t="str">
            <v>MUS-M 458</v>
          </cell>
          <cell r="K11525" t="str">
            <v>Gillespie,Wendy</v>
          </cell>
          <cell r="N11525" t="str">
            <v>NR</v>
          </cell>
          <cell r="O11525" t="str">
            <v>NR</v>
          </cell>
        </row>
        <row r="11526">
          <cell r="E11526" t="str">
            <v>MUS</v>
          </cell>
          <cell r="F11526" t="str">
            <v xml:space="preserve">MUS-M </v>
          </cell>
          <cell r="G11526">
            <v>458</v>
          </cell>
          <cell r="H11526" t="str">
            <v>MUS-M 458</v>
          </cell>
          <cell r="K11526" t="str">
            <v>Gillespie,Wendy</v>
          </cell>
          <cell r="N11526" t="str">
            <v>NR</v>
          </cell>
          <cell r="O11526" t="str">
            <v>NR</v>
          </cell>
        </row>
        <row r="11527">
          <cell r="E11527" t="str">
            <v>MUS</v>
          </cell>
          <cell r="F11527" t="str">
            <v xml:space="preserve">MUS-M </v>
          </cell>
          <cell r="G11527">
            <v>458</v>
          </cell>
          <cell r="H11527" t="str">
            <v>MUS-M 458</v>
          </cell>
          <cell r="K11527" t="str">
            <v>Gillespie,Wendy</v>
          </cell>
          <cell r="N11527" t="str">
            <v>NR</v>
          </cell>
          <cell r="O11527" t="str">
            <v>NR</v>
          </cell>
        </row>
        <row r="11528">
          <cell r="E11528" t="str">
            <v>MUS</v>
          </cell>
          <cell r="F11528" t="str">
            <v xml:space="preserve">MUS-M </v>
          </cell>
          <cell r="G11528">
            <v>458</v>
          </cell>
          <cell r="H11528" t="str">
            <v>MUS-M 458</v>
          </cell>
          <cell r="K11528" t="str">
            <v>Hoeprich,Eric Eric</v>
          </cell>
          <cell r="N11528" t="str">
            <v>NR</v>
          </cell>
          <cell r="O11528" t="str">
            <v>NR</v>
          </cell>
        </row>
        <row r="11529">
          <cell r="E11529" t="str">
            <v>MUS</v>
          </cell>
          <cell r="F11529" t="str">
            <v xml:space="preserve">MUS-M </v>
          </cell>
          <cell r="G11529">
            <v>458</v>
          </cell>
          <cell r="H11529" t="str">
            <v>MUS-M 458</v>
          </cell>
          <cell r="K11529" t="str">
            <v>Hoeprich,Eric Eric</v>
          </cell>
          <cell r="N11529" t="str">
            <v>NR</v>
          </cell>
          <cell r="O11529" t="str">
            <v>NR</v>
          </cell>
        </row>
        <row r="11530">
          <cell r="E11530" t="str">
            <v>MUS</v>
          </cell>
          <cell r="F11530" t="str">
            <v xml:space="preserve">MUS-M </v>
          </cell>
          <cell r="G11530">
            <v>458</v>
          </cell>
          <cell r="H11530" t="str">
            <v>MUS-M 458</v>
          </cell>
          <cell r="K11530" t="str">
            <v>Kallaur,Barbara</v>
          </cell>
          <cell r="N11530" t="str">
            <v>NR</v>
          </cell>
          <cell r="O11530" t="str">
            <v>NR</v>
          </cell>
        </row>
        <row r="11531">
          <cell r="E11531" t="str">
            <v>MUS</v>
          </cell>
          <cell r="F11531" t="str">
            <v xml:space="preserve">MUS-M </v>
          </cell>
          <cell r="G11531">
            <v>458</v>
          </cell>
          <cell r="H11531" t="str">
            <v>MUS-M 458</v>
          </cell>
          <cell r="K11531" t="str">
            <v>Kwapis,Kris</v>
          </cell>
          <cell r="N11531" t="str">
            <v>NR</v>
          </cell>
          <cell r="O11531" t="str">
            <v>NR</v>
          </cell>
        </row>
        <row r="11532">
          <cell r="E11532" t="str">
            <v>MUS</v>
          </cell>
          <cell r="F11532" t="str">
            <v xml:space="preserve">MUS-M </v>
          </cell>
          <cell r="G11532">
            <v>458</v>
          </cell>
          <cell r="H11532" t="str">
            <v>MUS-M 458</v>
          </cell>
          <cell r="K11532" t="str">
            <v>Pearse,Linda</v>
          </cell>
          <cell r="N11532" t="str">
            <v>NR</v>
          </cell>
          <cell r="O11532" t="str">
            <v>NR</v>
          </cell>
        </row>
        <row r="11533">
          <cell r="E11533" t="str">
            <v>MUS</v>
          </cell>
          <cell r="F11533" t="str">
            <v xml:space="preserve">MUS-M </v>
          </cell>
          <cell r="G11533">
            <v>458</v>
          </cell>
          <cell r="H11533" t="str">
            <v>MUS-M 458</v>
          </cell>
          <cell r="K11533" t="str">
            <v>Pearse,Linda</v>
          </cell>
          <cell r="N11533" t="str">
            <v>NR</v>
          </cell>
          <cell r="O11533" t="str">
            <v>NR</v>
          </cell>
        </row>
        <row r="11534">
          <cell r="E11534" t="str">
            <v>MUS</v>
          </cell>
          <cell r="F11534" t="str">
            <v xml:space="preserve">MUS-M </v>
          </cell>
          <cell r="G11534">
            <v>502</v>
          </cell>
          <cell r="H11534" t="str">
            <v>MUS-M 502</v>
          </cell>
          <cell r="K11534" t="str">
            <v>Altstatt,Alison Noel</v>
          </cell>
          <cell r="N11534">
            <v>3.5</v>
          </cell>
          <cell r="O11534">
            <v>3.8039999999999998</v>
          </cell>
        </row>
        <row r="11535">
          <cell r="E11535" t="str">
            <v>MUS</v>
          </cell>
          <cell r="F11535" t="str">
            <v xml:space="preserve">MUS-M </v>
          </cell>
          <cell r="G11535">
            <v>502</v>
          </cell>
          <cell r="H11535" t="str">
            <v>MUS-M 502</v>
          </cell>
          <cell r="K11535" t="str">
            <v>Baker,David N.</v>
          </cell>
          <cell r="N11535">
            <v>3.6389999999999998</v>
          </cell>
          <cell r="O11535">
            <v>3.7589999999999999</v>
          </cell>
        </row>
        <row r="11536">
          <cell r="E11536" t="str">
            <v>MUS</v>
          </cell>
          <cell r="F11536" t="str">
            <v xml:space="preserve">MUS-M </v>
          </cell>
          <cell r="G11536">
            <v>502</v>
          </cell>
          <cell r="H11536" t="str">
            <v>MUS-M 502</v>
          </cell>
          <cell r="K11536" t="str">
            <v>Freeze,Timothy David</v>
          </cell>
          <cell r="N11536">
            <v>3.2679999999999998</v>
          </cell>
          <cell r="O11536">
            <v>3.7890000000000001</v>
          </cell>
        </row>
        <row r="11537">
          <cell r="E11537" t="str">
            <v>MUS</v>
          </cell>
          <cell r="F11537" t="str">
            <v xml:space="preserve">MUS-M </v>
          </cell>
          <cell r="G11537">
            <v>502</v>
          </cell>
          <cell r="H11537" t="str">
            <v>MUS-M 502</v>
          </cell>
          <cell r="K11537" t="str">
            <v>Melamed,Daniel R.</v>
          </cell>
          <cell r="N11537">
            <v>3.758</v>
          </cell>
          <cell r="O11537">
            <v>3.835</v>
          </cell>
        </row>
        <row r="11538">
          <cell r="E11538" t="str">
            <v>MUS</v>
          </cell>
          <cell r="F11538" t="str">
            <v xml:space="preserve">MUS-M </v>
          </cell>
          <cell r="G11538">
            <v>502</v>
          </cell>
          <cell r="H11538" t="str">
            <v>MUS-M 502</v>
          </cell>
          <cell r="K11538" t="str">
            <v>Smith,Ayana Okeeva</v>
          </cell>
          <cell r="N11538">
            <v>3.694</v>
          </cell>
          <cell r="O11538">
            <v>3.8690000000000002</v>
          </cell>
        </row>
        <row r="11539">
          <cell r="E11539" t="str">
            <v>MUS</v>
          </cell>
          <cell r="F11539" t="str">
            <v xml:space="preserve">MUS-M </v>
          </cell>
          <cell r="G11539">
            <v>502</v>
          </cell>
          <cell r="H11539" t="str">
            <v>MUS-M 502</v>
          </cell>
          <cell r="K11539" t="str">
            <v>Zanovello,Giovanni</v>
          </cell>
          <cell r="N11539">
            <v>3.8290000000000002</v>
          </cell>
          <cell r="O11539">
            <v>3.7730000000000001</v>
          </cell>
        </row>
        <row r="11540">
          <cell r="E11540" t="str">
            <v>MUS</v>
          </cell>
          <cell r="F11540" t="str">
            <v xml:space="preserve">MUS-M </v>
          </cell>
          <cell r="G11540">
            <v>502</v>
          </cell>
          <cell r="H11540" t="str">
            <v>MUS-M 502</v>
          </cell>
          <cell r="K11540" t="str">
            <v>Zanovello,Giovanni</v>
          </cell>
          <cell r="N11540">
            <v>3.746</v>
          </cell>
          <cell r="O11540">
            <v>3.8620000000000001</v>
          </cell>
        </row>
        <row r="11541">
          <cell r="E11541" t="str">
            <v>MUS</v>
          </cell>
          <cell r="F11541" t="str">
            <v xml:space="preserve">MUS-M </v>
          </cell>
          <cell r="G11541">
            <v>510</v>
          </cell>
          <cell r="H11541" t="str">
            <v>MUS-M 510</v>
          </cell>
          <cell r="K11541" t="str">
            <v>Goldberg,Halina</v>
          </cell>
          <cell r="N11541">
            <v>3.5070000000000001</v>
          </cell>
          <cell r="O11541">
            <v>3.6659999999999999</v>
          </cell>
        </row>
        <row r="11542">
          <cell r="E11542" t="str">
            <v>MUS</v>
          </cell>
          <cell r="F11542" t="str">
            <v xml:space="preserve">MUS-M </v>
          </cell>
          <cell r="G11542">
            <v>510</v>
          </cell>
          <cell r="H11542" t="str">
            <v>MUS-M 510</v>
          </cell>
          <cell r="K11542" t="str">
            <v>Goldberg,Halina</v>
          </cell>
          <cell r="N11542">
            <v>3.4</v>
          </cell>
          <cell r="O11542">
            <v>3.81</v>
          </cell>
        </row>
        <row r="11543">
          <cell r="E11543" t="str">
            <v>MUS</v>
          </cell>
          <cell r="F11543" t="str">
            <v xml:space="preserve">MUS-M </v>
          </cell>
          <cell r="G11543">
            <v>510</v>
          </cell>
          <cell r="H11543" t="str">
            <v>MUS-M 510</v>
          </cell>
          <cell r="K11543" t="str">
            <v>Hooker,Lynn Marie</v>
          </cell>
          <cell r="N11543">
            <v>3.3780000000000001</v>
          </cell>
          <cell r="O11543">
            <v>3.6920000000000002</v>
          </cell>
        </row>
        <row r="11544">
          <cell r="E11544" t="str">
            <v>MUS</v>
          </cell>
          <cell r="F11544" t="str">
            <v xml:space="preserve">MUS-M </v>
          </cell>
          <cell r="G11544">
            <v>510</v>
          </cell>
          <cell r="H11544" t="str">
            <v>MUS-M 510</v>
          </cell>
          <cell r="K11544" t="str">
            <v>Melamed,Daniel R.</v>
          </cell>
          <cell r="N11544">
            <v>3.556</v>
          </cell>
          <cell r="O11544">
            <v>3.7490000000000001</v>
          </cell>
        </row>
        <row r="11545">
          <cell r="E11545" t="str">
            <v>MUS</v>
          </cell>
          <cell r="F11545" t="str">
            <v xml:space="preserve">MUS-M </v>
          </cell>
          <cell r="G11545">
            <v>513</v>
          </cell>
          <cell r="H11545" t="str">
            <v>MUS-M 513</v>
          </cell>
          <cell r="K11545" t="str">
            <v>Sanchez,Guido A</v>
          </cell>
          <cell r="N11545" t="str">
            <v>NR</v>
          </cell>
          <cell r="O11545" t="str">
            <v>NR</v>
          </cell>
        </row>
        <row r="11546">
          <cell r="E11546" t="str">
            <v>MUS</v>
          </cell>
          <cell r="F11546" t="str">
            <v xml:space="preserve">MUS-M </v>
          </cell>
          <cell r="G11546">
            <v>515</v>
          </cell>
          <cell r="H11546" t="str">
            <v>MUS-M 515</v>
          </cell>
          <cell r="K11546" t="str">
            <v>Ritchie,Stanley</v>
          </cell>
          <cell r="N11546">
            <v>3.8570000000000002</v>
          </cell>
          <cell r="O11546">
            <v>3.964</v>
          </cell>
        </row>
        <row r="11547">
          <cell r="E11547" t="str">
            <v>MUS</v>
          </cell>
          <cell r="F11547" t="str">
            <v xml:space="preserve">MUS-M </v>
          </cell>
          <cell r="G11547">
            <v>515</v>
          </cell>
          <cell r="H11547" t="str">
            <v>MUS-M 515</v>
          </cell>
          <cell r="K11547" t="str">
            <v>Ritchie,Stanley</v>
          </cell>
          <cell r="N11547" t="str">
            <v>NR</v>
          </cell>
          <cell r="O11547" t="str">
            <v>NR</v>
          </cell>
        </row>
        <row r="11548">
          <cell r="E11548" t="str">
            <v>MUS</v>
          </cell>
          <cell r="F11548" t="str">
            <v xml:space="preserve">MUS-M </v>
          </cell>
          <cell r="G11548">
            <v>518</v>
          </cell>
          <cell r="H11548" t="str">
            <v>MUS-M 518</v>
          </cell>
          <cell r="K11548" t="str">
            <v>Gillespie,Wendy</v>
          </cell>
          <cell r="N11548">
            <v>3.7639999999999998</v>
          </cell>
          <cell r="O11548">
            <v>3.8540000000000001</v>
          </cell>
        </row>
        <row r="11549">
          <cell r="E11549" t="str">
            <v>MUS</v>
          </cell>
          <cell r="F11549" t="str">
            <v xml:space="preserve">MUS-M </v>
          </cell>
          <cell r="G11549">
            <v>519</v>
          </cell>
          <cell r="H11549" t="str">
            <v>MUS-M 519</v>
          </cell>
          <cell r="K11549" t="str">
            <v>North,Nigel John</v>
          </cell>
          <cell r="N11549">
            <v>3.5329999999999999</v>
          </cell>
          <cell r="O11549">
            <v>3.82</v>
          </cell>
        </row>
        <row r="11550">
          <cell r="E11550" t="str">
            <v>MUS</v>
          </cell>
          <cell r="F11550" t="str">
            <v xml:space="preserve">MUS-M </v>
          </cell>
          <cell r="G11550">
            <v>520</v>
          </cell>
          <cell r="H11550" t="str">
            <v>MUS-M 520</v>
          </cell>
          <cell r="K11550" t="str">
            <v>McCraw,Michael</v>
          </cell>
          <cell r="N11550">
            <v>3.891</v>
          </cell>
          <cell r="O11550">
            <v>3.8610000000000002</v>
          </cell>
        </row>
        <row r="11551">
          <cell r="E11551" t="str">
            <v>MUS</v>
          </cell>
          <cell r="F11551" t="str">
            <v xml:space="preserve">MUS-M </v>
          </cell>
          <cell r="G11551">
            <v>525</v>
          </cell>
          <cell r="H11551" t="str">
            <v>MUS-M 525</v>
          </cell>
          <cell r="K11551" t="str">
            <v>Ossi,Massimo M.</v>
          </cell>
          <cell r="N11551">
            <v>3.88</v>
          </cell>
          <cell r="O11551">
            <v>3.7759999999999998</v>
          </cell>
        </row>
        <row r="11552">
          <cell r="E11552" t="str">
            <v>MUS</v>
          </cell>
          <cell r="F11552" t="str">
            <v xml:space="preserve">MUS-M </v>
          </cell>
          <cell r="G11552">
            <v>525</v>
          </cell>
          <cell r="H11552" t="str">
            <v>MUS-M 525</v>
          </cell>
          <cell r="K11552" t="str">
            <v>Smith,Ayana Okeeva</v>
          </cell>
          <cell r="N11552">
            <v>3.843</v>
          </cell>
          <cell r="O11552">
            <v>3.742</v>
          </cell>
        </row>
        <row r="11553">
          <cell r="E11553" t="str">
            <v>MUS</v>
          </cell>
          <cell r="F11553" t="str">
            <v xml:space="preserve">MUS-M </v>
          </cell>
          <cell r="G11553">
            <v>527</v>
          </cell>
          <cell r="H11553" t="str">
            <v>MUS-M 527</v>
          </cell>
          <cell r="K11553" t="str">
            <v>Ossi,Massimo M.</v>
          </cell>
          <cell r="N11553">
            <v>3.9550000000000001</v>
          </cell>
          <cell r="O11553">
            <v>3.855</v>
          </cell>
        </row>
        <row r="11554">
          <cell r="E11554" t="str">
            <v>MUS</v>
          </cell>
          <cell r="F11554" t="str">
            <v xml:space="preserve">MUS-M </v>
          </cell>
          <cell r="G11554">
            <v>527</v>
          </cell>
          <cell r="H11554" t="str">
            <v>MUS-M 527</v>
          </cell>
          <cell r="K11554" t="str">
            <v>Zanovello,Giovanni</v>
          </cell>
          <cell r="N11554">
            <v>3.5259999999999998</v>
          </cell>
          <cell r="O11554">
            <v>3.7320000000000002</v>
          </cell>
        </row>
        <row r="11555">
          <cell r="E11555" t="str">
            <v>MUS</v>
          </cell>
          <cell r="F11555" t="str">
            <v xml:space="preserve">MUS-M </v>
          </cell>
          <cell r="G11555">
            <v>528</v>
          </cell>
          <cell r="H11555" t="str">
            <v>MUS-M 528</v>
          </cell>
          <cell r="K11555" t="str">
            <v>Altstatt,Alison Noel</v>
          </cell>
          <cell r="N11555">
            <v>3.532</v>
          </cell>
          <cell r="O11555">
            <v>3.7959999999999998</v>
          </cell>
        </row>
        <row r="11556">
          <cell r="E11556" t="str">
            <v>MUS</v>
          </cell>
          <cell r="F11556" t="str">
            <v xml:space="preserve">MUS-M </v>
          </cell>
          <cell r="G11556">
            <v>531</v>
          </cell>
          <cell r="H11556" t="str">
            <v>MUS-M 531</v>
          </cell>
          <cell r="K11556" t="str">
            <v>Reger,Jeremy James</v>
          </cell>
          <cell r="N11556">
            <v>3.9209999999999998</v>
          </cell>
          <cell r="O11556">
            <v>3.645</v>
          </cell>
        </row>
        <row r="11557">
          <cell r="E11557" t="str">
            <v>MUS</v>
          </cell>
          <cell r="F11557" t="str">
            <v xml:space="preserve">MUS-M </v>
          </cell>
          <cell r="G11557">
            <v>532</v>
          </cell>
          <cell r="H11557" t="str">
            <v>MUS-M 532</v>
          </cell>
          <cell r="K11557" t="str">
            <v>Arvin,Gary</v>
          </cell>
          <cell r="N11557">
            <v>3.891</v>
          </cell>
          <cell r="O11557">
            <v>3.7250000000000001</v>
          </cell>
        </row>
        <row r="11558">
          <cell r="E11558" t="str">
            <v>MUS</v>
          </cell>
          <cell r="F11558" t="str">
            <v xml:space="preserve">MUS-M </v>
          </cell>
          <cell r="G11558">
            <v>539</v>
          </cell>
          <cell r="H11558" t="str">
            <v>MUS-M 539</v>
          </cell>
          <cell r="K11558" t="str">
            <v>Cochran,Keith</v>
          </cell>
          <cell r="N11558">
            <v>3.9750000000000001</v>
          </cell>
          <cell r="O11558">
            <v>3.8820000000000001</v>
          </cell>
        </row>
        <row r="11559">
          <cell r="E11559" t="str">
            <v>MUS</v>
          </cell>
          <cell r="F11559" t="str">
            <v xml:space="preserve">MUS-M </v>
          </cell>
          <cell r="G11559">
            <v>539</v>
          </cell>
          <cell r="H11559" t="str">
            <v>MUS-M 539</v>
          </cell>
          <cell r="K11559" t="str">
            <v>Ponella,Philip</v>
          </cell>
          <cell r="N11559">
            <v>4</v>
          </cell>
          <cell r="O11559">
            <v>3.903</v>
          </cell>
        </row>
        <row r="11560">
          <cell r="E11560" t="str">
            <v>MUS</v>
          </cell>
          <cell r="F11560" t="str">
            <v xml:space="preserve">MUS-M </v>
          </cell>
          <cell r="G11560">
            <v>541</v>
          </cell>
          <cell r="H11560" t="str">
            <v>MUS-M 541</v>
          </cell>
          <cell r="K11560" t="str">
            <v>Chapman,Katie Elizabeth</v>
          </cell>
          <cell r="N11560">
            <v>3.081</v>
          </cell>
          <cell r="O11560">
            <v>3.7570000000000001</v>
          </cell>
        </row>
        <row r="11561">
          <cell r="E11561" t="str">
            <v>MUS</v>
          </cell>
          <cell r="F11561" t="str">
            <v xml:space="preserve">MUS-M </v>
          </cell>
          <cell r="G11561">
            <v>541</v>
          </cell>
          <cell r="H11561" t="str">
            <v>MUS-M 541</v>
          </cell>
          <cell r="K11561" t="str">
            <v>Ryan,Mary Ellen</v>
          </cell>
          <cell r="N11561">
            <v>3.19</v>
          </cell>
          <cell r="O11561">
            <v>3.734</v>
          </cell>
        </row>
        <row r="11562">
          <cell r="E11562" t="str">
            <v>MUS</v>
          </cell>
          <cell r="F11562" t="str">
            <v xml:space="preserve">MUS-M </v>
          </cell>
          <cell r="G11562">
            <v>541</v>
          </cell>
          <cell r="H11562" t="str">
            <v>MUS-M 541</v>
          </cell>
          <cell r="K11562" t="str">
            <v>Witt,Alexis Louise</v>
          </cell>
          <cell r="N11562">
            <v>2.8969999999999998</v>
          </cell>
          <cell r="O11562">
            <v>3.69</v>
          </cell>
        </row>
        <row r="11563">
          <cell r="E11563" t="str">
            <v>MUS</v>
          </cell>
          <cell r="F11563" t="str">
            <v xml:space="preserve">MUS-M </v>
          </cell>
          <cell r="G11563">
            <v>542</v>
          </cell>
          <cell r="H11563" t="str">
            <v>MUS-M 542</v>
          </cell>
          <cell r="K11563" t="str">
            <v>Barron,Dana Beth</v>
          </cell>
          <cell r="N11563">
            <v>3.2850000000000001</v>
          </cell>
          <cell r="O11563">
            <v>3.629</v>
          </cell>
        </row>
        <row r="11564">
          <cell r="E11564" t="str">
            <v>MUS</v>
          </cell>
          <cell r="F11564" t="str">
            <v xml:space="preserve">MUS-M </v>
          </cell>
          <cell r="G11564">
            <v>542</v>
          </cell>
          <cell r="H11564" t="str">
            <v>MUS-M 542</v>
          </cell>
          <cell r="K11564" t="str">
            <v>O'Brien,Kerry</v>
          </cell>
          <cell r="N11564">
            <v>3.2</v>
          </cell>
          <cell r="O11564">
            <v>3.722</v>
          </cell>
        </row>
        <row r="11565">
          <cell r="E11565" t="str">
            <v>MUS</v>
          </cell>
          <cell r="F11565" t="str">
            <v xml:space="preserve">MUS-M </v>
          </cell>
          <cell r="G11565">
            <v>542</v>
          </cell>
          <cell r="H11565" t="str">
            <v>MUS-M 542</v>
          </cell>
          <cell r="K11565" t="str">
            <v>Stauff,Derek L</v>
          </cell>
          <cell r="N11565">
            <v>2.8860000000000001</v>
          </cell>
          <cell r="O11565">
            <v>3.5830000000000002</v>
          </cell>
        </row>
        <row r="11566">
          <cell r="E11566" t="str">
            <v>MUS</v>
          </cell>
          <cell r="F11566" t="str">
            <v xml:space="preserve">MUS-M </v>
          </cell>
          <cell r="G11566">
            <v>543</v>
          </cell>
          <cell r="H11566" t="str">
            <v>MUS-M 543</v>
          </cell>
          <cell r="K11566" t="str">
            <v>Cartledge,David Owen</v>
          </cell>
          <cell r="N11566">
            <v>3.8439999999999999</v>
          </cell>
          <cell r="O11566">
            <v>3.8540000000000001</v>
          </cell>
        </row>
        <row r="11567">
          <cell r="E11567" t="str">
            <v>MUS</v>
          </cell>
          <cell r="F11567" t="str">
            <v xml:space="preserve">MUS-M </v>
          </cell>
          <cell r="G11567">
            <v>544</v>
          </cell>
          <cell r="H11567" t="str">
            <v>MUS-M 544</v>
          </cell>
          <cell r="K11567" t="str">
            <v>Cartledge,David Owen</v>
          </cell>
          <cell r="N11567">
            <v>3.83</v>
          </cell>
          <cell r="O11567">
            <v>3.831</v>
          </cell>
        </row>
        <row r="11568">
          <cell r="E11568" t="str">
            <v>MUS</v>
          </cell>
          <cell r="F11568" t="str">
            <v xml:space="preserve">MUS-M </v>
          </cell>
          <cell r="G11568">
            <v>547</v>
          </cell>
          <cell r="H11568" t="str">
            <v>MUS-M 547</v>
          </cell>
          <cell r="K11568" t="str">
            <v>Ludwig,William Ernest</v>
          </cell>
          <cell r="N11568" t="str">
            <v>NR</v>
          </cell>
          <cell r="O11568" t="str">
            <v>NR</v>
          </cell>
        </row>
        <row r="11569">
          <cell r="E11569" t="str">
            <v>MUS</v>
          </cell>
          <cell r="F11569" t="str">
            <v xml:space="preserve">MUS-M </v>
          </cell>
          <cell r="G11569">
            <v>547</v>
          </cell>
          <cell r="H11569" t="str">
            <v>MUS-M 547</v>
          </cell>
          <cell r="K11569" t="str">
            <v>Ludwig,William Ernest</v>
          </cell>
          <cell r="N11569" t="str">
            <v>NR</v>
          </cell>
          <cell r="O11569" t="str">
            <v>NR</v>
          </cell>
        </row>
        <row r="11570">
          <cell r="E11570" t="str">
            <v>MUS</v>
          </cell>
          <cell r="F11570" t="str">
            <v xml:space="preserve">MUS-M </v>
          </cell>
          <cell r="G11570">
            <v>548</v>
          </cell>
          <cell r="H11570" t="str">
            <v>MUS-M 548</v>
          </cell>
          <cell r="K11570" t="str">
            <v>Ludwig,William Ernest</v>
          </cell>
          <cell r="N11570" t="str">
            <v>NR</v>
          </cell>
          <cell r="O11570" t="str">
            <v>NR</v>
          </cell>
        </row>
        <row r="11571">
          <cell r="E11571" t="str">
            <v>MUS</v>
          </cell>
          <cell r="F11571" t="str">
            <v xml:space="preserve">MUS-M </v>
          </cell>
          <cell r="G11571">
            <v>548</v>
          </cell>
          <cell r="H11571" t="str">
            <v>MUS-M 548</v>
          </cell>
          <cell r="K11571" t="str">
            <v>Ludwig,William Ernest</v>
          </cell>
          <cell r="N11571" t="str">
            <v>NR</v>
          </cell>
          <cell r="O11571" t="str">
            <v>NR</v>
          </cell>
        </row>
        <row r="11572">
          <cell r="E11572" t="str">
            <v>MUS</v>
          </cell>
          <cell r="F11572" t="str">
            <v xml:space="preserve">MUS-M </v>
          </cell>
          <cell r="G11572">
            <v>550</v>
          </cell>
          <cell r="H11572" t="str">
            <v>MUS-M 550</v>
          </cell>
          <cell r="K11572" t="str">
            <v>Arad,Atar</v>
          </cell>
          <cell r="N11572" t="str">
            <v>NR</v>
          </cell>
          <cell r="O11572" t="str">
            <v>NR</v>
          </cell>
        </row>
        <row r="11573">
          <cell r="E11573" t="str">
            <v>MUS</v>
          </cell>
          <cell r="F11573" t="str">
            <v xml:space="preserve">MUS-M </v>
          </cell>
          <cell r="G11573">
            <v>550</v>
          </cell>
          <cell r="H11573" t="str">
            <v>MUS-M 550</v>
          </cell>
          <cell r="K11573" t="str">
            <v>Colon,Emilio W.</v>
          </cell>
          <cell r="N11573" t="str">
            <v>NR</v>
          </cell>
          <cell r="O11573" t="str">
            <v>NR</v>
          </cell>
        </row>
        <row r="11574">
          <cell r="E11574" t="str">
            <v>MUS</v>
          </cell>
          <cell r="F11574" t="str">
            <v xml:space="preserve">MUS-M </v>
          </cell>
          <cell r="G11574">
            <v>550</v>
          </cell>
          <cell r="H11574" t="str">
            <v>MUS-M 550</v>
          </cell>
          <cell r="K11574" t="str">
            <v>Fleezanis,Jorja</v>
          </cell>
          <cell r="N11574" t="str">
            <v>NR</v>
          </cell>
          <cell r="O11574" t="str">
            <v>NR</v>
          </cell>
        </row>
        <row r="11575">
          <cell r="E11575" t="str">
            <v>MUS</v>
          </cell>
          <cell r="F11575" t="str">
            <v xml:space="preserve">MUS-M </v>
          </cell>
          <cell r="G11575">
            <v>550</v>
          </cell>
          <cell r="H11575" t="str">
            <v>MUS-M 550</v>
          </cell>
          <cell r="K11575" t="str">
            <v>Fleezanis,Jorja</v>
          </cell>
          <cell r="N11575" t="str">
            <v>NR</v>
          </cell>
          <cell r="O11575" t="str">
            <v>NR</v>
          </cell>
        </row>
        <row r="11576">
          <cell r="E11576" t="str">
            <v>MUS</v>
          </cell>
          <cell r="F11576" t="str">
            <v xml:space="preserve">MUS-M </v>
          </cell>
          <cell r="G11576">
            <v>550</v>
          </cell>
          <cell r="H11576" t="str">
            <v>MUS-M 550</v>
          </cell>
          <cell r="K11576" t="str">
            <v>Fuks,Mauricio</v>
          </cell>
          <cell r="N11576" t="str">
            <v>NR</v>
          </cell>
          <cell r="O11576" t="str">
            <v>NR</v>
          </cell>
        </row>
        <row r="11577">
          <cell r="E11577" t="str">
            <v>MUS</v>
          </cell>
          <cell r="F11577" t="str">
            <v xml:space="preserve">MUS-M </v>
          </cell>
          <cell r="G11577">
            <v>550</v>
          </cell>
          <cell r="H11577" t="str">
            <v>MUS-M 550</v>
          </cell>
          <cell r="K11577" t="str">
            <v>Fuks,Mauricio</v>
          </cell>
          <cell r="N11577" t="str">
            <v>NR</v>
          </cell>
          <cell r="O11577" t="str">
            <v>NR</v>
          </cell>
        </row>
        <row r="11578">
          <cell r="E11578" t="str">
            <v>MUS</v>
          </cell>
          <cell r="F11578" t="str">
            <v xml:space="preserve">MUS-M </v>
          </cell>
          <cell r="G11578">
            <v>550</v>
          </cell>
          <cell r="H11578" t="str">
            <v>MUS-M 550</v>
          </cell>
          <cell r="K11578" t="str">
            <v>Kaplan,Mark</v>
          </cell>
          <cell r="N11578" t="str">
            <v>NR</v>
          </cell>
          <cell r="O11578" t="str">
            <v>NR</v>
          </cell>
        </row>
        <row r="11579">
          <cell r="E11579" t="str">
            <v>MUS</v>
          </cell>
          <cell r="F11579" t="str">
            <v xml:space="preserve">MUS-M </v>
          </cell>
          <cell r="G11579">
            <v>550</v>
          </cell>
          <cell r="H11579" t="str">
            <v>MUS-M 550</v>
          </cell>
          <cell r="K11579" t="str">
            <v>Kaplan,Mark</v>
          </cell>
          <cell r="N11579" t="str">
            <v>NR</v>
          </cell>
          <cell r="O11579" t="str">
            <v>NR</v>
          </cell>
        </row>
        <row r="11580">
          <cell r="E11580" t="str">
            <v>MUS</v>
          </cell>
          <cell r="F11580" t="str">
            <v xml:space="preserve">MUS-M </v>
          </cell>
          <cell r="G11580">
            <v>550</v>
          </cell>
          <cell r="H11580" t="str">
            <v>MUS-M 550</v>
          </cell>
          <cell r="K11580" t="str">
            <v>Ritchie,Stanley</v>
          </cell>
          <cell r="N11580" t="str">
            <v>NR</v>
          </cell>
          <cell r="O11580" t="str">
            <v>NR</v>
          </cell>
        </row>
        <row r="11581">
          <cell r="E11581" t="str">
            <v>MUS</v>
          </cell>
          <cell r="F11581" t="str">
            <v xml:space="preserve">MUS-M </v>
          </cell>
          <cell r="G11581">
            <v>550</v>
          </cell>
          <cell r="H11581" t="str">
            <v>MUS-M 550</v>
          </cell>
          <cell r="K11581" t="str">
            <v>Stumpf,Peter Daniel</v>
          </cell>
          <cell r="N11581" t="str">
            <v>NR</v>
          </cell>
          <cell r="O11581" t="str">
            <v>NR</v>
          </cell>
        </row>
        <row r="11582">
          <cell r="E11582" t="str">
            <v>MUS</v>
          </cell>
          <cell r="F11582" t="str">
            <v xml:space="preserve">MUS-M </v>
          </cell>
          <cell r="G11582">
            <v>550</v>
          </cell>
          <cell r="H11582" t="str">
            <v>MUS-M 550</v>
          </cell>
          <cell r="K11582" t="str">
            <v>Zweig,Mimi H</v>
          </cell>
          <cell r="N11582" t="str">
            <v>NR</v>
          </cell>
          <cell r="O11582" t="str">
            <v>NR</v>
          </cell>
        </row>
        <row r="11583">
          <cell r="E11583" t="str">
            <v>MUS</v>
          </cell>
          <cell r="F11583" t="str">
            <v xml:space="preserve">MUS-M </v>
          </cell>
          <cell r="G11583">
            <v>551</v>
          </cell>
          <cell r="H11583" t="str">
            <v>MUS-M 551</v>
          </cell>
          <cell r="K11583" t="str">
            <v>Melamed,Daniel R.</v>
          </cell>
          <cell r="N11583" t="str">
            <v>NR</v>
          </cell>
          <cell r="O11583" t="str">
            <v>NR</v>
          </cell>
        </row>
        <row r="11584">
          <cell r="E11584" t="str">
            <v>MUS</v>
          </cell>
          <cell r="F11584" t="str">
            <v xml:space="preserve">MUS-M </v>
          </cell>
          <cell r="G11584">
            <v>551</v>
          </cell>
          <cell r="H11584" t="str">
            <v>MUS-M 551</v>
          </cell>
          <cell r="K11584" t="str">
            <v>Melamed,Daniel R.</v>
          </cell>
          <cell r="N11584" t="str">
            <v>NR</v>
          </cell>
          <cell r="O11584" t="str">
            <v>NR</v>
          </cell>
        </row>
        <row r="11585">
          <cell r="E11585" t="str">
            <v>MUS</v>
          </cell>
          <cell r="F11585" t="str">
            <v xml:space="preserve">MUS-M </v>
          </cell>
          <cell r="G11585">
            <v>555</v>
          </cell>
          <cell r="H11585" t="str">
            <v>MUS-M 555</v>
          </cell>
          <cell r="K11585" t="str">
            <v>Gray,William Jon</v>
          </cell>
          <cell r="N11585" t="str">
            <v>NR</v>
          </cell>
          <cell r="O11585" t="str">
            <v>NR</v>
          </cell>
        </row>
        <row r="11586">
          <cell r="E11586" t="str">
            <v>MUS</v>
          </cell>
          <cell r="F11586" t="str">
            <v xml:space="preserve">MUS-M </v>
          </cell>
          <cell r="G11586">
            <v>556</v>
          </cell>
          <cell r="H11586" t="str">
            <v>MUS-M 556</v>
          </cell>
          <cell r="K11586" t="str">
            <v>Burkholder,J. Peter</v>
          </cell>
          <cell r="N11586" t="str">
            <v>NR</v>
          </cell>
          <cell r="O11586" t="str">
            <v>NR</v>
          </cell>
        </row>
        <row r="11587">
          <cell r="E11587" t="str">
            <v>MUS</v>
          </cell>
          <cell r="F11587" t="str">
            <v xml:space="preserve">MUS-M </v>
          </cell>
          <cell r="G11587">
            <v>558</v>
          </cell>
          <cell r="H11587" t="str">
            <v>MUS-M 558</v>
          </cell>
          <cell r="K11587" t="str">
            <v>Gillespie,Wendy</v>
          </cell>
          <cell r="N11587" t="str">
            <v>NR</v>
          </cell>
          <cell r="O11587" t="str">
            <v>NR</v>
          </cell>
        </row>
        <row r="11588">
          <cell r="E11588" t="str">
            <v>MUS</v>
          </cell>
          <cell r="F11588" t="str">
            <v xml:space="preserve">MUS-M </v>
          </cell>
          <cell r="G11588">
            <v>558</v>
          </cell>
          <cell r="H11588" t="str">
            <v>MUS-M 558</v>
          </cell>
          <cell r="K11588" t="str">
            <v>Gillespie,Wendy</v>
          </cell>
          <cell r="N11588" t="str">
            <v>NR</v>
          </cell>
          <cell r="O11588" t="str">
            <v>NR</v>
          </cell>
        </row>
        <row r="11589">
          <cell r="E11589" t="str">
            <v>MUS</v>
          </cell>
          <cell r="F11589" t="str">
            <v xml:space="preserve">MUS-M </v>
          </cell>
          <cell r="G11589">
            <v>558</v>
          </cell>
          <cell r="H11589" t="str">
            <v>MUS-M 558</v>
          </cell>
          <cell r="K11589" t="str">
            <v>Gillespie,Wendy</v>
          </cell>
          <cell r="N11589" t="str">
            <v>NR</v>
          </cell>
          <cell r="O11589" t="str">
            <v>NR</v>
          </cell>
        </row>
        <row r="11590">
          <cell r="E11590" t="str">
            <v>MUS</v>
          </cell>
          <cell r="F11590" t="str">
            <v xml:space="preserve">MUS-M </v>
          </cell>
          <cell r="G11590">
            <v>558</v>
          </cell>
          <cell r="H11590" t="str">
            <v>MUS-M 558</v>
          </cell>
          <cell r="K11590" t="str">
            <v>Gillespie,Wendy</v>
          </cell>
          <cell r="N11590" t="str">
            <v>NR</v>
          </cell>
          <cell r="O11590" t="str">
            <v>NR</v>
          </cell>
        </row>
        <row r="11591">
          <cell r="E11591" t="str">
            <v>MUS</v>
          </cell>
          <cell r="F11591" t="str">
            <v xml:space="preserve">MUS-M </v>
          </cell>
          <cell r="G11591">
            <v>558</v>
          </cell>
          <cell r="H11591" t="str">
            <v>MUS-M 558</v>
          </cell>
          <cell r="K11591" t="str">
            <v>Hoeprich,Eric Eric</v>
          </cell>
          <cell r="N11591" t="str">
            <v>NR</v>
          </cell>
          <cell r="O11591" t="str">
            <v>NR</v>
          </cell>
        </row>
        <row r="11592">
          <cell r="E11592" t="str">
            <v>MUS</v>
          </cell>
          <cell r="F11592" t="str">
            <v xml:space="preserve">MUS-M </v>
          </cell>
          <cell r="G11592">
            <v>558</v>
          </cell>
          <cell r="H11592" t="str">
            <v>MUS-M 558</v>
          </cell>
          <cell r="K11592" t="str">
            <v>Kallaur,Barbara</v>
          </cell>
          <cell r="N11592" t="str">
            <v>NR</v>
          </cell>
          <cell r="O11592" t="str">
            <v>NR</v>
          </cell>
        </row>
        <row r="11593">
          <cell r="E11593" t="str">
            <v>MUS</v>
          </cell>
          <cell r="F11593" t="str">
            <v xml:space="preserve">MUS-M </v>
          </cell>
          <cell r="G11593">
            <v>558</v>
          </cell>
          <cell r="H11593" t="str">
            <v>MUS-M 558</v>
          </cell>
          <cell r="K11593" t="str">
            <v>Kallaur,Barbara</v>
          </cell>
          <cell r="N11593" t="str">
            <v>NR</v>
          </cell>
          <cell r="O11593" t="str">
            <v>NR</v>
          </cell>
        </row>
        <row r="11594">
          <cell r="E11594" t="str">
            <v>MUS</v>
          </cell>
          <cell r="F11594" t="str">
            <v xml:space="preserve">MUS-M </v>
          </cell>
          <cell r="G11594">
            <v>558</v>
          </cell>
          <cell r="H11594" t="str">
            <v>MUS-M 558</v>
          </cell>
          <cell r="K11594" t="str">
            <v>McCraw,Michael</v>
          </cell>
          <cell r="N11594" t="str">
            <v>NR</v>
          </cell>
          <cell r="O11594" t="str">
            <v>NR</v>
          </cell>
        </row>
        <row r="11595">
          <cell r="E11595" t="str">
            <v>MUS</v>
          </cell>
          <cell r="F11595" t="str">
            <v xml:space="preserve">MUS-M </v>
          </cell>
          <cell r="G11595">
            <v>558</v>
          </cell>
          <cell r="H11595" t="str">
            <v>MUS-M 558</v>
          </cell>
          <cell r="K11595" t="str">
            <v>McCraw,Michael</v>
          </cell>
          <cell r="N11595" t="str">
            <v>NR</v>
          </cell>
          <cell r="O11595" t="str">
            <v>NR</v>
          </cell>
        </row>
        <row r="11596">
          <cell r="E11596" t="str">
            <v>MUS</v>
          </cell>
          <cell r="F11596" t="str">
            <v xml:space="preserve">MUS-M </v>
          </cell>
          <cell r="G11596">
            <v>558</v>
          </cell>
          <cell r="H11596" t="str">
            <v>MUS-M 558</v>
          </cell>
          <cell r="K11596" t="str">
            <v>Pearse,Linda</v>
          </cell>
          <cell r="N11596" t="str">
            <v>NR</v>
          </cell>
          <cell r="O11596" t="str">
            <v>NR</v>
          </cell>
        </row>
        <row r="11597">
          <cell r="E11597" t="str">
            <v>MUS</v>
          </cell>
          <cell r="F11597" t="str">
            <v xml:space="preserve">MUS-M </v>
          </cell>
          <cell r="G11597">
            <v>558</v>
          </cell>
          <cell r="H11597" t="str">
            <v>MUS-M 558</v>
          </cell>
          <cell r="K11597" t="str">
            <v>Pearse,Linda</v>
          </cell>
          <cell r="N11597" t="str">
            <v>NR</v>
          </cell>
          <cell r="O11597" t="str">
            <v>NR</v>
          </cell>
        </row>
        <row r="11598">
          <cell r="E11598" t="str">
            <v>MUS</v>
          </cell>
          <cell r="F11598" t="str">
            <v xml:space="preserve">MUS-M </v>
          </cell>
          <cell r="G11598">
            <v>562</v>
          </cell>
          <cell r="H11598" t="str">
            <v>MUS-M 562</v>
          </cell>
          <cell r="K11598" t="str">
            <v>Liotta,Vincent Joseph</v>
          </cell>
          <cell r="N11598" t="str">
            <v>NR</v>
          </cell>
          <cell r="O11598" t="str">
            <v>NR</v>
          </cell>
        </row>
        <row r="11599">
          <cell r="E11599" t="str">
            <v>MUS</v>
          </cell>
          <cell r="F11599" t="str">
            <v xml:space="preserve">MUS-M </v>
          </cell>
          <cell r="G11599">
            <v>563</v>
          </cell>
          <cell r="H11599" t="str">
            <v>MUS-M 563</v>
          </cell>
          <cell r="K11599" t="str">
            <v>Liotta,Vincent Joseph</v>
          </cell>
          <cell r="N11599" t="str">
            <v>NR</v>
          </cell>
          <cell r="O11599" t="str">
            <v>NR</v>
          </cell>
        </row>
        <row r="11600">
          <cell r="E11600" t="str">
            <v>MUS</v>
          </cell>
          <cell r="F11600" t="str">
            <v xml:space="preserve">MUS-M </v>
          </cell>
          <cell r="G11600">
            <v>565</v>
          </cell>
          <cell r="H11600" t="str">
            <v>MUS-M 565</v>
          </cell>
          <cell r="K11600" t="str">
            <v>Gray,William Jon</v>
          </cell>
          <cell r="N11600" t="str">
            <v>NR</v>
          </cell>
          <cell r="O11600" t="str">
            <v>NR</v>
          </cell>
        </row>
        <row r="11601">
          <cell r="E11601" t="str">
            <v>MUS</v>
          </cell>
          <cell r="F11601" t="str">
            <v xml:space="preserve">MUS-M </v>
          </cell>
          <cell r="G11601">
            <v>565</v>
          </cell>
          <cell r="H11601" t="str">
            <v>MUS-M 565</v>
          </cell>
          <cell r="K11601" t="str">
            <v>Tellez,Carmen</v>
          </cell>
          <cell r="N11601" t="str">
            <v>NR</v>
          </cell>
          <cell r="O11601" t="str">
            <v>NR</v>
          </cell>
        </row>
        <row r="11602">
          <cell r="E11602" t="str">
            <v>MUS</v>
          </cell>
          <cell r="F11602" t="str">
            <v xml:space="preserve">MUS-M </v>
          </cell>
          <cell r="G11602">
            <v>571</v>
          </cell>
          <cell r="H11602" t="str">
            <v>MUS-M 571</v>
          </cell>
          <cell r="K11602" t="str">
            <v>Effron,David Louis</v>
          </cell>
          <cell r="N11602" t="str">
            <v>NR</v>
          </cell>
          <cell r="O11602" t="str">
            <v>NR</v>
          </cell>
        </row>
        <row r="11603">
          <cell r="E11603" t="str">
            <v>MUS</v>
          </cell>
          <cell r="F11603" t="str">
            <v xml:space="preserve">MUS-M </v>
          </cell>
          <cell r="G11603">
            <v>572</v>
          </cell>
          <cell r="H11603" t="str">
            <v>MUS-M 572</v>
          </cell>
          <cell r="K11603" t="str">
            <v>Effron,David Louis</v>
          </cell>
          <cell r="N11603" t="str">
            <v>NR</v>
          </cell>
          <cell r="O11603" t="str">
            <v>NR</v>
          </cell>
        </row>
        <row r="11604">
          <cell r="E11604" t="str">
            <v>MUS</v>
          </cell>
          <cell r="F11604" t="str">
            <v xml:space="preserve">MUS-M </v>
          </cell>
          <cell r="G11604">
            <v>579</v>
          </cell>
          <cell r="H11604" t="str">
            <v>MUS-M 579</v>
          </cell>
          <cell r="K11604" t="str">
            <v>Pratt,Stephen Wayne</v>
          </cell>
          <cell r="N11604" t="str">
            <v>NR</v>
          </cell>
          <cell r="O11604" t="str">
            <v>NR</v>
          </cell>
        </row>
        <row r="11605">
          <cell r="E11605" t="str">
            <v>MUS</v>
          </cell>
          <cell r="F11605" t="str">
            <v xml:space="preserve">MUS-M </v>
          </cell>
          <cell r="G11605">
            <v>579</v>
          </cell>
          <cell r="H11605" t="str">
            <v>MUS-M 579</v>
          </cell>
          <cell r="K11605" t="str">
            <v>Pratt,Stephen Wayne</v>
          </cell>
          <cell r="N11605" t="str">
            <v>NR</v>
          </cell>
          <cell r="O11605" t="str">
            <v>NR</v>
          </cell>
        </row>
        <row r="11606">
          <cell r="E11606" t="str">
            <v>MUS</v>
          </cell>
          <cell r="F11606" t="str">
            <v xml:space="preserve">MUS-M </v>
          </cell>
          <cell r="G11606">
            <v>583</v>
          </cell>
          <cell r="H11606" t="str">
            <v>MUS-M 583</v>
          </cell>
          <cell r="K11606" t="str">
            <v>Baker,David N.</v>
          </cell>
          <cell r="N11606">
            <v>3.4710000000000001</v>
          </cell>
          <cell r="O11606">
            <v>3.7450000000000001</v>
          </cell>
        </row>
        <row r="11607">
          <cell r="E11607" t="str">
            <v>MUS</v>
          </cell>
          <cell r="F11607" t="str">
            <v xml:space="preserve">MUS-M </v>
          </cell>
          <cell r="G11607">
            <v>584</v>
          </cell>
          <cell r="H11607" t="str">
            <v>MUS-M 584</v>
          </cell>
          <cell r="K11607" t="str">
            <v>Baker,David N.</v>
          </cell>
          <cell r="N11607" t="str">
            <v>NR</v>
          </cell>
          <cell r="O11607" t="str">
            <v>NR</v>
          </cell>
        </row>
        <row r="11608">
          <cell r="E11608" t="str">
            <v>MUS</v>
          </cell>
          <cell r="F11608" t="str">
            <v xml:space="preserve">MUS-M </v>
          </cell>
          <cell r="G11608">
            <v>592</v>
          </cell>
          <cell r="H11608" t="str">
            <v>MUS-M 592</v>
          </cell>
          <cell r="K11608" t="str">
            <v>Harbison,Patrick Lewis</v>
          </cell>
          <cell r="N11608">
            <v>3.9</v>
          </cell>
          <cell r="O11608">
            <v>3.7629999999999999</v>
          </cell>
        </row>
        <row r="11609">
          <cell r="E11609" t="str">
            <v>MUS</v>
          </cell>
          <cell r="F11609" t="str">
            <v xml:space="preserve">MUS-M </v>
          </cell>
          <cell r="G11609">
            <v>593</v>
          </cell>
          <cell r="H11609" t="str">
            <v>MUS-M 593</v>
          </cell>
          <cell r="K11609" t="str">
            <v>Harbison,Patrick Lewis</v>
          </cell>
          <cell r="N11609">
            <v>3.8159999999999998</v>
          </cell>
          <cell r="O11609">
            <v>3.8079999999999998</v>
          </cell>
        </row>
        <row r="11610">
          <cell r="E11610" t="str">
            <v>MUS</v>
          </cell>
          <cell r="F11610" t="str">
            <v xml:space="preserve">MUS-M </v>
          </cell>
          <cell r="G11610">
            <v>594</v>
          </cell>
          <cell r="H11610" t="str">
            <v>MUS-M 594</v>
          </cell>
          <cell r="K11610" t="str">
            <v>Wallarab,Brent Kenneth</v>
          </cell>
          <cell r="N11610">
            <v>4</v>
          </cell>
          <cell r="O11610">
            <v>3.8450000000000002</v>
          </cell>
        </row>
        <row r="11611">
          <cell r="E11611" t="str">
            <v>MUS</v>
          </cell>
          <cell r="F11611" t="str">
            <v xml:space="preserve">MUS-M </v>
          </cell>
          <cell r="G11611">
            <v>602</v>
          </cell>
          <cell r="H11611" t="str">
            <v>MUS-M 602</v>
          </cell>
          <cell r="K11611" t="str">
            <v>Freeze,Timothy David</v>
          </cell>
          <cell r="N11611">
            <v>3.9569999999999999</v>
          </cell>
          <cell r="O11611">
            <v>3.9780000000000002</v>
          </cell>
        </row>
        <row r="11612">
          <cell r="E11612" t="str">
            <v>MUS</v>
          </cell>
          <cell r="F11612" t="str">
            <v xml:space="preserve">MUS-M </v>
          </cell>
          <cell r="G11612">
            <v>602</v>
          </cell>
          <cell r="H11612" t="str">
            <v>MUS-M 602</v>
          </cell>
          <cell r="K11612" t="str">
            <v>Long,Michael Paul</v>
          </cell>
          <cell r="N11612" t="str">
            <v>NR</v>
          </cell>
          <cell r="O11612" t="str">
            <v>NR</v>
          </cell>
        </row>
        <row r="11613">
          <cell r="E11613" t="str">
            <v>MUS</v>
          </cell>
          <cell r="F11613" t="str">
            <v xml:space="preserve">MUS-M </v>
          </cell>
          <cell r="G11613">
            <v>602</v>
          </cell>
          <cell r="H11613" t="str">
            <v>MUS-M 602</v>
          </cell>
          <cell r="K11613" t="str">
            <v>Melamed,Daniel R.</v>
          </cell>
          <cell r="N11613" t="str">
            <v>NR</v>
          </cell>
          <cell r="O11613" t="str">
            <v>NR</v>
          </cell>
        </row>
        <row r="11614">
          <cell r="E11614" t="str">
            <v>MUS</v>
          </cell>
          <cell r="F11614" t="str">
            <v xml:space="preserve">MUS-M </v>
          </cell>
          <cell r="G11614">
            <v>602</v>
          </cell>
          <cell r="H11614" t="str">
            <v>MUS-M 602</v>
          </cell>
          <cell r="K11614" t="str">
            <v>Muxfeldt,Kristina</v>
          </cell>
          <cell r="N11614">
            <v>3.84</v>
          </cell>
          <cell r="O11614">
            <v>3.9510000000000001</v>
          </cell>
        </row>
        <row r="11615">
          <cell r="E11615" t="str">
            <v>MUS</v>
          </cell>
          <cell r="F11615" t="str">
            <v xml:space="preserve">MUS-M </v>
          </cell>
          <cell r="G11615">
            <v>603</v>
          </cell>
          <cell r="H11615" t="str">
            <v>MUS-M 603</v>
          </cell>
          <cell r="K11615" t="str">
            <v>Ossi,Massimo M.</v>
          </cell>
          <cell r="N11615" t="str">
            <v>NR</v>
          </cell>
          <cell r="O11615" t="str">
            <v>NR</v>
          </cell>
        </row>
        <row r="11616">
          <cell r="E11616" t="str">
            <v>MUS</v>
          </cell>
          <cell r="F11616" t="str">
            <v xml:space="preserve">MUS-M </v>
          </cell>
          <cell r="G11616">
            <v>603</v>
          </cell>
          <cell r="H11616" t="str">
            <v>MUS-M 603</v>
          </cell>
          <cell r="K11616" t="str">
            <v>Smith,Ayana Okeeva</v>
          </cell>
          <cell r="N11616" t="str">
            <v>NR</v>
          </cell>
          <cell r="O11616" t="str">
            <v>NR</v>
          </cell>
        </row>
        <row r="11617">
          <cell r="E11617" t="str">
            <v>MUS</v>
          </cell>
          <cell r="F11617" t="str">
            <v xml:space="preserve">MUS-M </v>
          </cell>
          <cell r="G11617">
            <v>620</v>
          </cell>
          <cell r="H11617" t="str">
            <v>MUS-M 620</v>
          </cell>
          <cell r="K11617" t="str">
            <v>Isaacson,Eric John</v>
          </cell>
          <cell r="N11617" t="str">
            <v>NR</v>
          </cell>
          <cell r="O11617" t="str">
            <v>NR</v>
          </cell>
        </row>
        <row r="11618">
          <cell r="E11618" t="str">
            <v>MUS</v>
          </cell>
          <cell r="F11618" t="str">
            <v xml:space="preserve">MUS-M </v>
          </cell>
          <cell r="G11618">
            <v>620</v>
          </cell>
          <cell r="H11618" t="str">
            <v>MUS-M 620</v>
          </cell>
          <cell r="K11618" t="str">
            <v>Isaacson,Eric John</v>
          </cell>
          <cell r="N11618" t="str">
            <v>NR</v>
          </cell>
          <cell r="O11618" t="str">
            <v>NR</v>
          </cell>
        </row>
        <row r="11619">
          <cell r="E11619" t="str">
            <v>MUS</v>
          </cell>
          <cell r="F11619" t="str">
            <v xml:space="preserve">MUS-M </v>
          </cell>
          <cell r="G11619">
            <v>620</v>
          </cell>
          <cell r="H11619" t="str">
            <v>MUS-M 620</v>
          </cell>
          <cell r="K11619" t="str">
            <v>Isaacson,Eric John</v>
          </cell>
          <cell r="N11619" t="str">
            <v>NR</v>
          </cell>
          <cell r="O11619" t="str">
            <v>NR</v>
          </cell>
        </row>
        <row r="11620">
          <cell r="E11620" t="str">
            <v>MUS</v>
          </cell>
          <cell r="F11620" t="str">
            <v xml:space="preserve">MUS-M </v>
          </cell>
          <cell r="G11620">
            <v>620</v>
          </cell>
          <cell r="H11620" t="str">
            <v>MUS-M 620</v>
          </cell>
          <cell r="K11620" t="str">
            <v>Isaacson,Eric John</v>
          </cell>
          <cell r="N11620" t="str">
            <v>NR</v>
          </cell>
          <cell r="O11620" t="str">
            <v>NR</v>
          </cell>
        </row>
        <row r="11621">
          <cell r="E11621" t="str">
            <v>MUS</v>
          </cell>
          <cell r="F11621" t="str">
            <v xml:space="preserve">MUS-M </v>
          </cell>
          <cell r="G11621">
            <v>621</v>
          </cell>
          <cell r="H11621" t="str">
            <v>MUS-M 621</v>
          </cell>
          <cell r="K11621" t="str">
            <v>Isaacson,Eric John</v>
          </cell>
          <cell r="N11621" t="str">
            <v>NR</v>
          </cell>
          <cell r="O11621" t="str">
            <v>NR</v>
          </cell>
        </row>
        <row r="11622">
          <cell r="E11622" t="str">
            <v>MUS</v>
          </cell>
          <cell r="F11622" t="str">
            <v xml:space="preserve">MUS-M </v>
          </cell>
          <cell r="G11622">
            <v>621</v>
          </cell>
          <cell r="H11622" t="str">
            <v>MUS-M 621</v>
          </cell>
          <cell r="K11622" t="str">
            <v>Isaacson,Eric John</v>
          </cell>
          <cell r="N11622" t="str">
            <v>NR</v>
          </cell>
          <cell r="O11622" t="str">
            <v>NR</v>
          </cell>
        </row>
        <row r="11623">
          <cell r="E11623" t="str">
            <v>MUS</v>
          </cell>
          <cell r="F11623" t="str">
            <v xml:space="preserve">MUS-M </v>
          </cell>
          <cell r="G11623">
            <v>621</v>
          </cell>
          <cell r="H11623" t="str">
            <v>MUS-M 621</v>
          </cell>
          <cell r="K11623" t="str">
            <v>Isaacson,Eric John</v>
          </cell>
          <cell r="N11623" t="str">
            <v>NR</v>
          </cell>
          <cell r="O11623" t="str">
            <v>NR</v>
          </cell>
        </row>
        <row r="11624">
          <cell r="E11624" t="str">
            <v>MUS</v>
          </cell>
          <cell r="F11624" t="str">
            <v xml:space="preserve">MUS-M </v>
          </cell>
          <cell r="G11624">
            <v>621</v>
          </cell>
          <cell r="H11624" t="str">
            <v>MUS-M 621</v>
          </cell>
          <cell r="K11624" t="str">
            <v>Isaacson,Eric John</v>
          </cell>
          <cell r="N11624" t="str">
            <v>NR</v>
          </cell>
          <cell r="O11624" t="str">
            <v>NR</v>
          </cell>
        </row>
        <row r="11625">
          <cell r="E11625" t="str">
            <v>MUS</v>
          </cell>
          <cell r="F11625" t="str">
            <v xml:space="preserve">MUS-M </v>
          </cell>
          <cell r="G11625">
            <v>627</v>
          </cell>
          <cell r="H11625" t="str">
            <v>MUS-M 627</v>
          </cell>
          <cell r="K11625" t="str">
            <v>Bitetti,Ernesto</v>
          </cell>
          <cell r="N11625" t="str">
            <v>NR</v>
          </cell>
          <cell r="O11625" t="str">
            <v>NR</v>
          </cell>
        </row>
        <row r="11626">
          <cell r="E11626" t="str">
            <v>MUS</v>
          </cell>
          <cell r="F11626" t="str">
            <v xml:space="preserve">MUS-M </v>
          </cell>
          <cell r="G11626">
            <v>628</v>
          </cell>
          <cell r="H11626" t="str">
            <v>MUS-M 628</v>
          </cell>
          <cell r="K11626" t="str">
            <v>Bitetti,Ernesto</v>
          </cell>
          <cell r="N11626" t="str">
            <v>NR</v>
          </cell>
          <cell r="O11626" t="str">
            <v>NR</v>
          </cell>
        </row>
        <row r="11627">
          <cell r="E11627" t="str">
            <v>MUS</v>
          </cell>
          <cell r="F11627" t="str">
            <v xml:space="preserve">MUS-M </v>
          </cell>
          <cell r="G11627">
            <v>635</v>
          </cell>
          <cell r="H11627" t="str">
            <v>MUS-M 635</v>
          </cell>
          <cell r="K11627" t="str">
            <v>Gillespie,Wendy</v>
          </cell>
          <cell r="N11627" t="str">
            <v>NR</v>
          </cell>
          <cell r="O11627" t="str">
            <v>NR</v>
          </cell>
        </row>
        <row r="11628">
          <cell r="E11628" t="str">
            <v>MUS</v>
          </cell>
          <cell r="F11628" t="str">
            <v xml:space="preserve">MUS-M </v>
          </cell>
          <cell r="G11628">
            <v>638</v>
          </cell>
          <cell r="H11628" t="str">
            <v>MUS-M 638</v>
          </cell>
          <cell r="K11628" t="str">
            <v>Tafoya,John Joseph</v>
          </cell>
          <cell r="N11628" t="str">
            <v>NR</v>
          </cell>
          <cell r="O11628" t="str">
            <v>NR</v>
          </cell>
        </row>
        <row r="11629">
          <cell r="E11629" t="str">
            <v>MUS</v>
          </cell>
          <cell r="F11629" t="str">
            <v xml:space="preserve">MUS-M </v>
          </cell>
          <cell r="G11629">
            <v>641</v>
          </cell>
          <cell r="H11629" t="str">
            <v>MUS-M 641</v>
          </cell>
          <cell r="K11629" t="str">
            <v>Seraphinoff,Richard M.</v>
          </cell>
          <cell r="N11629">
            <v>4</v>
          </cell>
          <cell r="O11629">
            <v>3.78</v>
          </cell>
        </row>
        <row r="11630">
          <cell r="E11630" t="str">
            <v>MUS</v>
          </cell>
          <cell r="F11630" t="str">
            <v xml:space="preserve">MUS-M </v>
          </cell>
          <cell r="G11630">
            <v>642</v>
          </cell>
          <cell r="H11630" t="str">
            <v>MUS-M 642</v>
          </cell>
          <cell r="K11630" t="str">
            <v>Seraphinoff,Richard M.</v>
          </cell>
          <cell r="N11630">
            <v>4</v>
          </cell>
          <cell r="O11630">
            <v>3.9329999999999998</v>
          </cell>
        </row>
        <row r="11631">
          <cell r="E11631" t="str">
            <v>MUS</v>
          </cell>
          <cell r="F11631" t="str">
            <v xml:space="preserve">MUS-M </v>
          </cell>
          <cell r="G11631">
            <v>643</v>
          </cell>
          <cell r="H11631" t="str">
            <v>MUS-M 643</v>
          </cell>
          <cell r="K11631" t="str">
            <v>McDonald,Susann</v>
          </cell>
          <cell r="N11631" t="str">
            <v>NR</v>
          </cell>
          <cell r="O11631" t="str">
            <v>NR</v>
          </cell>
        </row>
        <row r="11632">
          <cell r="E11632" t="str">
            <v>MUS</v>
          </cell>
          <cell r="F11632" t="str">
            <v xml:space="preserve">MUS-M </v>
          </cell>
          <cell r="G11632">
            <v>644</v>
          </cell>
          <cell r="H11632" t="str">
            <v>MUS-M 644</v>
          </cell>
          <cell r="K11632" t="str">
            <v>McDonald,Susann</v>
          </cell>
          <cell r="N11632" t="str">
            <v>NR</v>
          </cell>
          <cell r="O11632" t="str">
            <v>NR</v>
          </cell>
        </row>
        <row r="11633">
          <cell r="E11633" t="str">
            <v>MUS</v>
          </cell>
          <cell r="F11633" t="str">
            <v xml:space="preserve">MUS-M </v>
          </cell>
          <cell r="G11633">
            <v>644</v>
          </cell>
          <cell r="H11633" t="str">
            <v>MUS-M 644</v>
          </cell>
          <cell r="K11633" t="str">
            <v>McDonald,Susann</v>
          </cell>
          <cell r="N11633" t="str">
            <v>NR</v>
          </cell>
          <cell r="O11633" t="str">
            <v>NR</v>
          </cell>
        </row>
        <row r="11634">
          <cell r="E11634" t="str">
            <v>MUS</v>
          </cell>
          <cell r="F11634" t="str">
            <v xml:space="preserve">MUS-M </v>
          </cell>
          <cell r="G11634">
            <v>645</v>
          </cell>
          <cell r="H11634" t="str">
            <v>MUS-M 645</v>
          </cell>
          <cell r="K11634" t="str">
            <v>Naoumoff,Emile Gueorguiev</v>
          </cell>
          <cell r="N11634">
            <v>3.9249999999999998</v>
          </cell>
          <cell r="O11634">
            <v>3.8980000000000001</v>
          </cell>
        </row>
        <row r="11635">
          <cell r="E11635" t="str">
            <v>MUS</v>
          </cell>
          <cell r="F11635" t="str">
            <v xml:space="preserve">MUS-M </v>
          </cell>
          <cell r="G11635">
            <v>648</v>
          </cell>
          <cell r="H11635" t="str">
            <v>MUS-M 648</v>
          </cell>
          <cell r="K11635" t="str">
            <v>Haguenauer,Jean Louis</v>
          </cell>
          <cell r="N11635">
            <v>4</v>
          </cell>
          <cell r="O11635">
            <v>3.931</v>
          </cell>
        </row>
        <row r="11636">
          <cell r="E11636" t="str">
            <v>MUS</v>
          </cell>
          <cell r="F11636" t="str">
            <v xml:space="preserve">MUS-M </v>
          </cell>
          <cell r="G11636">
            <v>650</v>
          </cell>
          <cell r="H11636" t="str">
            <v>MUS-M 650</v>
          </cell>
          <cell r="K11636" t="str">
            <v>Ford,Philip</v>
          </cell>
          <cell r="N11636">
            <v>3.532</v>
          </cell>
          <cell r="O11636">
            <v>3.8109999999999999</v>
          </cell>
        </row>
        <row r="11637">
          <cell r="E11637" t="str">
            <v>MUS</v>
          </cell>
          <cell r="F11637" t="str">
            <v xml:space="preserve">MUS-M </v>
          </cell>
          <cell r="G11637">
            <v>651</v>
          </cell>
          <cell r="H11637" t="str">
            <v>MUS-M 651</v>
          </cell>
          <cell r="K11637" t="str">
            <v>Di Bacco,Giuliano</v>
          </cell>
          <cell r="N11637">
            <v>3.1070000000000002</v>
          </cell>
          <cell r="O11637">
            <v>3.7440000000000002</v>
          </cell>
        </row>
        <row r="11638">
          <cell r="E11638" t="str">
            <v>MUS</v>
          </cell>
          <cell r="F11638" t="str">
            <v xml:space="preserve">MUS-M </v>
          </cell>
          <cell r="G11638">
            <v>652</v>
          </cell>
          <cell r="H11638" t="str">
            <v>MUS-M 652</v>
          </cell>
          <cell r="K11638" t="str">
            <v>Zanovello,Giovanni</v>
          </cell>
          <cell r="N11638">
            <v>3.407</v>
          </cell>
          <cell r="O11638">
            <v>3.7959999999999998</v>
          </cell>
        </row>
        <row r="11639">
          <cell r="E11639" t="str">
            <v>MUS</v>
          </cell>
          <cell r="F11639" t="str">
            <v xml:space="preserve">MUS-M </v>
          </cell>
          <cell r="G11639">
            <v>653</v>
          </cell>
          <cell r="H11639" t="str">
            <v>MUS-M 653</v>
          </cell>
          <cell r="K11639" t="str">
            <v>Ossi,Massimo M.</v>
          </cell>
          <cell r="N11639">
            <v>3.69</v>
          </cell>
          <cell r="O11639">
            <v>3.782</v>
          </cell>
        </row>
        <row r="11640">
          <cell r="E11640" t="str">
            <v>MUS</v>
          </cell>
          <cell r="F11640" t="str">
            <v xml:space="preserve">MUS-M </v>
          </cell>
          <cell r="G11640">
            <v>654</v>
          </cell>
          <cell r="H11640" t="str">
            <v>MUS-M 654</v>
          </cell>
          <cell r="K11640" t="str">
            <v>Muxfeldt,Kristina</v>
          </cell>
          <cell r="N11640">
            <v>3.3130000000000002</v>
          </cell>
          <cell r="O11640">
            <v>3.6659999999999999</v>
          </cell>
        </row>
        <row r="11641">
          <cell r="E11641" t="str">
            <v>MUS</v>
          </cell>
          <cell r="F11641" t="str">
            <v xml:space="preserve">MUS-M </v>
          </cell>
          <cell r="G11641">
            <v>655</v>
          </cell>
          <cell r="H11641" t="str">
            <v>MUS-M 655</v>
          </cell>
          <cell r="K11641" t="str">
            <v>Goldberg,Halina</v>
          </cell>
          <cell r="N11641">
            <v>3.6680000000000001</v>
          </cell>
          <cell r="O11641">
            <v>3.8250000000000002</v>
          </cell>
        </row>
        <row r="11642">
          <cell r="E11642" t="str">
            <v>MUS</v>
          </cell>
          <cell r="F11642" t="str">
            <v xml:space="preserve">MUS-M </v>
          </cell>
          <cell r="G11642">
            <v>656</v>
          </cell>
          <cell r="H11642" t="str">
            <v>MUS-M 656</v>
          </cell>
          <cell r="K11642" t="str">
            <v>Ford,Philip</v>
          </cell>
          <cell r="N11642">
            <v>3.3330000000000002</v>
          </cell>
          <cell r="O11642">
            <v>3.7709999999999999</v>
          </cell>
        </row>
        <row r="11643">
          <cell r="E11643" t="str">
            <v>MUS</v>
          </cell>
          <cell r="F11643" t="str">
            <v xml:space="preserve">MUS-M </v>
          </cell>
          <cell r="G11643">
            <v>661</v>
          </cell>
          <cell r="H11643" t="str">
            <v>MUS-M 661</v>
          </cell>
          <cell r="K11643" t="str">
            <v>Tellez,Carmen</v>
          </cell>
          <cell r="N11643">
            <v>4</v>
          </cell>
          <cell r="O11643">
            <v>3.8809999999999998</v>
          </cell>
        </row>
        <row r="11644">
          <cell r="E11644" t="str">
            <v>MUS</v>
          </cell>
          <cell r="F11644" t="str">
            <v xml:space="preserve">MUS-M </v>
          </cell>
          <cell r="G11644">
            <v>663</v>
          </cell>
          <cell r="H11644" t="str">
            <v>MUS-M 663</v>
          </cell>
          <cell r="K11644" t="str">
            <v>Gray,William Jon</v>
          </cell>
          <cell r="N11644" t="str">
            <v>NR</v>
          </cell>
          <cell r="O11644" t="str">
            <v>NR</v>
          </cell>
        </row>
        <row r="11645">
          <cell r="E11645" t="str">
            <v>MUS</v>
          </cell>
          <cell r="F11645" t="str">
            <v xml:space="preserve">MUS-M </v>
          </cell>
          <cell r="G11645">
            <v>666</v>
          </cell>
          <cell r="H11645" t="str">
            <v>MUS-M 666</v>
          </cell>
          <cell r="K11645" t="str">
            <v>Strauss,Michael Isaac</v>
          </cell>
          <cell r="N11645">
            <v>3.7930000000000001</v>
          </cell>
          <cell r="O11645">
            <v>3.74</v>
          </cell>
        </row>
        <row r="11646">
          <cell r="E11646" t="str">
            <v>MUS</v>
          </cell>
          <cell r="F11646" t="str">
            <v xml:space="preserve">MUS-M </v>
          </cell>
          <cell r="G11646">
            <v>667</v>
          </cell>
          <cell r="H11646" t="str">
            <v>MUS-M 667</v>
          </cell>
          <cell r="K11646" t="str">
            <v>Colon,Emilio W.</v>
          </cell>
          <cell r="N11646">
            <v>3.95</v>
          </cell>
          <cell r="O11646">
            <v>3.9009999999999998</v>
          </cell>
        </row>
        <row r="11647">
          <cell r="E11647" t="str">
            <v>MUS</v>
          </cell>
          <cell r="F11647" t="str">
            <v xml:space="preserve">MUS-M </v>
          </cell>
          <cell r="G11647">
            <v>668</v>
          </cell>
          <cell r="H11647" t="str">
            <v>MUS-M 668</v>
          </cell>
          <cell r="K11647" t="str">
            <v>Contino,Adriana</v>
          </cell>
          <cell r="N11647" t="str">
            <v>NR</v>
          </cell>
          <cell r="O11647" t="str">
            <v>NR</v>
          </cell>
        </row>
        <row r="11648">
          <cell r="E11648" t="str">
            <v>MUS</v>
          </cell>
          <cell r="F11648" t="str">
            <v xml:space="preserve">MUS-M </v>
          </cell>
          <cell r="G11648">
            <v>672</v>
          </cell>
          <cell r="H11648" t="str">
            <v>MUS-M 672</v>
          </cell>
          <cell r="K11648" t="str">
            <v>Effron,David Louis</v>
          </cell>
          <cell r="N11648" t="str">
            <v>NR</v>
          </cell>
          <cell r="O11648" t="str">
            <v>NR</v>
          </cell>
        </row>
        <row r="11649">
          <cell r="E11649" t="str">
            <v>MUS</v>
          </cell>
          <cell r="F11649" t="str">
            <v xml:space="preserve">MUS-M </v>
          </cell>
          <cell r="G11649">
            <v>673</v>
          </cell>
          <cell r="H11649" t="str">
            <v>MUS-M 673</v>
          </cell>
          <cell r="K11649" t="str">
            <v>Effron,David Louis</v>
          </cell>
          <cell r="N11649" t="str">
            <v>NR</v>
          </cell>
          <cell r="O11649" t="str">
            <v>NR</v>
          </cell>
        </row>
        <row r="11650">
          <cell r="E11650" t="str">
            <v>MUS</v>
          </cell>
          <cell r="F11650" t="str">
            <v xml:space="preserve">MUS-M </v>
          </cell>
          <cell r="G11650">
            <v>675</v>
          </cell>
          <cell r="H11650" t="str">
            <v>MUS-M 675</v>
          </cell>
          <cell r="K11650" t="str">
            <v>Young,Christopher</v>
          </cell>
          <cell r="N11650" t="str">
            <v>NR</v>
          </cell>
          <cell r="O11650" t="str">
            <v>NR</v>
          </cell>
        </row>
        <row r="11651">
          <cell r="E11651" t="str">
            <v>MUS</v>
          </cell>
          <cell r="F11651" t="str">
            <v xml:space="preserve">MUS-M </v>
          </cell>
          <cell r="G11651">
            <v>676</v>
          </cell>
          <cell r="H11651" t="str">
            <v>MUS-M 676</v>
          </cell>
          <cell r="K11651" t="str">
            <v>Young,Christopher</v>
          </cell>
          <cell r="N11651">
            <v>3.8</v>
          </cell>
          <cell r="O11651">
            <v>3.907</v>
          </cell>
        </row>
        <row r="11652">
          <cell r="E11652" t="str">
            <v>MUS</v>
          </cell>
          <cell r="F11652" t="str">
            <v xml:space="preserve">MUS-M </v>
          </cell>
          <cell r="G11652">
            <v>679</v>
          </cell>
          <cell r="H11652" t="str">
            <v>MUS-M 679</v>
          </cell>
          <cell r="K11652" t="str">
            <v>Pratt,Stephen Wayne</v>
          </cell>
          <cell r="N11652" t="str">
            <v>NR</v>
          </cell>
          <cell r="O11652" t="str">
            <v>NR</v>
          </cell>
        </row>
        <row r="11653">
          <cell r="E11653" t="str">
            <v>MUS</v>
          </cell>
          <cell r="F11653" t="str">
            <v xml:space="preserve">MUS-M </v>
          </cell>
          <cell r="G11653">
            <v>679</v>
          </cell>
          <cell r="H11653" t="str">
            <v>MUS-M 679</v>
          </cell>
          <cell r="K11653" t="str">
            <v>Pratt,Stephen Wayne</v>
          </cell>
          <cell r="N11653" t="str">
            <v>NR</v>
          </cell>
          <cell r="O11653" t="str">
            <v>NR</v>
          </cell>
        </row>
        <row r="11654">
          <cell r="E11654" t="str">
            <v>MUS</v>
          </cell>
          <cell r="F11654" t="str">
            <v xml:space="preserve">MUS-M </v>
          </cell>
          <cell r="G11654">
            <v>685</v>
          </cell>
          <cell r="H11654" t="str">
            <v>MUS-M 685</v>
          </cell>
          <cell r="K11654" t="str">
            <v>Hart,Mary Ann</v>
          </cell>
          <cell r="N11654">
            <v>3.9820000000000002</v>
          </cell>
          <cell r="O11654">
            <v>3.8069999999999999</v>
          </cell>
        </row>
        <row r="11655">
          <cell r="E11655" t="str">
            <v>MUS</v>
          </cell>
          <cell r="F11655" t="str">
            <v xml:space="preserve">MUS-M </v>
          </cell>
          <cell r="G11655">
            <v>688</v>
          </cell>
          <cell r="H11655" t="str">
            <v>MUS-M 688</v>
          </cell>
          <cell r="K11655" t="str">
            <v>Hart,Mary Ann</v>
          </cell>
          <cell r="N11655">
            <v>3.9329999999999998</v>
          </cell>
          <cell r="O11655">
            <v>3.8420000000000001</v>
          </cell>
        </row>
        <row r="11656">
          <cell r="E11656" t="str">
            <v>MUS</v>
          </cell>
          <cell r="F11656" t="str">
            <v xml:space="preserve">MUS-M </v>
          </cell>
          <cell r="G11656">
            <v>690</v>
          </cell>
          <cell r="H11656" t="str">
            <v>MUS-M 690</v>
          </cell>
          <cell r="K11656" t="str">
            <v>Tellez,Carmen</v>
          </cell>
          <cell r="N11656" t="str">
            <v>NR</v>
          </cell>
          <cell r="O11656" t="str">
            <v>NR</v>
          </cell>
        </row>
        <row r="11657">
          <cell r="E11657" t="str">
            <v>MUS</v>
          </cell>
          <cell r="F11657" t="str">
            <v xml:space="preserve">MUS-M </v>
          </cell>
          <cell r="G11657">
            <v>698</v>
          </cell>
          <cell r="H11657" t="str">
            <v>MUS-M 698</v>
          </cell>
          <cell r="K11657" t="str">
            <v>Burkholder,J. Peter</v>
          </cell>
          <cell r="N11657" t="str">
            <v>NR</v>
          </cell>
          <cell r="O11657" t="str">
            <v>NR</v>
          </cell>
        </row>
        <row r="11658">
          <cell r="E11658" t="str">
            <v>MUS</v>
          </cell>
          <cell r="F11658" t="str">
            <v xml:space="preserve">MUS-M </v>
          </cell>
          <cell r="G11658">
            <v>700</v>
          </cell>
          <cell r="H11658" t="str">
            <v>MUS-M 700</v>
          </cell>
          <cell r="K11658" t="str">
            <v>Isaacson,Eric John</v>
          </cell>
          <cell r="N11658" t="str">
            <v>NR</v>
          </cell>
          <cell r="O11658" t="str">
            <v>NR</v>
          </cell>
        </row>
        <row r="11659">
          <cell r="E11659" t="str">
            <v>MUS</v>
          </cell>
          <cell r="F11659" t="str">
            <v xml:space="preserve">MUS-M </v>
          </cell>
          <cell r="G11659">
            <v>700</v>
          </cell>
          <cell r="H11659" t="str">
            <v>MUS-M 700</v>
          </cell>
          <cell r="K11659" t="str">
            <v>Isaacson,Eric John</v>
          </cell>
          <cell r="N11659" t="str">
            <v>NR</v>
          </cell>
          <cell r="O11659" t="str">
            <v>NR</v>
          </cell>
        </row>
        <row r="11660">
          <cell r="E11660" t="str">
            <v>MUS</v>
          </cell>
          <cell r="F11660" t="str">
            <v xml:space="preserve">MUS-M </v>
          </cell>
          <cell r="G11660">
            <v>700</v>
          </cell>
          <cell r="H11660" t="str">
            <v>MUS-M 700</v>
          </cell>
          <cell r="K11660" t="str">
            <v>Isaacson,Eric John</v>
          </cell>
          <cell r="N11660" t="str">
            <v>NR</v>
          </cell>
          <cell r="O11660" t="str">
            <v>NR</v>
          </cell>
        </row>
        <row r="11661">
          <cell r="E11661" t="str">
            <v>MUS</v>
          </cell>
          <cell r="F11661" t="str">
            <v xml:space="preserve">MUS-M </v>
          </cell>
          <cell r="G11661">
            <v>700</v>
          </cell>
          <cell r="H11661" t="str">
            <v>MUS-M 700</v>
          </cell>
          <cell r="K11661" t="str">
            <v>Isaacson,Eric John</v>
          </cell>
          <cell r="N11661" t="str">
            <v>NR</v>
          </cell>
          <cell r="O11661" t="str">
            <v>NR</v>
          </cell>
        </row>
        <row r="11662">
          <cell r="E11662" t="str">
            <v>MUS</v>
          </cell>
          <cell r="F11662" t="str">
            <v xml:space="preserve">MUS-N </v>
          </cell>
          <cell r="G11662">
            <v>399</v>
          </cell>
          <cell r="H11662" t="str">
            <v>MUS-N 399</v>
          </cell>
          <cell r="K11662" t="str">
            <v>Horlacher,Gretchen G.</v>
          </cell>
          <cell r="N11662" t="str">
            <v>NR</v>
          </cell>
          <cell r="O11662" t="str">
            <v>NR</v>
          </cell>
        </row>
        <row r="11663">
          <cell r="E11663" t="str">
            <v>MUS</v>
          </cell>
          <cell r="F11663" t="str">
            <v xml:space="preserve">MUS-N </v>
          </cell>
          <cell r="G11663">
            <v>399</v>
          </cell>
          <cell r="H11663" t="str">
            <v>MUS-N 399</v>
          </cell>
          <cell r="K11663" t="str">
            <v>Yeary,Mark Jerome</v>
          </cell>
          <cell r="N11663" t="str">
            <v>NR</v>
          </cell>
          <cell r="O11663" t="str">
            <v>NR</v>
          </cell>
        </row>
        <row r="11664">
          <cell r="E11664" t="str">
            <v>MUS</v>
          </cell>
          <cell r="F11664" t="str">
            <v xml:space="preserve">MUS-N </v>
          </cell>
          <cell r="G11664">
            <v>547</v>
          </cell>
          <cell r="H11664" t="str">
            <v>MUS-N 547</v>
          </cell>
          <cell r="K11664" t="str">
            <v>Raphael,Christopher S.</v>
          </cell>
          <cell r="N11664" t="str">
            <v>NR</v>
          </cell>
          <cell r="O11664" t="str">
            <v>NR</v>
          </cell>
        </row>
        <row r="11665">
          <cell r="E11665" t="str">
            <v>MUS</v>
          </cell>
          <cell r="F11665" t="str">
            <v xml:space="preserve">MUS-N </v>
          </cell>
          <cell r="G11665">
            <v>561</v>
          </cell>
          <cell r="H11665" t="str">
            <v>MUS-N 561</v>
          </cell>
          <cell r="K11665" t="str">
            <v>Gibson,John G</v>
          </cell>
          <cell r="N11665" t="str">
            <v>NR</v>
          </cell>
          <cell r="O11665" t="str">
            <v>NR</v>
          </cell>
        </row>
        <row r="11666">
          <cell r="E11666" t="str">
            <v>MUS</v>
          </cell>
          <cell r="F11666" t="str">
            <v xml:space="preserve">MUS-N </v>
          </cell>
          <cell r="G11666">
            <v>561</v>
          </cell>
          <cell r="H11666" t="str">
            <v>MUS-N 561</v>
          </cell>
          <cell r="K11666" t="str">
            <v>Warren,Alicyn</v>
          </cell>
          <cell r="N11666" t="str">
            <v>NR</v>
          </cell>
          <cell r="O11666" t="str">
            <v>NR</v>
          </cell>
        </row>
        <row r="11667">
          <cell r="E11667" t="str">
            <v>MUS</v>
          </cell>
          <cell r="F11667" t="str">
            <v xml:space="preserve">MUS-N </v>
          </cell>
          <cell r="G11667">
            <v>562</v>
          </cell>
          <cell r="H11667" t="str">
            <v>MUS-N 562</v>
          </cell>
          <cell r="K11667" t="str">
            <v>Gibson,John G</v>
          </cell>
          <cell r="N11667" t="str">
            <v>NR</v>
          </cell>
          <cell r="O11667" t="str">
            <v>NR</v>
          </cell>
        </row>
        <row r="11668">
          <cell r="E11668" t="str">
            <v>MUS</v>
          </cell>
          <cell r="F11668" t="str">
            <v xml:space="preserve">MUS-O </v>
          </cell>
          <cell r="G11668">
            <v>311</v>
          </cell>
          <cell r="H11668" t="str">
            <v>MUS-O 311</v>
          </cell>
          <cell r="K11668" t="str">
            <v>Walsh,Thomas P.</v>
          </cell>
          <cell r="N11668">
            <v>3.7250000000000001</v>
          </cell>
          <cell r="O11668">
            <v>3.6</v>
          </cell>
        </row>
        <row r="11669">
          <cell r="E11669" t="str">
            <v>MUS</v>
          </cell>
          <cell r="F11669" t="str">
            <v xml:space="preserve">MUS-O </v>
          </cell>
          <cell r="G11669">
            <v>316</v>
          </cell>
          <cell r="H11669" t="str">
            <v>MUS-O 316</v>
          </cell>
          <cell r="K11669" t="str">
            <v>Wallarab,Brent Kenneth</v>
          </cell>
          <cell r="N11669">
            <v>3.8460000000000001</v>
          </cell>
          <cell r="O11669">
            <v>3.5739999999999998</v>
          </cell>
        </row>
        <row r="11670">
          <cell r="E11670" t="str">
            <v>MUS</v>
          </cell>
          <cell r="F11670" t="str">
            <v xml:space="preserve">MUS-O </v>
          </cell>
          <cell r="G11670">
            <v>317</v>
          </cell>
          <cell r="H11670" t="str">
            <v>MUS-O 317</v>
          </cell>
          <cell r="K11670" t="str">
            <v>Wallarab,Brent Kenneth</v>
          </cell>
          <cell r="N11670">
            <v>3.556</v>
          </cell>
          <cell r="O11670">
            <v>3.7170000000000001</v>
          </cell>
        </row>
        <row r="11671">
          <cell r="E11671" t="str">
            <v>MUS</v>
          </cell>
          <cell r="F11671" t="str">
            <v xml:space="preserve">MUS-O </v>
          </cell>
          <cell r="G11671">
            <v>318</v>
          </cell>
          <cell r="H11671" t="str">
            <v>MUS-O 318</v>
          </cell>
          <cell r="K11671" t="str">
            <v>Gillespie,Luke O Neil</v>
          </cell>
          <cell r="N11671">
            <v>3.4089999999999998</v>
          </cell>
          <cell r="O11671">
            <v>3.657</v>
          </cell>
        </row>
        <row r="11672">
          <cell r="E11672" t="str">
            <v>MUS</v>
          </cell>
          <cell r="F11672" t="str">
            <v xml:space="preserve">MUS-O </v>
          </cell>
          <cell r="G11672">
            <v>319</v>
          </cell>
          <cell r="H11672" t="str">
            <v>MUS-O 319</v>
          </cell>
          <cell r="K11672" t="str">
            <v>Gillespie,Luke O Neil</v>
          </cell>
          <cell r="N11672">
            <v>3.5859999999999999</v>
          </cell>
          <cell r="O11672">
            <v>3.5409999999999999</v>
          </cell>
        </row>
        <row r="11673">
          <cell r="E11673" t="str">
            <v>MUS</v>
          </cell>
          <cell r="F11673" t="str">
            <v xml:space="preserve">MUS-O </v>
          </cell>
          <cell r="G11673">
            <v>321</v>
          </cell>
          <cell r="H11673" t="str">
            <v>MUS-O 321</v>
          </cell>
          <cell r="K11673" t="str">
            <v>Baker,David N.</v>
          </cell>
          <cell r="N11673">
            <v>3.1429999999999998</v>
          </cell>
          <cell r="O11673">
            <v>3.6459999999999999</v>
          </cell>
        </row>
        <row r="11674">
          <cell r="E11674" t="str">
            <v>MUS</v>
          </cell>
          <cell r="F11674" t="str">
            <v xml:space="preserve">MUS-O </v>
          </cell>
          <cell r="G11674">
            <v>322</v>
          </cell>
          <cell r="H11674" t="str">
            <v>MUS-O 322</v>
          </cell>
          <cell r="K11674" t="str">
            <v>Harbison,Patrick Lewis</v>
          </cell>
          <cell r="N11674">
            <v>3.7</v>
          </cell>
          <cell r="O11674">
            <v>3.6840000000000002</v>
          </cell>
        </row>
        <row r="11675">
          <cell r="E11675" t="str">
            <v>MUS</v>
          </cell>
          <cell r="F11675" t="str">
            <v xml:space="preserve">MUS-O </v>
          </cell>
          <cell r="G11675">
            <v>323</v>
          </cell>
          <cell r="H11675" t="str">
            <v>MUS-O 323</v>
          </cell>
          <cell r="K11675" t="str">
            <v>Harbison,Patrick Lewis</v>
          </cell>
          <cell r="N11675" t="str">
            <v>NR</v>
          </cell>
          <cell r="O11675" t="str">
            <v>NR</v>
          </cell>
        </row>
        <row r="11676">
          <cell r="E11676" t="str">
            <v>MUS</v>
          </cell>
          <cell r="F11676" t="str">
            <v xml:space="preserve">MUS-O </v>
          </cell>
          <cell r="G11676">
            <v>324</v>
          </cell>
          <cell r="H11676" t="str">
            <v>MUS-O 324</v>
          </cell>
          <cell r="K11676" t="str">
            <v>Baker,David N.</v>
          </cell>
          <cell r="N11676">
            <v>3.706</v>
          </cell>
          <cell r="O11676">
            <v>3.66</v>
          </cell>
        </row>
        <row r="11677">
          <cell r="E11677" t="str">
            <v>MUS</v>
          </cell>
          <cell r="F11677" t="str">
            <v xml:space="preserve">MUS-O </v>
          </cell>
          <cell r="G11677">
            <v>325</v>
          </cell>
          <cell r="H11677" t="str">
            <v>MUS-O 325</v>
          </cell>
          <cell r="K11677" t="str">
            <v>Houghton,Stephen</v>
          </cell>
          <cell r="N11677">
            <v>4</v>
          </cell>
          <cell r="O11677">
            <v>3.55</v>
          </cell>
        </row>
        <row r="11678">
          <cell r="E11678" t="str">
            <v>MUS</v>
          </cell>
          <cell r="F11678" t="str">
            <v xml:space="preserve">MUS-O </v>
          </cell>
          <cell r="G11678">
            <v>325</v>
          </cell>
          <cell r="H11678" t="str">
            <v>MUS-O 325</v>
          </cell>
          <cell r="K11678" t="str">
            <v>Houghton,Stephen</v>
          </cell>
          <cell r="N11678">
            <v>4</v>
          </cell>
          <cell r="O11678">
            <v>3.6269999999999998</v>
          </cell>
        </row>
        <row r="11679">
          <cell r="E11679" t="str">
            <v>MUS</v>
          </cell>
          <cell r="F11679" t="str">
            <v xml:space="preserve">MUS-O </v>
          </cell>
          <cell r="G11679">
            <v>450</v>
          </cell>
          <cell r="H11679" t="str">
            <v>MUS-O 450</v>
          </cell>
          <cell r="K11679" t="str">
            <v>Harbison,Patrick Lewis</v>
          </cell>
          <cell r="N11679">
            <v>3.9249999999999998</v>
          </cell>
          <cell r="O11679">
            <v>3.6930000000000001</v>
          </cell>
        </row>
        <row r="11680">
          <cell r="E11680" t="str">
            <v>MUS</v>
          </cell>
          <cell r="F11680" t="str">
            <v xml:space="preserve">MUS-O </v>
          </cell>
          <cell r="G11680">
            <v>450</v>
          </cell>
          <cell r="H11680" t="str">
            <v>MUS-O 450</v>
          </cell>
          <cell r="K11680" t="str">
            <v>Spiro,Michael Elliot</v>
          </cell>
          <cell r="N11680">
            <v>4</v>
          </cell>
          <cell r="O11680">
            <v>3.53</v>
          </cell>
        </row>
        <row r="11681">
          <cell r="E11681" t="str">
            <v>MUS</v>
          </cell>
          <cell r="F11681" t="str">
            <v xml:space="preserve">MUS-O </v>
          </cell>
          <cell r="G11681">
            <v>450</v>
          </cell>
          <cell r="H11681" t="str">
            <v>MUS-O 450</v>
          </cell>
          <cell r="K11681" t="str">
            <v>Walsh,Thomas P.</v>
          </cell>
          <cell r="N11681">
            <v>4</v>
          </cell>
          <cell r="O11681">
            <v>3.5960000000000001</v>
          </cell>
        </row>
        <row r="11682">
          <cell r="E11682" t="str">
            <v>MUS</v>
          </cell>
          <cell r="F11682" t="str">
            <v xml:space="preserve">MUS-O </v>
          </cell>
          <cell r="G11682">
            <v>511</v>
          </cell>
          <cell r="H11682" t="str">
            <v>MUS-O 511</v>
          </cell>
          <cell r="K11682" t="str">
            <v>Walsh,Thomas P.</v>
          </cell>
          <cell r="N11682">
            <v>3.8380000000000001</v>
          </cell>
          <cell r="O11682">
            <v>3.8250000000000002</v>
          </cell>
        </row>
        <row r="11683">
          <cell r="E11683" t="str">
            <v>MUS</v>
          </cell>
          <cell r="F11683" t="str">
            <v xml:space="preserve">MUS-O </v>
          </cell>
          <cell r="G11683">
            <v>512</v>
          </cell>
          <cell r="H11683" t="str">
            <v>MUS-O 512</v>
          </cell>
          <cell r="K11683" t="str">
            <v>Wallarab,Brent Kenneth</v>
          </cell>
          <cell r="N11683">
            <v>4</v>
          </cell>
          <cell r="O11683">
            <v>3.7440000000000002</v>
          </cell>
        </row>
        <row r="11684">
          <cell r="E11684" t="str">
            <v>MUS</v>
          </cell>
          <cell r="F11684" t="str">
            <v xml:space="preserve">MUS-O </v>
          </cell>
          <cell r="G11684">
            <v>516</v>
          </cell>
          <cell r="H11684" t="str">
            <v>MUS-O 516</v>
          </cell>
          <cell r="K11684" t="str">
            <v>Wallarab,Brent Kenneth</v>
          </cell>
          <cell r="N11684" t="str">
            <v>NR</v>
          </cell>
          <cell r="O11684" t="str">
            <v>NR</v>
          </cell>
        </row>
        <row r="11685">
          <cell r="E11685" t="str">
            <v>MUS</v>
          </cell>
          <cell r="F11685" t="str">
            <v xml:space="preserve">MUS-O </v>
          </cell>
          <cell r="G11685">
            <v>517</v>
          </cell>
          <cell r="H11685" t="str">
            <v>MUS-O 517</v>
          </cell>
          <cell r="K11685" t="str">
            <v>Wallarab,Brent Kenneth</v>
          </cell>
          <cell r="N11685" t="str">
            <v>NR</v>
          </cell>
          <cell r="O11685" t="str">
            <v>NR</v>
          </cell>
        </row>
        <row r="11686">
          <cell r="E11686" t="str">
            <v>MUS</v>
          </cell>
          <cell r="F11686" t="str">
            <v xml:space="preserve">MUS-O </v>
          </cell>
          <cell r="G11686">
            <v>521</v>
          </cell>
          <cell r="H11686" t="str">
            <v>MUS-O 521</v>
          </cell>
          <cell r="K11686" t="str">
            <v>Baker,David N.</v>
          </cell>
          <cell r="N11686">
            <v>3.43</v>
          </cell>
          <cell r="O11686">
            <v>3.8010000000000002</v>
          </cell>
        </row>
        <row r="11687">
          <cell r="E11687" t="str">
            <v>MUS</v>
          </cell>
          <cell r="F11687" t="str">
            <v xml:space="preserve">MUS-O </v>
          </cell>
          <cell r="G11687">
            <v>522</v>
          </cell>
          <cell r="H11687" t="str">
            <v>MUS-O 522</v>
          </cell>
          <cell r="K11687" t="str">
            <v>Harbison,Patrick Lewis</v>
          </cell>
          <cell r="N11687" t="str">
            <v>NR</v>
          </cell>
          <cell r="O11687" t="str">
            <v>NR</v>
          </cell>
        </row>
        <row r="11688">
          <cell r="E11688" t="str">
            <v>MUS</v>
          </cell>
          <cell r="F11688" t="str">
            <v xml:space="preserve">MUS-O </v>
          </cell>
          <cell r="G11688">
            <v>523</v>
          </cell>
          <cell r="H11688" t="str">
            <v>MUS-O 523</v>
          </cell>
          <cell r="K11688" t="str">
            <v>Harbison,Patrick Lewis</v>
          </cell>
          <cell r="N11688">
            <v>3.8140000000000001</v>
          </cell>
          <cell r="O11688">
            <v>3.7970000000000002</v>
          </cell>
        </row>
        <row r="11689">
          <cell r="E11689" t="str">
            <v>MUS</v>
          </cell>
          <cell r="F11689" t="str">
            <v xml:space="preserve">MUS-O </v>
          </cell>
          <cell r="G11689">
            <v>524</v>
          </cell>
          <cell r="H11689" t="str">
            <v>MUS-O 524</v>
          </cell>
          <cell r="K11689" t="str">
            <v>Baker,David N.</v>
          </cell>
          <cell r="N11689" t="str">
            <v>NR</v>
          </cell>
          <cell r="O11689" t="str">
            <v>NR</v>
          </cell>
        </row>
        <row r="11690">
          <cell r="E11690" t="str">
            <v>MUS</v>
          </cell>
          <cell r="F11690" t="str">
            <v xml:space="preserve">MUS-O </v>
          </cell>
          <cell r="G11690">
            <v>525</v>
          </cell>
          <cell r="H11690" t="str">
            <v>MUS-O 525</v>
          </cell>
          <cell r="K11690" t="str">
            <v>Houghton,Stephen</v>
          </cell>
          <cell r="N11690" t="str">
            <v>NR</v>
          </cell>
          <cell r="O11690" t="str">
            <v>NR</v>
          </cell>
        </row>
        <row r="11691">
          <cell r="E11691" t="str">
            <v>MUS</v>
          </cell>
          <cell r="F11691" t="str">
            <v xml:space="preserve">MUS-O </v>
          </cell>
          <cell r="G11691">
            <v>550</v>
          </cell>
          <cell r="H11691" t="str">
            <v>MUS-O 550</v>
          </cell>
          <cell r="K11691" t="str">
            <v>Harbison,Patrick Lewis</v>
          </cell>
          <cell r="N11691">
            <v>3.9750000000000001</v>
          </cell>
          <cell r="O11691">
            <v>3.7839999999999998</v>
          </cell>
        </row>
        <row r="11692">
          <cell r="E11692" t="str">
            <v>MUS</v>
          </cell>
          <cell r="F11692" t="str">
            <v xml:space="preserve">MUS-O </v>
          </cell>
          <cell r="G11692">
            <v>550</v>
          </cell>
          <cell r="H11692" t="str">
            <v>MUS-O 550</v>
          </cell>
          <cell r="K11692" t="str">
            <v>Spiro,Michael Elliot</v>
          </cell>
          <cell r="N11692" t="str">
            <v>NR</v>
          </cell>
          <cell r="O11692" t="str">
            <v>NR</v>
          </cell>
        </row>
        <row r="11693">
          <cell r="E11693" t="str">
            <v>MUS</v>
          </cell>
          <cell r="F11693" t="str">
            <v xml:space="preserve">MUS-O </v>
          </cell>
          <cell r="G11693">
            <v>550</v>
          </cell>
          <cell r="H11693" t="str">
            <v>MUS-O 550</v>
          </cell>
          <cell r="K11693" t="str">
            <v>Walsh,Thomas P.</v>
          </cell>
          <cell r="N11693">
            <v>4</v>
          </cell>
          <cell r="O11693">
            <v>3.754</v>
          </cell>
        </row>
        <row r="11694">
          <cell r="E11694" t="str">
            <v>MUS</v>
          </cell>
          <cell r="F11694" t="str">
            <v xml:space="preserve">MUS-O </v>
          </cell>
          <cell r="G11694">
            <v>800</v>
          </cell>
          <cell r="H11694" t="str">
            <v>MUS-O 800</v>
          </cell>
          <cell r="K11694" t="str">
            <v>Allen,Jeremy Linn</v>
          </cell>
          <cell r="N11694" t="str">
            <v>NR</v>
          </cell>
          <cell r="O11694" t="str">
            <v>NR</v>
          </cell>
        </row>
        <row r="11695">
          <cell r="E11695" t="str">
            <v>MUS</v>
          </cell>
          <cell r="F11695" t="str">
            <v xml:space="preserve">MUS-O </v>
          </cell>
          <cell r="G11695">
            <v>800</v>
          </cell>
          <cell r="H11695" t="str">
            <v>MUS-O 800</v>
          </cell>
          <cell r="K11695" t="str">
            <v>Gillespie,Luke O Neil</v>
          </cell>
          <cell r="N11695" t="str">
            <v>NR</v>
          </cell>
          <cell r="O11695" t="str">
            <v>NR</v>
          </cell>
        </row>
        <row r="11696">
          <cell r="E11696" t="str">
            <v>MUS</v>
          </cell>
          <cell r="F11696" t="str">
            <v xml:space="preserve">MUS-O </v>
          </cell>
          <cell r="G11696">
            <v>800</v>
          </cell>
          <cell r="H11696" t="str">
            <v>MUS-O 800</v>
          </cell>
          <cell r="K11696" t="str">
            <v>Gillespie,Luke O Neil</v>
          </cell>
          <cell r="N11696" t="str">
            <v>NR</v>
          </cell>
          <cell r="O11696" t="str">
            <v>NR</v>
          </cell>
        </row>
        <row r="11697">
          <cell r="E11697" t="str">
            <v>MUS</v>
          </cell>
          <cell r="F11697" t="str">
            <v xml:space="preserve">MUS-O </v>
          </cell>
          <cell r="G11697">
            <v>800</v>
          </cell>
          <cell r="H11697" t="str">
            <v>MUS-O 800</v>
          </cell>
          <cell r="K11697" t="str">
            <v>Harbison,Patrick Lewis</v>
          </cell>
          <cell r="N11697" t="str">
            <v>NR</v>
          </cell>
          <cell r="O11697" t="str">
            <v>NR</v>
          </cell>
        </row>
        <row r="11698">
          <cell r="E11698" t="str">
            <v>MUS</v>
          </cell>
          <cell r="F11698" t="str">
            <v xml:space="preserve">MUS-O </v>
          </cell>
          <cell r="G11698">
            <v>800</v>
          </cell>
          <cell r="H11698" t="str">
            <v>MUS-O 800</v>
          </cell>
          <cell r="K11698" t="str">
            <v>Houghton,Stephen</v>
          </cell>
          <cell r="N11698" t="str">
            <v>NR</v>
          </cell>
          <cell r="O11698" t="str">
            <v>NR</v>
          </cell>
        </row>
        <row r="11699">
          <cell r="E11699" t="str">
            <v>MUS</v>
          </cell>
          <cell r="F11699" t="str">
            <v xml:space="preserve">MUS-O </v>
          </cell>
          <cell r="G11699">
            <v>800</v>
          </cell>
          <cell r="H11699" t="str">
            <v>MUS-O 800</v>
          </cell>
          <cell r="K11699" t="str">
            <v>Walsh,Thomas P.</v>
          </cell>
          <cell r="N11699" t="str">
            <v>NR</v>
          </cell>
          <cell r="O11699" t="str">
            <v>NR</v>
          </cell>
        </row>
        <row r="11700">
          <cell r="E11700" t="str">
            <v>MUS</v>
          </cell>
          <cell r="F11700" t="str">
            <v>MUS-OS</v>
          </cell>
          <cell r="G11700">
            <v>100</v>
          </cell>
          <cell r="H11700" t="str">
            <v>MUS-OS100</v>
          </cell>
          <cell r="N11700" t="str">
            <v>NR</v>
          </cell>
          <cell r="O11700" t="str">
            <v>NR</v>
          </cell>
        </row>
        <row r="11701">
          <cell r="E11701" t="str">
            <v>MUS</v>
          </cell>
          <cell r="F11701" t="str">
            <v xml:space="preserve">MUS-P </v>
          </cell>
          <cell r="G11701">
            <v>100</v>
          </cell>
          <cell r="H11701" t="str">
            <v>MUS-P 100</v>
          </cell>
          <cell r="K11701" t="str">
            <v>Cartledge,David Owen</v>
          </cell>
          <cell r="N11701">
            <v>3.6909999999999998</v>
          </cell>
          <cell r="O11701">
            <v>3.645</v>
          </cell>
        </row>
        <row r="11702">
          <cell r="E11702" t="str">
            <v>MUS</v>
          </cell>
          <cell r="F11702" t="str">
            <v xml:space="preserve">MUS-P </v>
          </cell>
          <cell r="G11702">
            <v>100</v>
          </cell>
          <cell r="H11702" t="str">
            <v>MUS-P 100</v>
          </cell>
          <cell r="K11702" t="str">
            <v>Cartledge,David Owen</v>
          </cell>
          <cell r="N11702">
            <v>3.8809999999999998</v>
          </cell>
          <cell r="O11702">
            <v>3.5790000000000002</v>
          </cell>
        </row>
        <row r="11703">
          <cell r="E11703" t="str">
            <v>MUS</v>
          </cell>
          <cell r="F11703" t="str">
            <v xml:space="preserve">MUS-P </v>
          </cell>
          <cell r="G11703">
            <v>100</v>
          </cell>
          <cell r="H11703" t="str">
            <v>MUS-P 100</v>
          </cell>
          <cell r="K11703" t="str">
            <v>Shigeoka-Neriki,Reiko</v>
          </cell>
          <cell r="N11703" t="str">
            <v>NR</v>
          </cell>
          <cell r="O11703" t="str">
            <v>NR</v>
          </cell>
        </row>
        <row r="11704">
          <cell r="E11704" t="str">
            <v>MUS</v>
          </cell>
          <cell r="F11704" t="str">
            <v xml:space="preserve">MUS-P </v>
          </cell>
          <cell r="G11704">
            <v>110</v>
          </cell>
          <cell r="H11704" t="str">
            <v>MUS-P 110</v>
          </cell>
          <cell r="K11704" t="str">
            <v>Cartledge,David Owen</v>
          </cell>
          <cell r="N11704">
            <v>3.0139999999999998</v>
          </cell>
          <cell r="O11704">
            <v>3.113</v>
          </cell>
        </row>
        <row r="11705">
          <cell r="E11705" t="str">
            <v>MUS</v>
          </cell>
          <cell r="F11705" t="str">
            <v xml:space="preserve">MUS-P </v>
          </cell>
          <cell r="G11705">
            <v>110</v>
          </cell>
          <cell r="H11705" t="str">
            <v>MUS-P 110</v>
          </cell>
          <cell r="K11705" t="str">
            <v>Cartledge,David Owen</v>
          </cell>
          <cell r="N11705">
            <v>3.714</v>
          </cell>
          <cell r="O11705">
            <v>3.1259999999999999</v>
          </cell>
        </row>
        <row r="11706">
          <cell r="E11706" t="str">
            <v>MUS</v>
          </cell>
          <cell r="F11706" t="str">
            <v xml:space="preserve">MUS-P </v>
          </cell>
          <cell r="G11706">
            <v>110</v>
          </cell>
          <cell r="H11706" t="str">
            <v>MUS-P 110</v>
          </cell>
          <cell r="K11706" t="str">
            <v>Cartledge,David Owen</v>
          </cell>
          <cell r="N11706">
            <v>3.5</v>
          </cell>
          <cell r="O11706">
            <v>3.0489999999999999</v>
          </cell>
        </row>
        <row r="11707">
          <cell r="E11707" t="str">
            <v>MUS</v>
          </cell>
          <cell r="F11707" t="str">
            <v xml:space="preserve">MUS-P </v>
          </cell>
          <cell r="G11707">
            <v>110</v>
          </cell>
          <cell r="H11707" t="str">
            <v>MUS-P 110</v>
          </cell>
          <cell r="K11707" t="str">
            <v>Cartledge,David Owen</v>
          </cell>
          <cell r="N11707">
            <v>3.6629999999999998</v>
          </cell>
          <cell r="O11707">
            <v>3.3650000000000002</v>
          </cell>
        </row>
        <row r="11708">
          <cell r="E11708" t="str">
            <v>MUS</v>
          </cell>
          <cell r="F11708" t="str">
            <v xml:space="preserve">MUS-P </v>
          </cell>
          <cell r="G11708">
            <v>110</v>
          </cell>
          <cell r="H11708" t="str">
            <v>MUS-P 110</v>
          </cell>
          <cell r="K11708" t="str">
            <v>Cartledge,David Owen</v>
          </cell>
          <cell r="N11708">
            <v>3.8879999999999999</v>
          </cell>
          <cell r="O11708">
            <v>3.2120000000000002</v>
          </cell>
        </row>
        <row r="11709">
          <cell r="E11709" t="str">
            <v>MUS</v>
          </cell>
          <cell r="F11709" t="str">
            <v xml:space="preserve">MUS-P </v>
          </cell>
          <cell r="G11709">
            <v>110</v>
          </cell>
          <cell r="H11709" t="str">
            <v>MUS-P 110</v>
          </cell>
          <cell r="K11709" t="str">
            <v>Cartledge,David Owen</v>
          </cell>
          <cell r="N11709">
            <v>3.4630000000000001</v>
          </cell>
          <cell r="O11709">
            <v>2.964</v>
          </cell>
        </row>
        <row r="11710">
          <cell r="E11710" t="str">
            <v>MUS</v>
          </cell>
          <cell r="F11710" t="str">
            <v xml:space="preserve">MUS-P </v>
          </cell>
          <cell r="G11710">
            <v>110</v>
          </cell>
          <cell r="H11710" t="str">
            <v>MUS-P 110</v>
          </cell>
          <cell r="K11710" t="str">
            <v>Cartledge,David Owen</v>
          </cell>
          <cell r="N11710">
            <v>3.8380000000000001</v>
          </cell>
          <cell r="O11710">
            <v>3.133</v>
          </cell>
        </row>
        <row r="11711">
          <cell r="E11711" t="str">
            <v>MUS</v>
          </cell>
          <cell r="F11711" t="str">
            <v xml:space="preserve">MUS-P </v>
          </cell>
          <cell r="G11711">
            <v>110</v>
          </cell>
          <cell r="H11711" t="str">
            <v>MUS-P 110</v>
          </cell>
          <cell r="K11711" t="str">
            <v>Cartledge,David Owen</v>
          </cell>
          <cell r="N11711">
            <v>3.2629999999999999</v>
          </cell>
          <cell r="O11711">
            <v>3.2989999999999999</v>
          </cell>
        </row>
        <row r="11712">
          <cell r="E11712" t="str">
            <v>MUS</v>
          </cell>
          <cell r="F11712" t="str">
            <v xml:space="preserve">MUS-P </v>
          </cell>
          <cell r="G11712">
            <v>110</v>
          </cell>
          <cell r="H11712" t="str">
            <v>MUS-P 110</v>
          </cell>
          <cell r="K11712" t="str">
            <v>Cartledge,David Owen</v>
          </cell>
          <cell r="N11712">
            <v>3.9249999999999998</v>
          </cell>
          <cell r="O11712">
            <v>3.141</v>
          </cell>
        </row>
        <row r="11713">
          <cell r="E11713" t="str">
            <v>MUS</v>
          </cell>
          <cell r="F11713" t="str">
            <v xml:space="preserve">MUS-P </v>
          </cell>
          <cell r="G11713">
            <v>110</v>
          </cell>
          <cell r="H11713" t="str">
            <v>MUS-P 110</v>
          </cell>
          <cell r="K11713" t="str">
            <v>Cartledge,David Owen</v>
          </cell>
          <cell r="N11713">
            <v>3.657</v>
          </cell>
          <cell r="O11713">
            <v>3.1819999999999999</v>
          </cell>
        </row>
        <row r="11714">
          <cell r="E11714" t="str">
            <v>MUS</v>
          </cell>
          <cell r="F11714" t="str">
            <v xml:space="preserve">MUS-P </v>
          </cell>
          <cell r="G11714">
            <v>110</v>
          </cell>
          <cell r="H11714" t="str">
            <v>MUS-P 110</v>
          </cell>
          <cell r="K11714" t="str">
            <v>Cartledge,David Owen</v>
          </cell>
          <cell r="N11714" t="str">
            <v>NR</v>
          </cell>
          <cell r="O11714" t="str">
            <v>NR</v>
          </cell>
        </row>
        <row r="11715">
          <cell r="E11715" t="str">
            <v>MUS</v>
          </cell>
          <cell r="F11715" t="str">
            <v xml:space="preserve">MUS-P </v>
          </cell>
          <cell r="G11715">
            <v>110</v>
          </cell>
          <cell r="H11715" t="str">
            <v>MUS-P 110</v>
          </cell>
          <cell r="K11715" t="str">
            <v>Cartledge,David Owen</v>
          </cell>
          <cell r="N11715">
            <v>3.8140000000000001</v>
          </cell>
          <cell r="O11715">
            <v>3.17</v>
          </cell>
        </row>
        <row r="11716">
          <cell r="E11716" t="str">
            <v>MUS</v>
          </cell>
          <cell r="F11716" t="str">
            <v xml:space="preserve">MUS-P </v>
          </cell>
          <cell r="G11716">
            <v>110</v>
          </cell>
          <cell r="H11716" t="str">
            <v>MUS-P 110</v>
          </cell>
          <cell r="K11716" t="str">
            <v>Cartledge,David Owen</v>
          </cell>
          <cell r="N11716">
            <v>3.55</v>
          </cell>
          <cell r="O11716">
            <v>3</v>
          </cell>
        </row>
        <row r="11717">
          <cell r="E11717" t="str">
            <v>MUS</v>
          </cell>
          <cell r="F11717" t="str">
            <v xml:space="preserve">MUS-P </v>
          </cell>
          <cell r="G11717">
            <v>110</v>
          </cell>
          <cell r="H11717" t="str">
            <v>MUS-P 110</v>
          </cell>
          <cell r="K11717" t="str">
            <v>Cartledge,David Owen</v>
          </cell>
          <cell r="N11717">
            <v>3.8290000000000002</v>
          </cell>
          <cell r="O11717">
            <v>3.4409999999999998</v>
          </cell>
        </row>
        <row r="11718">
          <cell r="E11718" t="str">
            <v>MUS</v>
          </cell>
          <cell r="F11718" t="str">
            <v xml:space="preserve">MUS-P </v>
          </cell>
          <cell r="G11718">
            <v>110</v>
          </cell>
          <cell r="H11718" t="str">
            <v>MUS-P 110</v>
          </cell>
          <cell r="K11718" t="str">
            <v>Cartledge,David Owen</v>
          </cell>
          <cell r="N11718">
            <v>4</v>
          </cell>
          <cell r="O11718">
            <v>3.0659999999999998</v>
          </cell>
        </row>
        <row r="11719">
          <cell r="E11719" t="str">
            <v>MUS</v>
          </cell>
          <cell r="F11719" t="str">
            <v xml:space="preserve">MUS-P </v>
          </cell>
          <cell r="G11719">
            <v>110</v>
          </cell>
          <cell r="H11719" t="str">
            <v>MUS-P 110</v>
          </cell>
          <cell r="K11719" t="str">
            <v>Cartledge,David Owen</v>
          </cell>
          <cell r="N11719">
            <v>4</v>
          </cell>
          <cell r="O11719">
            <v>3.0870000000000002</v>
          </cell>
        </row>
        <row r="11720">
          <cell r="E11720" t="str">
            <v>MUS</v>
          </cell>
          <cell r="F11720" t="str">
            <v xml:space="preserve">MUS-P </v>
          </cell>
          <cell r="G11720">
            <v>110</v>
          </cell>
          <cell r="H11720" t="str">
            <v>MUS-P 110</v>
          </cell>
          <cell r="K11720" t="str">
            <v>Cartledge,David Owen</v>
          </cell>
          <cell r="N11720">
            <v>3.75</v>
          </cell>
          <cell r="O11720">
            <v>3.286</v>
          </cell>
        </row>
        <row r="11721">
          <cell r="E11721" t="str">
            <v>MUS</v>
          </cell>
          <cell r="F11721" t="str">
            <v xml:space="preserve">MUS-P </v>
          </cell>
          <cell r="G11721">
            <v>110</v>
          </cell>
          <cell r="H11721" t="str">
            <v>MUS-P 110</v>
          </cell>
          <cell r="K11721" t="str">
            <v>Cartledge,David Owen</v>
          </cell>
          <cell r="N11721">
            <v>3.5</v>
          </cell>
          <cell r="O11721">
            <v>3.49</v>
          </cell>
        </row>
        <row r="11722">
          <cell r="E11722" t="str">
            <v>MUS</v>
          </cell>
          <cell r="F11722" t="str">
            <v xml:space="preserve">MUS-P </v>
          </cell>
          <cell r="G11722">
            <v>110</v>
          </cell>
          <cell r="H11722" t="str">
            <v>MUS-P 110</v>
          </cell>
          <cell r="K11722" t="str">
            <v>Cartledge,David Owen</v>
          </cell>
          <cell r="N11722">
            <v>3.3</v>
          </cell>
          <cell r="O11722">
            <v>3.1779999999999999</v>
          </cell>
        </row>
        <row r="11723">
          <cell r="E11723" t="str">
            <v>MUS</v>
          </cell>
          <cell r="F11723" t="str">
            <v xml:space="preserve">MUS-P </v>
          </cell>
          <cell r="G11723">
            <v>110</v>
          </cell>
          <cell r="H11723" t="str">
            <v>MUS-P 110</v>
          </cell>
          <cell r="K11723" t="str">
            <v>Cartledge,David Owen</v>
          </cell>
          <cell r="N11723">
            <v>4</v>
          </cell>
          <cell r="O11723">
            <v>3.1909999999999998</v>
          </cell>
        </row>
        <row r="11724">
          <cell r="E11724" t="str">
            <v>MUS</v>
          </cell>
          <cell r="F11724" t="str">
            <v xml:space="preserve">MUS-P </v>
          </cell>
          <cell r="G11724">
            <v>110</v>
          </cell>
          <cell r="H11724" t="str">
            <v>MUS-P 110</v>
          </cell>
          <cell r="K11724" t="str">
            <v>Cartledge,David Owen</v>
          </cell>
          <cell r="N11724">
            <v>3.75</v>
          </cell>
          <cell r="O11724">
            <v>3.4540000000000002</v>
          </cell>
        </row>
        <row r="11725">
          <cell r="E11725" t="str">
            <v>MUS</v>
          </cell>
          <cell r="F11725" t="str">
            <v xml:space="preserve">MUS-P </v>
          </cell>
          <cell r="G11725">
            <v>110</v>
          </cell>
          <cell r="H11725" t="str">
            <v>MUS-P 110</v>
          </cell>
          <cell r="K11725" t="str">
            <v>Cartledge,David Owen</v>
          </cell>
          <cell r="N11725">
            <v>3.8</v>
          </cell>
          <cell r="O11725">
            <v>3.2010000000000001</v>
          </cell>
        </row>
        <row r="11726">
          <cell r="E11726" t="str">
            <v>MUS</v>
          </cell>
          <cell r="F11726" t="str">
            <v xml:space="preserve">MUS-P </v>
          </cell>
          <cell r="G11726">
            <v>110</v>
          </cell>
          <cell r="H11726" t="str">
            <v>MUS-P 110</v>
          </cell>
          <cell r="K11726" t="str">
            <v>Cartledge,David Owen</v>
          </cell>
          <cell r="N11726">
            <v>2.9569999999999999</v>
          </cell>
          <cell r="O11726">
            <v>2.661</v>
          </cell>
        </row>
        <row r="11727">
          <cell r="E11727" t="str">
            <v>MUS</v>
          </cell>
          <cell r="F11727" t="str">
            <v xml:space="preserve">MUS-P </v>
          </cell>
          <cell r="G11727">
            <v>110</v>
          </cell>
          <cell r="H11727" t="str">
            <v>MUS-P 110</v>
          </cell>
          <cell r="K11727" t="str">
            <v>Cartledge,David Owen</v>
          </cell>
          <cell r="N11727">
            <v>3.1</v>
          </cell>
          <cell r="O11727">
            <v>2.9910000000000001</v>
          </cell>
        </row>
        <row r="11728">
          <cell r="E11728" t="str">
            <v>MUS</v>
          </cell>
          <cell r="F11728" t="str">
            <v xml:space="preserve">MUS-P </v>
          </cell>
          <cell r="G11728">
            <v>110</v>
          </cell>
          <cell r="H11728" t="str">
            <v>MUS-P 110</v>
          </cell>
          <cell r="K11728" t="str">
            <v>Cartledge,David Owen</v>
          </cell>
          <cell r="N11728">
            <v>3.6709999999999998</v>
          </cell>
          <cell r="O11728">
            <v>2.8540000000000001</v>
          </cell>
        </row>
        <row r="11729">
          <cell r="E11729" t="str">
            <v>MUS</v>
          </cell>
          <cell r="F11729" t="str">
            <v xml:space="preserve">MUS-P </v>
          </cell>
          <cell r="G11729">
            <v>110</v>
          </cell>
          <cell r="H11729" t="str">
            <v>MUS-P 110</v>
          </cell>
          <cell r="K11729" t="str">
            <v>Cartledge,David Owen</v>
          </cell>
          <cell r="N11729">
            <v>3.9569999999999999</v>
          </cell>
          <cell r="O11729">
            <v>2.8490000000000002</v>
          </cell>
        </row>
        <row r="11730">
          <cell r="E11730" t="str">
            <v>MUS</v>
          </cell>
          <cell r="F11730" t="str">
            <v xml:space="preserve">MUS-P </v>
          </cell>
          <cell r="G11730">
            <v>110</v>
          </cell>
          <cell r="H11730" t="str">
            <v>MUS-P 110</v>
          </cell>
          <cell r="K11730" t="str">
            <v>Cartledge,David Owen</v>
          </cell>
          <cell r="N11730">
            <v>4</v>
          </cell>
          <cell r="O11730">
            <v>2.8370000000000002</v>
          </cell>
        </row>
        <row r="11731">
          <cell r="E11731" t="str">
            <v>MUS</v>
          </cell>
          <cell r="F11731" t="str">
            <v xml:space="preserve">MUS-P </v>
          </cell>
          <cell r="G11731">
            <v>110</v>
          </cell>
          <cell r="H11731" t="str">
            <v>MUS-P 110</v>
          </cell>
          <cell r="K11731" t="str">
            <v>Cartledge,David Owen</v>
          </cell>
          <cell r="N11731">
            <v>4</v>
          </cell>
          <cell r="O11731">
            <v>3.0419999999999998</v>
          </cell>
        </row>
        <row r="11732">
          <cell r="E11732" t="str">
            <v>MUS</v>
          </cell>
          <cell r="F11732" t="str">
            <v xml:space="preserve">MUS-P </v>
          </cell>
          <cell r="G11732">
            <v>110</v>
          </cell>
          <cell r="H11732" t="str">
            <v>MUS-P 110</v>
          </cell>
          <cell r="K11732" t="str">
            <v>Cartledge,David Owen</v>
          </cell>
          <cell r="N11732">
            <v>3.8290000000000002</v>
          </cell>
          <cell r="O11732">
            <v>2.89</v>
          </cell>
        </row>
        <row r="11733">
          <cell r="E11733" t="str">
            <v>MUS</v>
          </cell>
          <cell r="F11733" t="str">
            <v xml:space="preserve">MUS-P </v>
          </cell>
          <cell r="G11733">
            <v>110</v>
          </cell>
          <cell r="H11733" t="str">
            <v>MUS-P 110</v>
          </cell>
          <cell r="K11733" t="str">
            <v>Cartledge,David Owen</v>
          </cell>
          <cell r="N11733">
            <v>3.75</v>
          </cell>
          <cell r="O11733">
            <v>3.3210000000000002</v>
          </cell>
        </row>
        <row r="11734">
          <cell r="E11734" t="str">
            <v>MUS</v>
          </cell>
          <cell r="F11734" t="str">
            <v xml:space="preserve">MUS-P </v>
          </cell>
          <cell r="G11734">
            <v>110</v>
          </cell>
          <cell r="H11734" t="str">
            <v>MUS-P 110</v>
          </cell>
          <cell r="K11734" t="str">
            <v>Cartledge,David Owen</v>
          </cell>
          <cell r="N11734">
            <v>3.7629999999999999</v>
          </cell>
          <cell r="O11734">
            <v>3.2869999999999999</v>
          </cell>
        </row>
        <row r="11735">
          <cell r="E11735" t="str">
            <v>MUS</v>
          </cell>
          <cell r="F11735" t="str">
            <v xml:space="preserve">MUS-P </v>
          </cell>
          <cell r="G11735">
            <v>110</v>
          </cell>
          <cell r="H11735" t="str">
            <v>MUS-P 110</v>
          </cell>
          <cell r="K11735" t="str">
            <v>Cartledge,David Owen</v>
          </cell>
          <cell r="N11735">
            <v>3.7330000000000001</v>
          </cell>
          <cell r="O11735">
            <v>3.3359999999999999</v>
          </cell>
        </row>
        <row r="11736">
          <cell r="E11736" t="str">
            <v>MUS</v>
          </cell>
          <cell r="F11736" t="str">
            <v xml:space="preserve">MUS-P </v>
          </cell>
          <cell r="G11736">
            <v>110</v>
          </cell>
          <cell r="H11736" t="str">
            <v>MUS-P 110</v>
          </cell>
          <cell r="K11736" t="str">
            <v>Cartledge,David Owen</v>
          </cell>
          <cell r="N11736">
            <v>3.4630000000000001</v>
          </cell>
          <cell r="O11736">
            <v>2.63</v>
          </cell>
        </row>
        <row r="11737">
          <cell r="E11737" t="str">
            <v>MUS</v>
          </cell>
          <cell r="F11737" t="str">
            <v xml:space="preserve">MUS-P </v>
          </cell>
          <cell r="G11737">
            <v>110</v>
          </cell>
          <cell r="H11737" t="str">
            <v>MUS-P 110</v>
          </cell>
          <cell r="K11737" t="str">
            <v>Cartledge,David Owen</v>
          </cell>
          <cell r="N11737">
            <v>3.9140000000000001</v>
          </cell>
          <cell r="O11737">
            <v>3.2349999999999999</v>
          </cell>
        </row>
        <row r="11738">
          <cell r="E11738" t="str">
            <v>MUS</v>
          </cell>
          <cell r="F11738" t="str">
            <v xml:space="preserve">MUS-P </v>
          </cell>
          <cell r="G11738">
            <v>110</v>
          </cell>
          <cell r="H11738" t="str">
            <v>MUS-P 110</v>
          </cell>
          <cell r="K11738" t="str">
            <v>Cartledge,David Owen</v>
          </cell>
          <cell r="N11738">
            <v>3.2829999999999999</v>
          </cell>
          <cell r="O11738">
            <v>3.3130000000000002</v>
          </cell>
        </row>
        <row r="11739">
          <cell r="E11739" t="str">
            <v>MUS</v>
          </cell>
          <cell r="F11739" t="str">
            <v xml:space="preserve">MUS-P </v>
          </cell>
          <cell r="G11739">
            <v>110</v>
          </cell>
          <cell r="H11739" t="str">
            <v>MUS-P 110</v>
          </cell>
          <cell r="K11739" t="str">
            <v>Cartledge,David Owen</v>
          </cell>
          <cell r="N11739">
            <v>3.6749999999999998</v>
          </cell>
          <cell r="O11739">
            <v>2.919</v>
          </cell>
        </row>
        <row r="11740">
          <cell r="E11740" t="str">
            <v>MUS</v>
          </cell>
          <cell r="F11740" t="str">
            <v xml:space="preserve">MUS-P </v>
          </cell>
          <cell r="G11740">
            <v>110</v>
          </cell>
          <cell r="H11740" t="str">
            <v>MUS-P 110</v>
          </cell>
          <cell r="K11740" t="str">
            <v>Cartledge,David Owen</v>
          </cell>
          <cell r="N11740">
            <v>3.9</v>
          </cell>
          <cell r="O11740">
            <v>2.8610000000000002</v>
          </cell>
        </row>
        <row r="11741">
          <cell r="E11741" t="str">
            <v>MUS</v>
          </cell>
          <cell r="F11741" t="str">
            <v xml:space="preserve">MUS-P </v>
          </cell>
          <cell r="G11741">
            <v>110</v>
          </cell>
          <cell r="H11741" t="str">
            <v>MUS-P 110</v>
          </cell>
          <cell r="K11741" t="str">
            <v>Cartledge,David Owen</v>
          </cell>
          <cell r="N11741">
            <v>3.0859999999999999</v>
          </cell>
          <cell r="O11741">
            <v>2.5329999999999999</v>
          </cell>
        </row>
        <row r="11742">
          <cell r="E11742" t="str">
            <v>MUS</v>
          </cell>
          <cell r="F11742" t="str">
            <v xml:space="preserve">MUS-P </v>
          </cell>
          <cell r="G11742">
            <v>110</v>
          </cell>
          <cell r="H11742" t="str">
            <v>MUS-P 110</v>
          </cell>
          <cell r="K11742" t="str">
            <v>Cartledge,David Owen</v>
          </cell>
          <cell r="N11742">
            <v>3.875</v>
          </cell>
          <cell r="O11742">
            <v>3.452</v>
          </cell>
        </row>
        <row r="11743">
          <cell r="E11743" t="str">
            <v>MUS</v>
          </cell>
          <cell r="F11743" t="str">
            <v xml:space="preserve">MUS-P </v>
          </cell>
          <cell r="G11743">
            <v>110</v>
          </cell>
          <cell r="H11743" t="str">
            <v>MUS-P 110</v>
          </cell>
          <cell r="K11743" t="str">
            <v>Cartledge,David Owen</v>
          </cell>
          <cell r="N11743">
            <v>3.875</v>
          </cell>
          <cell r="O11743">
            <v>3.0750000000000002</v>
          </cell>
        </row>
        <row r="11744">
          <cell r="E11744" t="str">
            <v>MUS</v>
          </cell>
          <cell r="F11744" t="str">
            <v xml:space="preserve">MUS-P </v>
          </cell>
          <cell r="G11744">
            <v>110</v>
          </cell>
          <cell r="H11744" t="str">
            <v>MUS-P 110</v>
          </cell>
          <cell r="K11744" t="str">
            <v>Cartledge,David Owen</v>
          </cell>
          <cell r="N11744">
            <v>3.9140000000000001</v>
          </cell>
          <cell r="O11744">
            <v>2.863</v>
          </cell>
        </row>
        <row r="11745">
          <cell r="E11745" t="str">
            <v>MUS</v>
          </cell>
          <cell r="F11745" t="str">
            <v xml:space="preserve">MUS-P </v>
          </cell>
          <cell r="G11745">
            <v>110</v>
          </cell>
          <cell r="H11745" t="str">
            <v>MUS-P 110</v>
          </cell>
          <cell r="K11745" t="str">
            <v>Cartledge,David Owen</v>
          </cell>
          <cell r="N11745">
            <v>3.3290000000000002</v>
          </cell>
          <cell r="O11745">
            <v>2.927</v>
          </cell>
        </row>
        <row r="11746">
          <cell r="E11746" t="str">
            <v>MUS</v>
          </cell>
          <cell r="F11746" t="str">
            <v xml:space="preserve">MUS-P </v>
          </cell>
          <cell r="G11746">
            <v>110</v>
          </cell>
          <cell r="H11746" t="str">
            <v>MUS-P 110</v>
          </cell>
          <cell r="K11746" t="str">
            <v>Cartledge,David Owen</v>
          </cell>
          <cell r="N11746">
            <v>3.9630000000000001</v>
          </cell>
          <cell r="O11746">
            <v>3.2290000000000001</v>
          </cell>
        </row>
        <row r="11747">
          <cell r="E11747" t="str">
            <v>MUS</v>
          </cell>
          <cell r="F11747" t="str">
            <v xml:space="preserve">MUS-P </v>
          </cell>
          <cell r="G11747">
            <v>110</v>
          </cell>
          <cell r="H11747" t="str">
            <v>MUS-P 110</v>
          </cell>
          <cell r="K11747" t="str">
            <v>Cartledge,David Owen</v>
          </cell>
          <cell r="N11747">
            <v>3.95</v>
          </cell>
          <cell r="O11747">
            <v>3.2130000000000001</v>
          </cell>
        </row>
        <row r="11748">
          <cell r="E11748" t="str">
            <v>MUS</v>
          </cell>
          <cell r="F11748" t="str">
            <v xml:space="preserve">MUS-P </v>
          </cell>
          <cell r="G11748">
            <v>110</v>
          </cell>
          <cell r="H11748" t="str">
            <v>MUS-P 110</v>
          </cell>
          <cell r="K11748" t="str">
            <v>Cartledge,David Owen</v>
          </cell>
          <cell r="N11748">
            <v>3.9630000000000001</v>
          </cell>
          <cell r="O11748">
            <v>3.274</v>
          </cell>
        </row>
        <row r="11749">
          <cell r="E11749" t="str">
            <v>MUS</v>
          </cell>
          <cell r="F11749" t="str">
            <v xml:space="preserve">MUS-P </v>
          </cell>
          <cell r="G11749">
            <v>110</v>
          </cell>
          <cell r="H11749" t="str">
            <v>MUS-P 110</v>
          </cell>
          <cell r="K11749" t="str">
            <v>Cartledge,David Owen</v>
          </cell>
          <cell r="N11749">
            <v>3.9</v>
          </cell>
          <cell r="O11749">
            <v>3.1509999999999998</v>
          </cell>
        </row>
        <row r="11750">
          <cell r="E11750" t="str">
            <v>MUS</v>
          </cell>
          <cell r="F11750" t="str">
            <v xml:space="preserve">MUS-P </v>
          </cell>
          <cell r="G11750">
            <v>110</v>
          </cell>
          <cell r="H11750" t="str">
            <v>MUS-P 110</v>
          </cell>
          <cell r="K11750" t="str">
            <v>Cartledge,David Owen</v>
          </cell>
          <cell r="N11750">
            <v>3.95</v>
          </cell>
          <cell r="O11750">
            <v>3.5539999999999998</v>
          </cell>
        </row>
        <row r="11751">
          <cell r="E11751" t="str">
            <v>MUS</v>
          </cell>
          <cell r="F11751" t="str">
            <v xml:space="preserve">MUS-P </v>
          </cell>
          <cell r="G11751">
            <v>110</v>
          </cell>
          <cell r="H11751" t="str">
            <v>MUS-P 110</v>
          </cell>
          <cell r="K11751" t="str">
            <v>Cartledge,David Owen</v>
          </cell>
          <cell r="N11751">
            <v>3.9140000000000001</v>
          </cell>
          <cell r="O11751">
            <v>3.15</v>
          </cell>
        </row>
        <row r="11752">
          <cell r="E11752" t="str">
            <v>MUS</v>
          </cell>
          <cell r="F11752" t="str">
            <v xml:space="preserve">MUS-P </v>
          </cell>
          <cell r="G11752">
            <v>110</v>
          </cell>
          <cell r="H11752" t="str">
            <v>MUS-P 110</v>
          </cell>
          <cell r="K11752" t="str">
            <v>Cartledge,David Owen</v>
          </cell>
          <cell r="N11752">
            <v>3.8140000000000001</v>
          </cell>
          <cell r="O11752">
            <v>3.1520000000000001</v>
          </cell>
        </row>
        <row r="11753">
          <cell r="E11753" t="str">
            <v>MUS</v>
          </cell>
          <cell r="F11753" t="str">
            <v xml:space="preserve">MUS-P </v>
          </cell>
          <cell r="G11753">
            <v>110</v>
          </cell>
          <cell r="H11753" t="str">
            <v>MUS-P 110</v>
          </cell>
          <cell r="K11753" t="str">
            <v>Cartledge,David Owen</v>
          </cell>
          <cell r="N11753">
            <v>3.9140000000000001</v>
          </cell>
          <cell r="O11753">
            <v>3.2069999999999999</v>
          </cell>
        </row>
        <row r="11754">
          <cell r="E11754" t="str">
            <v>MUS</v>
          </cell>
          <cell r="F11754" t="str">
            <v xml:space="preserve">MUS-P </v>
          </cell>
          <cell r="G11754">
            <v>110</v>
          </cell>
          <cell r="H11754" t="str">
            <v>MUS-P 110</v>
          </cell>
          <cell r="K11754" t="str">
            <v>Cartledge,David Owen</v>
          </cell>
          <cell r="N11754">
            <v>3.5710000000000002</v>
          </cell>
          <cell r="O11754">
            <v>3.0419999999999998</v>
          </cell>
        </row>
        <row r="11755">
          <cell r="E11755" t="str">
            <v>MUS</v>
          </cell>
          <cell r="F11755" t="str">
            <v xml:space="preserve">MUS-P </v>
          </cell>
          <cell r="G11755">
            <v>110</v>
          </cell>
          <cell r="H11755" t="str">
            <v>MUS-P 110</v>
          </cell>
          <cell r="K11755" t="str">
            <v>Cartledge,David Owen</v>
          </cell>
          <cell r="N11755">
            <v>3.875</v>
          </cell>
          <cell r="O11755">
            <v>3.2570000000000001</v>
          </cell>
        </row>
        <row r="11756">
          <cell r="E11756" t="str">
            <v>MUS</v>
          </cell>
          <cell r="F11756" t="str">
            <v xml:space="preserve">MUS-P </v>
          </cell>
          <cell r="G11756">
            <v>110</v>
          </cell>
          <cell r="H11756" t="str">
            <v>MUS-P 110</v>
          </cell>
          <cell r="K11756" t="str">
            <v>Cartledge,David Owen</v>
          </cell>
          <cell r="N11756">
            <v>4</v>
          </cell>
          <cell r="O11756">
            <v>3.3879999999999999</v>
          </cell>
        </row>
        <row r="11757">
          <cell r="E11757" t="str">
            <v>MUS</v>
          </cell>
          <cell r="F11757" t="str">
            <v xml:space="preserve">MUS-P </v>
          </cell>
          <cell r="G11757">
            <v>110</v>
          </cell>
          <cell r="H11757" t="str">
            <v>MUS-P 110</v>
          </cell>
          <cell r="K11757" t="str">
            <v>Cartledge,David Owen</v>
          </cell>
          <cell r="N11757">
            <v>3.9140000000000001</v>
          </cell>
          <cell r="O11757">
            <v>3.2090000000000001</v>
          </cell>
        </row>
        <row r="11758">
          <cell r="E11758" t="str">
            <v>MUS</v>
          </cell>
          <cell r="F11758" t="str">
            <v xml:space="preserve">MUS-P </v>
          </cell>
          <cell r="G11758">
            <v>110</v>
          </cell>
          <cell r="H11758" t="str">
            <v>MUS-P 110</v>
          </cell>
          <cell r="K11758" t="str">
            <v>Cartledge,David Owen</v>
          </cell>
          <cell r="N11758">
            <v>3.8330000000000002</v>
          </cell>
          <cell r="O11758">
            <v>3.0059999999999998</v>
          </cell>
        </row>
        <row r="11759">
          <cell r="E11759" t="str">
            <v>MUS</v>
          </cell>
          <cell r="F11759" t="str">
            <v xml:space="preserve">MUS-P </v>
          </cell>
          <cell r="G11759">
            <v>110</v>
          </cell>
          <cell r="H11759" t="str">
            <v>MUS-P 110</v>
          </cell>
          <cell r="K11759" t="str">
            <v>Cartledge,David Owen</v>
          </cell>
          <cell r="N11759">
            <v>3.4860000000000002</v>
          </cell>
          <cell r="O11759">
            <v>3.3380000000000001</v>
          </cell>
        </row>
        <row r="11760">
          <cell r="E11760" t="str">
            <v>MUS</v>
          </cell>
          <cell r="F11760" t="str">
            <v xml:space="preserve">MUS-P </v>
          </cell>
          <cell r="G11760">
            <v>110</v>
          </cell>
          <cell r="H11760" t="str">
            <v>MUS-P 110</v>
          </cell>
          <cell r="K11760" t="str">
            <v>Cartledge,David Owen</v>
          </cell>
          <cell r="N11760">
            <v>3.7570000000000001</v>
          </cell>
          <cell r="O11760">
            <v>3.4209999999999998</v>
          </cell>
        </row>
        <row r="11761">
          <cell r="E11761" t="str">
            <v>MUS</v>
          </cell>
          <cell r="F11761" t="str">
            <v xml:space="preserve">MUS-P </v>
          </cell>
          <cell r="G11761">
            <v>110</v>
          </cell>
          <cell r="H11761" t="str">
            <v>MUS-P 110</v>
          </cell>
          <cell r="K11761" t="str">
            <v>Cartledge,David Owen</v>
          </cell>
          <cell r="N11761">
            <v>4</v>
          </cell>
          <cell r="O11761">
            <v>3.5</v>
          </cell>
        </row>
        <row r="11762">
          <cell r="E11762" t="str">
            <v>MUS</v>
          </cell>
          <cell r="F11762" t="str">
            <v xml:space="preserve">MUS-P </v>
          </cell>
          <cell r="G11762">
            <v>110</v>
          </cell>
          <cell r="H11762" t="str">
            <v>MUS-P 110</v>
          </cell>
          <cell r="K11762" t="str">
            <v>Cartledge,David Owen</v>
          </cell>
          <cell r="N11762">
            <v>3.617</v>
          </cell>
          <cell r="O11762">
            <v>3.2730000000000001</v>
          </cell>
        </row>
        <row r="11763">
          <cell r="E11763" t="str">
            <v>MUS</v>
          </cell>
          <cell r="F11763" t="str">
            <v xml:space="preserve">MUS-P </v>
          </cell>
          <cell r="G11763">
            <v>110</v>
          </cell>
          <cell r="H11763" t="str">
            <v>MUS-P 110</v>
          </cell>
          <cell r="K11763" t="str">
            <v>Cartledge,David Owen</v>
          </cell>
          <cell r="N11763">
            <v>3.8570000000000002</v>
          </cell>
          <cell r="O11763">
            <v>3.629</v>
          </cell>
        </row>
        <row r="11764">
          <cell r="E11764" t="str">
            <v>MUS</v>
          </cell>
          <cell r="F11764" t="str">
            <v xml:space="preserve">MUS-P </v>
          </cell>
          <cell r="G11764">
            <v>110</v>
          </cell>
          <cell r="H11764" t="str">
            <v>MUS-P 110</v>
          </cell>
          <cell r="K11764" t="str">
            <v>Cartledge,David Owen</v>
          </cell>
          <cell r="N11764">
            <v>4</v>
          </cell>
          <cell r="O11764">
            <v>3.3380000000000001</v>
          </cell>
        </row>
        <row r="11765">
          <cell r="E11765" t="str">
            <v>MUS</v>
          </cell>
          <cell r="F11765" t="str">
            <v xml:space="preserve">MUS-P </v>
          </cell>
          <cell r="G11765">
            <v>110</v>
          </cell>
          <cell r="H11765" t="str">
            <v>MUS-P 110</v>
          </cell>
          <cell r="K11765" t="str">
            <v>Cartledge,David Owen</v>
          </cell>
          <cell r="N11765">
            <v>3.9630000000000001</v>
          </cell>
          <cell r="O11765">
            <v>3.4350000000000001</v>
          </cell>
        </row>
        <row r="11766">
          <cell r="E11766" t="str">
            <v>MUS</v>
          </cell>
          <cell r="F11766" t="str">
            <v xml:space="preserve">MUS-P </v>
          </cell>
          <cell r="G11766">
            <v>110</v>
          </cell>
          <cell r="H11766" t="str">
            <v>MUS-P 110</v>
          </cell>
          <cell r="K11766" t="str">
            <v>Cartledge,David Owen</v>
          </cell>
          <cell r="N11766">
            <v>4</v>
          </cell>
          <cell r="O11766">
            <v>3.2490000000000001</v>
          </cell>
        </row>
        <row r="11767">
          <cell r="E11767" t="str">
            <v>MUS</v>
          </cell>
          <cell r="F11767" t="str">
            <v xml:space="preserve">MUS-P </v>
          </cell>
          <cell r="G11767">
            <v>110</v>
          </cell>
          <cell r="H11767" t="str">
            <v>MUS-P 110</v>
          </cell>
          <cell r="K11767" t="str">
            <v>Cartledge,David Owen</v>
          </cell>
          <cell r="N11767">
            <v>4</v>
          </cell>
          <cell r="O11767">
            <v>3.0910000000000002</v>
          </cell>
        </row>
        <row r="11768">
          <cell r="E11768" t="str">
            <v>MUS</v>
          </cell>
          <cell r="F11768" t="str">
            <v xml:space="preserve">MUS-P </v>
          </cell>
          <cell r="G11768">
            <v>110</v>
          </cell>
          <cell r="H11768" t="str">
            <v>MUS-P 110</v>
          </cell>
          <cell r="K11768" t="str">
            <v>Cartledge,David Owen</v>
          </cell>
          <cell r="N11768">
            <v>3.5</v>
          </cell>
          <cell r="O11768">
            <v>3.508</v>
          </cell>
        </row>
        <row r="11769">
          <cell r="E11769" t="str">
            <v>MUS</v>
          </cell>
          <cell r="F11769" t="str">
            <v xml:space="preserve">MUS-P </v>
          </cell>
          <cell r="G11769">
            <v>110</v>
          </cell>
          <cell r="H11769" t="str">
            <v>MUS-P 110</v>
          </cell>
          <cell r="K11769" t="str">
            <v>Cartledge,David Owen</v>
          </cell>
          <cell r="N11769">
            <v>3.9249999999999998</v>
          </cell>
          <cell r="O11769">
            <v>3.4830000000000001</v>
          </cell>
        </row>
        <row r="11770">
          <cell r="E11770" t="str">
            <v>MUS</v>
          </cell>
          <cell r="F11770" t="str">
            <v xml:space="preserve">MUS-P </v>
          </cell>
          <cell r="G11770">
            <v>110</v>
          </cell>
          <cell r="H11770" t="str">
            <v>MUS-P 110</v>
          </cell>
          <cell r="K11770" t="str">
            <v>Cartledge,David Owen</v>
          </cell>
          <cell r="N11770">
            <v>2.1859999999999999</v>
          </cell>
          <cell r="O11770">
            <v>2.9220000000000002</v>
          </cell>
        </row>
        <row r="11771">
          <cell r="E11771" t="str">
            <v>MUS</v>
          </cell>
          <cell r="F11771" t="str">
            <v xml:space="preserve">MUS-P </v>
          </cell>
          <cell r="G11771">
            <v>110</v>
          </cell>
          <cell r="H11771" t="str">
            <v>MUS-P 110</v>
          </cell>
          <cell r="K11771" t="str">
            <v>Cartledge,David Owen</v>
          </cell>
          <cell r="N11771">
            <v>3.375</v>
          </cell>
          <cell r="O11771">
            <v>2.88</v>
          </cell>
        </row>
        <row r="11772">
          <cell r="E11772" t="str">
            <v>MUS</v>
          </cell>
          <cell r="F11772" t="str">
            <v xml:space="preserve">MUS-P </v>
          </cell>
          <cell r="G11772">
            <v>110</v>
          </cell>
          <cell r="H11772" t="str">
            <v>MUS-P 110</v>
          </cell>
          <cell r="K11772" t="str">
            <v>Cartledge,David Owen</v>
          </cell>
          <cell r="N11772">
            <v>3.875</v>
          </cell>
          <cell r="O11772">
            <v>3.3490000000000002</v>
          </cell>
        </row>
        <row r="11773">
          <cell r="E11773" t="str">
            <v>MUS</v>
          </cell>
          <cell r="F11773" t="str">
            <v xml:space="preserve">MUS-P </v>
          </cell>
          <cell r="G11773">
            <v>110</v>
          </cell>
          <cell r="H11773" t="str">
            <v>MUS-P 110</v>
          </cell>
          <cell r="K11773" t="str">
            <v>Cartledge,David Owen</v>
          </cell>
          <cell r="N11773">
            <v>4</v>
          </cell>
          <cell r="O11773">
            <v>3.1190000000000002</v>
          </cell>
        </row>
        <row r="11774">
          <cell r="E11774" t="str">
            <v>MUS</v>
          </cell>
          <cell r="F11774" t="str">
            <v xml:space="preserve">MUS-P </v>
          </cell>
          <cell r="G11774">
            <v>110</v>
          </cell>
          <cell r="H11774" t="str">
            <v>MUS-P 110</v>
          </cell>
          <cell r="K11774" t="str">
            <v>Cartledge,David Owen</v>
          </cell>
          <cell r="N11774">
            <v>4</v>
          </cell>
          <cell r="O11774">
            <v>3.4620000000000002</v>
          </cell>
        </row>
        <row r="11775">
          <cell r="E11775" t="str">
            <v>MUS</v>
          </cell>
          <cell r="F11775" t="str">
            <v xml:space="preserve">MUS-P </v>
          </cell>
          <cell r="G11775">
            <v>110</v>
          </cell>
          <cell r="H11775" t="str">
            <v>MUS-P 110</v>
          </cell>
          <cell r="K11775" t="str">
            <v>Cartledge,David Owen</v>
          </cell>
          <cell r="N11775">
            <v>3.9249999999999998</v>
          </cell>
          <cell r="O11775">
            <v>3.4569999999999999</v>
          </cell>
        </row>
        <row r="11776">
          <cell r="E11776" t="str">
            <v>MUS</v>
          </cell>
          <cell r="F11776" t="str">
            <v xml:space="preserve">MUS-P </v>
          </cell>
          <cell r="G11776">
            <v>110</v>
          </cell>
          <cell r="H11776" t="str">
            <v>MUS-P 110</v>
          </cell>
          <cell r="K11776" t="str">
            <v>Cartledge,David Owen</v>
          </cell>
          <cell r="N11776">
            <v>3.9</v>
          </cell>
          <cell r="O11776">
            <v>3.1459999999999999</v>
          </cell>
        </row>
        <row r="11777">
          <cell r="E11777" t="str">
            <v>MUS</v>
          </cell>
          <cell r="F11777" t="str">
            <v xml:space="preserve">MUS-P </v>
          </cell>
          <cell r="G11777">
            <v>110</v>
          </cell>
          <cell r="H11777" t="str">
            <v>MUS-P 110</v>
          </cell>
          <cell r="K11777" t="str">
            <v>Cartledge,David Owen</v>
          </cell>
          <cell r="N11777" t="str">
            <v>NR</v>
          </cell>
          <cell r="O11777" t="str">
            <v>NR</v>
          </cell>
        </row>
        <row r="11778">
          <cell r="E11778" t="str">
            <v>MUS</v>
          </cell>
          <cell r="F11778" t="str">
            <v xml:space="preserve">MUS-P </v>
          </cell>
          <cell r="G11778">
            <v>110</v>
          </cell>
          <cell r="H11778" t="str">
            <v>MUS-P 110</v>
          </cell>
          <cell r="K11778" t="str">
            <v>Cartledge,David Owen</v>
          </cell>
          <cell r="N11778" t="str">
            <v>NR</v>
          </cell>
          <cell r="O11778" t="str">
            <v>NR</v>
          </cell>
        </row>
        <row r="11779">
          <cell r="E11779" t="str">
            <v>MUS</v>
          </cell>
          <cell r="F11779" t="str">
            <v xml:space="preserve">MUS-P </v>
          </cell>
          <cell r="G11779">
            <v>110</v>
          </cell>
          <cell r="H11779" t="str">
            <v>MUS-P 110</v>
          </cell>
          <cell r="K11779" t="str">
            <v>Cartledge,David Owen</v>
          </cell>
          <cell r="N11779">
            <v>3.7130000000000001</v>
          </cell>
          <cell r="O11779">
            <v>2.9980000000000002</v>
          </cell>
        </row>
        <row r="11780">
          <cell r="E11780" t="str">
            <v>MUS</v>
          </cell>
          <cell r="F11780" t="str">
            <v xml:space="preserve">MUS-P </v>
          </cell>
          <cell r="G11780">
            <v>110</v>
          </cell>
          <cell r="H11780" t="str">
            <v>MUS-P 110</v>
          </cell>
          <cell r="K11780" t="str">
            <v>Cartledge,David Owen</v>
          </cell>
          <cell r="N11780">
            <v>3.9140000000000001</v>
          </cell>
          <cell r="O11780">
            <v>3.3239999999999998</v>
          </cell>
        </row>
        <row r="11781">
          <cell r="E11781" t="str">
            <v>MUS</v>
          </cell>
          <cell r="F11781" t="str">
            <v xml:space="preserve">MUS-P </v>
          </cell>
          <cell r="G11781">
            <v>111</v>
          </cell>
          <cell r="H11781" t="str">
            <v>MUS-P 111</v>
          </cell>
          <cell r="K11781" t="str">
            <v>Cartledge,David Owen</v>
          </cell>
          <cell r="N11781" t="str">
            <v>NR</v>
          </cell>
          <cell r="O11781" t="str">
            <v>NR</v>
          </cell>
        </row>
        <row r="11782">
          <cell r="E11782" t="str">
            <v>MUS</v>
          </cell>
          <cell r="F11782" t="str">
            <v xml:space="preserve">MUS-P </v>
          </cell>
          <cell r="G11782">
            <v>111</v>
          </cell>
          <cell r="H11782" t="str">
            <v>MUS-P 111</v>
          </cell>
          <cell r="K11782" t="str">
            <v>Cartledge,David Owen</v>
          </cell>
          <cell r="N11782">
            <v>3.75</v>
          </cell>
          <cell r="O11782">
            <v>3.48</v>
          </cell>
        </row>
        <row r="11783">
          <cell r="E11783" t="str">
            <v>MUS</v>
          </cell>
          <cell r="F11783" t="str">
            <v xml:space="preserve">MUS-P </v>
          </cell>
          <cell r="G11783">
            <v>111</v>
          </cell>
          <cell r="H11783" t="str">
            <v>MUS-P 111</v>
          </cell>
          <cell r="K11783" t="str">
            <v>Cartledge,David Owen</v>
          </cell>
          <cell r="N11783">
            <v>3.6669999999999998</v>
          </cell>
          <cell r="O11783">
            <v>3.4769999999999999</v>
          </cell>
        </row>
        <row r="11784">
          <cell r="E11784" t="str">
            <v>MUS</v>
          </cell>
          <cell r="F11784" t="str">
            <v xml:space="preserve">MUS-P </v>
          </cell>
          <cell r="G11784">
            <v>111</v>
          </cell>
          <cell r="H11784" t="str">
            <v>MUS-P 111</v>
          </cell>
          <cell r="K11784" t="str">
            <v>Cartledge,David Owen</v>
          </cell>
          <cell r="N11784">
            <v>3.875</v>
          </cell>
          <cell r="O11784">
            <v>3.484</v>
          </cell>
        </row>
        <row r="11785">
          <cell r="E11785" t="str">
            <v>MUS</v>
          </cell>
          <cell r="F11785" t="str">
            <v xml:space="preserve">MUS-P </v>
          </cell>
          <cell r="G11785">
            <v>111</v>
          </cell>
          <cell r="H11785" t="str">
            <v>MUS-P 111</v>
          </cell>
          <cell r="K11785" t="str">
            <v>Cartledge,David Owen</v>
          </cell>
          <cell r="N11785">
            <v>3.6669999999999998</v>
          </cell>
          <cell r="O11785">
            <v>2.9849999999999999</v>
          </cell>
        </row>
        <row r="11786">
          <cell r="E11786" t="str">
            <v>MUS</v>
          </cell>
          <cell r="F11786" t="str">
            <v xml:space="preserve">MUS-P </v>
          </cell>
          <cell r="G11786">
            <v>111</v>
          </cell>
          <cell r="H11786" t="str">
            <v>MUS-P 111</v>
          </cell>
          <cell r="K11786" t="str">
            <v>Cartledge,David Owen</v>
          </cell>
          <cell r="N11786">
            <v>3.7709999999999999</v>
          </cell>
          <cell r="O11786">
            <v>3.109</v>
          </cell>
        </row>
        <row r="11787">
          <cell r="E11787" t="str">
            <v>MUS</v>
          </cell>
          <cell r="F11787" t="str">
            <v xml:space="preserve">MUS-P </v>
          </cell>
          <cell r="G11787">
            <v>111</v>
          </cell>
          <cell r="H11787" t="str">
            <v>MUS-P 111</v>
          </cell>
          <cell r="K11787" t="str">
            <v>Cartledge,David Owen</v>
          </cell>
          <cell r="N11787" t="str">
            <v>NR</v>
          </cell>
          <cell r="O11787" t="str">
            <v>NR</v>
          </cell>
        </row>
        <row r="11788">
          <cell r="E11788" t="str">
            <v>MUS</v>
          </cell>
          <cell r="F11788" t="str">
            <v xml:space="preserve">MUS-P </v>
          </cell>
          <cell r="G11788">
            <v>120</v>
          </cell>
          <cell r="H11788" t="str">
            <v>MUS-P 120</v>
          </cell>
          <cell r="K11788" t="str">
            <v>Cartledge,David Owen</v>
          </cell>
          <cell r="N11788" t="str">
            <v>NR</v>
          </cell>
          <cell r="O11788" t="str">
            <v>NR</v>
          </cell>
        </row>
        <row r="11789">
          <cell r="E11789" t="str">
            <v>MUS</v>
          </cell>
          <cell r="F11789" t="str">
            <v xml:space="preserve">MUS-P </v>
          </cell>
          <cell r="G11789">
            <v>120</v>
          </cell>
          <cell r="H11789" t="str">
            <v>MUS-P 120</v>
          </cell>
          <cell r="K11789" t="str">
            <v>Cartledge,David Owen</v>
          </cell>
          <cell r="N11789">
            <v>3.9630000000000001</v>
          </cell>
          <cell r="O11789">
            <v>3.2370000000000001</v>
          </cell>
        </row>
        <row r="11790">
          <cell r="E11790" t="str">
            <v>MUS</v>
          </cell>
          <cell r="F11790" t="str">
            <v xml:space="preserve">MUS-P </v>
          </cell>
          <cell r="G11790">
            <v>120</v>
          </cell>
          <cell r="H11790" t="str">
            <v>MUS-P 120</v>
          </cell>
          <cell r="K11790" t="str">
            <v>Cartledge,David Owen</v>
          </cell>
          <cell r="N11790">
            <v>3.7570000000000001</v>
          </cell>
          <cell r="O11790">
            <v>3.343</v>
          </cell>
        </row>
        <row r="11791">
          <cell r="E11791" t="str">
            <v>MUS</v>
          </cell>
          <cell r="F11791" t="str">
            <v xml:space="preserve">MUS-P </v>
          </cell>
          <cell r="G11791">
            <v>120</v>
          </cell>
          <cell r="H11791" t="str">
            <v>MUS-P 120</v>
          </cell>
          <cell r="K11791" t="str">
            <v>Cartledge,David Owen</v>
          </cell>
          <cell r="N11791">
            <v>3.8330000000000002</v>
          </cell>
          <cell r="O11791">
            <v>3.1960000000000002</v>
          </cell>
        </row>
        <row r="11792">
          <cell r="E11792" t="str">
            <v>MUS</v>
          </cell>
          <cell r="F11792" t="str">
            <v xml:space="preserve">MUS-P </v>
          </cell>
          <cell r="G11792">
            <v>120</v>
          </cell>
          <cell r="H11792" t="str">
            <v>MUS-P 120</v>
          </cell>
          <cell r="K11792" t="str">
            <v>Cartledge,David Owen</v>
          </cell>
          <cell r="N11792">
            <v>3.8140000000000001</v>
          </cell>
          <cell r="O11792">
            <v>3.298</v>
          </cell>
        </row>
        <row r="11793">
          <cell r="E11793" t="str">
            <v>MUS</v>
          </cell>
          <cell r="F11793" t="str">
            <v xml:space="preserve">MUS-P </v>
          </cell>
          <cell r="G11793">
            <v>120</v>
          </cell>
          <cell r="H11793" t="str">
            <v>MUS-P 120</v>
          </cell>
          <cell r="K11793" t="str">
            <v>Cartledge,David Owen</v>
          </cell>
          <cell r="N11793" t="str">
            <v>NR</v>
          </cell>
          <cell r="O11793" t="str">
            <v>NR</v>
          </cell>
        </row>
        <row r="11794">
          <cell r="E11794" t="str">
            <v>MUS</v>
          </cell>
          <cell r="F11794" t="str">
            <v xml:space="preserve">MUS-P </v>
          </cell>
          <cell r="G11794">
            <v>120</v>
          </cell>
          <cell r="H11794" t="str">
            <v>MUS-P 120</v>
          </cell>
          <cell r="K11794" t="str">
            <v>Cartledge,David Owen</v>
          </cell>
          <cell r="N11794">
            <v>3.7250000000000001</v>
          </cell>
          <cell r="O11794">
            <v>3.1280000000000001</v>
          </cell>
        </row>
        <row r="11795">
          <cell r="E11795" t="str">
            <v>MUS</v>
          </cell>
          <cell r="F11795" t="str">
            <v xml:space="preserve">MUS-P </v>
          </cell>
          <cell r="G11795">
            <v>120</v>
          </cell>
          <cell r="H11795" t="str">
            <v>MUS-P 120</v>
          </cell>
          <cell r="K11795" t="str">
            <v>Cartledge,David Owen</v>
          </cell>
          <cell r="N11795">
            <v>2.8</v>
          </cell>
          <cell r="O11795">
            <v>3.157</v>
          </cell>
        </row>
        <row r="11796">
          <cell r="E11796" t="str">
            <v>MUS</v>
          </cell>
          <cell r="F11796" t="str">
            <v xml:space="preserve">MUS-P </v>
          </cell>
          <cell r="G11796">
            <v>120</v>
          </cell>
          <cell r="H11796" t="str">
            <v>MUS-P 120</v>
          </cell>
          <cell r="K11796" t="str">
            <v>Cartledge,David Owen</v>
          </cell>
          <cell r="N11796">
            <v>3.9569999999999999</v>
          </cell>
          <cell r="O11796">
            <v>3.073</v>
          </cell>
        </row>
        <row r="11797">
          <cell r="E11797" t="str">
            <v>MUS</v>
          </cell>
          <cell r="F11797" t="str">
            <v xml:space="preserve">MUS-P </v>
          </cell>
          <cell r="G11797">
            <v>120</v>
          </cell>
          <cell r="H11797" t="str">
            <v>MUS-P 120</v>
          </cell>
          <cell r="K11797" t="str">
            <v>Cartledge,David Owen</v>
          </cell>
          <cell r="N11797">
            <v>3.95</v>
          </cell>
          <cell r="O11797">
            <v>3.48</v>
          </cell>
        </row>
        <row r="11798">
          <cell r="E11798" t="str">
            <v>MUS</v>
          </cell>
          <cell r="F11798" t="str">
            <v xml:space="preserve">MUS-P </v>
          </cell>
          <cell r="G11798">
            <v>120</v>
          </cell>
          <cell r="H11798" t="str">
            <v>MUS-P 120</v>
          </cell>
          <cell r="K11798" t="str">
            <v>Cartledge,David Owen</v>
          </cell>
          <cell r="N11798" t="str">
            <v>NR</v>
          </cell>
          <cell r="O11798" t="str">
            <v>NR</v>
          </cell>
        </row>
        <row r="11799">
          <cell r="E11799" t="str">
            <v>MUS</v>
          </cell>
          <cell r="F11799" t="str">
            <v xml:space="preserve">MUS-P </v>
          </cell>
          <cell r="G11799">
            <v>120</v>
          </cell>
          <cell r="H11799" t="str">
            <v>MUS-P 120</v>
          </cell>
          <cell r="K11799" t="str">
            <v>Cartledge,David Owen</v>
          </cell>
          <cell r="N11799">
            <v>4</v>
          </cell>
          <cell r="O11799">
            <v>3.4870000000000001</v>
          </cell>
        </row>
        <row r="11800">
          <cell r="E11800" t="str">
            <v>MUS</v>
          </cell>
          <cell r="F11800" t="str">
            <v xml:space="preserve">MUS-P </v>
          </cell>
          <cell r="G11800">
            <v>120</v>
          </cell>
          <cell r="H11800" t="str">
            <v>MUS-P 120</v>
          </cell>
          <cell r="K11800" t="str">
            <v>Cartledge,David Owen</v>
          </cell>
          <cell r="N11800">
            <v>2.9249999999999998</v>
          </cell>
          <cell r="O11800">
            <v>3.359</v>
          </cell>
        </row>
        <row r="11801">
          <cell r="E11801" t="str">
            <v>MUS</v>
          </cell>
          <cell r="F11801" t="str">
            <v xml:space="preserve">MUS-P </v>
          </cell>
          <cell r="G11801">
            <v>120</v>
          </cell>
          <cell r="H11801" t="str">
            <v>MUS-P 120</v>
          </cell>
          <cell r="K11801" t="str">
            <v>Cartledge,David Owen</v>
          </cell>
          <cell r="N11801">
            <v>4</v>
          </cell>
          <cell r="O11801">
            <v>3.5449999999999999</v>
          </cell>
        </row>
        <row r="11802">
          <cell r="E11802" t="str">
            <v>MUS</v>
          </cell>
          <cell r="F11802" t="str">
            <v xml:space="preserve">MUS-P </v>
          </cell>
          <cell r="G11802">
            <v>120</v>
          </cell>
          <cell r="H11802" t="str">
            <v>MUS-P 120</v>
          </cell>
          <cell r="K11802" t="str">
            <v>Cartledge,David Owen</v>
          </cell>
          <cell r="N11802">
            <v>3.7130000000000001</v>
          </cell>
          <cell r="O11802">
            <v>3.5049999999999999</v>
          </cell>
        </row>
        <row r="11803">
          <cell r="E11803" t="str">
            <v>MUS</v>
          </cell>
          <cell r="F11803" t="str">
            <v xml:space="preserve">MUS-P </v>
          </cell>
          <cell r="G11803">
            <v>120</v>
          </cell>
          <cell r="H11803" t="str">
            <v>MUS-P 120</v>
          </cell>
          <cell r="K11803" t="str">
            <v>Cartledge,David Owen</v>
          </cell>
          <cell r="N11803">
            <v>2.7330000000000001</v>
          </cell>
          <cell r="O11803">
            <v>3.0720000000000001</v>
          </cell>
        </row>
        <row r="11804">
          <cell r="E11804" t="str">
            <v>MUS</v>
          </cell>
          <cell r="F11804" t="str">
            <v xml:space="preserve">MUS-P </v>
          </cell>
          <cell r="G11804">
            <v>120</v>
          </cell>
          <cell r="H11804" t="str">
            <v>MUS-P 120</v>
          </cell>
          <cell r="K11804" t="str">
            <v>Cartledge,David Owen</v>
          </cell>
          <cell r="N11804">
            <v>3.8140000000000001</v>
          </cell>
          <cell r="O11804">
            <v>3.387</v>
          </cell>
        </row>
        <row r="11805">
          <cell r="E11805" t="str">
            <v>MUS</v>
          </cell>
          <cell r="F11805" t="str">
            <v xml:space="preserve">MUS-P </v>
          </cell>
          <cell r="G11805">
            <v>120</v>
          </cell>
          <cell r="H11805" t="str">
            <v>MUS-P 120</v>
          </cell>
          <cell r="K11805" t="str">
            <v>Cartledge,David Owen</v>
          </cell>
          <cell r="N11805">
            <v>3.9249999999999998</v>
          </cell>
          <cell r="O11805">
            <v>3.52</v>
          </cell>
        </row>
        <row r="11806">
          <cell r="E11806" t="str">
            <v>MUS</v>
          </cell>
          <cell r="F11806" t="str">
            <v xml:space="preserve">MUS-P </v>
          </cell>
          <cell r="G11806">
            <v>120</v>
          </cell>
          <cell r="H11806" t="str">
            <v>MUS-P 120</v>
          </cell>
          <cell r="K11806" t="str">
            <v>Cartledge,David Owen</v>
          </cell>
          <cell r="N11806">
            <v>3.9140000000000001</v>
          </cell>
          <cell r="O11806">
            <v>3.0569999999999999</v>
          </cell>
        </row>
        <row r="11807">
          <cell r="E11807" t="str">
            <v>MUS</v>
          </cell>
          <cell r="F11807" t="str">
            <v xml:space="preserve">MUS-P </v>
          </cell>
          <cell r="G11807">
            <v>120</v>
          </cell>
          <cell r="H11807" t="str">
            <v>MUS-P 120</v>
          </cell>
          <cell r="K11807" t="str">
            <v>Cartledge,David Owen</v>
          </cell>
          <cell r="N11807">
            <v>3.7130000000000001</v>
          </cell>
          <cell r="O11807">
            <v>3.484</v>
          </cell>
        </row>
        <row r="11808">
          <cell r="E11808" t="str">
            <v>MUS</v>
          </cell>
          <cell r="F11808" t="str">
            <v xml:space="preserve">MUS-P </v>
          </cell>
          <cell r="G11808">
            <v>120</v>
          </cell>
          <cell r="H11808" t="str">
            <v>MUS-P 120</v>
          </cell>
          <cell r="K11808" t="str">
            <v>Cartledge,David Owen</v>
          </cell>
          <cell r="N11808">
            <v>3.95</v>
          </cell>
          <cell r="O11808">
            <v>3.3250000000000002</v>
          </cell>
        </row>
        <row r="11809">
          <cell r="E11809" t="str">
            <v>MUS</v>
          </cell>
          <cell r="F11809" t="str">
            <v xml:space="preserve">MUS-P </v>
          </cell>
          <cell r="G11809">
            <v>120</v>
          </cell>
          <cell r="H11809" t="str">
            <v>MUS-P 120</v>
          </cell>
          <cell r="K11809" t="str">
            <v>Cartledge,David Owen</v>
          </cell>
          <cell r="N11809" t="str">
            <v>NR</v>
          </cell>
          <cell r="O11809" t="str">
            <v>NR</v>
          </cell>
        </row>
        <row r="11810">
          <cell r="E11810" t="str">
            <v>MUS</v>
          </cell>
          <cell r="F11810" t="str">
            <v xml:space="preserve">MUS-P </v>
          </cell>
          <cell r="G11810">
            <v>120</v>
          </cell>
          <cell r="H11810" t="str">
            <v>MUS-P 120</v>
          </cell>
          <cell r="K11810" t="str">
            <v>Cartledge,David Owen</v>
          </cell>
          <cell r="N11810">
            <v>3.9249999999999998</v>
          </cell>
          <cell r="O11810">
            <v>3.5630000000000002</v>
          </cell>
        </row>
        <row r="11811">
          <cell r="E11811" t="str">
            <v>MUS</v>
          </cell>
          <cell r="F11811" t="str">
            <v xml:space="preserve">MUS-P </v>
          </cell>
          <cell r="G11811">
            <v>120</v>
          </cell>
          <cell r="H11811" t="str">
            <v>MUS-P 120</v>
          </cell>
          <cell r="K11811" t="str">
            <v>Cartledge,David Owen</v>
          </cell>
          <cell r="N11811">
            <v>3.9140000000000001</v>
          </cell>
          <cell r="O11811">
            <v>3.665</v>
          </cell>
        </row>
        <row r="11812">
          <cell r="E11812" t="str">
            <v>MUS</v>
          </cell>
          <cell r="F11812" t="str">
            <v xml:space="preserve">MUS-P </v>
          </cell>
          <cell r="G11812">
            <v>120</v>
          </cell>
          <cell r="H11812" t="str">
            <v>MUS-P 120</v>
          </cell>
          <cell r="K11812" t="str">
            <v>Cartledge,David Owen</v>
          </cell>
          <cell r="N11812">
            <v>3.9</v>
          </cell>
          <cell r="O11812">
            <v>3.2530000000000001</v>
          </cell>
        </row>
        <row r="11813">
          <cell r="E11813" t="str">
            <v>MUS</v>
          </cell>
          <cell r="F11813" t="str">
            <v xml:space="preserve">MUS-P </v>
          </cell>
          <cell r="G11813">
            <v>120</v>
          </cell>
          <cell r="H11813" t="str">
            <v>MUS-P 120</v>
          </cell>
          <cell r="K11813" t="str">
            <v>Cartledge,David Owen</v>
          </cell>
          <cell r="N11813" t="str">
            <v>NR</v>
          </cell>
          <cell r="O11813" t="str">
            <v>NR</v>
          </cell>
        </row>
        <row r="11814">
          <cell r="E11814" t="str">
            <v>MUS</v>
          </cell>
          <cell r="F11814" t="str">
            <v xml:space="preserve">MUS-P </v>
          </cell>
          <cell r="G11814">
            <v>120</v>
          </cell>
          <cell r="H11814" t="str">
            <v>MUS-P 120</v>
          </cell>
          <cell r="K11814" t="str">
            <v>Cartledge,David Owen</v>
          </cell>
          <cell r="N11814" t="str">
            <v>NR</v>
          </cell>
          <cell r="O11814" t="str">
            <v>NR</v>
          </cell>
        </row>
        <row r="11815">
          <cell r="E11815" t="str">
            <v>MUS</v>
          </cell>
          <cell r="F11815" t="str">
            <v xml:space="preserve">MUS-P </v>
          </cell>
          <cell r="G11815">
            <v>120</v>
          </cell>
          <cell r="H11815" t="str">
            <v>MUS-P 120</v>
          </cell>
          <cell r="K11815" t="str">
            <v>Cartledge,David Owen</v>
          </cell>
          <cell r="N11815">
            <v>3.3860000000000001</v>
          </cell>
          <cell r="O11815">
            <v>3.714</v>
          </cell>
        </row>
        <row r="11816">
          <cell r="E11816" t="str">
            <v>MUS</v>
          </cell>
          <cell r="F11816" t="str">
            <v xml:space="preserve">MUS-P </v>
          </cell>
          <cell r="G11816">
            <v>120</v>
          </cell>
          <cell r="H11816" t="str">
            <v>MUS-P 120</v>
          </cell>
          <cell r="K11816" t="str">
            <v>Cartledge,David Owen</v>
          </cell>
          <cell r="N11816">
            <v>3.5</v>
          </cell>
          <cell r="O11816">
            <v>3.2930000000000001</v>
          </cell>
        </row>
        <row r="11817">
          <cell r="E11817" t="str">
            <v>MUS</v>
          </cell>
          <cell r="F11817" t="str">
            <v xml:space="preserve">MUS-P </v>
          </cell>
          <cell r="G11817">
            <v>121</v>
          </cell>
          <cell r="H11817" t="str">
            <v>MUS-P 121</v>
          </cell>
          <cell r="K11817" t="str">
            <v>Cartledge,David Owen</v>
          </cell>
          <cell r="N11817" t="str">
            <v>NR</v>
          </cell>
          <cell r="O11817" t="str">
            <v>NR</v>
          </cell>
        </row>
        <row r="11818">
          <cell r="E11818" t="str">
            <v>MUS</v>
          </cell>
          <cell r="F11818" t="str">
            <v xml:space="preserve">MUS-P </v>
          </cell>
          <cell r="G11818">
            <v>121</v>
          </cell>
          <cell r="H11818" t="str">
            <v>MUS-P 121</v>
          </cell>
          <cell r="K11818" t="str">
            <v>Cartledge,David Owen</v>
          </cell>
          <cell r="N11818">
            <v>3.9129999999999998</v>
          </cell>
          <cell r="O11818">
            <v>3.7570000000000001</v>
          </cell>
        </row>
        <row r="11819">
          <cell r="E11819" t="str">
            <v>MUS</v>
          </cell>
          <cell r="F11819" t="str">
            <v xml:space="preserve">MUS-P </v>
          </cell>
          <cell r="G11819">
            <v>121</v>
          </cell>
          <cell r="H11819" t="str">
            <v>MUS-P 121</v>
          </cell>
          <cell r="K11819" t="str">
            <v>Cartledge,David Owen</v>
          </cell>
          <cell r="N11819">
            <v>3.3</v>
          </cell>
          <cell r="O11819">
            <v>3.3029999999999999</v>
          </cell>
        </row>
        <row r="11820">
          <cell r="E11820" t="str">
            <v>MUS</v>
          </cell>
          <cell r="F11820" t="str">
            <v xml:space="preserve">MUS-P </v>
          </cell>
          <cell r="G11820">
            <v>121</v>
          </cell>
          <cell r="H11820" t="str">
            <v>MUS-P 121</v>
          </cell>
          <cell r="K11820" t="str">
            <v>Cartledge,David Owen</v>
          </cell>
          <cell r="N11820">
            <v>3.9569999999999999</v>
          </cell>
          <cell r="O11820">
            <v>3.7149999999999999</v>
          </cell>
        </row>
        <row r="11821">
          <cell r="E11821" t="str">
            <v>MUS</v>
          </cell>
          <cell r="F11821" t="str">
            <v xml:space="preserve">MUS-P </v>
          </cell>
          <cell r="G11821">
            <v>121</v>
          </cell>
          <cell r="H11821" t="str">
            <v>MUS-P 121</v>
          </cell>
          <cell r="K11821" t="str">
            <v>Cartledge,David Owen</v>
          </cell>
          <cell r="N11821">
            <v>3.6709999999999998</v>
          </cell>
          <cell r="O11821">
            <v>3.6549999999999998</v>
          </cell>
        </row>
        <row r="11822">
          <cell r="E11822" t="str">
            <v>MUS</v>
          </cell>
          <cell r="F11822" t="str">
            <v xml:space="preserve">MUS-P </v>
          </cell>
          <cell r="G11822">
            <v>121</v>
          </cell>
          <cell r="H11822" t="str">
            <v>MUS-P 121</v>
          </cell>
          <cell r="K11822" t="str">
            <v>Cartledge,David Owen</v>
          </cell>
          <cell r="N11822">
            <v>3.5710000000000002</v>
          </cell>
          <cell r="O11822">
            <v>3.0760000000000001</v>
          </cell>
        </row>
        <row r="11823">
          <cell r="E11823" t="str">
            <v>MUS</v>
          </cell>
          <cell r="F11823" t="str">
            <v xml:space="preserve">MUS-P </v>
          </cell>
          <cell r="G11823">
            <v>121</v>
          </cell>
          <cell r="H11823" t="str">
            <v>MUS-P 121</v>
          </cell>
          <cell r="K11823" t="str">
            <v>Cartledge,David Owen</v>
          </cell>
          <cell r="N11823" t="str">
            <v>NR</v>
          </cell>
          <cell r="O11823" t="str">
            <v>NR</v>
          </cell>
        </row>
        <row r="11824">
          <cell r="E11824" t="str">
            <v>MUS</v>
          </cell>
          <cell r="F11824" t="str">
            <v xml:space="preserve">MUS-P </v>
          </cell>
          <cell r="G11824">
            <v>121</v>
          </cell>
          <cell r="H11824" t="str">
            <v>MUS-P 121</v>
          </cell>
          <cell r="K11824" t="str">
            <v>Cartledge,David Owen</v>
          </cell>
          <cell r="N11824">
            <v>3.6829999999999998</v>
          </cell>
          <cell r="O11824">
            <v>3.472</v>
          </cell>
        </row>
        <row r="11825">
          <cell r="E11825" t="str">
            <v>MUS</v>
          </cell>
          <cell r="F11825" t="str">
            <v xml:space="preserve">MUS-P </v>
          </cell>
          <cell r="G11825">
            <v>121</v>
          </cell>
          <cell r="H11825" t="str">
            <v>MUS-P 121</v>
          </cell>
          <cell r="K11825" t="str">
            <v>Cartledge,David Owen</v>
          </cell>
          <cell r="N11825">
            <v>3.6709999999999998</v>
          </cell>
          <cell r="O11825">
            <v>3.66</v>
          </cell>
        </row>
        <row r="11826">
          <cell r="E11826" t="str">
            <v>MUS</v>
          </cell>
          <cell r="F11826" t="str">
            <v xml:space="preserve">MUS-P </v>
          </cell>
          <cell r="G11826">
            <v>121</v>
          </cell>
          <cell r="H11826" t="str">
            <v>MUS-P 121</v>
          </cell>
          <cell r="K11826" t="str">
            <v>Cartledge,David Owen</v>
          </cell>
          <cell r="N11826">
            <v>3.35</v>
          </cell>
          <cell r="O11826">
            <v>3.4780000000000002</v>
          </cell>
        </row>
        <row r="11827">
          <cell r="E11827" t="str">
            <v>MUS</v>
          </cell>
          <cell r="F11827" t="str">
            <v xml:space="preserve">MUS-P </v>
          </cell>
          <cell r="G11827">
            <v>121</v>
          </cell>
          <cell r="H11827" t="str">
            <v>MUS-P 121</v>
          </cell>
          <cell r="K11827" t="str">
            <v>Cartledge,David Owen</v>
          </cell>
          <cell r="N11827">
            <v>3.371</v>
          </cell>
          <cell r="O11827">
            <v>3.53</v>
          </cell>
        </row>
        <row r="11828">
          <cell r="E11828" t="str">
            <v>MUS</v>
          </cell>
          <cell r="F11828" t="str">
            <v xml:space="preserve">MUS-P </v>
          </cell>
          <cell r="G11828">
            <v>121</v>
          </cell>
          <cell r="H11828" t="str">
            <v>MUS-P 121</v>
          </cell>
          <cell r="K11828" t="str">
            <v>Cartledge,David Owen</v>
          </cell>
          <cell r="N11828" t="str">
            <v>NR</v>
          </cell>
          <cell r="O11828" t="str">
            <v>NR</v>
          </cell>
        </row>
        <row r="11829">
          <cell r="E11829" t="str">
            <v>MUS</v>
          </cell>
          <cell r="F11829" t="str">
            <v xml:space="preserve">MUS-P </v>
          </cell>
          <cell r="G11829">
            <v>121</v>
          </cell>
          <cell r="H11829" t="str">
            <v>MUS-P 121</v>
          </cell>
          <cell r="K11829" t="str">
            <v>Cartledge,David Owen</v>
          </cell>
          <cell r="N11829">
            <v>3</v>
          </cell>
          <cell r="O11829">
            <v>3.3420000000000001</v>
          </cell>
        </row>
        <row r="11830">
          <cell r="E11830" t="str">
            <v>MUS</v>
          </cell>
          <cell r="F11830" t="str">
            <v xml:space="preserve">MUS-P </v>
          </cell>
          <cell r="G11830">
            <v>130</v>
          </cell>
          <cell r="H11830" t="str">
            <v>MUS-P 130</v>
          </cell>
          <cell r="K11830" t="str">
            <v>Cartledge,David Owen</v>
          </cell>
          <cell r="N11830">
            <v>4</v>
          </cell>
          <cell r="O11830">
            <v>3.3690000000000002</v>
          </cell>
        </row>
        <row r="11831">
          <cell r="E11831" t="str">
            <v>MUS</v>
          </cell>
          <cell r="F11831" t="str">
            <v xml:space="preserve">MUS-P </v>
          </cell>
          <cell r="G11831">
            <v>130</v>
          </cell>
          <cell r="H11831" t="str">
            <v>MUS-P 130</v>
          </cell>
          <cell r="K11831" t="str">
            <v>Cartledge,David Owen</v>
          </cell>
          <cell r="N11831" t="str">
            <v>NR</v>
          </cell>
          <cell r="O11831" t="str">
            <v>NR</v>
          </cell>
        </row>
        <row r="11832">
          <cell r="E11832" t="str">
            <v>MUS</v>
          </cell>
          <cell r="F11832" t="str">
            <v xml:space="preserve">MUS-P </v>
          </cell>
          <cell r="G11832">
            <v>130</v>
          </cell>
          <cell r="H11832" t="str">
            <v>MUS-P 130</v>
          </cell>
          <cell r="K11832" t="str">
            <v>Cartledge,David Owen</v>
          </cell>
          <cell r="N11832">
            <v>3.95</v>
          </cell>
          <cell r="O11832">
            <v>3.18</v>
          </cell>
        </row>
        <row r="11833">
          <cell r="E11833" t="str">
            <v>MUS</v>
          </cell>
          <cell r="F11833" t="str">
            <v xml:space="preserve">MUS-P </v>
          </cell>
          <cell r="G11833">
            <v>130</v>
          </cell>
          <cell r="H11833" t="str">
            <v>MUS-P 130</v>
          </cell>
          <cell r="K11833" t="str">
            <v>Cartledge,David Owen</v>
          </cell>
          <cell r="N11833" t="str">
            <v>NR</v>
          </cell>
          <cell r="O11833" t="str">
            <v>NR</v>
          </cell>
        </row>
        <row r="11834">
          <cell r="E11834" t="str">
            <v>MUS</v>
          </cell>
          <cell r="F11834" t="str">
            <v xml:space="preserve">MUS-P </v>
          </cell>
          <cell r="G11834">
            <v>130</v>
          </cell>
          <cell r="H11834" t="str">
            <v>MUS-P 130</v>
          </cell>
          <cell r="K11834" t="str">
            <v>Cartledge,David Owen</v>
          </cell>
          <cell r="N11834" t="str">
            <v>NR</v>
          </cell>
          <cell r="O11834" t="str">
            <v>NR</v>
          </cell>
        </row>
        <row r="11835">
          <cell r="E11835" t="str">
            <v>MUS</v>
          </cell>
          <cell r="F11835" t="str">
            <v xml:space="preserve">MUS-P </v>
          </cell>
          <cell r="G11835">
            <v>130</v>
          </cell>
          <cell r="H11835" t="str">
            <v>MUS-P 130</v>
          </cell>
          <cell r="K11835" t="str">
            <v>Cartledge,David Owen</v>
          </cell>
          <cell r="N11835">
            <v>3.95</v>
          </cell>
          <cell r="O11835">
            <v>3.4529999999999998</v>
          </cell>
        </row>
        <row r="11836">
          <cell r="E11836" t="str">
            <v>MUS</v>
          </cell>
          <cell r="F11836" t="str">
            <v xml:space="preserve">MUS-P </v>
          </cell>
          <cell r="G11836">
            <v>130</v>
          </cell>
          <cell r="H11836" t="str">
            <v>MUS-P 130</v>
          </cell>
          <cell r="K11836" t="str">
            <v>Cartledge,David Owen</v>
          </cell>
          <cell r="N11836">
            <v>3.6829999999999998</v>
          </cell>
          <cell r="O11836">
            <v>3.35</v>
          </cell>
        </row>
        <row r="11837">
          <cell r="E11837" t="str">
            <v>MUS</v>
          </cell>
          <cell r="F11837" t="str">
            <v xml:space="preserve">MUS-P </v>
          </cell>
          <cell r="G11837">
            <v>130</v>
          </cell>
          <cell r="H11837" t="str">
            <v>MUS-P 130</v>
          </cell>
          <cell r="K11837" t="str">
            <v>Cartledge,David Owen</v>
          </cell>
          <cell r="N11837" t="str">
            <v>NR</v>
          </cell>
          <cell r="O11837" t="str">
            <v>NR</v>
          </cell>
        </row>
        <row r="11838">
          <cell r="E11838" t="str">
            <v>MUS</v>
          </cell>
          <cell r="F11838" t="str">
            <v xml:space="preserve">MUS-P </v>
          </cell>
          <cell r="G11838">
            <v>130</v>
          </cell>
          <cell r="H11838" t="str">
            <v>MUS-P 130</v>
          </cell>
          <cell r="K11838" t="str">
            <v>Cartledge,David Owen</v>
          </cell>
          <cell r="N11838" t="str">
            <v>NR</v>
          </cell>
          <cell r="O11838" t="str">
            <v>NR</v>
          </cell>
        </row>
        <row r="11839">
          <cell r="E11839" t="str">
            <v>MUS</v>
          </cell>
          <cell r="F11839" t="str">
            <v xml:space="preserve">MUS-P </v>
          </cell>
          <cell r="G11839">
            <v>130</v>
          </cell>
          <cell r="H11839" t="str">
            <v>MUS-P 130</v>
          </cell>
          <cell r="K11839" t="str">
            <v>Cartledge,David Owen</v>
          </cell>
          <cell r="N11839" t="str">
            <v>NR</v>
          </cell>
          <cell r="O11839" t="str">
            <v>NR</v>
          </cell>
        </row>
        <row r="11840">
          <cell r="E11840" t="str">
            <v>MUS</v>
          </cell>
          <cell r="F11840" t="str">
            <v xml:space="preserve">MUS-P </v>
          </cell>
          <cell r="G11840">
            <v>130</v>
          </cell>
          <cell r="H11840" t="str">
            <v>MUS-P 130</v>
          </cell>
          <cell r="K11840" t="str">
            <v>Cartledge,David Owen</v>
          </cell>
          <cell r="N11840" t="str">
            <v>NR</v>
          </cell>
          <cell r="O11840" t="str">
            <v>NR</v>
          </cell>
        </row>
        <row r="11841">
          <cell r="E11841" t="str">
            <v>MUS</v>
          </cell>
          <cell r="F11841" t="str">
            <v xml:space="preserve">MUS-P </v>
          </cell>
          <cell r="G11841">
            <v>131</v>
          </cell>
          <cell r="H11841" t="str">
            <v>MUS-P 131</v>
          </cell>
          <cell r="K11841" t="str">
            <v>Cartledge,David Owen</v>
          </cell>
          <cell r="N11841" t="str">
            <v>NR</v>
          </cell>
          <cell r="O11841" t="str">
            <v>NR</v>
          </cell>
        </row>
        <row r="11842">
          <cell r="E11842" t="str">
            <v>MUS</v>
          </cell>
          <cell r="F11842" t="str">
            <v xml:space="preserve">MUS-P </v>
          </cell>
          <cell r="G11842">
            <v>131</v>
          </cell>
          <cell r="H11842" t="str">
            <v>MUS-P 131</v>
          </cell>
          <cell r="K11842" t="str">
            <v>Cartledge,David Owen</v>
          </cell>
          <cell r="N11842">
            <v>3.9</v>
          </cell>
          <cell r="O11842">
            <v>3.641</v>
          </cell>
        </row>
        <row r="11843">
          <cell r="E11843" t="str">
            <v>MUS</v>
          </cell>
          <cell r="F11843" t="str">
            <v xml:space="preserve">MUS-P </v>
          </cell>
          <cell r="G11843">
            <v>131</v>
          </cell>
          <cell r="H11843" t="str">
            <v>MUS-P 131</v>
          </cell>
          <cell r="K11843" t="str">
            <v>Cartledge,David Owen</v>
          </cell>
          <cell r="N11843" t="str">
            <v>NR</v>
          </cell>
          <cell r="O11843" t="str">
            <v>NR</v>
          </cell>
        </row>
        <row r="11844">
          <cell r="E11844" t="str">
            <v>MUS</v>
          </cell>
          <cell r="F11844" t="str">
            <v xml:space="preserve">MUS-P </v>
          </cell>
          <cell r="G11844">
            <v>131</v>
          </cell>
          <cell r="H11844" t="str">
            <v>MUS-P 131</v>
          </cell>
          <cell r="K11844" t="str">
            <v>Cartledge,David Owen</v>
          </cell>
          <cell r="N11844" t="str">
            <v>NR</v>
          </cell>
          <cell r="O11844" t="str">
            <v>NR</v>
          </cell>
        </row>
        <row r="11845">
          <cell r="E11845" t="str">
            <v>MUS</v>
          </cell>
          <cell r="F11845" t="str">
            <v xml:space="preserve">MUS-P </v>
          </cell>
          <cell r="G11845">
            <v>131</v>
          </cell>
          <cell r="H11845" t="str">
            <v>MUS-P 131</v>
          </cell>
          <cell r="K11845" t="str">
            <v>Cartledge,David Owen</v>
          </cell>
          <cell r="N11845">
            <v>3.3</v>
          </cell>
          <cell r="O11845">
            <v>3.4929999999999999</v>
          </cell>
        </row>
        <row r="11846">
          <cell r="E11846" t="str">
            <v>MUS</v>
          </cell>
          <cell r="F11846" t="str">
            <v xml:space="preserve">MUS-P </v>
          </cell>
          <cell r="G11846">
            <v>131</v>
          </cell>
          <cell r="H11846" t="str">
            <v>MUS-P 131</v>
          </cell>
          <cell r="K11846" t="str">
            <v>Cartledge,David Owen</v>
          </cell>
          <cell r="N11846" t="str">
            <v>NR</v>
          </cell>
          <cell r="O11846" t="str">
            <v>NR</v>
          </cell>
        </row>
        <row r="11847">
          <cell r="E11847" t="str">
            <v>MUS</v>
          </cell>
          <cell r="F11847" t="str">
            <v xml:space="preserve">MUS-P </v>
          </cell>
          <cell r="G11847">
            <v>131</v>
          </cell>
          <cell r="H11847" t="str">
            <v>MUS-P 131</v>
          </cell>
          <cell r="K11847" t="str">
            <v>Cartledge,David Owen</v>
          </cell>
          <cell r="N11847" t="str">
            <v>NR</v>
          </cell>
          <cell r="O11847" t="str">
            <v>NR</v>
          </cell>
        </row>
        <row r="11848">
          <cell r="E11848" t="str">
            <v>MUS</v>
          </cell>
          <cell r="F11848" t="str">
            <v xml:space="preserve">MUS-P </v>
          </cell>
          <cell r="G11848">
            <v>131</v>
          </cell>
          <cell r="H11848" t="str">
            <v>MUS-P 131</v>
          </cell>
          <cell r="K11848" t="str">
            <v>Cartledge,David Owen</v>
          </cell>
          <cell r="N11848" t="str">
            <v>NR</v>
          </cell>
          <cell r="O11848" t="str">
            <v>NR</v>
          </cell>
        </row>
        <row r="11849">
          <cell r="E11849" t="str">
            <v>MUS</v>
          </cell>
          <cell r="F11849" t="str">
            <v xml:space="preserve">MUS-P </v>
          </cell>
          <cell r="G11849">
            <v>131</v>
          </cell>
          <cell r="H11849" t="str">
            <v>MUS-P 131</v>
          </cell>
          <cell r="K11849" t="str">
            <v>Cartledge,David Owen</v>
          </cell>
          <cell r="N11849">
            <v>3.4140000000000001</v>
          </cell>
          <cell r="O11849">
            <v>3.5950000000000002</v>
          </cell>
        </row>
        <row r="11850">
          <cell r="E11850" t="str">
            <v>MUS</v>
          </cell>
          <cell r="F11850" t="str">
            <v xml:space="preserve">MUS-P </v>
          </cell>
          <cell r="G11850">
            <v>131</v>
          </cell>
          <cell r="H11850" t="str">
            <v>MUS-P 131</v>
          </cell>
          <cell r="K11850" t="str">
            <v>Cartledge,David Owen</v>
          </cell>
          <cell r="N11850" t="str">
            <v>NR</v>
          </cell>
          <cell r="O11850" t="str">
            <v>NR</v>
          </cell>
        </row>
        <row r="11851">
          <cell r="E11851" t="str">
            <v>MUS</v>
          </cell>
          <cell r="F11851" t="str">
            <v xml:space="preserve">MUS-P </v>
          </cell>
          <cell r="G11851">
            <v>131</v>
          </cell>
          <cell r="H11851" t="str">
            <v>MUS-P 131</v>
          </cell>
          <cell r="K11851" t="str">
            <v>Cartledge,David Owen</v>
          </cell>
          <cell r="N11851" t="str">
            <v>NR</v>
          </cell>
          <cell r="O11851" t="str">
            <v>NR</v>
          </cell>
        </row>
        <row r="11852">
          <cell r="E11852" t="str">
            <v>MUS</v>
          </cell>
          <cell r="F11852" t="str">
            <v xml:space="preserve">MUS-P </v>
          </cell>
          <cell r="G11852">
            <v>131</v>
          </cell>
          <cell r="H11852" t="str">
            <v>MUS-P 131</v>
          </cell>
          <cell r="K11852" t="str">
            <v>Cartledge,David Owen</v>
          </cell>
          <cell r="N11852" t="str">
            <v>NR</v>
          </cell>
          <cell r="O11852" t="str">
            <v>NR</v>
          </cell>
        </row>
        <row r="11853">
          <cell r="E11853" t="str">
            <v>MUS</v>
          </cell>
          <cell r="F11853" t="str">
            <v xml:space="preserve">MUS-P </v>
          </cell>
          <cell r="G11853">
            <v>131</v>
          </cell>
          <cell r="H11853" t="str">
            <v>MUS-P 131</v>
          </cell>
          <cell r="K11853" t="str">
            <v>Cartledge,David Owen</v>
          </cell>
          <cell r="N11853">
            <v>3.2429999999999999</v>
          </cell>
          <cell r="O11853">
            <v>3.4750000000000001</v>
          </cell>
        </row>
        <row r="11854">
          <cell r="E11854" t="str">
            <v>MUS</v>
          </cell>
          <cell r="F11854" t="str">
            <v xml:space="preserve">MUS-P </v>
          </cell>
          <cell r="G11854">
            <v>131</v>
          </cell>
          <cell r="H11854" t="str">
            <v>MUS-P 131</v>
          </cell>
          <cell r="K11854" t="str">
            <v>Cartledge,David Owen</v>
          </cell>
          <cell r="N11854" t="str">
            <v>NR</v>
          </cell>
          <cell r="O11854" t="str">
            <v>NR</v>
          </cell>
        </row>
        <row r="11855">
          <cell r="E11855" t="str">
            <v>MUS</v>
          </cell>
          <cell r="F11855" t="str">
            <v xml:space="preserve">MUS-P </v>
          </cell>
          <cell r="G11855">
            <v>141</v>
          </cell>
          <cell r="H11855" t="str">
            <v>MUS-P 141</v>
          </cell>
          <cell r="K11855" t="str">
            <v>Cartledge,David Owen</v>
          </cell>
          <cell r="N11855">
            <v>3.9</v>
          </cell>
          <cell r="O11855">
            <v>3.69</v>
          </cell>
        </row>
        <row r="11856">
          <cell r="E11856" t="str">
            <v>MUS</v>
          </cell>
          <cell r="F11856" t="str">
            <v xml:space="preserve">MUS-P </v>
          </cell>
          <cell r="G11856">
            <v>141</v>
          </cell>
          <cell r="H11856" t="str">
            <v>MUS-P 141</v>
          </cell>
          <cell r="K11856" t="str">
            <v>Cartledge,David Owen</v>
          </cell>
          <cell r="N11856">
            <v>3.883</v>
          </cell>
          <cell r="O11856">
            <v>3.5880000000000001</v>
          </cell>
        </row>
        <row r="11857">
          <cell r="E11857" t="str">
            <v>MUS</v>
          </cell>
          <cell r="F11857" t="str">
            <v xml:space="preserve">MUS-P </v>
          </cell>
          <cell r="G11857">
            <v>141</v>
          </cell>
          <cell r="H11857" t="str">
            <v>MUS-P 141</v>
          </cell>
          <cell r="K11857" t="str">
            <v>Cartledge,David Owen</v>
          </cell>
          <cell r="N11857">
            <v>3.7330000000000001</v>
          </cell>
          <cell r="O11857">
            <v>3.641</v>
          </cell>
        </row>
        <row r="11858">
          <cell r="E11858" t="str">
            <v>MUS</v>
          </cell>
          <cell r="F11858" t="str">
            <v xml:space="preserve">MUS-P </v>
          </cell>
          <cell r="G11858">
            <v>141</v>
          </cell>
          <cell r="H11858" t="str">
            <v>MUS-P 141</v>
          </cell>
          <cell r="K11858" t="str">
            <v>Cartledge,David Owen</v>
          </cell>
          <cell r="N11858">
            <v>3.7130000000000001</v>
          </cell>
          <cell r="O11858">
            <v>3.6890000000000001</v>
          </cell>
        </row>
        <row r="11859">
          <cell r="E11859" t="str">
            <v>MUS</v>
          </cell>
          <cell r="F11859" t="str">
            <v xml:space="preserve">MUS-P </v>
          </cell>
          <cell r="G11859">
            <v>141</v>
          </cell>
          <cell r="H11859" t="str">
            <v>MUS-P 141</v>
          </cell>
          <cell r="K11859" t="str">
            <v>Cartledge,David Owen</v>
          </cell>
          <cell r="N11859">
            <v>3.6749999999999998</v>
          </cell>
          <cell r="O11859">
            <v>3.6829999999999998</v>
          </cell>
        </row>
        <row r="11860">
          <cell r="E11860" t="str">
            <v>MUS</v>
          </cell>
          <cell r="F11860" t="str">
            <v xml:space="preserve">MUS-P </v>
          </cell>
          <cell r="G11860">
            <v>141</v>
          </cell>
          <cell r="H11860" t="str">
            <v>MUS-P 141</v>
          </cell>
          <cell r="K11860" t="str">
            <v>Cartledge,David Owen</v>
          </cell>
          <cell r="N11860">
            <v>3.1829999999999998</v>
          </cell>
          <cell r="O11860">
            <v>3.476</v>
          </cell>
        </row>
        <row r="11861">
          <cell r="E11861" t="str">
            <v>MUS</v>
          </cell>
          <cell r="F11861" t="str">
            <v xml:space="preserve">MUS-P </v>
          </cell>
          <cell r="G11861">
            <v>141</v>
          </cell>
          <cell r="H11861" t="str">
            <v>MUS-P 141</v>
          </cell>
          <cell r="K11861" t="str">
            <v>Cartledge,David Owen</v>
          </cell>
          <cell r="N11861" t="str">
            <v>NR</v>
          </cell>
          <cell r="O11861" t="str">
            <v>NR</v>
          </cell>
        </row>
        <row r="11862">
          <cell r="E11862" t="str">
            <v>MUS</v>
          </cell>
          <cell r="F11862" t="str">
            <v xml:space="preserve">MUS-P </v>
          </cell>
          <cell r="G11862">
            <v>141</v>
          </cell>
          <cell r="H11862" t="str">
            <v>MUS-P 141</v>
          </cell>
          <cell r="K11862" t="str">
            <v>Cartledge,David Owen</v>
          </cell>
          <cell r="N11862" t="str">
            <v>NR</v>
          </cell>
          <cell r="O11862" t="str">
            <v>NR</v>
          </cell>
        </row>
        <row r="11863">
          <cell r="E11863" t="str">
            <v>MUS</v>
          </cell>
          <cell r="F11863" t="str">
            <v xml:space="preserve">MUS-P </v>
          </cell>
          <cell r="G11863">
            <v>141</v>
          </cell>
          <cell r="H11863" t="str">
            <v>MUS-P 141</v>
          </cell>
          <cell r="K11863" t="str">
            <v>Cartledge,David Owen</v>
          </cell>
          <cell r="N11863" t="str">
            <v>NR</v>
          </cell>
          <cell r="O11863" t="str">
            <v>NR</v>
          </cell>
        </row>
        <row r="11864">
          <cell r="E11864" t="str">
            <v>MUS</v>
          </cell>
          <cell r="F11864" t="str">
            <v xml:space="preserve">MUS-P </v>
          </cell>
          <cell r="G11864">
            <v>201</v>
          </cell>
          <cell r="H11864" t="str">
            <v>MUS-P 201</v>
          </cell>
          <cell r="K11864" t="str">
            <v>Gillespie,Luke O Neil</v>
          </cell>
          <cell r="N11864" t="str">
            <v>NR</v>
          </cell>
          <cell r="O11864" t="str">
            <v>NR</v>
          </cell>
        </row>
        <row r="11865">
          <cell r="E11865" t="str">
            <v>MUS</v>
          </cell>
          <cell r="F11865" t="str">
            <v xml:space="preserve">MUS-P </v>
          </cell>
          <cell r="G11865">
            <v>201</v>
          </cell>
          <cell r="H11865" t="str">
            <v>MUS-P 201</v>
          </cell>
          <cell r="K11865" t="str">
            <v>Gillespie,Luke O Neil</v>
          </cell>
          <cell r="N11865">
            <v>3.8570000000000002</v>
          </cell>
          <cell r="O11865">
            <v>3.5640000000000001</v>
          </cell>
        </row>
        <row r="11866">
          <cell r="E11866" t="str">
            <v>MUS</v>
          </cell>
          <cell r="F11866" t="str">
            <v xml:space="preserve">MUS-P </v>
          </cell>
          <cell r="G11866">
            <v>201</v>
          </cell>
          <cell r="H11866" t="str">
            <v>MUS-P 201</v>
          </cell>
          <cell r="K11866" t="str">
            <v>Gillespie,Luke O Neil</v>
          </cell>
          <cell r="N11866">
            <v>3.883</v>
          </cell>
          <cell r="O11866">
            <v>3.5089999999999999</v>
          </cell>
        </row>
        <row r="11867">
          <cell r="E11867" t="str">
            <v>MUS</v>
          </cell>
          <cell r="F11867" t="str">
            <v xml:space="preserve">MUS-P </v>
          </cell>
          <cell r="G11867">
            <v>201</v>
          </cell>
          <cell r="H11867" t="str">
            <v>MUS-P 201</v>
          </cell>
          <cell r="K11867" t="str">
            <v>Gillespie,Luke O Neil</v>
          </cell>
          <cell r="N11867">
            <v>3.589</v>
          </cell>
          <cell r="O11867">
            <v>3.5129999999999999</v>
          </cell>
        </row>
        <row r="11868">
          <cell r="E11868" t="str">
            <v>MUS</v>
          </cell>
          <cell r="F11868" t="str">
            <v xml:space="preserve">MUS-P </v>
          </cell>
          <cell r="G11868">
            <v>202</v>
          </cell>
          <cell r="H11868" t="str">
            <v>MUS-P 202</v>
          </cell>
          <cell r="K11868" t="str">
            <v>Gillespie,Luke O Neil</v>
          </cell>
          <cell r="N11868" t="str">
            <v>NR</v>
          </cell>
          <cell r="O11868" t="str">
            <v>NR</v>
          </cell>
        </row>
        <row r="11869">
          <cell r="E11869" t="str">
            <v>MUS</v>
          </cell>
          <cell r="F11869" t="str">
            <v xml:space="preserve">MUS-P </v>
          </cell>
          <cell r="G11869">
            <v>202</v>
          </cell>
          <cell r="H11869" t="str">
            <v>MUS-P 202</v>
          </cell>
          <cell r="K11869" t="str">
            <v>Gillespie,Luke O Neil</v>
          </cell>
          <cell r="N11869" t="str">
            <v>NR</v>
          </cell>
          <cell r="O11869" t="str">
            <v>NR</v>
          </cell>
        </row>
        <row r="11870">
          <cell r="E11870" t="str">
            <v>MUS</v>
          </cell>
          <cell r="F11870" t="str">
            <v xml:space="preserve">MUS-P </v>
          </cell>
          <cell r="G11870">
            <v>400</v>
          </cell>
          <cell r="H11870" t="str">
            <v>MUS-P 400</v>
          </cell>
          <cell r="K11870" t="str">
            <v>Auer,Edward</v>
          </cell>
          <cell r="N11870">
            <v>4</v>
          </cell>
          <cell r="O11870">
            <v>3.7160000000000002</v>
          </cell>
        </row>
        <row r="11871">
          <cell r="E11871" t="str">
            <v>MUS</v>
          </cell>
          <cell r="F11871" t="str">
            <v xml:space="preserve">MUS-P </v>
          </cell>
          <cell r="G11871">
            <v>400</v>
          </cell>
          <cell r="H11871" t="str">
            <v>MUS-P 400</v>
          </cell>
          <cell r="K11871" t="str">
            <v>Battersby,Edmund</v>
          </cell>
          <cell r="N11871" t="str">
            <v>NR</v>
          </cell>
          <cell r="O11871" t="str">
            <v>NR</v>
          </cell>
        </row>
        <row r="11872">
          <cell r="E11872" t="str">
            <v>MUS</v>
          </cell>
          <cell r="F11872" t="str">
            <v xml:space="preserve">MUS-P </v>
          </cell>
          <cell r="G11872">
            <v>400</v>
          </cell>
          <cell r="H11872" t="str">
            <v>MUS-P 400</v>
          </cell>
          <cell r="K11872" t="str">
            <v>Battersby,Edmund</v>
          </cell>
          <cell r="N11872">
            <v>3.2829999999999999</v>
          </cell>
          <cell r="O11872">
            <v>3.161</v>
          </cell>
        </row>
        <row r="11873">
          <cell r="E11873" t="str">
            <v>MUS</v>
          </cell>
          <cell r="F11873" t="str">
            <v xml:space="preserve">MUS-P </v>
          </cell>
          <cell r="G11873">
            <v>400</v>
          </cell>
          <cell r="H11873" t="str">
            <v>MUS-P 400</v>
          </cell>
          <cell r="K11873" t="str">
            <v>Brancart,Evelyne Emilie Louise</v>
          </cell>
          <cell r="N11873">
            <v>4</v>
          </cell>
          <cell r="O11873">
            <v>3.8780000000000001</v>
          </cell>
        </row>
        <row r="11874">
          <cell r="E11874" t="str">
            <v>MUS</v>
          </cell>
          <cell r="F11874" t="str">
            <v xml:space="preserve">MUS-P </v>
          </cell>
          <cell r="G11874">
            <v>400</v>
          </cell>
          <cell r="H11874" t="str">
            <v>MUS-P 400</v>
          </cell>
          <cell r="K11874" t="str">
            <v>Brancart,Evelyne Emilie Louise</v>
          </cell>
          <cell r="N11874">
            <v>4</v>
          </cell>
          <cell r="O11874">
            <v>3.883</v>
          </cell>
        </row>
        <row r="11875">
          <cell r="E11875" t="str">
            <v>MUS</v>
          </cell>
          <cell r="F11875" t="str">
            <v xml:space="preserve">MUS-P </v>
          </cell>
          <cell r="G11875">
            <v>400</v>
          </cell>
          <cell r="H11875" t="str">
            <v>MUS-P 400</v>
          </cell>
          <cell r="K11875" t="str">
            <v>Edlina-Dubinsky,Luba</v>
          </cell>
          <cell r="N11875" t="str">
            <v>NR</v>
          </cell>
          <cell r="O11875" t="str">
            <v>NR</v>
          </cell>
        </row>
        <row r="11876">
          <cell r="E11876" t="str">
            <v>MUS</v>
          </cell>
          <cell r="F11876" t="str">
            <v xml:space="preserve">MUS-P </v>
          </cell>
          <cell r="G11876">
            <v>400</v>
          </cell>
          <cell r="H11876" t="str">
            <v>MUS-P 400</v>
          </cell>
          <cell r="K11876" t="str">
            <v>Edlina-Dubinsky,Luba</v>
          </cell>
          <cell r="N11876" t="str">
            <v>NR</v>
          </cell>
          <cell r="O11876" t="str">
            <v>NR</v>
          </cell>
        </row>
        <row r="11877">
          <cell r="E11877" t="str">
            <v>MUS</v>
          </cell>
          <cell r="F11877" t="str">
            <v xml:space="preserve">MUS-P </v>
          </cell>
          <cell r="G11877">
            <v>400</v>
          </cell>
          <cell r="H11877" t="str">
            <v>MUS-P 400</v>
          </cell>
          <cell r="K11877" t="str">
            <v>Gillespie,Luke O Neil</v>
          </cell>
          <cell r="N11877" t="str">
            <v>NR</v>
          </cell>
          <cell r="O11877" t="str">
            <v>NR</v>
          </cell>
        </row>
        <row r="11878">
          <cell r="E11878" t="str">
            <v>MUS</v>
          </cell>
          <cell r="F11878" t="str">
            <v xml:space="preserve">MUS-P </v>
          </cell>
          <cell r="G11878">
            <v>400</v>
          </cell>
          <cell r="H11878" t="str">
            <v>MUS-P 400</v>
          </cell>
          <cell r="K11878" t="str">
            <v>Gillespie,Luke O Neil</v>
          </cell>
          <cell r="N11878">
            <v>4</v>
          </cell>
          <cell r="O11878">
            <v>3.8980000000000001</v>
          </cell>
        </row>
        <row r="11879">
          <cell r="E11879" t="str">
            <v>MUS</v>
          </cell>
          <cell r="F11879" t="str">
            <v xml:space="preserve">MUS-P </v>
          </cell>
          <cell r="G11879">
            <v>400</v>
          </cell>
          <cell r="H11879" t="str">
            <v>MUS-P 400</v>
          </cell>
          <cell r="K11879" t="str">
            <v>Haguenauer,Jean Louis</v>
          </cell>
          <cell r="N11879" t="str">
            <v>NR</v>
          </cell>
          <cell r="O11879" t="str">
            <v>NR</v>
          </cell>
        </row>
        <row r="11880">
          <cell r="E11880" t="str">
            <v>MUS</v>
          </cell>
          <cell r="F11880" t="str">
            <v xml:space="preserve">MUS-P </v>
          </cell>
          <cell r="G11880">
            <v>400</v>
          </cell>
          <cell r="H11880" t="str">
            <v>MUS-P 400</v>
          </cell>
          <cell r="K11880" t="str">
            <v>Haguenauer,Jean-Louis</v>
          </cell>
          <cell r="N11880" t="str">
            <v>NR</v>
          </cell>
          <cell r="O11880" t="str">
            <v>NR</v>
          </cell>
        </row>
        <row r="11881">
          <cell r="E11881" t="str">
            <v>MUS</v>
          </cell>
          <cell r="F11881" t="str">
            <v xml:space="preserve">MUS-P </v>
          </cell>
          <cell r="G11881">
            <v>400</v>
          </cell>
          <cell r="H11881" t="str">
            <v>MUS-P 400</v>
          </cell>
          <cell r="K11881" t="str">
            <v>Naoumoff,Emile Gueorguiev</v>
          </cell>
          <cell r="N11881" t="str">
            <v>NR</v>
          </cell>
          <cell r="O11881" t="str">
            <v>NR</v>
          </cell>
        </row>
        <row r="11882">
          <cell r="E11882" t="str">
            <v>MUS</v>
          </cell>
          <cell r="F11882" t="str">
            <v xml:space="preserve">MUS-P </v>
          </cell>
          <cell r="G11882">
            <v>400</v>
          </cell>
          <cell r="H11882" t="str">
            <v>MUS-P 400</v>
          </cell>
          <cell r="K11882" t="str">
            <v>Naoumoff,Emile Gueorguiev</v>
          </cell>
          <cell r="N11882">
            <v>3.95</v>
          </cell>
          <cell r="O11882">
            <v>3.7549999999999999</v>
          </cell>
        </row>
        <row r="11883">
          <cell r="E11883" t="str">
            <v>MUS</v>
          </cell>
          <cell r="F11883" t="str">
            <v xml:space="preserve">MUS-P </v>
          </cell>
          <cell r="G11883">
            <v>400</v>
          </cell>
          <cell r="H11883" t="str">
            <v>MUS-P 400</v>
          </cell>
          <cell r="K11883" t="str">
            <v>Neriki,Shigeo</v>
          </cell>
          <cell r="N11883" t="str">
            <v>NR</v>
          </cell>
          <cell r="O11883" t="str">
            <v>NR</v>
          </cell>
        </row>
        <row r="11884">
          <cell r="E11884" t="str">
            <v>MUS</v>
          </cell>
          <cell r="F11884" t="str">
            <v xml:space="preserve">MUS-P </v>
          </cell>
          <cell r="G11884">
            <v>400</v>
          </cell>
          <cell r="H11884" t="str">
            <v>MUS-P 400</v>
          </cell>
          <cell r="K11884" t="str">
            <v>Neriki,Shigeo</v>
          </cell>
          <cell r="N11884">
            <v>3.6669999999999998</v>
          </cell>
          <cell r="O11884">
            <v>3.2509999999999999</v>
          </cell>
        </row>
        <row r="11885">
          <cell r="E11885" t="str">
            <v>MUS</v>
          </cell>
          <cell r="F11885" t="str">
            <v xml:space="preserve">MUS-P </v>
          </cell>
          <cell r="G11885">
            <v>400</v>
          </cell>
          <cell r="H11885" t="str">
            <v>MUS-P 400</v>
          </cell>
          <cell r="K11885" t="str">
            <v>Pressler,Menahem</v>
          </cell>
          <cell r="N11885" t="str">
            <v>NR</v>
          </cell>
          <cell r="O11885" t="str">
            <v>NR</v>
          </cell>
        </row>
        <row r="11886">
          <cell r="E11886" t="str">
            <v>MUS</v>
          </cell>
          <cell r="F11886" t="str">
            <v xml:space="preserve">MUS-P </v>
          </cell>
          <cell r="G11886">
            <v>400</v>
          </cell>
          <cell r="H11886" t="str">
            <v>MUS-P 400</v>
          </cell>
          <cell r="K11886" t="str">
            <v>Pressler,Menahem</v>
          </cell>
          <cell r="N11886" t="str">
            <v>NR</v>
          </cell>
          <cell r="O11886" t="str">
            <v>NR</v>
          </cell>
        </row>
        <row r="11887">
          <cell r="E11887" t="str">
            <v>MUS</v>
          </cell>
          <cell r="F11887" t="str">
            <v xml:space="preserve">MUS-P </v>
          </cell>
          <cell r="G11887">
            <v>400</v>
          </cell>
          <cell r="H11887" t="str">
            <v>MUS-P 400</v>
          </cell>
          <cell r="K11887" t="str">
            <v>Richards,Gwyn</v>
          </cell>
          <cell r="N11887" t="str">
            <v>NR</v>
          </cell>
          <cell r="O11887" t="str">
            <v>NR</v>
          </cell>
        </row>
        <row r="11888">
          <cell r="E11888" t="str">
            <v>MUS</v>
          </cell>
          <cell r="F11888" t="str">
            <v xml:space="preserve">MUS-P </v>
          </cell>
          <cell r="G11888">
            <v>400</v>
          </cell>
          <cell r="H11888" t="str">
            <v>MUS-P 400</v>
          </cell>
          <cell r="K11888" t="str">
            <v>Richards,Gwyn</v>
          </cell>
          <cell r="N11888" t="str">
            <v>NR</v>
          </cell>
          <cell r="O11888" t="str">
            <v>NR</v>
          </cell>
        </row>
        <row r="11889">
          <cell r="E11889" t="str">
            <v>MUS</v>
          </cell>
          <cell r="F11889" t="str">
            <v xml:space="preserve">MUS-P </v>
          </cell>
          <cell r="G11889">
            <v>400</v>
          </cell>
          <cell r="H11889" t="str">
            <v>MUS-P 400</v>
          </cell>
          <cell r="K11889" t="str">
            <v>Shaw,Karen</v>
          </cell>
          <cell r="N11889" t="str">
            <v>NR</v>
          </cell>
          <cell r="O11889" t="str">
            <v>NR</v>
          </cell>
        </row>
        <row r="11890">
          <cell r="E11890" t="str">
            <v>MUS</v>
          </cell>
          <cell r="F11890" t="str">
            <v xml:space="preserve">MUS-P </v>
          </cell>
          <cell r="G11890">
            <v>400</v>
          </cell>
          <cell r="H11890" t="str">
            <v>MUS-P 400</v>
          </cell>
          <cell r="K11890" t="str">
            <v>Shaw,Karen</v>
          </cell>
          <cell r="N11890" t="str">
            <v>NR</v>
          </cell>
          <cell r="O11890" t="str">
            <v>NR</v>
          </cell>
        </row>
        <row r="11891">
          <cell r="E11891" t="str">
            <v>MUS</v>
          </cell>
          <cell r="F11891" t="str">
            <v xml:space="preserve">MUS-P </v>
          </cell>
          <cell r="G11891">
            <v>400</v>
          </cell>
          <cell r="H11891" t="str">
            <v>MUS-P 400</v>
          </cell>
          <cell r="K11891" t="str">
            <v>Shigeoka-Neriki,Reiko</v>
          </cell>
          <cell r="N11891">
            <v>3.9630000000000001</v>
          </cell>
          <cell r="O11891">
            <v>3.4889999999999999</v>
          </cell>
        </row>
        <row r="11892">
          <cell r="E11892" t="str">
            <v>MUS</v>
          </cell>
          <cell r="F11892" t="str">
            <v xml:space="preserve">MUS-P </v>
          </cell>
          <cell r="G11892">
            <v>400</v>
          </cell>
          <cell r="H11892" t="str">
            <v>MUS-P 400</v>
          </cell>
          <cell r="K11892" t="str">
            <v>Shigeoka-Neriki,Reiko</v>
          </cell>
          <cell r="N11892">
            <v>3.97</v>
          </cell>
          <cell r="O11892">
            <v>3.8010000000000002</v>
          </cell>
        </row>
        <row r="11893">
          <cell r="E11893" t="str">
            <v>MUS</v>
          </cell>
          <cell r="F11893" t="str">
            <v xml:space="preserve">MUS-P </v>
          </cell>
          <cell r="G11893">
            <v>400</v>
          </cell>
          <cell r="H11893" t="str">
            <v>MUS-P 400</v>
          </cell>
          <cell r="K11893" t="str">
            <v>Watts,Andre</v>
          </cell>
          <cell r="N11893" t="str">
            <v>NR</v>
          </cell>
          <cell r="O11893" t="str">
            <v>NR</v>
          </cell>
        </row>
        <row r="11894">
          <cell r="E11894" t="str">
            <v>MUS</v>
          </cell>
          <cell r="F11894" t="str">
            <v xml:space="preserve">MUS-P </v>
          </cell>
          <cell r="G11894">
            <v>400</v>
          </cell>
          <cell r="H11894" t="str">
            <v>MUS-P 400</v>
          </cell>
          <cell r="K11894" t="str">
            <v>Watts,Andre</v>
          </cell>
          <cell r="N11894" t="str">
            <v>NR</v>
          </cell>
          <cell r="O11894" t="str">
            <v>NR</v>
          </cell>
        </row>
        <row r="11895">
          <cell r="E11895" t="str">
            <v>MUS</v>
          </cell>
          <cell r="F11895" t="str">
            <v xml:space="preserve">MUS-P </v>
          </cell>
          <cell r="G11895">
            <v>601</v>
          </cell>
          <cell r="H11895" t="str">
            <v>MUS-P 601</v>
          </cell>
          <cell r="K11895" t="str">
            <v>Isaacson,Eric John</v>
          </cell>
          <cell r="N11895" t="str">
            <v>NR</v>
          </cell>
          <cell r="O11895" t="str">
            <v>NR</v>
          </cell>
        </row>
        <row r="11896">
          <cell r="E11896" t="str">
            <v>MUS</v>
          </cell>
          <cell r="F11896" t="str">
            <v xml:space="preserve">MUS-P </v>
          </cell>
          <cell r="G11896">
            <v>601</v>
          </cell>
          <cell r="H11896" t="str">
            <v>MUS-P 601</v>
          </cell>
          <cell r="K11896" t="str">
            <v>Isaacson,Eric John</v>
          </cell>
          <cell r="N11896" t="str">
            <v>NR</v>
          </cell>
          <cell r="O11896" t="str">
            <v>NR</v>
          </cell>
        </row>
        <row r="11897">
          <cell r="E11897" t="str">
            <v>MUS</v>
          </cell>
          <cell r="F11897" t="str">
            <v xml:space="preserve">MUS-P </v>
          </cell>
          <cell r="G11897">
            <v>603</v>
          </cell>
          <cell r="H11897" t="str">
            <v>MUS-P 603</v>
          </cell>
          <cell r="K11897" t="str">
            <v>Isaacson,Eric John</v>
          </cell>
          <cell r="N11897" t="str">
            <v>NR</v>
          </cell>
          <cell r="O11897" t="str">
            <v>NR</v>
          </cell>
        </row>
        <row r="11898">
          <cell r="E11898" t="str">
            <v>MUS</v>
          </cell>
          <cell r="F11898" t="str">
            <v xml:space="preserve">MUS-P </v>
          </cell>
          <cell r="G11898">
            <v>603</v>
          </cell>
          <cell r="H11898" t="str">
            <v>MUS-P 603</v>
          </cell>
          <cell r="K11898" t="str">
            <v>Isaacson,Eric John</v>
          </cell>
          <cell r="N11898" t="str">
            <v>NR</v>
          </cell>
          <cell r="O11898" t="str">
            <v>NR</v>
          </cell>
        </row>
        <row r="11899">
          <cell r="E11899" t="str">
            <v>MUS</v>
          </cell>
          <cell r="F11899" t="str">
            <v xml:space="preserve">MUS-P </v>
          </cell>
          <cell r="G11899">
            <v>604</v>
          </cell>
          <cell r="H11899" t="str">
            <v>MUS-P 604</v>
          </cell>
          <cell r="K11899" t="str">
            <v>Isaacson,Eric John</v>
          </cell>
          <cell r="N11899" t="str">
            <v>NR</v>
          </cell>
          <cell r="O11899" t="str">
            <v>NR</v>
          </cell>
        </row>
        <row r="11900">
          <cell r="E11900" t="str">
            <v>MUS</v>
          </cell>
          <cell r="F11900" t="str">
            <v xml:space="preserve">MUS-P </v>
          </cell>
          <cell r="G11900">
            <v>605</v>
          </cell>
          <cell r="H11900" t="str">
            <v>MUS-P 605</v>
          </cell>
          <cell r="K11900" t="str">
            <v>Isaacson,Eric John</v>
          </cell>
          <cell r="N11900" t="str">
            <v>NR</v>
          </cell>
          <cell r="O11900" t="str">
            <v>NR</v>
          </cell>
        </row>
        <row r="11901">
          <cell r="E11901" t="str">
            <v>MUS</v>
          </cell>
          <cell r="F11901" t="str">
            <v xml:space="preserve">MUS-P </v>
          </cell>
          <cell r="G11901">
            <v>606</v>
          </cell>
          <cell r="H11901" t="str">
            <v>MUS-P 606</v>
          </cell>
          <cell r="K11901" t="str">
            <v>Isaacson,Eric John</v>
          </cell>
          <cell r="N11901" t="str">
            <v>NR</v>
          </cell>
          <cell r="O11901" t="str">
            <v>NR</v>
          </cell>
        </row>
        <row r="11902">
          <cell r="E11902" t="str">
            <v>MUS</v>
          </cell>
          <cell r="F11902" t="str">
            <v xml:space="preserve">MUS-P </v>
          </cell>
          <cell r="G11902">
            <v>700</v>
          </cell>
          <cell r="H11902" t="str">
            <v>MUS-P 700</v>
          </cell>
          <cell r="K11902" t="str">
            <v>Cartledge,David Owen</v>
          </cell>
          <cell r="N11902">
            <v>3.9729999999999999</v>
          </cell>
          <cell r="O11902">
            <v>3.7370000000000001</v>
          </cell>
        </row>
        <row r="11903">
          <cell r="E11903" t="str">
            <v>MUS</v>
          </cell>
          <cell r="F11903" t="str">
            <v xml:space="preserve">MUS-P </v>
          </cell>
          <cell r="G11903">
            <v>700</v>
          </cell>
          <cell r="H11903" t="str">
            <v>MUS-P 700</v>
          </cell>
          <cell r="K11903" t="str">
            <v>Cartledge,David Owen</v>
          </cell>
          <cell r="N11903">
            <v>3.9089999999999998</v>
          </cell>
          <cell r="O11903">
            <v>3.79</v>
          </cell>
        </row>
        <row r="11904">
          <cell r="E11904" t="str">
            <v>MUS</v>
          </cell>
          <cell r="F11904" t="str">
            <v xml:space="preserve">MUS-P </v>
          </cell>
          <cell r="G11904">
            <v>800</v>
          </cell>
          <cell r="H11904" t="str">
            <v>MUS-P 800</v>
          </cell>
          <cell r="K11904" t="str">
            <v>Battersby,Edmund</v>
          </cell>
          <cell r="N11904" t="str">
            <v>NR</v>
          </cell>
          <cell r="O11904" t="str">
            <v>NR</v>
          </cell>
        </row>
        <row r="11905">
          <cell r="E11905" t="str">
            <v>MUS</v>
          </cell>
          <cell r="F11905" t="str">
            <v xml:space="preserve">MUS-P </v>
          </cell>
          <cell r="G11905">
            <v>800</v>
          </cell>
          <cell r="H11905" t="str">
            <v>MUS-P 800</v>
          </cell>
          <cell r="K11905" t="str">
            <v>Gillespie,Luke O Neil</v>
          </cell>
          <cell r="N11905" t="str">
            <v>NR</v>
          </cell>
          <cell r="O11905" t="str">
            <v>NR</v>
          </cell>
        </row>
        <row r="11906">
          <cell r="E11906" t="str">
            <v>MUS</v>
          </cell>
          <cell r="F11906" t="str">
            <v xml:space="preserve">MUS-P </v>
          </cell>
          <cell r="G11906">
            <v>800</v>
          </cell>
          <cell r="H11906" t="str">
            <v>MUS-P 800</v>
          </cell>
          <cell r="K11906" t="str">
            <v>Gillespie,Luke O Neil</v>
          </cell>
          <cell r="N11906" t="str">
            <v>NR</v>
          </cell>
          <cell r="O11906" t="str">
            <v>NR</v>
          </cell>
        </row>
        <row r="11907">
          <cell r="E11907" t="str">
            <v>MUS</v>
          </cell>
          <cell r="F11907" t="str">
            <v xml:space="preserve">MUS-P </v>
          </cell>
          <cell r="G11907">
            <v>800</v>
          </cell>
          <cell r="H11907" t="str">
            <v>MUS-P 800</v>
          </cell>
          <cell r="K11907" t="str">
            <v>Haguenauer,Jean Louis</v>
          </cell>
          <cell r="N11907" t="str">
            <v>NR</v>
          </cell>
          <cell r="O11907" t="str">
            <v>NR</v>
          </cell>
        </row>
        <row r="11908">
          <cell r="E11908" t="str">
            <v>MUS</v>
          </cell>
          <cell r="F11908" t="str">
            <v xml:space="preserve">MUS-P </v>
          </cell>
          <cell r="G11908">
            <v>800</v>
          </cell>
          <cell r="H11908" t="str">
            <v>MUS-P 800</v>
          </cell>
          <cell r="K11908" t="str">
            <v>Haguenauer,Jean-Louis</v>
          </cell>
          <cell r="N11908" t="str">
            <v>NR</v>
          </cell>
          <cell r="O11908" t="str">
            <v>NR</v>
          </cell>
        </row>
        <row r="11909">
          <cell r="E11909" t="str">
            <v>MUS</v>
          </cell>
          <cell r="F11909" t="str">
            <v xml:space="preserve">MUS-P </v>
          </cell>
          <cell r="G11909">
            <v>800</v>
          </cell>
          <cell r="H11909" t="str">
            <v>MUS-P 800</v>
          </cell>
          <cell r="K11909" t="str">
            <v>Neriki,Shigeo</v>
          </cell>
          <cell r="N11909" t="str">
            <v>NR</v>
          </cell>
          <cell r="O11909" t="str">
            <v>NR</v>
          </cell>
        </row>
        <row r="11910">
          <cell r="E11910" t="str">
            <v>MUS</v>
          </cell>
          <cell r="F11910" t="str">
            <v xml:space="preserve">MUS-P </v>
          </cell>
          <cell r="G11910">
            <v>800</v>
          </cell>
          <cell r="H11910" t="str">
            <v>MUS-P 800</v>
          </cell>
          <cell r="K11910" t="str">
            <v>Neriki,Shigeo</v>
          </cell>
          <cell r="N11910" t="str">
            <v>NR</v>
          </cell>
          <cell r="O11910" t="str">
            <v>NR</v>
          </cell>
        </row>
        <row r="11911">
          <cell r="E11911" t="str">
            <v>MUS</v>
          </cell>
          <cell r="F11911" t="str">
            <v xml:space="preserve">MUS-P </v>
          </cell>
          <cell r="G11911">
            <v>800</v>
          </cell>
          <cell r="H11911" t="str">
            <v>MUS-P 800</v>
          </cell>
          <cell r="K11911" t="str">
            <v>Shigeoka-Neriki,Reiko</v>
          </cell>
          <cell r="N11911" t="str">
            <v>NR</v>
          </cell>
          <cell r="O11911" t="str">
            <v>NR</v>
          </cell>
        </row>
        <row r="11912">
          <cell r="E11912" t="str">
            <v>MUS</v>
          </cell>
          <cell r="F11912" t="str">
            <v xml:space="preserve">MUS-P </v>
          </cell>
          <cell r="G11912">
            <v>900</v>
          </cell>
          <cell r="H11912" t="str">
            <v>MUS-P 900</v>
          </cell>
          <cell r="K11912" t="str">
            <v>Auer,Edward</v>
          </cell>
          <cell r="N11912">
            <v>4</v>
          </cell>
          <cell r="O11912">
            <v>3.754</v>
          </cell>
        </row>
        <row r="11913">
          <cell r="E11913" t="str">
            <v>MUS</v>
          </cell>
          <cell r="F11913" t="str">
            <v xml:space="preserve">MUS-P </v>
          </cell>
          <cell r="G11913">
            <v>900</v>
          </cell>
          <cell r="H11913" t="str">
            <v>MUS-P 900</v>
          </cell>
          <cell r="K11913" t="str">
            <v>Battersby,Edmund</v>
          </cell>
          <cell r="N11913">
            <v>4</v>
          </cell>
          <cell r="O11913">
            <v>3.8620000000000001</v>
          </cell>
        </row>
        <row r="11914">
          <cell r="E11914" t="str">
            <v>MUS</v>
          </cell>
          <cell r="F11914" t="str">
            <v xml:space="preserve">MUS-P </v>
          </cell>
          <cell r="G11914">
            <v>900</v>
          </cell>
          <cell r="H11914" t="str">
            <v>MUS-P 900</v>
          </cell>
          <cell r="K11914" t="str">
            <v>Battersby,Edmund</v>
          </cell>
          <cell r="N11914" t="str">
            <v>NR</v>
          </cell>
          <cell r="O11914" t="str">
            <v>NR</v>
          </cell>
        </row>
        <row r="11915">
          <cell r="E11915" t="str">
            <v>MUS</v>
          </cell>
          <cell r="F11915" t="str">
            <v xml:space="preserve">MUS-P </v>
          </cell>
          <cell r="G11915">
            <v>900</v>
          </cell>
          <cell r="H11915" t="str">
            <v>MUS-P 900</v>
          </cell>
          <cell r="K11915" t="str">
            <v>Brancart,Evelyne Emilie Louise</v>
          </cell>
          <cell r="N11915">
            <v>4</v>
          </cell>
          <cell r="O11915">
            <v>3.9020000000000001</v>
          </cell>
        </row>
        <row r="11916">
          <cell r="E11916" t="str">
            <v>MUS</v>
          </cell>
          <cell r="F11916" t="str">
            <v xml:space="preserve">MUS-P </v>
          </cell>
          <cell r="G11916">
            <v>900</v>
          </cell>
          <cell r="H11916" t="str">
            <v>MUS-P 900</v>
          </cell>
          <cell r="K11916" t="str">
            <v>Brancart,Evelyne Emilie Louise</v>
          </cell>
          <cell r="N11916">
            <v>4</v>
          </cell>
          <cell r="O11916">
            <v>3.9020000000000001</v>
          </cell>
        </row>
        <row r="11917">
          <cell r="E11917" t="str">
            <v>MUS</v>
          </cell>
          <cell r="F11917" t="str">
            <v xml:space="preserve">MUS-P </v>
          </cell>
          <cell r="G11917">
            <v>900</v>
          </cell>
          <cell r="H11917" t="str">
            <v>MUS-P 900</v>
          </cell>
          <cell r="K11917" t="str">
            <v>Cohen,Arnaldo</v>
          </cell>
          <cell r="N11917">
            <v>3.9470000000000001</v>
          </cell>
          <cell r="O11917">
            <v>3.8140000000000001</v>
          </cell>
        </row>
        <row r="11918">
          <cell r="E11918" t="str">
            <v>MUS</v>
          </cell>
          <cell r="F11918" t="str">
            <v xml:space="preserve">MUS-P </v>
          </cell>
          <cell r="G11918">
            <v>900</v>
          </cell>
          <cell r="H11918" t="str">
            <v>MUS-P 900</v>
          </cell>
          <cell r="K11918" t="str">
            <v>Edlina-Dubinsky,Luba</v>
          </cell>
          <cell r="N11918">
            <v>4</v>
          </cell>
          <cell r="O11918">
            <v>3.9</v>
          </cell>
        </row>
        <row r="11919">
          <cell r="E11919" t="str">
            <v>MUS</v>
          </cell>
          <cell r="F11919" t="str">
            <v xml:space="preserve">MUS-P </v>
          </cell>
          <cell r="G11919">
            <v>900</v>
          </cell>
          <cell r="H11919" t="str">
            <v>MUS-P 900</v>
          </cell>
          <cell r="K11919" t="str">
            <v>Edlina-Dubinsky,Luba</v>
          </cell>
          <cell r="N11919">
            <v>4</v>
          </cell>
          <cell r="O11919">
            <v>3.92</v>
          </cell>
        </row>
        <row r="11920">
          <cell r="E11920" t="str">
            <v>MUS</v>
          </cell>
          <cell r="F11920" t="str">
            <v xml:space="preserve">MUS-P </v>
          </cell>
          <cell r="G11920">
            <v>900</v>
          </cell>
          <cell r="H11920" t="str">
            <v>MUS-P 900</v>
          </cell>
          <cell r="K11920" t="str">
            <v>Haguenauer,Jean Louis</v>
          </cell>
          <cell r="N11920">
            <v>4</v>
          </cell>
          <cell r="O11920">
            <v>3.9249999999999998</v>
          </cell>
        </row>
        <row r="11921">
          <cell r="E11921" t="str">
            <v>MUS</v>
          </cell>
          <cell r="F11921" t="str">
            <v xml:space="preserve">MUS-P </v>
          </cell>
          <cell r="G11921">
            <v>900</v>
          </cell>
          <cell r="H11921" t="str">
            <v>MUS-P 900</v>
          </cell>
          <cell r="K11921" t="str">
            <v>Haguenauer,Jean-Louis</v>
          </cell>
          <cell r="N11921">
            <v>4</v>
          </cell>
          <cell r="O11921">
            <v>3.766</v>
          </cell>
        </row>
        <row r="11922">
          <cell r="E11922" t="str">
            <v>MUS</v>
          </cell>
          <cell r="F11922" t="str">
            <v xml:space="preserve">MUS-P </v>
          </cell>
          <cell r="G11922">
            <v>900</v>
          </cell>
          <cell r="H11922" t="str">
            <v>MUS-P 900</v>
          </cell>
          <cell r="K11922" t="str">
            <v>Naoumoff,Emile Gueorguiev</v>
          </cell>
          <cell r="N11922">
            <v>4</v>
          </cell>
          <cell r="O11922">
            <v>3.851</v>
          </cell>
        </row>
        <row r="11923">
          <cell r="E11923" t="str">
            <v>MUS</v>
          </cell>
          <cell r="F11923" t="str">
            <v xml:space="preserve">MUS-P </v>
          </cell>
          <cell r="G11923">
            <v>900</v>
          </cell>
          <cell r="H11923" t="str">
            <v>MUS-P 900</v>
          </cell>
          <cell r="K11923" t="str">
            <v>Naoumoff,Emile Gueorguiev</v>
          </cell>
          <cell r="N11923">
            <v>4</v>
          </cell>
          <cell r="O11923">
            <v>3.77</v>
          </cell>
        </row>
        <row r="11924">
          <cell r="E11924" t="str">
            <v>MUS</v>
          </cell>
          <cell r="F11924" t="str">
            <v xml:space="preserve">MUS-P </v>
          </cell>
          <cell r="G11924">
            <v>900</v>
          </cell>
          <cell r="H11924" t="str">
            <v>MUS-P 900</v>
          </cell>
          <cell r="K11924" t="str">
            <v>Neriki,Shigeo</v>
          </cell>
          <cell r="N11924">
            <v>4</v>
          </cell>
          <cell r="O11924">
            <v>3.8359999999999999</v>
          </cell>
        </row>
        <row r="11925">
          <cell r="E11925" t="str">
            <v>MUS</v>
          </cell>
          <cell r="F11925" t="str">
            <v xml:space="preserve">MUS-P </v>
          </cell>
          <cell r="G11925">
            <v>900</v>
          </cell>
          <cell r="H11925" t="str">
            <v>MUS-P 900</v>
          </cell>
          <cell r="K11925" t="str">
            <v>Neriki,Shigeo</v>
          </cell>
          <cell r="N11925">
            <v>4</v>
          </cell>
          <cell r="O11925">
            <v>3.88</v>
          </cell>
        </row>
        <row r="11926">
          <cell r="E11926" t="str">
            <v>MUS</v>
          </cell>
          <cell r="F11926" t="str">
            <v xml:space="preserve">MUS-P </v>
          </cell>
          <cell r="G11926">
            <v>900</v>
          </cell>
          <cell r="H11926" t="str">
            <v>MUS-P 900</v>
          </cell>
          <cell r="K11926" t="str">
            <v>Pressler,Menahem</v>
          </cell>
          <cell r="N11926">
            <v>4</v>
          </cell>
          <cell r="O11926">
            <v>3.88</v>
          </cell>
        </row>
        <row r="11927">
          <cell r="E11927" t="str">
            <v>MUS</v>
          </cell>
          <cell r="F11927" t="str">
            <v xml:space="preserve">MUS-P </v>
          </cell>
          <cell r="G11927">
            <v>900</v>
          </cell>
          <cell r="H11927" t="str">
            <v>MUS-P 900</v>
          </cell>
          <cell r="K11927" t="str">
            <v>Pressler,Menahem</v>
          </cell>
          <cell r="N11927">
            <v>4</v>
          </cell>
          <cell r="O11927">
            <v>3.867</v>
          </cell>
        </row>
        <row r="11928">
          <cell r="E11928" t="str">
            <v>MUS</v>
          </cell>
          <cell r="F11928" t="str">
            <v xml:space="preserve">MUS-P </v>
          </cell>
          <cell r="G11928">
            <v>900</v>
          </cell>
          <cell r="H11928" t="str">
            <v>MUS-P 900</v>
          </cell>
          <cell r="K11928" t="str">
            <v>Richards,Gwyn</v>
          </cell>
          <cell r="N11928" t="str">
            <v>NR</v>
          </cell>
          <cell r="O11928" t="str">
            <v>NR</v>
          </cell>
        </row>
        <row r="11929">
          <cell r="E11929" t="str">
            <v>MUS</v>
          </cell>
          <cell r="F11929" t="str">
            <v xml:space="preserve">MUS-P </v>
          </cell>
          <cell r="G11929">
            <v>900</v>
          </cell>
          <cell r="H11929" t="str">
            <v>MUS-P 900</v>
          </cell>
          <cell r="K11929" t="str">
            <v>Richards,Gwyn</v>
          </cell>
          <cell r="N11929" t="str">
            <v>NR</v>
          </cell>
          <cell r="O11929" t="str">
            <v>NR</v>
          </cell>
        </row>
        <row r="11930">
          <cell r="E11930" t="str">
            <v>MUS</v>
          </cell>
          <cell r="F11930" t="str">
            <v xml:space="preserve">MUS-P </v>
          </cell>
          <cell r="G11930">
            <v>900</v>
          </cell>
          <cell r="H11930" t="str">
            <v>MUS-P 900</v>
          </cell>
          <cell r="K11930" t="str">
            <v>Shaw,Karen</v>
          </cell>
          <cell r="N11930">
            <v>4</v>
          </cell>
          <cell r="O11930">
            <v>3.8210000000000002</v>
          </cell>
        </row>
        <row r="11931">
          <cell r="E11931" t="str">
            <v>MUS</v>
          </cell>
          <cell r="F11931" t="str">
            <v xml:space="preserve">MUS-P </v>
          </cell>
          <cell r="G11931">
            <v>900</v>
          </cell>
          <cell r="H11931" t="str">
            <v>MUS-P 900</v>
          </cell>
          <cell r="K11931" t="str">
            <v>Shaw,Karen</v>
          </cell>
          <cell r="N11931">
            <v>4</v>
          </cell>
          <cell r="O11931">
            <v>3.5990000000000002</v>
          </cell>
        </row>
        <row r="11932">
          <cell r="E11932" t="str">
            <v>MUS</v>
          </cell>
          <cell r="F11932" t="str">
            <v xml:space="preserve">MUS-P </v>
          </cell>
          <cell r="G11932">
            <v>900</v>
          </cell>
          <cell r="H11932" t="str">
            <v>MUS-P 900</v>
          </cell>
          <cell r="K11932" t="str">
            <v>Shigeoka-Neriki,Reiko</v>
          </cell>
          <cell r="N11932" t="str">
            <v>NR</v>
          </cell>
          <cell r="O11932" t="str">
            <v>NR</v>
          </cell>
        </row>
        <row r="11933">
          <cell r="E11933" t="str">
            <v>MUS</v>
          </cell>
          <cell r="F11933" t="str">
            <v xml:space="preserve">MUS-P </v>
          </cell>
          <cell r="G11933">
            <v>900</v>
          </cell>
          <cell r="H11933" t="str">
            <v>MUS-P 900</v>
          </cell>
          <cell r="K11933" t="str">
            <v>Shigeoka-Neriki,Reiko</v>
          </cell>
          <cell r="N11933" t="str">
            <v>NR</v>
          </cell>
          <cell r="O11933" t="str">
            <v>NR</v>
          </cell>
        </row>
        <row r="11934">
          <cell r="E11934" t="str">
            <v>MUS</v>
          </cell>
          <cell r="F11934" t="str">
            <v xml:space="preserve">MUS-P </v>
          </cell>
          <cell r="G11934">
            <v>900</v>
          </cell>
          <cell r="H11934" t="str">
            <v>MUS-P 900</v>
          </cell>
          <cell r="K11934" t="str">
            <v>Watts,Andre</v>
          </cell>
          <cell r="N11934">
            <v>4</v>
          </cell>
          <cell r="O11934">
            <v>3.8769999999999998</v>
          </cell>
        </row>
        <row r="11935">
          <cell r="E11935" t="str">
            <v>MUS</v>
          </cell>
          <cell r="F11935" t="str">
            <v xml:space="preserve">MUS-P </v>
          </cell>
          <cell r="G11935">
            <v>900</v>
          </cell>
          <cell r="H11935" t="str">
            <v>MUS-P 900</v>
          </cell>
          <cell r="K11935" t="str">
            <v>Watts,Andre</v>
          </cell>
          <cell r="N11935">
            <v>4</v>
          </cell>
          <cell r="O11935">
            <v>3.8290000000000002</v>
          </cell>
        </row>
        <row r="11936">
          <cell r="E11936" t="str">
            <v>MUS</v>
          </cell>
          <cell r="F11936" t="str">
            <v xml:space="preserve">MUS-Q </v>
          </cell>
          <cell r="G11936">
            <v>100</v>
          </cell>
          <cell r="H11936" t="str">
            <v>MUS-Q 100</v>
          </cell>
          <cell r="K11936" t="str">
            <v>Berg,Ian Andrew</v>
          </cell>
          <cell r="N11936" t="str">
            <v>NR</v>
          </cell>
          <cell r="O11936" t="str">
            <v>NR</v>
          </cell>
        </row>
        <row r="11937">
          <cell r="E11937" t="str">
            <v>MUS</v>
          </cell>
          <cell r="F11937" t="str">
            <v xml:space="preserve">MUS-Q </v>
          </cell>
          <cell r="G11937">
            <v>100</v>
          </cell>
          <cell r="H11937" t="str">
            <v>MUS-Q 100</v>
          </cell>
          <cell r="K11937" t="str">
            <v>Meier,Danielle Elizabeth</v>
          </cell>
          <cell r="N11937" t="str">
            <v>NR</v>
          </cell>
          <cell r="O11937" t="str">
            <v>NR</v>
          </cell>
        </row>
        <row r="11938">
          <cell r="E11938" t="str">
            <v>MUS</v>
          </cell>
          <cell r="F11938" t="str">
            <v xml:space="preserve">MUS-Q </v>
          </cell>
          <cell r="G11938">
            <v>400</v>
          </cell>
          <cell r="H11938" t="str">
            <v>MUS-Q 400</v>
          </cell>
          <cell r="K11938" t="str">
            <v>Fishell,Janette Sue</v>
          </cell>
          <cell r="N11938">
            <v>3.9129999999999998</v>
          </cell>
          <cell r="O11938">
            <v>3.8460000000000001</v>
          </cell>
        </row>
        <row r="11939">
          <cell r="E11939" t="str">
            <v>MUS</v>
          </cell>
          <cell r="F11939" t="str">
            <v xml:space="preserve">MUS-Q </v>
          </cell>
          <cell r="G11939">
            <v>400</v>
          </cell>
          <cell r="H11939" t="str">
            <v>MUS-Q 400</v>
          </cell>
          <cell r="K11939" t="str">
            <v>Fishell,Janette Sue</v>
          </cell>
          <cell r="N11939">
            <v>4</v>
          </cell>
          <cell r="O11939">
            <v>3.7829999999999999</v>
          </cell>
        </row>
        <row r="11940">
          <cell r="E11940" t="str">
            <v>MUS</v>
          </cell>
          <cell r="F11940" t="str">
            <v xml:space="preserve">MUS-Q </v>
          </cell>
          <cell r="G11940">
            <v>400</v>
          </cell>
          <cell r="H11940" t="str">
            <v>MUS-Q 400</v>
          </cell>
          <cell r="K11940" t="str">
            <v>Neswick,Bruce Eldon</v>
          </cell>
          <cell r="N11940" t="str">
            <v>NR</v>
          </cell>
          <cell r="O11940" t="str">
            <v>NR</v>
          </cell>
        </row>
        <row r="11941">
          <cell r="E11941" t="str">
            <v>MUS</v>
          </cell>
          <cell r="F11941" t="str">
            <v xml:space="preserve">MUS-Q </v>
          </cell>
          <cell r="G11941">
            <v>400</v>
          </cell>
          <cell r="H11941" t="str">
            <v>MUS-Q 400</v>
          </cell>
          <cell r="K11941" t="str">
            <v>Young,Christopher</v>
          </cell>
          <cell r="N11941" t="str">
            <v>NR</v>
          </cell>
          <cell r="O11941" t="str">
            <v>NR</v>
          </cell>
        </row>
        <row r="11942">
          <cell r="E11942" t="str">
            <v>MUS</v>
          </cell>
          <cell r="F11942" t="str">
            <v xml:space="preserve">MUS-Q </v>
          </cell>
          <cell r="G11942">
            <v>400</v>
          </cell>
          <cell r="H11942" t="str">
            <v>MUS-Q 400</v>
          </cell>
          <cell r="K11942" t="str">
            <v>Young,Christopher</v>
          </cell>
          <cell r="N11942" t="str">
            <v>NR</v>
          </cell>
          <cell r="O11942" t="str">
            <v>NR</v>
          </cell>
        </row>
        <row r="11943">
          <cell r="E11943" t="str">
            <v>MUS</v>
          </cell>
          <cell r="F11943" t="str">
            <v xml:space="preserve">MUS-Q </v>
          </cell>
          <cell r="G11943">
            <v>601</v>
          </cell>
          <cell r="H11943" t="str">
            <v>MUS-Q 601</v>
          </cell>
          <cell r="K11943" t="str">
            <v>Isaacson,Eric John</v>
          </cell>
          <cell r="N11943" t="str">
            <v>NR</v>
          </cell>
          <cell r="O11943" t="str">
            <v>NR</v>
          </cell>
        </row>
        <row r="11944">
          <cell r="E11944" t="str">
            <v>MUS</v>
          </cell>
          <cell r="F11944" t="str">
            <v xml:space="preserve">MUS-Q </v>
          </cell>
          <cell r="G11944">
            <v>601</v>
          </cell>
          <cell r="H11944" t="str">
            <v>MUS-Q 601</v>
          </cell>
          <cell r="K11944" t="str">
            <v>Isaacson,Eric John</v>
          </cell>
          <cell r="N11944" t="str">
            <v>NR</v>
          </cell>
          <cell r="O11944" t="str">
            <v>NR</v>
          </cell>
        </row>
        <row r="11945">
          <cell r="E11945" t="str">
            <v>MUS</v>
          </cell>
          <cell r="F11945" t="str">
            <v xml:space="preserve">MUS-Q </v>
          </cell>
          <cell r="G11945">
            <v>601</v>
          </cell>
          <cell r="H11945" t="str">
            <v>MUS-Q 601</v>
          </cell>
          <cell r="K11945" t="str">
            <v>Isaacson,Eric John</v>
          </cell>
          <cell r="N11945" t="str">
            <v>NR</v>
          </cell>
          <cell r="O11945" t="str">
            <v>NR</v>
          </cell>
        </row>
        <row r="11946">
          <cell r="E11946" t="str">
            <v>MUS</v>
          </cell>
          <cell r="F11946" t="str">
            <v xml:space="preserve">MUS-Q </v>
          </cell>
          <cell r="G11946">
            <v>601</v>
          </cell>
          <cell r="H11946" t="str">
            <v>MUS-Q 601</v>
          </cell>
          <cell r="K11946" t="str">
            <v>Isaacson,Eric John</v>
          </cell>
          <cell r="N11946" t="str">
            <v>NR</v>
          </cell>
          <cell r="O11946" t="str">
            <v>NR</v>
          </cell>
        </row>
        <row r="11947">
          <cell r="E11947" t="str">
            <v>MUS</v>
          </cell>
          <cell r="F11947" t="str">
            <v xml:space="preserve">MUS-Q </v>
          </cell>
          <cell r="G11947">
            <v>608</v>
          </cell>
          <cell r="H11947" t="str">
            <v>MUS-Q 608</v>
          </cell>
          <cell r="K11947" t="str">
            <v>Neswick,Bruce Eldon</v>
          </cell>
          <cell r="N11947" t="str">
            <v>NR</v>
          </cell>
          <cell r="O11947" t="str">
            <v>NR</v>
          </cell>
        </row>
        <row r="11948">
          <cell r="E11948" t="str">
            <v>MUS</v>
          </cell>
          <cell r="F11948" t="str">
            <v xml:space="preserve">MUS-Q </v>
          </cell>
          <cell r="G11948">
            <v>700</v>
          </cell>
          <cell r="H11948" t="str">
            <v>MUS-Q 700</v>
          </cell>
          <cell r="K11948" t="str">
            <v>Berg,Ian Andrew</v>
          </cell>
          <cell r="N11948" t="str">
            <v>NR</v>
          </cell>
          <cell r="O11948" t="str">
            <v>NR</v>
          </cell>
        </row>
        <row r="11949">
          <cell r="E11949" t="str">
            <v>MUS</v>
          </cell>
          <cell r="F11949" t="str">
            <v xml:space="preserve">MUS-Q </v>
          </cell>
          <cell r="G11949">
            <v>700</v>
          </cell>
          <cell r="H11949" t="str">
            <v>MUS-Q 700</v>
          </cell>
          <cell r="K11949" t="str">
            <v>Meier,Danielle Elizabeth</v>
          </cell>
          <cell r="N11949" t="str">
            <v>NR</v>
          </cell>
          <cell r="O11949" t="str">
            <v>NR</v>
          </cell>
        </row>
        <row r="11950">
          <cell r="E11950" t="str">
            <v>MUS</v>
          </cell>
          <cell r="F11950" t="str">
            <v xml:space="preserve">MUS-Q </v>
          </cell>
          <cell r="G11950">
            <v>800</v>
          </cell>
          <cell r="H11950" t="str">
            <v>MUS-Q 800</v>
          </cell>
          <cell r="K11950" t="str">
            <v>Neswick,Bruce Eldon</v>
          </cell>
          <cell r="N11950" t="str">
            <v>NR</v>
          </cell>
          <cell r="O11950" t="str">
            <v>NR</v>
          </cell>
        </row>
        <row r="11951">
          <cell r="E11951" t="str">
            <v>MUS</v>
          </cell>
          <cell r="F11951" t="str">
            <v xml:space="preserve">MUS-Q </v>
          </cell>
          <cell r="G11951">
            <v>900</v>
          </cell>
          <cell r="H11951" t="str">
            <v>MUS-Q 900</v>
          </cell>
          <cell r="K11951" t="str">
            <v>Fishell,Janette Sue</v>
          </cell>
          <cell r="N11951">
            <v>3.9750000000000001</v>
          </cell>
          <cell r="O11951">
            <v>3.8769999999999998</v>
          </cell>
        </row>
        <row r="11952">
          <cell r="E11952" t="str">
            <v>MUS</v>
          </cell>
          <cell r="F11952" t="str">
            <v xml:space="preserve">MUS-Q </v>
          </cell>
          <cell r="G11952">
            <v>900</v>
          </cell>
          <cell r="H11952" t="str">
            <v>MUS-Q 900</v>
          </cell>
          <cell r="K11952" t="str">
            <v>Fishell,Janette Sue</v>
          </cell>
          <cell r="N11952">
            <v>4</v>
          </cell>
          <cell r="O11952">
            <v>3.891</v>
          </cell>
        </row>
        <row r="11953">
          <cell r="E11953" t="str">
            <v>MUS</v>
          </cell>
          <cell r="F11953" t="str">
            <v xml:space="preserve">MUS-Q </v>
          </cell>
          <cell r="G11953">
            <v>900</v>
          </cell>
          <cell r="H11953" t="str">
            <v>MUS-Q 900</v>
          </cell>
          <cell r="K11953" t="str">
            <v>Neswick,Bruce Eldon</v>
          </cell>
          <cell r="N11953">
            <v>3.95</v>
          </cell>
          <cell r="O11953">
            <v>3.7879999999999998</v>
          </cell>
        </row>
        <row r="11954">
          <cell r="E11954" t="str">
            <v>MUS</v>
          </cell>
          <cell r="F11954" t="str">
            <v xml:space="preserve">MUS-Q </v>
          </cell>
          <cell r="G11954">
            <v>900</v>
          </cell>
          <cell r="H11954" t="str">
            <v>MUS-Q 900</v>
          </cell>
          <cell r="K11954" t="str">
            <v>Neswick,Bruce Eldon</v>
          </cell>
          <cell r="N11954" t="str">
            <v>NR</v>
          </cell>
          <cell r="O11954" t="str">
            <v>NR</v>
          </cell>
        </row>
        <row r="11955">
          <cell r="E11955" t="str">
            <v>MUS</v>
          </cell>
          <cell r="F11955" t="str">
            <v xml:space="preserve">MUS-Q </v>
          </cell>
          <cell r="G11955">
            <v>900</v>
          </cell>
          <cell r="H11955" t="str">
            <v>MUS-Q 900</v>
          </cell>
          <cell r="K11955" t="str">
            <v>Young,Christopher</v>
          </cell>
          <cell r="N11955">
            <v>3.9729999999999999</v>
          </cell>
          <cell r="O11955">
            <v>3.85</v>
          </cell>
        </row>
        <row r="11956">
          <cell r="E11956" t="str">
            <v>MUS</v>
          </cell>
          <cell r="F11956" t="str">
            <v xml:space="preserve">MUS-Q </v>
          </cell>
          <cell r="G11956">
            <v>900</v>
          </cell>
          <cell r="H11956" t="str">
            <v>MUS-Q 900</v>
          </cell>
          <cell r="K11956" t="str">
            <v>Young,Christopher</v>
          </cell>
          <cell r="N11956">
            <v>3.891</v>
          </cell>
          <cell r="O11956">
            <v>3.8119999999999998</v>
          </cell>
        </row>
        <row r="11957">
          <cell r="E11957" t="str">
            <v>MUS</v>
          </cell>
          <cell r="F11957" t="str">
            <v xml:space="preserve">MUS-R </v>
          </cell>
          <cell r="G11957">
            <v>391</v>
          </cell>
          <cell r="H11957" t="str">
            <v>MUS-R 391</v>
          </cell>
          <cell r="K11957" t="str">
            <v>Liotta,Vincent Joseph</v>
          </cell>
          <cell r="N11957" t="str">
            <v>NR</v>
          </cell>
          <cell r="O11957" t="str">
            <v>NR</v>
          </cell>
        </row>
        <row r="11958">
          <cell r="E11958" t="str">
            <v>MUS</v>
          </cell>
          <cell r="F11958" t="str">
            <v xml:space="preserve">MUS-R </v>
          </cell>
          <cell r="G11958">
            <v>471</v>
          </cell>
          <cell r="H11958" t="str">
            <v>MUS-R 471</v>
          </cell>
          <cell r="K11958" t="str">
            <v>McNair,Sylvia</v>
          </cell>
          <cell r="N11958">
            <v>3.5</v>
          </cell>
          <cell r="O11958">
            <v>3.2530000000000001</v>
          </cell>
        </row>
        <row r="11959">
          <cell r="E11959" t="str">
            <v>MUS</v>
          </cell>
          <cell r="F11959" t="str">
            <v xml:space="preserve">MUS-R </v>
          </cell>
          <cell r="G11959">
            <v>472</v>
          </cell>
          <cell r="H11959" t="str">
            <v>MUS-R 472</v>
          </cell>
          <cell r="K11959" t="str">
            <v>McNair,Sylvia</v>
          </cell>
          <cell r="N11959">
            <v>4</v>
          </cell>
          <cell r="O11959">
            <v>3.5449999999999999</v>
          </cell>
        </row>
        <row r="11960">
          <cell r="E11960" t="str">
            <v>MUS</v>
          </cell>
          <cell r="F11960" t="str">
            <v xml:space="preserve">MUS-R </v>
          </cell>
          <cell r="G11960">
            <v>502</v>
          </cell>
          <cell r="H11960" t="str">
            <v>MUS-R 502</v>
          </cell>
          <cell r="K11960" t="str">
            <v>Liotta,Vincent Joseph</v>
          </cell>
          <cell r="N11960" t="str">
            <v>NR</v>
          </cell>
          <cell r="O11960" t="str">
            <v>NR</v>
          </cell>
        </row>
        <row r="11961">
          <cell r="E11961" t="str">
            <v>MUS</v>
          </cell>
          <cell r="F11961" t="str">
            <v xml:space="preserve">MUS-R </v>
          </cell>
          <cell r="G11961">
            <v>505</v>
          </cell>
          <cell r="H11961" t="str">
            <v>MUS-R 505</v>
          </cell>
          <cell r="K11961" t="str">
            <v>Liotta,Vincent Joseph</v>
          </cell>
          <cell r="N11961">
            <v>4</v>
          </cell>
          <cell r="O11961">
            <v>3.8660000000000001</v>
          </cell>
        </row>
        <row r="11962">
          <cell r="E11962" t="str">
            <v>MUS</v>
          </cell>
          <cell r="F11962" t="str">
            <v xml:space="preserve">MUS-R </v>
          </cell>
          <cell r="G11962">
            <v>571</v>
          </cell>
          <cell r="H11962" t="str">
            <v>MUS-R 571</v>
          </cell>
          <cell r="K11962" t="str">
            <v>Murphy,Heidi G</v>
          </cell>
          <cell r="N11962">
            <v>4</v>
          </cell>
          <cell r="O11962">
            <v>3.698</v>
          </cell>
        </row>
        <row r="11963">
          <cell r="E11963" t="str">
            <v>MUS</v>
          </cell>
          <cell r="F11963" t="str">
            <v xml:space="preserve">MUS-R </v>
          </cell>
          <cell r="G11963">
            <v>571</v>
          </cell>
          <cell r="H11963" t="str">
            <v>MUS-R 571</v>
          </cell>
          <cell r="K11963" t="str">
            <v>Murphy,Heidi G</v>
          </cell>
          <cell r="N11963">
            <v>4</v>
          </cell>
          <cell r="O11963">
            <v>3.76</v>
          </cell>
        </row>
        <row r="11964">
          <cell r="E11964" t="str">
            <v>MUS</v>
          </cell>
          <cell r="F11964" t="str">
            <v xml:space="preserve">MUS-R </v>
          </cell>
          <cell r="G11964">
            <v>572</v>
          </cell>
          <cell r="H11964" t="str">
            <v>MUS-R 572</v>
          </cell>
          <cell r="K11964" t="str">
            <v>Brendel,Wolfgang R</v>
          </cell>
          <cell r="N11964">
            <v>4</v>
          </cell>
          <cell r="O11964">
            <v>3.6989999999999998</v>
          </cell>
        </row>
        <row r="11965">
          <cell r="E11965" t="str">
            <v>MUS</v>
          </cell>
          <cell r="F11965" t="str">
            <v xml:space="preserve">MUS-R </v>
          </cell>
          <cell r="G11965">
            <v>572</v>
          </cell>
          <cell r="H11965" t="str">
            <v>MUS-R 572</v>
          </cell>
          <cell r="K11965" t="str">
            <v>Vaness,Carol Theresa</v>
          </cell>
          <cell r="N11965">
            <v>3.8</v>
          </cell>
          <cell r="O11965">
            <v>3.786</v>
          </cell>
        </row>
        <row r="11966">
          <cell r="E11966" t="str">
            <v>MUS</v>
          </cell>
          <cell r="F11966" t="str">
            <v xml:space="preserve">MUS-R </v>
          </cell>
          <cell r="G11966">
            <v>591</v>
          </cell>
          <cell r="H11966" t="str">
            <v>MUS-R 591</v>
          </cell>
          <cell r="K11966" t="str">
            <v>Liotta,Vincent Joseph</v>
          </cell>
          <cell r="N11966" t="str">
            <v>NR</v>
          </cell>
          <cell r="O11966" t="str">
            <v>NR</v>
          </cell>
        </row>
        <row r="11967">
          <cell r="E11967" t="str">
            <v>MUS</v>
          </cell>
          <cell r="F11967" t="str">
            <v xml:space="preserve">MUS-S </v>
          </cell>
          <cell r="G11967">
            <v>110</v>
          </cell>
          <cell r="H11967" t="str">
            <v>MUS-S 110</v>
          </cell>
          <cell r="K11967" t="str">
            <v>Agostini,Federico</v>
          </cell>
          <cell r="N11967" t="str">
            <v>NR</v>
          </cell>
          <cell r="O11967" t="str">
            <v>NR</v>
          </cell>
        </row>
        <row r="11968">
          <cell r="E11968" t="str">
            <v>MUS</v>
          </cell>
          <cell r="F11968" t="str">
            <v xml:space="preserve">MUS-S </v>
          </cell>
          <cell r="G11968">
            <v>110</v>
          </cell>
          <cell r="H11968" t="str">
            <v>MUS-S 110</v>
          </cell>
          <cell r="K11968" t="str">
            <v>Berg,Ian Andrew</v>
          </cell>
          <cell r="N11968">
            <v>3.9670000000000001</v>
          </cell>
          <cell r="O11968">
            <v>3.7069999999999999</v>
          </cell>
        </row>
        <row r="11969">
          <cell r="E11969" t="str">
            <v>MUS</v>
          </cell>
          <cell r="F11969" t="str">
            <v xml:space="preserve">MUS-S </v>
          </cell>
          <cell r="G11969">
            <v>110</v>
          </cell>
          <cell r="H11969" t="str">
            <v>MUS-S 110</v>
          </cell>
          <cell r="K11969" t="str">
            <v>Meier,Danielle Elizabeth</v>
          </cell>
          <cell r="N11969">
            <v>3.9329999999999998</v>
          </cell>
          <cell r="O11969">
            <v>3.4060000000000001</v>
          </cell>
        </row>
        <row r="11970">
          <cell r="E11970" t="str">
            <v>MUS</v>
          </cell>
          <cell r="F11970" t="str">
            <v xml:space="preserve">MUS-S </v>
          </cell>
          <cell r="G11970">
            <v>120</v>
          </cell>
          <cell r="H11970" t="str">
            <v>MUS-S 120</v>
          </cell>
          <cell r="K11970" t="str">
            <v>Meier,Danielle Elizabeth</v>
          </cell>
          <cell r="N11970" t="str">
            <v>NR</v>
          </cell>
          <cell r="O11970" t="str">
            <v>NR</v>
          </cell>
        </row>
        <row r="11971">
          <cell r="E11971" t="str">
            <v>MUS</v>
          </cell>
          <cell r="F11971" t="str">
            <v xml:space="preserve">MUS-S </v>
          </cell>
          <cell r="G11971">
            <v>130</v>
          </cell>
          <cell r="H11971" t="str">
            <v>MUS-S 130</v>
          </cell>
          <cell r="K11971" t="str">
            <v>Berg,Ian Andrew</v>
          </cell>
          <cell r="N11971" t="str">
            <v>NR</v>
          </cell>
          <cell r="O11971" t="str">
            <v>NR</v>
          </cell>
        </row>
        <row r="11972">
          <cell r="E11972" t="str">
            <v>MUS</v>
          </cell>
          <cell r="F11972" t="str">
            <v xml:space="preserve">MUS-S </v>
          </cell>
          <cell r="G11972">
            <v>130</v>
          </cell>
          <cell r="H11972" t="str">
            <v>MUS-S 130</v>
          </cell>
          <cell r="K11972" t="str">
            <v>Meier,Danielle Elizabeth</v>
          </cell>
          <cell r="N11972" t="str">
            <v>NR</v>
          </cell>
          <cell r="O11972" t="str">
            <v>NR</v>
          </cell>
        </row>
        <row r="11973">
          <cell r="E11973" t="str">
            <v>MUS</v>
          </cell>
          <cell r="F11973" t="str">
            <v xml:space="preserve">MUS-S </v>
          </cell>
          <cell r="G11973">
            <v>140</v>
          </cell>
          <cell r="H11973" t="str">
            <v>MUS-S 140</v>
          </cell>
          <cell r="K11973" t="str">
            <v>Berg,Ian Andrew</v>
          </cell>
          <cell r="N11973" t="str">
            <v>NR</v>
          </cell>
          <cell r="O11973" t="str">
            <v>NR</v>
          </cell>
        </row>
        <row r="11974">
          <cell r="E11974" t="str">
            <v>MUS</v>
          </cell>
          <cell r="F11974" t="str">
            <v xml:space="preserve">MUS-S </v>
          </cell>
          <cell r="G11974">
            <v>140</v>
          </cell>
          <cell r="H11974" t="str">
            <v>MUS-S 140</v>
          </cell>
          <cell r="K11974" t="str">
            <v>Meier,Danielle Elizabeth</v>
          </cell>
          <cell r="N11974" t="str">
            <v>NR</v>
          </cell>
          <cell r="O11974" t="str">
            <v>NR</v>
          </cell>
        </row>
        <row r="11975">
          <cell r="E11975" t="str">
            <v>MUS</v>
          </cell>
          <cell r="F11975" t="str">
            <v xml:space="preserve">MUS-S </v>
          </cell>
          <cell r="G11975">
            <v>410</v>
          </cell>
          <cell r="H11975" t="str">
            <v>MUS-S 410</v>
          </cell>
          <cell r="K11975" t="str">
            <v>Agostini,Federico</v>
          </cell>
          <cell r="N11975" t="str">
            <v>NR</v>
          </cell>
          <cell r="O11975" t="str">
            <v>NR</v>
          </cell>
        </row>
        <row r="11976">
          <cell r="E11976" t="str">
            <v>MUS</v>
          </cell>
          <cell r="F11976" t="str">
            <v xml:space="preserve">MUS-S </v>
          </cell>
          <cell r="G11976">
            <v>410</v>
          </cell>
          <cell r="H11976" t="str">
            <v>MUS-S 410</v>
          </cell>
          <cell r="K11976" t="str">
            <v>Bae,Ik-Hwan</v>
          </cell>
          <cell r="N11976" t="str">
            <v>NR</v>
          </cell>
          <cell r="O11976" t="str">
            <v>NR</v>
          </cell>
        </row>
        <row r="11977">
          <cell r="E11977" t="str">
            <v>MUS</v>
          </cell>
          <cell r="F11977" t="str">
            <v xml:space="preserve">MUS-S </v>
          </cell>
          <cell r="G11977">
            <v>410</v>
          </cell>
          <cell r="H11977" t="str">
            <v>MUS-S 410</v>
          </cell>
          <cell r="K11977" t="str">
            <v>Bae,Ik-Hwan</v>
          </cell>
          <cell r="N11977" t="str">
            <v>NR</v>
          </cell>
          <cell r="O11977" t="str">
            <v>NR</v>
          </cell>
        </row>
        <row r="11978">
          <cell r="E11978" t="str">
            <v>MUS</v>
          </cell>
          <cell r="F11978" t="str">
            <v xml:space="preserve">MUS-S </v>
          </cell>
          <cell r="G11978">
            <v>410</v>
          </cell>
          <cell r="H11978" t="str">
            <v>MUS-S 410</v>
          </cell>
          <cell r="K11978" t="str">
            <v>Bernhardsson,Sigurbjorn</v>
          </cell>
          <cell r="N11978" t="str">
            <v>NR</v>
          </cell>
          <cell r="O11978" t="str">
            <v>NR</v>
          </cell>
        </row>
        <row r="11979">
          <cell r="E11979" t="str">
            <v>MUS</v>
          </cell>
          <cell r="F11979" t="str">
            <v xml:space="preserve">MUS-S </v>
          </cell>
          <cell r="G11979">
            <v>410</v>
          </cell>
          <cell r="H11979" t="str">
            <v>MUS-S 410</v>
          </cell>
          <cell r="K11979" t="str">
            <v>Brenner,Brenda L.</v>
          </cell>
          <cell r="N11979">
            <v>3.9670000000000001</v>
          </cell>
          <cell r="O11979">
            <v>3.59</v>
          </cell>
        </row>
        <row r="11980">
          <cell r="E11980" t="str">
            <v>MUS</v>
          </cell>
          <cell r="F11980" t="str">
            <v xml:space="preserve">MUS-S </v>
          </cell>
          <cell r="G11980">
            <v>410</v>
          </cell>
          <cell r="H11980" t="str">
            <v>MUS-S 410</v>
          </cell>
          <cell r="K11980" t="str">
            <v>Brenner,Brenda L.</v>
          </cell>
          <cell r="N11980">
            <v>3.9670000000000001</v>
          </cell>
          <cell r="O11980">
            <v>3.6269999999999998</v>
          </cell>
        </row>
        <row r="11981">
          <cell r="E11981" t="str">
            <v>MUS</v>
          </cell>
          <cell r="F11981" t="str">
            <v xml:space="preserve">MUS-S </v>
          </cell>
          <cell r="G11981">
            <v>410</v>
          </cell>
          <cell r="H11981" t="str">
            <v>MUS-S 410</v>
          </cell>
          <cell r="K11981" t="str">
            <v>Fleezanis,Jorja</v>
          </cell>
          <cell r="N11981" t="str">
            <v>NR</v>
          </cell>
          <cell r="O11981" t="str">
            <v>NR</v>
          </cell>
        </row>
        <row r="11982">
          <cell r="E11982" t="str">
            <v>MUS</v>
          </cell>
          <cell r="F11982" t="str">
            <v xml:space="preserve">MUS-S </v>
          </cell>
          <cell r="G11982">
            <v>410</v>
          </cell>
          <cell r="H11982" t="str">
            <v>MUS-S 410</v>
          </cell>
          <cell r="K11982" t="str">
            <v>Fleezanis,Jorja</v>
          </cell>
          <cell r="N11982" t="str">
            <v>NR</v>
          </cell>
          <cell r="O11982" t="str">
            <v>NR</v>
          </cell>
        </row>
        <row r="11983">
          <cell r="E11983" t="str">
            <v>MUS</v>
          </cell>
          <cell r="F11983" t="str">
            <v xml:space="preserve">MUS-S </v>
          </cell>
          <cell r="G11983">
            <v>410</v>
          </cell>
          <cell r="H11983" t="str">
            <v>MUS-S 410</v>
          </cell>
          <cell r="K11983" t="str">
            <v>Fuks,Mauricio</v>
          </cell>
          <cell r="N11983">
            <v>4</v>
          </cell>
          <cell r="O11983">
            <v>3.7250000000000001</v>
          </cell>
        </row>
        <row r="11984">
          <cell r="E11984" t="str">
            <v>MUS</v>
          </cell>
          <cell r="F11984" t="str">
            <v xml:space="preserve">MUS-S </v>
          </cell>
          <cell r="G11984">
            <v>410</v>
          </cell>
          <cell r="H11984" t="str">
            <v>MUS-S 410</v>
          </cell>
          <cell r="K11984" t="str">
            <v>Fuks,Mauricio</v>
          </cell>
          <cell r="N11984">
            <v>4</v>
          </cell>
          <cell r="O11984">
            <v>3.8319999999999999</v>
          </cell>
        </row>
        <row r="11985">
          <cell r="E11985" t="str">
            <v>MUS</v>
          </cell>
          <cell r="F11985" t="str">
            <v xml:space="preserve">MUS-S </v>
          </cell>
          <cell r="G11985">
            <v>410</v>
          </cell>
          <cell r="H11985" t="str">
            <v>MUS-S 410</v>
          </cell>
          <cell r="K11985" t="str">
            <v>Ganatra,Simin Beth</v>
          </cell>
          <cell r="N11985" t="str">
            <v>NR</v>
          </cell>
          <cell r="O11985" t="str">
            <v>NR</v>
          </cell>
        </row>
        <row r="11986">
          <cell r="E11986" t="str">
            <v>MUS</v>
          </cell>
          <cell r="F11986" t="str">
            <v xml:space="preserve">MUS-S </v>
          </cell>
          <cell r="G11986">
            <v>410</v>
          </cell>
          <cell r="H11986" t="str">
            <v>MUS-S 410</v>
          </cell>
          <cell r="K11986" t="str">
            <v>Kaplan,Mark</v>
          </cell>
          <cell r="N11986">
            <v>3.88</v>
          </cell>
          <cell r="O11986">
            <v>3.7120000000000002</v>
          </cell>
        </row>
        <row r="11987">
          <cell r="E11987" t="str">
            <v>MUS</v>
          </cell>
          <cell r="F11987" t="str">
            <v xml:space="preserve">MUS-S </v>
          </cell>
          <cell r="G11987">
            <v>410</v>
          </cell>
          <cell r="H11987" t="str">
            <v>MUS-S 410</v>
          </cell>
          <cell r="K11987" t="str">
            <v>Kaplan,Mark</v>
          </cell>
          <cell r="N11987">
            <v>3.9140000000000001</v>
          </cell>
          <cell r="O11987">
            <v>3.706</v>
          </cell>
        </row>
        <row r="11988">
          <cell r="E11988" t="str">
            <v>MUS</v>
          </cell>
          <cell r="F11988" t="str">
            <v xml:space="preserve">MUS-S </v>
          </cell>
          <cell r="G11988">
            <v>410</v>
          </cell>
          <cell r="H11988" t="str">
            <v>MUS-S 410</v>
          </cell>
          <cell r="K11988" t="str">
            <v>Kerr,Alexander</v>
          </cell>
          <cell r="N11988">
            <v>3.94</v>
          </cell>
          <cell r="O11988">
            <v>3.3849999999999998</v>
          </cell>
        </row>
        <row r="11989">
          <cell r="E11989" t="str">
            <v>MUS</v>
          </cell>
          <cell r="F11989" t="str">
            <v xml:space="preserve">MUS-S </v>
          </cell>
          <cell r="G11989">
            <v>410</v>
          </cell>
          <cell r="H11989" t="str">
            <v>MUS-S 410</v>
          </cell>
          <cell r="K11989" t="str">
            <v>Kerr,Alexander</v>
          </cell>
          <cell r="N11989">
            <v>3.9249999999999998</v>
          </cell>
          <cell r="O11989">
            <v>3.3849999999999998</v>
          </cell>
        </row>
        <row r="11990">
          <cell r="E11990" t="str">
            <v>MUS</v>
          </cell>
          <cell r="F11990" t="str">
            <v xml:space="preserve">MUS-S </v>
          </cell>
          <cell r="G11990">
            <v>410</v>
          </cell>
          <cell r="H11990" t="str">
            <v>MUS-S 410</v>
          </cell>
          <cell r="K11990" t="str">
            <v>Laredo,Jaime</v>
          </cell>
          <cell r="N11990" t="str">
            <v>NR</v>
          </cell>
          <cell r="O11990" t="str">
            <v>NR</v>
          </cell>
        </row>
        <row r="11991">
          <cell r="E11991" t="str">
            <v>MUS</v>
          </cell>
          <cell r="F11991" t="str">
            <v xml:space="preserve">MUS-S </v>
          </cell>
          <cell r="G11991">
            <v>410</v>
          </cell>
          <cell r="H11991" t="str">
            <v>MUS-S 410</v>
          </cell>
          <cell r="K11991" t="str">
            <v>Mardirossian,Kevork Markar</v>
          </cell>
          <cell r="N11991">
            <v>4</v>
          </cell>
          <cell r="O11991">
            <v>3.5939999999999999</v>
          </cell>
        </row>
        <row r="11992">
          <cell r="E11992" t="str">
            <v>MUS</v>
          </cell>
          <cell r="F11992" t="str">
            <v xml:space="preserve">MUS-S </v>
          </cell>
          <cell r="G11992">
            <v>410</v>
          </cell>
          <cell r="H11992" t="str">
            <v>MUS-S 410</v>
          </cell>
          <cell r="K11992" t="str">
            <v>Mardirossian,Kevork Markar</v>
          </cell>
          <cell r="N11992">
            <v>3.8570000000000002</v>
          </cell>
          <cell r="O11992">
            <v>3.6309999999999998</v>
          </cell>
        </row>
        <row r="11993">
          <cell r="E11993" t="str">
            <v>MUS</v>
          </cell>
          <cell r="F11993" t="str">
            <v xml:space="preserve">MUS-S </v>
          </cell>
          <cell r="G11993">
            <v>410</v>
          </cell>
          <cell r="H11993" t="str">
            <v>MUS-S 410</v>
          </cell>
          <cell r="K11993" t="str">
            <v>Richards,Gwyn</v>
          </cell>
          <cell r="N11993" t="str">
            <v>NR</v>
          </cell>
          <cell r="O11993" t="str">
            <v>NR</v>
          </cell>
        </row>
        <row r="11994">
          <cell r="E11994" t="str">
            <v>MUS</v>
          </cell>
          <cell r="F11994" t="str">
            <v xml:space="preserve">MUS-S </v>
          </cell>
          <cell r="G11994">
            <v>410</v>
          </cell>
          <cell r="H11994" t="str">
            <v>MUS-S 410</v>
          </cell>
          <cell r="K11994" t="str">
            <v>Richards,Gwyn</v>
          </cell>
          <cell r="N11994" t="str">
            <v>NR</v>
          </cell>
          <cell r="O11994" t="str">
            <v>NR</v>
          </cell>
        </row>
        <row r="11995">
          <cell r="E11995" t="str">
            <v>MUS</v>
          </cell>
          <cell r="F11995" t="str">
            <v xml:space="preserve">MUS-S </v>
          </cell>
          <cell r="G11995">
            <v>410</v>
          </cell>
          <cell r="H11995" t="str">
            <v>MUS-S 410</v>
          </cell>
          <cell r="K11995" t="str">
            <v>Ruhstrat,Desiree E</v>
          </cell>
          <cell r="N11995">
            <v>3.95</v>
          </cell>
          <cell r="O11995">
            <v>3.7309999999999999</v>
          </cell>
        </row>
        <row r="11996">
          <cell r="E11996" t="str">
            <v>MUS</v>
          </cell>
          <cell r="F11996" t="str">
            <v xml:space="preserve">MUS-S </v>
          </cell>
          <cell r="G11996">
            <v>410</v>
          </cell>
          <cell r="H11996" t="str">
            <v>MUS-S 410</v>
          </cell>
          <cell r="K11996" t="str">
            <v>Zweig,Mimi H</v>
          </cell>
          <cell r="N11996">
            <v>4</v>
          </cell>
          <cell r="O11996">
            <v>3.7610000000000001</v>
          </cell>
        </row>
        <row r="11997">
          <cell r="E11997" t="str">
            <v>MUS</v>
          </cell>
          <cell r="F11997" t="str">
            <v xml:space="preserve">MUS-S </v>
          </cell>
          <cell r="G11997">
            <v>410</v>
          </cell>
          <cell r="H11997" t="str">
            <v>MUS-S 410</v>
          </cell>
          <cell r="K11997" t="str">
            <v>Zweig,Mimi H</v>
          </cell>
          <cell r="N11997">
            <v>3.9569999999999999</v>
          </cell>
          <cell r="O11997">
            <v>3.8460000000000001</v>
          </cell>
        </row>
        <row r="11998">
          <cell r="E11998" t="str">
            <v>MUS</v>
          </cell>
          <cell r="F11998" t="str">
            <v xml:space="preserve">MUS-S </v>
          </cell>
          <cell r="G11998">
            <v>420</v>
          </cell>
          <cell r="H11998" t="str">
            <v>MUS-S 420</v>
          </cell>
          <cell r="K11998" t="str">
            <v>Arad,Atar</v>
          </cell>
          <cell r="N11998">
            <v>4</v>
          </cell>
          <cell r="O11998">
            <v>3.8260000000000001</v>
          </cell>
        </row>
        <row r="11999">
          <cell r="E11999" t="str">
            <v>MUS</v>
          </cell>
          <cell r="F11999" t="str">
            <v xml:space="preserve">MUS-S </v>
          </cell>
          <cell r="G11999">
            <v>420</v>
          </cell>
          <cell r="H11999" t="str">
            <v>MUS-S 420</v>
          </cell>
          <cell r="K11999" t="str">
            <v>Arad,Atar</v>
          </cell>
          <cell r="N11999">
            <v>4</v>
          </cell>
          <cell r="O11999">
            <v>3.7559999999999998</v>
          </cell>
        </row>
        <row r="12000">
          <cell r="E12000" t="str">
            <v>MUS</v>
          </cell>
          <cell r="F12000" t="str">
            <v xml:space="preserve">MUS-S </v>
          </cell>
          <cell r="G12000">
            <v>420</v>
          </cell>
          <cell r="H12000" t="str">
            <v>MUS-S 420</v>
          </cell>
          <cell r="K12000" t="str">
            <v>Brenner,Brenda L.</v>
          </cell>
          <cell r="N12000" t="str">
            <v>NR</v>
          </cell>
          <cell r="O12000" t="str">
            <v>NR</v>
          </cell>
        </row>
        <row r="12001">
          <cell r="E12001" t="str">
            <v>MUS</v>
          </cell>
          <cell r="F12001" t="str">
            <v xml:space="preserve">MUS-S </v>
          </cell>
          <cell r="G12001">
            <v>420</v>
          </cell>
          <cell r="H12001" t="str">
            <v>MUS-S 420</v>
          </cell>
          <cell r="K12001" t="str">
            <v>De Veritch,Alan Bisno</v>
          </cell>
          <cell r="N12001" t="str">
            <v>NR</v>
          </cell>
          <cell r="O12001" t="str">
            <v>NR</v>
          </cell>
        </row>
        <row r="12002">
          <cell r="E12002" t="str">
            <v>MUS</v>
          </cell>
          <cell r="F12002" t="str">
            <v xml:space="preserve">MUS-S </v>
          </cell>
          <cell r="G12002">
            <v>420</v>
          </cell>
          <cell r="H12002" t="str">
            <v>MUS-S 420</v>
          </cell>
          <cell r="K12002" t="str">
            <v>Gazouleas,Edward Panjiotis</v>
          </cell>
          <cell r="N12002" t="str">
            <v>NR</v>
          </cell>
          <cell r="O12002" t="str">
            <v>NR</v>
          </cell>
        </row>
        <row r="12003">
          <cell r="E12003" t="str">
            <v>MUS</v>
          </cell>
          <cell r="F12003" t="str">
            <v xml:space="preserve">MUS-S </v>
          </cell>
          <cell r="G12003">
            <v>420</v>
          </cell>
          <cell r="H12003" t="str">
            <v>MUS-S 420</v>
          </cell>
          <cell r="K12003" t="str">
            <v>Richards,Gwyn</v>
          </cell>
          <cell r="N12003" t="str">
            <v>NR</v>
          </cell>
          <cell r="O12003" t="str">
            <v>NR</v>
          </cell>
        </row>
        <row r="12004">
          <cell r="E12004" t="str">
            <v>MUS</v>
          </cell>
          <cell r="F12004" t="str">
            <v xml:space="preserve">MUS-S </v>
          </cell>
          <cell r="G12004">
            <v>420</v>
          </cell>
          <cell r="H12004" t="str">
            <v>MUS-S 420</v>
          </cell>
          <cell r="K12004" t="str">
            <v>Rostad,Per Masumi</v>
          </cell>
          <cell r="N12004" t="str">
            <v>NR</v>
          </cell>
          <cell r="O12004" t="str">
            <v>NR</v>
          </cell>
        </row>
        <row r="12005">
          <cell r="E12005" t="str">
            <v>MUS</v>
          </cell>
          <cell r="F12005" t="str">
            <v xml:space="preserve">MUS-S </v>
          </cell>
          <cell r="G12005">
            <v>420</v>
          </cell>
          <cell r="H12005" t="str">
            <v>MUS-S 420</v>
          </cell>
          <cell r="K12005" t="str">
            <v>Strauss,Michael Isaac</v>
          </cell>
          <cell r="N12005" t="str">
            <v>NR</v>
          </cell>
          <cell r="O12005" t="str">
            <v>NR</v>
          </cell>
        </row>
        <row r="12006">
          <cell r="E12006" t="str">
            <v>MUS</v>
          </cell>
          <cell r="F12006" t="str">
            <v xml:space="preserve">MUS-S </v>
          </cell>
          <cell r="G12006">
            <v>420</v>
          </cell>
          <cell r="H12006" t="str">
            <v>MUS-S 420</v>
          </cell>
          <cell r="K12006" t="str">
            <v>Wyrczynski,Stephen Paul</v>
          </cell>
          <cell r="N12006">
            <v>3.8559999999999999</v>
          </cell>
          <cell r="O12006">
            <v>3.4670000000000001</v>
          </cell>
        </row>
        <row r="12007">
          <cell r="E12007" t="str">
            <v>MUS</v>
          </cell>
          <cell r="F12007" t="str">
            <v xml:space="preserve">MUS-S </v>
          </cell>
          <cell r="G12007">
            <v>420</v>
          </cell>
          <cell r="H12007" t="str">
            <v>MUS-S 420</v>
          </cell>
          <cell r="K12007" t="str">
            <v>Wyrczynski,Stephen Paul</v>
          </cell>
          <cell r="N12007">
            <v>3.6840000000000002</v>
          </cell>
          <cell r="O12007">
            <v>3.5219999999999998</v>
          </cell>
        </row>
        <row r="12008">
          <cell r="E12008" t="str">
            <v>MUS</v>
          </cell>
          <cell r="F12008" t="str">
            <v xml:space="preserve">MUS-S </v>
          </cell>
          <cell r="G12008">
            <v>430</v>
          </cell>
          <cell r="H12008" t="str">
            <v>MUS-S 430</v>
          </cell>
          <cell r="K12008" t="str">
            <v>Colon,Emilio W.</v>
          </cell>
          <cell r="N12008">
            <v>4</v>
          </cell>
          <cell r="O12008">
            <v>3.6339999999999999</v>
          </cell>
        </row>
        <row r="12009">
          <cell r="E12009" t="str">
            <v>MUS</v>
          </cell>
          <cell r="F12009" t="str">
            <v xml:space="preserve">MUS-S </v>
          </cell>
          <cell r="G12009">
            <v>430</v>
          </cell>
          <cell r="H12009" t="str">
            <v>MUS-S 430</v>
          </cell>
          <cell r="K12009" t="str">
            <v>Colon,Emilio W.</v>
          </cell>
          <cell r="N12009">
            <v>3.9</v>
          </cell>
          <cell r="O12009">
            <v>3.6139999999999999</v>
          </cell>
        </row>
        <row r="12010">
          <cell r="E12010" t="str">
            <v>MUS</v>
          </cell>
          <cell r="F12010" t="str">
            <v xml:space="preserve">MUS-S </v>
          </cell>
          <cell r="G12010">
            <v>430</v>
          </cell>
          <cell r="H12010" t="str">
            <v>MUS-S 430</v>
          </cell>
          <cell r="K12010" t="str">
            <v>Contino,Adriana</v>
          </cell>
          <cell r="N12010" t="str">
            <v>NR</v>
          </cell>
          <cell r="O12010" t="str">
            <v>NR</v>
          </cell>
        </row>
        <row r="12011">
          <cell r="E12011" t="str">
            <v>MUS</v>
          </cell>
          <cell r="F12011" t="str">
            <v xml:space="preserve">MUS-S </v>
          </cell>
          <cell r="G12011">
            <v>430</v>
          </cell>
          <cell r="H12011" t="str">
            <v>MUS-S 430</v>
          </cell>
          <cell r="K12011" t="str">
            <v>Karp,Benjamin Chaim</v>
          </cell>
          <cell r="N12011" t="str">
            <v>NR</v>
          </cell>
          <cell r="O12011" t="str">
            <v>NR</v>
          </cell>
        </row>
        <row r="12012">
          <cell r="E12012" t="str">
            <v>MUS</v>
          </cell>
          <cell r="F12012" t="str">
            <v xml:space="preserve">MUS-S </v>
          </cell>
          <cell r="G12012">
            <v>430</v>
          </cell>
          <cell r="H12012" t="str">
            <v>MUS-S 430</v>
          </cell>
          <cell r="K12012" t="str">
            <v>Karp,Benjamin Chaim</v>
          </cell>
          <cell r="N12012" t="str">
            <v>NR</v>
          </cell>
          <cell r="O12012" t="str">
            <v>NR</v>
          </cell>
        </row>
        <row r="12013">
          <cell r="E12013" t="str">
            <v>MUS</v>
          </cell>
          <cell r="F12013" t="str">
            <v xml:space="preserve">MUS-S </v>
          </cell>
          <cell r="G12013">
            <v>430</v>
          </cell>
          <cell r="H12013" t="str">
            <v>MUS-S 430</v>
          </cell>
          <cell r="K12013" t="str">
            <v>Kim,Eric</v>
          </cell>
          <cell r="N12013">
            <v>4</v>
          </cell>
          <cell r="O12013">
            <v>3.5550000000000002</v>
          </cell>
        </row>
        <row r="12014">
          <cell r="E12014" t="str">
            <v>MUS</v>
          </cell>
          <cell r="F12014" t="str">
            <v xml:space="preserve">MUS-S </v>
          </cell>
          <cell r="G12014">
            <v>430</v>
          </cell>
          <cell r="H12014" t="str">
            <v>MUS-S 430</v>
          </cell>
          <cell r="K12014" t="str">
            <v>Kim,Eric</v>
          </cell>
          <cell r="N12014">
            <v>3.95</v>
          </cell>
          <cell r="O12014">
            <v>3.4910000000000001</v>
          </cell>
        </row>
        <row r="12015">
          <cell r="E12015" t="str">
            <v>MUS</v>
          </cell>
          <cell r="F12015" t="str">
            <v xml:space="preserve">MUS-S </v>
          </cell>
          <cell r="G12015">
            <v>430</v>
          </cell>
          <cell r="H12015" t="str">
            <v>MUS-S 430</v>
          </cell>
          <cell r="K12015" t="str">
            <v>Richards,Gwyn</v>
          </cell>
          <cell r="N12015" t="str">
            <v>NR</v>
          </cell>
          <cell r="O12015" t="str">
            <v>NR</v>
          </cell>
        </row>
        <row r="12016">
          <cell r="E12016" t="str">
            <v>MUS</v>
          </cell>
          <cell r="F12016" t="str">
            <v xml:space="preserve">MUS-S </v>
          </cell>
          <cell r="G12016">
            <v>430</v>
          </cell>
          <cell r="H12016" t="str">
            <v>MUS-S 430</v>
          </cell>
          <cell r="K12016" t="str">
            <v>Richards,Gwyn</v>
          </cell>
          <cell r="N12016" t="str">
            <v>NR</v>
          </cell>
          <cell r="O12016" t="str">
            <v>NR</v>
          </cell>
        </row>
        <row r="12017">
          <cell r="E12017" t="str">
            <v>MUS</v>
          </cell>
          <cell r="F12017" t="str">
            <v xml:space="preserve">MUS-S </v>
          </cell>
          <cell r="G12017">
            <v>430</v>
          </cell>
          <cell r="H12017" t="str">
            <v>MUS-S 430</v>
          </cell>
          <cell r="K12017" t="str">
            <v>Robinson,Sharon H</v>
          </cell>
          <cell r="N12017">
            <v>4</v>
          </cell>
          <cell r="O12017">
            <v>3.657</v>
          </cell>
        </row>
        <row r="12018">
          <cell r="E12018" t="str">
            <v>MUS</v>
          </cell>
          <cell r="F12018" t="str">
            <v xml:space="preserve">MUS-S </v>
          </cell>
          <cell r="G12018">
            <v>430</v>
          </cell>
          <cell r="H12018" t="str">
            <v>MUS-S 430</v>
          </cell>
          <cell r="K12018" t="str">
            <v>Starker,Janos</v>
          </cell>
          <cell r="N12018" t="str">
            <v>NR</v>
          </cell>
          <cell r="O12018" t="str">
            <v>NR</v>
          </cell>
        </row>
        <row r="12019">
          <cell r="E12019" t="str">
            <v>MUS</v>
          </cell>
          <cell r="F12019" t="str">
            <v xml:space="preserve">MUS-S </v>
          </cell>
          <cell r="G12019">
            <v>430</v>
          </cell>
          <cell r="H12019" t="str">
            <v>MUS-S 430</v>
          </cell>
          <cell r="K12019" t="str">
            <v>Stumpf,Peter Daniel</v>
          </cell>
          <cell r="N12019">
            <v>4</v>
          </cell>
          <cell r="O12019">
            <v>3.601</v>
          </cell>
        </row>
        <row r="12020">
          <cell r="E12020" t="str">
            <v>MUS</v>
          </cell>
          <cell r="F12020" t="str">
            <v xml:space="preserve">MUS-S </v>
          </cell>
          <cell r="G12020">
            <v>430</v>
          </cell>
          <cell r="H12020" t="str">
            <v>MUS-S 430</v>
          </cell>
          <cell r="K12020" t="str">
            <v>Stumpf,Peter Daniel</v>
          </cell>
          <cell r="N12020">
            <v>3.8639999999999999</v>
          </cell>
          <cell r="O12020">
            <v>3.629</v>
          </cell>
        </row>
        <row r="12021">
          <cell r="E12021" t="str">
            <v>MUS</v>
          </cell>
          <cell r="F12021" t="str">
            <v xml:space="preserve">MUS-S </v>
          </cell>
          <cell r="G12021">
            <v>430</v>
          </cell>
          <cell r="H12021" t="str">
            <v>MUS-S 430</v>
          </cell>
          <cell r="K12021" t="str">
            <v>Vamos,Brandon Jules</v>
          </cell>
          <cell r="N12021" t="str">
            <v>NR</v>
          </cell>
          <cell r="O12021" t="str">
            <v>NR</v>
          </cell>
        </row>
        <row r="12022">
          <cell r="E12022" t="str">
            <v>MUS</v>
          </cell>
          <cell r="F12022" t="str">
            <v xml:space="preserve">MUS-S </v>
          </cell>
          <cell r="G12022">
            <v>440</v>
          </cell>
          <cell r="H12022" t="str">
            <v>MUS-S 440</v>
          </cell>
          <cell r="K12022" t="str">
            <v>Allen,Jeremy Linn</v>
          </cell>
          <cell r="N12022">
            <v>4</v>
          </cell>
          <cell r="O12022">
            <v>3.601</v>
          </cell>
        </row>
        <row r="12023">
          <cell r="E12023" t="str">
            <v>MUS</v>
          </cell>
          <cell r="F12023" t="str">
            <v xml:space="preserve">MUS-S </v>
          </cell>
          <cell r="G12023">
            <v>440</v>
          </cell>
          <cell r="H12023" t="str">
            <v>MUS-S 440</v>
          </cell>
          <cell r="K12023" t="str">
            <v>Allen,Jeremy Linn</v>
          </cell>
          <cell r="N12023">
            <v>3.883</v>
          </cell>
          <cell r="O12023">
            <v>3.4359999999999999</v>
          </cell>
        </row>
        <row r="12024">
          <cell r="E12024" t="str">
            <v>MUS</v>
          </cell>
          <cell r="F12024" t="str">
            <v xml:space="preserve">MUS-S </v>
          </cell>
          <cell r="G12024">
            <v>440</v>
          </cell>
          <cell r="H12024" t="str">
            <v>MUS-S 440</v>
          </cell>
          <cell r="K12024" t="str">
            <v>Bransby,Bruce</v>
          </cell>
          <cell r="N12024">
            <v>3.8330000000000002</v>
          </cell>
          <cell r="O12024">
            <v>3.601</v>
          </cell>
        </row>
        <row r="12025">
          <cell r="E12025" t="str">
            <v>MUS</v>
          </cell>
          <cell r="F12025" t="str">
            <v xml:space="preserve">MUS-S </v>
          </cell>
          <cell r="G12025">
            <v>440</v>
          </cell>
          <cell r="H12025" t="str">
            <v>MUS-S 440</v>
          </cell>
          <cell r="K12025" t="str">
            <v>Bransby,Bruce</v>
          </cell>
          <cell r="N12025">
            <v>4</v>
          </cell>
          <cell r="O12025">
            <v>3.5659999999999998</v>
          </cell>
        </row>
        <row r="12026">
          <cell r="E12026" t="str">
            <v>MUS</v>
          </cell>
          <cell r="F12026" t="str">
            <v xml:space="preserve">MUS-S </v>
          </cell>
          <cell r="G12026">
            <v>440</v>
          </cell>
          <cell r="H12026" t="str">
            <v>MUS-S 440</v>
          </cell>
          <cell r="K12026" t="str">
            <v>Brown,Craig Murray</v>
          </cell>
          <cell r="N12026">
            <v>3.95</v>
          </cell>
          <cell r="O12026">
            <v>3.59</v>
          </cell>
        </row>
        <row r="12027">
          <cell r="E12027" t="str">
            <v>MUS</v>
          </cell>
          <cell r="F12027" t="str">
            <v xml:space="preserve">MUS-S </v>
          </cell>
          <cell r="G12027">
            <v>440</v>
          </cell>
          <cell r="H12027" t="str">
            <v>MUS-S 440</v>
          </cell>
          <cell r="K12027" t="str">
            <v>Hurst,Lawrence P.</v>
          </cell>
          <cell r="N12027">
            <v>3.97</v>
          </cell>
          <cell r="O12027">
            <v>3.6190000000000002</v>
          </cell>
        </row>
        <row r="12028">
          <cell r="E12028" t="str">
            <v>MUS</v>
          </cell>
          <cell r="F12028" t="str">
            <v xml:space="preserve">MUS-S </v>
          </cell>
          <cell r="G12028">
            <v>611</v>
          </cell>
          <cell r="H12028" t="str">
            <v>MUS-S 611</v>
          </cell>
          <cell r="K12028" t="str">
            <v>Isaacson,Eric John</v>
          </cell>
          <cell r="N12028" t="str">
            <v>NR</v>
          </cell>
          <cell r="O12028" t="str">
            <v>NR</v>
          </cell>
        </row>
        <row r="12029">
          <cell r="E12029" t="str">
            <v>MUS</v>
          </cell>
          <cell r="F12029" t="str">
            <v xml:space="preserve">MUS-S </v>
          </cell>
          <cell r="G12029">
            <v>612</v>
          </cell>
          <cell r="H12029" t="str">
            <v>MUS-S 612</v>
          </cell>
          <cell r="K12029" t="str">
            <v>Isaacson,Eric John</v>
          </cell>
          <cell r="N12029" t="str">
            <v>NR</v>
          </cell>
          <cell r="O12029" t="str">
            <v>NR</v>
          </cell>
        </row>
        <row r="12030">
          <cell r="E12030" t="str">
            <v>MUS</v>
          </cell>
          <cell r="F12030" t="str">
            <v xml:space="preserve">MUS-S </v>
          </cell>
          <cell r="G12030">
            <v>612</v>
          </cell>
          <cell r="H12030" t="str">
            <v>MUS-S 612</v>
          </cell>
          <cell r="K12030" t="str">
            <v>Isaacson,Eric John</v>
          </cell>
          <cell r="N12030" t="str">
            <v>NR</v>
          </cell>
          <cell r="O12030" t="str">
            <v>NR</v>
          </cell>
        </row>
        <row r="12031">
          <cell r="E12031" t="str">
            <v>MUS</v>
          </cell>
          <cell r="F12031" t="str">
            <v xml:space="preserve">MUS-S </v>
          </cell>
          <cell r="G12031">
            <v>613</v>
          </cell>
          <cell r="H12031" t="str">
            <v>MUS-S 613</v>
          </cell>
          <cell r="K12031" t="str">
            <v>Isaacson,Eric John</v>
          </cell>
          <cell r="N12031" t="str">
            <v>NR</v>
          </cell>
          <cell r="O12031" t="str">
            <v>NR</v>
          </cell>
        </row>
        <row r="12032">
          <cell r="E12032" t="str">
            <v>MUS</v>
          </cell>
          <cell r="F12032" t="str">
            <v xml:space="preserve">MUS-S </v>
          </cell>
          <cell r="G12032">
            <v>613</v>
          </cell>
          <cell r="H12032" t="str">
            <v>MUS-S 613</v>
          </cell>
          <cell r="K12032" t="str">
            <v>Isaacson,Eric John</v>
          </cell>
          <cell r="N12032" t="str">
            <v>NR</v>
          </cell>
          <cell r="O12032" t="str">
            <v>NR</v>
          </cell>
        </row>
        <row r="12033">
          <cell r="E12033" t="str">
            <v>MUS</v>
          </cell>
          <cell r="F12033" t="str">
            <v xml:space="preserve">MUS-S </v>
          </cell>
          <cell r="G12033">
            <v>614</v>
          </cell>
          <cell r="H12033" t="str">
            <v>MUS-S 614</v>
          </cell>
          <cell r="K12033" t="str">
            <v>Isaacson,Eric John</v>
          </cell>
          <cell r="N12033" t="str">
            <v>NR</v>
          </cell>
          <cell r="O12033" t="str">
            <v>NR</v>
          </cell>
        </row>
        <row r="12034">
          <cell r="E12034" t="str">
            <v>MUS</v>
          </cell>
          <cell r="F12034" t="str">
            <v xml:space="preserve">MUS-S </v>
          </cell>
          <cell r="G12034">
            <v>621</v>
          </cell>
          <cell r="H12034" t="str">
            <v>MUS-S 621</v>
          </cell>
          <cell r="K12034" t="str">
            <v>Isaacson,Eric John</v>
          </cell>
          <cell r="N12034" t="str">
            <v>NR</v>
          </cell>
          <cell r="O12034" t="str">
            <v>NR</v>
          </cell>
        </row>
        <row r="12035">
          <cell r="E12035" t="str">
            <v>MUS</v>
          </cell>
          <cell r="F12035" t="str">
            <v xml:space="preserve">MUS-S </v>
          </cell>
          <cell r="G12035">
            <v>622</v>
          </cell>
          <cell r="H12035" t="str">
            <v>MUS-S 622</v>
          </cell>
          <cell r="K12035" t="str">
            <v>Isaacson,Eric John</v>
          </cell>
          <cell r="N12035" t="str">
            <v>NR</v>
          </cell>
          <cell r="O12035" t="str">
            <v>NR</v>
          </cell>
        </row>
        <row r="12036">
          <cell r="E12036" t="str">
            <v>MUS</v>
          </cell>
          <cell r="F12036" t="str">
            <v xml:space="preserve">MUS-S </v>
          </cell>
          <cell r="G12036">
            <v>632</v>
          </cell>
          <cell r="H12036" t="str">
            <v>MUS-S 632</v>
          </cell>
          <cell r="K12036" t="str">
            <v>Isaacson,Eric John</v>
          </cell>
          <cell r="N12036" t="str">
            <v>NR</v>
          </cell>
          <cell r="O12036" t="str">
            <v>NR</v>
          </cell>
        </row>
        <row r="12037">
          <cell r="E12037" t="str">
            <v>MUS</v>
          </cell>
          <cell r="F12037" t="str">
            <v xml:space="preserve">MUS-S </v>
          </cell>
          <cell r="G12037">
            <v>633</v>
          </cell>
          <cell r="H12037" t="str">
            <v>MUS-S 633</v>
          </cell>
          <cell r="K12037" t="str">
            <v>Isaacson,Eric John</v>
          </cell>
          <cell r="N12037" t="str">
            <v>NR</v>
          </cell>
          <cell r="O12037" t="str">
            <v>NR</v>
          </cell>
        </row>
        <row r="12038">
          <cell r="E12038" t="str">
            <v>MUS</v>
          </cell>
          <cell r="F12038" t="str">
            <v xml:space="preserve">MUS-S </v>
          </cell>
          <cell r="G12038">
            <v>710</v>
          </cell>
          <cell r="H12038" t="str">
            <v>MUS-S 710</v>
          </cell>
          <cell r="K12038" t="str">
            <v>Berg,Ian Andrew</v>
          </cell>
          <cell r="N12038" t="str">
            <v>NR</v>
          </cell>
          <cell r="O12038" t="str">
            <v>NR</v>
          </cell>
        </row>
        <row r="12039">
          <cell r="E12039" t="str">
            <v>MUS</v>
          </cell>
          <cell r="F12039" t="str">
            <v xml:space="preserve">MUS-S </v>
          </cell>
          <cell r="G12039">
            <v>720</v>
          </cell>
          <cell r="H12039" t="str">
            <v>MUS-S 720</v>
          </cell>
          <cell r="K12039" t="str">
            <v>Berg,Ian Andrew</v>
          </cell>
          <cell r="N12039" t="str">
            <v>NR</v>
          </cell>
          <cell r="O12039" t="str">
            <v>NR</v>
          </cell>
        </row>
        <row r="12040">
          <cell r="E12040" t="str">
            <v>MUS</v>
          </cell>
          <cell r="F12040" t="str">
            <v xml:space="preserve">MUS-S </v>
          </cell>
          <cell r="G12040">
            <v>720</v>
          </cell>
          <cell r="H12040" t="str">
            <v>MUS-S 720</v>
          </cell>
          <cell r="K12040" t="str">
            <v>Meier,Danielle Elizabeth</v>
          </cell>
          <cell r="N12040" t="str">
            <v>NR</v>
          </cell>
          <cell r="O12040" t="str">
            <v>NR</v>
          </cell>
        </row>
        <row r="12041">
          <cell r="E12041" t="str">
            <v>MUS</v>
          </cell>
          <cell r="F12041" t="str">
            <v xml:space="preserve">MUS-S </v>
          </cell>
          <cell r="G12041">
            <v>740</v>
          </cell>
          <cell r="H12041" t="str">
            <v>MUS-S 740</v>
          </cell>
          <cell r="K12041" t="str">
            <v>Berg,Ian Andrew</v>
          </cell>
          <cell r="N12041" t="str">
            <v>NR</v>
          </cell>
          <cell r="O12041" t="str">
            <v>NR</v>
          </cell>
        </row>
        <row r="12042">
          <cell r="E12042" t="str">
            <v>MUS</v>
          </cell>
          <cell r="F12042" t="str">
            <v xml:space="preserve">MUS-S </v>
          </cell>
          <cell r="G12042">
            <v>810</v>
          </cell>
          <cell r="H12042" t="str">
            <v>MUS-S 810</v>
          </cell>
          <cell r="K12042" t="str">
            <v>Agostini,Federico</v>
          </cell>
          <cell r="N12042" t="str">
            <v>NR</v>
          </cell>
          <cell r="O12042" t="str">
            <v>NR</v>
          </cell>
        </row>
        <row r="12043">
          <cell r="E12043" t="str">
            <v>MUS</v>
          </cell>
          <cell r="F12043" t="str">
            <v xml:space="preserve">MUS-S </v>
          </cell>
          <cell r="G12043">
            <v>810</v>
          </cell>
          <cell r="H12043" t="str">
            <v>MUS-S 810</v>
          </cell>
          <cell r="K12043" t="str">
            <v>Brenner,Brenda L.</v>
          </cell>
          <cell r="N12043" t="str">
            <v>NR</v>
          </cell>
          <cell r="O12043" t="str">
            <v>NR</v>
          </cell>
        </row>
        <row r="12044">
          <cell r="E12044" t="str">
            <v>MUS</v>
          </cell>
          <cell r="F12044" t="str">
            <v xml:space="preserve">MUS-S </v>
          </cell>
          <cell r="G12044">
            <v>830</v>
          </cell>
          <cell r="H12044" t="str">
            <v>MUS-S 830</v>
          </cell>
          <cell r="K12044" t="str">
            <v>Colon,Emilio W.</v>
          </cell>
          <cell r="N12044" t="str">
            <v>NR</v>
          </cell>
          <cell r="O12044" t="str">
            <v>NR</v>
          </cell>
        </row>
        <row r="12045">
          <cell r="E12045" t="str">
            <v>MUS</v>
          </cell>
          <cell r="F12045" t="str">
            <v xml:space="preserve">MUS-S </v>
          </cell>
          <cell r="G12045">
            <v>830</v>
          </cell>
          <cell r="H12045" t="str">
            <v>MUS-S 830</v>
          </cell>
          <cell r="K12045" t="str">
            <v>Stumpf,Peter Daniel</v>
          </cell>
          <cell r="N12045" t="str">
            <v>NR</v>
          </cell>
          <cell r="O12045" t="str">
            <v>NR</v>
          </cell>
        </row>
        <row r="12046">
          <cell r="E12046" t="str">
            <v>MUS</v>
          </cell>
          <cell r="F12046" t="str">
            <v xml:space="preserve">MUS-S </v>
          </cell>
          <cell r="G12046">
            <v>840</v>
          </cell>
          <cell r="H12046" t="str">
            <v>MUS-S 840</v>
          </cell>
          <cell r="K12046" t="str">
            <v>Allen,Jeremy Linn</v>
          </cell>
          <cell r="N12046" t="str">
            <v>NR</v>
          </cell>
          <cell r="O12046" t="str">
            <v>NR</v>
          </cell>
        </row>
        <row r="12047">
          <cell r="E12047" t="str">
            <v>MUS</v>
          </cell>
          <cell r="F12047" t="str">
            <v xml:space="preserve">MUS-S </v>
          </cell>
          <cell r="G12047">
            <v>910</v>
          </cell>
          <cell r="H12047" t="str">
            <v>MUS-S 910</v>
          </cell>
          <cell r="K12047" t="str">
            <v>Agostini,Federico</v>
          </cell>
          <cell r="N12047">
            <v>4</v>
          </cell>
          <cell r="O12047">
            <v>3.7290000000000001</v>
          </cell>
        </row>
        <row r="12048">
          <cell r="E12048" t="str">
            <v>MUS</v>
          </cell>
          <cell r="F12048" t="str">
            <v xml:space="preserve">MUS-S </v>
          </cell>
          <cell r="G12048">
            <v>910</v>
          </cell>
          <cell r="H12048" t="str">
            <v>MUS-S 910</v>
          </cell>
          <cell r="K12048" t="str">
            <v>Bae,Ik-Hwan</v>
          </cell>
          <cell r="N12048">
            <v>3.9750000000000001</v>
          </cell>
          <cell r="O12048">
            <v>3.7719999999999998</v>
          </cell>
        </row>
        <row r="12049">
          <cell r="E12049" t="str">
            <v>MUS</v>
          </cell>
          <cell r="F12049" t="str">
            <v xml:space="preserve">MUS-S </v>
          </cell>
          <cell r="G12049">
            <v>910</v>
          </cell>
          <cell r="H12049" t="str">
            <v>MUS-S 910</v>
          </cell>
          <cell r="K12049" t="str">
            <v>Bae,Ik-Hwan</v>
          </cell>
          <cell r="N12049">
            <v>3.9569999999999999</v>
          </cell>
          <cell r="O12049">
            <v>3.63</v>
          </cell>
        </row>
        <row r="12050">
          <cell r="E12050" t="str">
            <v>MUS</v>
          </cell>
          <cell r="F12050" t="str">
            <v xml:space="preserve">MUS-S </v>
          </cell>
          <cell r="G12050">
            <v>910</v>
          </cell>
          <cell r="H12050" t="str">
            <v>MUS-S 910</v>
          </cell>
          <cell r="K12050" t="str">
            <v>Bernhardsson,Sigurbjorn</v>
          </cell>
          <cell r="N12050" t="str">
            <v>NR</v>
          </cell>
          <cell r="O12050" t="str">
            <v>NR</v>
          </cell>
        </row>
        <row r="12051">
          <cell r="E12051" t="str">
            <v>MUS</v>
          </cell>
          <cell r="F12051" t="str">
            <v xml:space="preserve">MUS-S </v>
          </cell>
          <cell r="G12051">
            <v>910</v>
          </cell>
          <cell r="H12051" t="str">
            <v>MUS-S 910</v>
          </cell>
          <cell r="K12051" t="str">
            <v>Fleezanis,Jorja</v>
          </cell>
          <cell r="N12051" t="str">
            <v>NR</v>
          </cell>
          <cell r="O12051" t="str">
            <v>NR</v>
          </cell>
        </row>
        <row r="12052">
          <cell r="E12052" t="str">
            <v>MUS</v>
          </cell>
          <cell r="F12052" t="str">
            <v xml:space="preserve">MUS-S </v>
          </cell>
          <cell r="G12052">
            <v>910</v>
          </cell>
          <cell r="H12052" t="str">
            <v>MUS-S 910</v>
          </cell>
          <cell r="K12052" t="str">
            <v>Fleezanis,Jorja</v>
          </cell>
          <cell r="N12052">
            <v>4</v>
          </cell>
          <cell r="O12052">
            <v>3.8929999999999998</v>
          </cell>
        </row>
        <row r="12053">
          <cell r="E12053" t="str">
            <v>MUS</v>
          </cell>
          <cell r="F12053" t="str">
            <v xml:space="preserve">MUS-S </v>
          </cell>
          <cell r="G12053">
            <v>910</v>
          </cell>
          <cell r="H12053" t="str">
            <v>MUS-S 910</v>
          </cell>
          <cell r="K12053" t="str">
            <v>Fuks,Mauricio</v>
          </cell>
          <cell r="N12053" t="str">
            <v>NR</v>
          </cell>
          <cell r="O12053" t="str">
            <v>NR</v>
          </cell>
        </row>
        <row r="12054">
          <cell r="E12054" t="str">
            <v>MUS</v>
          </cell>
          <cell r="F12054" t="str">
            <v xml:space="preserve">MUS-S </v>
          </cell>
          <cell r="G12054">
            <v>910</v>
          </cell>
          <cell r="H12054" t="str">
            <v>MUS-S 910</v>
          </cell>
          <cell r="K12054" t="str">
            <v>Fuks,Mauricio</v>
          </cell>
          <cell r="N12054">
            <v>4</v>
          </cell>
          <cell r="O12054">
            <v>3.9119999999999999</v>
          </cell>
        </row>
        <row r="12055">
          <cell r="E12055" t="str">
            <v>MUS</v>
          </cell>
          <cell r="F12055" t="str">
            <v xml:space="preserve">MUS-S </v>
          </cell>
          <cell r="G12055">
            <v>910</v>
          </cell>
          <cell r="H12055" t="str">
            <v>MUS-S 910</v>
          </cell>
          <cell r="K12055" t="str">
            <v>Ganatra,Simin Beth</v>
          </cell>
          <cell r="N12055" t="str">
            <v>NR</v>
          </cell>
          <cell r="O12055" t="str">
            <v>NR</v>
          </cell>
        </row>
        <row r="12056">
          <cell r="E12056" t="str">
            <v>MUS</v>
          </cell>
          <cell r="F12056" t="str">
            <v xml:space="preserve">MUS-S </v>
          </cell>
          <cell r="G12056">
            <v>910</v>
          </cell>
          <cell r="H12056" t="str">
            <v>MUS-S 910</v>
          </cell>
          <cell r="K12056" t="str">
            <v>Kaplan,Mark</v>
          </cell>
          <cell r="N12056">
            <v>3.9630000000000001</v>
          </cell>
          <cell r="O12056">
            <v>3.903</v>
          </cell>
        </row>
        <row r="12057">
          <cell r="E12057" t="str">
            <v>MUS</v>
          </cell>
          <cell r="F12057" t="str">
            <v xml:space="preserve">MUS-S </v>
          </cell>
          <cell r="G12057">
            <v>910</v>
          </cell>
          <cell r="H12057" t="str">
            <v>MUS-S 910</v>
          </cell>
          <cell r="K12057" t="str">
            <v>Kaplan,Mark</v>
          </cell>
          <cell r="N12057">
            <v>3.97</v>
          </cell>
          <cell r="O12057">
            <v>3.782</v>
          </cell>
        </row>
        <row r="12058">
          <cell r="E12058" t="str">
            <v>MUS</v>
          </cell>
          <cell r="F12058" t="str">
            <v xml:space="preserve">MUS-S </v>
          </cell>
          <cell r="G12058">
            <v>910</v>
          </cell>
          <cell r="H12058" t="str">
            <v>MUS-S 910</v>
          </cell>
          <cell r="K12058" t="str">
            <v>Kerr,Alexander</v>
          </cell>
          <cell r="N12058">
            <v>4</v>
          </cell>
          <cell r="O12058">
            <v>3.9630000000000001</v>
          </cell>
        </row>
        <row r="12059">
          <cell r="E12059" t="str">
            <v>MUS</v>
          </cell>
          <cell r="F12059" t="str">
            <v xml:space="preserve">MUS-S </v>
          </cell>
          <cell r="G12059">
            <v>910</v>
          </cell>
          <cell r="H12059" t="str">
            <v>MUS-S 910</v>
          </cell>
          <cell r="K12059" t="str">
            <v>Kerr,Alexander</v>
          </cell>
          <cell r="N12059" t="str">
            <v>NR</v>
          </cell>
          <cell r="O12059" t="str">
            <v>NR</v>
          </cell>
        </row>
        <row r="12060">
          <cell r="E12060" t="str">
            <v>MUS</v>
          </cell>
          <cell r="F12060" t="str">
            <v xml:space="preserve">MUS-S </v>
          </cell>
          <cell r="G12060">
            <v>910</v>
          </cell>
          <cell r="H12060" t="str">
            <v>MUS-S 910</v>
          </cell>
          <cell r="K12060" t="str">
            <v>Laredo,Jaime</v>
          </cell>
          <cell r="N12060" t="str">
            <v>NR</v>
          </cell>
          <cell r="O12060" t="str">
            <v>NR</v>
          </cell>
        </row>
        <row r="12061">
          <cell r="E12061" t="str">
            <v>MUS</v>
          </cell>
          <cell r="F12061" t="str">
            <v xml:space="preserve">MUS-S </v>
          </cell>
          <cell r="G12061">
            <v>910</v>
          </cell>
          <cell r="H12061" t="str">
            <v>MUS-S 910</v>
          </cell>
          <cell r="K12061" t="str">
            <v>Mardirossian,Kevork Markar</v>
          </cell>
          <cell r="N12061">
            <v>4</v>
          </cell>
          <cell r="O12061">
            <v>3.8319999999999999</v>
          </cell>
        </row>
        <row r="12062">
          <cell r="E12062" t="str">
            <v>MUS</v>
          </cell>
          <cell r="F12062" t="str">
            <v xml:space="preserve">MUS-S </v>
          </cell>
          <cell r="G12062">
            <v>910</v>
          </cell>
          <cell r="H12062" t="str">
            <v>MUS-S 910</v>
          </cell>
          <cell r="K12062" t="str">
            <v>Mardirossian,Kevork Markar</v>
          </cell>
          <cell r="N12062">
            <v>4</v>
          </cell>
          <cell r="O12062">
            <v>3.8370000000000002</v>
          </cell>
        </row>
        <row r="12063">
          <cell r="E12063" t="str">
            <v>MUS</v>
          </cell>
          <cell r="F12063" t="str">
            <v xml:space="preserve">MUS-S </v>
          </cell>
          <cell r="G12063">
            <v>910</v>
          </cell>
          <cell r="H12063" t="str">
            <v>MUS-S 910</v>
          </cell>
          <cell r="K12063" t="str">
            <v>Richards,Gwyn</v>
          </cell>
          <cell r="N12063" t="str">
            <v>NR</v>
          </cell>
          <cell r="O12063" t="str">
            <v>NR</v>
          </cell>
        </row>
        <row r="12064">
          <cell r="E12064" t="str">
            <v>MUS</v>
          </cell>
          <cell r="F12064" t="str">
            <v xml:space="preserve">MUS-S </v>
          </cell>
          <cell r="G12064">
            <v>910</v>
          </cell>
          <cell r="H12064" t="str">
            <v>MUS-S 910</v>
          </cell>
          <cell r="K12064" t="str">
            <v>Richards,Gwyn</v>
          </cell>
          <cell r="N12064" t="str">
            <v>NR</v>
          </cell>
          <cell r="O12064" t="str">
            <v>NR</v>
          </cell>
        </row>
        <row r="12065">
          <cell r="E12065" t="str">
            <v>MUS</v>
          </cell>
          <cell r="F12065" t="str">
            <v xml:space="preserve">MUS-S </v>
          </cell>
          <cell r="G12065">
            <v>910</v>
          </cell>
          <cell r="H12065" t="str">
            <v>MUS-S 910</v>
          </cell>
          <cell r="K12065" t="str">
            <v>Ruhstrat,Desiree E</v>
          </cell>
          <cell r="N12065" t="str">
            <v>NR</v>
          </cell>
          <cell r="O12065" t="str">
            <v>NR</v>
          </cell>
        </row>
        <row r="12066">
          <cell r="E12066" t="str">
            <v>MUS</v>
          </cell>
          <cell r="F12066" t="str">
            <v xml:space="preserve">MUS-S </v>
          </cell>
          <cell r="G12066">
            <v>910</v>
          </cell>
          <cell r="H12066" t="str">
            <v>MUS-S 910</v>
          </cell>
          <cell r="K12066" t="str">
            <v>Zweig,Mimi H</v>
          </cell>
          <cell r="N12066" t="str">
            <v>NR</v>
          </cell>
          <cell r="O12066" t="str">
            <v>NR</v>
          </cell>
        </row>
        <row r="12067">
          <cell r="E12067" t="str">
            <v>MUS</v>
          </cell>
          <cell r="F12067" t="str">
            <v xml:space="preserve">MUS-S </v>
          </cell>
          <cell r="G12067">
            <v>910</v>
          </cell>
          <cell r="H12067" t="str">
            <v>MUS-S 910</v>
          </cell>
          <cell r="K12067" t="str">
            <v>Zweig,Mimi H</v>
          </cell>
          <cell r="N12067" t="str">
            <v>NR</v>
          </cell>
          <cell r="O12067" t="str">
            <v>NR</v>
          </cell>
        </row>
        <row r="12068">
          <cell r="E12068" t="str">
            <v>MUS</v>
          </cell>
          <cell r="F12068" t="str">
            <v xml:space="preserve">MUS-S </v>
          </cell>
          <cell r="G12068">
            <v>920</v>
          </cell>
          <cell r="H12068" t="str">
            <v>MUS-S 920</v>
          </cell>
          <cell r="K12068" t="str">
            <v>Arad,Atar</v>
          </cell>
          <cell r="N12068">
            <v>4</v>
          </cell>
          <cell r="O12068">
            <v>3.87</v>
          </cell>
        </row>
        <row r="12069">
          <cell r="E12069" t="str">
            <v>MUS</v>
          </cell>
          <cell r="F12069" t="str">
            <v xml:space="preserve">MUS-S </v>
          </cell>
          <cell r="G12069">
            <v>920</v>
          </cell>
          <cell r="H12069" t="str">
            <v>MUS-S 920</v>
          </cell>
          <cell r="K12069" t="str">
            <v>Arad,Atar</v>
          </cell>
          <cell r="N12069">
            <v>4</v>
          </cell>
          <cell r="O12069">
            <v>3.8039999999999998</v>
          </cell>
        </row>
        <row r="12070">
          <cell r="E12070" t="str">
            <v>MUS</v>
          </cell>
          <cell r="F12070" t="str">
            <v xml:space="preserve">MUS-S </v>
          </cell>
          <cell r="G12070">
            <v>920</v>
          </cell>
          <cell r="H12070" t="str">
            <v>MUS-S 920</v>
          </cell>
          <cell r="K12070" t="str">
            <v>Brenner,Brenda L.</v>
          </cell>
          <cell r="N12070" t="str">
            <v>NR</v>
          </cell>
          <cell r="O12070" t="str">
            <v>NR</v>
          </cell>
        </row>
        <row r="12071">
          <cell r="E12071" t="str">
            <v>MUS</v>
          </cell>
          <cell r="F12071" t="str">
            <v xml:space="preserve">MUS-S </v>
          </cell>
          <cell r="G12071">
            <v>920</v>
          </cell>
          <cell r="H12071" t="str">
            <v>MUS-S 920</v>
          </cell>
          <cell r="K12071" t="str">
            <v>De Veritch,Alan Bisno</v>
          </cell>
          <cell r="N12071" t="str">
            <v>NR</v>
          </cell>
          <cell r="O12071" t="str">
            <v>NR</v>
          </cell>
        </row>
        <row r="12072">
          <cell r="E12072" t="str">
            <v>MUS</v>
          </cell>
          <cell r="F12072" t="str">
            <v xml:space="preserve">MUS-S </v>
          </cell>
          <cell r="G12072">
            <v>920</v>
          </cell>
          <cell r="H12072" t="str">
            <v>MUS-S 920</v>
          </cell>
          <cell r="K12072" t="str">
            <v>Gazouleas,Edward Panjiotis</v>
          </cell>
          <cell r="N12072" t="str">
            <v>NR</v>
          </cell>
          <cell r="O12072" t="str">
            <v>NR</v>
          </cell>
        </row>
        <row r="12073">
          <cell r="E12073" t="str">
            <v>MUS</v>
          </cell>
          <cell r="F12073" t="str">
            <v xml:space="preserve">MUS-S </v>
          </cell>
          <cell r="G12073">
            <v>920</v>
          </cell>
          <cell r="H12073" t="str">
            <v>MUS-S 920</v>
          </cell>
          <cell r="K12073" t="str">
            <v>Rostad,Per Masumi</v>
          </cell>
          <cell r="N12073" t="str">
            <v>NR</v>
          </cell>
          <cell r="O12073" t="str">
            <v>NR</v>
          </cell>
        </row>
        <row r="12074">
          <cell r="E12074" t="str">
            <v>MUS</v>
          </cell>
          <cell r="F12074" t="str">
            <v xml:space="preserve">MUS-S </v>
          </cell>
          <cell r="G12074">
            <v>920</v>
          </cell>
          <cell r="H12074" t="str">
            <v>MUS-S 920</v>
          </cell>
          <cell r="K12074" t="str">
            <v>Wyrczynski,Stephen Paul</v>
          </cell>
          <cell r="N12074" t="str">
            <v>NR</v>
          </cell>
          <cell r="O12074" t="str">
            <v>NR</v>
          </cell>
        </row>
        <row r="12075">
          <cell r="E12075" t="str">
            <v>MUS</v>
          </cell>
          <cell r="F12075" t="str">
            <v xml:space="preserve">MUS-S </v>
          </cell>
          <cell r="G12075">
            <v>920</v>
          </cell>
          <cell r="H12075" t="str">
            <v>MUS-S 920</v>
          </cell>
          <cell r="K12075" t="str">
            <v>Wyrczynski,Stephen Paul</v>
          </cell>
          <cell r="N12075" t="str">
            <v>NR</v>
          </cell>
          <cell r="O12075" t="str">
            <v>NR</v>
          </cell>
        </row>
        <row r="12076">
          <cell r="E12076" t="str">
            <v>MUS</v>
          </cell>
          <cell r="F12076" t="str">
            <v xml:space="preserve">MUS-S </v>
          </cell>
          <cell r="G12076">
            <v>930</v>
          </cell>
          <cell r="H12076" t="str">
            <v>MUS-S 930</v>
          </cell>
          <cell r="K12076" t="str">
            <v>Colon,Emilio W.</v>
          </cell>
          <cell r="N12076">
            <v>4</v>
          </cell>
          <cell r="O12076">
            <v>3.8940000000000001</v>
          </cell>
        </row>
        <row r="12077">
          <cell r="E12077" t="str">
            <v>MUS</v>
          </cell>
          <cell r="F12077" t="str">
            <v xml:space="preserve">MUS-S </v>
          </cell>
          <cell r="G12077">
            <v>930</v>
          </cell>
          <cell r="H12077" t="str">
            <v>MUS-S 930</v>
          </cell>
          <cell r="K12077" t="str">
            <v>Colon,Emilio W.</v>
          </cell>
          <cell r="N12077">
            <v>4</v>
          </cell>
          <cell r="O12077">
            <v>3.8079999999999998</v>
          </cell>
        </row>
        <row r="12078">
          <cell r="E12078" t="str">
            <v>MUS</v>
          </cell>
          <cell r="F12078" t="str">
            <v xml:space="preserve">MUS-S </v>
          </cell>
          <cell r="G12078">
            <v>930</v>
          </cell>
          <cell r="H12078" t="str">
            <v>MUS-S 930</v>
          </cell>
          <cell r="K12078" t="str">
            <v>Kim,Eric</v>
          </cell>
          <cell r="N12078" t="str">
            <v>NR</v>
          </cell>
          <cell r="O12078" t="str">
            <v>NR</v>
          </cell>
        </row>
        <row r="12079">
          <cell r="E12079" t="str">
            <v>MUS</v>
          </cell>
          <cell r="F12079" t="str">
            <v xml:space="preserve">MUS-S </v>
          </cell>
          <cell r="G12079">
            <v>930</v>
          </cell>
          <cell r="H12079" t="str">
            <v>MUS-S 930</v>
          </cell>
          <cell r="K12079" t="str">
            <v>Kim,Eric</v>
          </cell>
          <cell r="N12079">
            <v>4</v>
          </cell>
          <cell r="O12079">
            <v>3.8380000000000001</v>
          </cell>
        </row>
        <row r="12080">
          <cell r="E12080" t="str">
            <v>MUS</v>
          </cell>
          <cell r="F12080" t="str">
            <v xml:space="preserve">MUS-S </v>
          </cell>
          <cell r="G12080">
            <v>930</v>
          </cell>
          <cell r="H12080" t="str">
            <v>MUS-S 930</v>
          </cell>
          <cell r="K12080" t="str">
            <v>Richards,Gwyn</v>
          </cell>
          <cell r="N12080" t="str">
            <v>NR</v>
          </cell>
          <cell r="O12080" t="str">
            <v>NR</v>
          </cell>
        </row>
        <row r="12081">
          <cell r="E12081" t="str">
            <v>MUS</v>
          </cell>
          <cell r="F12081" t="str">
            <v xml:space="preserve">MUS-S </v>
          </cell>
          <cell r="G12081">
            <v>930</v>
          </cell>
          <cell r="H12081" t="str">
            <v>MUS-S 930</v>
          </cell>
          <cell r="K12081" t="str">
            <v>Robinson,Sharon H</v>
          </cell>
          <cell r="N12081" t="str">
            <v>NR</v>
          </cell>
          <cell r="O12081" t="str">
            <v>NR</v>
          </cell>
        </row>
        <row r="12082">
          <cell r="E12082" t="str">
            <v>MUS</v>
          </cell>
          <cell r="F12082" t="str">
            <v xml:space="preserve">MUS-S </v>
          </cell>
          <cell r="G12082">
            <v>930</v>
          </cell>
          <cell r="H12082" t="str">
            <v>MUS-S 930</v>
          </cell>
          <cell r="K12082" t="str">
            <v>Starker,Janos</v>
          </cell>
          <cell r="N12082" t="str">
            <v>NR</v>
          </cell>
          <cell r="O12082" t="str">
            <v>NR</v>
          </cell>
        </row>
        <row r="12083">
          <cell r="E12083" t="str">
            <v>MUS</v>
          </cell>
          <cell r="F12083" t="str">
            <v xml:space="preserve">MUS-S </v>
          </cell>
          <cell r="G12083">
            <v>930</v>
          </cell>
          <cell r="H12083" t="str">
            <v>MUS-S 930</v>
          </cell>
          <cell r="K12083" t="str">
            <v>Starker,Janos</v>
          </cell>
          <cell r="N12083" t="str">
            <v>NR</v>
          </cell>
          <cell r="O12083" t="str">
            <v>NR</v>
          </cell>
        </row>
        <row r="12084">
          <cell r="E12084" t="str">
            <v>MUS</v>
          </cell>
          <cell r="F12084" t="str">
            <v xml:space="preserve">MUS-S </v>
          </cell>
          <cell r="G12084">
            <v>930</v>
          </cell>
          <cell r="H12084" t="str">
            <v>MUS-S 930</v>
          </cell>
          <cell r="K12084" t="str">
            <v>Stumpf,Peter Daniel</v>
          </cell>
          <cell r="N12084" t="str">
            <v>NR</v>
          </cell>
          <cell r="O12084" t="str">
            <v>NR</v>
          </cell>
        </row>
        <row r="12085">
          <cell r="E12085" t="str">
            <v>MUS</v>
          </cell>
          <cell r="F12085" t="str">
            <v xml:space="preserve">MUS-S </v>
          </cell>
          <cell r="G12085">
            <v>930</v>
          </cell>
          <cell r="H12085" t="str">
            <v>MUS-S 930</v>
          </cell>
          <cell r="K12085" t="str">
            <v>Stumpf,Peter Daniel</v>
          </cell>
          <cell r="N12085" t="str">
            <v>NR</v>
          </cell>
          <cell r="O12085" t="str">
            <v>NR</v>
          </cell>
        </row>
        <row r="12086">
          <cell r="E12086" t="str">
            <v>MUS</v>
          </cell>
          <cell r="F12086" t="str">
            <v xml:space="preserve">MUS-S </v>
          </cell>
          <cell r="G12086">
            <v>940</v>
          </cell>
          <cell r="H12086" t="str">
            <v>MUS-S 940</v>
          </cell>
          <cell r="K12086" t="str">
            <v>Bransby,Bruce</v>
          </cell>
          <cell r="N12086">
            <v>4</v>
          </cell>
          <cell r="O12086">
            <v>3.5720000000000001</v>
          </cell>
        </row>
        <row r="12087">
          <cell r="E12087" t="str">
            <v>MUS</v>
          </cell>
          <cell r="F12087" t="str">
            <v xml:space="preserve">MUS-S </v>
          </cell>
          <cell r="G12087">
            <v>940</v>
          </cell>
          <cell r="H12087" t="str">
            <v>MUS-S 940</v>
          </cell>
          <cell r="K12087" t="str">
            <v>Bransby,Bruce</v>
          </cell>
          <cell r="N12087">
            <v>4</v>
          </cell>
          <cell r="O12087">
            <v>3.746</v>
          </cell>
        </row>
        <row r="12088">
          <cell r="E12088" t="str">
            <v>MUS</v>
          </cell>
          <cell r="F12088" t="str">
            <v xml:space="preserve">MUS-S </v>
          </cell>
          <cell r="G12088">
            <v>940</v>
          </cell>
          <cell r="H12088" t="str">
            <v>MUS-S 940</v>
          </cell>
          <cell r="K12088" t="str">
            <v>Brown,Craig Murray</v>
          </cell>
          <cell r="N12088" t="str">
            <v>NR</v>
          </cell>
          <cell r="O12088" t="str">
            <v>NR</v>
          </cell>
        </row>
        <row r="12089">
          <cell r="E12089" t="str">
            <v>MUS</v>
          </cell>
          <cell r="F12089" t="str">
            <v xml:space="preserve">MUS-S </v>
          </cell>
          <cell r="G12089">
            <v>940</v>
          </cell>
          <cell r="H12089" t="str">
            <v>MUS-S 940</v>
          </cell>
          <cell r="K12089" t="str">
            <v>Hurst,Lawrence P.</v>
          </cell>
          <cell r="N12089">
            <v>4</v>
          </cell>
          <cell r="O12089">
            <v>3.827</v>
          </cell>
        </row>
        <row r="12090">
          <cell r="E12090" t="str">
            <v>MUS</v>
          </cell>
          <cell r="F12090" t="str">
            <v xml:space="preserve">MUS-S </v>
          </cell>
          <cell r="G12090">
            <v>940</v>
          </cell>
          <cell r="H12090" t="str">
            <v>MUS-S 940</v>
          </cell>
          <cell r="K12090" t="str">
            <v>Richards,Gwyn</v>
          </cell>
          <cell r="N12090" t="str">
            <v>NR</v>
          </cell>
          <cell r="O12090" t="str">
            <v>NR</v>
          </cell>
        </row>
        <row r="12091">
          <cell r="E12091" t="str">
            <v>MUS</v>
          </cell>
          <cell r="F12091" t="str">
            <v xml:space="preserve">MUS-T </v>
          </cell>
          <cell r="G12091">
            <v>109</v>
          </cell>
          <cell r="H12091" t="str">
            <v>MUS-T 109</v>
          </cell>
          <cell r="K12091" t="str">
            <v>Hamm,Chelsey Lynne</v>
          </cell>
          <cell r="N12091">
            <v>3.3170000000000002</v>
          </cell>
          <cell r="O12091">
            <v>3.2090000000000001</v>
          </cell>
        </row>
        <row r="12092">
          <cell r="E12092" t="str">
            <v>MUS</v>
          </cell>
          <cell r="F12092" t="str">
            <v xml:space="preserve">MUS-T </v>
          </cell>
          <cell r="G12092">
            <v>109</v>
          </cell>
          <cell r="H12092" t="str">
            <v>MUS-T 109</v>
          </cell>
          <cell r="K12092" t="str">
            <v>Umthun,Ruthie A</v>
          </cell>
          <cell r="N12092">
            <v>2.915</v>
          </cell>
          <cell r="O12092">
            <v>3.036</v>
          </cell>
        </row>
        <row r="12093">
          <cell r="E12093" t="str">
            <v>MUS</v>
          </cell>
          <cell r="F12093" t="str">
            <v xml:space="preserve">MUS-T </v>
          </cell>
          <cell r="G12093">
            <v>132</v>
          </cell>
          <cell r="H12093" t="str">
            <v>MUS-T 132</v>
          </cell>
          <cell r="K12093" t="str">
            <v>Chase,Ruth A</v>
          </cell>
          <cell r="N12093">
            <v>2.8919999999999999</v>
          </cell>
          <cell r="O12093">
            <v>3.5449999999999999</v>
          </cell>
        </row>
        <row r="12094">
          <cell r="E12094" t="str">
            <v>MUS</v>
          </cell>
          <cell r="F12094" t="str">
            <v xml:space="preserve">MUS-T </v>
          </cell>
          <cell r="G12094">
            <v>132</v>
          </cell>
          <cell r="H12094" t="str">
            <v>MUS-T 132</v>
          </cell>
          <cell r="K12094" t="str">
            <v>Chilla,Mark Joseph</v>
          </cell>
          <cell r="N12094">
            <v>3.2189999999999999</v>
          </cell>
          <cell r="O12094">
            <v>3.57</v>
          </cell>
        </row>
        <row r="12095">
          <cell r="E12095" t="str">
            <v>MUS</v>
          </cell>
          <cell r="F12095" t="str">
            <v xml:space="preserve">MUS-T </v>
          </cell>
          <cell r="G12095">
            <v>132</v>
          </cell>
          <cell r="H12095" t="str">
            <v>MUS-T 132</v>
          </cell>
          <cell r="K12095" t="str">
            <v>Chilla,Mark Joseph</v>
          </cell>
          <cell r="N12095">
            <v>3.319</v>
          </cell>
          <cell r="O12095">
            <v>3.621</v>
          </cell>
        </row>
        <row r="12096">
          <cell r="E12096" t="str">
            <v>MUS</v>
          </cell>
          <cell r="F12096" t="str">
            <v xml:space="preserve">MUS-T </v>
          </cell>
          <cell r="G12096">
            <v>151</v>
          </cell>
          <cell r="H12096" t="str">
            <v>MUS-T 151</v>
          </cell>
          <cell r="K12096" t="str">
            <v>Adams,Kyle Edward</v>
          </cell>
          <cell r="N12096">
            <v>3.3519999999999999</v>
          </cell>
          <cell r="O12096">
            <v>3.4780000000000002</v>
          </cell>
        </row>
        <row r="12097">
          <cell r="E12097" t="str">
            <v>MUS</v>
          </cell>
          <cell r="F12097" t="str">
            <v xml:space="preserve">MUS-T </v>
          </cell>
          <cell r="G12097">
            <v>151</v>
          </cell>
          <cell r="H12097" t="str">
            <v>MUS-T 151</v>
          </cell>
          <cell r="K12097" t="str">
            <v>Adams,Kyle Edward</v>
          </cell>
          <cell r="N12097">
            <v>3.3820000000000001</v>
          </cell>
          <cell r="O12097">
            <v>3.4060000000000001</v>
          </cell>
        </row>
        <row r="12098">
          <cell r="E12098" t="str">
            <v>MUS</v>
          </cell>
          <cell r="F12098" t="str">
            <v xml:space="preserve">MUS-T </v>
          </cell>
          <cell r="G12098">
            <v>152</v>
          </cell>
          <cell r="H12098" t="str">
            <v>MUS-T 152</v>
          </cell>
          <cell r="K12098" t="str">
            <v>Ivanovitch,Roman</v>
          </cell>
          <cell r="N12098">
            <v>3.5179999999999998</v>
          </cell>
          <cell r="O12098">
            <v>3.63</v>
          </cell>
        </row>
        <row r="12099">
          <cell r="E12099" t="str">
            <v>MUS</v>
          </cell>
          <cell r="F12099" t="str">
            <v xml:space="preserve">MUS-T </v>
          </cell>
          <cell r="G12099">
            <v>152</v>
          </cell>
          <cell r="H12099" t="str">
            <v>MUS-T 152</v>
          </cell>
          <cell r="K12099" t="str">
            <v>Ivanovitch,Roman</v>
          </cell>
          <cell r="N12099">
            <v>3.226</v>
          </cell>
          <cell r="O12099">
            <v>3.5449999999999999</v>
          </cell>
        </row>
        <row r="12100">
          <cell r="E12100" t="str">
            <v>MUS</v>
          </cell>
          <cell r="F12100" t="str">
            <v xml:space="preserve">MUS-T </v>
          </cell>
          <cell r="G12100">
            <v>231</v>
          </cell>
          <cell r="H12100" t="str">
            <v>MUS-T 231</v>
          </cell>
          <cell r="K12100" t="str">
            <v>Groffman,Joshua Bishop</v>
          </cell>
          <cell r="N12100">
            <v>3.2469999999999999</v>
          </cell>
          <cell r="O12100">
            <v>3.4969999999999999</v>
          </cell>
        </row>
        <row r="12101">
          <cell r="E12101" t="str">
            <v>MUS</v>
          </cell>
          <cell r="F12101" t="str">
            <v xml:space="preserve">MUS-T </v>
          </cell>
          <cell r="G12101">
            <v>231</v>
          </cell>
          <cell r="H12101" t="str">
            <v>MUS-T 231</v>
          </cell>
          <cell r="K12101" t="str">
            <v>Rudy,Jonathan David</v>
          </cell>
          <cell r="N12101">
            <v>3.347</v>
          </cell>
          <cell r="O12101">
            <v>3.6459999999999999</v>
          </cell>
        </row>
        <row r="12102">
          <cell r="E12102" t="str">
            <v>MUS</v>
          </cell>
          <cell r="F12102" t="str">
            <v xml:space="preserve">MUS-T </v>
          </cell>
          <cell r="G12102">
            <v>232</v>
          </cell>
          <cell r="H12102" t="str">
            <v>MUS-T 232</v>
          </cell>
          <cell r="K12102" t="str">
            <v>Avci,Suna Marie</v>
          </cell>
          <cell r="N12102">
            <v>3.137</v>
          </cell>
          <cell r="O12102">
            <v>3.6110000000000002</v>
          </cell>
        </row>
        <row r="12103">
          <cell r="E12103" t="str">
            <v>MUS</v>
          </cell>
          <cell r="F12103" t="str">
            <v xml:space="preserve">MUS-T </v>
          </cell>
          <cell r="G12103">
            <v>232</v>
          </cell>
          <cell r="H12103" t="str">
            <v>MUS-T 232</v>
          </cell>
          <cell r="K12103" t="str">
            <v>Fay,Margaret P</v>
          </cell>
          <cell r="N12103">
            <v>2.456</v>
          </cell>
          <cell r="O12103">
            <v>3.4079999999999999</v>
          </cell>
        </row>
        <row r="12104">
          <cell r="E12104" t="str">
            <v>MUS</v>
          </cell>
          <cell r="F12104" t="str">
            <v xml:space="preserve">MUS-T </v>
          </cell>
          <cell r="G12104">
            <v>251</v>
          </cell>
          <cell r="H12104" t="str">
            <v>MUS-T 251</v>
          </cell>
          <cell r="K12104" t="str">
            <v>Ivanovitch,Roman</v>
          </cell>
          <cell r="N12104">
            <v>3.274</v>
          </cell>
          <cell r="O12104">
            <v>3.5760000000000001</v>
          </cell>
        </row>
        <row r="12105">
          <cell r="E12105" t="str">
            <v>MUS</v>
          </cell>
          <cell r="F12105" t="str">
            <v xml:space="preserve">MUS-T </v>
          </cell>
          <cell r="G12105">
            <v>252</v>
          </cell>
          <cell r="H12105" t="str">
            <v>MUS-T 252</v>
          </cell>
          <cell r="K12105" t="str">
            <v>Johnston,Blair</v>
          </cell>
          <cell r="N12105">
            <v>2.7250000000000001</v>
          </cell>
          <cell r="O12105">
            <v>3.5649999999999999</v>
          </cell>
        </row>
        <row r="12106">
          <cell r="E12106" t="str">
            <v>MUS</v>
          </cell>
          <cell r="F12106" t="str">
            <v xml:space="preserve">MUS-T </v>
          </cell>
          <cell r="G12106">
            <v>261</v>
          </cell>
          <cell r="H12106" t="str">
            <v>MUS-T 261</v>
          </cell>
          <cell r="K12106" t="str">
            <v>Ivanovitch,Roman</v>
          </cell>
          <cell r="N12106">
            <v>3.8</v>
          </cell>
          <cell r="O12106">
            <v>3.883</v>
          </cell>
        </row>
        <row r="12107">
          <cell r="E12107" t="str">
            <v>MUS</v>
          </cell>
          <cell r="F12107" t="str">
            <v xml:space="preserve">MUS-T </v>
          </cell>
          <cell r="G12107">
            <v>262</v>
          </cell>
          <cell r="H12107" t="str">
            <v>MUS-T 262</v>
          </cell>
          <cell r="K12107" t="str">
            <v>Johnston,Blair</v>
          </cell>
          <cell r="N12107">
            <v>3.6339999999999999</v>
          </cell>
          <cell r="O12107">
            <v>3.8759999999999999</v>
          </cell>
        </row>
        <row r="12108">
          <cell r="E12108" t="str">
            <v>MUS</v>
          </cell>
          <cell r="F12108" t="str">
            <v xml:space="preserve">MUS-T </v>
          </cell>
          <cell r="G12108">
            <v>331</v>
          </cell>
          <cell r="H12108" t="str">
            <v>MUS-T 331</v>
          </cell>
          <cell r="K12108" t="str">
            <v>Matava,Jacquelyn Elizabeth</v>
          </cell>
          <cell r="N12108">
            <v>3.5179999999999998</v>
          </cell>
          <cell r="O12108">
            <v>3.6019999999999999</v>
          </cell>
        </row>
        <row r="12109">
          <cell r="E12109" t="str">
            <v>MUS</v>
          </cell>
          <cell r="F12109" t="str">
            <v xml:space="preserve">MUS-T </v>
          </cell>
          <cell r="G12109">
            <v>331</v>
          </cell>
          <cell r="H12109" t="str">
            <v>MUS-T 331</v>
          </cell>
          <cell r="K12109" t="str">
            <v>Roush,Katrina Diane</v>
          </cell>
          <cell r="N12109">
            <v>3.226</v>
          </cell>
          <cell r="O12109">
            <v>3.4860000000000002</v>
          </cell>
        </row>
        <row r="12110">
          <cell r="E12110" t="str">
            <v>MUS</v>
          </cell>
          <cell r="F12110" t="str">
            <v xml:space="preserve">MUS-T </v>
          </cell>
          <cell r="G12110">
            <v>351</v>
          </cell>
          <cell r="H12110" t="str">
            <v>MUS-T 351</v>
          </cell>
          <cell r="K12110" t="str">
            <v>Isaacson,Eric John</v>
          </cell>
          <cell r="N12110">
            <v>2.3130000000000002</v>
          </cell>
          <cell r="O12110">
            <v>3.5750000000000002</v>
          </cell>
        </row>
        <row r="12111">
          <cell r="E12111" t="str">
            <v>MUS</v>
          </cell>
          <cell r="F12111" t="str">
            <v xml:space="preserve">MUS-T </v>
          </cell>
          <cell r="G12111">
            <v>351</v>
          </cell>
          <cell r="H12111" t="str">
            <v>MUS-T 351</v>
          </cell>
          <cell r="K12111" t="str">
            <v>Lubell,Gabriel Michael</v>
          </cell>
          <cell r="N12111">
            <v>3.032</v>
          </cell>
          <cell r="O12111">
            <v>3.6040000000000001</v>
          </cell>
        </row>
        <row r="12112">
          <cell r="E12112" t="str">
            <v>MUS</v>
          </cell>
          <cell r="F12112" t="str">
            <v xml:space="preserve">MUS-T </v>
          </cell>
          <cell r="G12112">
            <v>351</v>
          </cell>
          <cell r="H12112" t="str">
            <v>MUS-T 351</v>
          </cell>
          <cell r="K12112" t="str">
            <v>Yeary,Mark Jerome</v>
          </cell>
          <cell r="N12112">
            <v>3.4529999999999998</v>
          </cell>
          <cell r="O12112">
            <v>3.6619999999999999</v>
          </cell>
        </row>
        <row r="12113">
          <cell r="E12113" t="str">
            <v>MUS</v>
          </cell>
          <cell r="F12113" t="str">
            <v xml:space="preserve">MUS-T </v>
          </cell>
          <cell r="G12113">
            <v>351</v>
          </cell>
          <cell r="H12113" t="str">
            <v>MUS-T 351</v>
          </cell>
          <cell r="K12113" t="str">
            <v>Yeary,Mark Jerome</v>
          </cell>
          <cell r="N12113">
            <v>2.9729999999999999</v>
          </cell>
          <cell r="O12113">
            <v>3.5329999999999999</v>
          </cell>
        </row>
        <row r="12114">
          <cell r="E12114" t="str">
            <v>MUS</v>
          </cell>
          <cell r="F12114" t="str">
            <v xml:space="preserve">MUS-T </v>
          </cell>
          <cell r="G12114">
            <v>361</v>
          </cell>
          <cell r="H12114" t="str">
            <v>MUS-T 361</v>
          </cell>
          <cell r="K12114" t="str">
            <v>Johnston,Blair</v>
          </cell>
          <cell r="N12114">
            <v>3.5270000000000001</v>
          </cell>
          <cell r="O12114">
            <v>3.8679999999999999</v>
          </cell>
        </row>
        <row r="12115">
          <cell r="E12115" t="str">
            <v>MUS</v>
          </cell>
          <cell r="F12115" t="str">
            <v xml:space="preserve">MUS-T </v>
          </cell>
          <cell r="G12115">
            <v>410</v>
          </cell>
          <cell r="H12115" t="str">
            <v>MUS-T 410</v>
          </cell>
          <cell r="K12115" t="str">
            <v>Hook,Julian L</v>
          </cell>
          <cell r="N12115">
            <v>3.3690000000000002</v>
          </cell>
          <cell r="O12115">
            <v>3.681</v>
          </cell>
        </row>
        <row r="12116">
          <cell r="E12116" t="str">
            <v>MUS</v>
          </cell>
          <cell r="F12116" t="str">
            <v xml:space="preserve">MUS-T </v>
          </cell>
          <cell r="G12116">
            <v>410</v>
          </cell>
          <cell r="H12116" t="str">
            <v>MUS-T 410</v>
          </cell>
          <cell r="K12116" t="str">
            <v>Horlacher,Gretchen G.</v>
          </cell>
          <cell r="N12116">
            <v>3.0569999999999999</v>
          </cell>
          <cell r="O12116">
            <v>3.6749999999999998</v>
          </cell>
        </row>
        <row r="12117">
          <cell r="E12117" t="str">
            <v>MUS</v>
          </cell>
          <cell r="F12117" t="str">
            <v xml:space="preserve">MUS-T </v>
          </cell>
          <cell r="G12117">
            <v>410</v>
          </cell>
          <cell r="H12117" t="str">
            <v>MUS-T 410</v>
          </cell>
          <cell r="K12117" t="str">
            <v>Yeary,Mark Jerome</v>
          </cell>
          <cell r="N12117">
            <v>3.61</v>
          </cell>
          <cell r="O12117">
            <v>3.7309999999999999</v>
          </cell>
        </row>
        <row r="12118">
          <cell r="E12118" t="str">
            <v>MUS</v>
          </cell>
          <cell r="F12118" t="str">
            <v xml:space="preserve">MUS-T </v>
          </cell>
          <cell r="G12118">
            <v>418</v>
          </cell>
          <cell r="H12118" t="str">
            <v>MUS-T 418</v>
          </cell>
          <cell r="K12118" t="str">
            <v>Kielian-Gilbert,Marianne C</v>
          </cell>
          <cell r="N12118">
            <v>3.371</v>
          </cell>
          <cell r="O12118">
            <v>3.589</v>
          </cell>
        </row>
        <row r="12119">
          <cell r="E12119" t="str">
            <v>MUS</v>
          </cell>
          <cell r="F12119" t="str">
            <v xml:space="preserve">MUS-T </v>
          </cell>
          <cell r="G12119">
            <v>508</v>
          </cell>
          <cell r="H12119" t="str">
            <v>MUS-T 508</v>
          </cell>
          <cell r="K12119" t="str">
            <v>Kozak,Mariusz Sebastian</v>
          </cell>
          <cell r="N12119">
            <v>3.1960000000000002</v>
          </cell>
          <cell r="O12119">
            <v>3.6920000000000002</v>
          </cell>
        </row>
        <row r="12120">
          <cell r="E12120" t="str">
            <v>MUS</v>
          </cell>
          <cell r="F12120" t="str">
            <v xml:space="preserve">MUS-T </v>
          </cell>
          <cell r="G12120">
            <v>509</v>
          </cell>
          <cell r="H12120" t="str">
            <v>MUS-T 509</v>
          </cell>
          <cell r="K12120" t="str">
            <v>Potter,Gary Morton</v>
          </cell>
          <cell r="N12120">
            <v>3.31</v>
          </cell>
          <cell r="O12120">
            <v>3.73</v>
          </cell>
        </row>
        <row r="12121">
          <cell r="E12121" t="str">
            <v>MUS</v>
          </cell>
          <cell r="F12121" t="str">
            <v xml:space="preserve">MUS-T </v>
          </cell>
          <cell r="G12121">
            <v>511</v>
          </cell>
          <cell r="H12121" t="str">
            <v>MUS-T 511</v>
          </cell>
          <cell r="K12121" t="str">
            <v>Adams,Kyle Edward</v>
          </cell>
          <cell r="N12121">
            <v>3.157</v>
          </cell>
          <cell r="O12121">
            <v>3.6819999999999999</v>
          </cell>
        </row>
        <row r="12122">
          <cell r="E12122" t="str">
            <v>MUS</v>
          </cell>
          <cell r="F12122" t="str">
            <v xml:space="preserve">MUS-T </v>
          </cell>
          <cell r="G12122">
            <v>545</v>
          </cell>
          <cell r="H12122" t="str">
            <v>MUS-T 545</v>
          </cell>
          <cell r="K12122" t="str">
            <v>Johnston,Blair</v>
          </cell>
          <cell r="N12122">
            <v>3.6139999999999999</v>
          </cell>
          <cell r="O12122">
            <v>3.7949999999999999</v>
          </cell>
        </row>
        <row r="12123">
          <cell r="E12123" t="str">
            <v>MUS</v>
          </cell>
          <cell r="F12123" t="str">
            <v xml:space="preserve">MUS-T </v>
          </cell>
          <cell r="G12123">
            <v>545</v>
          </cell>
          <cell r="H12123" t="str">
            <v>MUS-T 545</v>
          </cell>
          <cell r="K12123" t="str">
            <v>Kielian-Gilbert,Marianne C</v>
          </cell>
          <cell r="N12123">
            <v>3.6269999999999998</v>
          </cell>
          <cell r="O12123">
            <v>3.847</v>
          </cell>
        </row>
        <row r="12124">
          <cell r="E12124" t="str">
            <v>MUS</v>
          </cell>
          <cell r="F12124" t="str">
            <v xml:space="preserve">MUS-T </v>
          </cell>
          <cell r="G12124">
            <v>550</v>
          </cell>
          <cell r="H12124" t="str">
            <v>MUS-T 550</v>
          </cell>
          <cell r="K12124" t="str">
            <v>Klein,Michael</v>
          </cell>
          <cell r="N12124" t="str">
            <v>NR</v>
          </cell>
          <cell r="O12124" t="str">
            <v>NR</v>
          </cell>
        </row>
        <row r="12125">
          <cell r="E12125" t="str">
            <v>MUS</v>
          </cell>
          <cell r="F12125" t="str">
            <v xml:space="preserve">MUS-T </v>
          </cell>
          <cell r="G12125">
            <v>551</v>
          </cell>
          <cell r="H12125" t="str">
            <v>MUS-T 551</v>
          </cell>
          <cell r="K12125" t="str">
            <v>Kielian-Gilbert,Marianne C</v>
          </cell>
          <cell r="N12125">
            <v>3.5880000000000001</v>
          </cell>
          <cell r="O12125">
            <v>3.74</v>
          </cell>
        </row>
        <row r="12126">
          <cell r="E12126" t="str">
            <v>MUS</v>
          </cell>
          <cell r="F12126" t="str">
            <v xml:space="preserve">MUS-T </v>
          </cell>
          <cell r="G12126">
            <v>551</v>
          </cell>
          <cell r="H12126" t="str">
            <v>MUS-T 551</v>
          </cell>
          <cell r="K12126" t="str">
            <v>Samarotto,Frank</v>
          </cell>
          <cell r="N12126">
            <v>4</v>
          </cell>
          <cell r="O12126">
            <v>3.9380000000000002</v>
          </cell>
        </row>
        <row r="12127">
          <cell r="E12127" t="str">
            <v>MUS</v>
          </cell>
          <cell r="F12127" t="str">
            <v xml:space="preserve">MUS-T </v>
          </cell>
          <cell r="G12127">
            <v>555</v>
          </cell>
          <cell r="H12127" t="str">
            <v>MUS-T 555</v>
          </cell>
          <cell r="K12127" t="str">
            <v>Samarotto,Frank</v>
          </cell>
          <cell r="N12127">
            <v>4</v>
          </cell>
          <cell r="O12127">
            <v>3.91</v>
          </cell>
        </row>
        <row r="12128">
          <cell r="E12128" t="str">
            <v>MUS</v>
          </cell>
          <cell r="F12128" t="str">
            <v xml:space="preserve">MUS-T </v>
          </cell>
          <cell r="G12128">
            <v>556</v>
          </cell>
          <cell r="H12128" t="str">
            <v>MUS-T 556</v>
          </cell>
          <cell r="K12128" t="str">
            <v>Kielian-Gilbert,Marianne C</v>
          </cell>
          <cell r="N12128">
            <v>3.7570000000000001</v>
          </cell>
          <cell r="O12128">
            <v>3.8559999999999999</v>
          </cell>
        </row>
        <row r="12129">
          <cell r="E12129" t="str">
            <v>MUS</v>
          </cell>
          <cell r="F12129" t="str">
            <v xml:space="preserve">MUS-T </v>
          </cell>
          <cell r="G12129">
            <v>556</v>
          </cell>
          <cell r="H12129" t="str">
            <v>MUS-T 556</v>
          </cell>
          <cell r="K12129" t="str">
            <v>Yeary,Mark Jerome</v>
          </cell>
          <cell r="N12129">
            <v>3.74</v>
          </cell>
          <cell r="O12129">
            <v>3.8849999999999998</v>
          </cell>
        </row>
        <row r="12130">
          <cell r="E12130" t="str">
            <v>MUS</v>
          </cell>
          <cell r="F12130" t="str">
            <v xml:space="preserve">MUS-T </v>
          </cell>
          <cell r="G12130">
            <v>561</v>
          </cell>
          <cell r="H12130" t="str">
            <v>MUS-T 561</v>
          </cell>
          <cell r="K12130" t="str">
            <v>Hook,Julian L</v>
          </cell>
          <cell r="N12130">
            <v>3.7</v>
          </cell>
          <cell r="O12130">
            <v>3.85</v>
          </cell>
        </row>
        <row r="12131">
          <cell r="E12131" t="str">
            <v>MUS</v>
          </cell>
          <cell r="F12131" t="str">
            <v xml:space="preserve">MUS-T </v>
          </cell>
          <cell r="G12131">
            <v>561</v>
          </cell>
          <cell r="H12131" t="str">
            <v>MUS-T 561</v>
          </cell>
          <cell r="K12131" t="str">
            <v>Klein,Michael</v>
          </cell>
          <cell r="N12131">
            <v>3.91</v>
          </cell>
          <cell r="O12131">
            <v>3.9159999999999999</v>
          </cell>
        </row>
        <row r="12132">
          <cell r="E12132" t="str">
            <v>MUS</v>
          </cell>
          <cell r="F12132" t="str">
            <v xml:space="preserve">MUS-T </v>
          </cell>
          <cell r="G12132">
            <v>565</v>
          </cell>
          <cell r="H12132" t="str">
            <v>MUS-T 565</v>
          </cell>
          <cell r="K12132" t="str">
            <v>Adams,Kyle Edward</v>
          </cell>
          <cell r="N12132">
            <v>3.8</v>
          </cell>
          <cell r="O12132">
            <v>3.8959999999999999</v>
          </cell>
        </row>
        <row r="12133">
          <cell r="E12133" t="str">
            <v>MUS</v>
          </cell>
          <cell r="F12133" t="str">
            <v xml:space="preserve">MUS-T </v>
          </cell>
          <cell r="G12133">
            <v>565</v>
          </cell>
          <cell r="H12133" t="str">
            <v>MUS-T 565</v>
          </cell>
          <cell r="K12133" t="str">
            <v>Ivanovitch,Roman</v>
          </cell>
          <cell r="N12133">
            <v>4</v>
          </cell>
          <cell r="O12133">
            <v>3.931</v>
          </cell>
        </row>
        <row r="12134">
          <cell r="E12134" t="str">
            <v>MUS</v>
          </cell>
          <cell r="F12134" t="str">
            <v xml:space="preserve">MUS-T </v>
          </cell>
          <cell r="G12134">
            <v>591</v>
          </cell>
          <cell r="H12134" t="str">
            <v>MUS-T 591</v>
          </cell>
          <cell r="K12134" t="str">
            <v>Isaacson,Eric John</v>
          </cell>
          <cell r="N12134">
            <v>3.7829999999999999</v>
          </cell>
          <cell r="O12134">
            <v>3.903</v>
          </cell>
        </row>
        <row r="12135">
          <cell r="E12135" t="str">
            <v>MUS</v>
          </cell>
          <cell r="F12135" t="str">
            <v xml:space="preserve">MUS-T </v>
          </cell>
          <cell r="G12135">
            <v>591</v>
          </cell>
          <cell r="H12135" t="str">
            <v>MUS-T 591</v>
          </cell>
          <cell r="K12135" t="str">
            <v>Potter,Gary Morton</v>
          </cell>
          <cell r="N12135">
            <v>3.9630000000000001</v>
          </cell>
          <cell r="O12135">
            <v>3.8610000000000002</v>
          </cell>
        </row>
        <row r="12136">
          <cell r="E12136" t="str">
            <v>MUS</v>
          </cell>
          <cell r="F12136" t="str">
            <v xml:space="preserve">MUS-T </v>
          </cell>
          <cell r="G12136">
            <v>599</v>
          </cell>
          <cell r="H12136" t="str">
            <v>MUS-T 599</v>
          </cell>
          <cell r="K12136" t="str">
            <v>Horlacher,Gretchen G.</v>
          </cell>
          <cell r="N12136" t="str">
            <v>NR</v>
          </cell>
          <cell r="O12136" t="str">
            <v>NR</v>
          </cell>
        </row>
        <row r="12137">
          <cell r="E12137" t="str">
            <v>MUS</v>
          </cell>
          <cell r="F12137" t="str">
            <v xml:space="preserve">MUS-T </v>
          </cell>
          <cell r="G12137">
            <v>619</v>
          </cell>
          <cell r="H12137" t="str">
            <v>MUS-T 619</v>
          </cell>
          <cell r="K12137" t="str">
            <v>Hook,Julian L</v>
          </cell>
          <cell r="N12137" t="str">
            <v>NR</v>
          </cell>
          <cell r="O12137" t="str">
            <v>NR</v>
          </cell>
        </row>
        <row r="12138">
          <cell r="E12138" t="str">
            <v>MUS</v>
          </cell>
          <cell r="F12138" t="str">
            <v xml:space="preserve">MUS-T </v>
          </cell>
          <cell r="G12138">
            <v>619</v>
          </cell>
          <cell r="H12138" t="str">
            <v>MUS-T 619</v>
          </cell>
          <cell r="K12138" t="str">
            <v>Horlacher,Gretchen G.</v>
          </cell>
          <cell r="N12138" t="str">
            <v>NR</v>
          </cell>
          <cell r="O12138" t="str">
            <v>NR</v>
          </cell>
        </row>
        <row r="12139">
          <cell r="E12139" t="str">
            <v>MUS</v>
          </cell>
          <cell r="F12139" t="str">
            <v xml:space="preserve">MUS-T </v>
          </cell>
          <cell r="G12139">
            <v>624</v>
          </cell>
          <cell r="H12139" t="str">
            <v>MUS-T 624</v>
          </cell>
          <cell r="K12139" t="str">
            <v>Samarotto,Frank</v>
          </cell>
          <cell r="N12139">
            <v>4</v>
          </cell>
          <cell r="O12139">
            <v>3.9729999999999999</v>
          </cell>
        </row>
        <row r="12140">
          <cell r="E12140" t="str">
            <v>MUS</v>
          </cell>
          <cell r="F12140" t="str">
            <v xml:space="preserve">MUS-T </v>
          </cell>
          <cell r="G12140">
            <v>658</v>
          </cell>
          <cell r="H12140" t="str">
            <v>MUS-T 658</v>
          </cell>
          <cell r="K12140" t="str">
            <v>Hook,Julian L</v>
          </cell>
          <cell r="N12140">
            <v>4</v>
          </cell>
          <cell r="O12140">
            <v>3.9550000000000001</v>
          </cell>
        </row>
        <row r="12141">
          <cell r="E12141" t="str">
            <v>MUS</v>
          </cell>
          <cell r="F12141" t="str">
            <v xml:space="preserve">MUS-T </v>
          </cell>
          <cell r="G12141">
            <v>658</v>
          </cell>
          <cell r="H12141" t="str">
            <v>MUS-T 658</v>
          </cell>
          <cell r="K12141" t="str">
            <v>Johnston,Blair</v>
          </cell>
          <cell r="N12141">
            <v>4</v>
          </cell>
          <cell r="O12141">
            <v>3.984</v>
          </cell>
        </row>
        <row r="12142">
          <cell r="E12142" t="str">
            <v>MUS</v>
          </cell>
          <cell r="F12142" t="str">
            <v xml:space="preserve">MUS-T </v>
          </cell>
          <cell r="G12142">
            <v>658</v>
          </cell>
          <cell r="H12142" t="str">
            <v>MUS-T 658</v>
          </cell>
          <cell r="K12142" t="str">
            <v>Samarotto,Frank</v>
          </cell>
          <cell r="N12142" t="str">
            <v>NR</v>
          </cell>
          <cell r="O12142" t="str">
            <v>NR</v>
          </cell>
        </row>
        <row r="12143">
          <cell r="E12143" t="str">
            <v>MUS</v>
          </cell>
          <cell r="F12143" t="str">
            <v xml:space="preserve">MUS-T </v>
          </cell>
          <cell r="G12143">
            <v>659</v>
          </cell>
          <cell r="H12143" t="str">
            <v>MUS-T 659</v>
          </cell>
          <cell r="K12143" t="str">
            <v>Hook,Julian L</v>
          </cell>
          <cell r="N12143" t="str">
            <v>NR</v>
          </cell>
          <cell r="O12143" t="str">
            <v>NR</v>
          </cell>
        </row>
        <row r="12144">
          <cell r="E12144" t="str">
            <v>MUS</v>
          </cell>
          <cell r="F12144" t="str">
            <v xml:space="preserve">MUS-T </v>
          </cell>
          <cell r="G12144">
            <v>659</v>
          </cell>
          <cell r="H12144" t="str">
            <v>MUS-T 659</v>
          </cell>
          <cell r="K12144" t="str">
            <v>Horlacher,Gretchen G.</v>
          </cell>
          <cell r="N12144" t="str">
            <v>NR</v>
          </cell>
          <cell r="O12144" t="str">
            <v>NR</v>
          </cell>
        </row>
        <row r="12145">
          <cell r="E12145" t="str">
            <v>MUS</v>
          </cell>
          <cell r="F12145" t="str">
            <v xml:space="preserve">MUS-T </v>
          </cell>
          <cell r="G12145">
            <v>700</v>
          </cell>
          <cell r="H12145" t="str">
            <v>MUS-T 700</v>
          </cell>
          <cell r="K12145" t="str">
            <v>Isaacson,Eric John</v>
          </cell>
          <cell r="N12145" t="str">
            <v>NR</v>
          </cell>
          <cell r="O12145" t="str">
            <v>NR</v>
          </cell>
        </row>
        <row r="12146">
          <cell r="E12146" t="str">
            <v>MUS</v>
          </cell>
          <cell r="F12146" t="str">
            <v xml:space="preserve">MUS-T </v>
          </cell>
          <cell r="G12146">
            <v>700</v>
          </cell>
          <cell r="H12146" t="str">
            <v>MUS-T 700</v>
          </cell>
          <cell r="K12146" t="str">
            <v>Isaacson,Eric John</v>
          </cell>
          <cell r="N12146" t="str">
            <v>NR</v>
          </cell>
          <cell r="O12146" t="str">
            <v>NR</v>
          </cell>
        </row>
        <row r="12147">
          <cell r="E12147" t="str">
            <v>MUS</v>
          </cell>
          <cell r="F12147" t="str">
            <v xml:space="preserve">MUS-T </v>
          </cell>
          <cell r="G12147">
            <v>700</v>
          </cell>
          <cell r="H12147" t="str">
            <v>MUS-T 700</v>
          </cell>
          <cell r="K12147" t="str">
            <v>Isaacson,Eric John</v>
          </cell>
          <cell r="N12147" t="str">
            <v>NR</v>
          </cell>
          <cell r="O12147" t="str">
            <v>NR</v>
          </cell>
        </row>
        <row r="12148">
          <cell r="E12148" t="str">
            <v>MUS</v>
          </cell>
          <cell r="F12148" t="str">
            <v xml:space="preserve">MUS-T </v>
          </cell>
          <cell r="G12148">
            <v>700</v>
          </cell>
          <cell r="H12148" t="str">
            <v>MUS-T 700</v>
          </cell>
          <cell r="K12148" t="str">
            <v>Isaacson,Eric John</v>
          </cell>
          <cell r="N12148" t="str">
            <v>NR</v>
          </cell>
          <cell r="O12148" t="str">
            <v>NR</v>
          </cell>
        </row>
        <row r="12149">
          <cell r="E12149" t="str">
            <v>MUS</v>
          </cell>
          <cell r="F12149" t="str">
            <v xml:space="preserve">MUS-U </v>
          </cell>
          <cell r="G12149">
            <v>200</v>
          </cell>
          <cell r="H12149" t="str">
            <v>MUS-U 200</v>
          </cell>
          <cell r="K12149" t="str">
            <v>Sparks,Thomas Guy</v>
          </cell>
          <cell r="N12149" t="str">
            <v>NR</v>
          </cell>
          <cell r="O12149" t="str">
            <v>NR</v>
          </cell>
        </row>
        <row r="12150">
          <cell r="E12150" t="str">
            <v>MUS</v>
          </cell>
          <cell r="F12150" t="str">
            <v xml:space="preserve">MUS-U </v>
          </cell>
          <cell r="G12150">
            <v>200</v>
          </cell>
          <cell r="H12150" t="str">
            <v>MUS-U 200</v>
          </cell>
          <cell r="K12150" t="str">
            <v>Sparks,Thomas Guy</v>
          </cell>
          <cell r="N12150" t="str">
            <v>NR</v>
          </cell>
          <cell r="O12150" t="str">
            <v>NR</v>
          </cell>
        </row>
        <row r="12151">
          <cell r="E12151" t="str">
            <v>MUS</v>
          </cell>
          <cell r="F12151" t="str">
            <v xml:space="preserve">MUS-U </v>
          </cell>
          <cell r="G12151">
            <v>210</v>
          </cell>
          <cell r="H12151" t="str">
            <v>MUS-U 210</v>
          </cell>
          <cell r="K12151" t="str">
            <v>Ludwig,William Ernest</v>
          </cell>
          <cell r="N12151" t="str">
            <v>NR</v>
          </cell>
          <cell r="O12151" t="str">
            <v>NR</v>
          </cell>
        </row>
        <row r="12152">
          <cell r="E12152" t="str">
            <v>MUS</v>
          </cell>
          <cell r="F12152" t="str">
            <v xml:space="preserve">MUS-U </v>
          </cell>
          <cell r="G12152">
            <v>210</v>
          </cell>
          <cell r="H12152" t="str">
            <v>MUS-U 210</v>
          </cell>
          <cell r="K12152" t="str">
            <v>Ludwig,William Ernest</v>
          </cell>
          <cell r="N12152" t="str">
            <v>NR</v>
          </cell>
          <cell r="O12152" t="str">
            <v>NR</v>
          </cell>
        </row>
        <row r="12153">
          <cell r="E12153" t="str">
            <v>MUS</v>
          </cell>
          <cell r="F12153" t="str">
            <v xml:space="preserve">MUS-U </v>
          </cell>
          <cell r="G12153">
            <v>210</v>
          </cell>
          <cell r="H12153" t="str">
            <v>MUS-U 210</v>
          </cell>
          <cell r="K12153" t="str">
            <v>McLean,Kathleen Kirsten</v>
          </cell>
          <cell r="N12153" t="str">
            <v>NR</v>
          </cell>
          <cell r="O12153" t="str">
            <v>NR</v>
          </cell>
        </row>
        <row r="12154">
          <cell r="E12154" t="str">
            <v>MUS</v>
          </cell>
          <cell r="F12154" t="str">
            <v xml:space="preserve">MUS-U </v>
          </cell>
          <cell r="G12154">
            <v>210</v>
          </cell>
          <cell r="H12154" t="str">
            <v>MUS-U 210</v>
          </cell>
          <cell r="K12154" t="str">
            <v>McLean,Kathleen Kirsten</v>
          </cell>
          <cell r="N12154" t="str">
            <v>NR</v>
          </cell>
          <cell r="O12154" t="str">
            <v>NR</v>
          </cell>
        </row>
        <row r="12155">
          <cell r="E12155" t="str">
            <v>MUS</v>
          </cell>
          <cell r="F12155" t="str">
            <v xml:space="preserve">MUS-U </v>
          </cell>
          <cell r="G12155">
            <v>210</v>
          </cell>
          <cell r="H12155" t="str">
            <v>MUS-U 210</v>
          </cell>
          <cell r="K12155" t="str">
            <v>Strommen,Linda</v>
          </cell>
          <cell r="N12155">
            <v>3.8</v>
          </cell>
          <cell r="O12155">
            <v>3.6920000000000002</v>
          </cell>
        </row>
        <row r="12156">
          <cell r="E12156" t="str">
            <v>MUS</v>
          </cell>
          <cell r="F12156" t="str">
            <v xml:space="preserve">MUS-U </v>
          </cell>
          <cell r="G12156">
            <v>210</v>
          </cell>
          <cell r="H12156" t="str">
            <v>MUS-U 210</v>
          </cell>
          <cell r="K12156" t="str">
            <v>Strommen,Linda</v>
          </cell>
          <cell r="N12156" t="str">
            <v>NR</v>
          </cell>
          <cell r="O12156" t="str">
            <v>NR</v>
          </cell>
        </row>
        <row r="12157">
          <cell r="E12157" t="str">
            <v>MUS</v>
          </cell>
          <cell r="F12157" t="str">
            <v xml:space="preserve">MUS-U </v>
          </cell>
          <cell r="G12157">
            <v>233</v>
          </cell>
          <cell r="H12157" t="str">
            <v>MUS-U 233</v>
          </cell>
          <cell r="K12157" t="str">
            <v>Arvin,Gary</v>
          </cell>
          <cell r="N12157">
            <v>3.9630000000000001</v>
          </cell>
          <cell r="O12157">
            <v>3.6459999999999999</v>
          </cell>
        </row>
        <row r="12158">
          <cell r="E12158" t="str">
            <v>MUS</v>
          </cell>
          <cell r="F12158" t="str">
            <v xml:space="preserve">MUS-U </v>
          </cell>
          <cell r="G12158">
            <v>243</v>
          </cell>
          <cell r="H12158" t="str">
            <v>MUS-U 243</v>
          </cell>
          <cell r="K12158" t="str">
            <v>Simpson,Marietta</v>
          </cell>
          <cell r="N12158">
            <v>3.95</v>
          </cell>
          <cell r="O12158">
            <v>3.7290000000000001</v>
          </cell>
        </row>
        <row r="12159">
          <cell r="E12159" t="str">
            <v>MUS</v>
          </cell>
          <cell r="F12159" t="str">
            <v xml:space="preserve">MUS-U </v>
          </cell>
          <cell r="G12159">
            <v>253</v>
          </cell>
          <cell r="H12159" t="str">
            <v>MUS-U 253</v>
          </cell>
          <cell r="K12159" t="str">
            <v>Murphy,Heidi G</v>
          </cell>
          <cell r="N12159">
            <v>3.875</v>
          </cell>
          <cell r="O12159">
            <v>3.4409999999999998</v>
          </cell>
        </row>
        <row r="12160">
          <cell r="E12160" t="str">
            <v>MUS</v>
          </cell>
          <cell r="F12160" t="str">
            <v xml:space="preserve">MUS-U </v>
          </cell>
          <cell r="G12160">
            <v>274</v>
          </cell>
          <cell r="H12160" t="str">
            <v>MUS-U 274</v>
          </cell>
          <cell r="K12160" t="str">
            <v>Sparks,Thomas Guy</v>
          </cell>
          <cell r="N12160">
            <v>3.7829999999999999</v>
          </cell>
          <cell r="O12160">
            <v>3.57</v>
          </cell>
        </row>
        <row r="12161">
          <cell r="E12161" t="str">
            <v>MUS</v>
          </cell>
          <cell r="F12161" t="str">
            <v xml:space="preserve">MUS-U </v>
          </cell>
          <cell r="G12161">
            <v>275</v>
          </cell>
          <cell r="H12161" t="str">
            <v>MUS-U 275</v>
          </cell>
          <cell r="K12161" t="str">
            <v>Sparks,Thomas Guy</v>
          </cell>
          <cell r="N12161">
            <v>4</v>
          </cell>
          <cell r="O12161">
            <v>3.5369999999999999</v>
          </cell>
        </row>
        <row r="12162">
          <cell r="E12162" t="str">
            <v>MUS</v>
          </cell>
          <cell r="F12162" t="str">
            <v xml:space="preserve">MUS-U </v>
          </cell>
          <cell r="G12162">
            <v>350</v>
          </cell>
          <cell r="H12162" t="str">
            <v>MUS-U 350</v>
          </cell>
          <cell r="K12162" t="str">
            <v>Potter,Gary Morton</v>
          </cell>
          <cell r="N12162" t="str">
            <v>NR</v>
          </cell>
          <cell r="O12162" t="str">
            <v>NR</v>
          </cell>
        </row>
        <row r="12163">
          <cell r="E12163" t="str">
            <v>MUS</v>
          </cell>
          <cell r="F12163" t="str">
            <v xml:space="preserve">MUS-U </v>
          </cell>
          <cell r="G12163">
            <v>361</v>
          </cell>
          <cell r="H12163" t="str">
            <v>MUS-U 361</v>
          </cell>
          <cell r="K12163" t="str">
            <v>McNair,Sylvia</v>
          </cell>
          <cell r="N12163">
            <v>3.9249999999999998</v>
          </cell>
          <cell r="O12163">
            <v>3.649</v>
          </cell>
        </row>
        <row r="12164">
          <cell r="E12164" t="str">
            <v>MUS</v>
          </cell>
          <cell r="F12164" t="str">
            <v xml:space="preserve">MUS-U </v>
          </cell>
          <cell r="G12164">
            <v>404</v>
          </cell>
          <cell r="H12164" t="str">
            <v>MUS-U 404</v>
          </cell>
          <cell r="K12164" t="str">
            <v>Denler,Katherine Ellen</v>
          </cell>
          <cell r="N12164" t="str">
            <v>NR</v>
          </cell>
          <cell r="O12164" t="str">
            <v>NR</v>
          </cell>
        </row>
        <row r="12165">
          <cell r="E12165" t="str">
            <v>MUS</v>
          </cell>
          <cell r="F12165" t="str">
            <v xml:space="preserve">MUS-U </v>
          </cell>
          <cell r="G12165">
            <v>470</v>
          </cell>
          <cell r="H12165" t="str">
            <v>MUS-U 470</v>
          </cell>
          <cell r="K12165" t="str">
            <v>Sparks,Thomas Guy</v>
          </cell>
          <cell r="N12165" t="str">
            <v>NR</v>
          </cell>
          <cell r="O12165" t="str">
            <v>NR</v>
          </cell>
        </row>
        <row r="12166">
          <cell r="E12166" t="str">
            <v>MUS</v>
          </cell>
          <cell r="F12166" t="str">
            <v xml:space="preserve">MUS-U </v>
          </cell>
          <cell r="G12166">
            <v>470</v>
          </cell>
          <cell r="H12166" t="str">
            <v>MUS-U 470</v>
          </cell>
          <cell r="K12166" t="str">
            <v>Sparks,Thomas Guy</v>
          </cell>
          <cell r="N12166">
            <v>4</v>
          </cell>
          <cell r="O12166">
            <v>3.4119999999999999</v>
          </cell>
        </row>
        <row r="12167">
          <cell r="E12167" t="str">
            <v>MUS</v>
          </cell>
          <cell r="F12167" t="str">
            <v xml:space="preserve">MUS-U </v>
          </cell>
          <cell r="G12167">
            <v>510</v>
          </cell>
          <cell r="H12167" t="str">
            <v>MUS-U 510</v>
          </cell>
          <cell r="K12167" t="str">
            <v>Ludwig,William Ernest</v>
          </cell>
          <cell r="N12167" t="str">
            <v>NR</v>
          </cell>
          <cell r="O12167" t="str">
            <v>NR</v>
          </cell>
        </row>
        <row r="12168">
          <cell r="E12168" t="str">
            <v>MUS</v>
          </cell>
          <cell r="F12168" t="str">
            <v xml:space="preserve">MUS-U </v>
          </cell>
          <cell r="G12168">
            <v>510</v>
          </cell>
          <cell r="H12168" t="str">
            <v>MUS-U 510</v>
          </cell>
          <cell r="K12168" t="str">
            <v>Ludwig,William Ernest</v>
          </cell>
          <cell r="N12168" t="str">
            <v>NR</v>
          </cell>
          <cell r="O12168" t="str">
            <v>NR</v>
          </cell>
        </row>
        <row r="12169">
          <cell r="E12169" t="str">
            <v>MUS</v>
          </cell>
          <cell r="F12169" t="str">
            <v xml:space="preserve">MUS-U </v>
          </cell>
          <cell r="G12169">
            <v>510</v>
          </cell>
          <cell r="H12169" t="str">
            <v>MUS-U 510</v>
          </cell>
          <cell r="K12169" t="str">
            <v>McLean,Kathleen Kirsten</v>
          </cell>
          <cell r="N12169" t="str">
            <v>NR</v>
          </cell>
          <cell r="O12169" t="str">
            <v>NR</v>
          </cell>
        </row>
        <row r="12170">
          <cell r="E12170" t="str">
            <v>MUS</v>
          </cell>
          <cell r="F12170" t="str">
            <v xml:space="preserve">MUS-U </v>
          </cell>
          <cell r="G12170">
            <v>510</v>
          </cell>
          <cell r="H12170" t="str">
            <v>MUS-U 510</v>
          </cell>
          <cell r="K12170" t="str">
            <v>McLean,Kathleen Kirsten</v>
          </cell>
          <cell r="N12170" t="str">
            <v>NR</v>
          </cell>
          <cell r="O12170" t="str">
            <v>NR</v>
          </cell>
        </row>
        <row r="12171">
          <cell r="E12171" t="str">
            <v>MUS</v>
          </cell>
          <cell r="F12171" t="str">
            <v xml:space="preserve">MUS-U </v>
          </cell>
          <cell r="G12171">
            <v>510</v>
          </cell>
          <cell r="H12171" t="str">
            <v>MUS-U 510</v>
          </cell>
          <cell r="K12171" t="str">
            <v>Strommen,Linda</v>
          </cell>
          <cell r="N12171" t="str">
            <v>NR</v>
          </cell>
          <cell r="O12171" t="str">
            <v>NR</v>
          </cell>
        </row>
        <row r="12172">
          <cell r="E12172" t="str">
            <v>MUS</v>
          </cell>
          <cell r="F12172" t="str">
            <v xml:space="preserve">MUS-U </v>
          </cell>
          <cell r="G12172">
            <v>510</v>
          </cell>
          <cell r="H12172" t="str">
            <v>MUS-U 510</v>
          </cell>
          <cell r="K12172" t="str">
            <v>Strommen,Linda</v>
          </cell>
          <cell r="N12172" t="str">
            <v>NR</v>
          </cell>
          <cell r="O12172" t="str">
            <v>NR</v>
          </cell>
        </row>
        <row r="12173">
          <cell r="E12173" t="str">
            <v>MUS</v>
          </cell>
          <cell r="F12173" t="str">
            <v xml:space="preserve">MUS-U </v>
          </cell>
          <cell r="G12173">
            <v>596</v>
          </cell>
          <cell r="H12173" t="str">
            <v>MUS-U 596</v>
          </cell>
          <cell r="K12173" t="str">
            <v>Isaacson,Eric John</v>
          </cell>
          <cell r="N12173" t="str">
            <v>NR</v>
          </cell>
          <cell r="O12173" t="str">
            <v>NR</v>
          </cell>
        </row>
        <row r="12174">
          <cell r="E12174" t="str">
            <v>MUS</v>
          </cell>
          <cell r="F12174" t="str">
            <v xml:space="preserve">MUS-U </v>
          </cell>
          <cell r="G12174">
            <v>596</v>
          </cell>
          <cell r="H12174" t="str">
            <v>MUS-U 596</v>
          </cell>
          <cell r="K12174" t="str">
            <v>Isaacson,Eric John</v>
          </cell>
          <cell r="N12174">
            <v>4</v>
          </cell>
          <cell r="O12174">
            <v>3.847</v>
          </cell>
        </row>
        <row r="12175">
          <cell r="E12175" t="str">
            <v>MUS</v>
          </cell>
          <cell r="F12175" t="str">
            <v xml:space="preserve">MUS-U </v>
          </cell>
          <cell r="G12175">
            <v>596</v>
          </cell>
          <cell r="H12175" t="str">
            <v>MUS-U 596</v>
          </cell>
          <cell r="K12175" t="str">
            <v>Isaacson,Eric John</v>
          </cell>
          <cell r="N12175">
            <v>4</v>
          </cell>
          <cell r="O12175">
            <v>3.899</v>
          </cell>
        </row>
        <row r="12176">
          <cell r="E12176" t="str">
            <v>MUS</v>
          </cell>
          <cell r="F12176" t="str">
            <v xml:space="preserve">MUS-U </v>
          </cell>
          <cell r="G12176">
            <v>596</v>
          </cell>
          <cell r="H12176" t="str">
            <v>MUS-U 596</v>
          </cell>
          <cell r="K12176" t="str">
            <v>Isaacson,Eric John</v>
          </cell>
          <cell r="N12176" t="str">
            <v>NR</v>
          </cell>
          <cell r="O12176" t="str">
            <v>NR</v>
          </cell>
        </row>
        <row r="12177">
          <cell r="E12177" t="str">
            <v>MUS</v>
          </cell>
          <cell r="F12177" t="str">
            <v xml:space="preserve">MUS-U </v>
          </cell>
          <cell r="G12177">
            <v>596</v>
          </cell>
          <cell r="H12177" t="str">
            <v>MUS-U 596</v>
          </cell>
          <cell r="K12177" t="str">
            <v>Sparks,Thomas Guy</v>
          </cell>
          <cell r="N12177">
            <v>3.923</v>
          </cell>
          <cell r="O12177">
            <v>3.8079999999999998</v>
          </cell>
        </row>
        <row r="12178">
          <cell r="E12178" t="str">
            <v>MUS</v>
          </cell>
          <cell r="F12178" t="str">
            <v xml:space="preserve">MUS-U </v>
          </cell>
          <cell r="G12178">
            <v>596</v>
          </cell>
          <cell r="H12178" t="str">
            <v>MUS-U 596</v>
          </cell>
          <cell r="K12178" t="str">
            <v>Sparks,Thomas Guy</v>
          </cell>
          <cell r="N12178">
            <v>4</v>
          </cell>
          <cell r="O12178">
            <v>3.875</v>
          </cell>
        </row>
        <row r="12179">
          <cell r="E12179" t="str">
            <v>MUS</v>
          </cell>
          <cell r="F12179" t="str">
            <v xml:space="preserve">MUS-V </v>
          </cell>
          <cell r="G12179">
            <v>100</v>
          </cell>
          <cell r="H12179" t="str">
            <v>MUS-V 100</v>
          </cell>
          <cell r="K12179" t="str">
            <v>O'Rourke Martin,Erin Catherine</v>
          </cell>
          <cell r="N12179">
            <v>3.911</v>
          </cell>
          <cell r="O12179">
            <v>3.7160000000000002</v>
          </cell>
        </row>
        <row r="12180">
          <cell r="E12180" t="str">
            <v>MUS</v>
          </cell>
          <cell r="F12180" t="str">
            <v xml:space="preserve">MUS-V </v>
          </cell>
          <cell r="G12180">
            <v>100</v>
          </cell>
          <cell r="H12180" t="str">
            <v>MUS-V 100</v>
          </cell>
          <cell r="K12180" t="str">
            <v>Stone,Ashley Louise</v>
          </cell>
          <cell r="N12180">
            <v>3.9449999999999998</v>
          </cell>
          <cell r="O12180">
            <v>3.7250000000000001</v>
          </cell>
        </row>
        <row r="12181">
          <cell r="E12181" t="str">
            <v>MUS</v>
          </cell>
          <cell r="F12181" t="str">
            <v xml:space="preserve">MUS-V </v>
          </cell>
          <cell r="G12181">
            <v>101</v>
          </cell>
          <cell r="H12181" t="str">
            <v>MUS-V 101</v>
          </cell>
          <cell r="K12181" t="str">
            <v>O'Rourke Martin,Erin Catherine</v>
          </cell>
          <cell r="N12181">
            <v>3.6669999999999998</v>
          </cell>
          <cell r="O12181">
            <v>2.95</v>
          </cell>
        </row>
        <row r="12182">
          <cell r="E12182" t="str">
            <v>MUS</v>
          </cell>
          <cell r="F12182" t="str">
            <v xml:space="preserve">MUS-V </v>
          </cell>
          <cell r="G12182">
            <v>101</v>
          </cell>
          <cell r="H12182" t="str">
            <v>MUS-V 101</v>
          </cell>
          <cell r="K12182" t="str">
            <v>O'Rourke Martin,Erin Catherine</v>
          </cell>
          <cell r="N12182">
            <v>3.9140000000000001</v>
          </cell>
          <cell r="O12182">
            <v>2.8679999999999999</v>
          </cell>
        </row>
        <row r="12183">
          <cell r="E12183" t="str">
            <v>MUS</v>
          </cell>
          <cell r="F12183" t="str">
            <v xml:space="preserve">MUS-V </v>
          </cell>
          <cell r="G12183">
            <v>101</v>
          </cell>
          <cell r="H12183" t="str">
            <v>MUS-V 101</v>
          </cell>
          <cell r="K12183" t="str">
            <v>O'Rourke Martin,Erin Catherine</v>
          </cell>
          <cell r="N12183">
            <v>4</v>
          </cell>
          <cell r="O12183">
            <v>3.3180000000000001</v>
          </cell>
        </row>
        <row r="12184">
          <cell r="E12184" t="str">
            <v>MUS</v>
          </cell>
          <cell r="F12184" t="str">
            <v xml:space="preserve">MUS-V </v>
          </cell>
          <cell r="G12184">
            <v>101</v>
          </cell>
          <cell r="H12184" t="str">
            <v>MUS-V 101</v>
          </cell>
          <cell r="K12184" t="str">
            <v>O'Rourke Martin,Erin Catherine</v>
          </cell>
          <cell r="N12184">
            <v>4</v>
          </cell>
          <cell r="O12184">
            <v>3.044</v>
          </cell>
        </row>
        <row r="12185">
          <cell r="E12185" t="str">
            <v>MUS</v>
          </cell>
          <cell r="F12185" t="str">
            <v xml:space="preserve">MUS-V </v>
          </cell>
          <cell r="G12185">
            <v>101</v>
          </cell>
          <cell r="H12185" t="str">
            <v>MUS-V 101</v>
          </cell>
          <cell r="K12185" t="str">
            <v>Stone,Ashley Louise</v>
          </cell>
          <cell r="N12185">
            <v>3.0139999999999998</v>
          </cell>
          <cell r="O12185">
            <v>2.57</v>
          </cell>
        </row>
        <row r="12186">
          <cell r="E12186" t="str">
            <v>MUS</v>
          </cell>
          <cell r="F12186" t="str">
            <v xml:space="preserve">MUS-V </v>
          </cell>
          <cell r="G12186">
            <v>101</v>
          </cell>
          <cell r="H12186" t="str">
            <v>MUS-V 101</v>
          </cell>
          <cell r="K12186" t="str">
            <v>Stone,Ashley Louise</v>
          </cell>
          <cell r="N12186">
            <v>4</v>
          </cell>
          <cell r="O12186">
            <v>3.33</v>
          </cell>
        </row>
        <row r="12187">
          <cell r="E12187" t="str">
            <v>MUS</v>
          </cell>
          <cell r="F12187" t="str">
            <v xml:space="preserve">MUS-V </v>
          </cell>
          <cell r="G12187">
            <v>101</v>
          </cell>
          <cell r="H12187" t="str">
            <v>MUS-V 101</v>
          </cell>
          <cell r="K12187" t="str">
            <v>Stone,Ashley Louise</v>
          </cell>
          <cell r="N12187">
            <v>3.9569999999999999</v>
          </cell>
          <cell r="O12187">
            <v>3.004</v>
          </cell>
        </row>
        <row r="12188">
          <cell r="E12188" t="str">
            <v>MUS</v>
          </cell>
          <cell r="F12188" t="str">
            <v xml:space="preserve">MUS-V </v>
          </cell>
          <cell r="G12188">
            <v>101</v>
          </cell>
          <cell r="H12188" t="str">
            <v>MUS-V 101</v>
          </cell>
          <cell r="K12188" t="str">
            <v>Stone,Ashley Louise</v>
          </cell>
          <cell r="N12188">
            <v>3.5289999999999999</v>
          </cell>
          <cell r="O12188">
            <v>3.105</v>
          </cell>
        </row>
        <row r="12189">
          <cell r="E12189" t="str">
            <v>MUS</v>
          </cell>
          <cell r="F12189" t="str">
            <v xml:space="preserve">MUS-V </v>
          </cell>
          <cell r="G12189">
            <v>120</v>
          </cell>
          <cell r="H12189" t="str">
            <v>MUS-V 120</v>
          </cell>
          <cell r="K12189" t="str">
            <v>McNair,Sylvia</v>
          </cell>
          <cell r="N12189">
            <v>3.6949999999999998</v>
          </cell>
          <cell r="O12189">
            <v>3.5579999999999998</v>
          </cell>
        </row>
        <row r="12190">
          <cell r="E12190" t="str">
            <v>MUS</v>
          </cell>
          <cell r="F12190" t="str">
            <v xml:space="preserve">MUS-V </v>
          </cell>
          <cell r="G12190">
            <v>150</v>
          </cell>
          <cell r="H12190" t="str">
            <v>MUS-V 150</v>
          </cell>
          <cell r="K12190" t="str">
            <v>Murphy,Heidi G</v>
          </cell>
          <cell r="N12190" t="str">
            <v>NR</v>
          </cell>
          <cell r="O12190" t="str">
            <v>NR</v>
          </cell>
        </row>
        <row r="12191">
          <cell r="E12191" t="str">
            <v>MUS</v>
          </cell>
          <cell r="F12191" t="str">
            <v xml:space="preserve">MUS-V </v>
          </cell>
          <cell r="G12191">
            <v>250</v>
          </cell>
          <cell r="H12191" t="str">
            <v>MUS-V 250</v>
          </cell>
          <cell r="K12191" t="str">
            <v>Arvin,Gary</v>
          </cell>
          <cell r="N12191">
            <v>3.8330000000000002</v>
          </cell>
          <cell r="O12191">
            <v>3.343</v>
          </cell>
        </row>
        <row r="12192">
          <cell r="E12192" t="str">
            <v>MUS</v>
          </cell>
          <cell r="F12192" t="str">
            <v xml:space="preserve">MUS-V </v>
          </cell>
          <cell r="G12192">
            <v>350</v>
          </cell>
          <cell r="H12192" t="str">
            <v>MUS-V 350</v>
          </cell>
          <cell r="K12192" t="str">
            <v>Arvin,Gary</v>
          </cell>
          <cell r="N12192">
            <v>4</v>
          </cell>
          <cell r="O12192">
            <v>3.855</v>
          </cell>
        </row>
        <row r="12193">
          <cell r="E12193" t="str">
            <v>MUS</v>
          </cell>
          <cell r="F12193" t="str">
            <v xml:space="preserve">MUS-V </v>
          </cell>
          <cell r="G12193">
            <v>400</v>
          </cell>
          <cell r="H12193" t="str">
            <v>MUS-V 400</v>
          </cell>
          <cell r="K12193" t="str">
            <v>Brendel,Wolfgang R</v>
          </cell>
          <cell r="N12193">
            <v>3.7879999999999998</v>
          </cell>
          <cell r="O12193">
            <v>3.645</v>
          </cell>
        </row>
        <row r="12194">
          <cell r="E12194" t="str">
            <v>MUS</v>
          </cell>
          <cell r="F12194" t="str">
            <v xml:space="preserve">MUS-V </v>
          </cell>
          <cell r="G12194">
            <v>400</v>
          </cell>
          <cell r="H12194" t="str">
            <v>MUS-V 400</v>
          </cell>
          <cell r="K12194" t="str">
            <v>Brendel,Wolfgang R</v>
          </cell>
          <cell r="N12194">
            <v>3.722</v>
          </cell>
          <cell r="O12194">
            <v>3.6059999999999999</v>
          </cell>
        </row>
        <row r="12195">
          <cell r="E12195" t="str">
            <v>MUS</v>
          </cell>
          <cell r="F12195" t="str">
            <v xml:space="preserve">MUS-V </v>
          </cell>
          <cell r="G12195">
            <v>400</v>
          </cell>
          <cell r="H12195" t="str">
            <v>MUS-V 400</v>
          </cell>
          <cell r="K12195" t="str">
            <v>Harrison,Robert J</v>
          </cell>
          <cell r="N12195">
            <v>3.95</v>
          </cell>
          <cell r="O12195">
            <v>3.835</v>
          </cell>
        </row>
        <row r="12196">
          <cell r="E12196" t="str">
            <v>MUS</v>
          </cell>
          <cell r="F12196" t="str">
            <v xml:space="preserve">MUS-V </v>
          </cell>
          <cell r="G12196">
            <v>400</v>
          </cell>
          <cell r="H12196" t="str">
            <v>MUS-V 400</v>
          </cell>
          <cell r="K12196" t="str">
            <v>Harrison,Robert J</v>
          </cell>
          <cell r="N12196" t="str">
            <v>NR</v>
          </cell>
          <cell r="O12196" t="str">
            <v>NR</v>
          </cell>
        </row>
        <row r="12197">
          <cell r="E12197" t="str">
            <v>MUS</v>
          </cell>
          <cell r="F12197" t="str">
            <v xml:space="preserve">MUS-V </v>
          </cell>
          <cell r="G12197">
            <v>400</v>
          </cell>
          <cell r="H12197" t="str">
            <v>MUS-V 400</v>
          </cell>
          <cell r="K12197" t="str">
            <v>Hart,Mary Ann</v>
          </cell>
          <cell r="N12197" t="str">
            <v>NR</v>
          </cell>
          <cell r="O12197" t="str">
            <v>NR</v>
          </cell>
        </row>
        <row r="12198">
          <cell r="E12198" t="str">
            <v>MUS</v>
          </cell>
          <cell r="F12198" t="str">
            <v xml:space="preserve">MUS-V </v>
          </cell>
          <cell r="G12198">
            <v>400</v>
          </cell>
          <cell r="H12198" t="str">
            <v>MUS-V 400</v>
          </cell>
          <cell r="K12198" t="str">
            <v>Hart,Mary Ann</v>
          </cell>
          <cell r="N12198" t="str">
            <v>NR</v>
          </cell>
          <cell r="O12198" t="str">
            <v>NR</v>
          </cell>
        </row>
        <row r="12199">
          <cell r="E12199" t="str">
            <v>MUS</v>
          </cell>
          <cell r="F12199" t="str">
            <v xml:space="preserve">MUS-V </v>
          </cell>
          <cell r="G12199">
            <v>400</v>
          </cell>
          <cell r="H12199" t="str">
            <v>MUS-V 400</v>
          </cell>
          <cell r="K12199" t="str">
            <v>Havranek,Patricia Brooks</v>
          </cell>
          <cell r="N12199" t="str">
            <v>NR</v>
          </cell>
          <cell r="O12199" t="str">
            <v>NR</v>
          </cell>
        </row>
        <row r="12200">
          <cell r="E12200" t="str">
            <v>MUS</v>
          </cell>
          <cell r="F12200" t="str">
            <v xml:space="preserve">MUS-V </v>
          </cell>
          <cell r="G12200">
            <v>400</v>
          </cell>
          <cell r="H12200" t="str">
            <v>MUS-V 400</v>
          </cell>
          <cell r="K12200" t="str">
            <v>Havranek,Patricia Brooks</v>
          </cell>
          <cell r="N12200" t="str">
            <v>NR</v>
          </cell>
          <cell r="O12200" t="str">
            <v>NR</v>
          </cell>
        </row>
        <row r="12201">
          <cell r="E12201" t="str">
            <v>MUS</v>
          </cell>
          <cell r="F12201" t="str">
            <v xml:space="preserve">MUS-V </v>
          </cell>
          <cell r="G12201">
            <v>400</v>
          </cell>
          <cell r="H12201" t="str">
            <v>MUS-V 400</v>
          </cell>
          <cell r="K12201" t="str">
            <v>Hopper,Alice Ruth</v>
          </cell>
          <cell r="N12201">
            <v>3.98</v>
          </cell>
          <cell r="O12201">
            <v>3.6059999999999999</v>
          </cell>
        </row>
        <row r="12202">
          <cell r="E12202" t="str">
            <v>MUS</v>
          </cell>
          <cell r="F12202" t="str">
            <v xml:space="preserve">MUS-V </v>
          </cell>
          <cell r="G12202">
            <v>400</v>
          </cell>
          <cell r="H12202" t="str">
            <v>MUS-V 400</v>
          </cell>
          <cell r="K12202" t="str">
            <v>Hopper,Alice Ruth</v>
          </cell>
          <cell r="N12202">
            <v>3.9729999999999999</v>
          </cell>
          <cell r="O12202">
            <v>3.5070000000000001</v>
          </cell>
        </row>
        <row r="12203">
          <cell r="E12203" t="str">
            <v>MUS</v>
          </cell>
          <cell r="F12203" t="str">
            <v xml:space="preserve">MUS-V </v>
          </cell>
          <cell r="G12203">
            <v>400</v>
          </cell>
          <cell r="H12203" t="str">
            <v>MUS-V 400</v>
          </cell>
          <cell r="K12203" t="str">
            <v>Horne,Brian L.</v>
          </cell>
          <cell r="N12203" t="str">
            <v>NR</v>
          </cell>
          <cell r="O12203" t="str">
            <v>NR</v>
          </cell>
        </row>
        <row r="12204">
          <cell r="E12204" t="str">
            <v>MUS</v>
          </cell>
          <cell r="F12204" t="str">
            <v xml:space="preserve">MUS-V </v>
          </cell>
          <cell r="G12204">
            <v>400</v>
          </cell>
          <cell r="H12204" t="str">
            <v>MUS-V 400</v>
          </cell>
          <cell r="K12204" t="str">
            <v>Horne,Brian L.</v>
          </cell>
          <cell r="N12204" t="str">
            <v>NR</v>
          </cell>
          <cell r="O12204" t="str">
            <v>NR</v>
          </cell>
        </row>
        <row r="12205">
          <cell r="E12205" t="str">
            <v>MUS</v>
          </cell>
          <cell r="F12205" t="str">
            <v xml:space="preserve">MUS-V </v>
          </cell>
          <cell r="G12205">
            <v>400</v>
          </cell>
          <cell r="H12205" t="str">
            <v>MUS-V 400</v>
          </cell>
          <cell r="K12205" t="str">
            <v>Kubiak,Teresa</v>
          </cell>
          <cell r="N12205">
            <v>4</v>
          </cell>
          <cell r="O12205">
            <v>3.589</v>
          </cell>
        </row>
        <row r="12206">
          <cell r="E12206" t="str">
            <v>MUS</v>
          </cell>
          <cell r="F12206" t="str">
            <v xml:space="preserve">MUS-V </v>
          </cell>
          <cell r="G12206">
            <v>400</v>
          </cell>
          <cell r="H12206" t="str">
            <v>MUS-V 400</v>
          </cell>
          <cell r="K12206" t="str">
            <v>Kubiak,Teresa</v>
          </cell>
          <cell r="N12206">
            <v>4</v>
          </cell>
          <cell r="O12206">
            <v>3.601</v>
          </cell>
        </row>
        <row r="12207">
          <cell r="E12207" t="str">
            <v>MUS</v>
          </cell>
          <cell r="F12207" t="str">
            <v xml:space="preserve">MUS-V </v>
          </cell>
          <cell r="G12207">
            <v>400</v>
          </cell>
          <cell r="H12207" t="str">
            <v>MUS-V 400</v>
          </cell>
          <cell r="K12207" t="str">
            <v>Montane,Carlos</v>
          </cell>
          <cell r="N12207" t="str">
            <v>NR</v>
          </cell>
          <cell r="O12207" t="str">
            <v>NR</v>
          </cell>
        </row>
        <row r="12208">
          <cell r="E12208" t="str">
            <v>MUS</v>
          </cell>
          <cell r="F12208" t="str">
            <v xml:space="preserve">MUS-V </v>
          </cell>
          <cell r="G12208">
            <v>400</v>
          </cell>
          <cell r="H12208" t="str">
            <v>MUS-V 400</v>
          </cell>
          <cell r="K12208" t="str">
            <v>Montane,Carlos</v>
          </cell>
          <cell r="N12208" t="str">
            <v>NR</v>
          </cell>
          <cell r="O12208" t="str">
            <v>NR</v>
          </cell>
        </row>
        <row r="12209">
          <cell r="E12209" t="str">
            <v>MUS</v>
          </cell>
          <cell r="F12209" t="str">
            <v xml:space="preserve">MUS-V </v>
          </cell>
          <cell r="G12209">
            <v>400</v>
          </cell>
          <cell r="H12209" t="str">
            <v>MUS-V 400</v>
          </cell>
          <cell r="K12209" t="str">
            <v>Murphy,Heidi G</v>
          </cell>
          <cell r="N12209" t="str">
            <v>NR</v>
          </cell>
          <cell r="O12209" t="str">
            <v>NR</v>
          </cell>
        </row>
        <row r="12210">
          <cell r="E12210" t="str">
            <v>MUS</v>
          </cell>
          <cell r="F12210" t="str">
            <v xml:space="preserve">MUS-V </v>
          </cell>
          <cell r="G12210">
            <v>400</v>
          </cell>
          <cell r="H12210" t="str">
            <v>MUS-V 400</v>
          </cell>
          <cell r="K12210" t="str">
            <v>Murphy,Heidi G</v>
          </cell>
          <cell r="N12210" t="str">
            <v>NR</v>
          </cell>
          <cell r="O12210" t="str">
            <v>NR</v>
          </cell>
        </row>
        <row r="12211">
          <cell r="E12211" t="str">
            <v>MUS</v>
          </cell>
          <cell r="F12211" t="str">
            <v xml:space="preserve">MUS-V </v>
          </cell>
          <cell r="G12211">
            <v>400</v>
          </cell>
          <cell r="H12211" t="str">
            <v>MUS-V 400</v>
          </cell>
          <cell r="K12211" t="str">
            <v>Noble,Timothy R.</v>
          </cell>
          <cell r="N12211">
            <v>4</v>
          </cell>
          <cell r="O12211">
            <v>3.665</v>
          </cell>
        </row>
        <row r="12212">
          <cell r="E12212" t="str">
            <v>MUS</v>
          </cell>
          <cell r="F12212" t="str">
            <v xml:space="preserve">MUS-V </v>
          </cell>
          <cell r="G12212">
            <v>400</v>
          </cell>
          <cell r="H12212" t="str">
            <v>MUS-V 400</v>
          </cell>
          <cell r="K12212" t="str">
            <v>Noble,Timothy R.</v>
          </cell>
          <cell r="N12212">
            <v>4</v>
          </cell>
          <cell r="O12212">
            <v>3.669</v>
          </cell>
        </row>
        <row r="12213">
          <cell r="E12213" t="str">
            <v>MUS</v>
          </cell>
          <cell r="F12213" t="str">
            <v xml:space="preserve">MUS-V </v>
          </cell>
          <cell r="G12213">
            <v>400</v>
          </cell>
          <cell r="H12213" t="str">
            <v>MUS-V 400</v>
          </cell>
          <cell r="K12213" t="str">
            <v>Poulimenos,Andreas</v>
          </cell>
          <cell r="N12213" t="str">
            <v>NR</v>
          </cell>
          <cell r="O12213" t="str">
            <v>NR</v>
          </cell>
        </row>
        <row r="12214">
          <cell r="E12214" t="str">
            <v>MUS</v>
          </cell>
          <cell r="F12214" t="str">
            <v xml:space="preserve">MUS-V </v>
          </cell>
          <cell r="G12214">
            <v>400</v>
          </cell>
          <cell r="H12214" t="str">
            <v>MUS-V 400</v>
          </cell>
          <cell r="K12214" t="str">
            <v>Poulimenos,Andreas</v>
          </cell>
          <cell r="N12214" t="str">
            <v>NR</v>
          </cell>
          <cell r="O12214" t="str">
            <v>NR</v>
          </cell>
        </row>
        <row r="12215">
          <cell r="E12215" t="str">
            <v>MUS</v>
          </cell>
          <cell r="F12215" t="str">
            <v xml:space="preserve">MUS-V </v>
          </cell>
          <cell r="G12215">
            <v>400</v>
          </cell>
          <cell r="H12215" t="str">
            <v>MUS-V 400</v>
          </cell>
          <cell r="K12215" t="str">
            <v>Richards,Gwyn</v>
          </cell>
          <cell r="N12215" t="str">
            <v>NR</v>
          </cell>
          <cell r="O12215" t="str">
            <v>NR</v>
          </cell>
        </row>
        <row r="12216">
          <cell r="E12216" t="str">
            <v>MUS</v>
          </cell>
          <cell r="F12216" t="str">
            <v xml:space="preserve">MUS-V </v>
          </cell>
          <cell r="G12216">
            <v>400</v>
          </cell>
          <cell r="H12216" t="str">
            <v>MUS-V 400</v>
          </cell>
          <cell r="K12216" t="str">
            <v>Richards,Gwyn</v>
          </cell>
          <cell r="N12216" t="str">
            <v>NR</v>
          </cell>
          <cell r="O12216" t="str">
            <v>NR</v>
          </cell>
        </row>
        <row r="12217">
          <cell r="E12217" t="str">
            <v>MUS</v>
          </cell>
          <cell r="F12217" t="str">
            <v xml:space="preserve">MUS-V </v>
          </cell>
          <cell r="G12217">
            <v>400</v>
          </cell>
          <cell r="H12217" t="str">
            <v>MUS-V 400</v>
          </cell>
          <cell r="K12217" t="str">
            <v>Schrock,Scharmal Kay</v>
          </cell>
          <cell r="N12217">
            <v>3.9569999999999999</v>
          </cell>
          <cell r="O12217">
            <v>3.5760000000000001</v>
          </cell>
        </row>
        <row r="12218">
          <cell r="E12218" t="str">
            <v>MUS</v>
          </cell>
          <cell r="F12218" t="str">
            <v xml:space="preserve">MUS-V </v>
          </cell>
          <cell r="G12218">
            <v>400</v>
          </cell>
          <cell r="H12218" t="str">
            <v>MUS-V 400</v>
          </cell>
          <cell r="K12218" t="str">
            <v>Schrock,Scharmal Kay</v>
          </cell>
          <cell r="N12218">
            <v>3.9249999999999998</v>
          </cell>
          <cell r="O12218">
            <v>3.6150000000000002</v>
          </cell>
        </row>
        <row r="12219">
          <cell r="E12219" t="str">
            <v>MUS</v>
          </cell>
          <cell r="F12219" t="str">
            <v xml:space="preserve">MUS-V </v>
          </cell>
          <cell r="G12219">
            <v>400</v>
          </cell>
          <cell r="H12219" t="str">
            <v>MUS-V 400</v>
          </cell>
          <cell r="K12219" t="str">
            <v>Simpson,Marietta</v>
          </cell>
          <cell r="N12219">
            <v>4</v>
          </cell>
          <cell r="O12219">
            <v>3.6720000000000002</v>
          </cell>
        </row>
        <row r="12220">
          <cell r="E12220" t="str">
            <v>MUS</v>
          </cell>
          <cell r="F12220" t="str">
            <v xml:space="preserve">MUS-V </v>
          </cell>
          <cell r="G12220">
            <v>400</v>
          </cell>
          <cell r="H12220" t="str">
            <v>MUS-V 400</v>
          </cell>
          <cell r="K12220" t="str">
            <v>Simpson,Marietta</v>
          </cell>
          <cell r="N12220">
            <v>4</v>
          </cell>
          <cell r="O12220">
            <v>3.7040000000000002</v>
          </cell>
        </row>
        <row r="12221">
          <cell r="E12221" t="str">
            <v>MUS</v>
          </cell>
          <cell r="F12221" t="str">
            <v xml:space="preserve">MUS-V </v>
          </cell>
          <cell r="G12221">
            <v>400</v>
          </cell>
          <cell r="H12221" t="str">
            <v>MUS-V 400</v>
          </cell>
          <cell r="K12221" t="str">
            <v>Stiles,Patricia Jeane</v>
          </cell>
          <cell r="N12221">
            <v>4</v>
          </cell>
          <cell r="O12221">
            <v>3.6349999999999998</v>
          </cell>
        </row>
        <row r="12222">
          <cell r="E12222" t="str">
            <v>MUS</v>
          </cell>
          <cell r="F12222" t="str">
            <v xml:space="preserve">MUS-V </v>
          </cell>
          <cell r="G12222">
            <v>400</v>
          </cell>
          <cell r="H12222" t="str">
            <v>MUS-V 400</v>
          </cell>
          <cell r="K12222" t="str">
            <v>Stiles,Patricia Jeane</v>
          </cell>
          <cell r="N12222">
            <v>4</v>
          </cell>
          <cell r="O12222">
            <v>3.6019999999999999</v>
          </cell>
        </row>
        <row r="12223">
          <cell r="E12223" t="str">
            <v>MUS</v>
          </cell>
          <cell r="F12223" t="str">
            <v xml:space="preserve">MUS-V </v>
          </cell>
          <cell r="G12223">
            <v>400</v>
          </cell>
          <cell r="H12223" t="str">
            <v>MUS-V 400</v>
          </cell>
          <cell r="K12223" t="str">
            <v>Vaness,Carol Theresa</v>
          </cell>
          <cell r="N12223" t="str">
            <v>NR</v>
          </cell>
          <cell r="O12223" t="str">
            <v>NR</v>
          </cell>
        </row>
        <row r="12224">
          <cell r="E12224" t="str">
            <v>MUS</v>
          </cell>
          <cell r="F12224" t="str">
            <v xml:space="preserve">MUS-V </v>
          </cell>
          <cell r="G12224">
            <v>400</v>
          </cell>
          <cell r="H12224" t="str">
            <v>MUS-V 400</v>
          </cell>
          <cell r="K12224" t="str">
            <v>Vaness,Carol Theresa</v>
          </cell>
          <cell r="N12224" t="str">
            <v>NR</v>
          </cell>
          <cell r="O12224" t="str">
            <v>NR</v>
          </cell>
        </row>
        <row r="12225">
          <cell r="E12225" t="str">
            <v>MUS</v>
          </cell>
          <cell r="F12225" t="str">
            <v xml:space="preserve">MUS-V </v>
          </cell>
          <cell r="G12225">
            <v>400</v>
          </cell>
          <cell r="H12225" t="str">
            <v>MUS-V 400</v>
          </cell>
          <cell r="K12225" t="str">
            <v>Wise,Patricia</v>
          </cell>
          <cell r="N12225">
            <v>4</v>
          </cell>
          <cell r="O12225">
            <v>3.573</v>
          </cell>
        </row>
        <row r="12226">
          <cell r="E12226" t="str">
            <v>MUS</v>
          </cell>
          <cell r="F12226" t="str">
            <v xml:space="preserve">MUS-V </v>
          </cell>
          <cell r="G12226">
            <v>400</v>
          </cell>
          <cell r="H12226" t="str">
            <v>MUS-V 400</v>
          </cell>
          <cell r="K12226" t="str">
            <v>Wise,Patricia</v>
          </cell>
          <cell r="N12226">
            <v>4</v>
          </cell>
          <cell r="O12226">
            <v>3.6829999999999998</v>
          </cell>
        </row>
        <row r="12227">
          <cell r="E12227" t="str">
            <v>MUS</v>
          </cell>
          <cell r="F12227" t="str">
            <v xml:space="preserve">MUS-V </v>
          </cell>
          <cell r="G12227">
            <v>410</v>
          </cell>
          <cell r="H12227" t="str">
            <v>MUS-V 410</v>
          </cell>
          <cell r="K12227" t="str">
            <v>Arvin,Gary</v>
          </cell>
          <cell r="N12227" t="str">
            <v>NR</v>
          </cell>
          <cell r="O12227" t="str">
            <v>NR</v>
          </cell>
        </row>
        <row r="12228">
          <cell r="E12228" t="str">
            <v>MUS</v>
          </cell>
          <cell r="F12228" t="str">
            <v xml:space="preserve">MUS-V </v>
          </cell>
          <cell r="G12228">
            <v>410</v>
          </cell>
          <cell r="H12228" t="str">
            <v>MUS-V 410</v>
          </cell>
          <cell r="K12228" t="str">
            <v>Arvin,Gary</v>
          </cell>
          <cell r="N12228" t="str">
            <v>NR</v>
          </cell>
          <cell r="O12228" t="str">
            <v>NR</v>
          </cell>
        </row>
        <row r="12229">
          <cell r="E12229" t="str">
            <v>MUS</v>
          </cell>
          <cell r="F12229" t="str">
            <v xml:space="preserve">MUS-V </v>
          </cell>
          <cell r="G12229">
            <v>601</v>
          </cell>
          <cell r="H12229" t="str">
            <v>MUS-V 601</v>
          </cell>
          <cell r="K12229" t="str">
            <v>Isaacson,Eric John</v>
          </cell>
          <cell r="N12229" t="str">
            <v>NR</v>
          </cell>
          <cell r="O12229" t="str">
            <v>NR</v>
          </cell>
        </row>
        <row r="12230">
          <cell r="E12230" t="str">
            <v>MUS</v>
          </cell>
          <cell r="F12230" t="str">
            <v xml:space="preserve">MUS-V </v>
          </cell>
          <cell r="G12230">
            <v>601</v>
          </cell>
          <cell r="H12230" t="str">
            <v>MUS-V 601</v>
          </cell>
          <cell r="K12230" t="str">
            <v>Isaacson,Eric John</v>
          </cell>
          <cell r="N12230" t="str">
            <v>NR</v>
          </cell>
          <cell r="O12230" t="str">
            <v>NR</v>
          </cell>
        </row>
        <row r="12231">
          <cell r="E12231" t="str">
            <v>MUS</v>
          </cell>
          <cell r="F12231" t="str">
            <v xml:space="preserve">MUS-V </v>
          </cell>
          <cell r="G12231">
            <v>602</v>
          </cell>
          <cell r="H12231" t="str">
            <v>MUS-V 602</v>
          </cell>
          <cell r="K12231" t="str">
            <v>Isaacson,Eric John</v>
          </cell>
          <cell r="N12231" t="str">
            <v>NR</v>
          </cell>
          <cell r="O12231" t="str">
            <v>NR</v>
          </cell>
        </row>
        <row r="12232">
          <cell r="E12232" t="str">
            <v>MUS</v>
          </cell>
          <cell r="F12232" t="str">
            <v xml:space="preserve">MUS-V </v>
          </cell>
          <cell r="G12232">
            <v>602</v>
          </cell>
          <cell r="H12232" t="str">
            <v>MUS-V 602</v>
          </cell>
          <cell r="K12232" t="str">
            <v>Isaacson,Eric John</v>
          </cell>
          <cell r="N12232" t="str">
            <v>NR</v>
          </cell>
          <cell r="O12232" t="str">
            <v>NR</v>
          </cell>
        </row>
        <row r="12233">
          <cell r="E12233" t="str">
            <v>MUS</v>
          </cell>
          <cell r="F12233" t="str">
            <v xml:space="preserve">MUS-V </v>
          </cell>
          <cell r="G12233">
            <v>603</v>
          </cell>
          <cell r="H12233" t="str">
            <v>MUS-V 603</v>
          </cell>
          <cell r="K12233" t="str">
            <v>Isaacson,Eric John</v>
          </cell>
          <cell r="N12233" t="str">
            <v>NR</v>
          </cell>
          <cell r="O12233" t="str">
            <v>NR</v>
          </cell>
        </row>
        <row r="12234">
          <cell r="E12234" t="str">
            <v>MUS</v>
          </cell>
          <cell r="F12234" t="str">
            <v xml:space="preserve">MUS-V </v>
          </cell>
          <cell r="G12234">
            <v>603</v>
          </cell>
          <cell r="H12234" t="str">
            <v>MUS-V 603</v>
          </cell>
          <cell r="K12234" t="str">
            <v>Isaacson,Eric John</v>
          </cell>
          <cell r="N12234" t="str">
            <v>NR</v>
          </cell>
          <cell r="O12234" t="str">
            <v>NR</v>
          </cell>
        </row>
        <row r="12235">
          <cell r="E12235" t="str">
            <v>MUS</v>
          </cell>
          <cell r="F12235" t="str">
            <v xml:space="preserve">MUS-V </v>
          </cell>
          <cell r="G12235">
            <v>700</v>
          </cell>
          <cell r="H12235" t="str">
            <v>MUS-V 700</v>
          </cell>
          <cell r="K12235" t="str">
            <v>O'Rourke Martin,Erin Catherine</v>
          </cell>
          <cell r="N12235">
            <v>4</v>
          </cell>
          <cell r="O12235">
            <v>3.8940000000000001</v>
          </cell>
        </row>
        <row r="12236">
          <cell r="E12236" t="str">
            <v>MUS</v>
          </cell>
          <cell r="F12236" t="str">
            <v xml:space="preserve">MUS-V </v>
          </cell>
          <cell r="G12236">
            <v>700</v>
          </cell>
          <cell r="H12236" t="str">
            <v>MUS-V 700</v>
          </cell>
          <cell r="K12236" t="str">
            <v>Stone,Ashley Louise</v>
          </cell>
          <cell r="N12236">
            <v>3.9569999999999999</v>
          </cell>
          <cell r="O12236">
            <v>3.7749999999999999</v>
          </cell>
        </row>
        <row r="12237">
          <cell r="E12237" t="str">
            <v>MUS</v>
          </cell>
          <cell r="F12237" t="str">
            <v xml:space="preserve">MUS-V </v>
          </cell>
          <cell r="G12237">
            <v>800</v>
          </cell>
          <cell r="H12237" t="str">
            <v>MUS-V 800</v>
          </cell>
          <cell r="K12237" t="str">
            <v>Brendel,Wolfgang R</v>
          </cell>
          <cell r="N12237" t="str">
            <v>NR</v>
          </cell>
          <cell r="O12237" t="str">
            <v>NR</v>
          </cell>
        </row>
        <row r="12238">
          <cell r="E12238" t="str">
            <v>MUS</v>
          </cell>
          <cell r="F12238" t="str">
            <v xml:space="preserve">MUS-V </v>
          </cell>
          <cell r="G12238">
            <v>800</v>
          </cell>
          <cell r="H12238" t="str">
            <v>MUS-V 800</v>
          </cell>
          <cell r="K12238" t="str">
            <v>Brendel,Wolfgang R</v>
          </cell>
          <cell r="N12238" t="str">
            <v>NR</v>
          </cell>
          <cell r="O12238" t="str">
            <v>NR</v>
          </cell>
        </row>
        <row r="12239">
          <cell r="E12239" t="str">
            <v>MUS</v>
          </cell>
          <cell r="F12239" t="str">
            <v xml:space="preserve">MUS-V </v>
          </cell>
          <cell r="G12239">
            <v>800</v>
          </cell>
          <cell r="H12239" t="str">
            <v>MUS-V 800</v>
          </cell>
          <cell r="K12239" t="str">
            <v>Cuccaro-Penhorwood,Costanza</v>
          </cell>
          <cell r="N12239" t="str">
            <v>NR</v>
          </cell>
          <cell r="O12239" t="str">
            <v>NR</v>
          </cell>
        </row>
        <row r="12240">
          <cell r="E12240" t="str">
            <v>MUS</v>
          </cell>
          <cell r="F12240" t="str">
            <v xml:space="preserve">MUS-V </v>
          </cell>
          <cell r="G12240">
            <v>800</v>
          </cell>
          <cell r="H12240" t="str">
            <v>MUS-V 800</v>
          </cell>
          <cell r="K12240" t="str">
            <v>Hart,Mary Ann</v>
          </cell>
          <cell r="N12240" t="str">
            <v>NR</v>
          </cell>
          <cell r="O12240" t="str">
            <v>NR</v>
          </cell>
        </row>
        <row r="12241">
          <cell r="E12241" t="str">
            <v>MUS</v>
          </cell>
          <cell r="F12241" t="str">
            <v xml:space="preserve">MUS-V </v>
          </cell>
          <cell r="G12241">
            <v>800</v>
          </cell>
          <cell r="H12241" t="str">
            <v>MUS-V 800</v>
          </cell>
          <cell r="K12241" t="str">
            <v>Havranek,Patricia Brooks</v>
          </cell>
          <cell r="N12241" t="str">
            <v>NR</v>
          </cell>
          <cell r="O12241" t="str">
            <v>NR</v>
          </cell>
        </row>
        <row r="12242">
          <cell r="E12242" t="str">
            <v>MUS</v>
          </cell>
          <cell r="F12242" t="str">
            <v xml:space="preserve">MUS-V </v>
          </cell>
          <cell r="G12242">
            <v>800</v>
          </cell>
          <cell r="H12242" t="str">
            <v>MUS-V 800</v>
          </cell>
          <cell r="K12242" t="str">
            <v>Horne,Brian L.</v>
          </cell>
          <cell r="N12242" t="str">
            <v>NR</v>
          </cell>
          <cell r="O12242" t="str">
            <v>NR</v>
          </cell>
        </row>
        <row r="12243">
          <cell r="E12243" t="str">
            <v>MUS</v>
          </cell>
          <cell r="F12243" t="str">
            <v xml:space="preserve">MUS-V </v>
          </cell>
          <cell r="G12243">
            <v>800</v>
          </cell>
          <cell r="H12243" t="str">
            <v>MUS-V 800</v>
          </cell>
          <cell r="K12243" t="str">
            <v>Horne,Brian L.</v>
          </cell>
          <cell r="N12243" t="str">
            <v>NR</v>
          </cell>
          <cell r="O12243" t="str">
            <v>NR</v>
          </cell>
        </row>
        <row r="12244">
          <cell r="E12244" t="str">
            <v>MUS</v>
          </cell>
          <cell r="F12244" t="str">
            <v xml:space="preserve">MUS-V </v>
          </cell>
          <cell r="G12244">
            <v>800</v>
          </cell>
          <cell r="H12244" t="str">
            <v>MUS-V 800</v>
          </cell>
          <cell r="K12244" t="str">
            <v>Montane,Carlos</v>
          </cell>
          <cell r="N12244" t="str">
            <v>NR</v>
          </cell>
          <cell r="O12244" t="str">
            <v>NR</v>
          </cell>
        </row>
        <row r="12245">
          <cell r="E12245" t="str">
            <v>MUS</v>
          </cell>
          <cell r="F12245" t="str">
            <v xml:space="preserve">MUS-V </v>
          </cell>
          <cell r="G12245">
            <v>800</v>
          </cell>
          <cell r="H12245" t="str">
            <v>MUS-V 800</v>
          </cell>
          <cell r="K12245" t="str">
            <v>Montane,Carlos</v>
          </cell>
          <cell r="N12245" t="str">
            <v>NR</v>
          </cell>
          <cell r="O12245" t="str">
            <v>NR</v>
          </cell>
        </row>
        <row r="12246">
          <cell r="E12246" t="str">
            <v>MUS</v>
          </cell>
          <cell r="F12246" t="str">
            <v xml:space="preserve">MUS-V </v>
          </cell>
          <cell r="G12246">
            <v>800</v>
          </cell>
          <cell r="H12246" t="str">
            <v>MUS-V 800</v>
          </cell>
          <cell r="K12246" t="str">
            <v>Poulimenos,Andreas</v>
          </cell>
          <cell r="N12246" t="str">
            <v>NR</v>
          </cell>
          <cell r="O12246" t="str">
            <v>NR</v>
          </cell>
        </row>
        <row r="12247">
          <cell r="E12247" t="str">
            <v>MUS</v>
          </cell>
          <cell r="F12247" t="str">
            <v xml:space="preserve">MUS-V </v>
          </cell>
          <cell r="G12247">
            <v>800</v>
          </cell>
          <cell r="H12247" t="str">
            <v>MUS-V 800</v>
          </cell>
          <cell r="K12247" t="str">
            <v>Schrock,Scharmal Kay</v>
          </cell>
          <cell r="N12247" t="str">
            <v>NR</v>
          </cell>
          <cell r="O12247" t="str">
            <v>NR</v>
          </cell>
        </row>
        <row r="12248">
          <cell r="E12248" t="str">
            <v>MUS</v>
          </cell>
          <cell r="F12248" t="str">
            <v xml:space="preserve">MUS-V </v>
          </cell>
          <cell r="G12248">
            <v>800</v>
          </cell>
          <cell r="H12248" t="str">
            <v>MUS-V 800</v>
          </cell>
          <cell r="K12248" t="str">
            <v>Stiles,Patricia Jeane</v>
          </cell>
          <cell r="N12248" t="str">
            <v>NR</v>
          </cell>
          <cell r="O12248" t="str">
            <v>NR</v>
          </cell>
        </row>
        <row r="12249">
          <cell r="E12249" t="str">
            <v>MUS</v>
          </cell>
          <cell r="F12249" t="str">
            <v xml:space="preserve">MUS-V </v>
          </cell>
          <cell r="G12249">
            <v>800</v>
          </cell>
          <cell r="H12249" t="str">
            <v>MUS-V 800</v>
          </cell>
          <cell r="K12249" t="str">
            <v>Stiles,Patricia Jeane</v>
          </cell>
          <cell r="N12249" t="str">
            <v>NR</v>
          </cell>
          <cell r="O12249" t="str">
            <v>NR</v>
          </cell>
        </row>
        <row r="12250">
          <cell r="E12250" t="str">
            <v>MUS</v>
          </cell>
          <cell r="F12250" t="str">
            <v xml:space="preserve">MUS-V </v>
          </cell>
          <cell r="G12250">
            <v>800</v>
          </cell>
          <cell r="H12250" t="str">
            <v>MUS-V 800</v>
          </cell>
          <cell r="K12250" t="str">
            <v>Wise,Patricia</v>
          </cell>
          <cell r="N12250" t="str">
            <v>NR</v>
          </cell>
          <cell r="O12250" t="str">
            <v>NR</v>
          </cell>
        </row>
        <row r="12251">
          <cell r="E12251" t="str">
            <v>MUS</v>
          </cell>
          <cell r="F12251" t="str">
            <v xml:space="preserve">MUS-V </v>
          </cell>
          <cell r="G12251">
            <v>900</v>
          </cell>
          <cell r="H12251" t="str">
            <v>MUS-V 900</v>
          </cell>
          <cell r="K12251" t="str">
            <v>Brendel,Wolfgang R</v>
          </cell>
          <cell r="N12251" t="str">
            <v>NR</v>
          </cell>
          <cell r="O12251" t="str">
            <v>NR</v>
          </cell>
        </row>
        <row r="12252">
          <cell r="E12252" t="str">
            <v>MUS</v>
          </cell>
          <cell r="F12252" t="str">
            <v xml:space="preserve">MUS-V </v>
          </cell>
          <cell r="G12252">
            <v>900</v>
          </cell>
          <cell r="H12252" t="str">
            <v>MUS-V 900</v>
          </cell>
          <cell r="K12252" t="str">
            <v>Brendel,Wolfgang R</v>
          </cell>
          <cell r="N12252" t="str">
            <v>NR</v>
          </cell>
          <cell r="O12252" t="str">
            <v>NR</v>
          </cell>
        </row>
        <row r="12253">
          <cell r="E12253" t="str">
            <v>MUS</v>
          </cell>
          <cell r="F12253" t="str">
            <v xml:space="preserve">MUS-V </v>
          </cell>
          <cell r="G12253">
            <v>900</v>
          </cell>
          <cell r="H12253" t="str">
            <v>MUS-V 900</v>
          </cell>
          <cell r="K12253" t="str">
            <v>Cuccaro-Penhorwood,Costanza</v>
          </cell>
          <cell r="N12253">
            <v>4</v>
          </cell>
          <cell r="O12253">
            <v>3.669</v>
          </cell>
        </row>
        <row r="12254">
          <cell r="E12254" t="str">
            <v>MUS</v>
          </cell>
          <cell r="F12254" t="str">
            <v xml:space="preserve">MUS-V </v>
          </cell>
          <cell r="G12254">
            <v>900</v>
          </cell>
          <cell r="H12254" t="str">
            <v>MUS-V 900</v>
          </cell>
          <cell r="K12254" t="str">
            <v>Cuccaro-Penhorwood,Costanza</v>
          </cell>
          <cell r="N12254">
            <v>4</v>
          </cell>
          <cell r="O12254">
            <v>3.8109999999999999</v>
          </cell>
        </row>
        <row r="12255">
          <cell r="E12255" t="str">
            <v>MUS</v>
          </cell>
          <cell r="F12255" t="str">
            <v xml:space="preserve">MUS-V </v>
          </cell>
          <cell r="G12255">
            <v>900</v>
          </cell>
          <cell r="H12255" t="str">
            <v>MUS-V 900</v>
          </cell>
          <cell r="K12255" t="str">
            <v>Harrison,Robert J</v>
          </cell>
          <cell r="N12255">
            <v>4</v>
          </cell>
          <cell r="O12255">
            <v>3.7589999999999999</v>
          </cell>
        </row>
        <row r="12256">
          <cell r="E12256" t="str">
            <v>MUS</v>
          </cell>
          <cell r="F12256" t="str">
            <v xml:space="preserve">MUS-V </v>
          </cell>
          <cell r="G12256">
            <v>900</v>
          </cell>
          <cell r="H12256" t="str">
            <v>MUS-V 900</v>
          </cell>
          <cell r="K12256" t="str">
            <v>Harrison,Robert J</v>
          </cell>
          <cell r="N12256">
            <v>4</v>
          </cell>
          <cell r="O12256">
            <v>3.78</v>
          </cell>
        </row>
        <row r="12257">
          <cell r="E12257" t="str">
            <v>MUS</v>
          </cell>
          <cell r="F12257" t="str">
            <v xml:space="preserve">MUS-V </v>
          </cell>
          <cell r="G12257">
            <v>900</v>
          </cell>
          <cell r="H12257" t="str">
            <v>MUS-V 900</v>
          </cell>
          <cell r="K12257" t="str">
            <v>Hart,Mary Ann</v>
          </cell>
          <cell r="N12257" t="str">
            <v>NR</v>
          </cell>
          <cell r="O12257" t="str">
            <v>NR</v>
          </cell>
        </row>
        <row r="12258">
          <cell r="E12258" t="str">
            <v>MUS</v>
          </cell>
          <cell r="F12258" t="str">
            <v xml:space="preserve">MUS-V </v>
          </cell>
          <cell r="G12258">
            <v>900</v>
          </cell>
          <cell r="H12258" t="str">
            <v>MUS-V 900</v>
          </cell>
          <cell r="K12258" t="str">
            <v>Hart,Mary Ann</v>
          </cell>
          <cell r="N12258" t="str">
            <v>NR</v>
          </cell>
          <cell r="O12258" t="str">
            <v>NR</v>
          </cell>
        </row>
        <row r="12259">
          <cell r="E12259" t="str">
            <v>MUS</v>
          </cell>
          <cell r="F12259" t="str">
            <v xml:space="preserve">MUS-V </v>
          </cell>
          <cell r="G12259">
            <v>900</v>
          </cell>
          <cell r="H12259" t="str">
            <v>MUS-V 900</v>
          </cell>
          <cell r="K12259" t="str">
            <v>Havranek,Patricia Brooks</v>
          </cell>
          <cell r="N12259">
            <v>4</v>
          </cell>
          <cell r="O12259">
            <v>3.8</v>
          </cell>
        </row>
        <row r="12260">
          <cell r="E12260" t="str">
            <v>MUS</v>
          </cell>
          <cell r="F12260" t="str">
            <v xml:space="preserve">MUS-V </v>
          </cell>
          <cell r="G12260">
            <v>900</v>
          </cell>
          <cell r="H12260" t="str">
            <v>MUS-V 900</v>
          </cell>
          <cell r="K12260" t="str">
            <v>Havranek,Patricia Brooks</v>
          </cell>
          <cell r="N12260">
            <v>4</v>
          </cell>
          <cell r="O12260">
            <v>3.8730000000000002</v>
          </cell>
        </row>
        <row r="12261">
          <cell r="E12261" t="str">
            <v>MUS</v>
          </cell>
          <cell r="F12261" t="str">
            <v xml:space="preserve">MUS-V </v>
          </cell>
          <cell r="G12261">
            <v>900</v>
          </cell>
          <cell r="H12261" t="str">
            <v>MUS-V 900</v>
          </cell>
          <cell r="K12261" t="str">
            <v>Hopper,Alice Ruth</v>
          </cell>
          <cell r="N12261" t="str">
            <v>NR</v>
          </cell>
          <cell r="O12261" t="str">
            <v>NR</v>
          </cell>
        </row>
        <row r="12262">
          <cell r="E12262" t="str">
            <v>MUS</v>
          </cell>
          <cell r="F12262" t="str">
            <v xml:space="preserve">MUS-V </v>
          </cell>
          <cell r="G12262">
            <v>900</v>
          </cell>
          <cell r="H12262" t="str">
            <v>MUS-V 900</v>
          </cell>
          <cell r="K12262" t="str">
            <v>Hopper,Alice Ruth</v>
          </cell>
          <cell r="N12262" t="str">
            <v>NR</v>
          </cell>
          <cell r="O12262" t="str">
            <v>NR</v>
          </cell>
        </row>
        <row r="12263">
          <cell r="E12263" t="str">
            <v>MUS</v>
          </cell>
          <cell r="F12263" t="str">
            <v xml:space="preserve">MUS-V </v>
          </cell>
          <cell r="G12263">
            <v>900</v>
          </cell>
          <cell r="H12263" t="str">
            <v>MUS-V 900</v>
          </cell>
          <cell r="K12263" t="str">
            <v>Horne,Brian L.</v>
          </cell>
          <cell r="N12263">
            <v>4</v>
          </cell>
          <cell r="O12263">
            <v>3.5590000000000002</v>
          </cell>
        </row>
        <row r="12264">
          <cell r="E12264" t="str">
            <v>MUS</v>
          </cell>
          <cell r="F12264" t="str">
            <v xml:space="preserve">MUS-V </v>
          </cell>
          <cell r="G12264">
            <v>900</v>
          </cell>
          <cell r="H12264" t="str">
            <v>MUS-V 900</v>
          </cell>
          <cell r="K12264" t="str">
            <v>Horne,Brian L.</v>
          </cell>
          <cell r="N12264" t="str">
            <v>NR</v>
          </cell>
          <cell r="O12264" t="str">
            <v>NR</v>
          </cell>
        </row>
        <row r="12265">
          <cell r="E12265" t="str">
            <v>MUS</v>
          </cell>
          <cell r="F12265" t="str">
            <v xml:space="preserve">MUS-V </v>
          </cell>
          <cell r="G12265">
            <v>900</v>
          </cell>
          <cell r="H12265" t="str">
            <v>MUS-V 900</v>
          </cell>
          <cell r="K12265" t="str">
            <v>Kubiak,Teresa</v>
          </cell>
          <cell r="N12265" t="str">
            <v>NR</v>
          </cell>
          <cell r="O12265" t="str">
            <v>NR</v>
          </cell>
        </row>
        <row r="12266">
          <cell r="E12266" t="str">
            <v>MUS</v>
          </cell>
          <cell r="F12266" t="str">
            <v xml:space="preserve">MUS-V </v>
          </cell>
          <cell r="G12266">
            <v>900</v>
          </cell>
          <cell r="H12266" t="str">
            <v>MUS-V 900</v>
          </cell>
          <cell r="K12266" t="str">
            <v>McNair,Sylvia</v>
          </cell>
          <cell r="N12266" t="str">
            <v>NR</v>
          </cell>
          <cell r="O12266" t="str">
            <v>NR</v>
          </cell>
        </row>
        <row r="12267">
          <cell r="E12267" t="str">
            <v>MUS</v>
          </cell>
          <cell r="F12267" t="str">
            <v xml:space="preserve">MUS-V </v>
          </cell>
          <cell r="G12267">
            <v>900</v>
          </cell>
          <cell r="H12267" t="str">
            <v>MUS-V 900</v>
          </cell>
          <cell r="K12267" t="str">
            <v>Montane,Carlos</v>
          </cell>
          <cell r="N12267">
            <v>4</v>
          </cell>
          <cell r="O12267">
            <v>3.407</v>
          </cell>
        </row>
        <row r="12268">
          <cell r="E12268" t="str">
            <v>MUS</v>
          </cell>
          <cell r="F12268" t="str">
            <v xml:space="preserve">MUS-V </v>
          </cell>
          <cell r="G12268">
            <v>900</v>
          </cell>
          <cell r="H12268" t="str">
            <v>MUS-V 900</v>
          </cell>
          <cell r="K12268" t="str">
            <v>Montane,Carlos</v>
          </cell>
          <cell r="N12268" t="str">
            <v>NR</v>
          </cell>
          <cell r="O12268" t="str">
            <v>NR</v>
          </cell>
        </row>
        <row r="12269">
          <cell r="E12269" t="str">
            <v>MUS</v>
          </cell>
          <cell r="F12269" t="str">
            <v xml:space="preserve">MUS-V </v>
          </cell>
          <cell r="G12269">
            <v>900</v>
          </cell>
          <cell r="H12269" t="str">
            <v>MUS-V 900</v>
          </cell>
          <cell r="K12269" t="str">
            <v>Noble,Timothy R.</v>
          </cell>
          <cell r="N12269">
            <v>3.83</v>
          </cell>
          <cell r="O12269">
            <v>3.8090000000000002</v>
          </cell>
        </row>
        <row r="12270">
          <cell r="E12270" t="str">
            <v>MUS</v>
          </cell>
          <cell r="F12270" t="str">
            <v xml:space="preserve">MUS-V </v>
          </cell>
          <cell r="G12270">
            <v>900</v>
          </cell>
          <cell r="H12270" t="str">
            <v>MUS-V 900</v>
          </cell>
          <cell r="K12270" t="str">
            <v>Noble,Timothy R.</v>
          </cell>
          <cell r="N12270">
            <v>4</v>
          </cell>
          <cell r="O12270">
            <v>3.7530000000000001</v>
          </cell>
        </row>
        <row r="12271">
          <cell r="E12271" t="str">
            <v>MUS</v>
          </cell>
          <cell r="F12271" t="str">
            <v xml:space="preserve">MUS-V </v>
          </cell>
          <cell r="G12271">
            <v>900</v>
          </cell>
          <cell r="H12271" t="str">
            <v>MUS-V 900</v>
          </cell>
          <cell r="K12271" t="str">
            <v>Poulimenos,Andreas</v>
          </cell>
          <cell r="N12271">
            <v>4</v>
          </cell>
          <cell r="O12271">
            <v>3.8210000000000002</v>
          </cell>
        </row>
        <row r="12272">
          <cell r="E12272" t="str">
            <v>MUS</v>
          </cell>
          <cell r="F12272" t="str">
            <v xml:space="preserve">MUS-V </v>
          </cell>
          <cell r="G12272">
            <v>900</v>
          </cell>
          <cell r="H12272" t="str">
            <v>MUS-V 900</v>
          </cell>
          <cell r="K12272" t="str">
            <v>Poulimenos,Andreas</v>
          </cell>
          <cell r="N12272">
            <v>4</v>
          </cell>
          <cell r="O12272">
            <v>3.8439999999999999</v>
          </cell>
        </row>
        <row r="12273">
          <cell r="E12273" t="str">
            <v>MUS</v>
          </cell>
          <cell r="F12273" t="str">
            <v xml:space="preserve">MUS-V </v>
          </cell>
          <cell r="G12273">
            <v>900</v>
          </cell>
          <cell r="H12273" t="str">
            <v>MUS-V 900</v>
          </cell>
          <cell r="K12273" t="str">
            <v>Richards,Gwyn</v>
          </cell>
          <cell r="N12273" t="str">
            <v>NR</v>
          </cell>
          <cell r="O12273" t="str">
            <v>NR</v>
          </cell>
        </row>
        <row r="12274">
          <cell r="E12274" t="str">
            <v>MUS</v>
          </cell>
          <cell r="F12274" t="str">
            <v xml:space="preserve">MUS-V </v>
          </cell>
          <cell r="G12274">
            <v>900</v>
          </cell>
          <cell r="H12274" t="str">
            <v>MUS-V 900</v>
          </cell>
          <cell r="K12274" t="str">
            <v>Schrock,Scharmal Kay</v>
          </cell>
          <cell r="N12274" t="str">
            <v>NR</v>
          </cell>
          <cell r="O12274" t="str">
            <v>NR</v>
          </cell>
        </row>
        <row r="12275">
          <cell r="E12275" t="str">
            <v>MUS</v>
          </cell>
          <cell r="F12275" t="str">
            <v xml:space="preserve">MUS-V </v>
          </cell>
          <cell r="G12275">
            <v>900</v>
          </cell>
          <cell r="H12275" t="str">
            <v>MUS-V 900</v>
          </cell>
          <cell r="K12275" t="str">
            <v>Schrock,Scharmal Kay</v>
          </cell>
          <cell r="N12275" t="str">
            <v>NR</v>
          </cell>
          <cell r="O12275" t="str">
            <v>NR</v>
          </cell>
        </row>
        <row r="12276">
          <cell r="E12276" t="str">
            <v>MUS</v>
          </cell>
          <cell r="F12276" t="str">
            <v xml:space="preserve">MUS-V </v>
          </cell>
          <cell r="G12276">
            <v>900</v>
          </cell>
          <cell r="H12276" t="str">
            <v>MUS-V 900</v>
          </cell>
          <cell r="K12276" t="str">
            <v>Simpson,Marietta</v>
          </cell>
          <cell r="N12276" t="str">
            <v>NR</v>
          </cell>
          <cell r="O12276" t="str">
            <v>NR</v>
          </cell>
        </row>
        <row r="12277">
          <cell r="E12277" t="str">
            <v>MUS</v>
          </cell>
          <cell r="F12277" t="str">
            <v xml:space="preserve">MUS-V </v>
          </cell>
          <cell r="G12277">
            <v>900</v>
          </cell>
          <cell r="H12277" t="str">
            <v>MUS-V 900</v>
          </cell>
          <cell r="K12277" t="str">
            <v>Stiles,Patricia Jeane</v>
          </cell>
          <cell r="N12277">
            <v>4</v>
          </cell>
          <cell r="O12277">
            <v>3.82</v>
          </cell>
        </row>
        <row r="12278">
          <cell r="E12278" t="str">
            <v>MUS</v>
          </cell>
          <cell r="F12278" t="str">
            <v xml:space="preserve">MUS-V </v>
          </cell>
          <cell r="G12278">
            <v>900</v>
          </cell>
          <cell r="H12278" t="str">
            <v>MUS-V 900</v>
          </cell>
          <cell r="K12278" t="str">
            <v>Stiles,Patricia Jeane</v>
          </cell>
          <cell r="N12278" t="str">
            <v>NR</v>
          </cell>
          <cell r="O12278" t="str">
            <v>NR</v>
          </cell>
        </row>
        <row r="12279">
          <cell r="E12279" t="str">
            <v>MUS</v>
          </cell>
          <cell r="F12279" t="str">
            <v xml:space="preserve">MUS-V </v>
          </cell>
          <cell r="G12279">
            <v>900</v>
          </cell>
          <cell r="H12279" t="str">
            <v>MUS-V 900</v>
          </cell>
          <cell r="K12279" t="str">
            <v>Vaness,Carol Theresa</v>
          </cell>
          <cell r="N12279">
            <v>4</v>
          </cell>
          <cell r="O12279">
            <v>3.6840000000000002</v>
          </cell>
        </row>
        <row r="12280">
          <cell r="E12280" t="str">
            <v>MUS</v>
          </cell>
          <cell r="F12280" t="str">
            <v xml:space="preserve">MUS-V </v>
          </cell>
          <cell r="G12280">
            <v>900</v>
          </cell>
          <cell r="H12280" t="str">
            <v>MUS-V 900</v>
          </cell>
          <cell r="K12280" t="str">
            <v>Vaness,Carol Theresa</v>
          </cell>
          <cell r="N12280">
            <v>3.9140000000000001</v>
          </cell>
          <cell r="O12280">
            <v>3.7589999999999999</v>
          </cell>
        </row>
        <row r="12281">
          <cell r="E12281" t="str">
            <v>MUS</v>
          </cell>
          <cell r="F12281" t="str">
            <v xml:space="preserve">MUS-V </v>
          </cell>
          <cell r="G12281">
            <v>900</v>
          </cell>
          <cell r="H12281" t="str">
            <v>MUS-V 900</v>
          </cell>
          <cell r="K12281" t="str">
            <v>Wise,Patricia</v>
          </cell>
          <cell r="N12281" t="str">
            <v>NR</v>
          </cell>
          <cell r="O12281" t="str">
            <v>NR</v>
          </cell>
        </row>
        <row r="12282">
          <cell r="E12282" t="str">
            <v>MUS</v>
          </cell>
          <cell r="F12282" t="str">
            <v xml:space="preserve">MUS-V </v>
          </cell>
          <cell r="G12282">
            <v>900</v>
          </cell>
          <cell r="H12282" t="str">
            <v>MUS-V 900</v>
          </cell>
          <cell r="K12282" t="str">
            <v>Wise,Patricia</v>
          </cell>
          <cell r="N12282">
            <v>4</v>
          </cell>
          <cell r="O12282">
            <v>3.7759999999999998</v>
          </cell>
        </row>
        <row r="12283">
          <cell r="E12283" t="str">
            <v>MUS</v>
          </cell>
          <cell r="F12283" t="str">
            <v xml:space="preserve">MUS-V </v>
          </cell>
          <cell r="G12283">
            <v>910</v>
          </cell>
          <cell r="H12283" t="str">
            <v>MUS-V 910</v>
          </cell>
          <cell r="K12283" t="str">
            <v>Arvin,Gary</v>
          </cell>
          <cell r="N12283" t="str">
            <v>NR</v>
          </cell>
          <cell r="O12283" t="str">
            <v>NR</v>
          </cell>
        </row>
        <row r="12284">
          <cell r="E12284" t="str">
            <v>MUS</v>
          </cell>
          <cell r="F12284" t="str">
            <v xml:space="preserve">MUS-V </v>
          </cell>
          <cell r="G12284">
            <v>910</v>
          </cell>
          <cell r="H12284" t="str">
            <v>MUS-V 910</v>
          </cell>
          <cell r="K12284" t="str">
            <v>Arvin,Gary</v>
          </cell>
          <cell r="N12284">
            <v>4</v>
          </cell>
          <cell r="O12284">
            <v>3.919</v>
          </cell>
        </row>
        <row r="12285">
          <cell r="E12285" t="str">
            <v>MUS</v>
          </cell>
          <cell r="F12285" t="str">
            <v xml:space="preserve">MUS-W </v>
          </cell>
          <cell r="G12285">
            <v>110</v>
          </cell>
          <cell r="H12285" t="str">
            <v>MUS-W 110</v>
          </cell>
          <cell r="K12285" t="str">
            <v>Koh,Jeongjoo</v>
          </cell>
          <cell r="N12285">
            <v>4</v>
          </cell>
          <cell r="O12285">
            <v>3.5960000000000001</v>
          </cell>
        </row>
        <row r="12286">
          <cell r="E12286" t="str">
            <v>MUS</v>
          </cell>
          <cell r="F12286" t="str">
            <v xml:space="preserve">MUS-W </v>
          </cell>
          <cell r="G12286">
            <v>110</v>
          </cell>
          <cell r="H12286" t="str">
            <v>MUS-W 110</v>
          </cell>
          <cell r="K12286" t="str">
            <v>Koh,Jeongjoo</v>
          </cell>
          <cell r="N12286">
            <v>3.9630000000000001</v>
          </cell>
          <cell r="O12286">
            <v>3.6040000000000001</v>
          </cell>
        </row>
        <row r="12287">
          <cell r="E12287" t="str">
            <v>MUS</v>
          </cell>
          <cell r="F12287" t="str">
            <v xml:space="preserve">MUS-W </v>
          </cell>
          <cell r="G12287">
            <v>120</v>
          </cell>
          <cell r="H12287" t="str">
            <v>MUS-W 120</v>
          </cell>
          <cell r="K12287" t="str">
            <v>Koh,Jeongjoo</v>
          </cell>
          <cell r="N12287" t="str">
            <v>NR</v>
          </cell>
          <cell r="O12287" t="str">
            <v>NR</v>
          </cell>
        </row>
        <row r="12288">
          <cell r="E12288" t="str">
            <v>MUS</v>
          </cell>
          <cell r="F12288" t="str">
            <v xml:space="preserve">MUS-W </v>
          </cell>
          <cell r="G12288">
            <v>120</v>
          </cell>
          <cell r="H12288" t="str">
            <v>MUS-W 120</v>
          </cell>
          <cell r="K12288" t="str">
            <v>Koh,Jeongjoo</v>
          </cell>
          <cell r="N12288" t="str">
            <v>NR</v>
          </cell>
          <cell r="O12288" t="str">
            <v>NR</v>
          </cell>
        </row>
        <row r="12289">
          <cell r="E12289" t="str">
            <v>MUS</v>
          </cell>
          <cell r="F12289" t="str">
            <v xml:space="preserve">MUS-W </v>
          </cell>
          <cell r="G12289">
            <v>130</v>
          </cell>
          <cell r="H12289" t="str">
            <v>MUS-W 130</v>
          </cell>
          <cell r="K12289" t="str">
            <v>Koh,Jeongjoo</v>
          </cell>
          <cell r="N12289" t="str">
            <v>NR</v>
          </cell>
          <cell r="O12289" t="str">
            <v>NR</v>
          </cell>
        </row>
        <row r="12290">
          <cell r="E12290" t="str">
            <v>MUS</v>
          </cell>
          <cell r="F12290" t="str">
            <v xml:space="preserve">MUS-W </v>
          </cell>
          <cell r="G12290">
            <v>130</v>
          </cell>
          <cell r="H12290" t="str">
            <v>MUS-W 130</v>
          </cell>
          <cell r="K12290" t="str">
            <v>Koh,Jeongjoo</v>
          </cell>
          <cell r="N12290" t="str">
            <v>NR</v>
          </cell>
          <cell r="O12290" t="str">
            <v>NR</v>
          </cell>
        </row>
        <row r="12291">
          <cell r="E12291" t="str">
            <v>MUS</v>
          </cell>
          <cell r="F12291" t="str">
            <v xml:space="preserve">MUS-W </v>
          </cell>
          <cell r="G12291">
            <v>150</v>
          </cell>
          <cell r="H12291" t="str">
            <v>MUS-W 150</v>
          </cell>
          <cell r="K12291" t="str">
            <v>Koh,Jeongjoo</v>
          </cell>
          <cell r="N12291" t="str">
            <v>NR</v>
          </cell>
          <cell r="O12291" t="str">
            <v>NR</v>
          </cell>
        </row>
        <row r="12292">
          <cell r="E12292" t="str">
            <v>MUS</v>
          </cell>
          <cell r="F12292" t="str">
            <v xml:space="preserve">MUS-W </v>
          </cell>
          <cell r="G12292">
            <v>410</v>
          </cell>
          <cell r="H12292" t="str">
            <v>MUS-W 410</v>
          </cell>
          <cell r="K12292" t="str">
            <v>Lukas,Kathryn</v>
          </cell>
          <cell r="N12292">
            <v>4</v>
          </cell>
          <cell r="O12292">
            <v>3.6970000000000001</v>
          </cell>
        </row>
        <row r="12293">
          <cell r="E12293" t="str">
            <v>MUS</v>
          </cell>
          <cell r="F12293" t="str">
            <v xml:space="preserve">MUS-W </v>
          </cell>
          <cell r="G12293">
            <v>410</v>
          </cell>
          <cell r="H12293" t="str">
            <v>MUS-W 410</v>
          </cell>
          <cell r="K12293" t="str">
            <v>Lukas,Kathryn</v>
          </cell>
          <cell r="N12293">
            <v>3.383</v>
          </cell>
          <cell r="O12293">
            <v>3.7069999999999999</v>
          </cell>
        </row>
        <row r="12294">
          <cell r="E12294" t="str">
            <v>MUS</v>
          </cell>
          <cell r="F12294" t="str">
            <v xml:space="preserve">MUS-W </v>
          </cell>
          <cell r="G12294">
            <v>410</v>
          </cell>
          <cell r="H12294" t="str">
            <v>MUS-W 410</v>
          </cell>
          <cell r="K12294" t="str">
            <v>Richards,Gwyn</v>
          </cell>
          <cell r="N12294" t="str">
            <v>NR</v>
          </cell>
          <cell r="O12294" t="str">
            <v>NR</v>
          </cell>
        </row>
        <row r="12295">
          <cell r="E12295" t="str">
            <v>MUS</v>
          </cell>
          <cell r="F12295" t="str">
            <v xml:space="preserve">MUS-W </v>
          </cell>
          <cell r="G12295">
            <v>410</v>
          </cell>
          <cell r="H12295" t="str">
            <v>MUS-W 410</v>
          </cell>
          <cell r="K12295" t="str">
            <v>Robertello,Thomas Joseph</v>
          </cell>
          <cell r="N12295">
            <v>4</v>
          </cell>
          <cell r="O12295">
            <v>3.698</v>
          </cell>
        </row>
        <row r="12296">
          <cell r="E12296" t="str">
            <v>MUS</v>
          </cell>
          <cell r="F12296" t="str">
            <v xml:space="preserve">MUS-W </v>
          </cell>
          <cell r="G12296">
            <v>410</v>
          </cell>
          <cell r="H12296" t="str">
            <v>MUS-W 410</v>
          </cell>
          <cell r="K12296" t="str">
            <v>Robertello,Thomas Joseph</v>
          </cell>
          <cell r="N12296">
            <v>3.8889999999999998</v>
          </cell>
          <cell r="O12296">
            <v>3.7370000000000001</v>
          </cell>
        </row>
        <row r="12297">
          <cell r="E12297" t="str">
            <v>MUS</v>
          </cell>
          <cell r="F12297" t="str">
            <v xml:space="preserve">MUS-W </v>
          </cell>
          <cell r="G12297">
            <v>420</v>
          </cell>
          <cell r="H12297" t="str">
            <v>MUS-W 420</v>
          </cell>
          <cell r="K12297" t="str">
            <v>Richards,Gwyn</v>
          </cell>
          <cell r="N12297" t="str">
            <v>NR</v>
          </cell>
          <cell r="O12297" t="str">
            <v>NR</v>
          </cell>
        </row>
        <row r="12298">
          <cell r="E12298" t="str">
            <v>MUS</v>
          </cell>
          <cell r="F12298" t="str">
            <v xml:space="preserve">MUS-W </v>
          </cell>
          <cell r="G12298">
            <v>420</v>
          </cell>
          <cell r="H12298" t="str">
            <v>MUS-W 420</v>
          </cell>
          <cell r="K12298" t="str">
            <v>Roe,Roger A.</v>
          </cell>
          <cell r="N12298">
            <v>3.7709999999999999</v>
          </cell>
          <cell r="O12298">
            <v>3.6070000000000002</v>
          </cell>
        </row>
        <row r="12299">
          <cell r="E12299" t="str">
            <v>MUS</v>
          </cell>
          <cell r="F12299" t="str">
            <v xml:space="preserve">MUS-W </v>
          </cell>
          <cell r="G12299">
            <v>420</v>
          </cell>
          <cell r="H12299" t="str">
            <v>MUS-W 420</v>
          </cell>
          <cell r="K12299" t="str">
            <v>Roe,Roger A.</v>
          </cell>
          <cell r="N12299" t="str">
            <v>NR</v>
          </cell>
          <cell r="O12299" t="str">
            <v>NR</v>
          </cell>
        </row>
        <row r="12300">
          <cell r="E12300" t="str">
            <v>MUS</v>
          </cell>
          <cell r="F12300" t="str">
            <v xml:space="preserve">MUS-W </v>
          </cell>
          <cell r="G12300">
            <v>420</v>
          </cell>
          <cell r="H12300" t="str">
            <v>MUS-W 420</v>
          </cell>
          <cell r="K12300" t="str">
            <v>Strommen,Linda</v>
          </cell>
          <cell r="N12300">
            <v>3.7629999999999999</v>
          </cell>
          <cell r="O12300">
            <v>3.7170000000000001</v>
          </cell>
        </row>
        <row r="12301">
          <cell r="E12301" t="str">
            <v>MUS</v>
          </cell>
          <cell r="F12301" t="str">
            <v xml:space="preserve">MUS-W </v>
          </cell>
          <cell r="G12301">
            <v>420</v>
          </cell>
          <cell r="H12301" t="str">
            <v>MUS-W 420</v>
          </cell>
          <cell r="K12301" t="str">
            <v>Strommen,Linda</v>
          </cell>
          <cell r="N12301" t="str">
            <v>NR</v>
          </cell>
          <cell r="O12301" t="str">
            <v>NR</v>
          </cell>
        </row>
        <row r="12302">
          <cell r="E12302" t="str">
            <v>MUS</v>
          </cell>
          <cell r="F12302" t="str">
            <v xml:space="preserve">MUS-W </v>
          </cell>
          <cell r="G12302">
            <v>430</v>
          </cell>
          <cell r="H12302" t="str">
            <v>MUS-W 430</v>
          </cell>
          <cell r="K12302" t="str">
            <v>Campbell,James</v>
          </cell>
          <cell r="N12302" t="str">
            <v>NR</v>
          </cell>
          <cell r="O12302" t="str">
            <v>NR</v>
          </cell>
        </row>
        <row r="12303">
          <cell r="E12303" t="str">
            <v>MUS</v>
          </cell>
          <cell r="F12303" t="str">
            <v xml:space="preserve">MUS-W </v>
          </cell>
          <cell r="G12303">
            <v>430</v>
          </cell>
          <cell r="H12303" t="str">
            <v>MUS-W 430</v>
          </cell>
          <cell r="K12303" t="str">
            <v>Campbell,James</v>
          </cell>
          <cell r="N12303">
            <v>3.74</v>
          </cell>
          <cell r="O12303">
            <v>3.61</v>
          </cell>
        </row>
        <row r="12304">
          <cell r="E12304" t="str">
            <v>MUS</v>
          </cell>
          <cell r="F12304" t="str">
            <v xml:space="preserve">MUS-W </v>
          </cell>
          <cell r="G12304">
            <v>430</v>
          </cell>
          <cell r="H12304" t="str">
            <v>MUS-W 430</v>
          </cell>
          <cell r="K12304" t="str">
            <v>Eban,Eli</v>
          </cell>
          <cell r="N12304">
            <v>3.8879999999999999</v>
          </cell>
          <cell r="O12304">
            <v>3.6659999999999999</v>
          </cell>
        </row>
        <row r="12305">
          <cell r="E12305" t="str">
            <v>MUS</v>
          </cell>
          <cell r="F12305" t="str">
            <v xml:space="preserve">MUS-W </v>
          </cell>
          <cell r="G12305">
            <v>430</v>
          </cell>
          <cell r="H12305" t="str">
            <v>MUS-W 430</v>
          </cell>
          <cell r="K12305" t="str">
            <v>Eban,Eli</v>
          </cell>
          <cell r="N12305">
            <v>3.7330000000000001</v>
          </cell>
          <cell r="O12305">
            <v>3.6219999999999999</v>
          </cell>
        </row>
        <row r="12306">
          <cell r="E12306" t="str">
            <v>MUS</v>
          </cell>
          <cell r="F12306" t="str">
            <v xml:space="preserve">MUS-W </v>
          </cell>
          <cell r="G12306">
            <v>430</v>
          </cell>
          <cell r="H12306" t="str">
            <v>MUS-W 430</v>
          </cell>
          <cell r="K12306" t="str">
            <v>Klug,Howard</v>
          </cell>
          <cell r="N12306">
            <v>3.9729999999999999</v>
          </cell>
          <cell r="O12306">
            <v>3.585</v>
          </cell>
        </row>
        <row r="12307">
          <cell r="E12307" t="str">
            <v>MUS</v>
          </cell>
          <cell r="F12307" t="str">
            <v xml:space="preserve">MUS-W </v>
          </cell>
          <cell r="G12307">
            <v>430</v>
          </cell>
          <cell r="H12307" t="str">
            <v>MUS-W 430</v>
          </cell>
          <cell r="K12307" t="str">
            <v>Klug,Howard</v>
          </cell>
          <cell r="N12307">
            <v>3.9129999999999998</v>
          </cell>
          <cell r="O12307">
            <v>3.63</v>
          </cell>
        </row>
        <row r="12308">
          <cell r="E12308" t="str">
            <v>MUS</v>
          </cell>
          <cell r="F12308" t="str">
            <v xml:space="preserve">MUS-W </v>
          </cell>
          <cell r="G12308">
            <v>440</v>
          </cell>
          <cell r="H12308" t="str">
            <v>MUS-W 440</v>
          </cell>
          <cell r="K12308" t="str">
            <v>Ludwig,William Ernest</v>
          </cell>
          <cell r="N12308" t="str">
            <v>NR</v>
          </cell>
          <cell r="O12308" t="str">
            <v>NR</v>
          </cell>
        </row>
        <row r="12309">
          <cell r="E12309" t="str">
            <v>MUS</v>
          </cell>
          <cell r="F12309" t="str">
            <v xml:space="preserve">MUS-W </v>
          </cell>
          <cell r="G12309">
            <v>440</v>
          </cell>
          <cell r="H12309" t="str">
            <v>MUS-W 440</v>
          </cell>
          <cell r="K12309" t="str">
            <v>Ludwig,William Ernest</v>
          </cell>
          <cell r="N12309" t="str">
            <v>NR</v>
          </cell>
          <cell r="O12309" t="str">
            <v>NR</v>
          </cell>
        </row>
        <row r="12310">
          <cell r="E12310" t="str">
            <v>MUS</v>
          </cell>
          <cell r="F12310" t="str">
            <v xml:space="preserve">MUS-W </v>
          </cell>
          <cell r="G12310">
            <v>440</v>
          </cell>
          <cell r="H12310" t="str">
            <v>MUS-W 440</v>
          </cell>
          <cell r="K12310" t="str">
            <v>McLean,Kathleen Kirsten</v>
          </cell>
          <cell r="N12310">
            <v>3.9140000000000001</v>
          </cell>
          <cell r="O12310">
            <v>3.5680000000000001</v>
          </cell>
        </row>
        <row r="12311">
          <cell r="E12311" t="str">
            <v>MUS</v>
          </cell>
          <cell r="F12311" t="str">
            <v xml:space="preserve">MUS-W </v>
          </cell>
          <cell r="G12311">
            <v>440</v>
          </cell>
          <cell r="H12311" t="str">
            <v>MUS-W 440</v>
          </cell>
          <cell r="K12311" t="str">
            <v>McLean,Kathleen Kirsten</v>
          </cell>
          <cell r="N12311" t="str">
            <v>NR</v>
          </cell>
          <cell r="O12311" t="str">
            <v>NR</v>
          </cell>
        </row>
        <row r="12312">
          <cell r="E12312" t="str">
            <v>MUS</v>
          </cell>
          <cell r="F12312" t="str">
            <v xml:space="preserve">MUS-W </v>
          </cell>
          <cell r="G12312">
            <v>440</v>
          </cell>
          <cell r="H12312" t="str">
            <v>MUS-W 440</v>
          </cell>
          <cell r="K12312" t="str">
            <v>Richards,Gwyn</v>
          </cell>
          <cell r="N12312" t="str">
            <v>NR</v>
          </cell>
          <cell r="O12312" t="str">
            <v>NR</v>
          </cell>
        </row>
        <row r="12313">
          <cell r="E12313" t="str">
            <v>MUS</v>
          </cell>
          <cell r="F12313" t="str">
            <v xml:space="preserve">MUS-W </v>
          </cell>
          <cell r="G12313">
            <v>440</v>
          </cell>
          <cell r="H12313" t="str">
            <v>MUS-W 440</v>
          </cell>
          <cell r="K12313" t="str">
            <v>Richards,Gwyn</v>
          </cell>
          <cell r="N12313" t="str">
            <v>NR</v>
          </cell>
          <cell r="O12313" t="str">
            <v>NR</v>
          </cell>
        </row>
        <row r="12314">
          <cell r="E12314" t="str">
            <v>MUS</v>
          </cell>
          <cell r="F12314" t="str">
            <v xml:space="preserve">MUS-W </v>
          </cell>
          <cell r="G12314">
            <v>450</v>
          </cell>
          <cell r="H12314" t="str">
            <v>MUS-W 450</v>
          </cell>
          <cell r="K12314" t="str">
            <v>Murphy Jr,Otis</v>
          </cell>
          <cell r="N12314">
            <v>3.9750000000000001</v>
          </cell>
          <cell r="O12314">
            <v>3.6629999999999998</v>
          </cell>
        </row>
        <row r="12315">
          <cell r="E12315" t="str">
            <v>MUS</v>
          </cell>
          <cell r="F12315" t="str">
            <v xml:space="preserve">MUS-W </v>
          </cell>
          <cell r="G12315">
            <v>450</v>
          </cell>
          <cell r="H12315" t="str">
            <v>MUS-W 450</v>
          </cell>
          <cell r="K12315" t="str">
            <v>Murphy Jr,Otis</v>
          </cell>
          <cell r="N12315">
            <v>4</v>
          </cell>
          <cell r="O12315">
            <v>3.6829999999999998</v>
          </cell>
        </row>
        <row r="12316">
          <cell r="E12316" t="str">
            <v>MUS</v>
          </cell>
          <cell r="F12316" t="str">
            <v xml:space="preserve">MUS-W </v>
          </cell>
          <cell r="G12316">
            <v>450</v>
          </cell>
          <cell r="H12316" t="str">
            <v>MUS-W 450</v>
          </cell>
          <cell r="K12316" t="str">
            <v>Richards,Gwyn</v>
          </cell>
          <cell r="N12316" t="str">
            <v>NR</v>
          </cell>
          <cell r="O12316" t="str">
            <v>NR</v>
          </cell>
        </row>
        <row r="12317">
          <cell r="E12317" t="str">
            <v>MUS</v>
          </cell>
          <cell r="F12317" t="str">
            <v xml:space="preserve">MUS-W </v>
          </cell>
          <cell r="G12317">
            <v>450</v>
          </cell>
          <cell r="H12317" t="str">
            <v>MUS-W 450</v>
          </cell>
          <cell r="K12317" t="str">
            <v>Walsh,Thomas P.</v>
          </cell>
          <cell r="N12317">
            <v>3.9220000000000002</v>
          </cell>
          <cell r="O12317">
            <v>3.726</v>
          </cell>
        </row>
        <row r="12318">
          <cell r="E12318" t="str">
            <v>MUS</v>
          </cell>
          <cell r="F12318" t="str">
            <v xml:space="preserve">MUS-W </v>
          </cell>
          <cell r="G12318">
            <v>450</v>
          </cell>
          <cell r="H12318" t="str">
            <v>MUS-W 450</v>
          </cell>
          <cell r="K12318" t="str">
            <v>Walsh,Thomas P.</v>
          </cell>
          <cell r="N12318">
            <v>3.67</v>
          </cell>
          <cell r="O12318">
            <v>3.492</v>
          </cell>
        </row>
        <row r="12319">
          <cell r="E12319" t="str">
            <v>MUS</v>
          </cell>
          <cell r="F12319" t="str">
            <v xml:space="preserve">MUS-W </v>
          </cell>
          <cell r="G12319">
            <v>611</v>
          </cell>
          <cell r="H12319" t="str">
            <v>MUS-W 611</v>
          </cell>
          <cell r="K12319" t="str">
            <v>Isaacson,Eric John</v>
          </cell>
          <cell r="N12319" t="str">
            <v>NR</v>
          </cell>
          <cell r="O12319" t="str">
            <v>NR</v>
          </cell>
        </row>
        <row r="12320">
          <cell r="E12320" t="str">
            <v>MUS</v>
          </cell>
          <cell r="F12320" t="str">
            <v xml:space="preserve">MUS-W </v>
          </cell>
          <cell r="G12320">
            <v>611</v>
          </cell>
          <cell r="H12320" t="str">
            <v>MUS-W 611</v>
          </cell>
          <cell r="K12320" t="str">
            <v>Isaacson,Eric John</v>
          </cell>
          <cell r="N12320" t="str">
            <v>NR</v>
          </cell>
          <cell r="O12320" t="str">
            <v>NR</v>
          </cell>
        </row>
        <row r="12321">
          <cell r="E12321" t="str">
            <v>MUS</v>
          </cell>
          <cell r="F12321" t="str">
            <v xml:space="preserve">MUS-W </v>
          </cell>
          <cell r="G12321">
            <v>612</v>
          </cell>
          <cell r="H12321" t="str">
            <v>MUS-W 612</v>
          </cell>
          <cell r="K12321" t="str">
            <v>Isaacson,Eric John</v>
          </cell>
          <cell r="N12321" t="str">
            <v>NR</v>
          </cell>
          <cell r="O12321" t="str">
            <v>NR</v>
          </cell>
        </row>
        <row r="12322">
          <cell r="E12322" t="str">
            <v>MUS</v>
          </cell>
          <cell r="F12322" t="str">
            <v xml:space="preserve">MUS-W </v>
          </cell>
          <cell r="G12322">
            <v>612</v>
          </cell>
          <cell r="H12322" t="str">
            <v>MUS-W 612</v>
          </cell>
          <cell r="K12322" t="str">
            <v>Isaacson,Eric John</v>
          </cell>
          <cell r="N12322" t="str">
            <v>NR</v>
          </cell>
          <cell r="O12322" t="str">
            <v>NR</v>
          </cell>
        </row>
        <row r="12323">
          <cell r="E12323" t="str">
            <v>MUS</v>
          </cell>
          <cell r="F12323" t="str">
            <v xml:space="preserve">MUS-W </v>
          </cell>
          <cell r="G12323">
            <v>613</v>
          </cell>
          <cell r="H12323" t="str">
            <v>MUS-W 613</v>
          </cell>
          <cell r="K12323" t="str">
            <v>Isaacson,Eric John</v>
          </cell>
          <cell r="N12323" t="str">
            <v>NR</v>
          </cell>
          <cell r="O12323" t="str">
            <v>NR</v>
          </cell>
        </row>
        <row r="12324">
          <cell r="E12324" t="str">
            <v>MUS</v>
          </cell>
          <cell r="F12324" t="str">
            <v xml:space="preserve">MUS-W </v>
          </cell>
          <cell r="G12324">
            <v>710</v>
          </cell>
          <cell r="H12324" t="str">
            <v>MUS-W 710</v>
          </cell>
          <cell r="K12324" t="str">
            <v>Koh,Jeongjoo</v>
          </cell>
          <cell r="N12324" t="str">
            <v>NR</v>
          </cell>
          <cell r="O12324" t="str">
            <v>NR</v>
          </cell>
        </row>
        <row r="12325">
          <cell r="E12325" t="str">
            <v>MUS</v>
          </cell>
          <cell r="F12325" t="str">
            <v xml:space="preserve">MUS-W </v>
          </cell>
          <cell r="G12325">
            <v>710</v>
          </cell>
          <cell r="H12325" t="str">
            <v>MUS-W 710</v>
          </cell>
          <cell r="K12325" t="str">
            <v>Koh,Jeongjoo</v>
          </cell>
          <cell r="N12325" t="str">
            <v>NR</v>
          </cell>
          <cell r="O12325" t="str">
            <v>NR</v>
          </cell>
        </row>
        <row r="12326">
          <cell r="E12326" t="str">
            <v>MUS</v>
          </cell>
          <cell r="F12326" t="str">
            <v xml:space="preserve">MUS-W </v>
          </cell>
          <cell r="G12326">
            <v>730</v>
          </cell>
          <cell r="H12326" t="str">
            <v>MUS-W 730</v>
          </cell>
          <cell r="K12326" t="str">
            <v>Koh,Jeongjoo</v>
          </cell>
          <cell r="N12326" t="str">
            <v>NR</v>
          </cell>
          <cell r="O12326" t="str">
            <v>NR</v>
          </cell>
        </row>
        <row r="12327">
          <cell r="E12327" t="str">
            <v>MUS</v>
          </cell>
          <cell r="F12327" t="str">
            <v xml:space="preserve">MUS-W </v>
          </cell>
          <cell r="G12327">
            <v>750</v>
          </cell>
          <cell r="H12327" t="str">
            <v>MUS-W 750</v>
          </cell>
          <cell r="K12327" t="str">
            <v>Koh,Jeongjoo</v>
          </cell>
          <cell r="N12327" t="str">
            <v>NR</v>
          </cell>
          <cell r="O12327" t="str">
            <v>NR</v>
          </cell>
        </row>
        <row r="12328">
          <cell r="E12328" t="str">
            <v>MUS</v>
          </cell>
          <cell r="F12328" t="str">
            <v xml:space="preserve">MUS-W </v>
          </cell>
          <cell r="G12328">
            <v>750</v>
          </cell>
          <cell r="H12328" t="str">
            <v>MUS-W 750</v>
          </cell>
          <cell r="K12328" t="str">
            <v>Koh,Jeongjoo</v>
          </cell>
          <cell r="N12328" t="str">
            <v>NR</v>
          </cell>
          <cell r="O12328" t="str">
            <v>NR</v>
          </cell>
        </row>
        <row r="12329">
          <cell r="E12329" t="str">
            <v>MUS</v>
          </cell>
          <cell r="F12329" t="str">
            <v xml:space="preserve">MUS-W </v>
          </cell>
          <cell r="G12329">
            <v>830</v>
          </cell>
          <cell r="H12329" t="str">
            <v>MUS-W 830</v>
          </cell>
          <cell r="K12329" t="str">
            <v>Eban,Eli</v>
          </cell>
          <cell r="N12329" t="str">
            <v>NR</v>
          </cell>
          <cell r="O12329" t="str">
            <v>NR</v>
          </cell>
        </row>
        <row r="12330">
          <cell r="E12330" t="str">
            <v>MUS</v>
          </cell>
          <cell r="F12330" t="str">
            <v xml:space="preserve">MUS-W </v>
          </cell>
          <cell r="G12330">
            <v>830</v>
          </cell>
          <cell r="H12330" t="str">
            <v>MUS-W 830</v>
          </cell>
          <cell r="K12330" t="str">
            <v>Eban,Eli</v>
          </cell>
          <cell r="N12330" t="str">
            <v>NR</v>
          </cell>
          <cell r="O12330" t="str">
            <v>NR</v>
          </cell>
        </row>
        <row r="12331">
          <cell r="E12331" t="str">
            <v>MUS</v>
          </cell>
          <cell r="F12331" t="str">
            <v xml:space="preserve">MUS-W </v>
          </cell>
          <cell r="G12331">
            <v>910</v>
          </cell>
          <cell r="H12331" t="str">
            <v>MUS-W 910</v>
          </cell>
          <cell r="K12331" t="str">
            <v>Lukas,Kathryn</v>
          </cell>
          <cell r="N12331">
            <v>4</v>
          </cell>
          <cell r="O12331">
            <v>3.8250000000000002</v>
          </cell>
        </row>
        <row r="12332">
          <cell r="E12332" t="str">
            <v>MUS</v>
          </cell>
          <cell r="F12332" t="str">
            <v xml:space="preserve">MUS-W </v>
          </cell>
          <cell r="G12332">
            <v>910</v>
          </cell>
          <cell r="H12332" t="str">
            <v>MUS-W 910</v>
          </cell>
          <cell r="K12332" t="str">
            <v>Lukas,Kathryn</v>
          </cell>
          <cell r="N12332">
            <v>4</v>
          </cell>
          <cell r="O12332">
            <v>3.8069999999999999</v>
          </cell>
        </row>
        <row r="12333">
          <cell r="E12333" t="str">
            <v>MUS</v>
          </cell>
          <cell r="F12333" t="str">
            <v xml:space="preserve">MUS-W </v>
          </cell>
          <cell r="G12333">
            <v>910</v>
          </cell>
          <cell r="H12333" t="str">
            <v>MUS-W 910</v>
          </cell>
          <cell r="K12333" t="str">
            <v>Robertello,Thomas Joseph</v>
          </cell>
          <cell r="N12333">
            <v>4</v>
          </cell>
          <cell r="O12333">
            <v>3.798</v>
          </cell>
        </row>
        <row r="12334">
          <cell r="E12334" t="str">
            <v>MUS</v>
          </cell>
          <cell r="F12334" t="str">
            <v xml:space="preserve">MUS-W </v>
          </cell>
          <cell r="G12334">
            <v>910</v>
          </cell>
          <cell r="H12334" t="str">
            <v>MUS-W 910</v>
          </cell>
          <cell r="K12334" t="str">
            <v>Robertello,Thomas Joseph</v>
          </cell>
          <cell r="N12334" t="str">
            <v>NR</v>
          </cell>
          <cell r="O12334" t="str">
            <v>NR</v>
          </cell>
        </row>
        <row r="12335">
          <cell r="E12335" t="str">
            <v>MUS</v>
          </cell>
          <cell r="F12335" t="str">
            <v xml:space="preserve">MUS-W </v>
          </cell>
          <cell r="G12335">
            <v>920</v>
          </cell>
          <cell r="H12335" t="str">
            <v>MUS-W 920</v>
          </cell>
          <cell r="K12335" t="str">
            <v>Roe,Roger A.</v>
          </cell>
          <cell r="N12335" t="str">
            <v>NR</v>
          </cell>
          <cell r="O12335" t="str">
            <v>NR</v>
          </cell>
        </row>
        <row r="12336">
          <cell r="E12336" t="str">
            <v>MUS</v>
          </cell>
          <cell r="F12336" t="str">
            <v xml:space="preserve">MUS-W </v>
          </cell>
          <cell r="G12336">
            <v>920</v>
          </cell>
          <cell r="H12336" t="str">
            <v>MUS-W 920</v>
          </cell>
          <cell r="K12336" t="str">
            <v>Roe,Roger A.</v>
          </cell>
          <cell r="N12336" t="str">
            <v>NR</v>
          </cell>
          <cell r="O12336" t="str">
            <v>NR</v>
          </cell>
        </row>
        <row r="12337">
          <cell r="E12337" t="str">
            <v>MUS</v>
          </cell>
          <cell r="F12337" t="str">
            <v xml:space="preserve">MUS-W </v>
          </cell>
          <cell r="G12337">
            <v>920</v>
          </cell>
          <cell r="H12337" t="str">
            <v>MUS-W 920</v>
          </cell>
          <cell r="K12337" t="str">
            <v>Strommen,Linda</v>
          </cell>
          <cell r="N12337">
            <v>3.7879999999999998</v>
          </cell>
          <cell r="O12337">
            <v>3.8679999999999999</v>
          </cell>
        </row>
        <row r="12338">
          <cell r="E12338" t="str">
            <v>MUS</v>
          </cell>
          <cell r="F12338" t="str">
            <v xml:space="preserve">MUS-W </v>
          </cell>
          <cell r="G12338">
            <v>920</v>
          </cell>
          <cell r="H12338" t="str">
            <v>MUS-W 920</v>
          </cell>
          <cell r="K12338" t="str">
            <v>Strommen,Linda</v>
          </cell>
          <cell r="N12338" t="str">
            <v>NR</v>
          </cell>
          <cell r="O12338" t="str">
            <v>NR</v>
          </cell>
        </row>
        <row r="12339">
          <cell r="E12339" t="str">
            <v>MUS</v>
          </cell>
          <cell r="F12339" t="str">
            <v xml:space="preserve">MUS-W </v>
          </cell>
          <cell r="G12339">
            <v>930</v>
          </cell>
          <cell r="H12339" t="str">
            <v>MUS-W 930</v>
          </cell>
          <cell r="K12339" t="str">
            <v>Campbell,James</v>
          </cell>
          <cell r="N12339">
            <v>3.9729999999999999</v>
          </cell>
          <cell r="O12339">
            <v>3.8</v>
          </cell>
        </row>
        <row r="12340">
          <cell r="E12340" t="str">
            <v>MUS</v>
          </cell>
          <cell r="F12340" t="str">
            <v xml:space="preserve">MUS-W </v>
          </cell>
          <cell r="G12340">
            <v>930</v>
          </cell>
          <cell r="H12340" t="str">
            <v>MUS-W 930</v>
          </cell>
          <cell r="K12340" t="str">
            <v>Campbell,James</v>
          </cell>
          <cell r="N12340">
            <v>3.9670000000000001</v>
          </cell>
          <cell r="O12340">
            <v>3.742</v>
          </cell>
        </row>
        <row r="12341">
          <cell r="E12341" t="str">
            <v>MUS</v>
          </cell>
          <cell r="F12341" t="str">
            <v xml:space="preserve">MUS-W </v>
          </cell>
          <cell r="G12341">
            <v>930</v>
          </cell>
          <cell r="H12341" t="str">
            <v>MUS-W 930</v>
          </cell>
          <cell r="K12341" t="str">
            <v>Eban,Eli</v>
          </cell>
          <cell r="N12341" t="str">
            <v>NR</v>
          </cell>
          <cell r="O12341" t="str">
            <v>NR</v>
          </cell>
        </row>
        <row r="12342">
          <cell r="E12342" t="str">
            <v>MUS</v>
          </cell>
          <cell r="F12342" t="str">
            <v xml:space="preserve">MUS-W </v>
          </cell>
          <cell r="G12342">
            <v>930</v>
          </cell>
          <cell r="H12342" t="str">
            <v>MUS-W 930</v>
          </cell>
          <cell r="K12342" t="str">
            <v>Eban,Eli</v>
          </cell>
          <cell r="N12342" t="str">
            <v>NR</v>
          </cell>
          <cell r="O12342" t="str">
            <v>NR</v>
          </cell>
        </row>
        <row r="12343">
          <cell r="E12343" t="str">
            <v>MUS</v>
          </cell>
          <cell r="F12343" t="str">
            <v xml:space="preserve">MUS-W </v>
          </cell>
          <cell r="G12343">
            <v>930</v>
          </cell>
          <cell r="H12343" t="str">
            <v>MUS-W 930</v>
          </cell>
          <cell r="K12343" t="str">
            <v>Klug,Howard</v>
          </cell>
          <cell r="N12343">
            <v>4</v>
          </cell>
          <cell r="O12343">
            <v>3.835</v>
          </cell>
        </row>
        <row r="12344">
          <cell r="E12344" t="str">
            <v>MUS</v>
          </cell>
          <cell r="F12344" t="str">
            <v xml:space="preserve">MUS-W </v>
          </cell>
          <cell r="G12344">
            <v>930</v>
          </cell>
          <cell r="H12344" t="str">
            <v>MUS-W 930</v>
          </cell>
          <cell r="K12344" t="str">
            <v>Klug,Howard</v>
          </cell>
          <cell r="N12344" t="str">
            <v>NR</v>
          </cell>
          <cell r="O12344" t="str">
            <v>NR</v>
          </cell>
        </row>
        <row r="12345">
          <cell r="E12345" t="str">
            <v>MUS</v>
          </cell>
          <cell r="F12345" t="str">
            <v xml:space="preserve">MUS-W </v>
          </cell>
          <cell r="G12345">
            <v>930</v>
          </cell>
          <cell r="H12345" t="str">
            <v>MUS-W 930</v>
          </cell>
          <cell r="K12345" t="str">
            <v>Richards,Gwyn</v>
          </cell>
          <cell r="N12345" t="str">
            <v>NR</v>
          </cell>
          <cell r="O12345" t="str">
            <v>NR</v>
          </cell>
        </row>
        <row r="12346">
          <cell r="E12346" t="str">
            <v>MUS</v>
          </cell>
          <cell r="F12346" t="str">
            <v xml:space="preserve">MUS-W </v>
          </cell>
          <cell r="G12346">
            <v>940</v>
          </cell>
          <cell r="H12346" t="str">
            <v>MUS-W 940</v>
          </cell>
          <cell r="K12346" t="str">
            <v>Ludwig,William Ernest</v>
          </cell>
          <cell r="N12346">
            <v>4</v>
          </cell>
          <cell r="O12346">
            <v>3.875</v>
          </cell>
        </row>
        <row r="12347">
          <cell r="E12347" t="str">
            <v>MUS</v>
          </cell>
          <cell r="F12347" t="str">
            <v xml:space="preserve">MUS-W </v>
          </cell>
          <cell r="G12347">
            <v>940</v>
          </cell>
          <cell r="H12347" t="str">
            <v>MUS-W 940</v>
          </cell>
          <cell r="K12347" t="str">
            <v>Ludwig,William Ernest</v>
          </cell>
          <cell r="N12347">
            <v>3.6669999999999998</v>
          </cell>
          <cell r="O12347">
            <v>3.742</v>
          </cell>
        </row>
        <row r="12348">
          <cell r="E12348" t="str">
            <v>MUS</v>
          </cell>
          <cell r="F12348" t="str">
            <v xml:space="preserve">MUS-W </v>
          </cell>
          <cell r="G12348">
            <v>940</v>
          </cell>
          <cell r="H12348" t="str">
            <v>MUS-W 940</v>
          </cell>
          <cell r="K12348" t="str">
            <v>McLean,Kathleen Kirsten</v>
          </cell>
          <cell r="N12348" t="str">
            <v>NR</v>
          </cell>
          <cell r="O12348" t="str">
            <v>NR</v>
          </cell>
        </row>
        <row r="12349">
          <cell r="E12349" t="str">
            <v>MUS</v>
          </cell>
          <cell r="F12349" t="str">
            <v xml:space="preserve">MUS-W </v>
          </cell>
          <cell r="G12349">
            <v>940</v>
          </cell>
          <cell r="H12349" t="str">
            <v>MUS-W 940</v>
          </cell>
          <cell r="K12349" t="str">
            <v>McLean,Kathleen Kirsten</v>
          </cell>
          <cell r="N12349">
            <v>4</v>
          </cell>
          <cell r="O12349">
            <v>3.8420000000000001</v>
          </cell>
        </row>
        <row r="12350">
          <cell r="E12350" t="str">
            <v>MUS</v>
          </cell>
          <cell r="F12350" t="str">
            <v xml:space="preserve">MUS-W </v>
          </cell>
          <cell r="G12350">
            <v>950</v>
          </cell>
          <cell r="H12350" t="str">
            <v>MUS-W 950</v>
          </cell>
          <cell r="K12350" t="str">
            <v>Murphy Jr,Otis</v>
          </cell>
          <cell r="N12350">
            <v>4</v>
          </cell>
          <cell r="O12350">
            <v>3.7130000000000001</v>
          </cell>
        </row>
        <row r="12351">
          <cell r="E12351" t="str">
            <v>MUS</v>
          </cell>
          <cell r="F12351" t="str">
            <v xml:space="preserve">MUS-W </v>
          </cell>
          <cell r="G12351">
            <v>950</v>
          </cell>
          <cell r="H12351" t="str">
            <v>MUS-W 950</v>
          </cell>
          <cell r="K12351" t="str">
            <v>Murphy Jr,Otis</v>
          </cell>
          <cell r="N12351" t="str">
            <v>NR</v>
          </cell>
          <cell r="O12351" t="str">
            <v>NR</v>
          </cell>
        </row>
        <row r="12352">
          <cell r="E12352" t="str">
            <v>MUS</v>
          </cell>
          <cell r="F12352" t="str">
            <v xml:space="preserve">MUS-W </v>
          </cell>
          <cell r="G12352">
            <v>950</v>
          </cell>
          <cell r="H12352" t="str">
            <v>MUS-W 950</v>
          </cell>
          <cell r="K12352" t="str">
            <v>Walsh,Thomas P.</v>
          </cell>
          <cell r="N12352" t="str">
            <v>NR</v>
          </cell>
          <cell r="O12352" t="str">
            <v>NR</v>
          </cell>
        </row>
        <row r="12353">
          <cell r="E12353" t="str">
            <v>MUS</v>
          </cell>
          <cell r="F12353" t="str">
            <v xml:space="preserve">MUS-W </v>
          </cell>
          <cell r="G12353">
            <v>950</v>
          </cell>
          <cell r="H12353" t="str">
            <v>MUS-W 950</v>
          </cell>
          <cell r="K12353" t="str">
            <v>Walsh,Thomas P.</v>
          </cell>
          <cell r="N12353" t="str">
            <v>NR</v>
          </cell>
          <cell r="O12353" t="str">
            <v>NR</v>
          </cell>
        </row>
        <row r="12354">
          <cell r="E12354" t="str">
            <v>MUS</v>
          </cell>
          <cell r="F12354" t="str">
            <v xml:space="preserve">MUS-X </v>
          </cell>
          <cell r="G12354">
            <v>1</v>
          </cell>
          <cell r="H12354" t="str">
            <v>MUS-X 1</v>
          </cell>
          <cell r="K12354" t="str">
            <v>Bolter,Benjamin C</v>
          </cell>
          <cell r="N12354">
            <v>4</v>
          </cell>
          <cell r="O12354">
            <v>3.41</v>
          </cell>
        </row>
        <row r="12355">
          <cell r="E12355" t="str">
            <v>MUS</v>
          </cell>
          <cell r="F12355" t="str">
            <v xml:space="preserve">MUS-X </v>
          </cell>
          <cell r="G12355">
            <v>1</v>
          </cell>
          <cell r="H12355" t="str">
            <v>MUS-X 1</v>
          </cell>
          <cell r="K12355" t="str">
            <v>Gray,William Jon</v>
          </cell>
          <cell r="N12355">
            <v>3.7829999999999999</v>
          </cell>
          <cell r="O12355">
            <v>3.1269999999999998</v>
          </cell>
        </row>
        <row r="12356">
          <cell r="E12356" t="str">
            <v>MUS</v>
          </cell>
          <cell r="F12356" t="str">
            <v xml:space="preserve">MUS-X </v>
          </cell>
          <cell r="G12356">
            <v>1</v>
          </cell>
          <cell r="H12356" t="str">
            <v>MUS-X 1</v>
          </cell>
          <cell r="K12356" t="str">
            <v>Hersh,Nicholas Irving Roberts</v>
          </cell>
          <cell r="N12356">
            <v>4</v>
          </cell>
          <cell r="O12356">
            <v>3.222</v>
          </cell>
        </row>
        <row r="12357">
          <cell r="E12357" t="str">
            <v>MUS</v>
          </cell>
          <cell r="F12357" t="str">
            <v xml:space="preserve">MUS-X </v>
          </cell>
          <cell r="G12357">
            <v>1</v>
          </cell>
          <cell r="H12357" t="str">
            <v>MUS-X 1</v>
          </cell>
          <cell r="K12357" t="str">
            <v>Spencer,Reed Michael</v>
          </cell>
          <cell r="N12357">
            <v>3.9159999999999999</v>
          </cell>
          <cell r="O12357">
            <v>3.4969999999999999</v>
          </cell>
        </row>
        <row r="12358">
          <cell r="E12358" t="str">
            <v>MUS</v>
          </cell>
          <cell r="F12358" t="str">
            <v xml:space="preserve">MUS-X </v>
          </cell>
          <cell r="G12358">
            <v>1</v>
          </cell>
          <cell r="H12358" t="str">
            <v>MUS-X 1</v>
          </cell>
          <cell r="K12358" t="str">
            <v>Woodley,Dave C.</v>
          </cell>
          <cell r="N12358">
            <v>3.9089999999999998</v>
          </cell>
          <cell r="O12358">
            <v>3.3180000000000001</v>
          </cell>
        </row>
        <row r="12359">
          <cell r="E12359" t="str">
            <v>MUS</v>
          </cell>
          <cell r="F12359" t="str">
            <v xml:space="preserve">MUS-X </v>
          </cell>
          <cell r="G12359">
            <v>1</v>
          </cell>
          <cell r="H12359" t="str">
            <v>MUS-X 1</v>
          </cell>
          <cell r="K12359" t="str">
            <v>Woodley,Dave C.</v>
          </cell>
          <cell r="N12359">
            <v>3.9249999999999998</v>
          </cell>
          <cell r="O12359">
            <v>3.2250000000000001</v>
          </cell>
        </row>
        <row r="12360">
          <cell r="E12360" t="str">
            <v>MUS</v>
          </cell>
          <cell r="F12360" t="str">
            <v xml:space="preserve">MUS-X </v>
          </cell>
          <cell r="G12360">
            <v>2</v>
          </cell>
          <cell r="H12360" t="str">
            <v>MUS-X 2</v>
          </cell>
          <cell r="K12360" t="str">
            <v>Chen,Chih-Yi</v>
          </cell>
          <cell r="N12360">
            <v>3.9889999999999999</v>
          </cell>
          <cell r="O12360">
            <v>3.8159999999999998</v>
          </cell>
        </row>
        <row r="12361">
          <cell r="E12361" t="str">
            <v>MUS</v>
          </cell>
          <cell r="F12361" t="str">
            <v xml:space="preserve">MUS-X </v>
          </cell>
          <cell r="G12361">
            <v>2</v>
          </cell>
          <cell r="H12361" t="str">
            <v>MUS-X 2</v>
          </cell>
          <cell r="K12361" t="str">
            <v>Chen,Chih-Yi</v>
          </cell>
          <cell r="N12361">
            <v>3.96</v>
          </cell>
          <cell r="O12361">
            <v>3.7989999999999999</v>
          </cell>
        </row>
        <row r="12362">
          <cell r="E12362" t="str">
            <v>MUS</v>
          </cell>
          <cell r="F12362" t="str">
            <v xml:space="preserve">MUS-X </v>
          </cell>
          <cell r="G12362">
            <v>30</v>
          </cell>
          <cell r="H12362" t="str">
            <v>MUS-X 30</v>
          </cell>
          <cell r="K12362" t="str">
            <v>Cesbron,Jacques</v>
          </cell>
          <cell r="N12362">
            <v>3.9159999999999999</v>
          </cell>
          <cell r="O12362">
            <v>3.74</v>
          </cell>
        </row>
        <row r="12363">
          <cell r="E12363" t="str">
            <v>MUS</v>
          </cell>
          <cell r="F12363" t="str">
            <v xml:space="preserve">MUS-X </v>
          </cell>
          <cell r="G12363">
            <v>30</v>
          </cell>
          <cell r="H12363" t="str">
            <v>MUS-X 30</v>
          </cell>
          <cell r="K12363" t="str">
            <v>Cesbron,Jacques</v>
          </cell>
          <cell r="N12363">
            <v>4</v>
          </cell>
          <cell r="O12363">
            <v>3.7429999999999999</v>
          </cell>
        </row>
        <row r="12364">
          <cell r="E12364" t="str">
            <v>MUS</v>
          </cell>
          <cell r="F12364" t="str">
            <v xml:space="preserve">MUS-X </v>
          </cell>
          <cell r="G12364">
            <v>40</v>
          </cell>
          <cell r="H12364" t="str">
            <v>MUS-X 40</v>
          </cell>
          <cell r="K12364" t="str">
            <v>Wieligman,Thomas W</v>
          </cell>
          <cell r="N12364">
            <v>3.9540000000000002</v>
          </cell>
          <cell r="O12364">
            <v>3.6779999999999999</v>
          </cell>
        </row>
        <row r="12365">
          <cell r="E12365" t="str">
            <v>MUS</v>
          </cell>
          <cell r="F12365" t="str">
            <v xml:space="preserve">MUS-X </v>
          </cell>
          <cell r="G12365">
            <v>40</v>
          </cell>
          <cell r="H12365" t="str">
            <v>MUS-X 40</v>
          </cell>
          <cell r="K12365" t="str">
            <v>Wieligman,Thomas W</v>
          </cell>
          <cell r="N12365" t="str">
            <v>NR</v>
          </cell>
          <cell r="O12365" t="str">
            <v>NR</v>
          </cell>
        </row>
        <row r="12366">
          <cell r="E12366" t="str">
            <v>MUS</v>
          </cell>
          <cell r="F12366" t="str">
            <v xml:space="preserve">MUS-X </v>
          </cell>
          <cell r="G12366">
            <v>40</v>
          </cell>
          <cell r="H12366" t="str">
            <v>MUS-X 40</v>
          </cell>
          <cell r="K12366" t="str">
            <v>Wieligman,Thomas W</v>
          </cell>
          <cell r="N12366">
            <v>3.968</v>
          </cell>
          <cell r="O12366">
            <v>3.6869999999999998</v>
          </cell>
        </row>
        <row r="12367">
          <cell r="E12367" t="str">
            <v>MUS</v>
          </cell>
          <cell r="F12367" t="str">
            <v xml:space="preserve">MUS-X </v>
          </cell>
          <cell r="G12367">
            <v>40</v>
          </cell>
          <cell r="H12367" t="str">
            <v>MUS-X 40</v>
          </cell>
          <cell r="K12367" t="str">
            <v>Wieligman,Thomas W</v>
          </cell>
          <cell r="N12367" t="str">
            <v>NR</v>
          </cell>
          <cell r="O12367" t="str">
            <v>NR</v>
          </cell>
        </row>
        <row r="12368">
          <cell r="E12368" t="str">
            <v>MUS</v>
          </cell>
          <cell r="F12368" t="str">
            <v xml:space="preserve">MUS-X </v>
          </cell>
          <cell r="G12368">
            <v>50</v>
          </cell>
          <cell r="H12368" t="str">
            <v>MUS-X 50</v>
          </cell>
          <cell r="K12368" t="str">
            <v>Woodley,Dave C.</v>
          </cell>
          <cell r="N12368">
            <v>3.9489999999999998</v>
          </cell>
          <cell r="O12368">
            <v>3.1230000000000002</v>
          </cell>
        </row>
        <row r="12369">
          <cell r="E12369" t="str">
            <v>MUS</v>
          </cell>
          <cell r="F12369" t="str">
            <v xml:space="preserve">MUS-X </v>
          </cell>
          <cell r="G12369">
            <v>60</v>
          </cell>
          <cell r="H12369" t="str">
            <v>MUS-X 60</v>
          </cell>
          <cell r="K12369" t="str">
            <v>Elliott,Paul</v>
          </cell>
          <cell r="N12369">
            <v>4</v>
          </cell>
          <cell r="O12369">
            <v>3.8250000000000002</v>
          </cell>
        </row>
        <row r="12370">
          <cell r="E12370" t="str">
            <v>MUS</v>
          </cell>
          <cell r="F12370" t="str">
            <v xml:space="preserve">MUS-X </v>
          </cell>
          <cell r="G12370">
            <v>60</v>
          </cell>
          <cell r="H12370" t="str">
            <v>MUS-X 60</v>
          </cell>
          <cell r="K12370" t="str">
            <v>Ritchie,Stanley</v>
          </cell>
          <cell r="N12370">
            <v>3.992</v>
          </cell>
          <cell r="O12370">
            <v>3.7959999999999998</v>
          </cell>
        </row>
        <row r="12371">
          <cell r="E12371" t="str">
            <v>MUS</v>
          </cell>
          <cell r="F12371" t="str">
            <v xml:space="preserve">MUS-X </v>
          </cell>
          <cell r="G12371">
            <v>70</v>
          </cell>
          <cell r="H12371" t="str">
            <v>MUS-X 70</v>
          </cell>
          <cell r="K12371" t="str">
            <v>Gray,William Jon</v>
          </cell>
          <cell r="N12371" t="str">
            <v>NR</v>
          </cell>
          <cell r="O12371" t="str">
            <v>NR</v>
          </cell>
        </row>
        <row r="12372">
          <cell r="E12372" t="str">
            <v>MUS</v>
          </cell>
          <cell r="F12372" t="str">
            <v xml:space="preserve">MUS-X </v>
          </cell>
          <cell r="G12372">
            <v>70</v>
          </cell>
          <cell r="H12372" t="str">
            <v>MUS-X 70</v>
          </cell>
          <cell r="K12372" t="str">
            <v>Villanueva,David M</v>
          </cell>
          <cell r="N12372">
            <v>3.95</v>
          </cell>
          <cell r="O12372">
            <v>3.5880000000000001</v>
          </cell>
        </row>
        <row r="12373">
          <cell r="E12373" t="str">
            <v>MUS</v>
          </cell>
          <cell r="F12373" t="str">
            <v xml:space="preserve">MUS-X </v>
          </cell>
          <cell r="G12373">
            <v>70</v>
          </cell>
          <cell r="H12373" t="str">
            <v>MUS-X 70</v>
          </cell>
          <cell r="K12373" t="str">
            <v>Villanueva,David M</v>
          </cell>
          <cell r="N12373">
            <v>3.9630000000000001</v>
          </cell>
          <cell r="O12373">
            <v>3.589</v>
          </cell>
        </row>
        <row r="12374">
          <cell r="E12374" t="str">
            <v>MUS</v>
          </cell>
          <cell r="F12374" t="str">
            <v xml:space="preserve">MUS-X </v>
          </cell>
          <cell r="G12374">
            <v>70</v>
          </cell>
          <cell r="H12374" t="str">
            <v>MUS-X 70</v>
          </cell>
          <cell r="K12374" t="str">
            <v>Villanueva,David M</v>
          </cell>
          <cell r="N12374" t="str">
            <v>NR</v>
          </cell>
          <cell r="O12374" t="str">
            <v>NR</v>
          </cell>
        </row>
        <row r="12375">
          <cell r="E12375" t="str">
            <v>MUS</v>
          </cell>
          <cell r="F12375" t="str">
            <v xml:space="preserve">MUS-X </v>
          </cell>
          <cell r="G12375">
            <v>90</v>
          </cell>
          <cell r="H12375" t="str">
            <v>MUS-X 90</v>
          </cell>
          <cell r="K12375" t="str">
            <v>Stillman,Fallon E</v>
          </cell>
          <cell r="N12375">
            <v>3.8180000000000001</v>
          </cell>
          <cell r="O12375">
            <v>3.468</v>
          </cell>
        </row>
        <row r="12376">
          <cell r="E12376" t="str">
            <v>MUS</v>
          </cell>
          <cell r="F12376" t="str">
            <v xml:space="preserve">MUS-X </v>
          </cell>
          <cell r="G12376">
            <v>90</v>
          </cell>
          <cell r="H12376" t="str">
            <v>MUS-X 90</v>
          </cell>
          <cell r="K12376" t="str">
            <v>Stillman,Fallon E</v>
          </cell>
          <cell r="N12376">
            <v>3.84</v>
          </cell>
          <cell r="O12376">
            <v>3.49</v>
          </cell>
        </row>
        <row r="12377">
          <cell r="E12377" t="str">
            <v>MUS</v>
          </cell>
          <cell r="F12377" t="str">
            <v xml:space="preserve">MUS-X </v>
          </cell>
          <cell r="G12377">
            <v>91</v>
          </cell>
          <cell r="H12377" t="str">
            <v>MUS-X 91</v>
          </cell>
          <cell r="K12377" t="str">
            <v>Sparks,Thomas Guy</v>
          </cell>
          <cell r="N12377" t="str">
            <v>NR</v>
          </cell>
          <cell r="O12377" t="str">
            <v>NR</v>
          </cell>
        </row>
        <row r="12378">
          <cell r="E12378" t="str">
            <v>MUS</v>
          </cell>
          <cell r="F12378" t="str">
            <v xml:space="preserve">MUS-X </v>
          </cell>
          <cell r="G12378">
            <v>91</v>
          </cell>
          <cell r="H12378" t="str">
            <v>MUS-X 91</v>
          </cell>
          <cell r="K12378" t="str">
            <v>Sparks,Thomas Guy</v>
          </cell>
          <cell r="N12378" t="str">
            <v>NR</v>
          </cell>
          <cell r="O12378" t="str">
            <v>NR</v>
          </cell>
        </row>
        <row r="12379">
          <cell r="E12379" t="str">
            <v>MUS</v>
          </cell>
          <cell r="F12379" t="str">
            <v xml:space="preserve">MUS-X </v>
          </cell>
          <cell r="G12379">
            <v>410</v>
          </cell>
          <cell r="H12379" t="str">
            <v>MUS-X 410</v>
          </cell>
          <cell r="K12379" t="str">
            <v>Woodley,Dave C.</v>
          </cell>
          <cell r="N12379" t="str">
            <v>NR</v>
          </cell>
          <cell r="O12379" t="str">
            <v>NR</v>
          </cell>
        </row>
        <row r="12380">
          <cell r="E12380" t="str">
            <v>MUS</v>
          </cell>
          <cell r="F12380" t="str">
            <v xml:space="preserve">MUS-X </v>
          </cell>
          <cell r="G12380">
            <v>410</v>
          </cell>
          <cell r="H12380" t="str">
            <v>MUS-X 410</v>
          </cell>
          <cell r="K12380" t="str">
            <v>Woodley,Dave C.</v>
          </cell>
          <cell r="N12380">
            <v>4</v>
          </cell>
          <cell r="O12380">
            <v>3.0430000000000001</v>
          </cell>
        </row>
        <row r="12381">
          <cell r="E12381" t="str">
            <v>MUS</v>
          </cell>
          <cell r="F12381" t="str">
            <v xml:space="preserve">MUS-X </v>
          </cell>
          <cell r="G12381">
            <v>410</v>
          </cell>
          <cell r="H12381" t="str">
            <v>MUS-X 410</v>
          </cell>
          <cell r="K12381" t="str">
            <v>Woodley,Dave C.</v>
          </cell>
          <cell r="N12381">
            <v>4</v>
          </cell>
          <cell r="O12381">
            <v>3.1360000000000001</v>
          </cell>
        </row>
        <row r="12382">
          <cell r="E12382" t="str">
            <v>MUS</v>
          </cell>
          <cell r="F12382" t="str">
            <v xml:space="preserve">MUS-X </v>
          </cell>
          <cell r="G12382">
            <v>414</v>
          </cell>
          <cell r="H12382" t="str">
            <v>MUS-X 414</v>
          </cell>
          <cell r="K12382" t="str">
            <v>Jensen,Espen</v>
          </cell>
          <cell r="N12382" t="str">
            <v>NR</v>
          </cell>
          <cell r="O12382" t="str">
            <v>NR</v>
          </cell>
        </row>
        <row r="12383">
          <cell r="E12383" t="str">
            <v>MUS</v>
          </cell>
          <cell r="F12383" t="str">
            <v xml:space="preserve">MUS-X </v>
          </cell>
          <cell r="G12383">
            <v>414</v>
          </cell>
          <cell r="H12383" t="str">
            <v>MUS-X 414</v>
          </cell>
          <cell r="K12383" t="str">
            <v>Jensen,Espen</v>
          </cell>
          <cell r="N12383" t="str">
            <v>NR</v>
          </cell>
          <cell r="O12383" t="str">
            <v>NR</v>
          </cell>
        </row>
        <row r="12384">
          <cell r="E12384" t="str">
            <v>MUS</v>
          </cell>
          <cell r="F12384" t="str">
            <v xml:space="preserve">MUS-X </v>
          </cell>
          <cell r="G12384">
            <v>414</v>
          </cell>
          <cell r="H12384" t="str">
            <v>MUS-X 414</v>
          </cell>
          <cell r="K12384" t="str">
            <v>Jensen,Espen</v>
          </cell>
          <cell r="N12384" t="str">
            <v>NR</v>
          </cell>
          <cell r="O12384" t="str">
            <v>NR</v>
          </cell>
        </row>
        <row r="12385">
          <cell r="E12385" t="str">
            <v>MUS</v>
          </cell>
          <cell r="F12385" t="str">
            <v xml:space="preserve">MUS-X </v>
          </cell>
          <cell r="G12385">
            <v>420</v>
          </cell>
          <cell r="H12385" t="str">
            <v>MUS-X 420</v>
          </cell>
          <cell r="K12385" t="str">
            <v>Gray,William Jon</v>
          </cell>
          <cell r="N12385">
            <v>4</v>
          </cell>
          <cell r="O12385">
            <v>3.5859999999999999</v>
          </cell>
        </row>
        <row r="12386">
          <cell r="E12386" t="str">
            <v>MUS</v>
          </cell>
          <cell r="F12386" t="str">
            <v xml:space="preserve">MUS-X </v>
          </cell>
          <cell r="G12386">
            <v>420</v>
          </cell>
          <cell r="H12386" t="str">
            <v>MUS-X 420</v>
          </cell>
          <cell r="K12386" t="str">
            <v>Madura,Patrice</v>
          </cell>
          <cell r="N12386">
            <v>4</v>
          </cell>
          <cell r="O12386">
            <v>3.7469999999999999</v>
          </cell>
        </row>
        <row r="12387">
          <cell r="E12387" t="str">
            <v>MUS</v>
          </cell>
          <cell r="F12387" t="str">
            <v xml:space="preserve">MUS-X </v>
          </cell>
          <cell r="G12387">
            <v>420</v>
          </cell>
          <cell r="H12387" t="str">
            <v>MUS-X 420</v>
          </cell>
          <cell r="K12387" t="str">
            <v>Schwartzkopf,Michael Lee</v>
          </cell>
          <cell r="N12387">
            <v>4</v>
          </cell>
          <cell r="O12387">
            <v>3.379</v>
          </cell>
        </row>
        <row r="12388">
          <cell r="E12388" t="str">
            <v>MUS</v>
          </cell>
          <cell r="F12388" t="str">
            <v xml:space="preserve">MUS-X </v>
          </cell>
          <cell r="G12388">
            <v>420</v>
          </cell>
          <cell r="H12388" t="str">
            <v>MUS-X 420</v>
          </cell>
          <cell r="K12388" t="str">
            <v>Zegree,Stephen L</v>
          </cell>
          <cell r="N12388">
            <v>4</v>
          </cell>
          <cell r="O12388">
            <v>3.41</v>
          </cell>
        </row>
        <row r="12389">
          <cell r="E12389" t="str">
            <v>MUS</v>
          </cell>
          <cell r="F12389" t="str">
            <v xml:space="preserve">MUS-Y </v>
          </cell>
          <cell r="G12389">
            <v>110</v>
          </cell>
          <cell r="H12389" t="str">
            <v>MUS-Y 110</v>
          </cell>
          <cell r="K12389" t="str">
            <v>Elliott,Paul</v>
          </cell>
          <cell r="N12389" t="str">
            <v>NR</v>
          </cell>
          <cell r="O12389" t="str">
            <v>NR</v>
          </cell>
        </row>
        <row r="12390">
          <cell r="E12390" t="str">
            <v>MUS</v>
          </cell>
          <cell r="F12390" t="str">
            <v xml:space="preserve">MUS-Y </v>
          </cell>
          <cell r="G12390">
            <v>110</v>
          </cell>
          <cell r="H12390" t="str">
            <v>MUS-Y 110</v>
          </cell>
          <cell r="K12390" t="str">
            <v>Gillespie,Wendy</v>
          </cell>
          <cell r="N12390" t="str">
            <v>NR</v>
          </cell>
          <cell r="O12390" t="str">
            <v>NR</v>
          </cell>
        </row>
        <row r="12391">
          <cell r="E12391" t="str">
            <v>MUS</v>
          </cell>
          <cell r="F12391" t="str">
            <v xml:space="preserve">MUS-Y </v>
          </cell>
          <cell r="G12391">
            <v>110</v>
          </cell>
          <cell r="H12391" t="str">
            <v>MUS-Y 110</v>
          </cell>
          <cell r="K12391" t="str">
            <v>Gillespie,Wendy</v>
          </cell>
          <cell r="N12391" t="str">
            <v>NR</v>
          </cell>
          <cell r="O12391" t="str">
            <v>NR</v>
          </cell>
        </row>
        <row r="12392">
          <cell r="E12392" t="str">
            <v>MUS</v>
          </cell>
          <cell r="F12392" t="str">
            <v xml:space="preserve">MUS-Y </v>
          </cell>
          <cell r="G12392">
            <v>110</v>
          </cell>
          <cell r="H12392" t="str">
            <v>MUS-Y 110</v>
          </cell>
          <cell r="K12392" t="str">
            <v>Hoeprich,Eric Eric</v>
          </cell>
          <cell r="N12392" t="str">
            <v>NR</v>
          </cell>
          <cell r="O12392" t="str">
            <v>NR</v>
          </cell>
        </row>
        <row r="12393">
          <cell r="E12393" t="str">
            <v>MUS</v>
          </cell>
          <cell r="F12393" t="str">
            <v xml:space="preserve">MUS-Y </v>
          </cell>
          <cell r="G12393">
            <v>110</v>
          </cell>
          <cell r="H12393" t="str">
            <v>MUS-Y 110</v>
          </cell>
          <cell r="K12393" t="str">
            <v>Hoeprich,Eric Eric</v>
          </cell>
          <cell r="N12393" t="str">
            <v>NR</v>
          </cell>
          <cell r="O12393" t="str">
            <v>NR</v>
          </cell>
        </row>
        <row r="12394">
          <cell r="E12394" t="str">
            <v>MUS</v>
          </cell>
          <cell r="F12394" t="str">
            <v xml:space="preserve">MUS-Y </v>
          </cell>
          <cell r="G12394">
            <v>110</v>
          </cell>
          <cell r="H12394" t="str">
            <v>MUS-Y 110</v>
          </cell>
          <cell r="K12394" t="str">
            <v>Kwapis,Kris</v>
          </cell>
          <cell r="N12394" t="str">
            <v>NR</v>
          </cell>
          <cell r="O12394" t="str">
            <v>NR</v>
          </cell>
        </row>
        <row r="12395">
          <cell r="E12395" t="str">
            <v>MUS</v>
          </cell>
          <cell r="F12395" t="str">
            <v xml:space="preserve">MUS-Y </v>
          </cell>
          <cell r="G12395">
            <v>110</v>
          </cell>
          <cell r="H12395" t="str">
            <v>MUS-Y 110</v>
          </cell>
          <cell r="K12395" t="str">
            <v>Kwapis,Kris</v>
          </cell>
          <cell r="N12395" t="str">
            <v>NR</v>
          </cell>
          <cell r="O12395" t="str">
            <v>NR</v>
          </cell>
        </row>
        <row r="12396">
          <cell r="E12396" t="str">
            <v>MUS</v>
          </cell>
          <cell r="F12396" t="str">
            <v xml:space="preserve">MUS-Y </v>
          </cell>
          <cell r="G12396">
            <v>110</v>
          </cell>
          <cell r="H12396" t="str">
            <v>MUS-Y 110</v>
          </cell>
          <cell r="K12396" t="str">
            <v>Lee,Eunji</v>
          </cell>
          <cell r="N12396" t="str">
            <v>NR</v>
          </cell>
          <cell r="O12396" t="str">
            <v>NR</v>
          </cell>
        </row>
        <row r="12397">
          <cell r="E12397" t="str">
            <v>MUS</v>
          </cell>
          <cell r="F12397" t="str">
            <v xml:space="preserve">MUS-Y </v>
          </cell>
          <cell r="G12397">
            <v>110</v>
          </cell>
          <cell r="H12397" t="str">
            <v>MUS-Y 110</v>
          </cell>
          <cell r="K12397" t="str">
            <v>McCraw,Michael</v>
          </cell>
          <cell r="N12397" t="str">
            <v>NR</v>
          </cell>
          <cell r="O12397" t="str">
            <v>NR</v>
          </cell>
        </row>
        <row r="12398">
          <cell r="E12398" t="str">
            <v>MUS</v>
          </cell>
          <cell r="F12398" t="str">
            <v xml:space="preserve">MUS-Y </v>
          </cell>
          <cell r="G12398">
            <v>110</v>
          </cell>
          <cell r="H12398" t="str">
            <v>MUS-Y 110</v>
          </cell>
          <cell r="K12398" t="str">
            <v>Pearse,Linda</v>
          </cell>
          <cell r="N12398" t="str">
            <v>NR</v>
          </cell>
          <cell r="O12398" t="str">
            <v>NR</v>
          </cell>
        </row>
        <row r="12399">
          <cell r="E12399" t="str">
            <v>MUS</v>
          </cell>
          <cell r="F12399" t="str">
            <v xml:space="preserve">MUS-Y </v>
          </cell>
          <cell r="G12399">
            <v>110</v>
          </cell>
          <cell r="H12399" t="str">
            <v>MUS-Y 110</v>
          </cell>
          <cell r="K12399" t="str">
            <v>Pearse,Linda</v>
          </cell>
          <cell r="N12399" t="str">
            <v>NR</v>
          </cell>
          <cell r="O12399" t="str">
            <v>NR</v>
          </cell>
        </row>
        <row r="12400">
          <cell r="E12400" t="str">
            <v>MUS</v>
          </cell>
          <cell r="F12400" t="str">
            <v xml:space="preserve">MUS-Y </v>
          </cell>
          <cell r="G12400">
            <v>110</v>
          </cell>
          <cell r="H12400" t="str">
            <v>MUS-Y 110</v>
          </cell>
          <cell r="K12400" t="str">
            <v>Ritchie,Stanley</v>
          </cell>
          <cell r="N12400" t="str">
            <v>NR</v>
          </cell>
          <cell r="O12400" t="str">
            <v>NR</v>
          </cell>
        </row>
        <row r="12401">
          <cell r="E12401" t="str">
            <v>MUS</v>
          </cell>
          <cell r="F12401" t="str">
            <v xml:space="preserve">MUS-Y </v>
          </cell>
          <cell r="G12401">
            <v>110</v>
          </cell>
          <cell r="H12401" t="str">
            <v>MUS-Y 110</v>
          </cell>
          <cell r="K12401" t="str">
            <v>Ritchie,Stanley</v>
          </cell>
          <cell r="N12401" t="str">
            <v>NR</v>
          </cell>
          <cell r="O12401" t="str">
            <v>NR</v>
          </cell>
        </row>
        <row r="12402">
          <cell r="E12402" t="str">
            <v>MUS</v>
          </cell>
          <cell r="F12402" t="str">
            <v xml:space="preserve">MUS-Y </v>
          </cell>
          <cell r="G12402">
            <v>110</v>
          </cell>
          <cell r="H12402" t="str">
            <v>MUS-Y 110</v>
          </cell>
          <cell r="K12402" t="str">
            <v>Seraphinoff,Richard M.</v>
          </cell>
          <cell r="N12402" t="str">
            <v>NR</v>
          </cell>
          <cell r="O12402" t="str">
            <v>NR</v>
          </cell>
        </row>
        <row r="12403">
          <cell r="E12403" t="str">
            <v>MUS</v>
          </cell>
          <cell r="F12403" t="str">
            <v xml:space="preserve">MUS-Y </v>
          </cell>
          <cell r="G12403">
            <v>110</v>
          </cell>
          <cell r="H12403" t="str">
            <v>MUS-Y 110</v>
          </cell>
          <cell r="K12403" t="str">
            <v>Seraphinoff,Richard M.</v>
          </cell>
          <cell r="N12403" t="str">
            <v>NR</v>
          </cell>
          <cell r="O12403" t="str">
            <v>NR</v>
          </cell>
        </row>
        <row r="12404">
          <cell r="E12404" t="str">
            <v>MUS</v>
          </cell>
          <cell r="F12404" t="str">
            <v xml:space="preserve">MUS-Y </v>
          </cell>
          <cell r="G12404">
            <v>110</v>
          </cell>
          <cell r="H12404" t="str">
            <v>MUS-Y 110</v>
          </cell>
          <cell r="K12404" t="str">
            <v>Shipley,Adrienne Regina</v>
          </cell>
          <cell r="N12404" t="str">
            <v>NR</v>
          </cell>
          <cell r="O12404" t="str">
            <v>NR</v>
          </cell>
        </row>
        <row r="12405">
          <cell r="E12405" t="str">
            <v>MUS</v>
          </cell>
          <cell r="F12405" t="str">
            <v xml:space="preserve">MUS-Y </v>
          </cell>
          <cell r="G12405">
            <v>410</v>
          </cell>
          <cell r="H12405" t="str">
            <v>MUS-Y 410</v>
          </cell>
          <cell r="K12405" t="str">
            <v>North,Nigel John</v>
          </cell>
          <cell r="N12405" t="str">
            <v>NR</v>
          </cell>
          <cell r="O12405" t="str">
            <v>NR</v>
          </cell>
        </row>
        <row r="12406">
          <cell r="E12406" t="str">
            <v>MUS</v>
          </cell>
          <cell r="F12406" t="str">
            <v xml:space="preserve">MUS-Y </v>
          </cell>
          <cell r="G12406">
            <v>410</v>
          </cell>
          <cell r="H12406" t="str">
            <v>MUS-Y 410</v>
          </cell>
          <cell r="K12406" t="str">
            <v>North,Nigel John</v>
          </cell>
          <cell r="N12406" t="str">
            <v>NR</v>
          </cell>
          <cell r="O12406" t="str">
            <v>NR</v>
          </cell>
        </row>
        <row r="12407">
          <cell r="E12407" t="str">
            <v>MUS</v>
          </cell>
          <cell r="F12407" t="str">
            <v xml:space="preserve">MUS-Y </v>
          </cell>
          <cell r="G12407">
            <v>410</v>
          </cell>
          <cell r="H12407" t="str">
            <v>MUS-Y 410</v>
          </cell>
          <cell r="K12407" t="str">
            <v>Ritchie,Stanley</v>
          </cell>
          <cell r="N12407" t="str">
            <v>NR</v>
          </cell>
          <cell r="O12407" t="str">
            <v>NR</v>
          </cell>
        </row>
        <row r="12408">
          <cell r="E12408" t="str">
            <v>MUS</v>
          </cell>
          <cell r="F12408" t="str">
            <v xml:space="preserve">MUS-Y </v>
          </cell>
          <cell r="G12408">
            <v>450</v>
          </cell>
          <cell r="H12408" t="str">
            <v>MUS-Y 450</v>
          </cell>
          <cell r="K12408" t="str">
            <v>North,Nigel John</v>
          </cell>
          <cell r="N12408" t="str">
            <v>NR</v>
          </cell>
          <cell r="O12408" t="str">
            <v>NR</v>
          </cell>
        </row>
        <row r="12409">
          <cell r="E12409" t="str">
            <v>MUS</v>
          </cell>
          <cell r="F12409" t="str">
            <v xml:space="preserve">MUS-Y </v>
          </cell>
          <cell r="G12409">
            <v>450</v>
          </cell>
          <cell r="H12409" t="str">
            <v>MUS-Y 450</v>
          </cell>
          <cell r="K12409" t="str">
            <v>North,Nigel John</v>
          </cell>
          <cell r="N12409" t="str">
            <v>NR</v>
          </cell>
          <cell r="O12409" t="str">
            <v>NR</v>
          </cell>
        </row>
        <row r="12410">
          <cell r="E12410" t="str">
            <v>MUS</v>
          </cell>
          <cell r="F12410" t="str">
            <v xml:space="preserve">MUS-Y </v>
          </cell>
          <cell r="G12410">
            <v>550</v>
          </cell>
          <cell r="H12410" t="str">
            <v>MUS-Y 550</v>
          </cell>
          <cell r="K12410" t="str">
            <v>North,Nigel John</v>
          </cell>
          <cell r="N12410">
            <v>4</v>
          </cell>
          <cell r="O12410">
            <v>3.8140000000000001</v>
          </cell>
        </row>
        <row r="12411">
          <cell r="E12411" t="str">
            <v>MUS</v>
          </cell>
          <cell r="F12411" t="str">
            <v xml:space="preserve">MUS-Y </v>
          </cell>
          <cell r="G12411">
            <v>550</v>
          </cell>
          <cell r="H12411" t="str">
            <v>MUS-Y 550</v>
          </cell>
          <cell r="K12411" t="str">
            <v>North,Nigel John</v>
          </cell>
          <cell r="N12411">
            <v>3.9820000000000002</v>
          </cell>
          <cell r="O12411">
            <v>3.84</v>
          </cell>
        </row>
        <row r="12412">
          <cell r="E12412" t="str">
            <v>MUS</v>
          </cell>
          <cell r="F12412" t="str">
            <v xml:space="preserve">MUS-Y </v>
          </cell>
          <cell r="G12412">
            <v>701</v>
          </cell>
          <cell r="H12412" t="str">
            <v>MUS-Y 701</v>
          </cell>
          <cell r="K12412" t="str">
            <v>Isaacson,Eric John</v>
          </cell>
          <cell r="N12412" t="str">
            <v>NR</v>
          </cell>
          <cell r="O12412" t="str">
            <v>NR</v>
          </cell>
        </row>
        <row r="12413">
          <cell r="E12413" t="str">
            <v>MUS</v>
          </cell>
          <cell r="F12413" t="str">
            <v xml:space="preserve">MUS-Y </v>
          </cell>
          <cell r="G12413">
            <v>701</v>
          </cell>
          <cell r="H12413" t="str">
            <v>MUS-Y 701</v>
          </cell>
          <cell r="K12413" t="str">
            <v>Isaacson,Eric John</v>
          </cell>
          <cell r="N12413" t="str">
            <v>NR</v>
          </cell>
          <cell r="O12413" t="str">
            <v>NR</v>
          </cell>
        </row>
        <row r="12414">
          <cell r="E12414" t="str">
            <v>MUS</v>
          </cell>
          <cell r="F12414" t="str">
            <v xml:space="preserve">MUS-Y </v>
          </cell>
          <cell r="G12414">
            <v>701</v>
          </cell>
          <cell r="H12414" t="str">
            <v>MUS-Y 701</v>
          </cell>
          <cell r="K12414" t="str">
            <v>Isaacson,Eric John</v>
          </cell>
          <cell r="N12414" t="str">
            <v>NR</v>
          </cell>
          <cell r="O12414" t="str">
            <v>NR</v>
          </cell>
        </row>
        <row r="12415">
          <cell r="E12415" t="str">
            <v>MUS</v>
          </cell>
          <cell r="F12415" t="str">
            <v xml:space="preserve">MUS-Y </v>
          </cell>
          <cell r="G12415">
            <v>701</v>
          </cell>
          <cell r="H12415" t="str">
            <v>MUS-Y 701</v>
          </cell>
          <cell r="K12415" t="str">
            <v>Isaacson,Eric John</v>
          </cell>
          <cell r="N12415" t="str">
            <v>NR</v>
          </cell>
          <cell r="O12415" t="str">
            <v>NR</v>
          </cell>
        </row>
        <row r="12416">
          <cell r="E12416" t="str">
            <v>MUS</v>
          </cell>
          <cell r="F12416" t="str">
            <v xml:space="preserve">MUS-Y </v>
          </cell>
          <cell r="G12416">
            <v>710</v>
          </cell>
          <cell r="H12416" t="str">
            <v>MUS-Y 710</v>
          </cell>
          <cell r="K12416" t="str">
            <v>Gillespie,Wendy</v>
          </cell>
          <cell r="N12416" t="str">
            <v>NR</v>
          </cell>
          <cell r="O12416" t="str">
            <v>NR</v>
          </cell>
        </row>
        <row r="12417">
          <cell r="E12417" t="str">
            <v>MUS</v>
          </cell>
          <cell r="F12417" t="str">
            <v xml:space="preserve">MUS-Y </v>
          </cell>
          <cell r="G12417">
            <v>710</v>
          </cell>
          <cell r="H12417" t="str">
            <v>MUS-Y 710</v>
          </cell>
          <cell r="K12417" t="str">
            <v>Hoeprich,Eric Eric</v>
          </cell>
          <cell r="N12417" t="str">
            <v>NR</v>
          </cell>
          <cell r="O12417" t="str">
            <v>NR</v>
          </cell>
        </row>
        <row r="12418">
          <cell r="E12418" t="str">
            <v>MUS</v>
          </cell>
          <cell r="F12418" t="str">
            <v xml:space="preserve">MUS-Y </v>
          </cell>
          <cell r="G12418">
            <v>710</v>
          </cell>
          <cell r="H12418" t="str">
            <v>MUS-Y 710</v>
          </cell>
          <cell r="K12418" t="str">
            <v>Hoeprich,Eric Eric</v>
          </cell>
          <cell r="N12418" t="str">
            <v>NR</v>
          </cell>
          <cell r="O12418" t="str">
            <v>NR</v>
          </cell>
        </row>
        <row r="12419">
          <cell r="E12419" t="str">
            <v>MUS</v>
          </cell>
          <cell r="F12419" t="str">
            <v xml:space="preserve">MUS-Y </v>
          </cell>
          <cell r="G12419">
            <v>710</v>
          </cell>
          <cell r="H12419" t="str">
            <v>MUS-Y 710</v>
          </cell>
          <cell r="K12419" t="str">
            <v>Kwapis,Kris</v>
          </cell>
          <cell r="N12419" t="str">
            <v>NR</v>
          </cell>
          <cell r="O12419" t="str">
            <v>NR</v>
          </cell>
        </row>
        <row r="12420">
          <cell r="E12420" t="str">
            <v>MUS</v>
          </cell>
          <cell r="F12420" t="str">
            <v xml:space="preserve">MUS-Y </v>
          </cell>
          <cell r="G12420">
            <v>710</v>
          </cell>
          <cell r="H12420" t="str">
            <v>MUS-Y 710</v>
          </cell>
          <cell r="K12420" t="str">
            <v>Lee,Eunji</v>
          </cell>
          <cell r="N12420" t="str">
            <v>NR</v>
          </cell>
          <cell r="O12420" t="str">
            <v>NR</v>
          </cell>
        </row>
        <row r="12421">
          <cell r="E12421" t="str">
            <v>MUS</v>
          </cell>
          <cell r="F12421" t="str">
            <v xml:space="preserve">MUS-Y </v>
          </cell>
          <cell r="G12421">
            <v>710</v>
          </cell>
          <cell r="H12421" t="str">
            <v>MUS-Y 710</v>
          </cell>
          <cell r="K12421" t="str">
            <v>Lee,Eunji</v>
          </cell>
          <cell r="N12421" t="str">
            <v>NR</v>
          </cell>
          <cell r="O12421" t="str">
            <v>NR</v>
          </cell>
        </row>
        <row r="12422">
          <cell r="E12422" t="str">
            <v>MUS</v>
          </cell>
          <cell r="F12422" t="str">
            <v xml:space="preserve">MUS-Y </v>
          </cell>
          <cell r="G12422">
            <v>710</v>
          </cell>
          <cell r="H12422" t="str">
            <v>MUS-Y 710</v>
          </cell>
          <cell r="K12422" t="str">
            <v>Ritchie,Stanley</v>
          </cell>
          <cell r="N12422" t="str">
            <v>NR</v>
          </cell>
          <cell r="O12422" t="str">
            <v>NR</v>
          </cell>
        </row>
        <row r="12423">
          <cell r="E12423" t="str">
            <v>MUS</v>
          </cell>
          <cell r="F12423" t="str">
            <v xml:space="preserve">MUS-Y </v>
          </cell>
          <cell r="G12423">
            <v>710</v>
          </cell>
          <cell r="H12423" t="str">
            <v>MUS-Y 710</v>
          </cell>
          <cell r="K12423" t="str">
            <v>Seraphinoff,Richard M.</v>
          </cell>
          <cell r="N12423" t="str">
            <v>NR</v>
          </cell>
          <cell r="O12423" t="str">
            <v>NR</v>
          </cell>
        </row>
        <row r="12424">
          <cell r="E12424" t="str">
            <v>MUS</v>
          </cell>
          <cell r="F12424" t="str">
            <v xml:space="preserve">MUS-Y </v>
          </cell>
          <cell r="G12424">
            <v>710</v>
          </cell>
          <cell r="H12424" t="str">
            <v>MUS-Y 710</v>
          </cell>
          <cell r="K12424" t="str">
            <v>Seraphinoff,Richard M.</v>
          </cell>
          <cell r="N12424" t="str">
            <v>NR</v>
          </cell>
          <cell r="O12424" t="str">
            <v>NR</v>
          </cell>
        </row>
        <row r="12425">
          <cell r="E12425" t="str">
            <v>MUS</v>
          </cell>
          <cell r="F12425" t="str">
            <v xml:space="preserve">MUS-Y </v>
          </cell>
          <cell r="G12425">
            <v>710</v>
          </cell>
          <cell r="H12425" t="str">
            <v>MUS-Y 710</v>
          </cell>
          <cell r="K12425" t="str">
            <v>Wright,Elisabeth B</v>
          </cell>
          <cell r="N12425" t="str">
            <v>NR</v>
          </cell>
          <cell r="O12425" t="str">
            <v>NR</v>
          </cell>
        </row>
        <row r="12426">
          <cell r="E12426" t="str">
            <v>MUS</v>
          </cell>
          <cell r="F12426" t="str">
            <v xml:space="preserve">MUS-Y </v>
          </cell>
          <cell r="G12426">
            <v>810</v>
          </cell>
          <cell r="H12426" t="str">
            <v>MUS-Y 810</v>
          </cell>
          <cell r="K12426" t="str">
            <v>Elliott,Paul</v>
          </cell>
          <cell r="N12426" t="str">
            <v>NR</v>
          </cell>
          <cell r="O12426" t="str">
            <v>NR</v>
          </cell>
        </row>
        <row r="12427">
          <cell r="E12427" t="str">
            <v>MUS</v>
          </cell>
          <cell r="F12427" t="str">
            <v xml:space="preserve">MUS-Y </v>
          </cell>
          <cell r="G12427">
            <v>810</v>
          </cell>
          <cell r="H12427" t="str">
            <v>MUS-Y 810</v>
          </cell>
          <cell r="K12427" t="str">
            <v>Gillespie,Wendy</v>
          </cell>
          <cell r="N12427" t="str">
            <v>NR</v>
          </cell>
          <cell r="O12427" t="str">
            <v>NR</v>
          </cell>
        </row>
        <row r="12428">
          <cell r="E12428" t="str">
            <v>MUS</v>
          </cell>
          <cell r="F12428" t="str">
            <v xml:space="preserve">MUS-Y </v>
          </cell>
          <cell r="G12428">
            <v>810</v>
          </cell>
          <cell r="H12428" t="str">
            <v>MUS-Y 810</v>
          </cell>
          <cell r="K12428" t="str">
            <v>Gillespie,Wendy</v>
          </cell>
          <cell r="N12428" t="str">
            <v>NR</v>
          </cell>
          <cell r="O12428" t="str">
            <v>NR</v>
          </cell>
        </row>
        <row r="12429">
          <cell r="E12429" t="str">
            <v>MUS</v>
          </cell>
          <cell r="F12429" t="str">
            <v xml:space="preserve">MUS-Y </v>
          </cell>
          <cell r="G12429">
            <v>810</v>
          </cell>
          <cell r="H12429" t="str">
            <v>MUS-Y 810</v>
          </cell>
          <cell r="K12429" t="str">
            <v>Hoeprich,Eric Eric</v>
          </cell>
          <cell r="N12429" t="str">
            <v>NR</v>
          </cell>
          <cell r="O12429" t="str">
            <v>NR</v>
          </cell>
        </row>
        <row r="12430">
          <cell r="E12430" t="str">
            <v>MUS</v>
          </cell>
          <cell r="F12430" t="str">
            <v xml:space="preserve">MUS-Y </v>
          </cell>
          <cell r="G12430">
            <v>810</v>
          </cell>
          <cell r="H12430" t="str">
            <v>MUS-Y 810</v>
          </cell>
          <cell r="K12430" t="str">
            <v>Hoeprich,Eric Eric</v>
          </cell>
          <cell r="N12430" t="str">
            <v>NR</v>
          </cell>
          <cell r="O12430" t="str">
            <v>NR</v>
          </cell>
        </row>
        <row r="12431">
          <cell r="E12431" t="str">
            <v>MUS</v>
          </cell>
          <cell r="F12431" t="str">
            <v xml:space="preserve">MUS-Y </v>
          </cell>
          <cell r="G12431">
            <v>810</v>
          </cell>
          <cell r="H12431" t="str">
            <v>MUS-Y 810</v>
          </cell>
          <cell r="K12431" t="str">
            <v>Kalis,Dawn Michele</v>
          </cell>
          <cell r="N12431">
            <v>4</v>
          </cell>
          <cell r="O12431">
            <v>3.9569999999999999</v>
          </cell>
        </row>
        <row r="12432">
          <cell r="E12432" t="str">
            <v>MUS</v>
          </cell>
          <cell r="F12432" t="str">
            <v xml:space="preserve">MUS-Y </v>
          </cell>
          <cell r="G12432">
            <v>810</v>
          </cell>
          <cell r="H12432" t="str">
            <v>MUS-Y 810</v>
          </cell>
          <cell r="K12432" t="str">
            <v>Kalis,Dawn Michele</v>
          </cell>
          <cell r="N12432">
            <v>4</v>
          </cell>
          <cell r="O12432">
            <v>3.7679999999999998</v>
          </cell>
        </row>
        <row r="12433">
          <cell r="E12433" t="str">
            <v>MUS</v>
          </cell>
          <cell r="F12433" t="str">
            <v xml:space="preserve">MUS-Y </v>
          </cell>
          <cell r="G12433">
            <v>810</v>
          </cell>
          <cell r="H12433" t="str">
            <v>MUS-Y 810</v>
          </cell>
          <cell r="K12433" t="str">
            <v>Kallaur,Barbara</v>
          </cell>
          <cell r="N12433" t="str">
            <v>NR</v>
          </cell>
          <cell r="O12433" t="str">
            <v>NR</v>
          </cell>
        </row>
        <row r="12434">
          <cell r="E12434" t="str">
            <v>MUS</v>
          </cell>
          <cell r="F12434" t="str">
            <v xml:space="preserve">MUS-Y </v>
          </cell>
          <cell r="G12434">
            <v>810</v>
          </cell>
          <cell r="H12434" t="str">
            <v>MUS-Y 810</v>
          </cell>
          <cell r="K12434" t="str">
            <v>Kwapis,Kris</v>
          </cell>
          <cell r="N12434" t="str">
            <v>NR</v>
          </cell>
          <cell r="O12434" t="str">
            <v>NR</v>
          </cell>
        </row>
        <row r="12435">
          <cell r="E12435" t="str">
            <v>MUS</v>
          </cell>
          <cell r="F12435" t="str">
            <v xml:space="preserve">MUS-Y </v>
          </cell>
          <cell r="G12435">
            <v>810</v>
          </cell>
          <cell r="H12435" t="str">
            <v>MUS-Y 810</v>
          </cell>
          <cell r="K12435" t="str">
            <v>Kwapis,Kris</v>
          </cell>
          <cell r="N12435" t="str">
            <v>NR</v>
          </cell>
          <cell r="O12435" t="str">
            <v>NR</v>
          </cell>
        </row>
        <row r="12436">
          <cell r="E12436" t="str">
            <v>MUS</v>
          </cell>
          <cell r="F12436" t="str">
            <v xml:space="preserve">MUS-Y </v>
          </cell>
          <cell r="G12436">
            <v>810</v>
          </cell>
          <cell r="H12436" t="str">
            <v>MUS-Y 810</v>
          </cell>
          <cell r="K12436" t="str">
            <v>McCraw,Michael</v>
          </cell>
          <cell r="N12436" t="str">
            <v>NR</v>
          </cell>
          <cell r="O12436" t="str">
            <v>NR</v>
          </cell>
        </row>
        <row r="12437">
          <cell r="E12437" t="str">
            <v>MUS</v>
          </cell>
          <cell r="F12437" t="str">
            <v xml:space="preserve">MUS-Y </v>
          </cell>
          <cell r="G12437">
            <v>810</v>
          </cell>
          <cell r="H12437" t="str">
            <v>MUS-Y 810</v>
          </cell>
          <cell r="K12437" t="str">
            <v>McCraw,Michael</v>
          </cell>
          <cell r="N12437" t="str">
            <v>NR</v>
          </cell>
          <cell r="O12437" t="str">
            <v>NR</v>
          </cell>
        </row>
        <row r="12438">
          <cell r="E12438" t="str">
            <v>MUS</v>
          </cell>
          <cell r="F12438" t="str">
            <v xml:space="preserve">MUS-Y </v>
          </cell>
          <cell r="G12438">
            <v>810</v>
          </cell>
          <cell r="H12438" t="str">
            <v>MUS-Y 810</v>
          </cell>
          <cell r="K12438" t="str">
            <v>Pearse,Linda</v>
          </cell>
          <cell r="N12438" t="str">
            <v>NR</v>
          </cell>
          <cell r="O12438" t="str">
            <v>NR</v>
          </cell>
        </row>
        <row r="12439">
          <cell r="E12439" t="str">
            <v>MUS</v>
          </cell>
          <cell r="F12439" t="str">
            <v xml:space="preserve">MUS-Y </v>
          </cell>
          <cell r="G12439">
            <v>810</v>
          </cell>
          <cell r="H12439" t="str">
            <v>MUS-Y 810</v>
          </cell>
          <cell r="K12439" t="str">
            <v>Pearse,Linda</v>
          </cell>
          <cell r="N12439" t="str">
            <v>NR</v>
          </cell>
          <cell r="O12439" t="str">
            <v>NR</v>
          </cell>
        </row>
        <row r="12440">
          <cell r="E12440" t="str">
            <v>MUS</v>
          </cell>
          <cell r="F12440" t="str">
            <v xml:space="preserve">MUS-Y </v>
          </cell>
          <cell r="G12440">
            <v>810</v>
          </cell>
          <cell r="H12440" t="str">
            <v>MUS-Y 810</v>
          </cell>
          <cell r="K12440" t="str">
            <v>Ritchie,Stanley</v>
          </cell>
          <cell r="N12440" t="str">
            <v>NR</v>
          </cell>
          <cell r="O12440" t="str">
            <v>NR</v>
          </cell>
        </row>
        <row r="12441">
          <cell r="E12441" t="str">
            <v>MUS</v>
          </cell>
          <cell r="F12441" t="str">
            <v xml:space="preserve">MUS-Y </v>
          </cell>
          <cell r="G12441">
            <v>810</v>
          </cell>
          <cell r="H12441" t="str">
            <v>MUS-Y 810</v>
          </cell>
          <cell r="K12441" t="str">
            <v>Ritchie,Stanley</v>
          </cell>
          <cell r="N12441" t="str">
            <v>NR</v>
          </cell>
          <cell r="O12441" t="str">
            <v>NR</v>
          </cell>
        </row>
        <row r="12442">
          <cell r="E12442" t="str">
            <v>MUS</v>
          </cell>
          <cell r="F12442" t="str">
            <v xml:space="preserve">MUS-Y </v>
          </cell>
          <cell r="G12442">
            <v>810</v>
          </cell>
          <cell r="H12442" t="str">
            <v>MUS-Y 810</v>
          </cell>
          <cell r="K12442" t="str">
            <v>Ritchie,Stanley</v>
          </cell>
          <cell r="N12442" t="str">
            <v>NR</v>
          </cell>
          <cell r="O12442" t="str">
            <v>NR</v>
          </cell>
        </row>
        <row r="12443">
          <cell r="E12443" t="str">
            <v>MUS</v>
          </cell>
          <cell r="F12443" t="str">
            <v xml:space="preserve">MUS-Y </v>
          </cell>
          <cell r="G12443">
            <v>810</v>
          </cell>
          <cell r="H12443" t="str">
            <v>MUS-Y 810</v>
          </cell>
          <cell r="K12443" t="str">
            <v>Ritchie,Stanley</v>
          </cell>
          <cell r="N12443" t="str">
            <v>NR</v>
          </cell>
          <cell r="O12443" t="str">
            <v>NR</v>
          </cell>
        </row>
        <row r="12444">
          <cell r="E12444" t="str">
            <v>MUS</v>
          </cell>
          <cell r="F12444" t="str">
            <v xml:space="preserve">MUS-Y </v>
          </cell>
          <cell r="G12444">
            <v>810</v>
          </cell>
          <cell r="H12444" t="str">
            <v>MUS-Y 810</v>
          </cell>
          <cell r="K12444" t="str">
            <v>Seraphinoff,Richard M.</v>
          </cell>
          <cell r="N12444" t="str">
            <v>NR</v>
          </cell>
          <cell r="O12444" t="str">
            <v>NR</v>
          </cell>
        </row>
        <row r="12445">
          <cell r="E12445" t="str">
            <v>MUS</v>
          </cell>
          <cell r="F12445" t="str">
            <v xml:space="preserve">MUS-Y </v>
          </cell>
          <cell r="G12445">
            <v>810</v>
          </cell>
          <cell r="H12445" t="str">
            <v>MUS-Y 810</v>
          </cell>
          <cell r="K12445" t="str">
            <v>Seraphinoff,Richard M.</v>
          </cell>
          <cell r="N12445" t="str">
            <v>NR</v>
          </cell>
          <cell r="O12445" t="str">
            <v>NR</v>
          </cell>
        </row>
        <row r="12446">
          <cell r="E12446" t="str">
            <v>MUS</v>
          </cell>
          <cell r="F12446" t="str">
            <v xml:space="preserve">MUS-Y </v>
          </cell>
          <cell r="G12446">
            <v>810</v>
          </cell>
          <cell r="H12446" t="str">
            <v>MUS-Y 810</v>
          </cell>
          <cell r="K12446" t="str">
            <v>Wright,Elisabeth B</v>
          </cell>
          <cell r="N12446" t="str">
            <v>NR</v>
          </cell>
          <cell r="O12446" t="str">
            <v>NR</v>
          </cell>
        </row>
        <row r="12447">
          <cell r="E12447" t="str">
            <v>MUS</v>
          </cell>
          <cell r="F12447" t="str">
            <v xml:space="preserve">MUS-Y </v>
          </cell>
          <cell r="G12447">
            <v>810</v>
          </cell>
          <cell r="H12447" t="str">
            <v>MUS-Y 810</v>
          </cell>
          <cell r="K12447" t="str">
            <v>Wright,Elisabeth B</v>
          </cell>
          <cell r="N12447" t="str">
            <v>NR</v>
          </cell>
          <cell r="O12447" t="str">
            <v>NR</v>
          </cell>
        </row>
        <row r="12448">
          <cell r="E12448" t="str">
            <v>MUS</v>
          </cell>
          <cell r="F12448" t="str">
            <v xml:space="preserve">MUS-Y </v>
          </cell>
          <cell r="G12448">
            <v>810</v>
          </cell>
          <cell r="H12448" t="str">
            <v>MUS-Y 810</v>
          </cell>
          <cell r="K12448" t="str">
            <v>Wright,Elisabeth B</v>
          </cell>
          <cell r="N12448" t="str">
            <v>NR</v>
          </cell>
          <cell r="O12448" t="str">
            <v>NR</v>
          </cell>
        </row>
        <row r="12449">
          <cell r="E12449" t="str">
            <v>MUS</v>
          </cell>
          <cell r="F12449" t="str">
            <v xml:space="preserve">MUS-Y </v>
          </cell>
          <cell r="G12449">
            <v>910</v>
          </cell>
          <cell r="H12449" t="str">
            <v>MUS-Y 910</v>
          </cell>
          <cell r="K12449" t="str">
            <v>Elliott,Paul</v>
          </cell>
          <cell r="N12449">
            <v>4</v>
          </cell>
          <cell r="O12449">
            <v>3.863</v>
          </cell>
        </row>
        <row r="12450">
          <cell r="E12450" t="str">
            <v>MUS</v>
          </cell>
          <cell r="F12450" t="str">
            <v xml:space="preserve">MUS-Y </v>
          </cell>
          <cell r="G12450">
            <v>910</v>
          </cell>
          <cell r="H12450" t="str">
            <v>MUS-Y 910</v>
          </cell>
          <cell r="K12450" t="str">
            <v>Elliott,Paul</v>
          </cell>
          <cell r="N12450">
            <v>3.9569999999999999</v>
          </cell>
          <cell r="O12450">
            <v>3.8460000000000001</v>
          </cell>
        </row>
        <row r="12451">
          <cell r="E12451" t="str">
            <v>MUS</v>
          </cell>
          <cell r="F12451" t="str">
            <v xml:space="preserve">MUS-Y </v>
          </cell>
          <cell r="G12451">
            <v>910</v>
          </cell>
          <cell r="H12451" t="str">
            <v>MUS-Y 910</v>
          </cell>
          <cell r="K12451" t="str">
            <v>Gillespie,Wendy</v>
          </cell>
          <cell r="N12451" t="str">
            <v>NR</v>
          </cell>
          <cell r="O12451" t="str">
            <v>NR</v>
          </cell>
        </row>
        <row r="12452">
          <cell r="E12452" t="str">
            <v>MUS</v>
          </cell>
          <cell r="F12452" t="str">
            <v xml:space="preserve">MUS-Y </v>
          </cell>
          <cell r="G12452">
            <v>910</v>
          </cell>
          <cell r="H12452" t="str">
            <v>MUS-Y 910</v>
          </cell>
          <cell r="K12452" t="str">
            <v>Gillespie,Wendy</v>
          </cell>
          <cell r="N12452" t="str">
            <v>NR</v>
          </cell>
          <cell r="O12452" t="str">
            <v>NR</v>
          </cell>
        </row>
        <row r="12453">
          <cell r="E12453" t="str">
            <v>MUS</v>
          </cell>
          <cell r="F12453" t="str">
            <v xml:space="preserve">MUS-Y </v>
          </cell>
          <cell r="G12453">
            <v>910</v>
          </cell>
          <cell r="H12453" t="str">
            <v>MUS-Y 910</v>
          </cell>
          <cell r="K12453" t="str">
            <v>McClain,Washington</v>
          </cell>
          <cell r="N12453" t="str">
            <v>NR</v>
          </cell>
          <cell r="O12453" t="str">
            <v>NR</v>
          </cell>
        </row>
        <row r="12454">
          <cell r="E12454" t="str">
            <v>MUS</v>
          </cell>
          <cell r="F12454" t="str">
            <v xml:space="preserve">MUS-Y </v>
          </cell>
          <cell r="G12454">
            <v>910</v>
          </cell>
          <cell r="H12454" t="str">
            <v>MUS-Y 910</v>
          </cell>
          <cell r="K12454" t="str">
            <v>McClain,Washington</v>
          </cell>
          <cell r="N12454" t="str">
            <v>NR</v>
          </cell>
          <cell r="O12454" t="str">
            <v>NR</v>
          </cell>
        </row>
        <row r="12455">
          <cell r="E12455" t="str">
            <v>MUS</v>
          </cell>
          <cell r="F12455" t="str">
            <v xml:space="preserve">MUS-Y </v>
          </cell>
          <cell r="G12455">
            <v>910</v>
          </cell>
          <cell r="H12455" t="str">
            <v>MUS-Y 910</v>
          </cell>
          <cell r="K12455" t="str">
            <v>Ritchie,Stanley</v>
          </cell>
          <cell r="N12455" t="str">
            <v>NR</v>
          </cell>
          <cell r="O12455" t="str">
            <v>NR</v>
          </cell>
        </row>
        <row r="12456">
          <cell r="E12456" t="str">
            <v>MUS</v>
          </cell>
          <cell r="F12456" t="str">
            <v xml:space="preserve">MUS-Y </v>
          </cell>
          <cell r="G12456">
            <v>910</v>
          </cell>
          <cell r="H12456" t="str">
            <v>MUS-Y 910</v>
          </cell>
          <cell r="K12456" t="str">
            <v>Ritchie,Stanley</v>
          </cell>
          <cell r="N12456" t="str">
            <v>NR</v>
          </cell>
          <cell r="O12456" t="str">
            <v>NR</v>
          </cell>
        </row>
        <row r="12457">
          <cell r="E12457" t="str">
            <v>MUS</v>
          </cell>
          <cell r="F12457" t="str">
            <v xml:space="preserve">MUS-Y </v>
          </cell>
          <cell r="G12457">
            <v>910</v>
          </cell>
          <cell r="H12457" t="str">
            <v>MUS-Y 910</v>
          </cell>
          <cell r="K12457" t="str">
            <v>Wright,Elisabeth B</v>
          </cell>
          <cell r="N12457" t="str">
            <v>NR</v>
          </cell>
          <cell r="O12457" t="str">
            <v>NR</v>
          </cell>
        </row>
        <row r="12458">
          <cell r="E12458" t="str">
            <v>MUS</v>
          </cell>
          <cell r="F12458" t="str">
            <v xml:space="preserve">MUS-Y </v>
          </cell>
          <cell r="G12458">
            <v>910</v>
          </cell>
          <cell r="H12458" t="str">
            <v>MUS-Y 910</v>
          </cell>
          <cell r="K12458" t="str">
            <v>Wright,Elisabeth B</v>
          </cell>
          <cell r="N12458">
            <v>3.9</v>
          </cell>
          <cell r="O12458">
            <v>3.7770000000000001</v>
          </cell>
        </row>
        <row r="12459">
          <cell r="E12459" t="str">
            <v>MUS</v>
          </cell>
          <cell r="F12459" t="str">
            <v xml:space="preserve">MUS-Y </v>
          </cell>
          <cell r="G12459">
            <v>910</v>
          </cell>
          <cell r="H12459" t="str">
            <v>MUS-Y 910</v>
          </cell>
          <cell r="K12459" t="str">
            <v>Wright,Elisabeth B</v>
          </cell>
          <cell r="N12459" t="str">
            <v>NR</v>
          </cell>
          <cell r="O12459" t="str">
            <v>NR</v>
          </cell>
        </row>
        <row r="12460">
          <cell r="E12460" t="str">
            <v>MUS</v>
          </cell>
          <cell r="F12460" t="str">
            <v xml:space="preserve">MUS-Y </v>
          </cell>
          <cell r="G12460">
            <v>910</v>
          </cell>
          <cell r="H12460" t="str">
            <v>MUS-Y 910</v>
          </cell>
          <cell r="K12460" t="str">
            <v>Wright,Elisabeth B</v>
          </cell>
          <cell r="N12460" t="str">
            <v>NR</v>
          </cell>
          <cell r="O12460" t="str">
            <v>NR</v>
          </cell>
        </row>
        <row r="12461">
          <cell r="E12461" t="str">
            <v>MUS</v>
          </cell>
          <cell r="F12461" t="str">
            <v xml:space="preserve">MUS-Z </v>
          </cell>
          <cell r="G12461">
            <v>100</v>
          </cell>
          <cell r="H12461" t="str">
            <v>MUS-Z 100</v>
          </cell>
          <cell r="K12461" t="str">
            <v>Glen,Constance Cook</v>
          </cell>
          <cell r="N12461">
            <v>3.4830000000000001</v>
          </cell>
          <cell r="O12461">
            <v>3.0409999999999999</v>
          </cell>
        </row>
        <row r="12462">
          <cell r="E12462" t="str">
            <v>MUS</v>
          </cell>
          <cell r="F12462" t="str">
            <v xml:space="preserve">MUS-Z </v>
          </cell>
          <cell r="G12462">
            <v>100</v>
          </cell>
          <cell r="H12462" t="str">
            <v>MUS-Z 100</v>
          </cell>
          <cell r="K12462" t="str">
            <v>Glen,Constance Cook</v>
          </cell>
          <cell r="N12462">
            <v>3.5459999999999998</v>
          </cell>
          <cell r="O12462">
            <v>3.181</v>
          </cell>
        </row>
        <row r="12463">
          <cell r="E12463" t="str">
            <v>MUS</v>
          </cell>
          <cell r="F12463" t="str">
            <v xml:space="preserve">MUS-Z </v>
          </cell>
          <cell r="G12463">
            <v>101</v>
          </cell>
          <cell r="H12463" t="str">
            <v>MUS-Z 101</v>
          </cell>
          <cell r="K12463" t="str">
            <v>Asai,Rika</v>
          </cell>
          <cell r="N12463">
            <v>3.4609999999999999</v>
          </cell>
          <cell r="O12463">
            <v>3.2080000000000002</v>
          </cell>
        </row>
        <row r="12464">
          <cell r="E12464" t="str">
            <v>MUS</v>
          </cell>
          <cell r="F12464" t="str">
            <v xml:space="preserve">MUS-Z </v>
          </cell>
          <cell r="G12464">
            <v>101</v>
          </cell>
          <cell r="H12464" t="str">
            <v>MUS-Z 101</v>
          </cell>
          <cell r="K12464" t="str">
            <v>Asai,Rika</v>
          </cell>
          <cell r="N12464">
            <v>3.375</v>
          </cell>
          <cell r="O12464">
            <v>3.4550000000000001</v>
          </cell>
        </row>
        <row r="12465">
          <cell r="E12465" t="str">
            <v>MUS</v>
          </cell>
          <cell r="F12465" t="str">
            <v xml:space="preserve">MUS-Z </v>
          </cell>
          <cell r="G12465">
            <v>101</v>
          </cell>
          <cell r="H12465" t="str">
            <v>MUS-Z 101</v>
          </cell>
          <cell r="K12465" t="str">
            <v>Glen,Constance Cook</v>
          </cell>
          <cell r="N12465">
            <v>3.2810000000000001</v>
          </cell>
          <cell r="O12465">
            <v>3.0630000000000002</v>
          </cell>
        </row>
        <row r="12466">
          <cell r="E12466" t="str">
            <v>MUS</v>
          </cell>
          <cell r="F12466" t="str">
            <v xml:space="preserve">MUS-Z </v>
          </cell>
          <cell r="G12466">
            <v>101</v>
          </cell>
          <cell r="H12466" t="str">
            <v>MUS-Z 101</v>
          </cell>
          <cell r="K12466" t="str">
            <v>Glen,Constance Cook</v>
          </cell>
          <cell r="N12466">
            <v>3.9790000000000001</v>
          </cell>
          <cell r="O12466">
            <v>3.81</v>
          </cell>
        </row>
        <row r="12467">
          <cell r="E12467" t="str">
            <v>MUS</v>
          </cell>
          <cell r="F12467" t="str">
            <v xml:space="preserve">MUS-Z </v>
          </cell>
          <cell r="G12467">
            <v>103</v>
          </cell>
          <cell r="H12467" t="str">
            <v>MUS-Z 103</v>
          </cell>
          <cell r="K12467" t="str">
            <v>Bishop,Daniel J</v>
          </cell>
          <cell r="N12467">
            <v>2.577</v>
          </cell>
          <cell r="O12467">
            <v>2.7629999999999999</v>
          </cell>
        </row>
        <row r="12468">
          <cell r="E12468" t="str">
            <v>MUS</v>
          </cell>
          <cell r="F12468" t="str">
            <v xml:space="preserve">MUS-Z </v>
          </cell>
          <cell r="G12468">
            <v>103</v>
          </cell>
          <cell r="H12468" t="str">
            <v>MUS-Z 103</v>
          </cell>
          <cell r="K12468" t="str">
            <v>Grieb,Scott T</v>
          </cell>
          <cell r="N12468">
            <v>3.5640000000000001</v>
          </cell>
          <cell r="O12468">
            <v>3.2349999999999999</v>
          </cell>
        </row>
        <row r="12469">
          <cell r="E12469" t="str">
            <v>MUS</v>
          </cell>
          <cell r="F12469" t="str">
            <v xml:space="preserve">MUS-Z </v>
          </cell>
          <cell r="G12469">
            <v>103</v>
          </cell>
          <cell r="H12469" t="str">
            <v>MUS-Z 103</v>
          </cell>
          <cell r="K12469" t="str">
            <v>Guntren,Alissa J</v>
          </cell>
          <cell r="N12469">
            <v>3.6930000000000001</v>
          </cell>
          <cell r="O12469">
            <v>3.484</v>
          </cell>
        </row>
        <row r="12470">
          <cell r="E12470" t="str">
            <v>MUS</v>
          </cell>
          <cell r="F12470" t="str">
            <v xml:space="preserve">MUS-Z </v>
          </cell>
          <cell r="G12470">
            <v>110</v>
          </cell>
          <cell r="H12470" t="str">
            <v>MUS-Z 110</v>
          </cell>
          <cell r="K12470" t="str">
            <v>Berg,Ian Andrew</v>
          </cell>
          <cell r="N12470">
            <v>3.7440000000000002</v>
          </cell>
          <cell r="O12470">
            <v>3.4279999999999999</v>
          </cell>
        </row>
        <row r="12471">
          <cell r="E12471" t="str">
            <v>MUS</v>
          </cell>
          <cell r="F12471" t="str">
            <v xml:space="preserve">MUS-Z </v>
          </cell>
          <cell r="G12471">
            <v>110</v>
          </cell>
          <cell r="H12471" t="str">
            <v>MUS-Z 110</v>
          </cell>
          <cell r="K12471" t="str">
            <v>Berg,Ian Andrew</v>
          </cell>
          <cell r="N12471" t="str">
            <v>NR</v>
          </cell>
          <cell r="O12471" t="str">
            <v>NR</v>
          </cell>
        </row>
        <row r="12472">
          <cell r="E12472" t="str">
            <v>MUS</v>
          </cell>
          <cell r="F12472" t="str">
            <v xml:space="preserve">MUS-Z </v>
          </cell>
          <cell r="G12472">
            <v>110</v>
          </cell>
          <cell r="H12472" t="str">
            <v>MUS-Z 110</v>
          </cell>
          <cell r="K12472" t="str">
            <v>Berg,Ian Andrew</v>
          </cell>
          <cell r="N12472" t="str">
            <v>NR</v>
          </cell>
          <cell r="O12472" t="str">
            <v>NR</v>
          </cell>
        </row>
        <row r="12473">
          <cell r="E12473" t="str">
            <v>MUS</v>
          </cell>
          <cell r="F12473" t="str">
            <v xml:space="preserve">MUS-Z </v>
          </cell>
          <cell r="G12473">
            <v>110</v>
          </cell>
          <cell r="H12473" t="str">
            <v>MUS-Z 110</v>
          </cell>
          <cell r="K12473" t="str">
            <v>Berg,Ian Andrew</v>
          </cell>
          <cell r="N12473">
            <v>4</v>
          </cell>
          <cell r="O12473">
            <v>3.5449999999999999</v>
          </cell>
        </row>
        <row r="12474">
          <cell r="E12474" t="str">
            <v>MUS</v>
          </cell>
          <cell r="F12474" t="str">
            <v xml:space="preserve">MUS-Z </v>
          </cell>
          <cell r="G12474">
            <v>110</v>
          </cell>
          <cell r="H12474" t="str">
            <v>MUS-Z 110</v>
          </cell>
          <cell r="K12474" t="str">
            <v>Bloom,Myron</v>
          </cell>
          <cell r="N12474" t="str">
            <v>NR</v>
          </cell>
          <cell r="O12474" t="str">
            <v>NR</v>
          </cell>
        </row>
        <row r="12475">
          <cell r="E12475" t="str">
            <v>MUS</v>
          </cell>
          <cell r="F12475" t="str">
            <v xml:space="preserve">MUS-Z </v>
          </cell>
          <cell r="G12475">
            <v>110</v>
          </cell>
          <cell r="H12475" t="str">
            <v>MUS-Z 110</v>
          </cell>
          <cell r="K12475" t="str">
            <v>Cartledge,David Owen</v>
          </cell>
          <cell r="N12475">
            <v>3.8410000000000002</v>
          </cell>
          <cell r="O12475">
            <v>3.177</v>
          </cell>
        </row>
        <row r="12476">
          <cell r="E12476" t="str">
            <v>MUS</v>
          </cell>
          <cell r="F12476" t="str">
            <v xml:space="preserve">MUS-Z </v>
          </cell>
          <cell r="G12476">
            <v>110</v>
          </cell>
          <cell r="H12476" t="str">
            <v>MUS-Z 110</v>
          </cell>
          <cell r="K12476" t="str">
            <v>Cartledge,David Owen</v>
          </cell>
          <cell r="N12476">
            <v>3.8250000000000002</v>
          </cell>
          <cell r="O12476">
            <v>3.1360000000000001</v>
          </cell>
        </row>
        <row r="12477">
          <cell r="E12477" t="str">
            <v>MUS</v>
          </cell>
          <cell r="F12477" t="str">
            <v xml:space="preserve">MUS-Z </v>
          </cell>
          <cell r="G12477">
            <v>110</v>
          </cell>
          <cell r="H12477" t="str">
            <v>MUS-Z 110</v>
          </cell>
          <cell r="K12477" t="str">
            <v>Cohen,Arnaldo</v>
          </cell>
          <cell r="N12477" t="str">
            <v>NR</v>
          </cell>
          <cell r="O12477" t="str">
            <v>NR</v>
          </cell>
        </row>
        <row r="12478">
          <cell r="E12478" t="str">
            <v>MUS</v>
          </cell>
          <cell r="F12478" t="str">
            <v xml:space="preserve">MUS-Z </v>
          </cell>
          <cell r="G12478">
            <v>110</v>
          </cell>
          <cell r="H12478" t="str">
            <v>MUS-Z 110</v>
          </cell>
          <cell r="K12478" t="str">
            <v>Cumming,Ashley</v>
          </cell>
          <cell r="N12478" t="str">
            <v>NR</v>
          </cell>
          <cell r="O12478" t="str">
            <v>NR</v>
          </cell>
        </row>
        <row r="12479">
          <cell r="E12479" t="str">
            <v>MUS</v>
          </cell>
          <cell r="F12479" t="str">
            <v xml:space="preserve">MUS-Z </v>
          </cell>
          <cell r="G12479">
            <v>110</v>
          </cell>
          <cell r="H12479" t="str">
            <v>MUS-Z 110</v>
          </cell>
          <cell r="K12479" t="str">
            <v>Cumming,Ashley</v>
          </cell>
          <cell r="N12479" t="str">
            <v>NR</v>
          </cell>
          <cell r="O12479" t="str">
            <v>NR</v>
          </cell>
        </row>
        <row r="12480">
          <cell r="E12480" t="str">
            <v>MUS</v>
          </cell>
          <cell r="F12480" t="str">
            <v xml:space="preserve">MUS-Z </v>
          </cell>
          <cell r="G12480">
            <v>110</v>
          </cell>
          <cell r="H12480" t="str">
            <v>MUS-Z 110</v>
          </cell>
          <cell r="K12480" t="str">
            <v>Cumming,Ashley</v>
          </cell>
          <cell r="N12480">
            <v>3.4830000000000001</v>
          </cell>
          <cell r="O12480">
            <v>3.0209999999999999</v>
          </cell>
        </row>
        <row r="12481">
          <cell r="E12481" t="str">
            <v>MUS</v>
          </cell>
          <cell r="F12481" t="str">
            <v xml:space="preserve">MUS-Z </v>
          </cell>
          <cell r="G12481">
            <v>110</v>
          </cell>
          <cell r="H12481" t="str">
            <v>MUS-Z 110</v>
          </cell>
          <cell r="K12481" t="str">
            <v>Cumming,Ashley</v>
          </cell>
          <cell r="N12481" t="str">
            <v>NR</v>
          </cell>
          <cell r="O12481" t="str">
            <v>NR</v>
          </cell>
        </row>
        <row r="12482">
          <cell r="E12482" t="str">
            <v>MUS</v>
          </cell>
          <cell r="F12482" t="str">
            <v xml:space="preserve">MUS-Z </v>
          </cell>
          <cell r="G12482">
            <v>110</v>
          </cell>
          <cell r="H12482" t="str">
            <v>MUS-Z 110</v>
          </cell>
          <cell r="K12482" t="str">
            <v>Cumming,Ashley</v>
          </cell>
          <cell r="N12482" t="str">
            <v>NR</v>
          </cell>
          <cell r="O12482" t="str">
            <v>NR</v>
          </cell>
        </row>
        <row r="12483">
          <cell r="E12483" t="str">
            <v>MUS</v>
          </cell>
          <cell r="F12483" t="str">
            <v xml:space="preserve">MUS-Z </v>
          </cell>
          <cell r="G12483">
            <v>110</v>
          </cell>
          <cell r="H12483" t="str">
            <v>MUS-Z 110</v>
          </cell>
          <cell r="K12483" t="str">
            <v>Fuks,Mauricio</v>
          </cell>
          <cell r="N12483" t="str">
            <v>NR</v>
          </cell>
          <cell r="O12483" t="str">
            <v>NR</v>
          </cell>
        </row>
        <row r="12484">
          <cell r="E12484" t="str">
            <v>MUS</v>
          </cell>
          <cell r="F12484" t="str">
            <v xml:space="preserve">MUS-Z </v>
          </cell>
          <cell r="G12484">
            <v>110</v>
          </cell>
          <cell r="H12484" t="str">
            <v>MUS-Z 110</v>
          </cell>
          <cell r="K12484" t="str">
            <v>Gillespie,Wendy</v>
          </cell>
          <cell r="N12484" t="str">
            <v>NR</v>
          </cell>
          <cell r="O12484" t="str">
            <v>NR</v>
          </cell>
        </row>
        <row r="12485">
          <cell r="E12485" t="str">
            <v>MUS</v>
          </cell>
          <cell r="F12485" t="str">
            <v xml:space="preserve">MUS-Z </v>
          </cell>
          <cell r="G12485">
            <v>110</v>
          </cell>
          <cell r="H12485" t="str">
            <v>MUS-Z 110</v>
          </cell>
          <cell r="K12485" t="str">
            <v>Huebscher,Olivier</v>
          </cell>
          <cell r="N12485" t="str">
            <v>NR</v>
          </cell>
          <cell r="O12485" t="str">
            <v>NR</v>
          </cell>
        </row>
        <row r="12486">
          <cell r="E12486" t="str">
            <v>MUS</v>
          </cell>
          <cell r="F12486" t="str">
            <v xml:space="preserve">MUS-Z </v>
          </cell>
          <cell r="G12486">
            <v>110</v>
          </cell>
          <cell r="H12486" t="str">
            <v>MUS-Z 110</v>
          </cell>
          <cell r="K12486" t="str">
            <v>Huebscher,Olivier</v>
          </cell>
          <cell r="N12486" t="str">
            <v>NR</v>
          </cell>
          <cell r="O12486" t="str">
            <v>NR</v>
          </cell>
        </row>
        <row r="12487">
          <cell r="E12487" t="str">
            <v>MUS</v>
          </cell>
          <cell r="F12487" t="str">
            <v xml:space="preserve">MUS-Z </v>
          </cell>
          <cell r="G12487">
            <v>110</v>
          </cell>
          <cell r="H12487" t="str">
            <v>MUS-Z 110</v>
          </cell>
          <cell r="K12487" t="str">
            <v>Huebscher,Olivier</v>
          </cell>
          <cell r="N12487">
            <v>4</v>
          </cell>
          <cell r="O12487">
            <v>3.0539999999999998</v>
          </cell>
        </row>
        <row r="12488">
          <cell r="E12488" t="str">
            <v>MUS</v>
          </cell>
          <cell r="F12488" t="str">
            <v xml:space="preserve">MUS-Z </v>
          </cell>
          <cell r="G12488">
            <v>110</v>
          </cell>
          <cell r="H12488" t="str">
            <v>MUS-Z 110</v>
          </cell>
          <cell r="K12488" t="str">
            <v>Huebscher,Olivier</v>
          </cell>
          <cell r="N12488" t="str">
            <v>NR</v>
          </cell>
          <cell r="O12488" t="str">
            <v>NR</v>
          </cell>
        </row>
        <row r="12489">
          <cell r="E12489" t="str">
            <v>MUS</v>
          </cell>
          <cell r="F12489" t="str">
            <v xml:space="preserve">MUS-Z </v>
          </cell>
          <cell r="G12489">
            <v>110</v>
          </cell>
          <cell r="H12489" t="str">
            <v>MUS-Z 110</v>
          </cell>
          <cell r="K12489" t="str">
            <v>Huebscher,Olivier</v>
          </cell>
          <cell r="N12489" t="str">
            <v>NR</v>
          </cell>
          <cell r="O12489" t="str">
            <v>NR</v>
          </cell>
        </row>
        <row r="12490">
          <cell r="E12490" t="str">
            <v>MUS</v>
          </cell>
          <cell r="F12490" t="str">
            <v xml:space="preserve">MUS-Z </v>
          </cell>
          <cell r="G12490">
            <v>110</v>
          </cell>
          <cell r="H12490" t="str">
            <v>MUS-Z 110</v>
          </cell>
          <cell r="K12490" t="str">
            <v>Jankovic,Petar S</v>
          </cell>
          <cell r="N12490">
            <v>4</v>
          </cell>
          <cell r="O12490">
            <v>2.9809999999999999</v>
          </cell>
        </row>
        <row r="12491">
          <cell r="E12491" t="str">
            <v>MUS</v>
          </cell>
          <cell r="F12491" t="str">
            <v xml:space="preserve">MUS-Z </v>
          </cell>
          <cell r="G12491">
            <v>110</v>
          </cell>
          <cell r="H12491" t="str">
            <v>MUS-Z 110</v>
          </cell>
          <cell r="K12491" t="str">
            <v>Jankovic,Petar S</v>
          </cell>
          <cell r="N12491">
            <v>4</v>
          </cell>
          <cell r="O12491">
            <v>3.12</v>
          </cell>
        </row>
        <row r="12492">
          <cell r="E12492" t="str">
            <v>MUS</v>
          </cell>
          <cell r="F12492" t="str">
            <v xml:space="preserve">MUS-Z </v>
          </cell>
          <cell r="G12492">
            <v>110</v>
          </cell>
          <cell r="H12492" t="str">
            <v>MUS-Z 110</v>
          </cell>
          <cell r="K12492" t="str">
            <v>Kerr,Alexander</v>
          </cell>
          <cell r="N12492" t="str">
            <v>NR</v>
          </cell>
          <cell r="O12492" t="str">
            <v>NR</v>
          </cell>
        </row>
        <row r="12493">
          <cell r="E12493" t="str">
            <v>MUS</v>
          </cell>
          <cell r="F12493" t="str">
            <v xml:space="preserve">MUS-Z </v>
          </cell>
          <cell r="G12493">
            <v>110</v>
          </cell>
          <cell r="H12493" t="str">
            <v>MUS-Z 110</v>
          </cell>
          <cell r="K12493" t="str">
            <v>Kerr,Alexander</v>
          </cell>
          <cell r="N12493" t="str">
            <v>NR</v>
          </cell>
          <cell r="O12493" t="str">
            <v>NR</v>
          </cell>
        </row>
        <row r="12494">
          <cell r="E12494" t="str">
            <v>MUS</v>
          </cell>
          <cell r="F12494" t="str">
            <v xml:space="preserve">MUS-Z </v>
          </cell>
          <cell r="G12494">
            <v>110</v>
          </cell>
          <cell r="H12494" t="str">
            <v>MUS-Z 110</v>
          </cell>
          <cell r="K12494" t="str">
            <v>Koh,Jeongjoo</v>
          </cell>
          <cell r="N12494" t="str">
            <v>NR</v>
          </cell>
          <cell r="O12494" t="str">
            <v>NR</v>
          </cell>
        </row>
        <row r="12495">
          <cell r="E12495" t="str">
            <v>MUS</v>
          </cell>
          <cell r="F12495" t="str">
            <v xml:space="preserve">MUS-Z </v>
          </cell>
          <cell r="G12495">
            <v>110</v>
          </cell>
          <cell r="H12495" t="str">
            <v>MUS-Z 110</v>
          </cell>
          <cell r="K12495" t="str">
            <v>Koh,Jeongjoo</v>
          </cell>
          <cell r="N12495" t="str">
            <v>NR</v>
          </cell>
          <cell r="O12495" t="str">
            <v>NR</v>
          </cell>
        </row>
        <row r="12496">
          <cell r="E12496" t="str">
            <v>MUS</v>
          </cell>
          <cell r="F12496" t="str">
            <v xml:space="preserve">MUS-Z </v>
          </cell>
          <cell r="G12496">
            <v>110</v>
          </cell>
          <cell r="H12496" t="str">
            <v>MUS-Z 110</v>
          </cell>
          <cell r="K12496" t="str">
            <v>Koh,Jeongjoo</v>
          </cell>
          <cell r="N12496" t="str">
            <v>NR</v>
          </cell>
          <cell r="O12496" t="str">
            <v>NR</v>
          </cell>
        </row>
        <row r="12497">
          <cell r="E12497" t="str">
            <v>MUS</v>
          </cell>
          <cell r="F12497" t="str">
            <v xml:space="preserve">MUS-Z </v>
          </cell>
          <cell r="G12497">
            <v>110</v>
          </cell>
          <cell r="H12497" t="str">
            <v>MUS-Z 110</v>
          </cell>
          <cell r="K12497" t="str">
            <v>Koh,Jeongjoo</v>
          </cell>
          <cell r="N12497" t="str">
            <v>NR</v>
          </cell>
          <cell r="O12497" t="str">
            <v>NR</v>
          </cell>
        </row>
        <row r="12498">
          <cell r="E12498" t="str">
            <v>MUS</v>
          </cell>
          <cell r="F12498" t="str">
            <v xml:space="preserve">MUS-Z </v>
          </cell>
          <cell r="G12498">
            <v>110</v>
          </cell>
          <cell r="H12498" t="str">
            <v>MUS-Z 110</v>
          </cell>
          <cell r="K12498" t="str">
            <v>Koh,Jeongjoo</v>
          </cell>
          <cell r="N12498" t="str">
            <v>NR</v>
          </cell>
          <cell r="O12498" t="str">
            <v>NR</v>
          </cell>
        </row>
        <row r="12499">
          <cell r="E12499" t="str">
            <v>MUS</v>
          </cell>
          <cell r="F12499" t="str">
            <v xml:space="preserve">MUS-Z </v>
          </cell>
          <cell r="G12499">
            <v>110</v>
          </cell>
          <cell r="H12499" t="str">
            <v>MUS-Z 110</v>
          </cell>
          <cell r="K12499" t="str">
            <v>Koh,Jeongjoo</v>
          </cell>
          <cell r="N12499" t="str">
            <v>NR</v>
          </cell>
          <cell r="O12499" t="str">
            <v>NR</v>
          </cell>
        </row>
        <row r="12500">
          <cell r="E12500" t="str">
            <v>MUS</v>
          </cell>
          <cell r="F12500" t="str">
            <v xml:space="preserve">MUS-Z </v>
          </cell>
          <cell r="G12500">
            <v>110</v>
          </cell>
          <cell r="H12500" t="str">
            <v>MUS-Z 110</v>
          </cell>
          <cell r="K12500" t="str">
            <v>Koh,Jeongjoo</v>
          </cell>
          <cell r="N12500" t="str">
            <v>NR</v>
          </cell>
          <cell r="O12500" t="str">
            <v>NR</v>
          </cell>
        </row>
        <row r="12501">
          <cell r="E12501" t="str">
            <v>MUS</v>
          </cell>
          <cell r="F12501" t="str">
            <v xml:space="preserve">MUS-Z </v>
          </cell>
          <cell r="G12501">
            <v>110</v>
          </cell>
          <cell r="H12501" t="str">
            <v>MUS-Z 110</v>
          </cell>
          <cell r="K12501" t="str">
            <v>Koh,Jeongjoo</v>
          </cell>
          <cell r="N12501">
            <v>4</v>
          </cell>
          <cell r="O12501">
            <v>3.0190000000000001</v>
          </cell>
        </row>
        <row r="12502">
          <cell r="E12502" t="str">
            <v>MUS</v>
          </cell>
          <cell r="F12502" t="str">
            <v xml:space="preserve">MUS-Z </v>
          </cell>
          <cell r="G12502">
            <v>110</v>
          </cell>
          <cell r="H12502" t="str">
            <v>MUS-Z 110</v>
          </cell>
          <cell r="K12502" t="str">
            <v>Koh,Jeongjoo</v>
          </cell>
          <cell r="N12502" t="str">
            <v>NR</v>
          </cell>
          <cell r="O12502" t="str">
            <v>NR</v>
          </cell>
        </row>
        <row r="12503">
          <cell r="E12503" t="str">
            <v>MUS</v>
          </cell>
          <cell r="F12503" t="str">
            <v xml:space="preserve">MUS-Z </v>
          </cell>
          <cell r="G12503">
            <v>110</v>
          </cell>
          <cell r="H12503" t="str">
            <v>MUS-Z 110</v>
          </cell>
          <cell r="K12503" t="str">
            <v>Koh,Jeongjoo</v>
          </cell>
          <cell r="N12503">
            <v>3.5</v>
          </cell>
          <cell r="O12503">
            <v>2.93</v>
          </cell>
        </row>
        <row r="12504">
          <cell r="E12504" t="str">
            <v>MUS</v>
          </cell>
          <cell r="F12504" t="str">
            <v xml:space="preserve">MUS-Z </v>
          </cell>
          <cell r="G12504">
            <v>110</v>
          </cell>
          <cell r="H12504" t="str">
            <v>MUS-Z 110</v>
          </cell>
          <cell r="K12504" t="str">
            <v>McDonald,Susann</v>
          </cell>
          <cell r="N12504" t="str">
            <v>NR</v>
          </cell>
          <cell r="O12504" t="str">
            <v>NR</v>
          </cell>
        </row>
        <row r="12505">
          <cell r="E12505" t="str">
            <v>MUS</v>
          </cell>
          <cell r="F12505" t="str">
            <v xml:space="preserve">MUS-Z </v>
          </cell>
          <cell r="G12505">
            <v>110</v>
          </cell>
          <cell r="H12505" t="str">
            <v>MUS-Z 110</v>
          </cell>
          <cell r="K12505" t="str">
            <v>McDonald,Susann</v>
          </cell>
          <cell r="N12505" t="str">
            <v>NR</v>
          </cell>
          <cell r="O12505" t="str">
            <v>NR</v>
          </cell>
        </row>
        <row r="12506">
          <cell r="E12506" t="str">
            <v>MUS</v>
          </cell>
          <cell r="F12506" t="str">
            <v xml:space="preserve">MUS-Z </v>
          </cell>
          <cell r="G12506">
            <v>110</v>
          </cell>
          <cell r="H12506" t="str">
            <v>MUS-Z 110</v>
          </cell>
          <cell r="K12506" t="str">
            <v>Meier,Danielle Elizabeth</v>
          </cell>
          <cell r="N12506">
            <v>3.9729999999999999</v>
          </cell>
          <cell r="O12506">
            <v>3.4129999999999998</v>
          </cell>
        </row>
        <row r="12507">
          <cell r="E12507" t="str">
            <v>MUS</v>
          </cell>
          <cell r="F12507" t="str">
            <v xml:space="preserve">MUS-Z </v>
          </cell>
          <cell r="G12507">
            <v>110</v>
          </cell>
          <cell r="H12507" t="str">
            <v>MUS-Z 110</v>
          </cell>
          <cell r="K12507" t="str">
            <v>Meier,Danielle Elizabeth</v>
          </cell>
          <cell r="N12507" t="str">
            <v>NR</v>
          </cell>
          <cell r="O12507" t="str">
            <v>NR</v>
          </cell>
        </row>
        <row r="12508">
          <cell r="E12508" t="str">
            <v>MUS</v>
          </cell>
          <cell r="F12508" t="str">
            <v xml:space="preserve">MUS-Z </v>
          </cell>
          <cell r="G12508">
            <v>110</v>
          </cell>
          <cell r="H12508" t="str">
            <v>MUS-Z 110</v>
          </cell>
          <cell r="K12508" t="str">
            <v>Meier,Danielle Elizabeth</v>
          </cell>
          <cell r="N12508" t="str">
            <v>NR</v>
          </cell>
          <cell r="O12508" t="str">
            <v>NR</v>
          </cell>
        </row>
        <row r="12509">
          <cell r="E12509" t="str">
            <v>MUS</v>
          </cell>
          <cell r="F12509" t="str">
            <v xml:space="preserve">MUS-Z </v>
          </cell>
          <cell r="G12509">
            <v>110</v>
          </cell>
          <cell r="H12509" t="str">
            <v>MUS-Z 110</v>
          </cell>
          <cell r="K12509" t="str">
            <v>Meier,Danielle Elizabeth</v>
          </cell>
          <cell r="N12509" t="str">
            <v>NR</v>
          </cell>
          <cell r="O12509" t="str">
            <v>NR</v>
          </cell>
        </row>
        <row r="12510">
          <cell r="E12510" t="str">
            <v>MUS</v>
          </cell>
          <cell r="F12510" t="str">
            <v xml:space="preserve">MUS-Z </v>
          </cell>
          <cell r="G12510">
            <v>110</v>
          </cell>
          <cell r="H12510" t="str">
            <v>MUS-Z 110</v>
          </cell>
          <cell r="K12510" t="str">
            <v>Meier,Danielle Elizabeth</v>
          </cell>
          <cell r="N12510">
            <v>3.984</v>
          </cell>
          <cell r="O12510">
            <v>3.161</v>
          </cell>
        </row>
        <row r="12511">
          <cell r="E12511" t="str">
            <v>MUS</v>
          </cell>
          <cell r="F12511" t="str">
            <v xml:space="preserve">MUS-Z </v>
          </cell>
          <cell r="G12511">
            <v>110</v>
          </cell>
          <cell r="H12511" t="str">
            <v>MUS-Z 110</v>
          </cell>
          <cell r="K12511" t="str">
            <v>Montane,Carlos</v>
          </cell>
          <cell r="N12511" t="str">
            <v>NR</v>
          </cell>
          <cell r="O12511" t="str">
            <v>NR</v>
          </cell>
        </row>
        <row r="12512">
          <cell r="E12512" t="str">
            <v>MUS</v>
          </cell>
          <cell r="F12512" t="str">
            <v xml:space="preserve">MUS-Z </v>
          </cell>
          <cell r="G12512">
            <v>110</v>
          </cell>
          <cell r="H12512" t="str">
            <v>MUS-Z 110</v>
          </cell>
          <cell r="K12512" t="str">
            <v>Montane,Carlos</v>
          </cell>
          <cell r="N12512" t="str">
            <v>NR</v>
          </cell>
          <cell r="O12512" t="str">
            <v>NR</v>
          </cell>
        </row>
        <row r="12513">
          <cell r="E12513" t="str">
            <v>MUS</v>
          </cell>
          <cell r="F12513" t="str">
            <v xml:space="preserve">MUS-Z </v>
          </cell>
          <cell r="G12513">
            <v>110</v>
          </cell>
          <cell r="H12513" t="str">
            <v>MUS-Z 110</v>
          </cell>
          <cell r="K12513" t="str">
            <v>O'Rourke Martin,Erin Catherine</v>
          </cell>
          <cell r="N12513">
            <v>3.9169999999999998</v>
          </cell>
          <cell r="O12513">
            <v>3.2440000000000002</v>
          </cell>
        </row>
        <row r="12514">
          <cell r="E12514" t="str">
            <v>MUS</v>
          </cell>
          <cell r="F12514" t="str">
            <v xml:space="preserve">MUS-Z </v>
          </cell>
          <cell r="G12514">
            <v>110</v>
          </cell>
          <cell r="H12514" t="str">
            <v>MUS-Z 110</v>
          </cell>
          <cell r="K12514" t="str">
            <v>Pressler,Menahem</v>
          </cell>
          <cell r="N12514" t="str">
            <v>NR</v>
          </cell>
          <cell r="O12514" t="str">
            <v>NR</v>
          </cell>
        </row>
        <row r="12515">
          <cell r="E12515" t="str">
            <v>MUS</v>
          </cell>
          <cell r="F12515" t="str">
            <v xml:space="preserve">MUS-Z </v>
          </cell>
          <cell r="G12515">
            <v>110</v>
          </cell>
          <cell r="H12515" t="str">
            <v>MUS-Z 110</v>
          </cell>
          <cell r="K12515" t="str">
            <v>Pressler,Menahem</v>
          </cell>
          <cell r="N12515" t="str">
            <v>NR</v>
          </cell>
          <cell r="O12515" t="str">
            <v>NR</v>
          </cell>
        </row>
        <row r="12516">
          <cell r="E12516" t="str">
            <v>MUS</v>
          </cell>
          <cell r="F12516" t="str">
            <v xml:space="preserve">MUS-Z </v>
          </cell>
          <cell r="G12516">
            <v>110</v>
          </cell>
          <cell r="H12516" t="str">
            <v>MUS-Z 110</v>
          </cell>
          <cell r="K12516" t="str">
            <v>Stiles,Patricia Jeane</v>
          </cell>
          <cell r="N12516" t="str">
            <v>NR</v>
          </cell>
          <cell r="O12516" t="str">
            <v>NR</v>
          </cell>
        </row>
        <row r="12517">
          <cell r="E12517" t="str">
            <v>MUS</v>
          </cell>
          <cell r="F12517" t="str">
            <v xml:space="preserve">MUS-Z </v>
          </cell>
          <cell r="G12517">
            <v>110</v>
          </cell>
          <cell r="H12517" t="str">
            <v>MUS-Z 110</v>
          </cell>
          <cell r="K12517" t="str">
            <v>Stone,Ashley Louise</v>
          </cell>
          <cell r="N12517">
            <v>3.8839999999999999</v>
          </cell>
          <cell r="O12517">
            <v>3.2349999999999999</v>
          </cell>
        </row>
        <row r="12518">
          <cell r="E12518" t="str">
            <v>MUS</v>
          </cell>
          <cell r="F12518" t="str">
            <v xml:space="preserve">MUS-Z </v>
          </cell>
          <cell r="G12518">
            <v>110</v>
          </cell>
          <cell r="H12518" t="str">
            <v>MUS-Z 110</v>
          </cell>
          <cell r="K12518" t="str">
            <v>Szmyt,Elzbieta Monika</v>
          </cell>
          <cell r="N12518" t="str">
            <v>NR</v>
          </cell>
          <cell r="O12518" t="str">
            <v>NR</v>
          </cell>
        </row>
        <row r="12519">
          <cell r="E12519" t="str">
            <v>MUS</v>
          </cell>
          <cell r="F12519" t="str">
            <v xml:space="preserve">MUS-Z </v>
          </cell>
          <cell r="G12519">
            <v>110</v>
          </cell>
          <cell r="H12519" t="str">
            <v>MUS-Z 110</v>
          </cell>
          <cell r="K12519" t="str">
            <v>Szmyt,Elzbieta Monika</v>
          </cell>
          <cell r="N12519" t="str">
            <v>NR</v>
          </cell>
          <cell r="O12519" t="str">
            <v>NR</v>
          </cell>
        </row>
        <row r="12520">
          <cell r="E12520" t="str">
            <v>MUS</v>
          </cell>
          <cell r="F12520" t="str">
            <v xml:space="preserve">MUS-Z </v>
          </cell>
          <cell r="G12520">
            <v>110</v>
          </cell>
          <cell r="H12520" t="str">
            <v>MUS-Z 110</v>
          </cell>
          <cell r="K12520" t="str">
            <v>Zweig,Mimi H</v>
          </cell>
          <cell r="N12520" t="str">
            <v>NR</v>
          </cell>
          <cell r="O12520" t="str">
            <v>NR</v>
          </cell>
        </row>
        <row r="12521">
          <cell r="E12521" t="str">
            <v>MUS</v>
          </cell>
          <cell r="F12521" t="str">
            <v xml:space="preserve">MUS-Z </v>
          </cell>
          <cell r="G12521">
            <v>111</v>
          </cell>
          <cell r="H12521" t="str">
            <v>MUS-Z 111</v>
          </cell>
          <cell r="K12521" t="str">
            <v>Asai,Rika</v>
          </cell>
          <cell r="N12521">
            <v>3.49</v>
          </cell>
          <cell r="O12521">
            <v>3.1429999999999998</v>
          </cell>
        </row>
        <row r="12522">
          <cell r="E12522" t="str">
            <v>MUS</v>
          </cell>
          <cell r="F12522" t="str">
            <v xml:space="preserve">MUS-Z </v>
          </cell>
          <cell r="G12522">
            <v>111</v>
          </cell>
          <cell r="H12522" t="str">
            <v>MUS-Z 111</v>
          </cell>
          <cell r="K12522" t="str">
            <v>Climis,Sarah Elizabeth</v>
          </cell>
          <cell r="N12522">
            <v>3.6680000000000001</v>
          </cell>
          <cell r="O12522">
            <v>3.23</v>
          </cell>
        </row>
        <row r="12523">
          <cell r="E12523" t="str">
            <v>MUS</v>
          </cell>
          <cell r="F12523" t="str">
            <v xml:space="preserve">MUS-Z </v>
          </cell>
          <cell r="G12523">
            <v>111</v>
          </cell>
          <cell r="H12523" t="str">
            <v>MUS-Z 111</v>
          </cell>
          <cell r="K12523" t="str">
            <v>Climis,Sarah Elizabeth</v>
          </cell>
          <cell r="N12523">
            <v>3.5840000000000001</v>
          </cell>
          <cell r="O12523">
            <v>3.0369999999999999</v>
          </cell>
        </row>
        <row r="12524">
          <cell r="E12524" t="str">
            <v>MUS</v>
          </cell>
          <cell r="F12524" t="str">
            <v xml:space="preserve">MUS-Z </v>
          </cell>
          <cell r="G12524">
            <v>111</v>
          </cell>
          <cell r="H12524" t="str">
            <v>MUS-Z 111</v>
          </cell>
          <cell r="K12524" t="str">
            <v>Guntren,Alissa J</v>
          </cell>
          <cell r="N12524">
            <v>3.7210000000000001</v>
          </cell>
          <cell r="O12524">
            <v>3.117</v>
          </cell>
        </row>
        <row r="12525">
          <cell r="E12525" t="str">
            <v>MUS</v>
          </cell>
          <cell r="F12525" t="str">
            <v xml:space="preserve">MUS-Z </v>
          </cell>
          <cell r="G12525">
            <v>111</v>
          </cell>
          <cell r="H12525" t="str">
            <v>MUS-Z 111</v>
          </cell>
          <cell r="K12525" t="str">
            <v>Huseynova,Aida N.</v>
          </cell>
          <cell r="N12525">
            <v>3.54</v>
          </cell>
          <cell r="O12525">
            <v>3.0870000000000002</v>
          </cell>
        </row>
        <row r="12526">
          <cell r="E12526" t="str">
            <v>MUS</v>
          </cell>
          <cell r="F12526" t="str">
            <v xml:space="preserve">MUS-Z </v>
          </cell>
          <cell r="G12526">
            <v>111</v>
          </cell>
          <cell r="H12526" t="str">
            <v>MUS-Z 111</v>
          </cell>
          <cell r="K12526" t="str">
            <v>Huseynova,Aida N.</v>
          </cell>
          <cell r="N12526">
            <v>3.4289999999999998</v>
          </cell>
          <cell r="O12526">
            <v>3.222</v>
          </cell>
        </row>
        <row r="12527">
          <cell r="E12527" t="str">
            <v>MUS</v>
          </cell>
          <cell r="F12527" t="str">
            <v xml:space="preserve">MUS-Z </v>
          </cell>
          <cell r="G12527">
            <v>111</v>
          </cell>
          <cell r="H12527" t="str">
            <v>MUS-Z 111</v>
          </cell>
          <cell r="K12527" t="str">
            <v>Lubell,Gabriel Michael</v>
          </cell>
          <cell r="N12527">
            <v>3.1539999999999999</v>
          </cell>
          <cell r="O12527">
            <v>2.9830000000000001</v>
          </cell>
        </row>
        <row r="12528">
          <cell r="E12528" t="str">
            <v>MUS</v>
          </cell>
          <cell r="F12528" t="str">
            <v xml:space="preserve">MUS-Z </v>
          </cell>
          <cell r="G12528">
            <v>111</v>
          </cell>
          <cell r="H12528" t="str">
            <v>MUS-Z 111</v>
          </cell>
          <cell r="K12528" t="str">
            <v>Vollmer,Jeffrey Michael</v>
          </cell>
          <cell r="N12528">
            <v>3.625</v>
          </cell>
          <cell r="O12528">
            <v>3.2029999999999998</v>
          </cell>
        </row>
        <row r="12529">
          <cell r="E12529" t="str">
            <v>MUS</v>
          </cell>
          <cell r="F12529" t="str">
            <v xml:space="preserve">MUS-Z </v>
          </cell>
          <cell r="G12529">
            <v>111</v>
          </cell>
          <cell r="H12529" t="str">
            <v>MUS-Z 111</v>
          </cell>
          <cell r="K12529" t="str">
            <v>Vollmer,Jeffrey Michael</v>
          </cell>
          <cell r="N12529">
            <v>3.5680000000000001</v>
          </cell>
          <cell r="O12529">
            <v>3.274</v>
          </cell>
        </row>
        <row r="12530">
          <cell r="E12530" t="str">
            <v>MUS</v>
          </cell>
          <cell r="F12530" t="str">
            <v xml:space="preserve">MUS-Z </v>
          </cell>
          <cell r="G12530">
            <v>120</v>
          </cell>
          <cell r="H12530" t="str">
            <v>MUS-Z 120</v>
          </cell>
          <cell r="K12530" t="str">
            <v>Bellisario,Kristen Marie</v>
          </cell>
          <cell r="N12530">
            <v>3.0880000000000001</v>
          </cell>
          <cell r="O12530">
            <v>2.7570000000000001</v>
          </cell>
        </row>
        <row r="12531">
          <cell r="E12531" t="str">
            <v>MUS</v>
          </cell>
          <cell r="F12531" t="str">
            <v xml:space="preserve">MUS-Z </v>
          </cell>
          <cell r="G12531">
            <v>120</v>
          </cell>
          <cell r="H12531" t="str">
            <v>MUS-Z 120</v>
          </cell>
          <cell r="K12531" t="str">
            <v>Bellisario,Kristen Marie</v>
          </cell>
          <cell r="N12531">
            <v>3.5070000000000001</v>
          </cell>
          <cell r="O12531">
            <v>3.226</v>
          </cell>
        </row>
        <row r="12532">
          <cell r="E12532" t="str">
            <v>MUS</v>
          </cell>
          <cell r="F12532" t="str">
            <v xml:space="preserve">MUS-Z </v>
          </cell>
          <cell r="G12532">
            <v>120</v>
          </cell>
          <cell r="H12532" t="str">
            <v>MUS-Z 120</v>
          </cell>
          <cell r="K12532" t="str">
            <v>Bellisario,Kristen Marie</v>
          </cell>
          <cell r="N12532">
            <v>3.613</v>
          </cell>
          <cell r="O12532">
            <v>3.0979999999999999</v>
          </cell>
        </row>
        <row r="12533">
          <cell r="E12533" t="str">
            <v>MUS</v>
          </cell>
          <cell r="F12533" t="str">
            <v xml:space="preserve">MUS-Z </v>
          </cell>
          <cell r="G12533">
            <v>120</v>
          </cell>
          <cell r="H12533" t="str">
            <v>MUS-Z 120</v>
          </cell>
          <cell r="K12533" t="str">
            <v>Bellisario,Kristen Marie</v>
          </cell>
          <cell r="N12533">
            <v>3.4769999999999999</v>
          </cell>
          <cell r="O12533">
            <v>3.0230000000000001</v>
          </cell>
        </row>
        <row r="12534">
          <cell r="E12534" t="str">
            <v>MUS</v>
          </cell>
          <cell r="F12534" t="str">
            <v xml:space="preserve">MUS-Z </v>
          </cell>
          <cell r="G12534">
            <v>161</v>
          </cell>
          <cell r="H12534" t="str">
            <v>MUS-Z 161</v>
          </cell>
          <cell r="K12534" t="str">
            <v>Spiro,Michael Elliot</v>
          </cell>
          <cell r="N12534">
            <v>4</v>
          </cell>
          <cell r="O12534">
            <v>3.57</v>
          </cell>
        </row>
        <row r="12535">
          <cell r="E12535" t="str">
            <v>MUS</v>
          </cell>
          <cell r="F12535" t="str">
            <v xml:space="preserve">MUS-Z </v>
          </cell>
          <cell r="G12535">
            <v>162</v>
          </cell>
          <cell r="H12535" t="str">
            <v>MUS-Z 162</v>
          </cell>
          <cell r="K12535" t="str">
            <v>Coletti,Michael</v>
          </cell>
          <cell r="N12535">
            <v>4</v>
          </cell>
          <cell r="O12535">
            <v>3.4849999999999999</v>
          </cell>
        </row>
        <row r="12536">
          <cell r="E12536" t="str">
            <v>MUS</v>
          </cell>
          <cell r="F12536" t="str">
            <v xml:space="preserve">MUS-Z </v>
          </cell>
          <cell r="G12536">
            <v>171</v>
          </cell>
          <cell r="H12536" t="str">
            <v>MUS-Z 171</v>
          </cell>
          <cell r="K12536" t="str">
            <v>Glen,Constance Cook</v>
          </cell>
          <cell r="N12536">
            <v>3.5230000000000001</v>
          </cell>
          <cell r="O12536">
            <v>3.06</v>
          </cell>
        </row>
        <row r="12537">
          <cell r="E12537" t="str">
            <v>MUS</v>
          </cell>
          <cell r="F12537" t="str">
            <v xml:space="preserve">MUS-Z </v>
          </cell>
          <cell r="G12537">
            <v>171</v>
          </cell>
          <cell r="H12537" t="str">
            <v>MUS-Z 171</v>
          </cell>
          <cell r="K12537" t="str">
            <v>Glen,Constance Cook</v>
          </cell>
          <cell r="N12537" t="str">
            <v>NR</v>
          </cell>
          <cell r="O12537" t="str">
            <v>NR</v>
          </cell>
        </row>
        <row r="12538">
          <cell r="E12538" t="str">
            <v>MUS</v>
          </cell>
          <cell r="F12538" t="str">
            <v xml:space="preserve">MUS-Z </v>
          </cell>
          <cell r="G12538">
            <v>201</v>
          </cell>
          <cell r="H12538" t="str">
            <v>MUS-Z 201</v>
          </cell>
          <cell r="K12538" t="str">
            <v>Gass,Glenn</v>
          </cell>
          <cell r="N12538">
            <v>3.0630000000000002</v>
          </cell>
          <cell r="O12538">
            <v>3.0990000000000002</v>
          </cell>
        </row>
        <row r="12539">
          <cell r="E12539" t="str">
            <v>MUS</v>
          </cell>
          <cell r="F12539" t="str">
            <v xml:space="preserve">MUS-Z </v>
          </cell>
          <cell r="G12539">
            <v>202</v>
          </cell>
          <cell r="H12539" t="str">
            <v>MUS-Z 202</v>
          </cell>
          <cell r="K12539" t="str">
            <v>Gass,Glenn</v>
          </cell>
          <cell r="N12539">
            <v>3.5190000000000001</v>
          </cell>
          <cell r="O12539">
            <v>3.2109999999999999</v>
          </cell>
        </row>
        <row r="12540">
          <cell r="E12540" t="str">
            <v>MUS</v>
          </cell>
          <cell r="F12540" t="str">
            <v xml:space="preserve">MUS-Z </v>
          </cell>
          <cell r="G12540">
            <v>203</v>
          </cell>
          <cell r="H12540" t="str">
            <v>MUS-Z 203</v>
          </cell>
          <cell r="K12540" t="str">
            <v>Hollinden,Andrew John</v>
          </cell>
          <cell r="N12540">
            <v>2.4289999999999998</v>
          </cell>
          <cell r="O12540">
            <v>2.7120000000000002</v>
          </cell>
        </row>
        <row r="12541">
          <cell r="E12541" t="str">
            <v>MUS</v>
          </cell>
          <cell r="F12541" t="str">
            <v xml:space="preserve">MUS-Z </v>
          </cell>
          <cell r="G12541">
            <v>211</v>
          </cell>
          <cell r="H12541" t="str">
            <v>MUS-Z 211</v>
          </cell>
          <cell r="K12541" t="str">
            <v>Climis,Sarah Elizabeth</v>
          </cell>
          <cell r="N12541">
            <v>3.8889999999999998</v>
          </cell>
          <cell r="O12541">
            <v>3.3450000000000002</v>
          </cell>
        </row>
        <row r="12542">
          <cell r="E12542" t="str">
            <v>MUS</v>
          </cell>
          <cell r="F12542" t="str">
            <v xml:space="preserve">MUS-Z </v>
          </cell>
          <cell r="G12542">
            <v>211</v>
          </cell>
          <cell r="H12542" t="str">
            <v>MUS-Z 211</v>
          </cell>
          <cell r="K12542" t="str">
            <v>Huseynova,Aida N.</v>
          </cell>
          <cell r="N12542">
            <v>3.3</v>
          </cell>
          <cell r="O12542">
            <v>3.2480000000000002</v>
          </cell>
        </row>
        <row r="12543">
          <cell r="E12543" t="str">
            <v>MUS</v>
          </cell>
          <cell r="F12543" t="str">
            <v xml:space="preserve">MUS-Z </v>
          </cell>
          <cell r="G12543">
            <v>211</v>
          </cell>
          <cell r="H12543" t="str">
            <v>MUS-Z 211</v>
          </cell>
          <cell r="K12543" t="str">
            <v>Huseynova,Aida N.</v>
          </cell>
          <cell r="N12543">
            <v>3.6440000000000001</v>
          </cell>
          <cell r="O12543">
            <v>3.1960000000000002</v>
          </cell>
        </row>
        <row r="12544">
          <cell r="E12544" t="str">
            <v>MUS</v>
          </cell>
          <cell r="F12544" t="str">
            <v xml:space="preserve">MUS-Z </v>
          </cell>
          <cell r="G12544">
            <v>250</v>
          </cell>
          <cell r="H12544" t="str">
            <v>MUS-Z 250</v>
          </cell>
          <cell r="K12544" t="str">
            <v>Boyce,Cary</v>
          </cell>
          <cell r="N12544">
            <v>3.7210000000000001</v>
          </cell>
          <cell r="O12544">
            <v>3.194</v>
          </cell>
        </row>
        <row r="12545">
          <cell r="E12545" t="str">
            <v>MUS</v>
          </cell>
          <cell r="F12545" t="str">
            <v xml:space="preserve">MUS-Z </v>
          </cell>
          <cell r="G12545">
            <v>260</v>
          </cell>
          <cell r="H12545" t="str">
            <v>MUS-Z 260</v>
          </cell>
          <cell r="K12545" t="str">
            <v>Grieb,Scott T</v>
          </cell>
          <cell r="N12545">
            <v>3.1</v>
          </cell>
          <cell r="O12545">
            <v>2.87</v>
          </cell>
        </row>
        <row r="12546">
          <cell r="E12546" t="str">
            <v>MUS</v>
          </cell>
          <cell r="F12546" t="str">
            <v xml:space="preserve">MUS-Z </v>
          </cell>
          <cell r="G12546">
            <v>260</v>
          </cell>
          <cell r="H12546" t="str">
            <v>MUS-Z 260</v>
          </cell>
          <cell r="K12546" t="str">
            <v>Sewell,Amanda Jo</v>
          </cell>
          <cell r="N12546">
            <v>2.7749999999999999</v>
          </cell>
          <cell r="O12546">
            <v>3.0630000000000002</v>
          </cell>
        </row>
        <row r="12547">
          <cell r="E12547" t="str">
            <v>MUS</v>
          </cell>
          <cell r="F12547" t="str">
            <v xml:space="preserve">MUS-Z </v>
          </cell>
          <cell r="G12547">
            <v>301</v>
          </cell>
          <cell r="H12547" t="str">
            <v>MUS-Z 301</v>
          </cell>
          <cell r="K12547" t="str">
            <v>Hollinden,Andrew John</v>
          </cell>
          <cell r="N12547">
            <v>2.52</v>
          </cell>
          <cell r="O12547">
            <v>2.8519999999999999</v>
          </cell>
        </row>
        <row r="12548">
          <cell r="E12548" t="str">
            <v>MUS</v>
          </cell>
          <cell r="F12548" t="str">
            <v xml:space="preserve">MUS-Z </v>
          </cell>
          <cell r="G12548">
            <v>311</v>
          </cell>
          <cell r="H12548" t="str">
            <v>MUS-Z 311</v>
          </cell>
          <cell r="K12548" t="str">
            <v>Vollmer,Jeffrey Michael</v>
          </cell>
          <cell r="N12548">
            <v>3.2810000000000001</v>
          </cell>
          <cell r="O12548">
            <v>3.1840000000000002</v>
          </cell>
        </row>
        <row r="12549">
          <cell r="E12549" t="str">
            <v>MUS</v>
          </cell>
          <cell r="F12549" t="str">
            <v xml:space="preserve">MUS-Z </v>
          </cell>
          <cell r="G12549">
            <v>315</v>
          </cell>
          <cell r="H12549" t="str">
            <v>MUS-Z 315</v>
          </cell>
          <cell r="K12549" t="str">
            <v>Asai,Rika</v>
          </cell>
          <cell r="N12549">
            <v>3.74</v>
          </cell>
          <cell r="O12549">
            <v>3.1890000000000001</v>
          </cell>
        </row>
        <row r="12550">
          <cell r="E12550" t="str">
            <v>MUS</v>
          </cell>
          <cell r="F12550" t="str">
            <v xml:space="preserve">MUS-Z </v>
          </cell>
          <cell r="G12550">
            <v>315</v>
          </cell>
          <cell r="H12550" t="str">
            <v>MUS-Z 315</v>
          </cell>
          <cell r="K12550" t="str">
            <v>Asai,Rika</v>
          </cell>
          <cell r="N12550">
            <v>3.835</v>
          </cell>
          <cell r="O12550">
            <v>3.3479999999999999</v>
          </cell>
        </row>
        <row r="12551">
          <cell r="E12551" t="str">
            <v>MUS</v>
          </cell>
          <cell r="F12551" t="str">
            <v xml:space="preserve">MUS-Z </v>
          </cell>
          <cell r="G12551">
            <v>320</v>
          </cell>
          <cell r="H12551" t="str">
            <v>MUS-Z 320</v>
          </cell>
          <cell r="K12551" t="str">
            <v>Glen,Constance Cook</v>
          </cell>
          <cell r="N12551">
            <v>3.5819999999999999</v>
          </cell>
          <cell r="O12551">
            <v>2.673</v>
          </cell>
        </row>
        <row r="12552">
          <cell r="E12552" t="str">
            <v>MUS</v>
          </cell>
          <cell r="F12552" t="str">
            <v xml:space="preserve">MUS-Z </v>
          </cell>
          <cell r="G12552">
            <v>320</v>
          </cell>
          <cell r="H12552" t="str">
            <v>MUS-Z 320</v>
          </cell>
          <cell r="K12552" t="str">
            <v>Glen,Constance Cook</v>
          </cell>
          <cell r="N12552" t="str">
            <v>NR</v>
          </cell>
          <cell r="O12552" t="str">
            <v>NR</v>
          </cell>
        </row>
        <row r="12553">
          <cell r="E12553" t="str">
            <v>MUS</v>
          </cell>
          <cell r="F12553" t="str">
            <v xml:space="preserve">MUS-Z </v>
          </cell>
          <cell r="G12553">
            <v>320</v>
          </cell>
          <cell r="H12553" t="str">
            <v>MUS-Z 320</v>
          </cell>
          <cell r="K12553" t="str">
            <v>Hollinden,Andrew John</v>
          </cell>
          <cell r="N12553">
            <v>3.0960000000000001</v>
          </cell>
          <cell r="O12553">
            <v>3.1619999999999999</v>
          </cell>
        </row>
        <row r="12554">
          <cell r="E12554" t="str">
            <v>MUS</v>
          </cell>
          <cell r="F12554" t="str">
            <v xml:space="preserve">MUS-Z </v>
          </cell>
          <cell r="G12554">
            <v>320</v>
          </cell>
          <cell r="H12554" t="str">
            <v>MUS-Z 320</v>
          </cell>
          <cell r="K12554" t="str">
            <v>Stright,Robert</v>
          </cell>
          <cell r="N12554">
            <v>2.9060000000000001</v>
          </cell>
          <cell r="O12554">
            <v>3</v>
          </cell>
        </row>
        <row r="12555">
          <cell r="E12555" t="str">
            <v>MUS</v>
          </cell>
          <cell r="F12555" t="str">
            <v xml:space="preserve">MUS-Z </v>
          </cell>
          <cell r="G12555">
            <v>361</v>
          </cell>
          <cell r="H12555" t="str">
            <v>MUS-Z 361</v>
          </cell>
          <cell r="K12555" t="str">
            <v>Gibson,John G</v>
          </cell>
          <cell r="N12555">
            <v>3.3180000000000001</v>
          </cell>
          <cell r="O12555">
            <v>2.992</v>
          </cell>
        </row>
        <row r="12556">
          <cell r="E12556" t="str">
            <v>MUS</v>
          </cell>
          <cell r="F12556" t="str">
            <v xml:space="preserve">MUS-Z </v>
          </cell>
          <cell r="G12556">
            <v>361</v>
          </cell>
          <cell r="H12556" t="str">
            <v>MUS-Z 361</v>
          </cell>
          <cell r="K12556" t="str">
            <v>Gibson,John G</v>
          </cell>
          <cell r="N12556">
            <v>3.35</v>
          </cell>
          <cell r="O12556">
            <v>2.9529999999999998</v>
          </cell>
        </row>
        <row r="12557">
          <cell r="E12557" t="str">
            <v>MUS</v>
          </cell>
          <cell r="F12557" t="str">
            <v xml:space="preserve">MUS-Z </v>
          </cell>
          <cell r="G12557">
            <v>361</v>
          </cell>
          <cell r="H12557" t="str">
            <v>MUS-Z 361</v>
          </cell>
          <cell r="K12557" t="str">
            <v>Gibson,John G</v>
          </cell>
          <cell r="N12557">
            <v>3.5150000000000001</v>
          </cell>
          <cell r="O12557">
            <v>3.0760000000000001</v>
          </cell>
        </row>
        <row r="12558">
          <cell r="E12558" t="str">
            <v>MUS</v>
          </cell>
          <cell r="F12558" t="str">
            <v xml:space="preserve">MUS-Z </v>
          </cell>
          <cell r="G12558">
            <v>361</v>
          </cell>
          <cell r="H12558" t="str">
            <v>MUS-Z 361</v>
          </cell>
          <cell r="K12558" t="str">
            <v>Warren,Alicyn</v>
          </cell>
          <cell r="N12558">
            <v>3.347</v>
          </cell>
          <cell r="O12558">
            <v>2.9380000000000002</v>
          </cell>
        </row>
        <row r="12559">
          <cell r="E12559" t="str">
            <v>MUS</v>
          </cell>
          <cell r="F12559" t="str">
            <v xml:space="preserve">MUS-Z </v>
          </cell>
          <cell r="G12559">
            <v>361</v>
          </cell>
          <cell r="H12559" t="str">
            <v>MUS-Z 361</v>
          </cell>
          <cell r="K12559" t="str">
            <v>Warren,Alicyn</v>
          </cell>
          <cell r="N12559">
            <v>3.395</v>
          </cell>
          <cell r="O12559">
            <v>2.9969999999999999</v>
          </cell>
        </row>
        <row r="12560">
          <cell r="E12560" t="str">
            <v>MUS</v>
          </cell>
          <cell r="F12560" t="str">
            <v xml:space="preserve">MUS-Z </v>
          </cell>
          <cell r="G12560">
            <v>362</v>
          </cell>
          <cell r="H12560" t="str">
            <v>MUS-Z 362</v>
          </cell>
          <cell r="K12560" t="str">
            <v>Gibson,John G</v>
          </cell>
          <cell r="N12560">
            <v>3.54</v>
          </cell>
          <cell r="O12560">
            <v>3.2930000000000001</v>
          </cell>
        </row>
        <row r="12561">
          <cell r="E12561" t="str">
            <v>MUS</v>
          </cell>
          <cell r="F12561" t="str">
            <v xml:space="preserve">MUS-Z </v>
          </cell>
          <cell r="G12561">
            <v>373</v>
          </cell>
          <cell r="H12561" t="str">
            <v>MUS-Z 373</v>
          </cell>
          <cell r="K12561" t="str">
            <v>Glen,Constance Cook</v>
          </cell>
          <cell r="N12561">
            <v>3.2040000000000002</v>
          </cell>
          <cell r="O12561">
            <v>3.1070000000000002</v>
          </cell>
        </row>
        <row r="12562">
          <cell r="E12562" t="str">
            <v>MUS</v>
          </cell>
          <cell r="F12562" t="str">
            <v xml:space="preserve">MUS-Z </v>
          </cell>
          <cell r="G12562">
            <v>373</v>
          </cell>
          <cell r="H12562" t="str">
            <v>MUS-Z 373</v>
          </cell>
          <cell r="K12562" t="str">
            <v>Glen,Constance Cook</v>
          </cell>
          <cell r="N12562">
            <v>4</v>
          </cell>
          <cell r="O12562">
            <v>3.806</v>
          </cell>
        </row>
        <row r="12563">
          <cell r="E12563" t="str">
            <v>MUS</v>
          </cell>
          <cell r="F12563" t="str">
            <v xml:space="preserve">MUS-Z </v>
          </cell>
          <cell r="G12563">
            <v>385</v>
          </cell>
          <cell r="H12563" t="str">
            <v>MUS-Z 385</v>
          </cell>
          <cell r="K12563" t="str">
            <v>Hollinden,Andrew John</v>
          </cell>
          <cell r="N12563">
            <v>2.6379999999999999</v>
          </cell>
          <cell r="O12563">
            <v>2.9359999999999999</v>
          </cell>
        </row>
        <row r="12564">
          <cell r="E12564" t="str">
            <v>MUS</v>
          </cell>
          <cell r="F12564" t="str">
            <v xml:space="preserve">MUS-Z </v>
          </cell>
          <cell r="G12564">
            <v>390</v>
          </cell>
          <cell r="H12564" t="str">
            <v>MUS-Z 390</v>
          </cell>
          <cell r="K12564" t="str">
            <v>McKay,Marlin Kendrick</v>
          </cell>
          <cell r="N12564">
            <v>2.3959999999999999</v>
          </cell>
          <cell r="O12564">
            <v>2.8559999999999999</v>
          </cell>
        </row>
        <row r="12565">
          <cell r="E12565" t="str">
            <v>MUS</v>
          </cell>
          <cell r="F12565" t="str">
            <v xml:space="preserve">MUS-Z </v>
          </cell>
          <cell r="G12565">
            <v>393</v>
          </cell>
          <cell r="H12565" t="str">
            <v>MUS-Z 393</v>
          </cell>
          <cell r="K12565" t="str">
            <v>Baker,David N.</v>
          </cell>
          <cell r="N12565">
            <v>3.3889999999999998</v>
          </cell>
          <cell r="O12565">
            <v>3.1360000000000001</v>
          </cell>
        </row>
        <row r="12566">
          <cell r="E12566" t="str">
            <v>MUS</v>
          </cell>
          <cell r="F12566" t="str">
            <v xml:space="preserve">MUS-Z </v>
          </cell>
          <cell r="G12566">
            <v>395</v>
          </cell>
          <cell r="H12566" t="str">
            <v>MUS-Z 395</v>
          </cell>
          <cell r="K12566" t="str">
            <v>Baker,David N.</v>
          </cell>
          <cell r="N12566">
            <v>3.6669999999999998</v>
          </cell>
          <cell r="O12566">
            <v>3.1059999999999999</v>
          </cell>
        </row>
        <row r="12567">
          <cell r="E12567" t="str">
            <v>MUS</v>
          </cell>
          <cell r="F12567" t="str">
            <v xml:space="preserve">MUS-Z </v>
          </cell>
          <cell r="G12567">
            <v>401</v>
          </cell>
          <cell r="H12567" t="str">
            <v>MUS-Z 401</v>
          </cell>
          <cell r="K12567" t="str">
            <v>Gass,Glenn</v>
          </cell>
          <cell r="N12567">
            <v>3.2440000000000002</v>
          </cell>
          <cell r="O12567">
            <v>3.073</v>
          </cell>
        </row>
        <row r="12568">
          <cell r="E12568" t="str">
            <v>MUS</v>
          </cell>
          <cell r="F12568" t="str">
            <v xml:space="preserve">MUS-Z </v>
          </cell>
          <cell r="G12568">
            <v>402</v>
          </cell>
          <cell r="H12568" t="str">
            <v>MUS-Z 402</v>
          </cell>
          <cell r="K12568" t="str">
            <v>Hollinden,Andrew John</v>
          </cell>
          <cell r="N12568">
            <v>2.9780000000000002</v>
          </cell>
          <cell r="O12568">
            <v>3.0009999999999999</v>
          </cell>
        </row>
        <row r="12569">
          <cell r="E12569" t="str">
            <v>MUS</v>
          </cell>
          <cell r="F12569" t="str">
            <v xml:space="preserve">MUS-Z </v>
          </cell>
          <cell r="G12569">
            <v>402</v>
          </cell>
          <cell r="H12569" t="str">
            <v>MUS-Z 402</v>
          </cell>
          <cell r="K12569" t="str">
            <v>Hollinden,Andrew John</v>
          </cell>
          <cell r="N12569">
            <v>3.23</v>
          </cell>
          <cell r="O12569">
            <v>3.0289999999999999</v>
          </cell>
        </row>
        <row r="12570">
          <cell r="E12570" t="str">
            <v>MUS</v>
          </cell>
          <cell r="F12570" t="str">
            <v xml:space="preserve">MUS-Z </v>
          </cell>
          <cell r="G12570">
            <v>404</v>
          </cell>
          <cell r="H12570" t="str">
            <v>MUS-Z 404</v>
          </cell>
          <cell r="K12570" t="str">
            <v>Gass,Glenn</v>
          </cell>
          <cell r="N12570">
            <v>3.4710000000000001</v>
          </cell>
          <cell r="O12570">
            <v>3.242</v>
          </cell>
        </row>
        <row r="12571">
          <cell r="E12571" t="str">
            <v>MUS</v>
          </cell>
          <cell r="F12571" t="str">
            <v xml:space="preserve">MUS-Z </v>
          </cell>
          <cell r="G12571">
            <v>411</v>
          </cell>
          <cell r="H12571" t="str">
            <v>MUS-Z 411</v>
          </cell>
          <cell r="K12571" t="str">
            <v>Vollmer,Jeffrey Michael</v>
          </cell>
          <cell r="N12571">
            <v>3.391</v>
          </cell>
          <cell r="O12571">
            <v>3.22</v>
          </cell>
        </row>
        <row r="12572">
          <cell r="E12572" t="str">
            <v>MUS</v>
          </cell>
          <cell r="F12572" t="str">
            <v xml:space="preserve">MUS-Z </v>
          </cell>
          <cell r="G12572">
            <v>413</v>
          </cell>
          <cell r="H12572" t="str">
            <v>MUS-Z 413</v>
          </cell>
          <cell r="K12572" t="str">
            <v>Quevedo,Marysol</v>
          </cell>
          <cell r="N12572">
            <v>2.94</v>
          </cell>
          <cell r="O12572">
            <v>2.91</v>
          </cell>
        </row>
        <row r="12573">
          <cell r="E12573" t="str">
            <v>MUS</v>
          </cell>
          <cell r="F12573" t="str">
            <v xml:space="preserve">MUS-Z </v>
          </cell>
          <cell r="G12573">
            <v>413</v>
          </cell>
          <cell r="H12573" t="str">
            <v>MUS-Z 413</v>
          </cell>
          <cell r="K12573" t="str">
            <v>Sanchez,Guido A</v>
          </cell>
          <cell r="N12573">
            <v>3.7440000000000002</v>
          </cell>
          <cell r="O12573">
            <v>2.9590000000000001</v>
          </cell>
        </row>
        <row r="12574">
          <cell r="E12574" t="str">
            <v>MUS</v>
          </cell>
          <cell r="F12574" t="str">
            <v xml:space="preserve">MUS-Z </v>
          </cell>
          <cell r="G12574">
            <v>415</v>
          </cell>
          <cell r="H12574" t="str">
            <v>MUS-Z 415</v>
          </cell>
          <cell r="K12574" t="str">
            <v>Ward-Steinman,David</v>
          </cell>
          <cell r="N12574">
            <v>3.4860000000000002</v>
          </cell>
          <cell r="O12574">
            <v>3.3140000000000001</v>
          </cell>
        </row>
        <row r="12575">
          <cell r="E12575" t="str">
            <v>MUS</v>
          </cell>
          <cell r="F12575" t="str">
            <v xml:space="preserve">MUS-Z </v>
          </cell>
          <cell r="G12575">
            <v>415</v>
          </cell>
          <cell r="H12575" t="str">
            <v>MUS-Z 415</v>
          </cell>
          <cell r="K12575" t="str">
            <v>Ward-Steinman,David</v>
          </cell>
          <cell r="N12575" t="str">
            <v>NR</v>
          </cell>
          <cell r="O12575" t="str">
            <v>NR</v>
          </cell>
        </row>
        <row r="12576">
          <cell r="E12576" t="str">
            <v>MUS</v>
          </cell>
          <cell r="F12576" t="str">
            <v xml:space="preserve">MUS-Z </v>
          </cell>
          <cell r="G12576">
            <v>415</v>
          </cell>
          <cell r="H12576" t="str">
            <v>MUS-Z 415</v>
          </cell>
          <cell r="K12576" t="str">
            <v>Ward-Steinman,David</v>
          </cell>
          <cell r="N12576">
            <v>3.335</v>
          </cell>
          <cell r="O12576">
            <v>3.2839999999999998</v>
          </cell>
        </row>
        <row r="12577">
          <cell r="E12577" t="str">
            <v>MUS</v>
          </cell>
          <cell r="F12577" t="str">
            <v xml:space="preserve">MUS-Z </v>
          </cell>
          <cell r="G12577">
            <v>415</v>
          </cell>
          <cell r="H12577" t="str">
            <v>MUS-Z 415</v>
          </cell>
          <cell r="K12577" t="str">
            <v>Ward-Steinman,David</v>
          </cell>
          <cell r="N12577">
            <v>4</v>
          </cell>
          <cell r="O12577">
            <v>3.8959999999999999</v>
          </cell>
        </row>
        <row r="12578">
          <cell r="E12578" t="str">
            <v>MUS</v>
          </cell>
          <cell r="F12578" t="str">
            <v xml:space="preserve">MUS-Z </v>
          </cell>
          <cell r="G12578">
            <v>710</v>
          </cell>
          <cell r="H12578" t="str">
            <v>MUS-Z 710</v>
          </cell>
          <cell r="K12578" t="str">
            <v>Berg,Ian Andrew</v>
          </cell>
          <cell r="N12578" t="str">
            <v>NR</v>
          </cell>
          <cell r="O12578" t="str">
            <v>NR</v>
          </cell>
        </row>
        <row r="12579">
          <cell r="E12579" t="str">
            <v>MUS</v>
          </cell>
          <cell r="F12579" t="str">
            <v xml:space="preserve">MUS-Z </v>
          </cell>
          <cell r="G12579">
            <v>710</v>
          </cell>
          <cell r="H12579" t="str">
            <v>MUS-Z 710</v>
          </cell>
          <cell r="K12579" t="str">
            <v>Cartledge,David Owen</v>
          </cell>
          <cell r="N12579" t="str">
            <v>NR</v>
          </cell>
          <cell r="O12579" t="str">
            <v>NR</v>
          </cell>
        </row>
        <row r="12580">
          <cell r="E12580" t="str">
            <v>MUS</v>
          </cell>
          <cell r="F12580" t="str">
            <v xml:space="preserve">MUS-Z </v>
          </cell>
          <cell r="G12580">
            <v>710</v>
          </cell>
          <cell r="H12580" t="str">
            <v>MUS-Z 710</v>
          </cell>
          <cell r="K12580" t="str">
            <v>Koh,Jeongjoo</v>
          </cell>
          <cell r="N12580" t="str">
            <v>NR</v>
          </cell>
          <cell r="O12580" t="str">
            <v>NR</v>
          </cell>
        </row>
        <row r="12581">
          <cell r="E12581" t="str">
            <v>MUS</v>
          </cell>
          <cell r="F12581" t="str">
            <v xml:space="preserve">MUS-Z </v>
          </cell>
          <cell r="G12581">
            <v>710</v>
          </cell>
          <cell r="H12581" t="str">
            <v>MUS-Z 710</v>
          </cell>
          <cell r="K12581" t="str">
            <v>Koh,Jeongjoo</v>
          </cell>
          <cell r="N12581" t="str">
            <v>NR</v>
          </cell>
          <cell r="O12581" t="str">
            <v>NR</v>
          </cell>
        </row>
        <row r="12582">
          <cell r="E12582" t="str">
            <v>MUS</v>
          </cell>
          <cell r="F12582" t="str">
            <v xml:space="preserve">MUS-Z </v>
          </cell>
          <cell r="G12582">
            <v>710</v>
          </cell>
          <cell r="H12582" t="str">
            <v>MUS-Z 710</v>
          </cell>
          <cell r="K12582" t="str">
            <v>Koh,Jeongjoo</v>
          </cell>
          <cell r="N12582" t="str">
            <v>NR</v>
          </cell>
          <cell r="O12582" t="str">
            <v>NR</v>
          </cell>
        </row>
        <row r="12583">
          <cell r="E12583" t="str">
            <v>MUS</v>
          </cell>
          <cell r="F12583" t="str">
            <v xml:space="preserve">MUS-Z </v>
          </cell>
          <cell r="G12583">
            <v>710</v>
          </cell>
          <cell r="H12583" t="str">
            <v>MUS-Z 710</v>
          </cell>
          <cell r="K12583" t="str">
            <v>Lukas,Kathryn</v>
          </cell>
          <cell r="N12583" t="str">
            <v>NR</v>
          </cell>
          <cell r="O12583" t="str">
            <v>NR</v>
          </cell>
        </row>
        <row r="12584">
          <cell r="E12584" t="str">
            <v>MUS</v>
          </cell>
          <cell r="F12584" t="str">
            <v xml:space="preserve">MUS-Z </v>
          </cell>
          <cell r="G12584">
            <v>710</v>
          </cell>
          <cell r="H12584" t="str">
            <v>MUS-Z 710</v>
          </cell>
          <cell r="K12584" t="str">
            <v>Simpson,Marietta</v>
          </cell>
          <cell r="N12584" t="str">
            <v>NR</v>
          </cell>
          <cell r="O12584" t="str">
            <v>NR</v>
          </cell>
        </row>
        <row r="12585">
          <cell r="E12585" t="str">
            <v>NELC</v>
          </cell>
          <cell r="F12585" t="str">
            <v>NELC-A</v>
          </cell>
          <cell r="G12585">
            <v>100</v>
          </cell>
          <cell r="H12585" t="str">
            <v>NELC-A100</v>
          </cell>
          <cell r="K12585" t="str">
            <v>Morkus,Nader Moussa</v>
          </cell>
          <cell r="N12585">
            <v>3.0169999999999999</v>
          </cell>
          <cell r="O12585">
            <v>2.819</v>
          </cell>
        </row>
        <row r="12586">
          <cell r="E12586" t="str">
            <v>NELC</v>
          </cell>
          <cell r="F12586" t="str">
            <v>NELC-A</v>
          </cell>
          <cell r="G12586">
            <v>100</v>
          </cell>
          <cell r="H12586" t="str">
            <v>NELC-A100</v>
          </cell>
          <cell r="K12586" t="str">
            <v>Morkus,Nader Moussa</v>
          </cell>
          <cell r="N12586">
            <v>3.1080000000000001</v>
          </cell>
          <cell r="O12586">
            <v>2.895</v>
          </cell>
        </row>
        <row r="12587">
          <cell r="E12587" t="str">
            <v>NELC</v>
          </cell>
          <cell r="F12587" t="str">
            <v>NELC-A</v>
          </cell>
          <cell r="G12587">
            <v>100</v>
          </cell>
          <cell r="H12587" t="str">
            <v>NELC-A100</v>
          </cell>
          <cell r="K12587" t="str">
            <v>Morkus,Nader Moussa</v>
          </cell>
          <cell r="N12587">
            <v>2.5859999999999999</v>
          </cell>
          <cell r="O12587">
            <v>2.7829999999999999</v>
          </cell>
        </row>
        <row r="12588">
          <cell r="E12588" t="str">
            <v>NELC</v>
          </cell>
          <cell r="F12588" t="str">
            <v>NELC-A</v>
          </cell>
          <cell r="G12588">
            <v>100</v>
          </cell>
          <cell r="H12588" t="str">
            <v>NELC-A100</v>
          </cell>
          <cell r="K12588" t="str">
            <v>Morkus,Nader Moussa</v>
          </cell>
          <cell r="N12588">
            <v>2.7690000000000001</v>
          </cell>
          <cell r="O12588">
            <v>2.7949999999999999</v>
          </cell>
        </row>
        <row r="12589">
          <cell r="E12589" t="str">
            <v>NELC</v>
          </cell>
          <cell r="F12589" t="str">
            <v>NELC-A</v>
          </cell>
          <cell r="G12589">
            <v>100</v>
          </cell>
          <cell r="H12589" t="str">
            <v>NELC-A100</v>
          </cell>
          <cell r="K12589" t="str">
            <v>Morkus,Nader Moussa</v>
          </cell>
          <cell r="N12589">
            <v>2.9529999999999998</v>
          </cell>
          <cell r="O12589">
            <v>3.0539999999999998</v>
          </cell>
        </row>
        <row r="12590">
          <cell r="E12590" t="str">
            <v>NELC</v>
          </cell>
          <cell r="F12590" t="str">
            <v>NELC-A</v>
          </cell>
          <cell r="G12590">
            <v>150</v>
          </cell>
          <cell r="H12590" t="str">
            <v>NELC-A150</v>
          </cell>
          <cell r="K12590" t="str">
            <v>Al-Raba'a,Basem Ibrahim</v>
          </cell>
          <cell r="N12590">
            <v>3.2530000000000001</v>
          </cell>
          <cell r="O12590">
            <v>3.3519999999999999</v>
          </cell>
        </row>
        <row r="12591">
          <cell r="E12591" t="str">
            <v>NELC</v>
          </cell>
          <cell r="F12591" t="str">
            <v>NELC-A</v>
          </cell>
          <cell r="G12591">
            <v>150</v>
          </cell>
          <cell r="H12591" t="str">
            <v>NELC-A150</v>
          </cell>
          <cell r="K12591" t="str">
            <v>Azmeh,Sarah</v>
          </cell>
          <cell r="N12591">
            <v>2.72</v>
          </cell>
          <cell r="O12591">
            <v>3.319</v>
          </cell>
        </row>
        <row r="12592">
          <cell r="E12592" t="str">
            <v>NELC</v>
          </cell>
          <cell r="F12592" t="str">
            <v>NELC-A</v>
          </cell>
          <cell r="G12592">
            <v>150</v>
          </cell>
          <cell r="H12592" t="str">
            <v>NELC-A150</v>
          </cell>
          <cell r="K12592" t="str">
            <v>Istrabadi,Zaineb Scheherazad</v>
          </cell>
          <cell r="N12592">
            <v>2.9129999999999998</v>
          </cell>
          <cell r="O12592">
            <v>2.819</v>
          </cell>
        </row>
        <row r="12593">
          <cell r="E12593" t="str">
            <v>NELC</v>
          </cell>
          <cell r="F12593" t="str">
            <v>NELC-A</v>
          </cell>
          <cell r="G12593">
            <v>150</v>
          </cell>
          <cell r="H12593" t="str">
            <v>NELC-A150</v>
          </cell>
          <cell r="K12593" t="str">
            <v>Wayne,Catharine Ann</v>
          </cell>
          <cell r="N12593">
            <v>3.6</v>
          </cell>
          <cell r="O12593">
            <v>3.1539999999999999</v>
          </cell>
        </row>
        <row r="12594">
          <cell r="E12594" t="str">
            <v>NELC</v>
          </cell>
          <cell r="F12594" t="str">
            <v>NELC-A</v>
          </cell>
          <cell r="G12594">
            <v>150</v>
          </cell>
          <cell r="H12594" t="str">
            <v>NELC-A150</v>
          </cell>
          <cell r="K12594" t="str">
            <v>Wayne,Catharine Ann</v>
          </cell>
          <cell r="N12594">
            <v>3.7829999999999999</v>
          </cell>
          <cell r="O12594">
            <v>3.484</v>
          </cell>
        </row>
        <row r="12595">
          <cell r="E12595" t="str">
            <v>NELC</v>
          </cell>
          <cell r="F12595" t="str">
            <v>NELC-A</v>
          </cell>
          <cell r="G12595">
            <v>150</v>
          </cell>
          <cell r="H12595" t="str">
            <v>NELC-A150</v>
          </cell>
          <cell r="K12595" t="str">
            <v>Willborn,Anne</v>
          </cell>
          <cell r="N12595">
            <v>3.044</v>
          </cell>
          <cell r="O12595">
            <v>3.1019999999999999</v>
          </cell>
        </row>
        <row r="12596">
          <cell r="E12596" t="str">
            <v>NELC</v>
          </cell>
          <cell r="F12596" t="str">
            <v>NELC-A</v>
          </cell>
          <cell r="G12596">
            <v>200</v>
          </cell>
          <cell r="H12596" t="str">
            <v>NELC-A200</v>
          </cell>
          <cell r="K12596" t="str">
            <v>Morkus,Nader Moussa</v>
          </cell>
          <cell r="N12596">
            <v>2.7930000000000001</v>
          </cell>
          <cell r="O12596">
            <v>3.331</v>
          </cell>
        </row>
        <row r="12597">
          <cell r="E12597" t="str">
            <v>NELC</v>
          </cell>
          <cell r="F12597" t="str">
            <v>NELC-A</v>
          </cell>
          <cell r="G12597">
            <v>200</v>
          </cell>
          <cell r="H12597" t="str">
            <v>NELC-A200</v>
          </cell>
          <cell r="K12597" t="str">
            <v>Morkus,Nader Moussa</v>
          </cell>
          <cell r="N12597" t="str">
            <v>NR</v>
          </cell>
          <cell r="O12597" t="str">
            <v>NR</v>
          </cell>
        </row>
        <row r="12598">
          <cell r="E12598" t="str">
            <v>NELC</v>
          </cell>
          <cell r="F12598" t="str">
            <v>NELC-A</v>
          </cell>
          <cell r="G12598">
            <v>200</v>
          </cell>
          <cell r="H12598" t="str">
            <v>NELC-A200</v>
          </cell>
          <cell r="K12598" t="str">
            <v>Morkus,Nader Moussa</v>
          </cell>
          <cell r="N12598">
            <v>3.5920000000000001</v>
          </cell>
          <cell r="O12598">
            <v>3.218</v>
          </cell>
        </row>
        <row r="12599">
          <cell r="E12599" t="str">
            <v>NELC</v>
          </cell>
          <cell r="F12599" t="str">
            <v>NELC-A</v>
          </cell>
          <cell r="G12599">
            <v>200</v>
          </cell>
          <cell r="H12599" t="str">
            <v>NELC-A200</v>
          </cell>
          <cell r="K12599" t="str">
            <v>Morkus,Nader Moussa</v>
          </cell>
          <cell r="N12599">
            <v>3.02</v>
          </cell>
          <cell r="O12599">
            <v>3.3319999999999999</v>
          </cell>
        </row>
        <row r="12600">
          <cell r="E12600" t="str">
            <v>NELC</v>
          </cell>
          <cell r="F12600" t="str">
            <v>NELC-A</v>
          </cell>
          <cell r="G12600">
            <v>250</v>
          </cell>
          <cell r="H12600" t="str">
            <v>NELC-A250</v>
          </cell>
          <cell r="K12600" t="str">
            <v>Anderson,Jedidiah Carl</v>
          </cell>
          <cell r="N12600">
            <v>3.4079999999999999</v>
          </cell>
          <cell r="O12600">
            <v>3.4990000000000001</v>
          </cell>
        </row>
        <row r="12601">
          <cell r="E12601" t="str">
            <v>NELC</v>
          </cell>
          <cell r="F12601" t="str">
            <v>NELC-A</v>
          </cell>
          <cell r="G12601">
            <v>250</v>
          </cell>
          <cell r="H12601" t="str">
            <v>NELC-A250</v>
          </cell>
          <cell r="K12601" t="str">
            <v>Bentil-Mawusi,Nana Aba</v>
          </cell>
          <cell r="N12601" t="str">
            <v>NR</v>
          </cell>
          <cell r="O12601" t="str">
            <v>NR</v>
          </cell>
        </row>
        <row r="12602">
          <cell r="E12602" t="str">
            <v>NELC</v>
          </cell>
          <cell r="F12602" t="str">
            <v>NELC-A</v>
          </cell>
          <cell r="G12602">
            <v>250</v>
          </cell>
          <cell r="H12602" t="str">
            <v>NELC-A250</v>
          </cell>
          <cell r="K12602" t="str">
            <v>Istrabadi,Zaineb Scheherazad</v>
          </cell>
          <cell r="N12602" t="str">
            <v>NR</v>
          </cell>
          <cell r="O12602" t="str">
            <v>NR</v>
          </cell>
        </row>
        <row r="12603">
          <cell r="E12603" t="str">
            <v>NELC</v>
          </cell>
          <cell r="F12603" t="str">
            <v>NELC-A</v>
          </cell>
          <cell r="G12603">
            <v>250</v>
          </cell>
          <cell r="H12603" t="str">
            <v>NELC-A250</v>
          </cell>
          <cell r="K12603" t="str">
            <v>Nasr,Ghassan</v>
          </cell>
          <cell r="N12603">
            <v>3.34</v>
          </cell>
          <cell r="O12603">
            <v>3.629</v>
          </cell>
        </row>
        <row r="12604">
          <cell r="E12604" t="str">
            <v>NELC</v>
          </cell>
          <cell r="F12604" t="str">
            <v>NELC-A</v>
          </cell>
          <cell r="G12604">
            <v>300</v>
          </cell>
          <cell r="H12604" t="str">
            <v>NELC-A300</v>
          </cell>
          <cell r="K12604" t="str">
            <v>Morkus,Nader Moussa</v>
          </cell>
          <cell r="N12604" t="str">
            <v>NR</v>
          </cell>
          <cell r="O12604" t="str">
            <v>NR</v>
          </cell>
        </row>
        <row r="12605">
          <cell r="E12605" t="str">
            <v>NELC</v>
          </cell>
          <cell r="F12605" t="str">
            <v>NELC-A</v>
          </cell>
          <cell r="G12605">
            <v>300</v>
          </cell>
          <cell r="H12605" t="str">
            <v>NELC-A300</v>
          </cell>
          <cell r="K12605" t="str">
            <v>Morkus,Nader Moussa</v>
          </cell>
          <cell r="N12605">
            <v>3.4550000000000001</v>
          </cell>
          <cell r="O12605">
            <v>3.4329999999999998</v>
          </cell>
        </row>
        <row r="12606">
          <cell r="E12606" t="str">
            <v>NELC</v>
          </cell>
          <cell r="F12606" t="str">
            <v>NELC-A</v>
          </cell>
          <cell r="G12606">
            <v>350</v>
          </cell>
          <cell r="H12606" t="str">
            <v>NELC-A350</v>
          </cell>
          <cell r="K12606" t="str">
            <v>Al-Kutubi,Eiyad Salman</v>
          </cell>
          <cell r="N12606">
            <v>3.8860000000000001</v>
          </cell>
          <cell r="O12606">
            <v>3.681</v>
          </cell>
        </row>
        <row r="12607">
          <cell r="E12607" t="str">
            <v>NELC</v>
          </cell>
          <cell r="F12607" t="str">
            <v>NELC-A</v>
          </cell>
          <cell r="G12607">
            <v>400</v>
          </cell>
          <cell r="H12607" t="str">
            <v>NELC-A400</v>
          </cell>
          <cell r="K12607" t="str">
            <v>Morkus,Nader Moussa</v>
          </cell>
          <cell r="N12607">
            <v>3.4710000000000001</v>
          </cell>
          <cell r="O12607">
            <v>3.5470000000000002</v>
          </cell>
        </row>
        <row r="12608">
          <cell r="E12608" t="str">
            <v>NELC</v>
          </cell>
          <cell r="F12608" t="str">
            <v>NELC-A</v>
          </cell>
          <cell r="G12608">
            <v>450</v>
          </cell>
          <cell r="H12608" t="str">
            <v>NELC-A450</v>
          </cell>
          <cell r="K12608" t="str">
            <v>Istrabadi,Zaineb Scheherazad</v>
          </cell>
          <cell r="N12608" t="str">
            <v>NR</v>
          </cell>
          <cell r="O12608" t="str">
            <v>NR</v>
          </cell>
        </row>
        <row r="12609">
          <cell r="E12609" t="str">
            <v>NELC</v>
          </cell>
          <cell r="F12609" t="str">
            <v>NELC-A</v>
          </cell>
          <cell r="G12609">
            <v>500</v>
          </cell>
          <cell r="H12609" t="str">
            <v>NELC-A500</v>
          </cell>
          <cell r="K12609" t="str">
            <v>Morkus,Nader Moussa</v>
          </cell>
          <cell r="N12609" t="str">
            <v>NR</v>
          </cell>
          <cell r="O12609" t="str">
            <v>NR</v>
          </cell>
        </row>
        <row r="12610">
          <cell r="E12610" t="str">
            <v>NELC</v>
          </cell>
          <cell r="F12610" t="str">
            <v>NELC-A</v>
          </cell>
          <cell r="G12610">
            <v>500</v>
          </cell>
          <cell r="H12610" t="str">
            <v>NELC-A500</v>
          </cell>
          <cell r="K12610" t="str">
            <v>Morkus,Nader Moussa</v>
          </cell>
          <cell r="N12610" t="str">
            <v>NR</v>
          </cell>
          <cell r="O12610" t="str">
            <v>NR</v>
          </cell>
        </row>
        <row r="12611">
          <cell r="E12611" t="str">
            <v>NELC</v>
          </cell>
          <cell r="F12611" t="str">
            <v>NELC-A</v>
          </cell>
          <cell r="G12611">
            <v>500</v>
          </cell>
          <cell r="H12611" t="str">
            <v>NELC-A500</v>
          </cell>
          <cell r="K12611" t="str">
            <v>Morkus,Nader Moussa</v>
          </cell>
          <cell r="N12611" t="str">
            <v>NR</v>
          </cell>
          <cell r="O12611" t="str">
            <v>NR</v>
          </cell>
        </row>
        <row r="12612">
          <cell r="E12612" t="str">
            <v>NELC</v>
          </cell>
          <cell r="F12612" t="str">
            <v>NELC-A</v>
          </cell>
          <cell r="G12612">
            <v>500</v>
          </cell>
          <cell r="H12612" t="str">
            <v>NELC-A500</v>
          </cell>
          <cell r="K12612" t="str">
            <v>Morkus,Nader Moussa</v>
          </cell>
          <cell r="N12612" t="str">
            <v>NR</v>
          </cell>
          <cell r="O12612" t="str">
            <v>NR</v>
          </cell>
        </row>
        <row r="12613">
          <cell r="E12613" t="str">
            <v>NELC</v>
          </cell>
          <cell r="F12613" t="str">
            <v>NELC-A</v>
          </cell>
          <cell r="G12613">
            <v>500</v>
          </cell>
          <cell r="H12613" t="str">
            <v>NELC-A500</v>
          </cell>
          <cell r="K12613" t="str">
            <v>Morkus,Nader Moussa</v>
          </cell>
          <cell r="N12613" t="str">
            <v>NR</v>
          </cell>
          <cell r="O12613" t="str">
            <v>NR</v>
          </cell>
        </row>
        <row r="12614">
          <cell r="E12614" t="str">
            <v>NELC</v>
          </cell>
          <cell r="F12614" t="str">
            <v>NELC-A</v>
          </cell>
          <cell r="G12614">
            <v>550</v>
          </cell>
          <cell r="H12614" t="str">
            <v>NELC-A550</v>
          </cell>
          <cell r="K12614" t="str">
            <v>Al-Raba'a,Basem Ibrahim</v>
          </cell>
          <cell r="N12614" t="str">
            <v>NR</v>
          </cell>
          <cell r="O12614" t="str">
            <v>NR</v>
          </cell>
        </row>
        <row r="12615">
          <cell r="E12615" t="str">
            <v>NELC</v>
          </cell>
          <cell r="F12615" t="str">
            <v>NELC-A</v>
          </cell>
          <cell r="G12615">
            <v>550</v>
          </cell>
          <cell r="H12615" t="str">
            <v>NELC-A550</v>
          </cell>
          <cell r="K12615" t="str">
            <v>Azmeh,Sarah</v>
          </cell>
          <cell r="N12615" t="str">
            <v>NR</v>
          </cell>
          <cell r="O12615" t="str">
            <v>NR</v>
          </cell>
        </row>
        <row r="12616">
          <cell r="E12616" t="str">
            <v>NELC</v>
          </cell>
          <cell r="F12616" t="str">
            <v>NELC-A</v>
          </cell>
          <cell r="G12616">
            <v>550</v>
          </cell>
          <cell r="H12616" t="str">
            <v>NELC-A550</v>
          </cell>
          <cell r="K12616" t="str">
            <v>Istrabadi,Zaineb Scheherazad</v>
          </cell>
          <cell r="N12616" t="str">
            <v>NR</v>
          </cell>
          <cell r="O12616" t="str">
            <v>NR</v>
          </cell>
        </row>
        <row r="12617">
          <cell r="E12617" t="str">
            <v>NELC</v>
          </cell>
          <cell r="F12617" t="str">
            <v>NELC-A</v>
          </cell>
          <cell r="G12617">
            <v>550</v>
          </cell>
          <cell r="H12617" t="str">
            <v>NELC-A550</v>
          </cell>
          <cell r="K12617" t="str">
            <v>Wayne,Catharine Ann</v>
          </cell>
          <cell r="N12617" t="str">
            <v>NR</v>
          </cell>
          <cell r="O12617" t="str">
            <v>NR</v>
          </cell>
        </row>
        <row r="12618">
          <cell r="E12618" t="str">
            <v>NELC</v>
          </cell>
          <cell r="F12618" t="str">
            <v>NELC-A</v>
          </cell>
          <cell r="G12618">
            <v>600</v>
          </cell>
          <cell r="H12618" t="str">
            <v>NELC-A600</v>
          </cell>
          <cell r="K12618" t="str">
            <v>Morkus,Nader Moussa</v>
          </cell>
          <cell r="N12618" t="str">
            <v>NR</v>
          </cell>
          <cell r="O12618" t="str">
            <v>NR</v>
          </cell>
        </row>
        <row r="12619">
          <cell r="E12619" t="str">
            <v>NELC</v>
          </cell>
          <cell r="F12619" t="str">
            <v>NELC-A</v>
          </cell>
          <cell r="G12619">
            <v>600</v>
          </cell>
          <cell r="H12619" t="str">
            <v>NELC-A600</v>
          </cell>
          <cell r="K12619" t="str">
            <v>Morkus,Nader Moussa</v>
          </cell>
          <cell r="N12619" t="str">
            <v>NR</v>
          </cell>
          <cell r="O12619" t="str">
            <v>NR</v>
          </cell>
        </row>
        <row r="12620">
          <cell r="E12620" t="str">
            <v>NELC</v>
          </cell>
          <cell r="F12620" t="str">
            <v>NELC-A</v>
          </cell>
          <cell r="G12620">
            <v>600</v>
          </cell>
          <cell r="H12620" t="str">
            <v>NELC-A600</v>
          </cell>
          <cell r="K12620" t="str">
            <v>Morkus,Nader Moussa</v>
          </cell>
          <cell r="N12620" t="str">
            <v>NR</v>
          </cell>
          <cell r="O12620" t="str">
            <v>NR</v>
          </cell>
        </row>
        <row r="12621">
          <cell r="E12621" t="str">
            <v>NELC</v>
          </cell>
          <cell r="F12621" t="str">
            <v>NELC-A</v>
          </cell>
          <cell r="G12621">
            <v>600</v>
          </cell>
          <cell r="H12621" t="str">
            <v>NELC-A600</v>
          </cell>
          <cell r="K12621" t="str">
            <v>Morkus,Nader Moussa</v>
          </cell>
          <cell r="N12621" t="str">
            <v>NR</v>
          </cell>
          <cell r="O12621" t="str">
            <v>NR</v>
          </cell>
        </row>
        <row r="12622">
          <cell r="E12622" t="str">
            <v>NELC</v>
          </cell>
          <cell r="F12622" t="str">
            <v>NELC-A</v>
          </cell>
          <cell r="G12622">
            <v>650</v>
          </cell>
          <cell r="H12622" t="str">
            <v>NELC-A650</v>
          </cell>
          <cell r="K12622" t="str">
            <v>Anderson,Jedidiah Carl</v>
          </cell>
          <cell r="N12622" t="str">
            <v>NR</v>
          </cell>
          <cell r="O12622" t="str">
            <v>NR</v>
          </cell>
        </row>
        <row r="12623">
          <cell r="E12623" t="str">
            <v>NELC</v>
          </cell>
          <cell r="F12623" t="str">
            <v>NELC-A</v>
          </cell>
          <cell r="G12623">
            <v>650</v>
          </cell>
          <cell r="H12623" t="str">
            <v>NELC-A650</v>
          </cell>
          <cell r="K12623" t="str">
            <v>Bentil-Mawusi,Nana Aba</v>
          </cell>
          <cell r="N12623" t="str">
            <v>NR</v>
          </cell>
          <cell r="O12623" t="str">
            <v>NR</v>
          </cell>
        </row>
        <row r="12624">
          <cell r="E12624" t="str">
            <v>NELC</v>
          </cell>
          <cell r="F12624" t="str">
            <v>NELC-A</v>
          </cell>
          <cell r="G12624">
            <v>650</v>
          </cell>
          <cell r="H12624" t="str">
            <v>NELC-A650</v>
          </cell>
          <cell r="K12624" t="str">
            <v>Nasr,Ghassan</v>
          </cell>
          <cell r="N12624" t="str">
            <v>NR</v>
          </cell>
          <cell r="O12624" t="str">
            <v>NR</v>
          </cell>
        </row>
        <row r="12625">
          <cell r="E12625" t="str">
            <v>NELC</v>
          </cell>
          <cell r="F12625" t="str">
            <v>NELC-A</v>
          </cell>
          <cell r="G12625">
            <v>660</v>
          </cell>
          <cell r="H12625" t="str">
            <v>NELC-A660</v>
          </cell>
          <cell r="K12625" t="str">
            <v>Morkus,Nader Moussa</v>
          </cell>
          <cell r="N12625" t="str">
            <v>NR</v>
          </cell>
          <cell r="O12625" t="str">
            <v>NR</v>
          </cell>
        </row>
        <row r="12626">
          <cell r="E12626" t="str">
            <v>NELC</v>
          </cell>
          <cell r="F12626" t="str">
            <v>NELC-A</v>
          </cell>
          <cell r="G12626">
            <v>660</v>
          </cell>
          <cell r="H12626" t="str">
            <v>NELC-A660</v>
          </cell>
          <cell r="K12626" t="str">
            <v>Morkus,Nader Moussa</v>
          </cell>
          <cell r="N12626" t="str">
            <v>NR</v>
          </cell>
          <cell r="O12626" t="str">
            <v>NR</v>
          </cell>
        </row>
        <row r="12627">
          <cell r="E12627" t="str">
            <v>NELC</v>
          </cell>
          <cell r="F12627" t="str">
            <v>NELC-A</v>
          </cell>
          <cell r="G12627">
            <v>670</v>
          </cell>
          <cell r="H12627" t="str">
            <v>NELC-A670</v>
          </cell>
          <cell r="K12627" t="str">
            <v>Al-Kutubi,Eiyad Salman</v>
          </cell>
          <cell r="N12627" t="str">
            <v>NR</v>
          </cell>
          <cell r="O12627" t="str">
            <v>NR</v>
          </cell>
        </row>
        <row r="12628">
          <cell r="E12628" t="str">
            <v>NELC</v>
          </cell>
          <cell r="F12628" t="str">
            <v>NELC-A</v>
          </cell>
          <cell r="G12628">
            <v>680</v>
          </cell>
          <cell r="H12628" t="str">
            <v>NELC-A680</v>
          </cell>
          <cell r="K12628" t="str">
            <v>Morkus,Nader Moussa</v>
          </cell>
          <cell r="N12628">
            <v>3.8330000000000002</v>
          </cell>
          <cell r="O12628">
            <v>3.8559999999999999</v>
          </cell>
        </row>
        <row r="12629">
          <cell r="E12629" t="str">
            <v>NELC</v>
          </cell>
          <cell r="F12629" t="str">
            <v>NELC-A</v>
          </cell>
          <cell r="G12629">
            <v>690</v>
          </cell>
          <cell r="H12629" t="str">
            <v>NELC-A690</v>
          </cell>
          <cell r="K12629" t="str">
            <v>Istrabadi,Zaineb Scheherazad</v>
          </cell>
          <cell r="N12629" t="str">
            <v>NR</v>
          </cell>
          <cell r="O12629" t="str">
            <v>NR</v>
          </cell>
        </row>
        <row r="12630">
          <cell r="E12630" t="str">
            <v>NELC</v>
          </cell>
          <cell r="F12630" t="str">
            <v>NELC-E</v>
          </cell>
          <cell r="G12630">
            <v>101</v>
          </cell>
          <cell r="H12630" t="str">
            <v>NELC-E101</v>
          </cell>
          <cell r="K12630" t="str">
            <v>Vinson,Stephen</v>
          </cell>
          <cell r="N12630" t="str">
            <v>NR</v>
          </cell>
          <cell r="O12630" t="str">
            <v>NR</v>
          </cell>
        </row>
        <row r="12631">
          <cell r="E12631" t="str">
            <v>NELC</v>
          </cell>
          <cell r="F12631" t="str">
            <v>NELC-E</v>
          </cell>
          <cell r="G12631">
            <v>102</v>
          </cell>
          <cell r="H12631" t="str">
            <v>NELC-E102</v>
          </cell>
          <cell r="K12631" t="str">
            <v>Vinson,Stephen</v>
          </cell>
          <cell r="N12631" t="str">
            <v>NR</v>
          </cell>
          <cell r="O12631" t="str">
            <v>NR</v>
          </cell>
        </row>
        <row r="12632">
          <cell r="E12632" t="str">
            <v>NELC</v>
          </cell>
          <cell r="F12632" t="str">
            <v>NELC-E</v>
          </cell>
          <cell r="G12632">
            <v>201</v>
          </cell>
          <cell r="H12632" t="str">
            <v>NELC-E201</v>
          </cell>
          <cell r="K12632" t="str">
            <v>Vinson,Stephen</v>
          </cell>
          <cell r="N12632">
            <v>2.8780000000000001</v>
          </cell>
          <cell r="O12632">
            <v>2.7749999999999999</v>
          </cell>
        </row>
        <row r="12633">
          <cell r="E12633" t="str">
            <v>NELC</v>
          </cell>
          <cell r="F12633" t="str">
            <v>NELC-E</v>
          </cell>
          <cell r="G12633">
            <v>201</v>
          </cell>
          <cell r="H12633" t="str">
            <v>NELC-E201</v>
          </cell>
          <cell r="K12633" t="str">
            <v>Vinson,Stephen</v>
          </cell>
          <cell r="N12633">
            <v>3.661</v>
          </cell>
          <cell r="O12633">
            <v>3.3130000000000002</v>
          </cell>
        </row>
        <row r="12634">
          <cell r="E12634" t="str">
            <v>NELC</v>
          </cell>
          <cell r="F12634" t="str">
            <v>NELC-E</v>
          </cell>
          <cell r="G12634">
            <v>301</v>
          </cell>
          <cell r="H12634" t="str">
            <v>NELC-E301</v>
          </cell>
          <cell r="K12634" t="str">
            <v>Vinson,Stephen</v>
          </cell>
          <cell r="N12634">
            <v>3.577</v>
          </cell>
          <cell r="O12634">
            <v>3.1709999999999998</v>
          </cell>
        </row>
        <row r="12635">
          <cell r="E12635" t="str">
            <v>NELC</v>
          </cell>
          <cell r="F12635" t="str">
            <v>NELC-G</v>
          </cell>
          <cell r="G12635">
            <v>901</v>
          </cell>
          <cell r="H12635" t="str">
            <v>NELC-G901</v>
          </cell>
          <cell r="K12635" t="str">
            <v>Afsaruddin,Asma</v>
          </cell>
          <cell r="N12635" t="str">
            <v>NR</v>
          </cell>
          <cell r="O12635" t="str">
            <v>NR</v>
          </cell>
        </row>
        <row r="12636">
          <cell r="E12636" t="str">
            <v>NELC</v>
          </cell>
          <cell r="F12636" t="str">
            <v>NELC-G</v>
          </cell>
          <cell r="G12636">
            <v>901</v>
          </cell>
          <cell r="H12636" t="str">
            <v>NELC-G901</v>
          </cell>
          <cell r="K12636" t="str">
            <v>Afsaruddin,Asma</v>
          </cell>
          <cell r="N12636" t="str">
            <v>NR</v>
          </cell>
          <cell r="O12636" t="str">
            <v>NR</v>
          </cell>
        </row>
        <row r="12637">
          <cell r="E12637" t="str">
            <v>NELC</v>
          </cell>
          <cell r="F12637" t="str">
            <v>NELC-H</v>
          </cell>
          <cell r="G12637">
            <v>501</v>
          </cell>
          <cell r="H12637" t="str">
            <v>NELC-H501</v>
          </cell>
          <cell r="K12637" t="str">
            <v>Maoz-Levy,Michal</v>
          </cell>
          <cell r="N12637" t="str">
            <v>NR</v>
          </cell>
          <cell r="O12637" t="str">
            <v>NR</v>
          </cell>
        </row>
        <row r="12638">
          <cell r="E12638" t="str">
            <v>NELC</v>
          </cell>
          <cell r="F12638" t="str">
            <v>NELC-H</v>
          </cell>
          <cell r="G12638">
            <v>501</v>
          </cell>
          <cell r="H12638" t="str">
            <v>NELC-H501</v>
          </cell>
          <cell r="K12638" t="str">
            <v>Naor,Rachel A</v>
          </cell>
          <cell r="N12638" t="str">
            <v>NR</v>
          </cell>
          <cell r="O12638" t="str">
            <v>NR</v>
          </cell>
        </row>
        <row r="12639">
          <cell r="E12639" t="str">
            <v>NELC</v>
          </cell>
          <cell r="F12639" t="str">
            <v>NELC-H</v>
          </cell>
          <cell r="G12639">
            <v>502</v>
          </cell>
          <cell r="H12639" t="str">
            <v>NELC-H502</v>
          </cell>
          <cell r="K12639" t="str">
            <v>Maoz-Levy,Michal</v>
          </cell>
          <cell r="N12639" t="str">
            <v>NR</v>
          </cell>
          <cell r="O12639" t="str">
            <v>NR</v>
          </cell>
        </row>
        <row r="12640">
          <cell r="E12640" t="str">
            <v>NELC</v>
          </cell>
          <cell r="F12640" t="str">
            <v>NELC-H</v>
          </cell>
          <cell r="G12640">
            <v>502</v>
          </cell>
          <cell r="H12640" t="str">
            <v>NELC-H502</v>
          </cell>
          <cell r="K12640" t="str">
            <v>Naor,Rachel A</v>
          </cell>
          <cell r="N12640" t="str">
            <v>NR</v>
          </cell>
          <cell r="O12640" t="str">
            <v>NR</v>
          </cell>
        </row>
        <row r="12641">
          <cell r="E12641" t="str">
            <v>NELC</v>
          </cell>
          <cell r="F12641" t="str">
            <v>NELC-H</v>
          </cell>
          <cell r="G12641">
            <v>502</v>
          </cell>
          <cell r="H12641" t="str">
            <v>NELC-H502</v>
          </cell>
          <cell r="K12641" t="str">
            <v>Naor,Rachel A</v>
          </cell>
          <cell r="N12641" t="str">
            <v>NR</v>
          </cell>
          <cell r="O12641" t="str">
            <v>NR</v>
          </cell>
        </row>
        <row r="12642">
          <cell r="E12642" t="str">
            <v>NELC</v>
          </cell>
          <cell r="F12642" t="str">
            <v>NELC-H</v>
          </cell>
          <cell r="G12642">
            <v>503</v>
          </cell>
          <cell r="H12642" t="str">
            <v>NELC-H503</v>
          </cell>
          <cell r="K12642" t="str">
            <v>Weiss,Ayelet</v>
          </cell>
          <cell r="N12642" t="str">
            <v>NR</v>
          </cell>
          <cell r="O12642" t="str">
            <v>NR</v>
          </cell>
        </row>
        <row r="12643">
          <cell r="E12643" t="str">
            <v>NELC</v>
          </cell>
          <cell r="F12643" t="str">
            <v>NELC-H</v>
          </cell>
          <cell r="G12643">
            <v>503</v>
          </cell>
          <cell r="H12643" t="str">
            <v>NELC-H503</v>
          </cell>
          <cell r="K12643" t="str">
            <v>Weiss,Ayelet</v>
          </cell>
          <cell r="N12643" t="str">
            <v>NR</v>
          </cell>
          <cell r="O12643" t="str">
            <v>NR</v>
          </cell>
        </row>
        <row r="12644">
          <cell r="E12644" t="str">
            <v>NELC</v>
          </cell>
          <cell r="F12644" t="str">
            <v>NELC-H</v>
          </cell>
          <cell r="G12644">
            <v>504</v>
          </cell>
          <cell r="H12644" t="str">
            <v>NELC-H504</v>
          </cell>
          <cell r="K12644" t="str">
            <v>Maoz-Levy,Michal</v>
          </cell>
          <cell r="N12644" t="str">
            <v>NR</v>
          </cell>
          <cell r="O12644" t="str">
            <v>NR</v>
          </cell>
        </row>
        <row r="12645">
          <cell r="E12645" t="str">
            <v>NELC</v>
          </cell>
          <cell r="F12645" t="str">
            <v>NELC-H</v>
          </cell>
          <cell r="G12645">
            <v>504</v>
          </cell>
          <cell r="H12645" t="str">
            <v>NELC-H504</v>
          </cell>
          <cell r="K12645" t="str">
            <v>Weiss,Ayelet</v>
          </cell>
          <cell r="N12645" t="str">
            <v>NR</v>
          </cell>
          <cell r="O12645" t="str">
            <v>NR</v>
          </cell>
        </row>
        <row r="12646">
          <cell r="E12646" t="str">
            <v>NELC</v>
          </cell>
          <cell r="F12646" t="str">
            <v>NELC-H</v>
          </cell>
          <cell r="G12646">
            <v>505</v>
          </cell>
          <cell r="H12646" t="str">
            <v>NELC-H505</v>
          </cell>
          <cell r="K12646" t="str">
            <v>Maoz-Levy,Michal</v>
          </cell>
          <cell r="N12646" t="str">
            <v>NR</v>
          </cell>
          <cell r="O12646" t="str">
            <v>NR</v>
          </cell>
        </row>
        <row r="12647">
          <cell r="E12647" t="str">
            <v>NELC</v>
          </cell>
          <cell r="F12647" t="str">
            <v>NELC-H</v>
          </cell>
          <cell r="G12647">
            <v>506</v>
          </cell>
          <cell r="H12647" t="str">
            <v>NELC-H506</v>
          </cell>
          <cell r="K12647" t="str">
            <v>Weiss,Ayelet</v>
          </cell>
          <cell r="N12647" t="str">
            <v>NR</v>
          </cell>
          <cell r="O12647" t="str">
            <v>NR</v>
          </cell>
        </row>
        <row r="12648">
          <cell r="E12648" t="str">
            <v>NELC</v>
          </cell>
          <cell r="F12648" t="str">
            <v>NELC-N</v>
          </cell>
          <cell r="G12648">
            <v>204</v>
          </cell>
          <cell r="H12648" t="str">
            <v>NELC-N204</v>
          </cell>
          <cell r="K12648" t="str">
            <v>Attar,Samar</v>
          </cell>
          <cell r="N12648">
            <v>2.6749999999999998</v>
          </cell>
          <cell r="O12648">
            <v>2.9209999999999998</v>
          </cell>
        </row>
        <row r="12649">
          <cell r="E12649" t="str">
            <v>NELC</v>
          </cell>
          <cell r="F12649" t="str">
            <v>NELC-N</v>
          </cell>
          <cell r="G12649">
            <v>204</v>
          </cell>
          <cell r="H12649" t="str">
            <v>NELC-N204</v>
          </cell>
          <cell r="K12649" t="str">
            <v>Dechant,John Eldon</v>
          </cell>
          <cell r="N12649">
            <v>3.738</v>
          </cell>
          <cell r="O12649">
            <v>3.359</v>
          </cell>
        </row>
        <row r="12650">
          <cell r="E12650" t="str">
            <v>NELC</v>
          </cell>
          <cell r="F12650" t="str">
            <v>NELC-N</v>
          </cell>
          <cell r="G12650">
            <v>204</v>
          </cell>
          <cell r="H12650" t="str">
            <v>NELC-N204</v>
          </cell>
          <cell r="K12650" t="str">
            <v>Khazzoom,Aziza</v>
          </cell>
          <cell r="N12650" t="str">
            <v>NR</v>
          </cell>
          <cell r="O12650" t="str">
            <v>NR</v>
          </cell>
        </row>
        <row r="12651">
          <cell r="E12651" t="str">
            <v>NELC</v>
          </cell>
          <cell r="F12651" t="str">
            <v>NELC-N</v>
          </cell>
          <cell r="G12651">
            <v>204</v>
          </cell>
          <cell r="H12651" t="str">
            <v>NELC-N204</v>
          </cell>
          <cell r="K12651" t="str">
            <v>Martin,Kevin</v>
          </cell>
          <cell r="N12651">
            <v>3.2749999999999999</v>
          </cell>
          <cell r="O12651">
            <v>3.4510000000000001</v>
          </cell>
        </row>
        <row r="12652">
          <cell r="E12652" t="str">
            <v>NELC</v>
          </cell>
          <cell r="F12652" t="str">
            <v>NELC-N</v>
          </cell>
          <cell r="G12652">
            <v>204</v>
          </cell>
          <cell r="H12652" t="str">
            <v>NELC-N204</v>
          </cell>
          <cell r="K12652" t="str">
            <v>Martin,Kevin</v>
          </cell>
          <cell r="N12652" t="str">
            <v>NR</v>
          </cell>
          <cell r="O12652" t="str">
            <v>NR</v>
          </cell>
        </row>
        <row r="12653">
          <cell r="E12653" t="str">
            <v>NELC</v>
          </cell>
          <cell r="F12653" t="str">
            <v>NELC-N</v>
          </cell>
          <cell r="G12653">
            <v>204</v>
          </cell>
          <cell r="H12653" t="str">
            <v>NELC-N204</v>
          </cell>
          <cell r="K12653" t="str">
            <v>Vinson,Stephen</v>
          </cell>
          <cell r="N12653">
            <v>3.0529999999999999</v>
          </cell>
          <cell r="O12653">
            <v>2.8519999999999999</v>
          </cell>
        </row>
        <row r="12654">
          <cell r="E12654" t="str">
            <v>NELC</v>
          </cell>
          <cell r="F12654" t="str">
            <v>NELC-N</v>
          </cell>
          <cell r="G12654">
            <v>208</v>
          </cell>
          <cell r="H12654" t="str">
            <v>NELC-N208</v>
          </cell>
          <cell r="K12654" t="str">
            <v>Harding,Cigdem Balim</v>
          </cell>
          <cell r="N12654">
            <v>3.7919999999999998</v>
          </cell>
          <cell r="O12654">
            <v>3.3220000000000001</v>
          </cell>
        </row>
        <row r="12655">
          <cell r="E12655" t="str">
            <v>NELC</v>
          </cell>
          <cell r="F12655" t="str">
            <v>NELC-N</v>
          </cell>
          <cell r="G12655">
            <v>255</v>
          </cell>
          <cell r="H12655" t="str">
            <v>NELC-N255</v>
          </cell>
          <cell r="K12655" t="str">
            <v>Alani,Salman H.</v>
          </cell>
          <cell r="N12655">
            <v>3.5270000000000001</v>
          </cell>
          <cell r="O12655">
            <v>3.4380000000000002</v>
          </cell>
        </row>
        <row r="12656">
          <cell r="E12656" t="str">
            <v>NELC</v>
          </cell>
          <cell r="F12656" t="str">
            <v>NELC-N</v>
          </cell>
          <cell r="G12656">
            <v>265</v>
          </cell>
          <cell r="H12656" t="str">
            <v>NELC-N265</v>
          </cell>
          <cell r="K12656" t="str">
            <v>Radez,John Peter</v>
          </cell>
          <cell r="N12656">
            <v>3.8180000000000001</v>
          </cell>
          <cell r="O12656">
            <v>2.8370000000000002</v>
          </cell>
        </row>
        <row r="12657">
          <cell r="E12657" t="str">
            <v>NELC</v>
          </cell>
          <cell r="F12657" t="str">
            <v>NELC-N</v>
          </cell>
          <cell r="G12657">
            <v>303</v>
          </cell>
          <cell r="H12657" t="str">
            <v>NELC-N303</v>
          </cell>
          <cell r="K12657" t="str">
            <v>Martin,Kevin</v>
          </cell>
          <cell r="N12657">
            <v>3.4670000000000001</v>
          </cell>
          <cell r="O12657">
            <v>3.4020000000000001</v>
          </cell>
        </row>
        <row r="12658">
          <cell r="E12658" t="str">
            <v>NELC</v>
          </cell>
          <cell r="F12658" t="str">
            <v>NELC-N</v>
          </cell>
          <cell r="G12658">
            <v>305</v>
          </cell>
          <cell r="H12658" t="str">
            <v>NELC-N305</v>
          </cell>
          <cell r="K12658" t="str">
            <v>Istrabadi,Zaineb Scheherazad</v>
          </cell>
          <cell r="N12658" t="str">
            <v>NR</v>
          </cell>
          <cell r="O12658" t="str">
            <v>NR</v>
          </cell>
        </row>
        <row r="12659">
          <cell r="E12659" t="str">
            <v>NELC</v>
          </cell>
          <cell r="F12659" t="str">
            <v>NELC-N</v>
          </cell>
          <cell r="G12659">
            <v>305</v>
          </cell>
          <cell r="H12659" t="str">
            <v>NELC-N305</v>
          </cell>
          <cell r="K12659" t="str">
            <v>Sinno,Abdulkader</v>
          </cell>
          <cell r="N12659" t="str">
            <v>NR</v>
          </cell>
          <cell r="O12659" t="str">
            <v>NR</v>
          </cell>
        </row>
        <row r="12660">
          <cell r="E12660" t="str">
            <v>NELC</v>
          </cell>
          <cell r="F12660" t="str">
            <v>NELC-N</v>
          </cell>
          <cell r="G12660">
            <v>305</v>
          </cell>
          <cell r="H12660" t="str">
            <v>NELC-N305</v>
          </cell>
          <cell r="K12660" t="str">
            <v>Stetkevych,Suzanne Pinckney</v>
          </cell>
          <cell r="N12660">
            <v>3.1</v>
          </cell>
          <cell r="O12660">
            <v>3.28</v>
          </cell>
        </row>
        <row r="12661">
          <cell r="E12661" t="str">
            <v>NELC</v>
          </cell>
          <cell r="F12661" t="str">
            <v>NELC-N</v>
          </cell>
          <cell r="G12661">
            <v>307</v>
          </cell>
          <cell r="H12661" t="str">
            <v>NELC-N307</v>
          </cell>
          <cell r="K12661" t="str">
            <v>Trix,Frances</v>
          </cell>
          <cell r="N12661">
            <v>3.5670000000000002</v>
          </cell>
          <cell r="O12661">
            <v>3.2930000000000001</v>
          </cell>
        </row>
        <row r="12662">
          <cell r="E12662" t="str">
            <v>NELC</v>
          </cell>
          <cell r="F12662" t="str">
            <v>NELC-N</v>
          </cell>
          <cell r="G12662">
            <v>310</v>
          </cell>
          <cell r="H12662" t="str">
            <v>NELC-N310</v>
          </cell>
          <cell r="K12662" t="str">
            <v>Alani,Salman H.</v>
          </cell>
          <cell r="N12662" t="str">
            <v>NR</v>
          </cell>
          <cell r="O12662" t="str">
            <v>NR</v>
          </cell>
        </row>
        <row r="12663">
          <cell r="E12663" t="str">
            <v>NELC</v>
          </cell>
          <cell r="F12663" t="str">
            <v>NELC-N</v>
          </cell>
          <cell r="G12663">
            <v>312</v>
          </cell>
          <cell r="H12663" t="str">
            <v>NELC-N312</v>
          </cell>
          <cell r="K12663" t="str">
            <v>Alani,Salman H.</v>
          </cell>
          <cell r="N12663">
            <v>3.57</v>
          </cell>
          <cell r="O12663">
            <v>3.327</v>
          </cell>
        </row>
        <row r="12664">
          <cell r="E12664" t="str">
            <v>NELC</v>
          </cell>
          <cell r="F12664" t="str">
            <v>NELC-N</v>
          </cell>
          <cell r="G12664">
            <v>329</v>
          </cell>
          <cell r="H12664" t="str">
            <v>NELC-N329</v>
          </cell>
          <cell r="K12664" t="str">
            <v>Alani,Salman H.</v>
          </cell>
          <cell r="N12664" t="str">
            <v>NR</v>
          </cell>
          <cell r="O12664" t="str">
            <v>NR</v>
          </cell>
        </row>
        <row r="12665">
          <cell r="E12665" t="str">
            <v>NELC</v>
          </cell>
          <cell r="F12665" t="str">
            <v>NELC-N</v>
          </cell>
          <cell r="G12665">
            <v>350</v>
          </cell>
          <cell r="H12665" t="str">
            <v>NELC-N350</v>
          </cell>
          <cell r="K12665" t="str">
            <v>Walbridge,John</v>
          </cell>
          <cell r="N12665">
            <v>3.2210000000000001</v>
          </cell>
          <cell r="O12665">
            <v>3.1429999999999998</v>
          </cell>
        </row>
        <row r="12666">
          <cell r="E12666" t="str">
            <v>NELC</v>
          </cell>
          <cell r="F12666" t="str">
            <v>NELC-N</v>
          </cell>
          <cell r="G12666">
            <v>370</v>
          </cell>
          <cell r="H12666" t="str">
            <v>NELC-N370</v>
          </cell>
          <cell r="K12666" t="str">
            <v>Walbridge,John</v>
          </cell>
          <cell r="N12666">
            <v>3.1269999999999998</v>
          </cell>
          <cell r="O12666">
            <v>3.15</v>
          </cell>
        </row>
        <row r="12667">
          <cell r="E12667" t="str">
            <v>NELC</v>
          </cell>
          <cell r="F12667" t="str">
            <v>NELC-N</v>
          </cell>
          <cell r="G12667">
            <v>398</v>
          </cell>
          <cell r="H12667" t="str">
            <v>NELC-N398</v>
          </cell>
          <cell r="K12667" t="str">
            <v>Afsaruddin,Asma</v>
          </cell>
          <cell r="N12667" t="str">
            <v>NR</v>
          </cell>
          <cell r="O12667" t="str">
            <v>NR</v>
          </cell>
        </row>
        <row r="12668">
          <cell r="E12668" t="str">
            <v>NELC</v>
          </cell>
          <cell r="F12668" t="str">
            <v>NELC-N</v>
          </cell>
          <cell r="G12668">
            <v>398</v>
          </cell>
          <cell r="H12668" t="str">
            <v>NELC-N398</v>
          </cell>
          <cell r="K12668" t="str">
            <v>Afsaruddin,Asma</v>
          </cell>
          <cell r="N12668" t="str">
            <v>NR</v>
          </cell>
          <cell r="O12668" t="str">
            <v>NR</v>
          </cell>
        </row>
        <row r="12669">
          <cell r="E12669" t="str">
            <v>NELC</v>
          </cell>
          <cell r="F12669" t="str">
            <v>NELC-N</v>
          </cell>
          <cell r="G12669">
            <v>510</v>
          </cell>
          <cell r="H12669" t="str">
            <v>NELC-N510</v>
          </cell>
          <cell r="K12669" t="str">
            <v>Alani,Salman H.</v>
          </cell>
          <cell r="N12669">
            <v>4</v>
          </cell>
          <cell r="O12669">
            <v>3.9350000000000001</v>
          </cell>
        </row>
        <row r="12670">
          <cell r="E12670" t="str">
            <v>NELC</v>
          </cell>
          <cell r="F12670" t="str">
            <v>NELC-N</v>
          </cell>
          <cell r="G12670">
            <v>512</v>
          </cell>
          <cell r="H12670" t="str">
            <v>NELC-N512</v>
          </cell>
          <cell r="K12670" t="str">
            <v>Alani,Salman H.</v>
          </cell>
          <cell r="N12670">
            <v>4</v>
          </cell>
          <cell r="O12670">
            <v>3.89</v>
          </cell>
        </row>
        <row r="12671">
          <cell r="E12671" t="str">
            <v>NELC</v>
          </cell>
          <cell r="F12671" t="str">
            <v>NELC-N</v>
          </cell>
          <cell r="G12671">
            <v>529</v>
          </cell>
          <cell r="H12671" t="str">
            <v>NELC-N529</v>
          </cell>
          <cell r="K12671" t="str">
            <v>Alani,Salman H.</v>
          </cell>
          <cell r="N12671" t="str">
            <v>NR</v>
          </cell>
          <cell r="O12671" t="str">
            <v>NR</v>
          </cell>
        </row>
        <row r="12672">
          <cell r="E12672" t="str">
            <v>NELC</v>
          </cell>
          <cell r="F12672" t="str">
            <v>NELC-N</v>
          </cell>
          <cell r="G12672">
            <v>555</v>
          </cell>
          <cell r="H12672" t="str">
            <v>NELC-N555</v>
          </cell>
          <cell r="K12672" t="str">
            <v>Alani,Salman H.</v>
          </cell>
          <cell r="N12672" t="str">
            <v>NR</v>
          </cell>
          <cell r="O12672" t="str">
            <v>NR</v>
          </cell>
        </row>
        <row r="12673">
          <cell r="E12673" t="str">
            <v>NELC</v>
          </cell>
          <cell r="F12673" t="str">
            <v>NELC-N</v>
          </cell>
          <cell r="G12673">
            <v>570</v>
          </cell>
          <cell r="H12673" t="str">
            <v>NELC-N570</v>
          </cell>
          <cell r="K12673" t="str">
            <v>Walbridge,John</v>
          </cell>
          <cell r="N12673">
            <v>3.9569999999999999</v>
          </cell>
          <cell r="O12673">
            <v>3.94</v>
          </cell>
        </row>
        <row r="12674">
          <cell r="E12674" t="str">
            <v>NELC</v>
          </cell>
          <cell r="F12674" t="str">
            <v>NELC-N</v>
          </cell>
          <cell r="G12674">
            <v>590</v>
          </cell>
          <cell r="H12674" t="str">
            <v>NELC-N590</v>
          </cell>
          <cell r="K12674" t="str">
            <v>Afsaruddin,Asma</v>
          </cell>
          <cell r="N12674" t="str">
            <v>NR</v>
          </cell>
          <cell r="O12674" t="str">
            <v>NR</v>
          </cell>
        </row>
        <row r="12675">
          <cell r="E12675" t="str">
            <v>NELC</v>
          </cell>
          <cell r="F12675" t="str">
            <v>NELC-N</v>
          </cell>
          <cell r="G12675">
            <v>593</v>
          </cell>
          <cell r="H12675" t="str">
            <v>NELC-N593</v>
          </cell>
          <cell r="K12675" t="str">
            <v>Afsaruddin,Asma</v>
          </cell>
          <cell r="N12675" t="str">
            <v>NR</v>
          </cell>
          <cell r="O12675" t="str">
            <v>NR</v>
          </cell>
        </row>
        <row r="12676">
          <cell r="E12676" t="str">
            <v>NELC</v>
          </cell>
          <cell r="F12676" t="str">
            <v>NELC-N</v>
          </cell>
          <cell r="G12676">
            <v>594</v>
          </cell>
          <cell r="H12676" t="str">
            <v>NELC-N594</v>
          </cell>
          <cell r="K12676" t="str">
            <v>Afsaruddin,Asma</v>
          </cell>
          <cell r="N12676" t="str">
            <v>NR</v>
          </cell>
          <cell r="O12676" t="str">
            <v>NR</v>
          </cell>
        </row>
        <row r="12677">
          <cell r="E12677" t="str">
            <v>NELC</v>
          </cell>
          <cell r="F12677" t="str">
            <v>NELC-N</v>
          </cell>
          <cell r="G12677">
            <v>594</v>
          </cell>
          <cell r="H12677" t="str">
            <v>NELC-N594</v>
          </cell>
          <cell r="K12677" t="str">
            <v>Afsaruddin,Asma</v>
          </cell>
          <cell r="N12677" t="str">
            <v>NR</v>
          </cell>
          <cell r="O12677" t="str">
            <v>NR</v>
          </cell>
        </row>
        <row r="12678">
          <cell r="E12678" t="str">
            <v>NELC</v>
          </cell>
          <cell r="F12678" t="str">
            <v>NELC-N</v>
          </cell>
          <cell r="G12678">
            <v>598</v>
          </cell>
          <cell r="H12678" t="str">
            <v>NELC-N598</v>
          </cell>
          <cell r="K12678" t="str">
            <v>Afsaruddin,Asma</v>
          </cell>
          <cell r="N12678" t="str">
            <v>NR</v>
          </cell>
          <cell r="O12678" t="str">
            <v>NR</v>
          </cell>
        </row>
        <row r="12679">
          <cell r="E12679" t="str">
            <v>NELC</v>
          </cell>
          <cell r="F12679" t="str">
            <v>NELC-N</v>
          </cell>
          <cell r="G12679">
            <v>598</v>
          </cell>
          <cell r="H12679" t="str">
            <v>NELC-N598</v>
          </cell>
          <cell r="K12679" t="str">
            <v>Afsaruddin,Asma</v>
          </cell>
          <cell r="N12679" t="str">
            <v>NR</v>
          </cell>
          <cell r="O12679" t="str">
            <v>NR</v>
          </cell>
        </row>
        <row r="12680">
          <cell r="E12680" t="str">
            <v>NELC</v>
          </cell>
          <cell r="F12680" t="str">
            <v>NELC-N</v>
          </cell>
          <cell r="G12680">
            <v>650</v>
          </cell>
          <cell r="H12680" t="str">
            <v>NELC-N650</v>
          </cell>
          <cell r="K12680" t="str">
            <v>Walbridge,John</v>
          </cell>
          <cell r="N12680" t="str">
            <v>NR</v>
          </cell>
          <cell r="O12680" t="str">
            <v>NR</v>
          </cell>
        </row>
        <row r="12681">
          <cell r="E12681" t="str">
            <v>NELC</v>
          </cell>
          <cell r="F12681" t="str">
            <v>NELC-N</v>
          </cell>
          <cell r="G12681">
            <v>695</v>
          </cell>
          <cell r="H12681" t="str">
            <v>NELC-N695</v>
          </cell>
          <cell r="K12681" t="str">
            <v>Afsaruddin,Asma</v>
          </cell>
          <cell r="N12681">
            <v>3.5430000000000001</v>
          </cell>
          <cell r="O12681">
            <v>3.641</v>
          </cell>
        </row>
        <row r="12682">
          <cell r="E12682" t="str">
            <v>NELC</v>
          </cell>
          <cell r="F12682" t="str">
            <v>NELC-N</v>
          </cell>
          <cell r="G12682">
            <v>695</v>
          </cell>
          <cell r="H12682" t="str">
            <v>NELC-N695</v>
          </cell>
          <cell r="K12682" t="str">
            <v>Attar,Samar</v>
          </cell>
          <cell r="N12682">
            <v>3.63</v>
          </cell>
          <cell r="O12682">
            <v>3.6349999999999998</v>
          </cell>
        </row>
        <row r="12683">
          <cell r="E12683" t="str">
            <v>NELC</v>
          </cell>
          <cell r="F12683" t="str">
            <v>NELC-N</v>
          </cell>
          <cell r="G12683">
            <v>695</v>
          </cell>
          <cell r="H12683" t="str">
            <v>NELC-N695</v>
          </cell>
          <cell r="K12683" t="str">
            <v>Attar,Samar</v>
          </cell>
          <cell r="N12683" t="str">
            <v>NR</v>
          </cell>
          <cell r="O12683" t="str">
            <v>NR</v>
          </cell>
        </row>
        <row r="12684">
          <cell r="E12684" t="str">
            <v>NELC</v>
          </cell>
          <cell r="F12684" t="str">
            <v>NELC-N</v>
          </cell>
          <cell r="G12684">
            <v>695</v>
          </cell>
          <cell r="H12684" t="str">
            <v>NELC-N695</v>
          </cell>
          <cell r="K12684" t="str">
            <v>Istrabadi,Zaineb Scheherazad</v>
          </cell>
          <cell r="N12684" t="str">
            <v>NR</v>
          </cell>
          <cell r="O12684" t="str">
            <v>NR</v>
          </cell>
        </row>
        <row r="12685">
          <cell r="E12685" t="str">
            <v>NELC</v>
          </cell>
          <cell r="F12685" t="str">
            <v>NELC-N</v>
          </cell>
          <cell r="G12685">
            <v>695</v>
          </cell>
          <cell r="H12685" t="str">
            <v>NELC-N695</v>
          </cell>
          <cell r="K12685" t="str">
            <v>Jaques,Robert Kevin</v>
          </cell>
          <cell r="N12685" t="str">
            <v>NR</v>
          </cell>
          <cell r="O12685" t="str">
            <v>NR</v>
          </cell>
        </row>
        <row r="12686">
          <cell r="E12686" t="str">
            <v>NELC</v>
          </cell>
          <cell r="F12686" t="str">
            <v>NELC-N</v>
          </cell>
          <cell r="G12686">
            <v>695</v>
          </cell>
          <cell r="H12686" t="str">
            <v>NELC-N695</v>
          </cell>
          <cell r="K12686" t="str">
            <v>Katz,Stephen</v>
          </cell>
          <cell r="N12686" t="str">
            <v>NR</v>
          </cell>
          <cell r="O12686" t="str">
            <v>NR</v>
          </cell>
        </row>
        <row r="12687">
          <cell r="E12687" t="str">
            <v>NELC</v>
          </cell>
          <cell r="F12687" t="str">
            <v>NELC-N</v>
          </cell>
          <cell r="G12687">
            <v>695</v>
          </cell>
          <cell r="H12687" t="str">
            <v>NELC-N695</v>
          </cell>
          <cell r="K12687" t="str">
            <v>Martin,Kevin</v>
          </cell>
          <cell r="N12687">
            <v>3.6640000000000001</v>
          </cell>
          <cell r="O12687">
            <v>3.819</v>
          </cell>
        </row>
        <row r="12688">
          <cell r="E12688" t="str">
            <v>NELC</v>
          </cell>
          <cell r="F12688" t="str">
            <v>NELC-N</v>
          </cell>
          <cell r="G12688">
            <v>695</v>
          </cell>
          <cell r="H12688" t="str">
            <v>NELC-N695</v>
          </cell>
          <cell r="K12688" t="str">
            <v>Martin,Kevin</v>
          </cell>
          <cell r="N12688">
            <v>3.8</v>
          </cell>
          <cell r="O12688">
            <v>3.46</v>
          </cell>
        </row>
        <row r="12689">
          <cell r="E12689" t="str">
            <v>NELC</v>
          </cell>
          <cell r="F12689" t="str">
            <v>NELC-N</v>
          </cell>
          <cell r="G12689">
            <v>695</v>
          </cell>
          <cell r="H12689" t="str">
            <v>NELC-N695</v>
          </cell>
          <cell r="K12689" t="str">
            <v>McDonald,David Anthony</v>
          </cell>
          <cell r="N12689" t="str">
            <v>NR</v>
          </cell>
          <cell r="O12689" t="str">
            <v>NR</v>
          </cell>
        </row>
        <row r="12690">
          <cell r="E12690" t="str">
            <v>NELC</v>
          </cell>
          <cell r="F12690" t="str">
            <v>NELC-N</v>
          </cell>
          <cell r="G12690">
            <v>695</v>
          </cell>
          <cell r="H12690" t="str">
            <v>NELC-N695</v>
          </cell>
          <cell r="K12690" t="str">
            <v>Trix,Frances</v>
          </cell>
          <cell r="N12690" t="str">
            <v>NR</v>
          </cell>
          <cell r="O12690" t="str">
            <v>NR</v>
          </cell>
        </row>
        <row r="12691">
          <cell r="E12691" t="str">
            <v>NELC</v>
          </cell>
          <cell r="F12691" t="str">
            <v>NELC-N</v>
          </cell>
          <cell r="G12691">
            <v>695</v>
          </cell>
          <cell r="H12691" t="str">
            <v>NELC-N695</v>
          </cell>
          <cell r="K12691" t="str">
            <v>Vinson,Stephen</v>
          </cell>
          <cell r="N12691" t="str">
            <v>NR</v>
          </cell>
          <cell r="O12691" t="str">
            <v>NR</v>
          </cell>
        </row>
        <row r="12692">
          <cell r="E12692" t="str">
            <v>NELC</v>
          </cell>
          <cell r="F12692" t="str">
            <v>NELC-N</v>
          </cell>
          <cell r="G12692">
            <v>695</v>
          </cell>
          <cell r="H12692" t="str">
            <v>NELC-N695</v>
          </cell>
          <cell r="K12692" t="str">
            <v>Vinson,Stephen</v>
          </cell>
          <cell r="N12692" t="str">
            <v>NR</v>
          </cell>
          <cell r="O12692" t="str">
            <v>NR</v>
          </cell>
        </row>
        <row r="12693">
          <cell r="E12693" t="str">
            <v>NELC</v>
          </cell>
          <cell r="F12693" t="str">
            <v>NELC-N</v>
          </cell>
          <cell r="G12693">
            <v>695</v>
          </cell>
          <cell r="H12693" t="str">
            <v>NELC-N695</v>
          </cell>
          <cell r="K12693" t="str">
            <v>Vinson,Stephen</v>
          </cell>
          <cell r="N12693" t="str">
            <v>NR</v>
          </cell>
          <cell r="O12693" t="str">
            <v>NR</v>
          </cell>
        </row>
        <row r="12694">
          <cell r="E12694" t="str">
            <v>NELC</v>
          </cell>
          <cell r="F12694" t="str">
            <v>NELC-N</v>
          </cell>
          <cell r="G12694">
            <v>696</v>
          </cell>
          <cell r="H12694" t="str">
            <v>NELC-N696</v>
          </cell>
          <cell r="K12694" t="str">
            <v>Harding,Cigdem Balim</v>
          </cell>
          <cell r="N12694" t="str">
            <v>NR</v>
          </cell>
          <cell r="O12694" t="str">
            <v>NR</v>
          </cell>
        </row>
        <row r="12695">
          <cell r="E12695" t="str">
            <v>NELC</v>
          </cell>
          <cell r="F12695" t="str">
            <v>NELC-N</v>
          </cell>
          <cell r="G12695">
            <v>701</v>
          </cell>
          <cell r="H12695" t="str">
            <v>NELC-N701</v>
          </cell>
          <cell r="K12695" t="str">
            <v>Stetkevych,Suzanne Pinckney</v>
          </cell>
          <cell r="N12695" t="str">
            <v>NR</v>
          </cell>
          <cell r="O12695" t="str">
            <v>NR</v>
          </cell>
        </row>
        <row r="12696">
          <cell r="E12696" t="str">
            <v>NELC</v>
          </cell>
          <cell r="F12696" t="str">
            <v>NELC-N</v>
          </cell>
          <cell r="G12696">
            <v>707</v>
          </cell>
          <cell r="H12696" t="str">
            <v>NELC-N707</v>
          </cell>
          <cell r="K12696" t="str">
            <v>Stetkevych,Suzanne Pinckney</v>
          </cell>
          <cell r="N12696">
            <v>3.9220000000000002</v>
          </cell>
          <cell r="O12696">
            <v>3.4969999999999999</v>
          </cell>
        </row>
        <row r="12697">
          <cell r="E12697" t="str">
            <v>NELC</v>
          </cell>
          <cell r="F12697" t="str">
            <v>NELC-N</v>
          </cell>
          <cell r="G12697">
            <v>710</v>
          </cell>
          <cell r="H12697" t="str">
            <v>NELC-N710</v>
          </cell>
          <cell r="K12697" t="str">
            <v>Afsaruddin,Asma</v>
          </cell>
          <cell r="N12697" t="str">
            <v>NR</v>
          </cell>
          <cell r="O12697" t="str">
            <v>NR</v>
          </cell>
        </row>
        <row r="12698">
          <cell r="E12698" t="str">
            <v>NELC</v>
          </cell>
          <cell r="F12698" t="str">
            <v>NELC-N</v>
          </cell>
          <cell r="G12698">
            <v>810</v>
          </cell>
          <cell r="H12698" t="str">
            <v>NELC-N810</v>
          </cell>
          <cell r="K12698" t="str">
            <v>Afsaruddin,Asma</v>
          </cell>
          <cell r="N12698" t="str">
            <v>NR</v>
          </cell>
          <cell r="O12698" t="str">
            <v>NR</v>
          </cell>
        </row>
        <row r="12699">
          <cell r="E12699" t="str">
            <v>NELC</v>
          </cell>
          <cell r="F12699" t="str">
            <v>NELC-N</v>
          </cell>
          <cell r="G12699">
            <v>810</v>
          </cell>
          <cell r="H12699" t="str">
            <v>NELC-N810</v>
          </cell>
          <cell r="K12699" t="str">
            <v>Afsaruddin,Asma</v>
          </cell>
          <cell r="N12699" t="str">
            <v>NR</v>
          </cell>
          <cell r="O12699" t="str">
            <v>NR</v>
          </cell>
        </row>
        <row r="12700">
          <cell r="E12700" t="str">
            <v>NELC</v>
          </cell>
          <cell r="F12700" t="str">
            <v>NELC-N</v>
          </cell>
          <cell r="G12700">
            <v>810</v>
          </cell>
          <cell r="H12700" t="str">
            <v>NELC-N810</v>
          </cell>
          <cell r="K12700" t="str">
            <v>Afsaruddin,Asma</v>
          </cell>
          <cell r="N12700" t="str">
            <v>NR</v>
          </cell>
          <cell r="O12700" t="str">
            <v>NR</v>
          </cell>
        </row>
        <row r="12701">
          <cell r="E12701" t="str">
            <v>NELC</v>
          </cell>
          <cell r="F12701" t="str">
            <v>NELC-N</v>
          </cell>
          <cell r="G12701">
            <v>810</v>
          </cell>
          <cell r="H12701" t="str">
            <v>NELC-N810</v>
          </cell>
          <cell r="K12701" t="str">
            <v>Afsaruddin,Asma</v>
          </cell>
          <cell r="N12701" t="str">
            <v>NR</v>
          </cell>
          <cell r="O12701" t="str">
            <v>NR</v>
          </cell>
        </row>
        <row r="12702">
          <cell r="E12702" t="str">
            <v>NEUS</v>
          </cell>
          <cell r="F12702" t="str">
            <v>NEUS-G</v>
          </cell>
          <cell r="G12702">
            <v>901</v>
          </cell>
          <cell r="H12702" t="str">
            <v>NEUS-G901</v>
          </cell>
          <cell r="K12702" t="str">
            <v>Rebec,George V.</v>
          </cell>
          <cell r="N12702" t="str">
            <v>NR</v>
          </cell>
          <cell r="O12702" t="str">
            <v>NR</v>
          </cell>
        </row>
        <row r="12703">
          <cell r="E12703" t="str">
            <v>NEUS</v>
          </cell>
          <cell r="F12703" t="str">
            <v>NEUS-G</v>
          </cell>
          <cell r="G12703">
            <v>901</v>
          </cell>
          <cell r="H12703" t="str">
            <v>NEUS-G901</v>
          </cell>
          <cell r="K12703" t="str">
            <v>Rebec,George V.</v>
          </cell>
          <cell r="N12703" t="str">
            <v>NR</v>
          </cell>
          <cell r="O12703" t="str">
            <v>NR</v>
          </cell>
        </row>
        <row r="12704">
          <cell r="E12704" t="str">
            <v>NEUS</v>
          </cell>
          <cell r="F12704" t="str">
            <v>NEUS-N</v>
          </cell>
          <cell r="G12704">
            <v>500</v>
          </cell>
          <cell r="H12704" t="str">
            <v>NEUS-N500</v>
          </cell>
          <cell r="K12704" t="str">
            <v>Koceja,David</v>
          </cell>
          <cell r="N12704">
            <v>3.2</v>
          </cell>
          <cell r="O12704">
            <v>3.677</v>
          </cell>
        </row>
        <row r="12705">
          <cell r="E12705" t="str">
            <v>NEUS</v>
          </cell>
          <cell r="F12705" t="str">
            <v>NEUS-N</v>
          </cell>
          <cell r="G12705">
            <v>501</v>
          </cell>
          <cell r="H12705" t="str">
            <v>NEUS-N501</v>
          </cell>
          <cell r="K12705" t="str">
            <v>Bradshaw,Heather B</v>
          </cell>
          <cell r="N12705">
            <v>3.4169999999999998</v>
          </cell>
          <cell r="O12705">
            <v>3.8180000000000001</v>
          </cell>
        </row>
        <row r="12706">
          <cell r="E12706" t="str">
            <v>NEUS</v>
          </cell>
          <cell r="F12706" t="str">
            <v>NEUS-N</v>
          </cell>
          <cell r="G12706">
            <v>510</v>
          </cell>
          <cell r="H12706" t="str">
            <v>NEUS-N510</v>
          </cell>
          <cell r="K12706" t="str">
            <v>Farley,Joseph</v>
          </cell>
          <cell r="N12706" t="str">
            <v>NR</v>
          </cell>
          <cell r="O12706" t="str">
            <v>NR</v>
          </cell>
        </row>
        <row r="12707">
          <cell r="E12707" t="str">
            <v>NEUS</v>
          </cell>
          <cell r="F12707" t="str">
            <v>NEUS-N</v>
          </cell>
          <cell r="G12707">
            <v>650</v>
          </cell>
          <cell r="H12707" t="str">
            <v>NEUS-N650</v>
          </cell>
          <cell r="K12707" t="str">
            <v>Bradshaw,Heather B</v>
          </cell>
          <cell r="N12707" t="str">
            <v>NR</v>
          </cell>
          <cell r="O12707" t="str">
            <v>NR</v>
          </cell>
        </row>
        <row r="12708">
          <cell r="E12708" t="str">
            <v>NEUS</v>
          </cell>
          <cell r="F12708" t="str">
            <v>NEUS-N</v>
          </cell>
          <cell r="G12708">
            <v>650</v>
          </cell>
          <cell r="H12708" t="str">
            <v>NEUS-N650</v>
          </cell>
          <cell r="K12708" t="str">
            <v>Bradshaw,Heather B</v>
          </cell>
          <cell r="N12708" t="str">
            <v>NR</v>
          </cell>
          <cell r="O12708" t="str">
            <v>NR</v>
          </cell>
        </row>
        <row r="12709">
          <cell r="E12709" t="str">
            <v>NEUS</v>
          </cell>
          <cell r="F12709" t="str">
            <v>NEUS-N</v>
          </cell>
          <cell r="G12709">
            <v>800</v>
          </cell>
          <cell r="H12709" t="str">
            <v>NEUS-N800</v>
          </cell>
          <cell r="K12709" t="str">
            <v>Rebec,George V.</v>
          </cell>
          <cell r="N12709">
            <v>3.93</v>
          </cell>
          <cell r="O12709">
            <v>3.7160000000000002</v>
          </cell>
        </row>
        <row r="12710">
          <cell r="E12710" t="str">
            <v>NEUS</v>
          </cell>
          <cell r="F12710" t="str">
            <v>NEUS-N</v>
          </cell>
          <cell r="G12710">
            <v>800</v>
          </cell>
          <cell r="H12710" t="str">
            <v>NEUS-N800</v>
          </cell>
          <cell r="K12710" t="str">
            <v>Rebec,George V.</v>
          </cell>
          <cell r="N12710">
            <v>4</v>
          </cell>
          <cell r="O12710">
            <v>3.835</v>
          </cell>
        </row>
        <row r="12711">
          <cell r="E12711" t="str">
            <v>NURS</v>
          </cell>
          <cell r="F12711" t="str">
            <v>NURS-B</v>
          </cell>
          <cell r="G12711">
            <v>230</v>
          </cell>
          <cell r="H12711" t="str">
            <v>NURS-B230</v>
          </cell>
          <cell r="K12711" t="str">
            <v>Decker,Kim Alexander</v>
          </cell>
          <cell r="N12711">
            <v>3.9329999999999998</v>
          </cell>
          <cell r="O12711">
            <v>3.7370000000000001</v>
          </cell>
        </row>
        <row r="12712">
          <cell r="E12712" t="str">
            <v>NURS</v>
          </cell>
          <cell r="F12712" t="str">
            <v>NURS-B</v>
          </cell>
          <cell r="G12712">
            <v>230</v>
          </cell>
          <cell r="H12712" t="str">
            <v>NURS-B230</v>
          </cell>
          <cell r="K12712" t="str">
            <v>Harmon,Debra L.</v>
          </cell>
          <cell r="N12712">
            <v>3.99</v>
          </cell>
          <cell r="O12712">
            <v>3.8079999999999998</v>
          </cell>
        </row>
        <row r="12713">
          <cell r="E12713" t="str">
            <v>NURS</v>
          </cell>
          <cell r="F12713" t="str">
            <v>NURS-B</v>
          </cell>
          <cell r="G12713">
            <v>231</v>
          </cell>
          <cell r="H12713" t="str">
            <v>NURS-B231</v>
          </cell>
          <cell r="K12713" t="str">
            <v>McMahan,Janice S.</v>
          </cell>
          <cell r="N12713">
            <v>4</v>
          </cell>
          <cell r="O12713">
            <v>3.1890000000000001</v>
          </cell>
        </row>
        <row r="12714">
          <cell r="E12714" t="str">
            <v>NURS</v>
          </cell>
          <cell r="F12714" t="str">
            <v>NURS-B</v>
          </cell>
          <cell r="G12714">
            <v>231</v>
          </cell>
          <cell r="H12714" t="str">
            <v>NURS-B231</v>
          </cell>
          <cell r="K12714" t="str">
            <v>McMahan,Janice S.</v>
          </cell>
          <cell r="N12714">
            <v>4</v>
          </cell>
          <cell r="O12714">
            <v>3.3919999999999999</v>
          </cell>
        </row>
        <row r="12715">
          <cell r="E12715" t="str">
            <v>NURS</v>
          </cell>
          <cell r="F12715" t="str">
            <v>NURS-B</v>
          </cell>
          <cell r="G12715">
            <v>231</v>
          </cell>
          <cell r="H12715" t="str">
            <v>NURS-B231</v>
          </cell>
          <cell r="K12715" t="str">
            <v>Wonder,Amy C</v>
          </cell>
          <cell r="N12715">
            <v>3.9950000000000001</v>
          </cell>
          <cell r="O12715">
            <v>3.5880000000000001</v>
          </cell>
        </row>
        <row r="12716">
          <cell r="E12716" t="str">
            <v>NURS</v>
          </cell>
          <cell r="F12716" t="str">
            <v>NURS-B</v>
          </cell>
          <cell r="G12716">
            <v>232</v>
          </cell>
          <cell r="H12716" t="str">
            <v>NURS-B232</v>
          </cell>
          <cell r="K12716" t="str">
            <v>Laux,Marcia M</v>
          </cell>
          <cell r="N12716">
            <v>3.5649999999999999</v>
          </cell>
          <cell r="O12716">
            <v>3.7719999999999998</v>
          </cell>
        </row>
        <row r="12717">
          <cell r="E12717" t="str">
            <v>NURS</v>
          </cell>
          <cell r="F12717" t="str">
            <v>NURS-B</v>
          </cell>
          <cell r="G12717">
            <v>233</v>
          </cell>
          <cell r="H12717" t="str">
            <v>NURS-B233</v>
          </cell>
          <cell r="K12717" t="str">
            <v>Hensel,Desiree</v>
          </cell>
          <cell r="N12717">
            <v>3.2970000000000002</v>
          </cell>
          <cell r="O12717">
            <v>3.5880000000000001</v>
          </cell>
        </row>
        <row r="12718">
          <cell r="E12718" t="str">
            <v>NURS</v>
          </cell>
          <cell r="F12718" t="str">
            <v>NURS-B</v>
          </cell>
          <cell r="G12718">
            <v>244</v>
          </cell>
          <cell r="H12718" t="str">
            <v>NURS-B244</v>
          </cell>
          <cell r="K12718" t="str">
            <v>Harmon,Debra L.</v>
          </cell>
          <cell r="N12718">
            <v>3.5670000000000002</v>
          </cell>
          <cell r="O12718">
            <v>3.7719999999999998</v>
          </cell>
        </row>
        <row r="12719">
          <cell r="E12719" t="str">
            <v>NURS</v>
          </cell>
          <cell r="F12719" t="str">
            <v>NURS-B</v>
          </cell>
          <cell r="G12719">
            <v>244</v>
          </cell>
          <cell r="H12719" t="str">
            <v>NURS-B244</v>
          </cell>
          <cell r="K12719" t="str">
            <v>Mueller,Mary G.</v>
          </cell>
          <cell r="N12719">
            <v>3.7570000000000001</v>
          </cell>
          <cell r="O12719">
            <v>3.3490000000000002</v>
          </cell>
        </row>
        <row r="12720">
          <cell r="E12720" t="str">
            <v>NURS</v>
          </cell>
          <cell r="F12720" t="str">
            <v>NURS-B</v>
          </cell>
          <cell r="G12720">
            <v>245</v>
          </cell>
          <cell r="H12720" t="str">
            <v>NURS-B245</v>
          </cell>
          <cell r="K12720" t="str">
            <v>Harmon,Debra L.</v>
          </cell>
          <cell r="N12720" t="str">
            <v>NR</v>
          </cell>
          <cell r="O12720" t="str">
            <v>NR</v>
          </cell>
        </row>
        <row r="12721">
          <cell r="E12721" t="str">
            <v>NURS</v>
          </cell>
          <cell r="F12721" t="str">
            <v>NURS-B</v>
          </cell>
          <cell r="G12721">
            <v>245</v>
          </cell>
          <cell r="H12721" t="str">
            <v>NURS-B245</v>
          </cell>
          <cell r="K12721" t="str">
            <v>Harmon,Debra L.</v>
          </cell>
          <cell r="N12721" t="str">
            <v>NR</v>
          </cell>
          <cell r="O12721" t="str">
            <v>NR</v>
          </cell>
        </row>
        <row r="12722">
          <cell r="E12722" t="str">
            <v>NURS</v>
          </cell>
          <cell r="F12722" t="str">
            <v>NURS-B</v>
          </cell>
          <cell r="G12722">
            <v>245</v>
          </cell>
          <cell r="H12722" t="str">
            <v>NURS-B245</v>
          </cell>
          <cell r="K12722" t="str">
            <v>Harmon,Debra L.</v>
          </cell>
          <cell r="N12722" t="str">
            <v>NR</v>
          </cell>
          <cell r="O12722" t="str">
            <v>NR</v>
          </cell>
        </row>
        <row r="12723">
          <cell r="E12723" t="str">
            <v>NURS</v>
          </cell>
          <cell r="F12723" t="str">
            <v>NURS-B</v>
          </cell>
          <cell r="G12723">
            <v>245</v>
          </cell>
          <cell r="H12723" t="str">
            <v>NURS-B245</v>
          </cell>
          <cell r="K12723" t="str">
            <v>Harmon,Debra L.</v>
          </cell>
          <cell r="N12723" t="str">
            <v>NR</v>
          </cell>
          <cell r="O12723" t="str">
            <v>NR</v>
          </cell>
        </row>
        <row r="12724">
          <cell r="E12724" t="str">
            <v>NURS</v>
          </cell>
          <cell r="F12724" t="str">
            <v>NURS-B</v>
          </cell>
          <cell r="G12724">
            <v>245</v>
          </cell>
          <cell r="H12724" t="str">
            <v>NURS-B245</v>
          </cell>
          <cell r="K12724" t="str">
            <v>Harmon,Debra L.</v>
          </cell>
          <cell r="N12724" t="str">
            <v>NR</v>
          </cell>
          <cell r="O12724" t="str">
            <v>NR</v>
          </cell>
        </row>
        <row r="12725">
          <cell r="E12725" t="str">
            <v>NURS</v>
          </cell>
          <cell r="F12725" t="str">
            <v>NURS-B</v>
          </cell>
          <cell r="G12725">
            <v>245</v>
          </cell>
          <cell r="H12725" t="str">
            <v>NURS-B245</v>
          </cell>
          <cell r="K12725" t="str">
            <v>Harmon,Debra L.</v>
          </cell>
          <cell r="N12725" t="str">
            <v>NR</v>
          </cell>
          <cell r="O12725" t="str">
            <v>NR</v>
          </cell>
        </row>
        <row r="12726">
          <cell r="E12726" t="str">
            <v>NURS</v>
          </cell>
          <cell r="F12726" t="str">
            <v>NURS-B</v>
          </cell>
          <cell r="G12726">
            <v>248</v>
          </cell>
          <cell r="H12726" t="str">
            <v>NURS-B248</v>
          </cell>
          <cell r="K12726" t="str">
            <v>Harmon,Debra L.</v>
          </cell>
          <cell r="N12726">
            <v>3.34</v>
          </cell>
          <cell r="O12726">
            <v>3.5880000000000001</v>
          </cell>
        </row>
        <row r="12727">
          <cell r="E12727" t="str">
            <v>NURS</v>
          </cell>
          <cell r="F12727" t="str">
            <v>NURS-B</v>
          </cell>
          <cell r="G12727">
            <v>249</v>
          </cell>
          <cell r="H12727" t="str">
            <v>NURS-B249</v>
          </cell>
          <cell r="K12727" t="str">
            <v>Carter,Gregory A.</v>
          </cell>
          <cell r="N12727" t="str">
            <v>NR</v>
          </cell>
          <cell r="O12727" t="str">
            <v>NR</v>
          </cell>
        </row>
        <row r="12728">
          <cell r="E12728" t="str">
            <v>NURS</v>
          </cell>
          <cell r="F12728" t="str">
            <v>NURS-B</v>
          </cell>
          <cell r="G12728">
            <v>249</v>
          </cell>
          <cell r="H12728" t="str">
            <v>NURS-B249</v>
          </cell>
          <cell r="K12728" t="str">
            <v>Harmon,Debra L.</v>
          </cell>
          <cell r="N12728" t="str">
            <v>NR</v>
          </cell>
          <cell r="O12728" t="str">
            <v>NR</v>
          </cell>
        </row>
        <row r="12729">
          <cell r="E12729" t="str">
            <v>NURS</v>
          </cell>
          <cell r="F12729" t="str">
            <v>NURS-B</v>
          </cell>
          <cell r="G12729">
            <v>249</v>
          </cell>
          <cell r="H12729" t="str">
            <v>NURS-B249</v>
          </cell>
          <cell r="K12729" t="str">
            <v>Osland,Alicia A</v>
          </cell>
          <cell r="N12729" t="str">
            <v>NR</v>
          </cell>
          <cell r="O12729" t="str">
            <v>NR</v>
          </cell>
        </row>
        <row r="12730">
          <cell r="E12730" t="str">
            <v>NURS</v>
          </cell>
          <cell r="F12730" t="str">
            <v>NURS-B</v>
          </cell>
          <cell r="G12730">
            <v>249</v>
          </cell>
          <cell r="H12730" t="str">
            <v>NURS-B249</v>
          </cell>
          <cell r="K12730" t="str">
            <v>Osland,Alicia A</v>
          </cell>
          <cell r="N12730" t="str">
            <v>NR</v>
          </cell>
          <cell r="O12730" t="str">
            <v>NR</v>
          </cell>
        </row>
        <row r="12731">
          <cell r="E12731" t="str">
            <v>NURS</v>
          </cell>
          <cell r="F12731" t="str">
            <v>NURS-B</v>
          </cell>
          <cell r="G12731">
            <v>249</v>
          </cell>
          <cell r="H12731" t="str">
            <v>NURS-B249</v>
          </cell>
          <cell r="K12731" t="str">
            <v>Shah,Hena Naz</v>
          </cell>
          <cell r="N12731" t="str">
            <v>NR</v>
          </cell>
          <cell r="O12731" t="str">
            <v>NR</v>
          </cell>
        </row>
        <row r="12732">
          <cell r="E12732" t="str">
            <v>NURS</v>
          </cell>
          <cell r="F12732" t="str">
            <v>NURS-B</v>
          </cell>
          <cell r="G12732">
            <v>249</v>
          </cell>
          <cell r="H12732" t="str">
            <v>NURS-B249</v>
          </cell>
          <cell r="K12732" t="str">
            <v>Wyatt,Erin Elizabeth Bentley</v>
          </cell>
          <cell r="N12732" t="str">
            <v>NR</v>
          </cell>
          <cell r="O12732" t="str">
            <v>NR</v>
          </cell>
        </row>
        <row r="12733">
          <cell r="E12733" t="str">
            <v>NURS</v>
          </cell>
          <cell r="F12733" t="str">
            <v>NURS-B</v>
          </cell>
          <cell r="G12733">
            <v>304</v>
          </cell>
          <cell r="H12733" t="str">
            <v>NURS-B304</v>
          </cell>
          <cell r="K12733" t="str">
            <v>Hollowell,Jane</v>
          </cell>
          <cell r="N12733">
            <v>3.97</v>
          </cell>
          <cell r="O12733">
            <v>3.3519999999999999</v>
          </cell>
        </row>
        <row r="12734">
          <cell r="E12734" t="str">
            <v>NURS</v>
          </cell>
          <cell r="F12734" t="str">
            <v>NURS-B</v>
          </cell>
          <cell r="G12734">
            <v>304</v>
          </cell>
          <cell r="H12734" t="str">
            <v>NURS-B304</v>
          </cell>
          <cell r="K12734" t="str">
            <v>Zody,Mary</v>
          </cell>
          <cell r="N12734" t="str">
            <v>NR</v>
          </cell>
          <cell r="O12734" t="str">
            <v>NR</v>
          </cell>
        </row>
        <row r="12735">
          <cell r="E12735" t="str">
            <v>NURS</v>
          </cell>
          <cell r="F12735" t="str">
            <v>NURS-B</v>
          </cell>
          <cell r="G12735">
            <v>403</v>
          </cell>
          <cell r="H12735" t="str">
            <v>NURS-B403</v>
          </cell>
          <cell r="K12735" t="str">
            <v>Cerbin,Laurel Kathleen</v>
          </cell>
          <cell r="N12735">
            <v>3.9569999999999999</v>
          </cell>
          <cell r="O12735">
            <v>3.4820000000000002</v>
          </cell>
        </row>
        <row r="12736">
          <cell r="E12736" t="str">
            <v>NURS</v>
          </cell>
          <cell r="F12736" t="str">
            <v>NURS-B</v>
          </cell>
          <cell r="G12736">
            <v>403</v>
          </cell>
          <cell r="H12736" t="str">
            <v>NURS-B403</v>
          </cell>
          <cell r="K12736" t="str">
            <v>Cerbin,Laurel Kathleen</v>
          </cell>
          <cell r="N12736" t="str">
            <v>NR</v>
          </cell>
          <cell r="O12736" t="str">
            <v>NR</v>
          </cell>
        </row>
        <row r="12737">
          <cell r="E12737" t="str">
            <v>NURS</v>
          </cell>
          <cell r="F12737" t="str">
            <v>NURS-B</v>
          </cell>
          <cell r="G12737">
            <v>403</v>
          </cell>
          <cell r="H12737" t="str">
            <v>NURS-B403</v>
          </cell>
          <cell r="K12737" t="str">
            <v>Heckman,Angela</v>
          </cell>
          <cell r="N12737" t="str">
            <v>NR</v>
          </cell>
          <cell r="O12737" t="str">
            <v>NR</v>
          </cell>
        </row>
        <row r="12738">
          <cell r="E12738" t="str">
            <v>NURS</v>
          </cell>
          <cell r="F12738" t="str">
            <v>NURS-B</v>
          </cell>
          <cell r="G12738">
            <v>404</v>
          </cell>
          <cell r="H12738" t="str">
            <v>NURS-B404</v>
          </cell>
          <cell r="K12738" t="str">
            <v>Breymier,Tonya Lenee</v>
          </cell>
          <cell r="N12738" t="str">
            <v>NR</v>
          </cell>
          <cell r="O12738" t="str">
            <v>NR</v>
          </cell>
        </row>
        <row r="12739">
          <cell r="E12739" t="str">
            <v>NURS</v>
          </cell>
          <cell r="F12739" t="str">
            <v>NURS-B</v>
          </cell>
          <cell r="G12739">
            <v>404</v>
          </cell>
          <cell r="H12739" t="str">
            <v>NURS-B404</v>
          </cell>
          <cell r="K12739" t="str">
            <v>Stiffler,Deborah</v>
          </cell>
          <cell r="N12739" t="str">
            <v>NR</v>
          </cell>
          <cell r="O12739" t="str">
            <v>NR</v>
          </cell>
        </row>
        <row r="12740">
          <cell r="E12740" t="str">
            <v>NURS</v>
          </cell>
          <cell r="F12740" t="str">
            <v>NURS-H</v>
          </cell>
          <cell r="G12740">
            <v>351</v>
          </cell>
          <cell r="H12740" t="str">
            <v>NURS-H351</v>
          </cell>
          <cell r="K12740" t="str">
            <v>Gates,Sharon A</v>
          </cell>
          <cell r="N12740">
            <v>3.3959999999999999</v>
          </cell>
          <cell r="O12740">
            <v>3.609</v>
          </cell>
        </row>
        <row r="12741">
          <cell r="E12741" t="str">
            <v>NURS</v>
          </cell>
          <cell r="F12741" t="str">
            <v>NURS-H</v>
          </cell>
          <cell r="G12741">
            <v>351</v>
          </cell>
          <cell r="H12741" t="str">
            <v>NURS-H351</v>
          </cell>
          <cell r="K12741" t="str">
            <v>Gates,Sharon A</v>
          </cell>
          <cell r="N12741">
            <v>3.5390000000000001</v>
          </cell>
          <cell r="O12741">
            <v>3.6389999999999998</v>
          </cell>
        </row>
        <row r="12742">
          <cell r="E12742" t="str">
            <v>NURS</v>
          </cell>
          <cell r="F12742" t="str">
            <v>NURS-H</v>
          </cell>
          <cell r="G12742">
            <v>352</v>
          </cell>
          <cell r="H12742" t="str">
            <v>NURS-H352</v>
          </cell>
          <cell r="K12742" t="str">
            <v>Gates,Sharon A</v>
          </cell>
          <cell r="N12742" t="str">
            <v>NR</v>
          </cell>
          <cell r="O12742" t="str">
            <v>NR</v>
          </cell>
        </row>
        <row r="12743">
          <cell r="E12743" t="str">
            <v>NURS</v>
          </cell>
          <cell r="F12743" t="str">
            <v>NURS-H</v>
          </cell>
          <cell r="G12743">
            <v>352</v>
          </cell>
          <cell r="H12743" t="str">
            <v>NURS-H352</v>
          </cell>
          <cell r="K12743" t="str">
            <v>Gates,Sharon A</v>
          </cell>
          <cell r="N12743" t="str">
            <v>NR</v>
          </cell>
          <cell r="O12743" t="str">
            <v>NR</v>
          </cell>
        </row>
        <row r="12744">
          <cell r="E12744" t="str">
            <v>NURS</v>
          </cell>
          <cell r="F12744" t="str">
            <v>NURS-H</v>
          </cell>
          <cell r="G12744">
            <v>352</v>
          </cell>
          <cell r="H12744" t="str">
            <v>NURS-H352</v>
          </cell>
          <cell r="K12744" t="str">
            <v>Gates,Sharon A</v>
          </cell>
          <cell r="N12744" t="str">
            <v>NR</v>
          </cell>
          <cell r="O12744" t="str">
            <v>NR</v>
          </cell>
        </row>
        <row r="12745">
          <cell r="E12745" t="str">
            <v>NURS</v>
          </cell>
          <cell r="F12745" t="str">
            <v>NURS-H</v>
          </cell>
          <cell r="G12745">
            <v>352</v>
          </cell>
          <cell r="H12745" t="str">
            <v>NURS-H352</v>
          </cell>
          <cell r="K12745" t="str">
            <v>Gates,Sharon A</v>
          </cell>
          <cell r="N12745" t="str">
            <v>NR</v>
          </cell>
          <cell r="O12745" t="str">
            <v>NR</v>
          </cell>
        </row>
        <row r="12746">
          <cell r="E12746" t="str">
            <v>NURS</v>
          </cell>
          <cell r="F12746" t="str">
            <v>NURS-H</v>
          </cell>
          <cell r="G12746">
            <v>352</v>
          </cell>
          <cell r="H12746" t="str">
            <v>NURS-H352</v>
          </cell>
          <cell r="K12746" t="str">
            <v>Gates,Sharon A</v>
          </cell>
          <cell r="N12746" t="str">
            <v>NR</v>
          </cell>
          <cell r="O12746" t="str">
            <v>NR</v>
          </cell>
        </row>
        <row r="12747">
          <cell r="E12747" t="str">
            <v>NURS</v>
          </cell>
          <cell r="F12747" t="str">
            <v>NURS-H</v>
          </cell>
          <cell r="G12747">
            <v>352</v>
          </cell>
          <cell r="H12747" t="str">
            <v>NURS-H352</v>
          </cell>
          <cell r="K12747" t="str">
            <v>Wonder,Amy C</v>
          </cell>
          <cell r="N12747" t="str">
            <v>NR</v>
          </cell>
          <cell r="O12747" t="str">
            <v>NR</v>
          </cell>
        </row>
        <row r="12748">
          <cell r="E12748" t="str">
            <v>NURS</v>
          </cell>
          <cell r="F12748" t="str">
            <v>NURS-H</v>
          </cell>
          <cell r="G12748">
            <v>353</v>
          </cell>
          <cell r="H12748" t="str">
            <v>NURS-H353</v>
          </cell>
          <cell r="K12748" t="str">
            <v>Reising,Deanna L.</v>
          </cell>
          <cell r="N12748">
            <v>2.9980000000000002</v>
          </cell>
          <cell r="O12748">
            <v>3.5680000000000001</v>
          </cell>
        </row>
        <row r="12749">
          <cell r="E12749" t="str">
            <v>NURS</v>
          </cell>
          <cell r="F12749" t="str">
            <v>NURS-H</v>
          </cell>
          <cell r="G12749">
            <v>354</v>
          </cell>
          <cell r="H12749" t="str">
            <v>NURS-H354</v>
          </cell>
          <cell r="K12749" t="str">
            <v>Reising,Deanna L.</v>
          </cell>
          <cell r="N12749" t="str">
            <v>NR</v>
          </cell>
          <cell r="O12749" t="str">
            <v>NR</v>
          </cell>
        </row>
        <row r="12750">
          <cell r="E12750" t="str">
            <v>NURS</v>
          </cell>
          <cell r="F12750" t="str">
            <v>NURS-H</v>
          </cell>
          <cell r="G12750">
            <v>354</v>
          </cell>
          <cell r="H12750" t="str">
            <v>NURS-H354</v>
          </cell>
          <cell r="K12750" t="str">
            <v>Reising,Deanna L.</v>
          </cell>
          <cell r="N12750" t="str">
            <v>NR</v>
          </cell>
          <cell r="O12750" t="str">
            <v>NR</v>
          </cell>
        </row>
        <row r="12751">
          <cell r="E12751" t="str">
            <v>NURS</v>
          </cell>
          <cell r="F12751" t="str">
            <v>NURS-H</v>
          </cell>
          <cell r="G12751">
            <v>354</v>
          </cell>
          <cell r="H12751" t="str">
            <v>NURS-H354</v>
          </cell>
          <cell r="K12751" t="str">
            <v>Reising,Deanna L.</v>
          </cell>
          <cell r="N12751" t="str">
            <v>NR</v>
          </cell>
          <cell r="O12751" t="str">
            <v>NR</v>
          </cell>
        </row>
        <row r="12752">
          <cell r="E12752" t="str">
            <v>NURS</v>
          </cell>
          <cell r="F12752" t="str">
            <v>NURS-H</v>
          </cell>
          <cell r="G12752">
            <v>354</v>
          </cell>
          <cell r="H12752" t="str">
            <v>NURS-H354</v>
          </cell>
          <cell r="K12752" t="str">
            <v>Reising,Deanna L.</v>
          </cell>
          <cell r="N12752" t="str">
            <v>NR</v>
          </cell>
          <cell r="O12752" t="str">
            <v>NR</v>
          </cell>
        </row>
        <row r="12753">
          <cell r="E12753" t="str">
            <v>NURS</v>
          </cell>
          <cell r="F12753" t="str">
            <v>NURS-H</v>
          </cell>
          <cell r="G12753">
            <v>354</v>
          </cell>
          <cell r="H12753" t="str">
            <v>NURS-H354</v>
          </cell>
          <cell r="K12753" t="str">
            <v>Reising,Deanna L.</v>
          </cell>
          <cell r="N12753" t="str">
            <v>NR</v>
          </cell>
          <cell r="O12753" t="str">
            <v>NR</v>
          </cell>
        </row>
        <row r="12754">
          <cell r="E12754" t="str">
            <v>NURS</v>
          </cell>
          <cell r="F12754" t="str">
            <v>NURS-H</v>
          </cell>
          <cell r="G12754">
            <v>354</v>
          </cell>
          <cell r="H12754" t="str">
            <v>NURS-H354</v>
          </cell>
          <cell r="K12754" t="str">
            <v>Reising,Deanna L.</v>
          </cell>
          <cell r="N12754" t="str">
            <v>NR</v>
          </cell>
          <cell r="O12754" t="str">
            <v>NR</v>
          </cell>
        </row>
        <row r="12755">
          <cell r="E12755" t="str">
            <v>NURS</v>
          </cell>
          <cell r="F12755" t="str">
            <v>NURS-H</v>
          </cell>
          <cell r="G12755">
            <v>355</v>
          </cell>
          <cell r="H12755" t="str">
            <v>NURS-H355</v>
          </cell>
          <cell r="K12755" t="str">
            <v>McIlvoy,Laura H.</v>
          </cell>
          <cell r="N12755">
            <v>4</v>
          </cell>
          <cell r="O12755">
            <v>3.3980000000000001</v>
          </cell>
        </row>
        <row r="12756">
          <cell r="E12756" t="str">
            <v>NURS</v>
          </cell>
          <cell r="F12756" t="str">
            <v>NURS-H</v>
          </cell>
          <cell r="G12756">
            <v>355</v>
          </cell>
          <cell r="H12756" t="str">
            <v>NURS-H355</v>
          </cell>
          <cell r="K12756" t="str">
            <v>Stanforth,Diana L.</v>
          </cell>
          <cell r="N12756" t="str">
            <v>NR</v>
          </cell>
          <cell r="O12756" t="str">
            <v>NR</v>
          </cell>
        </row>
        <row r="12757">
          <cell r="E12757" t="str">
            <v>NURS</v>
          </cell>
          <cell r="F12757" t="str">
            <v>NURS-H</v>
          </cell>
          <cell r="G12757">
            <v>355</v>
          </cell>
          <cell r="H12757" t="str">
            <v>NURS-H355</v>
          </cell>
          <cell r="K12757" t="str">
            <v>Stanforth,Diana L.</v>
          </cell>
          <cell r="N12757">
            <v>3.4329999999999998</v>
          </cell>
          <cell r="O12757">
            <v>3.4249999999999998</v>
          </cell>
        </row>
        <row r="12758">
          <cell r="E12758" t="str">
            <v>NURS</v>
          </cell>
          <cell r="F12758" t="str">
            <v>NURS-H</v>
          </cell>
          <cell r="G12758">
            <v>355</v>
          </cell>
          <cell r="H12758" t="str">
            <v>NURS-H355</v>
          </cell>
          <cell r="K12758" t="str">
            <v>Wonder,Amy C</v>
          </cell>
          <cell r="N12758">
            <v>3.7490000000000001</v>
          </cell>
          <cell r="O12758">
            <v>3.5640000000000001</v>
          </cell>
        </row>
        <row r="12759">
          <cell r="E12759" t="str">
            <v>NURS</v>
          </cell>
          <cell r="F12759" t="str">
            <v>NURS-H</v>
          </cell>
          <cell r="G12759">
            <v>361</v>
          </cell>
          <cell r="H12759" t="str">
            <v>NURS-H361</v>
          </cell>
          <cell r="K12759" t="str">
            <v>Miller,Wendy Renee</v>
          </cell>
          <cell r="N12759">
            <v>3.2519999999999998</v>
          </cell>
          <cell r="O12759">
            <v>3.6139999999999999</v>
          </cell>
        </row>
        <row r="12760">
          <cell r="E12760" t="str">
            <v>NURS</v>
          </cell>
          <cell r="F12760" t="str">
            <v>NURS-H</v>
          </cell>
          <cell r="G12760">
            <v>362</v>
          </cell>
          <cell r="H12760" t="str">
            <v>NURS-H362</v>
          </cell>
          <cell r="K12760" t="str">
            <v>Reising,Deanna L.</v>
          </cell>
          <cell r="N12760" t="str">
            <v>NR</v>
          </cell>
          <cell r="O12760" t="str">
            <v>NR</v>
          </cell>
        </row>
        <row r="12761">
          <cell r="E12761" t="str">
            <v>NURS</v>
          </cell>
          <cell r="F12761" t="str">
            <v>NURS-H</v>
          </cell>
          <cell r="G12761">
            <v>362</v>
          </cell>
          <cell r="H12761" t="str">
            <v>NURS-H362</v>
          </cell>
          <cell r="K12761" t="str">
            <v>Reising,Deanna L.</v>
          </cell>
          <cell r="N12761" t="str">
            <v>NR</v>
          </cell>
          <cell r="O12761" t="str">
            <v>NR</v>
          </cell>
        </row>
        <row r="12762">
          <cell r="E12762" t="str">
            <v>NURS</v>
          </cell>
          <cell r="F12762" t="str">
            <v>NURS-H</v>
          </cell>
          <cell r="G12762">
            <v>362</v>
          </cell>
          <cell r="H12762" t="str">
            <v>NURS-H362</v>
          </cell>
          <cell r="K12762" t="str">
            <v>Reising,Deanna L.</v>
          </cell>
          <cell r="N12762" t="str">
            <v>NR</v>
          </cell>
          <cell r="O12762" t="str">
            <v>NR</v>
          </cell>
        </row>
        <row r="12763">
          <cell r="E12763" t="str">
            <v>NURS</v>
          </cell>
          <cell r="F12763" t="str">
            <v>NURS-H</v>
          </cell>
          <cell r="G12763">
            <v>362</v>
          </cell>
          <cell r="H12763" t="str">
            <v>NURS-H362</v>
          </cell>
          <cell r="K12763" t="str">
            <v>Reising,Deanna L.</v>
          </cell>
          <cell r="N12763" t="str">
            <v>NR</v>
          </cell>
          <cell r="O12763" t="str">
            <v>NR</v>
          </cell>
        </row>
        <row r="12764">
          <cell r="E12764" t="str">
            <v>NURS</v>
          </cell>
          <cell r="F12764" t="str">
            <v>NURS-H</v>
          </cell>
          <cell r="G12764">
            <v>362</v>
          </cell>
          <cell r="H12764" t="str">
            <v>NURS-H362</v>
          </cell>
          <cell r="K12764" t="str">
            <v>Reising,Deanna L.</v>
          </cell>
          <cell r="N12764" t="str">
            <v>NR</v>
          </cell>
          <cell r="O12764" t="str">
            <v>NR</v>
          </cell>
        </row>
        <row r="12765">
          <cell r="E12765" t="str">
            <v>NURS</v>
          </cell>
          <cell r="F12765" t="str">
            <v>NURS-H</v>
          </cell>
          <cell r="G12765">
            <v>362</v>
          </cell>
          <cell r="H12765" t="str">
            <v>NURS-H362</v>
          </cell>
          <cell r="K12765" t="str">
            <v>Reising,Deanna L.</v>
          </cell>
          <cell r="N12765" t="str">
            <v>NR</v>
          </cell>
          <cell r="O12765" t="str">
            <v>NR</v>
          </cell>
        </row>
        <row r="12766">
          <cell r="E12766" t="str">
            <v>NURS</v>
          </cell>
          <cell r="F12766" t="str">
            <v>NURS-H</v>
          </cell>
          <cell r="G12766">
            <v>363</v>
          </cell>
          <cell r="H12766" t="str">
            <v>NURS-H363</v>
          </cell>
          <cell r="K12766" t="str">
            <v>Watts,Patricia Ann</v>
          </cell>
          <cell r="N12766">
            <v>3.0369999999999999</v>
          </cell>
          <cell r="O12766">
            <v>3.5289999999999999</v>
          </cell>
        </row>
        <row r="12767">
          <cell r="E12767" t="str">
            <v>NURS</v>
          </cell>
          <cell r="F12767" t="str">
            <v>NURS-H</v>
          </cell>
          <cell r="G12767">
            <v>363</v>
          </cell>
          <cell r="H12767" t="str">
            <v>NURS-H363</v>
          </cell>
          <cell r="K12767" t="str">
            <v>Watts,Patricia Ann</v>
          </cell>
          <cell r="N12767">
            <v>3.077</v>
          </cell>
          <cell r="O12767">
            <v>3.5640000000000001</v>
          </cell>
        </row>
        <row r="12768">
          <cell r="E12768" t="str">
            <v>NURS</v>
          </cell>
          <cell r="F12768" t="str">
            <v>NURS-H</v>
          </cell>
          <cell r="G12768">
            <v>364</v>
          </cell>
          <cell r="H12768" t="str">
            <v>NURS-H364</v>
          </cell>
          <cell r="K12768" t="str">
            <v>Ball,Sonita L</v>
          </cell>
          <cell r="N12768" t="str">
            <v>NR</v>
          </cell>
          <cell r="O12768" t="str">
            <v>NR</v>
          </cell>
        </row>
        <row r="12769">
          <cell r="E12769" t="str">
            <v>NURS</v>
          </cell>
          <cell r="F12769" t="str">
            <v>NURS-H</v>
          </cell>
          <cell r="G12769">
            <v>364</v>
          </cell>
          <cell r="H12769" t="str">
            <v>NURS-H364</v>
          </cell>
          <cell r="K12769" t="str">
            <v>Ball,Sonita L</v>
          </cell>
          <cell r="N12769" t="str">
            <v>NR</v>
          </cell>
          <cell r="O12769" t="str">
            <v>NR</v>
          </cell>
        </row>
        <row r="12770">
          <cell r="E12770" t="str">
            <v>NURS</v>
          </cell>
          <cell r="F12770" t="str">
            <v>NURS-H</v>
          </cell>
          <cell r="G12770">
            <v>364</v>
          </cell>
          <cell r="H12770" t="str">
            <v>NURS-H364</v>
          </cell>
          <cell r="K12770" t="str">
            <v>Hensel,Desiree</v>
          </cell>
          <cell r="N12770" t="str">
            <v>NR</v>
          </cell>
          <cell r="O12770" t="str">
            <v>NR</v>
          </cell>
        </row>
        <row r="12771">
          <cell r="E12771" t="str">
            <v>NURS</v>
          </cell>
          <cell r="F12771" t="str">
            <v>NURS-H</v>
          </cell>
          <cell r="G12771">
            <v>364</v>
          </cell>
          <cell r="H12771" t="str">
            <v>NURS-H364</v>
          </cell>
          <cell r="K12771" t="str">
            <v>Hensel,Desiree</v>
          </cell>
          <cell r="N12771" t="str">
            <v>NR</v>
          </cell>
          <cell r="O12771" t="str">
            <v>NR</v>
          </cell>
        </row>
        <row r="12772">
          <cell r="E12772" t="str">
            <v>NURS</v>
          </cell>
          <cell r="F12772" t="str">
            <v>NURS-H</v>
          </cell>
          <cell r="G12772">
            <v>364</v>
          </cell>
          <cell r="H12772" t="str">
            <v>NURS-H364</v>
          </cell>
          <cell r="K12772" t="str">
            <v>Watts,Patricia Ann</v>
          </cell>
          <cell r="N12772" t="str">
            <v>NR</v>
          </cell>
          <cell r="O12772" t="str">
            <v>NR</v>
          </cell>
        </row>
        <row r="12773">
          <cell r="E12773" t="str">
            <v>NURS</v>
          </cell>
          <cell r="F12773" t="str">
            <v>NURS-H</v>
          </cell>
          <cell r="G12773">
            <v>364</v>
          </cell>
          <cell r="H12773" t="str">
            <v>NURS-H364</v>
          </cell>
          <cell r="K12773" t="str">
            <v>Watts,Patricia Ann</v>
          </cell>
          <cell r="N12773" t="str">
            <v>NR</v>
          </cell>
          <cell r="O12773" t="str">
            <v>NR</v>
          </cell>
        </row>
        <row r="12774">
          <cell r="E12774" t="str">
            <v>NURS</v>
          </cell>
          <cell r="F12774" t="str">
            <v>NURS-H</v>
          </cell>
          <cell r="G12774">
            <v>365</v>
          </cell>
          <cell r="H12774" t="str">
            <v>NURS-H365</v>
          </cell>
          <cell r="K12774" t="str">
            <v>Pratt,Stephanie Nicole</v>
          </cell>
          <cell r="N12774" t="str">
            <v>NR</v>
          </cell>
          <cell r="O12774" t="str">
            <v>NR</v>
          </cell>
        </row>
        <row r="12775">
          <cell r="E12775" t="str">
            <v>NURS</v>
          </cell>
          <cell r="F12775" t="str">
            <v>NURS-H</v>
          </cell>
          <cell r="G12775">
            <v>365</v>
          </cell>
          <cell r="H12775" t="str">
            <v>NURS-H365</v>
          </cell>
          <cell r="K12775" t="str">
            <v>Reising,Deanna L.</v>
          </cell>
          <cell r="N12775" t="str">
            <v>NR</v>
          </cell>
          <cell r="O12775" t="str">
            <v>NR</v>
          </cell>
        </row>
        <row r="12776">
          <cell r="E12776" t="str">
            <v>NURS</v>
          </cell>
          <cell r="F12776" t="str">
            <v>NURS-H</v>
          </cell>
          <cell r="G12776">
            <v>365</v>
          </cell>
          <cell r="H12776" t="str">
            <v>NURS-H365</v>
          </cell>
          <cell r="K12776" t="str">
            <v>Reising,Deanna L.</v>
          </cell>
          <cell r="N12776">
            <v>3.835</v>
          </cell>
          <cell r="O12776">
            <v>3.6139999999999999</v>
          </cell>
        </row>
        <row r="12777">
          <cell r="E12777" t="str">
            <v>NURS</v>
          </cell>
          <cell r="F12777" t="str">
            <v>NURS-H</v>
          </cell>
          <cell r="G12777">
            <v>399</v>
          </cell>
          <cell r="H12777" t="str">
            <v>NURS-H399</v>
          </cell>
          <cell r="K12777" t="str">
            <v>Miller,Wendy Renee</v>
          </cell>
          <cell r="N12777" t="str">
            <v>NR</v>
          </cell>
          <cell r="O12777" t="str">
            <v>NR</v>
          </cell>
        </row>
        <row r="12778">
          <cell r="E12778" t="str">
            <v>NURS</v>
          </cell>
          <cell r="F12778" t="str">
            <v>NURS-H</v>
          </cell>
          <cell r="G12778">
            <v>399</v>
          </cell>
          <cell r="H12778" t="str">
            <v>NURS-H399</v>
          </cell>
          <cell r="K12778" t="str">
            <v>Reising,Deanna L.</v>
          </cell>
          <cell r="N12778" t="str">
            <v>NR</v>
          </cell>
          <cell r="O12778" t="str">
            <v>NR</v>
          </cell>
        </row>
        <row r="12779">
          <cell r="E12779" t="str">
            <v>NURS</v>
          </cell>
          <cell r="F12779" t="str">
            <v>NURS-H</v>
          </cell>
          <cell r="G12779">
            <v>499</v>
          </cell>
          <cell r="H12779" t="str">
            <v>NURS-H499</v>
          </cell>
          <cell r="K12779" t="str">
            <v>Hensel,Desiree</v>
          </cell>
          <cell r="N12779" t="str">
            <v>NR</v>
          </cell>
          <cell r="O12779" t="str">
            <v>NR</v>
          </cell>
        </row>
        <row r="12780">
          <cell r="E12780" t="str">
            <v>NURS</v>
          </cell>
          <cell r="F12780" t="str">
            <v>NURS-H</v>
          </cell>
          <cell r="G12780">
            <v>499</v>
          </cell>
          <cell r="H12780" t="str">
            <v>NURS-H499</v>
          </cell>
          <cell r="K12780" t="str">
            <v>Reising,Deanna L.</v>
          </cell>
          <cell r="N12780" t="str">
            <v>NR</v>
          </cell>
          <cell r="O12780" t="str">
            <v>NR</v>
          </cell>
        </row>
        <row r="12781">
          <cell r="E12781" t="str">
            <v>NURS</v>
          </cell>
          <cell r="F12781" t="str">
            <v>NURS-K</v>
          </cell>
          <cell r="G12781">
            <v>301</v>
          </cell>
          <cell r="H12781" t="str">
            <v>NURS-K301</v>
          </cell>
          <cell r="K12781" t="str">
            <v>Covington,Sarah</v>
          </cell>
          <cell r="N12781">
            <v>4</v>
          </cell>
          <cell r="O12781">
            <v>3.5329999999999999</v>
          </cell>
        </row>
        <row r="12782">
          <cell r="E12782" t="str">
            <v>NURS</v>
          </cell>
          <cell r="F12782" t="str">
            <v>NURS-K</v>
          </cell>
          <cell r="G12782">
            <v>305</v>
          </cell>
          <cell r="H12782" t="str">
            <v>NURS-K305</v>
          </cell>
          <cell r="K12782" t="str">
            <v>Pratt,Stephanie Nicole</v>
          </cell>
          <cell r="N12782" t="str">
            <v>NR</v>
          </cell>
          <cell r="O12782" t="str">
            <v>NR</v>
          </cell>
        </row>
        <row r="12783">
          <cell r="E12783" t="str">
            <v>NURS</v>
          </cell>
          <cell r="F12783" t="str">
            <v>NURS-K</v>
          </cell>
          <cell r="G12783">
            <v>499</v>
          </cell>
          <cell r="H12783" t="str">
            <v>NURS-K499</v>
          </cell>
          <cell r="K12783" t="str">
            <v>Reid,Jacquelyn Chinnock</v>
          </cell>
          <cell r="N12783">
            <v>3.9</v>
          </cell>
          <cell r="O12783">
            <v>3.3460000000000001</v>
          </cell>
        </row>
        <row r="12784">
          <cell r="E12784" t="str">
            <v>NURS</v>
          </cell>
          <cell r="F12784" t="str">
            <v>NURS-K</v>
          </cell>
          <cell r="G12784">
            <v>499</v>
          </cell>
          <cell r="H12784" t="str">
            <v>NURS-K499</v>
          </cell>
          <cell r="K12784" t="str">
            <v>Reid,Jacquelyn Chinnock</v>
          </cell>
          <cell r="N12784" t="str">
            <v>NR</v>
          </cell>
          <cell r="O12784" t="str">
            <v>NR</v>
          </cell>
        </row>
        <row r="12785">
          <cell r="E12785" t="str">
            <v>NURS</v>
          </cell>
          <cell r="F12785" t="str">
            <v>NURS-P</v>
          </cell>
          <cell r="G12785">
            <v>216</v>
          </cell>
          <cell r="H12785" t="str">
            <v>NURS-P216</v>
          </cell>
          <cell r="K12785" t="str">
            <v>Dawson,Nancy</v>
          </cell>
          <cell r="N12785">
            <v>4</v>
          </cell>
          <cell r="O12785">
            <v>3.4159999999999999</v>
          </cell>
        </row>
        <row r="12786">
          <cell r="E12786" t="str">
            <v>NURS</v>
          </cell>
          <cell r="F12786" t="str">
            <v>NURS-S</v>
          </cell>
          <cell r="G12786">
            <v>470</v>
          </cell>
          <cell r="H12786" t="str">
            <v>NURS-S470</v>
          </cell>
          <cell r="K12786" t="str">
            <v>Reising,Deanna L.</v>
          </cell>
          <cell r="N12786">
            <v>3.302</v>
          </cell>
          <cell r="O12786">
            <v>3.5990000000000002</v>
          </cell>
        </row>
        <row r="12787">
          <cell r="E12787" t="str">
            <v>NURS</v>
          </cell>
          <cell r="F12787" t="str">
            <v>NURS-S</v>
          </cell>
          <cell r="G12787">
            <v>471</v>
          </cell>
          <cell r="H12787" t="str">
            <v>NURS-S471</v>
          </cell>
          <cell r="K12787" t="str">
            <v>Reising,Deanna L.</v>
          </cell>
          <cell r="N12787" t="str">
            <v>NR</v>
          </cell>
          <cell r="O12787" t="str">
            <v>NR</v>
          </cell>
        </row>
        <row r="12788">
          <cell r="E12788" t="str">
            <v>NURS</v>
          </cell>
          <cell r="F12788" t="str">
            <v>NURS-S</v>
          </cell>
          <cell r="G12788">
            <v>471</v>
          </cell>
          <cell r="H12788" t="str">
            <v>NURS-S471</v>
          </cell>
          <cell r="K12788" t="str">
            <v>Reising,Deanna L.</v>
          </cell>
          <cell r="N12788" t="str">
            <v>NR</v>
          </cell>
          <cell r="O12788" t="str">
            <v>NR</v>
          </cell>
        </row>
        <row r="12789">
          <cell r="E12789" t="str">
            <v>NURS</v>
          </cell>
          <cell r="F12789" t="str">
            <v>NURS-S</v>
          </cell>
          <cell r="G12789">
            <v>471</v>
          </cell>
          <cell r="H12789" t="str">
            <v>NURS-S471</v>
          </cell>
          <cell r="K12789" t="str">
            <v>Reising,Deanna L.</v>
          </cell>
          <cell r="N12789" t="str">
            <v>NR</v>
          </cell>
          <cell r="O12789" t="str">
            <v>NR</v>
          </cell>
        </row>
        <row r="12790">
          <cell r="E12790" t="str">
            <v>NURS</v>
          </cell>
          <cell r="F12790" t="str">
            <v>NURS-S</v>
          </cell>
          <cell r="G12790">
            <v>471</v>
          </cell>
          <cell r="H12790" t="str">
            <v>NURS-S471</v>
          </cell>
          <cell r="K12790" t="str">
            <v>Reising,Deanna L.</v>
          </cell>
          <cell r="N12790" t="str">
            <v>NR</v>
          </cell>
          <cell r="O12790" t="str">
            <v>NR</v>
          </cell>
        </row>
        <row r="12791">
          <cell r="E12791" t="str">
            <v>NURS</v>
          </cell>
          <cell r="F12791" t="str">
            <v>NURS-S</v>
          </cell>
          <cell r="G12791">
            <v>471</v>
          </cell>
          <cell r="H12791" t="str">
            <v>NURS-S471</v>
          </cell>
          <cell r="K12791" t="str">
            <v>Reising,Deanna L.</v>
          </cell>
          <cell r="N12791" t="str">
            <v>NR</v>
          </cell>
          <cell r="O12791" t="str">
            <v>NR</v>
          </cell>
        </row>
        <row r="12792">
          <cell r="E12792" t="str">
            <v>NURS</v>
          </cell>
          <cell r="F12792" t="str">
            <v>NURS-S</v>
          </cell>
          <cell r="G12792">
            <v>471</v>
          </cell>
          <cell r="H12792" t="str">
            <v>NURS-S471</v>
          </cell>
          <cell r="K12792" t="str">
            <v>Reising,Deanna L.</v>
          </cell>
          <cell r="N12792" t="str">
            <v>NR</v>
          </cell>
          <cell r="O12792" t="str">
            <v>NR</v>
          </cell>
        </row>
        <row r="12793">
          <cell r="E12793" t="str">
            <v>NURS</v>
          </cell>
          <cell r="F12793" t="str">
            <v>NURS-S</v>
          </cell>
          <cell r="G12793">
            <v>472</v>
          </cell>
          <cell r="H12793" t="str">
            <v>NURS-S472</v>
          </cell>
          <cell r="K12793" t="str">
            <v>Priest,Chad Stuart</v>
          </cell>
          <cell r="N12793">
            <v>3.71</v>
          </cell>
          <cell r="O12793">
            <v>3.67</v>
          </cell>
        </row>
        <row r="12794">
          <cell r="E12794" t="str">
            <v>NURS</v>
          </cell>
          <cell r="F12794" t="str">
            <v>NURS-S</v>
          </cell>
          <cell r="G12794">
            <v>473</v>
          </cell>
          <cell r="H12794" t="str">
            <v>NURS-S473</v>
          </cell>
          <cell r="K12794" t="str">
            <v>Ball,Sonita L</v>
          </cell>
          <cell r="N12794" t="str">
            <v>NR</v>
          </cell>
          <cell r="O12794" t="str">
            <v>NR</v>
          </cell>
        </row>
        <row r="12795">
          <cell r="E12795" t="str">
            <v>NURS</v>
          </cell>
          <cell r="F12795" t="str">
            <v>NURS-S</v>
          </cell>
          <cell r="G12795">
            <v>473</v>
          </cell>
          <cell r="H12795" t="str">
            <v>NURS-S473</v>
          </cell>
          <cell r="K12795" t="str">
            <v>Decker,Kim Alexander</v>
          </cell>
          <cell r="N12795" t="str">
            <v>NR</v>
          </cell>
          <cell r="O12795" t="str">
            <v>NR</v>
          </cell>
        </row>
        <row r="12796">
          <cell r="E12796" t="str">
            <v>NURS</v>
          </cell>
          <cell r="F12796" t="str">
            <v>NURS-S</v>
          </cell>
          <cell r="G12796">
            <v>473</v>
          </cell>
          <cell r="H12796" t="str">
            <v>NURS-S473</v>
          </cell>
          <cell r="K12796" t="str">
            <v>Gordon,Cheryl</v>
          </cell>
          <cell r="N12796" t="str">
            <v>NR</v>
          </cell>
          <cell r="O12796" t="str">
            <v>NR</v>
          </cell>
        </row>
        <row r="12797">
          <cell r="E12797" t="str">
            <v>NURS</v>
          </cell>
          <cell r="F12797" t="str">
            <v>NURS-S</v>
          </cell>
          <cell r="G12797">
            <v>473</v>
          </cell>
          <cell r="H12797" t="str">
            <v>NURS-S473</v>
          </cell>
          <cell r="K12797" t="str">
            <v>Krothe,Joyce Splann</v>
          </cell>
          <cell r="N12797" t="str">
            <v>NR</v>
          </cell>
          <cell r="O12797" t="str">
            <v>NR</v>
          </cell>
        </row>
        <row r="12798">
          <cell r="E12798" t="str">
            <v>NURS</v>
          </cell>
          <cell r="F12798" t="str">
            <v>NURS-S</v>
          </cell>
          <cell r="G12798">
            <v>473</v>
          </cell>
          <cell r="H12798" t="str">
            <v>NURS-S473</v>
          </cell>
          <cell r="K12798" t="str">
            <v>Kuhn,Thomas Mark</v>
          </cell>
          <cell r="N12798" t="str">
            <v>NR</v>
          </cell>
          <cell r="O12798" t="str">
            <v>NR</v>
          </cell>
        </row>
        <row r="12799">
          <cell r="E12799" t="str">
            <v>NURS</v>
          </cell>
          <cell r="F12799" t="str">
            <v>NURS-S</v>
          </cell>
          <cell r="G12799">
            <v>474</v>
          </cell>
          <cell r="H12799" t="str">
            <v>NURS-S474</v>
          </cell>
          <cell r="K12799" t="str">
            <v>Loop-Miller,Jennifer J</v>
          </cell>
          <cell r="N12799" t="str">
            <v>NR</v>
          </cell>
          <cell r="O12799" t="str">
            <v>NR</v>
          </cell>
        </row>
        <row r="12800">
          <cell r="E12800" t="str">
            <v>NURS</v>
          </cell>
          <cell r="F12800" t="str">
            <v>NURS-S</v>
          </cell>
          <cell r="G12800">
            <v>474</v>
          </cell>
          <cell r="H12800" t="str">
            <v>NURS-S474</v>
          </cell>
          <cell r="K12800" t="str">
            <v>Priest,Chad Stuart</v>
          </cell>
          <cell r="N12800">
            <v>3.48</v>
          </cell>
          <cell r="O12800">
            <v>3.6070000000000002</v>
          </cell>
        </row>
        <row r="12801">
          <cell r="E12801" t="str">
            <v>NURS</v>
          </cell>
          <cell r="F12801" t="str">
            <v>NURS-S</v>
          </cell>
          <cell r="G12801">
            <v>474</v>
          </cell>
          <cell r="H12801" t="str">
            <v>NURS-S474</v>
          </cell>
          <cell r="K12801" t="str">
            <v>Stears,Heather Sue</v>
          </cell>
          <cell r="N12801" t="str">
            <v>NR</v>
          </cell>
          <cell r="O12801" t="str">
            <v>NR</v>
          </cell>
        </row>
        <row r="12802">
          <cell r="E12802" t="str">
            <v>NURS</v>
          </cell>
          <cell r="F12802" t="str">
            <v>NURS-S</v>
          </cell>
          <cell r="G12802">
            <v>475</v>
          </cell>
          <cell r="H12802" t="str">
            <v>NURS-S475</v>
          </cell>
          <cell r="K12802" t="str">
            <v>Krothe,Joyce Splann</v>
          </cell>
          <cell r="N12802">
            <v>3.8140000000000001</v>
          </cell>
          <cell r="O12802">
            <v>3.2010000000000001</v>
          </cell>
        </row>
        <row r="12803">
          <cell r="E12803" t="str">
            <v>NURS</v>
          </cell>
          <cell r="F12803" t="str">
            <v>NURS-S</v>
          </cell>
          <cell r="G12803">
            <v>475</v>
          </cell>
          <cell r="H12803" t="str">
            <v>NURS-S475</v>
          </cell>
          <cell r="K12803" t="str">
            <v>Stone,Cynthia L.</v>
          </cell>
          <cell r="N12803" t="str">
            <v>NR</v>
          </cell>
          <cell r="O12803" t="str">
            <v>NR</v>
          </cell>
        </row>
        <row r="12804">
          <cell r="E12804" t="str">
            <v>NURS</v>
          </cell>
          <cell r="F12804" t="str">
            <v>NURS-S</v>
          </cell>
          <cell r="G12804">
            <v>481</v>
          </cell>
          <cell r="H12804" t="str">
            <v>NURS-S481</v>
          </cell>
          <cell r="K12804" t="str">
            <v>Feather,Rebecca Anita</v>
          </cell>
          <cell r="N12804">
            <v>3.1930000000000001</v>
          </cell>
          <cell r="O12804">
            <v>3.5990000000000002</v>
          </cell>
        </row>
        <row r="12805">
          <cell r="E12805" t="str">
            <v>NURS</v>
          </cell>
          <cell r="F12805" t="str">
            <v>NURS-S</v>
          </cell>
          <cell r="G12805">
            <v>482</v>
          </cell>
          <cell r="H12805" t="str">
            <v>NURS-S482</v>
          </cell>
          <cell r="K12805" t="str">
            <v>Feather,Rebecca Anita</v>
          </cell>
          <cell r="N12805" t="str">
            <v>NR</v>
          </cell>
          <cell r="O12805" t="str">
            <v>NR</v>
          </cell>
        </row>
        <row r="12806">
          <cell r="E12806" t="str">
            <v>NURS</v>
          </cell>
          <cell r="F12806" t="str">
            <v>NURS-S</v>
          </cell>
          <cell r="G12806">
            <v>483</v>
          </cell>
          <cell r="H12806" t="str">
            <v>NURS-S483</v>
          </cell>
          <cell r="K12806" t="str">
            <v>Feather,Rebecca Anita</v>
          </cell>
          <cell r="N12806" t="str">
            <v>NR</v>
          </cell>
          <cell r="O12806" t="str">
            <v>NR</v>
          </cell>
        </row>
        <row r="12807">
          <cell r="E12807" t="str">
            <v>NURS</v>
          </cell>
          <cell r="F12807" t="str">
            <v>NURS-S</v>
          </cell>
          <cell r="G12807">
            <v>483</v>
          </cell>
          <cell r="H12807" t="str">
            <v>NURS-S483</v>
          </cell>
          <cell r="K12807" t="str">
            <v>Phillips,Janet M.</v>
          </cell>
          <cell r="N12807" t="str">
            <v>NR</v>
          </cell>
          <cell r="O12807" t="str">
            <v>NR</v>
          </cell>
        </row>
        <row r="12808">
          <cell r="E12808" t="str">
            <v>NURS</v>
          </cell>
          <cell r="F12808" t="str">
            <v>NURS-S</v>
          </cell>
          <cell r="G12808">
            <v>483</v>
          </cell>
          <cell r="H12808" t="str">
            <v>NURS-S483</v>
          </cell>
          <cell r="N12808" t="str">
            <v>NR</v>
          </cell>
          <cell r="O12808" t="str">
            <v>NR</v>
          </cell>
        </row>
        <row r="12809">
          <cell r="E12809" t="str">
            <v>NURS</v>
          </cell>
          <cell r="F12809" t="str">
            <v>NURS-S</v>
          </cell>
          <cell r="G12809">
            <v>484</v>
          </cell>
          <cell r="H12809" t="str">
            <v>NURS-S484</v>
          </cell>
          <cell r="K12809" t="str">
            <v>Feather,Rebecca Anita</v>
          </cell>
          <cell r="N12809">
            <v>3.7730000000000001</v>
          </cell>
          <cell r="O12809">
            <v>3.67</v>
          </cell>
        </row>
        <row r="12810">
          <cell r="E12810" t="str">
            <v>NURS</v>
          </cell>
          <cell r="F12810" t="str">
            <v>NURS-S</v>
          </cell>
          <cell r="G12810">
            <v>485</v>
          </cell>
          <cell r="H12810" t="str">
            <v>NURS-S485</v>
          </cell>
          <cell r="K12810" t="str">
            <v>Feather,Rebecca Anita</v>
          </cell>
          <cell r="N12810">
            <v>3.9630000000000001</v>
          </cell>
          <cell r="O12810">
            <v>3.6589999999999998</v>
          </cell>
        </row>
        <row r="12811">
          <cell r="E12811" t="str">
            <v>NURS</v>
          </cell>
          <cell r="F12811" t="str">
            <v>NURS-S</v>
          </cell>
          <cell r="G12811">
            <v>487</v>
          </cell>
          <cell r="H12811" t="str">
            <v>NURS-S487</v>
          </cell>
          <cell r="K12811" t="str">
            <v>Erler,Cheryl</v>
          </cell>
          <cell r="N12811">
            <v>3.5</v>
          </cell>
          <cell r="O12811">
            <v>3.3740000000000001</v>
          </cell>
        </row>
        <row r="12812">
          <cell r="E12812" t="str">
            <v>NURS</v>
          </cell>
          <cell r="F12812" t="str">
            <v>NURS-S</v>
          </cell>
          <cell r="G12812">
            <v>487</v>
          </cell>
          <cell r="H12812" t="str">
            <v>NURS-S487</v>
          </cell>
          <cell r="K12812" t="str">
            <v>Zody,Mary</v>
          </cell>
          <cell r="N12812">
            <v>3.629</v>
          </cell>
          <cell r="O12812">
            <v>3.0979999999999999</v>
          </cell>
        </row>
        <row r="12813">
          <cell r="E12813" t="str">
            <v>OPT</v>
          </cell>
          <cell r="F12813" t="str">
            <v xml:space="preserve">OPT-V </v>
          </cell>
          <cell r="G12813">
            <v>501</v>
          </cell>
          <cell r="H12813" t="str">
            <v>OPT-V 501</v>
          </cell>
          <cell r="K12813" t="str">
            <v>Bonanno,Joseph A.</v>
          </cell>
          <cell r="N12813">
            <v>3.83</v>
          </cell>
          <cell r="O12813">
            <v>3.181</v>
          </cell>
        </row>
        <row r="12814">
          <cell r="E12814" t="str">
            <v>OPT</v>
          </cell>
          <cell r="F12814" t="str">
            <v xml:space="preserve">OPT-V </v>
          </cell>
          <cell r="G12814">
            <v>501</v>
          </cell>
          <cell r="H12814" t="str">
            <v>OPT-V 501</v>
          </cell>
          <cell r="K12814" t="str">
            <v>Bonanno,Joseph A.</v>
          </cell>
          <cell r="N12814">
            <v>3.03</v>
          </cell>
          <cell r="O12814">
            <v>3.363</v>
          </cell>
        </row>
        <row r="12815">
          <cell r="E12815" t="str">
            <v>OPT</v>
          </cell>
          <cell r="F12815" t="str">
            <v xml:space="preserve">OPT-V </v>
          </cell>
          <cell r="G12815">
            <v>501</v>
          </cell>
          <cell r="H12815" t="str">
            <v>OPT-V 501</v>
          </cell>
          <cell r="K12815" t="str">
            <v>Bonanno,Joseph A.</v>
          </cell>
          <cell r="N12815">
            <v>3.34</v>
          </cell>
          <cell r="O12815">
            <v>3.1549999999999998</v>
          </cell>
        </row>
        <row r="12816">
          <cell r="E12816" t="str">
            <v>OPT</v>
          </cell>
          <cell r="F12816" t="str">
            <v xml:space="preserve">OPT-V </v>
          </cell>
          <cell r="G12816">
            <v>501</v>
          </cell>
          <cell r="H12816" t="str">
            <v>OPT-V 501</v>
          </cell>
          <cell r="K12816" t="str">
            <v>Bonanno,Joseph A.</v>
          </cell>
          <cell r="N12816" t="str">
            <v>NR</v>
          </cell>
          <cell r="O12816" t="str">
            <v>NR</v>
          </cell>
        </row>
        <row r="12817">
          <cell r="E12817" t="str">
            <v>OPT</v>
          </cell>
          <cell r="F12817" t="str">
            <v xml:space="preserve">OPT-V </v>
          </cell>
          <cell r="G12817">
            <v>501</v>
          </cell>
          <cell r="H12817" t="str">
            <v>OPT-V 501</v>
          </cell>
          <cell r="K12817" t="str">
            <v>Bonanno,Joseph A.</v>
          </cell>
          <cell r="N12817">
            <v>3.16</v>
          </cell>
          <cell r="O12817">
            <v>3.194</v>
          </cell>
        </row>
        <row r="12818">
          <cell r="E12818" t="str">
            <v>OPT</v>
          </cell>
          <cell r="F12818" t="str">
            <v xml:space="preserve">OPT-V </v>
          </cell>
          <cell r="G12818">
            <v>501</v>
          </cell>
          <cell r="H12818" t="str">
            <v>OPT-V 501</v>
          </cell>
          <cell r="K12818" t="str">
            <v>Bonanno,Joseph A.</v>
          </cell>
          <cell r="N12818">
            <v>3.65</v>
          </cell>
          <cell r="O12818">
            <v>3.2829999999999999</v>
          </cell>
        </row>
        <row r="12819">
          <cell r="E12819" t="str">
            <v>OPT</v>
          </cell>
          <cell r="F12819" t="str">
            <v xml:space="preserve">OPT-V </v>
          </cell>
          <cell r="G12819">
            <v>501</v>
          </cell>
          <cell r="H12819" t="str">
            <v>OPT-V 501</v>
          </cell>
          <cell r="K12819" t="str">
            <v>Bonanno,Joseph A.</v>
          </cell>
          <cell r="N12819">
            <v>3.59</v>
          </cell>
          <cell r="O12819">
            <v>3.234</v>
          </cell>
        </row>
        <row r="12820">
          <cell r="E12820" t="str">
            <v>OPT</v>
          </cell>
          <cell r="F12820" t="str">
            <v xml:space="preserve">OPT-V </v>
          </cell>
          <cell r="G12820">
            <v>501</v>
          </cell>
          <cell r="H12820" t="str">
            <v>OPT-V 501</v>
          </cell>
          <cell r="K12820" t="str">
            <v>Bonanno,Joseph A.</v>
          </cell>
          <cell r="N12820">
            <v>3.85</v>
          </cell>
          <cell r="O12820">
            <v>3.2919999999999998</v>
          </cell>
        </row>
        <row r="12821">
          <cell r="E12821" t="str">
            <v>OPT</v>
          </cell>
          <cell r="F12821" t="str">
            <v xml:space="preserve">OPT-V </v>
          </cell>
          <cell r="G12821">
            <v>501</v>
          </cell>
          <cell r="H12821" t="str">
            <v>OPT-V 501</v>
          </cell>
          <cell r="K12821" t="str">
            <v>Hassan,Shirin Elgin</v>
          </cell>
          <cell r="N12821" t="str">
            <v>NR</v>
          </cell>
          <cell r="O12821" t="str">
            <v>NR</v>
          </cell>
        </row>
        <row r="12822">
          <cell r="E12822" t="str">
            <v>OPT</v>
          </cell>
          <cell r="F12822" t="str">
            <v xml:space="preserve">OPT-V </v>
          </cell>
          <cell r="G12822">
            <v>502</v>
          </cell>
          <cell r="H12822" t="str">
            <v>OPT-V 502</v>
          </cell>
          <cell r="K12822" t="str">
            <v>Bonanno,Joseph A.</v>
          </cell>
          <cell r="N12822">
            <v>3.25</v>
          </cell>
          <cell r="O12822">
            <v>3.3639999999999999</v>
          </cell>
        </row>
        <row r="12823">
          <cell r="E12823" t="str">
            <v>OPT</v>
          </cell>
          <cell r="F12823" t="str">
            <v xml:space="preserve">OPT-V </v>
          </cell>
          <cell r="G12823">
            <v>502</v>
          </cell>
          <cell r="H12823" t="str">
            <v>OPT-V 502</v>
          </cell>
          <cell r="K12823" t="str">
            <v>Bonanno,Joseph A.</v>
          </cell>
          <cell r="N12823">
            <v>3.68</v>
          </cell>
          <cell r="O12823">
            <v>3.3370000000000002</v>
          </cell>
        </row>
        <row r="12824">
          <cell r="E12824" t="str">
            <v>OPT</v>
          </cell>
          <cell r="F12824" t="str">
            <v xml:space="preserve">OPT-V </v>
          </cell>
          <cell r="G12824">
            <v>502</v>
          </cell>
          <cell r="H12824" t="str">
            <v>OPT-V 502</v>
          </cell>
          <cell r="K12824" t="str">
            <v>Bonanno,Joseph A.</v>
          </cell>
          <cell r="N12824">
            <v>3.44</v>
          </cell>
          <cell r="O12824">
            <v>3.238</v>
          </cell>
        </row>
        <row r="12825">
          <cell r="E12825" t="str">
            <v>OPT</v>
          </cell>
          <cell r="F12825" t="str">
            <v xml:space="preserve">OPT-V </v>
          </cell>
          <cell r="G12825">
            <v>502</v>
          </cell>
          <cell r="H12825" t="str">
            <v>OPT-V 502</v>
          </cell>
          <cell r="K12825" t="str">
            <v>Bonanno,Joseph A.</v>
          </cell>
          <cell r="N12825">
            <v>3.34</v>
          </cell>
          <cell r="O12825">
            <v>3.0939999999999999</v>
          </cell>
        </row>
        <row r="12826">
          <cell r="E12826" t="str">
            <v>OPT</v>
          </cell>
          <cell r="F12826" t="str">
            <v xml:space="preserve">OPT-V </v>
          </cell>
          <cell r="G12826">
            <v>502</v>
          </cell>
          <cell r="H12826" t="str">
            <v>OPT-V 502</v>
          </cell>
          <cell r="K12826" t="str">
            <v>Bonanno,Joseph A.</v>
          </cell>
          <cell r="N12826">
            <v>3.722</v>
          </cell>
          <cell r="O12826">
            <v>3.0939999999999999</v>
          </cell>
        </row>
        <row r="12827">
          <cell r="E12827" t="str">
            <v>OPT</v>
          </cell>
          <cell r="F12827" t="str">
            <v xml:space="preserve">OPT-V </v>
          </cell>
          <cell r="G12827">
            <v>502</v>
          </cell>
          <cell r="H12827" t="str">
            <v>OPT-V 502</v>
          </cell>
          <cell r="K12827" t="str">
            <v>Bonanno,Joseph A.</v>
          </cell>
          <cell r="N12827">
            <v>3.7709999999999999</v>
          </cell>
          <cell r="O12827">
            <v>3.4209999999999998</v>
          </cell>
        </row>
        <row r="12828">
          <cell r="E12828" t="str">
            <v>OPT</v>
          </cell>
          <cell r="F12828" t="str">
            <v xml:space="preserve">OPT-V </v>
          </cell>
          <cell r="G12828">
            <v>502</v>
          </cell>
          <cell r="H12828" t="str">
            <v>OPT-V 502</v>
          </cell>
          <cell r="K12828" t="str">
            <v>Bonanno,Joseph A.</v>
          </cell>
          <cell r="N12828">
            <v>3.8220000000000001</v>
          </cell>
          <cell r="O12828">
            <v>3.0110000000000001</v>
          </cell>
        </row>
        <row r="12829">
          <cell r="E12829" t="str">
            <v>OPT</v>
          </cell>
          <cell r="F12829" t="str">
            <v xml:space="preserve">OPT-V </v>
          </cell>
          <cell r="G12829">
            <v>502</v>
          </cell>
          <cell r="H12829" t="str">
            <v>OPT-V 502</v>
          </cell>
          <cell r="K12829" t="str">
            <v>Bonanno,Joseph A.</v>
          </cell>
          <cell r="N12829">
            <v>3.5379999999999998</v>
          </cell>
          <cell r="O12829">
            <v>3.214</v>
          </cell>
        </row>
        <row r="12830">
          <cell r="E12830" t="str">
            <v>OPT</v>
          </cell>
          <cell r="F12830" t="str">
            <v xml:space="preserve">OPT-V </v>
          </cell>
          <cell r="G12830">
            <v>502</v>
          </cell>
          <cell r="H12830" t="str">
            <v>OPT-V 502</v>
          </cell>
          <cell r="K12830" t="str">
            <v>Bonanno,Joseph A.</v>
          </cell>
          <cell r="N12830" t="str">
            <v>NR</v>
          </cell>
          <cell r="O12830" t="str">
            <v>NR</v>
          </cell>
        </row>
        <row r="12831">
          <cell r="E12831" t="str">
            <v>OPT</v>
          </cell>
          <cell r="F12831" t="str">
            <v xml:space="preserve">OPT-V </v>
          </cell>
          <cell r="G12831">
            <v>502</v>
          </cell>
          <cell r="H12831" t="str">
            <v>OPT-V 502</v>
          </cell>
          <cell r="K12831" t="str">
            <v>Hassan,Shirin Elgin</v>
          </cell>
          <cell r="N12831">
            <v>3.383</v>
          </cell>
          <cell r="O12831">
            <v>3.3889999999999998</v>
          </cell>
        </row>
        <row r="12832">
          <cell r="E12832" t="str">
            <v>OPT</v>
          </cell>
          <cell r="F12832" t="str">
            <v xml:space="preserve">OPT-V </v>
          </cell>
          <cell r="G12832">
            <v>521</v>
          </cell>
          <cell r="H12832" t="str">
            <v>OPT-V 521</v>
          </cell>
          <cell r="K12832" t="str">
            <v>Brooks,Clifford W.</v>
          </cell>
          <cell r="N12832">
            <v>3.3860000000000001</v>
          </cell>
          <cell r="O12832">
            <v>3.24</v>
          </cell>
        </row>
        <row r="12833">
          <cell r="E12833" t="str">
            <v>OPT</v>
          </cell>
          <cell r="F12833" t="str">
            <v xml:space="preserve">OPT-V </v>
          </cell>
          <cell r="G12833">
            <v>523</v>
          </cell>
          <cell r="H12833" t="str">
            <v>OPT-V 523</v>
          </cell>
          <cell r="K12833" t="str">
            <v>Brooks,Clifford W.</v>
          </cell>
          <cell r="N12833">
            <v>3.2269999999999999</v>
          </cell>
          <cell r="O12833">
            <v>3.2040000000000002</v>
          </cell>
        </row>
        <row r="12834">
          <cell r="E12834" t="str">
            <v>OPT</v>
          </cell>
          <cell r="F12834" t="str">
            <v xml:space="preserve">OPT-V </v>
          </cell>
          <cell r="G12834">
            <v>523</v>
          </cell>
          <cell r="H12834" t="str">
            <v>OPT-V 523</v>
          </cell>
          <cell r="K12834" t="str">
            <v>Himebaugh,Nikole Lynn</v>
          </cell>
          <cell r="N12834">
            <v>3.5710000000000002</v>
          </cell>
          <cell r="O12834">
            <v>3.403</v>
          </cell>
        </row>
        <row r="12835">
          <cell r="E12835" t="str">
            <v>OPT</v>
          </cell>
          <cell r="F12835" t="str">
            <v xml:space="preserve">OPT-V </v>
          </cell>
          <cell r="G12835">
            <v>540</v>
          </cell>
          <cell r="H12835" t="str">
            <v>OPT-V 540</v>
          </cell>
          <cell r="K12835" t="str">
            <v>Port,Nicholas</v>
          </cell>
          <cell r="N12835">
            <v>3.117</v>
          </cell>
          <cell r="O12835">
            <v>3.234</v>
          </cell>
        </row>
        <row r="12836">
          <cell r="E12836" t="str">
            <v>OPT</v>
          </cell>
          <cell r="F12836" t="str">
            <v xml:space="preserve">OPT-V </v>
          </cell>
          <cell r="G12836">
            <v>542</v>
          </cell>
          <cell r="H12836" t="str">
            <v>OPT-V 542</v>
          </cell>
          <cell r="K12836" t="str">
            <v>Begley,Carolyn B.</v>
          </cell>
          <cell r="N12836">
            <v>3.3319999999999999</v>
          </cell>
          <cell r="O12836">
            <v>3.222</v>
          </cell>
        </row>
        <row r="12837">
          <cell r="E12837" t="str">
            <v>OPT</v>
          </cell>
          <cell r="F12837" t="str">
            <v xml:space="preserve">OPT-V </v>
          </cell>
          <cell r="G12837">
            <v>543</v>
          </cell>
          <cell r="H12837" t="str">
            <v>OPT-V 543</v>
          </cell>
          <cell r="K12837" t="str">
            <v>Viswanathan,Suresh</v>
          </cell>
          <cell r="N12837">
            <v>2.9119999999999999</v>
          </cell>
          <cell r="O12837">
            <v>3.1850000000000001</v>
          </cell>
        </row>
        <row r="12838">
          <cell r="E12838" t="str">
            <v>OPT</v>
          </cell>
          <cell r="F12838" t="str">
            <v xml:space="preserve">OPT-V </v>
          </cell>
          <cell r="G12838">
            <v>550</v>
          </cell>
          <cell r="H12838" t="str">
            <v>OPT-V 550</v>
          </cell>
          <cell r="K12838" t="str">
            <v>Meetz,Richard Earl</v>
          </cell>
          <cell r="N12838">
            <v>3.0680000000000001</v>
          </cell>
          <cell r="O12838">
            <v>3.2269999999999999</v>
          </cell>
        </row>
        <row r="12839">
          <cell r="E12839" t="str">
            <v>OPT</v>
          </cell>
          <cell r="F12839" t="str">
            <v xml:space="preserve">OPT-V </v>
          </cell>
          <cell r="G12839">
            <v>551</v>
          </cell>
          <cell r="H12839" t="str">
            <v>OPT-V 551</v>
          </cell>
          <cell r="K12839" t="str">
            <v>Meetz,Richard Earl</v>
          </cell>
          <cell r="N12839">
            <v>3.1120000000000001</v>
          </cell>
          <cell r="O12839">
            <v>3.1970000000000001</v>
          </cell>
        </row>
        <row r="12840">
          <cell r="E12840" t="str">
            <v>OPT</v>
          </cell>
          <cell r="F12840" t="str">
            <v xml:space="preserve">OPT-V </v>
          </cell>
          <cell r="G12840">
            <v>552</v>
          </cell>
          <cell r="H12840" t="str">
            <v>OPT-V 552</v>
          </cell>
          <cell r="K12840" t="str">
            <v>Perotti,Jeffrey D</v>
          </cell>
          <cell r="N12840">
            <v>3.1030000000000002</v>
          </cell>
          <cell r="O12840">
            <v>3.1680000000000001</v>
          </cell>
        </row>
        <row r="12841">
          <cell r="E12841" t="str">
            <v>OPT</v>
          </cell>
          <cell r="F12841" t="str">
            <v xml:space="preserve">OPT-V </v>
          </cell>
          <cell r="G12841">
            <v>560</v>
          </cell>
          <cell r="H12841" t="str">
            <v>OPT-V 560</v>
          </cell>
          <cell r="K12841" t="str">
            <v>Thibos,Larry</v>
          </cell>
          <cell r="N12841">
            <v>3.0569999999999999</v>
          </cell>
          <cell r="O12841">
            <v>3.2450000000000001</v>
          </cell>
        </row>
        <row r="12842">
          <cell r="E12842" t="str">
            <v>OPT</v>
          </cell>
          <cell r="F12842" t="str">
            <v xml:space="preserve">OPT-V </v>
          </cell>
          <cell r="G12842">
            <v>574</v>
          </cell>
          <cell r="H12842" t="str">
            <v>OPT-V 574</v>
          </cell>
          <cell r="K12842" t="str">
            <v>Meetz,Richard Earl</v>
          </cell>
          <cell r="N12842">
            <v>3.27</v>
          </cell>
          <cell r="O12842">
            <v>3.218</v>
          </cell>
        </row>
        <row r="12843">
          <cell r="E12843" t="str">
            <v>OPT</v>
          </cell>
          <cell r="F12843" t="str">
            <v xml:space="preserve">OPT-V </v>
          </cell>
          <cell r="G12843">
            <v>601</v>
          </cell>
          <cell r="H12843" t="str">
            <v>OPT-V 601</v>
          </cell>
          <cell r="K12843" t="str">
            <v>Srinivas,S P</v>
          </cell>
          <cell r="N12843">
            <v>4</v>
          </cell>
          <cell r="O12843">
            <v>3.3010000000000002</v>
          </cell>
        </row>
        <row r="12844">
          <cell r="E12844" t="str">
            <v>OPT</v>
          </cell>
          <cell r="F12844" t="str">
            <v xml:space="preserve">OPT-V </v>
          </cell>
          <cell r="G12844">
            <v>631</v>
          </cell>
          <cell r="H12844" t="str">
            <v>OPT-V 631</v>
          </cell>
          <cell r="K12844" t="str">
            <v>Brooks,Clifford W.</v>
          </cell>
          <cell r="N12844">
            <v>3.3969999999999998</v>
          </cell>
          <cell r="O12844">
            <v>3.2970000000000002</v>
          </cell>
        </row>
        <row r="12845">
          <cell r="E12845" t="str">
            <v>OPT</v>
          </cell>
          <cell r="F12845" t="str">
            <v xml:space="preserve">OPT-V </v>
          </cell>
          <cell r="G12845">
            <v>632</v>
          </cell>
          <cell r="H12845" t="str">
            <v>OPT-V 632</v>
          </cell>
          <cell r="K12845" t="str">
            <v>Brooks,Clifford W.</v>
          </cell>
          <cell r="N12845">
            <v>3.3010000000000002</v>
          </cell>
          <cell r="O12845">
            <v>3.2509999999999999</v>
          </cell>
        </row>
        <row r="12846">
          <cell r="E12846" t="str">
            <v>OPT</v>
          </cell>
          <cell r="F12846" t="str">
            <v xml:space="preserve">OPT-V </v>
          </cell>
          <cell r="G12846">
            <v>633</v>
          </cell>
          <cell r="H12846" t="str">
            <v>OPT-V 633</v>
          </cell>
          <cell r="K12846" t="str">
            <v>Kollbaum,Peter S.</v>
          </cell>
          <cell r="N12846">
            <v>3.2650000000000001</v>
          </cell>
          <cell r="O12846">
            <v>3.2370000000000001</v>
          </cell>
        </row>
        <row r="12847">
          <cell r="E12847" t="str">
            <v>OPT</v>
          </cell>
          <cell r="F12847" t="str">
            <v xml:space="preserve">OPT-V </v>
          </cell>
          <cell r="G12847">
            <v>642</v>
          </cell>
          <cell r="H12847" t="str">
            <v>OPT-V 642</v>
          </cell>
          <cell r="K12847" t="str">
            <v>Himebaugh,Nikole Lynn</v>
          </cell>
          <cell r="N12847">
            <v>3.3210000000000002</v>
          </cell>
          <cell r="O12847">
            <v>3.294</v>
          </cell>
        </row>
        <row r="12848">
          <cell r="E12848" t="str">
            <v>OPT</v>
          </cell>
          <cell r="F12848" t="str">
            <v xml:space="preserve">OPT-V </v>
          </cell>
          <cell r="G12848">
            <v>644</v>
          </cell>
          <cell r="H12848" t="str">
            <v>OPT-V 644</v>
          </cell>
          <cell r="K12848" t="str">
            <v>Malinovsky,Victor Evans</v>
          </cell>
          <cell r="N12848">
            <v>3.718</v>
          </cell>
          <cell r="O12848">
            <v>3.2629999999999999</v>
          </cell>
        </row>
        <row r="12849">
          <cell r="E12849" t="str">
            <v>OPT</v>
          </cell>
          <cell r="F12849" t="str">
            <v xml:space="preserve">OPT-V </v>
          </cell>
          <cell r="G12849">
            <v>646</v>
          </cell>
          <cell r="H12849" t="str">
            <v>OPT-V 646</v>
          </cell>
          <cell r="K12849" t="str">
            <v>Himebaugh,Nikole Lynn</v>
          </cell>
          <cell r="N12849">
            <v>3.2570000000000001</v>
          </cell>
          <cell r="O12849">
            <v>3.262</v>
          </cell>
        </row>
        <row r="12850">
          <cell r="E12850" t="str">
            <v>OPT</v>
          </cell>
          <cell r="F12850" t="str">
            <v xml:space="preserve">OPT-V </v>
          </cell>
          <cell r="G12850">
            <v>652</v>
          </cell>
          <cell r="H12850" t="str">
            <v>OPT-V 652</v>
          </cell>
          <cell r="K12850" t="str">
            <v>Goss,David A.</v>
          </cell>
          <cell r="N12850">
            <v>3.472</v>
          </cell>
          <cell r="O12850">
            <v>3.2970000000000002</v>
          </cell>
        </row>
        <row r="12851">
          <cell r="E12851" t="str">
            <v>OPT</v>
          </cell>
          <cell r="F12851" t="str">
            <v xml:space="preserve">OPT-V </v>
          </cell>
          <cell r="G12851">
            <v>653</v>
          </cell>
          <cell r="H12851" t="str">
            <v>OPT-V 653</v>
          </cell>
          <cell r="K12851" t="str">
            <v>Perotti,Jeffrey D</v>
          </cell>
          <cell r="N12851">
            <v>3.226</v>
          </cell>
          <cell r="O12851">
            <v>3.2749999999999999</v>
          </cell>
        </row>
        <row r="12852">
          <cell r="E12852" t="str">
            <v>OPT</v>
          </cell>
          <cell r="F12852" t="str">
            <v xml:space="preserve">OPT-V </v>
          </cell>
          <cell r="G12852">
            <v>654</v>
          </cell>
          <cell r="H12852" t="str">
            <v>OPT-V 654</v>
          </cell>
          <cell r="K12852" t="str">
            <v>Peabody,Todd David</v>
          </cell>
          <cell r="N12852">
            <v>3.1469999999999998</v>
          </cell>
          <cell r="O12852">
            <v>3.238</v>
          </cell>
        </row>
        <row r="12853">
          <cell r="E12853" t="str">
            <v>OPT</v>
          </cell>
          <cell r="F12853" t="str">
            <v xml:space="preserve">OPT-V </v>
          </cell>
          <cell r="G12853">
            <v>665</v>
          </cell>
          <cell r="H12853" t="str">
            <v>OPT-V 665</v>
          </cell>
          <cell r="K12853" t="str">
            <v>Candy,T Rowan</v>
          </cell>
          <cell r="N12853">
            <v>3.2589999999999999</v>
          </cell>
          <cell r="O12853">
            <v>3.2919999999999998</v>
          </cell>
        </row>
        <row r="12854">
          <cell r="E12854" t="str">
            <v>OPT</v>
          </cell>
          <cell r="F12854" t="str">
            <v xml:space="preserve">OPT-V </v>
          </cell>
          <cell r="G12854">
            <v>665</v>
          </cell>
          <cell r="H12854" t="str">
            <v>OPT-V 665</v>
          </cell>
          <cell r="K12854" t="str">
            <v>Candy,T Rowan</v>
          </cell>
          <cell r="N12854" t="str">
            <v>NR</v>
          </cell>
          <cell r="O12854" t="str">
            <v>NR</v>
          </cell>
        </row>
        <row r="12855">
          <cell r="E12855" t="str">
            <v>OPT</v>
          </cell>
          <cell r="F12855" t="str">
            <v xml:space="preserve">OPT-V </v>
          </cell>
          <cell r="G12855">
            <v>666</v>
          </cell>
          <cell r="H12855" t="str">
            <v>OPT-V 666</v>
          </cell>
          <cell r="K12855" t="str">
            <v>Goss,David A.</v>
          </cell>
          <cell r="N12855">
            <v>3.4409999999999998</v>
          </cell>
          <cell r="O12855">
            <v>3.242</v>
          </cell>
        </row>
        <row r="12856">
          <cell r="E12856" t="str">
            <v>OPT</v>
          </cell>
          <cell r="F12856" t="str">
            <v xml:space="preserve">OPT-V </v>
          </cell>
          <cell r="G12856">
            <v>680</v>
          </cell>
          <cell r="H12856" t="str">
            <v>OPT-V 680</v>
          </cell>
          <cell r="K12856" t="str">
            <v>Kohne,Kimberly Dawn</v>
          </cell>
          <cell r="N12856" t="str">
            <v>NR</v>
          </cell>
          <cell r="O12856" t="str">
            <v>NR</v>
          </cell>
        </row>
        <row r="12857">
          <cell r="E12857" t="str">
            <v>OPT</v>
          </cell>
          <cell r="F12857" t="str">
            <v xml:space="preserve">OPT-V </v>
          </cell>
          <cell r="G12857">
            <v>701</v>
          </cell>
          <cell r="H12857" t="str">
            <v>OPT-V 701</v>
          </cell>
          <cell r="K12857" t="str">
            <v>Kohne,Kimberly Dawn</v>
          </cell>
          <cell r="N12857" t="str">
            <v>NR</v>
          </cell>
          <cell r="O12857" t="str">
            <v>NR</v>
          </cell>
        </row>
        <row r="12858">
          <cell r="E12858" t="str">
            <v>OPT</v>
          </cell>
          <cell r="F12858" t="str">
            <v xml:space="preserve">OPT-V </v>
          </cell>
          <cell r="G12858">
            <v>702</v>
          </cell>
          <cell r="H12858" t="str">
            <v>OPT-V 702</v>
          </cell>
          <cell r="K12858" t="str">
            <v>Kohne,Kimberly Dawn</v>
          </cell>
          <cell r="N12858" t="str">
            <v>NR</v>
          </cell>
          <cell r="O12858" t="str">
            <v>NR</v>
          </cell>
        </row>
        <row r="12859">
          <cell r="E12859" t="str">
            <v>OPT</v>
          </cell>
          <cell r="F12859" t="str">
            <v xml:space="preserve">OPT-V </v>
          </cell>
          <cell r="G12859">
            <v>745</v>
          </cell>
          <cell r="H12859" t="str">
            <v>OPT-V 745</v>
          </cell>
          <cell r="K12859" t="str">
            <v>Malinovsky,Victor Evans</v>
          </cell>
          <cell r="N12859">
            <v>3.621</v>
          </cell>
          <cell r="O12859">
            <v>3.2719999999999998</v>
          </cell>
        </row>
        <row r="12860">
          <cell r="E12860" t="str">
            <v>OPT</v>
          </cell>
          <cell r="F12860" t="str">
            <v xml:space="preserve">OPT-V </v>
          </cell>
          <cell r="G12860">
            <v>746</v>
          </cell>
          <cell r="H12860" t="str">
            <v>OPT-V 746</v>
          </cell>
          <cell r="K12860" t="str">
            <v>Henderson,Patricia A</v>
          </cell>
          <cell r="N12860">
            <v>3.47</v>
          </cell>
          <cell r="O12860">
            <v>3.3260000000000001</v>
          </cell>
        </row>
        <row r="12861">
          <cell r="E12861" t="str">
            <v>OPT</v>
          </cell>
          <cell r="F12861" t="str">
            <v xml:space="preserve">OPT-V </v>
          </cell>
          <cell r="G12861">
            <v>748</v>
          </cell>
          <cell r="H12861" t="str">
            <v>OPT-V 748</v>
          </cell>
          <cell r="K12861" t="str">
            <v>Meetz,Richard Earl</v>
          </cell>
          <cell r="N12861">
            <v>3.056</v>
          </cell>
          <cell r="O12861">
            <v>3.2629999999999999</v>
          </cell>
        </row>
        <row r="12862">
          <cell r="E12862" t="str">
            <v>OPT</v>
          </cell>
          <cell r="F12862" t="str">
            <v xml:space="preserve">OPT-V </v>
          </cell>
          <cell r="G12862">
            <v>749</v>
          </cell>
          <cell r="H12862" t="str">
            <v>OPT-V 749</v>
          </cell>
          <cell r="K12862" t="str">
            <v>Grogg,Jane Ann</v>
          </cell>
          <cell r="N12862">
            <v>3.1160000000000001</v>
          </cell>
          <cell r="O12862">
            <v>3.3180000000000001</v>
          </cell>
        </row>
        <row r="12863">
          <cell r="E12863" t="str">
            <v>OPT</v>
          </cell>
          <cell r="F12863" t="str">
            <v xml:space="preserve">OPT-V </v>
          </cell>
          <cell r="G12863">
            <v>751</v>
          </cell>
          <cell r="H12863" t="str">
            <v>OPT-V 751</v>
          </cell>
          <cell r="K12863" t="str">
            <v>Hassan,Shirin Elgin</v>
          </cell>
          <cell r="N12863">
            <v>3.3079999999999998</v>
          </cell>
          <cell r="O12863">
            <v>3.3330000000000002</v>
          </cell>
        </row>
        <row r="12864">
          <cell r="E12864" t="str">
            <v>OPT</v>
          </cell>
          <cell r="F12864" t="str">
            <v xml:space="preserve">OPT-V </v>
          </cell>
          <cell r="G12864">
            <v>752</v>
          </cell>
          <cell r="H12864" t="str">
            <v>OPT-V 752</v>
          </cell>
          <cell r="K12864" t="str">
            <v>Kovacich,Susan</v>
          </cell>
          <cell r="N12864">
            <v>3.8519999999999999</v>
          </cell>
          <cell r="O12864">
            <v>3.2549999999999999</v>
          </cell>
        </row>
        <row r="12865">
          <cell r="E12865" t="str">
            <v>OPT</v>
          </cell>
          <cell r="F12865" t="str">
            <v xml:space="preserve">OPT-V </v>
          </cell>
          <cell r="G12865">
            <v>754</v>
          </cell>
          <cell r="H12865" t="str">
            <v>OPT-V 754</v>
          </cell>
          <cell r="K12865" t="str">
            <v>Hitzeman,Steven A.</v>
          </cell>
          <cell r="N12865">
            <v>3.8519999999999999</v>
          </cell>
          <cell r="O12865">
            <v>3.3069999999999999</v>
          </cell>
        </row>
        <row r="12866">
          <cell r="E12866" t="str">
            <v>OPT</v>
          </cell>
          <cell r="F12866" t="str">
            <v xml:space="preserve">OPT-V </v>
          </cell>
          <cell r="G12866">
            <v>756</v>
          </cell>
          <cell r="H12866" t="str">
            <v>OPT-V 756</v>
          </cell>
          <cell r="K12866" t="str">
            <v>Pence,Neil A.</v>
          </cell>
          <cell r="N12866">
            <v>4</v>
          </cell>
          <cell r="O12866">
            <v>3.2709999999999999</v>
          </cell>
        </row>
        <row r="12867">
          <cell r="E12867" t="str">
            <v>OPT</v>
          </cell>
          <cell r="F12867" t="str">
            <v xml:space="preserve">OPT-V </v>
          </cell>
          <cell r="G12867">
            <v>757</v>
          </cell>
          <cell r="H12867" t="str">
            <v>OPT-V 757</v>
          </cell>
          <cell r="K12867" t="str">
            <v>Pence,Neil A.</v>
          </cell>
          <cell r="N12867">
            <v>4</v>
          </cell>
          <cell r="O12867">
            <v>3.3330000000000002</v>
          </cell>
        </row>
        <row r="12868">
          <cell r="E12868" t="str">
            <v>OPT</v>
          </cell>
          <cell r="F12868" t="str">
            <v xml:space="preserve">OPT-V </v>
          </cell>
          <cell r="G12868">
            <v>758</v>
          </cell>
          <cell r="H12868" t="str">
            <v>OPT-V 758</v>
          </cell>
          <cell r="K12868" t="str">
            <v>Lyon,Don W.</v>
          </cell>
          <cell r="N12868">
            <v>3.173</v>
          </cell>
          <cell r="O12868">
            <v>3.3330000000000002</v>
          </cell>
        </row>
        <row r="12869">
          <cell r="E12869" t="str">
            <v>OPT</v>
          </cell>
          <cell r="F12869" t="str">
            <v xml:space="preserve">OPT-V </v>
          </cell>
          <cell r="G12869">
            <v>759</v>
          </cell>
          <cell r="H12869" t="str">
            <v>OPT-V 759</v>
          </cell>
          <cell r="K12869" t="str">
            <v>Pence,Neil A.</v>
          </cell>
          <cell r="N12869">
            <v>4</v>
          </cell>
          <cell r="O12869">
            <v>3.294</v>
          </cell>
        </row>
        <row r="12870">
          <cell r="E12870" t="str">
            <v>OPT</v>
          </cell>
          <cell r="F12870" t="str">
            <v xml:space="preserve">OPT-V </v>
          </cell>
          <cell r="G12870">
            <v>780</v>
          </cell>
          <cell r="H12870" t="str">
            <v>OPT-V 780</v>
          </cell>
          <cell r="K12870" t="str">
            <v>Kohne,Kimberly Dawn</v>
          </cell>
          <cell r="N12870" t="str">
            <v>NR</v>
          </cell>
          <cell r="O12870" t="str">
            <v>NR</v>
          </cell>
        </row>
        <row r="12871">
          <cell r="E12871" t="str">
            <v>OPT</v>
          </cell>
          <cell r="F12871" t="str">
            <v xml:space="preserve">OPT-V </v>
          </cell>
          <cell r="G12871">
            <v>780</v>
          </cell>
          <cell r="H12871" t="str">
            <v>OPT-V 780</v>
          </cell>
          <cell r="K12871" t="str">
            <v>Kohne,Kimberly Dawn</v>
          </cell>
          <cell r="N12871" t="str">
            <v>NR</v>
          </cell>
          <cell r="O12871" t="str">
            <v>NR</v>
          </cell>
        </row>
        <row r="12872">
          <cell r="E12872" t="str">
            <v>OPT</v>
          </cell>
          <cell r="F12872" t="str">
            <v xml:space="preserve">OPT-V </v>
          </cell>
          <cell r="G12872">
            <v>781</v>
          </cell>
          <cell r="H12872" t="str">
            <v>OPT-V 781</v>
          </cell>
          <cell r="K12872" t="str">
            <v>Candy,T Rowan</v>
          </cell>
          <cell r="N12872">
            <v>3.456</v>
          </cell>
          <cell r="O12872">
            <v>3.2869999999999999</v>
          </cell>
        </row>
        <row r="12873">
          <cell r="E12873" t="str">
            <v>OPT</v>
          </cell>
          <cell r="F12873" t="str">
            <v xml:space="preserve">OPT-V </v>
          </cell>
          <cell r="G12873">
            <v>781</v>
          </cell>
          <cell r="H12873" t="str">
            <v>OPT-V 781</v>
          </cell>
          <cell r="K12873" t="str">
            <v>Candy,T Rowan</v>
          </cell>
          <cell r="N12873" t="str">
            <v>NR</v>
          </cell>
          <cell r="O12873" t="str">
            <v>NR</v>
          </cell>
        </row>
        <row r="12874">
          <cell r="E12874" t="str">
            <v>OPT</v>
          </cell>
          <cell r="F12874" t="str">
            <v xml:space="preserve">OPT-V </v>
          </cell>
          <cell r="G12874">
            <v>786</v>
          </cell>
          <cell r="H12874" t="str">
            <v>OPT-V 786</v>
          </cell>
          <cell r="K12874" t="str">
            <v>Kohne,Kimberly Dawn</v>
          </cell>
          <cell r="N12874">
            <v>3.2469999999999999</v>
          </cell>
          <cell r="O12874">
            <v>3.278</v>
          </cell>
        </row>
        <row r="12875">
          <cell r="E12875" t="str">
            <v>OPT</v>
          </cell>
          <cell r="F12875" t="str">
            <v xml:space="preserve">OPT-V </v>
          </cell>
          <cell r="G12875">
            <v>786</v>
          </cell>
          <cell r="H12875" t="str">
            <v>OPT-V 786</v>
          </cell>
          <cell r="K12875" t="str">
            <v>Kohne,Kimberly Dawn</v>
          </cell>
          <cell r="N12875" t="str">
            <v>NR</v>
          </cell>
          <cell r="O12875" t="str">
            <v>NR</v>
          </cell>
        </row>
        <row r="12876">
          <cell r="E12876" t="str">
            <v>OPT</v>
          </cell>
          <cell r="F12876" t="str">
            <v xml:space="preserve">OPT-V </v>
          </cell>
          <cell r="G12876">
            <v>787</v>
          </cell>
          <cell r="H12876" t="str">
            <v>OPT-V 787</v>
          </cell>
          <cell r="K12876" t="str">
            <v>Kohne,Kimberly Dawn</v>
          </cell>
          <cell r="N12876">
            <v>3.3330000000000002</v>
          </cell>
          <cell r="O12876">
            <v>3.278</v>
          </cell>
        </row>
        <row r="12877">
          <cell r="E12877" t="str">
            <v>OPT</v>
          </cell>
          <cell r="F12877" t="str">
            <v xml:space="preserve">OPT-V </v>
          </cell>
          <cell r="G12877">
            <v>787</v>
          </cell>
          <cell r="H12877" t="str">
            <v>OPT-V 787</v>
          </cell>
          <cell r="K12877" t="str">
            <v>Kohne,Kimberly Dawn</v>
          </cell>
          <cell r="N12877" t="str">
            <v>NR</v>
          </cell>
          <cell r="O12877" t="str">
            <v>NR</v>
          </cell>
        </row>
        <row r="12878">
          <cell r="E12878" t="str">
            <v>OPT</v>
          </cell>
          <cell r="F12878" t="str">
            <v xml:space="preserve">OPT-V </v>
          </cell>
          <cell r="G12878">
            <v>788</v>
          </cell>
          <cell r="H12878" t="str">
            <v>OPT-V 788</v>
          </cell>
          <cell r="K12878" t="str">
            <v>Kohne,Kimberly Dawn</v>
          </cell>
          <cell r="N12878">
            <v>3.3889999999999998</v>
          </cell>
          <cell r="O12878">
            <v>3.343</v>
          </cell>
        </row>
        <row r="12879">
          <cell r="E12879" t="str">
            <v>OPT</v>
          </cell>
          <cell r="F12879" t="str">
            <v xml:space="preserve">OPT-V </v>
          </cell>
          <cell r="G12879">
            <v>789</v>
          </cell>
          <cell r="H12879" t="str">
            <v>OPT-V 789</v>
          </cell>
          <cell r="K12879" t="str">
            <v>Kohne,Kimberly Dawn</v>
          </cell>
          <cell r="N12879">
            <v>3.35</v>
          </cell>
          <cell r="O12879">
            <v>3.343</v>
          </cell>
        </row>
        <row r="12880">
          <cell r="E12880" t="str">
            <v>OPT</v>
          </cell>
          <cell r="F12880" t="str">
            <v xml:space="preserve">OPT-V </v>
          </cell>
          <cell r="G12880">
            <v>880</v>
          </cell>
          <cell r="H12880" t="str">
            <v>OPT-V 880</v>
          </cell>
          <cell r="K12880" t="str">
            <v>Kollbaum,Elli J.</v>
          </cell>
          <cell r="N12880" t="str">
            <v>NR</v>
          </cell>
          <cell r="O12880" t="str">
            <v>NR</v>
          </cell>
        </row>
        <row r="12881">
          <cell r="E12881" t="str">
            <v>OPT</v>
          </cell>
          <cell r="F12881" t="str">
            <v xml:space="preserve">OPT-V </v>
          </cell>
          <cell r="G12881">
            <v>885</v>
          </cell>
          <cell r="H12881" t="str">
            <v>OPT-V 885</v>
          </cell>
          <cell r="K12881" t="str">
            <v>Hitzeman,Steven A.</v>
          </cell>
          <cell r="N12881">
            <v>3.415</v>
          </cell>
          <cell r="O12881">
            <v>3.4169999999999998</v>
          </cell>
        </row>
        <row r="12882">
          <cell r="E12882" t="str">
            <v>OPT</v>
          </cell>
          <cell r="F12882" t="str">
            <v xml:space="preserve">OPT-V </v>
          </cell>
          <cell r="G12882">
            <v>885</v>
          </cell>
          <cell r="H12882" t="str">
            <v>OPT-V 885</v>
          </cell>
          <cell r="K12882" t="str">
            <v>Hitzeman,Steven A.</v>
          </cell>
          <cell r="N12882" t="str">
            <v>NR</v>
          </cell>
          <cell r="O12882" t="str">
            <v>NR</v>
          </cell>
        </row>
        <row r="12883">
          <cell r="E12883" t="str">
            <v>OPT</v>
          </cell>
          <cell r="F12883" t="str">
            <v xml:space="preserve">OPT-V </v>
          </cell>
          <cell r="G12883">
            <v>885</v>
          </cell>
          <cell r="H12883" t="str">
            <v>OPT-V 885</v>
          </cell>
          <cell r="K12883" t="str">
            <v>Hitzeman,Steven A.</v>
          </cell>
          <cell r="N12883">
            <v>3.181</v>
          </cell>
          <cell r="O12883">
            <v>3.3519999999999999</v>
          </cell>
        </row>
        <row r="12884">
          <cell r="E12884" t="str">
            <v>OPT</v>
          </cell>
          <cell r="F12884" t="str">
            <v xml:space="preserve">OPT-V </v>
          </cell>
          <cell r="G12884">
            <v>885</v>
          </cell>
          <cell r="H12884" t="str">
            <v>OPT-V 885</v>
          </cell>
          <cell r="K12884" t="str">
            <v>Hitzeman,Steven A.</v>
          </cell>
          <cell r="N12884">
            <v>3.14</v>
          </cell>
          <cell r="O12884">
            <v>3.2759999999999998</v>
          </cell>
        </row>
        <row r="12885">
          <cell r="E12885" t="str">
            <v>OPT</v>
          </cell>
          <cell r="F12885" t="str">
            <v xml:space="preserve">OPT-V </v>
          </cell>
          <cell r="G12885">
            <v>887</v>
          </cell>
          <cell r="H12885" t="str">
            <v>OPT-V 887</v>
          </cell>
          <cell r="K12885" t="str">
            <v>Kollbaum,Elli J.</v>
          </cell>
          <cell r="N12885">
            <v>3.4620000000000002</v>
          </cell>
          <cell r="O12885">
            <v>3.4620000000000002</v>
          </cell>
        </row>
        <row r="12886">
          <cell r="E12886" t="str">
            <v>OPT</v>
          </cell>
          <cell r="F12886" t="str">
            <v xml:space="preserve">OPT-V </v>
          </cell>
          <cell r="G12886">
            <v>887</v>
          </cell>
          <cell r="H12886" t="str">
            <v>OPT-V 887</v>
          </cell>
          <cell r="K12886" t="str">
            <v>Kollbaum,Elli J.</v>
          </cell>
          <cell r="N12886" t="str">
            <v>NR</v>
          </cell>
          <cell r="O12886" t="str">
            <v>NR</v>
          </cell>
        </row>
        <row r="12887">
          <cell r="E12887" t="str">
            <v>OPT</v>
          </cell>
          <cell r="F12887" t="str">
            <v xml:space="preserve">OPT-V </v>
          </cell>
          <cell r="G12887">
            <v>887</v>
          </cell>
          <cell r="H12887" t="str">
            <v>OPT-V 887</v>
          </cell>
          <cell r="K12887" t="str">
            <v>Kollbaum,Elli J.</v>
          </cell>
          <cell r="N12887">
            <v>3.4420000000000002</v>
          </cell>
          <cell r="O12887">
            <v>3.2450000000000001</v>
          </cell>
        </row>
        <row r="12888">
          <cell r="E12888" t="str">
            <v>OPT</v>
          </cell>
          <cell r="F12888" t="str">
            <v xml:space="preserve">OPT-V </v>
          </cell>
          <cell r="G12888">
            <v>887</v>
          </cell>
          <cell r="H12888" t="str">
            <v>OPT-V 887</v>
          </cell>
          <cell r="K12888" t="str">
            <v>Kollbaum,Elli J.</v>
          </cell>
          <cell r="N12888">
            <v>3.4079999999999999</v>
          </cell>
          <cell r="O12888">
            <v>3.363</v>
          </cell>
        </row>
        <row r="12889">
          <cell r="E12889" t="str">
            <v>OPT</v>
          </cell>
          <cell r="F12889" t="str">
            <v xml:space="preserve">OPT-V </v>
          </cell>
          <cell r="G12889">
            <v>888</v>
          </cell>
          <cell r="H12889" t="str">
            <v>OPT-V 888</v>
          </cell>
          <cell r="K12889" t="str">
            <v>Kollbaum,Elli J.</v>
          </cell>
          <cell r="N12889">
            <v>3.681</v>
          </cell>
          <cell r="O12889">
            <v>3.25</v>
          </cell>
        </row>
        <row r="12890">
          <cell r="E12890" t="str">
            <v>OPT</v>
          </cell>
          <cell r="F12890" t="str">
            <v xml:space="preserve">OPT-V </v>
          </cell>
          <cell r="G12890">
            <v>888</v>
          </cell>
          <cell r="H12890" t="str">
            <v>OPT-V 888</v>
          </cell>
          <cell r="K12890" t="str">
            <v>Kollbaum,Elli J.</v>
          </cell>
          <cell r="N12890" t="str">
            <v>NR</v>
          </cell>
          <cell r="O12890" t="str">
            <v>NR</v>
          </cell>
        </row>
        <row r="12891">
          <cell r="E12891" t="str">
            <v>OPT</v>
          </cell>
          <cell r="F12891" t="str">
            <v xml:space="preserve">OPT-V </v>
          </cell>
          <cell r="G12891">
            <v>888</v>
          </cell>
          <cell r="H12891" t="str">
            <v>OPT-V 888</v>
          </cell>
          <cell r="K12891" t="str">
            <v>Kollbaum,Elli J.</v>
          </cell>
          <cell r="N12891">
            <v>3.8130000000000002</v>
          </cell>
          <cell r="O12891">
            <v>3.3919999999999999</v>
          </cell>
        </row>
        <row r="12892">
          <cell r="E12892" t="str">
            <v>OPT</v>
          </cell>
          <cell r="F12892" t="str">
            <v xml:space="preserve">OPT-V </v>
          </cell>
          <cell r="G12892">
            <v>888</v>
          </cell>
          <cell r="H12892" t="str">
            <v>OPT-V 888</v>
          </cell>
          <cell r="K12892" t="str">
            <v>Kollbaum,Elli J.</v>
          </cell>
          <cell r="N12892">
            <v>3.8340000000000001</v>
          </cell>
          <cell r="O12892">
            <v>3.3929999999999998</v>
          </cell>
        </row>
        <row r="12893">
          <cell r="E12893" t="str">
            <v>OPT</v>
          </cell>
          <cell r="F12893" t="str">
            <v xml:space="preserve">OPT-V </v>
          </cell>
          <cell r="G12893">
            <v>889</v>
          </cell>
          <cell r="H12893" t="str">
            <v>OPT-V 889</v>
          </cell>
          <cell r="K12893" t="str">
            <v>Swanson,William Howard</v>
          </cell>
          <cell r="N12893" t="str">
            <v>NR</v>
          </cell>
          <cell r="O12893" t="str">
            <v>NR</v>
          </cell>
        </row>
        <row r="12894">
          <cell r="E12894" t="str">
            <v>OVST</v>
          </cell>
          <cell r="F12894" t="str">
            <v>OVST-A</v>
          </cell>
          <cell r="G12894">
            <v>496</v>
          </cell>
          <cell r="H12894" t="str">
            <v>OVST-A496</v>
          </cell>
          <cell r="K12894" t="str">
            <v>Sideli,Kathleen A</v>
          </cell>
          <cell r="N12894" t="str">
            <v>NR</v>
          </cell>
          <cell r="O12894" t="str">
            <v>NR</v>
          </cell>
        </row>
        <row r="12895">
          <cell r="E12895" t="str">
            <v>OVST</v>
          </cell>
          <cell r="F12895" t="str">
            <v>OVST-A</v>
          </cell>
          <cell r="G12895">
            <v>496</v>
          </cell>
          <cell r="H12895" t="str">
            <v>OVST-A496</v>
          </cell>
          <cell r="K12895" t="str">
            <v>Sideli,Kathleen A</v>
          </cell>
          <cell r="N12895" t="str">
            <v>NR</v>
          </cell>
          <cell r="O12895" t="str">
            <v>NR</v>
          </cell>
        </row>
        <row r="12896">
          <cell r="E12896" t="str">
            <v>OVST</v>
          </cell>
          <cell r="F12896" t="str">
            <v>OVST-A</v>
          </cell>
          <cell r="G12896">
            <v>496</v>
          </cell>
          <cell r="H12896" t="str">
            <v>OVST-A496</v>
          </cell>
          <cell r="K12896" t="str">
            <v>Sideli,Kathleen A</v>
          </cell>
          <cell r="N12896" t="str">
            <v>NR</v>
          </cell>
          <cell r="O12896" t="str">
            <v>NR</v>
          </cell>
        </row>
        <row r="12897">
          <cell r="E12897" t="str">
            <v>OVST</v>
          </cell>
          <cell r="F12897" t="str">
            <v>OVST-A</v>
          </cell>
          <cell r="G12897">
            <v>497</v>
          </cell>
          <cell r="H12897" t="str">
            <v>OVST-A497</v>
          </cell>
          <cell r="K12897" t="str">
            <v>Sideli,Kathleen A</v>
          </cell>
          <cell r="N12897" t="str">
            <v>NR</v>
          </cell>
          <cell r="O12897" t="str">
            <v>NR</v>
          </cell>
        </row>
        <row r="12898">
          <cell r="E12898" t="str">
            <v>OVST</v>
          </cell>
          <cell r="F12898" t="str">
            <v>OVST-A</v>
          </cell>
          <cell r="G12898">
            <v>497</v>
          </cell>
          <cell r="H12898" t="str">
            <v>OVST-A497</v>
          </cell>
          <cell r="K12898" t="str">
            <v>Sideli,Kathleen A</v>
          </cell>
          <cell r="N12898" t="str">
            <v>NR</v>
          </cell>
          <cell r="O12898" t="str">
            <v>NR</v>
          </cell>
        </row>
        <row r="12899">
          <cell r="E12899" t="str">
            <v>OVST</v>
          </cell>
          <cell r="F12899" t="str">
            <v>OVST-A</v>
          </cell>
          <cell r="G12899">
            <v>497</v>
          </cell>
          <cell r="H12899" t="str">
            <v>OVST-A497</v>
          </cell>
          <cell r="K12899" t="str">
            <v>Sideli,Kathleen A</v>
          </cell>
          <cell r="N12899" t="str">
            <v>NR</v>
          </cell>
          <cell r="O12899" t="str">
            <v>NR</v>
          </cell>
        </row>
        <row r="12900">
          <cell r="E12900" t="str">
            <v>OVST</v>
          </cell>
          <cell r="F12900" t="str">
            <v>OVST-B</v>
          </cell>
          <cell r="G12900">
            <v>396</v>
          </cell>
          <cell r="H12900" t="str">
            <v>OVST-B396</v>
          </cell>
          <cell r="K12900" t="str">
            <v>Sideli,Kathleen A</v>
          </cell>
          <cell r="N12900" t="str">
            <v>NR</v>
          </cell>
          <cell r="O12900" t="str">
            <v>NR</v>
          </cell>
        </row>
        <row r="12901">
          <cell r="E12901" t="str">
            <v>OVST</v>
          </cell>
          <cell r="F12901" t="str">
            <v>OVST-B</v>
          </cell>
          <cell r="G12901">
            <v>396</v>
          </cell>
          <cell r="H12901" t="str">
            <v>OVST-B396</v>
          </cell>
          <cell r="K12901" t="str">
            <v>Sideli,Kathleen A</v>
          </cell>
          <cell r="N12901" t="str">
            <v>NR</v>
          </cell>
          <cell r="O12901" t="str">
            <v>NR</v>
          </cell>
        </row>
        <row r="12902">
          <cell r="E12902" t="str">
            <v>OVST</v>
          </cell>
          <cell r="F12902" t="str">
            <v>OVST-B</v>
          </cell>
          <cell r="G12902">
            <v>396</v>
          </cell>
          <cell r="H12902" t="str">
            <v>OVST-B396</v>
          </cell>
          <cell r="K12902" t="str">
            <v>Sideli,Kathleen A</v>
          </cell>
          <cell r="N12902" t="str">
            <v>NR</v>
          </cell>
          <cell r="O12902" t="str">
            <v>NR</v>
          </cell>
        </row>
        <row r="12903">
          <cell r="E12903" t="str">
            <v>OVST</v>
          </cell>
          <cell r="F12903" t="str">
            <v>OVST-B</v>
          </cell>
          <cell r="G12903">
            <v>396</v>
          </cell>
          <cell r="H12903" t="str">
            <v>OVST-B396</v>
          </cell>
          <cell r="K12903" t="str">
            <v>Sideli,Kathleen A</v>
          </cell>
          <cell r="N12903" t="str">
            <v>NR</v>
          </cell>
          <cell r="O12903" t="str">
            <v>NR</v>
          </cell>
        </row>
        <row r="12904">
          <cell r="E12904" t="str">
            <v>OVST</v>
          </cell>
          <cell r="F12904" t="str">
            <v>OVST-B</v>
          </cell>
          <cell r="G12904">
            <v>496</v>
          </cell>
          <cell r="H12904" t="str">
            <v>OVST-B496</v>
          </cell>
          <cell r="K12904" t="str">
            <v>Sideli,Kathleen A</v>
          </cell>
          <cell r="N12904" t="str">
            <v>NR</v>
          </cell>
          <cell r="O12904" t="str">
            <v>NR</v>
          </cell>
        </row>
        <row r="12905">
          <cell r="E12905" t="str">
            <v>OVST</v>
          </cell>
          <cell r="F12905" t="str">
            <v>OVST-B</v>
          </cell>
          <cell r="G12905">
            <v>496</v>
          </cell>
          <cell r="H12905" t="str">
            <v>OVST-B496</v>
          </cell>
          <cell r="K12905" t="str">
            <v>Sideli,Kathleen A</v>
          </cell>
          <cell r="N12905" t="str">
            <v>NR</v>
          </cell>
          <cell r="O12905" t="str">
            <v>NR</v>
          </cell>
        </row>
        <row r="12906">
          <cell r="E12906" t="str">
            <v>OVST</v>
          </cell>
          <cell r="F12906" t="str">
            <v>OVST-B</v>
          </cell>
          <cell r="G12906">
            <v>496</v>
          </cell>
          <cell r="H12906" t="str">
            <v>OVST-B496</v>
          </cell>
          <cell r="K12906" t="str">
            <v>Sideli,Kathleen A</v>
          </cell>
          <cell r="N12906" t="str">
            <v>NR</v>
          </cell>
          <cell r="O12906" t="str">
            <v>NR</v>
          </cell>
        </row>
        <row r="12907">
          <cell r="E12907" t="str">
            <v>OVST</v>
          </cell>
          <cell r="F12907" t="str">
            <v>OVST-B</v>
          </cell>
          <cell r="G12907">
            <v>496</v>
          </cell>
          <cell r="H12907" t="str">
            <v>OVST-B496</v>
          </cell>
          <cell r="K12907" t="str">
            <v>Sideli,Kathleen A</v>
          </cell>
          <cell r="N12907" t="str">
            <v>NR</v>
          </cell>
          <cell r="O12907" t="str">
            <v>NR</v>
          </cell>
        </row>
        <row r="12908">
          <cell r="E12908" t="str">
            <v>OVST</v>
          </cell>
          <cell r="F12908" t="str">
            <v>OVST-B</v>
          </cell>
          <cell r="G12908">
            <v>496</v>
          </cell>
          <cell r="H12908" t="str">
            <v>OVST-B496</v>
          </cell>
          <cell r="K12908" t="str">
            <v>Sideli,Kathleen A</v>
          </cell>
          <cell r="N12908" t="str">
            <v>NR</v>
          </cell>
          <cell r="O12908" t="str">
            <v>NR</v>
          </cell>
        </row>
        <row r="12909">
          <cell r="E12909" t="str">
            <v>OVST</v>
          </cell>
          <cell r="F12909" t="str">
            <v>OVST-B</v>
          </cell>
          <cell r="G12909">
            <v>496</v>
          </cell>
          <cell r="H12909" t="str">
            <v>OVST-B496</v>
          </cell>
          <cell r="K12909" t="str">
            <v>Sideli,Kathleen A</v>
          </cell>
          <cell r="N12909" t="str">
            <v>NR</v>
          </cell>
          <cell r="O12909" t="str">
            <v>NR</v>
          </cell>
        </row>
        <row r="12910">
          <cell r="E12910" t="str">
            <v>OVST</v>
          </cell>
          <cell r="F12910" t="str">
            <v>OVST-B</v>
          </cell>
          <cell r="G12910">
            <v>496</v>
          </cell>
          <cell r="H12910" t="str">
            <v>OVST-B496</v>
          </cell>
          <cell r="K12910" t="str">
            <v>Sideli,Kathleen A</v>
          </cell>
          <cell r="N12910" t="str">
            <v>NR</v>
          </cell>
          <cell r="O12910" t="str">
            <v>NR</v>
          </cell>
        </row>
        <row r="12911">
          <cell r="E12911" t="str">
            <v>OVST</v>
          </cell>
          <cell r="F12911" t="str">
            <v>OVST-B</v>
          </cell>
          <cell r="G12911">
            <v>496</v>
          </cell>
          <cell r="H12911" t="str">
            <v>OVST-B496</v>
          </cell>
          <cell r="K12911" t="str">
            <v>Sideli,Kathleen A</v>
          </cell>
          <cell r="N12911" t="str">
            <v>NR</v>
          </cell>
          <cell r="O12911" t="str">
            <v>NR</v>
          </cell>
        </row>
        <row r="12912">
          <cell r="E12912" t="str">
            <v>OVST</v>
          </cell>
          <cell r="F12912" t="str">
            <v>OVST-B</v>
          </cell>
          <cell r="G12912">
            <v>497</v>
          </cell>
          <cell r="H12912" t="str">
            <v>OVST-B497</v>
          </cell>
          <cell r="K12912" t="str">
            <v>Sideli,Kathleen A</v>
          </cell>
          <cell r="N12912" t="str">
            <v>NR</v>
          </cell>
          <cell r="O12912" t="str">
            <v>NR</v>
          </cell>
        </row>
        <row r="12913">
          <cell r="E12913" t="str">
            <v>OVST</v>
          </cell>
          <cell r="F12913" t="str">
            <v>OVST-C</v>
          </cell>
          <cell r="G12913">
            <v>497</v>
          </cell>
          <cell r="H12913" t="str">
            <v>OVST-C497</v>
          </cell>
          <cell r="K12913" t="str">
            <v>Sideli,Kathleen A</v>
          </cell>
          <cell r="N12913" t="str">
            <v>NR</v>
          </cell>
          <cell r="O12913" t="str">
            <v>NR</v>
          </cell>
        </row>
        <row r="12914">
          <cell r="E12914" t="str">
            <v>OVST</v>
          </cell>
          <cell r="F12914" t="str">
            <v>OVST-C</v>
          </cell>
          <cell r="G12914">
            <v>497</v>
          </cell>
          <cell r="H12914" t="str">
            <v>OVST-C497</v>
          </cell>
          <cell r="K12914" t="str">
            <v>Sideli,Kathleen A</v>
          </cell>
          <cell r="N12914" t="str">
            <v>NR</v>
          </cell>
          <cell r="O12914" t="str">
            <v>NR</v>
          </cell>
        </row>
        <row r="12915">
          <cell r="E12915" t="str">
            <v>OVST</v>
          </cell>
          <cell r="F12915" t="str">
            <v>OVST-C</v>
          </cell>
          <cell r="G12915">
            <v>497</v>
          </cell>
          <cell r="H12915" t="str">
            <v>OVST-C497</v>
          </cell>
          <cell r="K12915" t="str">
            <v>Sideli,Kathleen A</v>
          </cell>
          <cell r="N12915" t="str">
            <v>NR</v>
          </cell>
          <cell r="O12915" t="str">
            <v>NR</v>
          </cell>
        </row>
        <row r="12916">
          <cell r="E12916" t="str">
            <v>OVST</v>
          </cell>
          <cell r="F12916" t="str">
            <v>OVST-C</v>
          </cell>
          <cell r="G12916">
            <v>498</v>
          </cell>
          <cell r="H12916" t="str">
            <v>OVST-C498</v>
          </cell>
          <cell r="K12916" t="str">
            <v>Sideli,Kathleen A</v>
          </cell>
          <cell r="N12916" t="str">
            <v>NR</v>
          </cell>
          <cell r="O12916" t="str">
            <v>NR</v>
          </cell>
        </row>
        <row r="12917">
          <cell r="E12917" t="str">
            <v>OVST</v>
          </cell>
          <cell r="F12917" t="str">
            <v>OVST-C</v>
          </cell>
          <cell r="G12917">
            <v>498</v>
          </cell>
          <cell r="H12917" t="str">
            <v>OVST-C498</v>
          </cell>
          <cell r="K12917" t="str">
            <v>Sideli,Kathleen A</v>
          </cell>
          <cell r="N12917" t="str">
            <v>NR</v>
          </cell>
          <cell r="O12917" t="str">
            <v>NR</v>
          </cell>
        </row>
        <row r="12918">
          <cell r="E12918" t="str">
            <v>OVST</v>
          </cell>
          <cell r="F12918" t="str">
            <v>OVST-C</v>
          </cell>
          <cell r="G12918">
            <v>498</v>
          </cell>
          <cell r="H12918" t="str">
            <v>OVST-C498</v>
          </cell>
          <cell r="K12918" t="str">
            <v>Sideli,Kathleen A</v>
          </cell>
          <cell r="N12918" t="str">
            <v>NR</v>
          </cell>
          <cell r="O12918" t="str">
            <v>NR</v>
          </cell>
        </row>
        <row r="12919">
          <cell r="E12919" t="str">
            <v>OVST</v>
          </cell>
          <cell r="F12919" t="str">
            <v>OVST-D</v>
          </cell>
          <cell r="G12919">
            <v>396</v>
          </cell>
          <cell r="H12919" t="str">
            <v>OVST-D396</v>
          </cell>
          <cell r="K12919" t="str">
            <v>Sideli,Kathleen A</v>
          </cell>
          <cell r="N12919" t="str">
            <v>NR</v>
          </cell>
          <cell r="O12919" t="str">
            <v>NR</v>
          </cell>
        </row>
        <row r="12920">
          <cell r="E12920" t="str">
            <v>OVST</v>
          </cell>
          <cell r="F12920" t="str">
            <v>OVST-D</v>
          </cell>
          <cell r="G12920">
            <v>396</v>
          </cell>
          <cell r="H12920" t="str">
            <v>OVST-D396</v>
          </cell>
          <cell r="K12920" t="str">
            <v>Sideli,Kathleen A</v>
          </cell>
          <cell r="N12920" t="str">
            <v>NR</v>
          </cell>
          <cell r="O12920" t="str">
            <v>NR</v>
          </cell>
        </row>
        <row r="12921">
          <cell r="E12921" t="str">
            <v>OVST</v>
          </cell>
          <cell r="F12921" t="str">
            <v>OVST-D</v>
          </cell>
          <cell r="G12921">
            <v>396</v>
          </cell>
          <cell r="H12921" t="str">
            <v>OVST-D396</v>
          </cell>
          <cell r="K12921" t="str">
            <v>Sideli,Kathleen A</v>
          </cell>
          <cell r="N12921" t="str">
            <v>NR</v>
          </cell>
          <cell r="O12921" t="str">
            <v>NR</v>
          </cell>
        </row>
        <row r="12922">
          <cell r="E12922" t="str">
            <v>OVST</v>
          </cell>
          <cell r="F12922" t="str">
            <v>OVST-D</v>
          </cell>
          <cell r="G12922">
            <v>497</v>
          </cell>
          <cell r="H12922" t="str">
            <v>OVST-D497</v>
          </cell>
          <cell r="K12922" t="str">
            <v>Sideli,Kathleen A</v>
          </cell>
          <cell r="N12922" t="str">
            <v>NR</v>
          </cell>
          <cell r="O12922" t="str">
            <v>NR</v>
          </cell>
        </row>
        <row r="12923">
          <cell r="E12923" t="str">
            <v>OVST</v>
          </cell>
          <cell r="F12923" t="str">
            <v>OVST-D</v>
          </cell>
          <cell r="G12923">
            <v>497</v>
          </cell>
          <cell r="H12923" t="str">
            <v>OVST-D497</v>
          </cell>
          <cell r="K12923" t="str">
            <v>Sideli,Kathleen A</v>
          </cell>
          <cell r="N12923" t="str">
            <v>NR</v>
          </cell>
          <cell r="O12923" t="str">
            <v>NR</v>
          </cell>
        </row>
        <row r="12924">
          <cell r="E12924" t="str">
            <v>OVST</v>
          </cell>
          <cell r="F12924" t="str">
            <v>OVST-D</v>
          </cell>
          <cell r="G12924">
            <v>498</v>
          </cell>
          <cell r="H12924" t="str">
            <v>OVST-D498</v>
          </cell>
          <cell r="K12924" t="str">
            <v>Sideli,Kathleen A</v>
          </cell>
          <cell r="N12924" t="str">
            <v>NR</v>
          </cell>
          <cell r="O12924" t="str">
            <v>NR</v>
          </cell>
        </row>
        <row r="12925">
          <cell r="E12925" t="str">
            <v>OVST</v>
          </cell>
          <cell r="F12925" t="str">
            <v>OVST-E</v>
          </cell>
          <cell r="G12925">
            <v>396</v>
          </cell>
          <cell r="H12925" t="str">
            <v>OVST-E396</v>
          </cell>
          <cell r="K12925" t="str">
            <v>Sideli,Kathleen A</v>
          </cell>
          <cell r="N12925" t="str">
            <v>NR</v>
          </cell>
          <cell r="O12925" t="str">
            <v>NR</v>
          </cell>
        </row>
        <row r="12926">
          <cell r="E12926" t="str">
            <v>OVST</v>
          </cell>
          <cell r="F12926" t="str">
            <v>OVST-E</v>
          </cell>
          <cell r="G12926">
            <v>396</v>
          </cell>
          <cell r="H12926" t="str">
            <v>OVST-E396</v>
          </cell>
          <cell r="K12926" t="str">
            <v>Sideli,Kathleen A</v>
          </cell>
          <cell r="N12926" t="str">
            <v>NR</v>
          </cell>
          <cell r="O12926" t="str">
            <v>NR</v>
          </cell>
        </row>
        <row r="12927">
          <cell r="E12927" t="str">
            <v>OVST</v>
          </cell>
          <cell r="F12927" t="str">
            <v>OVST-E</v>
          </cell>
          <cell r="G12927">
            <v>497</v>
          </cell>
          <cell r="H12927" t="str">
            <v>OVST-E497</v>
          </cell>
          <cell r="K12927" t="str">
            <v>Sideli,Kathleen A</v>
          </cell>
          <cell r="N12927" t="str">
            <v>NR</v>
          </cell>
          <cell r="O12927" t="str">
            <v>NR</v>
          </cell>
        </row>
        <row r="12928">
          <cell r="E12928" t="str">
            <v>OVST</v>
          </cell>
          <cell r="F12928" t="str">
            <v>OVST-E</v>
          </cell>
          <cell r="G12928">
            <v>497</v>
          </cell>
          <cell r="H12928" t="str">
            <v>OVST-E497</v>
          </cell>
          <cell r="K12928" t="str">
            <v>Sideli,Kathleen A</v>
          </cell>
          <cell r="N12928" t="str">
            <v>NR</v>
          </cell>
          <cell r="O12928" t="str">
            <v>NR</v>
          </cell>
        </row>
        <row r="12929">
          <cell r="E12929" t="str">
            <v>OVST</v>
          </cell>
          <cell r="F12929" t="str">
            <v>OVST-F</v>
          </cell>
          <cell r="G12929">
            <v>396</v>
          </cell>
          <cell r="H12929" t="str">
            <v>OVST-F396</v>
          </cell>
          <cell r="K12929" t="str">
            <v>Sideli,Kathleen A</v>
          </cell>
          <cell r="N12929" t="str">
            <v>NR</v>
          </cell>
          <cell r="O12929" t="str">
            <v>NR</v>
          </cell>
        </row>
        <row r="12930">
          <cell r="E12930" t="str">
            <v>OVST</v>
          </cell>
          <cell r="F12930" t="str">
            <v>OVST-F</v>
          </cell>
          <cell r="G12930">
            <v>498</v>
          </cell>
          <cell r="H12930" t="str">
            <v>OVST-F498</v>
          </cell>
          <cell r="K12930" t="str">
            <v>Sideli,Kathleen A</v>
          </cell>
          <cell r="N12930" t="str">
            <v>NR</v>
          </cell>
          <cell r="O12930" t="str">
            <v>NR</v>
          </cell>
        </row>
        <row r="12931">
          <cell r="E12931" t="str">
            <v>OVST</v>
          </cell>
          <cell r="F12931" t="str">
            <v>OVST-F</v>
          </cell>
          <cell r="G12931">
            <v>498</v>
          </cell>
          <cell r="H12931" t="str">
            <v>OVST-F498</v>
          </cell>
          <cell r="K12931" t="str">
            <v>Sideli,Kathleen A</v>
          </cell>
          <cell r="N12931" t="str">
            <v>NR</v>
          </cell>
          <cell r="O12931" t="str">
            <v>NR</v>
          </cell>
        </row>
        <row r="12932">
          <cell r="E12932" t="str">
            <v>OVST</v>
          </cell>
          <cell r="F12932" t="str">
            <v>OVST-F</v>
          </cell>
          <cell r="G12932">
            <v>596</v>
          </cell>
          <cell r="H12932" t="str">
            <v>OVST-F596</v>
          </cell>
          <cell r="K12932" t="str">
            <v>Sideli,Kathleen A</v>
          </cell>
          <cell r="N12932" t="str">
            <v>NR</v>
          </cell>
          <cell r="O12932" t="str">
            <v>NR</v>
          </cell>
        </row>
        <row r="12933">
          <cell r="E12933" t="str">
            <v>OVST</v>
          </cell>
          <cell r="F12933" t="str">
            <v>OVST-F</v>
          </cell>
          <cell r="G12933">
            <v>596</v>
          </cell>
          <cell r="H12933" t="str">
            <v>OVST-F596</v>
          </cell>
          <cell r="K12933" t="str">
            <v>Sideli,Kathleen A</v>
          </cell>
          <cell r="N12933" t="str">
            <v>NR</v>
          </cell>
          <cell r="O12933" t="str">
            <v>NR</v>
          </cell>
        </row>
        <row r="12934">
          <cell r="E12934" t="str">
            <v>OVST</v>
          </cell>
          <cell r="F12934" t="str">
            <v>OVST-G</v>
          </cell>
          <cell r="G12934">
            <v>496</v>
          </cell>
          <cell r="H12934" t="str">
            <v>OVST-G496</v>
          </cell>
          <cell r="K12934" t="str">
            <v>Sideli,Kathleen A</v>
          </cell>
          <cell r="N12934" t="str">
            <v>NR</v>
          </cell>
          <cell r="O12934" t="str">
            <v>NR</v>
          </cell>
        </row>
        <row r="12935">
          <cell r="E12935" t="str">
            <v>OVST</v>
          </cell>
          <cell r="F12935" t="str">
            <v>OVST-G</v>
          </cell>
          <cell r="G12935">
            <v>496</v>
          </cell>
          <cell r="H12935" t="str">
            <v>OVST-G496</v>
          </cell>
          <cell r="K12935" t="str">
            <v>Sideli,Kathleen A</v>
          </cell>
          <cell r="N12935" t="str">
            <v>NR</v>
          </cell>
          <cell r="O12935" t="str">
            <v>NR</v>
          </cell>
        </row>
        <row r="12936">
          <cell r="E12936" t="str">
            <v>OVST</v>
          </cell>
          <cell r="F12936" t="str">
            <v>OVST-G</v>
          </cell>
          <cell r="G12936">
            <v>497</v>
          </cell>
          <cell r="H12936" t="str">
            <v>OVST-G497</v>
          </cell>
          <cell r="K12936" t="str">
            <v>Sideli,Kathleen A</v>
          </cell>
          <cell r="N12936" t="str">
            <v>NR</v>
          </cell>
          <cell r="O12936" t="str">
            <v>NR</v>
          </cell>
        </row>
        <row r="12937">
          <cell r="E12937" t="str">
            <v>OVST</v>
          </cell>
          <cell r="F12937" t="str">
            <v>OVST-G</v>
          </cell>
          <cell r="G12937">
            <v>497</v>
          </cell>
          <cell r="H12937" t="str">
            <v>OVST-G497</v>
          </cell>
          <cell r="K12937" t="str">
            <v>Sideli,Kathleen A</v>
          </cell>
          <cell r="N12937" t="str">
            <v>NR</v>
          </cell>
          <cell r="O12937" t="str">
            <v>NR</v>
          </cell>
        </row>
        <row r="12938">
          <cell r="E12938" t="str">
            <v>OVST</v>
          </cell>
          <cell r="F12938" t="str">
            <v>OVST-H</v>
          </cell>
          <cell r="G12938">
            <v>396</v>
          </cell>
          <cell r="H12938" t="str">
            <v>OVST-H396</v>
          </cell>
          <cell r="K12938" t="str">
            <v>Sideli,Kathleen A</v>
          </cell>
          <cell r="N12938" t="str">
            <v>NR</v>
          </cell>
          <cell r="O12938" t="str">
            <v>NR</v>
          </cell>
        </row>
        <row r="12939">
          <cell r="E12939" t="str">
            <v>OVST</v>
          </cell>
          <cell r="F12939" t="str">
            <v>OVST-H</v>
          </cell>
          <cell r="G12939">
            <v>396</v>
          </cell>
          <cell r="H12939" t="str">
            <v>OVST-H396</v>
          </cell>
          <cell r="K12939" t="str">
            <v>Sideli,Kathleen A</v>
          </cell>
          <cell r="N12939" t="str">
            <v>NR</v>
          </cell>
          <cell r="O12939" t="str">
            <v>NR</v>
          </cell>
        </row>
        <row r="12940">
          <cell r="E12940" t="str">
            <v>OVST</v>
          </cell>
          <cell r="F12940" t="str">
            <v>OVST-H</v>
          </cell>
          <cell r="G12940">
            <v>498</v>
          </cell>
          <cell r="H12940" t="str">
            <v>OVST-H498</v>
          </cell>
          <cell r="K12940" t="str">
            <v>Sideli,Kathleen A</v>
          </cell>
          <cell r="N12940" t="str">
            <v>NR</v>
          </cell>
          <cell r="O12940" t="str">
            <v>NR</v>
          </cell>
        </row>
        <row r="12941">
          <cell r="E12941" t="str">
            <v>OVST</v>
          </cell>
          <cell r="F12941" t="str">
            <v>OVST-H</v>
          </cell>
          <cell r="G12941">
            <v>498</v>
          </cell>
          <cell r="H12941" t="str">
            <v>OVST-H498</v>
          </cell>
          <cell r="K12941" t="str">
            <v>Sideli,Kathleen A</v>
          </cell>
          <cell r="N12941" t="str">
            <v>NR</v>
          </cell>
          <cell r="O12941" t="str">
            <v>NR</v>
          </cell>
        </row>
        <row r="12942">
          <cell r="E12942" t="str">
            <v>OVST</v>
          </cell>
          <cell r="F12942" t="str">
            <v>OVST-H</v>
          </cell>
          <cell r="G12942">
            <v>499</v>
          </cell>
          <cell r="H12942" t="str">
            <v>OVST-H499</v>
          </cell>
          <cell r="K12942" t="str">
            <v>Sideli,Kathleen A</v>
          </cell>
          <cell r="N12942" t="str">
            <v>NR</v>
          </cell>
          <cell r="O12942" t="str">
            <v>NR</v>
          </cell>
        </row>
        <row r="12943">
          <cell r="E12943" t="str">
            <v>OVST</v>
          </cell>
          <cell r="F12943" t="str">
            <v>OVST-H</v>
          </cell>
          <cell r="G12943">
            <v>499</v>
          </cell>
          <cell r="H12943" t="str">
            <v>OVST-H499</v>
          </cell>
          <cell r="K12943" t="str">
            <v>Sideli,Kathleen A</v>
          </cell>
          <cell r="N12943" t="str">
            <v>NR</v>
          </cell>
          <cell r="O12943" t="str">
            <v>NR</v>
          </cell>
        </row>
        <row r="12944">
          <cell r="E12944" t="str">
            <v>OVST</v>
          </cell>
          <cell r="F12944" t="str">
            <v>OVST-I</v>
          </cell>
          <cell r="G12944">
            <v>396</v>
          </cell>
          <cell r="H12944" t="str">
            <v>OVST-I396</v>
          </cell>
          <cell r="K12944" t="str">
            <v>Sideli,Kathleen A</v>
          </cell>
          <cell r="N12944" t="str">
            <v>NR</v>
          </cell>
          <cell r="O12944" t="str">
            <v>NR</v>
          </cell>
        </row>
        <row r="12945">
          <cell r="E12945" t="str">
            <v>OVST</v>
          </cell>
          <cell r="F12945" t="str">
            <v>OVST-I</v>
          </cell>
          <cell r="G12945">
            <v>496</v>
          </cell>
          <cell r="H12945" t="str">
            <v>OVST-I496</v>
          </cell>
          <cell r="K12945" t="str">
            <v>Sideli,Kathleen A</v>
          </cell>
          <cell r="N12945" t="str">
            <v>NR</v>
          </cell>
          <cell r="O12945" t="str">
            <v>NR</v>
          </cell>
        </row>
        <row r="12946">
          <cell r="E12946" t="str">
            <v>OVST</v>
          </cell>
          <cell r="F12946" t="str">
            <v>OVST-I</v>
          </cell>
          <cell r="G12946">
            <v>496</v>
          </cell>
          <cell r="H12946" t="str">
            <v>OVST-I496</v>
          </cell>
          <cell r="K12946" t="str">
            <v>Sideli,Kathleen A</v>
          </cell>
          <cell r="N12946" t="str">
            <v>NR</v>
          </cell>
          <cell r="O12946" t="str">
            <v>NR</v>
          </cell>
        </row>
        <row r="12947">
          <cell r="E12947" t="str">
            <v>OVST</v>
          </cell>
          <cell r="F12947" t="str">
            <v>OVST-I</v>
          </cell>
          <cell r="G12947">
            <v>497</v>
          </cell>
          <cell r="H12947" t="str">
            <v>OVST-I497</v>
          </cell>
          <cell r="K12947" t="str">
            <v>Sideli,Kathleen A</v>
          </cell>
          <cell r="N12947" t="str">
            <v>NR</v>
          </cell>
          <cell r="O12947" t="str">
            <v>NR</v>
          </cell>
        </row>
        <row r="12948">
          <cell r="E12948" t="str">
            <v>OVST</v>
          </cell>
          <cell r="F12948" t="str">
            <v>OVST-I</v>
          </cell>
          <cell r="G12948">
            <v>497</v>
          </cell>
          <cell r="H12948" t="str">
            <v>OVST-I497</v>
          </cell>
          <cell r="K12948" t="str">
            <v>Sideli,Kathleen A</v>
          </cell>
          <cell r="N12948" t="str">
            <v>NR</v>
          </cell>
          <cell r="O12948" t="str">
            <v>NR</v>
          </cell>
        </row>
        <row r="12949">
          <cell r="E12949" t="str">
            <v>OVST</v>
          </cell>
          <cell r="F12949" t="str">
            <v>OVST-I</v>
          </cell>
          <cell r="G12949">
            <v>497</v>
          </cell>
          <cell r="H12949" t="str">
            <v>OVST-I497</v>
          </cell>
          <cell r="K12949" t="str">
            <v>Sideli,Kathleen A</v>
          </cell>
          <cell r="N12949" t="str">
            <v>NR</v>
          </cell>
          <cell r="O12949" t="str">
            <v>NR</v>
          </cell>
        </row>
        <row r="12950">
          <cell r="E12950" t="str">
            <v>OVST</v>
          </cell>
          <cell r="F12950" t="str">
            <v>OVST-I</v>
          </cell>
          <cell r="G12950">
            <v>497</v>
          </cell>
          <cell r="H12950" t="str">
            <v>OVST-I497</v>
          </cell>
          <cell r="K12950" t="str">
            <v>Sideli,Kathleen A</v>
          </cell>
          <cell r="N12950" t="str">
            <v>NR</v>
          </cell>
          <cell r="O12950" t="str">
            <v>NR</v>
          </cell>
        </row>
        <row r="12951">
          <cell r="E12951" t="str">
            <v>OVST</v>
          </cell>
          <cell r="F12951" t="str">
            <v>OVST-I</v>
          </cell>
          <cell r="G12951">
            <v>498</v>
          </cell>
          <cell r="H12951" t="str">
            <v>OVST-I498</v>
          </cell>
          <cell r="K12951" t="str">
            <v>Sideli,Kathleen A</v>
          </cell>
          <cell r="N12951" t="str">
            <v>NR</v>
          </cell>
          <cell r="O12951" t="str">
            <v>NR</v>
          </cell>
        </row>
        <row r="12952">
          <cell r="E12952" t="str">
            <v>OVST</v>
          </cell>
          <cell r="F12952" t="str">
            <v>OVST-I</v>
          </cell>
          <cell r="G12952">
            <v>498</v>
          </cell>
          <cell r="H12952" t="str">
            <v>OVST-I498</v>
          </cell>
          <cell r="K12952" t="str">
            <v>Sideli,Kathleen A</v>
          </cell>
          <cell r="N12952" t="str">
            <v>NR</v>
          </cell>
          <cell r="O12952" t="str">
            <v>NR</v>
          </cell>
        </row>
        <row r="12953">
          <cell r="E12953" t="str">
            <v>OVST</v>
          </cell>
          <cell r="F12953" t="str">
            <v>OVST-J</v>
          </cell>
          <cell r="G12953">
            <v>396</v>
          </cell>
          <cell r="H12953" t="str">
            <v>OVST-J396</v>
          </cell>
          <cell r="K12953" t="str">
            <v>Sideli,Kathleen A</v>
          </cell>
          <cell r="N12953" t="str">
            <v>NR</v>
          </cell>
          <cell r="O12953" t="str">
            <v>NR</v>
          </cell>
        </row>
        <row r="12954">
          <cell r="E12954" t="str">
            <v>OVST</v>
          </cell>
          <cell r="F12954" t="str">
            <v>OVST-J</v>
          </cell>
          <cell r="G12954">
            <v>396</v>
          </cell>
          <cell r="H12954" t="str">
            <v>OVST-J396</v>
          </cell>
          <cell r="K12954" t="str">
            <v>Sideli,Kathleen A</v>
          </cell>
          <cell r="N12954" t="str">
            <v>NR</v>
          </cell>
          <cell r="O12954" t="str">
            <v>NR</v>
          </cell>
        </row>
        <row r="12955">
          <cell r="E12955" t="str">
            <v>OVST</v>
          </cell>
          <cell r="F12955" t="str">
            <v>OVST-J</v>
          </cell>
          <cell r="G12955">
            <v>396</v>
          </cell>
          <cell r="H12955" t="str">
            <v>OVST-J396</v>
          </cell>
          <cell r="K12955" t="str">
            <v>Sideli,Kathleen A</v>
          </cell>
          <cell r="N12955" t="str">
            <v>NR</v>
          </cell>
          <cell r="O12955" t="str">
            <v>NR</v>
          </cell>
        </row>
        <row r="12956">
          <cell r="E12956" t="str">
            <v>OVST</v>
          </cell>
          <cell r="F12956" t="str">
            <v>OVST-J</v>
          </cell>
          <cell r="G12956">
            <v>396</v>
          </cell>
          <cell r="H12956" t="str">
            <v>OVST-J396</v>
          </cell>
          <cell r="K12956" t="str">
            <v>Sideli,Kathleen A</v>
          </cell>
          <cell r="N12956" t="str">
            <v>NR</v>
          </cell>
          <cell r="O12956" t="str">
            <v>NR</v>
          </cell>
        </row>
        <row r="12957">
          <cell r="E12957" t="str">
            <v>OVST</v>
          </cell>
          <cell r="F12957" t="str">
            <v>OVST-J</v>
          </cell>
          <cell r="G12957">
            <v>396</v>
          </cell>
          <cell r="H12957" t="str">
            <v>OVST-J396</v>
          </cell>
          <cell r="K12957" t="str">
            <v>Sideli,Kathleen A</v>
          </cell>
          <cell r="N12957" t="str">
            <v>NR</v>
          </cell>
          <cell r="O12957" t="str">
            <v>NR</v>
          </cell>
        </row>
        <row r="12958">
          <cell r="E12958" t="str">
            <v>OVST</v>
          </cell>
          <cell r="F12958" t="str">
            <v>OVST-J</v>
          </cell>
          <cell r="G12958">
            <v>396</v>
          </cell>
          <cell r="H12958" t="str">
            <v>OVST-J396</v>
          </cell>
          <cell r="K12958" t="str">
            <v>Sideli,Kathleen A</v>
          </cell>
          <cell r="N12958" t="str">
            <v>NR</v>
          </cell>
          <cell r="O12958" t="str">
            <v>NR</v>
          </cell>
        </row>
        <row r="12959">
          <cell r="E12959" t="str">
            <v>OVST</v>
          </cell>
          <cell r="F12959" t="str">
            <v>OVST-J</v>
          </cell>
          <cell r="G12959">
            <v>496</v>
          </cell>
          <cell r="H12959" t="str">
            <v>OVST-J496</v>
          </cell>
          <cell r="K12959" t="str">
            <v>Sideli,Kathleen A</v>
          </cell>
          <cell r="N12959" t="str">
            <v>NR</v>
          </cell>
          <cell r="O12959" t="str">
            <v>NR</v>
          </cell>
        </row>
        <row r="12960">
          <cell r="E12960" t="str">
            <v>OVST</v>
          </cell>
          <cell r="F12960" t="str">
            <v>OVST-J</v>
          </cell>
          <cell r="G12960">
            <v>496</v>
          </cell>
          <cell r="H12960" t="str">
            <v>OVST-J496</v>
          </cell>
          <cell r="K12960" t="str">
            <v>Sideli,Kathleen A</v>
          </cell>
          <cell r="N12960" t="str">
            <v>NR</v>
          </cell>
          <cell r="O12960" t="str">
            <v>NR</v>
          </cell>
        </row>
        <row r="12961">
          <cell r="E12961" t="str">
            <v>OVST</v>
          </cell>
          <cell r="F12961" t="str">
            <v>OVST-J</v>
          </cell>
          <cell r="G12961">
            <v>496</v>
          </cell>
          <cell r="H12961" t="str">
            <v>OVST-J496</v>
          </cell>
          <cell r="K12961" t="str">
            <v>Sideli,Kathleen A</v>
          </cell>
          <cell r="N12961" t="str">
            <v>NR</v>
          </cell>
          <cell r="O12961" t="str">
            <v>NR</v>
          </cell>
        </row>
        <row r="12962">
          <cell r="E12962" t="str">
            <v>OVST</v>
          </cell>
          <cell r="F12962" t="str">
            <v>OVST-J</v>
          </cell>
          <cell r="G12962">
            <v>498</v>
          </cell>
          <cell r="H12962" t="str">
            <v>OVST-J498</v>
          </cell>
          <cell r="K12962" t="str">
            <v>Sideli,Kathleen A</v>
          </cell>
          <cell r="N12962" t="str">
            <v>NR</v>
          </cell>
          <cell r="O12962" t="str">
            <v>NR</v>
          </cell>
        </row>
        <row r="12963">
          <cell r="E12963" t="str">
            <v>OVST</v>
          </cell>
          <cell r="F12963" t="str">
            <v>OVST-J</v>
          </cell>
          <cell r="G12963">
            <v>498</v>
          </cell>
          <cell r="H12963" t="str">
            <v>OVST-J498</v>
          </cell>
          <cell r="K12963" t="str">
            <v>Sideli,Kathleen A</v>
          </cell>
          <cell r="N12963" t="str">
            <v>NR</v>
          </cell>
          <cell r="O12963" t="str">
            <v>NR</v>
          </cell>
        </row>
        <row r="12964">
          <cell r="E12964" t="str">
            <v>OVST</v>
          </cell>
          <cell r="F12964" t="str">
            <v>OVST-K</v>
          </cell>
          <cell r="G12964">
            <v>396</v>
          </cell>
          <cell r="H12964" t="str">
            <v>OVST-K396</v>
          </cell>
          <cell r="K12964" t="str">
            <v>Sideli,Kathleen A</v>
          </cell>
          <cell r="N12964" t="str">
            <v>NR</v>
          </cell>
          <cell r="O12964" t="str">
            <v>NR</v>
          </cell>
        </row>
        <row r="12965">
          <cell r="E12965" t="str">
            <v>OVST</v>
          </cell>
          <cell r="F12965" t="str">
            <v>OVST-K</v>
          </cell>
          <cell r="G12965">
            <v>496</v>
          </cell>
          <cell r="H12965" t="str">
            <v>OVST-K496</v>
          </cell>
          <cell r="K12965" t="str">
            <v>Sideli,Kathleen A</v>
          </cell>
          <cell r="N12965" t="str">
            <v>NR</v>
          </cell>
          <cell r="O12965" t="str">
            <v>NR</v>
          </cell>
        </row>
        <row r="12966">
          <cell r="E12966" t="str">
            <v>OVST</v>
          </cell>
          <cell r="F12966" t="str">
            <v>OVST-K</v>
          </cell>
          <cell r="G12966">
            <v>496</v>
          </cell>
          <cell r="H12966" t="str">
            <v>OVST-K496</v>
          </cell>
          <cell r="K12966" t="str">
            <v>Sideli,Kathleen A</v>
          </cell>
          <cell r="N12966" t="str">
            <v>NR</v>
          </cell>
          <cell r="O12966" t="str">
            <v>NR</v>
          </cell>
        </row>
        <row r="12967">
          <cell r="E12967" t="str">
            <v>OVST</v>
          </cell>
          <cell r="F12967" t="str">
            <v>OVST-K</v>
          </cell>
          <cell r="G12967">
            <v>496</v>
          </cell>
          <cell r="H12967" t="str">
            <v>OVST-K496</v>
          </cell>
          <cell r="K12967" t="str">
            <v>Sideli,Kathleen A</v>
          </cell>
          <cell r="N12967" t="str">
            <v>NR</v>
          </cell>
          <cell r="O12967" t="str">
            <v>NR</v>
          </cell>
        </row>
        <row r="12968">
          <cell r="E12968" t="str">
            <v>OVST</v>
          </cell>
          <cell r="F12968" t="str">
            <v>OVST-K</v>
          </cell>
          <cell r="G12968">
            <v>496</v>
          </cell>
          <cell r="H12968" t="str">
            <v>OVST-K496</v>
          </cell>
          <cell r="K12968" t="str">
            <v>Sideli,Kathleen A</v>
          </cell>
          <cell r="N12968" t="str">
            <v>NR</v>
          </cell>
          <cell r="O12968" t="str">
            <v>NR</v>
          </cell>
        </row>
        <row r="12969">
          <cell r="E12969" t="str">
            <v>OVST</v>
          </cell>
          <cell r="F12969" t="str">
            <v>OVST-L</v>
          </cell>
          <cell r="G12969">
            <v>496</v>
          </cell>
          <cell r="H12969" t="str">
            <v>OVST-L496</v>
          </cell>
          <cell r="K12969" t="str">
            <v>Sideli,Kathleen A</v>
          </cell>
          <cell r="N12969" t="str">
            <v>NR</v>
          </cell>
          <cell r="O12969" t="str">
            <v>NR</v>
          </cell>
        </row>
        <row r="12970">
          <cell r="E12970" t="str">
            <v>OVST</v>
          </cell>
          <cell r="F12970" t="str">
            <v>OVST-L</v>
          </cell>
          <cell r="G12970">
            <v>496</v>
          </cell>
          <cell r="H12970" t="str">
            <v>OVST-L496</v>
          </cell>
          <cell r="K12970" t="str">
            <v>Sideli,Kathleen A</v>
          </cell>
          <cell r="N12970" t="str">
            <v>NR</v>
          </cell>
          <cell r="O12970" t="str">
            <v>NR</v>
          </cell>
        </row>
        <row r="12971">
          <cell r="E12971" t="str">
            <v>OVST</v>
          </cell>
          <cell r="F12971" t="str">
            <v>OVST-L</v>
          </cell>
          <cell r="G12971">
            <v>496</v>
          </cell>
          <cell r="H12971" t="str">
            <v>OVST-L496</v>
          </cell>
          <cell r="K12971" t="str">
            <v>Sideli,Kathleen A</v>
          </cell>
          <cell r="N12971" t="str">
            <v>NR</v>
          </cell>
          <cell r="O12971" t="str">
            <v>NR</v>
          </cell>
        </row>
        <row r="12972">
          <cell r="E12972" t="str">
            <v>OVST</v>
          </cell>
          <cell r="F12972" t="str">
            <v>OVST-L</v>
          </cell>
          <cell r="G12972">
            <v>497</v>
          </cell>
          <cell r="H12972" t="str">
            <v>OVST-L497</v>
          </cell>
          <cell r="K12972" t="str">
            <v>Sideli,Kathleen A</v>
          </cell>
          <cell r="N12972" t="str">
            <v>NR</v>
          </cell>
          <cell r="O12972" t="str">
            <v>NR</v>
          </cell>
        </row>
        <row r="12973">
          <cell r="E12973" t="str">
            <v>OVST</v>
          </cell>
          <cell r="F12973" t="str">
            <v>OVST-L</v>
          </cell>
          <cell r="G12973">
            <v>497</v>
          </cell>
          <cell r="H12973" t="str">
            <v>OVST-L497</v>
          </cell>
          <cell r="K12973" t="str">
            <v>Sideli,Kathleen A</v>
          </cell>
          <cell r="N12973" t="str">
            <v>NR</v>
          </cell>
          <cell r="O12973" t="str">
            <v>NR</v>
          </cell>
        </row>
        <row r="12974">
          <cell r="E12974" t="str">
            <v>OVST</v>
          </cell>
          <cell r="F12974" t="str">
            <v>OVST-L</v>
          </cell>
          <cell r="G12974">
            <v>499</v>
          </cell>
          <cell r="H12974" t="str">
            <v>OVST-L499</v>
          </cell>
          <cell r="K12974" t="str">
            <v>Sideli,Kathleen A</v>
          </cell>
          <cell r="N12974" t="str">
            <v>NR</v>
          </cell>
          <cell r="O12974" t="str">
            <v>NR</v>
          </cell>
        </row>
        <row r="12975">
          <cell r="E12975" t="str">
            <v>OVST</v>
          </cell>
          <cell r="F12975" t="str">
            <v>OVST-M</v>
          </cell>
          <cell r="G12975">
            <v>496</v>
          </cell>
          <cell r="H12975" t="str">
            <v>OVST-M496</v>
          </cell>
          <cell r="K12975" t="str">
            <v>Sideli,Kathleen A</v>
          </cell>
          <cell r="N12975" t="str">
            <v>NR</v>
          </cell>
          <cell r="O12975" t="str">
            <v>NR</v>
          </cell>
        </row>
        <row r="12976">
          <cell r="E12976" t="str">
            <v>OVST</v>
          </cell>
          <cell r="F12976" t="str">
            <v>OVST-M</v>
          </cell>
          <cell r="G12976">
            <v>496</v>
          </cell>
          <cell r="H12976" t="str">
            <v>OVST-M496</v>
          </cell>
          <cell r="K12976" t="str">
            <v>Sideli,Kathleen A</v>
          </cell>
          <cell r="N12976" t="str">
            <v>NR</v>
          </cell>
          <cell r="O12976" t="str">
            <v>NR</v>
          </cell>
        </row>
        <row r="12977">
          <cell r="E12977" t="str">
            <v>OVST</v>
          </cell>
          <cell r="F12977" t="str">
            <v>OVST-M</v>
          </cell>
          <cell r="G12977">
            <v>496</v>
          </cell>
          <cell r="H12977" t="str">
            <v>OVST-M496</v>
          </cell>
          <cell r="K12977" t="str">
            <v>Sideli,Kathleen A</v>
          </cell>
          <cell r="N12977" t="str">
            <v>NR</v>
          </cell>
          <cell r="O12977" t="str">
            <v>NR</v>
          </cell>
        </row>
        <row r="12978">
          <cell r="E12978" t="str">
            <v>OVST</v>
          </cell>
          <cell r="F12978" t="str">
            <v>OVST-M</v>
          </cell>
          <cell r="G12978">
            <v>497</v>
          </cell>
          <cell r="H12978" t="str">
            <v>OVST-M497</v>
          </cell>
          <cell r="K12978" t="str">
            <v>Sideli,Kathleen A</v>
          </cell>
          <cell r="N12978" t="str">
            <v>NR</v>
          </cell>
          <cell r="O12978" t="str">
            <v>NR</v>
          </cell>
        </row>
        <row r="12979">
          <cell r="E12979" t="str">
            <v>OVST</v>
          </cell>
          <cell r="F12979" t="str">
            <v>OVST-M</v>
          </cell>
          <cell r="G12979">
            <v>498</v>
          </cell>
          <cell r="H12979" t="str">
            <v>OVST-M498</v>
          </cell>
          <cell r="K12979" t="str">
            <v>Sideli,Kathleen A</v>
          </cell>
          <cell r="N12979" t="str">
            <v>NR</v>
          </cell>
          <cell r="O12979" t="str">
            <v>NR</v>
          </cell>
        </row>
        <row r="12980">
          <cell r="E12980" t="str">
            <v>OVST</v>
          </cell>
          <cell r="F12980" t="str">
            <v>OVST-M</v>
          </cell>
          <cell r="G12980">
            <v>498</v>
          </cell>
          <cell r="H12980" t="str">
            <v>OVST-M498</v>
          </cell>
          <cell r="K12980" t="str">
            <v>Sideli,Kathleen A</v>
          </cell>
          <cell r="N12980" t="str">
            <v>NR</v>
          </cell>
          <cell r="O12980" t="str">
            <v>NR</v>
          </cell>
        </row>
        <row r="12981">
          <cell r="E12981" t="str">
            <v>OVST</v>
          </cell>
          <cell r="F12981" t="str">
            <v>OVST-N</v>
          </cell>
          <cell r="G12981">
            <v>496</v>
          </cell>
          <cell r="H12981" t="str">
            <v>OVST-N496</v>
          </cell>
          <cell r="K12981" t="str">
            <v>Sideli,Kathleen A</v>
          </cell>
          <cell r="N12981" t="str">
            <v>NR</v>
          </cell>
          <cell r="O12981" t="str">
            <v>NR</v>
          </cell>
        </row>
        <row r="12982">
          <cell r="E12982" t="str">
            <v>OVST</v>
          </cell>
          <cell r="F12982" t="str">
            <v>OVST-N</v>
          </cell>
          <cell r="G12982">
            <v>496</v>
          </cell>
          <cell r="H12982" t="str">
            <v>OVST-N496</v>
          </cell>
          <cell r="K12982" t="str">
            <v>Sideli,Kathleen A</v>
          </cell>
          <cell r="N12982" t="str">
            <v>NR</v>
          </cell>
          <cell r="O12982" t="str">
            <v>NR</v>
          </cell>
        </row>
        <row r="12983">
          <cell r="E12983" t="str">
            <v>OVST</v>
          </cell>
          <cell r="F12983" t="str">
            <v>OVST-O</v>
          </cell>
          <cell r="G12983">
            <v>496</v>
          </cell>
          <cell r="H12983" t="str">
            <v>OVST-O496</v>
          </cell>
          <cell r="K12983" t="str">
            <v>Sideli,Kathleen A</v>
          </cell>
          <cell r="N12983" t="str">
            <v>NR</v>
          </cell>
          <cell r="O12983" t="str">
            <v>NR</v>
          </cell>
        </row>
        <row r="12984">
          <cell r="E12984" t="str">
            <v>OVST</v>
          </cell>
          <cell r="F12984" t="str">
            <v>OVST-O</v>
          </cell>
          <cell r="G12984">
            <v>496</v>
          </cell>
          <cell r="H12984" t="str">
            <v>OVST-O496</v>
          </cell>
          <cell r="K12984" t="str">
            <v>Sideli,Kathleen A</v>
          </cell>
          <cell r="N12984" t="str">
            <v>NR</v>
          </cell>
          <cell r="O12984" t="str">
            <v>NR</v>
          </cell>
        </row>
        <row r="12985">
          <cell r="E12985" t="str">
            <v>OVST</v>
          </cell>
          <cell r="F12985" t="str">
            <v>OVST-O</v>
          </cell>
          <cell r="G12985">
            <v>498</v>
          </cell>
          <cell r="H12985" t="str">
            <v>OVST-O498</v>
          </cell>
          <cell r="K12985" t="str">
            <v>Sideli,Kathleen A</v>
          </cell>
          <cell r="N12985" t="str">
            <v>NR</v>
          </cell>
          <cell r="O12985" t="str">
            <v>NR</v>
          </cell>
        </row>
        <row r="12986">
          <cell r="E12986" t="str">
            <v>OVST</v>
          </cell>
          <cell r="F12986" t="str">
            <v>OVST-O</v>
          </cell>
          <cell r="G12986">
            <v>499</v>
          </cell>
          <cell r="H12986" t="str">
            <v>OVST-O499</v>
          </cell>
          <cell r="K12986" t="str">
            <v>Sideli,Kathleen A</v>
          </cell>
          <cell r="N12986" t="str">
            <v>NR</v>
          </cell>
          <cell r="O12986" t="str">
            <v>NR</v>
          </cell>
        </row>
        <row r="12987">
          <cell r="E12987" t="str">
            <v>OVST</v>
          </cell>
          <cell r="F12987" t="str">
            <v>OVST-P</v>
          </cell>
          <cell r="G12987">
            <v>396</v>
          </cell>
          <cell r="H12987" t="str">
            <v>OVST-P396</v>
          </cell>
          <cell r="K12987" t="str">
            <v>Sideli,Kathleen A</v>
          </cell>
          <cell r="N12987" t="str">
            <v>NR</v>
          </cell>
          <cell r="O12987" t="str">
            <v>NR</v>
          </cell>
        </row>
        <row r="12988">
          <cell r="E12988" t="str">
            <v>OVST</v>
          </cell>
          <cell r="F12988" t="str">
            <v>OVST-P</v>
          </cell>
          <cell r="G12988">
            <v>497</v>
          </cell>
          <cell r="H12988" t="str">
            <v>OVST-P497</v>
          </cell>
          <cell r="K12988" t="str">
            <v>Sideli,Kathleen A</v>
          </cell>
          <cell r="N12988" t="str">
            <v>NR</v>
          </cell>
          <cell r="O12988" t="str">
            <v>NR</v>
          </cell>
        </row>
        <row r="12989">
          <cell r="E12989" t="str">
            <v>OVST</v>
          </cell>
          <cell r="F12989" t="str">
            <v>OVST-P</v>
          </cell>
          <cell r="G12989">
            <v>497</v>
          </cell>
          <cell r="H12989" t="str">
            <v>OVST-P497</v>
          </cell>
          <cell r="K12989" t="str">
            <v>Sideli,Kathleen A</v>
          </cell>
          <cell r="N12989" t="str">
            <v>NR</v>
          </cell>
          <cell r="O12989" t="str">
            <v>NR</v>
          </cell>
        </row>
        <row r="12990">
          <cell r="E12990" t="str">
            <v>OVST</v>
          </cell>
          <cell r="F12990" t="str">
            <v>OVST-P</v>
          </cell>
          <cell r="G12990">
            <v>499</v>
          </cell>
          <cell r="H12990" t="str">
            <v>OVST-P499</v>
          </cell>
          <cell r="K12990" t="str">
            <v>Sideli,Kathleen A</v>
          </cell>
          <cell r="N12990" t="str">
            <v>NR</v>
          </cell>
          <cell r="O12990" t="str">
            <v>NR</v>
          </cell>
        </row>
        <row r="12991">
          <cell r="E12991" t="str">
            <v>OVST</v>
          </cell>
          <cell r="F12991" t="str">
            <v>OVST-Q</v>
          </cell>
          <cell r="G12991">
            <v>497</v>
          </cell>
          <cell r="H12991" t="str">
            <v>OVST-Q497</v>
          </cell>
          <cell r="K12991" t="str">
            <v>Sideli,Kathleen A</v>
          </cell>
          <cell r="N12991" t="str">
            <v>NR</v>
          </cell>
          <cell r="O12991" t="str">
            <v>NR</v>
          </cell>
        </row>
        <row r="12992">
          <cell r="E12992" t="str">
            <v>OVST</v>
          </cell>
          <cell r="F12992" t="str">
            <v>OVST-R</v>
          </cell>
          <cell r="G12992">
            <v>396</v>
          </cell>
          <cell r="H12992" t="str">
            <v>OVST-R396</v>
          </cell>
          <cell r="K12992" t="str">
            <v>Sideli,Kathleen A</v>
          </cell>
          <cell r="N12992" t="str">
            <v>NR</v>
          </cell>
          <cell r="O12992" t="str">
            <v>NR</v>
          </cell>
        </row>
        <row r="12993">
          <cell r="E12993" t="str">
            <v>OVST</v>
          </cell>
          <cell r="F12993" t="str">
            <v>OVST-R</v>
          </cell>
          <cell r="G12993">
            <v>396</v>
          </cell>
          <cell r="H12993" t="str">
            <v>OVST-R396</v>
          </cell>
          <cell r="K12993" t="str">
            <v>Sideli,Kathleen A</v>
          </cell>
          <cell r="N12993" t="str">
            <v>NR</v>
          </cell>
          <cell r="O12993" t="str">
            <v>NR</v>
          </cell>
        </row>
        <row r="12994">
          <cell r="E12994" t="str">
            <v>OVST</v>
          </cell>
          <cell r="F12994" t="str">
            <v>OVST-R</v>
          </cell>
          <cell r="G12994">
            <v>496</v>
          </cell>
          <cell r="H12994" t="str">
            <v>OVST-R496</v>
          </cell>
          <cell r="K12994" t="str">
            <v>Sideli,Kathleen A</v>
          </cell>
          <cell r="N12994" t="str">
            <v>NR</v>
          </cell>
          <cell r="O12994" t="str">
            <v>NR</v>
          </cell>
        </row>
        <row r="12995">
          <cell r="E12995" t="str">
            <v>OVST</v>
          </cell>
          <cell r="F12995" t="str">
            <v>OVST-R</v>
          </cell>
          <cell r="G12995">
            <v>496</v>
          </cell>
          <cell r="H12995" t="str">
            <v>OVST-R496</v>
          </cell>
          <cell r="K12995" t="str">
            <v>Sideli,Kathleen A</v>
          </cell>
          <cell r="N12995" t="str">
            <v>NR</v>
          </cell>
          <cell r="O12995" t="str">
            <v>NR</v>
          </cell>
        </row>
        <row r="12996">
          <cell r="E12996" t="str">
            <v>OVST</v>
          </cell>
          <cell r="F12996" t="str">
            <v>OVST-R</v>
          </cell>
          <cell r="G12996">
            <v>497</v>
          </cell>
          <cell r="H12996" t="str">
            <v>OVST-R497</v>
          </cell>
          <cell r="K12996" t="str">
            <v>Sideli,Kathleen A</v>
          </cell>
          <cell r="N12996" t="str">
            <v>NR</v>
          </cell>
          <cell r="O12996" t="str">
            <v>NR</v>
          </cell>
        </row>
        <row r="12997">
          <cell r="E12997" t="str">
            <v>OVST</v>
          </cell>
          <cell r="F12997" t="str">
            <v>OVST-R</v>
          </cell>
          <cell r="G12997">
            <v>497</v>
          </cell>
          <cell r="H12997" t="str">
            <v>OVST-R497</v>
          </cell>
          <cell r="K12997" t="str">
            <v>Sideli,Kathleen A</v>
          </cell>
          <cell r="N12997" t="str">
            <v>NR</v>
          </cell>
          <cell r="O12997" t="str">
            <v>NR</v>
          </cell>
        </row>
        <row r="12998">
          <cell r="E12998" t="str">
            <v>OVST</v>
          </cell>
          <cell r="F12998" t="str">
            <v>OVST-R</v>
          </cell>
          <cell r="G12998">
            <v>498</v>
          </cell>
          <cell r="H12998" t="str">
            <v>OVST-R498</v>
          </cell>
          <cell r="K12998" t="str">
            <v>Sideli,Kathleen A</v>
          </cell>
          <cell r="N12998" t="str">
            <v>NR</v>
          </cell>
          <cell r="O12998" t="str">
            <v>NR</v>
          </cell>
        </row>
        <row r="12999">
          <cell r="E12999" t="str">
            <v>OVST</v>
          </cell>
          <cell r="F12999" t="str">
            <v>OVST-R</v>
          </cell>
          <cell r="G12999">
            <v>498</v>
          </cell>
          <cell r="H12999" t="str">
            <v>OVST-R498</v>
          </cell>
          <cell r="K12999" t="str">
            <v>Sideli,Kathleen A</v>
          </cell>
          <cell r="N12999" t="str">
            <v>NR</v>
          </cell>
          <cell r="O12999" t="str">
            <v>NR</v>
          </cell>
        </row>
        <row r="13000">
          <cell r="E13000" t="str">
            <v>OVST</v>
          </cell>
          <cell r="F13000" t="str">
            <v>OVST-R</v>
          </cell>
          <cell r="G13000">
            <v>498</v>
          </cell>
          <cell r="H13000" t="str">
            <v>OVST-R498</v>
          </cell>
          <cell r="K13000" t="str">
            <v>Sideli,Kathleen A</v>
          </cell>
          <cell r="N13000" t="str">
            <v>NR</v>
          </cell>
          <cell r="O13000" t="str">
            <v>NR</v>
          </cell>
        </row>
        <row r="13001">
          <cell r="E13001" t="str">
            <v>OVST</v>
          </cell>
          <cell r="F13001" t="str">
            <v>OVST-R</v>
          </cell>
          <cell r="G13001">
            <v>498</v>
          </cell>
          <cell r="H13001" t="str">
            <v>OVST-R498</v>
          </cell>
          <cell r="K13001" t="str">
            <v>Sideli,Kathleen A</v>
          </cell>
          <cell r="N13001" t="str">
            <v>NR</v>
          </cell>
          <cell r="O13001" t="str">
            <v>NR</v>
          </cell>
        </row>
        <row r="13002">
          <cell r="E13002" t="str">
            <v>OVST</v>
          </cell>
          <cell r="F13002" t="str">
            <v>OVST-R</v>
          </cell>
          <cell r="G13002">
            <v>498</v>
          </cell>
          <cell r="H13002" t="str">
            <v>OVST-R498</v>
          </cell>
          <cell r="K13002" t="str">
            <v>Sideli,Kathleen A</v>
          </cell>
          <cell r="N13002" t="str">
            <v>NR</v>
          </cell>
          <cell r="O13002" t="str">
            <v>NR</v>
          </cell>
        </row>
        <row r="13003">
          <cell r="E13003" t="str">
            <v>OVST</v>
          </cell>
          <cell r="F13003" t="str">
            <v>OVST-R</v>
          </cell>
          <cell r="G13003">
            <v>498</v>
          </cell>
          <cell r="H13003" t="str">
            <v>OVST-R498</v>
          </cell>
          <cell r="K13003" t="str">
            <v>Sideli,Kathleen A</v>
          </cell>
          <cell r="N13003" t="str">
            <v>NR</v>
          </cell>
          <cell r="O13003" t="str">
            <v>NR</v>
          </cell>
        </row>
        <row r="13004">
          <cell r="E13004" t="str">
            <v>OVST</v>
          </cell>
          <cell r="F13004" t="str">
            <v>OVST-R</v>
          </cell>
          <cell r="G13004">
            <v>499</v>
          </cell>
          <cell r="H13004" t="str">
            <v>OVST-R499</v>
          </cell>
          <cell r="K13004" t="str">
            <v>Sideli,Kathleen A</v>
          </cell>
          <cell r="N13004" t="str">
            <v>NR</v>
          </cell>
          <cell r="O13004" t="str">
            <v>NR</v>
          </cell>
        </row>
        <row r="13005">
          <cell r="E13005" t="str">
            <v>OVST</v>
          </cell>
          <cell r="F13005" t="str">
            <v>OVST-R</v>
          </cell>
          <cell r="G13005">
            <v>499</v>
          </cell>
          <cell r="H13005" t="str">
            <v>OVST-R499</v>
          </cell>
          <cell r="K13005" t="str">
            <v>Sideli,Kathleen A</v>
          </cell>
          <cell r="N13005" t="str">
            <v>NR</v>
          </cell>
          <cell r="O13005" t="str">
            <v>NR</v>
          </cell>
        </row>
        <row r="13006">
          <cell r="E13006" t="str">
            <v>OVST</v>
          </cell>
          <cell r="F13006" t="str">
            <v>OVST-S</v>
          </cell>
          <cell r="G13006">
            <v>496</v>
          </cell>
          <cell r="H13006" t="str">
            <v>OVST-S496</v>
          </cell>
          <cell r="K13006" t="str">
            <v>Sideli,Kathleen A</v>
          </cell>
          <cell r="N13006" t="str">
            <v>NR</v>
          </cell>
          <cell r="O13006" t="str">
            <v>NR</v>
          </cell>
        </row>
        <row r="13007">
          <cell r="E13007" t="str">
            <v>OVST</v>
          </cell>
          <cell r="F13007" t="str">
            <v>OVST-S</v>
          </cell>
          <cell r="G13007">
            <v>496</v>
          </cell>
          <cell r="H13007" t="str">
            <v>OVST-S496</v>
          </cell>
          <cell r="K13007" t="str">
            <v>Sideli,Kathleen A</v>
          </cell>
          <cell r="N13007" t="str">
            <v>NR</v>
          </cell>
          <cell r="O13007" t="str">
            <v>NR</v>
          </cell>
        </row>
        <row r="13008">
          <cell r="E13008" t="str">
            <v>OVST</v>
          </cell>
          <cell r="F13008" t="str">
            <v>OVST-S</v>
          </cell>
          <cell r="G13008">
            <v>496</v>
          </cell>
          <cell r="H13008" t="str">
            <v>OVST-S496</v>
          </cell>
          <cell r="K13008" t="str">
            <v>Sideli,Kathleen A</v>
          </cell>
          <cell r="N13008" t="str">
            <v>NR</v>
          </cell>
          <cell r="O13008" t="str">
            <v>NR</v>
          </cell>
        </row>
        <row r="13009">
          <cell r="E13009" t="str">
            <v>OVST</v>
          </cell>
          <cell r="F13009" t="str">
            <v>OVST-S</v>
          </cell>
          <cell r="G13009">
            <v>496</v>
          </cell>
          <cell r="H13009" t="str">
            <v>OVST-S496</v>
          </cell>
          <cell r="K13009" t="str">
            <v>Sideli,Kathleen A</v>
          </cell>
          <cell r="N13009" t="str">
            <v>NR</v>
          </cell>
          <cell r="O13009" t="str">
            <v>NR</v>
          </cell>
        </row>
        <row r="13010">
          <cell r="E13010" t="str">
            <v>OVST</v>
          </cell>
          <cell r="F13010" t="str">
            <v>OVST-S</v>
          </cell>
          <cell r="G13010">
            <v>496</v>
          </cell>
          <cell r="H13010" t="str">
            <v>OVST-S496</v>
          </cell>
          <cell r="K13010" t="str">
            <v>Sideli,Kathleen A</v>
          </cell>
          <cell r="N13010" t="str">
            <v>NR</v>
          </cell>
          <cell r="O13010" t="str">
            <v>NR</v>
          </cell>
        </row>
        <row r="13011">
          <cell r="E13011" t="str">
            <v>OVST</v>
          </cell>
          <cell r="F13011" t="str">
            <v>OVST-S</v>
          </cell>
          <cell r="G13011">
            <v>496</v>
          </cell>
          <cell r="H13011" t="str">
            <v>OVST-S496</v>
          </cell>
          <cell r="K13011" t="str">
            <v>Sideli,Kathleen A</v>
          </cell>
          <cell r="N13011" t="str">
            <v>NR</v>
          </cell>
          <cell r="O13011" t="str">
            <v>NR</v>
          </cell>
        </row>
        <row r="13012">
          <cell r="E13012" t="str">
            <v>OVST</v>
          </cell>
          <cell r="F13012" t="str">
            <v>OVST-S</v>
          </cell>
          <cell r="G13012">
            <v>498</v>
          </cell>
          <cell r="H13012" t="str">
            <v>OVST-S498</v>
          </cell>
          <cell r="K13012" t="str">
            <v>Sideli,Kathleen A</v>
          </cell>
          <cell r="N13012" t="str">
            <v>NR</v>
          </cell>
          <cell r="O13012" t="str">
            <v>NR</v>
          </cell>
        </row>
        <row r="13013">
          <cell r="E13013" t="str">
            <v>OVST</v>
          </cell>
          <cell r="F13013" t="str">
            <v>OVST-S</v>
          </cell>
          <cell r="G13013">
            <v>498</v>
          </cell>
          <cell r="H13013" t="str">
            <v>OVST-S498</v>
          </cell>
          <cell r="K13013" t="str">
            <v>Sideli,Kathleen A</v>
          </cell>
          <cell r="N13013" t="str">
            <v>NR</v>
          </cell>
          <cell r="O13013" t="str">
            <v>NR</v>
          </cell>
        </row>
        <row r="13014">
          <cell r="E13014" t="str">
            <v>OVST</v>
          </cell>
          <cell r="F13014" t="str">
            <v>OVST-S</v>
          </cell>
          <cell r="G13014">
            <v>499</v>
          </cell>
          <cell r="H13014" t="str">
            <v>OVST-S499</v>
          </cell>
          <cell r="K13014" t="str">
            <v>Sideli,Kathleen A</v>
          </cell>
          <cell r="N13014" t="str">
            <v>NR</v>
          </cell>
          <cell r="O13014" t="str">
            <v>NR</v>
          </cell>
        </row>
        <row r="13015">
          <cell r="E13015" t="str">
            <v>OVST</v>
          </cell>
          <cell r="F13015" t="str">
            <v>OVST-S</v>
          </cell>
          <cell r="G13015">
            <v>499</v>
          </cell>
          <cell r="H13015" t="str">
            <v>OVST-S499</v>
          </cell>
          <cell r="K13015" t="str">
            <v>Sideli,Kathleen A</v>
          </cell>
          <cell r="N13015" t="str">
            <v>NR</v>
          </cell>
          <cell r="O13015" t="str">
            <v>NR</v>
          </cell>
        </row>
        <row r="13016">
          <cell r="E13016" t="str">
            <v>OVST</v>
          </cell>
          <cell r="F13016" t="str">
            <v>OVST-T</v>
          </cell>
          <cell r="G13016">
            <v>497</v>
          </cell>
          <cell r="H13016" t="str">
            <v>OVST-T497</v>
          </cell>
          <cell r="K13016" t="str">
            <v>Sideli,Kathleen A</v>
          </cell>
          <cell r="N13016" t="str">
            <v>NR</v>
          </cell>
          <cell r="O13016" t="str">
            <v>NR</v>
          </cell>
        </row>
        <row r="13017">
          <cell r="E13017" t="str">
            <v>OVST</v>
          </cell>
          <cell r="F13017" t="str">
            <v>OVST-T</v>
          </cell>
          <cell r="G13017">
            <v>498</v>
          </cell>
          <cell r="H13017" t="str">
            <v>OVST-T498</v>
          </cell>
          <cell r="K13017" t="str">
            <v>Sideli,Kathleen A</v>
          </cell>
          <cell r="N13017" t="str">
            <v>NR</v>
          </cell>
          <cell r="O13017" t="str">
            <v>NR</v>
          </cell>
        </row>
        <row r="13018">
          <cell r="E13018" t="str">
            <v>OVST</v>
          </cell>
          <cell r="F13018" t="str">
            <v>OVST-T</v>
          </cell>
          <cell r="G13018">
            <v>498</v>
          </cell>
          <cell r="H13018" t="str">
            <v>OVST-T498</v>
          </cell>
          <cell r="K13018" t="str">
            <v>Sideli,Kathleen A</v>
          </cell>
          <cell r="N13018" t="str">
            <v>NR</v>
          </cell>
          <cell r="O13018" t="str">
            <v>NR</v>
          </cell>
        </row>
        <row r="13019">
          <cell r="E13019" t="str">
            <v>OVST</v>
          </cell>
          <cell r="F13019" t="str">
            <v>OVST-T</v>
          </cell>
          <cell r="G13019">
            <v>498</v>
          </cell>
          <cell r="H13019" t="str">
            <v>OVST-T498</v>
          </cell>
          <cell r="K13019" t="str">
            <v>Sideli,Kathleen A</v>
          </cell>
          <cell r="N13019" t="str">
            <v>NR</v>
          </cell>
          <cell r="O13019" t="str">
            <v>NR</v>
          </cell>
        </row>
        <row r="13020">
          <cell r="E13020" t="str">
            <v>OVST</v>
          </cell>
          <cell r="F13020" t="str">
            <v>OVST-U</v>
          </cell>
          <cell r="G13020">
            <v>497</v>
          </cell>
          <cell r="H13020" t="str">
            <v>OVST-U497</v>
          </cell>
          <cell r="K13020" t="str">
            <v>Sideli,Kathleen A</v>
          </cell>
          <cell r="N13020" t="str">
            <v>NR</v>
          </cell>
          <cell r="O13020" t="str">
            <v>NR</v>
          </cell>
        </row>
        <row r="13021">
          <cell r="E13021" t="str">
            <v>OVST</v>
          </cell>
          <cell r="F13021" t="str">
            <v>OVST-U</v>
          </cell>
          <cell r="G13021">
            <v>497</v>
          </cell>
          <cell r="H13021" t="str">
            <v>OVST-U497</v>
          </cell>
          <cell r="K13021" t="str">
            <v>Sideli,Kathleen A</v>
          </cell>
          <cell r="N13021" t="str">
            <v>NR</v>
          </cell>
          <cell r="O13021" t="str">
            <v>NR</v>
          </cell>
        </row>
        <row r="13022">
          <cell r="E13022" t="str">
            <v>OVST</v>
          </cell>
          <cell r="F13022" t="str">
            <v>OVST-U</v>
          </cell>
          <cell r="G13022">
            <v>497</v>
          </cell>
          <cell r="H13022" t="str">
            <v>OVST-U497</v>
          </cell>
          <cell r="K13022" t="str">
            <v>Sideli,Kathleen A</v>
          </cell>
          <cell r="N13022" t="str">
            <v>NR</v>
          </cell>
          <cell r="O13022" t="str">
            <v>NR</v>
          </cell>
        </row>
        <row r="13023">
          <cell r="E13023" t="str">
            <v>OVST</v>
          </cell>
          <cell r="F13023" t="str">
            <v>OVST-V</v>
          </cell>
          <cell r="G13023">
            <v>496</v>
          </cell>
          <cell r="H13023" t="str">
            <v>OVST-V496</v>
          </cell>
          <cell r="K13023" t="str">
            <v>Sideli,Kathleen A</v>
          </cell>
          <cell r="N13023" t="str">
            <v>NR</v>
          </cell>
          <cell r="O13023" t="str">
            <v>NR</v>
          </cell>
        </row>
        <row r="13024">
          <cell r="E13024" t="str">
            <v>OVST</v>
          </cell>
          <cell r="F13024" t="str">
            <v>OVST-V</v>
          </cell>
          <cell r="G13024">
            <v>496</v>
          </cell>
          <cell r="H13024" t="str">
            <v>OVST-V496</v>
          </cell>
          <cell r="K13024" t="str">
            <v>Sideli,Kathleen A</v>
          </cell>
          <cell r="N13024" t="str">
            <v>NR</v>
          </cell>
          <cell r="O13024" t="str">
            <v>NR</v>
          </cell>
        </row>
        <row r="13025">
          <cell r="E13025" t="str">
            <v>OVST</v>
          </cell>
          <cell r="F13025" t="str">
            <v>OVST-V</v>
          </cell>
          <cell r="G13025">
            <v>496</v>
          </cell>
          <cell r="H13025" t="str">
            <v>OVST-V496</v>
          </cell>
          <cell r="K13025" t="str">
            <v>Sideli,Kathleen A</v>
          </cell>
          <cell r="N13025" t="str">
            <v>NR</v>
          </cell>
          <cell r="O13025" t="str">
            <v>NR</v>
          </cell>
        </row>
        <row r="13026">
          <cell r="E13026" t="str">
            <v>OVST</v>
          </cell>
          <cell r="F13026" t="str">
            <v>OVST-W</v>
          </cell>
          <cell r="G13026">
            <v>396</v>
          </cell>
          <cell r="H13026" t="str">
            <v>OVST-W396</v>
          </cell>
          <cell r="K13026" t="str">
            <v>Sideli,Kathleen A</v>
          </cell>
          <cell r="N13026" t="str">
            <v>NR</v>
          </cell>
          <cell r="O13026" t="str">
            <v>NR</v>
          </cell>
        </row>
        <row r="13027">
          <cell r="E13027" t="str">
            <v>OVST</v>
          </cell>
          <cell r="F13027" t="str">
            <v>OVST-W</v>
          </cell>
          <cell r="G13027">
            <v>396</v>
          </cell>
          <cell r="H13027" t="str">
            <v>OVST-W396</v>
          </cell>
          <cell r="K13027" t="str">
            <v>Sideli,Kathleen A</v>
          </cell>
          <cell r="N13027" t="str">
            <v>NR</v>
          </cell>
          <cell r="O13027" t="str">
            <v>NR</v>
          </cell>
        </row>
        <row r="13028">
          <cell r="E13028" t="str">
            <v>OVST</v>
          </cell>
          <cell r="F13028" t="str">
            <v>OVST-W</v>
          </cell>
          <cell r="G13028">
            <v>396</v>
          </cell>
          <cell r="H13028" t="str">
            <v>OVST-W396</v>
          </cell>
          <cell r="K13028" t="str">
            <v>Sideli,Kathleen A</v>
          </cell>
          <cell r="N13028" t="str">
            <v>NR</v>
          </cell>
          <cell r="O13028" t="str">
            <v>NR</v>
          </cell>
        </row>
        <row r="13029">
          <cell r="E13029" t="str">
            <v>OVST</v>
          </cell>
          <cell r="F13029" t="str">
            <v>OVST-W</v>
          </cell>
          <cell r="G13029">
            <v>396</v>
          </cell>
          <cell r="H13029" t="str">
            <v>OVST-W396</v>
          </cell>
          <cell r="K13029" t="str">
            <v>Sideli,Kathleen A</v>
          </cell>
          <cell r="N13029" t="str">
            <v>NR</v>
          </cell>
          <cell r="O13029" t="str">
            <v>NR</v>
          </cell>
        </row>
        <row r="13030">
          <cell r="E13030" t="str">
            <v>OVST</v>
          </cell>
          <cell r="F13030" t="str">
            <v>OVST-X</v>
          </cell>
          <cell r="G13030">
            <v>497</v>
          </cell>
          <cell r="H13030" t="str">
            <v>OVST-X497</v>
          </cell>
          <cell r="K13030" t="str">
            <v>Sideli,Kathleen A</v>
          </cell>
          <cell r="N13030" t="str">
            <v>NR</v>
          </cell>
          <cell r="O13030" t="str">
            <v>NR</v>
          </cell>
        </row>
        <row r="13031">
          <cell r="E13031" t="str">
            <v>OVST</v>
          </cell>
          <cell r="F13031" t="str">
            <v>OVST-X</v>
          </cell>
          <cell r="G13031">
            <v>497</v>
          </cell>
          <cell r="H13031" t="str">
            <v>OVST-X497</v>
          </cell>
          <cell r="K13031" t="str">
            <v>Sideli,Kathleen A</v>
          </cell>
          <cell r="N13031" t="str">
            <v>NR</v>
          </cell>
          <cell r="O13031" t="str">
            <v>NR</v>
          </cell>
        </row>
        <row r="13032">
          <cell r="E13032" t="str">
            <v>OVST</v>
          </cell>
          <cell r="F13032" t="str">
            <v>OVST-X</v>
          </cell>
          <cell r="G13032">
            <v>497</v>
          </cell>
          <cell r="H13032" t="str">
            <v>OVST-X497</v>
          </cell>
          <cell r="K13032" t="str">
            <v>Sideli,Kathleen A</v>
          </cell>
          <cell r="N13032" t="str">
            <v>NR</v>
          </cell>
          <cell r="O13032" t="str">
            <v>NR</v>
          </cell>
        </row>
        <row r="13033">
          <cell r="E13033" t="str">
            <v>OVST</v>
          </cell>
          <cell r="F13033" t="str">
            <v>OVST-X</v>
          </cell>
          <cell r="G13033">
            <v>497</v>
          </cell>
          <cell r="H13033" t="str">
            <v>OVST-X497</v>
          </cell>
          <cell r="K13033" t="str">
            <v>Sideli,Kathleen A</v>
          </cell>
          <cell r="N13033" t="str">
            <v>NR</v>
          </cell>
          <cell r="O13033" t="str">
            <v>NR</v>
          </cell>
        </row>
        <row r="13034">
          <cell r="E13034" t="str">
            <v>OVST</v>
          </cell>
          <cell r="F13034" t="str">
            <v>OVST-X</v>
          </cell>
          <cell r="G13034">
            <v>499</v>
          </cell>
          <cell r="H13034" t="str">
            <v>OVST-X499</v>
          </cell>
          <cell r="K13034" t="str">
            <v>Sideli,Kathleen A</v>
          </cell>
          <cell r="N13034" t="str">
            <v>NR</v>
          </cell>
          <cell r="O13034" t="str">
            <v>NR</v>
          </cell>
        </row>
        <row r="13035">
          <cell r="E13035" t="str">
            <v>OVST</v>
          </cell>
          <cell r="F13035" t="str">
            <v>OVST-X</v>
          </cell>
          <cell r="G13035">
            <v>499</v>
          </cell>
          <cell r="H13035" t="str">
            <v>OVST-X499</v>
          </cell>
          <cell r="K13035" t="str">
            <v>Sideli,Kathleen A</v>
          </cell>
          <cell r="N13035" t="str">
            <v>NR</v>
          </cell>
          <cell r="O13035" t="str">
            <v>NR</v>
          </cell>
        </row>
        <row r="13036">
          <cell r="E13036" t="str">
            <v>OVST</v>
          </cell>
          <cell r="F13036" t="str">
            <v>OVST-X</v>
          </cell>
          <cell r="G13036">
            <v>499</v>
          </cell>
          <cell r="H13036" t="str">
            <v>OVST-X499</v>
          </cell>
          <cell r="K13036" t="str">
            <v>Sideli,Kathleen A</v>
          </cell>
          <cell r="N13036" t="str">
            <v>NR</v>
          </cell>
          <cell r="O13036" t="str">
            <v>NR</v>
          </cell>
        </row>
        <row r="13037">
          <cell r="E13037" t="str">
            <v>OVST</v>
          </cell>
          <cell r="F13037" t="str">
            <v>OVST-Y</v>
          </cell>
          <cell r="G13037">
            <v>496</v>
          </cell>
          <cell r="H13037" t="str">
            <v>OVST-Y496</v>
          </cell>
          <cell r="K13037" t="str">
            <v>Sideli,Kathleen A</v>
          </cell>
          <cell r="N13037" t="str">
            <v>NR</v>
          </cell>
          <cell r="O13037" t="str">
            <v>NR</v>
          </cell>
        </row>
        <row r="13038">
          <cell r="E13038" t="str">
            <v>OVST</v>
          </cell>
          <cell r="F13038" t="str">
            <v>OVST-Y</v>
          </cell>
          <cell r="G13038">
            <v>496</v>
          </cell>
          <cell r="H13038" t="str">
            <v>OVST-Y496</v>
          </cell>
          <cell r="K13038" t="str">
            <v>Sideli,Kathleen A</v>
          </cell>
          <cell r="N13038" t="str">
            <v>NR</v>
          </cell>
          <cell r="O13038" t="str">
            <v>NR</v>
          </cell>
        </row>
        <row r="13039">
          <cell r="E13039" t="str">
            <v>OVST</v>
          </cell>
          <cell r="F13039" t="str">
            <v>OVST-Y</v>
          </cell>
          <cell r="G13039">
            <v>498</v>
          </cell>
          <cell r="H13039" t="str">
            <v>OVST-Y498</v>
          </cell>
          <cell r="K13039" t="str">
            <v>Sideli,Kathleen A</v>
          </cell>
          <cell r="N13039" t="str">
            <v>NR</v>
          </cell>
          <cell r="O13039" t="str">
            <v>NR</v>
          </cell>
        </row>
        <row r="13040">
          <cell r="E13040" t="str">
            <v>OVST</v>
          </cell>
          <cell r="F13040" t="str">
            <v>OVST-Y</v>
          </cell>
          <cell r="G13040">
            <v>498</v>
          </cell>
          <cell r="H13040" t="str">
            <v>OVST-Y498</v>
          </cell>
          <cell r="K13040" t="str">
            <v>Sideli,Kathleen A</v>
          </cell>
          <cell r="N13040" t="str">
            <v>NR</v>
          </cell>
          <cell r="O13040" t="str">
            <v>NR</v>
          </cell>
        </row>
        <row r="13041">
          <cell r="E13041" t="str">
            <v>OVST</v>
          </cell>
          <cell r="F13041" t="str">
            <v>OVST-Y</v>
          </cell>
          <cell r="G13041">
            <v>499</v>
          </cell>
          <cell r="H13041" t="str">
            <v>OVST-Y499</v>
          </cell>
          <cell r="K13041" t="str">
            <v>Sideli,Kathleen A</v>
          </cell>
          <cell r="N13041" t="str">
            <v>NR</v>
          </cell>
          <cell r="O13041" t="str">
            <v>NR</v>
          </cell>
        </row>
        <row r="13042">
          <cell r="E13042" t="str">
            <v>OVST</v>
          </cell>
          <cell r="F13042" t="str">
            <v>OVST-Y</v>
          </cell>
          <cell r="G13042">
            <v>499</v>
          </cell>
          <cell r="H13042" t="str">
            <v>OVST-Y499</v>
          </cell>
          <cell r="K13042" t="str">
            <v>Sideli,Kathleen A</v>
          </cell>
          <cell r="N13042" t="str">
            <v>NR</v>
          </cell>
          <cell r="O13042" t="str">
            <v>NR</v>
          </cell>
        </row>
        <row r="13043">
          <cell r="E13043" t="str">
            <v>OVST</v>
          </cell>
          <cell r="F13043" t="str">
            <v>OVST-Y</v>
          </cell>
          <cell r="G13043">
            <v>596</v>
          </cell>
          <cell r="H13043" t="str">
            <v>OVST-Y596</v>
          </cell>
          <cell r="K13043" t="str">
            <v>Sideli,Kathleen A</v>
          </cell>
          <cell r="N13043" t="str">
            <v>NR</v>
          </cell>
          <cell r="O13043" t="str">
            <v>NR</v>
          </cell>
        </row>
        <row r="13044">
          <cell r="E13044" t="str">
            <v>OVST</v>
          </cell>
          <cell r="F13044" t="str">
            <v>OVST-Z</v>
          </cell>
          <cell r="G13044">
            <v>497</v>
          </cell>
          <cell r="H13044" t="str">
            <v>OVST-Z497</v>
          </cell>
          <cell r="K13044" t="str">
            <v>Sideli,Kathleen A</v>
          </cell>
          <cell r="N13044" t="str">
            <v>NR</v>
          </cell>
          <cell r="O13044" t="str">
            <v>NR</v>
          </cell>
        </row>
        <row r="13045">
          <cell r="E13045" t="str">
            <v>OVST</v>
          </cell>
          <cell r="F13045" t="str">
            <v>OVST-Z</v>
          </cell>
          <cell r="G13045">
            <v>497</v>
          </cell>
          <cell r="H13045" t="str">
            <v>OVST-Z497</v>
          </cell>
          <cell r="K13045" t="str">
            <v>Sideli,Kathleen A</v>
          </cell>
          <cell r="N13045" t="str">
            <v>NR</v>
          </cell>
          <cell r="O13045" t="str">
            <v>NR</v>
          </cell>
        </row>
        <row r="13046">
          <cell r="E13046" t="str">
            <v>OVST</v>
          </cell>
          <cell r="F13046" t="str">
            <v>OVST-Z</v>
          </cell>
          <cell r="G13046">
            <v>497</v>
          </cell>
          <cell r="H13046" t="str">
            <v>OVST-Z497</v>
          </cell>
          <cell r="K13046" t="str">
            <v>Sideli,Kathleen A</v>
          </cell>
          <cell r="N13046" t="str">
            <v>NR</v>
          </cell>
          <cell r="O13046" t="str">
            <v>NR</v>
          </cell>
        </row>
        <row r="13047">
          <cell r="E13047" t="str">
            <v>PACE</v>
          </cell>
          <cell r="F13047" t="str">
            <v>PACE-C</v>
          </cell>
          <cell r="G13047">
            <v>210</v>
          </cell>
          <cell r="H13047" t="str">
            <v>PACE-C210</v>
          </cell>
          <cell r="K13047" t="str">
            <v>Napoli,Lisa-Marie</v>
          </cell>
          <cell r="N13047">
            <v>3.577</v>
          </cell>
          <cell r="O13047">
            <v>3.0539999999999998</v>
          </cell>
        </row>
        <row r="13048">
          <cell r="E13048" t="str">
            <v>PACE</v>
          </cell>
          <cell r="F13048" t="str">
            <v>PACE-C</v>
          </cell>
          <cell r="G13048">
            <v>210</v>
          </cell>
          <cell r="H13048" t="str">
            <v>PACE-C210</v>
          </cell>
          <cell r="K13048" t="str">
            <v>Weinberg,Carl R.</v>
          </cell>
          <cell r="N13048">
            <v>3.1</v>
          </cell>
          <cell r="O13048">
            <v>2.9649999999999999</v>
          </cell>
        </row>
        <row r="13049">
          <cell r="E13049" t="str">
            <v>PACE</v>
          </cell>
          <cell r="F13049" t="str">
            <v>PACE-C</v>
          </cell>
          <cell r="G13049">
            <v>211</v>
          </cell>
          <cell r="H13049" t="str">
            <v>PACE-C211</v>
          </cell>
          <cell r="K13049" t="str">
            <v>Grossberg,Michael C.</v>
          </cell>
          <cell r="N13049">
            <v>3.3359999999999999</v>
          </cell>
          <cell r="O13049">
            <v>3.371</v>
          </cell>
        </row>
        <row r="13050">
          <cell r="E13050" t="str">
            <v>PACE</v>
          </cell>
          <cell r="F13050" t="str">
            <v>PACE-C</v>
          </cell>
          <cell r="G13050">
            <v>211</v>
          </cell>
          <cell r="H13050" t="str">
            <v>PACE-C211</v>
          </cell>
          <cell r="K13050" t="str">
            <v>Napoli,Lisa-Marie</v>
          </cell>
          <cell r="N13050">
            <v>3.7050000000000001</v>
          </cell>
          <cell r="O13050">
            <v>3.1709999999999998</v>
          </cell>
        </row>
        <row r="13051">
          <cell r="E13051" t="str">
            <v>PACE</v>
          </cell>
          <cell r="F13051" t="str">
            <v>PACE-C</v>
          </cell>
          <cell r="G13051">
            <v>400</v>
          </cell>
          <cell r="H13051" t="str">
            <v>PACE-C400</v>
          </cell>
          <cell r="K13051" t="str">
            <v>Bergonzi,Joelene A</v>
          </cell>
          <cell r="N13051">
            <v>3.7360000000000002</v>
          </cell>
          <cell r="O13051">
            <v>3.09</v>
          </cell>
        </row>
        <row r="13052">
          <cell r="E13052" t="str">
            <v>PACE</v>
          </cell>
          <cell r="F13052" t="str">
            <v>PACE-C</v>
          </cell>
          <cell r="G13052">
            <v>400</v>
          </cell>
          <cell r="H13052" t="str">
            <v>PACE-C400</v>
          </cell>
          <cell r="K13052" t="str">
            <v>Bergonzi,Joelene A</v>
          </cell>
          <cell r="N13052">
            <v>4</v>
          </cell>
          <cell r="O13052">
            <v>3.34</v>
          </cell>
        </row>
        <row r="13053">
          <cell r="E13053" t="str">
            <v>PACE</v>
          </cell>
          <cell r="F13053" t="str">
            <v>PACE-C</v>
          </cell>
          <cell r="G13053">
            <v>410</v>
          </cell>
          <cell r="H13053" t="str">
            <v>PACE-C410</v>
          </cell>
          <cell r="K13053" t="str">
            <v>Bergonzi,Joelene A</v>
          </cell>
          <cell r="N13053" t="str">
            <v>NR</v>
          </cell>
          <cell r="O13053" t="str">
            <v>NR</v>
          </cell>
        </row>
        <row r="13054">
          <cell r="E13054" t="str">
            <v>PACE</v>
          </cell>
          <cell r="F13054" t="str">
            <v>PACE-C</v>
          </cell>
          <cell r="G13054">
            <v>410</v>
          </cell>
          <cell r="H13054" t="str">
            <v>PACE-C410</v>
          </cell>
          <cell r="K13054" t="str">
            <v>Bergonzi,Joelene A</v>
          </cell>
          <cell r="N13054" t="str">
            <v>NR</v>
          </cell>
          <cell r="O13054" t="str">
            <v>NR</v>
          </cell>
        </row>
        <row r="13055">
          <cell r="E13055" t="str">
            <v>PACE</v>
          </cell>
          <cell r="F13055" t="str">
            <v>PACE-C</v>
          </cell>
          <cell r="G13055">
            <v>420</v>
          </cell>
          <cell r="H13055" t="str">
            <v>PACE-C420</v>
          </cell>
          <cell r="K13055" t="str">
            <v>Bergonzi,Joelene A</v>
          </cell>
          <cell r="N13055" t="str">
            <v>NR</v>
          </cell>
          <cell r="O13055" t="str">
            <v>NR</v>
          </cell>
        </row>
        <row r="13056">
          <cell r="E13056" t="str">
            <v>PACE</v>
          </cell>
          <cell r="F13056" t="str">
            <v>PACE-C</v>
          </cell>
          <cell r="G13056">
            <v>420</v>
          </cell>
          <cell r="H13056" t="str">
            <v>PACE-C420</v>
          </cell>
          <cell r="K13056" t="str">
            <v>Bergonzi,Joelene A</v>
          </cell>
          <cell r="N13056" t="str">
            <v>NR</v>
          </cell>
          <cell r="O13056" t="str">
            <v>NR</v>
          </cell>
        </row>
        <row r="13057">
          <cell r="E13057" t="str">
            <v>PACE</v>
          </cell>
          <cell r="F13057" t="str">
            <v>PACE-C</v>
          </cell>
          <cell r="G13057">
            <v>450</v>
          </cell>
          <cell r="H13057" t="str">
            <v>PACE-C450</v>
          </cell>
          <cell r="K13057" t="str">
            <v>Hershey,Marjorie R.</v>
          </cell>
          <cell r="N13057" t="str">
            <v>NR</v>
          </cell>
          <cell r="O13057" t="str">
            <v>NR</v>
          </cell>
        </row>
        <row r="13058">
          <cell r="E13058" t="str">
            <v>PACE</v>
          </cell>
          <cell r="F13058" t="str">
            <v>PACE-C</v>
          </cell>
          <cell r="G13058">
            <v>450</v>
          </cell>
          <cell r="H13058" t="str">
            <v>PACE-C450</v>
          </cell>
          <cell r="K13058" t="str">
            <v>Kunzman,Robert</v>
          </cell>
          <cell r="N13058">
            <v>3.617</v>
          </cell>
          <cell r="O13058">
            <v>3.56</v>
          </cell>
        </row>
        <row r="13059">
          <cell r="E13059" t="str">
            <v>PACE</v>
          </cell>
          <cell r="F13059" t="str">
            <v>PACE-C</v>
          </cell>
          <cell r="G13059">
            <v>450</v>
          </cell>
          <cell r="H13059" t="str">
            <v>PACE-C450</v>
          </cell>
          <cell r="K13059" t="str">
            <v>Kunzman,Robert</v>
          </cell>
          <cell r="N13059" t="str">
            <v>NR</v>
          </cell>
          <cell r="O13059" t="str">
            <v>NR</v>
          </cell>
        </row>
        <row r="13060">
          <cell r="E13060" t="str">
            <v>PATH</v>
          </cell>
          <cell r="F13060" t="str">
            <v>PATH-C</v>
          </cell>
          <cell r="G13060">
            <v>859</v>
          </cell>
          <cell r="H13060" t="str">
            <v>PATH-C859</v>
          </cell>
          <cell r="K13060" t="str">
            <v>Braun,Mark William</v>
          </cell>
          <cell r="N13060" t="str">
            <v>NR</v>
          </cell>
          <cell r="O13060" t="str">
            <v>NR</v>
          </cell>
        </row>
        <row r="13061">
          <cell r="E13061" t="str">
            <v>PHAR</v>
          </cell>
          <cell r="F13061" t="str">
            <v>PHAR-F</v>
          </cell>
          <cell r="G13061">
            <v>605</v>
          </cell>
          <cell r="H13061" t="str">
            <v>PHAR-F605</v>
          </cell>
          <cell r="K13061" t="str">
            <v>Watkins III,John B</v>
          </cell>
          <cell r="N13061" t="str">
            <v>NR</v>
          </cell>
          <cell r="O13061" t="str">
            <v>NR</v>
          </cell>
        </row>
        <row r="13062">
          <cell r="E13062" t="str">
            <v>PHAR</v>
          </cell>
          <cell r="F13062" t="str">
            <v>PHAR-F</v>
          </cell>
          <cell r="G13062">
            <v>611</v>
          </cell>
          <cell r="H13062" t="str">
            <v>PHAR-F611</v>
          </cell>
          <cell r="K13062" t="str">
            <v>Watkins III,John B</v>
          </cell>
          <cell r="N13062" t="str">
            <v>NR</v>
          </cell>
          <cell r="O13062" t="str">
            <v>NR</v>
          </cell>
        </row>
        <row r="13063">
          <cell r="E13063" t="str">
            <v>PHAR</v>
          </cell>
          <cell r="F13063" t="str">
            <v>PHAR-F</v>
          </cell>
          <cell r="G13063">
            <v>612</v>
          </cell>
          <cell r="H13063" t="str">
            <v>PHAR-F612</v>
          </cell>
          <cell r="K13063" t="str">
            <v>Watkins III,John B</v>
          </cell>
          <cell r="N13063" t="str">
            <v>NR</v>
          </cell>
          <cell r="O13063" t="str">
            <v>NR</v>
          </cell>
        </row>
        <row r="13064">
          <cell r="E13064" t="str">
            <v>PHAR</v>
          </cell>
          <cell r="F13064" t="str">
            <v>PHAR-F</v>
          </cell>
          <cell r="G13064">
            <v>621</v>
          </cell>
          <cell r="H13064" t="str">
            <v>PHAR-F621</v>
          </cell>
          <cell r="K13064" t="str">
            <v>Watkins III,John B</v>
          </cell>
          <cell r="N13064" t="str">
            <v>NR</v>
          </cell>
          <cell r="O13064" t="str">
            <v>NR</v>
          </cell>
        </row>
        <row r="13065">
          <cell r="E13065" t="str">
            <v>PHAR</v>
          </cell>
          <cell r="F13065" t="str">
            <v>PHAR-F</v>
          </cell>
          <cell r="G13065">
            <v>625</v>
          </cell>
          <cell r="H13065" t="str">
            <v>PHAR-F625</v>
          </cell>
          <cell r="K13065" t="str">
            <v>Watkins III,John B</v>
          </cell>
          <cell r="N13065" t="str">
            <v>NR</v>
          </cell>
          <cell r="O13065" t="str">
            <v>NR</v>
          </cell>
        </row>
        <row r="13066">
          <cell r="E13066" t="str">
            <v>PHAR</v>
          </cell>
          <cell r="F13066" t="str">
            <v>PHAR-F</v>
          </cell>
          <cell r="G13066">
            <v>625</v>
          </cell>
          <cell r="H13066" t="str">
            <v>PHAR-F625</v>
          </cell>
          <cell r="K13066" t="str">
            <v>Watkins III,John B</v>
          </cell>
          <cell r="N13066" t="str">
            <v>NR</v>
          </cell>
          <cell r="O13066" t="str">
            <v>NR</v>
          </cell>
        </row>
        <row r="13067">
          <cell r="E13067" t="str">
            <v>PHAR</v>
          </cell>
          <cell r="F13067" t="str">
            <v>PHAR-F</v>
          </cell>
          <cell r="G13067">
            <v>630</v>
          </cell>
          <cell r="H13067" t="str">
            <v>PHAR-F630</v>
          </cell>
          <cell r="K13067" t="str">
            <v>Foley,John G</v>
          </cell>
          <cell r="N13067" t="str">
            <v>NR</v>
          </cell>
          <cell r="O13067" t="str">
            <v>NR</v>
          </cell>
        </row>
        <row r="13068">
          <cell r="E13068" t="str">
            <v>PHAR</v>
          </cell>
          <cell r="F13068" t="str">
            <v>PHAR-F</v>
          </cell>
          <cell r="G13068">
            <v>630</v>
          </cell>
          <cell r="H13068" t="str">
            <v>PHAR-F630</v>
          </cell>
          <cell r="K13068" t="str">
            <v>Foley,John G</v>
          </cell>
          <cell r="N13068" t="str">
            <v>NR</v>
          </cell>
          <cell r="O13068" t="str">
            <v>NR</v>
          </cell>
        </row>
        <row r="13069">
          <cell r="E13069" t="str">
            <v>PHIL</v>
          </cell>
          <cell r="F13069" t="str">
            <v>PHIL-G</v>
          </cell>
          <cell r="G13069">
            <v>901</v>
          </cell>
          <cell r="H13069" t="str">
            <v>PHIL-G901</v>
          </cell>
          <cell r="K13069" t="str">
            <v>Ebbs,Gary</v>
          </cell>
          <cell r="N13069" t="str">
            <v>NR</v>
          </cell>
          <cell r="O13069" t="str">
            <v>NR</v>
          </cell>
        </row>
        <row r="13070">
          <cell r="E13070" t="str">
            <v>PHIL</v>
          </cell>
          <cell r="F13070" t="str">
            <v>PHIL-G</v>
          </cell>
          <cell r="G13070">
            <v>901</v>
          </cell>
          <cell r="H13070" t="str">
            <v>PHIL-G901</v>
          </cell>
          <cell r="K13070" t="str">
            <v>O'Connor,Timothy William</v>
          </cell>
          <cell r="N13070" t="str">
            <v>NR</v>
          </cell>
          <cell r="O13070" t="str">
            <v>NR</v>
          </cell>
        </row>
        <row r="13071">
          <cell r="E13071" t="str">
            <v>PHIL</v>
          </cell>
          <cell r="F13071" t="str">
            <v>PHIL-P</v>
          </cell>
          <cell r="G13071">
            <v>100</v>
          </cell>
          <cell r="H13071" t="str">
            <v>PHIL-P100</v>
          </cell>
          <cell r="K13071" t="str">
            <v>Gehring,Allen S</v>
          </cell>
          <cell r="N13071">
            <v>3.1619999999999999</v>
          </cell>
          <cell r="O13071">
            <v>2.915</v>
          </cell>
        </row>
        <row r="13072">
          <cell r="E13072" t="str">
            <v>PHIL</v>
          </cell>
          <cell r="F13072" t="str">
            <v>PHIL-P</v>
          </cell>
          <cell r="G13072">
            <v>100</v>
          </cell>
          <cell r="H13072" t="str">
            <v>PHIL-P100</v>
          </cell>
          <cell r="K13072" t="str">
            <v>Leite,Adam Joaquim</v>
          </cell>
          <cell r="N13072">
            <v>2.9660000000000002</v>
          </cell>
          <cell r="O13072">
            <v>2.9209999999999998</v>
          </cell>
        </row>
        <row r="13073">
          <cell r="E13073" t="str">
            <v>PHIL</v>
          </cell>
          <cell r="F13073" t="str">
            <v>PHIL-P</v>
          </cell>
          <cell r="G13073">
            <v>100</v>
          </cell>
          <cell r="H13073" t="str">
            <v>PHIL-P100</v>
          </cell>
          <cell r="K13073" t="str">
            <v>Ludwig,Kirk</v>
          </cell>
          <cell r="N13073">
            <v>3.242</v>
          </cell>
          <cell r="O13073">
            <v>2.8639999999999999</v>
          </cell>
        </row>
        <row r="13074">
          <cell r="E13074" t="str">
            <v>PHIL</v>
          </cell>
          <cell r="F13074" t="str">
            <v>PHIL-P</v>
          </cell>
          <cell r="G13074">
            <v>100</v>
          </cell>
          <cell r="H13074" t="str">
            <v>PHIL-P100</v>
          </cell>
          <cell r="K13074" t="str">
            <v>Phillips,Blakely Lauren</v>
          </cell>
          <cell r="N13074">
            <v>3.319</v>
          </cell>
          <cell r="O13074">
            <v>2.9239999999999999</v>
          </cell>
        </row>
        <row r="13075">
          <cell r="E13075" t="str">
            <v>PHIL</v>
          </cell>
          <cell r="F13075" t="str">
            <v>PHIL-P</v>
          </cell>
          <cell r="G13075">
            <v>100</v>
          </cell>
          <cell r="H13075" t="str">
            <v>PHIL-P100</v>
          </cell>
          <cell r="K13075" t="str">
            <v>Rodkey,Krista Lynae</v>
          </cell>
          <cell r="N13075">
            <v>3.2389999999999999</v>
          </cell>
          <cell r="O13075">
            <v>2.8250000000000002</v>
          </cell>
        </row>
        <row r="13076">
          <cell r="E13076" t="str">
            <v>PHIL</v>
          </cell>
          <cell r="F13076" t="str">
            <v>PHIL-P</v>
          </cell>
          <cell r="G13076">
            <v>100</v>
          </cell>
          <cell r="H13076" t="str">
            <v>PHIL-P100</v>
          </cell>
          <cell r="K13076" t="str">
            <v>Schmitt,Frederick F.</v>
          </cell>
          <cell r="N13076">
            <v>2.9359999999999999</v>
          </cell>
          <cell r="O13076">
            <v>2.911</v>
          </cell>
        </row>
        <row r="13077">
          <cell r="E13077" t="str">
            <v>PHIL</v>
          </cell>
          <cell r="F13077" t="str">
            <v>PHIL-P</v>
          </cell>
          <cell r="G13077">
            <v>100</v>
          </cell>
          <cell r="H13077" t="str">
            <v>PHIL-P100</v>
          </cell>
          <cell r="K13077" t="str">
            <v>Schmitt,Frederick F.</v>
          </cell>
          <cell r="N13077">
            <v>3.0049999999999999</v>
          </cell>
          <cell r="O13077">
            <v>2.9140000000000001</v>
          </cell>
        </row>
        <row r="13078">
          <cell r="E13078" t="str">
            <v>PHIL</v>
          </cell>
          <cell r="F13078" t="str">
            <v>PHIL-P</v>
          </cell>
          <cell r="G13078">
            <v>100</v>
          </cell>
          <cell r="H13078" t="str">
            <v>PHIL-P100</v>
          </cell>
          <cell r="K13078" t="str">
            <v>Schmitt,Frederick F.</v>
          </cell>
          <cell r="N13078">
            <v>2.8140000000000001</v>
          </cell>
          <cell r="O13078">
            <v>2.9710000000000001</v>
          </cell>
        </row>
        <row r="13079">
          <cell r="E13079" t="str">
            <v>PHIL</v>
          </cell>
          <cell r="F13079" t="str">
            <v>PHIL-P</v>
          </cell>
          <cell r="G13079">
            <v>100</v>
          </cell>
          <cell r="H13079" t="str">
            <v>PHIL-P100</v>
          </cell>
          <cell r="K13079" t="str">
            <v>Schmitt,Frederick F.</v>
          </cell>
          <cell r="N13079">
            <v>3.0960000000000001</v>
          </cell>
          <cell r="O13079">
            <v>2.806</v>
          </cell>
        </row>
        <row r="13080">
          <cell r="E13080" t="str">
            <v>PHIL</v>
          </cell>
          <cell r="F13080" t="str">
            <v>PHIL-P</v>
          </cell>
          <cell r="G13080">
            <v>100</v>
          </cell>
          <cell r="H13080" t="str">
            <v>PHIL-P100</v>
          </cell>
          <cell r="K13080" t="str">
            <v>Woodward,Philip Paton Taylor</v>
          </cell>
          <cell r="N13080">
            <v>1.9970000000000001</v>
          </cell>
          <cell r="O13080">
            <v>2.645</v>
          </cell>
        </row>
        <row r="13081">
          <cell r="E13081" t="str">
            <v>PHIL</v>
          </cell>
          <cell r="F13081" t="str">
            <v>PHIL-P</v>
          </cell>
          <cell r="G13081">
            <v>105</v>
          </cell>
          <cell r="H13081" t="str">
            <v>PHIL-P105</v>
          </cell>
          <cell r="K13081" t="str">
            <v>Blake,Susan Marie</v>
          </cell>
          <cell r="N13081">
            <v>2.7770000000000001</v>
          </cell>
          <cell r="O13081">
            <v>2.931</v>
          </cell>
        </row>
        <row r="13082">
          <cell r="E13082" t="str">
            <v>PHIL</v>
          </cell>
          <cell r="F13082" t="str">
            <v>PHIL-P</v>
          </cell>
          <cell r="G13082">
            <v>105</v>
          </cell>
          <cell r="H13082" t="str">
            <v>PHIL-P105</v>
          </cell>
          <cell r="K13082" t="str">
            <v>Fisher,David Francis</v>
          </cell>
          <cell r="N13082">
            <v>2.9239999999999999</v>
          </cell>
          <cell r="O13082">
            <v>2.9089999999999998</v>
          </cell>
        </row>
        <row r="13083">
          <cell r="E13083" t="str">
            <v>PHIL</v>
          </cell>
          <cell r="F13083" t="str">
            <v>PHIL-P</v>
          </cell>
          <cell r="G13083">
            <v>105</v>
          </cell>
          <cell r="H13083" t="str">
            <v>PHIL-P105</v>
          </cell>
          <cell r="K13083" t="str">
            <v>Gonnerman,Chad Allen</v>
          </cell>
          <cell r="N13083">
            <v>3.0209999999999999</v>
          </cell>
          <cell r="O13083">
            <v>2.7679999999999998</v>
          </cell>
        </row>
        <row r="13084">
          <cell r="E13084" t="str">
            <v>PHIL</v>
          </cell>
          <cell r="F13084" t="str">
            <v>PHIL-P</v>
          </cell>
          <cell r="G13084">
            <v>105</v>
          </cell>
          <cell r="H13084" t="str">
            <v>PHIL-P105</v>
          </cell>
          <cell r="K13084" t="str">
            <v>Houser,Kevin Lloyd</v>
          </cell>
          <cell r="N13084">
            <v>2.9380000000000002</v>
          </cell>
          <cell r="O13084">
            <v>2.93</v>
          </cell>
        </row>
        <row r="13085">
          <cell r="E13085" t="str">
            <v>PHIL</v>
          </cell>
          <cell r="F13085" t="str">
            <v>PHIL-P</v>
          </cell>
          <cell r="G13085">
            <v>105</v>
          </cell>
          <cell r="H13085" t="str">
            <v>PHIL-P105</v>
          </cell>
          <cell r="K13085" t="str">
            <v>Jankovic,Marija</v>
          </cell>
          <cell r="N13085">
            <v>3.07</v>
          </cell>
          <cell r="O13085">
            <v>2.992</v>
          </cell>
        </row>
        <row r="13086">
          <cell r="E13086" t="str">
            <v>PHIL</v>
          </cell>
          <cell r="F13086" t="str">
            <v>PHIL-P</v>
          </cell>
          <cell r="G13086">
            <v>105</v>
          </cell>
          <cell r="H13086" t="str">
            <v>PHIL-P105</v>
          </cell>
          <cell r="K13086" t="str">
            <v>McMyler,Samuel Charles</v>
          </cell>
          <cell r="N13086">
            <v>3.0950000000000002</v>
          </cell>
          <cell r="O13086">
            <v>3.14</v>
          </cell>
        </row>
        <row r="13087">
          <cell r="E13087" t="str">
            <v>PHIL</v>
          </cell>
          <cell r="F13087" t="str">
            <v>PHIL-P</v>
          </cell>
          <cell r="G13087">
            <v>105</v>
          </cell>
          <cell r="H13087" t="str">
            <v>PHIL-P105</v>
          </cell>
          <cell r="K13087" t="str">
            <v>Savion,Leah</v>
          </cell>
          <cell r="N13087">
            <v>2.431</v>
          </cell>
          <cell r="O13087">
            <v>2.7149999999999999</v>
          </cell>
        </row>
        <row r="13088">
          <cell r="E13088" t="str">
            <v>PHIL</v>
          </cell>
          <cell r="F13088" t="str">
            <v>PHIL-P</v>
          </cell>
          <cell r="G13088">
            <v>105</v>
          </cell>
          <cell r="H13088" t="str">
            <v>PHIL-P105</v>
          </cell>
          <cell r="K13088" t="str">
            <v>Savion,Leah</v>
          </cell>
          <cell r="N13088">
            <v>3.077</v>
          </cell>
          <cell r="O13088">
            <v>2.9009999999999998</v>
          </cell>
        </row>
        <row r="13089">
          <cell r="E13089" t="str">
            <v>PHIL</v>
          </cell>
          <cell r="F13089" t="str">
            <v>PHIL-P</v>
          </cell>
          <cell r="G13089">
            <v>105</v>
          </cell>
          <cell r="H13089" t="str">
            <v>PHIL-P105</v>
          </cell>
          <cell r="K13089" t="str">
            <v>Waldo,Harrison</v>
          </cell>
          <cell r="N13089">
            <v>2.552</v>
          </cell>
          <cell r="O13089">
            <v>2.8359999999999999</v>
          </cell>
        </row>
        <row r="13090">
          <cell r="E13090" t="str">
            <v>PHIL</v>
          </cell>
          <cell r="F13090" t="str">
            <v>PHIL-P</v>
          </cell>
          <cell r="G13090">
            <v>135</v>
          </cell>
          <cell r="H13090" t="str">
            <v>PHIL-P135</v>
          </cell>
          <cell r="K13090" t="str">
            <v>Koss,Michael</v>
          </cell>
          <cell r="N13090">
            <v>2.5390000000000001</v>
          </cell>
          <cell r="O13090">
            <v>2.698</v>
          </cell>
        </row>
        <row r="13091">
          <cell r="E13091" t="str">
            <v>PHIL</v>
          </cell>
          <cell r="F13091" t="str">
            <v>PHIL-P</v>
          </cell>
          <cell r="G13091">
            <v>135</v>
          </cell>
          <cell r="H13091" t="str">
            <v>PHIL-P135</v>
          </cell>
          <cell r="K13091" t="str">
            <v>Phillips,Luke Porter</v>
          </cell>
          <cell r="N13091">
            <v>1.99</v>
          </cell>
          <cell r="O13091">
            <v>2.61</v>
          </cell>
        </row>
        <row r="13092">
          <cell r="E13092" t="str">
            <v>PHIL</v>
          </cell>
          <cell r="F13092" t="str">
            <v>PHIL-P</v>
          </cell>
          <cell r="G13092">
            <v>140</v>
          </cell>
          <cell r="H13092" t="str">
            <v>PHIL-P140</v>
          </cell>
          <cell r="K13092" t="str">
            <v>Abramson,Kate</v>
          </cell>
          <cell r="N13092">
            <v>2.9460000000000002</v>
          </cell>
          <cell r="O13092">
            <v>3.1080000000000001</v>
          </cell>
        </row>
        <row r="13093">
          <cell r="E13093" t="str">
            <v>PHIL</v>
          </cell>
          <cell r="F13093" t="str">
            <v>PHIL-P</v>
          </cell>
          <cell r="G13093">
            <v>140</v>
          </cell>
          <cell r="H13093" t="str">
            <v>PHIL-P140</v>
          </cell>
          <cell r="K13093" t="str">
            <v>Abramson,Kate</v>
          </cell>
          <cell r="N13093">
            <v>3.0369999999999999</v>
          </cell>
          <cell r="O13093">
            <v>2.9449999999999998</v>
          </cell>
        </row>
        <row r="13094">
          <cell r="E13094" t="str">
            <v>PHIL</v>
          </cell>
          <cell r="F13094" t="str">
            <v>PHIL-P</v>
          </cell>
          <cell r="G13094">
            <v>140</v>
          </cell>
          <cell r="H13094" t="str">
            <v>PHIL-P140</v>
          </cell>
          <cell r="K13094" t="str">
            <v>Davis,Emmalon Mika</v>
          </cell>
          <cell r="N13094">
            <v>2.6920000000000002</v>
          </cell>
          <cell r="O13094">
            <v>2.923</v>
          </cell>
        </row>
        <row r="13095">
          <cell r="E13095" t="str">
            <v>PHIL</v>
          </cell>
          <cell r="F13095" t="str">
            <v>PHIL-P</v>
          </cell>
          <cell r="G13095">
            <v>140</v>
          </cell>
          <cell r="H13095" t="str">
            <v>PHIL-P140</v>
          </cell>
          <cell r="K13095" t="str">
            <v>Perrine,Timothy Michael</v>
          </cell>
          <cell r="N13095">
            <v>2.5739999999999998</v>
          </cell>
          <cell r="O13095">
            <v>3.0750000000000002</v>
          </cell>
        </row>
        <row r="13096">
          <cell r="E13096" t="str">
            <v>PHIL</v>
          </cell>
          <cell r="F13096" t="str">
            <v>PHIL-P</v>
          </cell>
          <cell r="G13096">
            <v>140</v>
          </cell>
          <cell r="H13096" t="str">
            <v>PHIL-P140</v>
          </cell>
          <cell r="K13096" t="str">
            <v>Rodkey,Krista Lynae</v>
          </cell>
          <cell r="N13096">
            <v>2.3570000000000002</v>
          </cell>
          <cell r="O13096">
            <v>2.7749999999999999</v>
          </cell>
        </row>
        <row r="13097">
          <cell r="E13097" t="str">
            <v>PHIL</v>
          </cell>
          <cell r="F13097" t="str">
            <v>PHIL-P</v>
          </cell>
          <cell r="G13097">
            <v>140</v>
          </cell>
          <cell r="H13097" t="str">
            <v>PHIL-P140</v>
          </cell>
          <cell r="K13097" t="str">
            <v>Sommerlatte,Curtis Neil</v>
          </cell>
          <cell r="N13097">
            <v>2.8109999999999999</v>
          </cell>
          <cell r="O13097">
            <v>3.1190000000000002</v>
          </cell>
        </row>
        <row r="13098">
          <cell r="E13098" t="str">
            <v>PHIL</v>
          </cell>
          <cell r="F13098" t="str">
            <v>PHIL-P</v>
          </cell>
          <cell r="G13098">
            <v>150</v>
          </cell>
          <cell r="H13098" t="str">
            <v>PHIL-P150</v>
          </cell>
          <cell r="K13098" t="str">
            <v>McCarty,David Charles</v>
          </cell>
          <cell r="N13098">
            <v>2.9289999999999998</v>
          </cell>
          <cell r="O13098">
            <v>2.976</v>
          </cell>
        </row>
        <row r="13099">
          <cell r="E13099" t="str">
            <v>PHIL</v>
          </cell>
          <cell r="F13099" t="str">
            <v>PHIL-P</v>
          </cell>
          <cell r="G13099">
            <v>150</v>
          </cell>
          <cell r="H13099" t="str">
            <v>PHIL-P150</v>
          </cell>
          <cell r="K13099" t="str">
            <v>Savion,Leah</v>
          </cell>
          <cell r="N13099">
            <v>2.6850000000000001</v>
          </cell>
          <cell r="O13099">
            <v>3.0270000000000001</v>
          </cell>
        </row>
        <row r="13100">
          <cell r="E13100" t="str">
            <v>PHIL</v>
          </cell>
          <cell r="F13100" t="str">
            <v>PHIL-P</v>
          </cell>
          <cell r="G13100">
            <v>211</v>
          </cell>
          <cell r="H13100" t="str">
            <v>PHIL-P211</v>
          </cell>
          <cell r="K13100" t="str">
            <v>Abramson,Kate</v>
          </cell>
          <cell r="N13100">
            <v>3.214</v>
          </cell>
          <cell r="O13100">
            <v>3.1160000000000001</v>
          </cell>
        </row>
        <row r="13101">
          <cell r="E13101" t="str">
            <v>PHIL</v>
          </cell>
          <cell r="F13101" t="str">
            <v>PHIL-P</v>
          </cell>
          <cell r="G13101">
            <v>250</v>
          </cell>
          <cell r="H13101" t="str">
            <v>PHIL-P250</v>
          </cell>
          <cell r="K13101" t="str">
            <v>Kaplan,Mark</v>
          </cell>
          <cell r="N13101">
            <v>2.56</v>
          </cell>
          <cell r="O13101">
            <v>3.0720000000000001</v>
          </cell>
        </row>
        <row r="13102">
          <cell r="E13102" t="str">
            <v>PHIL</v>
          </cell>
          <cell r="F13102" t="str">
            <v>PHIL-P</v>
          </cell>
          <cell r="G13102">
            <v>250</v>
          </cell>
          <cell r="H13102" t="str">
            <v>PHIL-P250</v>
          </cell>
          <cell r="K13102" t="str">
            <v>Kaplan,Mark</v>
          </cell>
          <cell r="N13102">
            <v>1.946</v>
          </cell>
          <cell r="O13102">
            <v>2.8330000000000002</v>
          </cell>
        </row>
        <row r="13103">
          <cell r="E13103" t="str">
            <v>PHIL</v>
          </cell>
          <cell r="F13103" t="str">
            <v>PHIL-P</v>
          </cell>
          <cell r="G13103">
            <v>250</v>
          </cell>
          <cell r="H13103" t="str">
            <v>PHIL-P250</v>
          </cell>
          <cell r="K13103" t="str">
            <v>Savion,Leah</v>
          </cell>
          <cell r="N13103">
            <v>3.0779999999999998</v>
          </cell>
          <cell r="O13103">
            <v>3.1880000000000002</v>
          </cell>
        </row>
        <row r="13104">
          <cell r="E13104" t="str">
            <v>PHIL</v>
          </cell>
          <cell r="F13104" t="str">
            <v>PHIL-P</v>
          </cell>
          <cell r="G13104">
            <v>250</v>
          </cell>
          <cell r="H13104" t="str">
            <v>PHIL-P250</v>
          </cell>
          <cell r="K13104" t="str">
            <v>Savion,Leah</v>
          </cell>
          <cell r="N13104">
            <v>2.911</v>
          </cell>
          <cell r="O13104">
            <v>3.0419999999999998</v>
          </cell>
        </row>
        <row r="13105">
          <cell r="E13105" t="str">
            <v>PHIL</v>
          </cell>
          <cell r="F13105" t="str">
            <v>PHIL-P</v>
          </cell>
          <cell r="G13105">
            <v>251</v>
          </cell>
          <cell r="H13105" t="str">
            <v>PHIL-P251</v>
          </cell>
          <cell r="K13105" t="str">
            <v>Weiner,Joan</v>
          </cell>
          <cell r="N13105">
            <v>2.8679999999999999</v>
          </cell>
          <cell r="O13105">
            <v>3.2290000000000001</v>
          </cell>
        </row>
        <row r="13106">
          <cell r="E13106" t="str">
            <v>PHIL</v>
          </cell>
          <cell r="F13106" t="str">
            <v>PHIL-P</v>
          </cell>
          <cell r="G13106">
            <v>312</v>
          </cell>
          <cell r="H13106" t="str">
            <v>PHIL-P312</v>
          </cell>
          <cell r="K13106" t="str">
            <v>Kaplan,Mark</v>
          </cell>
          <cell r="N13106">
            <v>3.0459999999999998</v>
          </cell>
          <cell r="O13106">
            <v>3.1850000000000001</v>
          </cell>
        </row>
        <row r="13107">
          <cell r="E13107" t="str">
            <v>PHIL</v>
          </cell>
          <cell r="F13107" t="str">
            <v>PHIL-P</v>
          </cell>
          <cell r="G13107">
            <v>320</v>
          </cell>
          <cell r="H13107" t="str">
            <v>PHIL-P320</v>
          </cell>
          <cell r="K13107" t="str">
            <v>Ebbs,Gary</v>
          </cell>
          <cell r="N13107">
            <v>3.218</v>
          </cell>
          <cell r="O13107">
            <v>3.089</v>
          </cell>
        </row>
        <row r="13108">
          <cell r="E13108" t="str">
            <v>PHIL</v>
          </cell>
          <cell r="F13108" t="str">
            <v>PHIL-P</v>
          </cell>
          <cell r="G13108">
            <v>340</v>
          </cell>
          <cell r="H13108" t="str">
            <v>PHIL-P340</v>
          </cell>
          <cell r="K13108" t="str">
            <v>Abramson,Kate</v>
          </cell>
          <cell r="N13108">
            <v>3.2770000000000001</v>
          </cell>
          <cell r="O13108">
            <v>3.2330000000000001</v>
          </cell>
        </row>
        <row r="13109">
          <cell r="E13109" t="str">
            <v>PHIL</v>
          </cell>
          <cell r="F13109" t="str">
            <v>PHIL-P</v>
          </cell>
          <cell r="G13109">
            <v>343</v>
          </cell>
          <cell r="H13109" t="str">
            <v>PHIL-P343</v>
          </cell>
          <cell r="K13109" t="str">
            <v>Wood,Allen William</v>
          </cell>
          <cell r="N13109">
            <v>3.2269999999999999</v>
          </cell>
          <cell r="O13109">
            <v>3.302</v>
          </cell>
        </row>
        <row r="13110">
          <cell r="E13110" t="str">
            <v>PHIL</v>
          </cell>
          <cell r="F13110" t="str">
            <v>PHIL-P</v>
          </cell>
          <cell r="G13110">
            <v>346</v>
          </cell>
          <cell r="H13110" t="str">
            <v>PHIL-P346</v>
          </cell>
          <cell r="K13110" t="str">
            <v>Shapshay,Sandra L.</v>
          </cell>
          <cell r="N13110">
            <v>3.6150000000000002</v>
          </cell>
          <cell r="O13110">
            <v>3.4369999999999998</v>
          </cell>
        </row>
        <row r="13111">
          <cell r="E13111" t="str">
            <v>PHIL</v>
          </cell>
          <cell r="F13111" t="str">
            <v>PHIL-P</v>
          </cell>
          <cell r="G13111">
            <v>366</v>
          </cell>
          <cell r="H13111" t="str">
            <v>PHIL-P366</v>
          </cell>
          <cell r="K13111" t="str">
            <v>Ludwig,Kirk</v>
          </cell>
          <cell r="N13111">
            <v>3.0619999999999998</v>
          </cell>
          <cell r="O13111">
            <v>3.1859999999999999</v>
          </cell>
        </row>
        <row r="13112">
          <cell r="E13112" t="str">
            <v>PHIL</v>
          </cell>
          <cell r="F13112" t="str">
            <v>PHIL-P</v>
          </cell>
          <cell r="G13112">
            <v>374</v>
          </cell>
          <cell r="H13112" t="str">
            <v>PHIL-P374</v>
          </cell>
          <cell r="K13112" t="str">
            <v>Stalnaker,Aaron Dean</v>
          </cell>
          <cell r="N13112">
            <v>3.68</v>
          </cell>
          <cell r="O13112">
            <v>3.5070000000000001</v>
          </cell>
        </row>
        <row r="13113">
          <cell r="E13113" t="str">
            <v>PHIL</v>
          </cell>
          <cell r="F13113" t="str">
            <v>PHIL-P</v>
          </cell>
          <cell r="G13113">
            <v>375</v>
          </cell>
          <cell r="H13113" t="str">
            <v>PHIL-P375</v>
          </cell>
          <cell r="K13113" t="str">
            <v>Baron,Marcia</v>
          </cell>
          <cell r="N13113">
            <v>3.4580000000000002</v>
          </cell>
          <cell r="O13113">
            <v>3.27</v>
          </cell>
        </row>
        <row r="13114">
          <cell r="E13114" t="str">
            <v>PHIL</v>
          </cell>
          <cell r="F13114" t="str">
            <v>PHIL-P</v>
          </cell>
          <cell r="G13114">
            <v>401</v>
          </cell>
          <cell r="H13114" t="str">
            <v>PHIL-P401</v>
          </cell>
          <cell r="K13114" t="str">
            <v>Swanson,Carrie Elizabeth</v>
          </cell>
          <cell r="N13114">
            <v>2.7240000000000002</v>
          </cell>
          <cell r="O13114">
            <v>3.04</v>
          </cell>
        </row>
        <row r="13115">
          <cell r="E13115" t="str">
            <v>PHIL</v>
          </cell>
          <cell r="F13115" t="str">
            <v>PHIL-P</v>
          </cell>
          <cell r="G13115">
            <v>401</v>
          </cell>
          <cell r="H13115" t="str">
            <v>PHIL-P401</v>
          </cell>
          <cell r="K13115" t="str">
            <v>Wood,Allen William</v>
          </cell>
          <cell r="N13115">
            <v>3.2719999999999998</v>
          </cell>
          <cell r="O13115">
            <v>3.286</v>
          </cell>
        </row>
        <row r="13116">
          <cell r="E13116" t="str">
            <v>PHIL</v>
          </cell>
          <cell r="F13116" t="str">
            <v>PHIL-P</v>
          </cell>
          <cell r="G13116">
            <v>401</v>
          </cell>
          <cell r="H13116" t="str">
            <v>PHIL-P401</v>
          </cell>
          <cell r="K13116" t="str">
            <v>Wood,Rega</v>
          </cell>
          <cell r="N13116">
            <v>3.153</v>
          </cell>
          <cell r="O13116">
            <v>3.165</v>
          </cell>
        </row>
        <row r="13117">
          <cell r="E13117" t="str">
            <v>PHIL</v>
          </cell>
          <cell r="F13117" t="str">
            <v>PHIL-P</v>
          </cell>
          <cell r="G13117">
            <v>401</v>
          </cell>
          <cell r="H13117" t="str">
            <v>PHIL-P401</v>
          </cell>
          <cell r="K13117" t="str">
            <v>Wood,Rega</v>
          </cell>
          <cell r="N13117">
            <v>3.5070000000000001</v>
          </cell>
          <cell r="O13117">
            <v>3.153</v>
          </cell>
        </row>
        <row r="13118">
          <cell r="E13118" t="str">
            <v>PHIL</v>
          </cell>
          <cell r="F13118" t="str">
            <v>PHIL-P</v>
          </cell>
          <cell r="G13118">
            <v>470</v>
          </cell>
          <cell r="H13118" t="str">
            <v>PHIL-P470</v>
          </cell>
          <cell r="K13118" t="str">
            <v>Ebbs,Gary</v>
          </cell>
          <cell r="N13118">
            <v>3.5470000000000002</v>
          </cell>
          <cell r="O13118">
            <v>3.2570000000000001</v>
          </cell>
        </row>
        <row r="13119">
          <cell r="E13119" t="str">
            <v>PHIL</v>
          </cell>
          <cell r="F13119" t="str">
            <v>PHIL-P</v>
          </cell>
          <cell r="G13119">
            <v>490</v>
          </cell>
          <cell r="H13119" t="str">
            <v>PHIL-P490</v>
          </cell>
          <cell r="K13119" t="str">
            <v>O'Connor,Timothy William</v>
          </cell>
          <cell r="N13119" t="str">
            <v>NR</v>
          </cell>
          <cell r="O13119" t="str">
            <v>NR</v>
          </cell>
        </row>
        <row r="13120">
          <cell r="E13120" t="str">
            <v>PHIL</v>
          </cell>
          <cell r="F13120" t="str">
            <v>PHIL-P</v>
          </cell>
          <cell r="G13120">
            <v>498</v>
          </cell>
          <cell r="H13120" t="str">
            <v>PHIL-P498</v>
          </cell>
          <cell r="K13120" t="str">
            <v>Ebbs,Gary</v>
          </cell>
          <cell r="N13120" t="str">
            <v>NR</v>
          </cell>
          <cell r="O13120" t="str">
            <v>NR</v>
          </cell>
        </row>
        <row r="13121">
          <cell r="E13121" t="str">
            <v>PHIL</v>
          </cell>
          <cell r="F13121" t="str">
            <v>PHIL-P</v>
          </cell>
          <cell r="G13121">
            <v>499</v>
          </cell>
          <cell r="H13121" t="str">
            <v>PHIL-P499</v>
          </cell>
          <cell r="K13121" t="str">
            <v>O'Connor,Timothy William</v>
          </cell>
          <cell r="N13121" t="str">
            <v>NR</v>
          </cell>
          <cell r="O13121" t="str">
            <v>NR</v>
          </cell>
        </row>
        <row r="13122">
          <cell r="E13122" t="str">
            <v>PHIL</v>
          </cell>
          <cell r="F13122" t="str">
            <v>PHIL-P</v>
          </cell>
          <cell r="G13122">
            <v>505</v>
          </cell>
          <cell r="H13122" t="str">
            <v>PHIL-P505</v>
          </cell>
          <cell r="K13122" t="str">
            <v>Weiner,Joan</v>
          </cell>
          <cell r="N13122">
            <v>3.625</v>
          </cell>
          <cell r="O13122">
            <v>3.69</v>
          </cell>
        </row>
        <row r="13123">
          <cell r="E13123" t="str">
            <v>PHIL</v>
          </cell>
          <cell r="F13123" t="str">
            <v>PHIL-P</v>
          </cell>
          <cell r="G13123">
            <v>515</v>
          </cell>
          <cell r="H13123" t="str">
            <v>PHIL-P515</v>
          </cell>
          <cell r="K13123" t="str">
            <v>Wood,Rega</v>
          </cell>
          <cell r="N13123" t="str">
            <v>NR</v>
          </cell>
          <cell r="O13123" t="str">
            <v>NR</v>
          </cell>
        </row>
        <row r="13124">
          <cell r="E13124" t="str">
            <v>PHIL</v>
          </cell>
          <cell r="F13124" t="str">
            <v>PHIL-P</v>
          </cell>
          <cell r="G13124">
            <v>520</v>
          </cell>
          <cell r="H13124" t="str">
            <v>PHIL-P520</v>
          </cell>
          <cell r="K13124" t="str">
            <v>Ludwig,Kirk</v>
          </cell>
          <cell r="N13124">
            <v>3.6829999999999998</v>
          </cell>
          <cell r="O13124">
            <v>3.863</v>
          </cell>
        </row>
        <row r="13125">
          <cell r="E13125" t="str">
            <v>PHIL</v>
          </cell>
          <cell r="F13125" t="str">
            <v>PHIL-P</v>
          </cell>
          <cell r="G13125">
            <v>522</v>
          </cell>
          <cell r="H13125" t="str">
            <v>PHIL-P522</v>
          </cell>
          <cell r="K13125" t="str">
            <v>Wood,Allen William</v>
          </cell>
          <cell r="N13125">
            <v>3.867</v>
          </cell>
          <cell r="O13125">
            <v>3.8889999999999998</v>
          </cell>
        </row>
        <row r="13126">
          <cell r="E13126" t="str">
            <v>PHIL</v>
          </cell>
          <cell r="F13126" t="str">
            <v>PHIL-P</v>
          </cell>
          <cell r="G13126">
            <v>530</v>
          </cell>
          <cell r="H13126" t="str">
            <v>PHIL-P530</v>
          </cell>
          <cell r="K13126" t="str">
            <v>McCarty,David Charles</v>
          </cell>
          <cell r="N13126">
            <v>3.556</v>
          </cell>
          <cell r="O13126">
            <v>3.8149999999999999</v>
          </cell>
        </row>
        <row r="13127">
          <cell r="E13127" t="str">
            <v>PHIL</v>
          </cell>
          <cell r="F13127" t="str">
            <v>PHIL-P</v>
          </cell>
          <cell r="G13127">
            <v>543</v>
          </cell>
          <cell r="H13127" t="str">
            <v>PHIL-P543</v>
          </cell>
          <cell r="K13127" t="str">
            <v>Baron,Marcia</v>
          </cell>
          <cell r="N13127" t="str">
            <v>NR</v>
          </cell>
          <cell r="O13127" t="str">
            <v>NR</v>
          </cell>
        </row>
        <row r="13128">
          <cell r="E13128" t="str">
            <v>PHIL</v>
          </cell>
          <cell r="F13128" t="str">
            <v>PHIL-P</v>
          </cell>
          <cell r="G13128">
            <v>546</v>
          </cell>
          <cell r="H13128" t="str">
            <v>PHIL-P546</v>
          </cell>
          <cell r="K13128" t="str">
            <v>Shapshay,Sandra L.</v>
          </cell>
          <cell r="N13128" t="str">
            <v>NR</v>
          </cell>
          <cell r="O13128" t="str">
            <v>NR</v>
          </cell>
        </row>
        <row r="13129">
          <cell r="E13129" t="str">
            <v>PHIL</v>
          </cell>
          <cell r="F13129" t="str">
            <v>PHIL-P</v>
          </cell>
          <cell r="G13129">
            <v>551</v>
          </cell>
          <cell r="H13129" t="str">
            <v>PHIL-P551</v>
          </cell>
          <cell r="K13129" t="str">
            <v>Moss,Lawrence S.</v>
          </cell>
          <cell r="N13129" t="str">
            <v>NR</v>
          </cell>
          <cell r="O13129" t="str">
            <v>NR</v>
          </cell>
        </row>
        <row r="13130">
          <cell r="E13130" t="str">
            <v>PHIL</v>
          </cell>
          <cell r="F13130" t="str">
            <v>PHIL-P</v>
          </cell>
          <cell r="G13130">
            <v>590</v>
          </cell>
          <cell r="H13130" t="str">
            <v>PHIL-P590</v>
          </cell>
          <cell r="K13130" t="str">
            <v>Ebbs,Gary</v>
          </cell>
          <cell r="N13130" t="str">
            <v>NR</v>
          </cell>
          <cell r="O13130" t="str">
            <v>NR</v>
          </cell>
        </row>
        <row r="13131">
          <cell r="E13131" t="str">
            <v>PHIL</v>
          </cell>
          <cell r="F13131" t="str">
            <v>PHIL-P</v>
          </cell>
          <cell r="G13131">
            <v>590</v>
          </cell>
          <cell r="H13131" t="str">
            <v>PHIL-P590</v>
          </cell>
          <cell r="K13131" t="str">
            <v>Ebbs,Gary</v>
          </cell>
          <cell r="N13131" t="str">
            <v>NR</v>
          </cell>
          <cell r="O13131" t="str">
            <v>NR</v>
          </cell>
        </row>
        <row r="13132">
          <cell r="E13132" t="str">
            <v>PHIL</v>
          </cell>
          <cell r="F13132" t="str">
            <v>PHIL-P</v>
          </cell>
          <cell r="G13132">
            <v>590</v>
          </cell>
          <cell r="H13132" t="str">
            <v>PHIL-P590</v>
          </cell>
          <cell r="K13132" t="str">
            <v>O'Connor,Timothy William</v>
          </cell>
          <cell r="N13132" t="str">
            <v>NR</v>
          </cell>
          <cell r="O13132" t="str">
            <v>NR</v>
          </cell>
        </row>
        <row r="13133">
          <cell r="E13133" t="str">
            <v>PHIL</v>
          </cell>
          <cell r="F13133" t="str">
            <v>PHIL-P</v>
          </cell>
          <cell r="G13133">
            <v>597</v>
          </cell>
          <cell r="H13133" t="str">
            <v>PHIL-P597</v>
          </cell>
          <cell r="K13133" t="str">
            <v>O'Connor,Timothy William</v>
          </cell>
          <cell r="N13133" t="str">
            <v>NR</v>
          </cell>
          <cell r="O13133" t="str">
            <v>NR</v>
          </cell>
        </row>
        <row r="13134">
          <cell r="E13134" t="str">
            <v>PHIL</v>
          </cell>
          <cell r="F13134" t="str">
            <v>PHIL-P</v>
          </cell>
          <cell r="G13134">
            <v>710</v>
          </cell>
          <cell r="H13134" t="str">
            <v>PHIL-P710</v>
          </cell>
          <cell r="K13134" t="str">
            <v>Ebbs,Gary</v>
          </cell>
          <cell r="N13134" t="str">
            <v>NR</v>
          </cell>
          <cell r="O13134" t="str">
            <v>NR</v>
          </cell>
        </row>
        <row r="13135">
          <cell r="E13135" t="str">
            <v>PHIL</v>
          </cell>
          <cell r="F13135" t="str">
            <v>PHIL-P</v>
          </cell>
          <cell r="G13135">
            <v>710</v>
          </cell>
          <cell r="H13135" t="str">
            <v>PHIL-P710</v>
          </cell>
          <cell r="K13135" t="str">
            <v>Swanson,Carrie Elizabeth</v>
          </cell>
          <cell r="N13135" t="str">
            <v>NR</v>
          </cell>
          <cell r="O13135" t="str">
            <v>NR</v>
          </cell>
        </row>
        <row r="13136">
          <cell r="E13136" t="str">
            <v>PHIL</v>
          </cell>
          <cell r="F13136" t="str">
            <v>PHIL-P</v>
          </cell>
          <cell r="G13136">
            <v>710</v>
          </cell>
          <cell r="H13136" t="str">
            <v>PHIL-P710</v>
          </cell>
          <cell r="K13136" t="str">
            <v>Wood,Allen William</v>
          </cell>
          <cell r="N13136">
            <v>3.8090000000000002</v>
          </cell>
          <cell r="O13136">
            <v>3.8319999999999999</v>
          </cell>
        </row>
        <row r="13137">
          <cell r="E13137" t="str">
            <v>PHIL</v>
          </cell>
          <cell r="F13137" t="str">
            <v>PHIL-P</v>
          </cell>
          <cell r="G13137">
            <v>730</v>
          </cell>
          <cell r="H13137" t="str">
            <v>PHIL-P730</v>
          </cell>
          <cell r="K13137" t="str">
            <v>Leite,Adam Joaquim</v>
          </cell>
          <cell r="N13137" t="str">
            <v>NR</v>
          </cell>
          <cell r="O13137" t="str">
            <v>NR</v>
          </cell>
        </row>
        <row r="13138">
          <cell r="E13138" t="str">
            <v>PHIL</v>
          </cell>
          <cell r="F13138" t="str">
            <v>PHIL-P</v>
          </cell>
          <cell r="G13138">
            <v>760</v>
          </cell>
          <cell r="H13138" t="str">
            <v>PHIL-P760</v>
          </cell>
          <cell r="K13138" t="str">
            <v>Kaplan,Mark</v>
          </cell>
          <cell r="N13138" t="str">
            <v>NR</v>
          </cell>
          <cell r="O13138" t="str">
            <v>NR</v>
          </cell>
        </row>
        <row r="13139">
          <cell r="E13139" t="str">
            <v>PHIL</v>
          </cell>
          <cell r="F13139" t="str">
            <v>PHIL-P</v>
          </cell>
          <cell r="G13139">
            <v>805</v>
          </cell>
          <cell r="H13139" t="str">
            <v>PHIL-P805</v>
          </cell>
          <cell r="K13139" t="str">
            <v>Ebbs,Gary</v>
          </cell>
          <cell r="N13139" t="str">
            <v>NR</v>
          </cell>
          <cell r="O13139" t="str">
            <v>NR</v>
          </cell>
        </row>
        <row r="13140">
          <cell r="E13140" t="str">
            <v>PHIL</v>
          </cell>
          <cell r="F13140" t="str">
            <v>PHIL-P</v>
          </cell>
          <cell r="G13140">
            <v>805</v>
          </cell>
          <cell r="H13140" t="str">
            <v>PHIL-P805</v>
          </cell>
          <cell r="K13140" t="str">
            <v>O'Connor,Timothy William</v>
          </cell>
          <cell r="N13140" t="str">
            <v>NR</v>
          </cell>
          <cell r="O13140" t="str">
            <v>NR</v>
          </cell>
        </row>
        <row r="13141">
          <cell r="E13141" t="str">
            <v>PHSL</v>
          </cell>
          <cell r="F13141" t="str">
            <v>PHSL-P</v>
          </cell>
          <cell r="G13141">
            <v>214</v>
          </cell>
          <cell r="H13141" t="str">
            <v>PHSL-P214</v>
          </cell>
          <cell r="K13141" t="str">
            <v>Mynark,Richard G</v>
          </cell>
          <cell r="N13141" t="str">
            <v>NR</v>
          </cell>
          <cell r="O13141" t="str">
            <v>NR</v>
          </cell>
        </row>
        <row r="13142">
          <cell r="E13142" t="str">
            <v>PHSL</v>
          </cell>
          <cell r="F13142" t="str">
            <v>PHSL-P</v>
          </cell>
          <cell r="G13142">
            <v>214</v>
          </cell>
          <cell r="H13142" t="str">
            <v>PHSL-P214</v>
          </cell>
          <cell r="K13142" t="str">
            <v>Ronan,Mark</v>
          </cell>
          <cell r="N13142" t="str">
            <v>NR</v>
          </cell>
          <cell r="O13142" t="str">
            <v>NR</v>
          </cell>
        </row>
        <row r="13143">
          <cell r="E13143" t="str">
            <v>PHSL</v>
          </cell>
          <cell r="F13143" t="str">
            <v>PHSL-P</v>
          </cell>
          <cell r="G13143">
            <v>215</v>
          </cell>
          <cell r="H13143" t="str">
            <v>PHSL-P215</v>
          </cell>
          <cell r="K13143" t="str">
            <v>Mynark,Richard G</v>
          </cell>
          <cell r="N13143">
            <v>2.4630000000000001</v>
          </cell>
          <cell r="O13143">
            <v>3.157</v>
          </cell>
        </row>
        <row r="13144">
          <cell r="E13144" t="str">
            <v>PHSL</v>
          </cell>
          <cell r="F13144" t="str">
            <v>PHSL-P</v>
          </cell>
          <cell r="G13144">
            <v>215</v>
          </cell>
          <cell r="H13144" t="str">
            <v>PHSL-P215</v>
          </cell>
          <cell r="K13144" t="str">
            <v>Ronan,Mark</v>
          </cell>
          <cell r="N13144">
            <v>2.726</v>
          </cell>
          <cell r="O13144">
            <v>3.266</v>
          </cell>
        </row>
        <row r="13145">
          <cell r="E13145" t="str">
            <v>PHSL</v>
          </cell>
          <cell r="F13145" t="str">
            <v>PHSL-P</v>
          </cell>
          <cell r="G13145">
            <v>416</v>
          </cell>
          <cell r="H13145" t="str">
            <v>PHSL-P416</v>
          </cell>
          <cell r="K13145" t="str">
            <v>Ronan,Mark</v>
          </cell>
          <cell r="N13145">
            <v>3.8330000000000002</v>
          </cell>
          <cell r="O13145">
            <v>3.2</v>
          </cell>
        </row>
        <row r="13146">
          <cell r="E13146" t="str">
            <v>PHSL</v>
          </cell>
          <cell r="F13146" t="str">
            <v>PHSL-P</v>
          </cell>
          <cell r="G13146">
            <v>530</v>
          </cell>
          <cell r="H13146" t="str">
            <v>PHSL-P530</v>
          </cell>
          <cell r="K13146" t="str">
            <v>Mynark,Richard G</v>
          </cell>
          <cell r="N13146" t="str">
            <v>NR</v>
          </cell>
          <cell r="O13146" t="str">
            <v>NR</v>
          </cell>
        </row>
        <row r="13147">
          <cell r="E13147" t="str">
            <v>PHSL</v>
          </cell>
          <cell r="F13147" t="str">
            <v>PHSL-P</v>
          </cell>
          <cell r="G13147">
            <v>531</v>
          </cell>
          <cell r="H13147" t="str">
            <v>PHSL-P531</v>
          </cell>
          <cell r="K13147" t="str">
            <v>Martin,Bruce Joseph</v>
          </cell>
          <cell r="N13147">
            <v>3.14</v>
          </cell>
          <cell r="O13147">
            <v>3.528</v>
          </cell>
        </row>
        <row r="13148">
          <cell r="E13148" t="str">
            <v>PHSL</v>
          </cell>
          <cell r="F13148" t="str">
            <v>PHSL-P</v>
          </cell>
          <cell r="G13148">
            <v>532</v>
          </cell>
          <cell r="H13148" t="str">
            <v>PHSL-P532</v>
          </cell>
          <cell r="K13148" t="str">
            <v>Martin,Bruce Joseph</v>
          </cell>
          <cell r="N13148">
            <v>3.1819999999999999</v>
          </cell>
          <cell r="O13148">
            <v>3.6379999999999999</v>
          </cell>
        </row>
        <row r="13149">
          <cell r="E13149" t="str">
            <v>PHSL</v>
          </cell>
          <cell r="F13149" t="str">
            <v>PHSL-P</v>
          </cell>
          <cell r="G13149">
            <v>550</v>
          </cell>
          <cell r="H13149" t="str">
            <v>PHSL-P550</v>
          </cell>
          <cell r="K13149" t="str">
            <v>Foley,John G</v>
          </cell>
          <cell r="N13149" t="str">
            <v>NR</v>
          </cell>
          <cell r="O13149" t="str">
            <v>NR</v>
          </cell>
        </row>
        <row r="13150">
          <cell r="E13150" t="str">
            <v>PHSL</v>
          </cell>
          <cell r="F13150" t="str">
            <v>PHSL-P</v>
          </cell>
          <cell r="G13150">
            <v>800</v>
          </cell>
          <cell r="H13150" t="str">
            <v>PHSL-P800</v>
          </cell>
          <cell r="K13150" t="str">
            <v>Nephew,Kenneth P</v>
          </cell>
          <cell r="N13150" t="str">
            <v>NR</v>
          </cell>
          <cell r="O13150" t="str">
            <v>NR</v>
          </cell>
        </row>
        <row r="13151">
          <cell r="E13151" t="str">
            <v>PHYS</v>
          </cell>
          <cell r="F13151" t="str">
            <v>PHYS-G</v>
          </cell>
          <cell r="G13151">
            <v>901</v>
          </cell>
          <cell r="H13151" t="str">
            <v>PHYS-G901</v>
          </cell>
          <cell r="K13151" t="str">
            <v>Szczepaniak,Adam P</v>
          </cell>
          <cell r="N13151" t="str">
            <v>NR</v>
          </cell>
          <cell r="O13151" t="str">
            <v>NR</v>
          </cell>
        </row>
        <row r="13152">
          <cell r="E13152" t="str">
            <v>PHYS</v>
          </cell>
          <cell r="F13152" t="str">
            <v>PHYS-G</v>
          </cell>
          <cell r="G13152">
            <v>901</v>
          </cell>
          <cell r="H13152" t="str">
            <v>PHYS-G901</v>
          </cell>
          <cell r="K13152" t="str">
            <v>Szczepaniak,Adam P</v>
          </cell>
          <cell r="N13152">
            <v>3.9870000000000001</v>
          </cell>
          <cell r="O13152">
            <v>3.7869999999999999</v>
          </cell>
        </row>
        <row r="13153">
          <cell r="E13153" t="str">
            <v>PHYS</v>
          </cell>
          <cell r="F13153" t="str">
            <v>PHYS-G</v>
          </cell>
          <cell r="G13153">
            <v>901</v>
          </cell>
          <cell r="H13153" t="str">
            <v>PHYS-G901</v>
          </cell>
          <cell r="K13153" t="str">
            <v>Szczepaniak,Adam P</v>
          </cell>
          <cell r="N13153" t="str">
            <v>NR</v>
          </cell>
          <cell r="O13153" t="str">
            <v>NR</v>
          </cell>
        </row>
        <row r="13154">
          <cell r="E13154" t="str">
            <v>PHYS</v>
          </cell>
          <cell r="F13154" t="str">
            <v>PHYS-G</v>
          </cell>
          <cell r="G13154">
            <v>901</v>
          </cell>
          <cell r="H13154" t="str">
            <v>PHYS-G901</v>
          </cell>
          <cell r="K13154" t="str">
            <v>Szczepaniak,Adam P</v>
          </cell>
          <cell r="N13154" t="str">
            <v>NR</v>
          </cell>
          <cell r="O13154" t="str">
            <v>NR</v>
          </cell>
        </row>
        <row r="13155">
          <cell r="E13155" t="str">
            <v>PHYS</v>
          </cell>
          <cell r="F13155" t="str">
            <v>PHYS-G</v>
          </cell>
          <cell r="G13155">
            <v>901</v>
          </cell>
          <cell r="H13155" t="str">
            <v>PHYS-G901</v>
          </cell>
          <cell r="K13155" t="str">
            <v>Van Kooten,Richard James</v>
          </cell>
          <cell r="N13155">
            <v>3.9609999999999999</v>
          </cell>
          <cell r="O13155">
            <v>3.7789999999999999</v>
          </cell>
        </row>
        <row r="13156">
          <cell r="E13156" t="str">
            <v>PHYS</v>
          </cell>
          <cell r="F13156" t="str">
            <v>PHYS-G</v>
          </cell>
          <cell r="G13156">
            <v>901</v>
          </cell>
          <cell r="H13156" t="str">
            <v>PHYS-G901</v>
          </cell>
          <cell r="K13156" t="str">
            <v>Van Kooten,Richard James</v>
          </cell>
          <cell r="N13156" t="str">
            <v>NR</v>
          </cell>
          <cell r="O13156" t="str">
            <v>NR</v>
          </cell>
        </row>
        <row r="13157">
          <cell r="E13157" t="str">
            <v>PHYS</v>
          </cell>
          <cell r="F13157" t="str">
            <v>PHYS-P</v>
          </cell>
          <cell r="G13157">
            <v>101</v>
          </cell>
          <cell r="H13157" t="str">
            <v>PHYS-P101</v>
          </cell>
          <cell r="K13157" t="str">
            <v>Kesmodel,Larry Lee</v>
          </cell>
          <cell r="N13157">
            <v>2.6429999999999998</v>
          </cell>
          <cell r="O13157">
            <v>2.9809999999999999</v>
          </cell>
        </row>
        <row r="13158">
          <cell r="E13158" t="str">
            <v>PHYS</v>
          </cell>
          <cell r="F13158" t="str">
            <v>PHYS-P</v>
          </cell>
          <cell r="G13158">
            <v>105</v>
          </cell>
          <cell r="H13158" t="str">
            <v>PHYS-P105</v>
          </cell>
          <cell r="K13158" t="str">
            <v>Beeker,Daniel Edward</v>
          </cell>
          <cell r="N13158">
            <v>2.8029999999999999</v>
          </cell>
          <cell r="O13158">
            <v>3.113</v>
          </cell>
        </row>
        <row r="13159">
          <cell r="E13159" t="str">
            <v>PHYS</v>
          </cell>
          <cell r="F13159" t="str">
            <v>PHYS-P</v>
          </cell>
          <cell r="G13159">
            <v>105</v>
          </cell>
          <cell r="H13159" t="str">
            <v>PHYS-P105</v>
          </cell>
          <cell r="K13159" t="str">
            <v>Beggs,John M</v>
          </cell>
          <cell r="N13159">
            <v>2.782</v>
          </cell>
          <cell r="O13159">
            <v>3.1760000000000002</v>
          </cell>
        </row>
        <row r="13160">
          <cell r="E13160" t="str">
            <v>PHYS</v>
          </cell>
          <cell r="F13160" t="str">
            <v>PHYS-P</v>
          </cell>
          <cell r="G13160">
            <v>108</v>
          </cell>
          <cell r="H13160" t="str">
            <v>PHYS-P108</v>
          </cell>
          <cell r="K13160" t="str">
            <v>Lee,Shyh-Yuan</v>
          </cell>
          <cell r="N13160">
            <v>3.867</v>
          </cell>
          <cell r="O13160">
            <v>3.3</v>
          </cell>
        </row>
        <row r="13161">
          <cell r="E13161" t="str">
            <v>PHYS</v>
          </cell>
          <cell r="F13161" t="str">
            <v>PHYS-P</v>
          </cell>
          <cell r="G13161">
            <v>109</v>
          </cell>
          <cell r="H13161" t="str">
            <v>PHYS-P109</v>
          </cell>
          <cell r="K13161" t="str">
            <v>Lee,Shyh-Yuan</v>
          </cell>
          <cell r="N13161">
            <v>4</v>
          </cell>
          <cell r="O13161">
            <v>3.37</v>
          </cell>
        </row>
        <row r="13162">
          <cell r="E13162" t="str">
            <v>PHYS</v>
          </cell>
          <cell r="F13162" t="str">
            <v>PHYS-P</v>
          </cell>
          <cell r="G13162">
            <v>110</v>
          </cell>
          <cell r="H13162" t="str">
            <v>PHYS-P110</v>
          </cell>
          <cell r="K13162" t="str">
            <v>Tayloe,Rex</v>
          </cell>
          <cell r="N13162">
            <v>3.1640000000000001</v>
          </cell>
          <cell r="O13162">
            <v>2.903</v>
          </cell>
        </row>
        <row r="13163">
          <cell r="E13163" t="str">
            <v>PHYS</v>
          </cell>
          <cell r="F13163" t="str">
            <v>PHYS-P</v>
          </cell>
          <cell r="G13163">
            <v>120</v>
          </cell>
          <cell r="H13163" t="str">
            <v>PHYS-P120</v>
          </cell>
          <cell r="K13163" t="str">
            <v>Tayloe,Rex</v>
          </cell>
          <cell r="N13163">
            <v>3.5630000000000002</v>
          </cell>
          <cell r="O13163">
            <v>3.04</v>
          </cell>
        </row>
        <row r="13164">
          <cell r="E13164" t="str">
            <v>PHYS</v>
          </cell>
          <cell r="F13164" t="str">
            <v>PHYS-P</v>
          </cell>
          <cell r="G13164">
            <v>150</v>
          </cell>
          <cell r="H13164" t="str">
            <v>PHYS-P150</v>
          </cell>
          <cell r="K13164" t="str">
            <v>Whittington,Denver Wade</v>
          </cell>
          <cell r="N13164">
            <v>2.8279999999999998</v>
          </cell>
          <cell r="O13164">
            <v>2.8809999999999998</v>
          </cell>
        </row>
        <row r="13165">
          <cell r="E13165" t="str">
            <v>PHYS</v>
          </cell>
          <cell r="F13165" t="str">
            <v>PHYS-P</v>
          </cell>
          <cell r="G13165">
            <v>199</v>
          </cell>
          <cell r="H13165" t="str">
            <v>PHYS-P199</v>
          </cell>
          <cell r="K13165" t="str">
            <v>McCormack,Stacy Arleena</v>
          </cell>
          <cell r="N13165">
            <v>2.6920000000000002</v>
          </cell>
          <cell r="O13165">
            <v>3.2170000000000001</v>
          </cell>
        </row>
        <row r="13166">
          <cell r="E13166" t="str">
            <v>PHYS</v>
          </cell>
          <cell r="F13166" t="str">
            <v>PHYS-P</v>
          </cell>
          <cell r="G13166">
            <v>199</v>
          </cell>
          <cell r="H13166" t="str">
            <v>PHYS-P199</v>
          </cell>
          <cell r="K13166" t="str">
            <v>Olmer,Catherine</v>
          </cell>
          <cell r="N13166">
            <v>2.7370000000000001</v>
          </cell>
          <cell r="O13166">
            <v>3.294</v>
          </cell>
        </row>
        <row r="13167">
          <cell r="E13167" t="str">
            <v>PHYS</v>
          </cell>
          <cell r="F13167" t="str">
            <v>PHYS-P</v>
          </cell>
          <cell r="G13167">
            <v>201</v>
          </cell>
          <cell r="H13167" t="str">
            <v>PHYS-P201</v>
          </cell>
          <cell r="K13167" t="str">
            <v>Carini,John P.</v>
          </cell>
          <cell r="N13167">
            <v>2.786</v>
          </cell>
          <cell r="O13167">
            <v>3.1539999999999999</v>
          </cell>
        </row>
        <row r="13168">
          <cell r="E13168" t="str">
            <v>PHYS</v>
          </cell>
          <cell r="F13168" t="str">
            <v>PHYS-P</v>
          </cell>
          <cell r="G13168">
            <v>201</v>
          </cell>
          <cell r="H13168" t="str">
            <v>PHYS-P201</v>
          </cell>
          <cell r="K13168" t="str">
            <v>Carini,John P.</v>
          </cell>
          <cell r="N13168">
            <v>2.5110000000000001</v>
          </cell>
          <cell r="O13168">
            <v>3.0070000000000001</v>
          </cell>
        </row>
        <row r="13169">
          <cell r="E13169" t="str">
            <v>PHYS</v>
          </cell>
          <cell r="F13169" t="str">
            <v>PHYS-P</v>
          </cell>
          <cell r="G13169">
            <v>201</v>
          </cell>
          <cell r="H13169" t="str">
            <v>PHYS-P201</v>
          </cell>
          <cell r="K13169" t="str">
            <v>Dermisek,Radovan</v>
          </cell>
          <cell r="N13169">
            <v>2.927</v>
          </cell>
          <cell r="O13169">
            <v>3.3319999999999999</v>
          </cell>
        </row>
        <row r="13170">
          <cell r="E13170" t="str">
            <v>PHYS</v>
          </cell>
          <cell r="F13170" t="str">
            <v>PHYS-P</v>
          </cell>
          <cell r="G13170">
            <v>201</v>
          </cell>
          <cell r="H13170" t="str">
            <v>PHYS-P201</v>
          </cell>
          <cell r="K13170" t="str">
            <v>Dermisek,Radovan</v>
          </cell>
          <cell r="N13170">
            <v>2.7149999999999999</v>
          </cell>
          <cell r="O13170">
            <v>3.2160000000000002</v>
          </cell>
        </row>
        <row r="13171">
          <cell r="E13171" t="str">
            <v>PHYS</v>
          </cell>
          <cell r="F13171" t="str">
            <v>PHYS-P</v>
          </cell>
          <cell r="G13171">
            <v>202</v>
          </cell>
          <cell r="H13171" t="str">
            <v>PHYS-P202</v>
          </cell>
          <cell r="K13171" t="str">
            <v>Beggs,John M</v>
          </cell>
          <cell r="N13171">
            <v>2.843</v>
          </cell>
          <cell r="O13171">
            <v>3.2309999999999999</v>
          </cell>
        </row>
        <row r="13172">
          <cell r="E13172" t="str">
            <v>PHYS</v>
          </cell>
          <cell r="F13172" t="str">
            <v>PHYS-P</v>
          </cell>
          <cell r="G13172">
            <v>202</v>
          </cell>
          <cell r="H13172" t="str">
            <v>PHYS-P202</v>
          </cell>
          <cell r="K13172" t="str">
            <v>Beggs,John M</v>
          </cell>
          <cell r="N13172">
            <v>3.1480000000000001</v>
          </cell>
          <cell r="O13172">
            <v>3.3980000000000001</v>
          </cell>
        </row>
        <row r="13173">
          <cell r="E13173" t="str">
            <v>PHYS</v>
          </cell>
          <cell r="F13173" t="str">
            <v>PHYS-P</v>
          </cell>
          <cell r="G13173">
            <v>202</v>
          </cell>
          <cell r="H13173" t="str">
            <v>PHYS-P202</v>
          </cell>
          <cell r="K13173" t="str">
            <v>Sokol,Paul E</v>
          </cell>
          <cell r="N13173">
            <v>3.2330000000000001</v>
          </cell>
          <cell r="O13173">
            <v>3.2890000000000001</v>
          </cell>
        </row>
        <row r="13174">
          <cell r="E13174" t="str">
            <v>PHYS</v>
          </cell>
          <cell r="F13174" t="str">
            <v>PHYS-P</v>
          </cell>
          <cell r="G13174">
            <v>202</v>
          </cell>
          <cell r="H13174" t="str">
            <v>PHYS-P202</v>
          </cell>
          <cell r="K13174" t="str">
            <v>Sokol,Paul E</v>
          </cell>
          <cell r="N13174">
            <v>3.246</v>
          </cell>
          <cell r="O13174">
            <v>3.323</v>
          </cell>
        </row>
        <row r="13175">
          <cell r="E13175" t="str">
            <v>PHYS</v>
          </cell>
          <cell r="F13175" t="str">
            <v>PHYS-P</v>
          </cell>
          <cell r="G13175">
            <v>221</v>
          </cell>
          <cell r="H13175" t="str">
            <v>PHYS-P221</v>
          </cell>
          <cell r="K13175" t="str">
            <v>Liu,Chen-Yu</v>
          </cell>
          <cell r="N13175">
            <v>3.4180000000000001</v>
          </cell>
          <cell r="O13175">
            <v>3.5880000000000001</v>
          </cell>
        </row>
        <row r="13176">
          <cell r="E13176" t="str">
            <v>PHYS</v>
          </cell>
          <cell r="F13176" t="str">
            <v>PHYS-P</v>
          </cell>
          <cell r="G13176">
            <v>221</v>
          </cell>
          <cell r="H13176" t="str">
            <v>PHYS-P221</v>
          </cell>
          <cell r="K13176" t="str">
            <v>Lunghi,Enrico</v>
          </cell>
          <cell r="N13176">
            <v>2.6760000000000002</v>
          </cell>
          <cell r="O13176">
            <v>2.9820000000000002</v>
          </cell>
        </row>
        <row r="13177">
          <cell r="E13177" t="str">
            <v>PHYS</v>
          </cell>
          <cell r="F13177" t="str">
            <v>PHYS-P</v>
          </cell>
          <cell r="G13177">
            <v>221</v>
          </cell>
          <cell r="H13177" t="str">
            <v>PHYS-P221</v>
          </cell>
          <cell r="K13177" t="str">
            <v>Messier,Mark D.</v>
          </cell>
          <cell r="N13177">
            <v>3.6960000000000002</v>
          </cell>
          <cell r="O13177">
            <v>3.714</v>
          </cell>
        </row>
        <row r="13178">
          <cell r="E13178" t="str">
            <v>PHYS</v>
          </cell>
          <cell r="F13178" t="str">
            <v>PHYS-P</v>
          </cell>
          <cell r="G13178">
            <v>221</v>
          </cell>
          <cell r="H13178" t="str">
            <v>PHYS-P221</v>
          </cell>
          <cell r="K13178" t="str">
            <v>Tayloe,Rex</v>
          </cell>
          <cell r="N13178">
            <v>2.8879999999999999</v>
          </cell>
          <cell r="O13178">
            <v>3.085</v>
          </cell>
        </row>
        <row r="13179">
          <cell r="E13179" t="str">
            <v>PHYS</v>
          </cell>
          <cell r="F13179" t="str">
            <v>PHYS-P</v>
          </cell>
          <cell r="G13179">
            <v>222</v>
          </cell>
          <cell r="H13179" t="str">
            <v>PHYS-P222</v>
          </cell>
          <cell r="K13179" t="str">
            <v>Messier,Mark D.</v>
          </cell>
          <cell r="N13179">
            <v>3.4609999999999999</v>
          </cell>
          <cell r="O13179">
            <v>3.5329999999999999</v>
          </cell>
        </row>
        <row r="13180">
          <cell r="E13180" t="str">
            <v>PHYS</v>
          </cell>
          <cell r="F13180" t="str">
            <v>PHYS-P</v>
          </cell>
          <cell r="G13180">
            <v>222</v>
          </cell>
          <cell r="H13180" t="str">
            <v>PHYS-P222</v>
          </cell>
          <cell r="K13180" t="str">
            <v>Poplawski,Nikodem Janusz</v>
          </cell>
          <cell r="N13180">
            <v>3.13</v>
          </cell>
          <cell r="O13180">
            <v>3.1110000000000002</v>
          </cell>
        </row>
        <row r="13181">
          <cell r="E13181" t="str">
            <v>PHYS</v>
          </cell>
          <cell r="F13181" t="str">
            <v>PHYS-P</v>
          </cell>
          <cell r="G13181">
            <v>222</v>
          </cell>
          <cell r="H13181" t="str">
            <v>PHYS-P222</v>
          </cell>
          <cell r="K13181" t="str">
            <v>Szczepaniak,Adam P</v>
          </cell>
          <cell r="N13181">
            <v>3.8180000000000001</v>
          </cell>
          <cell r="O13181">
            <v>3.7570000000000001</v>
          </cell>
        </row>
        <row r="13182">
          <cell r="E13182" t="str">
            <v>PHYS</v>
          </cell>
          <cell r="F13182" t="str">
            <v>PHYS-P</v>
          </cell>
          <cell r="G13182">
            <v>222</v>
          </cell>
          <cell r="H13182" t="str">
            <v>PHYS-P222</v>
          </cell>
          <cell r="K13182" t="str">
            <v>Warren,Garfield T.</v>
          </cell>
          <cell r="N13182">
            <v>2.492</v>
          </cell>
          <cell r="O13182">
            <v>3.036</v>
          </cell>
        </row>
        <row r="13183">
          <cell r="E13183" t="str">
            <v>PHYS</v>
          </cell>
          <cell r="F13183" t="str">
            <v>PHYS-P</v>
          </cell>
          <cell r="G13183">
            <v>301</v>
          </cell>
          <cell r="H13183" t="str">
            <v>PHYS-P301</v>
          </cell>
          <cell r="K13183" t="str">
            <v>Lammers,Sabine Wedam</v>
          </cell>
          <cell r="N13183">
            <v>3.09</v>
          </cell>
          <cell r="O13183">
            <v>3.3069999999999999</v>
          </cell>
        </row>
        <row r="13184">
          <cell r="E13184" t="str">
            <v>PHYS</v>
          </cell>
          <cell r="F13184" t="str">
            <v>PHYS-P</v>
          </cell>
          <cell r="G13184">
            <v>301</v>
          </cell>
          <cell r="H13184" t="str">
            <v>PHYS-P301</v>
          </cell>
          <cell r="K13184" t="str">
            <v>Urheim,Jon</v>
          </cell>
          <cell r="N13184">
            <v>2.8140000000000001</v>
          </cell>
          <cell r="O13184">
            <v>2.9540000000000002</v>
          </cell>
        </row>
        <row r="13185">
          <cell r="E13185" t="str">
            <v>PHYS</v>
          </cell>
          <cell r="F13185" t="str">
            <v>PHYS-P</v>
          </cell>
          <cell r="G13185">
            <v>309</v>
          </cell>
          <cell r="H13185" t="str">
            <v>PHYS-P309</v>
          </cell>
          <cell r="K13185" t="str">
            <v>Kaufman,Lisa Jean</v>
          </cell>
          <cell r="N13185">
            <v>2.7360000000000002</v>
          </cell>
          <cell r="O13185">
            <v>3.2669999999999999</v>
          </cell>
        </row>
        <row r="13186">
          <cell r="E13186" t="str">
            <v>PHYS</v>
          </cell>
          <cell r="F13186" t="str">
            <v>PHYS-P</v>
          </cell>
          <cell r="G13186">
            <v>309</v>
          </cell>
          <cell r="H13186" t="str">
            <v>PHYS-P309</v>
          </cell>
          <cell r="K13186" t="str">
            <v>Urheim,Jon</v>
          </cell>
          <cell r="N13186">
            <v>3.427</v>
          </cell>
          <cell r="O13186">
            <v>3.2690000000000001</v>
          </cell>
        </row>
        <row r="13187">
          <cell r="E13187" t="str">
            <v>PHYS</v>
          </cell>
          <cell r="F13187" t="str">
            <v>PHYS-P</v>
          </cell>
          <cell r="G13187">
            <v>309</v>
          </cell>
          <cell r="H13187" t="str">
            <v>PHYS-P309</v>
          </cell>
          <cell r="K13187" t="str">
            <v>Vossen,Anselm</v>
          </cell>
          <cell r="N13187">
            <v>3.35</v>
          </cell>
          <cell r="O13187">
            <v>3.1240000000000001</v>
          </cell>
        </row>
        <row r="13188">
          <cell r="E13188" t="str">
            <v>PHYS</v>
          </cell>
          <cell r="F13188" t="str">
            <v>PHYS-P</v>
          </cell>
          <cell r="G13188">
            <v>310</v>
          </cell>
          <cell r="H13188" t="str">
            <v>PHYS-P310</v>
          </cell>
          <cell r="K13188" t="str">
            <v>Brabson,Bennet B.</v>
          </cell>
          <cell r="N13188">
            <v>3.5169999999999999</v>
          </cell>
          <cell r="O13188">
            <v>3.0870000000000002</v>
          </cell>
        </row>
        <row r="13189">
          <cell r="E13189" t="str">
            <v>PHYS</v>
          </cell>
          <cell r="F13189" t="str">
            <v>PHYS-P</v>
          </cell>
          <cell r="G13189">
            <v>314</v>
          </cell>
          <cell r="H13189" t="str">
            <v>PHYS-P314</v>
          </cell>
          <cell r="K13189" t="str">
            <v>Klein,Susan Beth</v>
          </cell>
          <cell r="N13189">
            <v>2.677</v>
          </cell>
          <cell r="O13189">
            <v>3.1320000000000001</v>
          </cell>
        </row>
        <row r="13190">
          <cell r="E13190" t="str">
            <v>PHYS</v>
          </cell>
          <cell r="F13190" t="str">
            <v>PHYS-P</v>
          </cell>
          <cell r="G13190">
            <v>321</v>
          </cell>
          <cell r="H13190" t="str">
            <v>PHYS-P321</v>
          </cell>
          <cell r="K13190" t="str">
            <v>Lehnert,Ralf</v>
          </cell>
          <cell r="N13190">
            <v>2.835</v>
          </cell>
          <cell r="O13190">
            <v>2.9420000000000002</v>
          </cell>
        </row>
        <row r="13191">
          <cell r="E13191" t="str">
            <v>PHYS</v>
          </cell>
          <cell r="F13191" t="str">
            <v>PHYS-P</v>
          </cell>
          <cell r="G13191">
            <v>331</v>
          </cell>
          <cell r="H13191" t="str">
            <v>PHYS-P331</v>
          </cell>
          <cell r="K13191" t="str">
            <v>Setayeshgar,Sima</v>
          </cell>
          <cell r="N13191">
            <v>2.8879999999999999</v>
          </cell>
          <cell r="O13191">
            <v>3.1850000000000001</v>
          </cell>
        </row>
        <row r="13192">
          <cell r="E13192" t="str">
            <v>PHYS</v>
          </cell>
          <cell r="F13192" t="str">
            <v>PHYS-P</v>
          </cell>
          <cell r="G13192">
            <v>332</v>
          </cell>
          <cell r="H13192" t="str">
            <v>PHYS-P332</v>
          </cell>
          <cell r="K13192" t="str">
            <v>Setayeshgar,Sima</v>
          </cell>
          <cell r="N13192">
            <v>3.1680000000000001</v>
          </cell>
          <cell r="O13192">
            <v>3.3140000000000001</v>
          </cell>
        </row>
        <row r="13193">
          <cell r="E13193" t="str">
            <v>PHYS</v>
          </cell>
          <cell r="F13193" t="str">
            <v>PHYS-P</v>
          </cell>
          <cell r="G13193">
            <v>340</v>
          </cell>
          <cell r="H13193" t="str">
            <v>PHYS-P340</v>
          </cell>
          <cell r="K13193" t="str">
            <v>Wissink,Scott W.</v>
          </cell>
          <cell r="N13193">
            <v>2.8380000000000001</v>
          </cell>
          <cell r="O13193">
            <v>2.9940000000000002</v>
          </cell>
        </row>
        <row r="13194">
          <cell r="E13194" t="str">
            <v>PHYS</v>
          </cell>
          <cell r="F13194" t="str">
            <v>PHYS-P</v>
          </cell>
          <cell r="G13194">
            <v>350</v>
          </cell>
          <cell r="H13194" t="str">
            <v>PHYS-P350</v>
          </cell>
          <cell r="K13194" t="str">
            <v>Wissink,Scott W.</v>
          </cell>
          <cell r="N13194" t="str">
            <v>NR</v>
          </cell>
          <cell r="O13194" t="str">
            <v>NR</v>
          </cell>
        </row>
        <row r="13195">
          <cell r="E13195" t="str">
            <v>PHYS</v>
          </cell>
          <cell r="F13195" t="str">
            <v>PHYS-P</v>
          </cell>
          <cell r="G13195">
            <v>371</v>
          </cell>
          <cell r="H13195" t="str">
            <v>PHYS-P371</v>
          </cell>
          <cell r="K13195" t="str">
            <v>Klein,Susan Beth</v>
          </cell>
          <cell r="N13195">
            <v>3.45</v>
          </cell>
          <cell r="O13195">
            <v>3.1509999999999998</v>
          </cell>
        </row>
        <row r="13196">
          <cell r="E13196" t="str">
            <v>PHYS</v>
          </cell>
          <cell r="F13196" t="str">
            <v>PHYS-P</v>
          </cell>
          <cell r="G13196">
            <v>400</v>
          </cell>
          <cell r="H13196" t="str">
            <v>PHYS-P400</v>
          </cell>
          <cell r="K13196" t="str">
            <v>Musser,James A.</v>
          </cell>
          <cell r="N13196" t="str">
            <v>NR</v>
          </cell>
          <cell r="O13196" t="str">
            <v>NR</v>
          </cell>
        </row>
        <row r="13197">
          <cell r="E13197" t="str">
            <v>PHYS</v>
          </cell>
          <cell r="F13197" t="str">
            <v>PHYS-P</v>
          </cell>
          <cell r="G13197">
            <v>408</v>
          </cell>
          <cell r="H13197" t="str">
            <v>PHYS-P408</v>
          </cell>
          <cell r="K13197" t="str">
            <v>Van Kooten,Richard James</v>
          </cell>
          <cell r="N13197" t="str">
            <v>NR</v>
          </cell>
          <cell r="O13197" t="str">
            <v>NR</v>
          </cell>
        </row>
        <row r="13198">
          <cell r="E13198" t="str">
            <v>PHYS</v>
          </cell>
          <cell r="F13198" t="str">
            <v>PHYS-P</v>
          </cell>
          <cell r="G13198">
            <v>410</v>
          </cell>
          <cell r="H13198" t="str">
            <v>PHYS-P410</v>
          </cell>
          <cell r="K13198" t="str">
            <v>Gottlieb,Steven A.</v>
          </cell>
          <cell r="N13198" t="str">
            <v>NR</v>
          </cell>
          <cell r="O13198" t="str">
            <v>NR</v>
          </cell>
        </row>
        <row r="13199">
          <cell r="E13199" t="str">
            <v>PHYS</v>
          </cell>
          <cell r="F13199" t="str">
            <v>PHYS-P</v>
          </cell>
          <cell r="G13199">
            <v>441</v>
          </cell>
          <cell r="H13199" t="str">
            <v>PHYS-P441</v>
          </cell>
          <cell r="K13199" t="str">
            <v>Seradjeh,Babak</v>
          </cell>
          <cell r="N13199">
            <v>2.5249999999999999</v>
          </cell>
          <cell r="O13199">
            <v>3.1640000000000001</v>
          </cell>
        </row>
        <row r="13200">
          <cell r="E13200" t="str">
            <v>PHYS</v>
          </cell>
          <cell r="F13200" t="str">
            <v>PHYS-P</v>
          </cell>
          <cell r="G13200">
            <v>442</v>
          </cell>
          <cell r="H13200" t="str">
            <v>PHYS-P442</v>
          </cell>
          <cell r="K13200" t="str">
            <v>Poplawski,Nikodem Janusz</v>
          </cell>
          <cell r="N13200">
            <v>3.2749999999999999</v>
          </cell>
          <cell r="O13200">
            <v>3.4239999999999999</v>
          </cell>
        </row>
        <row r="13201">
          <cell r="E13201" t="str">
            <v>PHYS</v>
          </cell>
          <cell r="F13201" t="str">
            <v>PHYS-P</v>
          </cell>
          <cell r="G13201">
            <v>451</v>
          </cell>
          <cell r="H13201" t="str">
            <v>PHYS-P451</v>
          </cell>
          <cell r="K13201" t="str">
            <v>Baxter,David V.</v>
          </cell>
          <cell r="N13201">
            <v>3.4289999999999998</v>
          </cell>
          <cell r="O13201">
            <v>3.4649999999999999</v>
          </cell>
        </row>
        <row r="13202">
          <cell r="E13202" t="str">
            <v>PHYS</v>
          </cell>
          <cell r="F13202" t="str">
            <v>PHYS-P</v>
          </cell>
          <cell r="G13202">
            <v>451</v>
          </cell>
          <cell r="H13202" t="str">
            <v>PHYS-P451</v>
          </cell>
          <cell r="K13202" t="str">
            <v>Shepherd,Matthew Randall</v>
          </cell>
          <cell r="N13202">
            <v>2.2429999999999999</v>
          </cell>
          <cell r="O13202">
            <v>2.9990000000000001</v>
          </cell>
        </row>
        <row r="13203">
          <cell r="E13203" t="str">
            <v>PHYS</v>
          </cell>
          <cell r="F13203" t="str">
            <v>PHYS-P</v>
          </cell>
          <cell r="G13203">
            <v>453</v>
          </cell>
          <cell r="H13203" t="str">
            <v>PHYS-P453</v>
          </cell>
          <cell r="K13203" t="str">
            <v>Challifour,John L.</v>
          </cell>
          <cell r="N13203">
            <v>3.0350000000000001</v>
          </cell>
          <cell r="O13203">
            <v>3.274</v>
          </cell>
        </row>
        <row r="13204">
          <cell r="E13204" t="str">
            <v>PHYS</v>
          </cell>
          <cell r="F13204" t="str">
            <v>PHYS-P</v>
          </cell>
          <cell r="G13204">
            <v>454</v>
          </cell>
          <cell r="H13204" t="str">
            <v>PHYS-P454</v>
          </cell>
          <cell r="K13204" t="str">
            <v>Long,Joshua C.</v>
          </cell>
          <cell r="N13204">
            <v>3.3380000000000001</v>
          </cell>
          <cell r="O13204">
            <v>3.2410000000000001</v>
          </cell>
        </row>
        <row r="13205">
          <cell r="E13205" t="str">
            <v>PHYS</v>
          </cell>
          <cell r="F13205" t="str">
            <v>PHYS-P</v>
          </cell>
          <cell r="G13205">
            <v>460</v>
          </cell>
          <cell r="H13205" t="str">
            <v>PHYS-P460</v>
          </cell>
          <cell r="K13205" t="str">
            <v>Baxter,David V.</v>
          </cell>
          <cell r="N13205">
            <v>3.1930000000000001</v>
          </cell>
          <cell r="O13205">
            <v>3.0910000000000002</v>
          </cell>
        </row>
        <row r="13206">
          <cell r="E13206" t="str">
            <v>PHYS</v>
          </cell>
          <cell r="F13206" t="str">
            <v>PHYS-P</v>
          </cell>
          <cell r="G13206">
            <v>472</v>
          </cell>
          <cell r="H13206" t="str">
            <v>PHYS-P472</v>
          </cell>
          <cell r="K13206" t="str">
            <v>Klein,Susan Beth</v>
          </cell>
          <cell r="N13206" t="str">
            <v>NR</v>
          </cell>
          <cell r="O13206" t="str">
            <v>NR</v>
          </cell>
        </row>
        <row r="13207">
          <cell r="E13207" t="str">
            <v>PHYS</v>
          </cell>
          <cell r="F13207" t="str">
            <v>PHYS-P</v>
          </cell>
          <cell r="G13207">
            <v>478</v>
          </cell>
          <cell r="H13207" t="str">
            <v>PHYS-P478</v>
          </cell>
          <cell r="K13207" t="str">
            <v>Klein,Susan Beth</v>
          </cell>
          <cell r="N13207" t="str">
            <v>NR</v>
          </cell>
          <cell r="O13207" t="str">
            <v>NR</v>
          </cell>
        </row>
        <row r="13208">
          <cell r="E13208" t="str">
            <v>PHYS</v>
          </cell>
          <cell r="F13208" t="str">
            <v>PHYS-P</v>
          </cell>
          <cell r="G13208">
            <v>500</v>
          </cell>
          <cell r="H13208" t="str">
            <v>PHYS-P500</v>
          </cell>
          <cell r="K13208" t="str">
            <v>Setayeshgar,Sima</v>
          </cell>
          <cell r="N13208" t="str">
            <v>NR</v>
          </cell>
          <cell r="O13208" t="str">
            <v>NR</v>
          </cell>
        </row>
        <row r="13209">
          <cell r="E13209" t="str">
            <v>PHYS</v>
          </cell>
          <cell r="F13209" t="str">
            <v>PHYS-P</v>
          </cell>
          <cell r="G13209">
            <v>504</v>
          </cell>
          <cell r="H13209" t="str">
            <v>PHYS-P504</v>
          </cell>
          <cell r="K13209" t="str">
            <v>Beeker,Daniel Edward</v>
          </cell>
          <cell r="N13209">
            <v>4</v>
          </cell>
          <cell r="O13209">
            <v>3.4940000000000002</v>
          </cell>
        </row>
        <row r="13210">
          <cell r="E13210" t="str">
            <v>PHYS</v>
          </cell>
          <cell r="F13210" t="str">
            <v>PHYS-P</v>
          </cell>
          <cell r="G13210">
            <v>506</v>
          </cell>
          <cell r="H13210" t="str">
            <v>PHYS-P506</v>
          </cell>
          <cell r="K13210" t="str">
            <v>Horowitz,Charles J.</v>
          </cell>
          <cell r="N13210">
            <v>3.3050000000000002</v>
          </cell>
          <cell r="O13210">
            <v>3.4750000000000001</v>
          </cell>
        </row>
        <row r="13211">
          <cell r="E13211" t="str">
            <v>PHYS</v>
          </cell>
          <cell r="F13211" t="str">
            <v>PHYS-P</v>
          </cell>
          <cell r="G13211">
            <v>507</v>
          </cell>
          <cell r="H13211" t="str">
            <v>PHYS-P507</v>
          </cell>
          <cell r="K13211" t="str">
            <v>Berger,Micheal S.</v>
          </cell>
          <cell r="N13211">
            <v>3.7</v>
          </cell>
          <cell r="O13211">
            <v>3.7269999999999999</v>
          </cell>
        </row>
        <row r="13212">
          <cell r="E13212" t="str">
            <v>PHYS</v>
          </cell>
          <cell r="F13212" t="str">
            <v>PHYS-P</v>
          </cell>
          <cell r="G13212">
            <v>508</v>
          </cell>
          <cell r="H13212" t="str">
            <v>PHYS-P508</v>
          </cell>
          <cell r="K13212" t="str">
            <v>Van Kooten,Richard James</v>
          </cell>
          <cell r="N13212">
            <v>3.8570000000000002</v>
          </cell>
          <cell r="O13212">
            <v>3.7349999999999999</v>
          </cell>
        </row>
        <row r="13213">
          <cell r="E13213" t="str">
            <v>PHYS</v>
          </cell>
          <cell r="F13213" t="str">
            <v>PHYS-P</v>
          </cell>
          <cell r="G13213">
            <v>510</v>
          </cell>
          <cell r="H13213" t="str">
            <v>PHYS-P510</v>
          </cell>
          <cell r="K13213" t="str">
            <v>Brabson,Bennet B.</v>
          </cell>
          <cell r="N13213">
            <v>3.867</v>
          </cell>
          <cell r="O13213">
            <v>3.6520000000000001</v>
          </cell>
        </row>
        <row r="13214">
          <cell r="E13214" t="str">
            <v>PHYS</v>
          </cell>
          <cell r="F13214" t="str">
            <v>PHYS-P</v>
          </cell>
          <cell r="G13214">
            <v>511</v>
          </cell>
          <cell r="H13214" t="str">
            <v>PHYS-P511</v>
          </cell>
          <cell r="K13214" t="str">
            <v>Ortiz,Gerardo</v>
          </cell>
          <cell r="N13214">
            <v>3.5369999999999999</v>
          </cell>
          <cell r="O13214">
            <v>3.4910000000000001</v>
          </cell>
        </row>
        <row r="13215">
          <cell r="E13215" t="str">
            <v>PHYS</v>
          </cell>
          <cell r="F13215" t="str">
            <v>PHYS-P</v>
          </cell>
          <cell r="G13215">
            <v>512</v>
          </cell>
          <cell r="H13215" t="str">
            <v>PHYS-P512</v>
          </cell>
          <cell r="K13215" t="str">
            <v>Ortiz,Gerardo</v>
          </cell>
          <cell r="N13215">
            <v>3.5289999999999999</v>
          </cell>
          <cell r="O13215">
            <v>3.7349999999999999</v>
          </cell>
        </row>
        <row r="13216">
          <cell r="E13216" t="str">
            <v>PHYS</v>
          </cell>
          <cell r="F13216" t="str">
            <v>PHYS-P</v>
          </cell>
          <cell r="G13216">
            <v>521</v>
          </cell>
          <cell r="H13216" t="str">
            <v>PHYS-P521</v>
          </cell>
          <cell r="K13216" t="str">
            <v>Snow,William Michael</v>
          </cell>
          <cell r="N13216">
            <v>3.4380000000000002</v>
          </cell>
          <cell r="O13216">
            <v>3.53</v>
          </cell>
        </row>
        <row r="13217">
          <cell r="E13217" t="str">
            <v>PHYS</v>
          </cell>
          <cell r="F13217" t="str">
            <v>PHYS-P</v>
          </cell>
          <cell r="G13217">
            <v>526</v>
          </cell>
          <cell r="H13217" t="str">
            <v>PHYS-P526</v>
          </cell>
          <cell r="K13217" t="str">
            <v>Klein,Susan Beth</v>
          </cell>
          <cell r="N13217" t="str">
            <v>NR</v>
          </cell>
          <cell r="O13217" t="str">
            <v>NR</v>
          </cell>
        </row>
        <row r="13218">
          <cell r="E13218" t="str">
            <v>PHYS</v>
          </cell>
          <cell r="F13218" t="str">
            <v>PHYS-P</v>
          </cell>
          <cell r="G13218">
            <v>537</v>
          </cell>
          <cell r="H13218" t="str">
            <v>PHYS-P537</v>
          </cell>
          <cell r="K13218" t="str">
            <v>Baxter,David V.</v>
          </cell>
          <cell r="N13218" t="str">
            <v>NR</v>
          </cell>
          <cell r="O13218" t="str">
            <v>NR</v>
          </cell>
        </row>
        <row r="13219">
          <cell r="E13219" t="str">
            <v>PHYS</v>
          </cell>
          <cell r="F13219" t="str">
            <v>PHYS-P</v>
          </cell>
          <cell r="G13219">
            <v>540</v>
          </cell>
          <cell r="H13219" t="str">
            <v>PHYS-P540</v>
          </cell>
          <cell r="K13219" t="str">
            <v>Musser,James A.</v>
          </cell>
          <cell r="N13219">
            <v>3.77</v>
          </cell>
          <cell r="O13219">
            <v>3.5649999999999999</v>
          </cell>
        </row>
        <row r="13220">
          <cell r="E13220" t="str">
            <v>PHYS</v>
          </cell>
          <cell r="F13220" t="str">
            <v>PHYS-P</v>
          </cell>
          <cell r="G13220">
            <v>548</v>
          </cell>
          <cell r="H13220" t="str">
            <v>PHYS-P548</v>
          </cell>
          <cell r="K13220" t="str">
            <v>Glazier,James Alexander</v>
          </cell>
          <cell r="N13220" t="str">
            <v>NR</v>
          </cell>
          <cell r="O13220" t="str">
            <v>NR</v>
          </cell>
        </row>
        <row r="13221">
          <cell r="E13221" t="str">
            <v>PHYS</v>
          </cell>
          <cell r="F13221" t="str">
            <v>PHYS-P</v>
          </cell>
          <cell r="G13221">
            <v>556</v>
          </cell>
          <cell r="H13221" t="str">
            <v>PHYS-P556</v>
          </cell>
          <cell r="K13221" t="str">
            <v>Snow,William Michael</v>
          </cell>
          <cell r="N13221">
            <v>3.556</v>
          </cell>
          <cell r="O13221">
            <v>3.5649999999999999</v>
          </cell>
        </row>
        <row r="13222">
          <cell r="E13222" t="str">
            <v>PHYS</v>
          </cell>
          <cell r="F13222" t="str">
            <v>PHYS-P</v>
          </cell>
          <cell r="G13222">
            <v>570</v>
          </cell>
          <cell r="H13222" t="str">
            <v>PHYS-P570</v>
          </cell>
          <cell r="K13222" t="str">
            <v>Lee,Shyh-Yuan</v>
          </cell>
          <cell r="N13222">
            <v>4</v>
          </cell>
          <cell r="O13222">
            <v>3.7410000000000001</v>
          </cell>
        </row>
        <row r="13223">
          <cell r="E13223" t="str">
            <v>PHYS</v>
          </cell>
          <cell r="F13223" t="str">
            <v>PHYS-P</v>
          </cell>
          <cell r="G13223">
            <v>570</v>
          </cell>
          <cell r="H13223" t="str">
            <v>PHYS-P570</v>
          </cell>
          <cell r="K13223" t="str">
            <v>Lee,Shyh-Yuan</v>
          </cell>
          <cell r="N13223" t="str">
            <v>NR</v>
          </cell>
          <cell r="O13223" t="str">
            <v>NR</v>
          </cell>
        </row>
        <row r="13224">
          <cell r="E13224" t="str">
            <v>PHYS</v>
          </cell>
          <cell r="F13224" t="str">
            <v>PHYS-P</v>
          </cell>
          <cell r="G13224">
            <v>571</v>
          </cell>
          <cell r="H13224" t="str">
            <v>PHYS-P571</v>
          </cell>
          <cell r="K13224" t="str">
            <v>Lee,Shyh-Yuan</v>
          </cell>
          <cell r="N13224" t="str">
            <v>NR</v>
          </cell>
          <cell r="O13224" t="str">
            <v>NR</v>
          </cell>
        </row>
        <row r="13225">
          <cell r="E13225" t="str">
            <v>PHYS</v>
          </cell>
          <cell r="F13225" t="str">
            <v>PHYS-P</v>
          </cell>
          <cell r="G13225">
            <v>571</v>
          </cell>
          <cell r="H13225" t="str">
            <v>PHYS-P571</v>
          </cell>
          <cell r="K13225" t="str">
            <v>Lee,Shyh-Yuan</v>
          </cell>
          <cell r="N13225" t="str">
            <v>NR</v>
          </cell>
          <cell r="O13225" t="str">
            <v>NR</v>
          </cell>
        </row>
        <row r="13226">
          <cell r="E13226" t="str">
            <v>PHYS</v>
          </cell>
          <cell r="F13226" t="str">
            <v>PHYS-P</v>
          </cell>
          <cell r="G13226">
            <v>575</v>
          </cell>
          <cell r="H13226" t="str">
            <v>PHYS-P575</v>
          </cell>
          <cell r="K13226" t="str">
            <v>Glazier,James Alexander</v>
          </cell>
          <cell r="N13226">
            <v>3.4780000000000002</v>
          </cell>
          <cell r="O13226">
            <v>3.734</v>
          </cell>
        </row>
        <row r="13227">
          <cell r="E13227" t="str">
            <v>PHYS</v>
          </cell>
          <cell r="F13227" t="str">
            <v>PHYS-P</v>
          </cell>
          <cell r="G13227">
            <v>578</v>
          </cell>
          <cell r="H13227" t="str">
            <v>PHYS-P578</v>
          </cell>
          <cell r="K13227" t="str">
            <v>Klein,Susan Beth</v>
          </cell>
          <cell r="N13227" t="str">
            <v>NR</v>
          </cell>
          <cell r="O13227" t="str">
            <v>NR</v>
          </cell>
        </row>
        <row r="13228">
          <cell r="E13228" t="str">
            <v>PHYS</v>
          </cell>
          <cell r="F13228" t="str">
            <v>PHYS-P</v>
          </cell>
          <cell r="G13228">
            <v>609</v>
          </cell>
          <cell r="H13228" t="str">
            <v>PHYS-P609</v>
          </cell>
          <cell r="K13228" t="str">
            <v>Gottlieb,Steven A.</v>
          </cell>
          <cell r="N13228">
            <v>3.74</v>
          </cell>
          <cell r="O13228">
            <v>3.5819999999999999</v>
          </cell>
        </row>
        <row r="13229">
          <cell r="E13229" t="str">
            <v>PHYS</v>
          </cell>
          <cell r="F13229" t="str">
            <v>PHYS-P</v>
          </cell>
          <cell r="G13229">
            <v>615</v>
          </cell>
          <cell r="H13229" t="str">
            <v>PHYS-P615</v>
          </cell>
          <cell r="K13229" t="str">
            <v>Fertig,Herbert Abraham</v>
          </cell>
          <cell r="N13229">
            <v>3.2309999999999999</v>
          </cell>
          <cell r="O13229">
            <v>3.4449999999999998</v>
          </cell>
        </row>
        <row r="13230">
          <cell r="E13230" t="str">
            <v>PHYS</v>
          </cell>
          <cell r="F13230" t="str">
            <v>PHYS-P</v>
          </cell>
          <cell r="G13230">
            <v>616</v>
          </cell>
          <cell r="H13230" t="str">
            <v>PHYS-P616</v>
          </cell>
          <cell r="K13230" t="str">
            <v>Fertig,Herbert Abraham</v>
          </cell>
          <cell r="N13230" t="str">
            <v>NR</v>
          </cell>
          <cell r="O13230" t="str">
            <v>NR</v>
          </cell>
        </row>
        <row r="13231">
          <cell r="E13231" t="str">
            <v>PHYS</v>
          </cell>
          <cell r="F13231" t="str">
            <v>PHYS-P</v>
          </cell>
          <cell r="G13231">
            <v>621</v>
          </cell>
          <cell r="H13231" t="str">
            <v>PHYS-P621</v>
          </cell>
          <cell r="K13231" t="str">
            <v>Kostelecky,V. Alan</v>
          </cell>
          <cell r="N13231">
            <v>3.8330000000000002</v>
          </cell>
          <cell r="O13231">
            <v>3.7410000000000001</v>
          </cell>
        </row>
        <row r="13232">
          <cell r="E13232" t="str">
            <v>PHYS</v>
          </cell>
          <cell r="F13232" t="str">
            <v>PHYS-P</v>
          </cell>
          <cell r="G13232">
            <v>638</v>
          </cell>
          <cell r="H13232" t="str">
            <v>PHYS-P638</v>
          </cell>
          <cell r="K13232" t="str">
            <v>Kostelecky,V. Alan</v>
          </cell>
          <cell r="N13232">
            <v>3.7829999999999999</v>
          </cell>
          <cell r="O13232">
            <v>3.8639999999999999</v>
          </cell>
        </row>
        <row r="13233">
          <cell r="E13233" t="str">
            <v>PHYS</v>
          </cell>
          <cell r="F13233" t="str">
            <v>PHYS-P</v>
          </cell>
          <cell r="G13233">
            <v>640</v>
          </cell>
          <cell r="H13233" t="str">
            <v>PHYS-P640</v>
          </cell>
          <cell r="K13233" t="str">
            <v>Berger,Micheal S.</v>
          </cell>
          <cell r="N13233">
            <v>3.6890000000000001</v>
          </cell>
          <cell r="O13233">
            <v>3.75</v>
          </cell>
        </row>
        <row r="13234">
          <cell r="E13234" t="str">
            <v>PHYS</v>
          </cell>
          <cell r="F13234" t="str">
            <v>PHYS-P</v>
          </cell>
          <cell r="G13234">
            <v>641</v>
          </cell>
          <cell r="H13234" t="str">
            <v>PHYS-P641</v>
          </cell>
          <cell r="K13234" t="str">
            <v>Liu,Chen-Yu</v>
          </cell>
          <cell r="N13234">
            <v>3.8</v>
          </cell>
          <cell r="O13234">
            <v>3.5430000000000001</v>
          </cell>
        </row>
        <row r="13235">
          <cell r="E13235" t="str">
            <v>PHYS</v>
          </cell>
          <cell r="F13235" t="str">
            <v>PHYS-P</v>
          </cell>
          <cell r="G13235">
            <v>671</v>
          </cell>
          <cell r="H13235" t="str">
            <v>PHYS-P671</v>
          </cell>
          <cell r="K13235" t="str">
            <v>Lee,Shyh-Yuan</v>
          </cell>
          <cell r="N13235" t="str">
            <v>NR</v>
          </cell>
          <cell r="O13235" t="str">
            <v>NR</v>
          </cell>
        </row>
        <row r="13236">
          <cell r="E13236" t="str">
            <v>PHYS</v>
          </cell>
          <cell r="F13236" t="str">
            <v>PHYS-P</v>
          </cell>
          <cell r="G13236">
            <v>671</v>
          </cell>
          <cell r="H13236" t="str">
            <v>PHYS-P671</v>
          </cell>
          <cell r="K13236" t="str">
            <v>Lee,Shyh-Yuan</v>
          </cell>
          <cell r="N13236" t="str">
            <v>NR</v>
          </cell>
          <cell r="O13236" t="str">
            <v>NR</v>
          </cell>
        </row>
        <row r="13237">
          <cell r="E13237" t="str">
            <v>PHYS</v>
          </cell>
          <cell r="F13237" t="str">
            <v>PHYS-P</v>
          </cell>
          <cell r="G13237">
            <v>704</v>
          </cell>
          <cell r="H13237" t="str">
            <v>PHYS-P704</v>
          </cell>
          <cell r="K13237" t="str">
            <v>Liu,Chen-Yu</v>
          </cell>
          <cell r="N13237" t="str">
            <v>NR</v>
          </cell>
          <cell r="O13237" t="str">
            <v>NR</v>
          </cell>
        </row>
        <row r="13238">
          <cell r="E13238" t="str">
            <v>PHYS</v>
          </cell>
          <cell r="F13238" t="str">
            <v>PHYS-P</v>
          </cell>
          <cell r="G13238">
            <v>704</v>
          </cell>
          <cell r="H13238" t="str">
            <v>PHYS-P704</v>
          </cell>
          <cell r="K13238" t="str">
            <v>Liu,Chen-Yu</v>
          </cell>
          <cell r="N13238" t="str">
            <v>NR</v>
          </cell>
          <cell r="O13238" t="str">
            <v>NR</v>
          </cell>
        </row>
        <row r="13239">
          <cell r="E13239" t="str">
            <v>PHYS</v>
          </cell>
          <cell r="F13239" t="str">
            <v>PHYS-P</v>
          </cell>
          <cell r="G13239">
            <v>705</v>
          </cell>
          <cell r="H13239" t="str">
            <v>PHYS-P705</v>
          </cell>
          <cell r="K13239" t="str">
            <v>Lammers,Sabine Wedam</v>
          </cell>
          <cell r="N13239" t="str">
            <v>NR</v>
          </cell>
          <cell r="O13239" t="str">
            <v>NR</v>
          </cell>
        </row>
        <row r="13240">
          <cell r="E13240" t="str">
            <v>PHYS</v>
          </cell>
          <cell r="F13240" t="str">
            <v>PHYS-P</v>
          </cell>
          <cell r="G13240">
            <v>706</v>
          </cell>
          <cell r="H13240" t="str">
            <v>PHYS-P706</v>
          </cell>
          <cell r="K13240" t="str">
            <v>Fertig,Herbert Abraham</v>
          </cell>
          <cell r="N13240" t="str">
            <v>NR</v>
          </cell>
          <cell r="O13240" t="str">
            <v>NR</v>
          </cell>
        </row>
        <row r="13241">
          <cell r="E13241" t="str">
            <v>PHYS</v>
          </cell>
          <cell r="F13241" t="str">
            <v>PHYS-P</v>
          </cell>
          <cell r="G13241">
            <v>782</v>
          </cell>
          <cell r="H13241" t="str">
            <v>PHYS-P782</v>
          </cell>
          <cell r="K13241" t="str">
            <v>Pynn,Roger</v>
          </cell>
          <cell r="N13241" t="str">
            <v>NR</v>
          </cell>
          <cell r="O13241" t="str">
            <v>NR</v>
          </cell>
        </row>
        <row r="13242">
          <cell r="E13242" t="str">
            <v>PHYS</v>
          </cell>
          <cell r="F13242" t="str">
            <v>PHYS-P</v>
          </cell>
          <cell r="G13242">
            <v>800</v>
          </cell>
          <cell r="H13242" t="str">
            <v>PHYS-P800</v>
          </cell>
          <cell r="K13242" t="str">
            <v>Szczepaniak,Adam P</v>
          </cell>
          <cell r="N13242" t="str">
            <v>NR</v>
          </cell>
          <cell r="O13242" t="str">
            <v>NR</v>
          </cell>
        </row>
        <row r="13243">
          <cell r="E13243" t="str">
            <v>PHYS</v>
          </cell>
          <cell r="F13243" t="str">
            <v>PHYS-P</v>
          </cell>
          <cell r="G13243">
            <v>800</v>
          </cell>
          <cell r="H13243" t="str">
            <v>PHYS-P800</v>
          </cell>
          <cell r="K13243" t="str">
            <v>Szczepaniak,Adam P</v>
          </cell>
          <cell r="N13243" t="str">
            <v>NR</v>
          </cell>
          <cell r="O13243" t="str">
            <v>NR</v>
          </cell>
        </row>
        <row r="13244">
          <cell r="E13244" t="str">
            <v>PHYS</v>
          </cell>
          <cell r="F13244" t="str">
            <v>PHYS-P</v>
          </cell>
          <cell r="G13244">
            <v>800</v>
          </cell>
          <cell r="H13244" t="str">
            <v>PHYS-P800</v>
          </cell>
          <cell r="K13244" t="str">
            <v>Van Kooten,Richard James</v>
          </cell>
          <cell r="N13244" t="str">
            <v>NR</v>
          </cell>
          <cell r="O13244" t="str">
            <v>NR</v>
          </cell>
        </row>
        <row r="13245">
          <cell r="E13245" t="str">
            <v>PHYS</v>
          </cell>
          <cell r="F13245" t="str">
            <v>PHYS-P</v>
          </cell>
          <cell r="G13245">
            <v>800</v>
          </cell>
          <cell r="H13245" t="str">
            <v>PHYS-P800</v>
          </cell>
          <cell r="K13245" t="str">
            <v>Van Kooten,Richard James</v>
          </cell>
          <cell r="N13245" t="str">
            <v>NR</v>
          </cell>
          <cell r="O13245" t="str">
            <v>NR</v>
          </cell>
        </row>
        <row r="13246">
          <cell r="E13246" t="str">
            <v>PHYS</v>
          </cell>
          <cell r="F13246" t="str">
            <v>PHYS-P</v>
          </cell>
          <cell r="G13246">
            <v>801</v>
          </cell>
          <cell r="H13246" t="str">
            <v>PHYS-P801</v>
          </cell>
          <cell r="K13246" t="str">
            <v>Szczepaniak,Adam P</v>
          </cell>
          <cell r="N13246" t="str">
            <v>NR</v>
          </cell>
          <cell r="O13246" t="str">
            <v>NR</v>
          </cell>
        </row>
        <row r="13247">
          <cell r="E13247" t="str">
            <v>PHYS</v>
          </cell>
          <cell r="F13247" t="str">
            <v>PHYS-P</v>
          </cell>
          <cell r="G13247">
            <v>802</v>
          </cell>
          <cell r="H13247" t="str">
            <v>PHYS-P802</v>
          </cell>
          <cell r="K13247" t="str">
            <v>Szczepaniak,Adam P</v>
          </cell>
          <cell r="N13247">
            <v>3.968</v>
          </cell>
          <cell r="O13247">
            <v>3.7240000000000002</v>
          </cell>
        </row>
        <row r="13248">
          <cell r="E13248" t="str">
            <v>PHYS</v>
          </cell>
          <cell r="F13248" t="str">
            <v>PHYS-P</v>
          </cell>
          <cell r="G13248">
            <v>802</v>
          </cell>
          <cell r="H13248" t="str">
            <v>PHYS-P802</v>
          </cell>
          <cell r="K13248" t="str">
            <v>Szczepaniak,Adam P</v>
          </cell>
          <cell r="N13248" t="str">
            <v>NR</v>
          </cell>
          <cell r="O13248" t="str">
            <v>NR</v>
          </cell>
        </row>
        <row r="13249">
          <cell r="E13249" t="str">
            <v>PHYS</v>
          </cell>
          <cell r="F13249" t="str">
            <v>PHYS-P</v>
          </cell>
          <cell r="G13249">
            <v>802</v>
          </cell>
          <cell r="H13249" t="str">
            <v>PHYS-P802</v>
          </cell>
          <cell r="K13249" t="str">
            <v>Van Kooten,Richard James</v>
          </cell>
          <cell r="N13249">
            <v>3.9119999999999999</v>
          </cell>
          <cell r="O13249">
            <v>3.65</v>
          </cell>
        </row>
        <row r="13250">
          <cell r="E13250" t="str">
            <v>PHYS</v>
          </cell>
          <cell r="F13250" t="str">
            <v>PHYS-P</v>
          </cell>
          <cell r="G13250">
            <v>802</v>
          </cell>
          <cell r="H13250" t="str">
            <v>PHYS-P802</v>
          </cell>
          <cell r="K13250" t="str">
            <v>Van Kooten,Richard James</v>
          </cell>
          <cell r="N13250" t="str">
            <v>NR</v>
          </cell>
          <cell r="O13250" t="str">
            <v>NR</v>
          </cell>
        </row>
        <row r="13251">
          <cell r="E13251" t="str">
            <v>PHYS</v>
          </cell>
          <cell r="F13251" t="str">
            <v>PHYS-P</v>
          </cell>
          <cell r="G13251">
            <v>803</v>
          </cell>
          <cell r="H13251" t="str">
            <v>PHYS-P803</v>
          </cell>
          <cell r="K13251" t="str">
            <v>Van Kooten,Richard James</v>
          </cell>
          <cell r="N13251" t="str">
            <v>NR</v>
          </cell>
          <cell r="O13251" t="str">
            <v>NR</v>
          </cell>
        </row>
        <row r="13252">
          <cell r="E13252" t="str">
            <v>PHYS</v>
          </cell>
          <cell r="F13252" t="str">
            <v>PHYS-S</v>
          </cell>
          <cell r="G13252">
            <v>406</v>
          </cell>
          <cell r="H13252" t="str">
            <v>PHYS-S406</v>
          </cell>
          <cell r="K13252" t="str">
            <v>Szczepaniak,Adam P</v>
          </cell>
          <cell r="N13252">
            <v>4</v>
          </cell>
          <cell r="O13252">
            <v>3.3359999999999999</v>
          </cell>
        </row>
        <row r="13253">
          <cell r="E13253" t="str">
            <v>PHYS</v>
          </cell>
          <cell r="F13253" t="str">
            <v>PHYS-S</v>
          </cell>
          <cell r="G13253">
            <v>406</v>
          </cell>
          <cell r="H13253" t="str">
            <v>PHYS-S406</v>
          </cell>
          <cell r="K13253" t="str">
            <v>Szczepaniak,Adam P</v>
          </cell>
          <cell r="N13253" t="str">
            <v>NR</v>
          </cell>
          <cell r="O13253" t="str">
            <v>NR</v>
          </cell>
        </row>
        <row r="13254">
          <cell r="E13254" t="str">
            <v>PHYS</v>
          </cell>
          <cell r="F13254" t="str">
            <v>PHYS-S</v>
          </cell>
          <cell r="G13254">
            <v>406</v>
          </cell>
          <cell r="H13254" t="str">
            <v>PHYS-S406</v>
          </cell>
          <cell r="K13254" t="str">
            <v>Van Kooten,Richard James</v>
          </cell>
          <cell r="N13254" t="str">
            <v>NR</v>
          </cell>
          <cell r="O13254" t="str">
            <v>NR</v>
          </cell>
        </row>
        <row r="13255">
          <cell r="E13255" t="str">
            <v>PHYS</v>
          </cell>
          <cell r="F13255" t="str">
            <v>PHYS-S</v>
          </cell>
          <cell r="G13255">
            <v>407</v>
          </cell>
          <cell r="H13255" t="str">
            <v>PHYS-S407</v>
          </cell>
          <cell r="K13255" t="str">
            <v>Szczepaniak,Adam P</v>
          </cell>
          <cell r="N13255" t="str">
            <v>NR</v>
          </cell>
          <cell r="O13255" t="str">
            <v>NR</v>
          </cell>
        </row>
        <row r="13256">
          <cell r="E13256" t="str">
            <v>POLS</v>
          </cell>
          <cell r="F13256" t="str">
            <v>POLS-G</v>
          </cell>
          <cell r="G13256">
            <v>901</v>
          </cell>
          <cell r="H13256" t="str">
            <v>POLS-G901</v>
          </cell>
          <cell r="K13256" t="str">
            <v>Scheuerman,William</v>
          </cell>
          <cell r="N13256" t="str">
            <v>NR</v>
          </cell>
          <cell r="O13256" t="str">
            <v>NR</v>
          </cell>
        </row>
        <row r="13257">
          <cell r="E13257" t="str">
            <v>POLS</v>
          </cell>
          <cell r="F13257" t="str">
            <v>POLS-G</v>
          </cell>
          <cell r="G13257">
            <v>901</v>
          </cell>
          <cell r="H13257" t="str">
            <v>POLS-G901</v>
          </cell>
          <cell r="K13257" t="str">
            <v>Scheuerman,William</v>
          </cell>
          <cell r="N13257" t="str">
            <v>NR</v>
          </cell>
          <cell r="O13257" t="str">
            <v>NR</v>
          </cell>
        </row>
        <row r="13258">
          <cell r="E13258" t="str">
            <v>POLS</v>
          </cell>
          <cell r="F13258" t="str">
            <v>POLS-OS</v>
          </cell>
          <cell r="G13258">
            <v>100</v>
          </cell>
          <cell r="H13258" t="str">
            <v>POLS-OS100</v>
          </cell>
          <cell r="N13258" t="str">
            <v>NR</v>
          </cell>
          <cell r="O13258" t="str">
            <v>NR</v>
          </cell>
        </row>
        <row r="13259">
          <cell r="E13259" t="str">
            <v>POLS</v>
          </cell>
          <cell r="F13259" t="str">
            <v>POLS-X</v>
          </cell>
          <cell r="G13259">
            <v>180</v>
          </cell>
          <cell r="H13259" t="str">
            <v>POLS-X180</v>
          </cell>
          <cell r="K13259" t="str">
            <v>Wright,Gerald C.</v>
          </cell>
          <cell r="N13259">
            <v>3.9049999999999998</v>
          </cell>
          <cell r="O13259">
            <v>2.871</v>
          </cell>
        </row>
        <row r="13260">
          <cell r="E13260" t="str">
            <v>POLS</v>
          </cell>
          <cell r="F13260" t="str">
            <v>POLS-X</v>
          </cell>
          <cell r="G13260">
            <v>280</v>
          </cell>
          <cell r="H13260" t="str">
            <v>POLS-X280</v>
          </cell>
          <cell r="K13260" t="str">
            <v>Krupnikov,Yanna</v>
          </cell>
          <cell r="N13260">
            <v>3.9489999999999998</v>
          </cell>
          <cell r="O13260">
            <v>3.19</v>
          </cell>
        </row>
        <row r="13261">
          <cell r="E13261" t="str">
            <v>POLS</v>
          </cell>
          <cell r="F13261" t="str">
            <v>POLS-X</v>
          </cell>
          <cell r="G13261">
            <v>280</v>
          </cell>
          <cell r="H13261" t="str">
            <v>POLS-X280</v>
          </cell>
          <cell r="K13261" t="str">
            <v>MacLean,Lauren Mathews Morris</v>
          </cell>
          <cell r="N13261">
            <v>3.98</v>
          </cell>
          <cell r="O13261">
            <v>3.0449999999999999</v>
          </cell>
        </row>
        <row r="13262">
          <cell r="E13262" t="str">
            <v>POLS</v>
          </cell>
          <cell r="F13262" t="str">
            <v>POLS-X</v>
          </cell>
          <cell r="G13262">
            <v>280</v>
          </cell>
          <cell r="H13262" t="str">
            <v>POLS-X280</v>
          </cell>
          <cell r="K13262" t="str">
            <v>Razo,Armando</v>
          </cell>
          <cell r="N13262" t="str">
            <v>NR</v>
          </cell>
          <cell r="O13262" t="str">
            <v>NR</v>
          </cell>
        </row>
        <row r="13263">
          <cell r="E13263" t="str">
            <v>POLS</v>
          </cell>
          <cell r="F13263" t="str">
            <v>POLS-X</v>
          </cell>
          <cell r="G13263">
            <v>380</v>
          </cell>
          <cell r="H13263" t="str">
            <v>POLS-X380</v>
          </cell>
          <cell r="K13263" t="str">
            <v>Birkhead,Nathaniel Andrew</v>
          </cell>
          <cell r="N13263">
            <v>3.9420000000000002</v>
          </cell>
          <cell r="O13263">
            <v>2.8260000000000001</v>
          </cell>
        </row>
        <row r="13264">
          <cell r="E13264" t="str">
            <v>POLS</v>
          </cell>
          <cell r="F13264" t="str">
            <v>POLS-X</v>
          </cell>
          <cell r="G13264">
            <v>380</v>
          </cell>
          <cell r="H13264" t="str">
            <v>POLS-X380</v>
          </cell>
          <cell r="K13264" t="str">
            <v>Braman,Eileen</v>
          </cell>
          <cell r="N13264">
            <v>4</v>
          </cell>
          <cell r="O13264">
            <v>3.15</v>
          </cell>
        </row>
        <row r="13265">
          <cell r="E13265" t="str">
            <v>POLS</v>
          </cell>
          <cell r="F13265" t="str">
            <v>POLS-X</v>
          </cell>
          <cell r="G13265">
            <v>380</v>
          </cell>
          <cell r="H13265" t="str">
            <v>POLS-X380</v>
          </cell>
          <cell r="K13265" t="str">
            <v>Faber,Michael J</v>
          </cell>
          <cell r="N13265" t="str">
            <v>NR</v>
          </cell>
          <cell r="O13265" t="str">
            <v>NR</v>
          </cell>
        </row>
        <row r="13266">
          <cell r="E13266" t="str">
            <v>POLS</v>
          </cell>
          <cell r="F13266" t="str">
            <v>POLS-X</v>
          </cell>
          <cell r="G13266">
            <v>380</v>
          </cell>
          <cell r="H13266" t="str">
            <v>POLS-X380</v>
          </cell>
          <cell r="K13266" t="str">
            <v>Faber,Michael J</v>
          </cell>
          <cell r="N13266">
            <v>3.97</v>
          </cell>
          <cell r="O13266">
            <v>2.996</v>
          </cell>
        </row>
        <row r="13267">
          <cell r="E13267" t="str">
            <v>POLS</v>
          </cell>
          <cell r="F13267" t="str">
            <v>POLS-X</v>
          </cell>
          <cell r="G13267">
            <v>380</v>
          </cell>
          <cell r="H13267" t="str">
            <v>POLS-X380</v>
          </cell>
          <cell r="K13267" t="str">
            <v>Faber,Michael J</v>
          </cell>
          <cell r="N13267">
            <v>4</v>
          </cell>
          <cell r="O13267">
            <v>2.944</v>
          </cell>
        </row>
        <row r="13268">
          <cell r="E13268" t="str">
            <v>POLS</v>
          </cell>
          <cell r="F13268" t="str">
            <v>POLS-X</v>
          </cell>
          <cell r="G13268">
            <v>380</v>
          </cell>
          <cell r="H13268" t="str">
            <v>POLS-X380</v>
          </cell>
          <cell r="K13268" t="str">
            <v>Failer,Judith L.</v>
          </cell>
          <cell r="N13268" t="str">
            <v>NR</v>
          </cell>
          <cell r="O13268" t="str">
            <v>NR</v>
          </cell>
        </row>
        <row r="13269">
          <cell r="E13269" t="str">
            <v>POLS</v>
          </cell>
          <cell r="F13269" t="str">
            <v>POLS-X</v>
          </cell>
          <cell r="G13269">
            <v>380</v>
          </cell>
          <cell r="H13269" t="str">
            <v>POLS-X380</v>
          </cell>
          <cell r="K13269" t="str">
            <v>Hershey,Marjorie R.</v>
          </cell>
          <cell r="N13269" t="str">
            <v>NR</v>
          </cell>
          <cell r="O13269" t="str">
            <v>NR</v>
          </cell>
        </row>
        <row r="13270">
          <cell r="E13270" t="str">
            <v>POLS</v>
          </cell>
          <cell r="F13270" t="str">
            <v>POLS-X</v>
          </cell>
          <cell r="G13270">
            <v>380</v>
          </cell>
          <cell r="H13270" t="str">
            <v>POLS-X380</v>
          </cell>
          <cell r="K13270" t="str">
            <v>Hershey,Marjorie R.</v>
          </cell>
          <cell r="N13270">
            <v>3.915</v>
          </cell>
          <cell r="O13270">
            <v>3.1280000000000001</v>
          </cell>
        </row>
        <row r="13271">
          <cell r="E13271" t="str">
            <v>POLS</v>
          </cell>
          <cell r="F13271" t="str">
            <v>POLS-X</v>
          </cell>
          <cell r="G13271">
            <v>380</v>
          </cell>
          <cell r="H13271" t="str">
            <v>POLS-X380</v>
          </cell>
          <cell r="N13271" t="str">
            <v>NR</v>
          </cell>
          <cell r="O13271" t="str">
            <v>NR</v>
          </cell>
        </row>
        <row r="13272">
          <cell r="E13272" t="str">
            <v>POLS</v>
          </cell>
          <cell r="F13272" t="str">
            <v>POLS-Y</v>
          </cell>
          <cell r="G13272">
            <v>100</v>
          </cell>
          <cell r="H13272" t="str">
            <v>POLS-Y100</v>
          </cell>
          <cell r="K13272" t="str">
            <v>Dalecki,Jacek</v>
          </cell>
          <cell r="N13272">
            <v>3.016</v>
          </cell>
          <cell r="O13272">
            <v>3.0209999999999999</v>
          </cell>
        </row>
        <row r="13273">
          <cell r="E13273" t="str">
            <v>POLS</v>
          </cell>
          <cell r="F13273" t="str">
            <v>POLS-Y</v>
          </cell>
          <cell r="G13273">
            <v>100</v>
          </cell>
          <cell r="H13273" t="str">
            <v>POLS-Y100</v>
          </cell>
          <cell r="K13273" t="str">
            <v>Dalecki,Jacek</v>
          </cell>
          <cell r="N13273">
            <v>3.1360000000000001</v>
          </cell>
          <cell r="O13273">
            <v>3.0640000000000001</v>
          </cell>
        </row>
        <row r="13274">
          <cell r="E13274" t="str">
            <v>POLS</v>
          </cell>
          <cell r="F13274" t="str">
            <v>POLS-Y</v>
          </cell>
          <cell r="G13274">
            <v>100</v>
          </cell>
          <cell r="H13274" t="str">
            <v>POLS-Y100</v>
          </cell>
          <cell r="K13274" t="str">
            <v>Dalecki,Jacek</v>
          </cell>
          <cell r="N13274">
            <v>2.7959999999999998</v>
          </cell>
          <cell r="O13274">
            <v>3.0030000000000001</v>
          </cell>
        </row>
        <row r="13275">
          <cell r="E13275" t="str">
            <v>POLS</v>
          </cell>
          <cell r="F13275" t="str">
            <v>POLS-Y</v>
          </cell>
          <cell r="G13275">
            <v>102</v>
          </cell>
          <cell r="H13275" t="str">
            <v>POLS-Y102</v>
          </cell>
          <cell r="K13275" t="str">
            <v>French,Eric Michael</v>
          </cell>
          <cell r="N13275">
            <v>3.2469999999999999</v>
          </cell>
          <cell r="O13275">
            <v>2.9350000000000001</v>
          </cell>
        </row>
        <row r="13276">
          <cell r="E13276" t="str">
            <v>POLS</v>
          </cell>
          <cell r="F13276" t="str">
            <v>POLS-Y</v>
          </cell>
          <cell r="G13276">
            <v>103</v>
          </cell>
          <cell r="H13276" t="str">
            <v>POLS-Y103</v>
          </cell>
          <cell r="K13276" t="str">
            <v>Barbour,D. Christine</v>
          </cell>
          <cell r="N13276">
            <v>2.4430000000000001</v>
          </cell>
          <cell r="O13276">
            <v>2.7669999999999999</v>
          </cell>
        </row>
        <row r="13277">
          <cell r="E13277" t="str">
            <v>POLS</v>
          </cell>
          <cell r="F13277" t="str">
            <v>POLS-Y</v>
          </cell>
          <cell r="G13277">
            <v>103</v>
          </cell>
          <cell r="H13277" t="str">
            <v>POLS-Y103</v>
          </cell>
          <cell r="K13277" t="str">
            <v>Barbour,D. Christine</v>
          </cell>
          <cell r="N13277">
            <v>2.6040000000000001</v>
          </cell>
          <cell r="O13277">
            <v>2.9049999999999998</v>
          </cell>
        </row>
        <row r="13278">
          <cell r="E13278" t="str">
            <v>POLS</v>
          </cell>
          <cell r="F13278" t="str">
            <v>POLS-Y</v>
          </cell>
          <cell r="G13278">
            <v>103</v>
          </cell>
          <cell r="H13278" t="str">
            <v>POLS-Y103</v>
          </cell>
          <cell r="K13278" t="str">
            <v>Barbour,D. Christine</v>
          </cell>
          <cell r="N13278">
            <v>2.2330000000000001</v>
          </cell>
          <cell r="O13278">
            <v>2.8109999999999999</v>
          </cell>
        </row>
        <row r="13279">
          <cell r="E13279" t="str">
            <v>POLS</v>
          </cell>
          <cell r="F13279" t="str">
            <v>POLS-Y</v>
          </cell>
          <cell r="G13279">
            <v>103</v>
          </cell>
          <cell r="H13279" t="str">
            <v>POLS-Y103</v>
          </cell>
          <cell r="K13279" t="str">
            <v>Wright,Gerald C.</v>
          </cell>
          <cell r="N13279">
            <v>2.3740000000000001</v>
          </cell>
          <cell r="O13279">
            <v>2.8519999999999999</v>
          </cell>
        </row>
        <row r="13280">
          <cell r="E13280" t="str">
            <v>POLS</v>
          </cell>
          <cell r="F13280" t="str">
            <v>POLS-Y</v>
          </cell>
          <cell r="G13280">
            <v>105</v>
          </cell>
          <cell r="H13280" t="str">
            <v>POLS-Y105</v>
          </cell>
          <cell r="K13280" t="str">
            <v>Kim,Joo Hyung</v>
          </cell>
          <cell r="N13280">
            <v>3.1539999999999999</v>
          </cell>
          <cell r="O13280">
            <v>3.1539999999999999</v>
          </cell>
        </row>
        <row r="13281">
          <cell r="E13281" t="str">
            <v>POLS</v>
          </cell>
          <cell r="F13281" t="str">
            <v>POLS-Y</v>
          </cell>
          <cell r="G13281">
            <v>105</v>
          </cell>
          <cell r="H13281" t="str">
            <v>POLS-Y105</v>
          </cell>
          <cell r="K13281" t="str">
            <v>Scheuerman,William</v>
          </cell>
          <cell r="N13281">
            <v>2.6179999999999999</v>
          </cell>
          <cell r="O13281">
            <v>2.9390000000000001</v>
          </cell>
        </row>
        <row r="13282">
          <cell r="E13282" t="str">
            <v>POLS</v>
          </cell>
          <cell r="F13282" t="str">
            <v>POLS-Y</v>
          </cell>
          <cell r="G13282">
            <v>105</v>
          </cell>
          <cell r="H13282" t="str">
            <v>POLS-Y105</v>
          </cell>
          <cell r="K13282" t="str">
            <v>Slaboch,Matthew Wayne</v>
          </cell>
          <cell r="N13282">
            <v>3.306</v>
          </cell>
          <cell r="O13282">
            <v>3.19</v>
          </cell>
        </row>
        <row r="13283">
          <cell r="E13283" t="str">
            <v>POLS</v>
          </cell>
          <cell r="F13283" t="str">
            <v>POLS-Y</v>
          </cell>
          <cell r="G13283">
            <v>107</v>
          </cell>
          <cell r="H13283" t="str">
            <v>POLS-Y107</v>
          </cell>
          <cell r="K13283" t="str">
            <v>Clark,Nicholas J</v>
          </cell>
          <cell r="N13283">
            <v>2.996</v>
          </cell>
          <cell r="O13283">
            <v>2.9689999999999999</v>
          </cell>
        </row>
        <row r="13284">
          <cell r="E13284" t="str">
            <v>POLS</v>
          </cell>
          <cell r="F13284" t="str">
            <v>POLS-Y</v>
          </cell>
          <cell r="G13284">
            <v>107</v>
          </cell>
          <cell r="H13284" t="str">
            <v>POLS-Y107</v>
          </cell>
          <cell r="K13284" t="str">
            <v>Sissenich,Beate</v>
          </cell>
          <cell r="N13284">
            <v>2.8090000000000002</v>
          </cell>
          <cell r="O13284">
            <v>2.8050000000000002</v>
          </cell>
        </row>
        <row r="13285">
          <cell r="E13285" t="str">
            <v>POLS</v>
          </cell>
          <cell r="F13285" t="str">
            <v>POLS-Y</v>
          </cell>
          <cell r="G13285">
            <v>109</v>
          </cell>
          <cell r="H13285" t="str">
            <v>POLS-Y109</v>
          </cell>
          <cell r="K13285" t="str">
            <v>Spechler,Dina R.</v>
          </cell>
          <cell r="N13285">
            <v>2.7309999999999999</v>
          </cell>
          <cell r="O13285">
            <v>2.93</v>
          </cell>
        </row>
        <row r="13286">
          <cell r="E13286" t="str">
            <v>POLS</v>
          </cell>
          <cell r="F13286" t="str">
            <v>POLS-Y</v>
          </cell>
          <cell r="G13286">
            <v>109</v>
          </cell>
          <cell r="H13286" t="str">
            <v>POLS-Y109</v>
          </cell>
          <cell r="K13286" t="str">
            <v>Thompson,William R.</v>
          </cell>
          <cell r="N13286">
            <v>2.532</v>
          </cell>
          <cell r="O13286">
            <v>2.641</v>
          </cell>
        </row>
        <row r="13287">
          <cell r="E13287" t="str">
            <v>POLS</v>
          </cell>
          <cell r="F13287" t="str">
            <v>POLS-Y</v>
          </cell>
          <cell r="G13287">
            <v>200</v>
          </cell>
          <cell r="H13287" t="str">
            <v>POLS-Y200</v>
          </cell>
          <cell r="K13287" t="str">
            <v>Barbour,D. Christine</v>
          </cell>
          <cell r="N13287">
            <v>3.46</v>
          </cell>
          <cell r="O13287">
            <v>3.161</v>
          </cell>
        </row>
        <row r="13288">
          <cell r="E13288" t="str">
            <v>POLS</v>
          </cell>
          <cell r="F13288" t="str">
            <v>POLS-Y</v>
          </cell>
          <cell r="G13288">
            <v>200</v>
          </cell>
          <cell r="H13288" t="str">
            <v>POLS-Y200</v>
          </cell>
          <cell r="K13288" t="str">
            <v>Clark,Nicholas J</v>
          </cell>
          <cell r="N13288">
            <v>2.5939999999999999</v>
          </cell>
          <cell r="O13288">
            <v>2.8359999999999999</v>
          </cell>
        </row>
        <row r="13289">
          <cell r="E13289" t="str">
            <v>POLS</v>
          </cell>
          <cell r="F13289" t="str">
            <v>POLS-Y</v>
          </cell>
          <cell r="G13289">
            <v>200</v>
          </cell>
          <cell r="H13289" t="str">
            <v>POLS-Y200</v>
          </cell>
          <cell r="K13289" t="str">
            <v>Khanani,Ahmed</v>
          </cell>
          <cell r="N13289">
            <v>3.077</v>
          </cell>
          <cell r="O13289">
            <v>3.149</v>
          </cell>
        </row>
        <row r="13290">
          <cell r="E13290" t="str">
            <v>POLS</v>
          </cell>
          <cell r="F13290" t="str">
            <v>POLS-Y</v>
          </cell>
          <cell r="G13290">
            <v>200</v>
          </cell>
          <cell r="H13290" t="str">
            <v>POLS-Y200</v>
          </cell>
          <cell r="K13290" t="str">
            <v>Krupnikov,Yanna</v>
          </cell>
          <cell r="N13290">
            <v>3.2410000000000001</v>
          </cell>
          <cell r="O13290">
            <v>3.0859999999999999</v>
          </cell>
        </row>
        <row r="13291">
          <cell r="E13291" t="str">
            <v>POLS</v>
          </cell>
          <cell r="F13291" t="str">
            <v>POLS-Y</v>
          </cell>
          <cell r="G13291">
            <v>200</v>
          </cell>
          <cell r="H13291" t="str">
            <v>POLS-Y200</v>
          </cell>
          <cell r="K13291" t="str">
            <v>McGinnis,Michael Dean</v>
          </cell>
          <cell r="N13291">
            <v>2.7309999999999999</v>
          </cell>
          <cell r="O13291">
            <v>2.8039999999999998</v>
          </cell>
        </row>
        <row r="13292">
          <cell r="E13292" t="str">
            <v>POLS</v>
          </cell>
          <cell r="F13292" t="str">
            <v>POLS-Y</v>
          </cell>
          <cell r="G13292">
            <v>200</v>
          </cell>
          <cell r="H13292" t="str">
            <v>POLS-Y200</v>
          </cell>
          <cell r="K13292" t="str">
            <v>Sinno,Abdulkader</v>
          </cell>
          <cell r="N13292">
            <v>2.5630000000000002</v>
          </cell>
          <cell r="O13292">
            <v>2.9409999999999998</v>
          </cell>
        </row>
        <row r="13293">
          <cell r="E13293" t="str">
            <v>POLS</v>
          </cell>
          <cell r="F13293" t="str">
            <v>POLS-Y</v>
          </cell>
          <cell r="G13293">
            <v>200</v>
          </cell>
          <cell r="H13293" t="str">
            <v>POLS-Y200</v>
          </cell>
          <cell r="K13293" t="str">
            <v>Wright,Gerald C.</v>
          </cell>
          <cell r="N13293">
            <v>2.6920000000000002</v>
          </cell>
          <cell r="O13293">
            <v>2.9220000000000002</v>
          </cell>
        </row>
        <row r="13294">
          <cell r="E13294" t="str">
            <v>POLS</v>
          </cell>
          <cell r="F13294" t="str">
            <v>POLS-Y</v>
          </cell>
          <cell r="G13294">
            <v>200</v>
          </cell>
          <cell r="H13294" t="str">
            <v>POLS-Y200</v>
          </cell>
          <cell r="K13294" t="str">
            <v>Wright,Gerald C.</v>
          </cell>
          <cell r="N13294">
            <v>2.6989999999999998</v>
          </cell>
          <cell r="O13294">
            <v>2.96</v>
          </cell>
        </row>
        <row r="13295">
          <cell r="E13295" t="str">
            <v>POLS</v>
          </cell>
          <cell r="F13295" t="str">
            <v>POLS-Y</v>
          </cell>
          <cell r="G13295">
            <v>205</v>
          </cell>
          <cell r="H13295" t="str">
            <v>POLS-Y205</v>
          </cell>
          <cell r="K13295" t="str">
            <v>MacLean,Lauren Mathews Morris</v>
          </cell>
          <cell r="N13295">
            <v>2.984</v>
          </cell>
          <cell r="O13295">
            <v>3.0449999999999999</v>
          </cell>
        </row>
        <row r="13296">
          <cell r="E13296" t="str">
            <v>POLS</v>
          </cell>
          <cell r="F13296" t="str">
            <v>POLS-Y</v>
          </cell>
          <cell r="G13296">
            <v>205</v>
          </cell>
          <cell r="H13296" t="str">
            <v>POLS-Y205</v>
          </cell>
          <cell r="K13296" t="str">
            <v>Razo,Armando</v>
          </cell>
          <cell r="N13296">
            <v>2.766</v>
          </cell>
          <cell r="O13296">
            <v>2.9260000000000002</v>
          </cell>
        </row>
        <row r="13297">
          <cell r="E13297" t="str">
            <v>POLS</v>
          </cell>
          <cell r="F13297" t="str">
            <v>POLS-Y</v>
          </cell>
          <cell r="G13297">
            <v>210</v>
          </cell>
          <cell r="H13297" t="str">
            <v>POLS-Y210</v>
          </cell>
          <cell r="K13297" t="str">
            <v>Spechler,Dina R.</v>
          </cell>
          <cell r="N13297" t="str">
            <v>NR</v>
          </cell>
          <cell r="O13297" t="str">
            <v>NR</v>
          </cell>
        </row>
        <row r="13298">
          <cell r="E13298" t="str">
            <v>POLS</v>
          </cell>
          <cell r="F13298" t="str">
            <v>POLS-Y</v>
          </cell>
          <cell r="G13298">
            <v>210</v>
          </cell>
          <cell r="H13298" t="str">
            <v>POLS-Y210</v>
          </cell>
          <cell r="K13298" t="str">
            <v>Spechler,Dina R.</v>
          </cell>
          <cell r="N13298">
            <v>3.5329999999999999</v>
          </cell>
          <cell r="O13298">
            <v>3.5659999999999998</v>
          </cell>
        </row>
        <row r="13299">
          <cell r="E13299" t="str">
            <v>POLS</v>
          </cell>
          <cell r="F13299" t="str">
            <v>POLS-Y</v>
          </cell>
          <cell r="G13299">
            <v>211</v>
          </cell>
          <cell r="H13299" t="str">
            <v>POLS-Y211</v>
          </cell>
          <cell r="K13299" t="str">
            <v>Dalecki,Jacek</v>
          </cell>
          <cell r="N13299">
            <v>2.9870000000000001</v>
          </cell>
          <cell r="O13299">
            <v>3.1440000000000001</v>
          </cell>
        </row>
        <row r="13300">
          <cell r="E13300" t="str">
            <v>POLS</v>
          </cell>
          <cell r="F13300" t="str">
            <v>POLS-Y</v>
          </cell>
          <cell r="G13300">
            <v>211</v>
          </cell>
          <cell r="H13300" t="str">
            <v>POLS-Y211</v>
          </cell>
          <cell r="K13300" t="str">
            <v>Dalecki,Jacek</v>
          </cell>
          <cell r="N13300">
            <v>2.976</v>
          </cell>
          <cell r="O13300">
            <v>3.0259999999999998</v>
          </cell>
        </row>
        <row r="13301">
          <cell r="E13301" t="str">
            <v>POLS</v>
          </cell>
          <cell r="F13301" t="str">
            <v>POLS-Y</v>
          </cell>
          <cell r="G13301">
            <v>212</v>
          </cell>
          <cell r="H13301" t="str">
            <v>POLS-Y212</v>
          </cell>
          <cell r="K13301" t="str">
            <v>Isaac,Jeffrey C.</v>
          </cell>
          <cell r="N13301">
            <v>2.9569999999999999</v>
          </cell>
          <cell r="O13301">
            <v>2.855</v>
          </cell>
        </row>
        <row r="13302">
          <cell r="E13302" t="str">
            <v>POLS</v>
          </cell>
          <cell r="F13302" t="str">
            <v>POLS-Y</v>
          </cell>
          <cell r="G13302">
            <v>249</v>
          </cell>
          <cell r="H13302" t="str">
            <v>POLS-Y249</v>
          </cell>
          <cell r="K13302" t="str">
            <v>Krumm,Mitchell Darin</v>
          </cell>
          <cell r="N13302">
            <v>2.9350000000000001</v>
          </cell>
          <cell r="O13302">
            <v>2.7090000000000001</v>
          </cell>
        </row>
        <row r="13303">
          <cell r="E13303" t="str">
            <v>POLS</v>
          </cell>
          <cell r="F13303" t="str">
            <v>POLS-Y</v>
          </cell>
          <cell r="G13303">
            <v>301</v>
          </cell>
          <cell r="H13303" t="str">
            <v>POLS-Y301</v>
          </cell>
          <cell r="K13303" t="str">
            <v>Hershey,Marjorie R.</v>
          </cell>
          <cell r="N13303">
            <v>2.89</v>
          </cell>
          <cell r="O13303">
            <v>3.0550000000000002</v>
          </cell>
        </row>
        <row r="13304">
          <cell r="E13304" t="str">
            <v>POLS</v>
          </cell>
          <cell r="F13304" t="str">
            <v>POLS-Y</v>
          </cell>
          <cell r="G13304">
            <v>304</v>
          </cell>
          <cell r="H13304" t="str">
            <v>POLS-Y304</v>
          </cell>
          <cell r="K13304" t="str">
            <v>Failer,Judith L.</v>
          </cell>
          <cell r="N13304">
            <v>3.5960000000000001</v>
          </cell>
          <cell r="O13304">
            <v>3.23</v>
          </cell>
        </row>
        <row r="13305">
          <cell r="E13305" t="str">
            <v>POLS</v>
          </cell>
          <cell r="F13305" t="str">
            <v>POLS-Y</v>
          </cell>
          <cell r="G13305">
            <v>305</v>
          </cell>
          <cell r="H13305" t="str">
            <v>POLS-Y305</v>
          </cell>
          <cell r="K13305" t="str">
            <v>Failer,Judith L.</v>
          </cell>
          <cell r="N13305">
            <v>3.3420000000000001</v>
          </cell>
          <cell r="O13305">
            <v>3.0619999999999998</v>
          </cell>
        </row>
        <row r="13306">
          <cell r="E13306" t="str">
            <v>POLS</v>
          </cell>
          <cell r="F13306" t="str">
            <v>POLS-Y</v>
          </cell>
          <cell r="G13306">
            <v>306</v>
          </cell>
          <cell r="H13306" t="str">
            <v>POLS-Y306</v>
          </cell>
          <cell r="K13306" t="str">
            <v>Birkhead,Nathaniel Andrew</v>
          </cell>
          <cell r="N13306">
            <v>2.883</v>
          </cell>
          <cell r="O13306">
            <v>2.9289999999999998</v>
          </cell>
        </row>
        <row r="13307">
          <cell r="E13307" t="str">
            <v>POLS</v>
          </cell>
          <cell r="F13307" t="str">
            <v>POLS-Y</v>
          </cell>
          <cell r="G13307">
            <v>307</v>
          </cell>
          <cell r="H13307" t="str">
            <v>POLS-Y307</v>
          </cell>
          <cell r="K13307" t="str">
            <v>Bielasiak,Jacob</v>
          </cell>
          <cell r="N13307" t="str">
            <v>NR</v>
          </cell>
          <cell r="O13307" t="str">
            <v>NR</v>
          </cell>
        </row>
        <row r="13308">
          <cell r="E13308" t="str">
            <v>POLS</v>
          </cell>
          <cell r="F13308" t="str">
            <v>POLS-Y</v>
          </cell>
          <cell r="G13308">
            <v>308</v>
          </cell>
          <cell r="H13308" t="str">
            <v>POLS-Y308</v>
          </cell>
          <cell r="K13308" t="str">
            <v>Abner,Gordon Brandon</v>
          </cell>
          <cell r="N13308">
            <v>3.0449999999999999</v>
          </cell>
          <cell r="O13308">
            <v>2.964</v>
          </cell>
        </row>
        <row r="13309">
          <cell r="E13309" t="str">
            <v>POLS</v>
          </cell>
          <cell r="F13309" t="str">
            <v>POLS-Y</v>
          </cell>
          <cell r="G13309">
            <v>313</v>
          </cell>
          <cell r="H13309" t="str">
            <v>POLS-Y313</v>
          </cell>
          <cell r="K13309" t="str">
            <v>Hershey,Marjorie R.</v>
          </cell>
          <cell r="N13309">
            <v>2.9340000000000002</v>
          </cell>
          <cell r="O13309">
            <v>3.0390000000000001</v>
          </cell>
        </row>
        <row r="13310">
          <cell r="E13310" t="str">
            <v>POLS</v>
          </cell>
          <cell r="F13310" t="str">
            <v>POLS-Y</v>
          </cell>
          <cell r="G13310">
            <v>318</v>
          </cell>
          <cell r="H13310" t="str">
            <v>POLS-Y318</v>
          </cell>
          <cell r="K13310" t="str">
            <v>Faber,Michael J</v>
          </cell>
          <cell r="N13310">
            <v>2.778</v>
          </cell>
          <cell r="O13310">
            <v>2.9830000000000001</v>
          </cell>
        </row>
        <row r="13311">
          <cell r="E13311" t="str">
            <v>POLS</v>
          </cell>
          <cell r="F13311" t="str">
            <v>POLS-Y</v>
          </cell>
          <cell r="G13311">
            <v>318</v>
          </cell>
          <cell r="H13311" t="str">
            <v>POLS-Y318</v>
          </cell>
          <cell r="K13311" t="str">
            <v>Faber,Michael J</v>
          </cell>
          <cell r="N13311">
            <v>2.831</v>
          </cell>
          <cell r="O13311">
            <v>3.1549999999999998</v>
          </cell>
        </row>
        <row r="13312">
          <cell r="E13312" t="str">
            <v>POLS</v>
          </cell>
          <cell r="F13312" t="str">
            <v>POLS-Y</v>
          </cell>
          <cell r="G13312">
            <v>319</v>
          </cell>
          <cell r="H13312" t="str">
            <v>POLS-Y319</v>
          </cell>
          <cell r="K13312" t="str">
            <v>Faber,Michael J</v>
          </cell>
          <cell r="N13312">
            <v>2.887</v>
          </cell>
          <cell r="O13312">
            <v>3.028</v>
          </cell>
        </row>
        <row r="13313">
          <cell r="E13313" t="str">
            <v>POLS</v>
          </cell>
          <cell r="F13313" t="str">
            <v>POLS-Y</v>
          </cell>
          <cell r="G13313">
            <v>319</v>
          </cell>
          <cell r="H13313" t="str">
            <v>POLS-Y319</v>
          </cell>
          <cell r="K13313" t="str">
            <v>Faber,Michael J</v>
          </cell>
          <cell r="N13313">
            <v>2.6709999999999998</v>
          </cell>
          <cell r="O13313">
            <v>2.9809999999999999</v>
          </cell>
        </row>
        <row r="13314">
          <cell r="E13314" t="str">
            <v>POLS</v>
          </cell>
          <cell r="F13314" t="str">
            <v>POLS-Y</v>
          </cell>
          <cell r="G13314">
            <v>320</v>
          </cell>
          <cell r="H13314" t="str">
            <v>POLS-Y320</v>
          </cell>
          <cell r="K13314" t="str">
            <v>Braman,Eileen</v>
          </cell>
          <cell r="N13314">
            <v>3.1139999999999999</v>
          </cell>
          <cell r="O13314">
            <v>3.13</v>
          </cell>
        </row>
        <row r="13315">
          <cell r="E13315" t="str">
            <v>POLS</v>
          </cell>
          <cell r="F13315" t="str">
            <v>POLS-Y</v>
          </cell>
          <cell r="G13315">
            <v>333</v>
          </cell>
          <cell r="H13315" t="str">
            <v>POLS-Y333</v>
          </cell>
          <cell r="K13315" t="str">
            <v>Wang,Qun</v>
          </cell>
          <cell r="N13315">
            <v>3.242</v>
          </cell>
          <cell r="O13315">
            <v>2.9780000000000002</v>
          </cell>
        </row>
        <row r="13316">
          <cell r="E13316" t="str">
            <v>POLS</v>
          </cell>
          <cell r="F13316" t="str">
            <v>POLS-Y</v>
          </cell>
          <cell r="G13316">
            <v>335</v>
          </cell>
          <cell r="H13316" t="str">
            <v>POLS-Y335</v>
          </cell>
          <cell r="K13316" t="str">
            <v>Hellwig,Timothy T</v>
          </cell>
          <cell r="N13316">
            <v>2.82</v>
          </cell>
          <cell r="O13316">
            <v>3.09</v>
          </cell>
        </row>
        <row r="13317">
          <cell r="E13317" t="str">
            <v>POLS</v>
          </cell>
          <cell r="F13317" t="str">
            <v>POLS-Y</v>
          </cell>
          <cell r="G13317">
            <v>335</v>
          </cell>
          <cell r="H13317" t="str">
            <v>POLS-Y335</v>
          </cell>
          <cell r="K13317" t="str">
            <v>Hellwig,Timothy T</v>
          </cell>
          <cell r="N13317">
            <v>2.8050000000000002</v>
          </cell>
          <cell r="O13317">
            <v>3.1440000000000001</v>
          </cell>
        </row>
        <row r="13318">
          <cell r="E13318" t="str">
            <v>POLS</v>
          </cell>
          <cell r="F13318" t="str">
            <v>POLS-Y</v>
          </cell>
          <cell r="G13318">
            <v>343</v>
          </cell>
          <cell r="H13318" t="str">
            <v>POLS-Y343</v>
          </cell>
          <cell r="K13318" t="str">
            <v>MacLean,Lauren Mathews Morris</v>
          </cell>
          <cell r="N13318">
            <v>2.5960000000000001</v>
          </cell>
          <cell r="O13318">
            <v>3.085</v>
          </cell>
        </row>
        <row r="13319">
          <cell r="E13319" t="str">
            <v>POLS</v>
          </cell>
          <cell r="F13319" t="str">
            <v>POLS-Y</v>
          </cell>
          <cell r="G13319">
            <v>348</v>
          </cell>
          <cell r="H13319" t="str">
            <v>POLS-Y348</v>
          </cell>
          <cell r="K13319" t="str">
            <v>Bielasiak,Jacob</v>
          </cell>
          <cell r="N13319">
            <v>2.7639999999999998</v>
          </cell>
          <cell r="O13319">
            <v>3.0840000000000001</v>
          </cell>
        </row>
        <row r="13320">
          <cell r="E13320" t="str">
            <v>POLS</v>
          </cell>
          <cell r="F13320" t="str">
            <v>POLS-Y</v>
          </cell>
          <cell r="G13320">
            <v>350</v>
          </cell>
          <cell r="H13320" t="str">
            <v>POLS-Y350</v>
          </cell>
          <cell r="K13320" t="str">
            <v>Blarel,Nicolas</v>
          </cell>
          <cell r="N13320">
            <v>2.75</v>
          </cell>
          <cell r="O13320">
            <v>3.036</v>
          </cell>
        </row>
        <row r="13321">
          <cell r="E13321" t="str">
            <v>POLS</v>
          </cell>
          <cell r="F13321" t="str">
            <v>POLS-Y</v>
          </cell>
          <cell r="G13321">
            <v>351</v>
          </cell>
          <cell r="H13321" t="str">
            <v>POLS-Y351</v>
          </cell>
          <cell r="K13321" t="str">
            <v>Beyer,Brant</v>
          </cell>
          <cell r="N13321">
            <v>3.6869999999999998</v>
          </cell>
          <cell r="O13321">
            <v>3.0609999999999999</v>
          </cell>
        </row>
        <row r="13322">
          <cell r="E13322" t="str">
            <v>POLS</v>
          </cell>
          <cell r="F13322" t="str">
            <v>POLS-Y</v>
          </cell>
          <cell r="G13322">
            <v>351</v>
          </cell>
          <cell r="H13322" t="str">
            <v>POLS-Y351</v>
          </cell>
          <cell r="K13322" t="str">
            <v>Spechler,Dina R.</v>
          </cell>
          <cell r="N13322">
            <v>3.778</v>
          </cell>
          <cell r="O13322">
            <v>3.4180000000000001</v>
          </cell>
        </row>
        <row r="13323">
          <cell r="E13323" t="str">
            <v>POLS</v>
          </cell>
          <cell r="F13323" t="str">
            <v>POLS-Y</v>
          </cell>
          <cell r="G13323">
            <v>352</v>
          </cell>
          <cell r="H13323" t="str">
            <v>POLS-Y352</v>
          </cell>
          <cell r="K13323" t="str">
            <v>Bielasiak,Jacob</v>
          </cell>
          <cell r="N13323">
            <v>2.6419999999999999</v>
          </cell>
          <cell r="O13323">
            <v>3.0110000000000001</v>
          </cell>
        </row>
        <row r="13324">
          <cell r="E13324" t="str">
            <v>POLS</v>
          </cell>
          <cell r="F13324" t="str">
            <v>POLS-Y</v>
          </cell>
          <cell r="G13324">
            <v>360</v>
          </cell>
          <cell r="H13324" t="str">
            <v>POLS-Y360</v>
          </cell>
          <cell r="K13324" t="str">
            <v>Rasler,Karen A.</v>
          </cell>
          <cell r="N13324">
            <v>2.7040000000000002</v>
          </cell>
          <cell r="O13324">
            <v>3.1869999999999998</v>
          </cell>
        </row>
        <row r="13325">
          <cell r="E13325" t="str">
            <v>POLS</v>
          </cell>
          <cell r="F13325" t="str">
            <v>POLS-Y</v>
          </cell>
          <cell r="G13325">
            <v>362</v>
          </cell>
          <cell r="H13325" t="str">
            <v>POLS-Y362</v>
          </cell>
          <cell r="K13325" t="str">
            <v>Ganguly,Sumit</v>
          </cell>
          <cell r="N13325">
            <v>3.2</v>
          </cell>
          <cell r="O13325">
            <v>2.8940000000000001</v>
          </cell>
        </row>
        <row r="13326">
          <cell r="E13326" t="str">
            <v>POLS</v>
          </cell>
          <cell r="F13326" t="str">
            <v>POLS-Y</v>
          </cell>
          <cell r="G13326">
            <v>362</v>
          </cell>
          <cell r="H13326" t="str">
            <v>POLS-Y362</v>
          </cell>
          <cell r="K13326" t="str">
            <v>Pardesi,Manjeet Singh</v>
          </cell>
          <cell r="N13326">
            <v>2.6909999999999998</v>
          </cell>
          <cell r="O13326">
            <v>2.7639999999999998</v>
          </cell>
        </row>
        <row r="13327">
          <cell r="E13327" t="str">
            <v>POLS</v>
          </cell>
          <cell r="F13327" t="str">
            <v>POLS-Y</v>
          </cell>
          <cell r="G13327">
            <v>362</v>
          </cell>
          <cell r="H13327" t="str">
            <v>POLS-Y362</v>
          </cell>
          <cell r="K13327" t="str">
            <v>Woo,Seongji</v>
          </cell>
          <cell r="N13327">
            <v>3.6560000000000001</v>
          </cell>
          <cell r="O13327">
            <v>3.0219999999999998</v>
          </cell>
        </row>
        <row r="13328">
          <cell r="E13328" t="str">
            <v>POLS</v>
          </cell>
          <cell r="F13328" t="str">
            <v>POLS-Y</v>
          </cell>
          <cell r="G13328">
            <v>362</v>
          </cell>
          <cell r="H13328" t="str">
            <v>POLS-Y362</v>
          </cell>
          <cell r="K13328" t="str">
            <v>Woo,Seongji</v>
          </cell>
          <cell r="N13328">
            <v>3.4</v>
          </cell>
          <cell r="O13328">
            <v>3.0510000000000002</v>
          </cell>
        </row>
        <row r="13329">
          <cell r="E13329" t="str">
            <v>POLS</v>
          </cell>
          <cell r="F13329" t="str">
            <v>POLS-Y</v>
          </cell>
          <cell r="G13329">
            <v>363</v>
          </cell>
          <cell r="H13329" t="str">
            <v>POLS-Y363</v>
          </cell>
          <cell r="K13329" t="str">
            <v>Spechler,Dina R.</v>
          </cell>
          <cell r="N13329">
            <v>2.9169999999999998</v>
          </cell>
          <cell r="O13329">
            <v>3.0830000000000002</v>
          </cell>
        </row>
        <row r="13330">
          <cell r="E13330" t="str">
            <v>POLS</v>
          </cell>
          <cell r="F13330" t="str">
            <v>POLS-Y</v>
          </cell>
          <cell r="G13330">
            <v>368</v>
          </cell>
          <cell r="H13330" t="str">
            <v>POLS-Y368</v>
          </cell>
          <cell r="K13330" t="str">
            <v>Spechler,Dina R.</v>
          </cell>
          <cell r="N13330">
            <v>2.758</v>
          </cell>
          <cell r="O13330">
            <v>3.214</v>
          </cell>
        </row>
        <row r="13331">
          <cell r="E13331" t="str">
            <v>POLS</v>
          </cell>
          <cell r="F13331" t="str">
            <v>POLS-Y</v>
          </cell>
          <cell r="G13331">
            <v>376</v>
          </cell>
          <cell r="H13331" t="str">
            <v>POLS-Y376</v>
          </cell>
          <cell r="K13331" t="str">
            <v>Hart,Jeffrey A.</v>
          </cell>
          <cell r="N13331">
            <v>3.4980000000000002</v>
          </cell>
          <cell r="O13331">
            <v>3.2109999999999999</v>
          </cell>
        </row>
        <row r="13332">
          <cell r="E13332" t="str">
            <v>POLS</v>
          </cell>
          <cell r="F13332" t="str">
            <v>POLS-Y</v>
          </cell>
          <cell r="G13332">
            <v>379</v>
          </cell>
          <cell r="H13332" t="str">
            <v>POLS-Y379</v>
          </cell>
          <cell r="K13332" t="str">
            <v>Failer,Judith L.</v>
          </cell>
          <cell r="N13332">
            <v>3.0169999999999999</v>
          </cell>
          <cell r="O13332">
            <v>3.081</v>
          </cell>
        </row>
        <row r="13333">
          <cell r="E13333" t="str">
            <v>POLS</v>
          </cell>
          <cell r="F13333" t="str">
            <v>POLS-Y</v>
          </cell>
          <cell r="G13333">
            <v>379</v>
          </cell>
          <cell r="H13333" t="str">
            <v>POLS-Y379</v>
          </cell>
          <cell r="K13333" t="str">
            <v>Failer,Judith L.</v>
          </cell>
          <cell r="N13333">
            <v>3.468</v>
          </cell>
          <cell r="O13333">
            <v>3.1509999999999998</v>
          </cell>
        </row>
        <row r="13334">
          <cell r="E13334" t="str">
            <v>POLS</v>
          </cell>
          <cell r="F13334" t="str">
            <v>POLS-Y</v>
          </cell>
          <cell r="G13334">
            <v>381</v>
          </cell>
          <cell r="H13334" t="str">
            <v>POLS-Y381</v>
          </cell>
          <cell r="K13334" t="str">
            <v>Craiutu,Aurelian</v>
          </cell>
          <cell r="N13334">
            <v>2.7330000000000001</v>
          </cell>
          <cell r="O13334">
            <v>2.988</v>
          </cell>
        </row>
        <row r="13335">
          <cell r="E13335" t="str">
            <v>POLS</v>
          </cell>
          <cell r="F13335" t="str">
            <v>POLS-Y</v>
          </cell>
          <cell r="G13335">
            <v>382</v>
          </cell>
          <cell r="H13335" t="str">
            <v>POLS-Y382</v>
          </cell>
          <cell r="K13335" t="str">
            <v>Craiutu,Aurelian</v>
          </cell>
          <cell r="N13335">
            <v>2.6930000000000001</v>
          </cell>
          <cell r="O13335">
            <v>3.0289999999999999</v>
          </cell>
        </row>
        <row r="13336">
          <cell r="E13336" t="str">
            <v>POLS</v>
          </cell>
          <cell r="F13336" t="str">
            <v>POLS-Y</v>
          </cell>
          <cell r="G13336">
            <v>383</v>
          </cell>
          <cell r="H13336" t="str">
            <v>POLS-Y383</v>
          </cell>
          <cell r="K13336" t="str">
            <v>Faber,Michael J</v>
          </cell>
          <cell r="N13336">
            <v>2.7559999999999998</v>
          </cell>
          <cell r="O13336">
            <v>3.117</v>
          </cell>
        </row>
        <row r="13337">
          <cell r="E13337" t="str">
            <v>POLS</v>
          </cell>
          <cell r="F13337" t="str">
            <v>POLS-Y</v>
          </cell>
          <cell r="G13337">
            <v>384</v>
          </cell>
          <cell r="H13337" t="str">
            <v>POLS-Y384</v>
          </cell>
          <cell r="K13337" t="str">
            <v>Hanson,Russell Lee</v>
          </cell>
          <cell r="N13337">
            <v>2.6749999999999998</v>
          </cell>
          <cell r="O13337">
            <v>3.0350000000000001</v>
          </cell>
        </row>
        <row r="13338">
          <cell r="E13338" t="str">
            <v>POLS</v>
          </cell>
          <cell r="F13338" t="str">
            <v>POLS-Y</v>
          </cell>
          <cell r="G13338">
            <v>395</v>
          </cell>
          <cell r="H13338" t="str">
            <v>POLS-Y395</v>
          </cell>
          <cell r="K13338" t="str">
            <v>Hellwig,Timothy T</v>
          </cell>
          <cell r="N13338">
            <v>3.1880000000000002</v>
          </cell>
          <cell r="O13338">
            <v>3.278</v>
          </cell>
        </row>
        <row r="13339">
          <cell r="E13339" t="str">
            <v>POLS</v>
          </cell>
          <cell r="F13339" t="str">
            <v>POLS-Y</v>
          </cell>
          <cell r="G13339">
            <v>401</v>
          </cell>
          <cell r="H13339" t="str">
            <v>POLS-Y401</v>
          </cell>
          <cell r="K13339" t="str">
            <v>Bovingdon,Gardner</v>
          </cell>
          <cell r="N13339">
            <v>3.133</v>
          </cell>
          <cell r="O13339">
            <v>2.7240000000000002</v>
          </cell>
        </row>
        <row r="13340">
          <cell r="E13340" t="str">
            <v>POLS</v>
          </cell>
          <cell r="F13340" t="str">
            <v>POLS-Y</v>
          </cell>
          <cell r="G13340">
            <v>401</v>
          </cell>
          <cell r="H13340" t="str">
            <v>POLS-Y401</v>
          </cell>
          <cell r="K13340" t="str">
            <v>Foster,Laura</v>
          </cell>
          <cell r="N13340" t="str">
            <v>NR</v>
          </cell>
          <cell r="O13340" t="str">
            <v>NR</v>
          </cell>
        </row>
        <row r="13341">
          <cell r="E13341" t="str">
            <v>POLS</v>
          </cell>
          <cell r="F13341" t="str">
            <v>POLS-Y</v>
          </cell>
          <cell r="G13341">
            <v>480</v>
          </cell>
          <cell r="H13341" t="str">
            <v>POLS-Y480</v>
          </cell>
          <cell r="K13341" t="str">
            <v>Bielasiak,Jacob</v>
          </cell>
          <cell r="N13341" t="str">
            <v>NR</v>
          </cell>
          <cell r="O13341" t="str">
            <v>NR</v>
          </cell>
        </row>
        <row r="13342">
          <cell r="E13342" t="str">
            <v>POLS</v>
          </cell>
          <cell r="F13342" t="str">
            <v>POLS-Y</v>
          </cell>
          <cell r="G13342">
            <v>480</v>
          </cell>
          <cell r="H13342" t="str">
            <v>POLS-Y480</v>
          </cell>
          <cell r="K13342" t="str">
            <v>Bielasiak,Jacob</v>
          </cell>
          <cell r="N13342">
            <v>4</v>
          </cell>
          <cell r="O13342">
            <v>3.6309999999999998</v>
          </cell>
        </row>
        <row r="13343">
          <cell r="E13343" t="str">
            <v>POLS</v>
          </cell>
          <cell r="F13343" t="str">
            <v>POLS-Y</v>
          </cell>
          <cell r="G13343">
            <v>480</v>
          </cell>
          <cell r="H13343" t="str">
            <v>POLS-Y480</v>
          </cell>
          <cell r="K13343" t="str">
            <v>Wright,Gerald C.</v>
          </cell>
          <cell r="N13343" t="str">
            <v>NR</v>
          </cell>
          <cell r="O13343" t="str">
            <v>NR</v>
          </cell>
        </row>
        <row r="13344">
          <cell r="E13344" t="str">
            <v>POLS</v>
          </cell>
          <cell r="F13344" t="str">
            <v>POLS-Y</v>
          </cell>
          <cell r="G13344">
            <v>480</v>
          </cell>
          <cell r="H13344" t="str">
            <v>POLS-Y480</v>
          </cell>
          <cell r="K13344" t="str">
            <v>Wright,Gerald C.</v>
          </cell>
          <cell r="N13344">
            <v>4</v>
          </cell>
          <cell r="O13344">
            <v>3.8210000000000002</v>
          </cell>
        </row>
        <row r="13345">
          <cell r="E13345" t="str">
            <v>POLS</v>
          </cell>
          <cell r="F13345" t="str">
            <v>POLS-Y</v>
          </cell>
          <cell r="G13345">
            <v>481</v>
          </cell>
          <cell r="H13345" t="str">
            <v>POLS-Y481</v>
          </cell>
          <cell r="K13345" t="str">
            <v>Bielasiak,Jacob</v>
          </cell>
          <cell r="N13345" t="str">
            <v>NR</v>
          </cell>
          <cell r="O13345" t="str">
            <v>NR</v>
          </cell>
        </row>
        <row r="13346">
          <cell r="E13346" t="str">
            <v>POLS</v>
          </cell>
          <cell r="F13346" t="str">
            <v>POLS-Y</v>
          </cell>
          <cell r="G13346">
            <v>481</v>
          </cell>
          <cell r="H13346" t="str">
            <v>POLS-Y481</v>
          </cell>
          <cell r="K13346" t="str">
            <v>Bielasiak,Jacob</v>
          </cell>
          <cell r="N13346" t="str">
            <v>NR</v>
          </cell>
          <cell r="O13346" t="str">
            <v>NR</v>
          </cell>
        </row>
        <row r="13347">
          <cell r="E13347" t="str">
            <v>POLS</v>
          </cell>
          <cell r="F13347" t="str">
            <v>POLS-Y</v>
          </cell>
          <cell r="G13347">
            <v>484</v>
          </cell>
          <cell r="H13347" t="str">
            <v>POLS-Y484</v>
          </cell>
          <cell r="K13347" t="str">
            <v>Spechler,Dina R.</v>
          </cell>
          <cell r="N13347">
            <v>3.9</v>
          </cell>
          <cell r="O13347">
            <v>3.524</v>
          </cell>
        </row>
        <row r="13348">
          <cell r="E13348" t="str">
            <v>POLS</v>
          </cell>
          <cell r="F13348" t="str">
            <v>POLS-Y</v>
          </cell>
          <cell r="G13348">
            <v>484</v>
          </cell>
          <cell r="H13348" t="str">
            <v>POLS-Y484</v>
          </cell>
          <cell r="K13348" t="str">
            <v>Spechler,Dina R.</v>
          </cell>
          <cell r="N13348">
            <v>4</v>
          </cell>
          <cell r="O13348">
            <v>3.552</v>
          </cell>
        </row>
        <row r="13349">
          <cell r="E13349" t="str">
            <v>POLS</v>
          </cell>
          <cell r="F13349" t="str">
            <v>POLS-Y</v>
          </cell>
          <cell r="G13349">
            <v>490</v>
          </cell>
          <cell r="H13349" t="str">
            <v>POLS-Y490</v>
          </cell>
          <cell r="K13349" t="str">
            <v>Bianco,William</v>
          </cell>
          <cell r="N13349">
            <v>3.8359999999999999</v>
          </cell>
          <cell r="O13349">
            <v>3.008</v>
          </cell>
        </row>
        <row r="13350">
          <cell r="E13350" t="str">
            <v>POLS</v>
          </cell>
          <cell r="F13350" t="str">
            <v>POLS-Y</v>
          </cell>
          <cell r="G13350">
            <v>490</v>
          </cell>
          <cell r="H13350" t="str">
            <v>POLS-Y490</v>
          </cell>
          <cell r="K13350" t="str">
            <v>Bielasiak,Jacob</v>
          </cell>
          <cell r="N13350">
            <v>2.9049999999999998</v>
          </cell>
          <cell r="O13350">
            <v>3</v>
          </cell>
        </row>
        <row r="13351">
          <cell r="E13351" t="str">
            <v>POLS</v>
          </cell>
          <cell r="F13351" t="str">
            <v>POLS-Y</v>
          </cell>
          <cell r="G13351">
            <v>490</v>
          </cell>
          <cell r="H13351" t="str">
            <v>POLS-Y490</v>
          </cell>
          <cell r="K13351" t="str">
            <v>Craiutu,Aurelian</v>
          </cell>
          <cell r="N13351">
            <v>3.3090000000000002</v>
          </cell>
          <cell r="O13351">
            <v>3.2810000000000001</v>
          </cell>
        </row>
        <row r="13352">
          <cell r="E13352" t="str">
            <v>POLS</v>
          </cell>
          <cell r="F13352" t="str">
            <v>POLS-Y</v>
          </cell>
          <cell r="G13352">
            <v>490</v>
          </cell>
          <cell r="H13352" t="str">
            <v>POLS-Y490</v>
          </cell>
          <cell r="K13352" t="str">
            <v>Hart,Jeffrey A.</v>
          </cell>
          <cell r="N13352">
            <v>3.8959999999999999</v>
          </cell>
          <cell r="O13352">
            <v>3.266</v>
          </cell>
        </row>
        <row r="13353">
          <cell r="E13353" t="str">
            <v>POLS</v>
          </cell>
          <cell r="F13353" t="str">
            <v>POLS-Y</v>
          </cell>
          <cell r="G13353">
            <v>490</v>
          </cell>
          <cell r="H13353" t="str">
            <v>POLS-Y490</v>
          </cell>
          <cell r="K13353" t="str">
            <v>Razo,Armando</v>
          </cell>
          <cell r="N13353">
            <v>2.3730000000000002</v>
          </cell>
          <cell r="O13353">
            <v>2.7240000000000002</v>
          </cell>
        </row>
        <row r="13354">
          <cell r="E13354" t="str">
            <v>POLS</v>
          </cell>
          <cell r="F13354" t="str">
            <v>POLS-Y</v>
          </cell>
          <cell r="G13354">
            <v>490</v>
          </cell>
          <cell r="H13354" t="str">
            <v>POLS-Y490</v>
          </cell>
          <cell r="K13354" t="str">
            <v>Sinno,Abdulkader</v>
          </cell>
          <cell r="N13354">
            <v>3.6139999999999999</v>
          </cell>
          <cell r="O13354">
            <v>3.2320000000000002</v>
          </cell>
        </row>
        <row r="13355">
          <cell r="E13355" t="str">
            <v>POLS</v>
          </cell>
          <cell r="F13355" t="str">
            <v>POLS-Y</v>
          </cell>
          <cell r="G13355">
            <v>490</v>
          </cell>
          <cell r="H13355" t="str">
            <v>POLS-Y490</v>
          </cell>
          <cell r="K13355" t="str">
            <v>Sissenich,Beate</v>
          </cell>
          <cell r="N13355">
            <v>3.0139999999999998</v>
          </cell>
          <cell r="O13355">
            <v>2.9020000000000001</v>
          </cell>
        </row>
        <row r="13356">
          <cell r="E13356" t="str">
            <v>POLS</v>
          </cell>
          <cell r="F13356" t="str">
            <v>POLS-Y</v>
          </cell>
          <cell r="G13356">
            <v>490</v>
          </cell>
          <cell r="H13356" t="str">
            <v>POLS-Y490</v>
          </cell>
          <cell r="K13356" t="str">
            <v>Smyth,Regina</v>
          </cell>
          <cell r="N13356">
            <v>3.452</v>
          </cell>
          <cell r="O13356">
            <v>3.157</v>
          </cell>
        </row>
        <row r="13357">
          <cell r="E13357" t="str">
            <v>POLS</v>
          </cell>
          <cell r="F13357" t="str">
            <v>POLS-Y</v>
          </cell>
          <cell r="G13357">
            <v>490</v>
          </cell>
          <cell r="H13357" t="str">
            <v>POLS-Y490</v>
          </cell>
          <cell r="K13357" t="str">
            <v>Wright,Gerald C.</v>
          </cell>
          <cell r="N13357">
            <v>3.2730000000000001</v>
          </cell>
          <cell r="O13357">
            <v>3.3010000000000002</v>
          </cell>
        </row>
        <row r="13358">
          <cell r="E13358" t="str">
            <v>POLS</v>
          </cell>
          <cell r="F13358" t="str">
            <v>POLS-Y</v>
          </cell>
          <cell r="G13358">
            <v>499</v>
          </cell>
          <cell r="H13358" t="str">
            <v>POLS-Y499</v>
          </cell>
          <cell r="K13358" t="str">
            <v>Bielasiak,Jacob</v>
          </cell>
          <cell r="N13358" t="str">
            <v>NR</v>
          </cell>
          <cell r="O13358" t="str">
            <v>NR</v>
          </cell>
        </row>
        <row r="13359">
          <cell r="E13359" t="str">
            <v>POLS</v>
          </cell>
          <cell r="F13359" t="str">
            <v>POLS-Y</v>
          </cell>
          <cell r="G13359">
            <v>499</v>
          </cell>
          <cell r="H13359" t="str">
            <v>POLS-Y499</v>
          </cell>
          <cell r="K13359" t="str">
            <v>Bielasiak,Jacob</v>
          </cell>
          <cell r="N13359">
            <v>4</v>
          </cell>
          <cell r="O13359">
            <v>3.8210000000000002</v>
          </cell>
        </row>
        <row r="13360">
          <cell r="E13360" t="str">
            <v>POLS</v>
          </cell>
          <cell r="F13360" t="str">
            <v>POLS-Y</v>
          </cell>
          <cell r="G13360">
            <v>550</v>
          </cell>
          <cell r="H13360" t="str">
            <v>POLS-Y550</v>
          </cell>
          <cell r="K13360" t="str">
            <v>Hershey,Marjorie R.</v>
          </cell>
          <cell r="N13360">
            <v>4</v>
          </cell>
          <cell r="O13360">
            <v>3.3650000000000002</v>
          </cell>
        </row>
        <row r="13361">
          <cell r="E13361" t="str">
            <v>POLS</v>
          </cell>
          <cell r="F13361" t="str">
            <v>POLS-Y</v>
          </cell>
          <cell r="G13361">
            <v>550</v>
          </cell>
          <cell r="H13361" t="str">
            <v>POLS-Y550</v>
          </cell>
          <cell r="K13361" t="str">
            <v>Hershey,Marjorie R.</v>
          </cell>
          <cell r="N13361" t="str">
            <v>NR</v>
          </cell>
          <cell r="O13361" t="str">
            <v>NR</v>
          </cell>
        </row>
        <row r="13362">
          <cell r="E13362" t="str">
            <v>POLS</v>
          </cell>
          <cell r="F13362" t="str">
            <v>POLS-Y</v>
          </cell>
          <cell r="G13362">
            <v>550</v>
          </cell>
          <cell r="H13362" t="str">
            <v>POLS-Y550</v>
          </cell>
          <cell r="K13362" t="str">
            <v>Hershey,Marjorie R.</v>
          </cell>
          <cell r="N13362">
            <v>4</v>
          </cell>
          <cell r="O13362">
            <v>3.859</v>
          </cell>
        </row>
        <row r="13363">
          <cell r="E13363" t="str">
            <v>POLS</v>
          </cell>
          <cell r="F13363" t="str">
            <v>POLS-Y</v>
          </cell>
          <cell r="G13363">
            <v>550</v>
          </cell>
          <cell r="H13363" t="str">
            <v>POLS-Y550</v>
          </cell>
          <cell r="K13363" t="str">
            <v>Hershey,Marjorie R.</v>
          </cell>
          <cell r="N13363" t="str">
            <v>NR</v>
          </cell>
          <cell r="O13363" t="str">
            <v>NR</v>
          </cell>
        </row>
        <row r="13364">
          <cell r="E13364" t="str">
            <v>POLS</v>
          </cell>
          <cell r="F13364" t="str">
            <v>POLS-Y</v>
          </cell>
          <cell r="G13364">
            <v>557</v>
          </cell>
          <cell r="H13364" t="str">
            <v>POLS-Y557</v>
          </cell>
          <cell r="K13364" t="str">
            <v>Bielasiak,Jacob</v>
          </cell>
          <cell r="N13364">
            <v>3.82</v>
          </cell>
          <cell r="O13364">
            <v>3.835</v>
          </cell>
        </row>
        <row r="13365">
          <cell r="E13365" t="str">
            <v>POLS</v>
          </cell>
          <cell r="F13365" t="str">
            <v>POLS-Y</v>
          </cell>
          <cell r="G13365">
            <v>561</v>
          </cell>
          <cell r="H13365" t="str">
            <v>POLS-Y561</v>
          </cell>
          <cell r="K13365" t="str">
            <v>Hershey,Marjorie R.</v>
          </cell>
          <cell r="N13365">
            <v>3.8849999999999998</v>
          </cell>
          <cell r="O13365">
            <v>3.8340000000000001</v>
          </cell>
        </row>
        <row r="13366">
          <cell r="E13366" t="str">
            <v>POLS</v>
          </cell>
          <cell r="F13366" t="str">
            <v>POLS-Y</v>
          </cell>
          <cell r="G13366">
            <v>565</v>
          </cell>
          <cell r="H13366" t="str">
            <v>POLS-Y565</v>
          </cell>
          <cell r="K13366" t="str">
            <v>Ringquist,Evan</v>
          </cell>
          <cell r="N13366" t="str">
            <v>NR</v>
          </cell>
          <cell r="O13366" t="str">
            <v>NR</v>
          </cell>
        </row>
        <row r="13367">
          <cell r="E13367" t="str">
            <v>POLS</v>
          </cell>
          <cell r="F13367" t="str">
            <v>POLS-Y</v>
          </cell>
          <cell r="G13367">
            <v>569</v>
          </cell>
          <cell r="H13367" t="str">
            <v>POLS-Y569</v>
          </cell>
          <cell r="K13367" t="str">
            <v>Thompson,William R.</v>
          </cell>
          <cell r="N13367">
            <v>3.7429999999999999</v>
          </cell>
          <cell r="O13367">
            <v>3.8119999999999998</v>
          </cell>
        </row>
        <row r="13368">
          <cell r="E13368" t="str">
            <v>POLS</v>
          </cell>
          <cell r="F13368" t="str">
            <v>POLS-Y</v>
          </cell>
          <cell r="G13368">
            <v>570</v>
          </cell>
          <cell r="H13368" t="str">
            <v>POLS-Y570</v>
          </cell>
          <cell r="K13368" t="str">
            <v>Scheuerman,William</v>
          </cell>
          <cell r="N13368">
            <v>3.7250000000000001</v>
          </cell>
          <cell r="O13368">
            <v>3.3820000000000001</v>
          </cell>
        </row>
        <row r="13369">
          <cell r="E13369" t="str">
            <v>POLS</v>
          </cell>
          <cell r="F13369" t="str">
            <v>POLS-Y</v>
          </cell>
          <cell r="G13369">
            <v>573</v>
          </cell>
          <cell r="H13369" t="str">
            <v>POLS-Y573</v>
          </cell>
          <cell r="K13369" t="str">
            <v>Bianco,William</v>
          </cell>
          <cell r="N13369">
            <v>4</v>
          </cell>
          <cell r="O13369">
            <v>3.7949999999999999</v>
          </cell>
        </row>
        <row r="13370">
          <cell r="E13370" t="str">
            <v>POLS</v>
          </cell>
          <cell r="F13370" t="str">
            <v>POLS-Y</v>
          </cell>
          <cell r="G13370">
            <v>577</v>
          </cell>
          <cell r="H13370" t="str">
            <v>POLS-Y577</v>
          </cell>
          <cell r="K13370" t="str">
            <v>Krupnikov,Yanna</v>
          </cell>
          <cell r="N13370">
            <v>4</v>
          </cell>
          <cell r="O13370">
            <v>3.851</v>
          </cell>
        </row>
        <row r="13371">
          <cell r="E13371" t="str">
            <v>POLS</v>
          </cell>
          <cell r="F13371" t="str">
            <v>POLS-Y</v>
          </cell>
          <cell r="G13371">
            <v>579</v>
          </cell>
          <cell r="H13371" t="str">
            <v>POLS-Y579</v>
          </cell>
          <cell r="K13371" t="str">
            <v>Kasza,Gregory J.</v>
          </cell>
          <cell r="N13371">
            <v>3.95</v>
          </cell>
          <cell r="O13371">
            <v>3.302</v>
          </cell>
        </row>
        <row r="13372">
          <cell r="E13372" t="str">
            <v>POLS</v>
          </cell>
          <cell r="F13372" t="str">
            <v>POLS-Y</v>
          </cell>
          <cell r="G13372">
            <v>579</v>
          </cell>
          <cell r="H13372" t="str">
            <v>POLS-Y579</v>
          </cell>
          <cell r="K13372" t="str">
            <v>Kasza,Gregory J.</v>
          </cell>
          <cell r="N13372">
            <v>3.9180000000000001</v>
          </cell>
          <cell r="O13372">
            <v>3.843</v>
          </cell>
        </row>
        <row r="13373">
          <cell r="E13373" t="str">
            <v>POLS</v>
          </cell>
          <cell r="F13373" t="str">
            <v>POLS-Y</v>
          </cell>
          <cell r="G13373">
            <v>657</v>
          </cell>
          <cell r="H13373" t="str">
            <v>POLS-Y657</v>
          </cell>
          <cell r="K13373" t="str">
            <v>Bovingdon,Gardner</v>
          </cell>
          <cell r="N13373" t="str">
            <v>NR</v>
          </cell>
          <cell r="O13373" t="str">
            <v>NR</v>
          </cell>
        </row>
        <row r="13374">
          <cell r="E13374" t="str">
            <v>POLS</v>
          </cell>
          <cell r="F13374" t="str">
            <v>POLS-Y</v>
          </cell>
          <cell r="G13374">
            <v>657</v>
          </cell>
          <cell r="H13374" t="str">
            <v>POLS-Y657</v>
          </cell>
          <cell r="K13374" t="str">
            <v>Fierman,William</v>
          </cell>
          <cell r="N13374" t="str">
            <v>NR</v>
          </cell>
          <cell r="O13374" t="str">
            <v>NR</v>
          </cell>
        </row>
        <row r="13375">
          <cell r="E13375" t="str">
            <v>POLS</v>
          </cell>
          <cell r="F13375" t="str">
            <v>POLS-Y</v>
          </cell>
          <cell r="G13375">
            <v>657</v>
          </cell>
          <cell r="H13375" t="str">
            <v>POLS-Y657</v>
          </cell>
          <cell r="K13375" t="str">
            <v>Ganguly,Sumit</v>
          </cell>
          <cell r="N13375" t="str">
            <v>NR</v>
          </cell>
          <cell r="O13375" t="str">
            <v>NR</v>
          </cell>
        </row>
        <row r="13376">
          <cell r="E13376" t="str">
            <v>POLS</v>
          </cell>
          <cell r="F13376" t="str">
            <v>POLS-Y</v>
          </cell>
          <cell r="G13376">
            <v>657</v>
          </cell>
          <cell r="H13376" t="str">
            <v>POLS-Y657</v>
          </cell>
          <cell r="K13376" t="str">
            <v>Ganguly,Sumit</v>
          </cell>
          <cell r="N13376" t="str">
            <v>NR</v>
          </cell>
          <cell r="O13376" t="str">
            <v>NR</v>
          </cell>
        </row>
        <row r="13377">
          <cell r="E13377" t="str">
            <v>POLS</v>
          </cell>
          <cell r="F13377" t="str">
            <v>POLS-Y</v>
          </cell>
          <cell r="G13377">
            <v>657</v>
          </cell>
          <cell r="H13377" t="str">
            <v>POLS-Y657</v>
          </cell>
          <cell r="K13377" t="str">
            <v>Hellwig,Timothy T</v>
          </cell>
          <cell r="N13377">
            <v>3.7559999999999998</v>
          </cell>
          <cell r="O13377">
            <v>3.7709999999999999</v>
          </cell>
        </row>
        <row r="13378">
          <cell r="E13378" t="str">
            <v>POLS</v>
          </cell>
          <cell r="F13378" t="str">
            <v>POLS-Y</v>
          </cell>
          <cell r="G13378">
            <v>657</v>
          </cell>
          <cell r="H13378" t="str">
            <v>POLS-Y657</v>
          </cell>
          <cell r="K13378" t="str">
            <v>Kennedy,Scott</v>
          </cell>
          <cell r="N13378" t="str">
            <v>NR</v>
          </cell>
          <cell r="O13378" t="str">
            <v>NR</v>
          </cell>
        </row>
        <row r="13379">
          <cell r="E13379" t="str">
            <v>POLS</v>
          </cell>
          <cell r="F13379" t="str">
            <v>POLS-Y</v>
          </cell>
          <cell r="G13379">
            <v>657</v>
          </cell>
          <cell r="H13379" t="str">
            <v>POLS-Y657</v>
          </cell>
          <cell r="K13379" t="str">
            <v>Smyth,Regina</v>
          </cell>
          <cell r="N13379">
            <v>4</v>
          </cell>
          <cell r="O13379">
            <v>3.8290000000000002</v>
          </cell>
        </row>
        <row r="13380">
          <cell r="E13380" t="str">
            <v>POLS</v>
          </cell>
          <cell r="F13380" t="str">
            <v>POLS-Y</v>
          </cell>
          <cell r="G13380">
            <v>661</v>
          </cell>
          <cell r="H13380" t="str">
            <v>POLS-Y661</v>
          </cell>
          <cell r="K13380" t="str">
            <v>Wright,Gerald C.</v>
          </cell>
          <cell r="N13380">
            <v>3.7749999999999999</v>
          </cell>
          <cell r="O13380">
            <v>3.7269999999999999</v>
          </cell>
        </row>
        <row r="13381">
          <cell r="E13381" t="str">
            <v>POLS</v>
          </cell>
          <cell r="F13381" t="str">
            <v>POLS-Y</v>
          </cell>
          <cell r="G13381">
            <v>665</v>
          </cell>
          <cell r="H13381" t="str">
            <v>POLS-Y665</v>
          </cell>
          <cell r="K13381" t="str">
            <v>Braman,Eileen</v>
          </cell>
          <cell r="N13381">
            <v>3.7290000000000001</v>
          </cell>
          <cell r="O13381">
            <v>3.7389999999999999</v>
          </cell>
        </row>
        <row r="13382">
          <cell r="E13382" t="str">
            <v>POLS</v>
          </cell>
          <cell r="F13382" t="str">
            <v>POLS-Y</v>
          </cell>
          <cell r="G13382">
            <v>669</v>
          </cell>
          <cell r="H13382" t="str">
            <v>POLS-Y669</v>
          </cell>
          <cell r="K13382" t="str">
            <v>Abhyankar,Rajendra Madhukar</v>
          </cell>
          <cell r="N13382" t="str">
            <v>NR</v>
          </cell>
          <cell r="O13382" t="str">
            <v>NR</v>
          </cell>
        </row>
        <row r="13383">
          <cell r="E13383" t="str">
            <v>POLS</v>
          </cell>
          <cell r="F13383" t="str">
            <v>POLS-Y</v>
          </cell>
          <cell r="G13383">
            <v>669</v>
          </cell>
          <cell r="H13383" t="str">
            <v>POLS-Y669</v>
          </cell>
          <cell r="K13383" t="str">
            <v>Hart,Jeffrey A.</v>
          </cell>
          <cell r="N13383" t="str">
            <v>NR</v>
          </cell>
          <cell r="O13383" t="str">
            <v>NR</v>
          </cell>
        </row>
        <row r="13384">
          <cell r="E13384" t="str">
            <v>POLS</v>
          </cell>
          <cell r="F13384" t="str">
            <v>POLS-Y</v>
          </cell>
          <cell r="G13384">
            <v>669</v>
          </cell>
          <cell r="H13384" t="str">
            <v>POLS-Y669</v>
          </cell>
          <cell r="K13384" t="str">
            <v>Rasler,Karen A.</v>
          </cell>
          <cell r="N13384">
            <v>3.8</v>
          </cell>
          <cell r="O13384">
            <v>3.7410000000000001</v>
          </cell>
        </row>
        <row r="13385">
          <cell r="E13385" t="str">
            <v>POLS</v>
          </cell>
          <cell r="F13385" t="str">
            <v>POLS-Y</v>
          </cell>
          <cell r="G13385">
            <v>673</v>
          </cell>
          <cell r="H13385" t="str">
            <v>POLS-Y673</v>
          </cell>
          <cell r="K13385" t="str">
            <v>Razo,Armando</v>
          </cell>
          <cell r="N13385">
            <v>3.91</v>
          </cell>
          <cell r="O13385">
            <v>3.5019999999999998</v>
          </cell>
        </row>
        <row r="13386">
          <cell r="E13386" t="str">
            <v>POLS</v>
          </cell>
          <cell r="F13386" t="str">
            <v>POLS-Y</v>
          </cell>
          <cell r="G13386">
            <v>675</v>
          </cell>
          <cell r="H13386" t="str">
            <v>POLS-Y675</v>
          </cell>
          <cell r="K13386" t="str">
            <v>Craiutu,Aurelian</v>
          </cell>
          <cell r="N13386" t="str">
            <v>NR</v>
          </cell>
          <cell r="O13386" t="str">
            <v>NR</v>
          </cell>
        </row>
        <row r="13387">
          <cell r="E13387" t="str">
            <v>POLS</v>
          </cell>
          <cell r="F13387" t="str">
            <v>POLS-Y</v>
          </cell>
          <cell r="G13387">
            <v>675</v>
          </cell>
          <cell r="H13387" t="str">
            <v>POLS-Y675</v>
          </cell>
          <cell r="K13387" t="str">
            <v>Hanson,Russell Lee</v>
          </cell>
          <cell r="N13387">
            <v>3.6709999999999998</v>
          </cell>
          <cell r="O13387">
            <v>3.0169999999999999</v>
          </cell>
        </row>
        <row r="13388">
          <cell r="E13388" t="str">
            <v>POLS</v>
          </cell>
          <cell r="F13388" t="str">
            <v>POLS-Y</v>
          </cell>
          <cell r="G13388">
            <v>681</v>
          </cell>
          <cell r="H13388" t="str">
            <v>POLS-Y681</v>
          </cell>
          <cell r="K13388" t="str">
            <v>Scheuerman,William</v>
          </cell>
          <cell r="N13388" t="str">
            <v>NR</v>
          </cell>
          <cell r="O13388" t="str">
            <v>NR</v>
          </cell>
        </row>
        <row r="13389">
          <cell r="E13389" t="str">
            <v>POLS</v>
          </cell>
          <cell r="F13389" t="str">
            <v>POLS-Y</v>
          </cell>
          <cell r="G13389">
            <v>683</v>
          </cell>
          <cell r="H13389" t="str">
            <v>POLS-Y683</v>
          </cell>
          <cell r="K13389" t="str">
            <v>Scheuerman,William</v>
          </cell>
          <cell r="N13389" t="str">
            <v>NR</v>
          </cell>
          <cell r="O13389" t="str">
            <v>NR</v>
          </cell>
        </row>
        <row r="13390">
          <cell r="E13390" t="str">
            <v>POLS</v>
          </cell>
          <cell r="F13390" t="str">
            <v>POLS-Y</v>
          </cell>
          <cell r="G13390">
            <v>687</v>
          </cell>
          <cell r="H13390" t="str">
            <v>POLS-Y687</v>
          </cell>
          <cell r="K13390" t="str">
            <v>Scheuerman,William</v>
          </cell>
          <cell r="N13390" t="str">
            <v>NR</v>
          </cell>
          <cell r="O13390" t="str">
            <v>NR</v>
          </cell>
        </row>
        <row r="13391">
          <cell r="E13391" t="str">
            <v>POLS</v>
          </cell>
          <cell r="F13391" t="str">
            <v>POLS-Y</v>
          </cell>
          <cell r="G13391">
            <v>890</v>
          </cell>
          <cell r="H13391" t="str">
            <v>POLS-Y890</v>
          </cell>
          <cell r="K13391" t="str">
            <v>Scheuerman,William</v>
          </cell>
          <cell r="N13391" t="str">
            <v>NR</v>
          </cell>
          <cell r="O13391" t="str">
            <v>NR</v>
          </cell>
        </row>
        <row r="13392">
          <cell r="E13392" t="str">
            <v>POLS</v>
          </cell>
          <cell r="F13392" t="str">
            <v>POLS-Y</v>
          </cell>
          <cell r="G13392">
            <v>890</v>
          </cell>
          <cell r="H13392" t="str">
            <v>POLS-Y890</v>
          </cell>
          <cell r="K13392" t="str">
            <v>Scheuerman,William</v>
          </cell>
          <cell r="N13392" t="str">
            <v>NR</v>
          </cell>
          <cell r="O13392" t="str">
            <v>NR</v>
          </cell>
        </row>
        <row r="13393">
          <cell r="E13393" t="str">
            <v>POLS</v>
          </cell>
          <cell r="F13393" t="str">
            <v>POLS-Y</v>
          </cell>
          <cell r="G13393">
            <v>890</v>
          </cell>
          <cell r="H13393" t="str">
            <v>POLS-Y890</v>
          </cell>
          <cell r="K13393" t="str">
            <v>Scheuerman,William</v>
          </cell>
          <cell r="N13393" t="str">
            <v>NR</v>
          </cell>
          <cell r="O13393" t="str">
            <v>NR</v>
          </cell>
        </row>
        <row r="13394">
          <cell r="E13394" t="str">
            <v>POLS</v>
          </cell>
          <cell r="F13394" t="str">
            <v>POLS-Y</v>
          </cell>
          <cell r="G13394">
            <v>890</v>
          </cell>
          <cell r="H13394" t="str">
            <v>POLS-Y890</v>
          </cell>
          <cell r="K13394" t="str">
            <v>Scheuerman,William</v>
          </cell>
          <cell r="N13394" t="str">
            <v>NR</v>
          </cell>
          <cell r="O13394" t="str">
            <v>NR</v>
          </cell>
        </row>
        <row r="13395">
          <cell r="E13395" t="str">
            <v>PSY</v>
          </cell>
          <cell r="F13395" t="str">
            <v xml:space="preserve">PSY-G </v>
          </cell>
          <cell r="G13395">
            <v>901</v>
          </cell>
          <cell r="H13395" t="str">
            <v>PSY-G 901</v>
          </cell>
          <cell r="K13395" t="str">
            <v>Smith,Linda B.</v>
          </cell>
          <cell r="N13395">
            <v>4</v>
          </cell>
          <cell r="O13395">
            <v>3.948</v>
          </cell>
        </row>
        <row r="13396">
          <cell r="E13396" t="str">
            <v>PSY</v>
          </cell>
          <cell r="F13396" t="str">
            <v xml:space="preserve">PSY-G </v>
          </cell>
          <cell r="G13396">
            <v>901</v>
          </cell>
          <cell r="H13396" t="str">
            <v>PSY-G 901</v>
          </cell>
          <cell r="K13396" t="str">
            <v>Smith,Linda B.</v>
          </cell>
          <cell r="N13396">
            <v>4</v>
          </cell>
          <cell r="O13396">
            <v>3.9329999999999998</v>
          </cell>
        </row>
        <row r="13397">
          <cell r="E13397" t="str">
            <v>PSY</v>
          </cell>
          <cell r="F13397" t="str">
            <v xml:space="preserve">PSY-K </v>
          </cell>
          <cell r="G13397">
            <v>300</v>
          </cell>
          <cell r="H13397" t="str">
            <v>PSY-K 300</v>
          </cell>
          <cell r="K13397" t="str">
            <v>Bolte,Hannah R.</v>
          </cell>
          <cell r="N13397">
            <v>3.0209999999999999</v>
          </cell>
          <cell r="O13397">
            <v>2.984</v>
          </cell>
        </row>
        <row r="13398">
          <cell r="E13398" t="str">
            <v>PSY</v>
          </cell>
          <cell r="F13398" t="str">
            <v xml:space="preserve">PSY-K </v>
          </cell>
          <cell r="G13398">
            <v>300</v>
          </cell>
          <cell r="H13398" t="str">
            <v>PSY-K 300</v>
          </cell>
          <cell r="K13398" t="str">
            <v>Guth,Sherman L</v>
          </cell>
          <cell r="N13398">
            <v>2.7480000000000002</v>
          </cell>
          <cell r="O13398">
            <v>3.177</v>
          </cell>
        </row>
        <row r="13399">
          <cell r="E13399" t="str">
            <v>PSY</v>
          </cell>
          <cell r="F13399" t="str">
            <v xml:space="preserve">PSY-K </v>
          </cell>
          <cell r="G13399">
            <v>300</v>
          </cell>
          <cell r="H13399" t="str">
            <v>PSY-K 300</v>
          </cell>
          <cell r="K13399" t="str">
            <v>Guth,Sherman L</v>
          </cell>
          <cell r="N13399">
            <v>3.1760000000000002</v>
          </cell>
          <cell r="O13399">
            <v>3.1760000000000002</v>
          </cell>
        </row>
        <row r="13400">
          <cell r="E13400" t="str">
            <v>PSY</v>
          </cell>
          <cell r="F13400" t="str">
            <v xml:space="preserve">PSY-K </v>
          </cell>
          <cell r="G13400">
            <v>300</v>
          </cell>
          <cell r="H13400" t="str">
            <v>PSY-K 300</v>
          </cell>
          <cell r="K13400" t="str">
            <v>Guth,Sherman L</v>
          </cell>
          <cell r="N13400">
            <v>3.3119999999999998</v>
          </cell>
          <cell r="O13400">
            <v>3.2839999999999998</v>
          </cell>
        </row>
        <row r="13401">
          <cell r="E13401" t="str">
            <v>PSY</v>
          </cell>
          <cell r="F13401" t="str">
            <v xml:space="preserve">PSY-K </v>
          </cell>
          <cell r="G13401">
            <v>300</v>
          </cell>
          <cell r="H13401" t="str">
            <v>PSY-K 300</v>
          </cell>
          <cell r="K13401" t="str">
            <v>Guth,Sherman L</v>
          </cell>
          <cell r="N13401">
            <v>3.202</v>
          </cell>
          <cell r="O13401">
            <v>3.1890000000000001</v>
          </cell>
        </row>
        <row r="13402">
          <cell r="E13402" t="str">
            <v>PSY</v>
          </cell>
          <cell r="F13402" t="str">
            <v xml:space="preserve">PSY-K </v>
          </cell>
          <cell r="G13402">
            <v>300</v>
          </cell>
          <cell r="H13402" t="str">
            <v>PSY-K 300</v>
          </cell>
          <cell r="K13402" t="str">
            <v>Hoffman,Cynthia M</v>
          </cell>
          <cell r="N13402">
            <v>3.0619999999999998</v>
          </cell>
          <cell r="O13402">
            <v>3.35</v>
          </cell>
        </row>
        <row r="13403">
          <cell r="E13403" t="str">
            <v>PSY</v>
          </cell>
          <cell r="F13403" t="str">
            <v xml:space="preserve">PSY-K </v>
          </cell>
          <cell r="G13403">
            <v>300</v>
          </cell>
          <cell r="H13403" t="str">
            <v>PSY-K 300</v>
          </cell>
          <cell r="K13403" t="str">
            <v>Hoffman,Cynthia M</v>
          </cell>
          <cell r="N13403">
            <v>2.9209999999999998</v>
          </cell>
          <cell r="O13403">
            <v>3.2290000000000001</v>
          </cell>
        </row>
        <row r="13404">
          <cell r="E13404" t="str">
            <v>PSY</v>
          </cell>
          <cell r="F13404" t="str">
            <v xml:space="preserve">PSY-K </v>
          </cell>
          <cell r="G13404">
            <v>300</v>
          </cell>
          <cell r="H13404" t="str">
            <v>PSY-K 300</v>
          </cell>
          <cell r="K13404" t="str">
            <v>Hullinger,Richard Alan</v>
          </cell>
          <cell r="N13404">
            <v>2.8969999999999998</v>
          </cell>
          <cell r="O13404">
            <v>3.2160000000000002</v>
          </cell>
        </row>
        <row r="13405">
          <cell r="E13405" t="str">
            <v>PSY</v>
          </cell>
          <cell r="F13405" t="str">
            <v xml:space="preserve">PSY-K </v>
          </cell>
          <cell r="G13405">
            <v>300</v>
          </cell>
          <cell r="H13405" t="str">
            <v>PSY-K 300</v>
          </cell>
          <cell r="K13405" t="str">
            <v>Hullinger,Richard Alan</v>
          </cell>
          <cell r="N13405">
            <v>3.363</v>
          </cell>
          <cell r="O13405">
            <v>3.59</v>
          </cell>
        </row>
        <row r="13406">
          <cell r="E13406" t="str">
            <v>PSY</v>
          </cell>
          <cell r="F13406" t="str">
            <v xml:space="preserve">PSY-K </v>
          </cell>
          <cell r="G13406">
            <v>300</v>
          </cell>
          <cell r="H13406" t="str">
            <v>PSY-K 300</v>
          </cell>
          <cell r="K13406" t="str">
            <v>Hullinger,Richard Alan</v>
          </cell>
          <cell r="N13406">
            <v>3.2130000000000001</v>
          </cell>
          <cell r="O13406">
            <v>3.355</v>
          </cell>
        </row>
        <row r="13407">
          <cell r="E13407" t="str">
            <v>PSY</v>
          </cell>
          <cell r="F13407" t="str">
            <v xml:space="preserve">PSY-K </v>
          </cell>
          <cell r="G13407">
            <v>300</v>
          </cell>
          <cell r="H13407" t="str">
            <v>PSY-K 300</v>
          </cell>
          <cell r="K13407" t="str">
            <v>Hullinger,Richard Alan</v>
          </cell>
          <cell r="N13407">
            <v>3.2170000000000001</v>
          </cell>
          <cell r="O13407">
            <v>3.1560000000000001</v>
          </cell>
        </row>
        <row r="13408">
          <cell r="E13408" t="str">
            <v>PSY</v>
          </cell>
          <cell r="F13408" t="str">
            <v xml:space="preserve">PSY-K </v>
          </cell>
          <cell r="G13408">
            <v>300</v>
          </cell>
          <cell r="H13408" t="str">
            <v>PSY-K 300</v>
          </cell>
          <cell r="K13408" t="str">
            <v>Karpen,Samuel Carl</v>
          </cell>
          <cell r="N13408">
            <v>3.38</v>
          </cell>
          <cell r="O13408">
            <v>3.25</v>
          </cell>
        </row>
        <row r="13409">
          <cell r="E13409" t="str">
            <v>PSY</v>
          </cell>
          <cell r="F13409" t="str">
            <v xml:space="preserve">PSY-K </v>
          </cell>
          <cell r="G13409">
            <v>300</v>
          </cell>
          <cell r="H13409" t="str">
            <v>PSY-K 300</v>
          </cell>
          <cell r="K13409" t="str">
            <v>McHugh,Douglas</v>
          </cell>
          <cell r="N13409">
            <v>3.355</v>
          </cell>
          <cell r="O13409">
            <v>3.2829999999999999</v>
          </cell>
        </row>
        <row r="13410">
          <cell r="E13410" t="str">
            <v>PSY</v>
          </cell>
          <cell r="F13410" t="str">
            <v>PSY-OS</v>
          </cell>
          <cell r="G13410">
            <v>300</v>
          </cell>
          <cell r="H13410" t="str">
            <v>PSY-OS300</v>
          </cell>
          <cell r="N13410" t="str">
            <v>NR</v>
          </cell>
          <cell r="O13410" t="str">
            <v>NR</v>
          </cell>
        </row>
        <row r="13411">
          <cell r="E13411" t="str">
            <v>PSY</v>
          </cell>
          <cell r="F13411" t="str">
            <v xml:space="preserve">PSY-P </v>
          </cell>
          <cell r="G13411">
            <v>101</v>
          </cell>
          <cell r="H13411" t="str">
            <v>PSY-P 101</v>
          </cell>
          <cell r="K13411" t="str">
            <v>Craig,James C.</v>
          </cell>
          <cell r="N13411">
            <v>2.4300000000000002</v>
          </cell>
          <cell r="O13411">
            <v>2.875</v>
          </cell>
        </row>
        <row r="13412">
          <cell r="E13412" t="str">
            <v>PSY</v>
          </cell>
          <cell r="F13412" t="str">
            <v xml:space="preserve">PSY-P </v>
          </cell>
          <cell r="G13412">
            <v>101</v>
          </cell>
          <cell r="H13412" t="str">
            <v>PSY-P 101</v>
          </cell>
          <cell r="K13412" t="str">
            <v>Cuellar,Jim S.</v>
          </cell>
          <cell r="N13412">
            <v>2.734</v>
          </cell>
          <cell r="O13412">
            <v>2.9940000000000002</v>
          </cell>
        </row>
        <row r="13413">
          <cell r="E13413" t="str">
            <v>PSY</v>
          </cell>
          <cell r="F13413" t="str">
            <v xml:space="preserve">PSY-P </v>
          </cell>
          <cell r="G13413">
            <v>101</v>
          </cell>
          <cell r="H13413" t="str">
            <v>PSY-P 101</v>
          </cell>
          <cell r="K13413" t="str">
            <v>Cuellar,Jim S.</v>
          </cell>
          <cell r="N13413">
            <v>2.77</v>
          </cell>
          <cell r="O13413">
            <v>3.0150000000000001</v>
          </cell>
        </row>
        <row r="13414">
          <cell r="E13414" t="str">
            <v>PSY</v>
          </cell>
          <cell r="F13414" t="str">
            <v xml:space="preserve">PSY-P </v>
          </cell>
          <cell r="G13414">
            <v>101</v>
          </cell>
          <cell r="H13414" t="str">
            <v>PSY-P 101</v>
          </cell>
          <cell r="K13414" t="str">
            <v>Kuwabara,Megumi</v>
          </cell>
          <cell r="N13414">
            <v>3.53</v>
          </cell>
          <cell r="O13414">
            <v>3.1080000000000001</v>
          </cell>
        </row>
        <row r="13415">
          <cell r="E13415" t="str">
            <v>PSY</v>
          </cell>
          <cell r="F13415" t="str">
            <v xml:space="preserve">PSY-P </v>
          </cell>
          <cell r="G13415">
            <v>101</v>
          </cell>
          <cell r="H13415" t="str">
            <v>PSY-P 101</v>
          </cell>
          <cell r="K13415" t="str">
            <v>Sheya,Adam Alexander</v>
          </cell>
          <cell r="N13415">
            <v>2.859</v>
          </cell>
          <cell r="O13415">
            <v>2.7879999999999998</v>
          </cell>
        </row>
        <row r="13416">
          <cell r="E13416" t="str">
            <v>PSY</v>
          </cell>
          <cell r="F13416" t="str">
            <v xml:space="preserve">PSY-P </v>
          </cell>
          <cell r="G13416">
            <v>101</v>
          </cell>
          <cell r="H13416" t="str">
            <v>PSY-P 101</v>
          </cell>
          <cell r="K13416" t="str">
            <v>Sklar,Benjamin R.</v>
          </cell>
          <cell r="N13416">
            <v>2.754</v>
          </cell>
          <cell r="O13416">
            <v>2.9129999999999998</v>
          </cell>
        </row>
        <row r="13417">
          <cell r="E13417" t="str">
            <v>PSY</v>
          </cell>
          <cell r="F13417" t="str">
            <v xml:space="preserve">PSY-P </v>
          </cell>
          <cell r="G13417">
            <v>101</v>
          </cell>
          <cell r="H13417" t="str">
            <v>PSY-P 101</v>
          </cell>
          <cell r="K13417" t="str">
            <v>Sklar,Benjamin R.</v>
          </cell>
          <cell r="N13417">
            <v>2.524</v>
          </cell>
          <cell r="O13417">
            <v>2.7410000000000001</v>
          </cell>
        </row>
        <row r="13418">
          <cell r="E13418" t="str">
            <v>PSY</v>
          </cell>
          <cell r="F13418" t="str">
            <v xml:space="preserve">PSY-P </v>
          </cell>
          <cell r="G13418">
            <v>101</v>
          </cell>
          <cell r="H13418" t="str">
            <v>PSY-P 101</v>
          </cell>
          <cell r="K13418" t="str">
            <v>Sklar,Benjamin R.</v>
          </cell>
          <cell r="N13418">
            <v>2.5760000000000001</v>
          </cell>
          <cell r="O13418">
            <v>2.9550000000000001</v>
          </cell>
        </row>
        <row r="13419">
          <cell r="E13419" t="str">
            <v>PSY</v>
          </cell>
          <cell r="F13419" t="str">
            <v xml:space="preserve">PSY-P </v>
          </cell>
          <cell r="G13419">
            <v>101</v>
          </cell>
          <cell r="H13419" t="str">
            <v>PSY-P 101</v>
          </cell>
          <cell r="K13419" t="str">
            <v>Sklar,Benjamin R.</v>
          </cell>
          <cell r="N13419">
            <v>2.2509999999999999</v>
          </cell>
          <cell r="O13419">
            <v>2.7109999999999999</v>
          </cell>
        </row>
        <row r="13420">
          <cell r="E13420" t="str">
            <v>PSY</v>
          </cell>
          <cell r="F13420" t="str">
            <v xml:space="preserve">PSY-P </v>
          </cell>
          <cell r="G13420">
            <v>101</v>
          </cell>
          <cell r="H13420" t="str">
            <v>PSY-P 101</v>
          </cell>
          <cell r="K13420" t="str">
            <v>Summers,Phillip M.</v>
          </cell>
          <cell r="N13420">
            <v>3.0179999999999998</v>
          </cell>
          <cell r="O13420">
            <v>3.0830000000000002</v>
          </cell>
        </row>
        <row r="13421">
          <cell r="E13421" t="str">
            <v>PSY</v>
          </cell>
          <cell r="F13421" t="str">
            <v xml:space="preserve">PSY-P </v>
          </cell>
          <cell r="G13421">
            <v>101</v>
          </cell>
          <cell r="H13421" t="str">
            <v>PSY-P 101</v>
          </cell>
          <cell r="K13421" t="str">
            <v>Summers,Phillip M.</v>
          </cell>
          <cell r="N13421">
            <v>2.8359999999999999</v>
          </cell>
          <cell r="O13421">
            <v>3.1190000000000002</v>
          </cell>
        </row>
        <row r="13422">
          <cell r="E13422" t="str">
            <v>PSY</v>
          </cell>
          <cell r="F13422" t="str">
            <v xml:space="preserve">PSY-P </v>
          </cell>
          <cell r="G13422">
            <v>101</v>
          </cell>
          <cell r="H13422" t="str">
            <v>PSY-P 101</v>
          </cell>
          <cell r="K13422" t="str">
            <v>Tamara,Carolina</v>
          </cell>
          <cell r="N13422">
            <v>2.5179999999999998</v>
          </cell>
          <cell r="O13422">
            <v>2.875</v>
          </cell>
        </row>
        <row r="13423">
          <cell r="E13423" t="str">
            <v>PSY</v>
          </cell>
          <cell r="F13423" t="str">
            <v xml:space="preserve">PSY-P </v>
          </cell>
          <cell r="G13423">
            <v>101</v>
          </cell>
          <cell r="H13423" t="str">
            <v>PSY-P 101</v>
          </cell>
          <cell r="K13423" t="str">
            <v>Tamara,Carolina</v>
          </cell>
          <cell r="N13423">
            <v>2.4929999999999999</v>
          </cell>
          <cell r="O13423">
            <v>2.7549999999999999</v>
          </cell>
        </row>
        <row r="13424">
          <cell r="E13424" t="str">
            <v>PSY</v>
          </cell>
          <cell r="F13424" t="str">
            <v xml:space="preserve">PSY-P </v>
          </cell>
          <cell r="G13424">
            <v>101</v>
          </cell>
          <cell r="H13424" t="str">
            <v>PSY-P 101</v>
          </cell>
          <cell r="K13424" t="str">
            <v>Thomassen,Lisa Jane</v>
          </cell>
          <cell r="N13424">
            <v>2.6659999999999999</v>
          </cell>
          <cell r="O13424">
            <v>3.0150000000000001</v>
          </cell>
        </row>
        <row r="13425">
          <cell r="E13425" t="str">
            <v>PSY</v>
          </cell>
          <cell r="F13425" t="str">
            <v xml:space="preserve">PSY-P </v>
          </cell>
          <cell r="G13425">
            <v>101</v>
          </cell>
          <cell r="H13425" t="str">
            <v>PSY-P 101</v>
          </cell>
          <cell r="K13425" t="str">
            <v>Thomassen,Lisa Jane</v>
          </cell>
          <cell r="N13425">
            <v>2.63</v>
          </cell>
          <cell r="O13425">
            <v>3.0640000000000001</v>
          </cell>
        </row>
        <row r="13426">
          <cell r="E13426" t="str">
            <v>PSY</v>
          </cell>
          <cell r="F13426" t="str">
            <v xml:space="preserve">PSY-P </v>
          </cell>
          <cell r="G13426">
            <v>101</v>
          </cell>
          <cell r="H13426" t="str">
            <v>PSY-P 101</v>
          </cell>
          <cell r="K13426" t="str">
            <v>Walker,Tony</v>
          </cell>
          <cell r="N13426">
            <v>3.0739999999999998</v>
          </cell>
          <cell r="O13426">
            <v>3.1480000000000001</v>
          </cell>
        </row>
        <row r="13427">
          <cell r="E13427" t="str">
            <v>PSY</v>
          </cell>
          <cell r="F13427" t="str">
            <v xml:space="preserve">PSY-P </v>
          </cell>
          <cell r="G13427">
            <v>101</v>
          </cell>
          <cell r="H13427" t="str">
            <v>PSY-P 101</v>
          </cell>
          <cell r="K13427" t="str">
            <v>Watson,Carol A</v>
          </cell>
          <cell r="N13427">
            <v>3.1419999999999999</v>
          </cell>
          <cell r="O13427">
            <v>2.9660000000000002</v>
          </cell>
        </row>
        <row r="13428">
          <cell r="E13428" t="str">
            <v>PSY</v>
          </cell>
          <cell r="F13428" t="str">
            <v xml:space="preserve">PSY-P </v>
          </cell>
          <cell r="G13428">
            <v>102</v>
          </cell>
          <cell r="H13428" t="str">
            <v>PSY-P 102</v>
          </cell>
          <cell r="K13428" t="str">
            <v>Cuellar,Jim S.</v>
          </cell>
          <cell r="N13428">
            <v>3.2639999999999998</v>
          </cell>
          <cell r="O13428">
            <v>3.2120000000000002</v>
          </cell>
        </row>
        <row r="13429">
          <cell r="E13429" t="str">
            <v>PSY</v>
          </cell>
          <cell r="F13429" t="str">
            <v xml:space="preserve">PSY-P </v>
          </cell>
          <cell r="G13429">
            <v>102</v>
          </cell>
          <cell r="H13429" t="str">
            <v>PSY-P 102</v>
          </cell>
          <cell r="K13429" t="str">
            <v>Cuellar,Jim S.</v>
          </cell>
          <cell r="N13429">
            <v>3.302</v>
          </cell>
          <cell r="O13429">
            <v>3.0990000000000002</v>
          </cell>
        </row>
        <row r="13430">
          <cell r="E13430" t="str">
            <v>PSY</v>
          </cell>
          <cell r="F13430" t="str">
            <v xml:space="preserve">PSY-P </v>
          </cell>
          <cell r="G13430">
            <v>102</v>
          </cell>
          <cell r="H13430" t="str">
            <v>PSY-P 102</v>
          </cell>
          <cell r="K13430" t="str">
            <v>Finn,Peter</v>
          </cell>
          <cell r="N13430">
            <v>2.581</v>
          </cell>
          <cell r="O13430">
            <v>3.02</v>
          </cell>
        </row>
        <row r="13431">
          <cell r="E13431" t="str">
            <v>PSY</v>
          </cell>
          <cell r="F13431" t="str">
            <v xml:space="preserve">PSY-P </v>
          </cell>
          <cell r="G13431">
            <v>102</v>
          </cell>
          <cell r="H13431" t="str">
            <v>PSY-P 102</v>
          </cell>
          <cell r="K13431" t="str">
            <v>Kuwabara,Megumi</v>
          </cell>
          <cell r="N13431">
            <v>3.3319999999999999</v>
          </cell>
          <cell r="O13431">
            <v>2.996</v>
          </cell>
        </row>
        <row r="13432">
          <cell r="E13432" t="str">
            <v>PSY</v>
          </cell>
          <cell r="F13432" t="str">
            <v xml:space="preserve">PSY-P </v>
          </cell>
          <cell r="G13432">
            <v>102</v>
          </cell>
          <cell r="H13432" t="str">
            <v>PSY-P 102</v>
          </cell>
          <cell r="K13432" t="str">
            <v>Sheya,Adam Alexander</v>
          </cell>
          <cell r="N13432">
            <v>3.0939999999999999</v>
          </cell>
          <cell r="O13432">
            <v>2.8769999999999998</v>
          </cell>
        </row>
        <row r="13433">
          <cell r="E13433" t="str">
            <v>PSY</v>
          </cell>
          <cell r="F13433" t="str">
            <v xml:space="preserve">PSY-P </v>
          </cell>
          <cell r="G13433">
            <v>102</v>
          </cell>
          <cell r="H13433" t="str">
            <v>PSY-P 102</v>
          </cell>
          <cell r="K13433" t="str">
            <v>Vlachos-Weber,Irene Diana</v>
          </cell>
          <cell r="N13433">
            <v>3.1970000000000001</v>
          </cell>
          <cell r="O13433">
            <v>3.1339999999999999</v>
          </cell>
        </row>
        <row r="13434">
          <cell r="E13434" t="str">
            <v>PSY</v>
          </cell>
          <cell r="F13434" t="str">
            <v xml:space="preserve">PSY-P </v>
          </cell>
          <cell r="G13434">
            <v>102</v>
          </cell>
          <cell r="H13434" t="str">
            <v>PSY-P 102</v>
          </cell>
          <cell r="K13434" t="str">
            <v>Vlachos-Weber,Irene Diana</v>
          </cell>
          <cell r="N13434">
            <v>2.9449999999999998</v>
          </cell>
          <cell r="O13434">
            <v>3.0430000000000001</v>
          </cell>
        </row>
        <row r="13435">
          <cell r="E13435" t="str">
            <v>PSY</v>
          </cell>
          <cell r="F13435" t="str">
            <v xml:space="preserve">PSY-P </v>
          </cell>
          <cell r="G13435">
            <v>106</v>
          </cell>
          <cell r="H13435" t="str">
            <v>PSY-P 106</v>
          </cell>
          <cell r="K13435" t="str">
            <v>Motz,Benjamin Alan</v>
          </cell>
          <cell r="N13435">
            <v>3.8</v>
          </cell>
          <cell r="O13435">
            <v>3.786</v>
          </cell>
        </row>
        <row r="13436">
          <cell r="E13436" t="str">
            <v>PSY</v>
          </cell>
          <cell r="F13436" t="str">
            <v xml:space="preserve">PSY-P </v>
          </cell>
          <cell r="G13436">
            <v>106</v>
          </cell>
          <cell r="H13436" t="str">
            <v>PSY-P 106</v>
          </cell>
          <cell r="K13436" t="str">
            <v>Wakefield,Elizabeth Michelle</v>
          </cell>
          <cell r="N13436">
            <v>3.7919999999999998</v>
          </cell>
          <cell r="O13436">
            <v>3.79</v>
          </cell>
        </row>
        <row r="13437">
          <cell r="E13437" t="str">
            <v>PSY</v>
          </cell>
          <cell r="F13437" t="str">
            <v xml:space="preserve">PSY-P </v>
          </cell>
          <cell r="G13437">
            <v>155</v>
          </cell>
          <cell r="H13437" t="str">
            <v>PSY-P 155</v>
          </cell>
          <cell r="K13437" t="str">
            <v>Garraghty,Preston Evans</v>
          </cell>
          <cell r="N13437">
            <v>2.355</v>
          </cell>
          <cell r="O13437">
            <v>2.9790000000000001</v>
          </cell>
        </row>
        <row r="13438">
          <cell r="E13438" t="str">
            <v>PSY</v>
          </cell>
          <cell r="F13438" t="str">
            <v xml:space="preserve">PSY-P </v>
          </cell>
          <cell r="G13438">
            <v>155</v>
          </cell>
          <cell r="H13438" t="str">
            <v>PSY-P 155</v>
          </cell>
          <cell r="K13438" t="str">
            <v>Hoffman,Cynthia M</v>
          </cell>
          <cell r="N13438">
            <v>2.83</v>
          </cell>
          <cell r="O13438">
            <v>3.03</v>
          </cell>
        </row>
        <row r="13439">
          <cell r="E13439" t="str">
            <v>PSY</v>
          </cell>
          <cell r="F13439" t="str">
            <v xml:space="preserve">PSY-P </v>
          </cell>
          <cell r="G13439">
            <v>155</v>
          </cell>
          <cell r="H13439" t="str">
            <v>PSY-P 155</v>
          </cell>
          <cell r="K13439" t="str">
            <v>Hoffman,Cynthia M</v>
          </cell>
          <cell r="N13439">
            <v>2.794</v>
          </cell>
          <cell r="O13439">
            <v>2.7759999999999998</v>
          </cell>
        </row>
        <row r="13440">
          <cell r="E13440" t="str">
            <v>PSY</v>
          </cell>
          <cell r="F13440" t="str">
            <v xml:space="preserve">PSY-P </v>
          </cell>
          <cell r="G13440">
            <v>155</v>
          </cell>
          <cell r="H13440" t="str">
            <v>PSY-P 155</v>
          </cell>
          <cell r="K13440" t="str">
            <v>Jones,Susan S.</v>
          </cell>
          <cell r="N13440">
            <v>2.4420000000000002</v>
          </cell>
          <cell r="O13440">
            <v>2.8650000000000002</v>
          </cell>
        </row>
        <row r="13441">
          <cell r="E13441" t="str">
            <v>PSY</v>
          </cell>
          <cell r="F13441" t="str">
            <v xml:space="preserve">PSY-P </v>
          </cell>
          <cell r="G13441">
            <v>155</v>
          </cell>
          <cell r="H13441" t="str">
            <v>PSY-P 155</v>
          </cell>
          <cell r="K13441" t="str">
            <v>Thomassen,Lisa Jane</v>
          </cell>
          <cell r="N13441">
            <v>2.9369999999999998</v>
          </cell>
          <cell r="O13441">
            <v>3.101</v>
          </cell>
        </row>
        <row r="13442">
          <cell r="E13442" t="str">
            <v>PSY</v>
          </cell>
          <cell r="F13442" t="str">
            <v xml:space="preserve">PSY-P </v>
          </cell>
          <cell r="G13442">
            <v>155</v>
          </cell>
          <cell r="H13442" t="str">
            <v>PSY-P 155</v>
          </cell>
          <cell r="K13442" t="str">
            <v>Thomassen,Lisa Jane</v>
          </cell>
          <cell r="N13442">
            <v>2.552</v>
          </cell>
          <cell r="O13442">
            <v>2.867</v>
          </cell>
        </row>
        <row r="13443">
          <cell r="E13443" t="str">
            <v>PSY</v>
          </cell>
          <cell r="F13443" t="str">
            <v xml:space="preserve">PSY-P </v>
          </cell>
          <cell r="G13443">
            <v>155</v>
          </cell>
          <cell r="H13443" t="str">
            <v>PSY-P 155</v>
          </cell>
          <cell r="K13443" t="str">
            <v>Thomassen,Lisa Jane</v>
          </cell>
          <cell r="N13443">
            <v>2.7</v>
          </cell>
          <cell r="O13443">
            <v>3.02</v>
          </cell>
        </row>
        <row r="13444">
          <cell r="E13444" t="str">
            <v>PSY</v>
          </cell>
          <cell r="F13444" t="str">
            <v xml:space="preserve">PSY-P </v>
          </cell>
          <cell r="G13444">
            <v>199</v>
          </cell>
          <cell r="H13444" t="str">
            <v>PSY-P 199</v>
          </cell>
          <cell r="K13444" t="str">
            <v>Hoffman,Cynthia M</v>
          </cell>
          <cell r="N13444">
            <v>0</v>
          </cell>
          <cell r="O13444">
            <v>3.0779999999999998</v>
          </cell>
        </row>
        <row r="13445">
          <cell r="E13445" t="str">
            <v>PSY</v>
          </cell>
          <cell r="F13445" t="str">
            <v xml:space="preserve">PSY-P </v>
          </cell>
          <cell r="G13445">
            <v>199</v>
          </cell>
          <cell r="H13445" t="str">
            <v>PSY-P 199</v>
          </cell>
          <cell r="K13445" t="str">
            <v>Hullinger,Richard Alan</v>
          </cell>
          <cell r="N13445">
            <v>0</v>
          </cell>
          <cell r="O13445">
            <v>3.0230000000000001</v>
          </cell>
        </row>
        <row r="13446">
          <cell r="E13446" t="str">
            <v>PSY</v>
          </cell>
          <cell r="F13446" t="str">
            <v xml:space="preserve">PSY-P </v>
          </cell>
          <cell r="G13446">
            <v>204</v>
          </cell>
          <cell r="H13446" t="str">
            <v>PSY-P 204</v>
          </cell>
          <cell r="K13446" t="str">
            <v>Hubach,Randolph Duane</v>
          </cell>
          <cell r="N13446">
            <v>3.4289999999999998</v>
          </cell>
          <cell r="O13446">
            <v>3.1890000000000001</v>
          </cell>
        </row>
        <row r="13447">
          <cell r="E13447" t="str">
            <v>PSY</v>
          </cell>
          <cell r="F13447" t="str">
            <v xml:space="preserve">PSY-P </v>
          </cell>
          <cell r="G13447">
            <v>211</v>
          </cell>
          <cell r="H13447" t="str">
            <v>PSY-P 211</v>
          </cell>
          <cell r="K13447" t="str">
            <v>Motz,Benjamin Alan</v>
          </cell>
          <cell r="N13447">
            <v>2.9</v>
          </cell>
          <cell r="O13447">
            <v>3.0710000000000002</v>
          </cell>
        </row>
        <row r="13448">
          <cell r="E13448" t="str">
            <v>PSY</v>
          </cell>
          <cell r="F13448" t="str">
            <v xml:space="preserve">PSY-P </v>
          </cell>
          <cell r="G13448">
            <v>211</v>
          </cell>
          <cell r="H13448" t="str">
            <v>PSY-P 211</v>
          </cell>
          <cell r="K13448" t="str">
            <v>Motz,Benjamin Alan</v>
          </cell>
          <cell r="N13448">
            <v>2.9390000000000001</v>
          </cell>
          <cell r="O13448">
            <v>3.069</v>
          </cell>
        </row>
        <row r="13449">
          <cell r="E13449" t="str">
            <v>PSY</v>
          </cell>
          <cell r="F13449" t="str">
            <v xml:space="preserve">PSY-P </v>
          </cell>
          <cell r="G13449">
            <v>303</v>
          </cell>
          <cell r="H13449" t="str">
            <v>PSY-P 303</v>
          </cell>
          <cell r="K13449" t="str">
            <v>Brown,Linda F.</v>
          </cell>
          <cell r="N13449">
            <v>3.351</v>
          </cell>
          <cell r="O13449">
            <v>3.1509999999999998</v>
          </cell>
        </row>
        <row r="13450">
          <cell r="E13450" t="str">
            <v>PSY</v>
          </cell>
          <cell r="F13450" t="str">
            <v xml:space="preserve">PSY-P </v>
          </cell>
          <cell r="G13450">
            <v>303</v>
          </cell>
          <cell r="H13450" t="str">
            <v>PSY-P 303</v>
          </cell>
          <cell r="K13450" t="str">
            <v>Brown,Linda F.</v>
          </cell>
          <cell r="N13450">
            <v>3.0489999999999999</v>
          </cell>
          <cell r="O13450">
            <v>3.0179999999999998</v>
          </cell>
        </row>
        <row r="13451">
          <cell r="E13451" t="str">
            <v>PSY</v>
          </cell>
          <cell r="F13451" t="str">
            <v xml:space="preserve">PSY-P </v>
          </cell>
          <cell r="G13451">
            <v>304</v>
          </cell>
          <cell r="H13451" t="str">
            <v>PSY-P 304</v>
          </cell>
          <cell r="K13451" t="str">
            <v>Hirt,Edward Raymond</v>
          </cell>
          <cell r="N13451">
            <v>2.6949999999999998</v>
          </cell>
          <cell r="O13451">
            <v>3.0880000000000001</v>
          </cell>
        </row>
        <row r="13452">
          <cell r="E13452" t="str">
            <v>PSY</v>
          </cell>
          <cell r="F13452" t="str">
            <v xml:space="preserve">PSY-P </v>
          </cell>
          <cell r="G13452">
            <v>304</v>
          </cell>
          <cell r="H13452" t="str">
            <v>PSY-P 304</v>
          </cell>
          <cell r="K13452" t="str">
            <v>Hirt,Edward Raymond</v>
          </cell>
          <cell r="N13452">
            <v>2.8109999999999999</v>
          </cell>
          <cell r="O13452">
            <v>3.2280000000000002</v>
          </cell>
        </row>
        <row r="13453">
          <cell r="E13453" t="str">
            <v>PSY</v>
          </cell>
          <cell r="F13453" t="str">
            <v xml:space="preserve">PSY-P </v>
          </cell>
          <cell r="G13453">
            <v>304</v>
          </cell>
          <cell r="H13453" t="str">
            <v>PSY-P 304</v>
          </cell>
          <cell r="K13453" t="str">
            <v>Karpen,Samuel Carl</v>
          </cell>
          <cell r="N13453">
            <v>3.0550000000000002</v>
          </cell>
          <cell r="O13453">
            <v>3.1429999999999998</v>
          </cell>
        </row>
        <row r="13454">
          <cell r="E13454" t="str">
            <v>PSY</v>
          </cell>
          <cell r="F13454" t="str">
            <v xml:space="preserve">PSY-P </v>
          </cell>
          <cell r="G13454">
            <v>304</v>
          </cell>
          <cell r="H13454" t="str">
            <v>PSY-P 304</v>
          </cell>
          <cell r="K13454" t="str">
            <v>Murphy,Mary</v>
          </cell>
          <cell r="N13454">
            <v>3.262</v>
          </cell>
          <cell r="O13454">
            <v>3.0070000000000001</v>
          </cell>
        </row>
        <row r="13455">
          <cell r="E13455" t="str">
            <v>PSY</v>
          </cell>
          <cell r="F13455" t="str">
            <v xml:space="preserve">PSY-P </v>
          </cell>
          <cell r="G13455">
            <v>304</v>
          </cell>
          <cell r="H13455" t="str">
            <v>PSY-P 304</v>
          </cell>
          <cell r="K13455" t="str">
            <v>Roberts,Alan C.</v>
          </cell>
          <cell r="N13455">
            <v>3.1059999999999999</v>
          </cell>
          <cell r="O13455">
            <v>3.04</v>
          </cell>
        </row>
        <row r="13456">
          <cell r="E13456" t="str">
            <v>PSY</v>
          </cell>
          <cell r="F13456" t="str">
            <v xml:space="preserve">PSY-P </v>
          </cell>
          <cell r="G13456">
            <v>304</v>
          </cell>
          <cell r="H13456" t="str">
            <v>PSY-P 304</v>
          </cell>
          <cell r="K13456" t="str">
            <v>Rydell,Robert Joseph</v>
          </cell>
          <cell r="N13456">
            <v>2.9710000000000001</v>
          </cell>
          <cell r="O13456">
            <v>2.9550000000000001</v>
          </cell>
        </row>
        <row r="13457">
          <cell r="E13457" t="str">
            <v>PSY</v>
          </cell>
          <cell r="F13457" t="str">
            <v xml:space="preserve">PSY-P </v>
          </cell>
          <cell r="G13457">
            <v>304</v>
          </cell>
          <cell r="H13457" t="str">
            <v>PSY-P 304</v>
          </cell>
          <cell r="K13457" t="str">
            <v>Thompson,Scott A</v>
          </cell>
          <cell r="N13457">
            <v>3.3170000000000002</v>
          </cell>
          <cell r="O13457">
            <v>3.286</v>
          </cell>
        </row>
        <row r="13458">
          <cell r="E13458" t="str">
            <v>PSY</v>
          </cell>
          <cell r="F13458" t="str">
            <v xml:space="preserve">PSY-P </v>
          </cell>
          <cell r="G13458">
            <v>304</v>
          </cell>
          <cell r="H13458" t="str">
            <v>PSY-P 304</v>
          </cell>
          <cell r="K13458" t="str">
            <v>Thompson,Scott A</v>
          </cell>
          <cell r="N13458">
            <v>3.2309999999999999</v>
          </cell>
          <cell r="O13458">
            <v>3.1469999999999998</v>
          </cell>
        </row>
        <row r="13459">
          <cell r="E13459" t="str">
            <v>PSY</v>
          </cell>
          <cell r="F13459" t="str">
            <v xml:space="preserve">PSY-P </v>
          </cell>
          <cell r="G13459">
            <v>304</v>
          </cell>
          <cell r="H13459" t="str">
            <v>PSY-P 304</v>
          </cell>
          <cell r="K13459" t="str">
            <v>Thompson,Scott A</v>
          </cell>
          <cell r="N13459">
            <v>3.169</v>
          </cell>
          <cell r="O13459">
            <v>3.2290000000000001</v>
          </cell>
        </row>
        <row r="13460">
          <cell r="E13460" t="str">
            <v>PSY</v>
          </cell>
          <cell r="F13460" t="str">
            <v xml:space="preserve">PSY-P </v>
          </cell>
          <cell r="G13460">
            <v>304</v>
          </cell>
          <cell r="H13460" t="str">
            <v>PSY-P 304</v>
          </cell>
          <cell r="K13460" t="str">
            <v>Thompson,Scott A</v>
          </cell>
          <cell r="N13460">
            <v>3.3940000000000001</v>
          </cell>
          <cell r="O13460">
            <v>3.2469999999999999</v>
          </cell>
        </row>
        <row r="13461">
          <cell r="E13461" t="str">
            <v>PSY</v>
          </cell>
          <cell r="F13461" t="str">
            <v xml:space="preserve">PSY-P </v>
          </cell>
          <cell r="G13461">
            <v>315</v>
          </cell>
          <cell r="H13461" t="str">
            <v>PSY-P 315</v>
          </cell>
          <cell r="K13461" t="str">
            <v>Kuwabara,Megumi</v>
          </cell>
          <cell r="N13461">
            <v>3.4470000000000001</v>
          </cell>
          <cell r="O13461">
            <v>3.2919999999999998</v>
          </cell>
        </row>
        <row r="13462">
          <cell r="E13462" t="str">
            <v>PSY</v>
          </cell>
          <cell r="F13462" t="str">
            <v xml:space="preserve">PSY-P </v>
          </cell>
          <cell r="G13462">
            <v>315</v>
          </cell>
          <cell r="H13462" t="str">
            <v>PSY-P 315</v>
          </cell>
          <cell r="K13462" t="str">
            <v>Sinex,Linda Hoke</v>
          </cell>
          <cell r="N13462">
            <v>3.7309999999999999</v>
          </cell>
          <cell r="O13462">
            <v>3.4569999999999999</v>
          </cell>
        </row>
        <row r="13463">
          <cell r="E13463" t="str">
            <v>PSY</v>
          </cell>
          <cell r="F13463" t="str">
            <v xml:space="preserve">PSY-P </v>
          </cell>
          <cell r="G13463">
            <v>315</v>
          </cell>
          <cell r="H13463" t="str">
            <v>PSY-P 315</v>
          </cell>
          <cell r="K13463" t="str">
            <v>Sinex,Linda Hoke</v>
          </cell>
          <cell r="N13463">
            <v>3.7850000000000001</v>
          </cell>
          <cell r="O13463">
            <v>3.4420000000000002</v>
          </cell>
        </row>
        <row r="13464">
          <cell r="E13464" t="str">
            <v>PSY</v>
          </cell>
          <cell r="F13464" t="str">
            <v xml:space="preserve">PSY-P </v>
          </cell>
          <cell r="G13464">
            <v>315</v>
          </cell>
          <cell r="H13464" t="str">
            <v>PSY-P 315</v>
          </cell>
          <cell r="K13464" t="str">
            <v>Sinex,Linda Hoke</v>
          </cell>
          <cell r="N13464">
            <v>3.4449999999999998</v>
          </cell>
          <cell r="O13464">
            <v>3.1160000000000001</v>
          </cell>
        </row>
        <row r="13465">
          <cell r="E13465" t="str">
            <v>PSY</v>
          </cell>
          <cell r="F13465" t="str">
            <v xml:space="preserve">PSY-P </v>
          </cell>
          <cell r="G13465">
            <v>315</v>
          </cell>
          <cell r="H13465" t="str">
            <v>PSY-P 315</v>
          </cell>
          <cell r="K13465" t="str">
            <v>Sinex,Linda Hoke</v>
          </cell>
          <cell r="N13465">
            <v>3.5670000000000002</v>
          </cell>
          <cell r="O13465">
            <v>3.3780000000000001</v>
          </cell>
        </row>
        <row r="13466">
          <cell r="E13466" t="str">
            <v>PSY</v>
          </cell>
          <cell r="F13466" t="str">
            <v xml:space="preserve">PSY-P </v>
          </cell>
          <cell r="G13466">
            <v>319</v>
          </cell>
          <cell r="H13466" t="str">
            <v>PSY-P 319</v>
          </cell>
          <cell r="K13466" t="str">
            <v>Roberts,Alan C.</v>
          </cell>
          <cell r="N13466">
            <v>3.1440000000000001</v>
          </cell>
          <cell r="O13466">
            <v>3.2749999999999999</v>
          </cell>
        </row>
        <row r="13467">
          <cell r="E13467" t="str">
            <v>PSY</v>
          </cell>
          <cell r="F13467" t="str">
            <v xml:space="preserve">PSY-P </v>
          </cell>
          <cell r="G13467">
            <v>323</v>
          </cell>
          <cell r="H13467" t="str">
            <v>PSY-P 323</v>
          </cell>
          <cell r="K13467" t="str">
            <v>Hays,Jocelyn Courtney</v>
          </cell>
          <cell r="N13467">
            <v>2.843</v>
          </cell>
          <cell r="O13467">
            <v>2.9430000000000001</v>
          </cell>
        </row>
        <row r="13468">
          <cell r="E13468" t="str">
            <v>PSY</v>
          </cell>
          <cell r="F13468" t="str">
            <v xml:space="preserve">PSY-P </v>
          </cell>
          <cell r="G13468">
            <v>324</v>
          </cell>
          <cell r="H13468" t="str">
            <v>PSY-P 324</v>
          </cell>
          <cell r="K13468" t="str">
            <v>Hetrick,William P.</v>
          </cell>
          <cell r="N13468">
            <v>2.9079999999999999</v>
          </cell>
          <cell r="O13468">
            <v>3.2440000000000002</v>
          </cell>
        </row>
        <row r="13469">
          <cell r="E13469" t="str">
            <v>PSY</v>
          </cell>
          <cell r="F13469" t="str">
            <v xml:space="preserve">PSY-P </v>
          </cell>
          <cell r="G13469">
            <v>324</v>
          </cell>
          <cell r="H13469" t="str">
            <v>PSY-P 324</v>
          </cell>
          <cell r="K13469" t="str">
            <v>Mokhtarian,Stefanie Greenberg</v>
          </cell>
          <cell r="N13469">
            <v>2.6349999999999998</v>
          </cell>
          <cell r="O13469">
            <v>3.0289999999999999</v>
          </cell>
        </row>
        <row r="13470">
          <cell r="E13470" t="str">
            <v>PSY</v>
          </cell>
          <cell r="F13470" t="str">
            <v xml:space="preserve">PSY-P </v>
          </cell>
          <cell r="G13470">
            <v>324</v>
          </cell>
          <cell r="H13470" t="str">
            <v>PSY-P 324</v>
          </cell>
          <cell r="K13470" t="str">
            <v>Roberts,Alan C.</v>
          </cell>
          <cell r="N13470">
            <v>3.1030000000000002</v>
          </cell>
          <cell r="O13470">
            <v>3.2250000000000001</v>
          </cell>
        </row>
        <row r="13471">
          <cell r="E13471" t="str">
            <v>PSY</v>
          </cell>
          <cell r="F13471" t="str">
            <v xml:space="preserve">PSY-P </v>
          </cell>
          <cell r="G13471">
            <v>324</v>
          </cell>
          <cell r="H13471" t="str">
            <v>PSY-P 324</v>
          </cell>
          <cell r="K13471" t="str">
            <v>Roberts,Alan C.</v>
          </cell>
          <cell r="N13471">
            <v>2.86</v>
          </cell>
          <cell r="O13471">
            <v>2.8559999999999999</v>
          </cell>
        </row>
        <row r="13472">
          <cell r="E13472" t="str">
            <v>PSY</v>
          </cell>
          <cell r="F13472" t="str">
            <v xml:space="preserve">PSY-P </v>
          </cell>
          <cell r="G13472">
            <v>324</v>
          </cell>
          <cell r="H13472" t="str">
            <v>PSY-P 324</v>
          </cell>
          <cell r="K13472" t="str">
            <v>Roberts,Alan C.</v>
          </cell>
          <cell r="N13472">
            <v>2.8319999999999999</v>
          </cell>
          <cell r="O13472">
            <v>3.093</v>
          </cell>
        </row>
        <row r="13473">
          <cell r="E13473" t="str">
            <v>PSY</v>
          </cell>
          <cell r="F13473" t="str">
            <v xml:space="preserve">PSY-P </v>
          </cell>
          <cell r="G13473">
            <v>324</v>
          </cell>
          <cell r="H13473" t="str">
            <v>PSY-P 324</v>
          </cell>
          <cell r="K13473" t="str">
            <v>Viken,Richard J.</v>
          </cell>
          <cell r="N13473">
            <v>3.0619999999999998</v>
          </cell>
          <cell r="O13473">
            <v>3.2890000000000001</v>
          </cell>
        </row>
        <row r="13474">
          <cell r="E13474" t="str">
            <v>PSY</v>
          </cell>
          <cell r="F13474" t="str">
            <v xml:space="preserve">PSY-P </v>
          </cell>
          <cell r="G13474">
            <v>324</v>
          </cell>
          <cell r="H13474" t="str">
            <v>PSY-P 324</v>
          </cell>
          <cell r="K13474" t="str">
            <v>Viken,Richard J.</v>
          </cell>
          <cell r="N13474">
            <v>3.0979999999999999</v>
          </cell>
          <cell r="O13474">
            <v>3.1619999999999999</v>
          </cell>
        </row>
        <row r="13475">
          <cell r="E13475" t="str">
            <v>PSY</v>
          </cell>
          <cell r="F13475" t="str">
            <v xml:space="preserve">PSY-P </v>
          </cell>
          <cell r="G13475">
            <v>324</v>
          </cell>
          <cell r="H13475" t="str">
            <v>PSY-P 324</v>
          </cell>
          <cell r="K13475" t="str">
            <v>Vlachos-Weber,Irene Diana</v>
          </cell>
          <cell r="N13475">
            <v>3.456</v>
          </cell>
          <cell r="O13475">
            <v>3.302</v>
          </cell>
        </row>
        <row r="13476">
          <cell r="E13476" t="str">
            <v>PSY</v>
          </cell>
          <cell r="F13476" t="str">
            <v xml:space="preserve">PSY-P </v>
          </cell>
          <cell r="G13476">
            <v>324</v>
          </cell>
          <cell r="H13476" t="str">
            <v>PSY-P 324</v>
          </cell>
          <cell r="K13476" t="str">
            <v>Vlachos-Weber,Irene Diana</v>
          </cell>
          <cell r="N13476">
            <v>3.4049999999999998</v>
          </cell>
          <cell r="O13476">
            <v>3.2770000000000001</v>
          </cell>
        </row>
        <row r="13477">
          <cell r="E13477" t="str">
            <v>PSY</v>
          </cell>
          <cell r="F13477" t="str">
            <v xml:space="preserve">PSY-P </v>
          </cell>
          <cell r="G13477">
            <v>324</v>
          </cell>
          <cell r="H13477" t="str">
            <v>PSY-P 324</v>
          </cell>
          <cell r="K13477" t="str">
            <v>Vlachos-Weber,Irene Diana</v>
          </cell>
          <cell r="N13477">
            <v>3.5819999999999999</v>
          </cell>
          <cell r="O13477">
            <v>3.2730000000000001</v>
          </cell>
        </row>
        <row r="13478">
          <cell r="E13478" t="str">
            <v>PSY</v>
          </cell>
          <cell r="F13478" t="str">
            <v xml:space="preserve">PSY-P </v>
          </cell>
          <cell r="G13478">
            <v>326</v>
          </cell>
          <cell r="H13478" t="str">
            <v>PSY-P 326</v>
          </cell>
          <cell r="K13478" t="str">
            <v>Farley,Joseph</v>
          </cell>
          <cell r="N13478">
            <v>3.431</v>
          </cell>
          <cell r="O13478">
            <v>3.0249999999999999</v>
          </cell>
        </row>
        <row r="13479">
          <cell r="E13479" t="str">
            <v>PSY</v>
          </cell>
          <cell r="F13479" t="str">
            <v xml:space="preserve">PSY-P </v>
          </cell>
          <cell r="G13479">
            <v>329</v>
          </cell>
          <cell r="H13479" t="str">
            <v>PSY-P 329</v>
          </cell>
          <cell r="K13479" t="str">
            <v>Gold,Jason M</v>
          </cell>
          <cell r="N13479">
            <v>2.9119999999999999</v>
          </cell>
          <cell r="O13479">
            <v>3.089</v>
          </cell>
        </row>
        <row r="13480">
          <cell r="E13480" t="str">
            <v>PSY</v>
          </cell>
          <cell r="F13480" t="str">
            <v xml:space="preserve">PSY-P </v>
          </cell>
          <cell r="G13480">
            <v>329</v>
          </cell>
          <cell r="H13480" t="str">
            <v>PSY-P 329</v>
          </cell>
          <cell r="K13480" t="str">
            <v>Gruenenfelder,Thomas More</v>
          </cell>
          <cell r="N13480">
            <v>2.6789999999999998</v>
          </cell>
          <cell r="O13480">
            <v>2.9729999999999999</v>
          </cell>
        </row>
        <row r="13481">
          <cell r="E13481" t="str">
            <v>PSY</v>
          </cell>
          <cell r="F13481" t="str">
            <v xml:space="preserve">PSY-P </v>
          </cell>
          <cell r="G13481">
            <v>330</v>
          </cell>
          <cell r="H13481" t="str">
            <v>PSY-P 330</v>
          </cell>
          <cell r="K13481" t="str">
            <v>Bingham,Geoffrey</v>
          </cell>
          <cell r="N13481">
            <v>2.2970000000000002</v>
          </cell>
          <cell r="O13481">
            <v>2.8580000000000001</v>
          </cell>
        </row>
        <row r="13482">
          <cell r="E13482" t="str">
            <v>PSY</v>
          </cell>
          <cell r="F13482" t="str">
            <v xml:space="preserve">PSY-P </v>
          </cell>
          <cell r="G13482">
            <v>335</v>
          </cell>
          <cell r="H13482" t="str">
            <v>PSY-P 335</v>
          </cell>
          <cell r="K13482" t="str">
            <v>Gold,Jason M</v>
          </cell>
          <cell r="N13482">
            <v>3.4929999999999999</v>
          </cell>
          <cell r="O13482">
            <v>3.206</v>
          </cell>
        </row>
        <row r="13483">
          <cell r="E13483" t="str">
            <v>PSY</v>
          </cell>
          <cell r="F13483" t="str">
            <v xml:space="preserve">PSY-P </v>
          </cell>
          <cell r="G13483">
            <v>335</v>
          </cell>
          <cell r="H13483" t="str">
            <v>PSY-P 335</v>
          </cell>
          <cell r="K13483" t="str">
            <v>Gold,Jason M</v>
          </cell>
          <cell r="N13483">
            <v>3.3849999999999998</v>
          </cell>
          <cell r="O13483">
            <v>3.0609999999999999</v>
          </cell>
        </row>
        <row r="13484">
          <cell r="E13484" t="str">
            <v>PSY</v>
          </cell>
          <cell r="F13484" t="str">
            <v xml:space="preserve">PSY-P </v>
          </cell>
          <cell r="G13484">
            <v>335</v>
          </cell>
          <cell r="H13484" t="str">
            <v>PSY-P 335</v>
          </cell>
          <cell r="K13484" t="str">
            <v>Goldstone,Robert L.</v>
          </cell>
          <cell r="N13484">
            <v>2.6219999999999999</v>
          </cell>
          <cell r="O13484">
            <v>3.2069999999999999</v>
          </cell>
        </row>
        <row r="13485">
          <cell r="E13485" t="str">
            <v>PSY</v>
          </cell>
          <cell r="F13485" t="str">
            <v xml:space="preserve">PSY-P </v>
          </cell>
          <cell r="G13485">
            <v>335</v>
          </cell>
          <cell r="H13485" t="str">
            <v>PSY-P 335</v>
          </cell>
          <cell r="K13485" t="str">
            <v>Gruenenfelder,Thomas More</v>
          </cell>
          <cell r="N13485">
            <v>2.7909999999999999</v>
          </cell>
          <cell r="O13485">
            <v>3.141</v>
          </cell>
        </row>
        <row r="13486">
          <cell r="E13486" t="str">
            <v>PSY</v>
          </cell>
          <cell r="F13486" t="str">
            <v xml:space="preserve">PSY-P </v>
          </cell>
          <cell r="G13486">
            <v>335</v>
          </cell>
          <cell r="H13486" t="str">
            <v>PSY-P 335</v>
          </cell>
          <cell r="K13486" t="str">
            <v>Gruenenfelder,Thomas More</v>
          </cell>
          <cell r="N13486">
            <v>4</v>
          </cell>
          <cell r="O13486">
            <v>3.8090000000000002</v>
          </cell>
        </row>
        <row r="13487">
          <cell r="E13487" t="str">
            <v>PSY</v>
          </cell>
          <cell r="F13487" t="str">
            <v xml:space="preserve">PSY-P </v>
          </cell>
          <cell r="G13487">
            <v>335</v>
          </cell>
          <cell r="H13487" t="str">
            <v>PSY-P 335</v>
          </cell>
          <cell r="K13487" t="str">
            <v>Herzmann,Grit</v>
          </cell>
          <cell r="N13487">
            <v>3.581</v>
          </cell>
          <cell r="O13487">
            <v>3.0350000000000001</v>
          </cell>
        </row>
        <row r="13488">
          <cell r="E13488" t="str">
            <v>PSY</v>
          </cell>
          <cell r="F13488" t="str">
            <v xml:space="preserve">PSY-P </v>
          </cell>
          <cell r="G13488">
            <v>335</v>
          </cell>
          <cell r="H13488" t="str">
            <v>PSY-P 335</v>
          </cell>
          <cell r="K13488" t="str">
            <v>Hullinger,Richard Alan</v>
          </cell>
          <cell r="N13488">
            <v>3.1120000000000001</v>
          </cell>
          <cell r="O13488">
            <v>3.1240000000000001</v>
          </cell>
        </row>
        <row r="13489">
          <cell r="E13489" t="str">
            <v>PSY</v>
          </cell>
          <cell r="F13489" t="str">
            <v xml:space="preserve">PSY-P </v>
          </cell>
          <cell r="G13489">
            <v>335</v>
          </cell>
          <cell r="H13489" t="str">
            <v>PSY-P 335</v>
          </cell>
          <cell r="K13489" t="str">
            <v>Hullinger,Richard Alan</v>
          </cell>
          <cell r="N13489">
            <v>4</v>
          </cell>
          <cell r="O13489">
            <v>3.6949999999999998</v>
          </cell>
        </row>
        <row r="13490">
          <cell r="E13490" t="str">
            <v>PSY</v>
          </cell>
          <cell r="F13490" t="str">
            <v xml:space="preserve">PSY-P </v>
          </cell>
          <cell r="G13490">
            <v>335</v>
          </cell>
          <cell r="H13490" t="str">
            <v>PSY-P 335</v>
          </cell>
          <cell r="K13490" t="str">
            <v>Motz,Benjamin Alan</v>
          </cell>
          <cell r="N13490">
            <v>3.21</v>
          </cell>
          <cell r="O13490">
            <v>3.1459999999999999</v>
          </cell>
        </row>
        <row r="13491">
          <cell r="E13491" t="str">
            <v>PSY</v>
          </cell>
          <cell r="F13491" t="str">
            <v xml:space="preserve">PSY-P </v>
          </cell>
          <cell r="G13491">
            <v>335</v>
          </cell>
          <cell r="H13491" t="str">
            <v>PSY-P 335</v>
          </cell>
          <cell r="K13491" t="str">
            <v>Motz,Benjamin Alan</v>
          </cell>
          <cell r="N13491">
            <v>3.1139999999999999</v>
          </cell>
          <cell r="O13491">
            <v>3.121</v>
          </cell>
        </row>
        <row r="13492">
          <cell r="E13492" t="str">
            <v>PSY</v>
          </cell>
          <cell r="F13492" t="str">
            <v xml:space="preserve">PSY-P </v>
          </cell>
          <cell r="G13492">
            <v>335</v>
          </cell>
          <cell r="H13492" t="str">
            <v>PSY-P 335</v>
          </cell>
          <cell r="K13492" t="str">
            <v>Prather,Richard W</v>
          </cell>
          <cell r="N13492">
            <v>2.7010000000000001</v>
          </cell>
          <cell r="O13492">
            <v>2.9889999999999999</v>
          </cell>
        </row>
        <row r="13493">
          <cell r="E13493" t="str">
            <v>PSY</v>
          </cell>
          <cell r="F13493" t="str">
            <v xml:space="preserve">PSY-P </v>
          </cell>
          <cell r="G13493">
            <v>337</v>
          </cell>
          <cell r="H13493" t="str">
            <v>PSY-P 337</v>
          </cell>
          <cell r="K13493" t="str">
            <v>O'donnell,Brian F.</v>
          </cell>
          <cell r="N13493">
            <v>3.3690000000000002</v>
          </cell>
          <cell r="O13493">
            <v>3.351</v>
          </cell>
        </row>
        <row r="13494">
          <cell r="E13494" t="str">
            <v>PSY</v>
          </cell>
          <cell r="F13494" t="str">
            <v xml:space="preserve">PSY-P </v>
          </cell>
          <cell r="G13494">
            <v>346</v>
          </cell>
          <cell r="H13494" t="str">
            <v>PSY-P 346</v>
          </cell>
          <cell r="K13494" t="str">
            <v>Garraghty,Preston Evans</v>
          </cell>
          <cell r="N13494">
            <v>2.532</v>
          </cell>
          <cell r="O13494">
            <v>3.1459999999999999</v>
          </cell>
        </row>
        <row r="13495">
          <cell r="E13495" t="str">
            <v>PSY</v>
          </cell>
          <cell r="F13495" t="str">
            <v xml:space="preserve">PSY-P </v>
          </cell>
          <cell r="G13495">
            <v>346</v>
          </cell>
          <cell r="H13495" t="str">
            <v>PSY-P 346</v>
          </cell>
          <cell r="K13495" t="str">
            <v>McHugh,Douglas</v>
          </cell>
          <cell r="N13495">
            <v>3.05</v>
          </cell>
          <cell r="O13495">
            <v>3.1309999999999998</v>
          </cell>
        </row>
        <row r="13496">
          <cell r="E13496" t="str">
            <v>PSY</v>
          </cell>
          <cell r="F13496" t="str">
            <v xml:space="preserve">PSY-P </v>
          </cell>
          <cell r="G13496">
            <v>346</v>
          </cell>
          <cell r="H13496" t="str">
            <v>PSY-P 346</v>
          </cell>
          <cell r="K13496" t="str">
            <v>Prieto,Anne L.</v>
          </cell>
          <cell r="N13496">
            <v>3.2</v>
          </cell>
          <cell r="O13496">
            <v>3.2810000000000001</v>
          </cell>
        </row>
        <row r="13497">
          <cell r="E13497" t="str">
            <v>PSY</v>
          </cell>
          <cell r="F13497" t="str">
            <v xml:space="preserve">PSY-P </v>
          </cell>
          <cell r="G13497">
            <v>346</v>
          </cell>
          <cell r="H13497" t="str">
            <v>PSY-P 346</v>
          </cell>
          <cell r="K13497" t="str">
            <v>Sengelaub,Dale R</v>
          </cell>
          <cell r="N13497">
            <v>2.9020000000000001</v>
          </cell>
          <cell r="O13497">
            <v>3.347</v>
          </cell>
        </row>
        <row r="13498">
          <cell r="E13498" t="str">
            <v>PSY</v>
          </cell>
          <cell r="F13498" t="str">
            <v xml:space="preserve">PSY-P </v>
          </cell>
          <cell r="G13498">
            <v>346</v>
          </cell>
          <cell r="H13498" t="str">
            <v>PSY-P 346</v>
          </cell>
          <cell r="K13498" t="str">
            <v>Sporns,Olaf</v>
          </cell>
          <cell r="N13498">
            <v>3.1080000000000001</v>
          </cell>
          <cell r="O13498">
            <v>3.1869999999999998</v>
          </cell>
        </row>
        <row r="13499">
          <cell r="E13499" t="str">
            <v>PSY</v>
          </cell>
          <cell r="F13499" t="str">
            <v xml:space="preserve">PSY-P </v>
          </cell>
          <cell r="G13499">
            <v>346</v>
          </cell>
          <cell r="H13499" t="str">
            <v>PSY-P 346</v>
          </cell>
          <cell r="K13499" t="str">
            <v>Wellman,Cara Lynn</v>
          </cell>
          <cell r="N13499">
            <v>2.5169999999999999</v>
          </cell>
          <cell r="O13499">
            <v>3.2</v>
          </cell>
        </row>
        <row r="13500">
          <cell r="E13500" t="str">
            <v>PSY</v>
          </cell>
          <cell r="F13500" t="str">
            <v xml:space="preserve">PSY-P </v>
          </cell>
          <cell r="G13500">
            <v>350</v>
          </cell>
          <cell r="H13500" t="str">
            <v>PSY-P 350</v>
          </cell>
          <cell r="K13500" t="str">
            <v>Jayaraman,Swapnaa</v>
          </cell>
          <cell r="N13500">
            <v>2.887</v>
          </cell>
          <cell r="O13500">
            <v>2.8849999999999998</v>
          </cell>
        </row>
        <row r="13501">
          <cell r="E13501" t="str">
            <v>PSY</v>
          </cell>
          <cell r="F13501" t="str">
            <v xml:space="preserve">PSY-P </v>
          </cell>
          <cell r="G13501">
            <v>351</v>
          </cell>
          <cell r="H13501" t="str">
            <v>PSY-P 351</v>
          </cell>
          <cell r="K13501" t="str">
            <v>Alberts,Jeffrey R</v>
          </cell>
          <cell r="N13501">
            <v>3.8079999999999998</v>
          </cell>
          <cell r="O13501">
            <v>3.2850000000000001</v>
          </cell>
        </row>
        <row r="13502">
          <cell r="E13502" t="str">
            <v>PSY</v>
          </cell>
          <cell r="F13502" t="str">
            <v xml:space="preserve">PSY-P </v>
          </cell>
          <cell r="G13502">
            <v>356</v>
          </cell>
          <cell r="H13502" t="str">
            <v>PSY-P 356</v>
          </cell>
          <cell r="K13502" t="str">
            <v>Craig,James C.</v>
          </cell>
          <cell r="N13502" t="str">
            <v>NR</v>
          </cell>
          <cell r="O13502" t="str">
            <v>NR</v>
          </cell>
        </row>
        <row r="13503">
          <cell r="E13503" t="str">
            <v>PSY</v>
          </cell>
          <cell r="F13503" t="str">
            <v xml:space="preserve">PSY-P </v>
          </cell>
          <cell r="G13503">
            <v>356</v>
          </cell>
          <cell r="H13503" t="str">
            <v>PSY-P 356</v>
          </cell>
          <cell r="K13503" t="str">
            <v>Vlachos-Weber,Irene Diana</v>
          </cell>
          <cell r="N13503" t="str">
            <v>NR</v>
          </cell>
          <cell r="O13503" t="str">
            <v>NR</v>
          </cell>
        </row>
        <row r="13504">
          <cell r="E13504" t="str">
            <v>PSY</v>
          </cell>
          <cell r="F13504" t="str">
            <v xml:space="preserve">PSY-P </v>
          </cell>
          <cell r="G13504">
            <v>375</v>
          </cell>
          <cell r="H13504" t="str">
            <v>PSY-P 375</v>
          </cell>
          <cell r="K13504" t="str">
            <v>Smith,Nicole Kristine</v>
          </cell>
          <cell r="N13504">
            <v>3.5640000000000001</v>
          </cell>
          <cell r="O13504">
            <v>3.3109999999999999</v>
          </cell>
        </row>
        <row r="13505">
          <cell r="E13505" t="str">
            <v>PSY</v>
          </cell>
          <cell r="F13505" t="str">
            <v xml:space="preserve">PSY-P </v>
          </cell>
          <cell r="G13505">
            <v>404</v>
          </cell>
          <cell r="H13505" t="str">
            <v>PSY-P 404</v>
          </cell>
          <cell r="K13505" t="str">
            <v>Nosofsky,Robert M.</v>
          </cell>
          <cell r="N13505">
            <v>2.9449999999999998</v>
          </cell>
          <cell r="O13505">
            <v>3.1280000000000001</v>
          </cell>
        </row>
        <row r="13506">
          <cell r="E13506" t="str">
            <v>PSY</v>
          </cell>
          <cell r="F13506" t="str">
            <v xml:space="preserve">PSY-P </v>
          </cell>
          <cell r="G13506">
            <v>407</v>
          </cell>
          <cell r="H13506" t="str">
            <v>PSY-P 407</v>
          </cell>
          <cell r="K13506" t="str">
            <v>Rebec,George V.</v>
          </cell>
          <cell r="N13506">
            <v>3.3290000000000002</v>
          </cell>
          <cell r="O13506">
            <v>3.5009999999999999</v>
          </cell>
        </row>
        <row r="13507">
          <cell r="E13507" t="str">
            <v>PSY</v>
          </cell>
          <cell r="F13507" t="str">
            <v xml:space="preserve">PSY-P </v>
          </cell>
          <cell r="G13507">
            <v>411</v>
          </cell>
          <cell r="H13507" t="str">
            <v>PSY-P 411</v>
          </cell>
          <cell r="K13507" t="str">
            <v>Farley,Joseph</v>
          </cell>
          <cell r="N13507">
            <v>3.7959999999999998</v>
          </cell>
          <cell r="O13507">
            <v>3.49</v>
          </cell>
        </row>
        <row r="13508">
          <cell r="E13508" t="str">
            <v>PSY</v>
          </cell>
          <cell r="F13508" t="str">
            <v xml:space="preserve">PSY-P </v>
          </cell>
          <cell r="G13508">
            <v>421</v>
          </cell>
          <cell r="H13508" t="str">
            <v>PSY-P 421</v>
          </cell>
          <cell r="K13508" t="str">
            <v>Thompson,Scott A</v>
          </cell>
          <cell r="N13508">
            <v>3.63</v>
          </cell>
          <cell r="O13508">
            <v>3.35</v>
          </cell>
        </row>
        <row r="13509">
          <cell r="E13509" t="str">
            <v>PSY</v>
          </cell>
          <cell r="F13509" t="str">
            <v xml:space="preserve">PSY-P </v>
          </cell>
          <cell r="G13509">
            <v>421</v>
          </cell>
          <cell r="H13509" t="str">
            <v>PSY-P 421</v>
          </cell>
          <cell r="K13509" t="str">
            <v>Thompson,Scott A</v>
          </cell>
          <cell r="N13509">
            <v>3.1779999999999999</v>
          </cell>
          <cell r="O13509">
            <v>3.234</v>
          </cell>
        </row>
        <row r="13510">
          <cell r="E13510" t="str">
            <v>PSY</v>
          </cell>
          <cell r="F13510" t="str">
            <v xml:space="preserve">PSY-P </v>
          </cell>
          <cell r="G13510">
            <v>423</v>
          </cell>
          <cell r="H13510" t="str">
            <v>PSY-P 423</v>
          </cell>
          <cell r="K13510" t="str">
            <v>James,Karin Harman</v>
          </cell>
          <cell r="N13510">
            <v>3.61</v>
          </cell>
          <cell r="O13510">
            <v>3.4289999999999998</v>
          </cell>
        </row>
        <row r="13511">
          <cell r="E13511" t="str">
            <v>PSY</v>
          </cell>
          <cell r="F13511" t="str">
            <v xml:space="preserve">PSY-P </v>
          </cell>
          <cell r="G13511">
            <v>425</v>
          </cell>
          <cell r="H13511" t="str">
            <v>PSY-P 425</v>
          </cell>
          <cell r="K13511" t="str">
            <v>Bates,John E.</v>
          </cell>
          <cell r="N13511">
            <v>3.0529999999999999</v>
          </cell>
          <cell r="O13511">
            <v>3.2909999999999999</v>
          </cell>
        </row>
        <row r="13512">
          <cell r="E13512" t="str">
            <v>PSY</v>
          </cell>
          <cell r="F13512" t="str">
            <v xml:space="preserve">PSY-P </v>
          </cell>
          <cell r="G13512">
            <v>426</v>
          </cell>
          <cell r="H13512" t="str">
            <v>PSY-P 426</v>
          </cell>
          <cell r="K13512" t="str">
            <v>Garraghty,Preston Evans</v>
          </cell>
          <cell r="N13512" t="str">
            <v>NR</v>
          </cell>
          <cell r="O13512" t="str">
            <v>NR</v>
          </cell>
        </row>
        <row r="13513">
          <cell r="E13513" t="str">
            <v>PSY</v>
          </cell>
          <cell r="F13513" t="str">
            <v xml:space="preserve">PSY-P </v>
          </cell>
          <cell r="G13513">
            <v>426</v>
          </cell>
          <cell r="H13513" t="str">
            <v>PSY-P 426</v>
          </cell>
          <cell r="K13513" t="str">
            <v>Garraghty,Preston Evans</v>
          </cell>
          <cell r="N13513" t="str">
            <v>NR</v>
          </cell>
          <cell r="O13513" t="str">
            <v>NR</v>
          </cell>
        </row>
        <row r="13514">
          <cell r="E13514" t="str">
            <v>PSY</v>
          </cell>
          <cell r="F13514" t="str">
            <v xml:space="preserve">PSY-P </v>
          </cell>
          <cell r="G13514">
            <v>426</v>
          </cell>
          <cell r="H13514" t="str">
            <v>PSY-P 426</v>
          </cell>
          <cell r="K13514" t="str">
            <v>Garraghty,Preston Evans</v>
          </cell>
          <cell r="N13514" t="str">
            <v>NR</v>
          </cell>
          <cell r="O13514" t="str">
            <v>NR</v>
          </cell>
        </row>
        <row r="13515">
          <cell r="E13515" t="str">
            <v>PSY</v>
          </cell>
          <cell r="F13515" t="str">
            <v xml:space="preserve">PSY-P </v>
          </cell>
          <cell r="G13515">
            <v>426</v>
          </cell>
          <cell r="H13515" t="str">
            <v>PSY-P 426</v>
          </cell>
          <cell r="K13515" t="str">
            <v>Garraghty,Preston Evans</v>
          </cell>
          <cell r="N13515" t="str">
            <v>NR</v>
          </cell>
          <cell r="O13515" t="str">
            <v>NR</v>
          </cell>
        </row>
        <row r="13516">
          <cell r="E13516" t="str">
            <v>PSY</v>
          </cell>
          <cell r="F13516" t="str">
            <v xml:space="preserve">PSY-P </v>
          </cell>
          <cell r="G13516">
            <v>426</v>
          </cell>
          <cell r="H13516" t="str">
            <v>PSY-P 426</v>
          </cell>
          <cell r="K13516" t="str">
            <v>Garraghty,Preston Evans</v>
          </cell>
          <cell r="N13516" t="str">
            <v>NR</v>
          </cell>
          <cell r="O13516" t="str">
            <v>NR</v>
          </cell>
        </row>
        <row r="13517">
          <cell r="E13517" t="str">
            <v>PSY</v>
          </cell>
          <cell r="F13517" t="str">
            <v xml:space="preserve">PSY-P </v>
          </cell>
          <cell r="G13517">
            <v>426</v>
          </cell>
          <cell r="H13517" t="str">
            <v>PSY-P 426</v>
          </cell>
          <cell r="K13517" t="str">
            <v>Garraghty,Preston Evans</v>
          </cell>
          <cell r="N13517" t="str">
            <v>NR</v>
          </cell>
          <cell r="O13517" t="str">
            <v>NR</v>
          </cell>
        </row>
        <row r="13518">
          <cell r="E13518" t="str">
            <v>PSY</v>
          </cell>
          <cell r="F13518" t="str">
            <v xml:space="preserve">PSY-P </v>
          </cell>
          <cell r="G13518">
            <v>426</v>
          </cell>
          <cell r="H13518" t="str">
            <v>PSY-P 426</v>
          </cell>
          <cell r="K13518" t="str">
            <v>Garraghty,Preston Evans</v>
          </cell>
          <cell r="N13518" t="str">
            <v>NR</v>
          </cell>
          <cell r="O13518" t="str">
            <v>NR</v>
          </cell>
        </row>
        <row r="13519">
          <cell r="E13519" t="str">
            <v>PSY</v>
          </cell>
          <cell r="F13519" t="str">
            <v xml:space="preserve">PSY-P </v>
          </cell>
          <cell r="G13519">
            <v>426</v>
          </cell>
          <cell r="H13519" t="str">
            <v>PSY-P 426</v>
          </cell>
          <cell r="K13519" t="str">
            <v>Garraghty,Preston Evans</v>
          </cell>
          <cell r="N13519" t="str">
            <v>NR</v>
          </cell>
          <cell r="O13519" t="str">
            <v>NR</v>
          </cell>
        </row>
        <row r="13520">
          <cell r="E13520" t="str">
            <v>PSY</v>
          </cell>
          <cell r="F13520" t="str">
            <v xml:space="preserve">PSY-P </v>
          </cell>
          <cell r="G13520">
            <v>429</v>
          </cell>
          <cell r="H13520" t="str">
            <v>PSY-P 429</v>
          </cell>
          <cell r="K13520" t="str">
            <v>Kuwabara,Megumi</v>
          </cell>
          <cell r="N13520">
            <v>3.1949999999999998</v>
          </cell>
          <cell r="O13520">
            <v>3.0760000000000001</v>
          </cell>
        </row>
        <row r="13521">
          <cell r="E13521" t="str">
            <v>PSY</v>
          </cell>
          <cell r="F13521" t="str">
            <v xml:space="preserve">PSY-P </v>
          </cell>
          <cell r="G13521">
            <v>429</v>
          </cell>
          <cell r="H13521" t="str">
            <v>PSY-P 429</v>
          </cell>
          <cell r="K13521" t="str">
            <v>Street,Sandra Yvonne</v>
          </cell>
          <cell r="N13521">
            <v>3.9239999999999999</v>
          </cell>
          <cell r="O13521">
            <v>3.2290000000000001</v>
          </cell>
        </row>
        <row r="13522">
          <cell r="E13522" t="str">
            <v>PSY</v>
          </cell>
          <cell r="F13522" t="str">
            <v xml:space="preserve">PSY-P </v>
          </cell>
          <cell r="G13522">
            <v>433</v>
          </cell>
          <cell r="H13522" t="str">
            <v>PSY-P 433</v>
          </cell>
          <cell r="K13522" t="str">
            <v>James,Tom</v>
          </cell>
          <cell r="N13522">
            <v>3.3</v>
          </cell>
          <cell r="O13522">
            <v>3.2749999999999999</v>
          </cell>
        </row>
        <row r="13523">
          <cell r="E13523" t="str">
            <v>PSY</v>
          </cell>
          <cell r="F13523" t="str">
            <v xml:space="preserve">PSY-P </v>
          </cell>
          <cell r="G13523">
            <v>435</v>
          </cell>
          <cell r="H13523" t="str">
            <v>PSY-P 435</v>
          </cell>
          <cell r="K13523" t="str">
            <v>Busey,Thomas Andrew</v>
          </cell>
          <cell r="N13523">
            <v>3.464</v>
          </cell>
          <cell r="O13523">
            <v>3.1539999999999999</v>
          </cell>
        </row>
        <row r="13524">
          <cell r="E13524" t="str">
            <v>PSY</v>
          </cell>
          <cell r="F13524" t="str">
            <v xml:space="preserve">PSY-P </v>
          </cell>
          <cell r="G13524">
            <v>435</v>
          </cell>
          <cell r="H13524" t="str">
            <v>PSY-P 435</v>
          </cell>
          <cell r="K13524" t="str">
            <v>Busey,Thomas Andrew</v>
          </cell>
          <cell r="N13524">
            <v>3.3759999999999999</v>
          </cell>
          <cell r="O13524">
            <v>3.173</v>
          </cell>
        </row>
        <row r="13525">
          <cell r="E13525" t="str">
            <v>PSY</v>
          </cell>
          <cell r="F13525" t="str">
            <v xml:space="preserve">PSY-P </v>
          </cell>
          <cell r="G13525">
            <v>435</v>
          </cell>
          <cell r="H13525" t="str">
            <v>PSY-P 435</v>
          </cell>
          <cell r="K13525" t="str">
            <v>Yu,Chen</v>
          </cell>
          <cell r="N13525">
            <v>3.4529999999999998</v>
          </cell>
          <cell r="O13525">
            <v>3.032</v>
          </cell>
        </row>
        <row r="13526">
          <cell r="E13526" t="str">
            <v>PSY</v>
          </cell>
          <cell r="F13526" t="str">
            <v xml:space="preserve">PSY-P </v>
          </cell>
          <cell r="G13526">
            <v>435</v>
          </cell>
          <cell r="H13526" t="str">
            <v>PSY-P 435</v>
          </cell>
          <cell r="K13526" t="str">
            <v>Yu,Chen</v>
          </cell>
          <cell r="N13526">
            <v>3.5249999999999999</v>
          </cell>
          <cell r="O13526">
            <v>3.2170000000000001</v>
          </cell>
        </row>
        <row r="13527">
          <cell r="E13527" t="str">
            <v>PSY</v>
          </cell>
          <cell r="F13527" t="str">
            <v xml:space="preserve">PSY-P </v>
          </cell>
          <cell r="G13527">
            <v>437</v>
          </cell>
          <cell r="H13527" t="str">
            <v>PSY-P 437</v>
          </cell>
          <cell r="K13527" t="str">
            <v>Farley,Joseph</v>
          </cell>
          <cell r="N13527">
            <v>3.855</v>
          </cell>
          <cell r="O13527">
            <v>3.2890000000000001</v>
          </cell>
        </row>
        <row r="13528">
          <cell r="E13528" t="str">
            <v>PSY</v>
          </cell>
          <cell r="F13528" t="str">
            <v xml:space="preserve">PSY-P </v>
          </cell>
          <cell r="G13528">
            <v>441</v>
          </cell>
          <cell r="H13528" t="str">
            <v>PSY-P 441</v>
          </cell>
          <cell r="K13528" t="str">
            <v>Newman,Sharlene D.</v>
          </cell>
          <cell r="N13528">
            <v>3.8860000000000001</v>
          </cell>
          <cell r="O13528">
            <v>3.379</v>
          </cell>
        </row>
        <row r="13529">
          <cell r="E13529" t="str">
            <v>PSY</v>
          </cell>
          <cell r="F13529" t="str">
            <v xml:space="preserve">PSY-P </v>
          </cell>
          <cell r="G13529">
            <v>442</v>
          </cell>
          <cell r="H13529" t="str">
            <v>PSY-P 442</v>
          </cell>
          <cell r="K13529" t="str">
            <v>Jones,Susan S.</v>
          </cell>
          <cell r="N13529">
            <v>3.2240000000000002</v>
          </cell>
          <cell r="O13529">
            <v>3.1539999999999999</v>
          </cell>
        </row>
        <row r="13530">
          <cell r="E13530" t="str">
            <v>PSY</v>
          </cell>
          <cell r="F13530" t="str">
            <v xml:space="preserve">PSY-P </v>
          </cell>
          <cell r="G13530">
            <v>448</v>
          </cell>
          <cell r="H13530" t="str">
            <v>PSY-P 448</v>
          </cell>
          <cell r="K13530" t="str">
            <v>Rydell,Robert Joseph</v>
          </cell>
          <cell r="N13530">
            <v>3.35</v>
          </cell>
          <cell r="O13530">
            <v>3.2469999999999999</v>
          </cell>
        </row>
        <row r="13531">
          <cell r="E13531" t="str">
            <v>PSY</v>
          </cell>
          <cell r="F13531" t="str">
            <v xml:space="preserve">PSY-P </v>
          </cell>
          <cell r="G13531">
            <v>449</v>
          </cell>
          <cell r="H13531" t="str">
            <v>PSY-P 449</v>
          </cell>
          <cell r="K13531" t="str">
            <v>Smith,Eliot R</v>
          </cell>
          <cell r="N13531">
            <v>3.3140000000000001</v>
          </cell>
          <cell r="O13531">
            <v>3.3410000000000002</v>
          </cell>
        </row>
        <row r="13532">
          <cell r="E13532" t="str">
            <v>PSY</v>
          </cell>
          <cell r="F13532" t="str">
            <v xml:space="preserve">PSY-P </v>
          </cell>
          <cell r="G13532">
            <v>453</v>
          </cell>
          <cell r="H13532" t="str">
            <v>PSY-P 453</v>
          </cell>
          <cell r="K13532" t="str">
            <v>Brown,Joshua William</v>
          </cell>
          <cell r="N13532">
            <v>3.0169999999999999</v>
          </cell>
          <cell r="O13532">
            <v>3.0750000000000002</v>
          </cell>
        </row>
        <row r="13533">
          <cell r="E13533" t="str">
            <v>PSY</v>
          </cell>
          <cell r="F13533" t="str">
            <v xml:space="preserve">PSY-P </v>
          </cell>
          <cell r="G13533">
            <v>457</v>
          </cell>
          <cell r="H13533" t="str">
            <v>PSY-P 457</v>
          </cell>
          <cell r="K13533" t="str">
            <v>Boucher,Kathryn Lynn</v>
          </cell>
          <cell r="N13533">
            <v>3.8519999999999999</v>
          </cell>
          <cell r="O13533">
            <v>3.3039999999999998</v>
          </cell>
        </row>
        <row r="13534">
          <cell r="E13534" t="str">
            <v>PSY</v>
          </cell>
          <cell r="F13534" t="str">
            <v xml:space="preserve">PSY-P </v>
          </cell>
          <cell r="G13534">
            <v>457</v>
          </cell>
          <cell r="H13534" t="str">
            <v>PSY-P 457</v>
          </cell>
          <cell r="K13534" t="str">
            <v>Bradshaw,Heather B</v>
          </cell>
          <cell r="N13534">
            <v>3.8180000000000001</v>
          </cell>
          <cell r="O13534">
            <v>3.3839999999999999</v>
          </cell>
        </row>
        <row r="13535">
          <cell r="E13535" t="str">
            <v>PSY</v>
          </cell>
          <cell r="F13535" t="str">
            <v xml:space="preserve">PSY-P </v>
          </cell>
          <cell r="G13535">
            <v>457</v>
          </cell>
          <cell r="H13535" t="str">
            <v>PSY-P 457</v>
          </cell>
          <cell r="K13535" t="str">
            <v>Finn,Peter</v>
          </cell>
          <cell r="N13535">
            <v>3.3090000000000002</v>
          </cell>
          <cell r="O13535">
            <v>3.2690000000000001</v>
          </cell>
        </row>
        <row r="13536">
          <cell r="E13536" t="str">
            <v>PSY</v>
          </cell>
          <cell r="F13536" t="str">
            <v xml:space="preserve">PSY-P </v>
          </cell>
          <cell r="G13536">
            <v>457</v>
          </cell>
          <cell r="H13536" t="str">
            <v>PSY-P 457</v>
          </cell>
          <cell r="K13536" t="str">
            <v>Hoffman,Cynthia M</v>
          </cell>
          <cell r="N13536">
            <v>3.84</v>
          </cell>
          <cell r="O13536">
            <v>3.4569999999999999</v>
          </cell>
        </row>
        <row r="13537">
          <cell r="E13537" t="str">
            <v>PSY</v>
          </cell>
          <cell r="F13537" t="str">
            <v xml:space="preserve">PSY-P </v>
          </cell>
          <cell r="G13537">
            <v>457</v>
          </cell>
          <cell r="H13537" t="str">
            <v>PSY-P 457</v>
          </cell>
          <cell r="K13537" t="str">
            <v>Hoffman,Cynthia M</v>
          </cell>
          <cell r="N13537" t="str">
            <v>NR</v>
          </cell>
          <cell r="O13537" t="str">
            <v>NR</v>
          </cell>
        </row>
        <row r="13538">
          <cell r="E13538" t="str">
            <v>PSY</v>
          </cell>
          <cell r="F13538" t="str">
            <v xml:space="preserve">PSY-P </v>
          </cell>
          <cell r="G13538">
            <v>457</v>
          </cell>
          <cell r="H13538" t="str">
            <v>PSY-P 457</v>
          </cell>
          <cell r="K13538" t="str">
            <v>Hoffman,Cynthia M</v>
          </cell>
          <cell r="N13538" t="str">
            <v>NR</v>
          </cell>
          <cell r="O13538" t="str">
            <v>NR</v>
          </cell>
        </row>
        <row r="13539">
          <cell r="E13539" t="str">
            <v>PSY</v>
          </cell>
          <cell r="F13539" t="str">
            <v xml:space="preserve">PSY-P </v>
          </cell>
          <cell r="G13539">
            <v>457</v>
          </cell>
          <cell r="H13539" t="str">
            <v>PSY-P 457</v>
          </cell>
          <cell r="K13539" t="str">
            <v>Hoffman,Cynthia M</v>
          </cell>
          <cell r="N13539">
            <v>3.5670000000000002</v>
          </cell>
          <cell r="O13539">
            <v>3.383</v>
          </cell>
        </row>
        <row r="13540">
          <cell r="E13540" t="str">
            <v>PSY</v>
          </cell>
          <cell r="F13540" t="str">
            <v xml:space="preserve">PSY-P </v>
          </cell>
          <cell r="G13540">
            <v>457</v>
          </cell>
          <cell r="H13540" t="str">
            <v>PSY-P 457</v>
          </cell>
          <cell r="K13540" t="str">
            <v>Hoffman,Cynthia M</v>
          </cell>
          <cell r="N13540" t="str">
            <v>NR</v>
          </cell>
          <cell r="O13540" t="str">
            <v>NR</v>
          </cell>
        </row>
        <row r="13541">
          <cell r="E13541" t="str">
            <v>PSY</v>
          </cell>
          <cell r="F13541" t="str">
            <v xml:space="preserve">PSY-P </v>
          </cell>
          <cell r="G13541">
            <v>457</v>
          </cell>
          <cell r="H13541" t="str">
            <v>PSY-P 457</v>
          </cell>
          <cell r="K13541" t="str">
            <v>Hoffman,Cynthia M</v>
          </cell>
          <cell r="N13541">
            <v>3.6749999999999998</v>
          </cell>
          <cell r="O13541">
            <v>3.5179999999999998</v>
          </cell>
        </row>
        <row r="13542">
          <cell r="E13542" t="str">
            <v>PSY</v>
          </cell>
          <cell r="F13542" t="str">
            <v xml:space="preserve">PSY-P </v>
          </cell>
          <cell r="G13542">
            <v>457</v>
          </cell>
          <cell r="H13542" t="str">
            <v>PSY-P 457</v>
          </cell>
          <cell r="K13542" t="str">
            <v>Hoffman,Cynthia M</v>
          </cell>
          <cell r="N13542">
            <v>3.87</v>
          </cell>
          <cell r="O13542">
            <v>3.2029999999999998</v>
          </cell>
        </row>
        <row r="13543">
          <cell r="E13543" t="str">
            <v>PSY</v>
          </cell>
          <cell r="F13543" t="str">
            <v xml:space="preserve">PSY-P </v>
          </cell>
          <cell r="G13543">
            <v>457</v>
          </cell>
          <cell r="H13543" t="str">
            <v>PSY-P 457</v>
          </cell>
          <cell r="K13543" t="str">
            <v>Krendl,Anne Catherine</v>
          </cell>
          <cell r="N13543">
            <v>3.2</v>
          </cell>
          <cell r="O13543">
            <v>3.2810000000000001</v>
          </cell>
        </row>
        <row r="13544">
          <cell r="E13544" t="str">
            <v>PSY</v>
          </cell>
          <cell r="F13544" t="str">
            <v xml:space="preserve">PSY-P </v>
          </cell>
          <cell r="G13544">
            <v>457</v>
          </cell>
          <cell r="H13544" t="str">
            <v>PSY-P 457</v>
          </cell>
          <cell r="K13544" t="str">
            <v>Kruschke,John K.</v>
          </cell>
          <cell r="N13544">
            <v>3.2130000000000001</v>
          </cell>
          <cell r="O13544">
            <v>2.9329999999999998</v>
          </cell>
        </row>
        <row r="13545">
          <cell r="E13545" t="str">
            <v>PSY</v>
          </cell>
          <cell r="F13545" t="str">
            <v xml:space="preserve">PSY-P </v>
          </cell>
          <cell r="G13545">
            <v>457</v>
          </cell>
          <cell r="H13545" t="str">
            <v>PSY-P 457</v>
          </cell>
          <cell r="K13545" t="str">
            <v>Oster,Scott Michael</v>
          </cell>
          <cell r="N13545">
            <v>3.9169999999999998</v>
          </cell>
          <cell r="O13545">
            <v>3.2389999999999999</v>
          </cell>
        </row>
        <row r="13546">
          <cell r="E13546" t="str">
            <v>PSY</v>
          </cell>
          <cell r="F13546" t="str">
            <v xml:space="preserve">PSY-P </v>
          </cell>
          <cell r="G13546">
            <v>457</v>
          </cell>
          <cell r="H13546" t="str">
            <v>PSY-P 457</v>
          </cell>
          <cell r="K13546" t="str">
            <v>Oster,Scott Michael</v>
          </cell>
          <cell r="N13546">
            <v>3.8180000000000001</v>
          </cell>
          <cell r="O13546">
            <v>2.97</v>
          </cell>
        </row>
        <row r="13547">
          <cell r="E13547" t="str">
            <v>PSY</v>
          </cell>
          <cell r="F13547" t="str">
            <v xml:space="preserve">PSY-P </v>
          </cell>
          <cell r="G13547">
            <v>457</v>
          </cell>
          <cell r="H13547" t="str">
            <v>PSY-P 457</v>
          </cell>
          <cell r="K13547" t="str">
            <v>Sinex,Linda Hoke</v>
          </cell>
          <cell r="N13547">
            <v>3.8570000000000002</v>
          </cell>
          <cell r="O13547">
            <v>3.637</v>
          </cell>
        </row>
        <row r="13548">
          <cell r="E13548" t="str">
            <v>PSY</v>
          </cell>
          <cell r="F13548" t="str">
            <v xml:space="preserve">PSY-P </v>
          </cell>
          <cell r="G13548">
            <v>460</v>
          </cell>
          <cell r="H13548" t="str">
            <v>PSY-P 460</v>
          </cell>
          <cell r="K13548" t="str">
            <v>Sinex,Linda Hoke</v>
          </cell>
          <cell r="N13548">
            <v>3.7440000000000002</v>
          </cell>
          <cell r="O13548">
            <v>3.3119999999999998</v>
          </cell>
        </row>
        <row r="13549">
          <cell r="E13549" t="str">
            <v>PSY</v>
          </cell>
          <cell r="F13549" t="str">
            <v xml:space="preserve">PSY-P </v>
          </cell>
          <cell r="G13549">
            <v>460</v>
          </cell>
          <cell r="H13549" t="str">
            <v>PSY-P 460</v>
          </cell>
          <cell r="K13549" t="str">
            <v>Sinex,Linda Hoke</v>
          </cell>
          <cell r="N13549">
            <v>3.472</v>
          </cell>
          <cell r="O13549">
            <v>3.278</v>
          </cell>
        </row>
        <row r="13550">
          <cell r="E13550" t="str">
            <v>PSY</v>
          </cell>
          <cell r="F13550" t="str">
            <v xml:space="preserve">PSY-P </v>
          </cell>
          <cell r="G13550">
            <v>461</v>
          </cell>
          <cell r="H13550" t="str">
            <v>PSY-P 461</v>
          </cell>
          <cell r="K13550" t="str">
            <v>Pisoni,David B.</v>
          </cell>
          <cell r="N13550">
            <v>3.3</v>
          </cell>
          <cell r="O13550">
            <v>2.9980000000000002</v>
          </cell>
        </row>
        <row r="13551">
          <cell r="E13551" t="str">
            <v>PSY</v>
          </cell>
          <cell r="F13551" t="str">
            <v xml:space="preserve">PSY-P </v>
          </cell>
          <cell r="G13551">
            <v>466</v>
          </cell>
          <cell r="H13551" t="str">
            <v>PSY-P 466</v>
          </cell>
          <cell r="K13551" t="str">
            <v>Prieto,Anne L.</v>
          </cell>
          <cell r="N13551">
            <v>3.7829999999999999</v>
          </cell>
          <cell r="O13551">
            <v>3.4969999999999999</v>
          </cell>
        </row>
        <row r="13552">
          <cell r="E13552" t="str">
            <v>PSY</v>
          </cell>
          <cell r="F13552" t="str">
            <v xml:space="preserve">PSY-P </v>
          </cell>
          <cell r="G13552">
            <v>466</v>
          </cell>
          <cell r="H13552" t="str">
            <v>PSY-P 466</v>
          </cell>
          <cell r="K13552" t="str">
            <v>Prieto,Anne L.</v>
          </cell>
          <cell r="N13552">
            <v>3.6930000000000001</v>
          </cell>
          <cell r="O13552">
            <v>3.4380000000000002</v>
          </cell>
        </row>
        <row r="13553">
          <cell r="E13553" t="str">
            <v>PSY</v>
          </cell>
          <cell r="F13553" t="str">
            <v xml:space="preserve">PSY-P </v>
          </cell>
          <cell r="G13553">
            <v>469</v>
          </cell>
          <cell r="H13553" t="str">
            <v>PSY-P 469</v>
          </cell>
          <cell r="K13553" t="str">
            <v>Wellman,Cara Lynn</v>
          </cell>
          <cell r="N13553">
            <v>3.2229999999999999</v>
          </cell>
          <cell r="O13553">
            <v>3.4079999999999999</v>
          </cell>
        </row>
        <row r="13554">
          <cell r="E13554" t="str">
            <v>PSY</v>
          </cell>
          <cell r="F13554" t="str">
            <v xml:space="preserve">PSY-P </v>
          </cell>
          <cell r="G13554">
            <v>469</v>
          </cell>
          <cell r="H13554" t="str">
            <v>PSY-P 469</v>
          </cell>
          <cell r="K13554" t="str">
            <v>Wellman,Cara Lynn</v>
          </cell>
          <cell r="N13554">
            <v>2.879</v>
          </cell>
          <cell r="O13554">
            <v>3.2330000000000001</v>
          </cell>
        </row>
        <row r="13555">
          <cell r="E13555" t="str">
            <v>PSY</v>
          </cell>
          <cell r="F13555" t="str">
            <v xml:space="preserve">PSY-P </v>
          </cell>
          <cell r="G13555">
            <v>470</v>
          </cell>
          <cell r="H13555" t="str">
            <v>PSY-P 470</v>
          </cell>
          <cell r="K13555" t="str">
            <v>Mackie,Ken</v>
          </cell>
          <cell r="N13555">
            <v>3.91</v>
          </cell>
          <cell r="O13555">
            <v>3.177</v>
          </cell>
        </row>
        <row r="13556">
          <cell r="E13556" t="str">
            <v>PSY</v>
          </cell>
          <cell r="F13556" t="str">
            <v xml:space="preserve">PSY-P </v>
          </cell>
          <cell r="G13556">
            <v>472</v>
          </cell>
          <cell r="H13556" t="str">
            <v>PSY-P 472</v>
          </cell>
          <cell r="K13556" t="str">
            <v>Ramsden,Benjamin Michael</v>
          </cell>
          <cell r="N13556">
            <v>3.7829999999999999</v>
          </cell>
          <cell r="O13556">
            <v>3.4449999999999998</v>
          </cell>
        </row>
        <row r="13557">
          <cell r="E13557" t="str">
            <v>PSY</v>
          </cell>
          <cell r="F13557" t="str">
            <v xml:space="preserve">PSY-P </v>
          </cell>
          <cell r="G13557">
            <v>472</v>
          </cell>
          <cell r="H13557" t="str">
            <v>PSY-P 472</v>
          </cell>
          <cell r="K13557" t="str">
            <v>Ramsden,Benjamin Michael</v>
          </cell>
          <cell r="N13557">
            <v>3.6829999999999998</v>
          </cell>
          <cell r="O13557">
            <v>3.13</v>
          </cell>
        </row>
        <row r="13558">
          <cell r="E13558" t="str">
            <v>PSY</v>
          </cell>
          <cell r="F13558" t="str">
            <v xml:space="preserve">PSY-P </v>
          </cell>
          <cell r="G13558">
            <v>472</v>
          </cell>
          <cell r="H13558" t="str">
            <v>PSY-P 472</v>
          </cell>
          <cell r="K13558" t="str">
            <v>Ramsden,Benjamin Michael</v>
          </cell>
          <cell r="N13558" t="str">
            <v>NR</v>
          </cell>
          <cell r="O13558" t="str">
            <v>NR</v>
          </cell>
        </row>
        <row r="13559">
          <cell r="E13559" t="str">
            <v>PSY</v>
          </cell>
          <cell r="F13559" t="str">
            <v xml:space="preserve">PSY-P </v>
          </cell>
          <cell r="G13559">
            <v>472</v>
          </cell>
          <cell r="H13559" t="str">
            <v>PSY-P 472</v>
          </cell>
          <cell r="K13559" t="str">
            <v>Ramsden,Benjamin Michael</v>
          </cell>
          <cell r="N13559">
            <v>3.85</v>
          </cell>
          <cell r="O13559">
            <v>3.4340000000000002</v>
          </cell>
        </row>
        <row r="13560">
          <cell r="E13560" t="str">
            <v>PSY</v>
          </cell>
          <cell r="F13560" t="str">
            <v xml:space="preserve">PSY-P </v>
          </cell>
          <cell r="G13560">
            <v>472</v>
          </cell>
          <cell r="H13560" t="str">
            <v>PSY-P 472</v>
          </cell>
          <cell r="K13560" t="str">
            <v>Ramsden,Benjamin Michael</v>
          </cell>
          <cell r="N13560">
            <v>3.1829999999999998</v>
          </cell>
          <cell r="O13560">
            <v>3.1909999999999998</v>
          </cell>
        </row>
        <row r="13561">
          <cell r="E13561" t="str">
            <v>PSY</v>
          </cell>
          <cell r="F13561" t="str">
            <v xml:space="preserve">PSY-P </v>
          </cell>
          <cell r="G13561">
            <v>472</v>
          </cell>
          <cell r="H13561" t="str">
            <v>PSY-P 472</v>
          </cell>
          <cell r="K13561" t="str">
            <v>Ramsden,Benjamin Michael</v>
          </cell>
          <cell r="N13561" t="str">
            <v>NR</v>
          </cell>
          <cell r="O13561" t="str">
            <v>NR</v>
          </cell>
        </row>
        <row r="13562">
          <cell r="E13562" t="str">
            <v>PSY</v>
          </cell>
          <cell r="F13562" t="str">
            <v xml:space="preserve">PSY-P </v>
          </cell>
          <cell r="G13562">
            <v>472</v>
          </cell>
          <cell r="H13562" t="str">
            <v>PSY-P 472</v>
          </cell>
          <cell r="K13562" t="str">
            <v>Ramsden,Benjamin Michael</v>
          </cell>
          <cell r="N13562">
            <v>3.55</v>
          </cell>
          <cell r="O13562">
            <v>3.4279999999999999</v>
          </cell>
        </row>
        <row r="13563">
          <cell r="E13563" t="str">
            <v>PSY</v>
          </cell>
          <cell r="F13563" t="str">
            <v xml:space="preserve">PSY-P </v>
          </cell>
          <cell r="G13563">
            <v>473</v>
          </cell>
          <cell r="H13563" t="str">
            <v>PSY-P 473</v>
          </cell>
          <cell r="K13563" t="str">
            <v>Lai,Cary</v>
          </cell>
          <cell r="N13563">
            <v>3.7829999999999999</v>
          </cell>
          <cell r="O13563">
            <v>3.1309999999999998</v>
          </cell>
        </row>
        <row r="13564">
          <cell r="E13564" t="str">
            <v>PSY</v>
          </cell>
          <cell r="F13564" t="str">
            <v xml:space="preserve">PSY-P </v>
          </cell>
          <cell r="G13564">
            <v>473</v>
          </cell>
          <cell r="H13564" t="str">
            <v>PSY-P 473</v>
          </cell>
          <cell r="K13564" t="str">
            <v>Lai,Cary</v>
          </cell>
          <cell r="N13564">
            <v>3.5289999999999999</v>
          </cell>
          <cell r="O13564">
            <v>3.1749999999999998</v>
          </cell>
        </row>
        <row r="13565">
          <cell r="E13565" t="str">
            <v>PSY</v>
          </cell>
          <cell r="F13565" t="str">
            <v xml:space="preserve">PSY-P </v>
          </cell>
          <cell r="G13565">
            <v>474</v>
          </cell>
          <cell r="H13565" t="str">
            <v>PSY-P 474</v>
          </cell>
          <cell r="K13565" t="str">
            <v>Sinex,Linda Hoke</v>
          </cell>
          <cell r="N13565">
            <v>4</v>
          </cell>
          <cell r="O13565">
            <v>3.5</v>
          </cell>
        </row>
        <row r="13566">
          <cell r="E13566" t="str">
            <v>PSY</v>
          </cell>
          <cell r="F13566" t="str">
            <v xml:space="preserve">PSY-P </v>
          </cell>
          <cell r="G13566">
            <v>493</v>
          </cell>
          <cell r="H13566" t="str">
            <v>PSY-P 493</v>
          </cell>
          <cell r="K13566" t="str">
            <v>Alberts,Jeffrey R</v>
          </cell>
          <cell r="N13566" t="str">
            <v>NR</v>
          </cell>
          <cell r="O13566" t="str">
            <v>NR</v>
          </cell>
        </row>
        <row r="13567">
          <cell r="E13567" t="str">
            <v>PSY</v>
          </cell>
          <cell r="F13567" t="str">
            <v xml:space="preserve">PSY-P </v>
          </cell>
          <cell r="G13567">
            <v>493</v>
          </cell>
          <cell r="H13567" t="str">
            <v>PSY-P 493</v>
          </cell>
          <cell r="K13567" t="str">
            <v>Bates,John E.</v>
          </cell>
          <cell r="N13567" t="str">
            <v>NR</v>
          </cell>
          <cell r="O13567" t="str">
            <v>NR</v>
          </cell>
        </row>
        <row r="13568">
          <cell r="E13568" t="str">
            <v>PSY</v>
          </cell>
          <cell r="F13568" t="str">
            <v xml:space="preserve">PSY-P </v>
          </cell>
          <cell r="G13568">
            <v>493</v>
          </cell>
          <cell r="H13568" t="str">
            <v>PSY-P 493</v>
          </cell>
          <cell r="K13568" t="str">
            <v>Bates,John E.</v>
          </cell>
          <cell r="N13568" t="str">
            <v>NR</v>
          </cell>
          <cell r="O13568" t="str">
            <v>NR</v>
          </cell>
        </row>
        <row r="13569">
          <cell r="E13569" t="str">
            <v>PSY</v>
          </cell>
          <cell r="F13569" t="str">
            <v xml:space="preserve">PSY-P </v>
          </cell>
          <cell r="G13569">
            <v>493</v>
          </cell>
          <cell r="H13569" t="str">
            <v>PSY-P 493</v>
          </cell>
          <cell r="K13569" t="str">
            <v>Bertenthal,Bennett I</v>
          </cell>
          <cell r="N13569" t="str">
            <v>NR</v>
          </cell>
          <cell r="O13569" t="str">
            <v>NR</v>
          </cell>
        </row>
        <row r="13570">
          <cell r="E13570" t="str">
            <v>PSY</v>
          </cell>
          <cell r="F13570" t="str">
            <v xml:space="preserve">PSY-P </v>
          </cell>
          <cell r="G13570">
            <v>493</v>
          </cell>
          <cell r="H13570" t="str">
            <v>PSY-P 493</v>
          </cell>
          <cell r="K13570" t="str">
            <v>Bingham,Geoffrey</v>
          </cell>
          <cell r="N13570" t="str">
            <v>NR</v>
          </cell>
          <cell r="O13570" t="str">
            <v>NR</v>
          </cell>
        </row>
        <row r="13571">
          <cell r="E13571" t="str">
            <v>PSY</v>
          </cell>
          <cell r="F13571" t="str">
            <v xml:space="preserve">PSY-P </v>
          </cell>
          <cell r="G13571">
            <v>493</v>
          </cell>
          <cell r="H13571" t="str">
            <v>PSY-P 493</v>
          </cell>
          <cell r="K13571" t="str">
            <v>Bradshaw,Heather B</v>
          </cell>
          <cell r="N13571" t="str">
            <v>NR</v>
          </cell>
          <cell r="O13571" t="str">
            <v>NR</v>
          </cell>
        </row>
        <row r="13572">
          <cell r="E13572" t="str">
            <v>PSY</v>
          </cell>
          <cell r="F13572" t="str">
            <v xml:space="preserve">PSY-P </v>
          </cell>
          <cell r="G13572">
            <v>493</v>
          </cell>
          <cell r="H13572" t="str">
            <v>PSY-P 493</v>
          </cell>
          <cell r="K13572" t="str">
            <v>Busemeyer,Jerome R.</v>
          </cell>
          <cell r="N13572" t="str">
            <v>NR</v>
          </cell>
          <cell r="O13572" t="str">
            <v>NR</v>
          </cell>
        </row>
        <row r="13573">
          <cell r="E13573" t="str">
            <v>PSY</v>
          </cell>
          <cell r="F13573" t="str">
            <v xml:space="preserve">PSY-P </v>
          </cell>
          <cell r="G13573">
            <v>493</v>
          </cell>
          <cell r="H13573" t="str">
            <v>PSY-P 493</v>
          </cell>
          <cell r="K13573" t="str">
            <v>Busey,Thomas Andrew</v>
          </cell>
          <cell r="N13573" t="str">
            <v>NR</v>
          </cell>
          <cell r="O13573" t="str">
            <v>NR</v>
          </cell>
        </row>
        <row r="13574">
          <cell r="E13574" t="str">
            <v>PSY</v>
          </cell>
          <cell r="F13574" t="str">
            <v xml:space="preserve">PSY-P </v>
          </cell>
          <cell r="G13574">
            <v>493</v>
          </cell>
          <cell r="H13574" t="str">
            <v>PSY-P 493</v>
          </cell>
          <cell r="K13574" t="str">
            <v>Busey,Thomas Andrew</v>
          </cell>
          <cell r="N13574" t="str">
            <v>NR</v>
          </cell>
          <cell r="O13574" t="str">
            <v>NR</v>
          </cell>
        </row>
        <row r="13575">
          <cell r="E13575" t="str">
            <v>PSY</v>
          </cell>
          <cell r="F13575" t="str">
            <v xml:space="preserve">PSY-P </v>
          </cell>
          <cell r="G13575">
            <v>493</v>
          </cell>
          <cell r="H13575" t="str">
            <v>PSY-P 493</v>
          </cell>
          <cell r="K13575" t="str">
            <v>Craig,James C.</v>
          </cell>
          <cell r="N13575" t="str">
            <v>NR</v>
          </cell>
          <cell r="O13575" t="str">
            <v>NR</v>
          </cell>
        </row>
        <row r="13576">
          <cell r="E13576" t="str">
            <v>PSY</v>
          </cell>
          <cell r="F13576" t="str">
            <v xml:space="preserve">PSY-P </v>
          </cell>
          <cell r="G13576">
            <v>493</v>
          </cell>
          <cell r="H13576" t="str">
            <v>PSY-P 493</v>
          </cell>
          <cell r="K13576" t="str">
            <v>Crystal,Jonathon</v>
          </cell>
          <cell r="N13576" t="str">
            <v>NR</v>
          </cell>
          <cell r="O13576" t="str">
            <v>NR</v>
          </cell>
        </row>
        <row r="13577">
          <cell r="E13577" t="str">
            <v>PSY</v>
          </cell>
          <cell r="F13577" t="str">
            <v xml:space="preserve">PSY-P </v>
          </cell>
          <cell r="G13577">
            <v>493</v>
          </cell>
          <cell r="H13577" t="str">
            <v>PSY-P 493</v>
          </cell>
          <cell r="K13577" t="str">
            <v>Farley,Joseph</v>
          </cell>
          <cell r="N13577" t="str">
            <v>NR</v>
          </cell>
          <cell r="O13577" t="str">
            <v>NR</v>
          </cell>
        </row>
        <row r="13578">
          <cell r="E13578" t="str">
            <v>PSY</v>
          </cell>
          <cell r="F13578" t="str">
            <v xml:space="preserve">PSY-P </v>
          </cell>
          <cell r="G13578">
            <v>493</v>
          </cell>
          <cell r="H13578" t="str">
            <v>PSY-P 493</v>
          </cell>
          <cell r="K13578" t="str">
            <v>Farley,Joseph</v>
          </cell>
          <cell r="N13578" t="str">
            <v>NR</v>
          </cell>
          <cell r="O13578" t="str">
            <v>NR</v>
          </cell>
        </row>
        <row r="13579">
          <cell r="E13579" t="str">
            <v>PSY</v>
          </cell>
          <cell r="F13579" t="str">
            <v xml:space="preserve">PSY-P </v>
          </cell>
          <cell r="G13579">
            <v>493</v>
          </cell>
          <cell r="H13579" t="str">
            <v>PSY-P 493</v>
          </cell>
          <cell r="K13579" t="str">
            <v>Finn,Peter</v>
          </cell>
          <cell r="N13579" t="str">
            <v>NR</v>
          </cell>
          <cell r="O13579" t="str">
            <v>NR</v>
          </cell>
        </row>
        <row r="13580">
          <cell r="E13580" t="str">
            <v>PSY</v>
          </cell>
          <cell r="F13580" t="str">
            <v xml:space="preserve">PSY-P </v>
          </cell>
          <cell r="G13580">
            <v>493</v>
          </cell>
          <cell r="H13580" t="str">
            <v>PSY-P 493</v>
          </cell>
          <cell r="K13580" t="str">
            <v>Finn,Peter</v>
          </cell>
          <cell r="N13580" t="str">
            <v>NR</v>
          </cell>
          <cell r="O13580" t="str">
            <v>NR</v>
          </cell>
        </row>
        <row r="13581">
          <cell r="E13581" t="str">
            <v>PSY</v>
          </cell>
          <cell r="F13581" t="str">
            <v xml:space="preserve">PSY-P </v>
          </cell>
          <cell r="G13581">
            <v>493</v>
          </cell>
          <cell r="H13581" t="str">
            <v>PSY-P 493</v>
          </cell>
          <cell r="K13581" t="str">
            <v>Garraghty,Preston Evans</v>
          </cell>
          <cell r="N13581" t="str">
            <v>NR</v>
          </cell>
          <cell r="O13581" t="str">
            <v>NR</v>
          </cell>
        </row>
        <row r="13582">
          <cell r="E13582" t="str">
            <v>PSY</v>
          </cell>
          <cell r="F13582" t="str">
            <v xml:space="preserve">PSY-P </v>
          </cell>
          <cell r="G13582">
            <v>493</v>
          </cell>
          <cell r="H13582" t="str">
            <v>PSY-P 493</v>
          </cell>
          <cell r="K13582" t="str">
            <v>Gold,Jason M</v>
          </cell>
          <cell r="N13582" t="str">
            <v>NR</v>
          </cell>
          <cell r="O13582" t="str">
            <v>NR</v>
          </cell>
        </row>
        <row r="13583">
          <cell r="E13583" t="str">
            <v>PSY</v>
          </cell>
          <cell r="F13583" t="str">
            <v xml:space="preserve">PSY-P </v>
          </cell>
          <cell r="G13583">
            <v>493</v>
          </cell>
          <cell r="H13583" t="str">
            <v>PSY-P 493</v>
          </cell>
          <cell r="K13583" t="str">
            <v>Heiman,Julia R</v>
          </cell>
          <cell r="N13583" t="str">
            <v>NR</v>
          </cell>
          <cell r="O13583" t="str">
            <v>NR</v>
          </cell>
        </row>
        <row r="13584">
          <cell r="E13584" t="str">
            <v>PSY</v>
          </cell>
          <cell r="F13584" t="str">
            <v xml:space="preserve">PSY-P </v>
          </cell>
          <cell r="G13584">
            <v>493</v>
          </cell>
          <cell r="H13584" t="str">
            <v>PSY-P 493</v>
          </cell>
          <cell r="K13584" t="str">
            <v>Heiman,Julia R</v>
          </cell>
          <cell r="N13584" t="str">
            <v>NR</v>
          </cell>
          <cell r="O13584" t="str">
            <v>NR</v>
          </cell>
        </row>
        <row r="13585">
          <cell r="E13585" t="str">
            <v>PSY</v>
          </cell>
          <cell r="F13585" t="str">
            <v xml:space="preserve">PSY-P </v>
          </cell>
          <cell r="G13585">
            <v>493</v>
          </cell>
          <cell r="H13585" t="str">
            <v>PSY-P 493</v>
          </cell>
          <cell r="K13585" t="str">
            <v>Hetrick,William P.</v>
          </cell>
          <cell r="N13585" t="str">
            <v>NR</v>
          </cell>
          <cell r="O13585" t="str">
            <v>NR</v>
          </cell>
        </row>
        <row r="13586">
          <cell r="E13586" t="str">
            <v>PSY</v>
          </cell>
          <cell r="F13586" t="str">
            <v xml:space="preserve">PSY-P </v>
          </cell>
          <cell r="G13586">
            <v>493</v>
          </cell>
          <cell r="H13586" t="str">
            <v>PSY-P 493</v>
          </cell>
          <cell r="K13586" t="str">
            <v>Hetrick,William P.</v>
          </cell>
          <cell r="N13586" t="str">
            <v>NR</v>
          </cell>
          <cell r="O13586" t="str">
            <v>NR</v>
          </cell>
        </row>
        <row r="13587">
          <cell r="E13587" t="str">
            <v>PSY</v>
          </cell>
          <cell r="F13587" t="str">
            <v xml:space="preserve">PSY-P </v>
          </cell>
          <cell r="G13587">
            <v>493</v>
          </cell>
          <cell r="H13587" t="str">
            <v>PSY-P 493</v>
          </cell>
          <cell r="K13587" t="str">
            <v>Hirt,Edward Raymond</v>
          </cell>
          <cell r="N13587">
            <v>3.556</v>
          </cell>
          <cell r="O13587">
            <v>3.6269999999999998</v>
          </cell>
        </row>
        <row r="13588">
          <cell r="E13588" t="str">
            <v>PSY</v>
          </cell>
          <cell r="F13588" t="str">
            <v xml:space="preserve">PSY-P </v>
          </cell>
          <cell r="G13588">
            <v>493</v>
          </cell>
          <cell r="H13588" t="str">
            <v>PSY-P 493</v>
          </cell>
          <cell r="K13588" t="str">
            <v>Hirt,Edward Raymond</v>
          </cell>
          <cell r="N13588" t="str">
            <v>NR</v>
          </cell>
          <cell r="O13588" t="str">
            <v>NR</v>
          </cell>
        </row>
        <row r="13589">
          <cell r="E13589" t="str">
            <v>PSY</v>
          </cell>
          <cell r="F13589" t="str">
            <v xml:space="preserve">PSY-P </v>
          </cell>
          <cell r="G13589">
            <v>493</v>
          </cell>
          <cell r="H13589" t="str">
            <v>PSY-P 493</v>
          </cell>
          <cell r="K13589" t="str">
            <v>Hoffman,Cynthia M</v>
          </cell>
          <cell r="N13589" t="str">
            <v>NR</v>
          </cell>
          <cell r="O13589" t="str">
            <v>NR</v>
          </cell>
        </row>
        <row r="13590">
          <cell r="E13590" t="str">
            <v>PSY</v>
          </cell>
          <cell r="F13590" t="str">
            <v xml:space="preserve">PSY-P </v>
          </cell>
          <cell r="G13590">
            <v>493</v>
          </cell>
          <cell r="H13590" t="str">
            <v>PSY-P 493</v>
          </cell>
          <cell r="K13590" t="str">
            <v>Hohmann,Andrea</v>
          </cell>
          <cell r="N13590" t="str">
            <v>NR</v>
          </cell>
          <cell r="O13590" t="str">
            <v>NR</v>
          </cell>
        </row>
        <row r="13591">
          <cell r="E13591" t="str">
            <v>PSY</v>
          </cell>
          <cell r="F13591" t="str">
            <v xml:space="preserve">PSY-P </v>
          </cell>
          <cell r="G13591">
            <v>493</v>
          </cell>
          <cell r="H13591" t="str">
            <v>PSY-P 493</v>
          </cell>
          <cell r="K13591" t="str">
            <v>Hohmann,Andrea</v>
          </cell>
          <cell r="N13591" t="str">
            <v>NR</v>
          </cell>
          <cell r="O13591" t="str">
            <v>NR</v>
          </cell>
        </row>
        <row r="13592">
          <cell r="E13592" t="str">
            <v>PSY</v>
          </cell>
          <cell r="F13592" t="str">
            <v xml:space="preserve">PSY-P </v>
          </cell>
          <cell r="G13592">
            <v>493</v>
          </cell>
          <cell r="H13592" t="str">
            <v>PSY-P 493</v>
          </cell>
          <cell r="K13592" t="str">
            <v>Holtzworth-Munroe,Amy</v>
          </cell>
          <cell r="N13592" t="str">
            <v>NR</v>
          </cell>
          <cell r="O13592" t="str">
            <v>NR</v>
          </cell>
        </row>
        <row r="13593">
          <cell r="E13593" t="str">
            <v>PSY</v>
          </cell>
          <cell r="F13593" t="str">
            <v xml:space="preserve">PSY-P </v>
          </cell>
          <cell r="G13593">
            <v>493</v>
          </cell>
          <cell r="H13593" t="str">
            <v>PSY-P 493</v>
          </cell>
          <cell r="K13593" t="str">
            <v>Holtzworth-Munroe,Amy</v>
          </cell>
          <cell r="N13593" t="str">
            <v>NR</v>
          </cell>
          <cell r="O13593" t="str">
            <v>NR</v>
          </cell>
        </row>
        <row r="13594">
          <cell r="E13594" t="str">
            <v>PSY</v>
          </cell>
          <cell r="F13594" t="str">
            <v xml:space="preserve">PSY-P </v>
          </cell>
          <cell r="G13594">
            <v>493</v>
          </cell>
          <cell r="H13594" t="str">
            <v>PSY-P 493</v>
          </cell>
          <cell r="K13594" t="str">
            <v>James,Karin Harman</v>
          </cell>
          <cell r="N13594" t="str">
            <v>NR</v>
          </cell>
          <cell r="O13594" t="str">
            <v>NR</v>
          </cell>
        </row>
        <row r="13595">
          <cell r="E13595" t="str">
            <v>PSY</v>
          </cell>
          <cell r="F13595" t="str">
            <v xml:space="preserve">PSY-P </v>
          </cell>
          <cell r="G13595">
            <v>493</v>
          </cell>
          <cell r="H13595" t="str">
            <v>PSY-P 493</v>
          </cell>
          <cell r="K13595" t="str">
            <v>James,Karin Harman</v>
          </cell>
          <cell r="N13595" t="str">
            <v>NR</v>
          </cell>
          <cell r="O13595" t="str">
            <v>NR</v>
          </cell>
        </row>
        <row r="13596">
          <cell r="E13596" t="str">
            <v>PSY</v>
          </cell>
          <cell r="F13596" t="str">
            <v xml:space="preserve">PSY-P </v>
          </cell>
          <cell r="G13596">
            <v>493</v>
          </cell>
          <cell r="H13596" t="str">
            <v>PSY-P 493</v>
          </cell>
          <cell r="K13596" t="str">
            <v>James,Tom</v>
          </cell>
          <cell r="N13596" t="str">
            <v>NR</v>
          </cell>
          <cell r="O13596" t="str">
            <v>NR</v>
          </cell>
        </row>
        <row r="13597">
          <cell r="E13597" t="str">
            <v>PSY</v>
          </cell>
          <cell r="F13597" t="str">
            <v xml:space="preserve">PSY-P </v>
          </cell>
          <cell r="G13597">
            <v>493</v>
          </cell>
          <cell r="H13597" t="str">
            <v>PSY-P 493</v>
          </cell>
          <cell r="K13597" t="str">
            <v>James,Tom</v>
          </cell>
          <cell r="N13597" t="str">
            <v>NR</v>
          </cell>
          <cell r="O13597" t="str">
            <v>NR</v>
          </cell>
        </row>
        <row r="13598">
          <cell r="E13598" t="str">
            <v>PSY</v>
          </cell>
          <cell r="F13598" t="str">
            <v xml:space="preserve">PSY-P </v>
          </cell>
          <cell r="G13598">
            <v>493</v>
          </cell>
          <cell r="H13598" t="str">
            <v>PSY-P 493</v>
          </cell>
          <cell r="K13598" t="str">
            <v>Jones,Susan S.</v>
          </cell>
          <cell r="N13598" t="str">
            <v>NR</v>
          </cell>
          <cell r="O13598" t="str">
            <v>NR</v>
          </cell>
        </row>
        <row r="13599">
          <cell r="E13599" t="str">
            <v>PSY</v>
          </cell>
          <cell r="F13599" t="str">
            <v xml:space="preserve">PSY-P </v>
          </cell>
          <cell r="G13599">
            <v>493</v>
          </cell>
          <cell r="H13599" t="str">
            <v>PSY-P 493</v>
          </cell>
          <cell r="K13599" t="str">
            <v>Jones,Susan S.</v>
          </cell>
          <cell r="N13599" t="str">
            <v>NR</v>
          </cell>
          <cell r="O13599" t="str">
            <v>NR</v>
          </cell>
        </row>
        <row r="13600">
          <cell r="E13600" t="str">
            <v>PSY</v>
          </cell>
          <cell r="F13600" t="str">
            <v xml:space="preserve">PSY-P </v>
          </cell>
          <cell r="G13600">
            <v>493</v>
          </cell>
          <cell r="H13600" t="str">
            <v>PSY-P 493</v>
          </cell>
          <cell r="K13600" t="str">
            <v>Krendl,Anne Catherine</v>
          </cell>
          <cell r="N13600" t="str">
            <v>NR</v>
          </cell>
          <cell r="O13600" t="str">
            <v>NR</v>
          </cell>
        </row>
        <row r="13601">
          <cell r="E13601" t="str">
            <v>PSY</v>
          </cell>
          <cell r="F13601" t="str">
            <v xml:space="preserve">PSY-P </v>
          </cell>
          <cell r="G13601">
            <v>493</v>
          </cell>
          <cell r="H13601" t="str">
            <v>PSY-P 493</v>
          </cell>
          <cell r="K13601" t="str">
            <v>Mackie,Ken</v>
          </cell>
          <cell r="N13601" t="str">
            <v>NR</v>
          </cell>
          <cell r="O13601" t="str">
            <v>NR</v>
          </cell>
        </row>
        <row r="13602">
          <cell r="E13602" t="str">
            <v>PSY</v>
          </cell>
          <cell r="F13602" t="str">
            <v xml:space="preserve">PSY-P </v>
          </cell>
          <cell r="G13602">
            <v>493</v>
          </cell>
          <cell r="H13602" t="str">
            <v>PSY-P 493</v>
          </cell>
          <cell r="K13602" t="str">
            <v>Mackie,Ken</v>
          </cell>
          <cell r="N13602" t="str">
            <v>NR</v>
          </cell>
          <cell r="O13602" t="str">
            <v>NR</v>
          </cell>
        </row>
        <row r="13603">
          <cell r="E13603" t="str">
            <v>PSY</v>
          </cell>
          <cell r="F13603" t="str">
            <v xml:space="preserve">PSY-P </v>
          </cell>
          <cell r="G13603">
            <v>493</v>
          </cell>
          <cell r="H13603" t="str">
            <v>PSY-P 493</v>
          </cell>
          <cell r="K13603" t="str">
            <v>Motz,Benjamin Alan</v>
          </cell>
          <cell r="N13603" t="str">
            <v>NR</v>
          </cell>
          <cell r="O13603" t="str">
            <v>NR</v>
          </cell>
        </row>
        <row r="13604">
          <cell r="E13604" t="str">
            <v>PSY</v>
          </cell>
          <cell r="F13604" t="str">
            <v xml:space="preserve">PSY-P </v>
          </cell>
          <cell r="G13604">
            <v>493</v>
          </cell>
          <cell r="H13604" t="str">
            <v>PSY-P 493</v>
          </cell>
          <cell r="K13604" t="str">
            <v>Newman,Sharlene D.</v>
          </cell>
          <cell r="N13604" t="str">
            <v>NR</v>
          </cell>
          <cell r="O13604" t="str">
            <v>NR</v>
          </cell>
        </row>
        <row r="13605">
          <cell r="E13605" t="str">
            <v>PSY</v>
          </cell>
          <cell r="F13605" t="str">
            <v xml:space="preserve">PSY-P </v>
          </cell>
          <cell r="G13605">
            <v>493</v>
          </cell>
          <cell r="H13605" t="str">
            <v>PSY-P 493</v>
          </cell>
          <cell r="K13605" t="str">
            <v>Newman,Sharlene D.</v>
          </cell>
          <cell r="N13605" t="str">
            <v>NR</v>
          </cell>
          <cell r="O13605" t="str">
            <v>NR</v>
          </cell>
        </row>
        <row r="13606">
          <cell r="E13606" t="str">
            <v>PSY</v>
          </cell>
          <cell r="F13606" t="str">
            <v xml:space="preserve">PSY-P </v>
          </cell>
          <cell r="G13606">
            <v>493</v>
          </cell>
          <cell r="H13606" t="str">
            <v>PSY-P 493</v>
          </cell>
          <cell r="K13606" t="str">
            <v>Nosofsky,Robert M.</v>
          </cell>
          <cell r="N13606" t="str">
            <v>NR</v>
          </cell>
          <cell r="O13606" t="str">
            <v>NR</v>
          </cell>
        </row>
        <row r="13607">
          <cell r="E13607" t="str">
            <v>PSY</v>
          </cell>
          <cell r="F13607" t="str">
            <v xml:space="preserve">PSY-P </v>
          </cell>
          <cell r="G13607">
            <v>493</v>
          </cell>
          <cell r="H13607" t="str">
            <v>PSY-P 493</v>
          </cell>
          <cell r="K13607" t="str">
            <v>O'Donnell,Brian F.</v>
          </cell>
          <cell r="N13607" t="str">
            <v>NR</v>
          </cell>
          <cell r="O13607" t="str">
            <v>NR</v>
          </cell>
        </row>
        <row r="13608">
          <cell r="E13608" t="str">
            <v>PSY</v>
          </cell>
          <cell r="F13608" t="str">
            <v xml:space="preserve">PSY-P </v>
          </cell>
          <cell r="G13608">
            <v>493</v>
          </cell>
          <cell r="H13608" t="str">
            <v>PSY-P 493</v>
          </cell>
          <cell r="K13608" t="str">
            <v>O'donnell,Brian F.</v>
          </cell>
          <cell r="N13608" t="str">
            <v>NR</v>
          </cell>
          <cell r="O13608" t="str">
            <v>NR</v>
          </cell>
        </row>
        <row r="13609">
          <cell r="E13609" t="str">
            <v>PSY</v>
          </cell>
          <cell r="F13609" t="str">
            <v xml:space="preserve">PSY-P </v>
          </cell>
          <cell r="G13609">
            <v>493</v>
          </cell>
          <cell r="H13609" t="str">
            <v>PSY-P 493</v>
          </cell>
          <cell r="K13609" t="str">
            <v>Prieto,Anne L.</v>
          </cell>
          <cell r="N13609" t="str">
            <v>NR</v>
          </cell>
          <cell r="O13609" t="str">
            <v>NR</v>
          </cell>
        </row>
        <row r="13610">
          <cell r="E13610" t="str">
            <v>PSY</v>
          </cell>
          <cell r="F13610" t="str">
            <v xml:space="preserve">PSY-P </v>
          </cell>
          <cell r="G13610">
            <v>493</v>
          </cell>
          <cell r="H13610" t="str">
            <v>PSY-P 493</v>
          </cell>
          <cell r="K13610" t="str">
            <v>Rebec,George V.</v>
          </cell>
          <cell r="N13610">
            <v>4</v>
          </cell>
          <cell r="O13610">
            <v>3.625</v>
          </cell>
        </row>
        <row r="13611">
          <cell r="E13611" t="str">
            <v>PSY</v>
          </cell>
          <cell r="F13611" t="str">
            <v xml:space="preserve">PSY-P </v>
          </cell>
          <cell r="G13611">
            <v>493</v>
          </cell>
          <cell r="H13611" t="str">
            <v>PSY-P 493</v>
          </cell>
          <cell r="K13611" t="str">
            <v>Rebec,George V.</v>
          </cell>
          <cell r="N13611" t="str">
            <v>NR</v>
          </cell>
          <cell r="O13611" t="str">
            <v>NR</v>
          </cell>
        </row>
        <row r="13612">
          <cell r="E13612" t="str">
            <v>PSY</v>
          </cell>
          <cell r="F13612" t="str">
            <v xml:space="preserve">PSY-P </v>
          </cell>
          <cell r="G13612">
            <v>493</v>
          </cell>
          <cell r="H13612" t="str">
            <v>PSY-P 493</v>
          </cell>
          <cell r="K13612" t="str">
            <v>Roberts,Alan C.</v>
          </cell>
          <cell r="N13612" t="str">
            <v>NR</v>
          </cell>
          <cell r="O13612" t="str">
            <v>NR</v>
          </cell>
        </row>
        <row r="13613">
          <cell r="E13613" t="str">
            <v>PSY</v>
          </cell>
          <cell r="F13613" t="str">
            <v xml:space="preserve">PSY-P </v>
          </cell>
          <cell r="G13613">
            <v>493</v>
          </cell>
          <cell r="H13613" t="str">
            <v>PSY-P 493</v>
          </cell>
          <cell r="K13613" t="str">
            <v>Roberts,Alan C.</v>
          </cell>
          <cell r="N13613" t="str">
            <v>NR</v>
          </cell>
          <cell r="O13613" t="str">
            <v>NR</v>
          </cell>
        </row>
        <row r="13614">
          <cell r="E13614" t="str">
            <v>PSY</v>
          </cell>
          <cell r="F13614" t="str">
            <v xml:space="preserve">PSY-P </v>
          </cell>
          <cell r="G13614">
            <v>493</v>
          </cell>
          <cell r="H13614" t="str">
            <v>PSY-P 493</v>
          </cell>
          <cell r="K13614" t="str">
            <v>Rydell,Robert Joseph</v>
          </cell>
          <cell r="N13614">
            <v>4</v>
          </cell>
          <cell r="O13614">
            <v>3.6040000000000001</v>
          </cell>
        </row>
        <row r="13615">
          <cell r="E13615" t="str">
            <v>PSY</v>
          </cell>
          <cell r="F13615" t="str">
            <v xml:space="preserve">PSY-P </v>
          </cell>
          <cell r="G13615">
            <v>493</v>
          </cell>
          <cell r="H13615" t="str">
            <v>PSY-P 493</v>
          </cell>
          <cell r="K13615" t="str">
            <v>Rydell,Robert Joseph</v>
          </cell>
          <cell r="N13615" t="str">
            <v>NR</v>
          </cell>
          <cell r="O13615" t="str">
            <v>NR</v>
          </cell>
        </row>
        <row r="13616">
          <cell r="E13616" t="str">
            <v>PSY</v>
          </cell>
          <cell r="F13616" t="str">
            <v xml:space="preserve">PSY-P </v>
          </cell>
          <cell r="G13616">
            <v>493</v>
          </cell>
          <cell r="H13616" t="str">
            <v>PSY-P 493</v>
          </cell>
          <cell r="K13616" t="str">
            <v>Sengelaub,Dale R.</v>
          </cell>
          <cell r="N13616" t="str">
            <v>NR</v>
          </cell>
          <cell r="O13616" t="str">
            <v>NR</v>
          </cell>
        </row>
        <row r="13617">
          <cell r="E13617" t="str">
            <v>PSY</v>
          </cell>
          <cell r="F13617" t="str">
            <v xml:space="preserve">PSY-P </v>
          </cell>
          <cell r="G13617">
            <v>493</v>
          </cell>
          <cell r="H13617" t="str">
            <v>PSY-P 493</v>
          </cell>
          <cell r="K13617" t="str">
            <v>Sherman,Steven J.</v>
          </cell>
          <cell r="N13617" t="str">
            <v>NR</v>
          </cell>
          <cell r="O13617" t="str">
            <v>NR</v>
          </cell>
        </row>
        <row r="13618">
          <cell r="E13618" t="str">
            <v>PSY</v>
          </cell>
          <cell r="F13618" t="str">
            <v xml:space="preserve">PSY-P </v>
          </cell>
          <cell r="G13618">
            <v>493</v>
          </cell>
          <cell r="H13618" t="str">
            <v>PSY-P 493</v>
          </cell>
          <cell r="K13618" t="str">
            <v>Shiffrin,Richard M.</v>
          </cell>
          <cell r="N13618" t="str">
            <v>NR</v>
          </cell>
          <cell r="O13618" t="str">
            <v>NR</v>
          </cell>
        </row>
        <row r="13619">
          <cell r="E13619" t="str">
            <v>PSY</v>
          </cell>
          <cell r="F13619" t="str">
            <v xml:space="preserve">PSY-P </v>
          </cell>
          <cell r="G13619">
            <v>493</v>
          </cell>
          <cell r="H13619" t="str">
            <v>PSY-P 493</v>
          </cell>
          <cell r="K13619" t="str">
            <v>Sinex,Linda Hoke</v>
          </cell>
          <cell r="N13619" t="str">
            <v>NR</v>
          </cell>
          <cell r="O13619" t="str">
            <v>NR</v>
          </cell>
        </row>
        <row r="13620">
          <cell r="E13620" t="str">
            <v>PSY</v>
          </cell>
          <cell r="F13620" t="str">
            <v xml:space="preserve">PSY-P </v>
          </cell>
          <cell r="G13620">
            <v>493</v>
          </cell>
          <cell r="H13620" t="str">
            <v>PSY-P 493</v>
          </cell>
          <cell r="K13620" t="str">
            <v>Smith,Eliot R</v>
          </cell>
          <cell r="N13620" t="str">
            <v>NR</v>
          </cell>
          <cell r="O13620" t="str">
            <v>NR</v>
          </cell>
        </row>
        <row r="13621">
          <cell r="E13621" t="str">
            <v>PSY</v>
          </cell>
          <cell r="F13621" t="str">
            <v xml:space="preserve">PSY-P </v>
          </cell>
          <cell r="G13621">
            <v>493</v>
          </cell>
          <cell r="H13621" t="str">
            <v>PSY-P 493</v>
          </cell>
          <cell r="K13621" t="str">
            <v>Smith,Eliot R</v>
          </cell>
          <cell r="N13621" t="str">
            <v>NR</v>
          </cell>
          <cell r="O13621" t="str">
            <v>NR</v>
          </cell>
        </row>
        <row r="13622">
          <cell r="E13622" t="str">
            <v>PSY</v>
          </cell>
          <cell r="F13622" t="str">
            <v xml:space="preserve">PSY-P </v>
          </cell>
          <cell r="G13622">
            <v>493</v>
          </cell>
          <cell r="H13622" t="str">
            <v>PSY-P 493</v>
          </cell>
          <cell r="K13622" t="str">
            <v>Smith,Linda B.</v>
          </cell>
          <cell r="N13622">
            <v>3.7</v>
          </cell>
          <cell r="O13622">
            <v>3.532</v>
          </cell>
        </row>
        <row r="13623">
          <cell r="E13623" t="str">
            <v>PSY</v>
          </cell>
          <cell r="F13623" t="str">
            <v xml:space="preserve">PSY-P </v>
          </cell>
          <cell r="G13623">
            <v>493</v>
          </cell>
          <cell r="H13623" t="str">
            <v>PSY-P 493</v>
          </cell>
          <cell r="K13623" t="str">
            <v>Smith,Linda B.</v>
          </cell>
          <cell r="N13623">
            <v>4</v>
          </cell>
          <cell r="O13623">
            <v>3.31</v>
          </cell>
        </row>
        <row r="13624">
          <cell r="E13624" t="str">
            <v>PSY</v>
          </cell>
          <cell r="F13624" t="str">
            <v xml:space="preserve">PSY-P </v>
          </cell>
          <cell r="G13624">
            <v>493</v>
          </cell>
          <cell r="H13624" t="str">
            <v>PSY-P 493</v>
          </cell>
          <cell r="K13624" t="str">
            <v>Smith,Linda B.</v>
          </cell>
          <cell r="N13624" t="str">
            <v>NR</v>
          </cell>
          <cell r="O13624" t="str">
            <v>NR</v>
          </cell>
        </row>
        <row r="13625">
          <cell r="E13625" t="str">
            <v>PSY</v>
          </cell>
          <cell r="F13625" t="str">
            <v xml:space="preserve">PSY-P </v>
          </cell>
          <cell r="G13625">
            <v>493</v>
          </cell>
          <cell r="H13625" t="str">
            <v>PSY-P 493</v>
          </cell>
          <cell r="K13625" t="str">
            <v>Smith,Linda B.</v>
          </cell>
          <cell r="N13625" t="str">
            <v>NR</v>
          </cell>
          <cell r="O13625" t="str">
            <v>NR</v>
          </cell>
        </row>
        <row r="13626">
          <cell r="E13626" t="str">
            <v>PSY</v>
          </cell>
          <cell r="F13626" t="str">
            <v xml:space="preserve">PSY-P </v>
          </cell>
          <cell r="G13626">
            <v>493</v>
          </cell>
          <cell r="H13626" t="str">
            <v>PSY-P 493</v>
          </cell>
          <cell r="K13626" t="str">
            <v>Sporns,Olaf</v>
          </cell>
          <cell r="N13626" t="str">
            <v>NR</v>
          </cell>
          <cell r="O13626" t="str">
            <v>NR</v>
          </cell>
        </row>
        <row r="13627">
          <cell r="E13627" t="str">
            <v>PSY</v>
          </cell>
          <cell r="F13627" t="str">
            <v xml:space="preserve">PSY-P </v>
          </cell>
          <cell r="G13627">
            <v>493</v>
          </cell>
          <cell r="H13627" t="str">
            <v>PSY-P 493</v>
          </cell>
          <cell r="K13627" t="str">
            <v>Timberlake,William D.</v>
          </cell>
          <cell r="N13627" t="str">
            <v>NR</v>
          </cell>
          <cell r="O13627" t="str">
            <v>NR</v>
          </cell>
        </row>
        <row r="13628">
          <cell r="E13628" t="str">
            <v>PSY</v>
          </cell>
          <cell r="F13628" t="str">
            <v xml:space="preserve">PSY-P </v>
          </cell>
          <cell r="G13628">
            <v>493</v>
          </cell>
          <cell r="H13628" t="str">
            <v>PSY-P 493</v>
          </cell>
          <cell r="K13628" t="str">
            <v>Todd,Peter Martin</v>
          </cell>
          <cell r="N13628" t="str">
            <v>NR</v>
          </cell>
          <cell r="O13628" t="str">
            <v>NR</v>
          </cell>
        </row>
        <row r="13629">
          <cell r="E13629" t="str">
            <v>PSY</v>
          </cell>
          <cell r="F13629" t="str">
            <v xml:space="preserve">PSY-P </v>
          </cell>
          <cell r="G13629">
            <v>493</v>
          </cell>
          <cell r="H13629" t="str">
            <v>PSY-P 493</v>
          </cell>
          <cell r="K13629" t="str">
            <v>Todd,Peter Martin</v>
          </cell>
          <cell r="N13629" t="str">
            <v>NR</v>
          </cell>
          <cell r="O13629" t="str">
            <v>NR</v>
          </cell>
        </row>
        <row r="13630">
          <cell r="E13630" t="str">
            <v>PSY</v>
          </cell>
          <cell r="F13630" t="str">
            <v xml:space="preserve">PSY-P </v>
          </cell>
          <cell r="G13630">
            <v>493</v>
          </cell>
          <cell r="H13630" t="str">
            <v>PSY-P 493</v>
          </cell>
          <cell r="K13630" t="str">
            <v>Townsend,James T.</v>
          </cell>
          <cell r="N13630" t="str">
            <v>NR</v>
          </cell>
          <cell r="O13630" t="str">
            <v>NR</v>
          </cell>
        </row>
        <row r="13631">
          <cell r="E13631" t="str">
            <v>PSY</v>
          </cell>
          <cell r="F13631" t="str">
            <v xml:space="preserve">PSY-P </v>
          </cell>
          <cell r="G13631">
            <v>493</v>
          </cell>
          <cell r="H13631" t="str">
            <v>PSY-P 493</v>
          </cell>
          <cell r="K13631" t="str">
            <v>Viken,Richard J.</v>
          </cell>
          <cell r="N13631" t="str">
            <v>NR</v>
          </cell>
          <cell r="O13631" t="str">
            <v>NR</v>
          </cell>
        </row>
        <row r="13632">
          <cell r="E13632" t="str">
            <v>PSY</v>
          </cell>
          <cell r="F13632" t="str">
            <v xml:space="preserve">PSY-P </v>
          </cell>
          <cell r="G13632">
            <v>493</v>
          </cell>
          <cell r="H13632" t="str">
            <v>PSY-P 493</v>
          </cell>
          <cell r="K13632" t="str">
            <v>Viken,Richard J.</v>
          </cell>
          <cell r="N13632" t="str">
            <v>NR</v>
          </cell>
          <cell r="O13632" t="str">
            <v>NR</v>
          </cell>
        </row>
        <row r="13633">
          <cell r="E13633" t="str">
            <v>PSY</v>
          </cell>
          <cell r="F13633" t="str">
            <v xml:space="preserve">PSY-P </v>
          </cell>
          <cell r="G13633">
            <v>493</v>
          </cell>
          <cell r="H13633" t="str">
            <v>PSY-P 493</v>
          </cell>
          <cell r="K13633" t="str">
            <v>Vlachos-Weber,Irene Diana</v>
          </cell>
          <cell r="N13633">
            <v>4</v>
          </cell>
          <cell r="O13633">
            <v>3.2160000000000002</v>
          </cell>
        </row>
        <row r="13634">
          <cell r="E13634" t="str">
            <v>PSY</v>
          </cell>
          <cell r="F13634" t="str">
            <v xml:space="preserve">PSY-P </v>
          </cell>
          <cell r="G13634">
            <v>493</v>
          </cell>
          <cell r="H13634" t="str">
            <v>PSY-P 493</v>
          </cell>
          <cell r="K13634" t="str">
            <v>Vlachos-Weber,Irene Diana</v>
          </cell>
          <cell r="N13634">
            <v>3.8519999999999999</v>
          </cell>
          <cell r="O13634">
            <v>3.1890000000000001</v>
          </cell>
        </row>
        <row r="13635">
          <cell r="E13635" t="str">
            <v>PSY</v>
          </cell>
          <cell r="F13635" t="str">
            <v xml:space="preserve">PSY-P </v>
          </cell>
          <cell r="G13635">
            <v>493</v>
          </cell>
          <cell r="H13635" t="str">
            <v>PSY-P 493</v>
          </cell>
          <cell r="K13635" t="str">
            <v>Wellman,Cara Lynn</v>
          </cell>
          <cell r="N13635" t="str">
            <v>NR</v>
          </cell>
          <cell r="O13635" t="str">
            <v>NR</v>
          </cell>
        </row>
        <row r="13636">
          <cell r="E13636" t="str">
            <v>PSY</v>
          </cell>
          <cell r="F13636" t="str">
            <v xml:space="preserve">PSY-P </v>
          </cell>
          <cell r="G13636">
            <v>493</v>
          </cell>
          <cell r="H13636" t="str">
            <v>PSY-P 493</v>
          </cell>
          <cell r="K13636" t="str">
            <v>Wellman,Cara Lynn</v>
          </cell>
          <cell r="N13636" t="str">
            <v>NR</v>
          </cell>
          <cell r="O13636" t="str">
            <v>NR</v>
          </cell>
        </row>
        <row r="13637">
          <cell r="E13637" t="str">
            <v>PSY</v>
          </cell>
          <cell r="F13637" t="str">
            <v xml:space="preserve">PSY-P </v>
          </cell>
          <cell r="G13637">
            <v>493</v>
          </cell>
          <cell r="H13637" t="str">
            <v>PSY-P 493</v>
          </cell>
          <cell r="K13637" t="str">
            <v>West,Meredith</v>
          </cell>
          <cell r="N13637" t="str">
            <v>NR</v>
          </cell>
          <cell r="O13637" t="str">
            <v>NR</v>
          </cell>
        </row>
        <row r="13638">
          <cell r="E13638" t="str">
            <v>PSY</v>
          </cell>
          <cell r="F13638" t="str">
            <v xml:space="preserve">PSY-P </v>
          </cell>
          <cell r="G13638">
            <v>493</v>
          </cell>
          <cell r="H13638" t="str">
            <v>PSY-P 493</v>
          </cell>
          <cell r="K13638" t="str">
            <v>West,Meredith</v>
          </cell>
          <cell r="N13638" t="str">
            <v>NR</v>
          </cell>
          <cell r="O13638" t="str">
            <v>NR</v>
          </cell>
        </row>
        <row r="13639">
          <cell r="E13639" t="str">
            <v>PSY</v>
          </cell>
          <cell r="F13639" t="str">
            <v xml:space="preserve">PSY-P </v>
          </cell>
          <cell r="G13639">
            <v>493</v>
          </cell>
          <cell r="H13639" t="str">
            <v>PSY-P 493</v>
          </cell>
          <cell r="K13639" t="str">
            <v>Yu,Chen</v>
          </cell>
          <cell r="N13639" t="str">
            <v>NR</v>
          </cell>
          <cell r="O13639" t="str">
            <v>NR</v>
          </cell>
        </row>
        <row r="13640">
          <cell r="E13640" t="str">
            <v>PSY</v>
          </cell>
          <cell r="F13640" t="str">
            <v xml:space="preserve">PSY-P </v>
          </cell>
          <cell r="G13640">
            <v>493</v>
          </cell>
          <cell r="H13640" t="str">
            <v>PSY-P 493</v>
          </cell>
          <cell r="K13640" t="str">
            <v>Yu,Chen</v>
          </cell>
          <cell r="N13640">
            <v>4</v>
          </cell>
          <cell r="O13640">
            <v>3.5579999999999998</v>
          </cell>
        </row>
        <row r="13641">
          <cell r="E13641" t="str">
            <v>PSY</v>
          </cell>
          <cell r="F13641" t="str">
            <v xml:space="preserve">PSY-P </v>
          </cell>
          <cell r="G13641">
            <v>494</v>
          </cell>
          <cell r="H13641" t="str">
            <v>PSY-P 494</v>
          </cell>
          <cell r="K13641" t="str">
            <v>Alberts,Jeffrey R</v>
          </cell>
          <cell r="N13641" t="str">
            <v>NR</v>
          </cell>
          <cell r="O13641" t="str">
            <v>NR</v>
          </cell>
        </row>
        <row r="13642">
          <cell r="E13642" t="str">
            <v>PSY</v>
          </cell>
          <cell r="F13642" t="str">
            <v xml:space="preserve">PSY-P </v>
          </cell>
          <cell r="G13642">
            <v>494</v>
          </cell>
          <cell r="H13642" t="str">
            <v>PSY-P 494</v>
          </cell>
          <cell r="K13642" t="str">
            <v>Bates,John E.</v>
          </cell>
          <cell r="N13642" t="str">
            <v>NR</v>
          </cell>
          <cell r="O13642" t="str">
            <v>NR</v>
          </cell>
        </row>
        <row r="13643">
          <cell r="E13643" t="str">
            <v>PSY</v>
          </cell>
          <cell r="F13643" t="str">
            <v xml:space="preserve">PSY-P </v>
          </cell>
          <cell r="G13643">
            <v>494</v>
          </cell>
          <cell r="H13643" t="str">
            <v>PSY-P 494</v>
          </cell>
          <cell r="K13643" t="str">
            <v>Bates,John E.</v>
          </cell>
          <cell r="N13643" t="str">
            <v>NR</v>
          </cell>
          <cell r="O13643" t="str">
            <v>NR</v>
          </cell>
        </row>
        <row r="13644">
          <cell r="E13644" t="str">
            <v>PSY</v>
          </cell>
          <cell r="F13644" t="str">
            <v xml:space="preserve">PSY-P </v>
          </cell>
          <cell r="G13644">
            <v>494</v>
          </cell>
          <cell r="H13644" t="str">
            <v>PSY-P 494</v>
          </cell>
          <cell r="K13644" t="str">
            <v>Bertenthal,Bennett I</v>
          </cell>
          <cell r="N13644" t="str">
            <v>NR</v>
          </cell>
          <cell r="O13644" t="str">
            <v>NR</v>
          </cell>
        </row>
        <row r="13645">
          <cell r="E13645" t="str">
            <v>PSY</v>
          </cell>
          <cell r="F13645" t="str">
            <v xml:space="preserve">PSY-P </v>
          </cell>
          <cell r="G13645">
            <v>494</v>
          </cell>
          <cell r="H13645" t="str">
            <v>PSY-P 494</v>
          </cell>
          <cell r="K13645" t="str">
            <v>Bertenthal,Bennett I</v>
          </cell>
          <cell r="N13645" t="str">
            <v>NR</v>
          </cell>
          <cell r="O13645" t="str">
            <v>NR</v>
          </cell>
        </row>
        <row r="13646">
          <cell r="E13646" t="str">
            <v>PSY</v>
          </cell>
          <cell r="F13646" t="str">
            <v xml:space="preserve">PSY-P </v>
          </cell>
          <cell r="G13646">
            <v>494</v>
          </cell>
          <cell r="H13646" t="str">
            <v>PSY-P 494</v>
          </cell>
          <cell r="K13646" t="str">
            <v>Bradshaw,Heather B</v>
          </cell>
          <cell r="N13646" t="str">
            <v>NR</v>
          </cell>
          <cell r="O13646" t="str">
            <v>NR</v>
          </cell>
        </row>
        <row r="13647">
          <cell r="E13647" t="str">
            <v>PSY</v>
          </cell>
          <cell r="F13647" t="str">
            <v xml:space="preserve">PSY-P </v>
          </cell>
          <cell r="G13647">
            <v>494</v>
          </cell>
          <cell r="H13647" t="str">
            <v>PSY-P 494</v>
          </cell>
          <cell r="K13647" t="str">
            <v>Bradshaw,Heather B</v>
          </cell>
          <cell r="N13647" t="str">
            <v>NR</v>
          </cell>
          <cell r="O13647" t="str">
            <v>NR</v>
          </cell>
        </row>
        <row r="13648">
          <cell r="E13648" t="str">
            <v>PSY</v>
          </cell>
          <cell r="F13648" t="str">
            <v xml:space="preserve">PSY-P </v>
          </cell>
          <cell r="G13648">
            <v>494</v>
          </cell>
          <cell r="H13648" t="str">
            <v>PSY-P 494</v>
          </cell>
          <cell r="K13648" t="str">
            <v>Busemeyer,Jerome R.</v>
          </cell>
          <cell r="N13648" t="str">
            <v>NR</v>
          </cell>
          <cell r="O13648" t="str">
            <v>NR</v>
          </cell>
        </row>
        <row r="13649">
          <cell r="E13649" t="str">
            <v>PSY</v>
          </cell>
          <cell r="F13649" t="str">
            <v xml:space="preserve">PSY-P </v>
          </cell>
          <cell r="G13649">
            <v>494</v>
          </cell>
          <cell r="H13649" t="str">
            <v>PSY-P 494</v>
          </cell>
          <cell r="K13649" t="str">
            <v>Busemeyer,Jerome R.</v>
          </cell>
          <cell r="N13649" t="str">
            <v>NR</v>
          </cell>
          <cell r="O13649" t="str">
            <v>NR</v>
          </cell>
        </row>
        <row r="13650">
          <cell r="E13650" t="str">
            <v>PSY</v>
          </cell>
          <cell r="F13650" t="str">
            <v xml:space="preserve">PSY-P </v>
          </cell>
          <cell r="G13650">
            <v>494</v>
          </cell>
          <cell r="H13650" t="str">
            <v>PSY-P 494</v>
          </cell>
          <cell r="K13650" t="str">
            <v>Farley,Joseph</v>
          </cell>
          <cell r="N13650" t="str">
            <v>NR</v>
          </cell>
          <cell r="O13650" t="str">
            <v>NR</v>
          </cell>
        </row>
        <row r="13651">
          <cell r="E13651" t="str">
            <v>PSY</v>
          </cell>
          <cell r="F13651" t="str">
            <v xml:space="preserve">PSY-P </v>
          </cell>
          <cell r="G13651">
            <v>494</v>
          </cell>
          <cell r="H13651" t="str">
            <v>PSY-P 494</v>
          </cell>
          <cell r="K13651" t="str">
            <v>Finn,Peter</v>
          </cell>
          <cell r="N13651" t="str">
            <v>NR</v>
          </cell>
          <cell r="O13651" t="str">
            <v>NR</v>
          </cell>
        </row>
        <row r="13652">
          <cell r="E13652" t="str">
            <v>PSY</v>
          </cell>
          <cell r="F13652" t="str">
            <v xml:space="preserve">PSY-P </v>
          </cell>
          <cell r="G13652">
            <v>494</v>
          </cell>
          <cell r="H13652" t="str">
            <v>PSY-P 494</v>
          </cell>
          <cell r="K13652" t="str">
            <v>Finn,Peter</v>
          </cell>
          <cell r="N13652" t="str">
            <v>NR</v>
          </cell>
          <cell r="O13652" t="str">
            <v>NR</v>
          </cell>
        </row>
        <row r="13653">
          <cell r="E13653" t="str">
            <v>PSY</v>
          </cell>
          <cell r="F13653" t="str">
            <v xml:space="preserve">PSY-P </v>
          </cell>
          <cell r="G13653">
            <v>494</v>
          </cell>
          <cell r="H13653" t="str">
            <v>PSY-P 494</v>
          </cell>
          <cell r="K13653" t="str">
            <v>Garraghty,Preston Evans</v>
          </cell>
          <cell r="N13653" t="str">
            <v>NR</v>
          </cell>
          <cell r="O13653" t="str">
            <v>NR</v>
          </cell>
        </row>
        <row r="13654">
          <cell r="E13654" t="str">
            <v>PSY</v>
          </cell>
          <cell r="F13654" t="str">
            <v xml:space="preserve">PSY-P </v>
          </cell>
          <cell r="G13654">
            <v>494</v>
          </cell>
          <cell r="H13654" t="str">
            <v>PSY-P 494</v>
          </cell>
          <cell r="K13654" t="str">
            <v>Garraghty,Preston Evans</v>
          </cell>
          <cell r="N13654" t="str">
            <v>NR</v>
          </cell>
          <cell r="O13654" t="str">
            <v>NR</v>
          </cell>
        </row>
        <row r="13655">
          <cell r="E13655" t="str">
            <v>PSY</v>
          </cell>
          <cell r="F13655" t="str">
            <v xml:space="preserve">PSY-P </v>
          </cell>
          <cell r="G13655">
            <v>494</v>
          </cell>
          <cell r="H13655" t="str">
            <v>PSY-P 494</v>
          </cell>
          <cell r="K13655" t="str">
            <v>Gold,Jason M</v>
          </cell>
          <cell r="N13655" t="str">
            <v>NR</v>
          </cell>
          <cell r="O13655" t="str">
            <v>NR</v>
          </cell>
        </row>
        <row r="13656">
          <cell r="E13656" t="str">
            <v>PSY</v>
          </cell>
          <cell r="F13656" t="str">
            <v xml:space="preserve">PSY-P </v>
          </cell>
          <cell r="G13656">
            <v>494</v>
          </cell>
          <cell r="H13656" t="str">
            <v>PSY-P 494</v>
          </cell>
          <cell r="K13656" t="str">
            <v>Heiman,Julia R</v>
          </cell>
          <cell r="N13656" t="str">
            <v>NR</v>
          </cell>
          <cell r="O13656" t="str">
            <v>NR</v>
          </cell>
        </row>
        <row r="13657">
          <cell r="E13657" t="str">
            <v>PSY</v>
          </cell>
          <cell r="F13657" t="str">
            <v xml:space="preserve">PSY-P </v>
          </cell>
          <cell r="G13657">
            <v>494</v>
          </cell>
          <cell r="H13657" t="str">
            <v>PSY-P 494</v>
          </cell>
          <cell r="K13657" t="str">
            <v>Hetrick,William P.</v>
          </cell>
          <cell r="N13657" t="str">
            <v>NR</v>
          </cell>
          <cell r="O13657" t="str">
            <v>NR</v>
          </cell>
        </row>
        <row r="13658">
          <cell r="E13658" t="str">
            <v>PSY</v>
          </cell>
          <cell r="F13658" t="str">
            <v xml:space="preserve">PSY-P </v>
          </cell>
          <cell r="G13658">
            <v>494</v>
          </cell>
          <cell r="H13658" t="str">
            <v>PSY-P 494</v>
          </cell>
          <cell r="K13658" t="str">
            <v>Hetrick,William P.</v>
          </cell>
          <cell r="N13658" t="str">
            <v>NR</v>
          </cell>
          <cell r="O13658" t="str">
            <v>NR</v>
          </cell>
        </row>
        <row r="13659">
          <cell r="E13659" t="str">
            <v>PSY</v>
          </cell>
          <cell r="F13659" t="str">
            <v xml:space="preserve">PSY-P </v>
          </cell>
          <cell r="G13659">
            <v>494</v>
          </cell>
          <cell r="H13659" t="str">
            <v>PSY-P 494</v>
          </cell>
          <cell r="K13659" t="str">
            <v>Hirt,Edward Raymond</v>
          </cell>
          <cell r="N13659" t="str">
            <v>NR</v>
          </cell>
          <cell r="O13659" t="str">
            <v>NR</v>
          </cell>
        </row>
        <row r="13660">
          <cell r="E13660" t="str">
            <v>PSY</v>
          </cell>
          <cell r="F13660" t="str">
            <v xml:space="preserve">PSY-P </v>
          </cell>
          <cell r="G13660">
            <v>494</v>
          </cell>
          <cell r="H13660" t="str">
            <v>PSY-P 494</v>
          </cell>
          <cell r="K13660" t="str">
            <v>Hirt,Edward Raymond</v>
          </cell>
          <cell r="N13660">
            <v>4</v>
          </cell>
          <cell r="O13660">
            <v>3.569</v>
          </cell>
        </row>
        <row r="13661">
          <cell r="E13661" t="str">
            <v>PSY</v>
          </cell>
          <cell r="F13661" t="str">
            <v xml:space="preserve">PSY-P </v>
          </cell>
          <cell r="G13661">
            <v>494</v>
          </cell>
          <cell r="H13661" t="str">
            <v>PSY-P 494</v>
          </cell>
          <cell r="K13661" t="str">
            <v>Hoffman,Cynthia M</v>
          </cell>
          <cell r="N13661" t="str">
            <v>NR</v>
          </cell>
          <cell r="O13661" t="str">
            <v>NR</v>
          </cell>
        </row>
        <row r="13662">
          <cell r="E13662" t="str">
            <v>PSY</v>
          </cell>
          <cell r="F13662" t="str">
            <v xml:space="preserve">PSY-P </v>
          </cell>
          <cell r="G13662">
            <v>494</v>
          </cell>
          <cell r="H13662" t="str">
            <v>PSY-P 494</v>
          </cell>
          <cell r="K13662" t="str">
            <v>Holtzworth-Munroe,Amy</v>
          </cell>
          <cell r="N13662" t="str">
            <v>NR</v>
          </cell>
          <cell r="O13662" t="str">
            <v>NR</v>
          </cell>
        </row>
        <row r="13663">
          <cell r="E13663" t="str">
            <v>PSY</v>
          </cell>
          <cell r="F13663" t="str">
            <v xml:space="preserve">PSY-P </v>
          </cell>
          <cell r="G13663">
            <v>494</v>
          </cell>
          <cell r="H13663" t="str">
            <v>PSY-P 494</v>
          </cell>
          <cell r="K13663" t="str">
            <v>Holtzworth-Munroe,Amy</v>
          </cell>
          <cell r="N13663" t="str">
            <v>NR</v>
          </cell>
          <cell r="O13663" t="str">
            <v>NR</v>
          </cell>
        </row>
        <row r="13664">
          <cell r="E13664" t="str">
            <v>PSY</v>
          </cell>
          <cell r="F13664" t="str">
            <v xml:space="preserve">PSY-P </v>
          </cell>
          <cell r="G13664">
            <v>494</v>
          </cell>
          <cell r="H13664" t="str">
            <v>PSY-P 494</v>
          </cell>
          <cell r="K13664" t="str">
            <v>James,Karin Harman</v>
          </cell>
          <cell r="N13664" t="str">
            <v>NR</v>
          </cell>
          <cell r="O13664" t="str">
            <v>NR</v>
          </cell>
        </row>
        <row r="13665">
          <cell r="E13665" t="str">
            <v>PSY</v>
          </cell>
          <cell r="F13665" t="str">
            <v xml:space="preserve">PSY-P </v>
          </cell>
          <cell r="G13665">
            <v>494</v>
          </cell>
          <cell r="H13665" t="str">
            <v>PSY-P 494</v>
          </cell>
          <cell r="K13665" t="str">
            <v>James,Karin Harman</v>
          </cell>
          <cell r="N13665" t="str">
            <v>NR</v>
          </cell>
          <cell r="O13665" t="str">
            <v>NR</v>
          </cell>
        </row>
        <row r="13666">
          <cell r="E13666" t="str">
            <v>PSY</v>
          </cell>
          <cell r="F13666" t="str">
            <v xml:space="preserve">PSY-P </v>
          </cell>
          <cell r="G13666">
            <v>494</v>
          </cell>
          <cell r="H13666" t="str">
            <v>PSY-P 494</v>
          </cell>
          <cell r="K13666" t="str">
            <v>James,Tom</v>
          </cell>
          <cell r="N13666" t="str">
            <v>NR</v>
          </cell>
          <cell r="O13666" t="str">
            <v>NR</v>
          </cell>
        </row>
        <row r="13667">
          <cell r="E13667" t="str">
            <v>PSY</v>
          </cell>
          <cell r="F13667" t="str">
            <v xml:space="preserve">PSY-P </v>
          </cell>
          <cell r="G13667">
            <v>494</v>
          </cell>
          <cell r="H13667" t="str">
            <v>PSY-P 494</v>
          </cell>
          <cell r="K13667" t="str">
            <v>James,Tom</v>
          </cell>
          <cell r="N13667" t="str">
            <v>NR</v>
          </cell>
          <cell r="O13667" t="str">
            <v>NR</v>
          </cell>
        </row>
        <row r="13668">
          <cell r="E13668" t="str">
            <v>PSY</v>
          </cell>
          <cell r="F13668" t="str">
            <v xml:space="preserve">PSY-P </v>
          </cell>
          <cell r="G13668">
            <v>494</v>
          </cell>
          <cell r="H13668" t="str">
            <v>PSY-P 494</v>
          </cell>
          <cell r="K13668" t="str">
            <v>Jones,Susan S.</v>
          </cell>
          <cell r="N13668" t="str">
            <v>NR</v>
          </cell>
          <cell r="O13668" t="str">
            <v>NR</v>
          </cell>
        </row>
        <row r="13669">
          <cell r="E13669" t="str">
            <v>PSY</v>
          </cell>
          <cell r="F13669" t="str">
            <v xml:space="preserve">PSY-P </v>
          </cell>
          <cell r="G13669">
            <v>494</v>
          </cell>
          <cell r="H13669" t="str">
            <v>PSY-P 494</v>
          </cell>
          <cell r="K13669" t="str">
            <v>Jones,Susan S.</v>
          </cell>
          <cell r="N13669" t="str">
            <v>NR</v>
          </cell>
          <cell r="O13669" t="str">
            <v>NR</v>
          </cell>
        </row>
        <row r="13670">
          <cell r="E13670" t="str">
            <v>PSY</v>
          </cell>
          <cell r="F13670" t="str">
            <v xml:space="preserve">PSY-P </v>
          </cell>
          <cell r="G13670">
            <v>494</v>
          </cell>
          <cell r="H13670" t="str">
            <v>PSY-P 494</v>
          </cell>
          <cell r="K13670" t="str">
            <v>Lewis,Cara Charissa</v>
          </cell>
          <cell r="N13670" t="str">
            <v>NR</v>
          </cell>
          <cell r="O13670" t="str">
            <v>NR</v>
          </cell>
        </row>
        <row r="13671">
          <cell r="E13671" t="str">
            <v>PSY</v>
          </cell>
          <cell r="F13671" t="str">
            <v xml:space="preserve">PSY-P </v>
          </cell>
          <cell r="G13671">
            <v>494</v>
          </cell>
          <cell r="H13671" t="str">
            <v>PSY-P 494</v>
          </cell>
          <cell r="K13671" t="str">
            <v>Newman,Sharlene D.</v>
          </cell>
          <cell r="N13671" t="str">
            <v>NR</v>
          </cell>
          <cell r="O13671" t="str">
            <v>NR</v>
          </cell>
        </row>
        <row r="13672">
          <cell r="E13672" t="str">
            <v>PSY</v>
          </cell>
          <cell r="F13672" t="str">
            <v xml:space="preserve">PSY-P </v>
          </cell>
          <cell r="G13672">
            <v>494</v>
          </cell>
          <cell r="H13672" t="str">
            <v>PSY-P 494</v>
          </cell>
          <cell r="K13672" t="str">
            <v>Nosofsky,Robert M.</v>
          </cell>
          <cell r="N13672" t="str">
            <v>NR</v>
          </cell>
          <cell r="O13672" t="str">
            <v>NR</v>
          </cell>
        </row>
        <row r="13673">
          <cell r="E13673" t="str">
            <v>PSY</v>
          </cell>
          <cell r="F13673" t="str">
            <v xml:space="preserve">PSY-P </v>
          </cell>
          <cell r="G13673">
            <v>494</v>
          </cell>
          <cell r="H13673" t="str">
            <v>PSY-P 494</v>
          </cell>
          <cell r="K13673" t="str">
            <v>O'donnell,Brian F.</v>
          </cell>
          <cell r="N13673" t="str">
            <v>NR</v>
          </cell>
          <cell r="O13673" t="str">
            <v>NR</v>
          </cell>
        </row>
        <row r="13674">
          <cell r="E13674" t="str">
            <v>PSY</v>
          </cell>
          <cell r="F13674" t="str">
            <v xml:space="preserve">PSY-P </v>
          </cell>
          <cell r="G13674">
            <v>494</v>
          </cell>
          <cell r="H13674" t="str">
            <v>PSY-P 494</v>
          </cell>
          <cell r="K13674" t="str">
            <v>Prieto,Anne L.</v>
          </cell>
          <cell r="N13674" t="str">
            <v>NR</v>
          </cell>
          <cell r="O13674" t="str">
            <v>NR</v>
          </cell>
        </row>
        <row r="13675">
          <cell r="E13675" t="str">
            <v>PSY</v>
          </cell>
          <cell r="F13675" t="str">
            <v xml:space="preserve">PSY-P </v>
          </cell>
          <cell r="G13675">
            <v>494</v>
          </cell>
          <cell r="H13675" t="str">
            <v>PSY-P 494</v>
          </cell>
          <cell r="K13675" t="str">
            <v>Rebec,George V.</v>
          </cell>
          <cell r="N13675" t="str">
            <v>NR</v>
          </cell>
          <cell r="O13675" t="str">
            <v>NR</v>
          </cell>
        </row>
        <row r="13676">
          <cell r="E13676" t="str">
            <v>PSY</v>
          </cell>
          <cell r="F13676" t="str">
            <v xml:space="preserve">PSY-P </v>
          </cell>
          <cell r="G13676">
            <v>494</v>
          </cell>
          <cell r="H13676" t="str">
            <v>PSY-P 494</v>
          </cell>
          <cell r="K13676" t="str">
            <v>Rebec,George V.</v>
          </cell>
          <cell r="N13676" t="str">
            <v>NR</v>
          </cell>
          <cell r="O13676" t="str">
            <v>NR</v>
          </cell>
        </row>
        <row r="13677">
          <cell r="E13677" t="str">
            <v>PSY</v>
          </cell>
          <cell r="F13677" t="str">
            <v xml:space="preserve">PSY-P </v>
          </cell>
          <cell r="G13677">
            <v>494</v>
          </cell>
          <cell r="H13677" t="str">
            <v>PSY-P 494</v>
          </cell>
          <cell r="K13677" t="str">
            <v>Roberts,Alan C.</v>
          </cell>
          <cell r="N13677" t="str">
            <v>NR</v>
          </cell>
          <cell r="O13677" t="str">
            <v>NR</v>
          </cell>
        </row>
        <row r="13678">
          <cell r="E13678" t="str">
            <v>PSY</v>
          </cell>
          <cell r="F13678" t="str">
            <v xml:space="preserve">PSY-P </v>
          </cell>
          <cell r="G13678">
            <v>494</v>
          </cell>
          <cell r="H13678" t="str">
            <v>PSY-P 494</v>
          </cell>
          <cell r="K13678" t="str">
            <v>Rydell,Robert Joseph</v>
          </cell>
          <cell r="N13678" t="str">
            <v>NR</v>
          </cell>
          <cell r="O13678" t="str">
            <v>NR</v>
          </cell>
        </row>
        <row r="13679">
          <cell r="E13679" t="str">
            <v>PSY</v>
          </cell>
          <cell r="F13679" t="str">
            <v xml:space="preserve">PSY-P </v>
          </cell>
          <cell r="G13679">
            <v>494</v>
          </cell>
          <cell r="H13679" t="str">
            <v>PSY-P 494</v>
          </cell>
          <cell r="K13679" t="str">
            <v>Rydell,Robert Joseph</v>
          </cell>
          <cell r="N13679" t="str">
            <v>NR</v>
          </cell>
          <cell r="O13679" t="str">
            <v>NR</v>
          </cell>
        </row>
        <row r="13680">
          <cell r="E13680" t="str">
            <v>PSY</v>
          </cell>
          <cell r="F13680" t="str">
            <v xml:space="preserve">PSY-P </v>
          </cell>
          <cell r="G13680">
            <v>494</v>
          </cell>
          <cell r="H13680" t="str">
            <v>PSY-P 494</v>
          </cell>
          <cell r="K13680" t="str">
            <v>Sherman,Steven J.</v>
          </cell>
          <cell r="N13680" t="str">
            <v>NR</v>
          </cell>
          <cell r="O13680" t="str">
            <v>NR</v>
          </cell>
        </row>
        <row r="13681">
          <cell r="E13681" t="str">
            <v>PSY</v>
          </cell>
          <cell r="F13681" t="str">
            <v xml:space="preserve">PSY-P </v>
          </cell>
          <cell r="G13681">
            <v>494</v>
          </cell>
          <cell r="H13681" t="str">
            <v>PSY-P 494</v>
          </cell>
          <cell r="K13681" t="str">
            <v>Shiffrin,Richard M.</v>
          </cell>
          <cell r="N13681" t="str">
            <v>NR</v>
          </cell>
          <cell r="O13681" t="str">
            <v>NR</v>
          </cell>
        </row>
        <row r="13682">
          <cell r="E13682" t="str">
            <v>PSY</v>
          </cell>
          <cell r="F13682" t="str">
            <v xml:space="preserve">PSY-P </v>
          </cell>
          <cell r="G13682">
            <v>494</v>
          </cell>
          <cell r="H13682" t="str">
            <v>PSY-P 494</v>
          </cell>
          <cell r="K13682" t="str">
            <v>Smith,Eliot R</v>
          </cell>
          <cell r="N13682" t="str">
            <v>NR</v>
          </cell>
          <cell r="O13682" t="str">
            <v>NR</v>
          </cell>
        </row>
        <row r="13683">
          <cell r="E13683" t="str">
            <v>PSY</v>
          </cell>
          <cell r="F13683" t="str">
            <v xml:space="preserve">PSY-P </v>
          </cell>
          <cell r="G13683">
            <v>494</v>
          </cell>
          <cell r="H13683" t="str">
            <v>PSY-P 494</v>
          </cell>
          <cell r="K13683" t="str">
            <v>Smith,Eliot R</v>
          </cell>
          <cell r="N13683" t="str">
            <v>NR</v>
          </cell>
          <cell r="O13683" t="str">
            <v>NR</v>
          </cell>
        </row>
        <row r="13684">
          <cell r="E13684" t="str">
            <v>PSY</v>
          </cell>
          <cell r="F13684" t="str">
            <v xml:space="preserve">PSY-P </v>
          </cell>
          <cell r="G13684">
            <v>494</v>
          </cell>
          <cell r="H13684" t="str">
            <v>PSY-P 494</v>
          </cell>
          <cell r="K13684" t="str">
            <v>Smith,Linda B.</v>
          </cell>
          <cell r="N13684">
            <v>4</v>
          </cell>
          <cell r="O13684">
            <v>3.4</v>
          </cell>
        </row>
        <row r="13685">
          <cell r="E13685" t="str">
            <v>PSY</v>
          </cell>
          <cell r="F13685" t="str">
            <v xml:space="preserve">PSY-P </v>
          </cell>
          <cell r="G13685">
            <v>494</v>
          </cell>
          <cell r="H13685" t="str">
            <v>PSY-P 494</v>
          </cell>
          <cell r="K13685" t="str">
            <v>Smith,Linda B.</v>
          </cell>
          <cell r="N13685" t="str">
            <v>NR</v>
          </cell>
          <cell r="O13685" t="str">
            <v>NR</v>
          </cell>
        </row>
        <row r="13686">
          <cell r="E13686" t="str">
            <v>PSY</v>
          </cell>
          <cell r="F13686" t="str">
            <v xml:space="preserve">PSY-P </v>
          </cell>
          <cell r="G13686">
            <v>494</v>
          </cell>
          <cell r="H13686" t="str">
            <v>PSY-P 494</v>
          </cell>
          <cell r="K13686" t="str">
            <v>Smith,Linda B.</v>
          </cell>
          <cell r="N13686">
            <v>3.9569999999999999</v>
          </cell>
          <cell r="O13686">
            <v>3.2839999999999998</v>
          </cell>
        </row>
        <row r="13687">
          <cell r="E13687" t="str">
            <v>PSY</v>
          </cell>
          <cell r="F13687" t="str">
            <v xml:space="preserve">PSY-P </v>
          </cell>
          <cell r="G13687">
            <v>494</v>
          </cell>
          <cell r="H13687" t="str">
            <v>PSY-P 494</v>
          </cell>
          <cell r="K13687" t="str">
            <v>Smith,Linda B.</v>
          </cell>
          <cell r="N13687" t="str">
            <v>NR</v>
          </cell>
          <cell r="O13687" t="str">
            <v>NR</v>
          </cell>
        </row>
        <row r="13688">
          <cell r="E13688" t="str">
            <v>PSY</v>
          </cell>
          <cell r="F13688" t="str">
            <v xml:space="preserve">PSY-P </v>
          </cell>
          <cell r="G13688">
            <v>494</v>
          </cell>
          <cell r="H13688" t="str">
            <v>PSY-P 494</v>
          </cell>
          <cell r="K13688" t="str">
            <v>Sporns,Olaf</v>
          </cell>
          <cell r="N13688" t="str">
            <v>NR</v>
          </cell>
          <cell r="O13688" t="str">
            <v>NR</v>
          </cell>
        </row>
        <row r="13689">
          <cell r="E13689" t="str">
            <v>PSY</v>
          </cell>
          <cell r="F13689" t="str">
            <v xml:space="preserve">PSY-P </v>
          </cell>
          <cell r="G13689">
            <v>494</v>
          </cell>
          <cell r="H13689" t="str">
            <v>PSY-P 494</v>
          </cell>
          <cell r="K13689" t="str">
            <v>Todd,Peter Martin</v>
          </cell>
          <cell r="N13689" t="str">
            <v>NR</v>
          </cell>
          <cell r="O13689" t="str">
            <v>NR</v>
          </cell>
        </row>
        <row r="13690">
          <cell r="E13690" t="str">
            <v>PSY</v>
          </cell>
          <cell r="F13690" t="str">
            <v xml:space="preserve">PSY-P </v>
          </cell>
          <cell r="G13690">
            <v>494</v>
          </cell>
          <cell r="H13690" t="str">
            <v>PSY-P 494</v>
          </cell>
          <cell r="K13690" t="str">
            <v>Townsend,James T.</v>
          </cell>
          <cell r="N13690" t="str">
            <v>NR</v>
          </cell>
          <cell r="O13690" t="str">
            <v>NR</v>
          </cell>
        </row>
        <row r="13691">
          <cell r="E13691" t="str">
            <v>PSY</v>
          </cell>
          <cell r="F13691" t="str">
            <v xml:space="preserve">PSY-P </v>
          </cell>
          <cell r="G13691">
            <v>494</v>
          </cell>
          <cell r="H13691" t="str">
            <v>PSY-P 494</v>
          </cell>
          <cell r="K13691" t="str">
            <v>Vlachos-Weber,Irene Diana</v>
          </cell>
          <cell r="N13691" t="str">
            <v>NR</v>
          </cell>
          <cell r="O13691" t="str">
            <v>NR</v>
          </cell>
        </row>
        <row r="13692">
          <cell r="E13692" t="str">
            <v>PSY</v>
          </cell>
          <cell r="F13692" t="str">
            <v xml:space="preserve">PSY-P </v>
          </cell>
          <cell r="G13692">
            <v>494</v>
          </cell>
          <cell r="H13692" t="str">
            <v>PSY-P 494</v>
          </cell>
          <cell r="K13692" t="str">
            <v>Vlachos-Weber,Irene Diana</v>
          </cell>
          <cell r="N13692" t="str">
            <v>NR</v>
          </cell>
          <cell r="O13692" t="str">
            <v>NR</v>
          </cell>
        </row>
        <row r="13693">
          <cell r="E13693" t="str">
            <v>PSY</v>
          </cell>
          <cell r="F13693" t="str">
            <v xml:space="preserve">PSY-P </v>
          </cell>
          <cell r="G13693">
            <v>494</v>
          </cell>
          <cell r="H13693" t="str">
            <v>PSY-P 494</v>
          </cell>
          <cell r="K13693" t="str">
            <v>Wellman,Cara Lynn</v>
          </cell>
          <cell r="N13693" t="str">
            <v>NR</v>
          </cell>
          <cell r="O13693" t="str">
            <v>NR</v>
          </cell>
        </row>
        <row r="13694">
          <cell r="E13694" t="str">
            <v>PSY</v>
          </cell>
          <cell r="F13694" t="str">
            <v xml:space="preserve">PSY-P </v>
          </cell>
          <cell r="G13694">
            <v>494</v>
          </cell>
          <cell r="H13694" t="str">
            <v>PSY-P 494</v>
          </cell>
          <cell r="K13694" t="str">
            <v>Wellman,Cara Lynn</v>
          </cell>
          <cell r="N13694" t="str">
            <v>NR</v>
          </cell>
          <cell r="O13694" t="str">
            <v>NR</v>
          </cell>
        </row>
        <row r="13695">
          <cell r="E13695" t="str">
            <v>PSY</v>
          </cell>
          <cell r="F13695" t="str">
            <v xml:space="preserve">PSY-P </v>
          </cell>
          <cell r="G13695">
            <v>494</v>
          </cell>
          <cell r="H13695" t="str">
            <v>PSY-P 494</v>
          </cell>
          <cell r="K13695" t="str">
            <v>Yu,Chen</v>
          </cell>
          <cell r="N13695" t="str">
            <v>NR</v>
          </cell>
          <cell r="O13695" t="str">
            <v>NR</v>
          </cell>
        </row>
        <row r="13696">
          <cell r="E13696" t="str">
            <v>PSY</v>
          </cell>
          <cell r="F13696" t="str">
            <v xml:space="preserve">PSY-P </v>
          </cell>
          <cell r="G13696">
            <v>495</v>
          </cell>
          <cell r="H13696" t="str">
            <v>PSY-P 495</v>
          </cell>
          <cell r="K13696" t="str">
            <v>Alberts,Jeffrey R</v>
          </cell>
          <cell r="N13696" t="str">
            <v>NR</v>
          </cell>
          <cell r="O13696" t="str">
            <v>NR</v>
          </cell>
        </row>
        <row r="13697">
          <cell r="E13697" t="str">
            <v>PSY</v>
          </cell>
          <cell r="F13697" t="str">
            <v xml:space="preserve">PSY-P </v>
          </cell>
          <cell r="G13697">
            <v>495</v>
          </cell>
          <cell r="H13697" t="str">
            <v>PSY-P 495</v>
          </cell>
          <cell r="K13697" t="str">
            <v>Bates,John E.</v>
          </cell>
          <cell r="N13697" t="str">
            <v>NR</v>
          </cell>
          <cell r="O13697" t="str">
            <v>NR</v>
          </cell>
        </row>
        <row r="13698">
          <cell r="E13698" t="str">
            <v>PSY</v>
          </cell>
          <cell r="F13698" t="str">
            <v xml:space="preserve">PSY-P </v>
          </cell>
          <cell r="G13698">
            <v>495</v>
          </cell>
          <cell r="H13698" t="str">
            <v>PSY-P 495</v>
          </cell>
          <cell r="K13698" t="str">
            <v>Bates,John E.</v>
          </cell>
          <cell r="N13698" t="str">
            <v>NR</v>
          </cell>
          <cell r="O13698" t="str">
            <v>NR</v>
          </cell>
        </row>
        <row r="13699">
          <cell r="E13699" t="str">
            <v>PSY</v>
          </cell>
          <cell r="F13699" t="str">
            <v xml:space="preserve">PSY-P </v>
          </cell>
          <cell r="G13699">
            <v>495</v>
          </cell>
          <cell r="H13699" t="str">
            <v>PSY-P 495</v>
          </cell>
          <cell r="K13699" t="str">
            <v>Bradshaw,Heather B</v>
          </cell>
          <cell r="N13699" t="str">
            <v>NR</v>
          </cell>
          <cell r="O13699" t="str">
            <v>NR</v>
          </cell>
        </row>
        <row r="13700">
          <cell r="E13700" t="str">
            <v>PSY</v>
          </cell>
          <cell r="F13700" t="str">
            <v xml:space="preserve">PSY-P </v>
          </cell>
          <cell r="G13700">
            <v>495</v>
          </cell>
          <cell r="H13700" t="str">
            <v>PSY-P 495</v>
          </cell>
          <cell r="K13700" t="str">
            <v>Busemeyer,Jerome R.</v>
          </cell>
          <cell r="N13700" t="str">
            <v>NR</v>
          </cell>
          <cell r="O13700" t="str">
            <v>NR</v>
          </cell>
        </row>
        <row r="13701">
          <cell r="E13701" t="str">
            <v>PSY</v>
          </cell>
          <cell r="F13701" t="str">
            <v xml:space="preserve">PSY-P </v>
          </cell>
          <cell r="G13701">
            <v>495</v>
          </cell>
          <cell r="H13701" t="str">
            <v>PSY-P 495</v>
          </cell>
          <cell r="K13701" t="str">
            <v>D'Onofrio,Brian Matthew</v>
          </cell>
          <cell r="N13701" t="str">
            <v>NR</v>
          </cell>
          <cell r="O13701" t="str">
            <v>NR</v>
          </cell>
        </row>
        <row r="13702">
          <cell r="E13702" t="str">
            <v>PSY</v>
          </cell>
          <cell r="F13702" t="str">
            <v xml:space="preserve">PSY-P </v>
          </cell>
          <cell r="G13702">
            <v>495</v>
          </cell>
          <cell r="H13702" t="str">
            <v>PSY-P 495</v>
          </cell>
          <cell r="K13702" t="str">
            <v>Finn,Peter</v>
          </cell>
          <cell r="N13702" t="str">
            <v>NR</v>
          </cell>
          <cell r="O13702" t="str">
            <v>NR</v>
          </cell>
        </row>
        <row r="13703">
          <cell r="E13703" t="str">
            <v>PSY</v>
          </cell>
          <cell r="F13703" t="str">
            <v xml:space="preserve">PSY-P </v>
          </cell>
          <cell r="G13703">
            <v>495</v>
          </cell>
          <cell r="H13703" t="str">
            <v>PSY-P 495</v>
          </cell>
          <cell r="K13703" t="str">
            <v>Finn,Peter</v>
          </cell>
          <cell r="N13703" t="str">
            <v>NR</v>
          </cell>
          <cell r="O13703" t="str">
            <v>NR</v>
          </cell>
        </row>
        <row r="13704">
          <cell r="E13704" t="str">
            <v>PSY</v>
          </cell>
          <cell r="F13704" t="str">
            <v xml:space="preserve">PSY-P </v>
          </cell>
          <cell r="G13704">
            <v>495</v>
          </cell>
          <cell r="H13704" t="str">
            <v>PSY-P 495</v>
          </cell>
          <cell r="K13704" t="str">
            <v>Goldstone,Robert L.</v>
          </cell>
          <cell r="N13704" t="str">
            <v>NR</v>
          </cell>
          <cell r="O13704" t="str">
            <v>NR</v>
          </cell>
        </row>
        <row r="13705">
          <cell r="E13705" t="str">
            <v>PSY</v>
          </cell>
          <cell r="F13705" t="str">
            <v xml:space="preserve">PSY-P </v>
          </cell>
          <cell r="G13705">
            <v>495</v>
          </cell>
          <cell r="H13705" t="str">
            <v>PSY-P 495</v>
          </cell>
          <cell r="K13705" t="str">
            <v>Goldstone,Robert L.</v>
          </cell>
          <cell r="N13705" t="str">
            <v>NR</v>
          </cell>
          <cell r="O13705" t="str">
            <v>NR</v>
          </cell>
        </row>
        <row r="13706">
          <cell r="E13706" t="str">
            <v>PSY</v>
          </cell>
          <cell r="F13706" t="str">
            <v xml:space="preserve">PSY-P </v>
          </cell>
          <cell r="G13706">
            <v>495</v>
          </cell>
          <cell r="H13706" t="str">
            <v>PSY-P 495</v>
          </cell>
          <cell r="K13706" t="str">
            <v>Heiman,Julia R</v>
          </cell>
          <cell r="N13706" t="str">
            <v>NR</v>
          </cell>
          <cell r="O13706" t="str">
            <v>NR</v>
          </cell>
        </row>
        <row r="13707">
          <cell r="E13707" t="str">
            <v>PSY</v>
          </cell>
          <cell r="F13707" t="str">
            <v xml:space="preserve">PSY-P </v>
          </cell>
          <cell r="G13707">
            <v>495</v>
          </cell>
          <cell r="H13707" t="str">
            <v>PSY-P 495</v>
          </cell>
          <cell r="K13707" t="str">
            <v>Hetrick,William P.</v>
          </cell>
          <cell r="N13707" t="str">
            <v>NR</v>
          </cell>
          <cell r="O13707" t="str">
            <v>NR</v>
          </cell>
        </row>
        <row r="13708">
          <cell r="E13708" t="str">
            <v>PSY</v>
          </cell>
          <cell r="F13708" t="str">
            <v xml:space="preserve">PSY-P </v>
          </cell>
          <cell r="G13708">
            <v>495</v>
          </cell>
          <cell r="H13708" t="str">
            <v>PSY-P 495</v>
          </cell>
          <cell r="K13708" t="str">
            <v>Hirt,Edward Raymond</v>
          </cell>
          <cell r="N13708" t="str">
            <v>NR</v>
          </cell>
          <cell r="O13708" t="str">
            <v>NR</v>
          </cell>
        </row>
        <row r="13709">
          <cell r="E13709" t="str">
            <v>PSY</v>
          </cell>
          <cell r="F13709" t="str">
            <v xml:space="preserve">PSY-P </v>
          </cell>
          <cell r="G13709">
            <v>495</v>
          </cell>
          <cell r="H13709" t="str">
            <v>PSY-P 495</v>
          </cell>
          <cell r="K13709" t="str">
            <v>Hirt,Edward Raymond</v>
          </cell>
          <cell r="N13709" t="str">
            <v>NR</v>
          </cell>
          <cell r="O13709" t="str">
            <v>NR</v>
          </cell>
        </row>
        <row r="13710">
          <cell r="E13710" t="str">
            <v>PSY</v>
          </cell>
          <cell r="F13710" t="str">
            <v xml:space="preserve">PSY-P </v>
          </cell>
          <cell r="G13710">
            <v>495</v>
          </cell>
          <cell r="H13710" t="str">
            <v>PSY-P 495</v>
          </cell>
          <cell r="K13710" t="str">
            <v>Hoffman,Cynthia M</v>
          </cell>
          <cell r="N13710" t="str">
            <v>NR</v>
          </cell>
          <cell r="O13710" t="str">
            <v>NR</v>
          </cell>
        </row>
        <row r="13711">
          <cell r="E13711" t="str">
            <v>PSY</v>
          </cell>
          <cell r="F13711" t="str">
            <v xml:space="preserve">PSY-P </v>
          </cell>
          <cell r="G13711">
            <v>495</v>
          </cell>
          <cell r="H13711" t="str">
            <v>PSY-P 495</v>
          </cell>
          <cell r="K13711" t="str">
            <v>Holtzworth-Munroe,Amy</v>
          </cell>
          <cell r="N13711" t="str">
            <v>NR</v>
          </cell>
          <cell r="O13711" t="str">
            <v>NR</v>
          </cell>
        </row>
        <row r="13712">
          <cell r="E13712" t="str">
            <v>PSY</v>
          </cell>
          <cell r="F13712" t="str">
            <v xml:space="preserve">PSY-P </v>
          </cell>
          <cell r="G13712">
            <v>495</v>
          </cell>
          <cell r="H13712" t="str">
            <v>PSY-P 495</v>
          </cell>
          <cell r="K13712" t="str">
            <v>Holtzworth-Munroe,Amy</v>
          </cell>
          <cell r="N13712" t="str">
            <v>NR</v>
          </cell>
          <cell r="O13712" t="str">
            <v>NR</v>
          </cell>
        </row>
        <row r="13713">
          <cell r="E13713" t="str">
            <v>PSY</v>
          </cell>
          <cell r="F13713" t="str">
            <v xml:space="preserve">PSY-P </v>
          </cell>
          <cell r="G13713">
            <v>495</v>
          </cell>
          <cell r="H13713" t="str">
            <v>PSY-P 495</v>
          </cell>
          <cell r="K13713" t="str">
            <v>James,Karin Harman</v>
          </cell>
          <cell r="N13713" t="str">
            <v>NR</v>
          </cell>
          <cell r="O13713" t="str">
            <v>NR</v>
          </cell>
        </row>
        <row r="13714">
          <cell r="E13714" t="str">
            <v>PSY</v>
          </cell>
          <cell r="F13714" t="str">
            <v xml:space="preserve">PSY-P </v>
          </cell>
          <cell r="G13714">
            <v>495</v>
          </cell>
          <cell r="H13714" t="str">
            <v>PSY-P 495</v>
          </cell>
          <cell r="K13714" t="str">
            <v>James,Tom</v>
          </cell>
          <cell r="N13714" t="str">
            <v>NR</v>
          </cell>
          <cell r="O13714" t="str">
            <v>NR</v>
          </cell>
        </row>
        <row r="13715">
          <cell r="E13715" t="str">
            <v>PSY</v>
          </cell>
          <cell r="F13715" t="str">
            <v xml:space="preserve">PSY-P </v>
          </cell>
          <cell r="G13715">
            <v>495</v>
          </cell>
          <cell r="H13715" t="str">
            <v>PSY-P 495</v>
          </cell>
          <cell r="K13715" t="str">
            <v>Jones,Michael</v>
          </cell>
          <cell r="N13715" t="str">
            <v>NR</v>
          </cell>
          <cell r="O13715" t="str">
            <v>NR</v>
          </cell>
        </row>
        <row r="13716">
          <cell r="E13716" t="str">
            <v>PSY</v>
          </cell>
          <cell r="F13716" t="str">
            <v xml:space="preserve">PSY-P </v>
          </cell>
          <cell r="G13716">
            <v>495</v>
          </cell>
          <cell r="H13716" t="str">
            <v>PSY-P 495</v>
          </cell>
          <cell r="K13716" t="str">
            <v>Krendl,Anne Catherine</v>
          </cell>
          <cell r="N13716" t="str">
            <v>NR</v>
          </cell>
          <cell r="O13716" t="str">
            <v>NR</v>
          </cell>
        </row>
        <row r="13717">
          <cell r="E13717" t="str">
            <v>PSY</v>
          </cell>
          <cell r="F13717" t="str">
            <v xml:space="preserve">PSY-P </v>
          </cell>
          <cell r="G13717">
            <v>495</v>
          </cell>
          <cell r="H13717" t="str">
            <v>PSY-P 495</v>
          </cell>
          <cell r="K13717" t="str">
            <v>Kruschke,John K.</v>
          </cell>
          <cell r="N13717" t="str">
            <v>NR</v>
          </cell>
          <cell r="O13717" t="str">
            <v>NR</v>
          </cell>
        </row>
        <row r="13718">
          <cell r="E13718" t="str">
            <v>PSY</v>
          </cell>
          <cell r="F13718" t="str">
            <v xml:space="preserve">PSY-P </v>
          </cell>
          <cell r="G13718">
            <v>495</v>
          </cell>
          <cell r="H13718" t="str">
            <v>PSY-P 495</v>
          </cell>
          <cell r="K13718" t="str">
            <v>Lewis,Cara Charissa</v>
          </cell>
          <cell r="N13718" t="str">
            <v>NR</v>
          </cell>
          <cell r="O13718" t="str">
            <v>NR</v>
          </cell>
        </row>
        <row r="13719">
          <cell r="E13719" t="str">
            <v>PSY</v>
          </cell>
          <cell r="F13719" t="str">
            <v xml:space="preserve">PSY-P </v>
          </cell>
          <cell r="G13719">
            <v>495</v>
          </cell>
          <cell r="H13719" t="str">
            <v>PSY-P 495</v>
          </cell>
          <cell r="K13719" t="str">
            <v>Newman,Sharlene D.</v>
          </cell>
          <cell r="N13719" t="str">
            <v>NR</v>
          </cell>
          <cell r="O13719" t="str">
            <v>NR</v>
          </cell>
        </row>
        <row r="13720">
          <cell r="E13720" t="str">
            <v>PSY</v>
          </cell>
          <cell r="F13720" t="str">
            <v xml:space="preserve">PSY-P </v>
          </cell>
          <cell r="G13720">
            <v>495</v>
          </cell>
          <cell r="H13720" t="str">
            <v>PSY-P 495</v>
          </cell>
          <cell r="K13720" t="str">
            <v>Pisoni,David B.</v>
          </cell>
          <cell r="N13720" t="str">
            <v>NR</v>
          </cell>
          <cell r="O13720" t="str">
            <v>NR</v>
          </cell>
        </row>
        <row r="13721">
          <cell r="E13721" t="str">
            <v>PSY</v>
          </cell>
          <cell r="F13721" t="str">
            <v xml:space="preserve">PSY-P </v>
          </cell>
          <cell r="G13721">
            <v>495</v>
          </cell>
          <cell r="H13721" t="str">
            <v>PSY-P 495</v>
          </cell>
          <cell r="K13721" t="str">
            <v>Rebec,George V.</v>
          </cell>
          <cell r="N13721" t="str">
            <v>NR</v>
          </cell>
          <cell r="O13721" t="str">
            <v>NR</v>
          </cell>
        </row>
        <row r="13722">
          <cell r="E13722" t="str">
            <v>PSY</v>
          </cell>
          <cell r="F13722" t="str">
            <v xml:space="preserve">PSY-P </v>
          </cell>
          <cell r="G13722">
            <v>495</v>
          </cell>
          <cell r="H13722" t="str">
            <v>PSY-P 495</v>
          </cell>
          <cell r="K13722" t="str">
            <v>Shiffrin,Richard M.</v>
          </cell>
          <cell r="N13722" t="str">
            <v>NR</v>
          </cell>
          <cell r="O13722" t="str">
            <v>NR</v>
          </cell>
        </row>
        <row r="13723">
          <cell r="E13723" t="str">
            <v>PSY</v>
          </cell>
          <cell r="F13723" t="str">
            <v xml:space="preserve">PSY-P </v>
          </cell>
          <cell r="G13723">
            <v>495</v>
          </cell>
          <cell r="H13723" t="str">
            <v>PSY-P 495</v>
          </cell>
          <cell r="K13723" t="str">
            <v>Sinex,Linda Hoke</v>
          </cell>
          <cell r="N13723" t="str">
            <v>NR</v>
          </cell>
          <cell r="O13723" t="str">
            <v>NR</v>
          </cell>
        </row>
        <row r="13724">
          <cell r="E13724" t="str">
            <v>PSY</v>
          </cell>
          <cell r="F13724" t="str">
            <v xml:space="preserve">PSY-P </v>
          </cell>
          <cell r="G13724">
            <v>495</v>
          </cell>
          <cell r="H13724" t="str">
            <v>PSY-P 495</v>
          </cell>
          <cell r="K13724" t="str">
            <v>Smith,Linda B.</v>
          </cell>
          <cell r="N13724" t="str">
            <v>NR</v>
          </cell>
          <cell r="O13724" t="str">
            <v>NR</v>
          </cell>
        </row>
        <row r="13725">
          <cell r="E13725" t="str">
            <v>PSY</v>
          </cell>
          <cell r="F13725" t="str">
            <v xml:space="preserve">PSY-P </v>
          </cell>
          <cell r="G13725">
            <v>495</v>
          </cell>
          <cell r="H13725" t="str">
            <v>PSY-P 495</v>
          </cell>
          <cell r="K13725" t="str">
            <v>Smith,Linda B.</v>
          </cell>
          <cell r="N13725" t="str">
            <v>NR</v>
          </cell>
          <cell r="O13725" t="str">
            <v>NR</v>
          </cell>
        </row>
        <row r="13726">
          <cell r="E13726" t="str">
            <v>PSY</v>
          </cell>
          <cell r="F13726" t="str">
            <v xml:space="preserve">PSY-P </v>
          </cell>
          <cell r="G13726">
            <v>495</v>
          </cell>
          <cell r="H13726" t="str">
            <v>PSY-P 495</v>
          </cell>
          <cell r="K13726" t="str">
            <v>Smith,Linda B.</v>
          </cell>
          <cell r="N13726" t="str">
            <v>NR</v>
          </cell>
          <cell r="O13726" t="str">
            <v>NR</v>
          </cell>
        </row>
        <row r="13727">
          <cell r="E13727" t="str">
            <v>PSY</v>
          </cell>
          <cell r="F13727" t="str">
            <v xml:space="preserve">PSY-P </v>
          </cell>
          <cell r="G13727">
            <v>495</v>
          </cell>
          <cell r="H13727" t="str">
            <v>PSY-P 495</v>
          </cell>
          <cell r="K13727" t="str">
            <v>Smith,Linda B.</v>
          </cell>
          <cell r="N13727" t="str">
            <v>NR</v>
          </cell>
          <cell r="O13727" t="str">
            <v>NR</v>
          </cell>
        </row>
        <row r="13728">
          <cell r="E13728" t="str">
            <v>PSY</v>
          </cell>
          <cell r="F13728" t="str">
            <v xml:space="preserve">PSY-P </v>
          </cell>
          <cell r="G13728">
            <v>495</v>
          </cell>
          <cell r="H13728" t="str">
            <v>PSY-P 495</v>
          </cell>
          <cell r="K13728" t="str">
            <v>Vlachos-Weber,Irene Diana</v>
          </cell>
          <cell r="N13728" t="str">
            <v>NR</v>
          </cell>
          <cell r="O13728" t="str">
            <v>NR</v>
          </cell>
        </row>
        <row r="13729">
          <cell r="E13729" t="str">
            <v>PSY</v>
          </cell>
          <cell r="F13729" t="str">
            <v xml:space="preserve">PSY-P </v>
          </cell>
          <cell r="G13729">
            <v>495</v>
          </cell>
          <cell r="H13729" t="str">
            <v>PSY-P 495</v>
          </cell>
          <cell r="K13729" t="str">
            <v>Vlachos-Weber,Irene Diana</v>
          </cell>
          <cell r="N13729" t="str">
            <v>NR</v>
          </cell>
          <cell r="O13729" t="str">
            <v>NR</v>
          </cell>
        </row>
        <row r="13730">
          <cell r="E13730" t="str">
            <v>PSY</v>
          </cell>
          <cell r="F13730" t="str">
            <v xml:space="preserve">PSY-P </v>
          </cell>
          <cell r="G13730">
            <v>499</v>
          </cell>
          <cell r="H13730" t="str">
            <v>PSY-P 499</v>
          </cell>
          <cell r="K13730" t="str">
            <v>Sengelaub,Dale R</v>
          </cell>
          <cell r="N13730" t="str">
            <v>NR</v>
          </cell>
          <cell r="O13730" t="str">
            <v>NR</v>
          </cell>
        </row>
        <row r="13731">
          <cell r="E13731" t="str">
            <v>PSY</v>
          </cell>
          <cell r="F13731" t="str">
            <v xml:space="preserve">PSY-P </v>
          </cell>
          <cell r="G13731">
            <v>499</v>
          </cell>
          <cell r="H13731" t="str">
            <v>PSY-P 499</v>
          </cell>
          <cell r="K13731" t="str">
            <v>Sengelaub,Dale R.</v>
          </cell>
          <cell r="N13731">
            <v>4</v>
          </cell>
          <cell r="O13731">
            <v>3.6850000000000001</v>
          </cell>
        </row>
        <row r="13732">
          <cell r="E13732" t="str">
            <v>PSY</v>
          </cell>
          <cell r="F13732" t="str">
            <v xml:space="preserve">PSY-P </v>
          </cell>
          <cell r="G13732">
            <v>526</v>
          </cell>
          <cell r="H13732" t="str">
            <v>PSY-P 526</v>
          </cell>
          <cell r="K13732" t="str">
            <v>Farley,Joseph</v>
          </cell>
          <cell r="N13732" t="str">
            <v>NR</v>
          </cell>
          <cell r="O13732" t="str">
            <v>NR</v>
          </cell>
        </row>
        <row r="13733">
          <cell r="E13733" t="str">
            <v>PSY</v>
          </cell>
          <cell r="F13733" t="str">
            <v xml:space="preserve">PSY-P </v>
          </cell>
          <cell r="G13733">
            <v>530</v>
          </cell>
          <cell r="H13733" t="str">
            <v>PSY-P 530</v>
          </cell>
          <cell r="K13733" t="str">
            <v>D'Onofrio,Brian Matthew</v>
          </cell>
          <cell r="N13733">
            <v>3.7440000000000002</v>
          </cell>
          <cell r="O13733">
            <v>3.7549999999999999</v>
          </cell>
        </row>
        <row r="13734">
          <cell r="E13734" t="str">
            <v>PSY</v>
          </cell>
          <cell r="F13734" t="str">
            <v xml:space="preserve">PSY-P </v>
          </cell>
          <cell r="G13734">
            <v>533</v>
          </cell>
          <cell r="H13734" t="str">
            <v>PSY-P 533</v>
          </cell>
          <cell r="K13734" t="str">
            <v>Kruschke,John K.</v>
          </cell>
          <cell r="N13734">
            <v>3.964</v>
          </cell>
          <cell r="O13734">
            <v>3.8149999999999999</v>
          </cell>
        </row>
        <row r="13735">
          <cell r="E13735" t="str">
            <v>PSY</v>
          </cell>
          <cell r="F13735" t="str">
            <v xml:space="preserve">PSY-P </v>
          </cell>
          <cell r="G13735">
            <v>534</v>
          </cell>
          <cell r="H13735" t="str">
            <v>PSY-P 534</v>
          </cell>
          <cell r="K13735" t="str">
            <v>Kruschke,John K.</v>
          </cell>
          <cell r="N13735">
            <v>3.968</v>
          </cell>
          <cell r="O13735">
            <v>3.8380000000000001</v>
          </cell>
        </row>
        <row r="13736">
          <cell r="E13736" t="str">
            <v>PSY</v>
          </cell>
          <cell r="F13736" t="str">
            <v xml:space="preserve">PSY-P </v>
          </cell>
          <cell r="G13736">
            <v>553</v>
          </cell>
          <cell r="H13736" t="str">
            <v>PSY-P 553</v>
          </cell>
          <cell r="K13736" t="str">
            <v>Wasserman,Stanley</v>
          </cell>
          <cell r="N13736">
            <v>3.6669999999999998</v>
          </cell>
          <cell r="O13736">
            <v>3.7109999999999999</v>
          </cell>
        </row>
        <row r="13737">
          <cell r="E13737" t="str">
            <v>PSY</v>
          </cell>
          <cell r="F13737" t="str">
            <v xml:space="preserve">PSY-P </v>
          </cell>
          <cell r="G13737">
            <v>557</v>
          </cell>
          <cell r="H13737" t="str">
            <v>PSY-P 557</v>
          </cell>
          <cell r="K13737" t="str">
            <v>Nosofsky,Robert M.</v>
          </cell>
          <cell r="N13737">
            <v>3.9140000000000001</v>
          </cell>
          <cell r="O13737">
            <v>3.8719999999999999</v>
          </cell>
        </row>
        <row r="13738">
          <cell r="E13738" t="str">
            <v>PSY</v>
          </cell>
          <cell r="F13738" t="str">
            <v xml:space="preserve">PSY-P </v>
          </cell>
          <cell r="G13738">
            <v>561</v>
          </cell>
          <cell r="H13738" t="str">
            <v>PSY-P 561</v>
          </cell>
          <cell r="K13738" t="str">
            <v>Pisoni,David B.</v>
          </cell>
          <cell r="N13738">
            <v>3.415</v>
          </cell>
          <cell r="O13738">
            <v>3.694</v>
          </cell>
        </row>
        <row r="13739">
          <cell r="E13739" t="str">
            <v>PSY</v>
          </cell>
          <cell r="F13739" t="str">
            <v xml:space="preserve">PSY-P </v>
          </cell>
          <cell r="G13739">
            <v>590</v>
          </cell>
          <cell r="H13739" t="str">
            <v>PSY-P 590</v>
          </cell>
          <cell r="K13739" t="str">
            <v>Hetrick,William P.</v>
          </cell>
          <cell r="N13739" t="str">
            <v>NR</v>
          </cell>
          <cell r="O13739" t="str">
            <v>NR</v>
          </cell>
        </row>
        <row r="13740">
          <cell r="E13740" t="str">
            <v>PSY</v>
          </cell>
          <cell r="F13740" t="str">
            <v xml:space="preserve">PSY-P </v>
          </cell>
          <cell r="G13740">
            <v>590</v>
          </cell>
          <cell r="H13740" t="str">
            <v>PSY-P 590</v>
          </cell>
          <cell r="K13740" t="str">
            <v>Smith,Linda B.</v>
          </cell>
          <cell r="N13740" t="str">
            <v>NR</v>
          </cell>
          <cell r="O13740" t="str">
            <v>NR</v>
          </cell>
        </row>
        <row r="13741">
          <cell r="E13741" t="str">
            <v>PSY</v>
          </cell>
          <cell r="F13741" t="str">
            <v xml:space="preserve">PSY-P </v>
          </cell>
          <cell r="G13741">
            <v>595</v>
          </cell>
          <cell r="H13741" t="str">
            <v>PSY-P 595</v>
          </cell>
          <cell r="K13741" t="str">
            <v>Todd,Peter Martin</v>
          </cell>
          <cell r="N13741">
            <v>4</v>
          </cell>
          <cell r="O13741">
            <v>3.698</v>
          </cell>
        </row>
        <row r="13742">
          <cell r="E13742" t="str">
            <v>PSY</v>
          </cell>
          <cell r="F13742" t="str">
            <v xml:space="preserve">PSY-P </v>
          </cell>
          <cell r="G13742">
            <v>595</v>
          </cell>
          <cell r="H13742" t="str">
            <v>PSY-P 595</v>
          </cell>
          <cell r="K13742" t="str">
            <v>West,Meredith</v>
          </cell>
          <cell r="N13742" t="str">
            <v>NR</v>
          </cell>
          <cell r="O13742" t="str">
            <v>NR</v>
          </cell>
        </row>
        <row r="13743">
          <cell r="E13743" t="str">
            <v>PSY</v>
          </cell>
          <cell r="F13743" t="str">
            <v xml:space="preserve">PSY-P </v>
          </cell>
          <cell r="G13743">
            <v>605</v>
          </cell>
          <cell r="H13743" t="str">
            <v>PSY-P 605</v>
          </cell>
          <cell r="K13743" t="str">
            <v>Townsend,James T.</v>
          </cell>
          <cell r="N13743" t="str">
            <v>NR</v>
          </cell>
          <cell r="O13743" t="str">
            <v>NR</v>
          </cell>
        </row>
        <row r="13744">
          <cell r="E13744" t="str">
            <v>PSY</v>
          </cell>
          <cell r="F13744" t="str">
            <v xml:space="preserve">PSY-P </v>
          </cell>
          <cell r="G13744">
            <v>620</v>
          </cell>
          <cell r="H13744" t="str">
            <v>PSY-P 620</v>
          </cell>
          <cell r="K13744" t="str">
            <v>Rydell,Robert Joseph</v>
          </cell>
          <cell r="N13744">
            <v>3.867</v>
          </cell>
          <cell r="O13744">
            <v>3.754</v>
          </cell>
        </row>
        <row r="13745">
          <cell r="E13745" t="str">
            <v>PSY</v>
          </cell>
          <cell r="F13745" t="str">
            <v xml:space="preserve">PSY-P </v>
          </cell>
          <cell r="G13745">
            <v>631</v>
          </cell>
          <cell r="H13745" t="str">
            <v>PSY-P 631</v>
          </cell>
          <cell r="K13745" t="str">
            <v>Holtzworth-Munroe,Amy</v>
          </cell>
          <cell r="N13745">
            <v>4</v>
          </cell>
          <cell r="O13745">
            <v>3.9750000000000001</v>
          </cell>
        </row>
        <row r="13746">
          <cell r="E13746" t="str">
            <v>PSY</v>
          </cell>
          <cell r="F13746" t="str">
            <v xml:space="preserve">PSY-P </v>
          </cell>
          <cell r="G13746">
            <v>637</v>
          </cell>
          <cell r="H13746" t="str">
            <v>PSY-P 637</v>
          </cell>
          <cell r="K13746" t="str">
            <v>Farley,Joseph</v>
          </cell>
          <cell r="N13746" t="str">
            <v>NR</v>
          </cell>
          <cell r="O13746" t="str">
            <v>NR</v>
          </cell>
        </row>
        <row r="13747">
          <cell r="E13747" t="str">
            <v>PSY</v>
          </cell>
          <cell r="F13747" t="str">
            <v xml:space="preserve">PSY-P </v>
          </cell>
          <cell r="G13747">
            <v>648</v>
          </cell>
          <cell r="H13747" t="str">
            <v>PSY-P 648</v>
          </cell>
          <cell r="K13747" t="str">
            <v>Busemeyer,Jerome R.</v>
          </cell>
          <cell r="N13747">
            <v>3.9569999999999999</v>
          </cell>
          <cell r="O13747">
            <v>3.8519999999999999</v>
          </cell>
        </row>
        <row r="13748">
          <cell r="E13748" t="str">
            <v>PSY</v>
          </cell>
          <cell r="F13748" t="str">
            <v xml:space="preserve">PSY-P </v>
          </cell>
          <cell r="G13748">
            <v>650</v>
          </cell>
          <cell r="H13748" t="str">
            <v>PSY-P 650</v>
          </cell>
          <cell r="K13748" t="str">
            <v>James,Tom</v>
          </cell>
          <cell r="N13748">
            <v>3.6880000000000002</v>
          </cell>
          <cell r="O13748">
            <v>3.7480000000000002</v>
          </cell>
        </row>
        <row r="13749">
          <cell r="E13749" t="str">
            <v>PSY</v>
          </cell>
          <cell r="F13749" t="str">
            <v xml:space="preserve">PSY-P </v>
          </cell>
          <cell r="G13749">
            <v>654</v>
          </cell>
          <cell r="H13749" t="str">
            <v>PSY-P 654</v>
          </cell>
          <cell r="K13749" t="str">
            <v>Wyatt,William Russell</v>
          </cell>
          <cell r="N13749" t="str">
            <v>NR</v>
          </cell>
          <cell r="O13749" t="str">
            <v>NR</v>
          </cell>
        </row>
        <row r="13750">
          <cell r="E13750" t="str">
            <v>PSY</v>
          </cell>
          <cell r="F13750" t="str">
            <v xml:space="preserve">PSY-P </v>
          </cell>
          <cell r="G13750">
            <v>657</v>
          </cell>
          <cell r="H13750" t="str">
            <v>PSY-P 657</v>
          </cell>
          <cell r="K13750" t="str">
            <v>Bertenthal,Bennett I</v>
          </cell>
          <cell r="N13750">
            <v>3.7109999999999999</v>
          </cell>
          <cell r="O13750">
            <v>3.7829999999999999</v>
          </cell>
        </row>
        <row r="13751">
          <cell r="E13751" t="str">
            <v>PSY</v>
          </cell>
          <cell r="F13751" t="str">
            <v xml:space="preserve">PSY-P </v>
          </cell>
          <cell r="G13751">
            <v>657</v>
          </cell>
          <cell r="H13751" t="str">
            <v>PSY-P 657</v>
          </cell>
          <cell r="K13751" t="str">
            <v>Bertenthal,Bennett I</v>
          </cell>
          <cell r="N13751">
            <v>3.85</v>
          </cell>
          <cell r="O13751">
            <v>3.88</v>
          </cell>
        </row>
        <row r="13752">
          <cell r="E13752" t="str">
            <v>PSY</v>
          </cell>
          <cell r="F13752" t="str">
            <v xml:space="preserve">PSY-P </v>
          </cell>
          <cell r="G13752">
            <v>657</v>
          </cell>
          <cell r="H13752" t="str">
            <v>PSY-P 657</v>
          </cell>
          <cell r="K13752" t="str">
            <v>Brown,Joshua William</v>
          </cell>
          <cell r="N13752">
            <v>3.8889999999999998</v>
          </cell>
          <cell r="O13752">
            <v>3.8759999999999999</v>
          </cell>
        </row>
        <row r="13753">
          <cell r="E13753" t="str">
            <v>PSY</v>
          </cell>
          <cell r="F13753" t="str">
            <v xml:space="preserve">PSY-P </v>
          </cell>
          <cell r="G13753">
            <v>657</v>
          </cell>
          <cell r="H13753" t="str">
            <v>PSY-P 657</v>
          </cell>
          <cell r="K13753" t="str">
            <v>Busemeyer,Jerome R.</v>
          </cell>
          <cell r="N13753" t="str">
            <v>NR</v>
          </cell>
          <cell r="O13753" t="str">
            <v>NR</v>
          </cell>
        </row>
        <row r="13754">
          <cell r="E13754" t="str">
            <v>PSY</v>
          </cell>
          <cell r="F13754" t="str">
            <v xml:space="preserve">PSY-P </v>
          </cell>
          <cell r="G13754">
            <v>657</v>
          </cell>
          <cell r="H13754" t="str">
            <v>PSY-P 657</v>
          </cell>
          <cell r="K13754" t="str">
            <v>Busey,Thomas Andrew</v>
          </cell>
          <cell r="N13754">
            <v>4</v>
          </cell>
          <cell r="O13754">
            <v>3.9089999999999998</v>
          </cell>
        </row>
        <row r="13755">
          <cell r="E13755" t="str">
            <v>PSY</v>
          </cell>
          <cell r="F13755" t="str">
            <v xml:space="preserve">PSY-P </v>
          </cell>
          <cell r="G13755">
            <v>657</v>
          </cell>
          <cell r="H13755" t="str">
            <v>PSY-P 657</v>
          </cell>
          <cell r="K13755" t="str">
            <v>Finn,Peter</v>
          </cell>
          <cell r="N13755">
            <v>3.94</v>
          </cell>
          <cell r="O13755">
            <v>3.86</v>
          </cell>
        </row>
        <row r="13756">
          <cell r="E13756" t="str">
            <v>PSY</v>
          </cell>
          <cell r="F13756" t="str">
            <v xml:space="preserve">PSY-P </v>
          </cell>
          <cell r="G13756">
            <v>657</v>
          </cell>
          <cell r="H13756" t="str">
            <v>PSY-P 657</v>
          </cell>
          <cell r="K13756" t="str">
            <v>Hetrick,William P.</v>
          </cell>
          <cell r="N13756" t="str">
            <v>NR</v>
          </cell>
          <cell r="O13756" t="str">
            <v>NR</v>
          </cell>
        </row>
        <row r="13757">
          <cell r="E13757" t="str">
            <v>PSY</v>
          </cell>
          <cell r="F13757" t="str">
            <v xml:space="preserve">PSY-P </v>
          </cell>
          <cell r="G13757">
            <v>657</v>
          </cell>
          <cell r="H13757" t="str">
            <v>PSY-P 657</v>
          </cell>
          <cell r="K13757" t="str">
            <v>Kennedy,Dan</v>
          </cell>
          <cell r="N13757" t="str">
            <v>NR</v>
          </cell>
          <cell r="O13757" t="str">
            <v>NR</v>
          </cell>
        </row>
        <row r="13758">
          <cell r="E13758" t="str">
            <v>PSY</v>
          </cell>
          <cell r="F13758" t="str">
            <v xml:space="preserve">PSY-P </v>
          </cell>
          <cell r="G13758">
            <v>657</v>
          </cell>
          <cell r="H13758" t="str">
            <v>PSY-P 657</v>
          </cell>
          <cell r="K13758" t="str">
            <v>Kruschke,John K.</v>
          </cell>
          <cell r="N13758" t="str">
            <v>NR</v>
          </cell>
          <cell r="O13758" t="str">
            <v>NR</v>
          </cell>
        </row>
        <row r="13759">
          <cell r="E13759" t="str">
            <v>PSY</v>
          </cell>
          <cell r="F13759" t="str">
            <v xml:space="preserve">PSY-P </v>
          </cell>
          <cell r="G13759">
            <v>657</v>
          </cell>
          <cell r="H13759" t="str">
            <v>PSY-P 657</v>
          </cell>
          <cell r="K13759" t="str">
            <v>Yu,Chen</v>
          </cell>
          <cell r="N13759" t="str">
            <v>NR</v>
          </cell>
          <cell r="O13759" t="str">
            <v>NR</v>
          </cell>
        </row>
        <row r="13760">
          <cell r="E13760" t="str">
            <v>PSY</v>
          </cell>
          <cell r="F13760" t="str">
            <v xml:space="preserve">PSY-P </v>
          </cell>
          <cell r="G13760">
            <v>660</v>
          </cell>
          <cell r="H13760" t="str">
            <v>PSY-P 660</v>
          </cell>
          <cell r="K13760" t="str">
            <v>Craig,James C.</v>
          </cell>
          <cell r="N13760" t="str">
            <v>NR</v>
          </cell>
          <cell r="O13760" t="str">
            <v>NR</v>
          </cell>
        </row>
        <row r="13761">
          <cell r="E13761" t="str">
            <v>PSY</v>
          </cell>
          <cell r="F13761" t="str">
            <v xml:space="preserve">PSY-P </v>
          </cell>
          <cell r="G13761">
            <v>690</v>
          </cell>
          <cell r="H13761" t="str">
            <v>PSY-P 690</v>
          </cell>
          <cell r="K13761" t="str">
            <v>Bates,John E.</v>
          </cell>
          <cell r="N13761">
            <v>4</v>
          </cell>
          <cell r="O13761">
            <v>3.9710000000000001</v>
          </cell>
        </row>
        <row r="13762">
          <cell r="E13762" t="str">
            <v>PSY</v>
          </cell>
          <cell r="F13762" t="str">
            <v xml:space="preserve">PSY-P </v>
          </cell>
          <cell r="G13762">
            <v>690</v>
          </cell>
          <cell r="H13762" t="str">
            <v>PSY-P 690</v>
          </cell>
          <cell r="K13762" t="str">
            <v>D'Onofrio,Brian Matthew</v>
          </cell>
          <cell r="N13762" t="str">
            <v>NR</v>
          </cell>
          <cell r="O13762" t="str">
            <v>NR</v>
          </cell>
        </row>
        <row r="13763">
          <cell r="E13763" t="str">
            <v>PSY</v>
          </cell>
          <cell r="F13763" t="str">
            <v xml:space="preserve">PSY-P </v>
          </cell>
          <cell r="G13763">
            <v>690</v>
          </cell>
          <cell r="H13763" t="str">
            <v>PSY-P 690</v>
          </cell>
          <cell r="K13763" t="str">
            <v>Lewis,Cara Charissa</v>
          </cell>
          <cell r="N13763">
            <v>4</v>
          </cell>
          <cell r="O13763">
            <v>3.9430000000000001</v>
          </cell>
        </row>
        <row r="13764">
          <cell r="E13764" t="str">
            <v>PSY</v>
          </cell>
          <cell r="F13764" t="str">
            <v xml:space="preserve">PSY-P </v>
          </cell>
          <cell r="G13764">
            <v>690</v>
          </cell>
          <cell r="H13764" t="str">
            <v>PSY-P 690</v>
          </cell>
          <cell r="K13764" t="str">
            <v>Lewis,Cara Charissa</v>
          </cell>
          <cell r="N13764">
            <v>4</v>
          </cell>
          <cell r="O13764">
            <v>3.9790000000000001</v>
          </cell>
        </row>
        <row r="13765">
          <cell r="E13765" t="str">
            <v>PSY</v>
          </cell>
          <cell r="F13765" t="str">
            <v xml:space="preserve">PSY-P </v>
          </cell>
          <cell r="G13765">
            <v>690</v>
          </cell>
          <cell r="H13765" t="str">
            <v>PSY-P 690</v>
          </cell>
          <cell r="K13765" t="str">
            <v>Lewis,Cara Charissa</v>
          </cell>
          <cell r="N13765">
            <v>4</v>
          </cell>
          <cell r="O13765">
            <v>3.94</v>
          </cell>
        </row>
        <row r="13766">
          <cell r="E13766" t="str">
            <v>PSY</v>
          </cell>
          <cell r="F13766" t="str">
            <v xml:space="preserve">PSY-P </v>
          </cell>
          <cell r="G13766">
            <v>690</v>
          </cell>
          <cell r="H13766" t="str">
            <v>PSY-P 690</v>
          </cell>
          <cell r="K13766" t="str">
            <v>Lewis,Cara Charissa</v>
          </cell>
          <cell r="N13766" t="str">
            <v>NR</v>
          </cell>
          <cell r="O13766" t="str">
            <v>NR</v>
          </cell>
        </row>
        <row r="13767">
          <cell r="E13767" t="str">
            <v>PSY</v>
          </cell>
          <cell r="F13767" t="str">
            <v xml:space="preserve">PSY-P </v>
          </cell>
          <cell r="G13767">
            <v>690</v>
          </cell>
          <cell r="H13767" t="str">
            <v>PSY-P 690</v>
          </cell>
          <cell r="K13767" t="str">
            <v>Lewis,Cara Charissa</v>
          </cell>
          <cell r="N13767" t="str">
            <v>NR</v>
          </cell>
          <cell r="O13767" t="str">
            <v>NR</v>
          </cell>
        </row>
        <row r="13768">
          <cell r="E13768" t="str">
            <v>PSY</v>
          </cell>
          <cell r="F13768" t="str">
            <v xml:space="preserve">PSY-P </v>
          </cell>
          <cell r="G13768">
            <v>700</v>
          </cell>
          <cell r="H13768" t="str">
            <v>PSY-P 700</v>
          </cell>
          <cell r="K13768" t="str">
            <v>Sherman,Steven J.</v>
          </cell>
          <cell r="N13768">
            <v>4</v>
          </cell>
          <cell r="O13768">
            <v>3.9470000000000001</v>
          </cell>
        </row>
        <row r="13769">
          <cell r="E13769" t="str">
            <v>PSY</v>
          </cell>
          <cell r="F13769" t="str">
            <v xml:space="preserve">PSY-P </v>
          </cell>
          <cell r="G13769">
            <v>700</v>
          </cell>
          <cell r="H13769" t="str">
            <v>PSY-P 700</v>
          </cell>
          <cell r="K13769" t="str">
            <v>Sherman,Steven J.</v>
          </cell>
          <cell r="N13769">
            <v>4</v>
          </cell>
          <cell r="O13769">
            <v>3.89</v>
          </cell>
        </row>
        <row r="13770">
          <cell r="E13770" t="str">
            <v>PSY</v>
          </cell>
          <cell r="F13770" t="str">
            <v xml:space="preserve">PSY-P </v>
          </cell>
          <cell r="G13770">
            <v>701</v>
          </cell>
          <cell r="H13770" t="str">
            <v>PSY-P 701</v>
          </cell>
          <cell r="K13770" t="str">
            <v>West,Meredith</v>
          </cell>
          <cell r="N13770" t="str">
            <v>NR</v>
          </cell>
          <cell r="O13770" t="str">
            <v>NR</v>
          </cell>
        </row>
        <row r="13771">
          <cell r="E13771" t="str">
            <v>PSY</v>
          </cell>
          <cell r="F13771" t="str">
            <v xml:space="preserve">PSY-P </v>
          </cell>
          <cell r="G13771">
            <v>701</v>
          </cell>
          <cell r="H13771" t="str">
            <v>PSY-P 701</v>
          </cell>
          <cell r="K13771" t="str">
            <v>West,Meredith</v>
          </cell>
          <cell r="N13771" t="str">
            <v>NR</v>
          </cell>
          <cell r="O13771" t="str">
            <v>NR</v>
          </cell>
        </row>
        <row r="13772">
          <cell r="E13772" t="str">
            <v>PSY</v>
          </cell>
          <cell r="F13772" t="str">
            <v xml:space="preserve">PSY-P </v>
          </cell>
          <cell r="G13772">
            <v>721</v>
          </cell>
          <cell r="H13772" t="str">
            <v>PSY-P 721</v>
          </cell>
          <cell r="K13772" t="str">
            <v>Smith,Eliot R</v>
          </cell>
          <cell r="N13772">
            <v>3.8220000000000001</v>
          </cell>
          <cell r="O13772">
            <v>3.7839999999999998</v>
          </cell>
        </row>
        <row r="13773">
          <cell r="E13773" t="str">
            <v>PSY</v>
          </cell>
          <cell r="F13773" t="str">
            <v xml:space="preserve">PSY-P </v>
          </cell>
          <cell r="G13773">
            <v>747</v>
          </cell>
          <cell r="H13773" t="str">
            <v>PSY-P 747</v>
          </cell>
          <cell r="K13773" t="str">
            <v>Pisoni,David B.</v>
          </cell>
          <cell r="N13773" t="str">
            <v>NR</v>
          </cell>
          <cell r="O13773" t="str">
            <v>NR</v>
          </cell>
        </row>
        <row r="13774">
          <cell r="E13774" t="str">
            <v>PSY</v>
          </cell>
          <cell r="F13774" t="str">
            <v xml:space="preserve">PSY-P </v>
          </cell>
          <cell r="G13774">
            <v>895</v>
          </cell>
          <cell r="H13774" t="str">
            <v>PSY-P 895</v>
          </cell>
          <cell r="K13774" t="str">
            <v>Alberts,Jeffrey R</v>
          </cell>
          <cell r="N13774" t="str">
            <v>NR</v>
          </cell>
          <cell r="O13774" t="str">
            <v>NR</v>
          </cell>
        </row>
        <row r="13775">
          <cell r="E13775" t="str">
            <v>PSY</v>
          </cell>
          <cell r="F13775" t="str">
            <v xml:space="preserve">PSY-P </v>
          </cell>
          <cell r="G13775">
            <v>895</v>
          </cell>
          <cell r="H13775" t="str">
            <v>PSY-P 895</v>
          </cell>
          <cell r="K13775" t="str">
            <v>Alberts,Jeffrey R</v>
          </cell>
          <cell r="N13775" t="str">
            <v>NR</v>
          </cell>
          <cell r="O13775" t="str">
            <v>NR</v>
          </cell>
        </row>
        <row r="13776">
          <cell r="E13776" t="str">
            <v>PSY</v>
          </cell>
          <cell r="F13776" t="str">
            <v xml:space="preserve">PSY-P </v>
          </cell>
          <cell r="G13776">
            <v>895</v>
          </cell>
          <cell r="H13776" t="str">
            <v>PSY-P 895</v>
          </cell>
          <cell r="K13776" t="str">
            <v>Bates,John E.</v>
          </cell>
          <cell r="N13776" t="str">
            <v>NR</v>
          </cell>
          <cell r="O13776" t="str">
            <v>NR</v>
          </cell>
        </row>
        <row r="13777">
          <cell r="E13777" t="str">
            <v>PSY</v>
          </cell>
          <cell r="F13777" t="str">
            <v xml:space="preserve">PSY-P </v>
          </cell>
          <cell r="G13777">
            <v>895</v>
          </cell>
          <cell r="H13777" t="str">
            <v>PSY-P 895</v>
          </cell>
          <cell r="K13777" t="str">
            <v>Bates,John E.</v>
          </cell>
          <cell r="N13777" t="str">
            <v>NR</v>
          </cell>
          <cell r="O13777" t="str">
            <v>NR</v>
          </cell>
        </row>
        <row r="13778">
          <cell r="E13778" t="str">
            <v>PSY</v>
          </cell>
          <cell r="F13778" t="str">
            <v xml:space="preserve">PSY-P </v>
          </cell>
          <cell r="G13778">
            <v>895</v>
          </cell>
          <cell r="H13778" t="str">
            <v>PSY-P 895</v>
          </cell>
          <cell r="K13778" t="str">
            <v>Bertenthal,Bennett I</v>
          </cell>
          <cell r="N13778" t="str">
            <v>NR</v>
          </cell>
          <cell r="O13778" t="str">
            <v>NR</v>
          </cell>
        </row>
        <row r="13779">
          <cell r="E13779" t="str">
            <v>PSY</v>
          </cell>
          <cell r="F13779" t="str">
            <v xml:space="preserve">PSY-P </v>
          </cell>
          <cell r="G13779">
            <v>895</v>
          </cell>
          <cell r="H13779" t="str">
            <v>PSY-P 895</v>
          </cell>
          <cell r="K13779" t="str">
            <v>Bertenthal,Bennett I</v>
          </cell>
          <cell r="N13779" t="str">
            <v>NR</v>
          </cell>
          <cell r="O13779" t="str">
            <v>NR</v>
          </cell>
        </row>
        <row r="13780">
          <cell r="E13780" t="str">
            <v>PSY</v>
          </cell>
          <cell r="F13780" t="str">
            <v xml:space="preserve">PSY-P </v>
          </cell>
          <cell r="G13780">
            <v>895</v>
          </cell>
          <cell r="H13780" t="str">
            <v>PSY-P 895</v>
          </cell>
          <cell r="K13780" t="str">
            <v>Bingham,Geoffrey</v>
          </cell>
          <cell r="N13780" t="str">
            <v>NR</v>
          </cell>
          <cell r="O13780" t="str">
            <v>NR</v>
          </cell>
        </row>
        <row r="13781">
          <cell r="E13781" t="str">
            <v>PSY</v>
          </cell>
          <cell r="F13781" t="str">
            <v xml:space="preserve">PSY-P </v>
          </cell>
          <cell r="G13781">
            <v>895</v>
          </cell>
          <cell r="H13781" t="str">
            <v>PSY-P 895</v>
          </cell>
          <cell r="K13781" t="str">
            <v>Bingham,Geoffrey</v>
          </cell>
          <cell r="N13781" t="str">
            <v>NR</v>
          </cell>
          <cell r="O13781" t="str">
            <v>NR</v>
          </cell>
        </row>
        <row r="13782">
          <cell r="E13782" t="str">
            <v>PSY</v>
          </cell>
          <cell r="F13782" t="str">
            <v xml:space="preserve">PSY-P </v>
          </cell>
          <cell r="G13782">
            <v>895</v>
          </cell>
          <cell r="H13782" t="str">
            <v>PSY-P 895</v>
          </cell>
          <cell r="K13782" t="str">
            <v>Brown,Joshua William</v>
          </cell>
          <cell r="N13782" t="str">
            <v>NR</v>
          </cell>
          <cell r="O13782" t="str">
            <v>NR</v>
          </cell>
        </row>
        <row r="13783">
          <cell r="E13783" t="str">
            <v>PSY</v>
          </cell>
          <cell r="F13783" t="str">
            <v xml:space="preserve">PSY-P </v>
          </cell>
          <cell r="G13783">
            <v>895</v>
          </cell>
          <cell r="H13783" t="str">
            <v>PSY-P 895</v>
          </cell>
          <cell r="K13783" t="str">
            <v>Brown,Joshua William</v>
          </cell>
          <cell r="N13783" t="str">
            <v>NR</v>
          </cell>
          <cell r="O13783" t="str">
            <v>NR</v>
          </cell>
        </row>
        <row r="13784">
          <cell r="E13784" t="str">
            <v>PSY</v>
          </cell>
          <cell r="F13784" t="str">
            <v xml:space="preserve">PSY-P </v>
          </cell>
          <cell r="G13784">
            <v>895</v>
          </cell>
          <cell r="H13784" t="str">
            <v>PSY-P 895</v>
          </cell>
          <cell r="K13784" t="str">
            <v>Busemeyer,Jerome R.</v>
          </cell>
          <cell r="N13784" t="str">
            <v>NR</v>
          </cell>
          <cell r="O13784" t="str">
            <v>NR</v>
          </cell>
        </row>
        <row r="13785">
          <cell r="E13785" t="str">
            <v>PSY</v>
          </cell>
          <cell r="F13785" t="str">
            <v xml:space="preserve">PSY-P </v>
          </cell>
          <cell r="G13785">
            <v>895</v>
          </cell>
          <cell r="H13785" t="str">
            <v>PSY-P 895</v>
          </cell>
          <cell r="K13785" t="str">
            <v>Busemeyer,Jerome R.</v>
          </cell>
          <cell r="N13785" t="str">
            <v>NR</v>
          </cell>
          <cell r="O13785" t="str">
            <v>NR</v>
          </cell>
        </row>
        <row r="13786">
          <cell r="E13786" t="str">
            <v>PSY</v>
          </cell>
          <cell r="F13786" t="str">
            <v xml:space="preserve">PSY-P </v>
          </cell>
          <cell r="G13786">
            <v>895</v>
          </cell>
          <cell r="H13786" t="str">
            <v>PSY-P 895</v>
          </cell>
          <cell r="K13786" t="str">
            <v>Busey,Thomas Andrew</v>
          </cell>
          <cell r="N13786" t="str">
            <v>NR</v>
          </cell>
          <cell r="O13786" t="str">
            <v>NR</v>
          </cell>
        </row>
        <row r="13787">
          <cell r="E13787" t="str">
            <v>PSY</v>
          </cell>
          <cell r="F13787" t="str">
            <v xml:space="preserve">PSY-P </v>
          </cell>
          <cell r="G13787">
            <v>895</v>
          </cell>
          <cell r="H13787" t="str">
            <v>PSY-P 895</v>
          </cell>
          <cell r="K13787" t="str">
            <v>Busey,Thomas Andrew</v>
          </cell>
          <cell r="N13787" t="str">
            <v>NR</v>
          </cell>
          <cell r="O13787" t="str">
            <v>NR</v>
          </cell>
        </row>
        <row r="13788">
          <cell r="E13788" t="str">
            <v>PSY</v>
          </cell>
          <cell r="F13788" t="str">
            <v xml:space="preserve">PSY-P </v>
          </cell>
          <cell r="G13788">
            <v>895</v>
          </cell>
          <cell r="H13788" t="str">
            <v>PSY-P 895</v>
          </cell>
          <cell r="K13788" t="str">
            <v>Crystal,Jonathon</v>
          </cell>
          <cell r="N13788" t="str">
            <v>NR</v>
          </cell>
          <cell r="O13788" t="str">
            <v>NR</v>
          </cell>
        </row>
        <row r="13789">
          <cell r="E13789" t="str">
            <v>PSY</v>
          </cell>
          <cell r="F13789" t="str">
            <v xml:space="preserve">PSY-P </v>
          </cell>
          <cell r="G13789">
            <v>895</v>
          </cell>
          <cell r="H13789" t="str">
            <v>PSY-P 895</v>
          </cell>
          <cell r="K13789" t="str">
            <v>Crystal,Jonathon</v>
          </cell>
          <cell r="N13789" t="str">
            <v>NR</v>
          </cell>
          <cell r="O13789" t="str">
            <v>NR</v>
          </cell>
        </row>
        <row r="13790">
          <cell r="E13790" t="str">
            <v>PSY</v>
          </cell>
          <cell r="F13790" t="str">
            <v xml:space="preserve">PSY-P </v>
          </cell>
          <cell r="G13790">
            <v>895</v>
          </cell>
          <cell r="H13790" t="str">
            <v>PSY-P 895</v>
          </cell>
          <cell r="K13790" t="str">
            <v>D'Onofrio,Brian Matthew</v>
          </cell>
          <cell r="N13790" t="str">
            <v>NR</v>
          </cell>
          <cell r="O13790" t="str">
            <v>NR</v>
          </cell>
        </row>
        <row r="13791">
          <cell r="E13791" t="str">
            <v>PSY</v>
          </cell>
          <cell r="F13791" t="str">
            <v xml:space="preserve">PSY-P </v>
          </cell>
          <cell r="G13791">
            <v>895</v>
          </cell>
          <cell r="H13791" t="str">
            <v>PSY-P 895</v>
          </cell>
          <cell r="K13791" t="str">
            <v>D'Onofrio,Brian Matthew</v>
          </cell>
          <cell r="N13791" t="str">
            <v>NR</v>
          </cell>
          <cell r="O13791" t="str">
            <v>NR</v>
          </cell>
        </row>
        <row r="13792">
          <cell r="E13792" t="str">
            <v>PSY</v>
          </cell>
          <cell r="F13792" t="str">
            <v xml:space="preserve">PSY-P </v>
          </cell>
          <cell r="G13792">
            <v>895</v>
          </cell>
          <cell r="H13792" t="str">
            <v>PSY-P 895</v>
          </cell>
          <cell r="K13792" t="str">
            <v>Farley,Joseph</v>
          </cell>
          <cell r="N13792" t="str">
            <v>NR</v>
          </cell>
          <cell r="O13792" t="str">
            <v>NR</v>
          </cell>
        </row>
        <row r="13793">
          <cell r="E13793" t="str">
            <v>PSY</v>
          </cell>
          <cell r="F13793" t="str">
            <v xml:space="preserve">PSY-P </v>
          </cell>
          <cell r="G13793">
            <v>895</v>
          </cell>
          <cell r="H13793" t="str">
            <v>PSY-P 895</v>
          </cell>
          <cell r="K13793" t="str">
            <v>Finn,Peter</v>
          </cell>
          <cell r="N13793" t="str">
            <v>NR</v>
          </cell>
          <cell r="O13793" t="str">
            <v>NR</v>
          </cell>
        </row>
        <row r="13794">
          <cell r="E13794" t="str">
            <v>PSY</v>
          </cell>
          <cell r="F13794" t="str">
            <v xml:space="preserve">PSY-P </v>
          </cell>
          <cell r="G13794">
            <v>895</v>
          </cell>
          <cell r="H13794" t="str">
            <v>PSY-P 895</v>
          </cell>
          <cell r="K13794" t="str">
            <v>Finn,Peter</v>
          </cell>
          <cell r="N13794" t="str">
            <v>NR</v>
          </cell>
          <cell r="O13794" t="str">
            <v>NR</v>
          </cell>
        </row>
        <row r="13795">
          <cell r="E13795" t="str">
            <v>PSY</v>
          </cell>
          <cell r="F13795" t="str">
            <v xml:space="preserve">PSY-P </v>
          </cell>
          <cell r="G13795">
            <v>895</v>
          </cell>
          <cell r="H13795" t="str">
            <v>PSY-P 895</v>
          </cell>
          <cell r="K13795" t="str">
            <v>Garraghty,Preston Evans</v>
          </cell>
          <cell r="N13795" t="str">
            <v>NR</v>
          </cell>
          <cell r="O13795" t="str">
            <v>NR</v>
          </cell>
        </row>
        <row r="13796">
          <cell r="E13796" t="str">
            <v>PSY</v>
          </cell>
          <cell r="F13796" t="str">
            <v xml:space="preserve">PSY-P </v>
          </cell>
          <cell r="G13796">
            <v>895</v>
          </cell>
          <cell r="H13796" t="str">
            <v>PSY-P 895</v>
          </cell>
          <cell r="K13796" t="str">
            <v>Gold,Jason M</v>
          </cell>
          <cell r="N13796" t="str">
            <v>NR</v>
          </cell>
          <cell r="O13796" t="str">
            <v>NR</v>
          </cell>
        </row>
        <row r="13797">
          <cell r="E13797" t="str">
            <v>PSY</v>
          </cell>
          <cell r="F13797" t="str">
            <v xml:space="preserve">PSY-P </v>
          </cell>
          <cell r="G13797">
            <v>895</v>
          </cell>
          <cell r="H13797" t="str">
            <v>PSY-P 895</v>
          </cell>
          <cell r="K13797" t="str">
            <v>Gold,Jason M</v>
          </cell>
          <cell r="N13797" t="str">
            <v>NR</v>
          </cell>
          <cell r="O13797" t="str">
            <v>NR</v>
          </cell>
        </row>
        <row r="13798">
          <cell r="E13798" t="str">
            <v>PSY</v>
          </cell>
          <cell r="F13798" t="str">
            <v xml:space="preserve">PSY-P </v>
          </cell>
          <cell r="G13798">
            <v>895</v>
          </cell>
          <cell r="H13798" t="str">
            <v>PSY-P 895</v>
          </cell>
          <cell r="K13798" t="str">
            <v>Goldstone,Robert L.</v>
          </cell>
          <cell r="N13798" t="str">
            <v>NR</v>
          </cell>
          <cell r="O13798" t="str">
            <v>NR</v>
          </cell>
        </row>
        <row r="13799">
          <cell r="E13799" t="str">
            <v>PSY</v>
          </cell>
          <cell r="F13799" t="str">
            <v xml:space="preserve">PSY-P </v>
          </cell>
          <cell r="G13799">
            <v>895</v>
          </cell>
          <cell r="H13799" t="str">
            <v>PSY-P 895</v>
          </cell>
          <cell r="K13799" t="str">
            <v>Goldstone,Robert L.</v>
          </cell>
          <cell r="N13799" t="str">
            <v>NR</v>
          </cell>
          <cell r="O13799" t="str">
            <v>NR</v>
          </cell>
        </row>
        <row r="13800">
          <cell r="E13800" t="str">
            <v>PSY</v>
          </cell>
          <cell r="F13800" t="str">
            <v xml:space="preserve">PSY-P </v>
          </cell>
          <cell r="G13800">
            <v>895</v>
          </cell>
          <cell r="H13800" t="str">
            <v>PSY-P 895</v>
          </cell>
          <cell r="K13800" t="str">
            <v>Heiman,Julia R</v>
          </cell>
          <cell r="N13800" t="str">
            <v>NR</v>
          </cell>
          <cell r="O13800" t="str">
            <v>NR</v>
          </cell>
        </row>
        <row r="13801">
          <cell r="E13801" t="str">
            <v>PSY</v>
          </cell>
          <cell r="F13801" t="str">
            <v xml:space="preserve">PSY-P </v>
          </cell>
          <cell r="G13801">
            <v>895</v>
          </cell>
          <cell r="H13801" t="str">
            <v>PSY-P 895</v>
          </cell>
          <cell r="K13801" t="str">
            <v>Hetrick,William P.</v>
          </cell>
          <cell r="N13801" t="str">
            <v>NR</v>
          </cell>
          <cell r="O13801" t="str">
            <v>NR</v>
          </cell>
        </row>
        <row r="13802">
          <cell r="E13802" t="str">
            <v>PSY</v>
          </cell>
          <cell r="F13802" t="str">
            <v xml:space="preserve">PSY-P </v>
          </cell>
          <cell r="G13802">
            <v>895</v>
          </cell>
          <cell r="H13802" t="str">
            <v>PSY-P 895</v>
          </cell>
          <cell r="K13802" t="str">
            <v>Hetrick,William P.</v>
          </cell>
          <cell r="N13802" t="str">
            <v>NR</v>
          </cell>
          <cell r="O13802" t="str">
            <v>NR</v>
          </cell>
        </row>
        <row r="13803">
          <cell r="E13803" t="str">
            <v>PSY</v>
          </cell>
          <cell r="F13803" t="str">
            <v xml:space="preserve">PSY-P </v>
          </cell>
          <cell r="G13803">
            <v>895</v>
          </cell>
          <cell r="H13803" t="str">
            <v>PSY-P 895</v>
          </cell>
          <cell r="K13803" t="str">
            <v>Hirt,Edward Raymond</v>
          </cell>
          <cell r="N13803" t="str">
            <v>NR</v>
          </cell>
          <cell r="O13803" t="str">
            <v>NR</v>
          </cell>
        </row>
        <row r="13804">
          <cell r="E13804" t="str">
            <v>PSY</v>
          </cell>
          <cell r="F13804" t="str">
            <v xml:space="preserve">PSY-P </v>
          </cell>
          <cell r="G13804">
            <v>895</v>
          </cell>
          <cell r="H13804" t="str">
            <v>PSY-P 895</v>
          </cell>
          <cell r="K13804" t="str">
            <v>Hirt,Edward Raymond</v>
          </cell>
          <cell r="N13804" t="str">
            <v>NR</v>
          </cell>
          <cell r="O13804" t="str">
            <v>NR</v>
          </cell>
        </row>
        <row r="13805">
          <cell r="E13805" t="str">
            <v>PSY</v>
          </cell>
          <cell r="F13805" t="str">
            <v xml:space="preserve">PSY-P </v>
          </cell>
          <cell r="G13805">
            <v>895</v>
          </cell>
          <cell r="H13805" t="str">
            <v>PSY-P 895</v>
          </cell>
          <cell r="K13805" t="str">
            <v>Holtzworth-Munroe,Amy</v>
          </cell>
          <cell r="N13805" t="str">
            <v>NR</v>
          </cell>
          <cell r="O13805" t="str">
            <v>NR</v>
          </cell>
        </row>
        <row r="13806">
          <cell r="E13806" t="str">
            <v>PSY</v>
          </cell>
          <cell r="F13806" t="str">
            <v xml:space="preserve">PSY-P </v>
          </cell>
          <cell r="G13806">
            <v>895</v>
          </cell>
          <cell r="H13806" t="str">
            <v>PSY-P 895</v>
          </cell>
          <cell r="K13806" t="str">
            <v>James,Karin Harman</v>
          </cell>
          <cell r="N13806" t="str">
            <v>NR</v>
          </cell>
          <cell r="O13806" t="str">
            <v>NR</v>
          </cell>
        </row>
        <row r="13807">
          <cell r="E13807" t="str">
            <v>PSY</v>
          </cell>
          <cell r="F13807" t="str">
            <v xml:space="preserve">PSY-P </v>
          </cell>
          <cell r="G13807">
            <v>895</v>
          </cell>
          <cell r="H13807" t="str">
            <v>PSY-P 895</v>
          </cell>
          <cell r="K13807" t="str">
            <v>James,Karin Harman</v>
          </cell>
          <cell r="N13807" t="str">
            <v>NR</v>
          </cell>
          <cell r="O13807" t="str">
            <v>NR</v>
          </cell>
        </row>
        <row r="13808">
          <cell r="E13808" t="str">
            <v>PSY</v>
          </cell>
          <cell r="F13808" t="str">
            <v xml:space="preserve">PSY-P </v>
          </cell>
          <cell r="G13808">
            <v>895</v>
          </cell>
          <cell r="H13808" t="str">
            <v>PSY-P 895</v>
          </cell>
          <cell r="K13808" t="str">
            <v>James,Tom</v>
          </cell>
          <cell r="N13808" t="str">
            <v>NR</v>
          </cell>
          <cell r="O13808" t="str">
            <v>NR</v>
          </cell>
        </row>
        <row r="13809">
          <cell r="E13809" t="str">
            <v>PSY</v>
          </cell>
          <cell r="F13809" t="str">
            <v xml:space="preserve">PSY-P </v>
          </cell>
          <cell r="G13809">
            <v>895</v>
          </cell>
          <cell r="H13809" t="str">
            <v>PSY-P 895</v>
          </cell>
          <cell r="K13809" t="str">
            <v>James,Tom</v>
          </cell>
          <cell r="N13809" t="str">
            <v>NR</v>
          </cell>
          <cell r="O13809" t="str">
            <v>NR</v>
          </cell>
        </row>
        <row r="13810">
          <cell r="E13810" t="str">
            <v>PSY</v>
          </cell>
          <cell r="F13810" t="str">
            <v xml:space="preserve">PSY-P </v>
          </cell>
          <cell r="G13810">
            <v>895</v>
          </cell>
          <cell r="H13810" t="str">
            <v>PSY-P 895</v>
          </cell>
          <cell r="K13810" t="str">
            <v>Jones,Michael</v>
          </cell>
          <cell r="N13810" t="str">
            <v>NR</v>
          </cell>
          <cell r="O13810" t="str">
            <v>NR</v>
          </cell>
        </row>
        <row r="13811">
          <cell r="E13811" t="str">
            <v>PSY</v>
          </cell>
          <cell r="F13811" t="str">
            <v xml:space="preserve">PSY-P </v>
          </cell>
          <cell r="G13811">
            <v>895</v>
          </cell>
          <cell r="H13811" t="str">
            <v>PSY-P 895</v>
          </cell>
          <cell r="K13811" t="str">
            <v>Jones,Michael</v>
          </cell>
          <cell r="N13811" t="str">
            <v>NR</v>
          </cell>
          <cell r="O13811" t="str">
            <v>NR</v>
          </cell>
        </row>
        <row r="13812">
          <cell r="E13812" t="str">
            <v>PSY</v>
          </cell>
          <cell r="F13812" t="str">
            <v xml:space="preserve">PSY-P </v>
          </cell>
          <cell r="G13812">
            <v>895</v>
          </cell>
          <cell r="H13812" t="str">
            <v>PSY-P 895</v>
          </cell>
          <cell r="K13812" t="str">
            <v>Kruschke,John K.</v>
          </cell>
          <cell r="N13812" t="str">
            <v>NR</v>
          </cell>
          <cell r="O13812" t="str">
            <v>NR</v>
          </cell>
        </row>
        <row r="13813">
          <cell r="E13813" t="str">
            <v>PSY</v>
          </cell>
          <cell r="F13813" t="str">
            <v xml:space="preserve">PSY-P </v>
          </cell>
          <cell r="G13813">
            <v>895</v>
          </cell>
          <cell r="H13813" t="str">
            <v>PSY-P 895</v>
          </cell>
          <cell r="K13813" t="str">
            <v>Lewis,Cara Charissa</v>
          </cell>
          <cell r="N13813" t="str">
            <v>NR</v>
          </cell>
          <cell r="O13813" t="str">
            <v>NR</v>
          </cell>
        </row>
        <row r="13814">
          <cell r="E13814" t="str">
            <v>PSY</v>
          </cell>
          <cell r="F13814" t="str">
            <v xml:space="preserve">PSY-P </v>
          </cell>
          <cell r="G13814">
            <v>895</v>
          </cell>
          <cell r="H13814" t="str">
            <v>PSY-P 895</v>
          </cell>
          <cell r="K13814" t="str">
            <v>Murphy,Mary</v>
          </cell>
          <cell r="N13814" t="str">
            <v>NR</v>
          </cell>
          <cell r="O13814" t="str">
            <v>NR</v>
          </cell>
        </row>
        <row r="13815">
          <cell r="E13815" t="str">
            <v>PSY</v>
          </cell>
          <cell r="F13815" t="str">
            <v xml:space="preserve">PSY-P </v>
          </cell>
          <cell r="G13815">
            <v>895</v>
          </cell>
          <cell r="H13815" t="str">
            <v>PSY-P 895</v>
          </cell>
          <cell r="K13815" t="str">
            <v>Newman,Sharlene D.</v>
          </cell>
          <cell r="N13815" t="str">
            <v>NR</v>
          </cell>
          <cell r="O13815" t="str">
            <v>NR</v>
          </cell>
        </row>
        <row r="13816">
          <cell r="E13816" t="str">
            <v>PSY</v>
          </cell>
          <cell r="F13816" t="str">
            <v xml:space="preserve">PSY-P </v>
          </cell>
          <cell r="G13816">
            <v>895</v>
          </cell>
          <cell r="H13816" t="str">
            <v>PSY-P 895</v>
          </cell>
          <cell r="K13816" t="str">
            <v>Newman,Sharlene D.</v>
          </cell>
          <cell r="N13816" t="str">
            <v>NR</v>
          </cell>
          <cell r="O13816" t="str">
            <v>NR</v>
          </cell>
        </row>
        <row r="13817">
          <cell r="E13817" t="str">
            <v>PSY</v>
          </cell>
          <cell r="F13817" t="str">
            <v xml:space="preserve">PSY-P </v>
          </cell>
          <cell r="G13817">
            <v>895</v>
          </cell>
          <cell r="H13817" t="str">
            <v>PSY-P 895</v>
          </cell>
          <cell r="K13817" t="str">
            <v>O'donnell,Brian F.</v>
          </cell>
          <cell r="N13817" t="str">
            <v>NR</v>
          </cell>
          <cell r="O13817" t="str">
            <v>NR</v>
          </cell>
        </row>
        <row r="13818">
          <cell r="E13818" t="str">
            <v>PSY</v>
          </cell>
          <cell r="F13818" t="str">
            <v xml:space="preserve">PSY-P </v>
          </cell>
          <cell r="G13818">
            <v>895</v>
          </cell>
          <cell r="H13818" t="str">
            <v>PSY-P 895</v>
          </cell>
          <cell r="K13818" t="str">
            <v>Pisoni,David B.</v>
          </cell>
          <cell r="N13818" t="str">
            <v>NR</v>
          </cell>
          <cell r="O13818" t="str">
            <v>NR</v>
          </cell>
        </row>
        <row r="13819">
          <cell r="E13819" t="str">
            <v>PSY</v>
          </cell>
          <cell r="F13819" t="str">
            <v xml:space="preserve">PSY-P </v>
          </cell>
          <cell r="G13819">
            <v>895</v>
          </cell>
          <cell r="H13819" t="str">
            <v>PSY-P 895</v>
          </cell>
          <cell r="K13819" t="str">
            <v>Pisoni,David B.</v>
          </cell>
          <cell r="N13819" t="str">
            <v>NR</v>
          </cell>
          <cell r="O13819" t="str">
            <v>NR</v>
          </cell>
        </row>
        <row r="13820">
          <cell r="E13820" t="str">
            <v>PSY</v>
          </cell>
          <cell r="F13820" t="str">
            <v xml:space="preserve">PSY-P </v>
          </cell>
          <cell r="G13820">
            <v>895</v>
          </cell>
          <cell r="H13820" t="str">
            <v>PSY-P 895</v>
          </cell>
          <cell r="K13820" t="str">
            <v>Prieto,Anne L.</v>
          </cell>
          <cell r="N13820" t="str">
            <v>NR</v>
          </cell>
          <cell r="O13820" t="str">
            <v>NR</v>
          </cell>
        </row>
        <row r="13821">
          <cell r="E13821" t="str">
            <v>PSY</v>
          </cell>
          <cell r="F13821" t="str">
            <v xml:space="preserve">PSY-P </v>
          </cell>
          <cell r="G13821">
            <v>895</v>
          </cell>
          <cell r="H13821" t="str">
            <v>PSY-P 895</v>
          </cell>
          <cell r="K13821" t="str">
            <v>Puce,Aina</v>
          </cell>
          <cell r="N13821" t="str">
            <v>NR</v>
          </cell>
          <cell r="O13821" t="str">
            <v>NR</v>
          </cell>
        </row>
        <row r="13822">
          <cell r="E13822" t="str">
            <v>PSY</v>
          </cell>
          <cell r="F13822" t="str">
            <v xml:space="preserve">PSY-P </v>
          </cell>
          <cell r="G13822">
            <v>895</v>
          </cell>
          <cell r="H13822" t="str">
            <v>PSY-P 895</v>
          </cell>
          <cell r="K13822" t="str">
            <v>Puce,Aina</v>
          </cell>
          <cell r="N13822" t="str">
            <v>NR</v>
          </cell>
          <cell r="O13822" t="str">
            <v>NR</v>
          </cell>
        </row>
        <row r="13823">
          <cell r="E13823" t="str">
            <v>PSY</v>
          </cell>
          <cell r="F13823" t="str">
            <v xml:space="preserve">PSY-P </v>
          </cell>
          <cell r="G13823">
            <v>895</v>
          </cell>
          <cell r="H13823" t="str">
            <v>PSY-P 895</v>
          </cell>
          <cell r="K13823" t="str">
            <v>Rebec,George V.</v>
          </cell>
          <cell r="N13823" t="str">
            <v>NR</v>
          </cell>
          <cell r="O13823" t="str">
            <v>NR</v>
          </cell>
        </row>
        <row r="13824">
          <cell r="E13824" t="str">
            <v>PSY</v>
          </cell>
          <cell r="F13824" t="str">
            <v xml:space="preserve">PSY-P </v>
          </cell>
          <cell r="G13824">
            <v>895</v>
          </cell>
          <cell r="H13824" t="str">
            <v>PSY-P 895</v>
          </cell>
          <cell r="K13824" t="str">
            <v>Rydell,Robert Joseph</v>
          </cell>
          <cell r="N13824" t="str">
            <v>NR</v>
          </cell>
          <cell r="O13824" t="str">
            <v>NR</v>
          </cell>
        </row>
        <row r="13825">
          <cell r="E13825" t="str">
            <v>PSY</v>
          </cell>
          <cell r="F13825" t="str">
            <v xml:space="preserve">PSY-P </v>
          </cell>
          <cell r="G13825">
            <v>895</v>
          </cell>
          <cell r="H13825" t="str">
            <v>PSY-P 895</v>
          </cell>
          <cell r="K13825" t="str">
            <v>Rydell,Robert Joseph</v>
          </cell>
          <cell r="N13825" t="str">
            <v>NR</v>
          </cell>
          <cell r="O13825" t="str">
            <v>NR</v>
          </cell>
        </row>
        <row r="13826">
          <cell r="E13826" t="str">
            <v>PSY</v>
          </cell>
          <cell r="F13826" t="str">
            <v xml:space="preserve">PSY-P </v>
          </cell>
          <cell r="G13826">
            <v>895</v>
          </cell>
          <cell r="H13826" t="str">
            <v>PSY-P 895</v>
          </cell>
          <cell r="K13826" t="str">
            <v>Shiffrin,Richard M.</v>
          </cell>
          <cell r="N13826" t="str">
            <v>NR</v>
          </cell>
          <cell r="O13826" t="str">
            <v>NR</v>
          </cell>
        </row>
        <row r="13827">
          <cell r="E13827" t="str">
            <v>PSY</v>
          </cell>
          <cell r="F13827" t="str">
            <v xml:space="preserve">PSY-P </v>
          </cell>
          <cell r="G13827">
            <v>895</v>
          </cell>
          <cell r="H13827" t="str">
            <v>PSY-P 895</v>
          </cell>
          <cell r="K13827" t="str">
            <v>Shiffrin,Richard M.</v>
          </cell>
          <cell r="N13827" t="str">
            <v>NR</v>
          </cell>
          <cell r="O13827" t="str">
            <v>NR</v>
          </cell>
        </row>
        <row r="13828">
          <cell r="E13828" t="str">
            <v>PSY</v>
          </cell>
          <cell r="F13828" t="str">
            <v xml:space="preserve">PSY-P </v>
          </cell>
          <cell r="G13828">
            <v>895</v>
          </cell>
          <cell r="H13828" t="str">
            <v>PSY-P 895</v>
          </cell>
          <cell r="K13828" t="str">
            <v>Smith,Eliot R</v>
          </cell>
          <cell r="N13828" t="str">
            <v>NR</v>
          </cell>
          <cell r="O13828" t="str">
            <v>NR</v>
          </cell>
        </row>
        <row r="13829">
          <cell r="E13829" t="str">
            <v>PSY</v>
          </cell>
          <cell r="F13829" t="str">
            <v xml:space="preserve">PSY-P </v>
          </cell>
          <cell r="G13829">
            <v>895</v>
          </cell>
          <cell r="H13829" t="str">
            <v>PSY-P 895</v>
          </cell>
          <cell r="K13829" t="str">
            <v>Smith,Eliot R</v>
          </cell>
          <cell r="N13829" t="str">
            <v>NR</v>
          </cell>
          <cell r="O13829" t="str">
            <v>NR</v>
          </cell>
        </row>
        <row r="13830">
          <cell r="E13830" t="str">
            <v>PSY</v>
          </cell>
          <cell r="F13830" t="str">
            <v xml:space="preserve">PSY-P </v>
          </cell>
          <cell r="G13830">
            <v>895</v>
          </cell>
          <cell r="H13830" t="str">
            <v>PSY-P 895</v>
          </cell>
          <cell r="K13830" t="str">
            <v>Smith,Linda B.</v>
          </cell>
          <cell r="N13830" t="str">
            <v>NR</v>
          </cell>
          <cell r="O13830" t="str">
            <v>NR</v>
          </cell>
        </row>
        <row r="13831">
          <cell r="E13831" t="str">
            <v>PSY</v>
          </cell>
          <cell r="F13831" t="str">
            <v xml:space="preserve">PSY-P </v>
          </cell>
          <cell r="G13831">
            <v>895</v>
          </cell>
          <cell r="H13831" t="str">
            <v>PSY-P 895</v>
          </cell>
          <cell r="K13831" t="str">
            <v>Smith,Linda B.</v>
          </cell>
          <cell r="N13831" t="str">
            <v>NR</v>
          </cell>
          <cell r="O13831" t="str">
            <v>NR</v>
          </cell>
        </row>
        <row r="13832">
          <cell r="E13832" t="str">
            <v>PSY</v>
          </cell>
          <cell r="F13832" t="str">
            <v xml:space="preserve">PSY-P </v>
          </cell>
          <cell r="G13832">
            <v>895</v>
          </cell>
          <cell r="H13832" t="str">
            <v>PSY-P 895</v>
          </cell>
          <cell r="K13832" t="str">
            <v>Sporns,Olaf</v>
          </cell>
          <cell r="N13832" t="str">
            <v>NR</v>
          </cell>
          <cell r="O13832" t="str">
            <v>NR</v>
          </cell>
        </row>
        <row r="13833">
          <cell r="E13833" t="str">
            <v>PSY</v>
          </cell>
          <cell r="F13833" t="str">
            <v xml:space="preserve">PSY-P </v>
          </cell>
          <cell r="G13833">
            <v>895</v>
          </cell>
          <cell r="H13833" t="str">
            <v>PSY-P 895</v>
          </cell>
          <cell r="K13833" t="str">
            <v>Todd,Peter Martin</v>
          </cell>
          <cell r="N13833" t="str">
            <v>NR</v>
          </cell>
          <cell r="O13833" t="str">
            <v>NR</v>
          </cell>
        </row>
        <row r="13834">
          <cell r="E13834" t="str">
            <v>PSY</v>
          </cell>
          <cell r="F13834" t="str">
            <v xml:space="preserve">PSY-P </v>
          </cell>
          <cell r="G13834">
            <v>895</v>
          </cell>
          <cell r="H13834" t="str">
            <v>PSY-P 895</v>
          </cell>
          <cell r="K13834" t="str">
            <v>Todd,Peter Martin</v>
          </cell>
          <cell r="N13834" t="str">
            <v>NR</v>
          </cell>
          <cell r="O13834" t="str">
            <v>NR</v>
          </cell>
        </row>
        <row r="13835">
          <cell r="E13835" t="str">
            <v>PSY</v>
          </cell>
          <cell r="F13835" t="str">
            <v xml:space="preserve">PSY-P </v>
          </cell>
          <cell r="G13835">
            <v>895</v>
          </cell>
          <cell r="H13835" t="str">
            <v>PSY-P 895</v>
          </cell>
          <cell r="K13835" t="str">
            <v>Townsend,James T.</v>
          </cell>
          <cell r="N13835" t="str">
            <v>NR</v>
          </cell>
          <cell r="O13835" t="str">
            <v>NR</v>
          </cell>
        </row>
        <row r="13836">
          <cell r="E13836" t="str">
            <v>PSY</v>
          </cell>
          <cell r="F13836" t="str">
            <v xml:space="preserve">PSY-P </v>
          </cell>
          <cell r="G13836">
            <v>895</v>
          </cell>
          <cell r="H13836" t="str">
            <v>PSY-P 895</v>
          </cell>
          <cell r="K13836" t="str">
            <v>Townsend,James T.</v>
          </cell>
          <cell r="N13836" t="str">
            <v>NR</v>
          </cell>
          <cell r="O13836" t="str">
            <v>NR</v>
          </cell>
        </row>
        <row r="13837">
          <cell r="E13837" t="str">
            <v>PSY</v>
          </cell>
          <cell r="F13837" t="str">
            <v xml:space="preserve">PSY-P </v>
          </cell>
          <cell r="G13837">
            <v>895</v>
          </cell>
          <cell r="H13837" t="str">
            <v>PSY-P 895</v>
          </cell>
          <cell r="K13837" t="str">
            <v>West,Meredith</v>
          </cell>
          <cell r="N13837" t="str">
            <v>NR</v>
          </cell>
          <cell r="O13837" t="str">
            <v>NR</v>
          </cell>
        </row>
        <row r="13838">
          <cell r="E13838" t="str">
            <v>PSY</v>
          </cell>
          <cell r="F13838" t="str">
            <v xml:space="preserve">PSY-P </v>
          </cell>
          <cell r="G13838">
            <v>895</v>
          </cell>
          <cell r="H13838" t="str">
            <v>PSY-P 895</v>
          </cell>
          <cell r="K13838" t="str">
            <v>West,Meredith</v>
          </cell>
          <cell r="N13838" t="str">
            <v>NR</v>
          </cell>
          <cell r="O13838" t="str">
            <v>NR</v>
          </cell>
        </row>
        <row r="13839">
          <cell r="E13839" t="str">
            <v>PSY</v>
          </cell>
          <cell r="F13839" t="str">
            <v xml:space="preserve">PSY-P </v>
          </cell>
          <cell r="G13839">
            <v>895</v>
          </cell>
          <cell r="H13839" t="str">
            <v>PSY-P 895</v>
          </cell>
          <cell r="K13839" t="str">
            <v>Yu,Chen</v>
          </cell>
          <cell r="N13839" t="str">
            <v>NR</v>
          </cell>
          <cell r="O13839" t="str">
            <v>NR</v>
          </cell>
        </row>
        <row r="13840">
          <cell r="E13840" t="str">
            <v>PSY</v>
          </cell>
          <cell r="F13840" t="str">
            <v xml:space="preserve">PSY-P </v>
          </cell>
          <cell r="G13840">
            <v>895</v>
          </cell>
          <cell r="H13840" t="str">
            <v>PSY-P 895</v>
          </cell>
          <cell r="K13840" t="str">
            <v>Yu,Chen</v>
          </cell>
          <cell r="N13840" t="str">
            <v>NR</v>
          </cell>
          <cell r="O13840" t="str">
            <v>NR</v>
          </cell>
        </row>
        <row r="13841">
          <cell r="E13841" t="str">
            <v>PSY</v>
          </cell>
          <cell r="F13841" t="str">
            <v xml:space="preserve">PSY-P </v>
          </cell>
          <cell r="G13841">
            <v>899</v>
          </cell>
          <cell r="H13841" t="str">
            <v>PSY-P 899</v>
          </cell>
          <cell r="K13841" t="str">
            <v>Smith,Linda B.</v>
          </cell>
          <cell r="N13841" t="str">
            <v>NR</v>
          </cell>
          <cell r="O13841" t="str">
            <v>NR</v>
          </cell>
        </row>
        <row r="13842">
          <cell r="E13842" t="str">
            <v>REEI</v>
          </cell>
          <cell r="F13842" t="str">
            <v>REEI-R</v>
          </cell>
          <cell r="G13842">
            <v>300</v>
          </cell>
          <cell r="H13842" t="str">
            <v>REEI-R300</v>
          </cell>
          <cell r="K13842" t="str">
            <v>Spechler,Martin C.</v>
          </cell>
          <cell r="N13842" t="str">
            <v>NR</v>
          </cell>
          <cell r="O13842" t="str">
            <v>NR</v>
          </cell>
        </row>
        <row r="13843">
          <cell r="E13843" t="str">
            <v>REEI</v>
          </cell>
          <cell r="F13843" t="str">
            <v>REEI-R</v>
          </cell>
          <cell r="G13843">
            <v>495</v>
          </cell>
          <cell r="H13843" t="str">
            <v>REEI-R495</v>
          </cell>
          <cell r="K13843" t="str">
            <v>Kenney,Padraic</v>
          </cell>
          <cell r="N13843" t="str">
            <v>NR</v>
          </cell>
          <cell r="O13843" t="str">
            <v>NR</v>
          </cell>
        </row>
        <row r="13844">
          <cell r="E13844" t="str">
            <v>REEI</v>
          </cell>
          <cell r="F13844" t="str">
            <v>REEI-R</v>
          </cell>
          <cell r="G13844">
            <v>500</v>
          </cell>
          <cell r="H13844" t="str">
            <v>REEI-R500</v>
          </cell>
          <cell r="K13844" t="str">
            <v>Frieberg,Annika Elisabet</v>
          </cell>
          <cell r="N13844" t="str">
            <v>NR</v>
          </cell>
          <cell r="O13844" t="str">
            <v>NR</v>
          </cell>
        </row>
        <row r="13845">
          <cell r="E13845" t="str">
            <v>REEI</v>
          </cell>
          <cell r="F13845" t="str">
            <v>REEI-R</v>
          </cell>
          <cell r="G13845">
            <v>500</v>
          </cell>
          <cell r="H13845" t="str">
            <v>REEI-R500</v>
          </cell>
          <cell r="K13845" t="str">
            <v>Kuromiya,Hiroaki</v>
          </cell>
          <cell r="N13845" t="str">
            <v>NR</v>
          </cell>
          <cell r="O13845" t="str">
            <v>NR</v>
          </cell>
        </row>
        <row r="13846">
          <cell r="E13846" t="str">
            <v>REEI</v>
          </cell>
          <cell r="F13846" t="str">
            <v>REEI-R</v>
          </cell>
          <cell r="G13846">
            <v>500</v>
          </cell>
          <cell r="H13846" t="str">
            <v>REEI-R500</v>
          </cell>
          <cell r="K13846" t="str">
            <v>Michelson,Patrick Lally</v>
          </cell>
          <cell r="N13846">
            <v>4</v>
          </cell>
          <cell r="O13846">
            <v>3.9289999999999998</v>
          </cell>
        </row>
        <row r="13847">
          <cell r="E13847" t="str">
            <v>REEI</v>
          </cell>
          <cell r="F13847" t="str">
            <v>REEI-R</v>
          </cell>
          <cell r="G13847">
            <v>500</v>
          </cell>
          <cell r="H13847" t="str">
            <v>REEI-R500</v>
          </cell>
          <cell r="K13847" t="str">
            <v>Spechler,Martin C.</v>
          </cell>
          <cell r="N13847" t="str">
            <v>NR</v>
          </cell>
          <cell r="O13847" t="str">
            <v>NR</v>
          </cell>
        </row>
        <row r="13848">
          <cell r="E13848" t="str">
            <v>REEI</v>
          </cell>
          <cell r="F13848" t="str">
            <v>REEI-R</v>
          </cell>
          <cell r="G13848">
            <v>575</v>
          </cell>
          <cell r="H13848" t="str">
            <v>REEI-R575</v>
          </cell>
          <cell r="K13848" t="str">
            <v>Kenney,Padraic</v>
          </cell>
          <cell r="N13848" t="str">
            <v>NR</v>
          </cell>
          <cell r="O13848" t="str">
            <v>NR</v>
          </cell>
        </row>
        <row r="13849">
          <cell r="E13849" t="str">
            <v>REEI</v>
          </cell>
          <cell r="F13849" t="str">
            <v>REEI-R</v>
          </cell>
          <cell r="G13849">
            <v>600</v>
          </cell>
          <cell r="H13849" t="str">
            <v>REEI-R600</v>
          </cell>
          <cell r="K13849" t="str">
            <v>Frieberg,Annika Elisabet</v>
          </cell>
          <cell r="N13849">
            <v>3.8220000000000001</v>
          </cell>
          <cell r="O13849">
            <v>3.8090000000000002</v>
          </cell>
        </row>
        <row r="13850">
          <cell r="E13850" t="str">
            <v>REEI</v>
          </cell>
          <cell r="F13850" t="str">
            <v>REEI-R</v>
          </cell>
          <cell r="G13850">
            <v>601</v>
          </cell>
          <cell r="H13850" t="str">
            <v>REEI-R601</v>
          </cell>
          <cell r="K13850" t="str">
            <v>Johnson,Owen V</v>
          </cell>
          <cell r="N13850">
            <v>3.9249999999999998</v>
          </cell>
          <cell r="O13850">
            <v>3.8479999999999999</v>
          </cell>
        </row>
        <row r="13851">
          <cell r="E13851" t="str">
            <v>REEI</v>
          </cell>
          <cell r="F13851" t="str">
            <v>REEI-R</v>
          </cell>
          <cell r="G13851">
            <v>620</v>
          </cell>
          <cell r="H13851" t="str">
            <v>REEI-R620</v>
          </cell>
          <cell r="K13851" t="str">
            <v>Cheun,Wookjin</v>
          </cell>
          <cell r="N13851" t="str">
            <v>NR</v>
          </cell>
          <cell r="O13851" t="str">
            <v>NR</v>
          </cell>
        </row>
        <row r="13852">
          <cell r="E13852" t="str">
            <v>REL</v>
          </cell>
          <cell r="F13852" t="str">
            <v xml:space="preserve">REL-A </v>
          </cell>
          <cell r="G13852">
            <v>202</v>
          </cell>
          <cell r="H13852" t="str">
            <v>REL-A 202</v>
          </cell>
          <cell r="K13852" t="str">
            <v>Furey,Constance</v>
          </cell>
          <cell r="N13852">
            <v>3.6850000000000001</v>
          </cell>
          <cell r="O13852">
            <v>2.8170000000000002</v>
          </cell>
        </row>
        <row r="13853">
          <cell r="E13853" t="str">
            <v>REL</v>
          </cell>
          <cell r="F13853" t="str">
            <v xml:space="preserve">REL-A </v>
          </cell>
          <cell r="G13853">
            <v>210</v>
          </cell>
          <cell r="H13853" t="str">
            <v>REL-A 210</v>
          </cell>
          <cell r="K13853" t="str">
            <v>Mroczek,Eva</v>
          </cell>
          <cell r="N13853">
            <v>3.6080000000000001</v>
          </cell>
          <cell r="O13853">
            <v>3.2</v>
          </cell>
        </row>
        <row r="13854">
          <cell r="E13854" t="str">
            <v>REL</v>
          </cell>
          <cell r="F13854" t="str">
            <v xml:space="preserve">REL-A </v>
          </cell>
          <cell r="G13854">
            <v>210</v>
          </cell>
          <cell r="H13854" t="str">
            <v>REL-A 210</v>
          </cell>
          <cell r="K13854" t="str">
            <v>Mroczek,Eva</v>
          </cell>
          <cell r="N13854">
            <v>3.5089999999999999</v>
          </cell>
          <cell r="O13854">
            <v>3.0369999999999999</v>
          </cell>
        </row>
        <row r="13855">
          <cell r="E13855" t="str">
            <v>REL</v>
          </cell>
          <cell r="F13855" t="str">
            <v xml:space="preserve">REL-A </v>
          </cell>
          <cell r="G13855">
            <v>220</v>
          </cell>
          <cell r="H13855" t="str">
            <v>REL-A 220</v>
          </cell>
          <cell r="K13855" t="str">
            <v>Harrill,J. Albert</v>
          </cell>
          <cell r="N13855">
            <v>2.073</v>
          </cell>
          <cell r="O13855">
            <v>2.831</v>
          </cell>
        </row>
        <row r="13856">
          <cell r="E13856" t="str">
            <v>REL</v>
          </cell>
          <cell r="F13856" t="str">
            <v xml:space="preserve">REL-A </v>
          </cell>
          <cell r="G13856">
            <v>220</v>
          </cell>
          <cell r="H13856" t="str">
            <v>REL-A 220</v>
          </cell>
          <cell r="K13856" t="str">
            <v>Storin,Bradley Keith</v>
          </cell>
          <cell r="N13856">
            <v>2.976</v>
          </cell>
          <cell r="O13856">
            <v>3.032</v>
          </cell>
        </row>
        <row r="13857">
          <cell r="E13857" t="str">
            <v>REL</v>
          </cell>
          <cell r="F13857" t="str">
            <v xml:space="preserve">REL-A </v>
          </cell>
          <cell r="G13857">
            <v>230</v>
          </cell>
          <cell r="H13857" t="str">
            <v>REL-A 230</v>
          </cell>
          <cell r="K13857" t="str">
            <v>Imhoff,Sarah Emily</v>
          </cell>
          <cell r="N13857">
            <v>3.3519999999999999</v>
          </cell>
          <cell r="O13857">
            <v>3.1059999999999999</v>
          </cell>
        </row>
        <row r="13858">
          <cell r="E13858" t="str">
            <v>REL</v>
          </cell>
          <cell r="F13858" t="str">
            <v xml:space="preserve">REL-A </v>
          </cell>
          <cell r="G13858">
            <v>230</v>
          </cell>
          <cell r="H13858" t="str">
            <v>REL-A 230</v>
          </cell>
          <cell r="K13858" t="str">
            <v>Mokhtarian,Jason Sion</v>
          </cell>
          <cell r="N13858">
            <v>3.4380000000000002</v>
          </cell>
          <cell r="O13858">
            <v>3.2330000000000001</v>
          </cell>
        </row>
        <row r="13859">
          <cell r="E13859" t="str">
            <v>REL</v>
          </cell>
          <cell r="F13859" t="str">
            <v xml:space="preserve">REL-A </v>
          </cell>
          <cell r="G13859">
            <v>250</v>
          </cell>
          <cell r="H13859" t="str">
            <v>REL-A 250</v>
          </cell>
          <cell r="K13859" t="str">
            <v>Brown,Candy Gunther</v>
          </cell>
          <cell r="N13859">
            <v>3.27</v>
          </cell>
          <cell r="O13859">
            <v>3.1120000000000001</v>
          </cell>
        </row>
        <row r="13860">
          <cell r="E13860" t="str">
            <v>REL</v>
          </cell>
          <cell r="F13860" t="str">
            <v xml:space="preserve">REL-A </v>
          </cell>
          <cell r="G13860">
            <v>250</v>
          </cell>
          <cell r="H13860" t="str">
            <v>REL-A 250</v>
          </cell>
          <cell r="K13860" t="str">
            <v>Brown,Candy Gunther</v>
          </cell>
          <cell r="N13860">
            <v>3.4420000000000002</v>
          </cell>
          <cell r="O13860">
            <v>3.2450000000000001</v>
          </cell>
        </row>
        <row r="13861">
          <cell r="E13861" t="str">
            <v>REL</v>
          </cell>
          <cell r="F13861" t="str">
            <v xml:space="preserve">REL-A </v>
          </cell>
          <cell r="G13861">
            <v>270</v>
          </cell>
          <cell r="H13861" t="str">
            <v>REL-A 270</v>
          </cell>
          <cell r="K13861" t="str">
            <v>Jaques,Robert Kevin</v>
          </cell>
          <cell r="N13861">
            <v>2.85</v>
          </cell>
          <cell r="O13861">
            <v>2.99</v>
          </cell>
        </row>
        <row r="13862">
          <cell r="E13862" t="str">
            <v>REL</v>
          </cell>
          <cell r="F13862" t="str">
            <v xml:space="preserve">REL-A </v>
          </cell>
          <cell r="G13862">
            <v>300</v>
          </cell>
          <cell r="H13862" t="str">
            <v>REL-A 300</v>
          </cell>
          <cell r="K13862" t="str">
            <v>Imhoff,Sarah Emily</v>
          </cell>
          <cell r="N13862">
            <v>3.5219999999999998</v>
          </cell>
          <cell r="O13862">
            <v>3.2410000000000001</v>
          </cell>
        </row>
        <row r="13863">
          <cell r="E13863" t="str">
            <v>REL</v>
          </cell>
          <cell r="F13863" t="str">
            <v xml:space="preserve">REL-A </v>
          </cell>
          <cell r="G13863">
            <v>300</v>
          </cell>
          <cell r="H13863" t="str">
            <v>REL-A 300</v>
          </cell>
          <cell r="K13863" t="str">
            <v>Mokhtarian,Jason Sion</v>
          </cell>
          <cell r="N13863" t="str">
            <v>NR</v>
          </cell>
          <cell r="O13863" t="str">
            <v>NR</v>
          </cell>
        </row>
        <row r="13864">
          <cell r="E13864" t="str">
            <v>REL</v>
          </cell>
          <cell r="F13864" t="str">
            <v xml:space="preserve">REL-A </v>
          </cell>
          <cell r="G13864">
            <v>300</v>
          </cell>
          <cell r="H13864" t="str">
            <v>REL-A 300</v>
          </cell>
          <cell r="K13864" t="str">
            <v>Mroczek,Eva</v>
          </cell>
          <cell r="N13864">
            <v>3.6709999999999998</v>
          </cell>
          <cell r="O13864">
            <v>3.24</v>
          </cell>
        </row>
        <row r="13865">
          <cell r="E13865" t="str">
            <v>REL</v>
          </cell>
          <cell r="F13865" t="str">
            <v xml:space="preserve">REL-A </v>
          </cell>
          <cell r="G13865">
            <v>300</v>
          </cell>
          <cell r="H13865" t="str">
            <v>REL-A 300</v>
          </cell>
          <cell r="K13865" t="str">
            <v>Mroczek,Eva</v>
          </cell>
          <cell r="N13865">
            <v>2.6179999999999999</v>
          </cell>
          <cell r="O13865">
            <v>2.63</v>
          </cell>
        </row>
        <row r="13866">
          <cell r="E13866" t="str">
            <v>REL</v>
          </cell>
          <cell r="F13866" t="str">
            <v xml:space="preserve">REL-A </v>
          </cell>
          <cell r="G13866">
            <v>320</v>
          </cell>
          <cell r="H13866" t="str">
            <v>REL-A 320</v>
          </cell>
          <cell r="K13866" t="str">
            <v>Harrill,J. Albert</v>
          </cell>
          <cell r="N13866">
            <v>2.8039999999999998</v>
          </cell>
          <cell r="O13866">
            <v>3.3460000000000001</v>
          </cell>
        </row>
        <row r="13867">
          <cell r="E13867" t="str">
            <v>REL</v>
          </cell>
          <cell r="F13867" t="str">
            <v xml:space="preserve">REL-A </v>
          </cell>
          <cell r="G13867">
            <v>325</v>
          </cell>
          <cell r="H13867" t="str">
            <v>REL-A 325</v>
          </cell>
          <cell r="K13867" t="str">
            <v>Storin,Bradley Keith</v>
          </cell>
          <cell r="N13867">
            <v>2.1589999999999998</v>
          </cell>
          <cell r="O13867">
            <v>2.8109999999999999</v>
          </cell>
        </row>
        <row r="13868">
          <cell r="E13868" t="str">
            <v>REL</v>
          </cell>
          <cell r="F13868" t="str">
            <v xml:space="preserve">REL-A </v>
          </cell>
          <cell r="G13868">
            <v>325</v>
          </cell>
          <cell r="H13868" t="str">
            <v>REL-A 325</v>
          </cell>
          <cell r="K13868" t="str">
            <v>Storin,Bradley Keith</v>
          </cell>
          <cell r="N13868">
            <v>2.8</v>
          </cell>
          <cell r="O13868">
            <v>2.855</v>
          </cell>
        </row>
        <row r="13869">
          <cell r="E13869" t="str">
            <v>REL</v>
          </cell>
          <cell r="F13869" t="str">
            <v xml:space="preserve">REL-A </v>
          </cell>
          <cell r="G13869">
            <v>380</v>
          </cell>
          <cell r="H13869" t="str">
            <v>REL-A 380</v>
          </cell>
          <cell r="K13869" t="str">
            <v>Jaques,Robert Kevin</v>
          </cell>
          <cell r="N13869">
            <v>2.714</v>
          </cell>
          <cell r="O13869">
            <v>3.2919999999999998</v>
          </cell>
        </row>
        <row r="13870">
          <cell r="E13870" t="str">
            <v>REL</v>
          </cell>
          <cell r="F13870" t="str">
            <v xml:space="preserve">REL-A </v>
          </cell>
          <cell r="G13870">
            <v>415</v>
          </cell>
          <cell r="H13870" t="str">
            <v>REL-A 415</v>
          </cell>
          <cell r="K13870" t="str">
            <v>Magid,Shaul</v>
          </cell>
          <cell r="N13870">
            <v>3.3380000000000001</v>
          </cell>
          <cell r="O13870">
            <v>2.835</v>
          </cell>
        </row>
        <row r="13871">
          <cell r="E13871" t="str">
            <v>REL</v>
          </cell>
          <cell r="F13871" t="str">
            <v xml:space="preserve">REL-A </v>
          </cell>
          <cell r="G13871">
            <v>426</v>
          </cell>
          <cell r="H13871" t="str">
            <v>REL-A 426</v>
          </cell>
          <cell r="K13871" t="str">
            <v>Brakke,David B.</v>
          </cell>
          <cell r="N13871">
            <v>3.4430000000000001</v>
          </cell>
          <cell r="O13871">
            <v>3.39</v>
          </cell>
        </row>
        <row r="13872">
          <cell r="E13872" t="str">
            <v>REL</v>
          </cell>
          <cell r="F13872" t="str">
            <v xml:space="preserve">REL-A </v>
          </cell>
          <cell r="G13872">
            <v>450</v>
          </cell>
          <cell r="H13872" t="str">
            <v>REL-A 450</v>
          </cell>
          <cell r="K13872" t="str">
            <v>Michelson,Patrick Lally</v>
          </cell>
          <cell r="N13872">
            <v>3.4249999999999998</v>
          </cell>
          <cell r="O13872">
            <v>2.806</v>
          </cell>
        </row>
        <row r="13873">
          <cell r="E13873" t="str">
            <v>REL</v>
          </cell>
          <cell r="F13873" t="str">
            <v xml:space="preserve">REL-B </v>
          </cell>
          <cell r="G13873">
            <v>202</v>
          </cell>
          <cell r="H13873" t="str">
            <v>REL-B 202</v>
          </cell>
          <cell r="K13873" t="str">
            <v>Ing,Michael Kaulana</v>
          </cell>
          <cell r="N13873">
            <v>2.766</v>
          </cell>
          <cell r="O13873">
            <v>2.8220000000000001</v>
          </cell>
        </row>
        <row r="13874">
          <cell r="E13874" t="str">
            <v>REL</v>
          </cell>
          <cell r="F13874" t="str">
            <v xml:space="preserve">REL-B </v>
          </cell>
          <cell r="G13874">
            <v>202</v>
          </cell>
          <cell r="H13874" t="str">
            <v>REL-B 202</v>
          </cell>
          <cell r="K13874" t="str">
            <v>Ing,Michael Kaulana</v>
          </cell>
          <cell r="N13874">
            <v>3.2719999999999998</v>
          </cell>
          <cell r="O13874">
            <v>2.9340000000000002</v>
          </cell>
        </row>
        <row r="13875">
          <cell r="E13875" t="str">
            <v>REL</v>
          </cell>
          <cell r="F13875" t="str">
            <v xml:space="preserve">REL-B </v>
          </cell>
          <cell r="G13875">
            <v>210</v>
          </cell>
          <cell r="H13875" t="str">
            <v>REL-B 210</v>
          </cell>
          <cell r="K13875" t="str">
            <v>Nance,Richard Fleming</v>
          </cell>
          <cell r="N13875">
            <v>2.2549999999999999</v>
          </cell>
          <cell r="O13875">
            <v>2.976</v>
          </cell>
        </row>
        <row r="13876">
          <cell r="E13876" t="str">
            <v>REL</v>
          </cell>
          <cell r="F13876" t="str">
            <v xml:space="preserve">REL-B </v>
          </cell>
          <cell r="G13876">
            <v>210</v>
          </cell>
          <cell r="H13876" t="str">
            <v>REL-B 210</v>
          </cell>
          <cell r="K13876" t="str">
            <v>Nance,Richard Fleming</v>
          </cell>
          <cell r="N13876">
            <v>2.7050000000000001</v>
          </cell>
          <cell r="O13876">
            <v>3.1619999999999999</v>
          </cell>
        </row>
        <row r="13877">
          <cell r="E13877" t="str">
            <v>REL</v>
          </cell>
          <cell r="F13877" t="str">
            <v xml:space="preserve">REL-B </v>
          </cell>
          <cell r="G13877">
            <v>220</v>
          </cell>
          <cell r="H13877" t="str">
            <v>REL-B 220</v>
          </cell>
          <cell r="K13877" t="str">
            <v>Haberman,David L.</v>
          </cell>
          <cell r="N13877">
            <v>3.6</v>
          </cell>
          <cell r="O13877">
            <v>3.161</v>
          </cell>
        </row>
        <row r="13878">
          <cell r="E13878" t="str">
            <v>REL</v>
          </cell>
          <cell r="F13878" t="str">
            <v xml:space="preserve">REL-B </v>
          </cell>
          <cell r="G13878">
            <v>300</v>
          </cell>
          <cell r="H13878" t="str">
            <v>REL-B 300</v>
          </cell>
          <cell r="K13878" t="str">
            <v>Ing,Michael Kaulana</v>
          </cell>
          <cell r="N13878">
            <v>3.4329999999999998</v>
          </cell>
          <cell r="O13878">
            <v>3.141</v>
          </cell>
        </row>
        <row r="13879">
          <cell r="E13879" t="str">
            <v>REL</v>
          </cell>
          <cell r="F13879" t="str">
            <v xml:space="preserve">REL-B </v>
          </cell>
          <cell r="G13879">
            <v>300</v>
          </cell>
          <cell r="H13879" t="str">
            <v>REL-B 300</v>
          </cell>
          <cell r="K13879" t="str">
            <v>Nance,Richard Fleming</v>
          </cell>
          <cell r="N13879">
            <v>2.407</v>
          </cell>
          <cell r="O13879">
            <v>2.7749999999999999</v>
          </cell>
        </row>
        <row r="13880">
          <cell r="E13880" t="str">
            <v>REL</v>
          </cell>
          <cell r="F13880" t="str">
            <v xml:space="preserve">REL-B </v>
          </cell>
          <cell r="G13880">
            <v>335</v>
          </cell>
          <cell r="H13880" t="str">
            <v>REL-B 335</v>
          </cell>
          <cell r="K13880" t="str">
            <v>Manring,Rebecca</v>
          </cell>
          <cell r="N13880">
            <v>3.0190000000000001</v>
          </cell>
          <cell r="O13880">
            <v>3.37</v>
          </cell>
        </row>
        <row r="13881">
          <cell r="E13881" t="str">
            <v>REL</v>
          </cell>
          <cell r="F13881" t="str">
            <v xml:space="preserve">REL-B </v>
          </cell>
          <cell r="G13881">
            <v>360</v>
          </cell>
          <cell r="H13881" t="str">
            <v>REL-B 360</v>
          </cell>
          <cell r="K13881" t="str">
            <v>Blair,Heather Elizabeth</v>
          </cell>
          <cell r="N13881">
            <v>3.3250000000000002</v>
          </cell>
          <cell r="O13881">
            <v>3.0859999999999999</v>
          </cell>
        </row>
        <row r="13882">
          <cell r="E13882" t="str">
            <v>REL</v>
          </cell>
          <cell r="F13882" t="str">
            <v xml:space="preserve">REL-B </v>
          </cell>
          <cell r="G13882">
            <v>374</v>
          </cell>
          <cell r="H13882" t="str">
            <v>REL-B 374</v>
          </cell>
          <cell r="K13882" t="str">
            <v>Stalnaker,Aaron Dean</v>
          </cell>
          <cell r="N13882">
            <v>3.1789999999999998</v>
          </cell>
          <cell r="O13882">
            <v>3.18</v>
          </cell>
        </row>
        <row r="13883">
          <cell r="E13883" t="str">
            <v>REL</v>
          </cell>
          <cell r="F13883" t="str">
            <v xml:space="preserve">REL-B </v>
          </cell>
          <cell r="G13883">
            <v>410</v>
          </cell>
          <cell r="H13883" t="str">
            <v>REL-B 410</v>
          </cell>
          <cell r="K13883" t="str">
            <v>Blair,Heather Elizabeth</v>
          </cell>
          <cell r="N13883">
            <v>3.6560000000000001</v>
          </cell>
          <cell r="O13883">
            <v>3.278</v>
          </cell>
        </row>
        <row r="13884">
          <cell r="E13884" t="str">
            <v>REL</v>
          </cell>
          <cell r="F13884" t="str">
            <v xml:space="preserve">REL-B </v>
          </cell>
          <cell r="G13884">
            <v>414</v>
          </cell>
          <cell r="H13884" t="str">
            <v>REL-B 414</v>
          </cell>
          <cell r="K13884" t="str">
            <v>Nance,Richard Fleming</v>
          </cell>
          <cell r="N13884">
            <v>3.1</v>
          </cell>
          <cell r="O13884">
            <v>3.3170000000000002</v>
          </cell>
        </row>
        <row r="13885">
          <cell r="E13885" t="str">
            <v>REL</v>
          </cell>
          <cell r="F13885" t="str">
            <v xml:space="preserve">REL-C </v>
          </cell>
          <cell r="G13885">
            <v>300</v>
          </cell>
          <cell r="H13885" t="str">
            <v>REL-C 300</v>
          </cell>
          <cell r="K13885" t="str">
            <v>Sullivan,Winnifred Fallers</v>
          </cell>
          <cell r="N13885">
            <v>3.2309999999999999</v>
          </cell>
          <cell r="O13885">
            <v>3.1230000000000002</v>
          </cell>
        </row>
        <row r="13886">
          <cell r="E13886" t="str">
            <v>REL</v>
          </cell>
          <cell r="F13886" t="str">
            <v xml:space="preserve">REL-C </v>
          </cell>
          <cell r="G13886">
            <v>301</v>
          </cell>
          <cell r="H13886" t="str">
            <v>REL-C 301</v>
          </cell>
          <cell r="K13886" t="str">
            <v>Paddison,Joshua Allen</v>
          </cell>
          <cell r="N13886">
            <v>3.1</v>
          </cell>
          <cell r="O13886">
            <v>2.9039999999999999</v>
          </cell>
        </row>
        <row r="13887">
          <cell r="E13887" t="str">
            <v>REL</v>
          </cell>
          <cell r="F13887" t="str">
            <v xml:space="preserve">REL-C </v>
          </cell>
          <cell r="G13887">
            <v>335</v>
          </cell>
          <cell r="H13887" t="str">
            <v>REL-C 335</v>
          </cell>
          <cell r="K13887" t="str">
            <v>Paddison,Joshua Allen</v>
          </cell>
          <cell r="N13887">
            <v>3.383</v>
          </cell>
          <cell r="O13887">
            <v>3.0939999999999999</v>
          </cell>
        </row>
        <row r="13888">
          <cell r="E13888" t="str">
            <v>REL</v>
          </cell>
          <cell r="F13888" t="str">
            <v xml:space="preserve">REL-C </v>
          </cell>
          <cell r="G13888">
            <v>401</v>
          </cell>
          <cell r="H13888" t="str">
            <v>REL-C 401</v>
          </cell>
          <cell r="K13888" t="str">
            <v>Paddison,Joshua Allen</v>
          </cell>
          <cell r="N13888">
            <v>3.1560000000000001</v>
          </cell>
          <cell r="O13888">
            <v>3.24</v>
          </cell>
        </row>
        <row r="13889">
          <cell r="E13889" t="str">
            <v>REL</v>
          </cell>
          <cell r="F13889" t="str">
            <v xml:space="preserve">REL-D </v>
          </cell>
          <cell r="G13889">
            <v>202</v>
          </cell>
          <cell r="H13889" t="str">
            <v>REL-D 202</v>
          </cell>
          <cell r="K13889" t="str">
            <v>Ranganathan,Bharat</v>
          </cell>
          <cell r="N13889">
            <v>2.1560000000000001</v>
          </cell>
          <cell r="O13889">
            <v>2.7480000000000002</v>
          </cell>
        </row>
        <row r="13890">
          <cell r="E13890" t="str">
            <v>REL</v>
          </cell>
          <cell r="F13890" t="str">
            <v xml:space="preserve">REL-D </v>
          </cell>
          <cell r="G13890">
            <v>250</v>
          </cell>
          <cell r="H13890" t="str">
            <v>REL-D 250</v>
          </cell>
          <cell r="K13890" t="str">
            <v>Haberman,David L.</v>
          </cell>
          <cell r="N13890">
            <v>3.5259999999999998</v>
          </cell>
          <cell r="O13890">
            <v>3.149</v>
          </cell>
        </row>
        <row r="13891">
          <cell r="E13891" t="str">
            <v>REL</v>
          </cell>
          <cell r="F13891" t="str">
            <v xml:space="preserve">REL-D </v>
          </cell>
          <cell r="G13891">
            <v>310</v>
          </cell>
          <cell r="H13891" t="str">
            <v>REL-D 310</v>
          </cell>
          <cell r="K13891" t="str">
            <v>Hart,James G.</v>
          </cell>
          <cell r="N13891">
            <v>2.7</v>
          </cell>
          <cell r="O13891">
            <v>3.0150000000000001</v>
          </cell>
        </row>
        <row r="13892">
          <cell r="E13892" t="str">
            <v>REL</v>
          </cell>
          <cell r="F13892" t="str">
            <v xml:space="preserve">REL-D </v>
          </cell>
          <cell r="G13892">
            <v>315</v>
          </cell>
          <cell r="H13892" t="str">
            <v>REL-D 315</v>
          </cell>
          <cell r="K13892" t="str">
            <v>Miller,Richard B.</v>
          </cell>
          <cell r="N13892">
            <v>3.0129999999999999</v>
          </cell>
          <cell r="O13892">
            <v>3.206</v>
          </cell>
        </row>
        <row r="13893">
          <cell r="E13893" t="str">
            <v>REL</v>
          </cell>
          <cell r="F13893" t="str">
            <v xml:space="preserve">REL-D </v>
          </cell>
          <cell r="G13893">
            <v>330</v>
          </cell>
          <cell r="H13893" t="str">
            <v>REL-D 330</v>
          </cell>
          <cell r="K13893" t="str">
            <v>Miller,Richard B.</v>
          </cell>
          <cell r="N13893">
            <v>2.823</v>
          </cell>
          <cell r="O13893">
            <v>2.9390000000000001</v>
          </cell>
        </row>
        <row r="13894">
          <cell r="E13894" t="str">
            <v>REL</v>
          </cell>
          <cell r="F13894" t="str">
            <v xml:space="preserve">REL-D </v>
          </cell>
          <cell r="G13894">
            <v>410</v>
          </cell>
          <cell r="H13894" t="str">
            <v>REL-D 410</v>
          </cell>
          <cell r="K13894" t="str">
            <v>Levene,Nancy Karin</v>
          </cell>
          <cell r="N13894">
            <v>3</v>
          </cell>
          <cell r="O13894">
            <v>3.05</v>
          </cell>
        </row>
        <row r="13895">
          <cell r="E13895" t="str">
            <v>REL</v>
          </cell>
          <cell r="F13895" t="str">
            <v xml:space="preserve">REL-D </v>
          </cell>
          <cell r="G13895">
            <v>430</v>
          </cell>
          <cell r="H13895" t="str">
            <v>REL-D 430</v>
          </cell>
          <cell r="K13895" t="str">
            <v>Sideris,Lisa H</v>
          </cell>
          <cell r="N13895">
            <v>2.85</v>
          </cell>
          <cell r="O13895">
            <v>3.1589999999999998</v>
          </cell>
        </row>
        <row r="13896">
          <cell r="E13896" t="str">
            <v>REL</v>
          </cell>
          <cell r="F13896" t="str">
            <v xml:space="preserve">REL-G </v>
          </cell>
          <cell r="G13896">
            <v>901</v>
          </cell>
          <cell r="H13896" t="str">
            <v>REL-G 901</v>
          </cell>
          <cell r="K13896" t="str">
            <v>Haberman,David L.</v>
          </cell>
          <cell r="N13896" t="str">
            <v>NR</v>
          </cell>
          <cell r="O13896" t="str">
            <v>NR</v>
          </cell>
        </row>
        <row r="13897">
          <cell r="E13897" t="str">
            <v>REL</v>
          </cell>
          <cell r="F13897" t="str">
            <v xml:space="preserve">REL-G </v>
          </cell>
          <cell r="G13897">
            <v>901</v>
          </cell>
          <cell r="H13897" t="str">
            <v>REL-G 901</v>
          </cell>
          <cell r="K13897" t="str">
            <v>Sullivan,Winnifred Fallers</v>
          </cell>
          <cell r="N13897" t="str">
            <v>NR</v>
          </cell>
          <cell r="O13897" t="str">
            <v>NR</v>
          </cell>
        </row>
        <row r="13898">
          <cell r="E13898" t="str">
            <v>REL</v>
          </cell>
          <cell r="F13898" t="str">
            <v xml:space="preserve">REL-R </v>
          </cell>
          <cell r="G13898">
            <v>102</v>
          </cell>
          <cell r="H13898" t="str">
            <v>REL-R 102</v>
          </cell>
          <cell r="K13898" t="str">
            <v>Brakke,David B.</v>
          </cell>
          <cell r="N13898">
            <v>3.2610000000000001</v>
          </cell>
          <cell r="O13898">
            <v>3.1859999999999999</v>
          </cell>
        </row>
        <row r="13899">
          <cell r="E13899" t="str">
            <v>REL</v>
          </cell>
          <cell r="F13899" t="str">
            <v xml:space="preserve">REL-R </v>
          </cell>
          <cell r="G13899">
            <v>133</v>
          </cell>
          <cell r="H13899" t="str">
            <v>REL-R 133</v>
          </cell>
          <cell r="K13899" t="str">
            <v>Furey,Constance</v>
          </cell>
          <cell r="N13899">
            <v>3.508</v>
          </cell>
          <cell r="O13899">
            <v>3.2240000000000002</v>
          </cell>
        </row>
        <row r="13900">
          <cell r="E13900" t="str">
            <v>REL</v>
          </cell>
          <cell r="F13900" t="str">
            <v xml:space="preserve">REL-R </v>
          </cell>
          <cell r="G13900">
            <v>133</v>
          </cell>
          <cell r="H13900" t="str">
            <v>REL-R 133</v>
          </cell>
          <cell r="K13900" t="str">
            <v>Michelson,Patrick Lally</v>
          </cell>
          <cell r="N13900">
            <v>3.2480000000000002</v>
          </cell>
          <cell r="O13900">
            <v>2.9990000000000001</v>
          </cell>
        </row>
        <row r="13901">
          <cell r="E13901" t="str">
            <v>REL</v>
          </cell>
          <cell r="F13901" t="str">
            <v xml:space="preserve">REL-R </v>
          </cell>
          <cell r="G13901">
            <v>153</v>
          </cell>
          <cell r="H13901" t="str">
            <v>REL-R 153</v>
          </cell>
          <cell r="K13901" t="str">
            <v>Haberman,David L.</v>
          </cell>
          <cell r="N13901">
            <v>2.8540000000000001</v>
          </cell>
          <cell r="O13901">
            <v>2.8010000000000002</v>
          </cell>
        </row>
        <row r="13902">
          <cell r="E13902" t="str">
            <v>REL</v>
          </cell>
          <cell r="F13902" t="str">
            <v xml:space="preserve">REL-R </v>
          </cell>
          <cell r="G13902">
            <v>153</v>
          </cell>
          <cell r="H13902" t="str">
            <v>REL-R 153</v>
          </cell>
          <cell r="K13902" t="str">
            <v>Ing,Michael Kaulana</v>
          </cell>
          <cell r="N13902">
            <v>3.0009999999999999</v>
          </cell>
          <cell r="O13902">
            <v>2.95</v>
          </cell>
        </row>
        <row r="13903">
          <cell r="E13903" t="str">
            <v>REL</v>
          </cell>
          <cell r="F13903" t="str">
            <v xml:space="preserve">REL-R </v>
          </cell>
          <cell r="G13903">
            <v>160</v>
          </cell>
          <cell r="H13903" t="str">
            <v>REL-R 160</v>
          </cell>
          <cell r="K13903" t="str">
            <v>Logan,Dana Wiggins</v>
          </cell>
          <cell r="N13903">
            <v>3.0710000000000002</v>
          </cell>
          <cell r="O13903">
            <v>3.069</v>
          </cell>
        </row>
        <row r="13904">
          <cell r="E13904" t="str">
            <v>REL</v>
          </cell>
          <cell r="F13904" t="str">
            <v xml:space="preserve">REL-R </v>
          </cell>
          <cell r="G13904">
            <v>170</v>
          </cell>
          <cell r="H13904" t="str">
            <v>REL-R 170</v>
          </cell>
          <cell r="K13904" t="str">
            <v>Stalnaker,Aaron Dean</v>
          </cell>
          <cell r="N13904">
            <v>3.052</v>
          </cell>
          <cell r="O13904">
            <v>2.9129999999999998</v>
          </cell>
        </row>
        <row r="13905">
          <cell r="E13905" t="str">
            <v>REL</v>
          </cell>
          <cell r="F13905" t="str">
            <v xml:space="preserve">REL-R </v>
          </cell>
          <cell r="G13905">
            <v>300</v>
          </cell>
          <cell r="H13905" t="str">
            <v>REL-R 300</v>
          </cell>
          <cell r="K13905" t="str">
            <v>Michelson,Patrick Lally</v>
          </cell>
          <cell r="N13905" t="str">
            <v>NR</v>
          </cell>
          <cell r="O13905" t="str">
            <v>NR</v>
          </cell>
        </row>
        <row r="13906">
          <cell r="E13906" t="str">
            <v>REL</v>
          </cell>
          <cell r="F13906" t="str">
            <v xml:space="preserve">REL-R </v>
          </cell>
          <cell r="G13906">
            <v>389</v>
          </cell>
          <cell r="H13906" t="str">
            <v>REL-R 389</v>
          </cell>
          <cell r="K13906" t="str">
            <v>Furey,Constance</v>
          </cell>
          <cell r="N13906">
            <v>3.7749999999999999</v>
          </cell>
          <cell r="O13906">
            <v>3.2890000000000001</v>
          </cell>
        </row>
        <row r="13907">
          <cell r="E13907" t="str">
            <v>REL</v>
          </cell>
          <cell r="F13907" t="str">
            <v xml:space="preserve">REL-R </v>
          </cell>
          <cell r="G13907">
            <v>389</v>
          </cell>
          <cell r="H13907" t="str">
            <v>REL-R 389</v>
          </cell>
          <cell r="K13907" t="str">
            <v>Michelson,Patrick Lally</v>
          </cell>
          <cell r="N13907">
            <v>3.3290000000000002</v>
          </cell>
          <cell r="O13907">
            <v>3.2749999999999999</v>
          </cell>
        </row>
        <row r="13908">
          <cell r="E13908" t="str">
            <v>REL</v>
          </cell>
          <cell r="F13908" t="str">
            <v xml:space="preserve">REL-R </v>
          </cell>
          <cell r="G13908">
            <v>399</v>
          </cell>
          <cell r="H13908" t="str">
            <v>REL-R 399</v>
          </cell>
          <cell r="K13908" t="str">
            <v>Haberman,David L.</v>
          </cell>
          <cell r="N13908" t="str">
            <v>NR</v>
          </cell>
          <cell r="O13908" t="str">
            <v>NR</v>
          </cell>
        </row>
        <row r="13909">
          <cell r="E13909" t="str">
            <v>REL</v>
          </cell>
          <cell r="F13909" t="str">
            <v xml:space="preserve">REL-R </v>
          </cell>
          <cell r="G13909">
            <v>399</v>
          </cell>
          <cell r="H13909" t="str">
            <v>REL-R 399</v>
          </cell>
          <cell r="K13909" t="str">
            <v>Sullivan,Winnifred Fallers</v>
          </cell>
          <cell r="N13909" t="str">
            <v>NR</v>
          </cell>
          <cell r="O13909" t="str">
            <v>NR</v>
          </cell>
        </row>
        <row r="13910">
          <cell r="E13910" t="str">
            <v>REL</v>
          </cell>
          <cell r="F13910" t="str">
            <v xml:space="preserve">REL-R </v>
          </cell>
          <cell r="G13910">
            <v>495</v>
          </cell>
          <cell r="H13910" t="str">
            <v>REL-R 495</v>
          </cell>
          <cell r="K13910" t="str">
            <v>Sullivan,Winnifred Fallers</v>
          </cell>
          <cell r="N13910" t="str">
            <v>NR</v>
          </cell>
          <cell r="O13910" t="str">
            <v>NR</v>
          </cell>
        </row>
        <row r="13911">
          <cell r="E13911" t="str">
            <v>REL</v>
          </cell>
          <cell r="F13911" t="str">
            <v xml:space="preserve">REL-R </v>
          </cell>
          <cell r="G13911">
            <v>496</v>
          </cell>
          <cell r="H13911" t="str">
            <v>REL-R 496</v>
          </cell>
          <cell r="K13911" t="str">
            <v>Haberman,David L.</v>
          </cell>
          <cell r="N13911" t="str">
            <v>NR</v>
          </cell>
          <cell r="O13911" t="str">
            <v>NR</v>
          </cell>
        </row>
        <row r="13912">
          <cell r="E13912" t="str">
            <v>REL</v>
          </cell>
          <cell r="F13912" t="str">
            <v xml:space="preserve">REL-R </v>
          </cell>
          <cell r="G13912">
            <v>499</v>
          </cell>
          <cell r="H13912" t="str">
            <v>REL-R 499</v>
          </cell>
          <cell r="K13912" t="str">
            <v>Haberman,David L.</v>
          </cell>
          <cell r="N13912" t="str">
            <v>NR</v>
          </cell>
          <cell r="O13912" t="str">
            <v>NR</v>
          </cell>
        </row>
        <row r="13913">
          <cell r="E13913" t="str">
            <v>REL</v>
          </cell>
          <cell r="F13913" t="str">
            <v xml:space="preserve">REL-R </v>
          </cell>
          <cell r="G13913">
            <v>499</v>
          </cell>
          <cell r="H13913" t="str">
            <v>REL-R 499</v>
          </cell>
          <cell r="K13913" t="str">
            <v>Sullivan,Winnifred Fallers</v>
          </cell>
          <cell r="N13913" t="str">
            <v>NR</v>
          </cell>
          <cell r="O13913" t="str">
            <v>NR</v>
          </cell>
        </row>
        <row r="13914">
          <cell r="E13914" t="str">
            <v>REL</v>
          </cell>
          <cell r="F13914" t="str">
            <v xml:space="preserve">REL-R </v>
          </cell>
          <cell r="G13914">
            <v>541</v>
          </cell>
          <cell r="H13914" t="str">
            <v>REL-R 541</v>
          </cell>
          <cell r="K13914" t="str">
            <v>Magid,Shaul</v>
          </cell>
          <cell r="N13914" t="str">
            <v>NR</v>
          </cell>
          <cell r="O13914" t="str">
            <v>NR</v>
          </cell>
        </row>
        <row r="13915">
          <cell r="E13915" t="str">
            <v>REL</v>
          </cell>
          <cell r="F13915" t="str">
            <v xml:space="preserve">REL-R </v>
          </cell>
          <cell r="G13915">
            <v>552</v>
          </cell>
          <cell r="H13915" t="str">
            <v>REL-R 552</v>
          </cell>
          <cell r="K13915" t="str">
            <v>Nance,Richard Fleming</v>
          </cell>
          <cell r="N13915" t="str">
            <v>NR</v>
          </cell>
          <cell r="O13915" t="str">
            <v>NR</v>
          </cell>
        </row>
        <row r="13916">
          <cell r="E13916" t="str">
            <v>REL</v>
          </cell>
          <cell r="F13916" t="str">
            <v xml:space="preserve">REL-R </v>
          </cell>
          <cell r="G13916">
            <v>553</v>
          </cell>
          <cell r="H13916" t="str">
            <v>REL-R 553</v>
          </cell>
          <cell r="K13916" t="str">
            <v>Jaques,Robert Kevin</v>
          </cell>
          <cell r="N13916" t="str">
            <v>NR</v>
          </cell>
          <cell r="O13916" t="str">
            <v>NR</v>
          </cell>
        </row>
        <row r="13917">
          <cell r="E13917" t="str">
            <v>REL</v>
          </cell>
          <cell r="F13917" t="str">
            <v xml:space="preserve">REL-R </v>
          </cell>
          <cell r="G13917">
            <v>581</v>
          </cell>
          <cell r="H13917" t="str">
            <v>REL-R 581</v>
          </cell>
          <cell r="K13917" t="str">
            <v>Levene,Nancy Karin</v>
          </cell>
          <cell r="N13917" t="str">
            <v>NR</v>
          </cell>
          <cell r="O13917" t="str">
            <v>NR</v>
          </cell>
        </row>
        <row r="13918">
          <cell r="E13918" t="str">
            <v>REL</v>
          </cell>
          <cell r="F13918" t="str">
            <v xml:space="preserve">REL-R </v>
          </cell>
          <cell r="G13918">
            <v>590</v>
          </cell>
          <cell r="H13918" t="str">
            <v>REL-R 590</v>
          </cell>
          <cell r="K13918" t="str">
            <v>Haberman,David L.</v>
          </cell>
          <cell r="N13918">
            <v>4</v>
          </cell>
          <cell r="O13918">
            <v>3.9409999999999998</v>
          </cell>
        </row>
        <row r="13919">
          <cell r="E13919" t="str">
            <v>REL</v>
          </cell>
          <cell r="F13919" t="str">
            <v xml:space="preserve">REL-R </v>
          </cell>
          <cell r="G13919">
            <v>590</v>
          </cell>
          <cell r="H13919" t="str">
            <v>REL-R 590</v>
          </cell>
          <cell r="K13919" t="str">
            <v>Sullivan,Winnifred Fallers</v>
          </cell>
          <cell r="N13919">
            <v>4</v>
          </cell>
          <cell r="O13919">
            <v>3.944</v>
          </cell>
        </row>
        <row r="13920">
          <cell r="E13920" t="str">
            <v>REL</v>
          </cell>
          <cell r="F13920" t="str">
            <v xml:space="preserve">REL-R </v>
          </cell>
          <cell r="G13920">
            <v>661</v>
          </cell>
          <cell r="H13920" t="str">
            <v>REL-R 661</v>
          </cell>
          <cell r="K13920" t="str">
            <v>Stalnaker,Aaron Dean</v>
          </cell>
          <cell r="N13920" t="str">
            <v>NR</v>
          </cell>
          <cell r="O13920" t="str">
            <v>NR</v>
          </cell>
        </row>
        <row r="13921">
          <cell r="E13921" t="str">
            <v>REL</v>
          </cell>
          <cell r="F13921" t="str">
            <v xml:space="preserve">REL-R </v>
          </cell>
          <cell r="G13921">
            <v>665</v>
          </cell>
          <cell r="H13921" t="str">
            <v>REL-R 665</v>
          </cell>
          <cell r="K13921" t="str">
            <v>Furey,Constance</v>
          </cell>
          <cell r="N13921">
            <v>3.7360000000000002</v>
          </cell>
          <cell r="O13921">
            <v>3.8519999999999999</v>
          </cell>
        </row>
        <row r="13922">
          <cell r="E13922" t="str">
            <v>REL</v>
          </cell>
          <cell r="F13922" t="str">
            <v xml:space="preserve">REL-R </v>
          </cell>
          <cell r="G13922">
            <v>711</v>
          </cell>
          <cell r="H13922" t="str">
            <v>REL-R 711</v>
          </cell>
          <cell r="K13922" t="str">
            <v>Haberman,David L.</v>
          </cell>
          <cell r="N13922" t="str">
            <v>NR</v>
          </cell>
          <cell r="O13922" t="str">
            <v>NR</v>
          </cell>
        </row>
        <row r="13923">
          <cell r="E13923" t="str">
            <v>REL</v>
          </cell>
          <cell r="F13923" t="str">
            <v xml:space="preserve">REL-R </v>
          </cell>
          <cell r="G13923">
            <v>736</v>
          </cell>
          <cell r="H13923" t="str">
            <v>REL-R 736</v>
          </cell>
          <cell r="K13923" t="str">
            <v>Brakke,David B.</v>
          </cell>
          <cell r="N13923" t="str">
            <v>NR</v>
          </cell>
          <cell r="O13923" t="str">
            <v>NR</v>
          </cell>
        </row>
        <row r="13924">
          <cell r="E13924" t="str">
            <v>REL</v>
          </cell>
          <cell r="F13924" t="str">
            <v xml:space="preserve">REL-R </v>
          </cell>
          <cell r="G13924">
            <v>790</v>
          </cell>
          <cell r="H13924" t="str">
            <v>REL-R 790</v>
          </cell>
          <cell r="K13924" t="str">
            <v>Haberman,David L.</v>
          </cell>
          <cell r="N13924" t="str">
            <v>NR</v>
          </cell>
          <cell r="O13924" t="str">
            <v>NR</v>
          </cell>
        </row>
        <row r="13925">
          <cell r="E13925" t="str">
            <v>REL</v>
          </cell>
          <cell r="F13925" t="str">
            <v xml:space="preserve">REL-R </v>
          </cell>
          <cell r="G13925">
            <v>790</v>
          </cell>
          <cell r="H13925" t="str">
            <v>REL-R 790</v>
          </cell>
          <cell r="K13925" t="str">
            <v>Sullivan,Winnifred Fallers</v>
          </cell>
          <cell r="N13925" t="str">
            <v>NR</v>
          </cell>
          <cell r="O13925" t="str">
            <v>NR</v>
          </cell>
        </row>
        <row r="13926">
          <cell r="E13926" t="str">
            <v>REL</v>
          </cell>
          <cell r="F13926" t="str">
            <v xml:space="preserve">REL-R </v>
          </cell>
          <cell r="G13926">
            <v>791</v>
          </cell>
          <cell r="H13926" t="str">
            <v>REL-R 791</v>
          </cell>
          <cell r="K13926" t="str">
            <v>Haberman,David L.</v>
          </cell>
          <cell r="N13926" t="str">
            <v>NR</v>
          </cell>
          <cell r="O13926" t="str">
            <v>NR</v>
          </cell>
        </row>
        <row r="13927">
          <cell r="E13927" t="str">
            <v>REL</v>
          </cell>
          <cell r="F13927" t="str">
            <v xml:space="preserve">REL-R </v>
          </cell>
          <cell r="G13927">
            <v>791</v>
          </cell>
          <cell r="H13927" t="str">
            <v>REL-R 791</v>
          </cell>
          <cell r="K13927" t="str">
            <v>Sullivan,Winnifred Fallers</v>
          </cell>
          <cell r="N13927" t="str">
            <v>NR</v>
          </cell>
          <cell r="O13927" t="str">
            <v>NR</v>
          </cell>
        </row>
        <row r="13928">
          <cell r="E13928" t="str">
            <v>REL</v>
          </cell>
          <cell r="F13928" t="str">
            <v xml:space="preserve">REL-R </v>
          </cell>
          <cell r="G13928">
            <v>794</v>
          </cell>
          <cell r="H13928" t="str">
            <v>REL-R 794</v>
          </cell>
          <cell r="K13928" t="str">
            <v>Haberman,David L.</v>
          </cell>
          <cell r="N13928" t="str">
            <v>NR</v>
          </cell>
          <cell r="O13928" t="str">
            <v>NR</v>
          </cell>
        </row>
        <row r="13929">
          <cell r="E13929" t="str">
            <v>REL</v>
          </cell>
          <cell r="F13929" t="str">
            <v xml:space="preserve">REL-R </v>
          </cell>
          <cell r="G13929">
            <v>794</v>
          </cell>
          <cell r="H13929" t="str">
            <v>REL-R 794</v>
          </cell>
          <cell r="K13929" t="str">
            <v>Sullivan,Winnifred Fallers</v>
          </cell>
          <cell r="N13929" t="str">
            <v>NR</v>
          </cell>
          <cell r="O13929" t="str">
            <v>NR</v>
          </cell>
        </row>
        <row r="13930">
          <cell r="E13930" t="str">
            <v>REL</v>
          </cell>
          <cell r="F13930" t="str">
            <v xml:space="preserve">REL-R </v>
          </cell>
          <cell r="G13930">
            <v>799</v>
          </cell>
          <cell r="H13930" t="str">
            <v>REL-R 799</v>
          </cell>
          <cell r="K13930" t="str">
            <v>Haberman,David L.</v>
          </cell>
          <cell r="N13930" t="str">
            <v>NR</v>
          </cell>
          <cell r="O13930" t="str">
            <v>NR</v>
          </cell>
        </row>
        <row r="13931">
          <cell r="E13931" t="str">
            <v>REL</v>
          </cell>
          <cell r="F13931" t="str">
            <v xml:space="preserve">REL-R </v>
          </cell>
          <cell r="G13931">
            <v>799</v>
          </cell>
          <cell r="H13931" t="str">
            <v>REL-R 799</v>
          </cell>
          <cell r="K13931" t="str">
            <v>Sullivan,Winnifred Fallers</v>
          </cell>
          <cell r="N13931" t="str">
            <v>NR</v>
          </cell>
          <cell r="O13931" t="str">
            <v>NR</v>
          </cell>
        </row>
        <row r="13932">
          <cell r="E13932" t="str">
            <v>REN</v>
          </cell>
          <cell r="F13932" t="str">
            <v xml:space="preserve">REN-R </v>
          </cell>
          <cell r="G13932">
            <v>502</v>
          </cell>
          <cell r="H13932" t="str">
            <v>REN-R 502</v>
          </cell>
          <cell r="K13932" t="str">
            <v>MacPhail,Eric M</v>
          </cell>
          <cell r="N13932" t="str">
            <v>NR</v>
          </cell>
          <cell r="O13932" t="str">
            <v>NR</v>
          </cell>
        </row>
        <row r="13933">
          <cell r="E13933" t="str">
            <v>REN</v>
          </cell>
          <cell r="F13933" t="str">
            <v xml:space="preserve">REN-R </v>
          </cell>
          <cell r="G13933">
            <v>502</v>
          </cell>
          <cell r="H13933" t="str">
            <v>REN-R 502</v>
          </cell>
          <cell r="K13933" t="str">
            <v>Rothstein,Bret</v>
          </cell>
          <cell r="N13933" t="str">
            <v>NR</v>
          </cell>
          <cell r="O13933" t="str">
            <v>NR</v>
          </cell>
        </row>
        <row r="13934">
          <cell r="E13934" t="str">
            <v>SLAV</v>
          </cell>
          <cell r="F13934" t="str">
            <v>SLAV-C</v>
          </cell>
          <cell r="G13934">
            <v>102</v>
          </cell>
          <cell r="H13934" t="str">
            <v>SLAV-C102</v>
          </cell>
          <cell r="K13934" t="str">
            <v>Cravens,Craig</v>
          </cell>
          <cell r="N13934" t="str">
            <v>NR</v>
          </cell>
          <cell r="O13934" t="str">
            <v>NR</v>
          </cell>
        </row>
        <row r="13935">
          <cell r="E13935" t="str">
            <v>SLAV</v>
          </cell>
          <cell r="F13935" t="str">
            <v>SLAV-C</v>
          </cell>
          <cell r="G13935">
            <v>201</v>
          </cell>
          <cell r="H13935" t="str">
            <v>SLAV-C201</v>
          </cell>
          <cell r="K13935" t="str">
            <v>Cravens,Craig</v>
          </cell>
          <cell r="N13935" t="str">
            <v>NR</v>
          </cell>
          <cell r="O13935" t="str">
            <v>NR</v>
          </cell>
        </row>
        <row r="13936">
          <cell r="E13936" t="str">
            <v>SLAV</v>
          </cell>
          <cell r="F13936" t="str">
            <v>SLAV-C</v>
          </cell>
          <cell r="G13936">
            <v>202</v>
          </cell>
          <cell r="H13936" t="str">
            <v>SLAV-C202</v>
          </cell>
          <cell r="K13936" t="str">
            <v>Cravens,Craig</v>
          </cell>
          <cell r="N13936" t="str">
            <v>NR</v>
          </cell>
          <cell r="O13936" t="str">
            <v>NR</v>
          </cell>
        </row>
        <row r="13937">
          <cell r="E13937" t="str">
            <v>SLAV</v>
          </cell>
          <cell r="F13937" t="str">
            <v>SLAV-C</v>
          </cell>
          <cell r="G13937">
            <v>365</v>
          </cell>
          <cell r="H13937" t="str">
            <v>SLAV-C365</v>
          </cell>
          <cell r="K13937" t="str">
            <v>Cravens,Craig</v>
          </cell>
          <cell r="N13937" t="str">
            <v>NR</v>
          </cell>
          <cell r="O13937" t="str">
            <v>NR</v>
          </cell>
        </row>
        <row r="13938">
          <cell r="E13938" t="str">
            <v>SLAV</v>
          </cell>
          <cell r="F13938" t="str">
            <v>SLAV-C</v>
          </cell>
          <cell r="G13938">
            <v>502</v>
          </cell>
          <cell r="H13938" t="str">
            <v>SLAV-C502</v>
          </cell>
          <cell r="K13938" t="str">
            <v>Cravens,Craig</v>
          </cell>
          <cell r="N13938" t="str">
            <v>NR</v>
          </cell>
          <cell r="O13938" t="str">
            <v>NR</v>
          </cell>
        </row>
        <row r="13939">
          <cell r="E13939" t="str">
            <v>SLAV</v>
          </cell>
          <cell r="F13939" t="str">
            <v>SLAV-C</v>
          </cell>
          <cell r="G13939">
            <v>503</v>
          </cell>
          <cell r="H13939" t="str">
            <v>SLAV-C503</v>
          </cell>
          <cell r="K13939" t="str">
            <v>Cravens,Craig</v>
          </cell>
          <cell r="N13939" t="str">
            <v>NR</v>
          </cell>
          <cell r="O13939" t="str">
            <v>NR</v>
          </cell>
        </row>
        <row r="13940">
          <cell r="E13940" t="str">
            <v>SLAV</v>
          </cell>
          <cell r="F13940" t="str">
            <v>SLAV-C</v>
          </cell>
          <cell r="G13940">
            <v>504</v>
          </cell>
          <cell r="H13940" t="str">
            <v>SLAV-C504</v>
          </cell>
          <cell r="K13940" t="str">
            <v>Cravens,Craig</v>
          </cell>
          <cell r="N13940" t="str">
            <v>NR</v>
          </cell>
          <cell r="O13940" t="str">
            <v>NR</v>
          </cell>
        </row>
        <row r="13941">
          <cell r="E13941" t="str">
            <v>SLAV</v>
          </cell>
          <cell r="F13941" t="str">
            <v>SLAV-C</v>
          </cell>
          <cell r="G13941">
            <v>565</v>
          </cell>
          <cell r="H13941" t="str">
            <v>SLAV-C565</v>
          </cell>
          <cell r="K13941" t="str">
            <v>Cravens,Craig</v>
          </cell>
          <cell r="N13941" t="str">
            <v>NR</v>
          </cell>
          <cell r="O13941" t="str">
            <v>NR</v>
          </cell>
        </row>
        <row r="13942">
          <cell r="E13942" t="str">
            <v>SLAV</v>
          </cell>
          <cell r="F13942" t="str">
            <v>SLAV-G</v>
          </cell>
          <cell r="G13942">
            <v>901</v>
          </cell>
          <cell r="H13942" t="str">
            <v>SLAV-G901</v>
          </cell>
          <cell r="K13942" t="str">
            <v>Franks,Steven Laurence</v>
          </cell>
          <cell r="N13942" t="str">
            <v>NR</v>
          </cell>
          <cell r="O13942" t="str">
            <v>NR</v>
          </cell>
        </row>
        <row r="13943">
          <cell r="E13943" t="str">
            <v>SLAV</v>
          </cell>
          <cell r="F13943" t="str">
            <v>SLAV-G</v>
          </cell>
          <cell r="G13943">
            <v>901</v>
          </cell>
          <cell r="H13943" t="str">
            <v>SLAV-G901</v>
          </cell>
          <cell r="K13943" t="str">
            <v>Franks,Steven Laurence</v>
          </cell>
          <cell r="N13943" t="str">
            <v>NR</v>
          </cell>
          <cell r="O13943" t="str">
            <v>NR</v>
          </cell>
        </row>
        <row r="13944">
          <cell r="E13944" t="str">
            <v>SLAV</v>
          </cell>
          <cell r="F13944" t="str">
            <v>SLAV-L</v>
          </cell>
          <cell r="G13944">
            <v>501</v>
          </cell>
          <cell r="H13944" t="str">
            <v>SLAV-L501</v>
          </cell>
          <cell r="K13944" t="str">
            <v>Fowler,George H.</v>
          </cell>
          <cell r="N13944" t="str">
            <v>NR</v>
          </cell>
          <cell r="O13944" t="str">
            <v>NR</v>
          </cell>
        </row>
        <row r="13945">
          <cell r="E13945" t="str">
            <v>SLAV</v>
          </cell>
          <cell r="F13945" t="str">
            <v>SLAV-L</v>
          </cell>
          <cell r="G13945">
            <v>502</v>
          </cell>
          <cell r="H13945" t="str">
            <v>SLAV-L502</v>
          </cell>
          <cell r="K13945" t="str">
            <v>Fowler,George H.</v>
          </cell>
          <cell r="N13945" t="str">
            <v>NR</v>
          </cell>
          <cell r="O13945" t="str">
            <v>NR</v>
          </cell>
        </row>
        <row r="13946">
          <cell r="E13946" t="str">
            <v>SLAV</v>
          </cell>
          <cell r="F13946" t="str">
            <v>SLAV-L</v>
          </cell>
          <cell r="G13946">
            <v>571</v>
          </cell>
          <cell r="H13946" t="str">
            <v>SLAV-L571</v>
          </cell>
          <cell r="K13946" t="str">
            <v>Stern-Gottschalk,Ariann</v>
          </cell>
          <cell r="N13946">
            <v>3.8</v>
          </cell>
          <cell r="O13946">
            <v>3.9159999999999999</v>
          </cell>
        </row>
        <row r="13947">
          <cell r="E13947" t="str">
            <v>SLAV</v>
          </cell>
          <cell r="F13947" t="str">
            <v>SLAV-L</v>
          </cell>
          <cell r="G13947">
            <v>601</v>
          </cell>
          <cell r="H13947" t="str">
            <v>SLAV-L601</v>
          </cell>
          <cell r="K13947" t="str">
            <v>Franks,Steven Laurence</v>
          </cell>
          <cell r="N13947" t="str">
            <v>NR</v>
          </cell>
          <cell r="O13947" t="str">
            <v>NR</v>
          </cell>
        </row>
        <row r="13948">
          <cell r="E13948" t="str">
            <v>SLAV</v>
          </cell>
          <cell r="F13948" t="str">
            <v>SLAV-M</v>
          </cell>
          <cell r="G13948">
            <v>101</v>
          </cell>
          <cell r="H13948" t="str">
            <v>SLAV-M101</v>
          </cell>
          <cell r="K13948" t="str">
            <v>Illias,Christina Ioana</v>
          </cell>
          <cell r="N13948">
            <v>3.1219999999999999</v>
          </cell>
          <cell r="O13948">
            <v>2.9390000000000001</v>
          </cell>
        </row>
        <row r="13949">
          <cell r="E13949" t="str">
            <v>SLAV</v>
          </cell>
          <cell r="F13949" t="str">
            <v>SLAV-M</v>
          </cell>
          <cell r="G13949">
            <v>202</v>
          </cell>
          <cell r="H13949" t="str">
            <v>SLAV-M202</v>
          </cell>
          <cell r="K13949" t="str">
            <v>Illias,Christina Ioana</v>
          </cell>
          <cell r="N13949" t="str">
            <v>NR</v>
          </cell>
          <cell r="O13949" t="str">
            <v>NR</v>
          </cell>
        </row>
        <row r="13950">
          <cell r="E13950" t="str">
            <v>SLAV</v>
          </cell>
          <cell r="F13950" t="str">
            <v>SLAV-M</v>
          </cell>
          <cell r="G13950">
            <v>350</v>
          </cell>
          <cell r="H13950" t="str">
            <v>SLAV-M350</v>
          </cell>
          <cell r="K13950" t="str">
            <v>Illias,Christina Ioana</v>
          </cell>
          <cell r="N13950" t="str">
            <v>NR</v>
          </cell>
          <cell r="O13950" t="str">
            <v>NR</v>
          </cell>
        </row>
        <row r="13951">
          <cell r="E13951" t="str">
            <v>SLAV</v>
          </cell>
          <cell r="F13951" t="str">
            <v>SLAV-M</v>
          </cell>
          <cell r="G13951">
            <v>350</v>
          </cell>
          <cell r="H13951" t="str">
            <v>SLAV-M350</v>
          </cell>
          <cell r="K13951" t="str">
            <v>Illias,Christina Ioana</v>
          </cell>
          <cell r="N13951" t="str">
            <v>NR</v>
          </cell>
          <cell r="O13951" t="str">
            <v>NR</v>
          </cell>
        </row>
        <row r="13952">
          <cell r="E13952" t="str">
            <v>SLAV</v>
          </cell>
          <cell r="F13952" t="str">
            <v>SLAV-M</v>
          </cell>
          <cell r="G13952">
            <v>501</v>
          </cell>
          <cell r="H13952" t="str">
            <v>SLAV-M501</v>
          </cell>
          <cell r="K13952" t="str">
            <v>Illias,Christina Ioana</v>
          </cell>
          <cell r="N13952" t="str">
            <v>NR</v>
          </cell>
          <cell r="O13952" t="str">
            <v>NR</v>
          </cell>
        </row>
        <row r="13953">
          <cell r="E13953" t="str">
            <v>SLAV</v>
          </cell>
          <cell r="F13953" t="str">
            <v>SLAV-M</v>
          </cell>
          <cell r="G13953">
            <v>502</v>
          </cell>
          <cell r="H13953" t="str">
            <v>SLAV-M502</v>
          </cell>
          <cell r="K13953" t="str">
            <v>Illias,Christina Ioana</v>
          </cell>
          <cell r="N13953" t="str">
            <v>NR</v>
          </cell>
          <cell r="O13953" t="str">
            <v>NR</v>
          </cell>
        </row>
        <row r="13954">
          <cell r="E13954" t="str">
            <v>SLAV</v>
          </cell>
          <cell r="F13954" t="str">
            <v>SLAV-M</v>
          </cell>
          <cell r="G13954">
            <v>503</v>
          </cell>
          <cell r="H13954" t="str">
            <v>SLAV-M503</v>
          </cell>
          <cell r="K13954" t="str">
            <v>Illias,Christina Ioana</v>
          </cell>
          <cell r="N13954" t="str">
            <v>NR</v>
          </cell>
          <cell r="O13954" t="str">
            <v>NR</v>
          </cell>
        </row>
        <row r="13955">
          <cell r="E13955" t="str">
            <v>SLAV</v>
          </cell>
          <cell r="F13955" t="str">
            <v>SLAV-M</v>
          </cell>
          <cell r="G13955">
            <v>565</v>
          </cell>
          <cell r="H13955" t="str">
            <v>SLAV-M565</v>
          </cell>
          <cell r="K13955" t="str">
            <v>Illias,Christina Ioana</v>
          </cell>
          <cell r="N13955" t="str">
            <v>NR</v>
          </cell>
          <cell r="O13955" t="str">
            <v>NR</v>
          </cell>
        </row>
        <row r="13956">
          <cell r="E13956" t="str">
            <v>SLAV</v>
          </cell>
          <cell r="F13956" t="str">
            <v>SLAV-M</v>
          </cell>
          <cell r="G13956">
            <v>565</v>
          </cell>
          <cell r="H13956" t="str">
            <v>SLAV-M565</v>
          </cell>
          <cell r="K13956" t="str">
            <v>Illias,Christina Ioana</v>
          </cell>
          <cell r="N13956" t="str">
            <v>NR</v>
          </cell>
          <cell r="O13956" t="str">
            <v>NR</v>
          </cell>
        </row>
        <row r="13957">
          <cell r="E13957" t="str">
            <v>SLAV</v>
          </cell>
          <cell r="F13957" t="str">
            <v>SLAV-P</v>
          </cell>
          <cell r="G13957">
            <v>101</v>
          </cell>
          <cell r="H13957" t="str">
            <v>SLAV-P101</v>
          </cell>
          <cell r="K13957" t="str">
            <v>Sztabnicka,Emilia Paulina</v>
          </cell>
          <cell r="N13957">
            <v>3.4729999999999999</v>
          </cell>
          <cell r="O13957">
            <v>3.1320000000000001</v>
          </cell>
        </row>
        <row r="13958">
          <cell r="E13958" t="str">
            <v>SLAV</v>
          </cell>
          <cell r="F13958" t="str">
            <v>SLAV-P</v>
          </cell>
          <cell r="G13958">
            <v>102</v>
          </cell>
          <cell r="H13958" t="str">
            <v>SLAV-P102</v>
          </cell>
          <cell r="K13958" t="str">
            <v>Morcinek,Barbara Agnieszka</v>
          </cell>
          <cell r="N13958" t="str">
            <v>NR</v>
          </cell>
          <cell r="O13958" t="str">
            <v>NR</v>
          </cell>
        </row>
        <row r="13959">
          <cell r="E13959" t="str">
            <v>SLAV</v>
          </cell>
          <cell r="F13959" t="str">
            <v>SLAV-P</v>
          </cell>
          <cell r="G13959">
            <v>201</v>
          </cell>
          <cell r="H13959" t="str">
            <v>SLAV-P201</v>
          </cell>
          <cell r="K13959" t="str">
            <v>Sztabnicka,Emilia Paulina</v>
          </cell>
          <cell r="N13959" t="str">
            <v>NR</v>
          </cell>
          <cell r="O13959" t="str">
            <v>NR</v>
          </cell>
        </row>
        <row r="13960">
          <cell r="E13960" t="str">
            <v>SLAV</v>
          </cell>
          <cell r="F13960" t="str">
            <v>SLAV-P</v>
          </cell>
          <cell r="G13960">
            <v>202</v>
          </cell>
          <cell r="H13960" t="str">
            <v>SLAV-P202</v>
          </cell>
          <cell r="K13960" t="str">
            <v>Morcinek,Barbara Agnieszka</v>
          </cell>
          <cell r="N13960" t="str">
            <v>NR</v>
          </cell>
          <cell r="O13960" t="str">
            <v>NR</v>
          </cell>
        </row>
        <row r="13961">
          <cell r="E13961" t="str">
            <v>SLAV</v>
          </cell>
          <cell r="F13961" t="str">
            <v>SLAV-P</v>
          </cell>
          <cell r="G13961">
            <v>301</v>
          </cell>
          <cell r="H13961" t="str">
            <v>SLAV-P301</v>
          </cell>
          <cell r="K13961" t="str">
            <v>Sztabnicka,Emilia Paulina</v>
          </cell>
          <cell r="N13961" t="str">
            <v>NR</v>
          </cell>
          <cell r="O13961" t="str">
            <v>NR</v>
          </cell>
        </row>
        <row r="13962">
          <cell r="E13962" t="str">
            <v>SLAV</v>
          </cell>
          <cell r="F13962" t="str">
            <v>SLAV-P</v>
          </cell>
          <cell r="G13962">
            <v>302</v>
          </cell>
          <cell r="H13962" t="str">
            <v>SLAV-P302</v>
          </cell>
          <cell r="K13962" t="str">
            <v>Morcinek,Barbara Agnieszka</v>
          </cell>
          <cell r="N13962">
            <v>3.9</v>
          </cell>
          <cell r="O13962">
            <v>3.5539999999999998</v>
          </cell>
        </row>
        <row r="13963">
          <cell r="E13963" t="str">
            <v>SLAV</v>
          </cell>
          <cell r="F13963" t="str">
            <v>SLAV-P</v>
          </cell>
          <cell r="G13963">
            <v>366</v>
          </cell>
          <cell r="H13963" t="str">
            <v>SLAV-P366</v>
          </cell>
          <cell r="K13963" t="str">
            <v>Beinek,Justyna Anna</v>
          </cell>
          <cell r="N13963">
            <v>3.2</v>
          </cell>
          <cell r="O13963">
            <v>2.95</v>
          </cell>
        </row>
        <row r="13964">
          <cell r="E13964" t="str">
            <v>SLAV</v>
          </cell>
          <cell r="F13964" t="str">
            <v>SLAV-P</v>
          </cell>
          <cell r="G13964">
            <v>474</v>
          </cell>
          <cell r="H13964" t="str">
            <v>SLAV-P474</v>
          </cell>
          <cell r="K13964" t="str">
            <v>Morcinek,Barbara Agnieszka</v>
          </cell>
          <cell r="N13964" t="str">
            <v>NR</v>
          </cell>
          <cell r="O13964" t="str">
            <v>NR</v>
          </cell>
        </row>
        <row r="13965">
          <cell r="E13965" t="str">
            <v>SLAV</v>
          </cell>
          <cell r="F13965" t="str">
            <v>SLAV-P</v>
          </cell>
          <cell r="G13965">
            <v>501</v>
          </cell>
          <cell r="H13965" t="str">
            <v>SLAV-P501</v>
          </cell>
          <cell r="K13965" t="str">
            <v>Sztabnicka,Emilia Paulina</v>
          </cell>
          <cell r="N13965" t="str">
            <v>NR</v>
          </cell>
          <cell r="O13965" t="str">
            <v>NR</v>
          </cell>
        </row>
        <row r="13966">
          <cell r="E13966" t="str">
            <v>SLAV</v>
          </cell>
          <cell r="F13966" t="str">
            <v>SLAV-P</v>
          </cell>
          <cell r="G13966">
            <v>502</v>
          </cell>
          <cell r="H13966" t="str">
            <v>SLAV-P502</v>
          </cell>
          <cell r="K13966" t="str">
            <v>Morcinek,Barbara Agnieszka</v>
          </cell>
          <cell r="N13966" t="str">
            <v>NR</v>
          </cell>
          <cell r="O13966" t="str">
            <v>NR</v>
          </cell>
        </row>
        <row r="13967">
          <cell r="E13967" t="str">
            <v>SLAV</v>
          </cell>
          <cell r="F13967" t="str">
            <v>SLAV-P</v>
          </cell>
          <cell r="G13967">
            <v>503</v>
          </cell>
          <cell r="H13967" t="str">
            <v>SLAV-P503</v>
          </cell>
          <cell r="K13967" t="str">
            <v>Sztabnicka,Emilia Paulina</v>
          </cell>
          <cell r="N13967" t="str">
            <v>NR</v>
          </cell>
          <cell r="O13967" t="str">
            <v>NR</v>
          </cell>
        </row>
        <row r="13968">
          <cell r="E13968" t="str">
            <v>SLAV</v>
          </cell>
          <cell r="F13968" t="str">
            <v>SLAV-P</v>
          </cell>
          <cell r="G13968">
            <v>504</v>
          </cell>
          <cell r="H13968" t="str">
            <v>SLAV-P504</v>
          </cell>
          <cell r="K13968" t="str">
            <v>Morcinek,Barbara Agnieszka</v>
          </cell>
          <cell r="N13968" t="str">
            <v>NR</v>
          </cell>
          <cell r="O13968" t="str">
            <v>NR</v>
          </cell>
        </row>
        <row r="13969">
          <cell r="E13969" t="str">
            <v>SLAV</v>
          </cell>
          <cell r="F13969" t="str">
            <v>SLAV-P</v>
          </cell>
          <cell r="G13969">
            <v>566</v>
          </cell>
          <cell r="H13969" t="str">
            <v>SLAV-P566</v>
          </cell>
          <cell r="K13969" t="str">
            <v>Beinek,Justyna Anna</v>
          </cell>
          <cell r="N13969" t="str">
            <v>NR</v>
          </cell>
          <cell r="O13969" t="str">
            <v>NR</v>
          </cell>
        </row>
        <row r="13970">
          <cell r="E13970" t="str">
            <v>SLAV</v>
          </cell>
          <cell r="F13970" t="str">
            <v>SLAV-R</v>
          </cell>
          <cell r="G13970">
            <v>101</v>
          </cell>
          <cell r="H13970" t="str">
            <v>SLAV-R101</v>
          </cell>
          <cell r="K13970" t="str">
            <v>Braley,Bethany Anne</v>
          </cell>
          <cell r="N13970">
            <v>3.3250000000000002</v>
          </cell>
          <cell r="O13970">
            <v>2.5830000000000002</v>
          </cell>
        </row>
        <row r="13971">
          <cell r="E13971" t="str">
            <v>SLAV</v>
          </cell>
          <cell r="F13971" t="str">
            <v>SLAV-R</v>
          </cell>
          <cell r="G13971">
            <v>101</v>
          </cell>
          <cell r="H13971" t="str">
            <v>SLAV-R101</v>
          </cell>
          <cell r="K13971" t="str">
            <v>Cravens,Craig</v>
          </cell>
          <cell r="N13971">
            <v>3.2829999999999999</v>
          </cell>
          <cell r="O13971">
            <v>3.077</v>
          </cell>
        </row>
        <row r="13972">
          <cell r="E13972" t="str">
            <v>SLAV</v>
          </cell>
          <cell r="F13972" t="str">
            <v>SLAV-R</v>
          </cell>
          <cell r="G13972">
            <v>101</v>
          </cell>
          <cell r="H13972" t="str">
            <v>SLAV-R101</v>
          </cell>
          <cell r="K13972" t="str">
            <v>Madsen,Tyler</v>
          </cell>
          <cell r="N13972">
            <v>3.153</v>
          </cell>
          <cell r="O13972">
            <v>2.9020000000000001</v>
          </cell>
        </row>
        <row r="13973">
          <cell r="E13973" t="str">
            <v>SLAV</v>
          </cell>
          <cell r="F13973" t="str">
            <v>SLAV-R</v>
          </cell>
          <cell r="G13973">
            <v>101</v>
          </cell>
          <cell r="H13973" t="str">
            <v>SLAV-R101</v>
          </cell>
          <cell r="K13973" t="str">
            <v>Simonchyk,Ala Ivanovna</v>
          </cell>
          <cell r="N13973">
            <v>3.5680000000000001</v>
          </cell>
          <cell r="O13973">
            <v>3.161</v>
          </cell>
        </row>
        <row r="13974">
          <cell r="E13974" t="str">
            <v>SLAV</v>
          </cell>
          <cell r="F13974" t="str">
            <v>SLAV-R</v>
          </cell>
          <cell r="G13974">
            <v>101</v>
          </cell>
          <cell r="H13974" t="str">
            <v>SLAV-R101</v>
          </cell>
          <cell r="K13974" t="str">
            <v>Witcombe,Melissa Jean</v>
          </cell>
          <cell r="N13974">
            <v>3.58</v>
          </cell>
          <cell r="O13974">
            <v>2.919</v>
          </cell>
        </row>
        <row r="13975">
          <cell r="E13975" t="str">
            <v>SLAV</v>
          </cell>
          <cell r="F13975" t="str">
            <v>SLAV-R</v>
          </cell>
          <cell r="G13975">
            <v>102</v>
          </cell>
          <cell r="H13975" t="str">
            <v>SLAV-R102</v>
          </cell>
          <cell r="K13975" t="str">
            <v>Brownstein,Elizabeth Coady</v>
          </cell>
          <cell r="N13975">
            <v>3.427</v>
          </cell>
          <cell r="O13975">
            <v>3.23</v>
          </cell>
        </row>
        <row r="13976">
          <cell r="E13976" t="str">
            <v>SLAV</v>
          </cell>
          <cell r="F13976" t="str">
            <v>SLAV-R</v>
          </cell>
          <cell r="G13976">
            <v>102</v>
          </cell>
          <cell r="H13976" t="str">
            <v>SLAV-R102</v>
          </cell>
          <cell r="K13976" t="str">
            <v>Hunter,Alexandra Catherine Christine</v>
          </cell>
          <cell r="N13976">
            <v>3.0329999999999999</v>
          </cell>
          <cell r="O13976">
            <v>3.27</v>
          </cell>
        </row>
        <row r="13977">
          <cell r="E13977" t="str">
            <v>SLAV</v>
          </cell>
          <cell r="F13977" t="str">
            <v>SLAV-R</v>
          </cell>
          <cell r="G13977">
            <v>102</v>
          </cell>
          <cell r="H13977" t="str">
            <v>SLAV-R102</v>
          </cell>
          <cell r="K13977" t="str">
            <v>Oches,Brian Arthur</v>
          </cell>
          <cell r="N13977">
            <v>3.7130000000000001</v>
          </cell>
          <cell r="O13977">
            <v>3.298</v>
          </cell>
        </row>
        <row r="13978">
          <cell r="E13978" t="str">
            <v>SLAV</v>
          </cell>
          <cell r="F13978" t="str">
            <v>SLAV-R</v>
          </cell>
          <cell r="G13978">
            <v>201</v>
          </cell>
          <cell r="H13978" t="str">
            <v>SLAV-R201</v>
          </cell>
          <cell r="K13978" t="str">
            <v>Shrager,Miriam</v>
          </cell>
          <cell r="N13978">
            <v>3.38</v>
          </cell>
          <cell r="O13978">
            <v>3.431</v>
          </cell>
        </row>
        <row r="13979">
          <cell r="E13979" t="str">
            <v>SLAV</v>
          </cell>
          <cell r="F13979" t="str">
            <v>SLAV-R</v>
          </cell>
          <cell r="G13979">
            <v>201</v>
          </cell>
          <cell r="H13979" t="str">
            <v>SLAV-R201</v>
          </cell>
          <cell r="K13979" t="str">
            <v>Trotter,Veronika</v>
          </cell>
          <cell r="N13979">
            <v>3.5</v>
          </cell>
          <cell r="O13979">
            <v>3.4809999999999999</v>
          </cell>
        </row>
        <row r="13980">
          <cell r="E13980" t="str">
            <v>SLAV</v>
          </cell>
          <cell r="F13980" t="str">
            <v>SLAV-R</v>
          </cell>
          <cell r="G13980">
            <v>202</v>
          </cell>
          <cell r="H13980" t="str">
            <v>SLAV-R202</v>
          </cell>
          <cell r="K13980" t="str">
            <v>Doludenko,Elena</v>
          </cell>
          <cell r="N13980">
            <v>3.4910000000000001</v>
          </cell>
          <cell r="O13980">
            <v>3.496</v>
          </cell>
        </row>
        <row r="13981">
          <cell r="E13981" t="str">
            <v>SLAV</v>
          </cell>
          <cell r="F13981" t="str">
            <v>SLAV-R</v>
          </cell>
          <cell r="G13981">
            <v>202</v>
          </cell>
          <cell r="H13981" t="str">
            <v>SLAV-R202</v>
          </cell>
          <cell r="K13981" t="str">
            <v>Shardakova,Maria Alekseevna</v>
          </cell>
          <cell r="N13981">
            <v>3.2669999999999999</v>
          </cell>
          <cell r="O13981">
            <v>3.2090000000000001</v>
          </cell>
        </row>
        <row r="13982">
          <cell r="E13982" t="str">
            <v>SLAV</v>
          </cell>
          <cell r="F13982" t="str">
            <v>SLAV-R</v>
          </cell>
          <cell r="G13982">
            <v>223</v>
          </cell>
          <cell r="H13982" t="str">
            <v>SLAV-R223</v>
          </cell>
          <cell r="K13982" t="str">
            <v>Stefani,Sara Marie</v>
          </cell>
          <cell r="N13982">
            <v>3.4830000000000001</v>
          </cell>
          <cell r="O13982">
            <v>3.2040000000000002</v>
          </cell>
        </row>
        <row r="13983">
          <cell r="E13983" t="str">
            <v>SLAV</v>
          </cell>
          <cell r="F13983" t="str">
            <v>SLAV-R</v>
          </cell>
          <cell r="G13983">
            <v>229</v>
          </cell>
          <cell r="H13983" t="str">
            <v>SLAV-R229</v>
          </cell>
          <cell r="K13983" t="str">
            <v>Shrager,Miriam</v>
          </cell>
          <cell r="N13983">
            <v>2.9660000000000002</v>
          </cell>
          <cell r="O13983">
            <v>2.97</v>
          </cell>
        </row>
        <row r="13984">
          <cell r="E13984" t="str">
            <v>SLAV</v>
          </cell>
          <cell r="F13984" t="str">
            <v>SLAV-R</v>
          </cell>
          <cell r="G13984">
            <v>263</v>
          </cell>
          <cell r="H13984" t="str">
            <v>SLAV-R263</v>
          </cell>
          <cell r="K13984" t="str">
            <v>Emery,Jacob</v>
          </cell>
          <cell r="N13984">
            <v>3.26</v>
          </cell>
          <cell r="O13984">
            <v>3.1760000000000002</v>
          </cell>
        </row>
        <row r="13985">
          <cell r="E13985" t="str">
            <v>SLAV</v>
          </cell>
          <cell r="F13985" t="str">
            <v>SLAV-R</v>
          </cell>
          <cell r="G13985">
            <v>264</v>
          </cell>
          <cell r="H13985" t="str">
            <v>SLAV-R264</v>
          </cell>
          <cell r="K13985" t="str">
            <v>Stefani,Sara Marie</v>
          </cell>
          <cell r="N13985">
            <v>3.0470000000000002</v>
          </cell>
          <cell r="O13985">
            <v>3.2549999999999999</v>
          </cell>
        </row>
        <row r="13986">
          <cell r="E13986" t="str">
            <v>SLAV</v>
          </cell>
          <cell r="F13986" t="str">
            <v>SLAV-R</v>
          </cell>
          <cell r="G13986">
            <v>301</v>
          </cell>
          <cell r="H13986" t="str">
            <v>SLAV-R301</v>
          </cell>
          <cell r="K13986" t="str">
            <v>Doludenko,Elena</v>
          </cell>
          <cell r="N13986">
            <v>3.669</v>
          </cell>
          <cell r="O13986">
            <v>3.319</v>
          </cell>
        </row>
        <row r="13987">
          <cell r="E13987" t="str">
            <v>SLAV</v>
          </cell>
          <cell r="F13987" t="str">
            <v>SLAV-R</v>
          </cell>
          <cell r="G13987">
            <v>302</v>
          </cell>
          <cell r="H13987" t="str">
            <v>SLAV-R302</v>
          </cell>
          <cell r="K13987" t="str">
            <v>Shrager,Miriam</v>
          </cell>
          <cell r="N13987">
            <v>3.7909999999999999</v>
          </cell>
          <cell r="O13987">
            <v>3.4940000000000002</v>
          </cell>
        </row>
        <row r="13988">
          <cell r="E13988" t="str">
            <v>SLAV</v>
          </cell>
          <cell r="F13988" t="str">
            <v>SLAV-R</v>
          </cell>
          <cell r="G13988">
            <v>353</v>
          </cell>
          <cell r="H13988" t="str">
            <v>SLAV-R353</v>
          </cell>
          <cell r="K13988" t="str">
            <v>Emery,Jacob</v>
          </cell>
          <cell r="N13988">
            <v>3.0710000000000002</v>
          </cell>
          <cell r="O13988">
            <v>2.7759999999999998</v>
          </cell>
        </row>
        <row r="13989">
          <cell r="E13989" t="str">
            <v>SLAV</v>
          </cell>
          <cell r="F13989" t="str">
            <v>SLAV-R</v>
          </cell>
          <cell r="G13989">
            <v>398</v>
          </cell>
          <cell r="H13989" t="str">
            <v>SLAV-R398</v>
          </cell>
          <cell r="K13989" t="str">
            <v>Holdeman,Jeffrey D.</v>
          </cell>
          <cell r="N13989" t="str">
            <v>NR</v>
          </cell>
          <cell r="O13989" t="str">
            <v>NR</v>
          </cell>
        </row>
        <row r="13990">
          <cell r="E13990" t="str">
            <v>SLAV</v>
          </cell>
          <cell r="F13990" t="str">
            <v>SLAV-R</v>
          </cell>
          <cell r="G13990">
            <v>398</v>
          </cell>
          <cell r="H13990" t="str">
            <v>SLAV-R398</v>
          </cell>
          <cell r="K13990" t="str">
            <v>Malbasa,Jagoda</v>
          </cell>
          <cell r="N13990" t="str">
            <v>NR</v>
          </cell>
          <cell r="O13990" t="str">
            <v>NR</v>
          </cell>
        </row>
        <row r="13991">
          <cell r="E13991" t="str">
            <v>SLAV</v>
          </cell>
          <cell r="F13991" t="str">
            <v>SLAV-R</v>
          </cell>
          <cell r="G13991">
            <v>401</v>
          </cell>
          <cell r="H13991" t="str">
            <v>SLAV-R401</v>
          </cell>
          <cell r="K13991" t="str">
            <v>Shrager,Miriam</v>
          </cell>
          <cell r="N13991">
            <v>3.95</v>
          </cell>
          <cell r="O13991">
            <v>3.6160000000000001</v>
          </cell>
        </row>
        <row r="13992">
          <cell r="E13992" t="str">
            <v>SLAV</v>
          </cell>
          <cell r="F13992" t="str">
            <v>SLAV-R</v>
          </cell>
          <cell r="G13992">
            <v>402</v>
          </cell>
          <cell r="H13992" t="str">
            <v>SLAV-R402</v>
          </cell>
          <cell r="K13992" t="str">
            <v>Chernishenko,Olena</v>
          </cell>
          <cell r="N13992" t="str">
            <v>NR</v>
          </cell>
          <cell r="O13992" t="str">
            <v>NR</v>
          </cell>
        </row>
        <row r="13993">
          <cell r="E13993" t="str">
            <v>SLAV</v>
          </cell>
          <cell r="F13993" t="str">
            <v>SLAV-R</v>
          </cell>
          <cell r="G13993">
            <v>404</v>
          </cell>
          <cell r="H13993" t="str">
            <v>SLAV-R404</v>
          </cell>
          <cell r="K13993" t="str">
            <v>Fowler,George H.</v>
          </cell>
          <cell r="N13993">
            <v>3.7</v>
          </cell>
          <cell r="O13993">
            <v>3.4649999999999999</v>
          </cell>
        </row>
        <row r="13994">
          <cell r="E13994" t="str">
            <v>SLAV</v>
          </cell>
          <cell r="F13994" t="str">
            <v>SLAV-R</v>
          </cell>
          <cell r="G13994">
            <v>406</v>
          </cell>
          <cell r="H13994" t="str">
            <v>SLAV-R406</v>
          </cell>
          <cell r="K13994" t="str">
            <v>Shrager,Miriam</v>
          </cell>
          <cell r="N13994" t="str">
            <v>NR</v>
          </cell>
          <cell r="O13994" t="str">
            <v>NR</v>
          </cell>
        </row>
        <row r="13995">
          <cell r="E13995" t="str">
            <v>SLAV</v>
          </cell>
          <cell r="F13995" t="str">
            <v>SLAV-R</v>
          </cell>
          <cell r="G13995">
            <v>491</v>
          </cell>
          <cell r="H13995" t="str">
            <v>SLAV-R491</v>
          </cell>
          <cell r="K13995" t="str">
            <v>Stern-Gottschalk,Ariann</v>
          </cell>
          <cell r="N13995">
            <v>3.9</v>
          </cell>
          <cell r="O13995">
            <v>3.859</v>
          </cell>
        </row>
        <row r="13996">
          <cell r="E13996" t="str">
            <v>SLAV</v>
          </cell>
          <cell r="F13996" t="str">
            <v>SLAV-R</v>
          </cell>
          <cell r="G13996">
            <v>492</v>
          </cell>
          <cell r="H13996" t="str">
            <v>SLAV-R492</v>
          </cell>
          <cell r="K13996" t="str">
            <v>Stern-Gottschalk,Ariann</v>
          </cell>
          <cell r="N13996" t="str">
            <v>NR</v>
          </cell>
          <cell r="O13996" t="str">
            <v>NR</v>
          </cell>
        </row>
        <row r="13997">
          <cell r="E13997" t="str">
            <v>SLAV</v>
          </cell>
          <cell r="F13997" t="str">
            <v>SLAV-R</v>
          </cell>
          <cell r="G13997">
            <v>492</v>
          </cell>
          <cell r="H13997" t="str">
            <v>SLAV-R492</v>
          </cell>
          <cell r="K13997" t="str">
            <v>Stern-Gottschalk,Ariann</v>
          </cell>
          <cell r="N13997">
            <v>4</v>
          </cell>
          <cell r="O13997">
            <v>3.794</v>
          </cell>
        </row>
        <row r="13998">
          <cell r="E13998" t="str">
            <v>SLAV</v>
          </cell>
          <cell r="F13998" t="str">
            <v>SLAV-R</v>
          </cell>
          <cell r="G13998">
            <v>501</v>
          </cell>
          <cell r="H13998" t="str">
            <v>SLAV-R501</v>
          </cell>
          <cell r="K13998" t="str">
            <v>Shrager,Miriam</v>
          </cell>
          <cell r="N13998">
            <v>3.95</v>
          </cell>
          <cell r="O13998">
            <v>3.7719999999999998</v>
          </cell>
        </row>
        <row r="13999">
          <cell r="E13999" t="str">
            <v>SLAV</v>
          </cell>
          <cell r="F13999" t="str">
            <v>SLAV-R</v>
          </cell>
          <cell r="G13999">
            <v>502</v>
          </cell>
          <cell r="H13999" t="str">
            <v>SLAV-R502</v>
          </cell>
          <cell r="K13999" t="str">
            <v>Chernishenko,Olena</v>
          </cell>
          <cell r="N13999">
            <v>3.8</v>
          </cell>
          <cell r="O13999">
            <v>3.899</v>
          </cell>
        </row>
        <row r="14000">
          <cell r="E14000" t="str">
            <v>SLAV</v>
          </cell>
          <cell r="F14000" t="str">
            <v>SLAV-R</v>
          </cell>
          <cell r="G14000">
            <v>503</v>
          </cell>
          <cell r="H14000" t="str">
            <v>SLAV-R503</v>
          </cell>
          <cell r="K14000" t="str">
            <v>Stern-Gottschalk,Ariann</v>
          </cell>
          <cell r="N14000" t="str">
            <v>NR</v>
          </cell>
          <cell r="O14000" t="str">
            <v>NR</v>
          </cell>
        </row>
        <row r="14001">
          <cell r="E14001" t="str">
            <v>SLAV</v>
          </cell>
          <cell r="F14001" t="str">
            <v>SLAV-R</v>
          </cell>
          <cell r="G14001">
            <v>535</v>
          </cell>
          <cell r="H14001" t="str">
            <v>SLAV-R535</v>
          </cell>
          <cell r="K14001" t="str">
            <v>Stefani,Sara Marie</v>
          </cell>
          <cell r="N14001">
            <v>4</v>
          </cell>
          <cell r="O14001">
            <v>3.899</v>
          </cell>
        </row>
        <row r="14002">
          <cell r="E14002" t="str">
            <v>SLAV</v>
          </cell>
          <cell r="F14002" t="str">
            <v>SLAV-R</v>
          </cell>
          <cell r="G14002">
            <v>553</v>
          </cell>
          <cell r="H14002" t="str">
            <v>SLAV-R553</v>
          </cell>
          <cell r="K14002" t="str">
            <v>Emery,Jacob</v>
          </cell>
          <cell r="N14002" t="str">
            <v>NR</v>
          </cell>
          <cell r="O14002" t="str">
            <v>NR</v>
          </cell>
        </row>
        <row r="14003">
          <cell r="E14003" t="str">
            <v>SLAV</v>
          </cell>
          <cell r="F14003" t="str">
            <v>SLAV-R</v>
          </cell>
          <cell r="G14003">
            <v>563</v>
          </cell>
          <cell r="H14003" t="str">
            <v>SLAV-R563</v>
          </cell>
          <cell r="K14003" t="str">
            <v>Emery,Jacob</v>
          </cell>
          <cell r="N14003">
            <v>3.6829999999999998</v>
          </cell>
          <cell r="O14003">
            <v>3.84</v>
          </cell>
        </row>
        <row r="14004">
          <cell r="E14004" t="str">
            <v>SLAV</v>
          </cell>
          <cell r="F14004" t="str">
            <v>SLAV-R</v>
          </cell>
          <cell r="G14004">
            <v>564</v>
          </cell>
          <cell r="H14004" t="str">
            <v>SLAV-R564</v>
          </cell>
          <cell r="K14004" t="str">
            <v>Stefani,Sara Marie</v>
          </cell>
          <cell r="N14004" t="str">
            <v>NR</v>
          </cell>
          <cell r="O14004" t="str">
            <v>NR</v>
          </cell>
        </row>
        <row r="14005">
          <cell r="E14005" t="str">
            <v>SLAV</v>
          </cell>
          <cell r="F14005" t="str">
            <v>SLAV-S</v>
          </cell>
          <cell r="G14005">
            <v>101</v>
          </cell>
          <cell r="H14005" t="str">
            <v>SLAV-S101</v>
          </cell>
          <cell r="K14005" t="str">
            <v>Malbasa,Jagoda</v>
          </cell>
          <cell r="N14005">
            <v>3.8</v>
          </cell>
          <cell r="O14005">
            <v>3.2829999999999999</v>
          </cell>
        </row>
        <row r="14006">
          <cell r="E14006" t="str">
            <v>SLAV</v>
          </cell>
          <cell r="F14006" t="str">
            <v>SLAV-S</v>
          </cell>
          <cell r="G14006">
            <v>102</v>
          </cell>
          <cell r="H14006" t="str">
            <v>SLAV-S102</v>
          </cell>
          <cell r="K14006" t="str">
            <v>Malbasa,Jagoda</v>
          </cell>
          <cell r="N14006" t="str">
            <v>NR</v>
          </cell>
          <cell r="O14006" t="str">
            <v>NR</v>
          </cell>
        </row>
        <row r="14007">
          <cell r="E14007" t="str">
            <v>SLAV</v>
          </cell>
          <cell r="F14007" t="str">
            <v>SLAV-S</v>
          </cell>
          <cell r="G14007">
            <v>149</v>
          </cell>
          <cell r="H14007" t="str">
            <v>SLAV-S149</v>
          </cell>
          <cell r="K14007" t="str">
            <v>Cravens,Craig</v>
          </cell>
          <cell r="N14007">
            <v>3.3220000000000001</v>
          </cell>
          <cell r="O14007">
            <v>2.8660000000000001</v>
          </cell>
        </row>
        <row r="14008">
          <cell r="E14008" t="str">
            <v>SLAV</v>
          </cell>
          <cell r="F14008" t="str">
            <v>SLAV-S</v>
          </cell>
          <cell r="G14008">
            <v>201</v>
          </cell>
          <cell r="H14008" t="str">
            <v>SLAV-S201</v>
          </cell>
          <cell r="K14008" t="str">
            <v>Malbasa,Jagoda</v>
          </cell>
          <cell r="N14008" t="str">
            <v>NR</v>
          </cell>
          <cell r="O14008" t="str">
            <v>NR</v>
          </cell>
        </row>
        <row r="14009">
          <cell r="E14009" t="str">
            <v>SLAV</v>
          </cell>
          <cell r="F14009" t="str">
            <v>SLAV-S</v>
          </cell>
          <cell r="G14009">
            <v>202</v>
          </cell>
          <cell r="H14009" t="str">
            <v>SLAV-S202</v>
          </cell>
          <cell r="K14009" t="str">
            <v>Malbasa,Jagoda</v>
          </cell>
          <cell r="N14009" t="str">
            <v>NR</v>
          </cell>
          <cell r="O14009" t="str">
            <v>NR</v>
          </cell>
        </row>
        <row r="14010">
          <cell r="E14010" t="str">
            <v>SLAV</v>
          </cell>
          <cell r="F14010" t="str">
            <v>SLAV-S</v>
          </cell>
          <cell r="G14010">
            <v>301</v>
          </cell>
          <cell r="H14010" t="str">
            <v>SLAV-S301</v>
          </cell>
          <cell r="K14010" t="str">
            <v>Malbasa,Jagoda</v>
          </cell>
          <cell r="N14010" t="str">
            <v>NR</v>
          </cell>
          <cell r="O14010" t="str">
            <v>NR</v>
          </cell>
        </row>
        <row r="14011">
          <cell r="E14011" t="str">
            <v>SLAV</v>
          </cell>
          <cell r="F14011" t="str">
            <v>SLAV-S</v>
          </cell>
          <cell r="G14011">
            <v>302</v>
          </cell>
          <cell r="H14011" t="str">
            <v>SLAV-S302</v>
          </cell>
          <cell r="K14011" t="str">
            <v>Malbasa,Jagoda</v>
          </cell>
          <cell r="N14011" t="str">
            <v>NR</v>
          </cell>
          <cell r="O14011" t="str">
            <v>NR</v>
          </cell>
        </row>
        <row r="14012">
          <cell r="E14012" t="str">
            <v>SLAV</v>
          </cell>
          <cell r="F14012" t="str">
            <v>SLAV-S</v>
          </cell>
          <cell r="G14012">
            <v>320</v>
          </cell>
          <cell r="H14012" t="str">
            <v>SLAV-S320</v>
          </cell>
          <cell r="K14012" t="str">
            <v>Stefani,Sara Marie</v>
          </cell>
          <cell r="N14012" t="str">
            <v>NR</v>
          </cell>
          <cell r="O14012" t="str">
            <v>NR</v>
          </cell>
        </row>
        <row r="14013">
          <cell r="E14013" t="str">
            <v>SLAV</v>
          </cell>
          <cell r="F14013" t="str">
            <v>SLAV-S</v>
          </cell>
          <cell r="G14013">
            <v>498</v>
          </cell>
          <cell r="H14013" t="str">
            <v>SLAV-S498</v>
          </cell>
          <cell r="K14013" t="str">
            <v>Emery,Jacob</v>
          </cell>
          <cell r="N14013" t="str">
            <v>NR</v>
          </cell>
          <cell r="O14013" t="str">
            <v>NR</v>
          </cell>
        </row>
        <row r="14014">
          <cell r="E14014" t="str">
            <v>SLAV</v>
          </cell>
          <cell r="F14014" t="str">
            <v>SLAV-S</v>
          </cell>
          <cell r="G14014">
            <v>501</v>
          </cell>
          <cell r="H14014" t="str">
            <v>SLAV-S501</v>
          </cell>
          <cell r="K14014" t="str">
            <v>Malbasa,Jagoda</v>
          </cell>
          <cell r="N14014" t="str">
            <v>NR</v>
          </cell>
          <cell r="O14014" t="str">
            <v>NR</v>
          </cell>
        </row>
        <row r="14015">
          <cell r="E14015" t="str">
            <v>SLAV</v>
          </cell>
          <cell r="F14015" t="str">
            <v>SLAV-S</v>
          </cell>
          <cell r="G14015">
            <v>503</v>
          </cell>
          <cell r="H14015" t="str">
            <v>SLAV-S503</v>
          </cell>
          <cell r="K14015" t="str">
            <v>Malbasa,Jagoda</v>
          </cell>
          <cell r="N14015" t="str">
            <v>NR</v>
          </cell>
          <cell r="O14015" t="str">
            <v>NR</v>
          </cell>
        </row>
        <row r="14016">
          <cell r="E14016" t="str">
            <v>SLAV</v>
          </cell>
          <cell r="F14016" t="str">
            <v>SLAV-S</v>
          </cell>
          <cell r="G14016">
            <v>504</v>
          </cell>
          <cell r="H14016" t="str">
            <v>SLAV-S504</v>
          </cell>
          <cell r="K14016" t="str">
            <v>Malbasa,Jagoda</v>
          </cell>
          <cell r="N14016" t="str">
            <v>NR</v>
          </cell>
          <cell r="O14016" t="str">
            <v>NR</v>
          </cell>
        </row>
        <row r="14017">
          <cell r="E14017" t="str">
            <v>SLAV</v>
          </cell>
          <cell r="F14017" t="str">
            <v>SLAV-S</v>
          </cell>
          <cell r="G14017">
            <v>506</v>
          </cell>
          <cell r="H14017" t="str">
            <v>SLAV-S506</v>
          </cell>
          <cell r="K14017" t="str">
            <v>Malbasa,Jagoda</v>
          </cell>
          <cell r="N14017" t="str">
            <v>NR</v>
          </cell>
          <cell r="O14017" t="str">
            <v>NR</v>
          </cell>
        </row>
        <row r="14018">
          <cell r="E14018" t="str">
            <v>SLAV</v>
          </cell>
          <cell r="F14018" t="str">
            <v>SLAV-S</v>
          </cell>
          <cell r="G14018">
            <v>540</v>
          </cell>
          <cell r="H14018" t="str">
            <v>SLAV-S540</v>
          </cell>
          <cell r="K14018" t="str">
            <v>Chernishenko,Olena</v>
          </cell>
          <cell r="N14018" t="str">
            <v>NR</v>
          </cell>
          <cell r="O14018" t="str">
            <v>NR</v>
          </cell>
        </row>
        <row r="14019">
          <cell r="E14019" t="str">
            <v>SLAV</v>
          </cell>
          <cell r="F14019" t="str">
            <v>SLAV-S</v>
          </cell>
          <cell r="G14019">
            <v>540</v>
          </cell>
          <cell r="H14019" t="str">
            <v>SLAV-S540</v>
          </cell>
          <cell r="K14019" t="str">
            <v>Franks,Steven Laurence</v>
          </cell>
          <cell r="N14019" t="str">
            <v>NR</v>
          </cell>
          <cell r="O14019" t="str">
            <v>NR</v>
          </cell>
        </row>
        <row r="14020">
          <cell r="E14020" t="str">
            <v>SLAV</v>
          </cell>
          <cell r="F14020" t="str">
            <v>SLAV-S</v>
          </cell>
          <cell r="G14020">
            <v>540</v>
          </cell>
          <cell r="H14020" t="str">
            <v>SLAV-S540</v>
          </cell>
          <cell r="K14020" t="str">
            <v>Malbasa,Jagoda</v>
          </cell>
          <cell r="N14020" t="str">
            <v>NR</v>
          </cell>
          <cell r="O14020" t="str">
            <v>NR</v>
          </cell>
        </row>
        <row r="14021">
          <cell r="E14021" t="str">
            <v>SLAV</v>
          </cell>
          <cell r="F14021" t="str">
            <v>SLAV-S</v>
          </cell>
          <cell r="G14021">
            <v>540</v>
          </cell>
          <cell r="H14021" t="str">
            <v>SLAV-S540</v>
          </cell>
          <cell r="K14021" t="str">
            <v>Stefani,Sara Marie</v>
          </cell>
          <cell r="N14021" t="str">
            <v>NR</v>
          </cell>
          <cell r="O14021" t="str">
            <v>NR</v>
          </cell>
        </row>
        <row r="14022">
          <cell r="E14022" t="str">
            <v>SLAV</v>
          </cell>
          <cell r="F14022" t="str">
            <v>SLAV-S</v>
          </cell>
          <cell r="G14022">
            <v>540</v>
          </cell>
          <cell r="H14022" t="str">
            <v>SLAV-S540</v>
          </cell>
          <cell r="K14022" t="str">
            <v>Volkova,Bronislava</v>
          </cell>
          <cell r="N14022" t="str">
            <v>NR</v>
          </cell>
          <cell r="O14022" t="str">
            <v>NR</v>
          </cell>
        </row>
        <row r="14023">
          <cell r="E14023" t="str">
            <v>SLAV</v>
          </cell>
          <cell r="F14023" t="str">
            <v>SLAV-S</v>
          </cell>
          <cell r="G14023">
            <v>562</v>
          </cell>
          <cell r="H14023" t="str">
            <v>SLAV-S562</v>
          </cell>
          <cell r="K14023" t="str">
            <v>Malbasa,Jagoda</v>
          </cell>
          <cell r="N14023" t="str">
            <v>NR</v>
          </cell>
          <cell r="O14023" t="str">
            <v>NR</v>
          </cell>
        </row>
        <row r="14024">
          <cell r="E14024" t="str">
            <v>SLAV</v>
          </cell>
          <cell r="F14024" t="str">
            <v>SLAV-S</v>
          </cell>
          <cell r="G14024">
            <v>562</v>
          </cell>
          <cell r="H14024" t="str">
            <v>SLAV-S562</v>
          </cell>
          <cell r="K14024" t="str">
            <v>Malbasa,Jagoda</v>
          </cell>
          <cell r="N14024" t="str">
            <v>NR</v>
          </cell>
          <cell r="O14024" t="str">
            <v>NR</v>
          </cell>
        </row>
        <row r="14025">
          <cell r="E14025" t="str">
            <v>SLAV</v>
          </cell>
          <cell r="F14025" t="str">
            <v>SLAV-S</v>
          </cell>
          <cell r="G14025">
            <v>562</v>
          </cell>
          <cell r="H14025" t="str">
            <v>SLAV-S562</v>
          </cell>
          <cell r="K14025" t="str">
            <v>Morcinek,Barbara Agnieszka</v>
          </cell>
          <cell r="N14025" t="str">
            <v>NR</v>
          </cell>
          <cell r="O14025" t="str">
            <v>NR</v>
          </cell>
        </row>
        <row r="14026">
          <cell r="E14026" t="str">
            <v>SLAV</v>
          </cell>
          <cell r="F14026" t="str">
            <v>SLAV-S</v>
          </cell>
          <cell r="G14026">
            <v>801</v>
          </cell>
          <cell r="H14026" t="str">
            <v>SLAV-S801</v>
          </cell>
          <cell r="K14026" t="str">
            <v>Franks,Steven Laurence</v>
          </cell>
          <cell r="N14026" t="str">
            <v>NR</v>
          </cell>
          <cell r="O14026" t="str">
            <v>NR</v>
          </cell>
        </row>
        <row r="14027">
          <cell r="E14027" t="str">
            <v>SLAV</v>
          </cell>
          <cell r="F14027" t="str">
            <v>SLAV-S</v>
          </cell>
          <cell r="G14027">
            <v>801</v>
          </cell>
          <cell r="H14027" t="str">
            <v>SLAV-S801</v>
          </cell>
          <cell r="K14027" t="str">
            <v>Franks,Steven Laurence</v>
          </cell>
          <cell r="N14027" t="str">
            <v>NR</v>
          </cell>
          <cell r="O14027" t="str">
            <v>NR</v>
          </cell>
        </row>
        <row r="14028">
          <cell r="E14028" t="str">
            <v>SLAV</v>
          </cell>
          <cell r="F14028" t="str">
            <v>SLAV-U</v>
          </cell>
          <cell r="G14028">
            <v>182</v>
          </cell>
          <cell r="H14028" t="str">
            <v>SLAV-U182</v>
          </cell>
          <cell r="K14028" t="str">
            <v>Chernishenko,Olena</v>
          </cell>
          <cell r="N14028">
            <v>3.1669999999999998</v>
          </cell>
          <cell r="O14028">
            <v>3.5049999999999999</v>
          </cell>
        </row>
        <row r="14029">
          <cell r="E14029" t="str">
            <v>SLAV</v>
          </cell>
          <cell r="F14029" t="str">
            <v>SLAV-U</v>
          </cell>
          <cell r="G14029">
            <v>582</v>
          </cell>
          <cell r="H14029" t="str">
            <v>SLAV-U582</v>
          </cell>
          <cell r="K14029" t="str">
            <v>Chernishenko,Olena</v>
          </cell>
          <cell r="N14029" t="str">
            <v>NR</v>
          </cell>
          <cell r="O14029" t="str">
            <v>NR</v>
          </cell>
        </row>
        <row r="14030">
          <cell r="E14030" t="str">
            <v>SLIS</v>
          </cell>
          <cell r="F14030" t="str">
            <v>SLIS-G</v>
          </cell>
          <cell r="G14030">
            <v>901</v>
          </cell>
          <cell r="H14030" t="str">
            <v>SLIS-G901</v>
          </cell>
          <cell r="K14030" t="str">
            <v>Ding,Ying</v>
          </cell>
          <cell r="N14030" t="str">
            <v>NR</v>
          </cell>
          <cell r="O14030" t="str">
            <v>NR</v>
          </cell>
        </row>
        <row r="14031">
          <cell r="E14031" t="str">
            <v>SLIS</v>
          </cell>
          <cell r="F14031" t="str">
            <v>SLIS-G</v>
          </cell>
          <cell r="G14031">
            <v>901</v>
          </cell>
          <cell r="H14031" t="str">
            <v>SLIS-G901</v>
          </cell>
          <cell r="K14031" t="str">
            <v>Shaw,Debora Jane</v>
          </cell>
          <cell r="N14031" t="str">
            <v>NR</v>
          </cell>
          <cell r="O14031" t="str">
            <v>NR</v>
          </cell>
        </row>
        <row r="14032">
          <cell r="E14032" t="str">
            <v>SLIS</v>
          </cell>
          <cell r="F14032" t="str">
            <v>SLIS-L</v>
          </cell>
          <cell r="G14032">
            <v>161</v>
          </cell>
          <cell r="H14032" t="str">
            <v>SLIS-L161</v>
          </cell>
          <cell r="K14032" t="str">
            <v>Bishop,Chanitra Vanessa</v>
          </cell>
          <cell r="N14032">
            <v>3.2130000000000001</v>
          </cell>
          <cell r="O14032">
            <v>2.6749999999999998</v>
          </cell>
        </row>
        <row r="14033">
          <cell r="E14033" t="str">
            <v>SLIS</v>
          </cell>
          <cell r="F14033" t="str">
            <v>SLIS-L</v>
          </cell>
          <cell r="G14033">
            <v>161</v>
          </cell>
          <cell r="H14033" t="str">
            <v>SLIS-L161</v>
          </cell>
          <cell r="K14033" t="str">
            <v>Bishop,Chanitra Vanessa</v>
          </cell>
          <cell r="N14033">
            <v>2.8380000000000001</v>
          </cell>
          <cell r="O14033">
            <v>2.9969999999999999</v>
          </cell>
        </row>
        <row r="14034">
          <cell r="E14034" t="str">
            <v>SLIS</v>
          </cell>
          <cell r="F14034" t="str">
            <v>SLIS-S</v>
          </cell>
          <cell r="G14034">
            <v>401</v>
          </cell>
          <cell r="H14034" t="str">
            <v>SLIS-S401</v>
          </cell>
          <cell r="K14034" t="str">
            <v>Chung,Dahee</v>
          </cell>
          <cell r="N14034" t="str">
            <v>NR</v>
          </cell>
          <cell r="O14034" t="str">
            <v>NR</v>
          </cell>
        </row>
        <row r="14035">
          <cell r="E14035" t="str">
            <v>SLIS</v>
          </cell>
          <cell r="F14035" t="str">
            <v>SLIS-S</v>
          </cell>
          <cell r="G14035">
            <v>401</v>
          </cell>
          <cell r="H14035" t="str">
            <v>SLIS-S401</v>
          </cell>
          <cell r="K14035" t="str">
            <v>Chuttur,Mohammad Yasser</v>
          </cell>
          <cell r="N14035" t="str">
            <v>NR</v>
          </cell>
          <cell r="O14035" t="str">
            <v>NR</v>
          </cell>
        </row>
        <row r="14036">
          <cell r="E14036" t="str">
            <v>SLIS</v>
          </cell>
          <cell r="F14036" t="str">
            <v>SLIS-S</v>
          </cell>
          <cell r="G14036">
            <v>401</v>
          </cell>
          <cell r="H14036" t="str">
            <v>SLIS-S401</v>
          </cell>
          <cell r="K14036" t="str">
            <v>Hook,Peter Andrew</v>
          </cell>
          <cell r="N14036" t="str">
            <v>NR</v>
          </cell>
          <cell r="O14036" t="str">
            <v>NR</v>
          </cell>
        </row>
        <row r="14037">
          <cell r="E14037" t="str">
            <v>SLIS</v>
          </cell>
          <cell r="F14037" t="str">
            <v>SLIS-S</v>
          </cell>
          <cell r="G14037">
            <v>401</v>
          </cell>
          <cell r="H14037" t="str">
            <v>SLIS-S401</v>
          </cell>
          <cell r="K14037" t="str">
            <v>Scheidt,Lois Ann</v>
          </cell>
          <cell r="N14037" t="str">
            <v>NR</v>
          </cell>
          <cell r="O14037" t="str">
            <v>NR</v>
          </cell>
        </row>
        <row r="14038">
          <cell r="E14038" t="str">
            <v>SLIS</v>
          </cell>
          <cell r="F14038" t="str">
            <v>SLIS-S</v>
          </cell>
          <cell r="G14038">
            <v>501</v>
          </cell>
          <cell r="H14038" t="str">
            <v>SLIS-S501</v>
          </cell>
          <cell r="K14038" t="str">
            <v>Backs,Steven Mark</v>
          </cell>
          <cell r="N14038">
            <v>4</v>
          </cell>
          <cell r="O14038">
            <v>3.5960000000000001</v>
          </cell>
        </row>
        <row r="14039">
          <cell r="E14039" t="str">
            <v>SLIS</v>
          </cell>
          <cell r="F14039" t="str">
            <v>SLIS-S</v>
          </cell>
          <cell r="G14039">
            <v>501</v>
          </cell>
          <cell r="H14039" t="str">
            <v>SLIS-S501</v>
          </cell>
          <cell r="K14039" t="str">
            <v>Backs,Steven Mark</v>
          </cell>
          <cell r="N14039">
            <v>3.92</v>
          </cell>
          <cell r="O14039">
            <v>3.77</v>
          </cell>
        </row>
        <row r="14040">
          <cell r="E14040" t="str">
            <v>SLIS</v>
          </cell>
          <cell r="F14040" t="str">
            <v>SLIS-S</v>
          </cell>
          <cell r="G14040">
            <v>501</v>
          </cell>
          <cell r="H14040" t="str">
            <v>SLIS-S501</v>
          </cell>
          <cell r="K14040" t="str">
            <v>Courtney,Michael</v>
          </cell>
          <cell r="N14040">
            <v>3.8809999999999998</v>
          </cell>
          <cell r="O14040">
            <v>3.6539999999999999</v>
          </cell>
        </row>
        <row r="14041">
          <cell r="E14041" t="str">
            <v>SLIS</v>
          </cell>
          <cell r="F14041" t="str">
            <v>SLIS-S</v>
          </cell>
          <cell r="G14041">
            <v>501</v>
          </cell>
          <cell r="H14041" t="str">
            <v>SLIS-S501</v>
          </cell>
          <cell r="K14041" t="str">
            <v>Day,Ronald</v>
          </cell>
          <cell r="N14041">
            <v>3.9169999999999998</v>
          </cell>
          <cell r="O14041">
            <v>3.516</v>
          </cell>
        </row>
        <row r="14042">
          <cell r="E14042" t="str">
            <v>SLIS</v>
          </cell>
          <cell r="F14042" t="str">
            <v>SLIS-S</v>
          </cell>
          <cell r="G14042">
            <v>501</v>
          </cell>
          <cell r="H14042" t="str">
            <v>SLIS-S501</v>
          </cell>
          <cell r="K14042" t="str">
            <v>Hook,Peter Andrew</v>
          </cell>
          <cell r="N14042">
            <v>3.8929999999999998</v>
          </cell>
          <cell r="O14042">
            <v>3.69</v>
          </cell>
        </row>
        <row r="14043">
          <cell r="E14043" t="str">
            <v>SLIS</v>
          </cell>
          <cell r="F14043" t="str">
            <v>SLIS-S</v>
          </cell>
          <cell r="G14043">
            <v>502</v>
          </cell>
          <cell r="H14043" t="str">
            <v>SLIS-S502</v>
          </cell>
          <cell r="K14043" t="str">
            <v>Shaw,Debora Jane</v>
          </cell>
          <cell r="N14043">
            <v>3.4910000000000001</v>
          </cell>
          <cell r="O14043">
            <v>3.5539999999999998</v>
          </cell>
        </row>
        <row r="14044">
          <cell r="E14044" t="str">
            <v>SLIS</v>
          </cell>
          <cell r="F14044" t="str">
            <v>SLIS-S</v>
          </cell>
          <cell r="G14044">
            <v>502</v>
          </cell>
          <cell r="H14044" t="str">
            <v>SLIS-S502</v>
          </cell>
          <cell r="K14044" t="str">
            <v>Shaw,Debora Jane</v>
          </cell>
          <cell r="N14044">
            <v>3.2829999999999999</v>
          </cell>
          <cell r="O14044">
            <v>3.649</v>
          </cell>
        </row>
        <row r="14045">
          <cell r="E14045" t="str">
            <v>SLIS</v>
          </cell>
          <cell r="F14045" t="str">
            <v>SLIS-S</v>
          </cell>
          <cell r="G14045">
            <v>503</v>
          </cell>
          <cell r="H14045" t="str">
            <v>SLIS-S503</v>
          </cell>
          <cell r="K14045" t="str">
            <v>Jacob,Elin K.</v>
          </cell>
          <cell r="N14045">
            <v>3.65</v>
          </cell>
          <cell r="O14045">
            <v>3.78</v>
          </cell>
        </row>
        <row r="14046">
          <cell r="E14046" t="str">
            <v>SLIS</v>
          </cell>
          <cell r="F14046" t="str">
            <v>SLIS-S</v>
          </cell>
          <cell r="G14046">
            <v>503</v>
          </cell>
          <cell r="H14046" t="str">
            <v>SLIS-S503</v>
          </cell>
          <cell r="K14046" t="str">
            <v>Zhang,Guo</v>
          </cell>
          <cell r="N14046">
            <v>3.8559999999999999</v>
          </cell>
          <cell r="O14046">
            <v>3.681</v>
          </cell>
        </row>
        <row r="14047">
          <cell r="E14047" t="str">
            <v>SLIS</v>
          </cell>
          <cell r="F14047" t="str">
            <v>SLIS-S</v>
          </cell>
          <cell r="G14047">
            <v>503</v>
          </cell>
          <cell r="H14047" t="str">
            <v>SLIS-S503</v>
          </cell>
          <cell r="K14047" t="str">
            <v>Zhang,Guo</v>
          </cell>
          <cell r="N14047">
            <v>3.9</v>
          </cell>
          <cell r="O14047">
            <v>3.7690000000000001</v>
          </cell>
        </row>
        <row r="14048">
          <cell r="E14048" t="str">
            <v>SLIS</v>
          </cell>
          <cell r="F14048" t="str">
            <v>SLIS-S</v>
          </cell>
          <cell r="G14048">
            <v>504</v>
          </cell>
          <cell r="H14048" t="str">
            <v>SLIS-S504</v>
          </cell>
          <cell r="K14048" t="str">
            <v>Ma,Lai</v>
          </cell>
          <cell r="N14048">
            <v>3.9289999999999998</v>
          </cell>
          <cell r="O14048">
            <v>3.7730000000000001</v>
          </cell>
        </row>
        <row r="14049">
          <cell r="E14049" t="str">
            <v>SLIS</v>
          </cell>
          <cell r="F14049" t="str">
            <v>SLIS-S</v>
          </cell>
          <cell r="G14049">
            <v>504</v>
          </cell>
          <cell r="H14049" t="str">
            <v>SLIS-S504</v>
          </cell>
          <cell r="K14049" t="str">
            <v>Ma,Lai</v>
          </cell>
          <cell r="N14049">
            <v>3.9</v>
          </cell>
          <cell r="O14049">
            <v>3.7850000000000001</v>
          </cell>
        </row>
        <row r="14050">
          <cell r="E14050" t="str">
            <v>SLIS</v>
          </cell>
          <cell r="F14050" t="str">
            <v>SLIS-S</v>
          </cell>
          <cell r="G14050">
            <v>504</v>
          </cell>
          <cell r="H14050" t="str">
            <v>SLIS-S504</v>
          </cell>
          <cell r="K14050" t="str">
            <v>Morrison,Andrea Marie</v>
          </cell>
          <cell r="N14050">
            <v>4</v>
          </cell>
          <cell r="O14050">
            <v>3.8530000000000002</v>
          </cell>
        </row>
        <row r="14051">
          <cell r="E14051" t="str">
            <v>SLIS</v>
          </cell>
          <cell r="F14051" t="str">
            <v>SLIS-S</v>
          </cell>
          <cell r="G14051">
            <v>504</v>
          </cell>
          <cell r="H14051" t="str">
            <v>SLIS-S504</v>
          </cell>
          <cell r="K14051" t="str">
            <v>Morrison,Andrea Marie</v>
          </cell>
          <cell r="N14051">
            <v>4</v>
          </cell>
          <cell r="O14051">
            <v>3.86</v>
          </cell>
        </row>
        <row r="14052">
          <cell r="E14052" t="str">
            <v>SLIS</v>
          </cell>
          <cell r="F14052" t="str">
            <v>SLIS-S</v>
          </cell>
          <cell r="G14052">
            <v>505</v>
          </cell>
          <cell r="H14052" t="str">
            <v>SLIS-S505</v>
          </cell>
          <cell r="K14052" t="str">
            <v>Ni,Chaoqun</v>
          </cell>
          <cell r="N14052">
            <v>3.746</v>
          </cell>
          <cell r="O14052">
            <v>3.7839999999999998</v>
          </cell>
        </row>
        <row r="14053">
          <cell r="E14053" t="str">
            <v>SLIS</v>
          </cell>
          <cell r="F14053" t="str">
            <v>SLIS-S</v>
          </cell>
          <cell r="G14053">
            <v>505</v>
          </cell>
          <cell r="H14053" t="str">
            <v>SLIS-S505</v>
          </cell>
          <cell r="K14053" t="str">
            <v>Sugimoto,Cassidy Rose</v>
          </cell>
          <cell r="N14053">
            <v>3.7309999999999999</v>
          </cell>
          <cell r="O14053">
            <v>3.843</v>
          </cell>
        </row>
        <row r="14054">
          <cell r="E14054" t="str">
            <v>SLIS</v>
          </cell>
          <cell r="F14054" t="str">
            <v>SLIS-S</v>
          </cell>
          <cell r="G14054">
            <v>505</v>
          </cell>
          <cell r="H14054" t="str">
            <v>SLIS-S505</v>
          </cell>
          <cell r="K14054" t="str">
            <v>Sugimoto,Cassidy Rose</v>
          </cell>
          <cell r="N14054">
            <v>3.419</v>
          </cell>
          <cell r="O14054">
            <v>3.76</v>
          </cell>
        </row>
        <row r="14055">
          <cell r="E14055" t="str">
            <v>SLIS</v>
          </cell>
          <cell r="F14055" t="str">
            <v>SLIS-S</v>
          </cell>
          <cell r="G14055">
            <v>506</v>
          </cell>
          <cell r="H14055" t="str">
            <v>SLIS-S506</v>
          </cell>
          <cell r="K14055" t="str">
            <v>Robbin,Alice</v>
          </cell>
          <cell r="N14055">
            <v>3.2330000000000001</v>
          </cell>
          <cell r="O14055">
            <v>3.54</v>
          </cell>
        </row>
        <row r="14056">
          <cell r="E14056" t="str">
            <v>SLIS</v>
          </cell>
          <cell r="F14056" t="str">
            <v>SLIS-S</v>
          </cell>
          <cell r="G14056">
            <v>506</v>
          </cell>
          <cell r="H14056" t="str">
            <v>SLIS-S506</v>
          </cell>
          <cell r="K14056" t="str">
            <v>Robbin,Alice</v>
          </cell>
          <cell r="N14056">
            <v>3.5529999999999999</v>
          </cell>
          <cell r="O14056">
            <v>3.7349999999999999</v>
          </cell>
        </row>
        <row r="14057">
          <cell r="E14057" t="str">
            <v>SLIS</v>
          </cell>
          <cell r="F14057" t="str">
            <v>SLIS-S</v>
          </cell>
          <cell r="G14057">
            <v>510</v>
          </cell>
          <cell r="H14057" t="str">
            <v>SLIS-S510</v>
          </cell>
          <cell r="K14057" t="str">
            <v>Rosenbaum,Howard S.</v>
          </cell>
          <cell r="N14057">
            <v>3.7789999999999999</v>
          </cell>
          <cell r="O14057">
            <v>3.7429999999999999</v>
          </cell>
        </row>
        <row r="14058">
          <cell r="E14058" t="str">
            <v>SLIS</v>
          </cell>
          <cell r="F14058" t="str">
            <v>SLIS-S</v>
          </cell>
          <cell r="G14058">
            <v>511</v>
          </cell>
          <cell r="H14058" t="str">
            <v>SLIS-S511</v>
          </cell>
          <cell r="K14058" t="str">
            <v>Ding,Ying</v>
          </cell>
          <cell r="N14058">
            <v>3.7109999999999999</v>
          </cell>
          <cell r="O14058">
            <v>3.73</v>
          </cell>
        </row>
        <row r="14059">
          <cell r="E14059" t="str">
            <v>SLIS</v>
          </cell>
          <cell r="F14059" t="str">
            <v>SLIS-S</v>
          </cell>
          <cell r="G14059">
            <v>511</v>
          </cell>
          <cell r="H14059" t="str">
            <v>SLIS-S511</v>
          </cell>
          <cell r="K14059" t="str">
            <v>Ding,Ying</v>
          </cell>
          <cell r="N14059">
            <v>3.762</v>
          </cell>
          <cell r="O14059">
            <v>3.7759999999999998</v>
          </cell>
        </row>
        <row r="14060">
          <cell r="E14060" t="str">
            <v>SLIS</v>
          </cell>
          <cell r="F14060" t="str">
            <v>SLIS-S</v>
          </cell>
          <cell r="G14060">
            <v>513</v>
          </cell>
          <cell r="H14060" t="str">
            <v>SLIS-S513</v>
          </cell>
          <cell r="K14060" t="str">
            <v>Robbin,Alice</v>
          </cell>
          <cell r="N14060">
            <v>3.5110000000000001</v>
          </cell>
          <cell r="O14060">
            <v>3.7530000000000001</v>
          </cell>
        </row>
        <row r="14061">
          <cell r="E14061" t="str">
            <v>SLIS</v>
          </cell>
          <cell r="F14061" t="str">
            <v>SLIS-S</v>
          </cell>
          <cell r="G14061">
            <v>513</v>
          </cell>
          <cell r="H14061" t="str">
            <v>SLIS-S513</v>
          </cell>
          <cell r="K14061" t="str">
            <v>Robbin,Alice</v>
          </cell>
          <cell r="N14061">
            <v>3.673</v>
          </cell>
          <cell r="O14061">
            <v>3.79</v>
          </cell>
        </row>
        <row r="14062">
          <cell r="E14062" t="str">
            <v>SLIS</v>
          </cell>
          <cell r="F14062" t="str">
            <v>SLIS-S</v>
          </cell>
          <cell r="G14062">
            <v>514</v>
          </cell>
          <cell r="H14062" t="str">
            <v>SLIS-S514</v>
          </cell>
          <cell r="K14062" t="str">
            <v>Hara,Noriko</v>
          </cell>
          <cell r="N14062">
            <v>3.7669999999999999</v>
          </cell>
          <cell r="O14062">
            <v>3.7770000000000001</v>
          </cell>
        </row>
        <row r="14063">
          <cell r="E14063" t="str">
            <v>SLIS</v>
          </cell>
          <cell r="F14063" t="str">
            <v>SLIS-S</v>
          </cell>
          <cell r="G14063">
            <v>515</v>
          </cell>
          <cell r="H14063" t="str">
            <v>SLIS-S515</v>
          </cell>
          <cell r="K14063" t="str">
            <v>Milojevic,Stasa</v>
          </cell>
          <cell r="N14063">
            <v>3.7530000000000001</v>
          </cell>
          <cell r="O14063">
            <v>3.7440000000000002</v>
          </cell>
        </row>
        <row r="14064">
          <cell r="E14064" t="str">
            <v>SLIS</v>
          </cell>
          <cell r="F14064" t="str">
            <v>SLIS-S</v>
          </cell>
          <cell r="G14064">
            <v>515</v>
          </cell>
          <cell r="H14064" t="str">
            <v>SLIS-S515</v>
          </cell>
          <cell r="K14064" t="str">
            <v>Milojevic,Stasa</v>
          </cell>
          <cell r="N14064">
            <v>3.7789999999999999</v>
          </cell>
          <cell r="O14064">
            <v>3.746</v>
          </cell>
        </row>
        <row r="14065">
          <cell r="E14065" t="str">
            <v>SLIS</v>
          </cell>
          <cell r="F14065" t="str">
            <v>SLIS-S</v>
          </cell>
          <cell r="G14065">
            <v>516</v>
          </cell>
          <cell r="H14065" t="str">
            <v>SLIS-S516</v>
          </cell>
          <cell r="K14065" t="str">
            <v>Ekbia,Hamid</v>
          </cell>
          <cell r="N14065">
            <v>3.8170000000000002</v>
          </cell>
          <cell r="O14065">
            <v>3.8490000000000002</v>
          </cell>
        </row>
        <row r="14066">
          <cell r="E14066" t="str">
            <v>SLIS</v>
          </cell>
          <cell r="F14066" t="str">
            <v>SLIS-S</v>
          </cell>
          <cell r="G14066">
            <v>516</v>
          </cell>
          <cell r="H14066" t="str">
            <v>SLIS-S516</v>
          </cell>
          <cell r="K14066" t="str">
            <v>Ekbia,Hamid</v>
          </cell>
          <cell r="N14066">
            <v>3.86</v>
          </cell>
          <cell r="O14066">
            <v>3.7690000000000001</v>
          </cell>
        </row>
        <row r="14067">
          <cell r="E14067" t="str">
            <v>SLIS</v>
          </cell>
          <cell r="F14067" t="str">
            <v>SLIS-S</v>
          </cell>
          <cell r="G14067">
            <v>517</v>
          </cell>
          <cell r="H14067" t="str">
            <v>SLIS-S517</v>
          </cell>
          <cell r="K14067" t="str">
            <v>Liu,Xiaozhong</v>
          </cell>
          <cell r="N14067">
            <v>3.4430000000000001</v>
          </cell>
          <cell r="O14067">
            <v>3.681</v>
          </cell>
        </row>
        <row r="14068">
          <cell r="E14068" t="str">
            <v>SLIS</v>
          </cell>
          <cell r="F14068" t="str">
            <v>SLIS-S</v>
          </cell>
          <cell r="G14068">
            <v>517</v>
          </cell>
          <cell r="H14068" t="str">
            <v>SLIS-S517</v>
          </cell>
          <cell r="K14068" t="str">
            <v>Liu,Xiaozhong</v>
          </cell>
          <cell r="N14068">
            <v>3.72</v>
          </cell>
          <cell r="O14068">
            <v>3.7189999999999999</v>
          </cell>
        </row>
        <row r="14069">
          <cell r="E14069" t="str">
            <v>SLIS</v>
          </cell>
          <cell r="F14069" t="str">
            <v>SLIS-S</v>
          </cell>
          <cell r="G14069">
            <v>519</v>
          </cell>
          <cell r="H14069" t="str">
            <v>SLIS-S519</v>
          </cell>
          <cell r="K14069" t="str">
            <v>Ding,Ying</v>
          </cell>
          <cell r="N14069">
            <v>3.9630000000000001</v>
          </cell>
          <cell r="O14069">
            <v>3.7530000000000001</v>
          </cell>
        </row>
        <row r="14070">
          <cell r="E14070" t="str">
            <v>SLIS</v>
          </cell>
          <cell r="F14070" t="str">
            <v>SLIS-S</v>
          </cell>
          <cell r="G14070">
            <v>519</v>
          </cell>
          <cell r="H14070" t="str">
            <v>SLIS-S519</v>
          </cell>
          <cell r="K14070" t="str">
            <v>Yan,Erjia</v>
          </cell>
          <cell r="N14070">
            <v>4</v>
          </cell>
          <cell r="O14070">
            <v>3.7759999999999998</v>
          </cell>
        </row>
        <row r="14071">
          <cell r="E14071" t="str">
            <v>SLIS</v>
          </cell>
          <cell r="F14071" t="str">
            <v>SLIS-S</v>
          </cell>
          <cell r="G14071">
            <v>520</v>
          </cell>
          <cell r="H14071" t="str">
            <v>SLIS-S520</v>
          </cell>
          <cell r="K14071" t="str">
            <v>Suri,Venkata Ratnadeep</v>
          </cell>
          <cell r="N14071">
            <v>3.629</v>
          </cell>
          <cell r="O14071">
            <v>3.6549999999999998</v>
          </cell>
        </row>
        <row r="14072">
          <cell r="E14072" t="str">
            <v>SLIS</v>
          </cell>
          <cell r="F14072" t="str">
            <v>SLIS-S</v>
          </cell>
          <cell r="G14072">
            <v>521</v>
          </cell>
          <cell r="H14072" t="str">
            <v>SLIS-S521</v>
          </cell>
          <cell r="K14072" t="str">
            <v>Minter,Catherine Jane</v>
          </cell>
          <cell r="N14072">
            <v>3.8809999999999998</v>
          </cell>
          <cell r="O14072">
            <v>3.8530000000000002</v>
          </cell>
        </row>
        <row r="14073">
          <cell r="E14073" t="str">
            <v>SLIS</v>
          </cell>
          <cell r="F14073" t="str">
            <v>SLIS-S</v>
          </cell>
          <cell r="G14073">
            <v>524</v>
          </cell>
          <cell r="H14073" t="str">
            <v>SLIS-S524</v>
          </cell>
          <cell r="K14073" t="str">
            <v>Bowman,Sarah L</v>
          </cell>
          <cell r="N14073">
            <v>4</v>
          </cell>
          <cell r="O14073">
            <v>3.74</v>
          </cell>
        </row>
        <row r="14074">
          <cell r="E14074" t="str">
            <v>SLIS</v>
          </cell>
          <cell r="F14074" t="str">
            <v>SLIS-S</v>
          </cell>
          <cell r="G14074">
            <v>524</v>
          </cell>
          <cell r="H14074" t="str">
            <v>SLIS-S524</v>
          </cell>
          <cell r="K14074" t="str">
            <v>Eskew III,Philip Newton</v>
          </cell>
          <cell r="N14074">
            <v>3.9209999999999998</v>
          </cell>
          <cell r="O14074">
            <v>3.8039999999999998</v>
          </cell>
        </row>
        <row r="14075">
          <cell r="E14075" t="str">
            <v>SLIS</v>
          </cell>
          <cell r="F14075" t="str">
            <v>SLIS-S</v>
          </cell>
          <cell r="G14075">
            <v>532</v>
          </cell>
          <cell r="H14075" t="str">
            <v>SLIS-S532</v>
          </cell>
          <cell r="K14075" t="str">
            <v>Bowman,Tim David</v>
          </cell>
          <cell r="N14075">
            <v>4</v>
          </cell>
          <cell r="O14075">
            <v>3.8559999999999999</v>
          </cell>
        </row>
        <row r="14076">
          <cell r="E14076" t="str">
            <v>SLIS</v>
          </cell>
          <cell r="F14076" t="str">
            <v>SLIS-S</v>
          </cell>
          <cell r="G14076">
            <v>532</v>
          </cell>
          <cell r="H14076" t="str">
            <v>SLIS-S532</v>
          </cell>
          <cell r="K14076" t="str">
            <v>Walsh,John Anthony</v>
          </cell>
          <cell r="N14076">
            <v>3.9540000000000002</v>
          </cell>
          <cell r="O14076">
            <v>3.85</v>
          </cell>
        </row>
        <row r="14077">
          <cell r="E14077" t="str">
            <v>SLIS</v>
          </cell>
          <cell r="F14077" t="str">
            <v>SLIS-S</v>
          </cell>
          <cell r="G14077">
            <v>533</v>
          </cell>
          <cell r="H14077" t="str">
            <v>SLIS-S533</v>
          </cell>
          <cell r="K14077" t="str">
            <v>Hajibayova,Lala B</v>
          </cell>
          <cell r="N14077">
            <v>3.609</v>
          </cell>
          <cell r="O14077">
            <v>3.7050000000000001</v>
          </cell>
        </row>
        <row r="14078">
          <cell r="E14078" t="str">
            <v>SLIS</v>
          </cell>
          <cell r="F14078" t="str">
            <v>SLIS-S</v>
          </cell>
          <cell r="G14078">
            <v>534</v>
          </cell>
          <cell r="H14078" t="str">
            <v>SLIS-S534</v>
          </cell>
          <cell r="K14078" t="str">
            <v>Liu,Xiaozhong</v>
          </cell>
          <cell r="N14078">
            <v>3.9140000000000001</v>
          </cell>
          <cell r="O14078">
            <v>3.8210000000000002</v>
          </cell>
        </row>
        <row r="14079">
          <cell r="E14079" t="str">
            <v>SLIS</v>
          </cell>
          <cell r="F14079" t="str">
            <v>SLIS-S</v>
          </cell>
          <cell r="G14079">
            <v>541</v>
          </cell>
          <cell r="H14079" t="str">
            <v>SLIS-S541</v>
          </cell>
          <cell r="K14079" t="str">
            <v>Oltmann,Shannon Melody</v>
          </cell>
          <cell r="N14079">
            <v>3.5670000000000002</v>
          </cell>
          <cell r="O14079">
            <v>3.5579999999999998</v>
          </cell>
        </row>
        <row r="14080">
          <cell r="E14080" t="str">
            <v>SLIS</v>
          </cell>
          <cell r="F14080" t="str">
            <v>SLIS-S</v>
          </cell>
          <cell r="G14080">
            <v>542</v>
          </cell>
          <cell r="H14080" t="str">
            <v>SLIS-S542</v>
          </cell>
          <cell r="K14080" t="str">
            <v>Fichman,Pnina</v>
          </cell>
          <cell r="N14080">
            <v>3.9</v>
          </cell>
          <cell r="O14080">
            <v>3.7829999999999999</v>
          </cell>
        </row>
        <row r="14081">
          <cell r="E14081" t="str">
            <v>SLIS</v>
          </cell>
          <cell r="F14081" t="str">
            <v>SLIS-S</v>
          </cell>
          <cell r="G14081">
            <v>544</v>
          </cell>
          <cell r="H14081" t="str">
            <v>SLIS-S544</v>
          </cell>
          <cell r="K14081" t="str">
            <v>Scheidt,Lois Ann</v>
          </cell>
          <cell r="N14081">
            <v>3.9</v>
          </cell>
          <cell r="O14081">
            <v>3.8039999999999998</v>
          </cell>
        </row>
        <row r="14082">
          <cell r="E14082" t="str">
            <v>SLIS</v>
          </cell>
          <cell r="F14082" t="str">
            <v>SLIS-S</v>
          </cell>
          <cell r="G14082">
            <v>551</v>
          </cell>
          <cell r="H14082" t="str">
            <v>SLIS-S551</v>
          </cell>
          <cell r="K14082" t="str">
            <v>Fichman,Pnina</v>
          </cell>
          <cell r="N14082">
            <v>3.91</v>
          </cell>
          <cell r="O14082">
            <v>3.79</v>
          </cell>
        </row>
        <row r="14083">
          <cell r="E14083" t="str">
            <v>SLIS</v>
          </cell>
          <cell r="F14083" t="str">
            <v>SLIS-S</v>
          </cell>
          <cell r="G14083">
            <v>551</v>
          </cell>
          <cell r="H14083" t="str">
            <v>SLIS-S551</v>
          </cell>
          <cell r="K14083" t="str">
            <v>Fichman,Pnina</v>
          </cell>
          <cell r="N14083">
            <v>3.8</v>
          </cell>
          <cell r="O14083">
            <v>3.6859999999999999</v>
          </cell>
        </row>
        <row r="14084">
          <cell r="E14084" t="str">
            <v>SLIS</v>
          </cell>
          <cell r="F14084" t="str">
            <v>SLIS-S</v>
          </cell>
          <cell r="G14084">
            <v>551</v>
          </cell>
          <cell r="H14084" t="str">
            <v>SLIS-S551</v>
          </cell>
          <cell r="K14084" t="str">
            <v>Fichman,Pnina</v>
          </cell>
          <cell r="N14084">
            <v>3.863</v>
          </cell>
          <cell r="O14084">
            <v>3.8090000000000002</v>
          </cell>
        </row>
        <row r="14085">
          <cell r="E14085" t="str">
            <v>SLIS</v>
          </cell>
          <cell r="F14085" t="str">
            <v>SLIS-S</v>
          </cell>
          <cell r="G14085">
            <v>553</v>
          </cell>
          <cell r="H14085" t="str">
            <v>SLIS-S553</v>
          </cell>
          <cell r="K14085" t="str">
            <v>Ledbetter,Krista Jean</v>
          </cell>
          <cell r="N14085">
            <v>3.74</v>
          </cell>
          <cell r="O14085">
            <v>3.7810000000000001</v>
          </cell>
        </row>
        <row r="14086">
          <cell r="E14086" t="str">
            <v>SLIS</v>
          </cell>
          <cell r="F14086" t="str">
            <v>SLIS-S</v>
          </cell>
          <cell r="G14086">
            <v>553</v>
          </cell>
          <cell r="H14086" t="str">
            <v>SLIS-S553</v>
          </cell>
          <cell r="K14086" t="str">
            <v>Ledbetter,Krista Jean</v>
          </cell>
          <cell r="N14086">
            <v>3.75</v>
          </cell>
          <cell r="O14086">
            <v>3.7679999999999998</v>
          </cell>
        </row>
        <row r="14087">
          <cell r="E14087" t="str">
            <v>SLIS</v>
          </cell>
          <cell r="F14087" t="str">
            <v>SLIS-S</v>
          </cell>
          <cell r="G14087">
            <v>554</v>
          </cell>
          <cell r="H14087" t="str">
            <v>SLIS-S554</v>
          </cell>
          <cell r="K14087" t="str">
            <v>Helling,William</v>
          </cell>
          <cell r="N14087">
            <v>3.8380000000000001</v>
          </cell>
          <cell r="O14087">
            <v>3.8079999999999998</v>
          </cell>
        </row>
        <row r="14088">
          <cell r="E14088" t="str">
            <v>SLIS</v>
          </cell>
          <cell r="F14088" t="str">
            <v>SLIS-S</v>
          </cell>
          <cell r="G14088">
            <v>555</v>
          </cell>
          <cell r="H14088" t="str">
            <v>SLIS-S555</v>
          </cell>
          <cell r="K14088" t="str">
            <v>Cronin,Blaise</v>
          </cell>
          <cell r="N14088">
            <v>3.125</v>
          </cell>
          <cell r="O14088">
            <v>3.746</v>
          </cell>
        </row>
        <row r="14089">
          <cell r="E14089" t="str">
            <v>SLIS</v>
          </cell>
          <cell r="F14089" t="str">
            <v>SLIS-S</v>
          </cell>
          <cell r="G14089">
            <v>556</v>
          </cell>
          <cell r="H14089" t="str">
            <v>SLIS-S556</v>
          </cell>
          <cell r="K14089" t="str">
            <v>Hara,Noriko</v>
          </cell>
          <cell r="N14089">
            <v>3.875</v>
          </cell>
          <cell r="O14089">
            <v>3.8140000000000001</v>
          </cell>
        </row>
        <row r="14090">
          <cell r="E14090" t="str">
            <v>SLIS</v>
          </cell>
          <cell r="F14090" t="str">
            <v>SLIS-S</v>
          </cell>
          <cell r="G14090">
            <v>556</v>
          </cell>
          <cell r="H14090" t="str">
            <v>SLIS-S556</v>
          </cell>
          <cell r="K14090" t="str">
            <v>Hara,Noriko</v>
          </cell>
          <cell r="N14090">
            <v>3.8</v>
          </cell>
          <cell r="O14090">
            <v>3.7370000000000001</v>
          </cell>
        </row>
        <row r="14091">
          <cell r="E14091" t="str">
            <v>SLIS</v>
          </cell>
          <cell r="F14091" t="str">
            <v>SLIS-S</v>
          </cell>
          <cell r="G14091">
            <v>571</v>
          </cell>
          <cell r="H14091" t="str">
            <v>SLIS-S571</v>
          </cell>
          <cell r="K14091" t="str">
            <v>Backs,Dana Rene</v>
          </cell>
          <cell r="N14091">
            <v>3.931</v>
          </cell>
          <cell r="O14091">
            <v>3.8069999999999999</v>
          </cell>
        </row>
        <row r="14092">
          <cell r="E14092" t="str">
            <v>SLIS</v>
          </cell>
          <cell r="F14092" t="str">
            <v>SLIS-S</v>
          </cell>
          <cell r="G14092">
            <v>571</v>
          </cell>
          <cell r="H14092" t="str">
            <v>SLIS-S571</v>
          </cell>
          <cell r="K14092" t="str">
            <v>Backs,Dana Rene</v>
          </cell>
          <cell r="N14092">
            <v>3.91</v>
          </cell>
          <cell r="O14092">
            <v>3.8010000000000002</v>
          </cell>
        </row>
        <row r="14093">
          <cell r="E14093" t="str">
            <v>SLIS</v>
          </cell>
          <cell r="F14093" t="str">
            <v>SLIS-S</v>
          </cell>
          <cell r="G14093">
            <v>572</v>
          </cell>
          <cell r="H14093" t="str">
            <v>SLIS-S572</v>
          </cell>
          <cell r="K14093" t="str">
            <v>Backs,Dana Rene</v>
          </cell>
          <cell r="N14093">
            <v>3.742</v>
          </cell>
          <cell r="O14093">
            <v>3.73</v>
          </cell>
        </row>
        <row r="14094">
          <cell r="E14094" t="str">
            <v>SLIS</v>
          </cell>
          <cell r="F14094" t="str">
            <v>SLIS-S</v>
          </cell>
          <cell r="G14094">
            <v>573</v>
          </cell>
          <cell r="H14094" t="str">
            <v>SLIS-S573</v>
          </cell>
          <cell r="K14094" t="str">
            <v>Hara,Noriko</v>
          </cell>
          <cell r="N14094">
            <v>3.8</v>
          </cell>
          <cell r="O14094">
            <v>3.7469999999999999</v>
          </cell>
        </row>
        <row r="14095">
          <cell r="E14095" t="str">
            <v>SLIS</v>
          </cell>
          <cell r="F14095" t="str">
            <v>SLIS-S</v>
          </cell>
          <cell r="G14095">
            <v>581</v>
          </cell>
          <cell r="H14095" t="str">
            <v>SLIS-S581</v>
          </cell>
          <cell r="K14095" t="str">
            <v>Bantin,Philip Charles</v>
          </cell>
          <cell r="N14095">
            <v>3.7469999999999999</v>
          </cell>
          <cell r="O14095">
            <v>3.456</v>
          </cell>
        </row>
        <row r="14096">
          <cell r="E14096" t="str">
            <v>SLIS</v>
          </cell>
          <cell r="F14096" t="str">
            <v>SLIS-S</v>
          </cell>
          <cell r="G14096">
            <v>583</v>
          </cell>
          <cell r="H14096" t="str">
            <v>SLIS-S583</v>
          </cell>
          <cell r="K14096" t="str">
            <v>Silver,Joel B.</v>
          </cell>
          <cell r="N14096">
            <v>4</v>
          </cell>
          <cell r="O14096">
            <v>3.875</v>
          </cell>
        </row>
        <row r="14097">
          <cell r="E14097" t="str">
            <v>SLIS</v>
          </cell>
          <cell r="F14097" t="str">
            <v>SLIS-S</v>
          </cell>
          <cell r="G14097">
            <v>583</v>
          </cell>
          <cell r="H14097" t="str">
            <v>SLIS-S583</v>
          </cell>
          <cell r="K14097" t="str">
            <v>Silver,Joel B.</v>
          </cell>
          <cell r="N14097">
            <v>3.923</v>
          </cell>
          <cell r="O14097">
            <v>3.7770000000000001</v>
          </cell>
        </row>
        <row r="14098">
          <cell r="E14098" t="str">
            <v>SLIS</v>
          </cell>
          <cell r="F14098" t="str">
            <v>SLIS-S</v>
          </cell>
          <cell r="G14098">
            <v>584</v>
          </cell>
          <cell r="H14098" t="str">
            <v>SLIS-S584</v>
          </cell>
          <cell r="K14098" t="str">
            <v>Williams,Cherry Dunham</v>
          </cell>
          <cell r="N14098">
            <v>4</v>
          </cell>
          <cell r="O14098">
            <v>3.855</v>
          </cell>
        </row>
        <row r="14099">
          <cell r="E14099" t="str">
            <v>SLIS</v>
          </cell>
          <cell r="F14099" t="str">
            <v>SLIS-S</v>
          </cell>
          <cell r="G14099">
            <v>584</v>
          </cell>
          <cell r="H14099" t="str">
            <v>SLIS-S584</v>
          </cell>
          <cell r="K14099" t="str">
            <v>Williams,Cherry Dunham</v>
          </cell>
          <cell r="N14099">
            <v>3.85</v>
          </cell>
          <cell r="O14099">
            <v>3.7770000000000001</v>
          </cell>
        </row>
        <row r="14100">
          <cell r="E14100" t="str">
            <v>SLIS</v>
          </cell>
          <cell r="F14100" t="str">
            <v>SLIS-S</v>
          </cell>
          <cell r="G14100">
            <v>585</v>
          </cell>
          <cell r="H14100" t="str">
            <v>SLIS-S585</v>
          </cell>
          <cell r="K14100" t="str">
            <v>Choksy,Carol E B</v>
          </cell>
          <cell r="N14100">
            <v>3.3420000000000001</v>
          </cell>
          <cell r="O14100">
            <v>3.6640000000000001</v>
          </cell>
        </row>
        <row r="14101">
          <cell r="E14101" t="str">
            <v>SLIS</v>
          </cell>
          <cell r="F14101" t="str">
            <v>SLIS-S</v>
          </cell>
          <cell r="G14101">
            <v>601</v>
          </cell>
          <cell r="H14101" t="str">
            <v>SLIS-S601</v>
          </cell>
          <cell r="K14101" t="str">
            <v>Bantin,Philip Charles</v>
          </cell>
          <cell r="N14101" t="str">
            <v>NR</v>
          </cell>
          <cell r="O14101" t="str">
            <v>NR</v>
          </cell>
        </row>
        <row r="14102">
          <cell r="E14102" t="str">
            <v>SLIS</v>
          </cell>
          <cell r="F14102" t="str">
            <v>SLIS-S</v>
          </cell>
          <cell r="G14102">
            <v>601</v>
          </cell>
          <cell r="H14102" t="str">
            <v>SLIS-S601</v>
          </cell>
          <cell r="K14102" t="str">
            <v>Hara,Noriko</v>
          </cell>
          <cell r="N14102" t="str">
            <v>NR</v>
          </cell>
          <cell r="O14102" t="str">
            <v>NR</v>
          </cell>
        </row>
        <row r="14103">
          <cell r="E14103" t="str">
            <v>SLIS</v>
          </cell>
          <cell r="F14103" t="str">
            <v>SLIS-S</v>
          </cell>
          <cell r="G14103">
            <v>601</v>
          </cell>
          <cell r="H14103" t="str">
            <v>SLIS-S601</v>
          </cell>
          <cell r="K14103" t="str">
            <v>Jacob,Elin K.</v>
          </cell>
          <cell r="N14103" t="str">
            <v>NR</v>
          </cell>
          <cell r="O14103" t="str">
            <v>NR</v>
          </cell>
        </row>
        <row r="14104">
          <cell r="E14104" t="str">
            <v>SLIS</v>
          </cell>
          <cell r="F14104" t="str">
            <v>SLIS-S</v>
          </cell>
          <cell r="G14104">
            <v>601</v>
          </cell>
          <cell r="H14104" t="str">
            <v>SLIS-S601</v>
          </cell>
          <cell r="K14104" t="str">
            <v>Robbin,Alice</v>
          </cell>
          <cell r="N14104" t="str">
            <v>NR</v>
          </cell>
          <cell r="O14104" t="str">
            <v>NR</v>
          </cell>
        </row>
        <row r="14105">
          <cell r="E14105" t="str">
            <v>SLIS</v>
          </cell>
          <cell r="F14105" t="str">
            <v>SLIS-S</v>
          </cell>
          <cell r="G14105">
            <v>601</v>
          </cell>
          <cell r="H14105" t="str">
            <v>SLIS-S601</v>
          </cell>
          <cell r="K14105" t="str">
            <v>Rosenbaum,Howard S.</v>
          </cell>
          <cell r="N14105" t="str">
            <v>NR</v>
          </cell>
          <cell r="O14105" t="str">
            <v>NR</v>
          </cell>
        </row>
        <row r="14106">
          <cell r="E14106" t="str">
            <v>SLIS</v>
          </cell>
          <cell r="F14106" t="str">
            <v>SLIS-S</v>
          </cell>
          <cell r="G14106">
            <v>601</v>
          </cell>
          <cell r="H14106" t="str">
            <v>SLIS-S601</v>
          </cell>
          <cell r="K14106" t="str">
            <v>Rosenbaum,Howard S.</v>
          </cell>
          <cell r="N14106" t="str">
            <v>NR</v>
          </cell>
          <cell r="O14106" t="str">
            <v>NR</v>
          </cell>
        </row>
        <row r="14107">
          <cell r="E14107" t="str">
            <v>SLIS</v>
          </cell>
          <cell r="F14107" t="str">
            <v>SLIS-S</v>
          </cell>
          <cell r="G14107">
            <v>601</v>
          </cell>
          <cell r="H14107" t="str">
            <v>SLIS-S601</v>
          </cell>
          <cell r="K14107" t="str">
            <v>Silver,Joel B.</v>
          </cell>
          <cell r="N14107" t="str">
            <v>NR</v>
          </cell>
          <cell r="O14107" t="str">
            <v>NR</v>
          </cell>
        </row>
        <row r="14108">
          <cell r="E14108" t="str">
            <v>SLIS</v>
          </cell>
          <cell r="F14108" t="str">
            <v>SLIS-S</v>
          </cell>
          <cell r="G14108">
            <v>601</v>
          </cell>
          <cell r="H14108" t="str">
            <v>SLIS-S601</v>
          </cell>
          <cell r="K14108" t="str">
            <v>Silver,Joel B.</v>
          </cell>
          <cell r="N14108" t="str">
            <v>NR</v>
          </cell>
          <cell r="O14108" t="str">
            <v>NR</v>
          </cell>
        </row>
        <row r="14109">
          <cell r="E14109" t="str">
            <v>SLIS</v>
          </cell>
          <cell r="F14109" t="str">
            <v>SLIS-S</v>
          </cell>
          <cell r="G14109">
            <v>602</v>
          </cell>
          <cell r="H14109" t="str">
            <v>SLIS-S602</v>
          </cell>
          <cell r="K14109" t="str">
            <v>Day,Ronald</v>
          </cell>
          <cell r="N14109" t="str">
            <v>NR</v>
          </cell>
          <cell r="O14109" t="str">
            <v>NR</v>
          </cell>
        </row>
        <row r="14110">
          <cell r="E14110" t="str">
            <v>SLIS</v>
          </cell>
          <cell r="F14110" t="str">
            <v>SLIS-S</v>
          </cell>
          <cell r="G14110">
            <v>602</v>
          </cell>
          <cell r="H14110" t="str">
            <v>SLIS-S602</v>
          </cell>
          <cell r="K14110" t="str">
            <v>Ekbia,Hamid</v>
          </cell>
          <cell r="N14110" t="str">
            <v>NR</v>
          </cell>
          <cell r="O14110" t="str">
            <v>NR</v>
          </cell>
        </row>
        <row r="14111">
          <cell r="E14111" t="str">
            <v>SLIS</v>
          </cell>
          <cell r="F14111" t="str">
            <v>SLIS-S</v>
          </cell>
          <cell r="G14111">
            <v>602</v>
          </cell>
          <cell r="H14111" t="str">
            <v>SLIS-S602</v>
          </cell>
          <cell r="K14111" t="str">
            <v>Hara,Noriko</v>
          </cell>
          <cell r="N14111" t="str">
            <v>NR</v>
          </cell>
          <cell r="O14111" t="str">
            <v>NR</v>
          </cell>
        </row>
        <row r="14112">
          <cell r="E14112" t="str">
            <v>SLIS</v>
          </cell>
          <cell r="F14112" t="str">
            <v>SLIS-S</v>
          </cell>
          <cell r="G14112">
            <v>602</v>
          </cell>
          <cell r="H14112" t="str">
            <v>SLIS-S602</v>
          </cell>
          <cell r="K14112" t="str">
            <v>Milojevic,Stasa</v>
          </cell>
          <cell r="N14112" t="str">
            <v>NR</v>
          </cell>
          <cell r="O14112" t="str">
            <v>NR</v>
          </cell>
        </row>
        <row r="14113">
          <cell r="E14113" t="str">
            <v>SLIS</v>
          </cell>
          <cell r="F14113" t="str">
            <v>SLIS-S</v>
          </cell>
          <cell r="G14113">
            <v>602</v>
          </cell>
          <cell r="H14113" t="str">
            <v>SLIS-S602</v>
          </cell>
          <cell r="K14113" t="str">
            <v>Shaw,Debora Jane</v>
          </cell>
          <cell r="N14113" t="str">
            <v>NR</v>
          </cell>
          <cell r="O14113" t="str">
            <v>NR</v>
          </cell>
        </row>
        <row r="14114">
          <cell r="E14114" t="str">
            <v>SLIS</v>
          </cell>
          <cell r="F14114" t="str">
            <v>SLIS-S</v>
          </cell>
          <cell r="G14114">
            <v>602</v>
          </cell>
          <cell r="H14114" t="str">
            <v>SLIS-S602</v>
          </cell>
          <cell r="K14114" t="str">
            <v>Walsh,John Anthony</v>
          </cell>
          <cell r="N14114" t="str">
            <v>NR</v>
          </cell>
          <cell r="O14114" t="str">
            <v>NR</v>
          </cell>
        </row>
        <row r="14115">
          <cell r="E14115" t="str">
            <v>SLIS</v>
          </cell>
          <cell r="F14115" t="str">
            <v>SLIS-S</v>
          </cell>
          <cell r="G14115">
            <v>603</v>
          </cell>
          <cell r="H14115" t="str">
            <v>SLIS-S603</v>
          </cell>
          <cell r="K14115" t="str">
            <v>Dekydtspotter,Lori Lynn</v>
          </cell>
          <cell r="N14115">
            <v>3.97</v>
          </cell>
          <cell r="O14115">
            <v>3.758</v>
          </cell>
        </row>
        <row r="14116">
          <cell r="E14116" t="str">
            <v>SLIS</v>
          </cell>
          <cell r="F14116" t="str">
            <v>SLIS-S</v>
          </cell>
          <cell r="G14116">
            <v>603</v>
          </cell>
          <cell r="H14116" t="str">
            <v>SLIS-S603</v>
          </cell>
          <cell r="K14116" t="str">
            <v>Simpson,Craig Stephen</v>
          </cell>
          <cell r="N14116" t="str">
            <v>NR</v>
          </cell>
          <cell r="O14116" t="str">
            <v>NR</v>
          </cell>
        </row>
        <row r="14117">
          <cell r="E14117" t="str">
            <v>SLIS</v>
          </cell>
          <cell r="F14117" t="str">
            <v>SLIS-S</v>
          </cell>
          <cell r="G14117">
            <v>604</v>
          </cell>
          <cell r="H14117" t="str">
            <v>SLIS-S604</v>
          </cell>
          <cell r="K14117" t="str">
            <v>Bowman,Tim David</v>
          </cell>
          <cell r="N14117">
            <v>3.9630000000000001</v>
          </cell>
          <cell r="O14117">
            <v>3.8439999999999999</v>
          </cell>
        </row>
        <row r="14118">
          <cell r="E14118" t="str">
            <v>SLIS</v>
          </cell>
          <cell r="F14118" t="str">
            <v>SLIS-S</v>
          </cell>
          <cell r="G14118">
            <v>604</v>
          </cell>
          <cell r="H14118" t="str">
            <v>SLIS-S604</v>
          </cell>
          <cell r="K14118" t="str">
            <v>Casey,Michael T</v>
          </cell>
          <cell r="N14118">
            <v>3.7429999999999999</v>
          </cell>
          <cell r="O14118">
            <v>3.738</v>
          </cell>
        </row>
        <row r="14119">
          <cell r="E14119" t="str">
            <v>SLIS</v>
          </cell>
          <cell r="F14119" t="str">
            <v>SLIS-S</v>
          </cell>
          <cell r="G14119">
            <v>604</v>
          </cell>
          <cell r="H14119" t="str">
            <v>SLIS-S604</v>
          </cell>
          <cell r="K14119" t="str">
            <v>Choksy,Carol E B</v>
          </cell>
          <cell r="N14119" t="str">
            <v>NR</v>
          </cell>
          <cell r="O14119" t="str">
            <v>NR</v>
          </cell>
        </row>
        <row r="14120">
          <cell r="E14120" t="str">
            <v>SLIS</v>
          </cell>
          <cell r="F14120" t="str">
            <v>SLIS-S</v>
          </cell>
          <cell r="G14120">
            <v>604</v>
          </cell>
          <cell r="H14120" t="str">
            <v>SLIS-S604</v>
          </cell>
          <cell r="K14120" t="str">
            <v>Choksy,Carol E B</v>
          </cell>
          <cell r="N14120">
            <v>3.9630000000000001</v>
          </cell>
          <cell r="O14120">
            <v>3.8639999999999999</v>
          </cell>
        </row>
        <row r="14121">
          <cell r="E14121" t="str">
            <v>SLIS</v>
          </cell>
          <cell r="F14121" t="str">
            <v>SLIS-S</v>
          </cell>
          <cell r="G14121">
            <v>604</v>
          </cell>
          <cell r="H14121" t="str">
            <v>SLIS-S604</v>
          </cell>
          <cell r="K14121" t="str">
            <v>Ekbia,Hamid</v>
          </cell>
          <cell r="N14121" t="str">
            <v>NR</v>
          </cell>
          <cell r="O14121" t="str">
            <v>NR</v>
          </cell>
        </row>
        <row r="14122">
          <cell r="E14122" t="str">
            <v>SLIS</v>
          </cell>
          <cell r="F14122" t="str">
            <v>SLIS-S</v>
          </cell>
          <cell r="G14122">
            <v>604</v>
          </cell>
          <cell r="H14122" t="str">
            <v>SLIS-S604</v>
          </cell>
          <cell r="K14122" t="str">
            <v>Jones,Christina Ulrich</v>
          </cell>
          <cell r="N14122">
            <v>3.9</v>
          </cell>
          <cell r="O14122">
            <v>3.6469999999999998</v>
          </cell>
        </row>
        <row r="14123">
          <cell r="E14123" t="str">
            <v>SLIS</v>
          </cell>
          <cell r="F14123" t="str">
            <v>SLIS-S</v>
          </cell>
          <cell r="G14123">
            <v>604</v>
          </cell>
          <cell r="H14123" t="str">
            <v>SLIS-S604</v>
          </cell>
          <cell r="K14123" t="str">
            <v>Milojevic,Stasa</v>
          </cell>
          <cell r="N14123">
            <v>3.9569999999999999</v>
          </cell>
          <cell r="O14123">
            <v>3.7839999999999998</v>
          </cell>
        </row>
        <row r="14124">
          <cell r="E14124" t="str">
            <v>SLIS</v>
          </cell>
          <cell r="F14124" t="str">
            <v>SLIS-S</v>
          </cell>
          <cell r="G14124">
            <v>604</v>
          </cell>
          <cell r="H14124" t="str">
            <v>SLIS-S604</v>
          </cell>
          <cell r="K14124" t="str">
            <v>Sugimoto,Cassidy Rose</v>
          </cell>
          <cell r="N14124">
            <v>3.871</v>
          </cell>
          <cell r="O14124">
            <v>3.85</v>
          </cell>
        </row>
        <row r="14125">
          <cell r="E14125" t="str">
            <v>SLIS</v>
          </cell>
          <cell r="F14125" t="str">
            <v>SLIS-S</v>
          </cell>
          <cell r="G14125">
            <v>604</v>
          </cell>
          <cell r="H14125" t="str">
            <v>SLIS-S604</v>
          </cell>
          <cell r="K14125" t="str">
            <v>Truesdell,Barbara</v>
          </cell>
          <cell r="N14125">
            <v>3.92</v>
          </cell>
          <cell r="O14125">
            <v>3.6949999999999998</v>
          </cell>
        </row>
        <row r="14126">
          <cell r="E14126" t="str">
            <v>SLIS</v>
          </cell>
          <cell r="F14126" t="str">
            <v>SLIS-S</v>
          </cell>
          <cell r="G14126">
            <v>605</v>
          </cell>
          <cell r="H14126" t="str">
            <v>SLIS-S605</v>
          </cell>
          <cell r="K14126" t="str">
            <v>Rosenbaum,Howard S.</v>
          </cell>
          <cell r="N14126" t="str">
            <v>NR</v>
          </cell>
          <cell r="O14126" t="str">
            <v>NR</v>
          </cell>
        </row>
        <row r="14127">
          <cell r="E14127" t="str">
            <v>SLIS</v>
          </cell>
          <cell r="F14127" t="str">
            <v>SLIS-S</v>
          </cell>
          <cell r="G14127">
            <v>605</v>
          </cell>
          <cell r="H14127" t="str">
            <v>SLIS-S605</v>
          </cell>
          <cell r="K14127" t="str">
            <v>Rosenbaum,Howard S.</v>
          </cell>
          <cell r="N14127" t="str">
            <v>NR</v>
          </cell>
          <cell r="O14127" t="str">
            <v>NR</v>
          </cell>
        </row>
        <row r="14128">
          <cell r="E14128" t="str">
            <v>SLIS</v>
          </cell>
          <cell r="F14128" t="str">
            <v>SLIS-S</v>
          </cell>
          <cell r="G14128">
            <v>629</v>
          </cell>
          <cell r="H14128" t="str">
            <v>SLIS-S629</v>
          </cell>
          <cell r="K14128" t="str">
            <v>Cheun,Wookjin</v>
          </cell>
          <cell r="N14128" t="str">
            <v>NR</v>
          </cell>
          <cell r="O14128" t="str">
            <v>NR</v>
          </cell>
        </row>
        <row r="14129">
          <cell r="E14129" t="str">
            <v>SLIS</v>
          </cell>
          <cell r="F14129" t="str">
            <v>SLIS-S</v>
          </cell>
          <cell r="G14129">
            <v>631</v>
          </cell>
          <cell r="H14129" t="str">
            <v>SLIS-S631</v>
          </cell>
          <cell r="K14129" t="str">
            <v>Park,Taemin</v>
          </cell>
          <cell r="N14129">
            <v>3.91</v>
          </cell>
          <cell r="O14129">
            <v>3.923</v>
          </cell>
        </row>
        <row r="14130">
          <cell r="E14130" t="str">
            <v>SLIS</v>
          </cell>
          <cell r="F14130" t="str">
            <v>SLIS-S</v>
          </cell>
          <cell r="G14130">
            <v>634</v>
          </cell>
          <cell r="H14130" t="str">
            <v>SLIS-S634</v>
          </cell>
          <cell r="K14130" t="str">
            <v>Jacob,Elin K.</v>
          </cell>
          <cell r="N14130">
            <v>3.7330000000000001</v>
          </cell>
          <cell r="O14130">
            <v>3.7629999999999999</v>
          </cell>
        </row>
        <row r="14131">
          <cell r="E14131" t="str">
            <v>SLIS</v>
          </cell>
          <cell r="F14131" t="str">
            <v>SLIS-S</v>
          </cell>
          <cell r="G14131">
            <v>634</v>
          </cell>
          <cell r="H14131" t="str">
            <v>SLIS-S634</v>
          </cell>
          <cell r="K14131" t="str">
            <v>Jacob,Elin K.</v>
          </cell>
          <cell r="N14131">
            <v>3.5470000000000002</v>
          </cell>
          <cell r="O14131">
            <v>3.8079999999999998</v>
          </cell>
        </row>
        <row r="14132">
          <cell r="E14132" t="str">
            <v>SLIS</v>
          </cell>
          <cell r="F14132" t="str">
            <v>SLIS-S</v>
          </cell>
          <cell r="G14132">
            <v>634</v>
          </cell>
          <cell r="H14132" t="str">
            <v>SLIS-S634</v>
          </cell>
          <cell r="K14132" t="str">
            <v>Jacob,Elin K.</v>
          </cell>
          <cell r="N14132" t="str">
            <v>NR</v>
          </cell>
          <cell r="O14132" t="str">
            <v>NR</v>
          </cell>
        </row>
        <row r="14133">
          <cell r="E14133" t="str">
            <v>SLIS</v>
          </cell>
          <cell r="F14133" t="str">
            <v>SLIS-S</v>
          </cell>
          <cell r="G14133">
            <v>636</v>
          </cell>
          <cell r="H14133" t="str">
            <v>SLIS-S636</v>
          </cell>
          <cell r="K14133" t="str">
            <v>Ding,Ying</v>
          </cell>
          <cell r="N14133">
            <v>3.835</v>
          </cell>
          <cell r="O14133">
            <v>3.6379999999999999</v>
          </cell>
        </row>
        <row r="14134">
          <cell r="E14134" t="str">
            <v>SLIS</v>
          </cell>
          <cell r="F14134" t="str">
            <v>SLIS-S</v>
          </cell>
          <cell r="G14134">
            <v>637</v>
          </cell>
          <cell r="H14134" t="str">
            <v>SLIS-S637</v>
          </cell>
          <cell r="K14134" t="str">
            <v>Zoss,Angela Marie</v>
          </cell>
          <cell r="N14134">
            <v>3.6890000000000001</v>
          </cell>
          <cell r="O14134">
            <v>3.74</v>
          </cell>
        </row>
        <row r="14135">
          <cell r="E14135" t="str">
            <v>SLIS</v>
          </cell>
          <cell r="F14135" t="str">
            <v>SLIS-S</v>
          </cell>
          <cell r="G14135">
            <v>640</v>
          </cell>
          <cell r="H14135" t="str">
            <v>SLIS-S640</v>
          </cell>
          <cell r="K14135" t="str">
            <v>Day,Ronald</v>
          </cell>
          <cell r="N14135">
            <v>3.93</v>
          </cell>
          <cell r="O14135">
            <v>3.7349999999999999</v>
          </cell>
        </row>
        <row r="14136">
          <cell r="E14136" t="str">
            <v>SLIS</v>
          </cell>
          <cell r="F14136" t="str">
            <v>SLIS-S</v>
          </cell>
          <cell r="G14136">
            <v>641</v>
          </cell>
          <cell r="H14136" t="str">
            <v>SLIS-S641</v>
          </cell>
          <cell r="K14136" t="str">
            <v>Herring,Susan Catherine</v>
          </cell>
          <cell r="N14136">
            <v>3.6669999999999998</v>
          </cell>
          <cell r="O14136">
            <v>3.3039999999999998</v>
          </cell>
        </row>
        <row r="14137">
          <cell r="E14137" t="str">
            <v>SLIS</v>
          </cell>
          <cell r="F14137" t="str">
            <v>SLIS-S</v>
          </cell>
          <cell r="G14137">
            <v>643</v>
          </cell>
          <cell r="H14137" t="str">
            <v>SLIS-S643</v>
          </cell>
          <cell r="K14137" t="str">
            <v>Rosenbaum,Howard S.</v>
          </cell>
          <cell r="N14137">
            <v>3.8330000000000002</v>
          </cell>
          <cell r="O14137">
            <v>3.7410000000000001</v>
          </cell>
        </row>
        <row r="14138">
          <cell r="E14138" t="str">
            <v>SLIS</v>
          </cell>
          <cell r="F14138" t="str">
            <v>SLIS-S</v>
          </cell>
          <cell r="G14138">
            <v>652</v>
          </cell>
          <cell r="H14138" t="str">
            <v>SLIS-S652</v>
          </cell>
          <cell r="K14138" t="str">
            <v>Walsh,John Anthony</v>
          </cell>
          <cell r="N14138">
            <v>4</v>
          </cell>
          <cell r="O14138">
            <v>3.8639999999999999</v>
          </cell>
        </row>
        <row r="14139">
          <cell r="E14139" t="str">
            <v>SLIS</v>
          </cell>
          <cell r="F14139" t="str">
            <v>SLIS-S</v>
          </cell>
          <cell r="G14139">
            <v>654</v>
          </cell>
          <cell r="H14139" t="str">
            <v>SLIS-S654</v>
          </cell>
          <cell r="K14139" t="str">
            <v>Fariss,Linda K.</v>
          </cell>
          <cell r="N14139" t="str">
            <v>NR</v>
          </cell>
          <cell r="O14139" t="str">
            <v>NR</v>
          </cell>
        </row>
        <row r="14140">
          <cell r="E14140" t="str">
            <v>SLIS</v>
          </cell>
          <cell r="F14140" t="str">
            <v>SLIS-S</v>
          </cell>
          <cell r="G14140">
            <v>655</v>
          </cell>
          <cell r="H14140" t="str">
            <v>SLIS-S655</v>
          </cell>
          <cell r="K14140" t="str">
            <v>Cochran,Keith</v>
          </cell>
          <cell r="N14140" t="str">
            <v>NR</v>
          </cell>
          <cell r="O14140" t="str">
            <v>NR</v>
          </cell>
        </row>
        <row r="14141">
          <cell r="E14141" t="str">
            <v>SLIS</v>
          </cell>
          <cell r="F14141" t="str">
            <v>SLIS-S</v>
          </cell>
          <cell r="G14141">
            <v>656</v>
          </cell>
          <cell r="H14141" t="str">
            <v>SLIS-S656</v>
          </cell>
          <cell r="K14141" t="str">
            <v>Walsh,John Anthony</v>
          </cell>
          <cell r="N14141">
            <v>3.4249999999999998</v>
          </cell>
          <cell r="O14141">
            <v>3.8460000000000001</v>
          </cell>
        </row>
        <row r="14142">
          <cell r="E14142" t="str">
            <v>SLIS</v>
          </cell>
          <cell r="F14142" t="str">
            <v>SLIS-S</v>
          </cell>
          <cell r="G14142">
            <v>657</v>
          </cell>
          <cell r="H14142" t="str">
            <v>SLIS-S657</v>
          </cell>
          <cell r="K14142" t="str">
            <v>Walsh,John Anthony</v>
          </cell>
          <cell r="N14142">
            <v>3.827</v>
          </cell>
          <cell r="O14142">
            <v>3.883</v>
          </cell>
        </row>
        <row r="14143">
          <cell r="E14143" t="str">
            <v>SLIS</v>
          </cell>
          <cell r="F14143" t="str">
            <v>SLIS-S</v>
          </cell>
          <cell r="G14143">
            <v>661</v>
          </cell>
          <cell r="H14143" t="str">
            <v>SLIS-S661</v>
          </cell>
          <cell r="K14143" t="str">
            <v>Ekbia,Hamid</v>
          </cell>
          <cell r="N14143" t="str">
            <v>NR</v>
          </cell>
          <cell r="O14143" t="str">
            <v>NR</v>
          </cell>
        </row>
        <row r="14144">
          <cell r="E14144" t="str">
            <v>SLIS</v>
          </cell>
          <cell r="F14144" t="str">
            <v>SLIS-S</v>
          </cell>
          <cell r="G14144">
            <v>671</v>
          </cell>
          <cell r="H14144" t="str">
            <v>SLIS-S671</v>
          </cell>
          <cell r="K14144" t="str">
            <v>Kramer,Kimberly Ann</v>
          </cell>
          <cell r="N14144" t="str">
            <v>NR</v>
          </cell>
          <cell r="O14144" t="str">
            <v>NR</v>
          </cell>
        </row>
        <row r="14145">
          <cell r="E14145" t="str">
            <v>SLIS</v>
          </cell>
          <cell r="F14145" t="str">
            <v>SLIS-S</v>
          </cell>
          <cell r="G14145">
            <v>672</v>
          </cell>
          <cell r="H14145" t="str">
            <v>SLIS-S672</v>
          </cell>
          <cell r="K14145" t="str">
            <v>Backs,Dana Rene</v>
          </cell>
          <cell r="N14145">
            <v>3.8420000000000001</v>
          </cell>
          <cell r="O14145">
            <v>3.7130000000000001</v>
          </cell>
        </row>
        <row r="14146">
          <cell r="E14146" t="str">
            <v>SLIS</v>
          </cell>
          <cell r="F14146" t="str">
            <v>SLIS-S</v>
          </cell>
          <cell r="G14146">
            <v>680</v>
          </cell>
          <cell r="H14146" t="str">
            <v>SLIS-S680</v>
          </cell>
          <cell r="K14146" t="str">
            <v>Williams,Cherry Dunham</v>
          </cell>
          <cell r="N14146">
            <v>4</v>
          </cell>
          <cell r="O14146">
            <v>3.8130000000000002</v>
          </cell>
        </row>
        <row r="14147">
          <cell r="E14147" t="str">
            <v>SLIS</v>
          </cell>
          <cell r="F14147" t="str">
            <v>SLIS-S</v>
          </cell>
          <cell r="G14147">
            <v>681</v>
          </cell>
          <cell r="H14147" t="str">
            <v>SLIS-S681</v>
          </cell>
          <cell r="K14147" t="str">
            <v>Dowell,Erika</v>
          </cell>
          <cell r="N14147">
            <v>3.6219999999999999</v>
          </cell>
          <cell r="O14147">
            <v>3.665</v>
          </cell>
        </row>
        <row r="14148">
          <cell r="E14148" t="str">
            <v>SLIS</v>
          </cell>
          <cell r="F14148" t="str">
            <v>SLIS-S</v>
          </cell>
          <cell r="G14148">
            <v>683</v>
          </cell>
          <cell r="H14148" t="str">
            <v>SLIS-S683</v>
          </cell>
          <cell r="K14148" t="str">
            <v>Silver,Joel B.</v>
          </cell>
          <cell r="N14148">
            <v>3.9</v>
          </cell>
          <cell r="O14148">
            <v>3.81</v>
          </cell>
        </row>
        <row r="14149">
          <cell r="E14149" t="str">
            <v>SLIS</v>
          </cell>
          <cell r="F14149" t="str">
            <v>SLIS-S</v>
          </cell>
          <cell r="G14149">
            <v>684</v>
          </cell>
          <cell r="H14149" t="str">
            <v>SLIS-S684</v>
          </cell>
          <cell r="K14149" t="str">
            <v>Silver,Joel B.</v>
          </cell>
          <cell r="N14149">
            <v>3.8879999999999999</v>
          </cell>
          <cell r="O14149">
            <v>3.8460000000000001</v>
          </cell>
        </row>
        <row r="14150">
          <cell r="E14150" t="str">
            <v>SLIS</v>
          </cell>
          <cell r="F14150" t="str">
            <v>SLIS-S</v>
          </cell>
          <cell r="G14150">
            <v>685</v>
          </cell>
          <cell r="H14150" t="str">
            <v>SLIS-S685</v>
          </cell>
          <cell r="K14150" t="str">
            <v>Bantin,Philip Charles</v>
          </cell>
          <cell r="N14150">
            <v>3.7879999999999998</v>
          </cell>
          <cell r="O14150">
            <v>3.7490000000000001</v>
          </cell>
        </row>
        <row r="14151">
          <cell r="E14151" t="str">
            <v>SLIS</v>
          </cell>
          <cell r="F14151" t="str">
            <v>SLIS-S</v>
          </cell>
          <cell r="G14151">
            <v>701</v>
          </cell>
          <cell r="H14151" t="str">
            <v>SLIS-S701</v>
          </cell>
          <cell r="K14151" t="str">
            <v>Ding,Ying</v>
          </cell>
          <cell r="N14151" t="str">
            <v>NR</v>
          </cell>
          <cell r="O14151" t="str">
            <v>NR</v>
          </cell>
        </row>
        <row r="14152">
          <cell r="E14152" t="str">
            <v>SLIS</v>
          </cell>
          <cell r="F14152" t="str">
            <v>SLIS-S</v>
          </cell>
          <cell r="G14152">
            <v>702</v>
          </cell>
          <cell r="H14152" t="str">
            <v>SLIS-S702</v>
          </cell>
          <cell r="K14152" t="str">
            <v>Herring,Susan Catherine</v>
          </cell>
          <cell r="N14152" t="str">
            <v>NR</v>
          </cell>
          <cell r="O14152" t="str">
            <v>NR</v>
          </cell>
        </row>
        <row r="14153">
          <cell r="E14153" t="str">
            <v>SLIS</v>
          </cell>
          <cell r="F14153" t="str">
            <v>SLIS-S</v>
          </cell>
          <cell r="G14153">
            <v>703</v>
          </cell>
          <cell r="H14153" t="str">
            <v>SLIS-S703</v>
          </cell>
          <cell r="K14153" t="str">
            <v>Ding,Ying</v>
          </cell>
          <cell r="N14153" t="str">
            <v>NR</v>
          </cell>
          <cell r="O14153" t="str">
            <v>NR</v>
          </cell>
        </row>
        <row r="14154">
          <cell r="E14154" t="str">
            <v>SLIS</v>
          </cell>
          <cell r="F14154" t="str">
            <v>SLIS-S</v>
          </cell>
          <cell r="G14154">
            <v>706</v>
          </cell>
          <cell r="H14154" t="str">
            <v>SLIS-S706</v>
          </cell>
          <cell r="K14154" t="str">
            <v>Robbin,Alice</v>
          </cell>
          <cell r="N14154" t="str">
            <v>NR</v>
          </cell>
          <cell r="O14154" t="str">
            <v>NR</v>
          </cell>
        </row>
        <row r="14155">
          <cell r="E14155" t="str">
            <v>SLIS</v>
          </cell>
          <cell r="F14155" t="str">
            <v>SLIS-S</v>
          </cell>
          <cell r="G14155">
            <v>706</v>
          </cell>
          <cell r="H14155" t="str">
            <v>SLIS-S706</v>
          </cell>
          <cell r="K14155" t="str">
            <v>Robbin,Alice</v>
          </cell>
          <cell r="N14155" t="str">
            <v>NR</v>
          </cell>
          <cell r="O14155" t="str">
            <v>NR</v>
          </cell>
        </row>
        <row r="14156">
          <cell r="E14156" t="str">
            <v>SLIS</v>
          </cell>
          <cell r="F14156" t="str">
            <v>SLIS-S</v>
          </cell>
          <cell r="G14156">
            <v>710</v>
          </cell>
          <cell r="H14156" t="str">
            <v>SLIS-S710</v>
          </cell>
          <cell r="K14156" t="str">
            <v>Herring,Susan Catherine</v>
          </cell>
          <cell r="N14156" t="str">
            <v>NR</v>
          </cell>
          <cell r="O14156" t="str">
            <v>NR</v>
          </cell>
        </row>
        <row r="14157">
          <cell r="E14157" t="str">
            <v>SLIS</v>
          </cell>
          <cell r="F14157" t="str">
            <v>SLIS-S</v>
          </cell>
          <cell r="G14157">
            <v>764</v>
          </cell>
          <cell r="H14157" t="str">
            <v>SLIS-S764</v>
          </cell>
          <cell r="K14157" t="str">
            <v>Ekbia,Hamid</v>
          </cell>
          <cell r="N14157" t="str">
            <v>NR</v>
          </cell>
          <cell r="O14157" t="str">
            <v>NR</v>
          </cell>
        </row>
        <row r="14158">
          <cell r="E14158" t="str">
            <v>SLIS</v>
          </cell>
          <cell r="F14158" t="str">
            <v>SLIS-S</v>
          </cell>
          <cell r="G14158">
            <v>764</v>
          </cell>
          <cell r="H14158" t="str">
            <v>SLIS-S764</v>
          </cell>
          <cell r="K14158" t="str">
            <v>Ekbia,Hamid</v>
          </cell>
          <cell r="N14158" t="str">
            <v>NR</v>
          </cell>
          <cell r="O14158" t="str">
            <v>NR</v>
          </cell>
        </row>
        <row r="14159">
          <cell r="E14159" t="str">
            <v>SLIS</v>
          </cell>
          <cell r="F14159" t="str">
            <v>SLIS-S</v>
          </cell>
          <cell r="G14159">
            <v>764</v>
          </cell>
          <cell r="H14159" t="str">
            <v>SLIS-S764</v>
          </cell>
          <cell r="K14159" t="str">
            <v>Hara,Noriko</v>
          </cell>
          <cell r="N14159" t="str">
            <v>NR</v>
          </cell>
          <cell r="O14159" t="str">
            <v>NR</v>
          </cell>
        </row>
        <row r="14160">
          <cell r="E14160" t="str">
            <v>SLIS</v>
          </cell>
          <cell r="F14160" t="str">
            <v>SLIS-S</v>
          </cell>
          <cell r="G14160">
            <v>764</v>
          </cell>
          <cell r="H14160" t="str">
            <v>SLIS-S764</v>
          </cell>
          <cell r="K14160" t="str">
            <v>Milojevic,Stasa</v>
          </cell>
          <cell r="N14160" t="str">
            <v>NR</v>
          </cell>
          <cell r="O14160" t="str">
            <v>NR</v>
          </cell>
        </row>
        <row r="14161">
          <cell r="E14161" t="str">
            <v>SLIS</v>
          </cell>
          <cell r="F14161" t="str">
            <v>SLIS-S</v>
          </cell>
          <cell r="G14161">
            <v>764</v>
          </cell>
          <cell r="H14161" t="str">
            <v>SLIS-S764</v>
          </cell>
          <cell r="K14161" t="str">
            <v>Sugimoto,Cassidy Rose</v>
          </cell>
          <cell r="N14161" t="str">
            <v>NR</v>
          </cell>
          <cell r="O14161" t="str">
            <v>NR</v>
          </cell>
        </row>
        <row r="14162">
          <cell r="E14162" t="str">
            <v>SLIS</v>
          </cell>
          <cell r="F14162" t="str">
            <v>SLIS-S</v>
          </cell>
          <cell r="G14162">
            <v>765</v>
          </cell>
          <cell r="H14162" t="str">
            <v>SLIS-S765</v>
          </cell>
          <cell r="K14162" t="str">
            <v>Ding,Ying</v>
          </cell>
          <cell r="N14162" t="str">
            <v>NR</v>
          </cell>
          <cell r="O14162" t="str">
            <v>NR</v>
          </cell>
        </row>
        <row r="14163">
          <cell r="E14163" t="str">
            <v>SLIS</v>
          </cell>
          <cell r="F14163" t="str">
            <v>SLIS-S</v>
          </cell>
          <cell r="G14163">
            <v>765</v>
          </cell>
          <cell r="H14163" t="str">
            <v>SLIS-S765</v>
          </cell>
          <cell r="K14163" t="str">
            <v>Ekbia,Hamid</v>
          </cell>
          <cell r="N14163" t="str">
            <v>NR</v>
          </cell>
          <cell r="O14163" t="str">
            <v>NR</v>
          </cell>
        </row>
        <row r="14164">
          <cell r="E14164" t="str">
            <v>SLIS</v>
          </cell>
          <cell r="F14164" t="str">
            <v>SLIS-S</v>
          </cell>
          <cell r="G14164">
            <v>765</v>
          </cell>
          <cell r="H14164" t="str">
            <v>SLIS-S765</v>
          </cell>
          <cell r="K14164" t="str">
            <v>Herring,Susan Catherine</v>
          </cell>
          <cell r="N14164" t="str">
            <v>NR</v>
          </cell>
          <cell r="O14164" t="str">
            <v>NR</v>
          </cell>
        </row>
        <row r="14165">
          <cell r="E14165" t="str">
            <v>SLIS</v>
          </cell>
          <cell r="F14165" t="str">
            <v>SLIS-S</v>
          </cell>
          <cell r="G14165">
            <v>765</v>
          </cell>
          <cell r="H14165" t="str">
            <v>SLIS-S765</v>
          </cell>
          <cell r="K14165" t="str">
            <v>Herring,Susan Catherine</v>
          </cell>
          <cell r="N14165" t="str">
            <v>NR</v>
          </cell>
          <cell r="O14165" t="str">
            <v>NR</v>
          </cell>
        </row>
        <row r="14166">
          <cell r="E14166" t="str">
            <v>SLIS</v>
          </cell>
          <cell r="F14166" t="str">
            <v>SLIS-S</v>
          </cell>
          <cell r="G14166">
            <v>765</v>
          </cell>
          <cell r="H14166" t="str">
            <v>SLIS-S765</v>
          </cell>
          <cell r="K14166" t="str">
            <v>Herring,Susan Catherine</v>
          </cell>
          <cell r="N14166" t="str">
            <v>NR</v>
          </cell>
          <cell r="O14166" t="str">
            <v>NR</v>
          </cell>
        </row>
        <row r="14167">
          <cell r="E14167" t="str">
            <v>SLIS</v>
          </cell>
          <cell r="F14167" t="str">
            <v>SLIS-S</v>
          </cell>
          <cell r="G14167">
            <v>765</v>
          </cell>
          <cell r="H14167" t="str">
            <v>SLIS-S765</v>
          </cell>
          <cell r="K14167" t="str">
            <v>Milojevic,Stasa</v>
          </cell>
          <cell r="N14167" t="str">
            <v>NR</v>
          </cell>
          <cell r="O14167" t="str">
            <v>NR</v>
          </cell>
        </row>
        <row r="14168">
          <cell r="E14168" t="str">
            <v>SLIS</v>
          </cell>
          <cell r="F14168" t="str">
            <v>SLIS-S</v>
          </cell>
          <cell r="G14168">
            <v>765</v>
          </cell>
          <cell r="H14168" t="str">
            <v>SLIS-S765</v>
          </cell>
          <cell r="K14168" t="str">
            <v>Rosenbaum,Howard S.</v>
          </cell>
          <cell r="N14168" t="str">
            <v>NR</v>
          </cell>
          <cell r="O14168" t="str">
            <v>NR</v>
          </cell>
        </row>
        <row r="14169">
          <cell r="E14169" t="str">
            <v>SLIS</v>
          </cell>
          <cell r="F14169" t="str">
            <v>SLIS-S</v>
          </cell>
          <cell r="G14169">
            <v>765</v>
          </cell>
          <cell r="H14169" t="str">
            <v>SLIS-S765</v>
          </cell>
          <cell r="K14169" t="str">
            <v>Sugimoto,Cassidy Rose</v>
          </cell>
          <cell r="N14169" t="str">
            <v>NR</v>
          </cell>
          <cell r="O14169" t="str">
            <v>NR</v>
          </cell>
        </row>
        <row r="14170">
          <cell r="E14170" t="str">
            <v>SLIS</v>
          </cell>
          <cell r="F14170" t="str">
            <v>SLIS-S</v>
          </cell>
          <cell r="G14170">
            <v>765</v>
          </cell>
          <cell r="H14170" t="str">
            <v>SLIS-S765</v>
          </cell>
          <cell r="K14170" t="str">
            <v>Sugimoto,Cassidy Rose</v>
          </cell>
          <cell r="N14170" t="str">
            <v>NR</v>
          </cell>
          <cell r="O14170" t="str">
            <v>NR</v>
          </cell>
        </row>
        <row r="14171">
          <cell r="E14171" t="str">
            <v>SLIS</v>
          </cell>
          <cell r="F14171" t="str">
            <v>SLIS-S</v>
          </cell>
          <cell r="G14171">
            <v>799</v>
          </cell>
          <cell r="H14171" t="str">
            <v>SLIS-S799</v>
          </cell>
          <cell r="K14171" t="str">
            <v>Ding,Ying</v>
          </cell>
          <cell r="N14171" t="str">
            <v>NR</v>
          </cell>
          <cell r="O14171" t="str">
            <v>NR</v>
          </cell>
        </row>
        <row r="14172">
          <cell r="E14172" t="str">
            <v>SLIS</v>
          </cell>
          <cell r="F14172" t="str">
            <v>SLIS-S</v>
          </cell>
          <cell r="G14172">
            <v>799</v>
          </cell>
          <cell r="H14172" t="str">
            <v>SLIS-S799</v>
          </cell>
          <cell r="K14172" t="str">
            <v>Herring,Susan Catherine</v>
          </cell>
          <cell r="N14172" t="str">
            <v>NR</v>
          </cell>
          <cell r="O14172" t="str">
            <v>NR</v>
          </cell>
        </row>
        <row r="14173">
          <cell r="E14173" t="str">
            <v>SLST</v>
          </cell>
          <cell r="F14173" t="str">
            <v>SLST-G</v>
          </cell>
          <cell r="G14173">
            <v>901</v>
          </cell>
          <cell r="H14173" t="str">
            <v>SLST-G901</v>
          </cell>
          <cell r="K14173" t="str">
            <v>Bardovi-Harlig,Kathleen</v>
          </cell>
          <cell r="N14173" t="str">
            <v>NR</v>
          </cell>
          <cell r="O14173" t="str">
            <v>NR</v>
          </cell>
        </row>
        <row r="14174">
          <cell r="E14174" t="str">
            <v>SLST</v>
          </cell>
          <cell r="F14174" t="str">
            <v>SLST-G</v>
          </cell>
          <cell r="G14174">
            <v>901</v>
          </cell>
          <cell r="H14174" t="str">
            <v>SLST-G901</v>
          </cell>
          <cell r="K14174" t="str">
            <v>Bardovi-Harlig,Kathleen</v>
          </cell>
          <cell r="N14174" t="str">
            <v>NR</v>
          </cell>
          <cell r="O14174" t="str">
            <v>NR</v>
          </cell>
        </row>
        <row r="14175">
          <cell r="E14175" t="str">
            <v>SLST</v>
          </cell>
          <cell r="F14175" t="str">
            <v>SLST-S</v>
          </cell>
          <cell r="G14175">
            <v>301</v>
          </cell>
          <cell r="H14175" t="str">
            <v>SLST-S301</v>
          </cell>
          <cell r="K14175" t="str">
            <v>Sprouse,Rex A.</v>
          </cell>
          <cell r="N14175">
            <v>3.4750000000000001</v>
          </cell>
          <cell r="O14175">
            <v>2.9910000000000001</v>
          </cell>
        </row>
        <row r="14176">
          <cell r="E14176" t="str">
            <v>SLST</v>
          </cell>
          <cell r="F14176" t="str">
            <v>SLST-S</v>
          </cell>
          <cell r="G14176">
            <v>305</v>
          </cell>
          <cell r="H14176" t="str">
            <v>SLST-S305</v>
          </cell>
          <cell r="K14176" t="str">
            <v>Ewert,Doreen Elizabeth</v>
          </cell>
          <cell r="N14176">
            <v>2.8919999999999999</v>
          </cell>
          <cell r="O14176">
            <v>3.3090000000000002</v>
          </cell>
        </row>
        <row r="14177">
          <cell r="E14177" t="str">
            <v>SLST</v>
          </cell>
          <cell r="F14177" t="str">
            <v>SLST-S</v>
          </cell>
          <cell r="G14177">
            <v>305</v>
          </cell>
          <cell r="H14177" t="str">
            <v>SLST-S305</v>
          </cell>
          <cell r="K14177" t="str">
            <v>Mossman,Sabrina</v>
          </cell>
          <cell r="N14177">
            <v>2.758</v>
          </cell>
          <cell r="O14177">
            <v>2.9750000000000001</v>
          </cell>
        </row>
        <row r="14178">
          <cell r="E14178" t="str">
            <v>SLST</v>
          </cell>
          <cell r="F14178" t="str">
            <v>SLST-S</v>
          </cell>
          <cell r="G14178">
            <v>306</v>
          </cell>
          <cell r="H14178" t="str">
            <v>SLST-S306</v>
          </cell>
          <cell r="K14178" t="str">
            <v>Sprouse,Rex A.</v>
          </cell>
          <cell r="N14178">
            <v>3.1549999999999998</v>
          </cell>
          <cell r="O14178">
            <v>3.2519999999999998</v>
          </cell>
        </row>
        <row r="14179">
          <cell r="E14179" t="str">
            <v>SLST</v>
          </cell>
          <cell r="F14179" t="str">
            <v>SLST-S</v>
          </cell>
          <cell r="G14179">
            <v>319</v>
          </cell>
          <cell r="H14179" t="str">
            <v>SLST-S319</v>
          </cell>
          <cell r="K14179" t="str">
            <v>Darcy,Isabelle</v>
          </cell>
          <cell r="N14179">
            <v>3.222</v>
          </cell>
          <cell r="O14179">
            <v>3.258</v>
          </cell>
        </row>
        <row r="14180">
          <cell r="E14180" t="str">
            <v>SLST</v>
          </cell>
          <cell r="F14180" t="str">
            <v>SLST-S</v>
          </cell>
          <cell r="G14180">
            <v>511</v>
          </cell>
          <cell r="H14180" t="str">
            <v>SLST-S511</v>
          </cell>
          <cell r="K14180" t="str">
            <v>Stringer,David</v>
          </cell>
          <cell r="N14180">
            <v>3.6720000000000002</v>
          </cell>
          <cell r="O14180">
            <v>3.76</v>
          </cell>
        </row>
        <row r="14181">
          <cell r="E14181" t="str">
            <v>SLST</v>
          </cell>
          <cell r="F14181" t="str">
            <v>SLST-S</v>
          </cell>
          <cell r="G14181">
            <v>512</v>
          </cell>
          <cell r="H14181" t="str">
            <v>SLST-S512</v>
          </cell>
          <cell r="K14181" t="str">
            <v>Darcy,Isabelle</v>
          </cell>
          <cell r="N14181">
            <v>3.4670000000000001</v>
          </cell>
          <cell r="O14181">
            <v>3.7639999999999998</v>
          </cell>
        </row>
        <row r="14182">
          <cell r="E14182" t="str">
            <v>SLST</v>
          </cell>
          <cell r="F14182" t="str">
            <v>SLST-S</v>
          </cell>
          <cell r="G14182">
            <v>531</v>
          </cell>
          <cell r="H14182" t="str">
            <v>SLST-S531</v>
          </cell>
          <cell r="K14182" t="str">
            <v>Stringer,David</v>
          </cell>
          <cell r="N14182">
            <v>3.6779999999999999</v>
          </cell>
          <cell r="O14182">
            <v>3.4569999999999999</v>
          </cell>
        </row>
        <row r="14183">
          <cell r="E14183" t="str">
            <v>SLST</v>
          </cell>
          <cell r="F14183" t="str">
            <v>SLST-S</v>
          </cell>
          <cell r="G14183">
            <v>532</v>
          </cell>
          <cell r="H14183" t="str">
            <v>SLST-S532</v>
          </cell>
          <cell r="K14183" t="str">
            <v>Dekydtspotter,Laurent Pierre</v>
          </cell>
          <cell r="N14183">
            <v>3.8140000000000001</v>
          </cell>
          <cell r="O14183">
            <v>3.7770000000000001</v>
          </cell>
        </row>
        <row r="14184">
          <cell r="E14184" t="str">
            <v>SLST</v>
          </cell>
          <cell r="F14184" t="str">
            <v>SLST-S</v>
          </cell>
          <cell r="G14184">
            <v>532</v>
          </cell>
          <cell r="H14184" t="str">
            <v>SLST-S532</v>
          </cell>
          <cell r="K14184" t="str">
            <v>Stringer,David</v>
          </cell>
          <cell r="N14184">
            <v>3.5059999999999998</v>
          </cell>
          <cell r="O14184">
            <v>3.762</v>
          </cell>
        </row>
        <row r="14185">
          <cell r="E14185" t="str">
            <v>SLST</v>
          </cell>
          <cell r="F14185" t="str">
            <v>SLST-S</v>
          </cell>
          <cell r="G14185">
            <v>533</v>
          </cell>
          <cell r="H14185" t="str">
            <v>SLST-S533</v>
          </cell>
          <cell r="K14185" t="str">
            <v>Bardovi-Harlig,Kathleen</v>
          </cell>
          <cell r="N14185">
            <v>3.4</v>
          </cell>
          <cell r="O14185">
            <v>3.5259999999999998</v>
          </cell>
        </row>
        <row r="14186">
          <cell r="E14186" t="str">
            <v>SLST</v>
          </cell>
          <cell r="F14186" t="str">
            <v>SLST-S</v>
          </cell>
          <cell r="G14186">
            <v>536</v>
          </cell>
          <cell r="H14186" t="str">
            <v>SLST-S536</v>
          </cell>
          <cell r="K14186" t="str">
            <v>Yilmaz,Yucel</v>
          </cell>
          <cell r="N14186">
            <v>3.9540000000000002</v>
          </cell>
          <cell r="O14186">
            <v>3.7250000000000001</v>
          </cell>
        </row>
        <row r="14187">
          <cell r="E14187" t="str">
            <v>SLST</v>
          </cell>
          <cell r="F14187" t="str">
            <v>SLST-S</v>
          </cell>
          <cell r="G14187">
            <v>600</v>
          </cell>
          <cell r="H14187" t="str">
            <v>SLST-S600</v>
          </cell>
          <cell r="K14187" t="str">
            <v>Darcy,Isabelle</v>
          </cell>
          <cell r="N14187">
            <v>4</v>
          </cell>
          <cell r="O14187">
            <v>3.883</v>
          </cell>
        </row>
        <row r="14188">
          <cell r="E14188" t="str">
            <v>SLST</v>
          </cell>
          <cell r="F14188" t="str">
            <v>SLST-S</v>
          </cell>
          <cell r="G14188">
            <v>600</v>
          </cell>
          <cell r="H14188" t="str">
            <v>SLST-S600</v>
          </cell>
          <cell r="K14188" t="str">
            <v>Shin,Sunyoung</v>
          </cell>
          <cell r="N14188">
            <v>3.65</v>
          </cell>
          <cell r="O14188">
            <v>3.7879999999999998</v>
          </cell>
        </row>
        <row r="14189">
          <cell r="E14189" t="str">
            <v>SLST</v>
          </cell>
          <cell r="F14189" t="str">
            <v>SLST-S</v>
          </cell>
          <cell r="G14189">
            <v>605</v>
          </cell>
          <cell r="H14189" t="str">
            <v>SLST-S605</v>
          </cell>
          <cell r="K14189" t="str">
            <v>Dekydtspotter,Laurent Pierre</v>
          </cell>
          <cell r="N14189">
            <v>3.84</v>
          </cell>
          <cell r="O14189">
            <v>3.7890000000000001</v>
          </cell>
        </row>
        <row r="14190">
          <cell r="E14190" t="str">
            <v>SLST</v>
          </cell>
          <cell r="F14190" t="str">
            <v>SLST-S</v>
          </cell>
          <cell r="G14190">
            <v>622</v>
          </cell>
          <cell r="H14190" t="str">
            <v>SLST-S622</v>
          </cell>
          <cell r="K14190" t="str">
            <v>Stringer,David</v>
          </cell>
          <cell r="N14190">
            <v>3.45</v>
          </cell>
          <cell r="O14190">
            <v>3.7519999999999998</v>
          </cell>
        </row>
        <row r="14191">
          <cell r="E14191" t="str">
            <v>SLST</v>
          </cell>
          <cell r="F14191" t="str">
            <v>SLST-S</v>
          </cell>
          <cell r="G14191">
            <v>640</v>
          </cell>
          <cell r="H14191" t="str">
            <v>SLST-S640</v>
          </cell>
          <cell r="K14191" t="str">
            <v>Trix,Frances</v>
          </cell>
          <cell r="N14191" t="str">
            <v>NR</v>
          </cell>
          <cell r="O14191" t="str">
            <v>NR</v>
          </cell>
        </row>
        <row r="14192">
          <cell r="E14192" t="str">
            <v>SLST</v>
          </cell>
          <cell r="F14192" t="str">
            <v>SLST-S</v>
          </cell>
          <cell r="G14192">
            <v>670</v>
          </cell>
          <cell r="H14192" t="str">
            <v>SLST-S670</v>
          </cell>
          <cell r="K14192" t="str">
            <v>Kroeber,Paul Demarest</v>
          </cell>
          <cell r="N14192">
            <v>3.95</v>
          </cell>
          <cell r="O14192">
            <v>3.9529999999999998</v>
          </cell>
        </row>
        <row r="14193">
          <cell r="E14193" t="str">
            <v>SLST</v>
          </cell>
          <cell r="F14193" t="str">
            <v>SLST-S</v>
          </cell>
          <cell r="G14193">
            <v>690</v>
          </cell>
          <cell r="H14193" t="str">
            <v>SLST-S690</v>
          </cell>
          <cell r="K14193" t="str">
            <v>Bardovi-Harlig,Kathleen</v>
          </cell>
          <cell r="N14193" t="str">
            <v>NR</v>
          </cell>
          <cell r="O14193" t="str">
            <v>NR</v>
          </cell>
        </row>
        <row r="14194">
          <cell r="E14194" t="str">
            <v>SLST</v>
          </cell>
          <cell r="F14194" t="str">
            <v>SLST-S</v>
          </cell>
          <cell r="G14194">
            <v>690</v>
          </cell>
          <cell r="H14194" t="str">
            <v>SLST-S690</v>
          </cell>
          <cell r="K14194" t="str">
            <v>Bardovi-Harlig,Kathleen</v>
          </cell>
          <cell r="N14194" t="str">
            <v>NR</v>
          </cell>
          <cell r="O14194" t="str">
            <v>NR</v>
          </cell>
        </row>
        <row r="14195">
          <cell r="E14195" t="str">
            <v>SLST</v>
          </cell>
          <cell r="F14195" t="str">
            <v>SLST-S</v>
          </cell>
          <cell r="G14195">
            <v>690</v>
          </cell>
          <cell r="H14195" t="str">
            <v>SLST-S690</v>
          </cell>
          <cell r="K14195" t="str">
            <v>Darcy,Isabelle</v>
          </cell>
          <cell r="N14195" t="str">
            <v>NR</v>
          </cell>
          <cell r="O14195" t="str">
            <v>NR</v>
          </cell>
        </row>
        <row r="14196">
          <cell r="E14196" t="str">
            <v>SLST</v>
          </cell>
          <cell r="F14196" t="str">
            <v>SLST-S</v>
          </cell>
          <cell r="G14196">
            <v>690</v>
          </cell>
          <cell r="H14196" t="str">
            <v>SLST-S690</v>
          </cell>
          <cell r="K14196" t="str">
            <v>Stringer,David</v>
          </cell>
          <cell r="N14196" t="str">
            <v>NR</v>
          </cell>
          <cell r="O14196" t="str">
            <v>NR</v>
          </cell>
        </row>
        <row r="14197">
          <cell r="E14197" t="str">
            <v>SLST</v>
          </cell>
          <cell r="F14197" t="str">
            <v>SLST-S</v>
          </cell>
          <cell r="G14197">
            <v>711</v>
          </cell>
          <cell r="H14197" t="str">
            <v>SLST-S711</v>
          </cell>
          <cell r="K14197" t="str">
            <v>Bardovi-Harlig,Kathleen</v>
          </cell>
          <cell r="N14197">
            <v>3.8330000000000002</v>
          </cell>
          <cell r="O14197">
            <v>3.9470000000000001</v>
          </cell>
        </row>
        <row r="14198">
          <cell r="E14198" t="str">
            <v>SLST</v>
          </cell>
          <cell r="F14198" t="str">
            <v>SLST-S</v>
          </cell>
          <cell r="G14198">
            <v>800</v>
          </cell>
          <cell r="H14198" t="str">
            <v>SLST-S800</v>
          </cell>
          <cell r="K14198" t="str">
            <v>Bardovi-Harlig,Kathleen</v>
          </cell>
          <cell r="N14198" t="str">
            <v>NR</v>
          </cell>
          <cell r="O14198" t="str">
            <v>NR</v>
          </cell>
        </row>
        <row r="14199">
          <cell r="E14199" t="str">
            <v>SLST</v>
          </cell>
          <cell r="F14199" t="str">
            <v>SLST-S</v>
          </cell>
          <cell r="G14199">
            <v>800</v>
          </cell>
          <cell r="H14199" t="str">
            <v>SLST-S800</v>
          </cell>
          <cell r="K14199" t="str">
            <v>Bardovi-Harlig,Kathleen</v>
          </cell>
          <cell r="N14199" t="str">
            <v>NR</v>
          </cell>
          <cell r="O14199" t="str">
            <v>NR</v>
          </cell>
        </row>
        <row r="14200">
          <cell r="E14200" t="str">
            <v>SLST</v>
          </cell>
          <cell r="F14200" t="str">
            <v>SLST-T</v>
          </cell>
          <cell r="G14200">
            <v>60</v>
          </cell>
          <cell r="H14200" t="str">
            <v>SLST-T60</v>
          </cell>
          <cell r="K14200" t="str">
            <v>Howard,Marlin G</v>
          </cell>
          <cell r="N14200" t="str">
            <v>NR</v>
          </cell>
          <cell r="O14200" t="str">
            <v>NR</v>
          </cell>
        </row>
        <row r="14201">
          <cell r="E14201" t="str">
            <v>SLST</v>
          </cell>
          <cell r="F14201" t="str">
            <v>SLST-T</v>
          </cell>
          <cell r="G14201">
            <v>60</v>
          </cell>
          <cell r="H14201" t="str">
            <v>SLST-T60</v>
          </cell>
          <cell r="K14201" t="str">
            <v>Howard,Marlin G</v>
          </cell>
          <cell r="N14201" t="str">
            <v>NR</v>
          </cell>
          <cell r="O14201" t="str">
            <v>NR</v>
          </cell>
        </row>
        <row r="14202">
          <cell r="E14202" t="str">
            <v>SLST</v>
          </cell>
          <cell r="F14202" t="str">
            <v>SLST-T</v>
          </cell>
          <cell r="G14202">
            <v>61</v>
          </cell>
          <cell r="H14202" t="str">
            <v>SLST-T61</v>
          </cell>
          <cell r="K14202" t="str">
            <v>Anderson,Vicki Ann Michael</v>
          </cell>
          <cell r="N14202">
            <v>3.0880000000000001</v>
          </cell>
          <cell r="O14202">
            <v>0</v>
          </cell>
        </row>
        <row r="14203">
          <cell r="E14203" t="str">
            <v>SLST</v>
          </cell>
          <cell r="F14203" t="str">
            <v>SLST-T</v>
          </cell>
          <cell r="G14203">
            <v>61</v>
          </cell>
          <cell r="H14203" t="str">
            <v>SLST-T61</v>
          </cell>
          <cell r="K14203" t="str">
            <v>Anderson,Vicki Ann Michael</v>
          </cell>
          <cell r="N14203">
            <v>3.05</v>
          </cell>
          <cell r="O14203">
            <v>0</v>
          </cell>
        </row>
        <row r="14204">
          <cell r="E14204" t="str">
            <v>SLST</v>
          </cell>
          <cell r="F14204" t="str">
            <v>SLST-T</v>
          </cell>
          <cell r="G14204">
            <v>61</v>
          </cell>
          <cell r="H14204" t="str">
            <v>SLST-T61</v>
          </cell>
          <cell r="K14204" t="str">
            <v>Challifour,Amber Russell</v>
          </cell>
          <cell r="N14204">
            <v>2.1560000000000001</v>
          </cell>
          <cell r="O14204">
            <v>0</v>
          </cell>
        </row>
        <row r="14205">
          <cell r="E14205" t="str">
            <v>SLST</v>
          </cell>
          <cell r="F14205" t="str">
            <v>SLST-T</v>
          </cell>
          <cell r="G14205">
            <v>61</v>
          </cell>
          <cell r="H14205" t="str">
            <v>SLST-T61</v>
          </cell>
          <cell r="K14205" t="str">
            <v>Challifour,Amber Russell</v>
          </cell>
          <cell r="N14205">
            <v>2.089</v>
          </cell>
          <cell r="O14205">
            <v>0</v>
          </cell>
        </row>
        <row r="14206">
          <cell r="E14206" t="str">
            <v>SLST</v>
          </cell>
          <cell r="F14206" t="str">
            <v>SLST-T</v>
          </cell>
          <cell r="G14206">
            <v>61</v>
          </cell>
          <cell r="H14206" t="str">
            <v>SLST-T61</v>
          </cell>
          <cell r="K14206" t="str">
            <v>Challifour,Amber Russell</v>
          </cell>
          <cell r="N14206">
            <v>1.7110000000000001</v>
          </cell>
          <cell r="O14206">
            <v>0</v>
          </cell>
        </row>
        <row r="14207">
          <cell r="E14207" t="str">
            <v>SLST</v>
          </cell>
          <cell r="F14207" t="str">
            <v>SLST-T</v>
          </cell>
          <cell r="G14207">
            <v>61</v>
          </cell>
          <cell r="H14207" t="str">
            <v>SLST-T61</v>
          </cell>
          <cell r="K14207" t="str">
            <v>Challifour,Amber Russell</v>
          </cell>
          <cell r="N14207">
            <v>1.411</v>
          </cell>
          <cell r="O14207">
            <v>0</v>
          </cell>
        </row>
        <row r="14208">
          <cell r="E14208" t="str">
            <v>SLST</v>
          </cell>
          <cell r="F14208" t="str">
            <v>SLST-T</v>
          </cell>
          <cell r="G14208">
            <v>61</v>
          </cell>
          <cell r="H14208" t="str">
            <v>SLST-T61</v>
          </cell>
          <cell r="K14208" t="str">
            <v>Lyman,David J</v>
          </cell>
          <cell r="N14208">
            <v>2.6880000000000002</v>
          </cell>
          <cell r="O14208">
            <v>0</v>
          </cell>
        </row>
        <row r="14209">
          <cell r="E14209" t="str">
            <v>SLST</v>
          </cell>
          <cell r="F14209" t="str">
            <v>SLST-T</v>
          </cell>
          <cell r="G14209">
            <v>61</v>
          </cell>
          <cell r="H14209" t="str">
            <v>SLST-T61</v>
          </cell>
          <cell r="K14209" t="str">
            <v>Lyman,David J</v>
          </cell>
          <cell r="N14209">
            <v>2.8</v>
          </cell>
          <cell r="O14209">
            <v>0</v>
          </cell>
        </row>
        <row r="14210">
          <cell r="E14210" t="str">
            <v>SLST</v>
          </cell>
          <cell r="F14210" t="str">
            <v>SLST-T</v>
          </cell>
          <cell r="G14210">
            <v>61</v>
          </cell>
          <cell r="H14210" t="str">
            <v>SLST-T61</v>
          </cell>
          <cell r="K14210" t="str">
            <v>Mahan,Rebecca A</v>
          </cell>
          <cell r="N14210">
            <v>2.375</v>
          </cell>
          <cell r="O14210">
            <v>0</v>
          </cell>
        </row>
        <row r="14211">
          <cell r="E14211" t="str">
            <v>SLST</v>
          </cell>
          <cell r="F14211" t="str">
            <v>SLST-T</v>
          </cell>
          <cell r="G14211">
            <v>61</v>
          </cell>
          <cell r="H14211" t="str">
            <v>SLST-T61</v>
          </cell>
          <cell r="K14211" t="str">
            <v>Mahan,Rebecca A</v>
          </cell>
          <cell r="N14211">
            <v>2.5</v>
          </cell>
          <cell r="O14211">
            <v>0</v>
          </cell>
        </row>
        <row r="14212">
          <cell r="E14212" t="str">
            <v>SLST</v>
          </cell>
          <cell r="F14212" t="str">
            <v>SLST-T</v>
          </cell>
          <cell r="G14212">
            <v>61</v>
          </cell>
          <cell r="H14212" t="str">
            <v>SLST-T61</v>
          </cell>
          <cell r="K14212" t="str">
            <v>Shettle,Denise Carolyn</v>
          </cell>
          <cell r="N14212">
            <v>1.3</v>
          </cell>
          <cell r="O14212">
            <v>0</v>
          </cell>
        </row>
        <row r="14213">
          <cell r="E14213" t="str">
            <v>SLST</v>
          </cell>
          <cell r="F14213" t="str">
            <v>SLST-T</v>
          </cell>
          <cell r="G14213">
            <v>61</v>
          </cell>
          <cell r="H14213" t="str">
            <v>SLST-T61</v>
          </cell>
          <cell r="K14213" t="str">
            <v>Shettle,Denise Carolyn</v>
          </cell>
          <cell r="N14213">
            <v>1.3</v>
          </cell>
          <cell r="O14213">
            <v>0</v>
          </cell>
        </row>
        <row r="14214">
          <cell r="E14214" t="str">
            <v>SLST</v>
          </cell>
          <cell r="F14214" t="str">
            <v>SLST-T</v>
          </cell>
          <cell r="G14214">
            <v>62</v>
          </cell>
          <cell r="H14214" t="str">
            <v>SLST-T62</v>
          </cell>
          <cell r="K14214" t="str">
            <v>Bach,Aileen Victoria</v>
          </cell>
          <cell r="N14214">
            <v>3.1549999999999998</v>
          </cell>
          <cell r="O14214">
            <v>0.04</v>
          </cell>
        </row>
        <row r="14215">
          <cell r="E14215" t="str">
            <v>SLST</v>
          </cell>
          <cell r="F14215" t="str">
            <v>SLST-T</v>
          </cell>
          <cell r="G14215">
            <v>62</v>
          </cell>
          <cell r="H14215" t="str">
            <v>SLST-T62</v>
          </cell>
          <cell r="K14215" t="str">
            <v>Bach,Aileen Victoria</v>
          </cell>
          <cell r="N14215">
            <v>2.78</v>
          </cell>
          <cell r="O14215">
            <v>0</v>
          </cell>
        </row>
        <row r="14216">
          <cell r="E14216" t="str">
            <v>SLST</v>
          </cell>
          <cell r="F14216" t="str">
            <v>SLST-T</v>
          </cell>
          <cell r="G14216">
            <v>62</v>
          </cell>
          <cell r="H14216" t="str">
            <v>SLST-T62</v>
          </cell>
          <cell r="K14216" t="str">
            <v>Burnett,Brooke Ashley</v>
          </cell>
          <cell r="N14216">
            <v>2.6360000000000001</v>
          </cell>
          <cell r="O14216">
            <v>0</v>
          </cell>
        </row>
        <row r="14217">
          <cell r="E14217" t="str">
            <v>SLST</v>
          </cell>
          <cell r="F14217" t="str">
            <v>SLST-T</v>
          </cell>
          <cell r="G14217">
            <v>62</v>
          </cell>
          <cell r="H14217" t="str">
            <v>SLST-T62</v>
          </cell>
          <cell r="K14217" t="str">
            <v>Challifour,Amber Russell</v>
          </cell>
          <cell r="N14217">
            <v>2.0870000000000002</v>
          </cell>
          <cell r="O14217">
            <v>0</v>
          </cell>
        </row>
        <row r="14218">
          <cell r="E14218" t="str">
            <v>SLST</v>
          </cell>
          <cell r="F14218" t="str">
            <v>SLST-T</v>
          </cell>
          <cell r="G14218">
            <v>62</v>
          </cell>
          <cell r="H14218" t="str">
            <v>SLST-T62</v>
          </cell>
          <cell r="K14218" t="str">
            <v>Challifour,Amber Russell</v>
          </cell>
          <cell r="N14218">
            <v>1.8</v>
          </cell>
          <cell r="O14218">
            <v>0</v>
          </cell>
        </row>
        <row r="14219">
          <cell r="E14219" t="str">
            <v>SLST</v>
          </cell>
          <cell r="F14219" t="str">
            <v>SLST-T</v>
          </cell>
          <cell r="G14219">
            <v>62</v>
          </cell>
          <cell r="H14219" t="str">
            <v>SLST-T62</v>
          </cell>
          <cell r="K14219" t="str">
            <v>Deese,Jayson J</v>
          </cell>
          <cell r="N14219">
            <v>1.9750000000000001</v>
          </cell>
          <cell r="O14219">
            <v>0</v>
          </cell>
        </row>
        <row r="14220">
          <cell r="E14220" t="str">
            <v>SLST</v>
          </cell>
          <cell r="F14220" t="str">
            <v>SLST-T</v>
          </cell>
          <cell r="G14220">
            <v>62</v>
          </cell>
          <cell r="H14220" t="str">
            <v>SLST-T62</v>
          </cell>
          <cell r="K14220" t="str">
            <v>Ermey,Peter Joseph</v>
          </cell>
          <cell r="N14220">
            <v>3.1819999999999999</v>
          </cell>
          <cell r="O14220">
            <v>0.04</v>
          </cell>
        </row>
        <row r="14221">
          <cell r="E14221" t="str">
            <v>SLST</v>
          </cell>
          <cell r="F14221" t="str">
            <v>SLST-T</v>
          </cell>
          <cell r="G14221">
            <v>62</v>
          </cell>
          <cell r="H14221" t="str">
            <v>SLST-T62</v>
          </cell>
          <cell r="K14221" t="str">
            <v>Ermey,Peter Joseph</v>
          </cell>
          <cell r="N14221">
            <v>3.3639999999999999</v>
          </cell>
          <cell r="O14221">
            <v>0.04</v>
          </cell>
        </row>
        <row r="14222">
          <cell r="E14222" t="str">
            <v>SLST</v>
          </cell>
          <cell r="F14222" t="str">
            <v>SLST-T</v>
          </cell>
          <cell r="G14222">
            <v>62</v>
          </cell>
          <cell r="H14222" t="str">
            <v>SLST-T62</v>
          </cell>
          <cell r="K14222" t="str">
            <v>Faulkner,Roosevelt Terrance</v>
          </cell>
          <cell r="N14222">
            <v>2.7360000000000002</v>
          </cell>
          <cell r="O14222">
            <v>0</v>
          </cell>
        </row>
        <row r="14223">
          <cell r="E14223" t="str">
            <v>SLST</v>
          </cell>
          <cell r="F14223" t="str">
            <v>SLST-T</v>
          </cell>
          <cell r="G14223">
            <v>62</v>
          </cell>
          <cell r="H14223" t="str">
            <v>SLST-T62</v>
          </cell>
          <cell r="K14223" t="str">
            <v>Faulkner,Roosevelt Terrance</v>
          </cell>
          <cell r="N14223">
            <v>2.6379999999999999</v>
          </cell>
          <cell r="O14223">
            <v>0</v>
          </cell>
        </row>
        <row r="14224">
          <cell r="E14224" t="str">
            <v>SLST</v>
          </cell>
          <cell r="F14224" t="str">
            <v>SLST-T</v>
          </cell>
          <cell r="G14224">
            <v>62</v>
          </cell>
          <cell r="H14224" t="str">
            <v>SLST-T62</v>
          </cell>
          <cell r="K14224" t="str">
            <v>Juhasz,Andrea</v>
          </cell>
          <cell r="N14224">
            <v>3.0640000000000001</v>
          </cell>
          <cell r="O14224">
            <v>0.04</v>
          </cell>
        </row>
        <row r="14225">
          <cell r="E14225" t="str">
            <v>SLST</v>
          </cell>
          <cell r="F14225" t="str">
            <v>SLST-T</v>
          </cell>
          <cell r="G14225">
            <v>62</v>
          </cell>
          <cell r="H14225" t="str">
            <v>SLST-T62</v>
          </cell>
          <cell r="K14225" t="str">
            <v>Morris,William R.</v>
          </cell>
          <cell r="N14225">
            <v>2.83</v>
          </cell>
          <cell r="O14225">
            <v>0</v>
          </cell>
        </row>
        <row r="14226">
          <cell r="E14226" t="str">
            <v>SLST</v>
          </cell>
          <cell r="F14226" t="str">
            <v>SLST-T</v>
          </cell>
          <cell r="G14226">
            <v>62</v>
          </cell>
          <cell r="H14226" t="str">
            <v>SLST-T62</v>
          </cell>
          <cell r="K14226" t="str">
            <v>Morris,William R.</v>
          </cell>
          <cell r="N14226">
            <v>2.96</v>
          </cell>
          <cell r="O14226">
            <v>0</v>
          </cell>
        </row>
        <row r="14227">
          <cell r="E14227" t="str">
            <v>SLST</v>
          </cell>
          <cell r="F14227" t="str">
            <v>SLST-T</v>
          </cell>
          <cell r="G14227">
            <v>62</v>
          </cell>
          <cell r="H14227" t="str">
            <v>SLST-T62</v>
          </cell>
          <cell r="K14227" t="str">
            <v>Morris,William R.</v>
          </cell>
          <cell r="N14227">
            <v>3</v>
          </cell>
          <cell r="O14227">
            <v>0</v>
          </cell>
        </row>
        <row r="14228">
          <cell r="E14228" t="str">
            <v>SLST</v>
          </cell>
          <cell r="F14228" t="str">
            <v>SLST-T</v>
          </cell>
          <cell r="G14228">
            <v>62</v>
          </cell>
          <cell r="H14228" t="str">
            <v>SLST-T62</v>
          </cell>
          <cell r="K14228" t="str">
            <v>Morris,William R.</v>
          </cell>
          <cell r="N14228">
            <v>2.8919999999999999</v>
          </cell>
          <cell r="O14228">
            <v>0</v>
          </cell>
        </row>
        <row r="14229">
          <cell r="E14229" t="str">
            <v>SLST</v>
          </cell>
          <cell r="F14229" t="str">
            <v>SLST-T</v>
          </cell>
          <cell r="G14229">
            <v>62</v>
          </cell>
          <cell r="H14229" t="str">
            <v>SLST-T62</v>
          </cell>
          <cell r="K14229" t="str">
            <v>Pontius,Gail</v>
          </cell>
          <cell r="N14229">
            <v>2.78</v>
          </cell>
          <cell r="O14229">
            <v>0</v>
          </cell>
        </row>
        <row r="14230">
          <cell r="E14230" t="str">
            <v>SLST</v>
          </cell>
          <cell r="F14230" t="str">
            <v>SLST-T</v>
          </cell>
          <cell r="G14230">
            <v>62</v>
          </cell>
          <cell r="H14230" t="str">
            <v>SLST-T62</v>
          </cell>
          <cell r="K14230" t="str">
            <v>Seo,Hyun Kyoung</v>
          </cell>
          <cell r="N14230">
            <v>2.1469999999999998</v>
          </cell>
          <cell r="O14230">
            <v>0</v>
          </cell>
        </row>
        <row r="14231">
          <cell r="E14231" t="str">
            <v>SLST</v>
          </cell>
          <cell r="F14231" t="str">
            <v>SLST-T</v>
          </cell>
          <cell r="G14231">
            <v>62</v>
          </cell>
          <cell r="H14231" t="str">
            <v>SLST-T62</v>
          </cell>
          <cell r="K14231" t="str">
            <v>Seo,Hyun Kyoung</v>
          </cell>
          <cell r="N14231">
            <v>2.2069999999999999</v>
          </cell>
          <cell r="O14231">
            <v>0</v>
          </cell>
        </row>
        <row r="14232">
          <cell r="E14232" t="str">
            <v>SLST</v>
          </cell>
          <cell r="F14232" t="str">
            <v>SLST-T</v>
          </cell>
          <cell r="G14232">
            <v>62</v>
          </cell>
          <cell r="H14232" t="str">
            <v>SLST-T62</v>
          </cell>
          <cell r="K14232" t="str">
            <v>Warfield,Sarah Anne</v>
          </cell>
          <cell r="N14232">
            <v>0.47099999999999997</v>
          </cell>
          <cell r="O14232">
            <v>0</v>
          </cell>
        </row>
        <row r="14233">
          <cell r="E14233" t="str">
            <v>SLST</v>
          </cell>
          <cell r="F14233" t="str">
            <v>SLST-T</v>
          </cell>
          <cell r="G14233">
            <v>62</v>
          </cell>
          <cell r="H14233" t="str">
            <v>SLST-T62</v>
          </cell>
          <cell r="K14233" t="str">
            <v>Warfield,Sarah Anne</v>
          </cell>
          <cell r="N14233">
            <v>1.4419999999999999</v>
          </cell>
          <cell r="O14233">
            <v>0</v>
          </cell>
        </row>
        <row r="14234">
          <cell r="E14234" t="str">
            <v>SLST</v>
          </cell>
          <cell r="F14234" t="str">
            <v>SLST-T</v>
          </cell>
          <cell r="G14234">
            <v>63</v>
          </cell>
          <cell r="H14234" t="str">
            <v>SLST-T63</v>
          </cell>
          <cell r="K14234" t="str">
            <v>Burnett,Brooke Ashley</v>
          </cell>
          <cell r="N14234">
            <v>3.609</v>
          </cell>
          <cell r="O14234">
            <v>0.23899999999999999</v>
          </cell>
        </row>
        <row r="14235">
          <cell r="E14235" t="str">
            <v>SLST</v>
          </cell>
          <cell r="F14235" t="str">
            <v>SLST-T</v>
          </cell>
          <cell r="G14235">
            <v>63</v>
          </cell>
          <cell r="H14235" t="str">
            <v>SLST-T63</v>
          </cell>
          <cell r="K14235" t="str">
            <v>Congrove,Nisha Elena</v>
          </cell>
          <cell r="N14235">
            <v>1.869</v>
          </cell>
          <cell r="O14235">
            <v>0.17499999999999999</v>
          </cell>
        </row>
        <row r="14236">
          <cell r="E14236" t="str">
            <v>SLST</v>
          </cell>
          <cell r="F14236" t="str">
            <v>SLST-T</v>
          </cell>
          <cell r="G14236">
            <v>63</v>
          </cell>
          <cell r="H14236" t="str">
            <v>SLST-T63</v>
          </cell>
          <cell r="K14236" t="str">
            <v>Congrove,Nisha Elena</v>
          </cell>
          <cell r="N14236">
            <v>1.8540000000000001</v>
          </cell>
          <cell r="O14236">
            <v>0.17499999999999999</v>
          </cell>
        </row>
        <row r="14237">
          <cell r="E14237" t="str">
            <v>SLST</v>
          </cell>
          <cell r="F14237" t="str">
            <v>SLST-T</v>
          </cell>
          <cell r="G14237">
            <v>63</v>
          </cell>
          <cell r="H14237" t="str">
            <v>SLST-T63</v>
          </cell>
          <cell r="K14237" t="str">
            <v>Congrove,Nisha Elena</v>
          </cell>
          <cell r="N14237">
            <v>1.2549999999999999</v>
          </cell>
          <cell r="O14237">
            <v>0.23899999999999999</v>
          </cell>
        </row>
        <row r="14238">
          <cell r="E14238" t="str">
            <v>SLST</v>
          </cell>
          <cell r="F14238" t="str">
            <v>SLST-T</v>
          </cell>
          <cell r="G14238">
            <v>63</v>
          </cell>
          <cell r="H14238" t="str">
            <v>SLST-T63</v>
          </cell>
          <cell r="K14238" t="str">
            <v>Congrove,Nisha Elena</v>
          </cell>
          <cell r="N14238">
            <v>1.464</v>
          </cell>
          <cell r="O14238">
            <v>0.23899999999999999</v>
          </cell>
        </row>
        <row r="14239">
          <cell r="E14239" t="str">
            <v>SLST</v>
          </cell>
          <cell r="F14239" t="str">
            <v>SLST-T</v>
          </cell>
          <cell r="G14239">
            <v>63</v>
          </cell>
          <cell r="H14239" t="str">
            <v>SLST-T63</v>
          </cell>
          <cell r="K14239" t="str">
            <v>Deese,Jayson J</v>
          </cell>
          <cell r="N14239">
            <v>2.0179999999999998</v>
          </cell>
          <cell r="O14239">
            <v>0.23899999999999999</v>
          </cell>
        </row>
        <row r="14240">
          <cell r="E14240" t="str">
            <v>SLST</v>
          </cell>
          <cell r="F14240" t="str">
            <v>SLST-T</v>
          </cell>
          <cell r="G14240">
            <v>63</v>
          </cell>
          <cell r="H14240" t="str">
            <v>SLST-T63</v>
          </cell>
          <cell r="K14240" t="str">
            <v>Gashi,Matilda Francoeur</v>
          </cell>
          <cell r="N14240">
            <v>2.5619999999999998</v>
          </cell>
          <cell r="O14240">
            <v>0.17499999999999999</v>
          </cell>
        </row>
        <row r="14241">
          <cell r="E14241" t="str">
            <v>SLST</v>
          </cell>
          <cell r="F14241" t="str">
            <v>SLST-T</v>
          </cell>
          <cell r="G14241">
            <v>63</v>
          </cell>
          <cell r="H14241" t="str">
            <v>SLST-T63</v>
          </cell>
          <cell r="K14241" t="str">
            <v>Gashi,Matilda Francoeur</v>
          </cell>
          <cell r="N14241">
            <v>2.7210000000000001</v>
          </cell>
          <cell r="O14241">
            <v>0.109</v>
          </cell>
        </row>
        <row r="14242">
          <cell r="E14242" t="str">
            <v>SLST</v>
          </cell>
          <cell r="F14242" t="str">
            <v>SLST-T</v>
          </cell>
          <cell r="G14242">
            <v>63</v>
          </cell>
          <cell r="H14242" t="str">
            <v>SLST-T63</v>
          </cell>
          <cell r="K14242" t="str">
            <v>Hallback,Kim Elizabeth</v>
          </cell>
          <cell r="N14242">
            <v>3.206</v>
          </cell>
          <cell r="O14242">
            <v>0</v>
          </cell>
        </row>
        <row r="14243">
          <cell r="E14243" t="str">
            <v>SLST</v>
          </cell>
          <cell r="F14243" t="str">
            <v>SLST-T</v>
          </cell>
          <cell r="G14243">
            <v>63</v>
          </cell>
          <cell r="H14243" t="str">
            <v>SLST-T63</v>
          </cell>
          <cell r="K14243" t="str">
            <v>Hallback,Kim Elizabeth</v>
          </cell>
          <cell r="N14243">
            <v>2.9790000000000001</v>
          </cell>
          <cell r="O14243">
            <v>0.109</v>
          </cell>
        </row>
        <row r="14244">
          <cell r="E14244" t="str">
            <v>SLST</v>
          </cell>
          <cell r="F14244" t="str">
            <v>SLST-T</v>
          </cell>
          <cell r="G14244">
            <v>63</v>
          </cell>
          <cell r="H14244" t="str">
            <v>SLST-T63</v>
          </cell>
          <cell r="K14244" t="str">
            <v>Hallback,Kim Elizabeth</v>
          </cell>
          <cell r="N14244">
            <v>1.867</v>
          </cell>
          <cell r="O14244">
            <v>0</v>
          </cell>
        </row>
        <row r="14245">
          <cell r="E14245" t="str">
            <v>SLST</v>
          </cell>
          <cell r="F14245" t="str">
            <v>SLST-T</v>
          </cell>
          <cell r="G14245">
            <v>63</v>
          </cell>
          <cell r="H14245" t="str">
            <v>SLST-T63</v>
          </cell>
          <cell r="K14245" t="str">
            <v>Juhasz,Andrea</v>
          </cell>
          <cell r="N14245">
            <v>2.1909999999999998</v>
          </cell>
          <cell r="O14245">
            <v>0</v>
          </cell>
        </row>
        <row r="14246">
          <cell r="E14246" t="str">
            <v>SLST</v>
          </cell>
          <cell r="F14246" t="str">
            <v>SLST-T</v>
          </cell>
          <cell r="G14246">
            <v>63</v>
          </cell>
          <cell r="H14246" t="str">
            <v>SLST-T63</v>
          </cell>
          <cell r="K14246" t="str">
            <v>Mahan,Rebecca A</v>
          </cell>
          <cell r="N14246">
            <v>3.3330000000000002</v>
          </cell>
          <cell r="O14246">
            <v>0</v>
          </cell>
        </row>
        <row r="14247">
          <cell r="E14247" t="str">
            <v>SLST</v>
          </cell>
          <cell r="F14247" t="str">
            <v>SLST-T</v>
          </cell>
          <cell r="G14247">
            <v>63</v>
          </cell>
          <cell r="H14247" t="str">
            <v>SLST-T63</v>
          </cell>
          <cell r="K14247" t="str">
            <v>Mahan,Rebecca A</v>
          </cell>
          <cell r="N14247">
            <v>3.073</v>
          </cell>
          <cell r="O14247">
            <v>0</v>
          </cell>
        </row>
        <row r="14248">
          <cell r="E14248" t="str">
            <v>SLST</v>
          </cell>
          <cell r="F14248" t="str">
            <v>SLST-T</v>
          </cell>
          <cell r="G14248">
            <v>63</v>
          </cell>
          <cell r="H14248" t="str">
            <v>SLST-T63</v>
          </cell>
          <cell r="K14248" t="str">
            <v>Masterson Jr,David L</v>
          </cell>
          <cell r="N14248">
            <v>1.84</v>
          </cell>
          <cell r="O14248">
            <v>0</v>
          </cell>
        </row>
        <row r="14249">
          <cell r="E14249" t="str">
            <v>SLST</v>
          </cell>
          <cell r="F14249" t="str">
            <v>SLST-T</v>
          </cell>
          <cell r="G14249">
            <v>63</v>
          </cell>
          <cell r="H14249" t="str">
            <v>SLST-T63</v>
          </cell>
          <cell r="K14249" t="str">
            <v>Masterson Jr,David L</v>
          </cell>
          <cell r="N14249">
            <v>2.4</v>
          </cell>
          <cell r="O14249">
            <v>0</v>
          </cell>
        </row>
        <row r="14250">
          <cell r="E14250" t="str">
            <v>SLST</v>
          </cell>
          <cell r="F14250" t="str">
            <v>SLST-T</v>
          </cell>
          <cell r="G14250">
            <v>63</v>
          </cell>
          <cell r="H14250" t="str">
            <v>SLST-T63</v>
          </cell>
          <cell r="K14250" t="str">
            <v>Morris,William R.</v>
          </cell>
          <cell r="N14250">
            <v>3.2690000000000001</v>
          </cell>
          <cell r="O14250">
            <v>0.17499999999999999</v>
          </cell>
        </row>
        <row r="14251">
          <cell r="E14251" t="str">
            <v>SLST</v>
          </cell>
          <cell r="F14251" t="str">
            <v>SLST-T</v>
          </cell>
          <cell r="G14251">
            <v>63</v>
          </cell>
          <cell r="H14251" t="str">
            <v>SLST-T63</v>
          </cell>
          <cell r="K14251" t="str">
            <v>Otto,Jon</v>
          </cell>
          <cell r="N14251">
            <v>2.78</v>
          </cell>
          <cell r="O14251">
            <v>9.4E-2</v>
          </cell>
        </row>
        <row r="14252">
          <cell r="E14252" t="str">
            <v>SLST</v>
          </cell>
          <cell r="F14252" t="str">
            <v>SLST-T</v>
          </cell>
          <cell r="G14252">
            <v>63</v>
          </cell>
          <cell r="H14252" t="str">
            <v>SLST-T63</v>
          </cell>
          <cell r="K14252" t="str">
            <v>Russell,Paul D</v>
          </cell>
          <cell r="N14252">
            <v>3.0920000000000001</v>
          </cell>
          <cell r="O14252">
            <v>0</v>
          </cell>
        </row>
        <row r="14253">
          <cell r="E14253" t="str">
            <v>SLST</v>
          </cell>
          <cell r="F14253" t="str">
            <v>SLST-T</v>
          </cell>
          <cell r="G14253">
            <v>63</v>
          </cell>
          <cell r="H14253" t="str">
            <v>SLST-T63</v>
          </cell>
          <cell r="K14253" t="str">
            <v>Russell,Paul D</v>
          </cell>
          <cell r="N14253">
            <v>2.008</v>
          </cell>
          <cell r="O14253">
            <v>0</v>
          </cell>
        </row>
        <row r="14254">
          <cell r="E14254" t="str">
            <v>SLST</v>
          </cell>
          <cell r="F14254" t="str">
            <v>SLST-T</v>
          </cell>
          <cell r="G14254">
            <v>63</v>
          </cell>
          <cell r="H14254" t="str">
            <v>SLST-T63</v>
          </cell>
          <cell r="K14254" t="str">
            <v>Sabraw,Stacy Marie</v>
          </cell>
          <cell r="N14254">
            <v>1.7729999999999999</v>
          </cell>
          <cell r="O14254">
            <v>8.5000000000000006E-2</v>
          </cell>
        </row>
        <row r="14255">
          <cell r="E14255" t="str">
            <v>SLST</v>
          </cell>
          <cell r="F14255" t="str">
            <v>SLST-T</v>
          </cell>
          <cell r="G14255">
            <v>63</v>
          </cell>
          <cell r="H14255" t="str">
            <v>SLST-T63</v>
          </cell>
          <cell r="K14255" t="str">
            <v>Sabraw,Stacy Marie</v>
          </cell>
          <cell r="N14255">
            <v>2.0640000000000001</v>
          </cell>
          <cell r="O14255">
            <v>8.5000000000000006E-2</v>
          </cell>
        </row>
        <row r="14256">
          <cell r="E14256" t="str">
            <v>SLST</v>
          </cell>
          <cell r="F14256" t="str">
            <v>SLST-T</v>
          </cell>
          <cell r="G14256">
            <v>63</v>
          </cell>
          <cell r="H14256" t="str">
            <v>SLST-T63</v>
          </cell>
          <cell r="K14256" t="str">
            <v>Shettle,Denise Carolyn</v>
          </cell>
          <cell r="N14256">
            <v>3.1549999999999998</v>
          </cell>
          <cell r="O14256">
            <v>8.5000000000000006E-2</v>
          </cell>
        </row>
        <row r="14257">
          <cell r="E14257" t="str">
            <v>SLST</v>
          </cell>
          <cell r="F14257" t="str">
            <v>SLST-T</v>
          </cell>
          <cell r="G14257">
            <v>63</v>
          </cell>
          <cell r="H14257" t="str">
            <v>SLST-T63</v>
          </cell>
          <cell r="K14257" t="str">
            <v>Warfield,Sarah Anne</v>
          </cell>
          <cell r="N14257">
            <v>1.63</v>
          </cell>
          <cell r="O14257">
            <v>0</v>
          </cell>
        </row>
        <row r="14258">
          <cell r="E14258" t="str">
            <v>SLST</v>
          </cell>
          <cell r="F14258" t="str">
            <v>SLST-T</v>
          </cell>
          <cell r="G14258">
            <v>63</v>
          </cell>
          <cell r="H14258" t="str">
            <v>SLST-T63</v>
          </cell>
          <cell r="K14258" t="str">
            <v>Woodward,Vicki</v>
          </cell>
          <cell r="N14258">
            <v>3.1669999999999998</v>
          </cell>
          <cell r="O14258">
            <v>0</v>
          </cell>
        </row>
        <row r="14259">
          <cell r="E14259" t="str">
            <v>SLST</v>
          </cell>
          <cell r="F14259" t="str">
            <v>SLST-T</v>
          </cell>
          <cell r="G14259">
            <v>63</v>
          </cell>
          <cell r="H14259" t="str">
            <v>SLST-T63</v>
          </cell>
          <cell r="K14259" t="str">
            <v>Woodward,Vicki</v>
          </cell>
          <cell r="N14259">
            <v>3.1080000000000001</v>
          </cell>
          <cell r="O14259">
            <v>0</v>
          </cell>
        </row>
        <row r="14260">
          <cell r="E14260" t="str">
            <v>SLST</v>
          </cell>
          <cell r="F14260" t="str">
            <v>SLST-T</v>
          </cell>
          <cell r="G14260">
            <v>63</v>
          </cell>
          <cell r="H14260" t="str">
            <v>SLST-T63</v>
          </cell>
          <cell r="K14260" t="str">
            <v>Zeynalova,Sabina</v>
          </cell>
          <cell r="N14260">
            <v>2.6070000000000002</v>
          </cell>
          <cell r="O14260">
            <v>0.109</v>
          </cell>
        </row>
        <row r="14261">
          <cell r="E14261" t="str">
            <v>SLST</v>
          </cell>
          <cell r="F14261" t="str">
            <v>SLST-T</v>
          </cell>
          <cell r="G14261">
            <v>63</v>
          </cell>
          <cell r="H14261" t="str">
            <v>SLST-T63</v>
          </cell>
          <cell r="K14261" t="str">
            <v>Zeynalova,Sabina</v>
          </cell>
          <cell r="N14261">
            <v>2.6070000000000002</v>
          </cell>
          <cell r="O14261">
            <v>0.109</v>
          </cell>
        </row>
        <row r="14262">
          <cell r="E14262" t="str">
            <v>SLST</v>
          </cell>
          <cell r="F14262" t="str">
            <v>SLST-T</v>
          </cell>
          <cell r="G14262">
            <v>64</v>
          </cell>
          <cell r="H14262" t="str">
            <v>SLST-T64</v>
          </cell>
          <cell r="K14262" t="str">
            <v>Allen,Lynn Rae</v>
          </cell>
          <cell r="N14262" t="str">
            <v>NR</v>
          </cell>
          <cell r="O14262" t="str">
            <v>NR</v>
          </cell>
        </row>
        <row r="14263">
          <cell r="E14263" t="str">
            <v>SLST</v>
          </cell>
          <cell r="F14263" t="str">
            <v>SLST-T</v>
          </cell>
          <cell r="G14263">
            <v>64</v>
          </cell>
          <cell r="H14263" t="str">
            <v>SLST-T64</v>
          </cell>
          <cell r="K14263" t="str">
            <v>Allen,Lynn Rae</v>
          </cell>
          <cell r="N14263" t="str">
            <v>NR</v>
          </cell>
          <cell r="O14263" t="str">
            <v>NR</v>
          </cell>
        </row>
        <row r="14264">
          <cell r="E14264" t="str">
            <v>SLST</v>
          </cell>
          <cell r="F14264" t="str">
            <v>SLST-T</v>
          </cell>
          <cell r="G14264">
            <v>64</v>
          </cell>
          <cell r="H14264" t="str">
            <v>SLST-T64</v>
          </cell>
          <cell r="K14264" t="str">
            <v>Chang,Yufen</v>
          </cell>
          <cell r="N14264">
            <v>2.1890000000000001</v>
          </cell>
          <cell r="O14264">
            <v>0.16600000000000001</v>
          </cell>
        </row>
        <row r="14265">
          <cell r="E14265" t="str">
            <v>SLST</v>
          </cell>
          <cell r="F14265" t="str">
            <v>SLST-T</v>
          </cell>
          <cell r="G14265">
            <v>64</v>
          </cell>
          <cell r="H14265" t="str">
            <v>SLST-T64</v>
          </cell>
          <cell r="K14265" t="str">
            <v>Chang,Yufen</v>
          </cell>
          <cell r="N14265">
            <v>2.2400000000000002</v>
          </cell>
          <cell r="O14265">
            <v>0</v>
          </cell>
        </row>
        <row r="14266">
          <cell r="E14266" t="str">
            <v>SLST</v>
          </cell>
          <cell r="F14266" t="str">
            <v>SLST-T</v>
          </cell>
          <cell r="G14266">
            <v>64</v>
          </cell>
          <cell r="H14266" t="str">
            <v>SLST-T64</v>
          </cell>
          <cell r="K14266" t="str">
            <v>Fogleman,Paul</v>
          </cell>
          <cell r="N14266">
            <v>2.7440000000000002</v>
          </cell>
          <cell r="O14266">
            <v>0</v>
          </cell>
        </row>
        <row r="14267">
          <cell r="E14267" t="str">
            <v>SLST</v>
          </cell>
          <cell r="F14267" t="str">
            <v>SLST-T</v>
          </cell>
          <cell r="G14267">
            <v>64</v>
          </cell>
          <cell r="H14267" t="str">
            <v>SLST-T64</v>
          </cell>
          <cell r="K14267" t="str">
            <v>Hallback,Kim Elizabeth</v>
          </cell>
          <cell r="N14267">
            <v>2.8559999999999999</v>
          </cell>
          <cell r="O14267">
            <v>0</v>
          </cell>
        </row>
        <row r="14268">
          <cell r="E14268" t="str">
            <v>SLST</v>
          </cell>
          <cell r="F14268" t="str">
            <v>SLST-T</v>
          </cell>
          <cell r="G14268">
            <v>64</v>
          </cell>
          <cell r="H14268" t="str">
            <v>SLST-T64</v>
          </cell>
          <cell r="K14268" t="str">
            <v>Hallback,Kim Elizabeth</v>
          </cell>
          <cell r="N14268" t="str">
            <v>NR</v>
          </cell>
          <cell r="O14268" t="str">
            <v>NR</v>
          </cell>
        </row>
        <row r="14269">
          <cell r="E14269" t="str">
            <v>SLST</v>
          </cell>
          <cell r="F14269" t="str">
            <v>SLST-T</v>
          </cell>
          <cell r="G14269">
            <v>64</v>
          </cell>
          <cell r="H14269" t="str">
            <v>SLST-T64</v>
          </cell>
          <cell r="K14269" t="str">
            <v>Hallback,Kim Elizabeth</v>
          </cell>
          <cell r="N14269">
            <v>2.4670000000000001</v>
          </cell>
          <cell r="O14269">
            <v>0</v>
          </cell>
        </row>
        <row r="14270">
          <cell r="E14270" t="str">
            <v>SLST</v>
          </cell>
          <cell r="F14270" t="str">
            <v>SLST-T</v>
          </cell>
          <cell r="G14270">
            <v>64</v>
          </cell>
          <cell r="H14270" t="str">
            <v>SLST-T64</v>
          </cell>
          <cell r="K14270" t="str">
            <v>Hansen,Megan Michelle</v>
          </cell>
          <cell r="N14270">
            <v>3.1110000000000002</v>
          </cell>
          <cell r="O14270">
            <v>0</v>
          </cell>
        </row>
        <row r="14271">
          <cell r="E14271" t="str">
            <v>SLST</v>
          </cell>
          <cell r="F14271" t="str">
            <v>SLST-T</v>
          </cell>
          <cell r="G14271">
            <v>64</v>
          </cell>
          <cell r="H14271" t="str">
            <v>SLST-T64</v>
          </cell>
          <cell r="K14271" t="str">
            <v>Juhasz,Andrea</v>
          </cell>
          <cell r="N14271">
            <v>2.9550000000000001</v>
          </cell>
          <cell r="O14271">
            <v>0.112</v>
          </cell>
        </row>
        <row r="14272">
          <cell r="E14272" t="str">
            <v>SLST</v>
          </cell>
          <cell r="F14272" t="str">
            <v>SLST-T</v>
          </cell>
          <cell r="G14272">
            <v>64</v>
          </cell>
          <cell r="H14272" t="str">
            <v>SLST-T64</v>
          </cell>
          <cell r="K14272" t="str">
            <v>Juhasz,Andrea</v>
          </cell>
          <cell r="N14272">
            <v>2.9180000000000001</v>
          </cell>
          <cell r="O14272">
            <v>0.112</v>
          </cell>
        </row>
        <row r="14273">
          <cell r="E14273" t="str">
            <v>SLST</v>
          </cell>
          <cell r="F14273" t="str">
            <v>SLST-T</v>
          </cell>
          <cell r="G14273">
            <v>64</v>
          </cell>
          <cell r="H14273" t="str">
            <v>SLST-T64</v>
          </cell>
          <cell r="K14273" t="str">
            <v>Juhasz,Andrea</v>
          </cell>
          <cell r="N14273">
            <v>2.633</v>
          </cell>
          <cell r="O14273">
            <v>0</v>
          </cell>
        </row>
        <row r="14274">
          <cell r="E14274" t="str">
            <v>SLST</v>
          </cell>
          <cell r="F14274" t="str">
            <v>SLST-T</v>
          </cell>
          <cell r="G14274">
            <v>64</v>
          </cell>
          <cell r="H14274" t="str">
            <v>SLST-T64</v>
          </cell>
          <cell r="K14274" t="str">
            <v>Juhasz,Andrea</v>
          </cell>
          <cell r="N14274">
            <v>2.758</v>
          </cell>
          <cell r="O14274">
            <v>0</v>
          </cell>
        </row>
        <row r="14275">
          <cell r="E14275" t="str">
            <v>SLST</v>
          </cell>
          <cell r="F14275" t="str">
            <v>SLST-T</v>
          </cell>
          <cell r="G14275">
            <v>64</v>
          </cell>
          <cell r="H14275" t="str">
            <v>SLST-T64</v>
          </cell>
          <cell r="K14275" t="str">
            <v>Mahan,Rebecca A</v>
          </cell>
          <cell r="N14275">
            <v>2.9</v>
          </cell>
          <cell r="O14275">
            <v>0.15</v>
          </cell>
        </row>
        <row r="14276">
          <cell r="E14276" t="str">
            <v>SLST</v>
          </cell>
          <cell r="F14276" t="str">
            <v>SLST-T</v>
          </cell>
          <cell r="G14276">
            <v>64</v>
          </cell>
          <cell r="H14276" t="str">
            <v>SLST-T64</v>
          </cell>
          <cell r="K14276" t="str">
            <v>Mahan,Rebecca A</v>
          </cell>
          <cell r="N14276">
            <v>2.5</v>
          </cell>
          <cell r="O14276">
            <v>0</v>
          </cell>
        </row>
        <row r="14277">
          <cell r="E14277" t="str">
            <v>SLST</v>
          </cell>
          <cell r="F14277" t="str">
            <v>SLST-T</v>
          </cell>
          <cell r="G14277">
            <v>64</v>
          </cell>
          <cell r="H14277" t="str">
            <v>SLST-T64</v>
          </cell>
          <cell r="K14277" t="str">
            <v>McCafferty,Michael Lee</v>
          </cell>
          <cell r="N14277">
            <v>2.7730000000000001</v>
          </cell>
          <cell r="O14277">
            <v>0.112</v>
          </cell>
        </row>
        <row r="14278">
          <cell r="E14278" t="str">
            <v>SLST</v>
          </cell>
          <cell r="F14278" t="str">
            <v>SLST-T</v>
          </cell>
          <cell r="G14278">
            <v>64</v>
          </cell>
          <cell r="H14278" t="str">
            <v>SLST-T64</v>
          </cell>
          <cell r="K14278" t="str">
            <v>McCafferty,Michael Lee</v>
          </cell>
          <cell r="N14278">
            <v>3.1560000000000001</v>
          </cell>
          <cell r="O14278">
            <v>0.14699999999999999</v>
          </cell>
        </row>
        <row r="14279">
          <cell r="E14279" t="str">
            <v>SLST</v>
          </cell>
          <cell r="F14279" t="str">
            <v>SLST-T</v>
          </cell>
          <cell r="G14279">
            <v>64</v>
          </cell>
          <cell r="H14279" t="str">
            <v>SLST-T64</v>
          </cell>
          <cell r="K14279" t="str">
            <v>Meyer,Donald Lee</v>
          </cell>
          <cell r="N14279">
            <v>1.33</v>
          </cell>
          <cell r="O14279">
            <v>0.15</v>
          </cell>
        </row>
        <row r="14280">
          <cell r="E14280" t="str">
            <v>SLST</v>
          </cell>
          <cell r="F14280" t="str">
            <v>SLST-T</v>
          </cell>
          <cell r="G14280">
            <v>64</v>
          </cell>
          <cell r="H14280" t="str">
            <v>SLST-T64</v>
          </cell>
          <cell r="K14280" t="str">
            <v>Meyer,Donald Lee</v>
          </cell>
          <cell r="N14280">
            <v>1.61</v>
          </cell>
          <cell r="O14280">
            <v>0.15</v>
          </cell>
        </row>
        <row r="14281">
          <cell r="E14281" t="str">
            <v>SLST</v>
          </cell>
          <cell r="F14281" t="str">
            <v>SLST-T</v>
          </cell>
          <cell r="G14281">
            <v>64</v>
          </cell>
          <cell r="H14281" t="str">
            <v>SLST-T64</v>
          </cell>
          <cell r="K14281" t="str">
            <v>Mori,Carolyn R</v>
          </cell>
          <cell r="N14281">
            <v>2.66</v>
          </cell>
          <cell r="O14281">
            <v>0.13200000000000001</v>
          </cell>
        </row>
        <row r="14282">
          <cell r="E14282" t="str">
            <v>SLST</v>
          </cell>
          <cell r="F14282" t="str">
            <v>SLST-T</v>
          </cell>
          <cell r="G14282">
            <v>64</v>
          </cell>
          <cell r="H14282" t="str">
            <v>SLST-T64</v>
          </cell>
          <cell r="K14282" t="str">
            <v>Mori,Carolyn R</v>
          </cell>
          <cell r="N14282">
            <v>2.11</v>
          </cell>
          <cell r="O14282">
            <v>0.13200000000000001</v>
          </cell>
        </row>
        <row r="14283">
          <cell r="E14283" t="str">
            <v>SLST</v>
          </cell>
          <cell r="F14283" t="str">
            <v>SLST-T</v>
          </cell>
          <cell r="G14283">
            <v>64</v>
          </cell>
          <cell r="H14283" t="str">
            <v>SLST-T64</v>
          </cell>
          <cell r="K14283" t="str">
            <v>Mori,Carolyn R</v>
          </cell>
          <cell r="N14283">
            <v>2.1179999999999999</v>
          </cell>
          <cell r="O14283">
            <v>0</v>
          </cell>
        </row>
        <row r="14284">
          <cell r="E14284" t="str">
            <v>SLST</v>
          </cell>
          <cell r="F14284" t="str">
            <v>SLST-T</v>
          </cell>
          <cell r="G14284">
            <v>64</v>
          </cell>
          <cell r="H14284" t="str">
            <v>SLST-T64</v>
          </cell>
          <cell r="K14284" t="str">
            <v>Nott,David C</v>
          </cell>
          <cell r="N14284">
            <v>1.8440000000000001</v>
          </cell>
          <cell r="O14284">
            <v>0.13700000000000001</v>
          </cell>
        </row>
        <row r="14285">
          <cell r="E14285" t="str">
            <v>SLST</v>
          </cell>
          <cell r="F14285" t="str">
            <v>SLST-T</v>
          </cell>
          <cell r="G14285">
            <v>64</v>
          </cell>
          <cell r="H14285" t="str">
            <v>SLST-T64</v>
          </cell>
          <cell r="K14285" t="str">
            <v>Nott,David C</v>
          </cell>
          <cell r="N14285">
            <v>2.3450000000000002</v>
          </cell>
          <cell r="O14285">
            <v>0.12</v>
          </cell>
        </row>
        <row r="14286">
          <cell r="E14286" t="str">
            <v>SLST</v>
          </cell>
          <cell r="F14286" t="str">
            <v>SLST-T</v>
          </cell>
          <cell r="G14286">
            <v>64</v>
          </cell>
          <cell r="H14286" t="str">
            <v>SLST-T64</v>
          </cell>
          <cell r="K14286" t="str">
            <v>Pontius,Gail</v>
          </cell>
          <cell r="N14286" t="str">
            <v>NR</v>
          </cell>
          <cell r="O14286" t="str">
            <v>NR</v>
          </cell>
        </row>
        <row r="14287">
          <cell r="E14287" t="str">
            <v>SLST</v>
          </cell>
          <cell r="F14287" t="str">
            <v>SLST-T</v>
          </cell>
          <cell r="G14287">
            <v>64</v>
          </cell>
          <cell r="H14287" t="str">
            <v>SLST-T64</v>
          </cell>
          <cell r="K14287" t="str">
            <v>Pontius,Gail</v>
          </cell>
          <cell r="N14287" t="str">
            <v>NR</v>
          </cell>
          <cell r="O14287" t="str">
            <v>NR</v>
          </cell>
        </row>
        <row r="14288">
          <cell r="E14288" t="str">
            <v>SLST</v>
          </cell>
          <cell r="F14288" t="str">
            <v>SLST-T</v>
          </cell>
          <cell r="G14288">
            <v>64</v>
          </cell>
          <cell r="H14288" t="str">
            <v>SLST-T64</v>
          </cell>
          <cell r="K14288" t="str">
            <v>Topuria-Bevis,Eva Z</v>
          </cell>
          <cell r="N14288">
            <v>2.375</v>
          </cell>
          <cell r="O14288">
            <v>0</v>
          </cell>
        </row>
        <row r="14289">
          <cell r="E14289" t="str">
            <v>SLST</v>
          </cell>
          <cell r="F14289" t="str">
            <v>SLST-T</v>
          </cell>
          <cell r="G14289">
            <v>64</v>
          </cell>
          <cell r="H14289" t="str">
            <v>SLST-T64</v>
          </cell>
          <cell r="K14289" t="str">
            <v>Whyatt,Daniel Irving</v>
          </cell>
          <cell r="N14289">
            <v>2.2400000000000002</v>
          </cell>
          <cell r="O14289">
            <v>0</v>
          </cell>
        </row>
        <row r="14290">
          <cell r="E14290" t="str">
            <v>SLST</v>
          </cell>
          <cell r="F14290" t="str">
            <v>SLST-T</v>
          </cell>
          <cell r="G14290">
            <v>64</v>
          </cell>
          <cell r="H14290" t="str">
            <v>SLST-T64</v>
          </cell>
          <cell r="K14290" t="str">
            <v>Whyatt,Daniel Irving</v>
          </cell>
          <cell r="N14290">
            <v>2.2999999999999998</v>
          </cell>
          <cell r="O14290">
            <v>0</v>
          </cell>
        </row>
        <row r="14291">
          <cell r="E14291" t="str">
            <v>SLST</v>
          </cell>
          <cell r="F14291" t="str">
            <v>SLST-T</v>
          </cell>
          <cell r="G14291">
            <v>64</v>
          </cell>
          <cell r="H14291" t="str">
            <v>SLST-T64</v>
          </cell>
          <cell r="K14291" t="str">
            <v>Yeager,Rebecca Ruth</v>
          </cell>
          <cell r="N14291" t="str">
            <v>NR</v>
          </cell>
          <cell r="O14291" t="str">
            <v>NR</v>
          </cell>
        </row>
        <row r="14292">
          <cell r="E14292" t="str">
            <v>SLST</v>
          </cell>
          <cell r="F14292" t="str">
            <v>SLST-T</v>
          </cell>
          <cell r="G14292">
            <v>65</v>
          </cell>
          <cell r="H14292" t="str">
            <v>SLST-T65</v>
          </cell>
          <cell r="K14292" t="str">
            <v>Burghardt,Beatrix</v>
          </cell>
          <cell r="N14292">
            <v>1.5620000000000001</v>
          </cell>
          <cell r="O14292">
            <v>0</v>
          </cell>
        </row>
        <row r="14293">
          <cell r="E14293" t="str">
            <v>SLST</v>
          </cell>
          <cell r="F14293" t="str">
            <v>SLST-T</v>
          </cell>
          <cell r="G14293">
            <v>65</v>
          </cell>
          <cell r="H14293" t="str">
            <v>SLST-T65</v>
          </cell>
          <cell r="K14293" t="str">
            <v>Burghardt,Beatrix</v>
          </cell>
          <cell r="N14293">
            <v>1.2749999999999999</v>
          </cell>
          <cell r="O14293">
            <v>0</v>
          </cell>
        </row>
        <row r="14294">
          <cell r="E14294" t="str">
            <v>SLST</v>
          </cell>
          <cell r="F14294" t="str">
            <v>SLST-T</v>
          </cell>
          <cell r="G14294">
            <v>65</v>
          </cell>
          <cell r="H14294" t="str">
            <v>SLST-T65</v>
          </cell>
          <cell r="K14294" t="str">
            <v>Burnett,Brooke Ashley</v>
          </cell>
          <cell r="N14294">
            <v>3.25</v>
          </cell>
          <cell r="O14294">
            <v>0.24399999999999999</v>
          </cell>
        </row>
        <row r="14295">
          <cell r="E14295" t="str">
            <v>SLST</v>
          </cell>
          <cell r="F14295" t="str">
            <v>SLST-T</v>
          </cell>
          <cell r="G14295">
            <v>65</v>
          </cell>
          <cell r="H14295" t="str">
            <v>SLST-T65</v>
          </cell>
          <cell r="K14295" t="str">
            <v>Burnett,Brooke Ashley</v>
          </cell>
          <cell r="N14295">
            <v>3.246</v>
          </cell>
          <cell r="O14295">
            <v>0.23400000000000001</v>
          </cell>
        </row>
        <row r="14296">
          <cell r="E14296" t="str">
            <v>SLST</v>
          </cell>
          <cell r="F14296" t="str">
            <v>SLST-T</v>
          </cell>
          <cell r="G14296">
            <v>65</v>
          </cell>
          <cell r="H14296" t="str">
            <v>SLST-T65</v>
          </cell>
          <cell r="K14296" t="str">
            <v>Congrove,Nisha Elena</v>
          </cell>
          <cell r="N14296">
            <v>1.925</v>
          </cell>
          <cell r="O14296">
            <v>3.6999999999999998E-2</v>
          </cell>
        </row>
        <row r="14297">
          <cell r="E14297" t="str">
            <v>SLST</v>
          </cell>
          <cell r="F14297" t="str">
            <v>SLST-T</v>
          </cell>
          <cell r="G14297">
            <v>65</v>
          </cell>
          <cell r="H14297" t="str">
            <v>SLST-T65</v>
          </cell>
          <cell r="K14297" t="str">
            <v>Ermey,Peter Joseph</v>
          </cell>
          <cell r="N14297">
            <v>3.0579999999999998</v>
          </cell>
          <cell r="O14297">
            <v>0.24399999999999999</v>
          </cell>
        </row>
        <row r="14298">
          <cell r="E14298" t="str">
            <v>SLST</v>
          </cell>
          <cell r="F14298" t="str">
            <v>SLST-T</v>
          </cell>
          <cell r="G14298">
            <v>65</v>
          </cell>
          <cell r="H14298" t="str">
            <v>SLST-T65</v>
          </cell>
          <cell r="K14298" t="str">
            <v>Fogleman,Paul</v>
          </cell>
          <cell r="N14298">
            <v>1.829</v>
          </cell>
          <cell r="O14298">
            <v>9.1999999999999998E-2</v>
          </cell>
        </row>
        <row r="14299">
          <cell r="E14299" t="str">
            <v>SLST</v>
          </cell>
          <cell r="F14299" t="str">
            <v>SLST-T</v>
          </cell>
          <cell r="G14299">
            <v>65</v>
          </cell>
          <cell r="H14299" t="str">
            <v>SLST-T65</v>
          </cell>
          <cell r="K14299" t="str">
            <v>Gabriele,Leslie Anne Pereira</v>
          </cell>
          <cell r="N14299">
            <v>3.1669999999999998</v>
          </cell>
          <cell r="O14299">
            <v>3.6999999999999998E-2</v>
          </cell>
        </row>
        <row r="14300">
          <cell r="E14300" t="str">
            <v>SLST</v>
          </cell>
          <cell r="F14300" t="str">
            <v>SLST-T</v>
          </cell>
          <cell r="G14300">
            <v>65</v>
          </cell>
          <cell r="H14300" t="str">
            <v>SLST-T65</v>
          </cell>
          <cell r="K14300" t="str">
            <v>Gabriele,Leslie Anne Pereira</v>
          </cell>
          <cell r="N14300">
            <v>2.4750000000000001</v>
          </cell>
          <cell r="O14300">
            <v>3.6999999999999998E-2</v>
          </cell>
        </row>
        <row r="14301">
          <cell r="E14301" t="str">
            <v>SLST</v>
          </cell>
          <cell r="F14301" t="str">
            <v>SLST-T</v>
          </cell>
          <cell r="G14301">
            <v>65</v>
          </cell>
          <cell r="H14301" t="str">
            <v>SLST-T65</v>
          </cell>
          <cell r="K14301" t="str">
            <v>Gabriele,Leslie Anne Pereira</v>
          </cell>
          <cell r="N14301">
            <v>3.0920000000000001</v>
          </cell>
          <cell r="O14301">
            <v>0.23400000000000001</v>
          </cell>
        </row>
        <row r="14302">
          <cell r="E14302" t="str">
            <v>SLST</v>
          </cell>
          <cell r="F14302" t="str">
            <v>SLST-T</v>
          </cell>
          <cell r="G14302">
            <v>65</v>
          </cell>
          <cell r="H14302" t="str">
            <v>SLST-T65</v>
          </cell>
          <cell r="K14302" t="str">
            <v>Gleiser,Andrew Philip</v>
          </cell>
          <cell r="N14302">
            <v>3.6920000000000002</v>
          </cell>
          <cell r="O14302">
            <v>0.23400000000000001</v>
          </cell>
        </row>
        <row r="14303">
          <cell r="E14303" t="str">
            <v>SLST</v>
          </cell>
          <cell r="F14303" t="str">
            <v>SLST-T</v>
          </cell>
          <cell r="G14303">
            <v>65</v>
          </cell>
          <cell r="H14303" t="str">
            <v>SLST-T65</v>
          </cell>
          <cell r="K14303" t="str">
            <v>Gleiser,Andrew Philip</v>
          </cell>
          <cell r="N14303">
            <v>3.746</v>
          </cell>
          <cell r="O14303">
            <v>0.23400000000000001</v>
          </cell>
        </row>
        <row r="14304">
          <cell r="E14304" t="str">
            <v>SLST</v>
          </cell>
          <cell r="F14304" t="str">
            <v>SLST-T</v>
          </cell>
          <cell r="G14304">
            <v>65</v>
          </cell>
          <cell r="H14304" t="str">
            <v>SLST-T65</v>
          </cell>
          <cell r="K14304" t="str">
            <v>Hallback,Kim Elizabeth</v>
          </cell>
          <cell r="N14304">
            <v>3.125</v>
          </cell>
          <cell r="O14304">
            <v>3.6999999999999998E-2</v>
          </cell>
        </row>
        <row r="14305">
          <cell r="E14305" t="str">
            <v>SLST</v>
          </cell>
          <cell r="F14305" t="str">
            <v>SLST-T</v>
          </cell>
          <cell r="G14305">
            <v>65</v>
          </cell>
          <cell r="H14305" t="str">
            <v>SLST-T65</v>
          </cell>
          <cell r="K14305" t="str">
            <v>JeanBaptiste,Maggie</v>
          </cell>
          <cell r="N14305">
            <v>1.286</v>
          </cell>
          <cell r="O14305">
            <v>9.1999999999999998E-2</v>
          </cell>
        </row>
        <row r="14306">
          <cell r="E14306" t="str">
            <v>SLST</v>
          </cell>
          <cell r="F14306" t="str">
            <v>SLST-T</v>
          </cell>
          <cell r="G14306">
            <v>65</v>
          </cell>
          <cell r="H14306" t="str">
            <v>SLST-T65</v>
          </cell>
          <cell r="K14306" t="str">
            <v>JeanBaptiste,Maggie</v>
          </cell>
          <cell r="N14306">
            <v>1.8460000000000001</v>
          </cell>
          <cell r="O14306">
            <v>0</v>
          </cell>
        </row>
        <row r="14307">
          <cell r="E14307" t="str">
            <v>SLST</v>
          </cell>
          <cell r="F14307" t="str">
            <v>SLST-T</v>
          </cell>
          <cell r="G14307">
            <v>65</v>
          </cell>
          <cell r="H14307" t="str">
            <v>SLST-T65</v>
          </cell>
          <cell r="K14307" t="str">
            <v>King,Levi Aaron</v>
          </cell>
          <cell r="N14307">
            <v>2.3210000000000002</v>
          </cell>
          <cell r="O14307">
            <v>9.1999999999999998E-2</v>
          </cell>
        </row>
        <row r="14308">
          <cell r="E14308" t="str">
            <v>SLST</v>
          </cell>
          <cell r="F14308" t="str">
            <v>SLST-T</v>
          </cell>
          <cell r="G14308">
            <v>65</v>
          </cell>
          <cell r="H14308" t="str">
            <v>SLST-T65</v>
          </cell>
          <cell r="K14308" t="str">
            <v>King,Levi Aaron</v>
          </cell>
          <cell r="N14308">
            <v>2.5070000000000001</v>
          </cell>
          <cell r="O14308">
            <v>9.1999999999999998E-2</v>
          </cell>
        </row>
        <row r="14309">
          <cell r="E14309" t="str">
            <v>SLST</v>
          </cell>
          <cell r="F14309" t="str">
            <v>SLST-T</v>
          </cell>
          <cell r="G14309">
            <v>65</v>
          </cell>
          <cell r="H14309" t="str">
            <v>SLST-T65</v>
          </cell>
          <cell r="K14309" t="str">
            <v>Kinnaird,Susan Kuzniak</v>
          </cell>
          <cell r="N14309">
            <v>2.1539999999999999</v>
          </cell>
          <cell r="O14309">
            <v>0</v>
          </cell>
        </row>
        <row r="14310">
          <cell r="E14310" t="str">
            <v>SLST</v>
          </cell>
          <cell r="F14310" t="str">
            <v>SLST-T</v>
          </cell>
          <cell r="G14310">
            <v>65</v>
          </cell>
          <cell r="H14310" t="str">
            <v>SLST-T65</v>
          </cell>
          <cell r="K14310" t="str">
            <v>Kinnaird,Susan Kuzniak</v>
          </cell>
          <cell r="N14310">
            <v>1.3380000000000001</v>
          </cell>
          <cell r="O14310">
            <v>7.3999999999999996E-2</v>
          </cell>
        </row>
        <row r="14311">
          <cell r="E14311" t="str">
            <v>SLST</v>
          </cell>
          <cell r="F14311" t="str">
            <v>SLST-T</v>
          </cell>
          <cell r="G14311">
            <v>65</v>
          </cell>
          <cell r="H14311" t="str">
            <v>SLST-T65</v>
          </cell>
          <cell r="K14311" t="str">
            <v>Russell,Paul D</v>
          </cell>
          <cell r="N14311">
            <v>2</v>
          </cell>
          <cell r="O14311">
            <v>0.24399999999999999</v>
          </cell>
        </row>
        <row r="14312">
          <cell r="E14312" t="str">
            <v>SLST</v>
          </cell>
          <cell r="F14312" t="str">
            <v>SLST-T</v>
          </cell>
          <cell r="G14312">
            <v>65</v>
          </cell>
          <cell r="H14312" t="str">
            <v>SLST-T65</v>
          </cell>
          <cell r="K14312" t="str">
            <v>Russell,Paul D</v>
          </cell>
          <cell r="N14312">
            <v>3.3330000000000002</v>
          </cell>
          <cell r="O14312">
            <v>0.24399999999999999</v>
          </cell>
        </row>
        <row r="14313">
          <cell r="E14313" t="str">
            <v>SLST</v>
          </cell>
          <cell r="F14313" t="str">
            <v>SLST-T</v>
          </cell>
          <cell r="G14313">
            <v>65</v>
          </cell>
          <cell r="H14313" t="str">
            <v>SLST-T65</v>
          </cell>
          <cell r="K14313" t="str">
            <v>Russell,Paul D</v>
          </cell>
          <cell r="N14313">
            <v>2.0310000000000001</v>
          </cell>
          <cell r="O14313">
            <v>7.3999999999999996E-2</v>
          </cell>
        </row>
        <row r="14314">
          <cell r="E14314" t="str">
            <v>SLST</v>
          </cell>
          <cell r="F14314" t="str">
            <v>SLST-T</v>
          </cell>
          <cell r="G14314">
            <v>65</v>
          </cell>
          <cell r="H14314" t="str">
            <v>SLST-T65</v>
          </cell>
          <cell r="K14314" t="str">
            <v>Topuria-Bevis,Eva Z</v>
          </cell>
          <cell r="N14314">
            <v>2.2000000000000002</v>
          </cell>
          <cell r="O14314">
            <v>6.8000000000000005E-2</v>
          </cell>
        </row>
        <row r="14315">
          <cell r="E14315" t="str">
            <v>SLST</v>
          </cell>
          <cell r="F14315" t="str">
            <v>SLST-T</v>
          </cell>
          <cell r="G14315">
            <v>65</v>
          </cell>
          <cell r="H14315" t="str">
            <v>SLST-T65</v>
          </cell>
          <cell r="K14315" t="str">
            <v>Topuria-Bevis,Eva Z</v>
          </cell>
          <cell r="N14315">
            <v>2.4289999999999998</v>
          </cell>
          <cell r="O14315">
            <v>6.8000000000000005E-2</v>
          </cell>
        </row>
        <row r="14316">
          <cell r="E14316" t="str">
            <v>SLST</v>
          </cell>
          <cell r="F14316" t="str">
            <v>SLST-T</v>
          </cell>
          <cell r="G14316">
            <v>66</v>
          </cell>
          <cell r="H14316" t="str">
            <v>SLST-T66</v>
          </cell>
          <cell r="K14316" t="str">
            <v>Anderson,Vicki Ann Michael</v>
          </cell>
          <cell r="N14316">
            <v>2.7829999999999999</v>
          </cell>
          <cell r="O14316">
            <v>0</v>
          </cell>
        </row>
        <row r="14317">
          <cell r="E14317" t="str">
            <v>SLST</v>
          </cell>
          <cell r="F14317" t="str">
            <v>SLST-T</v>
          </cell>
          <cell r="G14317">
            <v>66</v>
          </cell>
          <cell r="H14317" t="str">
            <v>SLST-T66</v>
          </cell>
          <cell r="K14317" t="str">
            <v>Anderson,Vicki Ann Michael</v>
          </cell>
          <cell r="N14317">
            <v>2.0579999999999998</v>
          </cell>
          <cell r="O14317">
            <v>0</v>
          </cell>
        </row>
        <row r="14318">
          <cell r="E14318" t="str">
            <v>SLST</v>
          </cell>
          <cell r="F14318" t="str">
            <v>SLST-T</v>
          </cell>
          <cell r="G14318">
            <v>66</v>
          </cell>
          <cell r="H14318" t="str">
            <v>SLST-T66</v>
          </cell>
          <cell r="K14318" t="str">
            <v>Baker,Chris</v>
          </cell>
          <cell r="N14318">
            <v>1.84</v>
          </cell>
          <cell r="O14318">
            <v>0</v>
          </cell>
        </row>
        <row r="14319">
          <cell r="E14319" t="str">
            <v>SLST</v>
          </cell>
          <cell r="F14319" t="str">
            <v>SLST-T</v>
          </cell>
          <cell r="G14319">
            <v>66</v>
          </cell>
          <cell r="H14319" t="str">
            <v>SLST-T66</v>
          </cell>
          <cell r="K14319" t="str">
            <v>Baker,Chris</v>
          </cell>
          <cell r="N14319">
            <v>1.84</v>
          </cell>
          <cell r="O14319">
            <v>0</v>
          </cell>
        </row>
        <row r="14320">
          <cell r="E14320" t="str">
            <v>SLST</v>
          </cell>
          <cell r="F14320" t="str">
            <v>SLST-T</v>
          </cell>
          <cell r="G14320">
            <v>66</v>
          </cell>
          <cell r="H14320" t="str">
            <v>SLST-T66</v>
          </cell>
          <cell r="K14320" t="str">
            <v>Barrow,McKay</v>
          </cell>
          <cell r="N14320">
            <v>2.9449999999999998</v>
          </cell>
          <cell r="O14320">
            <v>0.11799999999999999</v>
          </cell>
        </row>
        <row r="14321">
          <cell r="E14321" t="str">
            <v>SLST</v>
          </cell>
          <cell r="F14321" t="str">
            <v>SLST-T</v>
          </cell>
          <cell r="G14321">
            <v>66</v>
          </cell>
          <cell r="H14321" t="str">
            <v>SLST-T66</v>
          </cell>
          <cell r="K14321" t="str">
            <v>Barrow,McKay</v>
          </cell>
          <cell r="N14321">
            <v>2.3359999999999999</v>
          </cell>
          <cell r="O14321">
            <v>0.11799999999999999</v>
          </cell>
        </row>
        <row r="14322">
          <cell r="E14322" t="str">
            <v>SLST</v>
          </cell>
          <cell r="F14322" t="str">
            <v>SLST-T</v>
          </cell>
          <cell r="G14322">
            <v>66</v>
          </cell>
          <cell r="H14322" t="str">
            <v>SLST-T66</v>
          </cell>
          <cell r="K14322" t="str">
            <v>Challifour,Amber Russell</v>
          </cell>
          <cell r="N14322">
            <v>1.909</v>
          </cell>
          <cell r="O14322">
            <v>7.2999999999999995E-2</v>
          </cell>
        </row>
        <row r="14323">
          <cell r="E14323" t="str">
            <v>SLST</v>
          </cell>
          <cell r="F14323" t="str">
            <v>SLST-T</v>
          </cell>
          <cell r="G14323">
            <v>66</v>
          </cell>
          <cell r="H14323" t="str">
            <v>SLST-T66</v>
          </cell>
          <cell r="K14323" t="str">
            <v>Challifour,Amber Russell</v>
          </cell>
          <cell r="N14323">
            <v>1.9179999999999999</v>
          </cell>
          <cell r="O14323">
            <v>7.2999999999999995E-2</v>
          </cell>
        </row>
        <row r="14324">
          <cell r="E14324" t="str">
            <v>SLST</v>
          </cell>
          <cell r="F14324" t="str">
            <v>SLST-T</v>
          </cell>
          <cell r="G14324">
            <v>66</v>
          </cell>
          <cell r="H14324" t="str">
            <v>SLST-T66</v>
          </cell>
          <cell r="K14324" t="str">
            <v>Kinnaird,Susan Kuzniak</v>
          </cell>
          <cell r="N14324">
            <v>2.5289999999999999</v>
          </cell>
          <cell r="O14324">
            <v>0.124</v>
          </cell>
        </row>
        <row r="14325">
          <cell r="E14325" t="str">
            <v>SLST</v>
          </cell>
          <cell r="F14325" t="str">
            <v>SLST-T</v>
          </cell>
          <cell r="G14325">
            <v>66</v>
          </cell>
          <cell r="H14325" t="str">
            <v>SLST-T66</v>
          </cell>
          <cell r="K14325" t="str">
            <v>Kinnaird,Susan Kuzniak</v>
          </cell>
          <cell r="N14325">
            <v>2.1890000000000001</v>
          </cell>
          <cell r="O14325">
            <v>0.14399999999999999</v>
          </cell>
        </row>
        <row r="14326">
          <cell r="E14326" t="str">
            <v>SLST</v>
          </cell>
          <cell r="F14326" t="str">
            <v>SLST-T</v>
          </cell>
          <cell r="G14326">
            <v>66</v>
          </cell>
          <cell r="H14326" t="str">
            <v>SLST-T66</v>
          </cell>
          <cell r="K14326" t="str">
            <v>Lidster,Ryan F</v>
          </cell>
          <cell r="N14326">
            <v>2.1080000000000001</v>
          </cell>
          <cell r="O14326">
            <v>0.23100000000000001</v>
          </cell>
        </row>
        <row r="14327">
          <cell r="E14327" t="str">
            <v>SLST</v>
          </cell>
          <cell r="F14327" t="str">
            <v>SLST-T</v>
          </cell>
          <cell r="G14327">
            <v>66</v>
          </cell>
          <cell r="H14327" t="str">
            <v>SLST-T66</v>
          </cell>
          <cell r="K14327" t="str">
            <v>Lidster,Ryan F</v>
          </cell>
          <cell r="N14327">
            <v>2.1920000000000002</v>
          </cell>
          <cell r="O14327">
            <v>0.23100000000000001</v>
          </cell>
        </row>
        <row r="14328">
          <cell r="E14328" t="str">
            <v>SLST</v>
          </cell>
          <cell r="F14328" t="str">
            <v>SLST-T</v>
          </cell>
          <cell r="G14328">
            <v>66</v>
          </cell>
          <cell r="H14328" t="str">
            <v>SLST-T66</v>
          </cell>
          <cell r="K14328" t="str">
            <v>Mori,Carolyn R</v>
          </cell>
          <cell r="N14328">
            <v>2.6179999999999999</v>
          </cell>
          <cell r="O14328">
            <v>0</v>
          </cell>
        </row>
        <row r="14329">
          <cell r="E14329" t="str">
            <v>SLST</v>
          </cell>
          <cell r="F14329" t="str">
            <v>SLST-T</v>
          </cell>
          <cell r="G14329">
            <v>66</v>
          </cell>
          <cell r="H14329" t="str">
            <v>SLST-T66</v>
          </cell>
          <cell r="K14329" t="str">
            <v>Mori,Carolyn R</v>
          </cell>
          <cell r="N14329">
            <v>2.7639999999999998</v>
          </cell>
          <cell r="O14329">
            <v>7.2999999999999995E-2</v>
          </cell>
        </row>
        <row r="14330">
          <cell r="E14330" t="str">
            <v>SLST</v>
          </cell>
          <cell r="F14330" t="str">
            <v>SLST-T</v>
          </cell>
          <cell r="G14330">
            <v>66</v>
          </cell>
          <cell r="H14330" t="str">
            <v>SLST-T66</v>
          </cell>
          <cell r="K14330" t="str">
            <v>Mori,Carolyn R</v>
          </cell>
          <cell r="N14330">
            <v>3.464</v>
          </cell>
          <cell r="O14330">
            <v>0.27300000000000002</v>
          </cell>
        </row>
        <row r="14331">
          <cell r="E14331" t="str">
            <v>SLST</v>
          </cell>
          <cell r="F14331" t="str">
            <v>SLST-T</v>
          </cell>
          <cell r="G14331">
            <v>66</v>
          </cell>
          <cell r="H14331" t="str">
            <v>SLST-T66</v>
          </cell>
          <cell r="K14331" t="str">
            <v>Pontius,Gail</v>
          </cell>
          <cell r="N14331">
            <v>2.9</v>
          </cell>
          <cell r="O14331">
            <v>0.25</v>
          </cell>
        </row>
        <row r="14332">
          <cell r="E14332" t="str">
            <v>SLST</v>
          </cell>
          <cell r="F14332" t="str">
            <v>SLST-T</v>
          </cell>
          <cell r="G14332">
            <v>66</v>
          </cell>
          <cell r="H14332" t="str">
            <v>SLST-T66</v>
          </cell>
          <cell r="K14332" t="str">
            <v>Pontius,Gail</v>
          </cell>
          <cell r="N14332">
            <v>2.7</v>
          </cell>
          <cell r="O14332">
            <v>0.14399999999999999</v>
          </cell>
        </row>
        <row r="14333">
          <cell r="E14333" t="str">
            <v>SLST</v>
          </cell>
          <cell r="F14333" t="str">
            <v>SLST-T</v>
          </cell>
          <cell r="G14333">
            <v>66</v>
          </cell>
          <cell r="H14333" t="str">
            <v>SLST-T66</v>
          </cell>
          <cell r="K14333" t="str">
            <v>Reaves,Alisha J</v>
          </cell>
          <cell r="N14333">
            <v>1.427</v>
          </cell>
          <cell r="O14333">
            <v>0.157</v>
          </cell>
        </row>
        <row r="14334">
          <cell r="E14334" t="str">
            <v>SLST</v>
          </cell>
          <cell r="F14334" t="str">
            <v>SLST-T</v>
          </cell>
          <cell r="G14334">
            <v>66</v>
          </cell>
          <cell r="H14334" t="str">
            <v>SLST-T66</v>
          </cell>
          <cell r="K14334" t="str">
            <v>Reaves,Alisha J</v>
          </cell>
          <cell r="N14334">
            <v>1.4550000000000001</v>
          </cell>
          <cell r="O14334">
            <v>0.157</v>
          </cell>
        </row>
        <row r="14335">
          <cell r="E14335" t="str">
            <v>SLST</v>
          </cell>
          <cell r="F14335" t="str">
            <v>SLST-T</v>
          </cell>
          <cell r="G14335">
            <v>66</v>
          </cell>
          <cell r="H14335" t="str">
            <v>SLST-T66</v>
          </cell>
          <cell r="K14335" t="str">
            <v>Rolfs,Beverly Lynn</v>
          </cell>
          <cell r="N14335">
            <v>3.3780000000000001</v>
          </cell>
          <cell r="O14335">
            <v>0</v>
          </cell>
        </row>
        <row r="14336">
          <cell r="E14336" t="str">
            <v>SLST</v>
          </cell>
          <cell r="F14336" t="str">
            <v>SLST-T</v>
          </cell>
          <cell r="G14336">
            <v>66</v>
          </cell>
          <cell r="H14336" t="str">
            <v>SLST-T66</v>
          </cell>
          <cell r="K14336" t="str">
            <v>Rolfs,Beverly Lynn</v>
          </cell>
          <cell r="N14336">
            <v>2.5670000000000002</v>
          </cell>
          <cell r="O14336">
            <v>6.7000000000000004E-2</v>
          </cell>
        </row>
        <row r="14337">
          <cell r="E14337" t="str">
            <v>SLST</v>
          </cell>
          <cell r="F14337" t="str">
            <v>SLST-T</v>
          </cell>
          <cell r="G14337">
            <v>66</v>
          </cell>
          <cell r="H14337" t="str">
            <v>SLST-T66</v>
          </cell>
          <cell r="K14337" t="str">
            <v>Rolfs,Beverly Lynn</v>
          </cell>
          <cell r="N14337">
            <v>3.1749999999999998</v>
          </cell>
          <cell r="O14337">
            <v>0</v>
          </cell>
        </row>
        <row r="14338">
          <cell r="E14338" t="str">
            <v>SLST</v>
          </cell>
          <cell r="F14338" t="str">
            <v>SLST-T</v>
          </cell>
          <cell r="G14338">
            <v>66</v>
          </cell>
          <cell r="H14338" t="str">
            <v>SLST-T66</v>
          </cell>
          <cell r="K14338" t="str">
            <v>Warfield,Sarah Anne</v>
          </cell>
          <cell r="N14338">
            <v>2.0670000000000002</v>
          </cell>
          <cell r="O14338">
            <v>0</v>
          </cell>
        </row>
        <row r="14339">
          <cell r="E14339" t="str">
            <v>SLST</v>
          </cell>
          <cell r="F14339" t="str">
            <v>SLST-T</v>
          </cell>
          <cell r="G14339">
            <v>66</v>
          </cell>
          <cell r="H14339" t="str">
            <v>SLST-T66</v>
          </cell>
          <cell r="K14339" t="str">
            <v>Yeager,Rebecca Ruth</v>
          </cell>
          <cell r="N14339">
            <v>2.8090000000000002</v>
          </cell>
          <cell r="O14339">
            <v>0.157</v>
          </cell>
        </row>
        <row r="14340">
          <cell r="E14340" t="str">
            <v>SLST</v>
          </cell>
          <cell r="F14340" t="str">
            <v>SLST-T</v>
          </cell>
          <cell r="G14340">
            <v>67</v>
          </cell>
          <cell r="H14340" t="str">
            <v>SLST-T67</v>
          </cell>
          <cell r="K14340" t="str">
            <v>Gabriele,Leslie Anne Pereira</v>
          </cell>
          <cell r="N14340">
            <v>2.9</v>
          </cell>
          <cell r="O14340">
            <v>0.23100000000000001</v>
          </cell>
        </row>
        <row r="14341">
          <cell r="E14341" t="str">
            <v>SLST</v>
          </cell>
          <cell r="F14341" t="str">
            <v>SLST-T</v>
          </cell>
          <cell r="G14341">
            <v>67</v>
          </cell>
          <cell r="H14341" t="str">
            <v>SLST-T67</v>
          </cell>
          <cell r="K14341" t="str">
            <v>Gabriele,Leslie Anne Pereira</v>
          </cell>
          <cell r="N14341">
            <v>2.3919999999999999</v>
          </cell>
          <cell r="O14341">
            <v>0.23100000000000001</v>
          </cell>
        </row>
        <row r="14342">
          <cell r="E14342" t="str">
            <v>SLST</v>
          </cell>
          <cell r="F14342" t="str">
            <v>SLST-T</v>
          </cell>
          <cell r="G14342">
            <v>67</v>
          </cell>
          <cell r="H14342" t="str">
            <v>SLST-T67</v>
          </cell>
          <cell r="K14342" t="str">
            <v>Gashi,Matilda Francoeur</v>
          </cell>
          <cell r="N14342">
            <v>2.153</v>
          </cell>
          <cell r="O14342">
            <v>0.47699999999999998</v>
          </cell>
        </row>
        <row r="14343">
          <cell r="E14343" t="str">
            <v>SLST</v>
          </cell>
          <cell r="F14343" t="str">
            <v>SLST-T</v>
          </cell>
          <cell r="G14343">
            <v>67</v>
          </cell>
          <cell r="H14343" t="str">
            <v>SLST-T67</v>
          </cell>
          <cell r="K14343" t="str">
            <v>Gashi,Matilda Francoeur</v>
          </cell>
          <cell r="N14343">
            <v>2.153</v>
          </cell>
          <cell r="O14343">
            <v>0.47699999999999998</v>
          </cell>
        </row>
        <row r="14344">
          <cell r="E14344" t="str">
            <v>SLST</v>
          </cell>
          <cell r="F14344" t="str">
            <v>SLST-T</v>
          </cell>
          <cell r="G14344">
            <v>67</v>
          </cell>
          <cell r="H14344" t="str">
            <v>SLST-T67</v>
          </cell>
          <cell r="K14344" t="str">
            <v>Russell,Paul D</v>
          </cell>
          <cell r="N14344">
            <v>3.8</v>
          </cell>
          <cell r="O14344">
            <v>0</v>
          </cell>
        </row>
        <row r="14345">
          <cell r="E14345" t="str">
            <v>SLST</v>
          </cell>
          <cell r="F14345" t="str">
            <v>SLST-T</v>
          </cell>
          <cell r="G14345">
            <v>67</v>
          </cell>
          <cell r="H14345" t="str">
            <v>SLST-T67</v>
          </cell>
          <cell r="K14345" t="str">
            <v>Russell,Paul D</v>
          </cell>
          <cell r="N14345">
            <v>3.57</v>
          </cell>
          <cell r="O14345">
            <v>0</v>
          </cell>
        </row>
        <row r="14346">
          <cell r="E14346" t="str">
            <v>SLST</v>
          </cell>
          <cell r="F14346" t="str">
            <v>SLST-T</v>
          </cell>
          <cell r="G14346">
            <v>68</v>
          </cell>
          <cell r="H14346" t="str">
            <v>SLST-T68</v>
          </cell>
          <cell r="K14346" t="str">
            <v>Allen,Lynn Rae</v>
          </cell>
          <cell r="N14346">
            <v>3.7879999999999998</v>
          </cell>
          <cell r="O14346">
            <v>0</v>
          </cell>
        </row>
        <row r="14347">
          <cell r="E14347" t="str">
            <v>SLST</v>
          </cell>
          <cell r="F14347" t="str">
            <v>SLST-T</v>
          </cell>
          <cell r="G14347">
            <v>68</v>
          </cell>
          <cell r="H14347" t="str">
            <v>SLST-T68</v>
          </cell>
          <cell r="K14347" t="str">
            <v>Congrove,Nisha Elena</v>
          </cell>
          <cell r="N14347">
            <v>2.95</v>
          </cell>
          <cell r="O14347">
            <v>0</v>
          </cell>
        </row>
        <row r="14348">
          <cell r="E14348" t="str">
            <v>SLST</v>
          </cell>
          <cell r="F14348" t="str">
            <v>SLST-T</v>
          </cell>
          <cell r="G14348">
            <v>68</v>
          </cell>
          <cell r="H14348" t="str">
            <v>SLST-T68</v>
          </cell>
          <cell r="K14348" t="str">
            <v>Ermey,Peter Joseph</v>
          </cell>
          <cell r="N14348" t="str">
            <v>NR</v>
          </cell>
          <cell r="O14348" t="str">
            <v>NR</v>
          </cell>
        </row>
        <row r="14349">
          <cell r="E14349" t="str">
            <v>SLST</v>
          </cell>
          <cell r="F14349" t="str">
            <v>SLST-T</v>
          </cell>
          <cell r="G14349">
            <v>68</v>
          </cell>
          <cell r="H14349" t="str">
            <v>SLST-T68</v>
          </cell>
          <cell r="K14349" t="str">
            <v>Gabriele,Leslie Anne Pereira</v>
          </cell>
          <cell r="N14349">
            <v>3.0779999999999998</v>
          </cell>
          <cell r="O14349">
            <v>0.35</v>
          </cell>
        </row>
        <row r="14350">
          <cell r="E14350" t="str">
            <v>SLST</v>
          </cell>
          <cell r="F14350" t="str">
            <v>SLST-T</v>
          </cell>
          <cell r="G14350">
            <v>68</v>
          </cell>
          <cell r="H14350" t="str">
            <v>SLST-T68</v>
          </cell>
          <cell r="K14350" t="str">
            <v>Howard,Marlin G</v>
          </cell>
          <cell r="N14350">
            <v>3.1749999999999998</v>
          </cell>
          <cell r="O14350">
            <v>0.375</v>
          </cell>
        </row>
        <row r="14351">
          <cell r="E14351" t="str">
            <v>SLST</v>
          </cell>
          <cell r="F14351" t="str">
            <v>SLST-T</v>
          </cell>
          <cell r="G14351">
            <v>68</v>
          </cell>
          <cell r="H14351" t="str">
            <v>SLST-T68</v>
          </cell>
          <cell r="K14351" t="str">
            <v>Juhasz,Andrea</v>
          </cell>
          <cell r="N14351">
            <v>3.871</v>
          </cell>
          <cell r="O14351">
            <v>0.57099999999999995</v>
          </cell>
        </row>
        <row r="14352">
          <cell r="E14352" t="str">
            <v>SLST</v>
          </cell>
          <cell r="F14352" t="str">
            <v>SLST-T</v>
          </cell>
          <cell r="G14352">
            <v>68</v>
          </cell>
          <cell r="H14352" t="str">
            <v>SLST-T68</v>
          </cell>
          <cell r="K14352" t="str">
            <v>Mahan,Rebecca A</v>
          </cell>
          <cell r="N14352" t="str">
            <v>NR</v>
          </cell>
          <cell r="O14352" t="str">
            <v>NR</v>
          </cell>
        </row>
        <row r="14353">
          <cell r="E14353" t="str">
            <v>SLST</v>
          </cell>
          <cell r="F14353" t="str">
            <v>SLST-T</v>
          </cell>
          <cell r="G14353">
            <v>68</v>
          </cell>
          <cell r="H14353" t="str">
            <v>SLST-T68</v>
          </cell>
          <cell r="K14353" t="str">
            <v>Mahan,Rebecca A</v>
          </cell>
          <cell r="N14353">
            <v>2.222</v>
          </cell>
          <cell r="O14353">
            <v>0.373</v>
          </cell>
        </row>
        <row r="14354">
          <cell r="E14354" t="str">
            <v>SLST</v>
          </cell>
          <cell r="F14354" t="str">
            <v>SLST-T</v>
          </cell>
          <cell r="G14354">
            <v>68</v>
          </cell>
          <cell r="H14354" t="str">
            <v>SLST-T68</v>
          </cell>
          <cell r="K14354" t="str">
            <v>McCafferty,Michael Lee</v>
          </cell>
          <cell r="N14354">
            <v>3.6709999999999998</v>
          </cell>
          <cell r="O14354">
            <v>0.45</v>
          </cell>
        </row>
        <row r="14355">
          <cell r="E14355" t="str">
            <v>SLST</v>
          </cell>
          <cell r="F14355" t="str">
            <v>SLST-T</v>
          </cell>
          <cell r="G14355">
            <v>68</v>
          </cell>
          <cell r="H14355" t="str">
            <v>SLST-T68</v>
          </cell>
          <cell r="K14355" t="str">
            <v>McCafferty,Michael Lee</v>
          </cell>
          <cell r="N14355">
            <v>3.85</v>
          </cell>
          <cell r="O14355">
            <v>0</v>
          </cell>
        </row>
        <row r="14356">
          <cell r="E14356" t="str">
            <v>SLST</v>
          </cell>
          <cell r="F14356" t="str">
            <v>SLST-T</v>
          </cell>
          <cell r="G14356">
            <v>68</v>
          </cell>
          <cell r="H14356" t="str">
            <v>SLST-T68</v>
          </cell>
          <cell r="K14356" t="str">
            <v>Meyer,Donald Lee</v>
          </cell>
          <cell r="N14356">
            <v>1.927</v>
          </cell>
          <cell r="O14356">
            <v>0</v>
          </cell>
        </row>
        <row r="14357">
          <cell r="E14357" t="str">
            <v>SLST</v>
          </cell>
          <cell r="F14357" t="str">
            <v>SLST-T</v>
          </cell>
          <cell r="G14357">
            <v>68</v>
          </cell>
          <cell r="H14357" t="str">
            <v>SLST-T68</v>
          </cell>
          <cell r="K14357" t="str">
            <v>Meyer,Donald Lee</v>
          </cell>
          <cell r="N14357">
            <v>1.8180000000000001</v>
          </cell>
          <cell r="O14357">
            <v>0</v>
          </cell>
        </row>
        <row r="14358">
          <cell r="E14358" t="str">
            <v>SLST</v>
          </cell>
          <cell r="F14358" t="str">
            <v>SLST-T</v>
          </cell>
          <cell r="G14358">
            <v>68</v>
          </cell>
          <cell r="H14358" t="str">
            <v>SLST-T68</v>
          </cell>
          <cell r="K14358" t="str">
            <v>Morris,William R.</v>
          </cell>
          <cell r="N14358">
            <v>3.97</v>
          </cell>
          <cell r="O14358">
            <v>0</v>
          </cell>
        </row>
        <row r="14359">
          <cell r="E14359" t="str">
            <v>SLST</v>
          </cell>
          <cell r="F14359" t="str">
            <v>SLST-T</v>
          </cell>
          <cell r="G14359">
            <v>68</v>
          </cell>
          <cell r="H14359" t="str">
            <v>SLST-T68</v>
          </cell>
          <cell r="K14359" t="str">
            <v>Morris,William R.</v>
          </cell>
          <cell r="N14359">
            <v>4</v>
          </cell>
          <cell r="O14359">
            <v>1.1599999999999999</v>
          </cell>
        </row>
        <row r="14360">
          <cell r="E14360" t="str">
            <v>SLST</v>
          </cell>
          <cell r="F14360" t="str">
            <v>SLST-T</v>
          </cell>
          <cell r="G14360">
            <v>68</v>
          </cell>
          <cell r="H14360" t="str">
            <v>SLST-T68</v>
          </cell>
          <cell r="K14360" t="str">
            <v>Morris,William R.</v>
          </cell>
          <cell r="N14360" t="str">
            <v>NR</v>
          </cell>
          <cell r="O14360" t="str">
            <v>NR</v>
          </cell>
        </row>
        <row r="14361">
          <cell r="E14361" t="str">
            <v>SLST</v>
          </cell>
          <cell r="F14361" t="str">
            <v>SLST-T</v>
          </cell>
          <cell r="G14361">
            <v>68</v>
          </cell>
          <cell r="H14361" t="str">
            <v>SLST-T68</v>
          </cell>
          <cell r="K14361" t="str">
            <v>Pontius,Gail</v>
          </cell>
          <cell r="N14361" t="str">
            <v>NR</v>
          </cell>
          <cell r="O14361" t="str">
            <v>NR</v>
          </cell>
        </row>
        <row r="14362">
          <cell r="E14362" t="str">
            <v>SLST</v>
          </cell>
          <cell r="F14362" t="str">
            <v>SLST-T</v>
          </cell>
          <cell r="G14362">
            <v>68</v>
          </cell>
          <cell r="H14362" t="str">
            <v>SLST-T68</v>
          </cell>
          <cell r="K14362" t="str">
            <v>Rolfs,Beverly Lynn</v>
          </cell>
          <cell r="N14362">
            <v>3.3</v>
          </cell>
          <cell r="O14362">
            <v>0</v>
          </cell>
        </row>
        <row r="14363">
          <cell r="E14363" t="str">
            <v>SLST</v>
          </cell>
          <cell r="F14363" t="str">
            <v>SLST-T</v>
          </cell>
          <cell r="G14363">
            <v>68</v>
          </cell>
          <cell r="H14363" t="str">
            <v>SLST-T68</v>
          </cell>
          <cell r="K14363" t="str">
            <v>Russell,Paul D</v>
          </cell>
          <cell r="N14363">
            <v>4</v>
          </cell>
          <cell r="O14363">
            <v>0</v>
          </cell>
        </row>
        <row r="14364">
          <cell r="E14364" t="str">
            <v>SLST</v>
          </cell>
          <cell r="F14364" t="str">
            <v>SLST-T</v>
          </cell>
          <cell r="G14364">
            <v>68</v>
          </cell>
          <cell r="H14364" t="str">
            <v>SLST-T68</v>
          </cell>
          <cell r="K14364" t="str">
            <v>Shettle,Denise Carolyn</v>
          </cell>
          <cell r="N14364" t="str">
            <v>NR</v>
          </cell>
          <cell r="O14364" t="str">
            <v>NR</v>
          </cell>
        </row>
        <row r="14365">
          <cell r="E14365" t="str">
            <v>SLST</v>
          </cell>
          <cell r="F14365" t="str">
            <v>SLST-T</v>
          </cell>
          <cell r="G14365">
            <v>68</v>
          </cell>
          <cell r="H14365" t="str">
            <v>SLST-T68</v>
          </cell>
          <cell r="K14365" t="str">
            <v>Topuria-Bevis,Eva Z</v>
          </cell>
          <cell r="N14365">
            <v>2.8730000000000002</v>
          </cell>
          <cell r="O14365">
            <v>0</v>
          </cell>
        </row>
        <row r="14366">
          <cell r="E14366" t="str">
            <v>SLST</v>
          </cell>
          <cell r="F14366" t="str">
            <v>SLST-T</v>
          </cell>
          <cell r="G14366">
            <v>68</v>
          </cell>
          <cell r="H14366" t="str">
            <v>SLST-T68</v>
          </cell>
          <cell r="K14366" t="str">
            <v>Topuria-Bevis,Eva Z</v>
          </cell>
          <cell r="N14366">
            <v>3.45</v>
          </cell>
          <cell r="O14366">
            <v>0.66700000000000004</v>
          </cell>
        </row>
        <row r="14367">
          <cell r="E14367" t="str">
            <v>SLST</v>
          </cell>
          <cell r="F14367" t="str">
            <v>SLST-T</v>
          </cell>
          <cell r="G14367">
            <v>68</v>
          </cell>
          <cell r="H14367" t="str">
            <v>SLST-T68</v>
          </cell>
          <cell r="K14367" t="str">
            <v>Woodward,Vicki</v>
          </cell>
          <cell r="N14367">
            <v>2.8580000000000001</v>
          </cell>
          <cell r="O14367">
            <v>0</v>
          </cell>
        </row>
        <row r="14368">
          <cell r="E14368" t="str">
            <v>SLST</v>
          </cell>
          <cell r="F14368" t="str">
            <v>SLST-T</v>
          </cell>
          <cell r="G14368">
            <v>68</v>
          </cell>
          <cell r="H14368" t="str">
            <v>SLST-T68</v>
          </cell>
          <cell r="K14368" t="str">
            <v>Woodward,Vicki</v>
          </cell>
          <cell r="N14368">
            <v>3.2</v>
          </cell>
          <cell r="O14368">
            <v>2.7E-2</v>
          </cell>
        </row>
        <row r="14369">
          <cell r="E14369" t="str">
            <v>SLST</v>
          </cell>
          <cell r="F14369" t="str">
            <v>SLST-T</v>
          </cell>
          <cell r="G14369">
            <v>68</v>
          </cell>
          <cell r="H14369" t="str">
            <v>SLST-T68</v>
          </cell>
          <cell r="N14369" t="str">
            <v>NR</v>
          </cell>
          <cell r="O14369" t="str">
            <v>NR</v>
          </cell>
        </row>
        <row r="14370">
          <cell r="E14370" t="str">
            <v>SLST</v>
          </cell>
          <cell r="F14370" t="str">
            <v>SLST-T</v>
          </cell>
          <cell r="G14370">
            <v>70</v>
          </cell>
          <cell r="H14370" t="str">
            <v>SLST-T70</v>
          </cell>
          <cell r="K14370" t="str">
            <v>Howard,Marlin G</v>
          </cell>
          <cell r="N14370" t="str">
            <v>NR</v>
          </cell>
          <cell r="O14370" t="str">
            <v>NR</v>
          </cell>
        </row>
        <row r="14371">
          <cell r="E14371" t="str">
            <v>SLST</v>
          </cell>
          <cell r="F14371" t="str">
            <v>SLST-T</v>
          </cell>
          <cell r="G14371">
            <v>70</v>
          </cell>
          <cell r="H14371" t="str">
            <v>SLST-T70</v>
          </cell>
          <cell r="K14371" t="str">
            <v>Howard,Marlin G</v>
          </cell>
          <cell r="N14371" t="str">
            <v>NR</v>
          </cell>
          <cell r="O14371" t="str">
            <v>NR</v>
          </cell>
        </row>
        <row r="14372">
          <cell r="E14372" t="str">
            <v>SLST</v>
          </cell>
          <cell r="F14372" t="str">
            <v>SLST-T</v>
          </cell>
          <cell r="G14372">
            <v>71</v>
          </cell>
          <cell r="H14372" t="str">
            <v>SLST-T71</v>
          </cell>
          <cell r="K14372" t="str">
            <v>Anderson,Vicki Ann Michael</v>
          </cell>
          <cell r="N14372">
            <v>2.8380000000000001</v>
          </cell>
          <cell r="O14372">
            <v>0</v>
          </cell>
        </row>
        <row r="14373">
          <cell r="E14373" t="str">
            <v>SLST</v>
          </cell>
          <cell r="F14373" t="str">
            <v>SLST-T</v>
          </cell>
          <cell r="G14373">
            <v>71</v>
          </cell>
          <cell r="H14373" t="str">
            <v>SLST-T71</v>
          </cell>
          <cell r="K14373" t="str">
            <v>Anderson,Vicki Ann Michael</v>
          </cell>
          <cell r="N14373">
            <v>2.9670000000000001</v>
          </cell>
          <cell r="O14373">
            <v>0</v>
          </cell>
        </row>
        <row r="14374">
          <cell r="E14374" t="str">
            <v>SLST</v>
          </cell>
          <cell r="F14374" t="str">
            <v>SLST-T</v>
          </cell>
          <cell r="G14374">
            <v>71</v>
          </cell>
          <cell r="H14374" t="str">
            <v>SLST-T71</v>
          </cell>
          <cell r="K14374" t="str">
            <v>Challifour,Amber Russell</v>
          </cell>
          <cell r="N14374">
            <v>2.7130000000000001</v>
          </cell>
          <cell r="O14374">
            <v>0</v>
          </cell>
        </row>
        <row r="14375">
          <cell r="E14375" t="str">
            <v>SLST</v>
          </cell>
          <cell r="F14375" t="str">
            <v>SLST-T</v>
          </cell>
          <cell r="G14375">
            <v>71</v>
          </cell>
          <cell r="H14375" t="str">
            <v>SLST-T71</v>
          </cell>
          <cell r="K14375" t="str">
            <v>Challifour,Amber Russell</v>
          </cell>
          <cell r="N14375">
            <v>2.6379999999999999</v>
          </cell>
          <cell r="O14375">
            <v>0</v>
          </cell>
        </row>
        <row r="14376">
          <cell r="E14376" t="str">
            <v>SLST</v>
          </cell>
          <cell r="F14376" t="str">
            <v>SLST-T</v>
          </cell>
          <cell r="G14376">
            <v>71</v>
          </cell>
          <cell r="H14376" t="str">
            <v>SLST-T71</v>
          </cell>
          <cell r="K14376" t="str">
            <v>Challifour,Amber Russell</v>
          </cell>
          <cell r="N14376" t="str">
            <v>NR</v>
          </cell>
          <cell r="O14376" t="str">
            <v>NR</v>
          </cell>
        </row>
        <row r="14377">
          <cell r="E14377" t="str">
            <v>SLST</v>
          </cell>
          <cell r="F14377" t="str">
            <v>SLST-T</v>
          </cell>
          <cell r="G14377">
            <v>71</v>
          </cell>
          <cell r="H14377" t="str">
            <v>SLST-T71</v>
          </cell>
          <cell r="K14377" t="str">
            <v>Challifour,Amber Russell</v>
          </cell>
          <cell r="N14377" t="str">
            <v>NR</v>
          </cell>
          <cell r="O14377" t="str">
            <v>NR</v>
          </cell>
        </row>
        <row r="14378">
          <cell r="E14378" t="str">
            <v>SLST</v>
          </cell>
          <cell r="F14378" t="str">
            <v>SLST-T</v>
          </cell>
          <cell r="G14378">
            <v>71</v>
          </cell>
          <cell r="H14378" t="str">
            <v>SLST-T71</v>
          </cell>
          <cell r="K14378" t="str">
            <v>Lyman,David J</v>
          </cell>
          <cell r="N14378">
            <v>3.044</v>
          </cell>
          <cell r="O14378">
            <v>0</v>
          </cell>
        </row>
        <row r="14379">
          <cell r="E14379" t="str">
            <v>SLST</v>
          </cell>
          <cell r="F14379" t="str">
            <v>SLST-T</v>
          </cell>
          <cell r="G14379">
            <v>71</v>
          </cell>
          <cell r="H14379" t="str">
            <v>SLST-T71</v>
          </cell>
          <cell r="K14379" t="str">
            <v>Lyman,David J</v>
          </cell>
          <cell r="N14379">
            <v>2.544</v>
          </cell>
          <cell r="O14379">
            <v>0</v>
          </cell>
        </row>
        <row r="14380">
          <cell r="E14380" t="str">
            <v>SLST</v>
          </cell>
          <cell r="F14380" t="str">
            <v>SLST-T</v>
          </cell>
          <cell r="G14380">
            <v>71</v>
          </cell>
          <cell r="H14380" t="str">
            <v>SLST-T71</v>
          </cell>
          <cell r="K14380" t="str">
            <v>Mahan,Rebecca A</v>
          </cell>
          <cell r="N14380">
            <v>2.6669999999999998</v>
          </cell>
          <cell r="O14380">
            <v>0</v>
          </cell>
        </row>
        <row r="14381">
          <cell r="E14381" t="str">
            <v>SLST</v>
          </cell>
          <cell r="F14381" t="str">
            <v>SLST-T</v>
          </cell>
          <cell r="G14381">
            <v>71</v>
          </cell>
          <cell r="H14381" t="str">
            <v>SLST-T71</v>
          </cell>
          <cell r="K14381" t="str">
            <v>Mahan,Rebecca A</v>
          </cell>
          <cell r="N14381">
            <v>2.5</v>
          </cell>
          <cell r="O14381">
            <v>0</v>
          </cell>
        </row>
        <row r="14382">
          <cell r="E14382" t="str">
            <v>SLST</v>
          </cell>
          <cell r="F14382" t="str">
            <v>SLST-T</v>
          </cell>
          <cell r="G14382">
            <v>71</v>
          </cell>
          <cell r="H14382" t="str">
            <v>SLST-T71</v>
          </cell>
          <cell r="K14382" t="str">
            <v>Mori,Carolyn R</v>
          </cell>
          <cell r="N14382">
            <v>2.6749999999999998</v>
          </cell>
          <cell r="O14382">
            <v>0</v>
          </cell>
        </row>
        <row r="14383">
          <cell r="E14383" t="str">
            <v>SLST</v>
          </cell>
          <cell r="F14383" t="str">
            <v>SLST-T</v>
          </cell>
          <cell r="G14383">
            <v>71</v>
          </cell>
          <cell r="H14383" t="str">
            <v>SLST-T71</v>
          </cell>
          <cell r="K14383" t="str">
            <v>Morris,William R.</v>
          </cell>
          <cell r="N14383">
            <v>3.1629999999999998</v>
          </cell>
          <cell r="O14383">
            <v>0</v>
          </cell>
        </row>
        <row r="14384">
          <cell r="E14384" t="str">
            <v>SLST</v>
          </cell>
          <cell r="F14384" t="str">
            <v>SLST-T</v>
          </cell>
          <cell r="G14384">
            <v>71</v>
          </cell>
          <cell r="H14384" t="str">
            <v>SLST-T71</v>
          </cell>
          <cell r="K14384" t="str">
            <v>Shettle,Denise Carolyn</v>
          </cell>
          <cell r="N14384" t="str">
            <v>NR</v>
          </cell>
          <cell r="O14384" t="str">
            <v>NR</v>
          </cell>
        </row>
        <row r="14385">
          <cell r="E14385" t="str">
            <v>SLST</v>
          </cell>
          <cell r="F14385" t="str">
            <v>SLST-T</v>
          </cell>
          <cell r="G14385">
            <v>71</v>
          </cell>
          <cell r="H14385" t="str">
            <v>SLST-T71</v>
          </cell>
          <cell r="K14385" t="str">
            <v>Shettle,Denise Carolyn</v>
          </cell>
          <cell r="N14385" t="str">
            <v>NR</v>
          </cell>
          <cell r="O14385" t="str">
            <v>NR</v>
          </cell>
        </row>
        <row r="14386">
          <cell r="E14386" t="str">
            <v>SLST</v>
          </cell>
          <cell r="F14386" t="str">
            <v>SLST-T</v>
          </cell>
          <cell r="G14386">
            <v>71</v>
          </cell>
          <cell r="H14386" t="str">
            <v>SLST-T71</v>
          </cell>
          <cell r="K14386" t="str">
            <v>Sorenson,Lily Ann</v>
          </cell>
          <cell r="N14386">
            <v>2.0880000000000001</v>
          </cell>
          <cell r="O14386">
            <v>0</v>
          </cell>
        </row>
        <row r="14387">
          <cell r="E14387" t="str">
            <v>SLST</v>
          </cell>
          <cell r="F14387" t="str">
            <v>SLST-T</v>
          </cell>
          <cell r="G14387">
            <v>71</v>
          </cell>
          <cell r="H14387" t="str">
            <v>SLST-T71</v>
          </cell>
          <cell r="K14387" t="str">
            <v>Sorenson,Lily Ann</v>
          </cell>
          <cell r="N14387">
            <v>1.538</v>
          </cell>
          <cell r="O14387">
            <v>0</v>
          </cell>
        </row>
        <row r="14388">
          <cell r="E14388" t="str">
            <v>SLST</v>
          </cell>
          <cell r="F14388" t="str">
            <v>SLST-T</v>
          </cell>
          <cell r="G14388">
            <v>71</v>
          </cell>
          <cell r="H14388" t="str">
            <v>SLST-T71</v>
          </cell>
          <cell r="K14388" t="str">
            <v>Woodward,Vicki</v>
          </cell>
          <cell r="N14388">
            <v>2.25</v>
          </cell>
          <cell r="O14388">
            <v>0</v>
          </cell>
        </row>
        <row r="14389">
          <cell r="E14389" t="str">
            <v>SLST</v>
          </cell>
          <cell r="F14389" t="str">
            <v>SLST-T</v>
          </cell>
          <cell r="G14389">
            <v>71</v>
          </cell>
          <cell r="H14389" t="str">
            <v>SLST-T71</v>
          </cell>
          <cell r="K14389" t="str">
            <v>Woodward,Vicki</v>
          </cell>
          <cell r="N14389">
            <v>2.25</v>
          </cell>
          <cell r="O14389">
            <v>0</v>
          </cell>
        </row>
        <row r="14390">
          <cell r="E14390" t="str">
            <v>SLST</v>
          </cell>
          <cell r="F14390" t="str">
            <v>SLST-T</v>
          </cell>
          <cell r="G14390">
            <v>71</v>
          </cell>
          <cell r="H14390" t="str">
            <v>SLST-T71</v>
          </cell>
          <cell r="K14390" t="str">
            <v>Woodward,Vicki</v>
          </cell>
          <cell r="N14390">
            <v>2.617</v>
          </cell>
          <cell r="O14390">
            <v>0</v>
          </cell>
        </row>
        <row r="14391">
          <cell r="E14391" t="str">
            <v>SLST</v>
          </cell>
          <cell r="F14391" t="str">
            <v>SLST-T</v>
          </cell>
          <cell r="G14391">
            <v>71</v>
          </cell>
          <cell r="H14391" t="str">
            <v>SLST-T71</v>
          </cell>
          <cell r="K14391" t="str">
            <v>Woodward,Vicki</v>
          </cell>
          <cell r="N14391">
            <v>3</v>
          </cell>
          <cell r="O14391">
            <v>0</v>
          </cell>
        </row>
        <row r="14392">
          <cell r="E14392" t="str">
            <v>SLST</v>
          </cell>
          <cell r="F14392" t="str">
            <v>SLST-T</v>
          </cell>
          <cell r="G14392">
            <v>72</v>
          </cell>
          <cell r="H14392" t="str">
            <v>SLST-T72</v>
          </cell>
          <cell r="K14392" t="str">
            <v>Anderson,Vicki Ann Michael</v>
          </cell>
          <cell r="N14392">
            <v>3.0289999999999999</v>
          </cell>
          <cell r="O14392">
            <v>0</v>
          </cell>
        </row>
        <row r="14393">
          <cell r="E14393" t="str">
            <v>SLST</v>
          </cell>
          <cell r="F14393" t="str">
            <v>SLST-T</v>
          </cell>
          <cell r="G14393">
            <v>72</v>
          </cell>
          <cell r="H14393" t="str">
            <v>SLST-T72</v>
          </cell>
          <cell r="K14393" t="str">
            <v>Anderson,Vicki Ann Michael</v>
          </cell>
          <cell r="N14393">
            <v>2.9790000000000001</v>
          </cell>
          <cell r="O14393">
            <v>0</v>
          </cell>
        </row>
        <row r="14394">
          <cell r="E14394" t="str">
            <v>SLST</v>
          </cell>
          <cell r="F14394" t="str">
            <v>SLST-T</v>
          </cell>
          <cell r="G14394">
            <v>72</v>
          </cell>
          <cell r="H14394" t="str">
            <v>SLST-T72</v>
          </cell>
          <cell r="K14394" t="str">
            <v>Bach,Aileen Victoria</v>
          </cell>
          <cell r="N14394">
            <v>3.1</v>
          </cell>
          <cell r="O14394">
            <v>0</v>
          </cell>
        </row>
        <row r="14395">
          <cell r="E14395" t="str">
            <v>SLST</v>
          </cell>
          <cell r="F14395" t="str">
            <v>SLST-T</v>
          </cell>
          <cell r="G14395">
            <v>72</v>
          </cell>
          <cell r="H14395" t="str">
            <v>SLST-T72</v>
          </cell>
          <cell r="K14395" t="str">
            <v>Bach,Aileen Victoria</v>
          </cell>
          <cell r="N14395">
            <v>3.1629999999999998</v>
          </cell>
          <cell r="O14395">
            <v>0</v>
          </cell>
        </row>
        <row r="14396">
          <cell r="E14396" t="str">
            <v>SLST</v>
          </cell>
          <cell r="F14396" t="str">
            <v>SLST-T</v>
          </cell>
          <cell r="G14396">
            <v>72</v>
          </cell>
          <cell r="H14396" t="str">
            <v>SLST-T72</v>
          </cell>
          <cell r="K14396" t="str">
            <v>Burnett,Brooke Ashley</v>
          </cell>
          <cell r="N14396">
            <v>2.6440000000000001</v>
          </cell>
          <cell r="O14396">
            <v>0</v>
          </cell>
        </row>
        <row r="14397">
          <cell r="E14397" t="str">
            <v>SLST</v>
          </cell>
          <cell r="F14397" t="str">
            <v>SLST-T</v>
          </cell>
          <cell r="G14397">
            <v>72</v>
          </cell>
          <cell r="H14397" t="str">
            <v>SLST-T72</v>
          </cell>
          <cell r="K14397" t="str">
            <v>Challifour,Amber Russell</v>
          </cell>
          <cell r="N14397">
            <v>2.2930000000000001</v>
          </cell>
          <cell r="O14397">
            <v>0</v>
          </cell>
        </row>
        <row r="14398">
          <cell r="E14398" t="str">
            <v>SLST</v>
          </cell>
          <cell r="F14398" t="str">
            <v>SLST-T</v>
          </cell>
          <cell r="G14398">
            <v>72</v>
          </cell>
          <cell r="H14398" t="str">
            <v>SLST-T72</v>
          </cell>
          <cell r="K14398" t="str">
            <v>Challifour,Amber Russell</v>
          </cell>
          <cell r="N14398">
            <v>2.4430000000000001</v>
          </cell>
          <cell r="O14398">
            <v>0</v>
          </cell>
        </row>
        <row r="14399">
          <cell r="E14399" t="str">
            <v>SLST</v>
          </cell>
          <cell r="F14399" t="str">
            <v>SLST-T</v>
          </cell>
          <cell r="G14399">
            <v>72</v>
          </cell>
          <cell r="H14399" t="str">
            <v>SLST-T72</v>
          </cell>
          <cell r="K14399" t="str">
            <v>Ermey,Peter Joseph</v>
          </cell>
          <cell r="N14399">
            <v>2.7</v>
          </cell>
          <cell r="O14399">
            <v>0</v>
          </cell>
        </row>
        <row r="14400">
          <cell r="E14400" t="str">
            <v>SLST</v>
          </cell>
          <cell r="F14400" t="str">
            <v>SLST-T</v>
          </cell>
          <cell r="G14400">
            <v>72</v>
          </cell>
          <cell r="H14400" t="str">
            <v>SLST-T72</v>
          </cell>
          <cell r="K14400" t="str">
            <v>Ermey,Peter Joseph</v>
          </cell>
          <cell r="N14400">
            <v>2.7890000000000001</v>
          </cell>
          <cell r="O14400">
            <v>0</v>
          </cell>
        </row>
        <row r="14401">
          <cell r="E14401" t="str">
            <v>SLST</v>
          </cell>
          <cell r="F14401" t="str">
            <v>SLST-T</v>
          </cell>
          <cell r="G14401">
            <v>72</v>
          </cell>
          <cell r="H14401" t="str">
            <v>SLST-T72</v>
          </cell>
          <cell r="K14401" t="str">
            <v>Faulkner,Roosevelt Terrance</v>
          </cell>
          <cell r="N14401">
            <v>2.423</v>
          </cell>
          <cell r="O14401">
            <v>0</v>
          </cell>
        </row>
        <row r="14402">
          <cell r="E14402" t="str">
            <v>SLST</v>
          </cell>
          <cell r="F14402" t="str">
            <v>SLST-T</v>
          </cell>
          <cell r="G14402">
            <v>72</v>
          </cell>
          <cell r="H14402" t="str">
            <v>SLST-T72</v>
          </cell>
          <cell r="K14402" t="str">
            <v>Faulkner,Roosevelt Terrance</v>
          </cell>
          <cell r="N14402">
            <v>2.8769999999999998</v>
          </cell>
          <cell r="O14402">
            <v>0</v>
          </cell>
        </row>
        <row r="14403">
          <cell r="E14403" t="str">
            <v>SLST</v>
          </cell>
          <cell r="F14403" t="str">
            <v>SLST-T</v>
          </cell>
          <cell r="G14403">
            <v>72</v>
          </cell>
          <cell r="H14403" t="str">
            <v>SLST-T72</v>
          </cell>
          <cell r="K14403" t="str">
            <v>Morris,William R.</v>
          </cell>
          <cell r="N14403">
            <v>3.3250000000000002</v>
          </cell>
          <cell r="O14403">
            <v>0</v>
          </cell>
        </row>
        <row r="14404">
          <cell r="E14404" t="str">
            <v>SLST</v>
          </cell>
          <cell r="F14404" t="str">
            <v>SLST-T</v>
          </cell>
          <cell r="G14404">
            <v>72</v>
          </cell>
          <cell r="H14404" t="str">
            <v>SLST-T72</v>
          </cell>
          <cell r="K14404" t="str">
            <v>Morris,William R.</v>
          </cell>
          <cell r="N14404">
            <v>3.3250000000000002</v>
          </cell>
          <cell r="O14404">
            <v>0</v>
          </cell>
        </row>
        <row r="14405">
          <cell r="E14405" t="str">
            <v>SLST</v>
          </cell>
          <cell r="F14405" t="str">
            <v>SLST-T</v>
          </cell>
          <cell r="G14405">
            <v>72</v>
          </cell>
          <cell r="H14405" t="str">
            <v>SLST-T72</v>
          </cell>
          <cell r="K14405" t="str">
            <v>Morris,William R.</v>
          </cell>
          <cell r="N14405">
            <v>2.8439999999999999</v>
          </cell>
          <cell r="O14405">
            <v>0</v>
          </cell>
        </row>
        <row r="14406">
          <cell r="E14406" t="str">
            <v>SLST</v>
          </cell>
          <cell r="F14406" t="str">
            <v>SLST-T</v>
          </cell>
          <cell r="G14406">
            <v>72</v>
          </cell>
          <cell r="H14406" t="str">
            <v>SLST-T72</v>
          </cell>
          <cell r="K14406" t="str">
            <v>Morris,William R.</v>
          </cell>
          <cell r="N14406">
            <v>2.8439999999999999</v>
          </cell>
          <cell r="O14406">
            <v>0</v>
          </cell>
        </row>
        <row r="14407">
          <cell r="E14407" t="str">
            <v>SLST</v>
          </cell>
          <cell r="F14407" t="str">
            <v>SLST-T</v>
          </cell>
          <cell r="G14407">
            <v>72</v>
          </cell>
          <cell r="H14407" t="str">
            <v>SLST-T72</v>
          </cell>
          <cell r="K14407" t="str">
            <v>Sabraw,Stacy Marie</v>
          </cell>
          <cell r="N14407">
            <v>1.456</v>
          </cell>
          <cell r="O14407">
            <v>0</v>
          </cell>
        </row>
        <row r="14408">
          <cell r="E14408" t="str">
            <v>SLST</v>
          </cell>
          <cell r="F14408" t="str">
            <v>SLST-T</v>
          </cell>
          <cell r="G14408">
            <v>72</v>
          </cell>
          <cell r="H14408" t="str">
            <v>SLST-T72</v>
          </cell>
          <cell r="K14408" t="str">
            <v>Seo,Hyun Kyoung</v>
          </cell>
          <cell r="N14408">
            <v>3.0289999999999999</v>
          </cell>
          <cell r="O14408">
            <v>0</v>
          </cell>
        </row>
        <row r="14409">
          <cell r="E14409" t="str">
            <v>SLST</v>
          </cell>
          <cell r="F14409" t="str">
            <v>SLST-T</v>
          </cell>
          <cell r="G14409">
            <v>72</v>
          </cell>
          <cell r="H14409" t="str">
            <v>SLST-T72</v>
          </cell>
          <cell r="K14409" t="str">
            <v>Seo,Hyun Kyoung</v>
          </cell>
          <cell r="N14409">
            <v>2.6</v>
          </cell>
          <cell r="O14409">
            <v>0</v>
          </cell>
        </row>
        <row r="14410">
          <cell r="E14410" t="str">
            <v>SLST</v>
          </cell>
          <cell r="F14410" t="str">
            <v>SLST-T</v>
          </cell>
          <cell r="G14410">
            <v>72</v>
          </cell>
          <cell r="H14410" t="str">
            <v>SLST-T72</v>
          </cell>
          <cell r="K14410" t="str">
            <v>Zeynalova,Sabina</v>
          </cell>
          <cell r="N14410">
            <v>2.6779999999999999</v>
          </cell>
          <cell r="O14410">
            <v>0</v>
          </cell>
        </row>
        <row r="14411">
          <cell r="E14411" t="str">
            <v>SLST</v>
          </cell>
          <cell r="F14411" t="str">
            <v>SLST-T</v>
          </cell>
          <cell r="G14411">
            <v>72</v>
          </cell>
          <cell r="H14411" t="str">
            <v>SLST-T72</v>
          </cell>
          <cell r="K14411" t="str">
            <v>Zeynalova,Sabina</v>
          </cell>
          <cell r="N14411">
            <v>2.75</v>
          </cell>
          <cell r="O14411">
            <v>0</v>
          </cell>
        </row>
        <row r="14412">
          <cell r="E14412" t="str">
            <v>SLST</v>
          </cell>
          <cell r="F14412" t="str">
            <v>SLST-T</v>
          </cell>
          <cell r="G14412">
            <v>73</v>
          </cell>
          <cell r="H14412" t="str">
            <v>SLST-T73</v>
          </cell>
          <cell r="K14412" t="str">
            <v>Congrove,Nisha Elena</v>
          </cell>
          <cell r="N14412">
            <v>1.831</v>
          </cell>
          <cell r="O14412">
            <v>8.8999999999999996E-2</v>
          </cell>
        </row>
        <row r="14413">
          <cell r="E14413" t="str">
            <v>SLST</v>
          </cell>
          <cell r="F14413" t="str">
            <v>SLST-T</v>
          </cell>
          <cell r="G14413">
            <v>73</v>
          </cell>
          <cell r="H14413" t="str">
            <v>SLST-T73</v>
          </cell>
          <cell r="K14413" t="str">
            <v>Congrove,Nisha Elena</v>
          </cell>
          <cell r="N14413">
            <v>2.1560000000000001</v>
          </cell>
          <cell r="O14413">
            <v>8.8999999999999996E-2</v>
          </cell>
        </row>
        <row r="14414">
          <cell r="E14414" t="str">
            <v>SLST</v>
          </cell>
          <cell r="F14414" t="str">
            <v>SLST-T</v>
          </cell>
          <cell r="G14414">
            <v>73</v>
          </cell>
          <cell r="H14414" t="str">
            <v>SLST-T73</v>
          </cell>
          <cell r="K14414" t="str">
            <v>Congrove,Nisha Elena</v>
          </cell>
          <cell r="N14414">
            <v>1.462</v>
          </cell>
          <cell r="O14414">
            <v>0.111</v>
          </cell>
        </row>
        <row r="14415">
          <cell r="E14415" t="str">
            <v>SLST</v>
          </cell>
          <cell r="F14415" t="str">
            <v>SLST-T</v>
          </cell>
          <cell r="G14415">
            <v>73</v>
          </cell>
          <cell r="H14415" t="str">
            <v>SLST-T73</v>
          </cell>
          <cell r="K14415" t="str">
            <v>Congrove,Nisha Elena</v>
          </cell>
          <cell r="N14415">
            <v>1.492</v>
          </cell>
          <cell r="O14415">
            <v>0.111</v>
          </cell>
        </row>
        <row r="14416">
          <cell r="E14416" t="str">
            <v>SLST</v>
          </cell>
          <cell r="F14416" t="str">
            <v>SLST-T</v>
          </cell>
          <cell r="G14416">
            <v>73</v>
          </cell>
          <cell r="H14416" t="str">
            <v>SLST-T73</v>
          </cell>
          <cell r="K14416" t="str">
            <v>Daidone,Danielle Maria</v>
          </cell>
          <cell r="N14416">
            <v>1.94</v>
          </cell>
          <cell r="O14416">
            <v>0</v>
          </cell>
        </row>
        <row r="14417">
          <cell r="E14417" t="str">
            <v>SLST</v>
          </cell>
          <cell r="F14417" t="str">
            <v>SLST-T</v>
          </cell>
          <cell r="G14417">
            <v>73</v>
          </cell>
          <cell r="H14417" t="str">
            <v>SLST-T73</v>
          </cell>
          <cell r="K14417" t="str">
            <v>Daidone,Danielle Maria</v>
          </cell>
          <cell r="N14417">
            <v>1.7</v>
          </cell>
          <cell r="O14417">
            <v>0</v>
          </cell>
        </row>
        <row r="14418">
          <cell r="E14418" t="str">
            <v>SLST</v>
          </cell>
          <cell r="F14418" t="str">
            <v>SLST-T</v>
          </cell>
          <cell r="G14418">
            <v>73</v>
          </cell>
          <cell r="H14418" t="str">
            <v>SLST-T73</v>
          </cell>
          <cell r="K14418" t="str">
            <v>Gashi,Matilda Francoeur</v>
          </cell>
          <cell r="N14418">
            <v>1.86</v>
          </cell>
          <cell r="O14418">
            <v>0</v>
          </cell>
        </row>
        <row r="14419">
          <cell r="E14419" t="str">
            <v>SLST</v>
          </cell>
          <cell r="F14419" t="str">
            <v>SLST-T</v>
          </cell>
          <cell r="G14419">
            <v>73</v>
          </cell>
          <cell r="H14419" t="str">
            <v>SLST-T73</v>
          </cell>
          <cell r="K14419" t="str">
            <v>Gashi,Matilda Francoeur</v>
          </cell>
          <cell r="N14419">
            <v>2.2000000000000002</v>
          </cell>
          <cell r="O14419">
            <v>9.2999999999999999E-2</v>
          </cell>
        </row>
        <row r="14420">
          <cell r="E14420" t="str">
            <v>SLST</v>
          </cell>
          <cell r="F14420" t="str">
            <v>SLST-T</v>
          </cell>
          <cell r="G14420">
            <v>73</v>
          </cell>
          <cell r="H14420" t="str">
            <v>SLST-T73</v>
          </cell>
          <cell r="K14420" t="str">
            <v>Juhasz,Andrea</v>
          </cell>
          <cell r="N14420">
            <v>1.87</v>
          </cell>
          <cell r="O14420">
            <v>0</v>
          </cell>
        </row>
        <row r="14421">
          <cell r="E14421" t="str">
            <v>SLST</v>
          </cell>
          <cell r="F14421" t="str">
            <v>SLST-T</v>
          </cell>
          <cell r="G14421">
            <v>73</v>
          </cell>
          <cell r="H14421" t="str">
            <v>SLST-T73</v>
          </cell>
          <cell r="K14421" t="str">
            <v>Kim,Hyun-jin</v>
          </cell>
          <cell r="N14421">
            <v>2.56</v>
          </cell>
          <cell r="O14421">
            <v>9.8000000000000004E-2</v>
          </cell>
        </row>
        <row r="14422">
          <cell r="E14422" t="str">
            <v>SLST</v>
          </cell>
          <cell r="F14422" t="str">
            <v>SLST-T</v>
          </cell>
          <cell r="G14422">
            <v>73</v>
          </cell>
          <cell r="H14422" t="str">
            <v>SLST-T73</v>
          </cell>
          <cell r="K14422" t="str">
            <v>Kim,Hyun-jin</v>
          </cell>
          <cell r="N14422">
            <v>2.8250000000000002</v>
          </cell>
          <cell r="O14422">
            <v>8.8999999999999996E-2</v>
          </cell>
        </row>
        <row r="14423">
          <cell r="E14423" t="str">
            <v>SLST</v>
          </cell>
          <cell r="F14423" t="str">
            <v>SLST-T</v>
          </cell>
          <cell r="G14423">
            <v>73</v>
          </cell>
          <cell r="H14423" t="str">
            <v>SLST-T73</v>
          </cell>
          <cell r="K14423" t="str">
            <v>Kinnaird,Susan Kuzniak</v>
          </cell>
          <cell r="N14423">
            <v>1.593</v>
          </cell>
          <cell r="O14423">
            <v>9.2999999999999999E-2</v>
          </cell>
        </row>
        <row r="14424">
          <cell r="E14424" t="str">
            <v>SLST</v>
          </cell>
          <cell r="F14424" t="str">
            <v>SLST-T</v>
          </cell>
          <cell r="G14424">
            <v>73</v>
          </cell>
          <cell r="H14424" t="str">
            <v>SLST-T73</v>
          </cell>
          <cell r="K14424" t="str">
            <v>Kinnaird,Susan Kuzniak</v>
          </cell>
          <cell r="N14424">
            <v>1.9790000000000001</v>
          </cell>
          <cell r="O14424">
            <v>9.2999999999999999E-2</v>
          </cell>
        </row>
        <row r="14425">
          <cell r="E14425" t="str">
            <v>SLST</v>
          </cell>
          <cell r="F14425" t="str">
            <v>SLST-T</v>
          </cell>
          <cell r="G14425">
            <v>73</v>
          </cell>
          <cell r="H14425" t="str">
            <v>SLST-T73</v>
          </cell>
          <cell r="K14425" t="str">
            <v>Mahan,Rebecca A</v>
          </cell>
          <cell r="N14425">
            <v>2.5270000000000001</v>
          </cell>
          <cell r="O14425">
            <v>0</v>
          </cell>
        </row>
        <row r="14426">
          <cell r="E14426" t="str">
            <v>SLST</v>
          </cell>
          <cell r="F14426" t="str">
            <v>SLST-T</v>
          </cell>
          <cell r="G14426">
            <v>73</v>
          </cell>
          <cell r="H14426" t="str">
            <v>SLST-T73</v>
          </cell>
          <cell r="K14426" t="str">
            <v>Mahan,Rebecca A</v>
          </cell>
          <cell r="N14426">
            <v>2.4470000000000001</v>
          </cell>
          <cell r="O14426">
            <v>0</v>
          </cell>
        </row>
        <row r="14427">
          <cell r="E14427" t="str">
            <v>SLST</v>
          </cell>
          <cell r="F14427" t="str">
            <v>SLST-T</v>
          </cell>
          <cell r="G14427">
            <v>73</v>
          </cell>
          <cell r="H14427" t="str">
            <v>SLST-T73</v>
          </cell>
          <cell r="K14427" t="str">
            <v>Morris,William R.</v>
          </cell>
          <cell r="N14427">
            <v>3.2440000000000002</v>
          </cell>
          <cell r="O14427">
            <v>8.8999999999999996E-2</v>
          </cell>
        </row>
        <row r="14428">
          <cell r="E14428" t="str">
            <v>SLST</v>
          </cell>
          <cell r="F14428" t="str">
            <v>SLST-T</v>
          </cell>
          <cell r="G14428">
            <v>73</v>
          </cell>
          <cell r="H14428" t="str">
            <v>SLST-T73</v>
          </cell>
          <cell r="K14428" t="str">
            <v>Otto,Jon</v>
          </cell>
          <cell r="N14428">
            <v>2.0579999999999998</v>
          </cell>
          <cell r="O14428">
            <v>0.121</v>
          </cell>
        </row>
        <row r="14429">
          <cell r="E14429" t="str">
            <v>SLST</v>
          </cell>
          <cell r="F14429" t="str">
            <v>SLST-T</v>
          </cell>
          <cell r="G14429">
            <v>73</v>
          </cell>
          <cell r="H14429" t="str">
            <v>SLST-T73</v>
          </cell>
          <cell r="K14429" t="str">
            <v>Reaves,Alisha J</v>
          </cell>
          <cell r="N14429">
            <v>1.538</v>
          </cell>
          <cell r="O14429">
            <v>0.111</v>
          </cell>
        </row>
        <row r="14430">
          <cell r="E14430" t="str">
            <v>SLST</v>
          </cell>
          <cell r="F14430" t="str">
            <v>SLST-T</v>
          </cell>
          <cell r="G14430">
            <v>73</v>
          </cell>
          <cell r="H14430" t="str">
            <v>SLST-T73</v>
          </cell>
          <cell r="K14430" t="str">
            <v>Russell,Paul D</v>
          </cell>
          <cell r="N14430">
            <v>2.1080000000000001</v>
          </cell>
          <cell r="O14430">
            <v>0.113</v>
          </cell>
        </row>
        <row r="14431">
          <cell r="E14431" t="str">
            <v>SLST</v>
          </cell>
          <cell r="F14431" t="str">
            <v>SLST-T</v>
          </cell>
          <cell r="G14431">
            <v>73</v>
          </cell>
          <cell r="H14431" t="str">
            <v>SLST-T73</v>
          </cell>
          <cell r="K14431" t="str">
            <v>Sorenson,Lily Ann</v>
          </cell>
          <cell r="N14431">
            <v>2.2930000000000001</v>
          </cell>
          <cell r="O14431">
            <v>0</v>
          </cell>
        </row>
        <row r="14432">
          <cell r="E14432" t="str">
            <v>SLST</v>
          </cell>
          <cell r="F14432" t="str">
            <v>SLST-T</v>
          </cell>
          <cell r="G14432">
            <v>73</v>
          </cell>
          <cell r="H14432" t="str">
            <v>SLST-T73</v>
          </cell>
          <cell r="K14432" t="str">
            <v>Warfield,Sarah Anne</v>
          </cell>
          <cell r="N14432">
            <v>1.7</v>
          </cell>
          <cell r="O14432">
            <v>0</v>
          </cell>
        </row>
        <row r="14433">
          <cell r="E14433" t="str">
            <v>SLST</v>
          </cell>
          <cell r="F14433" t="str">
            <v>SLST-T</v>
          </cell>
          <cell r="G14433">
            <v>73</v>
          </cell>
          <cell r="H14433" t="str">
            <v>SLST-T73</v>
          </cell>
          <cell r="K14433" t="str">
            <v>Woodward,Vicki</v>
          </cell>
          <cell r="N14433">
            <v>2.7069999999999999</v>
          </cell>
          <cell r="O14433">
            <v>9.8000000000000004E-2</v>
          </cell>
        </row>
        <row r="14434">
          <cell r="E14434" t="str">
            <v>SLST</v>
          </cell>
          <cell r="F14434" t="str">
            <v>SLST-T</v>
          </cell>
          <cell r="G14434">
            <v>73</v>
          </cell>
          <cell r="H14434" t="str">
            <v>SLST-T73</v>
          </cell>
          <cell r="K14434" t="str">
            <v>Woodward,Vicki</v>
          </cell>
          <cell r="N14434">
            <v>2.907</v>
          </cell>
          <cell r="O14434">
            <v>9.8000000000000004E-2</v>
          </cell>
        </row>
        <row r="14435">
          <cell r="E14435" t="str">
            <v>SLST</v>
          </cell>
          <cell r="F14435" t="str">
            <v>SLST-T</v>
          </cell>
          <cell r="G14435">
            <v>73</v>
          </cell>
          <cell r="H14435" t="str">
            <v>SLST-T73</v>
          </cell>
          <cell r="K14435" t="str">
            <v>Yeager,Rebecca Ruth</v>
          </cell>
          <cell r="N14435">
            <v>2.1</v>
          </cell>
          <cell r="O14435">
            <v>9.2999999999999999E-2</v>
          </cell>
        </row>
        <row r="14436">
          <cell r="E14436" t="str">
            <v>SLST</v>
          </cell>
          <cell r="F14436" t="str">
            <v>SLST-T</v>
          </cell>
          <cell r="G14436">
            <v>74</v>
          </cell>
          <cell r="H14436" t="str">
            <v>SLST-T74</v>
          </cell>
          <cell r="K14436" t="str">
            <v>Allen,Lynn Rae</v>
          </cell>
          <cell r="N14436" t="str">
            <v>NR</v>
          </cell>
          <cell r="O14436" t="str">
            <v>NR</v>
          </cell>
        </row>
        <row r="14437">
          <cell r="E14437" t="str">
            <v>SLST</v>
          </cell>
          <cell r="F14437" t="str">
            <v>SLST-T</v>
          </cell>
          <cell r="G14437">
            <v>74</v>
          </cell>
          <cell r="H14437" t="str">
            <v>SLST-T74</v>
          </cell>
          <cell r="K14437" t="str">
            <v>Chang,Yufen</v>
          </cell>
          <cell r="N14437">
            <v>1.744</v>
          </cell>
          <cell r="O14437">
            <v>0.309</v>
          </cell>
        </row>
        <row r="14438">
          <cell r="E14438" t="str">
            <v>SLST</v>
          </cell>
          <cell r="F14438" t="str">
            <v>SLST-T</v>
          </cell>
          <cell r="G14438">
            <v>74</v>
          </cell>
          <cell r="H14438" t="str">
            <v>SLST-T74</v>
          </cell>
          <cell r="K14438" t="str">
            <v>Chang,Yufen</v>
          </cell>
          <cell r="N14438">
            <v>2.456</v>
          </cell>
          <cell r="O14438">
            <v>0.104</v>
          </cell>
        </row>
        <row r="14439">
          <cell r="E14439" t="str">
            <v>SLST</v>
          </cell>
          <cell r="F14439" t="str">
            <v>SLST-T</v>
          </cell>
          <cell r="G14439">
            <v>74</v>
          </cell>
          <cell r="H14439" t="str">
            <v>SLST-T74</v>
          </cell>
          <cell r="K14439" t="str">
            <v>Congrove,Nisha Elena</v>
          </cell>
          <cell r="N14439" t="str">
            <v>NR</v>
          </cell>
          <cell r="O14439" t="str">
            <v>NR</v>
          </cell>
        </row>
        <row r="14440">
          <cell r="E14440" t="str">
            <v>SLST</v>
          </cell>
          <cell r="F14440" t="str">
            <v>SLST-T</v>
          </cell>
          <cell r="G14440">
            <v>74</v>
          </cell>
          <cell r="H14440" t="str">
            <v>SLST-T74</v>
          </cell>
          <cell r="K14440" t="str">
            <v>Fogleman,Paul</v>
          </cell>
          <cell r="N14440">
            <v>2.415</v>
          </cell>
          <cell r="O14440">
            <v>0.29399999999999998</v>
          </cell>
        </row>
        <row r="14441">
          <cell r="E14441" t="str">
            <v>SLST</v>
          </cell>
          <cell r="F14441" t="str">
            <v>SLST-T</v>
          </cell>
          <cell r="G14441">
            <v>74</v>
          </cell>
          <cell r="H14441" t="str">
            <v>SLST-T74</v>
          </cell>
          <cell r="K14441" t="str">
            <v>Hallback,Kim Elizabeth</v>
          </cell>
          <cell r="N14441" t="str">
            <v>NR</v>
          </cell>
          <cell r="O14441" t="str">
            <v>NR</v>
          </cell>
        </row>
        <row r="14442">
          <cell r="E14442" t="str">
            <v>SLST</v>
          </cell>
          <cell r="F14442" t="str">
            <v>SLST-T</v>
          </cell>
          <cell r="G14442">
            <v>74</v>
          </cell>
          <cell r="H14442" t="str">
            <v>SLST-T74</v>
          </cell>
          <cell r="K14442" t="str">
            <v>Hallback,Kim Elizabeth</v>
          </cell>
          <cell r="N14442">
            <v>1.923</v>
          </cell>
          <cell r="O14442">
            <v>0.29399999999999998</v>
          </cell>
        </row>
        <row r="14443">
          <cell r="E14443" t="str">
            <v>SLST</v>
          </cell>
          <cell r="F14443" t="str">
            <v>SLST-T</v>
          </cell>
          <cell r="G14443">
            <v>74</v>
          </cell>
          <cell r="H14443" t="str">
            <v>SLST-T74</v>
          </cell>
          <cell r="K14443" t="str">
            <v>Hallback,Kim Elizabeth</v>
          </cell>
          <cell r="N14443">
            <v>2.6230000000000002</v>
          </cell>
          <cell r="O14443">
            <v>0.29399999999999998</v>
          </cell>
        </row>
        <row r="14444">
          <cell r="E14444" t="str">
            <v>SLST</v>
          </cell>
          <cell r="F14444" t="str">
            <v>SLST-T</v>
          </cell>
          <cell r="G14444">
            <v>74</v>
          </cell>
          <cell r="H14444" t="str">
            <v>SLST-T74</v>
          </cell>
          <cell r="K14444" t="str">
            <v>Hallback,Kim Elizabeth</v>
          </cell>
          <cell r="N14444">
            <v>2.77</v>
          </cell>
          <cell r="O14444">
            <v>0.156</v>
          </cell>
        </row>
        <row r="14445">
          <cell r="E14445" t="str">
            <v>SLST</v>
          </cell>
          <cell r="F14445" t="str">
            <v>SLST-T</v>
          </cell>
          <cell r="G14445">
            <v>74</v>
          </cell>
          <cell r="H14445" t="str">
            <v>SLST-T74</v>
          </cell>
          <cell r="K14445" t="str">
            <v>Hallback,Kim Elizabeth</v>
          </cell>
          <cell r="N14445">
            <v>1.7</v>
          </cell>
          <cell r="O14445">
            <v>0.28100000000000003</v>
          </cell>
        </row>
        <row r="14446">
          <cell r="E14446" t="str">
            <v>SLST</v>
          </cell>
          <cell r="F14446" t="str">
            <v>SLST-T</v>
          </cell>
          <cell r="G14446">
            <v>74</v>
          </cell>
          <cell r="H14446" t="str">
            <v>SLST-T74</v>
          </cell>
          <cell r="K14446" t="str">
            <v>Hallback,Kim Elizabeth</v>
          </cell>
          <cell r="N14446">
            <v>2.1800000000000002</v>
          </cell>
          <cell r="O14446">
            <v>0.28100000000000003</v>
          </cell>
        </row>
        <row r="14447">
          <cell r="E14447" t="str">
            <v>SLST</v>
          </cell>
          <cell r="F14447" t="str">
            <v>SLST-T</v>
          </cell>
          <cell r="G14447">
            <v>74</v>
          </cell>
          <cell r="H14447" t="str">
            <v>SLST-T74</v>
          </cell>
          <cell r="K14447" t="str">
            <v>Juhasz,Andrea</v>
          </cell>
          <cell r="N14447">
            <v>3.0910000000000002</v>
          </cell>
          <cell r="O14447">
            <v>0.113</v>
          </cell>
        </row>
        <row r="14448">
          <cell r="E14448" t="str">
            <v>SLST</v>
          </cell>
          <cell r="F14448" t="str">
            <v>SLST-T</v>
          </cell>
          <cell r="G14448">
            <v>74</v>
          </cell>
          <cell r="H14448" t="str">
            <v>SLST-T74</v>
          </cell>
          <cell r="K14448" t="str">
            <v>Juhasz,Andrea</v>
          </cell>
          <cell r="N14448">
            <v>3.073</v>
          </cell>
          <cell r="O14448">
            <v>0.113</v>
          </cell>
        </row>
        <row r="14449">
          <cell r="E14449" t="str">
            <v>SLST</v>
          </cell>
          <cell r="F14449" t="str">
            <v>SLST-T</v>
          </cell>
          <cell r="G14449">
            <v>74</v>
          </cell>
          <cell r="H14449" t="str">
            <v>SLST-T74</v>
          </cell>
          <cell r="K14449" t="str">
            <v>Juhasz,Andrea</v>
          </cell>
          <cell r="N14449">
            <v>3.04</v>
          </cell>
          <cell r="O14449">
            <v>0.156</v>
          </cell>
        </row>
        <row r="14450">
          <cell r="E14450" t="str">
            <v>SLST</v>
          </cell>
          <cell r="F14450" t="str">
            <v>SLST-T</v>
          </cell>
          <cell r="G14450">
            <v>74</v>
          </cell>
          <cell r="H14450" t="str">
            <v>SLST-T74</v>
          </cell>
          <cell r="K14450" t="str">
            <v>Juhasz,Andrea</v>
          </cell>
          <cell r="N14450">
            <v>3.07</v>
          </cell>
          <cell r="O14450">
            <v>0.156</v>
          </cell>
        </row>
        <row r="14451">
          <cell r="E14451" t="str">
            <v>SLST</v>
          </cell>
          <cell r="F14451" t="str">
            <v>SLST-T</v>
          </cell>
          <cell r="G14451">
            <v>74</v>
          </cell>
          <cell r="H14451" t="str">
            <v>SLST-T74</v>
          </cell>
          <cell r="K14451" t="str">
            <v>Kinnaird,Susan Kuzniak</v>
          </cell>
          <cell r="N14451" t="str">
            <v>NR</v>
          </cell>
          <cell r="O14451" t="str">
            <v>NR</v>
          </cell>
        </row>
        <row r="14452">
          <cell r="E14452" t="str">
            <v>SLST</v>
          </cell>
          <cell r="F14452" t="str">
            <v>SLST-T</v>
          </cell>
          <cell r="G14452">
            <v>74</v>
          </cell>
          <cell r="H14452" t="str">
            <v>SLST-T74</v>
          </cell>
          <cell r="K14452" t="str">
            <v>Mahan,Rebecca A</v>
          </cell>
          <cell r="N14452" t="str">
            <v>NR</v>
          </cell>
          <cell r="O14452" t="str">
            <v>NR</v>
          </cell>
        </row>
        <row r="14453">
          <cell r="E14453" t="str">
            <v>SLST</v>
          </cell>
          <cell r="F14453" t="str">
            <v>SLST-T</v>
          </cell>
          <cell r="G14453">
            <v>74</v>
          </cell>
          <cell r="H14453" t="str">
            <v>SLST-T74</v>
          </cell>
          <cell r="K14453" t="str">
            <v>Mahan,Rebecca A</v>
          </cell>
          <cell r="N14453">
            <v>2.556</v>
          </cell>
          <cell r="O14453">
            <v>0.309</v>
          </cell>
        </row>
        <row r="14454">
          <cell r="E14454" t="str">
            <v>SLST</v>
          </cell>
          <cell r="F14454" t="str">
            <v>SLST-T</v>
          </cell>
          <cell r="G14454">
            <v>74</v>
          </cell>
          <cell r="H14454" t="str">
            <v>SLST-T74</v>
          </cell>
          <cell r="K14454" t="str">
            <v>McCafferty,Michael Lee</v>
          </cell>
          <cell r="N14454">
            <v>3.0910000000000002</v>
          </cell>
          <cell r="O14454">
            <v>0.113</v>
          </cell>
        </row>
        <row r="14455">
          <cell r="E14455" t="str">
            <v>SLST</v>
          </cell>
          <cell r="F14455" t="str">
            <v>SLST-T</v>
          </cell>
          <cell r="G14455">
            <v>74</v>
          </cell>
          <cell r="H14455" t="str">
            <v>SLST-T74</v>
          </cell>
          <cell r="K14455" t="str">
            <v>McCafferty,Michael Lee</v>
          </cell>
          <cell r="N14455">
            <v>3.2229999999999999</v>
          </cell>
          <cell r="O14455">
            <v>0.107</v>
          </cell>
        </row>
        <row r="14456">
          <cell r="E14456" t="str">
            <v>SLST</v>
          </cell>
          <cell r="F14456" t="str">
            <v>SLST-T</v>
          </cell>
          <cell r="G14456">
            <v>74</v>
          </cell>
          <cell r="H14456" t="str">
            <v>SLST-T74</v>
          </cell>
          <cell r="K14456" t="str">
            <v>Mori,Carolyn R</v>
          </cell>
          <cell r="N14456">
            <v>2.1219999999999999</v>
          </cell>
          <cell r="O14456">
            <v>0.104</v>
          </cell>
        </row>
        <row r="14457">
          <cell r="E14457" t="str">
            <v>SLST</v>
          </cell>
          <cell r="F14457" t="str">
            <v>SLST-T</v>
          </cell>
          <cell r="G14457">
            <v>74</v>
          </cell>
          <cell r="H14457" t="str">
            <v>SLST-T74</v>
          </cell>
          <cell r="K14457" t="str">
            <v>Nott,David C</v>
          </cell>
          <cell r="N14457">
            <v>2.3450000000000002</v>
          </cell>
          <cell r="O14457">
            <v>0.113</v>
          </cell>
        </row>
        <row r="14458">
          <cell r="E14458" t="str">
            <v>SLST</v>
          </cell>
          <cell r="F14458" t="str">
            <v>SLST-T</v>
          </cell>
          <cell r="G14458">
            <v>74</v>
          </cell>
          <cell r="H14458" t="str">
            <v>SLST-T74</v>
          </cell>
          <cell r="K14458" t="str">
            <v>Nott,David C</v>
          </cell>
          <cell r="N14458">
            <v>3.0459999999999998</v>
          </cell>
          <cell r="O14458">
            <v>0.107</v>
          </cell>
        </row>
        <row r="14459">
          <cell r="E14459" t="str">
            <v>SLST</v>
          </cell>
          <cell r="F14459" t="str">
            <v>SLST-T</v>
          </cell>
          <cell r="G14459">
            <v>74</v>
          </cell>
          <cell r="H14459" t="str">
            <v>SLST-T74</v>
          </cell>
          <cell r="K14459" t="str">
            <v>Reaves,Alisha J</v>
          </cell>
          <cell r="N14459">
            <v>2.5329999999999999</v>
          </cell>
          <cell r="O14459">
            <v>0.17399999999999999</v>
          </cell>
        </row>
        <row r="14460">
          <cell r="E14460" t="str">
            <v>SLST</v>
          </cell>
          <cell r="F14460" t="str">
            <v>SLST-T</v>
          </cell>
          <cell r="G14460">
            <v>74</v>
          </cell>
          <cell r="H14460" t="str">
            <v>SLST-T74</v>
          </cell>
          <cell r="K14460" t="str">
            <v>Rolfs,Beverly Lynn</v>
          </cell>
          <cell r="N14460" t="str">
            <v>NR</v>
          </cell>
          <cell r="O14460" t="str">
            <v>NR</v>
          </cell>
        </row>
        <row r="14461">
          <cell r="E14461" t="str">
            <v>SLST</v>
          </cell>
          <cell r="F14461" t="str">
            <v>SLST-T</v>
          </cell>
          <cell r="G14461">
            <v>74</v>
          </cell>
          <cell r="H14461" t="str">
            <v>SLST-T74</v>
          </cell>
          <cell r="K14461" t="str">
            <v>Seo,Hyun Kyoung</v>
          </cell>
          <cell r="N14461">
            <v>2.6379999999999999</v>
          </cell>
          <cell r="O14461">
            <v>0.107</v>
          </cell>
        </row>
        <row r="14462">
          <cell r="E14462" t="str">
            <v>SLST</v>
          </cell>
          <cell r="F14462" t="str">
            <v>SLST-T</v>
          </cell>
          <cell r="G14462">
            <v>74</v>
          </cell>
          <cell r="H14462" t="str">
            <v>SLST-T74</v>
          </cell>
          <cell r="K14462" t="str">
            <v>Seo,Hyun Kyoung</v>
          </cell>
          <cell r="N14462">
            <v>2.4079999999999999</v>
          </cell>
          <cell r="O14462">
            <v>0.107</v>
          </cell>
        </row>
        <row r="14463">
          <cell r="E14463" t="str">
            <v>SLST</v>
          </cell>
          <cell r="F14463" t="str">
            <v>SLST-T</v>
          </cell>
          <cell r="G14463">
            <v>74</v>
          </cell>
          <cell r="H14463" t="str">
            <v>SLST-T74</v>
          </cell>
          <cell r="K14463" t="str">
            <v>Topuria-Bevis,Eva Z</v>
          </cell>
          <cell r="N14463">
            <v>2.5459999999999998</v>
          </cell>
          <cell r="O14463">
            <v>0.29399999999999998</v>
          </cell>
        </row>
        <row r="14464">
          <cell r="E14464" t="str">
            <v>SLST</v>
          </cell>
          <cell r="F14464" t="str">
            <v>SLST-T</v>
          </cell>
          <cell r="G14464">
            <v>74</v>
          </cell>
          <cell r="H14464" t="str">
            <v>SLST-T74</v>
          </cell>
          <cell r="K14464" t="str">
            <v>Whyatt,Daniel Irving</v>
          </cell>
          <cell r="N14464">
            <v>2.85</v>
          </cell>
          <cell r="O14464">
            <v>9.4E-2</v>
          </cell>
        </row>
        <row r="14465">
          <cell r="E14465" t="str">
            <v>SLST</v>
          </cell>
          <cell r="F14465" t="str">
            <v>SLST-T</v>
          </cell>
          <cell r="G14465">
            <v>74</v>
          </cell>
          <cell r="H14465" t="str">
            <v>SLST-T74</v>
          </cell>
          <cell r="K14465" t="str">
            <v>Whyatt,Daniel Irving</v>
          </cell>
          <cell r="N14465">
            <v>2.7</v>
          </cell>
          <cell r="O14465">
            <v>9.4E-2</v>
          </cell>
        </row>
        <row r="14466">
          <cell r="E14466" t="str">
            <v>SLST</v>
          </cell>
          <cell r="F14466" t="str">
            <v>SLST-T</v>
          </cell>
          <cell r="G14466">
            <v>75</v>
          </cell>
          <cell r="H14466" t="str">
            <v>SLST-T75</v>
          </cell>
          <cell r="K14466" t="str">
            <v>Burghardt,Beatrix</v>
          </cell>
          <cell r="N14466">
            <v>2.2669999999999999</v>
          </cell>
          <cell r="O14466">
            <v>0</v>
          </cell>
        </row>
        <row r="14467">
          <cell r="E14467" t="str">
            <v>SLST</v>
          </cell>
          <cell r="F14467" t="str">
            <v>SLST-T</v>
          </cell>
          <cell r="G14467">
            <v>75</v>
          </cell>
          <cell r="H14467" t="str">
            <v>SLST-T75</v>
          </cell>
          <cell r="K14467" t="str">
            <v>Burghardt,Beatrix</v>
          </cell>
          <cell r="N14467">
            <v>2</v>
          </cell>
          <cell r="O14467">
            <v>0</v>
          </cell>
        </row>
        <row r="14468">
          <cell r="E14468" t="str">
            <v>SLST</v>
          </cell>
          <cell r="F14468" t="str">
            <v>SLST-T</v>
          </cell>
          <cell r="G14468">
            <v>75</v>
          </cell>
          <cell r="H14468" t="str">
            <v>SLST-T75</v>
          </cell>
          <cell r="K14468" t="str">
            <v>Burnett,Brooke Ashley</v>
          </cell>
          <cell r="N14468">
            <v>3</v>
          </cell>
          <cell r="O14468">
            <v>0</v>
          </cell>
        </row>
        <row r="14469">
          <cell r="E14469" t="str">
            <v>SLST</v>
          </cell>
          <cell r="F14469" t="str">
            <v>SLST-T</v>
          </cell>
          <cell r="G14469">
            <v>75</v>
          </cell>
          <cell r="H14469" t="str">
            <v>SLST-T75</v>
          </cell>
          <cell r="K14469" t="str">
            <v>Burnett,Brooke Ashley</v>
          </cell>
          <cell r="N14469">
            <v>2.8439999999999999</v>
          </cell>
          <cell r="O14469">
            <v>0.308</v>
          </cell>
        </row>
        <row r="14470">
          <cell r="E14470" t="str">
            <v>SLST</v>
          </cell>
          <cell r="F14470" t="str">
            <v>SLST-T</v>
          </cell>
          <cell r="G14470">
            <v>75</v>
          </cell>
          <cell r="H14470" t="str">
            <v>SLST-T75</v>
          </cell>
          <cell r="K14470" t="str">
            <v>Congrove,Nisha Elena</v>
          </cell>
          <cell r="N14470">
            <v>2.4</v>
          </cell>
          <cell r="O14470">
            <v>0.27800000000000002</v>
          </cell>
        </row>
        <row r="14471">
          <cell r="E14471" t="str">
            <v>SLST</v>
          </cell>
          <cell r="F14471" t="str">
            <v>SLST-T</v>
          </cell>
          <cell r="G14471">
            <v>75</v>
          </cell>
          <cell r="H14471" t="str">
            <v>SLST-T75</v>
          </cell>
          <cell r="K14471" t="str">
            <v>Ermey,Peter Joseph</v>
          </cell>
          <cell r="N14471">
            <v>3.2669999999999999</v>
          </cell>
          <cell r="O14471">
            <v>0</v>
          </cell>
        </row>
        <row r="14472">
          <cell r="E14472" t="str">
            <v>SLST</v>
          </cell>
          <cell r="F14472" t="str">
            <v>SLST-T</v>
          </cell>
          <cell r="G14472">
            <v>75</v>
          </cell>
          <cell r="H14472" t="str">
            <v>SLST-T75</v>
          </cell>
          <cell r="K14472" t="str">
            <v>Fogleman,Paul</v>
          </cell>
          <cell r="N14472">
            <v>2.9220000000000002</v>
          </cell>
          <cell r="O14472">
            <v>0</v>
          </cell>
        </row>
        <row r="14473">
          <cell r="E14473" t="str">
            <v>SLST</v>
          </cell>
          <cell r="F14473" t="str">
            <v>SLST-T</v>
          </cell>
          <cell r="G14473">
            <v>75</v>
          </cell>
          <cell r="H14473" t="str">
            <v>SLST-T75</v>
          </cell>
          <cell r="K14473" t="str">
            <v>Gabriele,Leslie Anne Pereira</v>
          </cell>
          <cell r="N14473">
            <v>3.1080000000000001</v>
          </cell>
          <cell r="O14473">
            <v>0.23100000000000001</v>
          </cell>
        </row>
        <row r="14474">
          <cell r="E14474" t="str">
            <v>SLST</v>
          </cell>
          <cell r="F14474" t="str">
            <v>SLST-T</v>
          </cell>
          <cell r="G14474">
            <v>75</v>
          </cell>
          <cell r="H14474" t="str">
            <v>SLST-T75</v>
          </cell>
          <cell r="K14474" t="str">
            <v>Gabriele,Leslie Anne Pereira</v>
          </cell>
          <cell r="N14474">
            <v>2.9</v>
          </cell>
          <cell r="O14474">
            <v>0.23100000000000001</v>
          </cell>
        </row>
        <row r="14475">
          <cell r="E14475" t="str">
            <v>SLST</v>
          </cell>
          <cell r="F14475" t="str">
            <v>SLST-T</v>
          </cell>
          <cell r="G14475">
            <v>75</v>
          </cell>
          <cell r="H14475" t="str">
            <v>SLST-T75</v>
          </cell>
          <cell r="K14475" t="str">
            <v>Gabriele,Leslie Anne Pereira</v>
          </cell>
          <cell r="N14475">
            <v>2.2999999999999998</v>
          </cell>
          <cell r="O14475">
            <v>0.28000000000000003</v>
          </cell>
        </row>
        <row r="14476">
          <cell r="E14476" t="str">
            <v>SLST</v>
          </cell>
          <cell r="F14476" t="str">
            <v>SLST-T</v>
          </cell>
          <cell r="G14476">
            <v>75</v>
          </cell>
          <cell r="H14476" t="str">
            <v>SLST-T75</v>
          </cell>
          <cell r="K14476" t="str">
            <v>Gashi,Matilda Francoeur</v>
          </cell>
          <cell r="N14476">
            <v>2.867</v>
          </cell>
          <cell r="O14476">
            <v>0.23100000000000001</v>
          </cell>
        </row>
        <row r="14477">
          <cell r="E14477" t="str">
            <v>SLST</v>
          </cell>
          <cell r="F14477" t="str">
            <v>SLST-T</v>
          </cell>
          <cell r="G14477">
            <v>75</v>
          </cell>
          <cell r="H14477" t="str">
            <v>SLST-T75</v>
          </cell>
          <cell r="K14477" t="str">
            <v>Gashi,Matilda Francoeur</v>
          </cell>
          <cell r="N14477">
            <v>2.1859999999999999</v>
          </cell>
          <cell r="O14477">
            <v>0</v>
          </cell>
        </row>
        <row r="14478">
          <cell r="E14478" t="str">
            <v>SLST</v>
          </cell>
          <cell r="F14478" t="str">
            <v>SLST-T</v>
          </cell>
          <cell r="G14478">
            <v>75</v>
          </cell>
          <cell r="H14478" t="str">
            <v>SLST-T75</v>
          </cell>
          <cell r="K14478" t="str">
            <v>Gleiser,Andrew Philip</v>
          </cell>
          <cell r="N14478">
            <v>3.0270000000000001</v>
          </cell>
          <cell r="O14478">
            <v>0.28000000000000003</v>
          </cell>
        </row>
        <row r="14479">
          <cell r="E14479" t="str">
            <v>SLST</v>
          </cell>
          <cell r="F14479" t="str">
            <v>SLST-T</v>
          </cell>
          <cell r="G14479">
            <v>75</v>
          </cell>
          <cell r="H14479" t="str">
            <v>SLST-T75</v>
          </cell>
          <cell r="K14479" t="str">
            <v>Gleiser,Andrew Philip</v>
          </cell>
          <cell r="N14479">
            <v>3.0640000000000001</v>
          </cell>
          <cell r="O14479">
            <v>0.28000000000000003</v>
          </cell>
        </row>
        <row r="14480">
          <cell r="E14480" t="str">
            <v>SLST</v>
          </cell>
          <cell r="F14480" t="str">
            <v>SLST-T</v>
          </cell>
          <cell r="G14480">
            <v>75</v>
          </cell>
          <cell r="H14480" t="str">
            <v>SLST-T75</v>
          </cell>
          <cell r="K14480" t="str">
            <v>JeanBaptiste,Maggie</v>
          </cell>
          <cell r="N14480">
            <v>2.456</v>
          </cell>
          <cell r="O14480">
            <v>0</v>
          </cell>
        </row>
        <row r="14481">
          <cell r="E14481" t="str">
            <v>SLST</v>
          </cell>
          <cell r="F14481" t="str">
            <v>SLST-T</v>
          </cell>
          <cell r="G14481">
            <v>75</v>
          </cell>
          <cell r="H14481" t="str">
            <v>SLST-T75</v>
          </cell>
          <cell r="K14481" t="str">
            <v>JeanBaptiste,Maggie</v>
          </cell>
          <cell r="N14481">
            <v>3.044</v>
          </cell>
          <cell r="O14481">
            <v>0</v>
          </cell>
        </row>
        <row r="14482">
          <cell r="E14482" t="str">
            <v>SLST</v>
          </cell>
          <cell r="F14482" t="str">
            <v>SLST-T</v>
          </cell>
          <cell r="G14482">
            <v>75</v>
          </cell>
          <cell r="H14482" t="str">
            <v>SLST-T75</v>
          </cell>
          <cell r="K14482" t="str">
            <v>Kinnaird,Susan Kuzniak</v>
          </cell>
          <cell r="N14482">
            <v>1.3859999999999999</v>
          </cell>
          <cell r="O14482">
            <v>0</v>
          </cell>
        </row>
        <row r="14483">
          <cell r="E14483" t="str">
            <v>SLST</v>
          </cell>
          <cell r="F14483" t="str">
            <v>SLST-T</v>
          </cell>
          <cell r="G14483">
            <v>75</v>
          </cell>
          <cell r="H14483" t="str">
            <v>SLST-T75</v>
          </cell>
          <cell r="K14483" t="str">
            <v>Masterson Jr,David L</v>
          </cell>
          <cell r="N14483">
            <v>3.3330000000000002</v>
          </cell>
          <cell r="O14483">
            <v>0</v>
          </cell>
        </row>
        <row r="14484">
          <cell r="E14484" t="str">
            <v>SLST</v>
          </cell>
          <cell r="F14484" t="str">
            <v>SLST-T</v>
          </cell>
          <cell r="G14484">
            <v>75</v>
          </cell>
          <cell r="H14484" t="str">
            <v>SLST-T75</v>
          </cell>
          <cell r="K14484" t="str">
            <v>Meyer,Donald Lee</v>
          </cell>
          <cell r="N14484">
            <v>2.6</v>
          </cell>
          <cell r="O14484">
            <v>0</v>
          </cell>
        </row>
        <row r="14485">
          <cell r="E14485" t="str">
            <v>SLST</v>
          </cell>
          <cell r="F14485" t="str">
            <v>SLST-T</v>
          </cell>
          <cell r="G14485">
            <v>75</v>
          </cell>
          <cell r="H14485" t="str">
            <v>SLST-T75</v>
          </cell>
          <cell r="K14485" t="str">
            <v>Meyer,Donald Lee</v>
          </cell>
          <cell r="N14485">
            <v>1.8109999999999999</v>
          </cell>
          <cell r="O14485">
            <v>0</v>
          </cell>
        </row>
        <row r="14486">
          <cell r="E14486" t="str">
            <v>SLST</v>
          </cell>
          <cell r="F14486" t="str">
            <v>SLST-T</v>
          </cell>
          <cell r="G14486">
            <v>75</v>
          </cell>
          <cell r="H14486" t="str">
            <v>SLST-T75</v>
          </cell>
          <cell r="K14486" t="str">
            <v>Morris,William R.</v>
          </cell>
          <cell r="N14486">
            <v>3.5</v>
          </cell>
          <cell r="O14486">
            <v>0</v>
          </cell>
        </row>
        <row r="14487">
          <cell r="E14487" t="str">
            <v>SLST</v>
          </cell>
          <cell r="F14487" t="str">
            <v>SLST-T</v>
          </cell>
          <cell r="G14487">
            <v>75</v>
          </cell>
          <cell r="H14487" t="str">
            <v>SLST-T75</v>
          </cell>
          <cell r="K14487" t="str">
            <v>Russell,Paul D</v>
          </cell>
          <cell r="N14487">
            <v>2.778</v>
          </cell>
          <cell r="O14487">
            <v>0</v>
          </cell>
        </row>
        <row r="14488">
          <cell r="E14488" t="str">
            <v>SLST</v>
          </cell>
          <cell r="F14488" t="str">
            <v>SLST-T</v>
          </cell>
          <cell r="G14488">
            <v>75</v>
          </cell>
          <cell r="H14488" t="str">
            <v>SLST-T75</v>
          </cell>
          <cell r="K14488" t="str">
            <v>Russell,Paul D</v>
          </cell>
          <cell r="N14488">
            <v>2.8559999999999999</v>
          </cell>
          <cell r="O14488">
            <v>0</v>
          </cell>
        </row>
        <row r="14489">
          <cell r="E14489" t="str">
            <v>SLST</v>
          </cell>
          <cell r="F14489" t="str">
            <v>SLST-T</v>
          </cell>
          <cell r="G14489">
            <v>75</v>
          </cell>
          <cell r="H14489" t="str">
            <v>SLST-T75</v>
          </cell>
          <cell r="K14489" t="str">
            <v>Russell,Paul D</v>
          </cell>
          <cell r="N14489">
            <v>1.5</v>
          </cell>
          <cell r="O14489">
            <v>0</v>
          </cell>
        </row>
        <row r="14490">
          <cell r="E14490" t="str">
            <v>SLST</v>
          </cell>
          <cell r="F14490" t="str">
            <v>SLST-T</v>
          </cell>
          <cell r="G14490">
            <v>75</v>
          </cell>
          <cell r="H14490" t="str">
            <v>SLST-T75</v>
          </cell>
          <cell r="K14490" t="str">
            <v>Russell,Paul D</v>
          </cell>
          <cell r="N14490">
            <v>1.1930000000000001</v>
          </cell>
          <cell r="O14490">
            <v>0</v>
          </cell>
        </row>
        <row r="14491">
          <cell r="E14491" t="str">
            <v>SLST</v>
          </cell>
          <cell r="F14491" t="str">
            <v>SLST-T</v>
          </cell>
          <cell r="G14491">
            <v>75</v>
          </cell>
          <cell r="H14491" t="str">
            <v>SLST-T75</v>
          </cell>
          <cell r="K14491" t="str">
            <v>Topuria-Bevis,Eva Z</v>
          </cell>
          <cell r="N14491">
            <v>2.1859999999999999</v>
          </cell>
          <cell r="O14491">
            <v>0</v>
          </cell>
        </row>
        <row r="14492">
          <cell r="E14492" t="str">
            <v>SLST</v>
          </cell>
          <cell r="F14492" t="str">
            <v>SLST-T</v>
          </cell>
          <cell r="G14492">
            <v>75</v>
          </cell>
          <cell r="H14492" t="str">
            <v>SLST-T75</v>
          </cell>
          <cell r="K14492" t="str">
            <v>Topuria-Bevis,Eva Z</v>
          </cell>
          <cell r="N14492">
            <v>2.2290000000000001</v>
          </cell>
          <cell r="O14492">
            <v>0</v>
          </cell>
        </row>
        <row r="14493">
          <cell r="E14493" t="str">
            <v>SLST</v>
          </cell>
          <cell r="F14493" t="str">
            <v>SLST-T</v>
          </cell>
          <cell r="G14493">
            <v>75</v>
          </cell>
          <cell r="H14493" t="str">
            <v>SLST-T75</v>
          </cell>
          <cell r="K14493" t="str">
            <v>Warfield,Sarah Anne</v>
          </cell>
          <cell r="N14493">
            <v>1.571</v>
          </cell>
          <cell r="O14493">
            <v>0</v>
          </cell>
        </row>
        <row r="14494">
          <cell r="E14494" t="str">
            <v>SLST</v>
          </cell>
          <cell r="F14494" t="str">
            <v>SLST-T</v>
          </cell>
          <cell r="G14494">
            <v>76</v>
          </cell>
          <cell r="H14494" t="str">
            <v>SLST-T76</v>
          </cell>
          <cell r="K14494" t="str">
            <v>Allen,Lynn Rae</v>
          </cell>
          <cell r="N14494">
            <v>3.2749999999999999</v>
          </cell>
          <cell r="O14494">
            <v>0.08</v>
          </cell>
        </row>
        <row r="14495">
          <cell r="E14495" t="str">
            <v>SLST</v>
          </cell>
          <cell r="F14495" t="str">
            <v>SLST-T</v>
          </cell>
          <cell r="G14495">
            <v>76</v>
          </cell>
          <cell r="H14495" t="str">
            <v>SLST-T76</v>
          </cell>
          <cell r="K14495" t="str">
            <v>Allen,Lynn Rae</v>
          </cell>
          <cell r="N14495">
            <v>2.319</v>
          </cell>
          <cell r="O14495">
            <v>0.08</v>
          </cell>
        </row>
        <row r="14496">
          <cell r="E14496" t="str">
            <v>SLST</v>
          </cell>
          <cell r="F14496" t="str">
            <v>SLST-T</v>
          </cell>
          <cell r="G14496">
            <v>76</v>
          </cell>
          <cell r="H14496" t="str">
            <v>SLST-T76</v>
          </cell>
          <cell r="K14496" t="str">
            <v>Baker,Chris</v>
          </cell>
          <cell r="N14496">
            <v>2.1</v>
          </cell>
          <cell r="O14496">
            <v>0.21199999999999999</v>
          </cell>
        </row>
        <row r="14497">
          <cell r="E14497" t="str">
            <v>SLST</v>
          </cell>
          <cell r="F14497" t="str">
            <v>SLST-T</v>
          </cell>
          <cell r="G14497">
            <v>76</v>
          </cell>
          <cell r="H14497" t="str">
            <v>SLST-T76</v>
          </cell>
          <cell r="K14497" t="str">
            <v>Baker,Chris</v>
          </cell>
          <cell r="N14497">
            <v>2.3140000000000001</v>
          </cell>
          <cell r="O14497">
            <v>0.21199999999999999</v>
          </cell>
        </row>
        <row r="14498">
          <cell r="E14498" t="str">
            <v>SLST</v>
          </cell>
          <cell r="F14498" t="str">
            <v>SLST-T</v>
          </cell>
          <cell r="G14498">
            <v>76</v>
          </cell>
          <cell r="H14498" t="str">
            <v>SLST-T76</v>
          </cell>
          <cell r="K14498" t="str">
            <v>Barrow,McKay</v>
          </cell>
          <cell r="N14498">
            <v>2.25</v>
          </cell>
          <cell r="O14498">
            <v>0.107</v>
          </cell>
        </row>
        <row r="14499">
          <cell r="E14499" t="str">
            <v>SLST</v>
          </cell>
          <cell r="F14499" t="str">
            <v>SLST-T</v>
          </cell>
          <cell r="G14499">
            <v>76</v>
          </cell>
          <cell r="H14499" t="str">
            <v>SLST-T76</v>
          </cell>
          <cell r="K14499" t="str">
            <v>Barrow,McKay</v>
          </cell>
          <cell r="N14499">
            <v>2.65</v>
          </cell>
          <cell r="O14499">
            <v>0.107</v>
          </cell>
        </row>
        <row r="14500">
          <cell r="E14500" t="str">
            <v>SLST</v>
          </cell>
          <cell r="F14500" t="str">
            <v>SLST-T</v>
          </cell>
          <cell r="G14500">
            <v>76</v>
          </cell>
          <cell r="H14500" t="str">
            <v>SLST-T76</v>
          </cell>
          <cell r="K14500" t="str">
            <v>Challifour,Amber Russell</v>
          </cell>
          <cell r="N14500">
            <v>2.113</v>
          </cell>
          <cell r="O14500">
            <v>0.35599999999999998</v>
          </cell>
        </row>
        <row r="14501">
          <cell r="E14501" t="str">
            <v>SLST</v>
          </cell>
          <cell r="F14501" t="str">
            <v>SLST-T</v>
          </cell>
          <cell r="G14501">
            <v>76</v>
          </cell>
          <cell r="H14501" t="str">
            <v>SLST-T76</v>
          </cell>
          <cell r="K14501" t="str">
            <v>Challifour,Amber Russell</v>
          </cell>
          <cell r="N14501">
            <v>2.2999999999999998</v>
          </cell>
          <cell r="O14501">
            <v>0.35599999999999998</v>
          </cell>
        </row>
        <row r="14502">
          <cell r="E14502" t="str">
            <v>SLST</v>
          </cell>
          <cell r="F14502" t="str">
            <v>SLST-T</v>
          </cell>
          <cell r="G14502">
            <v>76</v>
          </cell>
          <cell r="H14502" t="str">
            <v>SLST-T76</v>
          </cell>
          <cell r="K14502" t="str">
            <v>Gabriele,Leslie Anne Pereira</v>
          </cell>
          <cell r="N14502">
            <v>2.1640000000000001</v>
          </cell>
          <cell r="O14502">
            <v>0.49</v>
          </cell>
        </row>
        <row r="14503">
          <cell r="E14503" t="str">
            <v>SLST</v>
          </cell>
          <cell r="F14503" t="str">
            <v>SLST-T</v>
          </cell>
          <cell r="G14503">
            <v>76</v>
          </cell>
          <cell r="H14503" t="str">
            <v>SLST-T76</v>
          </cell>
          <cell r="K14503" t="str">
            <v>Lidster,Ryan F</v>
          </cell>
          <cell r="N14503">
            <v>1.8380000000000001</v>
          </cell>
          <cell r="O14503">
            <v>0.22800000000000001</v>
          </cell>
        </row>
        <row r="14504">
          <cell r="E14504" t="str">
            <v>SLST</v>
          </cell>
          <cell r="F14504" t="str">
            <v>SLST-T</v>
          </cell>
          <cell r="G14504">
            <v>76</v>
          </cell>
          <cell r="H14504" t="str">
            <v>SLST-T76</v>
          </cell>
          <cell r="K14504" t="str">
            <v>Lidster,Ryan F</v>
          </cell>
          <cell r="N14504">
            <v>1.8879999999999999</v>
          </cell>
          <cell r="O14504">
            <v>0.22800000000000001</v>
          </cell>
        </row>
        <row r="14505">
          <cell r="E14505" t="str">
            <v>SLST</v>
          </cell>
          <cell r="F14505" t="str">
            <v>SLST-T</v>
          </cell>
          <cell r="G14505">
            <v>76</v>
          </cell>
          <cell r="H14505" t="str">
            <v>SLST-T76</v>
          </cell>
          <cell r="K14505" t="str">
            <v>McCafferty,Michael Lee</v>
          </cell>
          <cell r="N14505">
            <v>3.1549999999999998</v>
          </cell>
          <cell r="O14505">
            <v>0.49</v>
          </cell>
        </row>
        <row r="14506">
          <cell r="E14506" t="str">
            <v>SLST</v>
          </cell>
          <cell r="F14506" t="str">
            <v>SLST-T</v>
          </cell>
          <cell r="G14506">
            <v>76</v>
          </cell>
          <cell r="H14506" t="str">
            <v>SLST-T76</v>
          </cell>
          <cell r="K14506" t="str">
            <v>McCafferty,Michael Lee</v>
          </cell>
          <cell r="N14506">
            <v>2.7549999999999999</v>
          </cell>
          <cell r="O14506">
            <v>0.49</v>
          </cell>
        </row>
        <row r="14507">
          <cell r="E14507" t="str">
            <v>SLST</v>
          </cell>
          <cell r="F14507" t="str">
            <v>SLST-T</v>
          </cell>
          <cell r="G14507">
            <v>76</v>
          </cell>
          <cell r="H14507" t="str">
            <v>SLST-T76</v>
          </cell>
          <cell r="K14507" t="str">
            <v>Meyer,Donald Lee</v>
          </cell>
          <cell r="N14507">
            <v>1.7909999999999999</v>
          </cell>
          <cell r="O14507">
            <v>0</v>
          </cell>
        </row>
        <row r="14508">
          <cell r="E14508" t="str">
            <v>SLST</v>
          </cell>
          <cell r="F14508" t="str">
            <v>SLST-T</v>
          </cell>
          <cell r="G14508">
            <v>76</v>
          </cell>
          <cell r="H14508" t="str">
            <v>SLST-T76</v>
          </cell>
          <cell r="K14508" t="str">
            <v>Meyer,Donald Lee</v>
          </cell>
          <cell r="N14508">
            <v>1.4550000000000001</v>
          </cell>
          <cell r="O14508">
            <v>0</v>
          </cell>
        </row>
        <row r="14509">
          <cell r="E14509" t="str">
            <v>SLST</v>
          </cell>
          <cell r="F14509" t="str">
            <v>SLST-T</v>
          </cell>
          <cell r="G14509">
            <v>76</v>
          </cell>
          <cell r="H14509" t="str">
            <v>SLST-T76</v>
          </cell>
          <cell r="K14509" t="str">
            <v>Mori,Carolyn R</v>
          </cell>
          <cell r="N14509">
            <v>2.8860000000000001</v>
          </cell>
          <cell r="O14509">
            <v>0.21199999999999999</v>
          </cell>
        </row>
        <row r="14510">
          <cell r="E14510" t="str">
            <v>SLST</v>
          </cell>
          <cell r="F14510" t="str">
            <v>SLST-T</v>
          </cell>
          <cell r="G14510">
            <v>76</v>
          </cell>
          <cell r="H14510" t="str">
            <v>SLST-T76</v>
          </cell>
          <cell r="K14510" t="str">
            <v>Mori,Carolyn R</v>
          </cell>
          <cell r="N14510">
            <v>2.5310000000000001</v>
          </cell>
          <cell r="O14510">
            <v>0.33300000000000002</v>
          </cell>
        </row>
        <row r="14511">
          <cell r="E14511" t="str">
            <v>SLST</v>
          </cell>
          <cell r="F14511" t="str">
            <v>SLST-T</v>
          </cell>
          <cell r="G14511">
            <v>76</v>
          </cell>
          <cell r="H14511" t="str">
            <v>SLST-T76</v>
          </cell>
          <cell r="K14511" t="str">
            <v>Mori,Carolyn R</v>
          </cell>
          <cell r="N14511">
            <v>2.9670000000000001</v>
          </cell>
          <cell r="O14511">
            <v>8.5999999999999993E-2</v>
          </cell>
        </row>
        <row r="14512">
          <cell r="E14512" t="str">
            <v>SLST</v>
          </cell>
          <cell r="F14512" t="str">
            <v>SLST-T</v>
          </cell>
          <cell r="G14512">
            <v>76</v>
          </cell>
          <cell r="H14512" t="str">
            <v>SLST-T76</v>
          </cell>
          <cell r="K14512" t="str">
            <v>Mori,Carolyn R</v>
          </cell>
          <cell r="N14512">
            <v>3.2450000000000001</v>
          </cell>
          <cell r="O14512">
            <v>0.34499999999999997</v>
          </cell>
        </row>
        <row r="14513">
          <cell r="E14513" t="str">
            <v>SLST</v>
          </cell>
          <cell r="F14513" t="str">
            <v>SLST-T</v>
          </cell>
          <cell r="G14513">
            <v>76</v>
          </cell>
          <cell r="H14513" t="str">
            <v>SLST-T76</v>
          </cell>
          <cell r="K14513" t="str">
            <v>Mori,Carolyn R</v>
          </cell>
          <cell r="N14513">
            <v>2.37</v>
          </cell>
          <cell r="O14513">
            <v>0</v>
          </cell>
        </row>
        <row r="14514">
          <cell r="E14514" t="str">
            <v>SLST</v>
          </cell>
          <cell r="F14514" t="str">
            <v>SLST-T</v>
          </cell>
          <cell r="G14514">
            <v>76</v>
          </cell>
          <cell r="H14514" t="str">
            <v>SLST-T76</v>
          </cell>
          <cell r="K14514" t="str">
            <v>Mori,Carolyn R</v>
          </cell>
          <cell r="N14514">
            <v>2.827</v>
          </cell>
          <cell r="O14514">
            <v>0.49</v>
          </cell>
        </row>
        <row r="14515">
          <cell r="E14515" t="str">
            <v>SLST</v>
          </cell>
          <cell r="F14515" t="str">
            <v>SLST-T</v>
          </cell>
          <cell r="G14515">
            <v>76</v>
          </cell>
          <cell r="H14515" t="str">
            <v>SLST-T76</v>
          </cell>
          <cell r="K14515" t="str">
            <v>Pontius,Gail</v>
          </cell>
          <cell r="N14515">
            <v>2.6629999999999998</v>
          </cell>
          <cell r="O14515">
            <v>0.185</v>
          </cell>
        </row>
        <row r="14516">
          <cell r="E14516" t="str">
            <v>SLST</v>
          </cell>
          <cell r="F14516" t="str">
            <v>SLST-T</v>
          </cell>
          <cell r="G14516">
            <v>76</v>
          </cell>
          <cell r="H14516" t="str">
            <v>SLST-T76</v>
          </cell>
          <cell r="K14516" t="str">
            <v>Rolfs,Beverly Lynn</v>
          </cell>
          <cell r="N14516">
            <v>2.887</v>
          </cell>
          <cell r="O14516">
            <v>0.35599999999999998</v>
          </cell>
        </row>
        <row r="14517">
          <cell r="E14517" t="str">
            <v>SLST</v>
          </cell>
          <cell r="F14517" t="str">
            <v>SLST-T</v>
          </cell>
          <cell r="G14517">
            <v>76</v>
          </cell>
          <cell r="H14517" t="str">
            <v>SLST-T76</v>
          </cell>
          <cell r="K14517" t="str">
            <v>Rolfs,Beverly Lynn</v>
          </cell>
          <cell r="N14517">
            <v>2.694</v>
          </cell>
          <cell r="O14517">
            <v>0.08</v>
          </cell>
        </row>
        <row r="14518">
          <cell r="E14518" t="str">
            <v>SLST</v>
          </cell>
          <cell r="F14518" t="str">
            <v>SLST-T</v>
          </cell>
          <cell r="G14518">
            <v>76</v>
          </cell>
          <cell r="H14518" t="str">
            <v>SLST-T76</v>
          </cell>
          <cell r="K14518" t="str">
            <v>Rolfs,Beverly Lynn</v>
          </cell>
          <cell r="N14518">
            <v>3.0249999999999999</v>
          </cell>
          <cell r="O14518">
            <v>0.107</v>
          </cell>
        </row>
        <row r="14519">
          <cell r="E14519" t="str">
            <v>SLST</v>
          </cell>
          <cell r="F14519" t="str">
            <v>SLST-T</v>
          </cell>
          <cell r="G14519">
            <v>76</v>
          </cell>
          <cell r="H14519" t="str">
            <v>SLST-T76</v>
          </cell>
          <cell r="K14519" t="str">
            <v>Shettle,Denise Carolyn</v>
          </cell>
          <cell r="N14519">
            <v>1.875</v>
          </cell>
          <cell r="O14519">
            <v>0.22800000000000001</v>
          </cell>
        </row>
        <row r="14520">
          <cell r="E14520" t="str">
            <v>SLST</v>
          </cell>
          <cell r="F14520" t="str">
            <v>SLST-T</v>
          </cell>
          <cell r="G14520">
            <v>76</v>
          </cell>
          <cell r="H14520" t="str">
            <v>SLST-T76</v>
          </cell>
          <cell r="K14520" t="str">
            <v>Shettle,Denise Carolyn</v>
          </cell>
          <cell r="N14520">
            <v>2.0499999999999998</v>
          </cell>
          <cell r="O14520">
            <v>0.22800000000000001</v>
          </cell>
        </row>
        <row r="14521">
          <cell r="E14521" t="str">
            <v>SLST</v>
          </cell>
          <cell r="F14521" t="str">
            <v>SLST-T</v>
          </cell>
          <cell r="G14521">
            <v>76</v>
          </cell>
          <cell r="H14521" t="str">
            <v>SLST-T76</v>
          </cell>
          <cell r="K14521" t="str">
            <v>Yeager,Rebecca Ruth</v>
          </cell>
          <cell r="N14521">
            <v>1.891</v>
          </cell>
          <cell r="O14521">
            <v>0</v>
          </cell>
        </row>
        <row r="14522">
          <cell r="E14522" t="str">
            <v>SLST</v>
          </cell>
          <cell r="F14522" t="str">
            <v>SLST-T</v>
          </cell>
          <cell r="G14522">
            <v>77</v>
          </cell>
          <cell r="H14522" t="str">
            <v>SLST-T77</v>
          </cell>
          <cell r="K14522" t="str">
            <v>Gashi,Matilda Francoeur</v>
          </cell>
          <cell r="N14522">
            <v>2.4079999999999999</v>
          </cell>
          <cell r="O14522">
            <v>0.24199999999999999</v>
          </cell>
        </row>
        <row r="14523">
          <cell r="E14523" t="str">
            <v>SLST</v>
          </cell>
          <cell r="F14523" t="str">
            <v>SLST-T</v>
          </cell>
          <cell r="G14523">
            <v>77</v>
          </cell>
          <cell r="H14523" t="str">
            <v>SLST-T77</v>
          </cell>
          <cell r="K14523" t="str">
            <v>Gashi,Matilda Francoeur</v>
          </cell>
          <cell r="N14523">
            <v>2.4079999999999999</v>
          </cell>
          <cell r="O14523">
            <v>0.24199999999999999</v>
          </cell>
        </row>
        <row r="14524">
          <cell r="E14524" t="str">
            <v>SLST</v>
          </cell>
          <cell r="F14524" t="str">
            <v>SLST-T</v>
          </cell>
          <cell r="G14524">
            <v>77</v>
          </cell>
          <cell r="H14524" t="str">
            <v>SLST-T77</v>
          </cell>
          <cell r="K14524" t="str">
            <v>Gashi,Matilda Francoeur</v>
          </cell>
          <cell r="N14524">
            <v>2.2469999999999999</v>
          </cell>
          <cell r="O14524">
            <v>0</v>
          </cell>
        </row>
        <row r="14525">
          <cell r="E14525" t="str">
            <v>SLST</v>
          </cell>
          <cell r="F14525" t="str">
            <v>SLST-T</v>
          </cell>
          <cell r="G14525">
            <v>77</v>
          </cell>
          <cell r="H14525" t="str">
            <v>SLST-T77</v>
          </cell>
          <cell r="K14525" t="str">
            <v>Gashi,Matilda Francoeur</v>
          </cell>
          <cell r="N14525">
            <v>2.2469999999999999</v>
          </cell>
          <cell r="O14525">
            <v>0</v>
          </cell>
        </row>
        <row r="14526">
          <cell r="E14526" t="str">
            <v>SLST</v>
          </cell>
          <cell r="F14526" t="str">
            <v>SLST-T</v>
          </cell>
          <cell r="G14526">
            <v>77</v>
          </cell>
          <cell r="H14526" t="str">
            <v>SLST-T77</v>
          </cell>
          <cell r="K14526" t="str">
            <v>Russell,Paul D</v>
          </cell>
          <cell r="N14526">
            <v>3.411</v>
          </cell>
          <cell r="O14526">
            <v>0</v>
          </cell>
        </row>
        <row r="14527">
          <cell r="E14527" t="str">
            <v>SLST</v>
          </cell>
          <cell r="F14527" t="str">
            <v>SLST-T</v>
          </cell>
          <cell r="G14527">
            <v>77</v>
          </cell>
          <cell r="H14527" t="str">
            <v>SLST-T77</v>
          </cell>
          <cell r="K14527" t="str">
            <v>Russell,Paul D</v>
          </cell>
          <cell r="N14527">
            <v>3.456</v>
          </cell>
          <cell r="O14527">
            <v>0</v>
          </cell>
        </row>
        <row r="14528">
          <cell r="E14528" t="str">
            <v>SLST</v>
          </cell>
          <cell r="F14528" t="str">
            <v>SLST-T</v>
          </cell>
          <cell r="G14528">
            <v>78</v>
          </cell>
          <cell r="H14528" t="str">
            <v>SLST-T78</v>
          </cell>
          <cell r="K14528" t="str">
            <v>Allen,Lynn Rae</v>
          </cell>
          <cell r="N14528">
            <v>2.8570000000000002</v>
          </cell>
          <cell r="O14528">
            <v>0</v>
          </cell>
        </row>
        <row r="14529">
          <cell r="E14529" t="str">
            <v>SLST</v>
          </cell>
          <cell r="F14529" t="str">
            <v>SLST-T</v>
          </cell>
          <cell r="G14529">
            <v>78</v>
          </cell>
          <cell r="H14529" t="str">
            <v>SLST-T78</v>
          </cell>
          <cell r="K14529" t="str">
            <v>Congrove,Nisha Elena</v>
          </cell>
          <cell r="N14529">
            <v>2.8380000000000001</v>
          </cell>
          <cell r="O14529">
            <v>9.9000000000000005E-2</v>
          </cell>
        </row>
        <row r="14530">
          <cell r="E14530" t="str">
            <v>SLST</v>
          </cell>
          <cell r="F14530" t="str">
            <v>SLST-T</v>
          </cell>
          <cell r="G14530">
            <v>78</v>
          </cell>
          <cell r="H14530" t="str">
            <v>SLST-T78</v>
          </cell>
          <cell r="K14530" t="str">
            <v>Deese,Jayson J</v>
          </cell>
          <cell r="N14530">
            <v>1.3</v>
          </cell>
          <cell r="O14530">
            <v>0</v>
          </cell>
        </row>
        <row r="14531">
          <cell r="E14531" t="str">
            <v>SLST</v>
          </cell>
          <cell r="F14531" t="str">
            <v>SLST-T</v>
          </cell>
          <cell r="G14531">
            <v>78</v>
          </cell>
          <cell r="H14531" t="str">
            <v>SLST-T78</v>
          </cell>
          <cell r="K14531" t="str">
            <v>Ermey,Peter Joseph</v>
          </cell>
          <cell r="N14531">
            <v>3.7829999999999999</v>
          </cell>
          <cell r="O14531">
            <v>0</v>
          </cell>
        </row>
        <row r="14532">
          <cell r="E14532" t="str">
            <v>SLST</v>
          </cell>
          <cell r="F14532" t="str">
            <v>SLST-T</v>
          </cell>
          <cell r="G14532">
            <v>78</v>
          </cell>
          <cell r="H14532" t="str">
            <v>SLST-T78</v>
          </cell>
          <cell r="K14532" t="str">
            <v>Gabriele,Leslie Anne Pereira</v>
          </cell>
          <cell r="N14532">
            <v>3.1309999999999998</v>
          </cell>
          <cell r="O14532">
            <v>0.24199999999999999</v>
          </cell>
        </row>
        <row r="14533">
          <cell r="E14533" t="str">
            <v>SLST</v>
          </cell>
          <cell r="F14533" t="str">
            <v>SLST-T</v>
          </cell>
          <cell r="G14533">
            <v>78</v>
          </cell>
          <cell r="H14533" t="str">
            <v>SLST-T78</v>
          </cell>
          <cell r="K14533" t="str">
            <v>Gabriele,Leslie Anne Pereira</v>
          </cell>
          <cell r="N14533">
            <v>3.6869999999999998</v>
          </cell>
          <cell r="O14533">
            <v>0.46700000000000003</v>
          </cell>
        </row>
        <row r="14534">
          <cell r="E14534" t="str">
            <v>SLST</v>
          </cell>
          <cell r="F14534" t="str">
            <v>SLST-T</v>
          </cell>
          <cell r="G14534">
            <v>78</v>
          </cell>
          <cell r="H14534" t="str">
            <v>SLST-T78</v>
          </cell>
          <cell r="K14534" t="str">
            <v>Juhasz,Andrea</v>
          </cell>
          <cell r="N14534">
            <v>3.7</v>
          </cell>
          <cell r="O14534">
            <v>0</v>
          </cell>
        </row>
        <row r="14535">
          <cell r="E14535" t="str">
            <v>SLST</v>
          </cell>
          <cell r="F14535" t="str">
            <v>SLST-T</v>
          </cell>
          <cell r="G14535">
            <v>78</v>
          </cell>
          <cell r="H14535" t="str">
            <v>SLST-T78</v>
          </cell>
          <cell r="K14535" t="str">
            <v>Juhasz,Andrea</v>
          </cell>
          <cell r="N14535">
            <v>3.375</v>
          </cell>
          <cell r="O14535">
            <v>9.4E-2</v>
          </cell>
        </row>
        <row r="14536">
          <cell r="E14536" t="str">
            <v>SLST</v>
          </cell>
          <cell r="F14536" t="str">
            <v>SLST-T</v>
          </cell>
          <cell r="G14536">
            <v>78</v>
          </cell>
          <cell r="H14536" t="str">
            <v>SLST-T78</v>
          </cell>
          <cell r="K14536" t="str">
            <v>Mahan,Rebecca A</v>
          </cell>
          <cell r="N14536" t="str">
            <v>NR</v>
          </cell>
          <cell r="O14536" t="str">
            <v>NR</v>
          </cell>
        </row>
        <row r="14537">
          <cell r="E14537" t="str">
            <v>SLST</v>
          </cell>
          <cell r="F14537" t="str">
            <v>SLST-T</v>
          </cell>
          <cell r="G14537">
            <v>78</v>
          </cell>
          <cell r="H14537" t="str">
            <v>SLST-T78</v>
          </cell>
          <cell r="K14537" t="str">
            <v>Mahan,Rebecca A</v>
          </cell>
          <cell r="N14537">
            <v>3.5</v>
          </cell>
          <cell r="O14537">
            <v>0.157</v>
          </cell>
        </row>
        <row r="14538">
          <cell r="E14538" t="str">
            <v>SLST</v>
          </cell>
          <cell r="F14538" t="str">
            <v>SLST-T</v>
          </cell>
          <cell r="G14538">
            <v>78</v>
          </cell>
          <cell r="H14538" t="str">
            <v>SLST-T78</v>
          </cell>
          <cell r="K14538" t="str">
            <v>Masterson Jr,David L</v>
          </cell>
          <cell r="N14538">
            <v>2.375</v>
          </cell>
          <cell r="O14538">
            <v>0</v>
          </cell>
        </row>
        <row r="14539">
          <cell r="E14539" t="str">
            <v>SLST</v>
          </cell>
          <cell r="F14539" t="str">
            <v>SLST-T</v>
          </cell>
          <cell r="G14539">
            <v>78</v>
          </cell>
          <cell r="H14539" t="str">
            <v>SLST-T78</v>
          </cell>
          <cell r="K14539" t="str">
            <v>McCafferty,Michael Lee</v>
          </cell>
          <cell r="N14539">
            <v>3.7879999999999998</v>
          </cell>
          <cell r="O14539">
            <v>0.39400000000000002</v>
          </cell>
        </row>
        <row r="14540">
          <cell r="E14540" t="str">
            <v>SLST</v>
          </cell>
          <cell r="F14540" t="str">
            <v>SLST-T</v>
          </cell>
          <cell r="G14540">
            <v>78</v>
          </cell>
          <cell r="H14540" t="str">
            <v>SLST-T78</v>
          </cell>
          <cell r="K14540" t="str">
            <v>McCafferty,Michael Lee</v>
          </cell>
          <cell r="N14540">
            <v>3.71</v>
          </cell>
          <cell r="O14540">
            <v>0</v>
          </cell>
        </row>
        <row r="14541">
          <cell r="E14541" t="str">
            <v>SLST</v>
          </cell>
          <cell r="F14541" t="str">
            <v>SLST-T</v>
          </cell>
          <cell r="G14541">
            <v>78</v>
          </cell>
          <cell r="H14541" t="str">
            <v>SLST-T78</v>
          </cell>
          <cell r="K14541" t="str">
            <v>McCafferty,Michael Lee</v>
          </cell>
          <cell r="N14541">
            <v>3.407</v>
          </cell>
          <cell r="O14541">
            <v>0.2</v>
          </cell>
        </row>
        <row r="14542">
          <cell r="E14542" t="str">
            <v>SLST</v>
          </cell>
          <cell r="F14542" t="str">
            <v>SLST-T</v>
          </cell>
          <cell r="G14542">
            <v>78</v>
          </cell>
          <cell r="H14542" t="str">
            <v>SLST-T78</v>
          </cell>
          <cell r="K14542" t="str">
            <v>McCafferty,Michael Lee</v>
          </cell>
          <cell r="N14542">
            <v>3.5169999999999999</v>
          </cell>
          <cell r="O14542">
            <v>0.25</v>
          </cell>
        </row>
        <row r="14543">
          <cell r="E14543" t="str">
            <v>SLST</v>
          </cell>
          <cell r="F14543" t="str">
            <v>SLST-T</v>
          </cell>
          <cell r="G14543">
            <v>78</v>
          </cell>
          <cell r="H14543" t="str">
            <v>SLST-T78</v>
          </cell>
          <cell r="K14543" t="str">
            <v>Morris,William R.</v>
          </cell>
          <cell r="N14543">
            <v>3.7</v>
          </cell>
          <cell r="O14543">
            <v>0.60599999999999998</v>
          </cell>
        </row>
        <row r="14544">
          <cell r="E14544" t="str">
            <v>SLST</v>
          </cell>
          <cell r="F14544" t="str">
            <v>SLST-T</v>
          </cell>
          <cell r="G14544">
            <v>78</v>
          </cell>
          <cell r="H14544" t="str">
            <v>SLST-T78</v>
          </cell>
          <cell r="K14544" t="str">
            <v>Pontius,Gail</v>
          </cell>
          <cell r="N14544" t="str">
            <v>NR</v>
          </cell>
          <cell r="O14544" t="str">
            <v>NR</v>
          </cell>
        </row>
        <row r="14545">
          <cell r="E14545" t="str">
            <v>SLST</v>
          </cell>
          <cell r="F14545" t="str">
            <v>SLST-T</v>
          </cell>
          <cell r="G14545">
            <v>78</v>
          </cell>
          <cell r="H14545" t="str">
            <v>SLST-T78</v>
          </cell>
          <cell r="K14545" t="str">
            <v>Russell,Paul D</v>
          </cell>
          <cell r="N14545">
            <v>4</v>
          </cell>
          <cell r="O14545">
            <v>0</v>
          </cell>
        </row>
        <row r="14546">
          <cell r="E14546" t="str">
            <v>SLST</v>
          </cell>
          <cell r="F14546" t="str">
            <v>SLST-T</v>
          </cell>
          <cell r="G14546">
            <v>78</v>
          </cell>
          <cell r="H14546" t="str">
            <v>SLST-T78</v>
          </cell>
          <cell r="K14546" t="str">
            <v>Sabraw,Stacy Marie</v>
          </cell>
          <cell r="N14546">
            <v>2.8889999999999998</v>
          </cell>
          <cell r="O14546">
            <v>0</v>
          </cell>
        </row>
        <row r="14547">
          <cell r="E14547" t="str">
            <v>SLST</v>
          </cell>
          <cell r="F14547" t="str">
            <v>SLST-T</v>
          </cell>
          <cell r="G14547">
            <v>78</v>
          </cell>
          <cell r="H14547" t="str">
            <v>SLST-T78</v>
          </cell>
          <cell r="K14547" t="str">
            <v>Topuria-Bevis,Eva Z</v>
          </cell>
          <cell r="N14547">
            <v>3.6</v>
          </cell>
          <cell r="O14547">
            <v>0</v>
          </cell>
        </row>
        <row r="14548">
          <cell r="E14548" t="str">
            <v>SLST</v>
          </cell>
          <cell r="F14548" t="str">
            <v>SLST-T</v>
          </cell>
          <cell r="G14548">
            <v>78</v>
          </cell>
          <cell r="H14548" t="str">
            <v>SLST-T78</v>
          </cell>
          <cell r="K14548" t="str">
            <v>Warfield,Sarah Anne</v>
          </cell>
          <cell r="N14548">
            <v>2.1429999999999998</v>
          </cell>
          <cell r="O14548">
            <v>0</v>
          </cell>
        </row>
        <row r="14549">
          <cell r="E14549" t="str">
            <v>SLST</v>
          </cell>
          <cell r="F14549" t="str">
            <v>SLST-T</v>
          </cell>
          <cell r="G14549">
            <v>78</v>
          </cell>
          <cell r="H14549" t="str">
            <v>SLST-T78</v>
          </cell>
          <cell r="K14549" t="str">
            <v>Warfield,Sarah Anne</v>
          </cell>
          <cell r="N14549">
            <v>0.94199999999999995</v>
          </cell>
          <cell r="O14549">
            <v>0</v>
          </cell>
        </row>
        <row r="14550">
          <cell r="E14550" t="str">
            <v>SLST</v>
          </cell>
          <cell r="F14550" t="str">
            <v>SLST-T</v>
          </cell>
          <cell r="G14550">
            <v>78</v>
          </cell>
          <cell r="H14550" t="str">
            <v>SLST-T78</v>
          </cell>
          <cell r="K14550" t="str">
            <v>Woodward,Vicki</v>
          </cell>
          <cell r="N14550">
            <v>2.827</v>
          </cell>
          <cell r="O14550">
            <v>0</v>
          </cell>
        </row>
        <row r="14551">
          <cell r="E14551" t="str">
            <v>SLST</v>
          </cell>
          <cell r="F14551" t="str">
            <v>SLST-T</v>
          </cell>
          <cell r="G14551">
            <v>78</v>
          </cell>
          <cell r="H14551" t="str">
            <v>SLST-T78</v>
          </cell>
          <cell r="K14551" t="str">
            <v>Woodward,Vicki</v>
          </cell>
          <cell r="N14551">
            <v>3.0329999999999999</v>
          </cell>
          <cell r="O14551">
            <v>0.52200000000000002</v>
          </cell>
        </row>
        <row r="14552">
          <cell r="E14552" t="str">
            <v>SLST</v>
          </cell>
          <cell r="F14552" t="str">
            <v>SLST-T</v>
          </cell>
          <cell r="G14552">
            <v>101</v>
          </cell>
          <cell r="H14552" t="str">
            <v>SLST-T101</v>
          </cell>
          <cell r="K14552" t="str">
            <v>Abe,Linda Sugioka</v>
          </cell>
          <cell r="N14552">
            <v>3.38</v>
          </cell>
          <cell r="O14552">
            <v>2.8879999999999999</v>
          </cell>
        </row>
        <row r="14553">
          <cell r="E14553" t="str">
            <v>SLST</v>
          </cell>
          <cell r="F14553" t="str">
            <v>SLST-T</v>
          </cell>
          <cell r="G14553">
            <v>101</v>
          </cell>
          <cell r="H14553" t="str">
            <v>SLST-T101</v>
          </cell>
          <cell r="K14553" t="str">
            <v>Abe,Linda Sugioka</v>
          </cell>
          <cell r="N14553">
            <v>3.2669999999999999</v>
          </cell>
          <cell r="O14553">
            <v>2.085</v>
          </cell>
        </row>
        <row r="14554">
          <cell r="E14554" t="str">
            <v>SLST</v>
          </cell>
          <cell r="F14554" t="str">
            <v>SLST-T</v>
          </cell>
          <cell r="G14554">
            <v>101</v>
          </cell>
          <cell r="H14554" t="str">
            <v>SLST-T101</v>
          </cell>
          <cell r="K14554" t="str">
            <v>Abe,Linda Sugioka</v>
          </cell>
          <cell r="N14554">
            <v>3.6150000000000002</v>
          </cell>
          <cell r="O14554">
            <v>3.0710000000000002</v>
          </cell>
        </row>
        <row r="14555">
          <cell r="E14555" t="str">
            <v>SLST</v>
          </cell>
          <cell r="F14555" t="str">
            <v>SLST-T</v>
          </cell>
          <cell r="G14555">
            <v>101</v>
          </cell>
          <cell r="H14555" t="str">
            <v>SLST-T101</v>
          </cell>
          <cell r="K14555" t="str">
            <v>Abe,Linda Sugioka</v>
          </cell>
          <cell r="N14555">
            <v>3.65</v>
          </cell>
          <cell r="O14555">
            <v>2.8690000000000002</v>
          </cell>
        </row>
        <row r="14556">
          <cell r="E14556" t="str">
            <v>SLST</v>
          </cell>
          <cell r="F14556" t="str">
            <v>SLST-T</v>
          </cell>
          <cell r="G14556">
            <v>101</v>
          </cell>
          <cell r="H14556" t="str">
            <v>SLST-T101</v>
          </cell>
          <cell r="K14556" t="str">
            <v>Abe,Linda Sugioka</v>
          </cell>
          <cell r="N14556">
            <v>2.875</v>
          </cell>
          <cell r="O14556">
            <v>2.4380000000000002</v>
          </cell>
        </row>
        <row r="14557">
          <cell r="E14557" t="str">
            <v>SLST</v>
          </cell>
          <cell r="F14557" t="str">
            <v>SLST-T</v>
          </cell>
          <cell r="G14557">
            <v>101</v>
          </cell>
          <cell r="H14557" t="str">
            <v>SLST-T101</v>
          </cell>
          <cell r="K14557" t="str">
            <v>Abe,Linda Sugioka</v>
          </cell>
          <cell r="N14557">
            <v>2.17</v>
          </cell>
          <cell r="O14557">
            <v>2.0699999999999998</v>
          </cell>
        </row>
        <row r="14558">
          <cell r="E14558" t="str">
            <v>SLST</v>
          </cell>
          <cell r="F14558" t="str">
            <v>SLST-T</v>
          </cell>
          <cell r="G14558">
            <v>101</v>
          </cell>
          <cell r="H14558" t="str">
            <v>SLST-T101</v>
          </cell>
          <cell r="K14558" t="str">
            <v>Allen,Lynn Rae</v>
          </cell>
          <cell r="N14558">
            <v>3.7549999999999999</v>
          </cell>
          <cell r="O14558">
            <v>2.992</v>
          </cell>
        </row>
        <row r="14559">
          <cell r="E14559" t="str">
            <v>SLST</v>
          </cell>
          <cell r="F14559" t="str">
            <v>SLST-T</v>
          </cell>
          <cell r="G14559">
            <v>101</v>
          </cell>
          <cell r="H14559" t="str">
            <v>SLST-T101</v>
          </cell>
          <cell r="K14559" t="str">
            <v>Allen,Lynn Rae</v>
          </cell>
          <cell r="N14559">
            <v>3.7349999999999999</v>
          </cell>
          <cell r="O14559">
            <v>2.8719999999999999</v>
          </cell>
        </row>
        <row r="14560">
          <cell r="E14560" t="str">
            <v>SLST</v>
          </cell>
          <cell r="F14560" t="str">
            <v>SLST-T</v>
          </cell>
          <cell r="G14560">
            <v>101</v>
          </cell>
          <cell r="H14560" t="str">
            <v>SLST-T101</v>
          </cell>
          <cell r="K14560" t="str">
            <v>Allen,Lynn Rae</v>
          </cell>
          <cell r="N14560">
            <v>3.2679999999999998</v>
          </cell>
          <cell r="O14560">
            <v>2.9489999999999998</v>
          </cell>
        </row>
        <row r="14561">
          <cell r="E14561" t="str">
            <v>SLST</v>
          </cell>
          <cell r="F14561" t="str">
            <v>SLST-T</v>
          </cell>
          <cell r="G14561">
            <v>101</v>
          </cell>
          <cell r="H14561" t="str">
            <v>SLST-T101</v>
          </cell>
          <cell r="K14561" t="str">
            <v>Allen,Lynn Rae</v>
          </cell>
          <cell r="N14561">
            <v>3.0550000000000002</v>
          </cell>
          <cell r="O14561">
            <v>2.1539999999999999</v>
          </cell>
        </row>
        <row r="14562">
          <cell r="E14562" t="str">
            <v>SLST</v>
          </cell>
          <cell r="F14562" t="str">
            <v>SLST-T</v>
          </cell>
          <cell r="G14562">
            <v>101</v>
          </cell>
          <cell r="H14562" t="str">
            <v>SLST-T101</v>
          </cell>
          <cell r="K14562" t="str">
            <v>Allen,Lynn Rae</v>
          </cell>
          <cell r="N14562">
            <v>3.8559999999999999</v>
          </cell>
          <cell r="O14562">
            <v>2.988</v>
          </cell>
        </row>
        <row r="14563">
          <cell r="E14563" t="str">
            <v>SLST</v>
          </cell>
          <cell r="F14563" t="str">
            <v>SLST-T</v>
          </cell>
          <cell r="G14563">
            <v>101</v>
          </cell>
          <cell r="H14563" t="str">
            <v>SLST-T101</v>
          </cell>
          <cell r="K14563" t="str">
            <v>Allen,Lynn Rae</v>
          </cell>
          <cell r="N14563">
            <v>3.0760000000000001</v>
          </cell>
          <cell r="O14563">
            <v>2.294</v>
          </cell>
        </row>
        <row r="14564">
          <cell r="E14564" t="str">
            <v>SLST</v>
          </cell>
          <cell r="F14564" t="str">
            <v>SLST-T</v>
          </cell>
          <cell r="G14564">
            <v>101</v>
          </cell>
          <cell r="H14564" t="str">
            <v>SLST-T101</v>
          </cell>
          <cell r="K14564" t="str">
            <v>Allen,Lynn Rae</v>
          </cell>
          <cell r="N14564">
            <v>2.5219999999999998</v>
          </cell>
          <cell r="O14564">
            <v>2.028</v>
          </cell>
        </row>
        <row r="14565">
          <cell r="E14565" t="str">
            <v>SLST</v>
          </cell>
          <cell r="F14565" t="str">
            <v>SLST-T</v>
          </cell>
          <cell r="G14565">
            <v>101</v>
          </cell>
          <cell r="H14565" t="str">
            <v>SLST-T101</v>
          </cell>
          <cell r="K14565" t="str">
            <v>Anderson,Hope Mindy</v>
          </cell>
          <cell r="N14565">
            <v>3.0150000000000001</v>
          </cell>
          <cell r="O14565">
            <v>2.7930000000000001</v>
          </cell>
        </row>
        <row r="14566">
          <cell r="E14566" t="str">
            <v>SLST</v>
          </cell>
          <cell r="F14566" t="str">
            <v>SLST-T</v>
          </cell>
          <cell r="G14566">
            <v>101</v>
          </cell>
          <cell r="H14566" t="str">
            <v>SLST-T101</v>
          </cell>
          <cell r="K14566" t="str">
            <v>Anderson,Hope Mindy</v>
          </cell>
          <cell r="N14566">
            <v>3.2250000000000001</v>
          </cell>
          <cell r="O14566">
            <v>2.899</v>
          </cell>
        </row>
        <row r="14567">
          <cell r="E14567" t="str">
            <v>SLST</v>
          </cell>
          <cell r="F14567" t="str">
            <v>SLST-T</v>
          </cell>
          <cell r="G14567">
            <v>101</v>
          </cell>
          <cell r="H14567" t="str">
            <v>SLST-T101</v>
          </cell>
          <cell r="K14567" t="str">
            <v>Anderson,Hope Mindy</v>
          </cell>
          <cell r="N14567">
            <v>3.5350000000000001</v>
          </cell>
          <cell r="O14567">
            <v>2.9540000000000002</v>
          </cell>
        </row>
        <row r="14568">
          <cell r="E14568" t="str">
            <v>SLST</v>
          </cell>
          <cell r="F14568" t="str">
            <v>SLST-T</v>
          </cell>
          <cell r="G14568">
            <v>101</v>
          </cell>
          <cell r="H14568" t="str">
            <v>SLST-T101</v>
          </cell>
          <cell r="K14568" t="str">
            <v>Anderson,Hope Mindy</v>
          </cell>
          <cell r="N14568">
            <v>3.5049999999999999</v>
          </cell>
          <cell r="O14568">
            <v>3.3109999999999999</v>
          </cell>
        </row>
        <row r="14569">
          <cell r="E14569" t="str">
            <v>SLST</v>
          </cell>
          <cell r="F14569" t="str">
            <v>SLST-T</v>
          </cell>
          <cell r="G14569">
            <v>101</v>
          </cell>
          <cell r="H14569" t="str">
            <v>SLST-T101</v>
          </cell>
          <cell r="K14569" t="str">
            <v>Barrow,McKay</v>
          </cell>
          <cell r="N14569">
            <v>3.0179999999999998</v>
          </cell>
          <cell r="O14569">
            <v>2.5830000000000002</v>
          </cell>
        </row>
        <row r="14570">
          <cell r="E14570" t="str">
            <v>SLST</v>
          </cell>
          <cell r="F14570" t="str">
            <v>SLST-T</v>
          </cell>
          <cell r="G14570">
            <v>101</v>
          </cell>
          <cell r="H14570" t="str">
            <v>SLST-T101</v>
          </cell>
          <cell r="K14570" t="str">
            <v>Barrow,McKay</v>
          </cell>
          <cell r="N14570">
            <v>2.806</v>
          </cell>
          <cell r="O14570">
            <v>2.3340000000000001</v>
          </cell>
        </row>
        <row r="14571">
          <cell r="E14571" t="str">
            <v>SLST</v>
          </cell>
          <cell r="F14571" t="str">
            <v>SLST-T</v>
          </cell>
          <cell r="G14571">
            <v>101</v>
          </cell>
          <cell r="H14571" t="str">
            <v>SLST-T101</v>
          </cell>
          <cell r="K14571" t="str">
            <v>Barrow,McKay</v>
          </cell>
          <cell r="N14571">
            <v>3.379</v>
          </cell>
          <cell r="O14571">
            <v>3.0139999999999998</v>
          </cell>
        </row>
        <row r="14572">
          <cell r="E14572" t="str">
            <v>SLST</v>
          </cell>
          <cell r="F14572" t="str">
            <v>SLST-T</v>
          </cell>
          <cell r="G14572">
            <v>101</v>
          </cell>
          <cell r="H14572" t="str">
            <v>SLST-T101</v>
          </cell>
          <cell r="K14572" t="str">
            <v>Barrow,McKay</v>
          </cell>
          <cell r="N14572">
            <v>3.105</v>
          </cell>
          <cell r="O14572">
            <v>2.823</v>
          </cell>
        </row>
        <row r="14573">
          <cell r="E14573" t="str">
            <v>SLST</v>
          </cell>
          <cell r="F14573" t="str">
            <v>SLST-T</v>
          </cell>
          <cell r="G14573">
            <v>101</v>
          </cell>
          <cell r="H14573" t="str">
            <v>SLST-T101</v>
          </cell>
          <cell r="K14573" t="str">
            <v>Congrove,Nisha Elena</v>
          </cell>
          <cell r="N14573">
            <v>2.27</v>
          </cell>
          <cell r="O14573">
            <v>2.2269999999999999</v>
          </cell>
        </row>
        <row r="14574">
          <cell r="E14574" t="str">
            <v>SLST</v>
          </cell>
          <cell r="F14574" t="str">
            <v>SLST-T</v>
          </cell>
          <cell r="G14574">
            <v>101</v>
          </cell>
          <cell r="H14574" t="str">
            <v>SLST-T101</v>
          </cell>
          <cell r="K14574" t="str">
            <v>Congrove,Nisha Elena</v>
          </cell>
          <cell r="N14574">
            <v>2.2999999999999998</v>
          </cell>
          <cell r="O14574">
            <v>2.4870000000000001</v>
          </cell>
        </row>
        <row r="14575">
          <cell r="E14575" t="str">
            <v>SLST</v>
          </cell>
          <cell r="F14575" t="str">
            <v>SLST-T</v>
          </cell>
          <cell r="G14575">
            <v>101</v>
          </cell>
          <cell r="H14575" t="str">
            <v>SLST-T101</v>
          </cell>
          <cell r="K14575" t="str">
            <v>Congrove,Nisha Elena</v>
          </cell>
          <cell r="N14575">
            <v>2.4529999999999998</v>
          </cell>
          <cell r="O14575">
            <v>2.798</v>
          </cell>
        </row>
        <row r="14576">
          <cell r="E14576" t="str">
            <v>SLST</v>
          </cell>
          <cell r="F14576" t="str">
            <v>SLST-T</v>
          </cell>
          <cell r="G14576">
            <v>101</v>
          </cell>
          <cell r="H14576" t="str">
            <v>SLST-T101</v>
          </cell>
          <cell r="K14576" t="str">
            <v>Daidone,Danielle Maria</v>
          </cell>
          <cell r="N14576">
            <v>3.6709999999999998</v>
          </cell>
          <cell r="O14576">
            <v>3.0670000000000002</v>
          </cell>
        </row>
        <row r="14577">
          <cell r="E14577" t="str">
            <v>SLST</v>
          </cell>
          <cell r="F14577" t="str">
            <v>SLST-T</v>
          </cell>
          <cell r="G14577">
            <v>101</v>
          </cell>
          <cell r="H14577" t="str">
            <v>SLST-T101</v>
          </cell>
          <cell r="K14577" t="str">
            <v>Daidone,Danielle Maria</v>
          </cell>
          <cell r="N14577">
            <v>3.633</v>
          </cell>
          <cell r="O14577">
            <v>2.9529999999999998</v>
          </cell>
        </row>
        <row r="14578">
          <cell r="E14578" t="str">
            <v>SLST</v>
          </cell>
          <cell r="F14578" t="str">
            <v>SLST-T</v>
          </cell>
          <cell r="G14578">
            <v>101</v>
          </cell>
          <cell r="H14578" t="str">
            <v>SLST-T101</v>
          </cell>
          <cell r="K14578" t="str">
            <v>Hansen,Megan Michelle</v>
          </cell>
          <cell r="N14578">
            <v>2.87</v>
          </cell>
          <cell r="O14578">
            <v>2.5569999999999999</v>
          </cell>
        </row>
        <row r="14579">
          <cell r="E14579" t="str">
            <v>SLST</v>
          </cell>
          <cell r="F14579" t="str">
            <v>SLST-T</v>
          </cell>
          <cell r="G14579">
            <v>101</v>
          </cell>
          <cell r="H14579" t="str">
            <v>SLST-T101</v>
          </cell>
          <cell r="K14579" t="str">
            <v>Hansen,Megan Michelle</v>
          </cell>
          <cell r="N14579">
            <v>3.335</v>
          </cell>
          <cell r="O14579">
            <v>2.8050000000000002</v>
          </cell>
        </row>
        <row r="14580">
          <cell r="E14580" t="str">
            <v>SLST</v>
          </cell>
          <cell r="F14580" t="str">
            <v>SLST-T</v>
          </cell>
          <cell r="G14580">
            <v>101</v>
          </cell>
          <cell r="H14580" t="str">
            <v>SLST-T101</v>
          </cell>
          <cell r="K14580" t="str">
            <v>Hansen,Megan Michelle</v>
          </cell>
          <cell r="N14580">
            <v>3.556</v>
          </cell>
          <cell r="O14580">
            <v>2.8250000000000002</v>
          </cell>
        </row>
        <row r="14581">
          <cell r="E14581" t="str">
            <v>SLST</v>
          </cell>
          <cell r="F14581" t="str">
            <v>SLST-T</v>
          </cell>
          <cell r="G14581">
            <v>101</v>
          </cell>
          <cell r="H14581" t="str">
            <v>SLST-T101</v>
          </cell>
          <cell r="K14581" t="str">
            <v>Hansen,Megan Michelle</v>
          </cell>
          <cell r="N14581">
            <v>3.52</v>
          </cell>
          <cell r="O14581">
            <v>3.2629999999999999</v>
          </cell>
        </row>
        <row r="14582">
          <cell r="E14582" t="str">
            <v>SLST</v>
          </cell>
          <cell r="F14582" t="str">
            <v>SLST-T</v>
          </cell>
          <cell r="G14582">
            <v>101</v>
          </cell>
          <cell r="H14582" t="str">
            <v>SLST-T101</v>
          </cell>
          <cell r="K14582" t="str">
            <v>Hansen,Megan Michelle</v>
          </cell>
          <cell r="N14582">
            <v>3.5630000000000002</v>
          </cell>
          <cell r="O14582">
            <v>3.1789999999999998</v>
          </cell>
        </row>
        <row r="14583">
          <cell r="E14583" t="str">
            <v>SLST</v>
          </cell>
          <cell r="F14583" t="str">
            <v>SLST-T</v>
          </cell>
          <cell r="G14583">
            <v>101</v>
          </cell>
          <cell r="H14583" t="str">
            <v>SLST-T101</v>
          </cell>
          <cell r="K14583" t="str">
            <v>Hansen,Megan Michelle</v>
          </cell>
          <cell r="N14583">
            <v>3.19</v>
          </cell>
          <cell r="O14583">
            <v>3.0640000000000001</v>
          </cell>
        </row>
        <row r="14584">
          <cell r="E14584" t="str">
            <v>SLST</v>
          </cell>
          <cell r="F14584" t="str">
            <v>SLST-T</v>
          </cell>
          <cell r="G14584">
            <v>101</v>
          </cell>
          <cell r="H14584" t="str">
            <v>SLST-T101</v>
          </cell>
          <cell r="K14584" t="str">
            <v>Hansen,Megan Michelle</v>
          </cell>
          <cell r="N14584">
            <v>3.3559999999999999</v>
          </cell>
          <cell r="O14584">
            <v>2.883</v>
          </cell>
        </row>
        <row r="14585">
          <cell r="E14585" t="str">
            <v>SLST</v>
          </cell>
          <cell r="F14585" t="str">
            <v>SLST-T</v>
          </cell>
          <cell r="G14585">
            <v>101</v>
          </cell>
          <cell r="H14585" t="str">
            <v>SLST-T101</v>
          </cell>
          <cell r="K14585" t="str">
            <v>Hansen,Megan Michelle</v>
          </cell>
          <cell r="N14585">
            <v>3.4889999999999999</v>
          </cell>
          <cell r="O14585">
            <v>2.8439999999999999</v>
          </cell>
        </row>
        <row r="14586">
          <cell r="E14586" t="str">
            <v>SLST</v>
          </cell>
          <cell r="F14586" t="str">
            <v>SLST-T</v>
          </cell>
          <cell r="G14586">
            <v>101</v>
          </cell>
          <cell r="H14586" t="str">
            <v>SLST-T101</v>
          </cell>
          <cell r="K14586" t="str">
            <v>Hansen,Megan Michelle</v>
          </cell>
          <cell r="N14586">
            <v>3.4049999999999998</v>
          </cell>
          <cell r="O14586">
            <v>3.1059999999999999</v>
          </cell>
        </row>
        <row r="14587">
          <cell r="E14587" t="str">
            <v>SLST</v>
          </cell>
          <cell r="F14587" t="str">
            <v>SLST-T</v>
          </cell>
          <cell r="G14587">
            <v>101</v>
          </cell>
          <cell r="H14587" t="str">
            <v>SLST-T101</v>
          </cell>
          <cell r="K14587" t="str">
            <v>Hansen,Megan Michelle</v>
          </cell>
          <cell r="N14587">
            <v>3</v>
          </cell>
          <cell r="O14587">
            <v>2.6749999999999998</v>
          </cell>
        </row>
        <row r="14588">
          <cell r="E14588" t="str">
            <v>SLST</v>
          </cell>
          <cell r="F14588" t="str">
            <v>SLST-T</v>
          </cell>
          <cell r="G14588">
            <v>101</v>
          </cell>
          <cell r="H14588" t="str">
            <v>SLST-T101</v>
          </cell>
          <cell r="K14588" t="str">
            <v>Hansen,Megan Michelle</v>
          </cell>
          <cell r="N14588">
            <v>3.274</v>
          </cell>
          <cell r="O14588">
            <v>2.734</v>
          </cell>
        </row>
        <row r="14589">
          <cell r="E14589" t="str">
            <v>SLST</v>
          </cell>
          <cell r="F14589" t="str">
            <v>SLST-T</v>
          </cell>
          <cell r="G14589">
            <v>101</v>
          </cell>
          <cell r="H14589" t="str">
            <v>SLST-T101</v>
          </cell>
          <cell r="K14589" t="str">
            <v>Hansen,Megan Michelle</v>
          </cell>
          <cell r="N14589">
            <v>3.1419999999999999</v>
          </cell>
          <cell r="O14589">
            <v>2.7970000000000002</v>
          </cell>
        </row>
        <row r="14590">
          <cell r="E14590" t="str">
            <v>SLST</v>
          </cell>
          <cell r="F14590" t="str">
            <v>SLST-T</v>
          </cell>
          <cell r="G14590">
            <v>101</v>
          </cell>
          <cell r="H14590" t="str">
            <v>SLST-T101</v>
          </cell>
          <cell r="K14590" t="str">
            <v>Lewis,Tom J</v>
          </cell>
          <cell r="N14590">
            <v>3.74</v>
          </cell>
          <cell r="O14590">
            <v>3.2869999999999999</v>
          </cell>
        </row>
        <row r="14591">
          <cell r="E14591" t="str">
            <v>SLST</v>
          </cell>
          <cell r="F14591" t="str">
            <v>SLST-T</v>
          </cell>
          <cell r="G14591">
            <v>101</v>
          </cell>
          <cell r="H14591" t="str">
            <v>SLST-T101</v>
          </cell>
          <cell r="K14591" t="str">
            <v>Lewis,Tom J</v>
          </cell>
          <cell r="N14591">
            <v>2.9630000000000001</v>
          </cell>
          <cell r="O14591">
            <v>3.1389999999999998</v>
          </cell>
        </row>
        <row r="14592">
          <cell r="E14592" t="str">
            <v>SLST</v>
          </cell>
          <cell r="F14592" t="str">
            <v>SLST-T</v>
          </cell>
          <cell r="G14592">
            <v>101</v>
          </cell>
          <cell r="H14592" t="str">
            <v>SLST-T101</v>
          </cell>
          <cell r="K14592" t="str">
            <v>Lewis,Tom J</v>
          </cell>
          <cell r="N14592">
            <v>3.17</v>
          </cell>
          <cell r="O14592">
            <v>3.024</v>
          </cell>
        </row>
        <row r="14593">
          <cell r="E14593" t="str">
            <v>SLST</v>
          </cell>
          <cell r="F14593" t="str">
            <v>SLST-T</v>
          </cell>
          <cell r="G14593">
            <v>101</v>
          </cell>
          <cell r="H14593" t="str">
            <v>SLST-T101</v>
          </cell>
          <cell r="K14593" t="str">
            <v>Merceron,Elizabeth R</v>
          </cell>
          <cell r="N14593">
            <v>2.9590000000000001</v>
          </cell>
          <cell r="O14593">
            <v>2.5659999999999998</v>
          </cell>
        </row>
        <row r="14594">
          <cell r="E14594" t="str">
            <v>SLST</v>
          </cell>
          <cell r="F14594" t="str">
            <v>SLST-T</v>
          </cell>
          <cell r="G14594">
            <v>101</v>
          </cell>
          <cell r="H14594" t="str">
            <v>SLST-T101</v>
          </cell>
          <cell r="K14594" t="str">
            <v>Morgan,Amanda Elizabeth</v>
          </cell>
          <cell r="N14594">
            <v>3.5</v>
          </cell>
          <cell r="O14594">
            <v>3.0840000000000001</v>
          </cell>
        </row>
        <row r="14595">
          <cell r="E14595" t="str">
            <v>SLST</v>
          </cell>
          <cell r="F14595" t="str">
            <v>SLST-T</v>
          </cell>
          <cell r="G14595">
            <v>101</v>
          </cell>
          <cell r="H14595" t="str">
            <v>SLST-T101</v>
          </cell>
          <cell r="K14595" t="str">
            <v>Morgan,Amanda Elizabeth</v>
          </cell>
          <cell r="N14595">
            <v>3.121</v>
          </cell>
          <cell r="O14595">
            <v>1.8680000000000001</v>
          </cell>
        </row>
        <row r="14596">
          <cell r="E14596" t="str">
            <v>SLST</v>
          </cell>
          <cell r="F14596" t="str">
            <v>SLST-T</v>
          </cell>
          <cell r="G14596">
            <v>101</v>
          </cell>
          <cell r="H14596" t="str">
            <v>SLST-T101</v>
          </cell>
          <cell r="K14596" t="str">
            <v>Morgan,Amanda Elizabeth</v>
          </cell>
          <cell r="N14596">
            <v>3.3</v>
          </cell>
          <cell r="O14596">
            <v>2.5390000000000001</v>
          </cell>
        </row>
        <row r="14597">
          <cell r="E14597" t="str">
            <v>SLST</v>
          </cell>
          <cell r="F14597" t="str">
            <v>SLST-T</v>
          </cell>
          <cell r="G14597">
            <v>101</v>
          </cell>
          <cell r="H14597" t="str">
            <v>SLST-T101</v>
          </cell>
          <cell r="K14597" t="str">
            <v>Mori,Carolyn R</v>
          </cell>
          <cell r="N14597">
            <v>3.2949999999999999</v>
          </cell>
          <cell r="O14597">
            <v>3.3239999999999998</v>
          </cell>
        </row>
        <row r="14598">
          <cell r="E14598" t="str">
            <v>SLST</v>
          </cell>
          <cell r="F14598" t="str">
            <v>SLST-T</v>
          </cell>
          <cell r="G14598">
            <v>101</v>
          </cell>
          <cell r="H14598" t="str">
            <v>SLST-T101</v>
          </cell>
          <cell r="K14598" t="str">
            <v>Mori,Carolyn R</v>
          </cell>
          <cell r="N14598">
            <v>3.4049999999999998</v>
          </cell>
          <cell r="O14598">
            <v>3.056</v>
          </cell>
        </row>
        <row r="14599">
          <cell r="E14599" t="str">
            <v>SLST</v>
          </cell>
          <cell r="F14599" t="str">
            <v>SLST-T</v>
          </cell>
          <cell r="G14599">
            <v>101</v>
          </cell>
          <cell r="H14599" t="str">
            <v>SLST-T101</v>
          </cell>
          <cell r="K14599" t="str">
            <v>Mossman,Sabrina</v>
          </cell>
          <cell r="N14599">
            <v>2.895</v>
          </cell>
          <cell r="O14599">
            <v>2.4809999999999999</v>
          </cell>
        </row>
        <row r="14600">
          <cell r="E14600" t="str">
            <v>SLST</v>
          </cell>
          <cell r="F14600" t="str">
            <v>SLST-T</v>
          </cell>
          <cell r="G14600">
            <v>101</v>
          </cell>
          <cell r="H14600" t="str">
            <v>SLST-T101</v>
          </cell>
          <cell r="K14600" t="str">
            <v>Mossman,Sabrina</v>
          </cell>
          <cell r="N14600">
            <v>2.9790000000000001</v>
          </cell>
          <cell r="O14600">
            <v>2.5630000000000002</v>
          </cell>
        </row>
        <row r="14601">
          <cell r="E14601" t="str">
            <v>SLST</v>
          </cell>
          <cell r="F14601" t="str">
            <v>SLST-T</v>
          </cell>
          <cell r="G14601">
            <v>101</v>
          </cell>
          <cell r="H14601" t="str">
            <v>SLST-T101</v>
          </cell>
          <cell r="K14601" t="str">
            <v>Mossman,Sabrina</v>
          </cell>
          <cell r="N14601">
            <v>2.141</v>
          </cell>
          <cell r="O14601">
            <v>2.1160000000000001</v>
          </cell>
        </row>
        <row r="14602">
          <cell r="E14602" t="str">
            <v>SLST</v>
          </cell>
          <cell r="F14602" t="str">
            <v>SLST-T</v>
          </cell>
          <cell r="G14602">
            <v>101</v>
          </cell>
          <cell r="H14602" t="str">
            <v>SLST-T101</v>
          </cell>
          <cell r="K14602" t="str">
            <v>Mossman,Sabrina</v>
          </cell>
          <cell r="N14602">
            <v>2.9049999999999998</v>
          </cell>
          <cell r="O14602">
            <v>2.6360000000000001</v>
          </cell>
        </row>
        <row r="14603">
          <cell r="E14603" t="str">
            <v>SLST</v>
          </cell>
          <cell r="F14603" t="str">
            <v>SLST-T</v>
          </cell>
          <cell r="G14603">
            <v>101</v>
          </cell>
          <cell r="H14603" t="str">
            <v>SLST-T101</v>
          </cell>
          <cell r="K14603" t="str">
            <v>Otto,Jon</v>
          </cell>
          <cell r="N14603">
            <v>3.82</v>
          </cell>
          <cell r="O14603">
            <v>2.9119999999999999</v>
          </cell>
        </row>
        <row r="14604">
          <cell r="E14604" t="str">
            <v>SLST</v>
          </cell>
          <cell r="F14604" t="str">
            <v>SLST-T</v>
          </cell>
          <cell r="G14604">
            <v>101</v>
          </cell>
          <cell r="H14604" t="str">
            <v>SLST-T101</v>
          </cell>
          <cell r="K14604" t="str">
            <v>Otto,Jon</v>
          </cell>
          <cell r="N14604">
            <v>3.581</v>
          </cell>
          <cell r="O14604">
            <v>2.9249999999999998</v>
          </cell>
        </row>
        <row r="14605">
          <cell r="E14605" t="str">
            <v>SLST</v>
          </cell>
          <cell r="F14605" t="str">
            <v>SLST-T</v>
          </cell>
          <cell r="G14605">
            <v>101</v>
          </cell>
          <cell r="H14605" t="str">
            <v>SLST-T101</v>
          </cell>
          <cell r="K14605" t="str">
            <v>Otto,Jon</v>
          </cell>
          <cell r="N14605">
            <v>3.306</v>
          </cell>
          <cell r="O14605">
            <v>2.9950000000000001</v>
          </cell>
        </row>
        <row r="14606">
          <cell r="E14606" t="str">
            <v>SLST</v>
          </cell>
          <cell r="F14606" t="str">
            <v>SLST-T</v>
          </cell>
          <cell r="G14606">
            <v>101</v>
          </cell>
          <cell r="H14606" t="str">
            <v>SLST-T101</v>
          </cell>
          <cell r="K14606" t="str">
            <v>Otto,Jon</v>
          </cell>
          <cell r="N14606">
            <v>2.9569999999999999</v>
          </cell>
          <cell r="O14606">
            <v>2.7970000000000002</v>
          </cell>
        </row>
        <row r="14607">
          <cell r="E14607" t="str">
            <v>SLST</v>
          </cell>
          <cell r="F14607" t="str">
            <v>SLST-T</v>
          </cell>
          <cell r="G14607">
            <v>101</v>
          </cell>
          <cell r="H14607" t="str">
            <v>SLST-T101</v>
          </cell>
          <cell r="K14607" t="str">
            <v>Schaefer,Vance</v>
          </cell>
          <cell r="N14607">
            <v>3.6059999999999999</v>
          </cell>
          <cell r="O14607">
            <v>3.056</v>
          </cell>
        </row>
        <row r="14608">
          <cell r="E14608" t="str">
            <v>SLST</v>
          </cell>
          <cell r="F14608" t="str">
            <v>SLST-T</v>
          </cell>
          <cell r="G14608">
            <v>101</v>
          </cell>
          <cell r="H14608" t="str">
            <v>SLST-T101</v>
          </cell>
          <cell r="K14608" t="str">
            <v>Schaefer,Vance</v>
          </cell>
          <cell r="N14608">
            <v>3.7309999999999999</v>
          </cell>
          <cell r="O14608">
            <v>2.8690000000000002</v>
          </cell>
        </row>
        <row r="14609">
          <cell r="E14609" t="str">
            <v>SLST</v>
          </cell>
          <cell r="F14609" t="str">
            <v>SLST-T</v>
          </cell>
          <cell r="G14609">
            <v>101</v>
          </cell>
          <cell r="H14609" t="str">
            <v>SLST-T101</v>
          </cell>
          <cell r="K14609" t="str">
            <v>Schaefer,Vance</v>
          </cell>
          <cell r="N14609">
            <v>3.669</v>
          </cell>
          <cell r="O14609">
            <v>3.2440000000000002</v>
          </cell>
        </row>
        <row r="14610">
          <cell r="E14610" t="str">
            <v>SLST</v>
          </cell>
          <cell r="F14610" t="str">
            <v>SLST-T</v>
          </cell>
          <cell r="G14610">
            <v>101</v>
          </cell>
          <cell r="H14610" t="str">
            <v>SLST-T101</v>
          </cell>
          <cell r="K14610" t="str">
            <v>Schaefer,Vance</v>
          </cell>
          <cell r="N14610">
            <v>3.1429999999999998</v>
          </cell>
          <cell r="O14610">
            <v>2.4980000000000002</v>
          </cell>
        </row>
        <row r="14611">
          <cell r="E14611" t="str">
            <v>SLST</v>
          </cell>
          <cell r="F14611" t="str">
            <v>SLST-T</v>
          </cell>
          <cell r="G14611">
            <v>101</v>
          </cell>
          <cell r="H14611" t="str">
            <v>SLST-T101</v>
          </cell>
          <cell r="K14611" t="str">
            <v>Schaefer,Vance</v>
          </cell>
          <cell r="N14611">
            <v>3.794</v>
          </cell>
          <cell r="O14611">
            <v>2.9569999999999999</v>
          </cell>
        </row>
        <row r="14612">
          <cell r="E14612" t="str">
            <v>SLST</v>
          </cell>
          <cell r="F14612" t="str">
            <v>SLST-T</v>
          </cell>
          <cell r="G14612">
            <v>101</v>
          </cell>
          <cell r="H14612" t="str">
            <v>SLST-T101</v>
          </cell>
          <cell r="K14612" t="str">
            <v>Schaefer,Vance</v>
          </cell>
          <cell r="N14612">
            <v>3.7810000000000001</v>
          </cell>
          <cell r="O14612">
            <v>3.2160000000000002</v>
          </cell>
        </row>
        <row r="14613">
          <cell r="E14613" t="str">
            <v>SLST</v>
          </cell>
          <cell r="F14613" t="str">
            <v>SLST-T</v>
          </cell>
          <cell r="G14613">
            <v>101</v>
          </cell>
          <cell r="H14613" t="str">
            <v>SLST-T101</v>
          </cell>
          <cell r="K14613" t="str">
            <v>Schaefer,Vance</v>
          </cell>
          <cell r="N14613">
            <v>3.6070000000000002</v>
          </cell>
          <cell r="O14613">
            <v>2.766</v>
          </cell>
        </row>
        <row r="14614">
          <cell r="E14614" t="str">
            <v>SLST</v>
          </cell>
          <cell r="F14614" t="str">
            <v>SLST-T</v>
          </cell>
          <cell r="G14614">
            <v>101</v>
          </cell>
          <cell r="H14614" t="str">
            <v>SLST-T101</v>
          </cell>
          <cell r="K14614" t="str">
            <v>Schaefer,Vance</v>
          </cell>
          <cell r="N14614">
            <v>3.2189999999999999</v>
          </cell>
          <cell r="O14614">
            <v>2.7589999999999999</v>
          </cell>
        </row>
        <row r="14615">
          <cell r="E14615" t="str">
            <v>SLST</v>
          </cell>
          <cell r="F14615" t="str">
            <v>SLST-T</v>
          </cell>
          <cell r="G14615">
            <v>101</v>
          </cell>
          <cell r="H14615" t="str">
            <v>SLST-T101</v>
          </cell>
          <cell r="K14615" t="str">
            <v>Schaefer,Vance</v>
          </cell>
          <cell r="N14615">
            <v>3.6629999999999998</v>
          </cell>
          <cell r="O14615">
            <v>3.15</v>
          </cell>
        </row>
        <row r="14616">
          <cell r="E14616" t="str">
            <v>SLST</v>
          </cell>
          <cell r="F14616" t="str">
            <v>SLST-T</v>
          </cell>
          <cell r="G14616">
            <v>101</v>
          </cell>
          <cell r="H14616" t="str">
            <v>SLST-T101</v>
          </cell>
          <cell r="K14616" t="str">
            <v>Schaefer,Vance</v>
          </cell>
          <cell r="N14616">
            <v>3.294</v>
          </cell>
          <cell r="O14616">
            <v>2.2829999999999999</v>
          </cell>
        </row>
        <row r="14617">
          <cell r="E14617" t="str">
            <v>SLST</v>
          </cell>
          <cell r="F14617" t="str">
            <v>SLST-T</v>
          </cell>
          <cell r="G14617">
            <v>101</v>
          </cell>
          <cell r="H14617" t="str">
            <v>SLST-T101</v>
          </cell>
          <cell r="K14617" t="str">
            <v>Schaefer,Vance</v>
          </cell>
          <cell r="N14617">
            <v>3.718</v>
          </cell>
          <cell r="O14617">
            <v>3.1749999999999998</v>
          </cell>
        </row>
        <row r="14618">
          <cell r="E14618" t="str">
            <v>SLST</v>
          </cell>
          <cell r="F14618" t="str">
            <v>SLST-T</v>
          </cell>
          <cell r="G14618">
            <v>101</v>
          </cell>
          <cell r="H14618" t="str">
            <v>SLST-T101</v>
          </cell>
          <cell r="K14618" t="str">
            <v>Schaefer,Vance</v>
          </cell>
          <cell r="N14618">
            <v>3.8050000000000002</v>
          </cell>
          <cell r="O14618">
            <v>3.0329999999999999</v>
          </cell>
        </row>
        <row r="14619">
          <cell r="E14619" t="str">
            <v>SLST</v>
          </cell>
          <cell r="F14619" t="str">
            <v>SLST-T</v>
          </cell>
          <cell r="G14619">
            <v>101</v>
          </cell>
          <cell r="H14619" t="str">
            <v>SLST-T101</v>
          </cell>
          <cell r="K14619" t="str">
            <v>Smith,Candis D</v>
          </cell>
          <cell r="N14619">
            <v>3.1749999999999998</v>
          </cell>
          <cell r="O14619">
            <v>3.2549999999999999</v>
          </cell>
        </row>
        <row r="14620">
          <cell r="E14620" t="str">
            <v>SLST</v>
          </cell>
          <cell r="F14620" t="str">
            <v>SLST-T</v>
          </cell>
          <cell r="G14620">
            <v>101</v>
          </cell>
          <cell r="H14620" t="str">
            <v>SLST-T101</v>
          </cell>
          <cell r="K14620" t="str">
            <v>Smith,Candis D</v>
          </cell>
          <cell r="N14620">
            <v>3.08</v>
          </cell>
          <cell r="O14620">
            <v>3.2610000000000001</v>
          </cell>
        </row>
        <row r="14621">
          <cell r="E14621" t="str">
            <v>SLST</v>
          </cell>
          <cell r="F14621" t="str">
            <v>SLST-T</v>
          </cell>
          <cell r="G14621">
            <v>101</v>
          </cell>
          <cell r="H14621" t="str">
            <v>SLST-T101</v>
          </cell>
          <cell r="K14621" t="str">
            <v>Smith,Candis D</v>
          </cell>
          <cell r="N14621">
            <v>2.4049999999999998</v>
          </cell>
          <cell r="O14621">
            <v>2.7989999999999999</v>
          </cell>
        </row>
        <row r="14622">
          <cell r="E14622" t="str">
            <v>SLST</v>
          </cell>
          <cell r="F14622" t="str">
            <v>SLST-T</v>
          </cell>
          <cell r="G14622">
            <v>101</v>
          </cell>
          <cell r="H14622" t="str">
            <v>SLST-T101</v>
          </cell>
          <cell r="K14622" t="str">
            <v>Smith,Candis D</v>
          </cell>
          <cell r="N14622" t="str">
            <v>NR</v>
          </cell>
          <cell r="O14622" t="str">
            <v>NR</v>
          </cell>
        </row>
        <row r="14623">
          <cell r="E14623" t="str">
            <v>SLST</v>
          </cell>
          <cell r="F14623" t="str">
            <v>SLST-T</v>
          </cell>
          <cell r="G14623">
            <v>101</v>
          </cell>
          <cell r="H14623" t="str">
            <v>SLST-T101</v>
          </cell>
          <cell r="K14623" t="str">
            <v>Smith,Candis D</v>
          </cell>
          <cell r="N14623">
            <v>2.238</v>
          </cell>
          <cell r="O14623">
            <v>1.9730000000000001</v>
          </cell>
        </row>
        <row r="14624">
          <cell r="E14624" t="str">
            <v>SLST</v>
          </cell>
          <cell r="F14624" t="str">
            <v>SLST-T</v>
          </cell>
          <cell r="G14624">
            <v>101</v>
          </cell>
          <cell r="H14624" t="str">
            <v>SLST-T101</v>
          </cell>
          <cell r="K14624" t="str">
            <v>Smith,Candis D</v>
          </cell>
          <cell r="N14624">
            <v>2.56</v>
          </cell>
          <cell r="O14624">
            <v>3.0510000000000002</v>
          </cell>
        </row>
        <row r="14625">
          <cell r="E14625" t="str">
            <v>SLST</v>
          </cell>
          <cell r="F14625" t="str">
            <v>SLST-T</v>
          </cell>
          <cell r="G14625">
            <v>101</v>
          </cell>
          <cell r="H14625" t="str">
            <v>SLST-T101</v>
          </cell>
          <cell r="K14625" t="str">
            <v>Smith,Candis D</v>
          </cell>
          <cell r="N14625">
            <v>3.141</v>
          </cell>
          <cell r="O14625">
            <v>2.9790000000000001</v>
          </cell>
        </row>
        <row r="14626">
          <cell r="E14626" t="str">
            <v>SLST</v>
          </cell>
          <cell r="F14626" t="str">
            <v>SLST-T</v>
          </cell>
          <cell r="G14626">
            <v>101</v>
          </cell>
          <cell r="H14626" t="str">
            <v>SLST-T101</v>
          </cell>
          <cell r="K14626" t="str">
            <v>Smith,Candis D</v>
          </cell>
          <cell r="N14626">
            <v>2.3180000000000001</v>
          </cell>
          <cell r="O14626">
            <v>2.5430000000000001</v>
          </cell>
        </row>
        <row r="14627">
          <cell r="E14627" t="str">
            <v>SLST</v>
          </cell>
          <cell r="F14627" t="str">
            <v>SLST-T</v>
          </cell>
          <cell r="G14627">
            <v>101</v>
          </cell>
          <cell r="H14627" t="str">
            <v>SLST-T101</v>
          </cell>
          <cell r="K14627" t="str">
            <v>Smith,Candis D</v>
          </cell>
          <cell r="N14627">
            <v>2.516</v>
          </cell>
          <cell r="O14627">
            <v>2.508</v>
          </cell>
        </row>
        <row r="14628">
          <cell r="E14628" t="str">
            <v>SLST</v>
          </cell>
          <cell r="F14628" t="str">
            <v>SLST-T</v>
          </cell>
          <cell r="G14628">
            <v>101</v>
          </cell>
          <cell r="H14628" t="str">
            <v>SLST-T101</v>
          </cell>
          <cell r="K14628" t="str">
            <v>Smith,Candis D</v>
          </cell>
          <cell r="N14628">
            <v>2.8</v>
          </cell>
          <cell r="O14628">
            <v>2.5169999999999999</v>
          </cell>
        </row>
        <row r="14629">
          <cell r="E14629" t="str">
            <v>SLST</v>
          </cell>
          <cell r="F14629" t="str">
            <v>SLST-T</v>
          </cell>
          <cell r="G14629">
            <v>101</v>
          </cell>
          <cell r="H14629" t="str">
            <v>SLST-T101</v>
          </cell>
          <cell r="K14629" t="str">
            <v>Smith,Candis D</v>
          </cell>
          <cell r="N14629">
            <v>2.0539999999999998</v>
          </cell>
          <cell r="O14629">
            <v>2.6379999999999999</v>
          </cell>
        </row>
        <row r="14630">
          <cell r="E14630" t="str">
            <v>SLST</v>
          </cell>
          <cell r="F14630" t="str">
            <v>SLST-T</v>
          </cell>
          <cell r="G14630">
            <v>101</v>
          </cell>
          <cell r="H14630" t="str">
            <v>SLST-T101</v>
          </cell>
          <cell r="K14630" t="str">
            <v>Smith,Candis D</v>
          </cell>
          <cell r="N14630">
            <v>1.647</v>
          </cell>
          <cell r="O14630">
            <v>1.9790000000000001</v>
          </cell>
        </row>
        <row r="14631">
          <cell r="E14631" t="str">
            <v>SLST</v>
          </cell>
          <cell r="F14631" t="str">
            <v>SLST-T</v>
          </cell>
          <cell r="G14631">
            <v>101</v>
          </cell>
          <cell r="H14631" t="str">
            <v>SLST-T101</v>
          </cell>
          <cell r="K14631" t="str">
            <v>Thomas,Daniel Lawrence</v>
          </cell>
          <cell r="N14631">
            <v>2.7690000000000001</v>
          </cell>
          <cell r="O14631">
            <v>2.7789999999999999</v>
          </cell>
        </row>
        <row r="14632">
          <cell r="E14632" t="str">
            <v>SLST</v>
          </cell>
          <cell r="F14632" t="str">
            <v>SLST-T</v>
          </cell>
          <cell r="G14632">
            <v>101</v>
          </cell>
          <cell r="H14632" t="str">
            <v>SLST-T101</v>
          </cell>
          <cell r="K14632" t="str">
            <v>Thomas,Daniel Lawrence</v>
          </cell>
          <cell r="N14632">
            <v>2.7360000000000002</v>
          </cell>
          <cell r="O14632">
            <v>2.6859999999999999</v>
          </cell>
        </row>
        <row r="14633">
          <cell r="E14633" t="str">
            <v>SLST</v>
          </cell>
          <cell r="F14633" t="str">
            <v>SLST-T</v>
          </cell>
          <cell r="G14633">
            <v>101</v>
          </cell>
          <cell r="H14633" t="str">
            <v>SLST-T101</v>
          </cell>
          <cell r="K14633" t="str">
            <v>Thomas,Daniel Lawrence</v>
          </cell>
          <cell r="N14633">
            <v>3.2930000000000001</v>
          </cell>
          <cell r="O14633">
            <v>3.08</v>
          </cell>
        </row>
        <row r="14634">
          <cell r="E14634" t="str">
            <v>SLST</v>
          </cell>
          <cell r="F14634" t="str">
            <v>SLST-T</v>
          </cell>
          <cell r="G14634">
            <v>101</v>
          </cell>
          <cell r="H14634" t="str">
            <v>SLST-T101</v>
          </cell>
          <cell r="K14634" t="str">
            <v>Thomas,Daniel Lawrence</v>
          </cell>
          <cell r="N14634">
            <v>2.2919999999999998</v>
          </cell>
          <cell r="O14634">
            <v>2.569</v>
          </cell>
        </row>
        <row r="14635">
          <cell r="E14635" t="str">
            <v>SLST</v>
          </cell>
          <cell r="F14635" t="str">
            <v>SLST-T</v>
          </cell>
          <cell r="G14635">
            <v>101</v>
          </cell>
          <cell r="H14635" t="str">
            <v>SLST-T101</v>
          </cell>
          <cell r="K14635" t="str">
            <v>Thomas,Daniel Lawrence</v>
          </cell>
          <cell r="N14635">
            <v>3.95</v>
          </cell>
          <cell r="O14635">
            <v>2.5760000000000001</v>
          </cell>
        </row>
        <row r="14636">
          <cell r="E14636" t="str">
            <v>SLST</v>
          </cell>
          <cell r="F14636" t="str">
            <v>SLST-T</v>
          </cell>
          <cell r="G14636">
            <v>101</v>
          </cell>
          <cell r="H14636" t="str">
            <v>SLST-T101</v>
          </cell>
          <cell r="K14636" t="str">
            <v>Thomas,Daniel Lawrence</v>
          </cell>
          <cell r="N14636">
            <v>3.633</v>
          </cell>
          <cell r="O14636">
            <v>3.177</v>
          </cell>
        </row>
        <row r="14637">
          <cell r="E14637" t="str">
            <v>SLST</v>
          </cell>
          <cell r="F14637" t="str">
            <v>SLST-T</v>
          </cell>
          <cell r="G14637">
            <v>101</v>
          </cell>
          <cell r="H14637" t="str">
            <v>SLST-T101</v>
          </cell>
          <cell r="K14637" t="str">
            <v>Thomas,Daniel Lawrence</v>
          </cell>
          <cell r="N14637">
            <v>2.3690000000000002</v>
          </cell>
          <cell r="O14637">
            <v>2.4540000000000002</v>
          </cell>
        </row>
        <row r="14638">
          <cell r="E14638" t="str">
            <v>SLST</v>
          </cell>
          <cell r="F14638" t="str">
            <v>SLST-T</v>
          </cell>
          <cell r="G14638">
            <v>101</v>
          </cell>
          <cell r="H14638" t="str">
            <v>SLST-T101</v>
          </cell>
          <cell r="K14638" t="str">
            <v>Thomas,Daniel Lawrence</v>
          </cell>
          <cell r="N14638">
            <v>2.9209999999999998</v>
          </cell>
          <cell r="O14638">
            <v>2.6709999999999998</v>
          </cell>
        </row>
        <row r="14639">
          <cell r="E14639" t="str">
            <v>SLST</v>
          </cell>
          <cell r="F14639" t="str">
            <v>SLST-T</v>
          </cell>
          <cell r="G14639">
            <v>101</v>
          </cell>
          <cell r="H14639" t="str">
            <v>SLST-T101</v>
          </cell>
          <cell r="K14639" t="str">
            <v>Thomas,Daniel Lawrence</v>
          </cell>
          <cell r="N14639">
            <v>3.2469999999999999</v>
          </cell>
          <cell r="O14639">
            <v>2.319</v>
          </cell>
        </row>
        <row r="14640">
          <cell r="E14640" t="str">
            <v>SLST</v>
          </cell>
          <cell r="F14640" t="str">
            <v>SLST-T</v>
          </cell>
          <cell r="G14640">
            <v>101</v>
          </cell>
          <cell r="H14640" t="str">
            <v>SLST-T101</v>
          </cell>
          <cell r="K14640" t="str">
            <v>Thomas,Daniel Lawrence</v>
          </cell>
          <cell r="N14640">
            <v>2.6</v>
          </cell>
          <cell r="O14640">
            <v>2.6819999999999999</v>
          </cell>
        </row>
        <row r="14641">
          <cell r="E14641" t="str">
            <v>SLST</v>
          </cell>
          <cell r="F14641" t="str">
            <v>SLST-T</v>
          </cell>
          <cell r="G14641">
            <v>101</v>
          </cell>
          <cell r="H14641" t="str">
            <v>SLST-T101</v>
          </cell>
          <cell r="K14641" t="str">
            <v>Thomas,Daniel Lawrence</v>
          </cell>
          <cell r="N14641">
            <v>2.9790000000000001</v>
          </cell>
          <cell r="O14641">
            <v>2.4609999999999999</v>
          </cell>
        </row>
        <row r="14642">
          <cell r="E14642" t="str">
            <v>SLST</v>
          </cell>
          <cell r="F14642" t="str">
            <v>SLST-T</v>
          </cell>
          <cell r="G14642">
            <v>101</v>
          </cell>
          <cell r="H14642" t="str">
            <v>SLST-T101</v>
          </cell>
          <cell r="K14642" t="str">
            <v>Thomas,Daniel Lawrence</v>
          </cell>
          <cell r="N14642">
            <v>3.7559999999999998</v>
          </cell>
          <cell r="O14642">
            <v>3.2869999999999999</v>
          </cell>
        </row>
        <row r="14643">
          <cell r="E14643" t="str">
            <v>SLST</v>
          </cell>
          <cell r="F14643" t="str">
            <v>SLST-T</v>
          </cell>
          <cell r="G14643">
            <v>101</v>
          </cell>
          <cell r="H14643" t="str">
            <v>SLST-T101</v>
          </cell>
          <cell r="K14643" t="str">
            <v>Thomas,Kimberly</v>
          </cell>
          <cell r="N14643">
            <v>3.12</v>
          </cell>
          <cell r="O14643">
            <v>3.05</v>
          </cell>
        </row>
        <row r="14644">
          <cell r="E14644" t="str">
            <v>SLST</v>
          </cell>
          <cell r="F14644" t="str">
            <v>SLST-T</v>
          </cell>
          <cell r="G14644">
            <v>101</v>
          </cell>
          <cell r="H14644" t="str">
            <v>SLST-T101</v>
          </cell>
          <cell r="K14644" t="str">
            <v>Thomas,Kimberly</v>
          </cell>
          <cell r="N14644">
            <v>3.27</v>
          </cell>
          <cell r="O14644">
            <v>3.145</v>
          </cell>
        </row>
        <row r="14645">
          <cell r="E14645" t="str">
            <v>SLST</v>
          </cell>
          <cell r="F14645" t="str">
            <v>SLST-T</v>
          </cell>
          <cell r="G14645">
            <v>101</v>
          </cell>
          <cell r="H14645" t="str">
            <v>SLST-T101</v>
          </cell>
          <cell r="K14645" t="str">
            <v>Thomas,Kimberly</v>
          </cell>
          <cell r="N14645">
            <v>3.15</v>
          </cell>
          <cell r="O14645">
            <v>2.7450000000000001</v>
          </cell>
        </row>
        <row r="14646">
          <cell r="E14646" t="str">
            <v>SLST</v>
          </cell>
          <cell r="F14646" t="str">
            <v>SLST-T</v>
          </cell>
          <cell r="G14646">
            <v>101</v>
          </cell>
          <cell r="H14646" t="str">
            <v>SLST-T101</v>
          </cell>
          <cell r="K14646" t="str">
            <v>Thomas,Kimberly</v>
          </cell>
          <cell r="N14646">
            <v>3.07</v>
          </cell>
          <cell r="O14646">
            <v>2.8109999999999999</v>
          </cell>
        </row>
        <row r="14647">
          <cell r="E14647" t="str">
            <v>SLST</v>
          </cell>
          <cell r="F14647" t="str">
            <v>SLST-T</v>
          </cell>
          <cell r="G14647">
            <v>101</v>
          </cell>
          <cell r="H14647" t="str">
            <v>SLST-T101</v>
          </cell>
          <cell r="K14647" t="str">
            <v>Thomas,Kimberly</v>
          </cell>
          <cell r="N14647">
            <v>2.9220000000000002</v>
          </cell>
          <cell r="O14647">
            <v>2.5870000000000002</v>
          </cell>
        </row>
        <row r="14648">
          <cell r="E14648" t="str">
            <v>SLST</v>
          </cell>
          <cell r="F14648" t="str">
            <v>SLST-T</v>
          </cell>
          <cell r="G14648">
            <v>101</v>
          </cell>
          <cell r="H14648" t="str">
            <v>SLST-T101</v>
          </cell>
          <cell r="K14648" t="str">
            <v>Thomas,Kimberly</v>
          </cell>
          <cell r="N14648">
            <v>3.3050000000000002</v>
          </cell>
          <cell r="O14648">
            <v>3.0329999999999999</v>
          </cell>
        </row>
        <row r="14649">
          <cell r="E14649" t="str">
            <v>SLST</v>
          </cell>
          <cell r="F14649" t="str">
            <v>SLST-T</v>
          </cell>
          <cell r="G14649">
            <v>101</v>
          </cell>
          <cell r="H14649" t="str">
            <v>SLST-T101</v>
          </cell>
          <cell r="K14649" t="str">
            <v>Thomas,Kimberly</v>
          </cell>
          <cell r="N14649">
            <v>2.9670000000000001</v>
          </cell>
          <cell r="O14649">
            <v>2.4249999999999998</v>
          </cell>
        </row>
        <row r="14650">
          <cell r="E14650" t="str">
            <v>SLST</v>
          </cell>
          <cell r="F14650" t="str">
            <v>SLST-T</v>
          </cell>
          <cell r="G14650">
            <v>101</v>
          </cell>
          <cell r="H14650" t="str">
            <v>SLST-T101</v>
          </cell>
          <cell r="K14650" t="str">
            <v>Thomas,Kimberly</v>
          </cell>
          <cell r="N14650">
            <v>2.9449999999999998</v>
          </cell>
          <cell r="O14650">
            <v>2.823</v>
          </cell>
        </row>
        <row r="14651">
          <cell r="E14651" t="str">
            <v>SLST</v>
          </cell>
          <cell r="F14651" t="str">
            <v>SLST-T</v>
          </cell>
          <cell r="G14651">
            <v>101</v>
          </cell>
          <cell r="H14651" t="str">
            <v>SLST-T101</v>
          </cell>
          <cell r="K14651" t="str">
            <v>Thomas,Kimberly</v>
          </cell>
          <cell r="N14651">
            <v>2.944</v>
          </cell>
          <cell r="O14651">
            <v>2.536</v>
          </cell>
        </row>
        <row r="14652">
          <cell r="E14652" t="str">
            <v>SLST</v>
          </cell>
          <cell r="F14652" t="str">
            <v>SLST-T</v>
          </cell>
          <cell r="G14652">
            <v>101</v>
          </cell>
          <cell r="H14652" t="str">
            <v>SLST-T101</v>
          </cell>
          <cell r="K14652" t="str">
            <v>Whyatt,Daniel Irving</v>
          </cell>
          <cell r="N14652">
            <v>2.97</v>
          </cell>
          <cell r="O14652">
            <v>2.6059999999999999</v>
          </cell>
        </row>
        <row r="14653">
          <cell r="E14653" t="str">
            <v>SLST</v>
          </cell>
          <cell r="F14653" t="str">
            <v>SLST-T</v>
          </cell>
          <cell r="G14653">
            <v>101</v>
          </cell>
          <cell r="H14653" t="str">
            <v>SLST-T101</v>
          </cell>
          <cell r="K14653" t="str">
            <v>Whyatt,Daniel Irving</v>
          </cell>
          <cell r="N14653">
            <v>3.4580000000000002</v>
          </cell>
          <cell r="O14653">
            <v>2.8029999999999999</v>
          </cell>
        </row>
        <row r="14654">
          <cell r="E14654" t="str">
            <v>SLST</v>
          </cell>
          <cell r="F14654" t="str">
            <v>SLST-T</v>
          </cell>
          <cell r="G14654">
            <v>101</v>
          </cell>
          <cell r="H14654" t="str">
            <v>SLST-T101</v>
          </cell>
          <cell r="K14654" t="str">
            <v>Whyatt,Daniel Irving</v>
          </cell>
          <cell r="N14654">
            <v>3.3650000000000002</v>
          </cell>
          <cell r="O14654">
            <v>2.831</v>
          </cell>
        </row>
        <row r="14655">
          <cell r="E14655" t="str">
            <v>SLST</v>
          </cell>
          <cell r="F14655" t="str">
            <v>SLST-T</v>
          </cell>
          <cell r="G14655">
            <v>101</v>
          </cell>
          <cell r="H14655" t="str">
            <v>SLST-T101</v>
          </cell>
          <cell r="K14655" t="str">
            <v>Whyatt,Daniel Irving</v>
          </cell>
          <cell r="N14655">
            <v>3.28</v>
          </cell>
          <cell r="O14655">
            <v>2.532</v>
          </cell>
        </row>
        <row r="14656">
          <cell r="E14656" t="str">
            <v>SLST</v>
          </cell>
          <cell r="F14656" t="str">
            <v>SLST-T</v>
          </cell>
          <cell r="G14656">
            <v>101</v>
          </cell>
          <cell r="H14656" t="str">
            <v>SLST-T101</v>
          </cell>
          <cell r="K14656" t="str">
            <v>Yilmaz,Yucel</v>
          </cell>
          <cell r="N14656">
            <v>3.8050000000000002</v>
          </cell>
          <cell r="O14656">
            <v>3.08</v>
          </cell>
        </row>
        <row r="14657">
          <cell r="E14657" t="str">
            <v>SLST</v>
          </cell>
          <cell r="F14657" t="str">
            <v>SLST-T</v>
          </cell>
          <cell r="G14657">
            <v>101</v>
          </cell>
          <cell r="H14657" t="str">
            <v>SLST-T101</v>
          </cell>
          <cell r="K14657" t="str">
            <v>Zahler,Tara Lynn</v>
          </cell>
          <cell r="N14657">
            <v>3.5</v>
          </cell>
          <cell r="O14657">
            <v>2.8130000000000002</v>
          </cell>
        </row>
        <row r="14658">
          <cell r="E14658" t="str">
            <v>SLST</v>
          </cell>
          <cell r="F14658" t="str">
            <v>SLST-T</v>
          </cell>
          <cell r="G14658">
            <v>101</v>
          </cell>
          <cell r="H14658" t="str">
            <v>SLST-T101</v>
          </cell>
          <cell r="K14658" t="str">
            <v>Zahler,Tara Lynn</v>
          </cell>
          <cell r="N14658">
            <v>2.94</v>
          </cell>
          <cell r="O14658">
            <v>2.177</v>
          </cell>
        </row>
        <row r="14659">
          <cell r="E14659" t="str">
            <v>SLST</v>
          </cell>
          <cell r="F14659" t="str">
            <v>SLST-T</v>
          </cell>
          <cell r="G14659">
            <v>101</v>
          </cell>
          <cell r="H14659" t="str">
            <v>SLST-T101</v>
          </cell>
          <cell r="K14659" t="str">
            <v>Zahler,Tara Lynn</v>
          </cell>
          <cell r="N14659">
            <v>3.339</v>
          </cell>
          <cell r="O14659">
            <v>2.3370000000000002</v>
          </cell>
        </row>
        <row r="14660">
          <cell r="E14660" t="str">
            <v>SLST</v>
          </cell>
          <cell r="F14660" t="str">
            <v>SLST-T</v>
          </cell>
          <cell r="G14660">
            <v>101</v>
          </cell>
          <cell r="H14660" t="str">
            <v>SLST-T101</v>
          </cell>
          <cell r="K14660" t="str">
            <v>Zahler,Tara Lynn</v>
          </cell>
          <cell r="N14660">
            <v>3.2629999999999999</v>
          </cell>
          <cell r="O14660">
            <v>2.3660000000000001</v>
          </cell>
        </row>
        <row r="14661">
          <cell r="E14661" t="str">
            <v>SLST</v>
          </cell>
          <cell r="F14661" t="str">
            <v>SLST-T</v>
          </cell>
          <cell r="G14661">
            <v>101</v>
          </cell>
          <cell r="H14661" t="str">
            <v>SLST-T101</v>
          </cell>
          <cell r="K14661" t="str">
            <v>Zahler,Tara Lynn</v>
          </cell>
          <cell r="N14661">
            <v>2.4889999999999999</v>
          </cell>
          <cell r="O14661">
            <v>2.1640000000000001</v>
          </cell>
        </row>
        <row r="14662">
          <cell r="E14662" t="str">
            <v>SLST</v>
          </cell>
          <cell r="F14662" t="str">
            <v>SLST-T</v>
          </cell>
          <cell r="G14662">
            <v>101</v>
          </cell>
          <cell r="H14662" t="str">
            <v>SLST-T101</v>
          </cell>
          <cell r="K14662" t="str">
            <v>Zahler,Tara Lynn</v>
          </cell>
          <cell r="N14662">
            <v>3.0070000000000001</v>
          </cell>
          <cell r="O14662">
            <v>2.379</v>
          </cell>
        </row>
        <row r="14663">
          <cell r="E14663" t="str">
            <v>SLST</v>
          </cell>
          <cell r="F14663" t="str">
            <v>SLST-T</v>
          </cell>
          <cell r="G14663">
            <v>125</v>
          </cell>
          <cell r="H14663" t="str">
            <v>SLST-T125</v>
          </cell>
          <cell r="K14663" t="str">
            <v>Holliday,Jeffrey Jackson</v>
          </cell>
          <cell r="N14663">
            <v>3.65</v>
          </cell>
          <cell r="O14663">
            <v>3.3809999999999998</v>
          </cell>
        </row>
        <row r="14664">
          <cell r="E14664" t="str">
            <v>SLST</v>
          </cell>
          <cell r="F14664" t="str">
            <v>SLST-T</v>
          </cell>
          <cell r="G14664">
            <v>125</v>
          </cell>
          <cell r="H14664" t="str">
            <v>SLST-T125</v>
          </cell>
          <cell r="K14664" t="str">
            <v>Holliday,Jeffrey Jackson</v>
          </cell>
          <cell r="N14664">
            <v>3.2450000000000001</v>
          </cell>
          <cell r="O14664">
            <v>2.4790000000000001</v>
          </cell>
        </row>
        <row r="14665">
          <cell r="E14665" t="str">
            <v>SLST</v>
          </cell>
          <cell r="F14665" t="str">
            <v>SLST-T</v>
          </cell>
          <cell r="G14665">
            <v>125</v>
          </cell>
          <cell r="H14665" t="str">
            <v>SLST-T125</v>
          </cell>
          <cell r="K14665" t="str">
            <v>Holliday,Jeffrey Jackson</v>
          </cell>
          <cell r="N14665">
            <v>3.5379999999999998</v>
          </cell>
          <cell r="O14665">
            <v>3.0510000000000002</v>
          </cell>
        </row>
        <row r="14666">
          <cell r="E14666" t="str">
            <v>SLST</v>
          </cell>
          <cell r="F14666" t="str">
            <v>SLST-T</v>
          </cell>
          <cell r="G14666">
            <v>500</v>
          </cell>
          <cell r="H14666" t="str">
            <v>SLST-T500</v>
          </cell>
          <cell r="K14666" t="str">
            <v>Friedman,Debra Ann</v>
          </cell>
          <cell r="N14666">
            <v>4</v>
          </cell>
          <cell r="O14666">
            <v>3.85</v>
          </cell>
        </row>
        <row r="14667">
          <cell r="E14667" t="str">
            <v>SLST</v>
          </cell>
          <cell r="F14667" t="str">
            <v>SLST-T</v>
          </cell>
          <cell r="G14667">
            <v>501</v>
          </cell>
          <cell r="H14667" t="str">
            <v>SLST-T501</v>
          </cell>
          <cell r="K14667" t="str">
            <v>Abe,Linda Sugioka</v>
          </cell>
          <cell r="N14667">
            <v>3.931</v>
          </cell>
          <cell r="O14667">
            <v>3.766</v>
          </cell>
        </row>
        <row r="14668">
          <cell r="E14668" t="str">
            <v>SLST</v>
          </cell>
          <cell r="F14668" t="str">
            <v>SLST-T</v>
          </cell>
          <cell r="G14668">
            <v>501</v>
          </cell>
          <cell r="H14668" t="str">
            <v>SLST-T501</v>
          </cell>
          <cell r="K14668" t="str">
            <v>Abe,Linda Sugioka</v>
          </cell>
          <cell r="N14668">
            <v>3.8889999999999998</v>
          </cell>
          <cell r="O14668">
            <v>3.7149999999999999</v>
          </cell>
        </row>
        <row r="14669">
          <cell r="E14669" t="str">
            <v>SLST</v>
          </cell>
          <cell r="F14669" t="str">
            <v>SLST-T</v>
          </cell>
          <cell r="G14669">
            <v>501</v>
          </cell>
          <cell r="H14669" t="str">
            <v>SLST-T501</v>
          </cell>
          <cell r="K14669" t="str">
            <v>Abe,Linda Sugioka</v>
          </cell>
          <cell r="N14669" t="str">
            <v>NR</v>
          </cell>
          <cell r="O14669" t="str">
            <v>NR</v>
          </cell>
        </row>
        <row r="14670">
          <cell r="E14670" t="str">
            <v>SLST</v>
          </cell>
          <cell r="F14670" t="str">
            <v>SLST-T</v>
          </cell>
          <cell r="G14670">
            <v>501</v>
          </cell>
          <cell r="H14670" t="str">
            <v>SLST-T501</v>
          </cell>
          <cell r="K14670" t="str">
            <v>Lewis,Tom J</v>
          </cell>
          <cell r="N14670">
            <v>3.9</v>
          </cell>
          <cell r="O14670">
            <v>3.6349999999999998</v>
          </cell>
        </row>
        <row r="14671">
          <cell r="E14671" t="str">
            <v>SLST</v>
          </cell>
          <cell r="F14671" t="str">
            <v>SLST-T</v>
          </cell>
          <cell r="G14671">
            <v>501</v>
          </cell>
          <cell r="H14671" t="str">
            <v>SLST-T501</v>
          </cell>
          <cell r="K14671" t="str">
            <v>Lewis,Tom J</v>
          </cell>
          <cell r="N14671">
            <v>3.7250000000000001</v>
          </cell>
          <cell r="O14671">
            <v>3.3940000000000001</v>
          </cell>
        </row>
        <row r="14672">
          <cell r="E14672" t="str">
            <v>SLST</v>
          </cell>
          <cell r="F14672" t="str">
            <v>SLST-T</v>
          </cell>
          <cell r="G14672">
            <v>501</v>
          </cell>
          <cell r="H14672" t="str">
            <v>SLST-T501</v>
          </cell>
          <cell r="K14672" t="str">
            <v>Lewis,Tom J</v>
          </cell>
          <cell r="N14672">
            <v>3.1110000000000002</v>
          </cell>
          <cell r="O14672">
            <v>3.4660000000000002</v>
          </cell>
        </row>
        <row r="14673">
          <cell r="E14673" t="str">
            <v>SLST</v>
          </cell>
          <cell r="F14673" t="str">
            <v>SLST-T</v>
          </cell>
          <cell r="G14673">
            <v>502</v>
          </cell>
          <cell r="H14673" t="str">
            <v>SLST-T502</v>
          </cell>
          <cell r="K14673" t="str">
            <v>Merceron,Elizabeth R</v>
          </cell>
          <cell r="N14673">
            <v>3.758</v>
          </cell>
          <cell r="O14673">
            <v>3.6949999999999998</v>
          </cell>
        </row>
        <row r="14674">
          <cell r="E14674" t="str">
            <v>SLST</v>
          </cell>
          <cell r="F14674" t="str">
            <v>SLST-T</v>
          </cell>
          <cell r="G14674">
            <v>502</v>
          </cell>
          <cell r="H14674" t="str">
            <v>SLST-T502</v>
          </cell>
          <cell r="K14674" t="str">
            <v>Merceron,Elizabeth R</v>
          </cell>
          <cell r="N14674">
            <v>3.9180000000000001</v>
          </cell>
          <cell r="O14674">
            <v>3.7719999999999998</v>
          </cell>
        </row>
        <row r="14675">
          <cell r="E14675" t="str">
            <v>SLST</v>
          </cell>
          <cell r="F14675" t="str">
            <v>SLST-T</v>
          </cell>
          <cell r="G14675">
            <v>502</v>
          </cell>
          <cell r="H14675" t="str">
            <v>SLST-T502</v>
          </cell>
          <cell r="K14675" t="str">
            <v>Merceron,Elizabeth R</v>
          </cell>
          <cell r="N14675">
            <v>3.5710000000000002</v>
          </cell>
          <cell r="O14675">
            <v>3.71</v>
          </cell>
        </row>
        <row r="14676">
          <cell r="E14676" t="str">
            <v>SLST</v>
          </cell>
          <cell r="F14676" t="str">
            <v>SLST-T</v>
          </cell>
          <cell r="G14676">
            <v>510</v>
          </cell>
          <cell r="H14676" t="str">
            <v>SLST-T510</v>
          </cell>
          <cell r="K14676" t="str">
            <v>Lesourd,Philip Stanley</v>
          </cell>
          <cell r="N14676">
            <v>3.827</v>
          </cell>
          <cell r="O14676">
            <v>3.8010000000000002</v>
          </cell>
        </row>
        <row r="14677">
          <cell r="E14677" t="str">
            <v>SLST</v>
          </cell>
          <cell r="F14677" t="str">
            <v>SLST-T</v>
          </cell>
          <cell r="G14677">
            <v>514</v>
          </cell>
          <cell r="H14677" t="str">
            <v>SLST-T514</v>
          </cell>
          <cell r="K14677" t="str">
            <v>Darcy,Isabelle</v>
          </cell>
          <cell r="N14677">
            <v>3.6669999999999998</v>
          </cell>
          <cell r="O14677">
            <v>3.7810000000000001</v>
          </cell>
        </row>
        <row r="14678">
          <cell r="E14678" t="str">
            <v>SLST</v>
          </cell>
          <cell r="F14678" t="str">
            <v>SLST-T</v>
          </cell>
          <cell r="G14678">
            <v>522</v>
          </cell>
          <cell r="H14678" t="str">
            <v>SLST-T522</v>
          </cell>
          <cell r="K14678" t="str">
            <v>Shin,Sunyoung</v>
          </cell>
          <cell r="N14678">
            <v>3.9</v>
          </cell>
          <cell r="O14678">
            <v>3.9580000000000002</v>
          </cell>
        </row>
        <row r="14679">
          <cell r="E14679" t="str">
            <v>SLST</v>
          </cell>
          <cell r="F14679" t="str">
            <v>SLST-T</v>
          </cell>
          <cell r="G14679">
            <v>538</v>
          </cell>
          <cell r="H14679" t="str">
            <v>SLST-T538</v>
          </cell>
          <cell r="K14679" t="str">
            <v>Friedman,Debra Ann</v>
          </cell>
          <cell r="N14679">
            <v>3.6709999999999998</v>
          </cell>
          <cell r="O14679">
            <v>3.7080000000000002</v>
          </cell>
        </row>
        <row r="14680">
          <cell r="E14680" t="str">
            <v>SLST</v>
          </cell>
          <cell r="F14680" t="str">
            <v>SLST-T</v>
          </cell>
          <cell r="G14680">
            <v>550</v>
          </cell>
          <cell r="H14680" t="str">
            <v>SLST-T550</v>
          </cell>
          <cell r="K14680" t="str">
            <v>Shin,Sunyoung</v>
          </cell>
          <cell r="N14680">
            <v>3.82</v>
          </cell>
          <cell r="O14680">
            <v>3.7690000000000001</v>
          </cell>
        </row>
        <row r="14681">
          <cell r="E14681" t="str">
            <v>SLST</v>
          </cell>
          <cell r="F14681" t="str">
            <v>SLST-T</v>
          </cell>
          <cell r="G14681">
            <v>690</v>
          </cell>
          <cell r="H14681" t="str">
            <v>SLST-T690</v>
          </cell>
          <cell r="K14681" t="str">
            <v>Sprouse,Rex A.</v>
          </cell>
          <cell r="N14681" t="str">
            <v>NR</v>
          </cell>
          <cell r="O14681" t="str">
            <v>NR</v>
          </cell>
        </row>
        <row r="14682">
          <cell r="E14682" t="str">
            <v>SOC</v>
          </cell>
          <cell r="F14682" t="str">
            <v xml:space="preserve">SOC-G </v>
          </cell>
          <cell r="G14682">
            <v>901</v>
          </cell>
          <cell r="H14682" t="str">
            <v>SOC-G 901</v>
          </cell>
          <cell r="K14682" t="str">
            <v>Pavalko,Eliza</v>
          </cell>
          <cell r="N14682" t="str">
            <v>NR</v>
          </cell>
          <cell r="O14682" t="str">
            <v>NR</v>
          </cell>
        </row>
        <row r="14683">
          <cell r="E14683" t="str">
            <v>SOC</v>
          </cell>
          <cell r="F14683" t="str">
            <v xml:space="preserve">SOC-G </v>
          </cell>
          <cell r="G14683">
            <v>901</v>
          </cell>
          <cell r="H14683" t="str">
            <v>SOC-G 901</v>
          </cell>
          <cell r="K14683" t="str">
            <v>Pavalko,Eliza</v>
          </cell>
          <cell r="N14683" t="str">
            <v>NR</v>
          </cell>
          <cell r="O14683" t="str">
            <v>NR</v>
          </cell>
        </row>
        <row r="14684">
          <cell r="E14684" t="str">
            <v>SOC</v>
          </cell>
          <cell r="F14684" t="str">
            <v>SOC-OS</v>
          </cell>
          <cell r="G14684">
            <v>100</v>
          </cell>
          <cell r="H14684" t="str">
            <v>SOC-OS100</v>
          </cell>
          <cell r="N14684" t="str">
            <v>NR</v>
          </cell>
          <cell r="O14684" t="str">
            <v>NR</v>
          </cell>
        </row>
        <row r="14685">
          <cell r="E14685" t="str">
            <v>SOC</v>
          </cell>
          <cell r="F14685" t="str">
            <v xml:space="preserve">SOC-S </v>
          </cell>
          <cell r="G14685">
            <v>100</v>
          </cell>
          <cell r="H14685" t="str">
            <v>SOC-S 100</v>
          </cell>
          <cell r="K14685" t="str">
            <v>Apgar,Lauren A</v>
          </cell>
          <cell r="N14685">
            <v>2.827</v>
          </cell>
          <cell r="O14685">
            <v>2.91</v>
          </cell>
        </row>
        <row r="14686">
          <cell r="E14686" t="str">
            <v>SOC</v>
          </cell>
          <cell r="F14686" t="str">
            <v xml:space="preserve">SOC-S </v>
          </cell>
          <cell r="G14686">
            <v>100</v>
          </cell>
          <cell r="H14686" t="str">
            <v>SOC-S 100</v>
          </cell>
          <cell r="K14686" t="str">
            <v>Blind,Jason David</v>
          </cell>
          <cell r="N14686">
            <v>2.948</v>
          </cell>
          <cell r="O14686">
            <v>3.0880000000000001</v>
          </cell>
        </row>
        <row r="14687">
          <cell r="E14687" t="str">
            <v>SOC</v>
          </cell>
          <cell r="F14687" t="str">
            <v xml:space="preserve">SOC-S </v>
          </cell>
          <cell r="G14687">
            <v>100</v>
          </cell>
          <cell r="H14687" t="str">
            <v>SOC-S 100</v>
          </cell>
          <cell r="K14687" t="str">
            <v>DiSabatino,Lydia Faith</v>
          </cell>
          <cell r="N14687">
            <v>2.6640000000000001</v>
          </cell>
          <cell r="O14687">
            <v>2.9820000000000002</v>
          </cell>
        </row>
        <row r="14688">
          <cell r="E14688" t="str">
            <v>SOC</v>
          </cell>
          <cell r="F14688" t="str">
            <v xml:space="preserve">SOC-S </v>
          </cell>
          <cell r="G14688">
            <v>100</v>
          </cell>
          <cell r="H14688" t="str">
            <v>SOC-S 100</v>
          </cell>
          <cell r="K14688" t="str">
            <v>Foster,Shandu</v>
          </cell>
          <cell r="N14688">
            <v>2.4369999999999998</v>
          </cell>
          <cell r="O14688">
            <v>2.9620000000000002</v>
          </cell>
        </row>
        <row r="14689">
          <cell r="E14689" t="str">
            <v>SOC</v>
          </cell>
          <cell r="F14689" t="str">
            <v xml:space="preserve">SOC-S </v>
          </cell>
          <cell r="G14689">
            <v>100</v>
          </cell>
          <cell r="H14689" t="str">
            <v>SOC-S 100</v>
          </cell>
          <cell r="K14689" t="str">
            <v>Friedman,Natalie Hutchinson</v>
          </cell>
          <cell r="N14689">
            <v>3.282</v>
          </cell>
          <cell r="O14689">
            <v>3.0369999999999999</v>
          </cell>
        </row>
        <row r="14690">
          <cell r="E14690" t="str">
            <v>SOC</v>
          </cell>
          <cell r="F14690" t="str">
            <v xml:space="preserve">SOC-S </v>
          </cell>
          <cell r="G14690">
            <v>100</v>
          </cell>
          <cell r="H14690" t="str">
            <v>SOC-S 100</v>
          </cell>
          <cell r="K14690" t="str">
            <v>Haag,Meredith Claire</v>
          </cell>
          <cell r="N14690">
            <v>2.93</v>
          </cell>
          <cell r="O14690">
            <v>3.0459999999999998</v>
          </cell>
        </row>
        <row r="14691">
          <cell r="E14691" t="str">
            <v>SOC</v>
          </cell>
          <cell r="F14691" t="str">
            <v xml:space="preserve">SOC-S </v>
          </cell>
          <cell r="G14691">
            <v>100</v>
          </cell>
          <cell r="H14691" t="str">
            <v>SOC-S 100</v>
          </cell>
          <cell r="K14691" t="str">
            <v>Hallett,Timothy Paul</v>
          </cell>
          <cell r="N14691">
            <v>2.9590000000000001</v>
          </cell>
          <cell r="O14691">
            <v>2.871</v>
          </cell>
        </row>
        <row r="14692">
          <cell r="E14692" t="str">
            <v>SOC</v>
          </cell>
          <cell r="F14692" t="str">
            <v xml:space="preserve">SOC-S </v>
          </cell>
          <cell r="G14692">
            <v>100</v>
          </cell>
          <cell r="H14692" t="str">
            <v>SOC-S 100</v>
          </cell>
          <cell r="K14692" t="str">
            <v>Hallett,Timothy Paul</v>
          </cell>
          <cell r="N14692">
            <v>3.0129999999999999</v>
          </cell>
          <cell r="O14692">
            <v>2.992</v>
          </cell>
        </row>
        <row r="14693">
          <cell r="E14693" t="str">
            <v>SOC</v>
          </cell>
          <cell r="F14693" t="str">
            <v xml:space="preserve">SOC-S </v>
          </cell>
          <cell r="G14693">
            <v>100</v>
          </cell>
          <cell r="H14693" t="str">
            <v>SOC-S 100</v>
          </cell>
          <cell r="K14693" t="str">
            <v>Izienicki,Hubert</v>
          </cell>
          <cell r="N14693">
            <v>2.8849999999999998</v>
          </cell>
          <cell r="O14693">
            <v>2.6890000000000001</v>
          </cell>
        </row>
        <row r="14694">
          <cell r="E14694" t="str">
            <v>SOC</v>
          </cell>
          <cell r="F14694" t="str">
            <v xml:space="preserve">SOC-S </v>
          </cell>
          <cell r="G14694">
            <v>100</v>
          </cell>
          <cell r="H14694" t="str">
            <v>SOC-S 100</v>
          </cell>
          <cell r="K14694" t="str">
            <v>Loehr,Annalise Skavo</v>
          </cell>
          <cell r="N14694">
            <v>2.8119999999999998</v>
          </cell>
          <cell r="O14694">
            <v>3.0030000000000001</v>
          </cell>
        </row>
        <row r="14695">
          <cell r="E14695" t="str">
            <v>SOC</v>
          </cell>
          <cell r="F14695" t="str">
            <v xml:space="preserve">SOC-S </v>
          </cell>
          <cell r="G14695">
            <v>100</v>
          </cell>
          <cell r="H14695" t="str">
            <v>SOC-S 100</v>
          </cell>
          <cell r="K14695" t="str">
            <v>Loehr,Annalise Skavo</v>
          </cell>
          <cell r="N14695">
            <v>2.992</v>
          </cell>
          <cell r="O14695">
            <v>3.149</v>
          </cell>
        </row>
        <row r="14696">
          <cell r="E14696" t="str">
            <v>SOC</v>
          </cell>
          <cell r="F14696" t="str">
            <v xml:space="preserve">SOC-S </v>
          </cell>
          <cell r="G14696">
            <v>100</v>
          </cell>
          <cell r="H14696" t="str">
            <v>SOC-S 100</v>
          </cell>
          <cell r="K14696" t="str">
            <v>Miller,Lisa Renee</v>
          </cell>
          <cell r="N14696">
            <v>2.9249999999999998</v>
          </cell>
          <cell r="O14696">
            <v>2.78</v>
          </cell>
        </row>
        <row r="14697">
          <cell r="E14697" t="str">
            <v>SOC</v>
          </cell>
          <cell r="F14697" t="str">
            <v xml:space="preserve">SOC-S </v>
          </cell>
          <cell r="G14697">
            <v>100</v>
          </cell>
          <cell r="H14697" t="str">
            <v>SOC-S 100</v>
          </cell>
          <cell r="K14697" t="str">
            <v>Oslawski-Lopez,Jamie Lynn</v>
          </cell>
          <cell r="N14697">
            <v>2.7679999999999998</v>
          </cell>
          <cell r="O14697">
            <v>2.843</v>
          </cell>
        </row>
        <row r="14698">
          <cell r="E14698" t="str">
            <v>SOC</v>
          </cell>
          <cell r="F14698" t="str">
            <v xml:space="preserve">SOC-S </v>
          </cell>
          <cell r="G14698">
            <v>100</v>
          </cell>
          <cell r="H14698" t="str">
            <v>SOC-S 100</v>
          </cell>
          <cell r="K14698" t="str">
            <v>Powers,Alyssa Ann</v>
          </cell>
          <cell r="N14698">
            <v>3.089</v>
          </cell>
          <cell r="O14698">
            <v>2.972</v>
          </cell>
        </row>
        <row r="14699">
          <cell r="E14699" t="str">
            <v>SOC</v>
          </cell>
          <cell r="F14699" t="str">
            <v xml:space="preserve">SOC-S </v>
          </cell>
          <cell r="G14699">
            <v>100</v>
          </cell>
          <cell r="H14699" t="str">
            <v>SOC-S 100</v>
          </cell>
          <cell r="K14699" t="str">
            <v>Robinson,Robert Victor</v>
          </cell>
          <cell r="N14699">
            <v>2.9260000000000002</v>
          </cell>
          <cell r="O14699">
            <v>2.988</v>
          </cell>
        </row>
        <row r="14700">
          <cell r="E14700" t="str">
            <v>SOC</v>
          </cell>
          <cell r="F14700" t="str">
            <v xml:space="preserve">SOC-S </v>
          </cell>
          <cell r="G14700">
            <v>100</v>
          </cell>
          <cell r="H14700" t="str">
            <v>SOC-S 100</v>
          </cell>
          <cell r="K14700" t="str">
            <v>Robinson,Robert Victor</v>
          </cell>
          <cell r="N14700">
            <v>3.0880000000000001</v>
          </cell>
          <cell r="O14700">
            <v>3.1720000000000002</v>
          </cell>
        </row>
        <row r="14701">
          <cell r="E14701" t="str">
            <v>SOC</v>
          </cell>
          <cell r="F14701" t="str">
            <v xml:space="preserve">SOC-S </v>
          </cell>
          <cell r="G14701">
            <v>100</v>
          </cell>
          <cell r="H14701" t="str">
            <v>SOC-S 100</v>
          </cell>
          <cell r="K14701" t="str">
            <v>Robinson,Robert Victor</v>
          </cell>
          <cell r="N14701">
            <v>2.77</v>
          </cell>
          <cell r="O14701">
            <v>3</v>
          </cell>
        </row>
        <row r="14702">
          <cell r="E14702" t="str">
            <v>SOC</v>
          </cell>
          <cell r="F14702" t="str">
            <v xml:space="preserve">SOC-S </v>
          </cell>
          <cell r="G14702">
            <v>100</v>
          </cell>
          <cell r="H14702" t="str">
            <v>SOC-S 100</v>
          </cell>
          <cell r="K14702" t="str">
            <v>Robinson,Robert Victor</v>
          </cell>
          <cell r="N14702">
            <v>2.742</v>
          </cell>
          <cell r="O14702">
            <v>2.9430000000000001</v>
          </cell>
        </row>
        <row r="14703">
          <cell r="E14703" t="str">
            <v>SOC</v>
          </cell>
          <cell r="F14703" t="str">
            <v xml:space="preserve">SOC-S </v>
          </cell>
          <cell r="G14703">
            <v>100</v>
          </cell>
          <cell r="H14703" t="str">
            <v>SOC-S 100</v>
          </cell>
          <cell r="K14703" t="str">
            <v>Schlapkohl,Jane Donna Story</v>
          </cell>
          <cell r="N14703">
            <v>3.073</v>
          </cell>
          <cell r="O14703">
            <v>3.157</v>
          </cell>
        </row>
        <row r="14704">
          <cell r="E14704" t="str">
            <v>SOC</v>
          </cell>
          <cell r="F14704" t="str">
            <v xml:space="preserve">SOC-S </v>
          </cell>
          <cell r="G14704">
            <v>100</v>
          </cell>
          <cell r="H14704" t="str">
            <v>SOC-S 100</v>
          </cell>
          <cell r="K14704" t="str">
            <v>Setchfield,Scott David</v>
          </cell>
          <cell r="N14704">
            <v>2.31</v>
          </cell>
          <cell r="O14704">
            <v>2.7869999999999999</v>
          </cell>
        </row>
        <row r="14705">
          <cell r="E14705" t="str">
            <v>SOC</v>
          </cell>
          <cell r="F14705" t="str">
            <v xml:space="preserve">SOC-S </v>
          </cell>
          <cell r="G14705">
            <v>100</v>
          </cell>
          <cell r="H14705" t="str">
            <v>SOC-S 100</v>
          </cell>
          <cell r="K14705" t="str">
            <v>Summers,Nikolas Edward</v>
          </cell>
          <cell r="N14705">
            <v>2.7719999999999998</v>
          </cell>
          <cell r="O14705">
            <v>2.859</v>
          </cell>
        </row>
        <row r="14706">
          <cell r="E14706" t="str">
            <v>SOC</v>
          </cell>
          <cell r="F14706" t="str">
            <v xml:space="preserve">SOC-S </v>
          </cell>
          <cell r="G14706">
            <v>100</v>
          </cell>
          <cell r="H14706" t="str">
            <v>SOC-S 100</v>
          </cell>
          <cell r="K14706" t="str">
            <v>Taliaferro,Megan Beth</v>
          </cell>
          <cell r="N14706">
            <v>3.214</v>
          </cell>
          <cell r="O14706">
            <v>2.895</v>
          </cell>
        </row>
        <row r="14707">
          <cell r="E14707" t="str">
            <v>SOC</v>
          </cell>
          <cell r="F14707" t="str">
            <v xml:space="preserve">SOC-S </v>
          </cell>
          <cell r="G14707">
            <v>100</v>
          </cell>
          <cell r="H14707" t="str">
            <v>SOC-S 100</v>
          </cell>
          <cell r="K14707" t="str">
            <v>VanHeuvelen,Jane Donna Story Schlapkohl</v>
          </cell>
          <cell r="N14707">
            <v>2.68</v>
          </cell>
          <cell r="O14707">
            <v>2.8620000000000001</v>
          </cell>
        </row>
        <row r="14708">
          <cell r="E14708" t="str">
            <v>SOC</v>
          </cell>
          <cell r="F14708" t="str">
            <v xml:space="preserve">SOC-S </v>
          </cell>
          <cell r="G14708">
            <v>100</v>
          </cell>
          <cell r="H14708" t="str">
            <v>SOC-S 100</v>
          </cell>
          <cell r="K14708" t="str">
            <v>Von Der Haar,Christine M.</v>
          </cell>
          <cell r="N14708">
            <v>2.782</v>
          </cell>
          <cell r="O14708">
            <v>2.758</v>
          </cell>
        </row>
        <row r="14709">
          <cell r="E14709" t="str">
            <v>SOC</v>
          </cell>
          <cell r="F14709" t="str">
            <v xml:space="preserve">SOC-S </v>
          </cell>
          <cell r="G14709">
            <v>100</v>
          </cell>
          <cell r="H14709" t="str">
            <v>SOC-S 100</v>
          </cell>
          <cell r="K14709" t="str">
            <v>Wurgler,Emily Elizabeth</v>
          </cell>
          <cell r="N14709">
            <v>2.875</v>
          </cell>
          <cell r="O14709">
            <v>2.7970000000000002</v>
          </cell>
        </row>
        <row r="14710">
          <cell r="E14710" t="str">
            <v>SOC</v>
          </cell>
          <cell r="F14710" t="str">
            <v xml:space="preserve">SOC-S </v>
          </cell>
          <cell r="G14710">
            <v>101</v>
          </cell>
          <cell r="H14710" t="str">
            <v>SOC-S 101</v>
          </cell>
          <cell r="K14710" t="str">
            <v>Cha,Youngjoo</v>
          </cell>
          <cell r="N14710">
            <v>2.778</v>
          </cell>
          <cell r="O14710">
            <v>2.7909999999999999</v>
          </cell>
        </row>
        <row r="14711">
          <cell r="E14711" t="str">
            <v>SOC</v>
          </cell>
          <cell r="F14711" t="str">
            <v xml:space="preserve">SOC-S </v>
          </cell>
          <cell r="G14711">
            <v>101</v>
          </cell>
          <cell r="H14711" t="str">
            <v>SOC-S 101</v>
          </cell>
          <cell r="K14711" t="str">
            <v>Cornell,Laurel L.</v>
          </cell>
          <cell r="N14711">
            <v>3.359</v>
          </cell>
          <cell r="O14711">
            <v>3.032</v>
          </cell>
        </row>
        <row r="14712">
          <cell r="E14712" t="str">
            <v>SOC</v>
          </cell>
          <cell r="F14712" t="str">
            <v xml:space="preserve">SOC-S </v>
          </cell>
          <cell r="G14712">
            <v>101</v>
          </cell>
          <cell r="H14712" t="str">
            <v>SOC-S 101</v>
          </cell>
          <cell r="K14712" t="str">
            <v>Lu,Alexander Jackson</v>
          </cell>
          <cell r="N14712">
            <v>2.9329999999999998</v>
          </cell>
          <cell r="O14712">
            <v>2.9430000000000001</v>
          </cell>
        </row>
        <row r="14713">
          <cell r="E14713" t="str">
            <v>SOC</v>
          </cell>
          <cell r="F14713" t="str">
            <v xml:space="preserve">SOC-S </v>
          </cell>
          <cell r="G14713">
            <v>101</v>
          </cell>
          <cell r="H14713" t="str">
            <v>SOC-S 101</v>
          </cell>
          <cell r="K14713" t="str">
            <v>Metroka,Michael Gary</v>
          </cell>
          <cell r="N14713">
            <v>2.915</v>
          </cell>
          <cell r="O14713">
            <v>2.8860000000000001</v>
          </cell>
        </row>
        <row r="14714">
          <cell r="E14714" t="str">
            <v>SOC</v>
          </cell>
          <cell r="F14714" t="str">
            <v xml:space="preserve">SOC-S </v>
          </cell>
          <cell r="G14714">
            <v>101</v>
          </cell>
          <cell r="H14714" t="str">
            <v>SOC-S 101</v>
          </cell>
          <cell r="K14714" t="str">
            <v>Metroka,Michael Gary</v>
          </cell>
          <cell r="N14714">
            <v>3.0009999999999999</v>
          </cell>
          <cell r="O14714">
            <v>3.0859999999999999</v>
          </cell>
        </row>
        <row r="14715">
          <cell r="E14715" t="str">
            <v>SOC</v>
          </cell>
          <cell r="F14715" t="str">
            <v xml:space="preserve">SOC-S </v>
          </cell>
          <cell r="G14715">
            <v>101</v>
          </cell>
          <cell r="H14715" t="str">
            <v>SOC-S 101</v>
          </cell>
          <cell r="K14715" t="str">
            <v>Pescosolido,Bernice A.</v>
          </cell>
          <cell r="N14715">
            <v>2.9260000000000002</v>
          </cell>
          <cell r="O14715">
            <v>3.093</v>
          </cell>
        </row>
        <row r="14716">
          <cell r="E14716" t="str">
            <v>SOC</v>
          </cell>
          <cell r="F14716" t="str">
            <v xml:space="preserve">SOC-S </v>
          </cell>
          <cell r="G14716">
            <v>101</v>
          </cell>
          <cell r="H14716" t="str">
            <v>SOC-S 101</v>
          </cell>
          <cell r="K14716" t="str">
            <v>Taylor,Catherine Jeanine</v>
          </cell>
          <cell r="N14716">
            <v>2.859</v>
          </cell>
          <cell r="O14716">
            <v>2.734</v>
          </cell>
        </row>
        <row r="14717">
          <cell r="E14717" t="str">
            <v>SOC</v>
          </cell>
          <cell r="F14717" t="str">
            <v xml:space="preserve">SOC-S </v>
          </cell>
          <cell r="G14717">
            <v>110</v>
          </cell>
          <cell r="H14717" t="str">
            <v>SOC-S 110</v>
          </cell>
          <cell r="K14717" t="str">
            <v>Doan,Long</v>
          </cell>
          <cell r="N14717">
            <v>3.0630000000000002</v>
          </cell>
          <cell r="O14717">
            <v>3.052</v>
          </cell>
        </row>
        <row r="14718">
          <cell r="E14718" t="str">
            <v>SOC</v>
          </cell>
          <cell r="F14718" t="str">
            <v xml:space="preserve">SOC-S </v>
          </cell>
          <cell r="G14718">
            <v>110</v>
          </cell>
          <cell r="H14718" t="str">
            <v>SOC-S 110</v>
          </cell>
          <cell r="K14718" t="str">
            <v>Hatteberg,Sarah Jean</v>
          </cell>
          <cell r="N14718">
            <v>2.7029999999999998</v>
          </cell>
          <cell r="O14718">
            <v>2.8010000000000002</v>
          </cell>
        </row>
        <row r="14719">
          <cell r="E14719" t="str">
            <v>SOC</v>
          </cell>
          <cell r="F14719" t="str">
            <v xml:space="preserve">SOC-S </v>
          </cell>
          <cell r="G14719">
            <v>110</v>
          </cell>
          <cell r="H14719" t="str">
            <v>SOC-S 110</v>
          </cell>
          <cell r="K14719" t="str">
            <v>La Touche,Rachel Amanda</v>
          </cell>
          <cell r="N14719">
            <v>3.0430000000000001</v>
          </cell>
          <cell r="O14719">
            <v>2.99</v>
          </cell>
        </row>
        <row r="14720">
          <cell r="E14720" t="str">
            <v>SOC</v>
          </cell>
          <cell r="F14720" t="str">
            <v xml:space="preserve">SOC-S </v>
          </cell>
          <cell r="G14720">
            <v>110</v>
          </cell>
          <cell r="H14720" t="str">
            <v>SOC-S 110</v>
          </cell>
          <cell r="K14720" t="str">
            <v>La Touche,Rachel Amanda</v>
          </cell>
          <cell r="N14720">
            <v>3.4350000000000001</v>
          </cell>
          <cell r="O14720">
            <v>3.1920000000000002</v>
          </cell>
        </row>
        <row r="14721">
          <cell r="E14721" t="str">
            <v>SOC</v>
          </cell>
          <cell r="F14721" t="str">
            <v xml:space="preserve">SOC-S </v>
          </cell>
          <cell r="G14721">
            <v>110</v>
          </cell>
          <cell r="H14721" t="str">
            <v>SOC-S 110</v>
          </cell>
          <cell r="K14721" t="str">
            <v>Oberlin,Kathleen Curry</v>
          </cell>
          <cell r="N14721">
            <v>3.0419999999999998</v>
          </cell>
          <cell r="O14721">
            <v>3.032</v>
          </cell>
        </row>
        <row r="14722">
          <cell r="E14722" t="str">
            <v>SOC</v>
          </cell>
          <cell r="F14722" t="str">
            <v xml:space="preserve">SOC-S </v>
          </cell>
          <cell r="G14722">
            <v>201</v>
          </cell>
          <cell r="H14722" t="str">
            <v>SOC-S 201</v>
          </cell>
          <cell r="K14722" t="str">
            <v>Calarco,Jessica</v>
          </cell>
          <cell r="N14722">
            <v>3.31</v>
          </cell>
          <cell r="O14722">
            <v>2.9449999999999998</v>
          </cell>
        </row>
        <row r="14723">
          <cell r="E14723" t="str">
            <v>SOC</v>
          </cell>
          <cell r="F14723" t="str">
            <v xml:space="preserve">SOC-S </v>
          </cell>
          <cell r="G14723">
            <v>201</v>
          </cell>
          <cell r="H14723" t="str">
            <v>SOC-S 201</v>
          </cell>
          <cell r="K14723" t="str">
            <v>Ponce,Aaron Joshua</v>
          </cell>
          <cell r="N14723">
            <v>3.2450000000000001</v>
          </cell>
          <cell r="O14723">
            <v>3.0230000000000001</v>
          </cell>
        </row>
        <row r="14724">
          <cell r="E14724" t="str">
            <v>SOC</v>
          </cell>
          <cell r="F14724" t="str">
            <v xml:space="preserve">SOC-S </v>
          </cell>
          <cell r="G14724">
            <v>210</v>
          </cell>
          <cell r="H14724" t="str">
            <v>SOC-S 210</v>
          </cell>
          <cell r="K14724" t="str">
            <v>Smith,Christi</v>
          </cell>
          <cell r="N14724">
            <v>3.0920000000000001</v>
          </cell>
          <cell r="O14724">
            <v>2.976</v>
          </cell>
        </row>
        <row r="14725">
          <cell r="E14725" t="str">
            <v>SOC</v>
          </cell>
          <cell r="F14725" t="str">
            <v xml:space="preserve">SOC-S </v>
          </cell>
          <cell r="G14725">
            <v>210</v>
          </cell>
          <cell r="H14725" t="str">
            <v>SOC-S 210</v>
          </cell>
          <cell r="K14725" t="str">
            <v>Summers,Nikolas Edward</v>
          </cell>
          <cell r="N14725">
            <v>2.9359999999999999</v>
          </cell>
          <cell r="O14725">
            <v>2.9990000000000001</v>
          </cell>
        </row>
        <row r="14726">
          <cell r="E14726" t="str">
            <v>SOC</v>
          </cell>
          <cell r="F14726" t="str">
            <v xml:space="preserve">SOC-S </v>
          </cell>
          <cell r="G14726">
            <v>215</v>
          </cell>
          <cell r="H14726" t="str">
            <v>SOC-S 215</v>
          </cell>
          <cell r="K14726" t="str">
            <v>Brooks,Clem</v>
          </cell>
          <cell r="N14726">
            <v>3.3359999999999999</v>
          </cell>
          <cell r="O14726">
            <v>2.9260000000000002</v>
          </cell>
        </row>
        <row r="14727">
          <cell r="E14727" t="str">
            <v>SOC</v>
          </cell>
          <cell r="F14727" t="str">
            <v xml:space="preserve">SOC-S </v>
          </cell>
          <cell r="G14727">
            <v>217</v>
          </cell>
          <cell r="H14727" t="str">
            <v>SOC-S 217</v>
          </cell>
          <cell r="K14727" t="str">
            <v>Alderson,Arthur S.</v>
          </cell>
          <cell r="N14727">
            <v>2.827</v>
          </cell>
          <cell r="O14727">
            <v>2.992</v>
          </cell>
        </row>
        <row r="14728">
          <cell r="E14728" t="str">
            <v>SOC</v>
          </cell>
          <cell r="F14728" t="str">
            <v xml:space="preserve">SOC-S </v>
          </cell>
          <cell r="G14728">
            <v>217</v>
          </cell>
          <cell r="H14728" t="str">
            <v>SOC-S 217</v>
          </cell>
          <cell r="K14728" t="str">
            <v>Alderson,Arthur S.</v>
          </cell>
          <cell r="N14728">
            <v>2.6419999999999999</v>
          </cell>
          <cell r="O14728">
            <v>3.0449999999999999</v>
          </cell>
        </row>
        <row r="14729">
          <cell r="E14729" t="str">
            <v>SOC</v>
          </cell>
          <cell r="F14729" t="str">
            <v xml:space="preserve">SOC-S </v>
          </cell>
          <cell r="G14729">
            <v>220</v>
          </cell>
          <cell r="H14729" t="str">
            <v>SOC-S 220</v>
          </cell>
          <cell r="K14729" t="str">
            <v>Gougherty,Matthew Thomas</v>
          </cell>
          <cell r="N14729">
            <v>2.76</v>
          </cell>
          <cell r="O14729">
            <v>2.8730000000000002</v>
          </cell>
        </row>
        <row r="14730">
          <cell r="E14730" t="str">
            <v>SOC</v>
          </cell>
          <cell r="F14730" t="str">
            <v xml:space="preserve">SOC-S </v>
          </cell>
          <cell r="G14730">
            <v>230</v>
          </cell>
          <cell r="H14730" t="str">
            <v>SOC-S 230</v>
          </cell>
          <cell r="K14730" t="str">
            <v>Benard,Stephen</v>
          </cell>
          <cell r="N14730">
            <v>3.242</v>
          </cell>
          <cell r="O14730">
            <v>3.048</v>
          </cell>
        </row>
        <row r="14731">
          <cell r="E14731" t="str">
            <v>SOC</v>
          </cell>
          <cell r="F14731" t="str">
            <v xml:space="preserve">SOC-S </v>
          </cell>
          <cell r="G14731">
            <v>230</v>
          </cell>
          <cell r="H14731" t="str">
            <v>SOC-S 230</v>
          </cell>
          <cell r="K14731" t="str">
            <v>Benard,Stephen</v>
          </cell>
          <cell r="N14731">
            <v>3.0840000000000001</v>
          </cell>
          <cell r="O14731">
            <v>3.1339999999999999</v>
          </cell>
        </row>
        <row r="14732">
          <cell r="E14732" t="str">
            <v>SOC</v>
          </cell>
          <cell r="F14732" t="str">
            <v xml:space="preserve">SOC-S </v>
          </cell>
          <cell r="G14732">
            <v>230</v>
          </cell>
          <cell r="H14732" t="str">
            <v>SOC-S 230</v>
          </cell>
          <cell r="K14732" t="str">
            <v>Powers,Alyssa Ann</v>
          </cell>
          <cell r="N14732">
            <v>3.0259999999999998</v>
          </cell>
          <cell r="O14732">
            <v>3.0630000000000002</v>
          </cell>
        </row>
        <row r="14733">
          <cell r="E14733" t="str">
            <v>SOC</v>
          </cell>
          <cell r="F14733" t="str">
            <v xml:space="preserve">SOC-S </v>
          </cell>
          <cell r="G14733">
            <v>230</v>
          </cell>
          <cell r="H14733" t="str">
            <v>SOC-S 230</v>
          </cell>
          <cell r="K14733" t="str">
            <v>Von Der Haar,Christine M.</v>
          </cell>
          <cell r="N14733">
            <v>3.1070000000000002</v>
          </cell>
          <cell r="O14733">
            <v>3.0539999999999998</v>
          </cell>
        </row>
        <row r="14734">
          <cell r="E14734" t="str">
            <v>SOC</v>
          </cell>
          <cell r="F14734" t="str">
            <v xml:space="preserve">SOC-S </v>
          </cell>
          <cell r="G14734">
            <v>311</v>
          </cell>
          <cell r="H14734" t="str">
            <v>SOC-S 311</v>
          </cell>
          <cell r="K14734" t="str">
            <v>Brooks,Clem</v>
          </cell>
          <cell r="N14734">
            <v>3.7250000000000001</v>
          </cell>
          <cell r="O14734">
            <v>2.9990000000000001</v>
          </cell>
        </row>
        <row r="14735">
          <cell r="E14735" t="str">
            <v>SOC</v>
          </cell>
          <cell r="F14735" t="str">
            <v xml:space="preserve">SOC-S </v>
          </cell>
          <cell r="G14735">
            <v>311</v>
          </cell>
          <cell r="H14735" t="str">
            <v>SOC-S 311</v>
          </cell>
          <cell r="K14735" t="str">
            <v>Brooks,Clem</v>
          </cell>
          <cell r="N14735">
            <v>3.3380000000000001</v>
          </cell>
          <cell r="O14735">
            <v>2.9620000000000002</v>
          </cell>
        </row>
        <row r="14736">
          <cell r="E14736" t="str">
            <v>SOC</v>
          </cell>
          <cell r="F14736" t="str">
            <v xml:space="preserve">SOC-S </v>
          </cell>
          <cell r="G14736">
            <v>312</v>
          </cell>
          <cell r="H14736" t="str">
            <v>SOC-S 312</v>
          </cell>
          <cell r="K14736" t="str">
            <v>Lee,Jennifer Catherine</v>
          </cell>
          <cell r="N14736">
            <v>2.843</v>
          </cell>
          <cell r="O14736">
            <v>2.923</v>
          </cell>
        </row>
        <row r="14737">
          <cell r="E14737" t="str">
            <v>SOC</v>
          </cell>
          <cell r="F14737" t="str">
            <v xml:space="preserve">SOC-S </v>
          </cell>
          <cell r="G14737">
            <v>312</v>
          </cell>
          <cell r="H14737" t="str">
            <v>SOC-S 312</v>
          </cell>
          <cell r="K14737" t="str">
            <v>Lee,Jennifer Catherine</v>
          </cell>
          <cell r="N14737">
            <v>3.03</v>
          </cell>
          <cell r="O14737">
            <v>2.996</v>
          </cell>
        </row>
        <row r="14738">
          <cell r="E14738" t="str">
            <v>SOC</v>
          </cell>
          <cell r="F14738" t="str">
            <v xml:space="preserve">SOC-S </v>
          </cell>
          <cell r="G14738">
            <v>313</v>
          </cell>
          <cell r="H14738" t="str">
            <v>SOC-S 313</v>
          </cell>
          <cell r="K14738" t="str">
            <v>Kucinskas,Jaime Lee</v>
          </cell>
          <cell r="N14738">
            <v>3.0209999999999999</v>
          </cell>
          <cell r="O14738">
            <v>3.2170000000000001</v>
          </cell>
        </row>
        <row r="14739">
          <cell r="E14739" t="str">
            <v>SOC</v>
          </cell>
          <cell r="F14739" t="str">
            <v xml:space="preserve">SOC-S </v>
          </cell>
          <cell r="G14739">
            <v>313</v>
          </cell>
          <cell r="H14739" t="str">
            <v>SOC-S 313</v>
          </cell>
          <cell r="K14739" t="str">
            <v>Steensland,Brian</v>
          </cell>
          <cell r="N14739">
            <v>2.6389999999999998</v>
          </cell>
          <cell r="O14739">
            <v>3.0840000000000001</v>
          </cell>
        </row>
        <row r="14740">
          <cell r="E14740" t="str">
            <v>SOC</v>
          </cell>
          <cell r="F14740" t="str">
            <v xml:space="preserve">SOC-S </v>
          </cell>
          <cell r="G14740">
            <v>313</v>
          </cell>
          <cell r="H14740" t="str">
            <v>SOC-S 313</v>
          </cell>
          <cell r="K14740" t="str">
            <v>Steensland,Brian</v>
          </cell>
          <cell r="N14740" t="str">
            <v>NR</v>
          </cell>
          <cell r="O14740" t="str">
            <v>NR</v>
          </cell>
        </row>
        <row r="14741">
          <cell r="E14741" t="str">
            <v>SOC</v>
          </cell>
          <cell r="F14741" t="str">
            <v xml:space="preserve">SOC-S </v>
          </cell>
          <cell r="G14741">
            <v>315</v>
          </cell>
          <cell r="H14741" t="str">
            <v>SOC-S 315</v>
          </cell>
          <cell r="K14741" t="str">
            <v>Von Der Haar,Christine M.</v>
          </cell>
          <cell r="N14741">
            <v>2.9769999999999999</v>
          </cell>
          <cell r="O14741">
            <v>3.008</v>
          </cell>
        </row>
        <row r="14742">
          <cell r="E14742" t="str">
            <v>SOC</v>
          </cell>
          <cell r="F14742" t="str">
            <v xml:space="preserve">SOC-S </v>
          </cell>
          <cell r="G14742">
            <v>315</v>
          </cell>
          <cell r="H14742" t="str">
            <v>SOC-S 315</v>
          </cell>
          <cell r="K14742" t="str">
            <v>Von Der Haar,Christine M.</v>
          </cell>
          <cell r="N14742">
            <v>3.4249999999999998</v>
          </cell>
          <cell r="O14742">
            <v>3.1259999999999999</v>
          </cell>
        </row>
        <row r="14743">
          <cell r="E14743" t="str">
            <v>SOC</v>
          </cell>
          <cell r="F14743" t="str">
            <v xml:space="preserve">SOC-S </v>
          </cell>
          <cell r="G14743">
            <v>316</v>
          </cell>
          <cell r="H14743" t="str">
            <v>SOC-S 316</v>
          </cell>
          <cell r="K14743" t="str">
            <v>Collins,Steve Michael</v>
          </cell>
          <cell r="N14743">
            <v>3.7839999999999998</v>
          </cell>
          <cell r="O14743">
            <v>3.1280000000000001</v>
          </cell>
        </row>
        <row r="14744">
          <cell r="E14744" t="str">
            <v>SOC</v>
          </cell>
          <cell r="F14744" t="str">
            <v xml:space="preserve">SOC-S </v>
          </cell>
          <cell r="G14744">
            <v>316</v>
          </cell>
          <cell r="H14744" t="str">
            <v>SOC-S 316</v>
          </cell>
          <cell r="K14744" t="str">
            <v>Collins,Steve Michael</v>
          </cell>
          <cell r="N14744">
            <v>3.62</v>
          </cell>
          <cell r="O14744">
            <v>3.1789999999999998</v>
          </cell>
        </row>
        <row r="14745">
          <cell r="E14745" t="str">
            <v>SOC</v>
          </cell>
          <cell r="F14745" t="str">
            <v xml:space="preserve">SOC-S </v>
          </cell>
          <cell r="G14745">
            <v>316</v>
          </cell>
          <cell r="H14745" t="str">
            <v>SOC-S 316</v>
          </cell>
          <cell r="K14745" t="str">
            <v>Puentes,Jennifer Nicole</v>
          </cell>
          <cell r="N14745">
            <v>2.9929999999999999</v>
          </cell>
          <cell r="O14745">
            <v>3.0129999999999999</v>
          </cell>
        </row>
        <row r="14746">
          <cell r="E14746" t="str">
            <v>SOC</v>
          </cell>
          <cell r="F14746" t="str">
            <v xml:space="preserve">SOC-S </v>
          </cell>
          <cell r="G14746">
            <v>320</v>
          </cell>
          <cell r="H14746" t="str">
            <v>SOC-S 320</v>
          </cell>
          <cell r="K14746" t="str">
            <v>Setchfield,Scott David</v>
          </cell>
          <cell r="N14746">
            <v>3.274</v>
          </cell>
          <cell r="O14746">
            <v>3.036</v>
          </cell>
        </row>
        <row r="14747">
          <cell r="E14747" t="str">
            <v>SOC</v>
          </cell>
          <cell r="F14747" t="str">
            <v xml:space="preserve">SOC-S </v>
          </cell>
          <cell r="G14747">
            <v>321</v>
          </cell>
          <cell r="H14747" t="str">
            <v>SOC-S 321</v>
          </cell>
          <cell r="K14747" t="str">
            <v>Miller,Lisa Renee</v>
          </cell>
          <cell r="N14747">
            <v>2.96</v>
          </cell>
          <cell r="O14747">
            <v>2.9849999999999999</v>
          </cell>
        </row>
        <row r="14748">
          <cell r="E14748" t="str">
            <v>SOC</v>
          </cell>
          <cell r="F14748" t="str">
            <v xml:space="preserve">SOC-S </v>
          </cell>
          <cell r="G14748">
            <v>321</v>
          </cell>
          <cell r="H14748" t="str">
            <v>SOC-S 321</v>
          </cell>
          <cell r="K14748" t="str">
            <v>Weinberg,Martin</v>
          </cell>
          <cell r="N14748">
            <v>2.1640000000000001</v>
          </cell>
          <cell r="O14748">
            <v>2.9790000000000001</v>
          </cell>
        </row>
        <row r="14749">
          <cell r="E14749" t="str">
            <v>SOC</v>
          </cell>
          <cell r="F14749" t="str">
            <v xml:space="preserve">SOC-S </v>
          </cell>
          <cell r="G14749">
            <v>321</v>
          </cell>
          <cell r="H14749" t="str">
            <v>SOC-S 321</v>
          </cell>
          <cell r="K14749" t="str">
            <v>Weinberg,Martin</v>
          </cell>
          <cell r="N14749">
            <v>2.1179999999999999</v>
          </cell>
          <cell r="O14749">
            <v>2.9489999999999998</v>
          </cell>
        </row>
        <row r="14750">
          <cell r="E14750" t="str">
            <v>SOC</v>
          </cell>
          <cell r="F14750" t="str">
            <v xml:space="preserve">SOC-S </v>
          </cell>
          <cell r="G14750">
            <v>324</v>
          </cell>
          <cell r="H14750" t="str">
            <v>SOC-S 324</v>
          </cell>
          <cell r="K14750" t="str">
            <v>Erving,Christy LaShaun</v>
          </cell>
          <cell r="N14750">
            <v>3.2490000000000001</v>
          </cell>
          <cell r="O14750">
            <v>3.0539999999999998</v>
          </cell>
        </row>
        <row r="14751">
          <cell r="E14751" t="str">
            <v>SOC</v>
          </cell>
          <cell r="F14751" t="str">
            <v xml:space="preserve">SOC-S </v>
          </cell>
          <cell r="G14751">
            <v>324</v>
          </cell>
          <cell r="H14751" t="str">
            <v>SOC-S 324</v>
          </cell>
          <cell r="K14751" t="str">
            <v>Jackson,Pamela Braboy</v>
          </cell>
          <cell r="N14751">
            <v>3.0110000000000001</v>
          </cell>
          <cell r="O14751">
            <v>3.11</v>
          </cell>
        </row>
        <row r="14752">
          <cell r="E14752" t="str">
            <v>SOC</v>
          </cell>
          <cell r="F14752" t="str">
            <v xml:space="preserve">SOC-S </v>
          </cell>
          <cell r="G14752">
            <v>324</v>
          </cell>
          <cell r="H14752" t="str">
            <v>SOC-S 324</v>
          </cell>
          <cell r="K14752" t="str">
            <v>Jackson,Pamela Braboy</v>
          </cell>
          <cell r="N14752">
            <v>3.4340000000000002</v>
          </cell>
          <cell r="O14752">
            <v>3.254</v>
          </cell>
        </row>
        <row r="14753">
          <cell r="E14753" t="str">
            <v>SOC</v>
          </cell>
          <cell r="F14753" t="str">
            <v xml:space="preserve">SOC-S </v>
          </cell>
          <cell r="G14753">
            <v>324</v>
          </cell>
          <cell r="H14753" t="str">
            <v>SOC-S 324</v>
          </cell>
          <cell r="K14753" t="str">
            <v>Lu,Alexander Jackson</v>
          </cell>
          <cell r="N14753">
            <v>3.0790000000000002</v>
          </cell>
          <cell r="O14753">
            <v>3.1520000000000001</v>
          </cell>
        </row>
        <row r="14754">
          <cell r="E14754" t="str">
            <v>SOC</v>
          </cell>
          <cell r="F14754" t="str">
            <v xml:space="preserve">SOC-S </v>
          </cell>
          <cell r="G14754">
            <v>325</v>
          </cell>
          <cell r="H14754" t="str">
            <v>SOC-S 325</v>
          </cell>
          <cell r="K14754" t="str">
            <v>Knight,Syndee Gail</v>
          </cell>
          <cell r="N14754">
            <v>3.3380000000000001</v>
          </cell>
          <cell r="O14754">
            <v>2.96</v>
          </cell>
        </row>
        <row r="14755">
          <cell r="E14755" t="str">
            <v>SOC</v>
          </cell>
          <cell r="F14755" t="str">
            <v xml:space="preserve">SOC-S </v>
          </cell>
          <cell r="G14755">
            <v>325</v>
          </cell>
          <cell r="H14755" t="str">
            <v>SOC-S 325</v>
          </cell>
          <cell r="K14755" t="str">
            <v>Li,Ke</v>
          </cell>
          <cell r="N14755">
            <v>2.855</v>
          </cell>
          <cell r="O14755">
            <v>3.1139999999999999</v>
          </cell>
        </row>
        <row r="14756">
          <cell r="E14756" t="str">
            <v>SOC</v>
          </cell>
          <cell r="F14756" t="str">
            <v xml:space="preserve">SOC-S </v>
          </cell>
          <cell r="G14756">
            <v>326</v>
          </cell>
          <cell r="H14756" t="str">
            <v>SOC-S 326</v>
          </cell>
          <cell r="K14756" t="str">
            <v>Michelson,Ethan</v>
          </cell>
          <cell r="N14756">
            <v>2.8090000000000002</v>
          </cell>
          <cell r="O14756">
            <v>2.8570000000000002</v>
          </cell>
        </row>
        <row r="14757">
          <cell r="E14757" t="str">
            <v>SOC</v>
          </cell>
          <cell r="F14757" t="str">
            <v xml:space="preserve">SOC-S </v>
          </cell>
          <cell r="G14757">
            <v>335</v>
          </cell>
          <cell r="H14757" t="str">
            <v>SOC-S 335</v>
          </cell>
          <cell r="K14757" t="str">
            <v>Prewitt,Dana Stephanie</v>
          </cell>
          <cell r="N14757">
            <v>2.794</v>
          </cell>
          <cell r="O14757">
            <v>2.9060000000000001</v>
          </cell>
        </row>
        <row r="14758">
          <cell r="E14758" t="str">
            <v>SOC</v>
          </cell>
          <cell r="F14758" t="str">
            <v xml:space="preserve">SOC-S </v>
          </cell>
          <cell r="G14758">
            <v>335</v>
          </cell>
          <cell r="H14758" t="str">
            <v>SOC-S 335</v>
          </cell>
          <cell r="K14758" t="str">
            <v>Puentes,Jennifer Nicole</v>
          </cell>
          <cell r="N14758">
            <v>3.1230000000000002</v>
          </cell>
          <cell r="O14758">
            <v>2.9990000000000001</v>
          </cell>
        </row>
        <row r="14759">
          <cell r="E14759" t="str">
            <v>SOC</v>
          </cell>
          <cell r="F14759" t="str">
            <v xml:space="preserve">SOC-S </v>
          </cell>
          <cell r="G14759">
            <v>338</v>
          </cell>
          <cell r="H14759" t="str">
            <v>SOC-S 338</v>
          </cell>
          <cell r="K14759" t="str">
            <v>Cha,Youngjoo</v>
          </cell>
          <cell r="N14759">
            <v>2.7410000000000001</v>
          </cell>
          <cell r="O14759">
            <v>3</v>
          </cell>
        </row>
        <row r="14760">
          <cell r="E14760" t="str">
            <v>SOC</v>
          </cell>
          <cell r="F14760" t="str">
            <v xml:space="preserve">SOC-S </v>
          </cell>
          <cell r="G14760">
            <v>338</v>
          </cell>
          <cell r="H14760" t="str">
            <v>SOC-S 338</v>
          </cell>
          <cell r="K14760" t="str">
            <v>Powell,Brian</v>
          </cell>
          <cell r="N14760">
            <v>3.1120000000000001</v>
          </cell>
          <cell r="O14760">
            <v>2.9340000000000002</v>
          </cell>
        </row>
        <row r="14761">
          <cell r="E14761" t="str">
            <v>SOC</v>
          </cell>
          <cell r="F14761" t="str">
            <v xml:space="preserve">SOC-S </v>
          </cell>
          <cell r="G14761">
            <v>338</v>
          </cell>
          <cell r="H14761" t="str">
            <v>SOC-S 338</v>
          </cell>
          <cell r="K14761" t="str">
            <v>Powell,Brian</v>
          </cell>
          <cell r="N14761">
            <v>3.0049999999999999</v>
          </cell>
          <cell r="O14761">
            <v>3.157</v>
          </cell>
        </row>
        <row r="14762">
          <cell r="E14762" t="str">
            <v>SOC</v>
          </cell>
          <cell r="F14762" t="str">
            <v xml:space="preserve">SOC-S </v>
          </cell>
          <cell r="G14762">
            <v>339</v>
          </cell>
          <cell r="H14762" t="str">
            <v>SOC-S 339</v>
          </cell>
          <cell r="K14762" t="str">
            <v>Von Der Haar,Christine M.</v>
          </cell>
          <cell r="N14762">
            <v>2.5129999999999999</v>
          </cell>
          <cell r="O14762">
            <v>2.9260000000000002</v>
          </cell>
        </row>
        <row r="14763">
          <cell r="E14763" t="str">
            <v>SOC</v>
          </cell>
          <cell r="F14763" t="str">
            <v xml:space="preserve">SOC-S </v>
          </cell>
          <cell r="G14763">
            <v>339</v>
          </cell>
          <cell r="H14763" t="str">
            <v>SOC-S 339</v>
          </cell>
          <cell r="K14763" t="str">
            <v>Von Der Haar,Christine M.</v>
          </cell>
          <cell r="N14763">
            <v>2.6779999999999999</v>
          </cell>
          <cell r="O14763">
            <v>2.98</v>
          </cell>
        </row>
        <row r="14764">
          <cell r="E14764" t="str">
            <v>SOC</v>
          </cell>
          <cell r="F14764" t="str">
            <v xml:space="preserve">SOC-S </v>
          </cell>
          <cell r="G14764">
            <v>340</v>
          </cell>
          <cell r="H14764" t="str">
            <v>SOC-S 340</v>
          </cell>
          <cell r="K14764" t="str">
            <v>Rojas,Fabio Guillermo</v>
          </cell>
          <cell r="N14764">
            <v>2.9369999999999998</v>
          </cell>
          <cell r="O14764">
            <v>3.2480000000000002</v>
          </cell>
        </row>
        <row r="14765">
          <cell r="E14765" t="str">
            <v>SOC</v>
          </cell>
          <cell r="F14765" t="str">
            <v xml:space="preserve">SOC-S </v>
          </cell>
          <cell r="G14765">
            <v>344</v>
          </cell>
          <cell r="H14765" t="str">
            <v>SOC-S 344</v>
          </cell>
          <cell r="K14765" t="str">
            <v>Corsaro,William A.</v>
          </cell>
          <cell r="N14765">
            <v>3.44</v>
          </cell>
          <cell r="O14765">
            <v>3.03</v>
          </cell>
        </row>
        <row r="14766">
          <cell r="E14766" t="str">
            <v>SOC</v>
          </cell>
          <cell r="F14766" t="str">
            <v xml:space="preserve">SOC-S </v>
          </cell>
          <cell r="G14766">
            <v>344</v>
          </cell>
          <cell r="H14766" t="str">
            <v>SOC-S 344</v>
          </cell>
          <cell r="K14766" t="str">
            <v>Corsaro,William A.</v>
          </cell>
          <cell r="N14766">
            <v>3.6080000000000001</v>
          </cell>
          <cell r="O14766">
            <v>3.157</v>
          </cell>
        </row>
        <row r="14767">
          <cell r="E14767" t="str">
            <v>SOC</v>
          </cell>
          <cell r="F14767" t="str">
            <v xml:space="preserve">SOC-S </v>
          </cell>
          <cell r="G14767">
            <v>360</v>
          </cell>
          <cell r="H14767" t="str">
            <v>SOC-S 360</v>
          </cell>
          <cell r="K14767" t="str">
            <v>Cornell,Laurel L.</v>
          </cell>
          <cell r="N14767">
            <v>3.4079999999999999</v>
          </cell>
          <cell r="O14767">
            <v>2.9540000000000002</v>
          </cell>
        </row>
        <row r="14768">
          <cell r="E14768" t="str">
            <v>SOC</v>
          </cell>
          <cell r="F14768" t="str">
            <v xml:space="preserve">SOC-S </v>
          </cell>
          <cell r="G14768">
            <v>360</v>
          </cell>
          <cell r="H14768" t="str">
            <v>SOC-S 360</v>
          </cell>
          <cell r="K14768" t="str">
            <v>Thoits,Peggy A.</v>
          </cell>
          <cell r="N14768">
            <v>3.21</v>
          </cell>
          <cell r="O14768">
            <v>3.181</v>
          </cell>
        </row>
        <row r="14769">
          <cell r="E14769" t="str">
            <v>SOC</v>
          </cell>
          <cell r="F14769" t="str">
            <v xml:space="preserve">SOC-S </v>
          </cell>
          <cell r="G14769">
            <v>370</v>
          </cell>
          <cell r="H14769" t="str">
            <v>SOC-S 370</v>
          </cell>
          <cell r="K14769" t="str">
            <v>Kincaid IV,Archibald Douglas</v>
          </cell>
          <cell r="N14769">
            <v>3.0049999999999999</v>
          </cell>
          <cell r="O14769">
            <v>3.1110000000000002</v>
          </cell>
        </row>
        <row r="14770">
          <cell r="E14770" t="str">
            <v>SOC</v>
          </cell>
          <cell r="F14770" t="str">
            <v xml:space="preserve">SOC-S </v>
          </cell>
          <cell r="G14770">
            <v>370</v>
          </cell>
          <cell r="H14770" t="str">
            <v>SOC-S 370</v>
          </cell>
          <cell r="K14770" t="str">
            <v>Thoits,Peggy A.</v>
          </cell>
          <cell r="N14770">
            <v>2.823</v>
          </cell>
          <cell r="O14770">
            <v>2.9740000000000002</v>
          </cell>
        </row>
        <row r="14771">
          <cell r="E14771" t="str">
            <v>SOC</v>
          </cell>
          <cell r="F14771" t="str">
            <v xml:space="preserve">SOC-S </v>
          </cell>
          <cell r="G14771">
            <v>371</v>
          </cell>
          <cell r="H14771" t="str">
            <v>SOC-S 371</v>
          </cell>
          <cell r="K14771" t="str">
            <v>Bartley,Tim</v>
          </cell>
          <cell r="N14771">
            <v>3.2109999999999999</v>
          </cell>
          <cell r="O14771">
            <v>3.4</v>
          </cell>
        </row>
        <row r="14772">
          <cell r="E14772" t="str">
            <v>SOC</v>
          </cell>
          <cell r="F14772" t="str">
            <v xml:space="preserve">SOC-S </v>
          </cell>
          <cell r="G14772">
            <v>371</v>
          </cell>
          <cell r="H14772" t="str">
            <v>SOC-S 371</v>
          </cell>
          <cell r="K14772" t="str">
            <v>Doran,Kevin David</v>
          </cell>
          <cell r="N14772">
            <v>3.2349999999999999</v>
          </cell>
          <cell r="O14772">
            <v>2.988</v>
          </cell>
        </row>
        <row r="14773">
          <cell r="E14773" t="str">
            <v>SOC</v>
          </cell>
          <cell r="F14773" t="str">
            <v xml:space="preserve">SOC-S </v>
          </cell>
          <cell r="G14773">
            <v>371</v>
          </cell>
          <cell r="H14773" t="str">
            <v>SOC-S 371</v>
          </cell>
          <cell r="K14773" t="str">
            <v>Smith,Shawna Nicole</v>
          </cell>
          <cell r="N14773">
            <v>2.9910000000000001</v>
          </cell>
          <cell r="O14773">
            <v>3.0219999999999998</v>
          </cell>
        </row>
        <row r="14774">
          <cell r="E14774" t="str">
            <v>SOC</v>
          </cell>
          <cell r="F14774" t="str">
            <v xml:space="preserve">SOC-S </v>
          </cell>
          <cell r="G14774">
            <v>410</v>
          </cell>
          <cell r="H14774" t="str">
            <v>SOC-S 410</v>
          </cell>
          <cell r="K14774" t="str">
            <v>Benard,Stephen</v>
          </cell>
          <cell r="N14774">
            <v>3.1389999999999998</v>
          </cell>
          <cell r="O14774">
            <v>2.9260000000000002</v>
          </cell>
        </row>
        <row r="14775">
          <cell r="E14775" t="str">
            <v>SOC</v>
          </cell>
          <cell r="F14775" t="str">
            <v xml:space="preserve">SOC-S </v>
          </cell>
          <cell r="G14775">
            <v>410</v>
          </cell>
          <cell r="H14775" t="str">
            <v>SOC-S 410</v>
          </cell>
          <cell r="K14775" t="str">
            <v>Jackson,Pamela Braboy</v>
          </cell>
          <cell r="N14775">
            <v>3.3940000000000001</v>
          </cell>
          <cell r="O14775">
            <v>2.9620000000000002</v>
          </cell>
        </row>
        <row r="14776">
          <cell r="E14776" t="str">
            <v>SOC</v>
          </cell>
          <cell r="F14776" t="str">
            <v xml:space="preserve">SOC-S </v>
          </cell>
          <cell r="G14776">
            <v>410</v>
          </cell>
          <cell r="H14776" t="str">
            <v>SOC-S 410</v>
          </cell>
          <cell r="K14776" t="str">
            <v>Rojas,Fabio Guillermo</v>
          </cell>
          <cell r="N14776">
            <v>3.5390000000000001</v>
          </cell>
          <cell r="O14776">
            <v>3.1789999999999998</v>
          </cell>
        </row>
        <row r="14777">
          <cell r="E14777" t="str">
            <v>SOC</v>
          </cell>
          <cell r="F14777" t="str">
            <v xml:space="preserve">SOC-S </v>
          </cell>
          <cell r="G14777">
            <v>410</v>
          </cell>
          <cell r="H14777" t="str">
            <v>SOC-S 410</v>
          </cell>
          <cell r="K14777" t="str">
            <v>Rojas,Fabio Guillermo</v>
          </cell>
          <cell r="N14777">
            <v>2.6</v>
          </cell>
          <cell r="O14777">
            <v>2.827</v>
          </cell>
        </row>
        <row r="14778">
          <cell r="E14778" t="str">
            <v>SOC</v>
          </cell>
          <cell r="F14778" t="str">
            <v xml:space="preserve">SOC-S </v>
          </cell>
          <cell r="G14778">
            <v>422</v>
          </cell>
          <cell r="H14778" t="str">
            <v>SOC-S 422</v>
          </cell>
          <cell r="K14778" t="str">
            <v>Weinberg,Martin</v>
          </cell>
          <cell r="N14778">
            <v>3.371</v>
          </cell>
          <cell r="O14778">
            <v>3.2530000000000001</v>
          </cell>
        </row>
        <row r="14779">
          <cell r="E14779" t="str">
            <v>SOC</v>
          </cell>
          <cell r="F14779" t="str">
            <v xml:space="preserve">SOC-S </v>
          </cell>
          <cell r="G14779">
            <v>422</v>
          </cell>
          <cell r="H14779" t="str">
            <v>SOC-S 422</v>
          </cell>
          <cell r="K14779" t="str">
            <v>Weinberg,Martin</v>
          </cell>
          <cell r="N14779">
            <v>3.05</v>
          </cell>
          <cell r="O14779">
            <v>2.7469999999999999</v>
          </cell>
        </row>
        <row r="14780">
          <cell r="E14780" t="str">
            <v>SOC</v>
          </cell>
          <cell r="F14780" t="str">
            <v xml:space="preserve">SOC-S </v>
          </cell>
          <cell r="G14780">
            <v>494</v>
          </cell>
          <cell r="H14780" t="str">
            <v>SOC-S 494</v>
          </cell>
          <cell r="K14780" t="str">
            <v>Hosek,MaryLou</v>
          </cell>
          <cell r="N14780">
            <v>4</v>
          </cell>
          <cell r="O14780">
            <v>3.468</v>
          </cell>
        </row>
        <row r="14781">
          <cell r="E14781" t="str">
            <v>SOC</v>
          </cell>
          <cell r="F14781" t="str">
            <v xml:space="preserve">SOC-S </v>
          </cell>
          <cell r="G14781">
            <v>494</v>
          </cell>
          <cell r="H14781" t="str">
            <v>SOC-S 494</v>
          </cell>
          <cell r="K14781" t="str">
            <v>Pavalko,Eliza</v>
          </cell>
          <cell r="N14781">
            <v>3.9089999999999998</v>
          </cell>
          <cell r="O14781">
            <v>3.5110000000000001</v>
          </cell>
        </row>
        <row r="14782">
          <cell r="E14782" t="str">
            <v>SOC</v>
          </cell>
          <cell r="F14782" t="str">
            <v xml:space="preserve">SOC-S </v>
          </cell>
          <cell r="G14782">
            <v>495</v>
          </cell>
          <cell r="H14782" t="str">
            <v>SOC-S 495</v>
          </cell>
          <cell r="K14782" t="str">
            <v>Hosek,MaryLou</v>
          </cell>
          <cell r="N14782" t="str">
            <v>NR</v>
          </cell>
          <cell r="O14782" t="str">
            <v>NR</v>
          </cell>
        </row>
        <row r="14783">
          <cell r="E14783" t="str">
            <v>SOC</v>
          </cell>
          <cell r="F14783" t="str">
            <v xml:space="preserve">SOC-S </v>
          </cell>
          <cell r="G14783">
            <v>495</v>
          </cell>
          <cell r="H14783" t="str">
            <v>SOC-S 495</v>
          </cell>
          <cell r="K14783" t="str">
            <v>Pavalko,Eliza</v>
          </cell>
          <cell r="N14783">
            <v>3.8450000000000002</v>
          </cell>
          <cell r="O14783">
            <v>3.3050000000000002</v>
          </cell>
        </row>
        <row r="14784">
          <cell r="E14784" t="str">
            <v>SOC</v>
          </cell>
          <cell r="F14784" t="str">
            <v xml:space="preserve">SOC-S </v>
          </cell>
          <cell r="G14784">
            <v>498</v>
          </cell>
          <cell r="H14784" t="str">
            <v>SOC-S 498</v>
          </cell>
          <cell r="K14784" t="str">
            <v>Eder,Donna Jean</v>
          </cell>
          <cell r="N14784">
            <v>3.9249999999999998</v>
          </cell>
          <cell r="O14784">
            <v>3.6869999999999998</v>
          </cell>
        </row>
        <row r="14785">
          <cell r="E14785" t="str">
            <v>SOC</v>
          </cell>
          <cell r="F14785" t="str">
            <v xml:space="preserve">SOC-S </v>
          </cell>
          <cell r="G14785">
            <v>499</v>
          </cell>
          <cell r="H14785" t="str">
            <v>SOC-S 499</v>
          </cell>
          <cell r="K14785" t="str">
            <v>Eder,Donna Jean</v>
          </cell>
          <cell r="N14785">
            <v>3.7829999999999999</v>
          </cell>
          <cell r="O14785">
            <v>3.4319999999999999</v>
          </cell>
        </row>
        <row r="14786">
          <cell r="E14786" t="str">
            <v>SOC</v>
          </cell>
          <cell r="F14786" t="str">
            <v xml:space="preserve">SOC-S </v>
          </cell>
          <cell r="G14786">
            <v>500</v>
          </cell>
          <cell r="H14786" t="str">
            <v>SOC-S 500</v>
          </cell>
          <cell r="K14786" t="str">
            <v>Michelson,Ethan</v>
          </cell>
          <cell r="N14786" t="str">
            <v>NR</v>
          </cell>
          <cell r="O14786" t="str">
            <v>NR</v>
          </cell>
        </row>
        <row r="14787">
          <cell r="E14787" t="str">
            <v>SOC</v>
          </cell>
          <cell r="F14787" t="str">
            <v xml:space="preserve">SOC-S </v>
          </cell>
          <cell r="G14787">
            <v>501</v>
          </cell>
          <cell r="H14787" t="str">
            <v>SOC-S 501</v>
          </cell>
          <cell r="K14787" t="str">
            <v>McLeod,Jane D.</v>
          </cell>
          <cell r="N14787">
            <v>4</v>
          </cell>
          <cell r="O14787">
            <v>3.8740000000000001</v>
          </cell>
        </row>
        <row r="14788">
          <cell r="E14788" t="str">
            <v>SOC</v>
          </cell>
          <cell r="F14788" t="str">
            <v xml:space="preserve">SOC-S </v>
          </cell>
          <cell r="G14788">
            <v>502</v>
          </cell>
          <cell r="H14788" t="str">
            <v>SOC-S 502</v>
          </cell>
          <cell r="K14788" t="str">
            <v>Michelson,Ethan</v>
          </cell>
          <cell r="N14788" t="str">
            <v>NR</v>
          </cell>
          <cell r="O14788" t="str">
            <v>NR</v>
          </cell>
        </row>
        <row r="14789">
          <cell r="E14789" t="str">
            <v>SOC</v>
          </cell>
          <cell r="F14789" t="str">
            <v xml:space="preserve">SOC-S </v>
          </cell>
          <cell r="G14789">
            <v>506</v>
          </cell>
          <cell r="H14789" t="str">
            <v>SOC-S 506</v>
          </cell>
          <cell r="K14789" t="str">
            <v>Powell,Brian</v>
          </cell>
          <cell r="N14789">
            <v>4</v>
          </cell>
          <cell r="O14789">
            <v>3.9340000000000002</v>
          </cell>
        </row>
        <row r="14790">
          <cell r="E14790" t="str">
            <v>SOC</v>
          </cell>
          <cell r="F14790" t="str">
            <v xml:space="preserve">SOC-S </v>
          </cell>
          <cell r="G14790">
            <v>510</v>
          </cell>
          <cell r="H14790" t="str">
            <v>SOC-S 510</v>
          </cell>
          <cell r="K14790" t="str">
            <v>Bartley,Tim</v>
          </cell>
          <cell r="N14790">
            <v>3.7829999999999999</v>
          </cell>
          <cell r="O14790">
            <v>3.9020000000000001</v>
          </cell>
        </row>
        <row r="14791">
          <cell r="E14791" t="str">
            <v>SOC</v>
          </cell>
          <cell r="F14791" t="str">
            <v xml:space="preserve">SOC-S </v>
          </cell>
          <cell r="G14791">
            <v>522</v>
          </cell>
          <cell r="H14791" t="str">
            <v>SOC-S 522</v>
          </cell>
          <cell r="K14791" t="str">
            <v>Weinberg,Martin</v>
          </cell>
          <cell r="N14791" t="str">
            <v>NR</v>
          </cell>
          <cell r="O14791" t="str">
            <v>NR</v>
          </cell>
        </row>
        <row r="14792">
          <cell r="E14792" t="str">
            <v>SOC</v>
          </cell>
          <cell r="F14792" t="str">
            <v xml:space="preserve">SOC-S </v>
          </cell>
          <cell r="G14792">
            <v>522</v>
          </cell>
          <cell r="H14792" t="str">
            <v>SOC-S 522</v>
          </cell>
          <cell r="K14792" t="str">
            <v>Weinberg,Martin</v>
          </cell>
          <cell r="N14792" t="str">
            <v>NR</v>
          </cell>
          <cell r="O14792" t="str">
            <v>NR</v>
          </cell>
        </row>
        <row r="14793">
          <cell r="E14793" t="str">
            <v>SOC</v>
          </cell>
          <cell r="F14793" t="str">
            <v xml:space="preserve">SOC-S </v>
          </cell>
          <cell r="G14793">
            <v>530</v>
          </cell>
          <cell r="H14793" t="str">
            <v>SOC-S 530</v>
          </cell>
          <cell r="K14793" t="str">
            <v>Thoits,Peggy A.</v>
          </cell>
          <cell r="N14793">
            <v>3.859</v>
          </cell>
          <cell r="O14793">
            <v>3.875</v>
          </cell>
        </row>
        <row r="14794">
          <cell r="E14794" t="str">
            <v>SOC</v>
          </cell>
          <cell r="F14794" t="str">
            <v xml:space="preserve">SOC-S </v>
          </cell>
          <cell r="G14794">
            <v>540</v>
          </cell>
          <cell r="H14794" t="str">
            <v>SOC-S 540</v>
          </cell>
          <cell r="K14794" t="str">
            <v>Steensland,Brian</v>
          </cell>
          <cell r="N14794">
            <v>3.7709999999999999</v>
          </cell>
          <cell r="O14794">
            <v>3.8029999999999999</v>
          </cell>
        </row>
        <row r="14795">
          <cell r="E14795" t="str">
            <v>SOC</v>
          </cell>
          <cell r="F14795" t="str">
            <v xml:space="preserve">SOC-S </v>
          </cell>
          <cell r="G14795">
            <v>554</v>
          </cell>
          <cell r="H14795" t="str">
            <v>SOC-S 554</v>
          </cell>
          <cell r="K14795" t="str">
            <v>McManus,Patricia A.</v>
          </cell>
          <cell r="N14795">
            <v>3.81</v>
          </cell>
          <cell r="O14795">
            <v>3.8809999999999998</v>
          </cell>
        </row>
        <row r="14796">
          <cell r="E14796" t="str">
            <v>SOC</v>
          </cell>
          <cell r="F14796" t="str">
            <v xml:space="preserve">SOC-S </v>
          </cell>
          <cell r="G14796">
            <v>558</v>
          </cell>
          <cell r="H14796" t="str">
            <v>SOC-S 558</v>
          </cell>
          <cell r="K14796" t="str">
            <v>Pavalko,Eliza</v>
          </cell>
          <cell r="N14796">
            <v>3.8639999999999999</v>
          </cell>
          <cell r="O14796">
            <v>3.8929999999999998</v>
          </cell>
        </row>
        <row r="14797">
          <cell r="E14797" t="str">
            <v>SOC</v>
          </cell>
          <cell r="F14797" t="str">
            <v xml:space="preserve">SOC-S </v>
          </cell>
          <cell r="G14797">
            <v>566</v>
          </cell>
          <cell r="H14797" t="str">
            <v>SOC-S 566</v>
          </cell>
          <cell r="K14797" t="str">
            <v>Alderson,Arthur S.</v>
          </cell>
          <cell r="N14797" t="str">
            <v>NR</v>
          </cell>
          <cell r="O14797" t="str">
            <v>NR</v>
          </cell>
        </row>
        <row r="14798">
          <cell r="E14798" t="str">
            <v>SOC</v>
          </cell>
          <cell r="F14798" t="str">
            <v xml:space="preserve">SOC-S </v>
          </cell>
          <cell r="G14798">
            <v>566</v>
          </cell>
          <cell r="H14798" t="str">
            <v>SOC-S 566</v>
          </cell>
          <cell r="K14798" t="str">
            <v>Brooks,Clem</v>
          </cell>
          <cell r="N14798" t="str">
            <v>NR</v>
          </cell>
          <cell r="O14798" t="str">
            <v>NR</v>
          </cell>
        </row>
        <row r="14799">
          <cell r="E14799" t="str">
            <v>SOC</v>
          </cell>
          <cell r="F14799" t="str">
            <v xml:space="preserve">SOC-S </v>
          </cell>
          <cell r="G14799">
            <v>567</v>
          </cell>
          <cell r="H14799" t="str">
            <v>SOC-S 567</v>
          </cell>
          <cell r="K14799" t="str">
            <v>Alderson,Arthur S.</v>
          </cell>
          <cell r="N14799" t="str">
            <v>NR</v>
          </cell>
          <cell r="O14799" t="str">
            <v>NR</v>
          </cell>
        </row>
        <row r="14800">
          <cell r="E14800" t="str">
            <v>SOC</v>
          </cell>
          <cell r="F14800" t="str">
            <v xml:space="preserve">SOC-S </v>
          </cell>
          <cell r="G14800">
            <v>606</v>
          </cell>
          <cell r="H14800" t="str">
            <v>SOC-S 606</v>
          </cell>
          <cell r="K14800" t="str">
            <v>Pescosolido,Bernice A.</v>
          </cell>
          <cell r="N14800">
            <v>4</v>
          </cell>
          <cell r="O14800">
            <v>3.9380000000000002</v>
          </cell>
        </row>
        <row r="14801">
          <cell r="E14801" t="str">
            <v>SOC</v>
          </cell>
          <cell r="F14801" t="str">
            <v xml:space="preserve">SOC-S </v>
          </cell>
          <cell r="G14801">
            <v>651</v>
          </cell>
          <cell r="H14801" t="str">
            <v>SOC-S 651</v>
          </cell>
          <cell r="K14801" t="str">
            <v>An,Weihua</v>
          </cell>
          <cell r="N14801">
            <v>3.4430000000000001</v>
          </cell>
          <cell r="O14801">
            <v>3.8610000000000002</v>
          </cell>
        </row>
        <row r="14802">
          <cell r="E14802" t="str">
            <v>SOC</v>
          </cell>
          <cell r="F14802" t="str">
            <v xml:space="preserve">SOC-S </v>
          </cell>
          <cell r="G14802">
            <v>651</v>
          </cell>
          <cell r="H14802" t="str">
            <v>SOC-S 651</v>
          </cell>
          <cell r="K14802" t="str">
            <v>McManus,Patricia A.</v>
          </cell>
          <cell r="N14802">
            <v>3.806</v>
          </cell>
          <cell r="O14802">
            <v>3.851</v>
          </cell>
        </row>
        <row r="14803">
          <cell r="E14803" t="str">
            <v>SOC</v>
          </cell>
          <cell r="F14803" t="str">
            <v xml:space="preserve">SOC-S </v>
          </cell>
          <cell r="G14803">
            <v>652</v>
          </cell>
          <cell r="H14803" t="str">
            <v>SOC-S 652</v>
          </cell>
          <cell r="K14803" t="str">
            <v>Corsaro,William A.</v>
          </cell>
          <cell r="N14803" t="str">
            <v>NR</v>
          </cell>
          <cell r="O14803" t="str">
            <v>NR</v>
          </cell>
        </row>
        <row r="14804">
          <cell r="E14804" t="str">
            <v>SOC</v>
          </cell>
          <cell r="F14804" t="str">
            <v xml:space="preserve">SOC-S </v>
          </cell>
          <cell r="G14804">
            <v>652</v>
          </cell>
          <cell r="H14804" t="str">
            <v>SOC-S 652</v>
          </cell>
          <cell r="K14804" t="str">
            <v>Steensland,Brian</v>
          </cell>
          <cell r="N14804">
            <v>3.9540000000000002</v>
          </cell>
          <cell r="O14804">
            <v>3.8980000000000001</v>
          </cell>
        </row>
        <row r="14805">
          <cell r="E14805" t="str">
            <v>SOC</v>
          </cell>
          <cell r="F14805" t="str">
            <v xml:space="preserve">SOC-S </v>
          </cell>
          <cell r="G14805">
            <v>655</v>
          </cell>
          <cell r="H14805" t="str">
            <v>SOC-S 655</v>
          </cell>
          <cell r="K14805" t="str">
            <v>Benard,Stephen</v>
          </cell>
          <cell r="N14805">
            <v>3.97</v>
          </cell>
          <cell r="O14805">
            <v>3.84</v>
          </cell>
        </row>
        <row r="14806">
          <cell r="E14806" t="str">
            <v>SOC</v>
          </cell>
          <cell r="F14806" t="str">
            <v xml:space="preserve">SOC-S </v>
          </cell>
          <cell r="G14806">
            <v>660</v>
          </cell>
          <cell r="H14806" t="str">
            <v>SOC-S 660</v>
          </cell>
          <cell r="K14806" t="str">
            <v>Corsaro,William A.</v>
          </cell>
          <cell r="N14806" t="str">
            <v>NR</v>
          </cell>
          <cell r="O14806" t="str">
            <v>NR</v>
          </cell>
        </row>
        <row r="14807">
          <cell r="E14807" t="str">
            <v>SOC</v>
          </cell>
          <cell r="F14807" t="str">
            <v xml:space="preserve">SOC-S </v>
          </cell>
          <cell r="G14807">
            <v>660</v>
          </cell>
          <cell r="H14807" t="str">
            <v>SOC-S 660</v>
          </cell>
          <cell r="K14807" t="str">
            <v>Eder,Donna Jean</v>
          </cell>
          <cell r="N14807">
            <v>3.9359999999999999</v>
          </cell>
          <cell r="O14807">
            <v>3.895</v>
          </cell>
        </row>
        <row r="14808">
          <cell r="E14808" t="str">
            <v>SOC</v>
          </cell>
          <cell r="F14808" t="str">
            <v xml:space="preserve">SOC-S </v>
          </cell>
          <cell r="G14808">
            <v>660</v>
          </cell>
          <cell r="H14808" t="str">
            <v>SOC-S 660</v>
          </cell>
          <cell r="K14808" t="str">
            <v>Lee,Jennifer Catherine</v>
          </cell>
          <cell r="N14808">
            <v>3.9449999999999998</v>
          </cell>
          <cell r="O14808">
            <v>3.8759999999999999</v>
          </cell>
        </row>
        <row r="14809">
          <cell r="E14809" t="str">
            <v>SOC</v>
          </cell>
          <cell r="F14809" t="str">
            <v xml:space="preserve">SOC-S </v>
          </cell>
          <cell r="G14809">
            <v>660</v>
          </cell>
          <cell r="H14809" t="str">
            <v>SOC-S 660</v>
          </cell>
          <cell r="K14809" t="str">
            <v>Steensland,Brian</v>
          </cell>
          <cell r="N14809">
            <v>3.8170000000000002</v>
          </cell>
          <cell r="O14809">
            <v>3.86</v>
          </cell>
        </row>
        <row r="14810">
          <cell r="E14810" t="str">
            <v>SOC</v>
          </cell>
          <cell r="F14810" t="str">
            <v xml:space="preserve">SOC-S </v>
          </cell>
          <cell r="G14810">
            <v>660</v>
          </cell>
          <cell r="H14810" t="str">
            <v>SOC-S 660</v>
          </cell>
          <cell r="K14810" t="str">
            <v>Thoits,Peggy A.</v>
          </cell>
          <cell r="N14810">
            <v>3.7909999999999999</v>
          </cell>
          <cell r="O14810">
            <v>3.8580000000000001</v>
          </cell>
        </row>
        <row r="14811">
          <cell r="E14811" t="str">
            <v>SOC</v>
          </cell>
          <cell r="F14811" t="str">
            <v xml:space="preserve">SOC-S </v>
          </cell>
          <cell r="G14811">
            <v>700</v>
          </cell>
          <cell r="H14811" t="str">
            <v>SOC-S 700</v>
          </cell>
          <cell r="K14811" t="str">
            <v>Powell,Brian</v>
          </cell>
          <cell r="N14811" t="str">
            <v>NR</v>
          </cell>
          <cell r="O14811" t="str">
            <v>NR</v>
          </cell>
        </row>
        <row r="14812">
          <cell r="E14812" t="str">
            <v>SOC</v>
          </cell>
          <cell r="F14812" t="str">
            <v xml:space="preserve">SOC-S </v>
          </cell>
          <cell r="G14812">
            <v>706</v>
          </cell>
          <cell r="H14812" t="str">
            <v>SOC-S 706</v>
          </cell>
          <cell r="K14812" t="str">
            <v>Pescosolido,Bernice A.</v>
          </cell>
          <cell r="N14812" t="str">
            <v>NR</v>
          </cell>
          <cell r="O14812" t="str">
            <v>NR</v>
          </cell>
        </row>
        <row r="14813">
          <cell r="E14813" t="str">
            <v>SOC</v>
          </cell>
          <cell r="F14813" t="str">
            <v xml:space="preserve">SOC-S </v>
          </cell>
          <cell r="G14813">
            <v>864</v>
          </cell>
          <cell r="H14813" t="str">
            <v>SOC-S 864</v>
          </cell>
          <cell r="K14813" t="str">
            <v>Pavalko,Eliza</v>
          </cell>
          <cell r="N14813" t="str">
            <v>NR</v>
          </cell>
          <cell r="O14813" t="str">
            <v>NR</v>
          </cell>
        </row>
        <row r="14814">
          <cell r="E14814" t="str">
            <v>SOC</v>
          </cell>
          <cell r="F14814" t="str">
            <v xml:space="preserve">SOC-S </v>
          </cell>
          <cell r="G14814">
            <v>864</v>
          </cell>
          <cell r="H14814" t="str">
            <v>SOC-S 864</v>
          </cell>
          <cell r="K14814" t="str">
            <v>Pavalko,Eliza</v>
          </cell>
          <cell r="N14814" t="str">
            <v>NR</v>
          </cell>
          <cell r="O14814" t="str">
            <v>NR</v>
          </cell>
        </row>
        <row r="14815">
          <cell r="E14815" t="str">
            <v>SOC</v>
          </cell>
          <cell r="F14815" t="str">
            <v xml:space="preserve">SOC-S </v>
          </cell>
          <cell r="G14815">
            <v>869</v>
          </cell>
          <cell r="H14815" t="str">
            <v>SOC-S 869</v>
          </cell>
          <cell r="K14815" t="str">
            <v>Pavalko,Eliza</v>
          </cell>
          <cell r="N14815" t="str">
            <v>NR</v>
          </cell>
          <cell r="O14815" t="str">
            <v>NR</v>
          </cell>
        </row>
        <row r="14816">
          <cell r="E14816" t="str">
            <v>SOC</v>
          </cell>
          <cell r="F14816" t="str">
            <v xml:space="preserve">SOC-S </v>
          </cell>
          <cell r="G14816">
            <v>869</v>
          </cell>
          <cell r="H14816" t="str">
            <v>SOC-S 869</v>
          </cell>
          <cell r="K14816" t="str">
            <v>Pavalko,Eliza</v>
          </cell>
          <cell r="N14816" t="str">
            <v>NR</v>
          </cell>
          <cell r="O14816" t="str">
            <v>NR</v>
          </cell>
        </row>
        <row r="14817">
          <cell r="E14817" t="str">
            <v>SPEA</v>
          </cell>
          <cell r="F14817" t="str">
            <v>SPEA-A</v>
          </cell>
          <cell r="G14817">
            <v>163</v>
          </cell>
          <cell r="H14817" t="str">
            <v>SPEA-A163</v>
          </cell>
          <cell r="K14817" t="str">
            <v>Fields,Ann Katheryn</v>
          </cell>
          <cell r="N14817">
            <v>3.512</v>
          </cell>
          <cell r="O14817">
            <v>2.968</v>
          </cell>
        </row>
        <row r="14818">
          <cell r="E14818" t="str">
            <v>SPEA</v>
          </cell>
          <cell r="F14818" t="str">
            <v>SPEA-A</v>
          </cell>
          <cell r="G14818">
            <v>163</v>
          </cell>
          <cell r="H14818" t="str">
            <v>SPEA-A163</v>
          </cell>
          <cell r="K14818" t="str">
            <v>Helge,Emmalyn S.</v>
          </cell>
          <cell r="N14818">
            <v>3.1629999999999998</v>
          </cell>
          <cell r="O14818">
            <v>2.7589999999999999</v>
          </cell>
        </row>
        <row r="14819">
          <cell r="E14819" t="str">
            <v>SPEA</v>
          </cell>
          <cell r="F14819" t="str">
            <v>SPEA-A</v>
          </cell>
          <cell r="G14819">
            <v>163</v>
          </cell>
          <cell r="H14819" t="str">
            <v>SPEA-A163</v>
          </cell>
          <cell r="K14819" t="str">
            <v>Helge,Emmalyn S.</v>
          </cell>
          <cell r="N14819">
            <v>3.2290000000000001</v>
          </cell>
          <cell r="O14819">
            <v>2.9180000000000001</v>
          </cell>
        </row>
        <row r="14820">
          <cell r="E14820" t="str">
            <v>SPEA</v>
          </cell>
          <cell r="F14820" t="str">
            <v>SPEA-A</v>
          </cell>
          <cell r="G14820">
            <v>163</v>
          </cell>
          <cell r="H14820" t="str">
            <v>SPEA-A163</v>
          </cell>
          <cell r="K14820" t="str">
            <v>Herzig,Monika Gm</v>
          </cell>
          <cell r="N14820">
            <v>3.141</v>
          </cell>
          <cell r="O14820">
            <v>3.113</v>
          </cell>
        </row>
        <row r="14821">
          <cell r="E14821" t="str">
            <v>SPEA</v>
          </cell>
          <cell r="F14821" t="str">
            <v>SPEA-A</v>
          </cell>
          <cell r="G14821">
            <v>163</v>
          </cell>
          <cell r="H14821" t="str">
            <v>SPEA-A163</v>
          </cell>
          <cell r="K14821" t="str">
            <v>Lewis,Frank</v>
          </cell>
          <cell r="N14821">
            <v>3.4569999999999999</v>
          </cell>
          <cell r="O14821">
            <v>3.0059999999999998</v>
          </cell>
        </row>
        <row r="14822">
          <cell r="E14822" t="str">
            <v>SPEA</v>
          </cell>
          <cell r="F14822" t="str">
            <v>SPEA-A</v>
          </cell>
          <cell r="G14822">
            <v>236</v>
          </cell>
          <cell r="H14822" t="str">
            <v>SPEA-A236</v>
          </cell>
          <cell r="K14822" t="str">
            <v>Herzig,Monika Gm</v>
          </cell>
          <cell r="N14822">
            <v>3.6240000000000001</v>
          </cell>
          <cell r="O14822">
            <v>3.1909999999999998</v>
          </cell>
        </row>
        <row r="14823">
          <cell r="E14823" t="str">
            <v>SPEA</v>
          </cell>
          <cell r="F14823" t="str">
            <v>SPEA-A</v>
          </cell>
          <cell r="G14823">
            <v>236</v>
          </cell>
          <cell r="H14823" t="str">
            <v>SPEA-A236</v>
          </cell>
          <cell r="K14823" t="str">
            <v>Herzig,Monika Gm</v>
          </cell>
          <cell r="N14823">
            <v>3.6459999999999999</v>
          </cell>
          <cell r="O14823">
            <v>3.117</v>
          </cell>
        </row>
        <row r="14824">
          <cell r="E14824" t="str">
            <v>SPEA</v>
          </cell>
          <cell r="F14824" t="str">
            <v>SPEA-A</v>
          </cell>
          <cell r="G14824">
            <v>241</v>
          </cell>
          <cell r="H14824" t="str">
            <v>SPEA-A241</v>
          </cell>
          <cell r="K14824" t="str">
            <v>Herzig,Monika Gm</v>
          </cell>
          <cell r="N14824">
            <v>3.4940000000000002</v>
          </cell>
          <cell r="O14824">
            <v>3.1989999999999998</v>
          </cell>
        </row>
        <row r="14825">
          <cell r="E14825" t="str">
            <v>SPEA</v>
          </cell>
          <cell r="F14825" t="str">
            <v>SPEA-A</v>
          </cell>
          <cell r="G14825">
            <v>336</v>
          </cell>
          <cell r="H14825" t="str">
            <v>SPEA-A336</v>
          </cell>
          <cell r="K14825" t="str">
            <v>Herzig,Monika Gm</v>
          </cell>
          <cell r="N14825">
            <v>3.45</v>
          </cell>
          <cell r="O14825">
            <v>3.254</v>
          </cell>
        </row>
        <row r="14826">
          <cell r="E14826" t="str">
            <v>SPEA</v>
          </cell>
          <cell r="F14826" t="str">
            <v>SPEA-A</v>
          </cell>
          <cell r="G14826">
            <v>354</v>
          </cell>
          <cell r="H14826" t="str">
            <v>SPEA-A354</v>
          </cell>
          <cell r="K14826" t="str">
            <v>Fields,Ann Katheryn</v>
          </cell>
          <cell r="N14826">
            <v>3.5920000000000001</v>
          </cell>
          <cell r="O14826">
            <v>3.0739999999999998</v>
          </cell>
        </row>
        <row r="14827">
          <cell r="E14827" t="str">
            <v>SPEA</v>
          </cell>
          <cell r="F14827" t="str">
            <v>SPEA-A</v>
          </cell>
          <cell r="G14827">
            <v>354</v>
          </cell>
          <cell r="H14827" t="str">
            <v>SPEA-A354</v>
          </cell>
          <cell r="K14827" t="str">
            <v>Resnick,Hugh Carney</v>
          </cell>
          <cell r="N14827">
            <v>3.8879999999999999</v>
          </cell>
          <cell r="O14827">
            <v>3.33</v>
          </cell>
        </row>
        <row r="14828">
          <cell r="E14828" t="str">
            <v>SPEA</v>
          </cell>
          <cell r="F14828" t="str">
            <v>SPEA-A</v>
          </cell>
          <cell r="G14828">
            <v>354</v>
          </cell>
          <cell r="H14828" t="str">
            <v>SPEA-A354</v>
          </cell>
          <cell r="K14828" t="str">
            <v>Sturm,Paul</v>
          </cell>
          <cell r="N14828">
            <v>3.6549999999999998</v>
          </cell>
          <cell r="O14828">
            <v>3.0939999999999999</v>
          </cell>
        </row>
        <row r="14829">
          <cell r="E14829" t="str">
            <v>SPEA</v>
          </cell>
          <cell r="F14829" t="str">
            <v>SPEA-A</v>
          </cell>
          <cell r="G14829">
            <v>354</v>
          </cell>
          <cell r="H14829" t="str">
            <v>SPEA-A354</v>
          </cell>
          <cell r="K14829" t="str">
            <v>Sturm,Paul</v>
          </cell>
          <cell r="N14829">
            <v>3.4350000000000001</v>
          </cell>
          <cell r="O14829">
            <v>3.2930000000000001</v>
          </cell>
        </row>
        <row r="14830">
          <cell r="E14830" t="str">
            <v>SPEA</v>
          </cell>
          <cell r="F14830" t="str">
            <v>SPEA-A</v>
          </cell>
          <cell r="G14830">
            <v>405</v>
          </cell>
          <cell r="H14830" t="str">
            <v>SPEA-A405</v>
          </cell>
          <cell r="K14830" t="str">
            <v>Hunt,Christopher</v>
          </cell>
          <cell r="N14830">
            <v>3.1219999999999999</v>
          </cell>
          <cell r="O14830">
            <v>3.3940000000000001</v>
          </cell>
        </row>
        <row r="14831">
          <cell r="E14831" t="str">
            <v>SPEA</v>
          </cell>
          <cell r="F14831" t="str">
            <v>SPEA-A</v>
          </cell>
          <cell r="G14831">
            <v>450</v>
          </cell>
          <cell r="H14831" t="str">
            <v>SPEA-A450</v>
          </cell>
          <cell r="K14831" t="str">
            <v>Chell,Casey Anne</v>
          </cell>
          <cell r="N14831">
            <v>3.94</v>
          </cell>
          <cell r="O14831">
            <v>3.552</v>
          </cell>
        </row>
        <row r="14832">
          <cell r="E14832" t="str">
            <v>SPEA</v>
          </cell>
          <cell r="F14832" t="str">
            <v>SPEA-A</v>
          </cell>
          <cell r="G14832">
            <v>450</v>
          </cell>
          <cell r="H14832" t="str">
            <v>SPEA-A450</v>
          </cell>
          <cell r="K14832" t="str">
            <v>DeCastro,Anita Andrade</v>
          </cell>
          <cell r="N14832">
            <v>3.6709999999999998</v>
          </cell>
          <cell r="O14832">
            <v>3.2770000000000001</v>
          </cell>
        </row>
        <row r="14833">
          <cell r="E14833" t="str">
            <v>SPEA</v>
          </cell>
          <cell r="F14833" t="str">
            <v>SPEA-A</v>
          </cell>
          <cell r="G14833">
            <v>450</v>
          </cell>
          <cell r="H14833" t="str">
            <v>SPEA-A450</v>
          </cell>
          <cell r="K14833" t="str">
            <v>Fippinger,Elizabeth Ware</v>
          </cell>
          <cell r="N14833">
            <v>3.6480000000000001</v>
          </cell>
          <cell r="O14833">
            <v>3.1869999999999998</v>
          </cell>
        </row>
        <row r="14834">
          <cell r="E14834" t="str">
            <v>SPEA</v>
          </cell>
          <cell r="F14834" t="str">
            <v>SPEA-A</v>
          </cell>
          <cell r="G14834">
            <v>450</v>
          </cell>
          <cell r="H14834" t="str">
            <v>SPEA-A450</v>
          </cell>
          <cell r="K14834" t="str">
            <v>Herzig,Monika Gm</v>
          </cell>
          <cell r="N14834">
            <v>3.5369999999999999</v>
          </cell>
          <cell r="O14834">
            <v>3.2149999999999999</v>
          </cell>
        </row>
        <row r="14835">
          <cell r="E14835" t="str">
            <v>SPEA</v>
          </cell>
          <cell r="F14835" t="str">
            <v>SPEA-A</v>
          </cell>
          <cell r="G14835">
            <v>450</v>
          </cell>
          <cell r="H14835" t="str">
            <v>SPEA-A450</v>
          </cell>
          <cell r="K14835" t="str">
            <v>Hunt,Christopher</v>
          </cell>
          <cell r="N14835">
            <v>3.5179999999999998</v>
          </cell>
          <cell r="O14835">
            <v>3.3420000000000001</v>
          </cell>
        </row>
        <row r="14836">
          <cell r="E14836" t="str">
            <v>SPEA</v>
          </cell>
          <cell r="F14836" t="str">
            <v>SPEA-A</v>
          </cell>
          <cell r="G14836">
            <v>450</v>
          </cell>
          <cell r="H14836" t="str">
            <v>SPEA-A450</v>
          </cell>
          <cell r="K14836" t="str">
            <v>Hunt,Christopher</v>
          </cell>
          <cell r="N14836" t="str">
            <v>NR</v>
          </cell>
          <cell r="O14836" t="str">
            <v>NR</v>
          </cell>
        </row>
        <row r="14837">
          <cell r="E14837" t="str">
            <v>SPEA</v>
          </cell>
          <cell r="F14837" t="str">
            <v>SPEA-A</v>
          </cell>
          <cell r="G14837">
            <v>450</v>
          </cell>
          <cell r="H14837" t="str">
            <v>SPEA-A450</v>
          </cell>
          <cell r="K14837" t="str">
            <v>Jones,Scott D.</v>
          </cell>
          <cell r="N14837">
            <v>2.4220000000000002</v>
          </cell>
          <cell r="O14837">
            <v>3.2069999999999999</v>
          </cell>
        </row>
        <row r="14838">
          <cell r="E14838" t="str">
            <v>SPEA</v>
          </cell>
          <cell r="F14838" t="str">
            <v>SPEA-A</v>
          </cell>
          <cell r="G14838">
            <v>450</v>
          </cell>
          <cell r="H14838" t="str">
            <v>SPEA-A450</v>
          </cell>
          <cell r="K14838" t="str">
            <v>Kirk,Judith A</v>
          </cell>
          <cell r="N14838">
            <v>2.7629999999999999</v>
          </cell>
          <cell r="O14838">
            <v>3.177</v>
          </cell>
        </row>
        <row r="14839">
          <cell r="E14839" t="str">
            <v>SPEA</v>
          </cell>
          <cell r="F14839" t="str">
            <v>SPEA-A</v>
          </cell>
          <cell r="G14839">
            <v>450</v>
          </cell>
          <cell r="H14839" t="str">
            <v>SPEA-A450</v>
          </cell>
          <cell r="K14839" t="str">
            <v>Maddox,Jennifer Dawn</v>
          </cell>
          <cell r="N14839">
            <v>3.9889999999999999</v>
          </cell>
          <cell r="O14839">
            <v>3.2989999999999999</v>
          </cell>
        </row>
        <row r="14840">
          <cell r="E14840" t="str">
            <v>SPEA</v>
          </cell>
          <cell r="F14840" t="str">
            <v>SPEA-A</v>
          </cell>
          <cell r="G14840">
            <v>450</v>
          </cell>
          <cell r="H14840" t="str">
            <v>SPEA-A450</v>
          </cell>
          <cell r="K14840" t="str">
            <v>McClelland,Danielle Rae</v>
          </cell>
          <cell r="N14840">
            <v>3.3479999999999999</v>
          </cell>
          <cell r="O14840">
            <v>3.2610000000000001</v>
          </cell>
        </row>
        <row r="14841">
          <cell r="E14841" t="str">
            <v>SPEA</v>
          </cell>
          <cell r="F14841" t="str">
            <v>SPEA-A</v>
          </cell>
          <cell r="G14841">
            <v>450</v>
          </cell>
          <cell r="H14841" t="str">
            <v>SPEA-A450</v>
          </cell>
          <cell r="K14841" t="str">
            <v>McClelland,Danielle Rae</v>
          </cell>
          <cell r="N14841">
            <v>3.4060000000000001</v>
          </cell>
          <cell r="O14841">
            <v>3.2149999999999999</v>
          </cell>
        </row>
        <row r="14842">
          <cell r="E14842" t="str">
            <v>SPEA</v>
          </cell>
          <cell r="F14842" t="str">
            <v>SPEA-A</v>
          </cell>
          <cell r="G14842">
            <v>450</v>
          </cell>
          <cell r="H14842" t="str">
            <v>SPEA-A450</v>
          </cell>
          <cell r="K14842" t="str">
            <v>Payne,Christopher J</v>
          </cell>
          <cell r="N14842">
            <v>3.823</v>
          </cell>
          <cell r="O14842">
            <v>3.3069999999999999</v>
          </cell>
        </row>
        <row r="14843">
          <cell r="E14843" t="str">
            <v>SPEA</v>
          </cell>
          <cell r="F14843" t="str">
            <v>SPEA-A</v>
          </cell>
          <cell r="G14843">
            <v>450</v>
          </cell>
          <cell r="H14843" t="str">
            <v>SPEA-A450</v>
          </cell>
          <cell r="K14843" t="str">
            <v>Preston,Corinne Teresa</v>
          </cell>
          <cell r="N14843">
            <v>3.2109999999999999</v>
          </cell>
          <cell r="O14843">
            <v>3.472</v>
          </cell>
        </row>
        <row r="14844">
          <cell r="E14844" t="str">
            <v>SPEA</v>
          </cell>
          <cell r="F14844" t="str">
            <v>SPEA-A</v>
          </cell>
          <cell r="G14844">
            <v>450</v>
          </cell>
          <cell r="H14844" t="str">
            <v>SPEA-A450</v>
          </cell>
          <cell r="K14844" t="str">
            <v>Rabinovitz,Chad</v>
          </cell>
          <cell r="N14844">
            <v>3.617</v>
          </cell>
          <cell r="O14844">
            <v>3.294</v>
          </cell>
        </row>
        <row r="14845">
          <cell r="E14845" t="str">
            <v>SPEA</v>
          </cell>
          <cell r="F14845" t="str">
            <v>SPEA-A</v>
          </cell>
          <cell r="G14845">
            <v>450</v>
          </cell>
          <cell r="H14845" t="str">
            <v>SPEA-A450</v>
          </cell>
          <cell r="K14845" t="str">
            <v>Stirratt,Elizabeth Anne</v>
          </cell>
          <cell r="N14845">
            <v>3.9060000000000001</v>
          </cell>
          <cell r="O14845">
            <v>3.2519999999999998</v>
          </cell>
        </row>
        <row r="14846">
          <cell r="E14846" t="str">
            <v>SPEA</v>
          </cell>
          <cell r="F14846" t="str">
            <v>SPEA-A</v>
          </cell>
          <cell r="G14846">
            <v>459</v>
          </cell>
          <cell r="H14846" t="str">
            <v>SPEA-A459</v>
          </cell>
          <cell r="K14846" t="str">
            <v>Wilkerson,Michael Neil</v>
          </cell>
          <cell r="N14846">
            <v>3.2749999999999999</v>
          </cell>
          <cell r="O14846">
            <v>3.3559999999999999</v>
          </cell>
        </row>
        <row r="14847">
          <cell r="E14847" t="str">
            <v>SPEA</v>
          </cell>
          <cell r="F14847" t="str">
            <v>SPEA-E</v>
          </cell>
          <cell r="G14847">
            <v>100</v>
          </cell>
          <cell r="H14847" t="str">
            <v>SPEA-E100</v>
          </cell>
          <cell r="K14847" t="str">
            <v>Schneller,Paul J</v>
          </cell>
          <cell r="N14847">
            <v>3.113</v>
          </cell>
          <cell r="O14847">
            <v>2.8180000000000001</v>
          </cell>
        </row>
        <row r="14848">
          <cell r="E14848" t="str">
            <v>SPEA</v>
          </cell>
          <cell r="F14848" t="str">
            <v>SPEA-E</v>
          </cell>
          <cell r="G14848">
            <v>100</v>
          </cell>
          <cell r="H14848" t="str">
            <v>SPEA-E100</v>
          </cell>
          <cell r="K14848" t="str">
            <v>Wadzinski,Lester Alan</v>
          </cell>
          <cell r="N14848">
            <v>3.0190000000000001</v>
          </cell>
          <cell r="O14848">
            <v>2.677</v>
          </cell>
        </row>
        <row r="14849">
          <cell r="E14849" t="str">
            <v>SPEA</v>
          </cell>
          <cell r="F14849" t="str">
            <v>SPEA-E</v>
          </cell>
          <cell r="G14849">
            <v>162</v>
          </cell>
          <cell r="H14849" t="str">
            <v>SPEA-E162</v>
          </cell>
          <cell r="K14849" t="str">
            <v>Attari,Shahzeen</v>
          </cell>
          <cell r="N14849">
            <v>2.6840000000000002</v>
          </cell>
          <cell r="O14849">
            <v>2.7</v>
          </cell>
        </row>
        <row r="14850">
          <cell r="E14850" t="str">
            <v>SPEA</v>
          </cell>
          <cell r="F14850" t="str">
            <v>SPEA-E</v>
          </cell>
          <cell r="G14850">
            <v>162</v>
          </cell>
          <cell r="H14850" t="str">
            <v>SPEA-E162</v>
          </cell>
          <cell r="K14850" t="str">
            <v>Doran,Christopher R</v>
          </cell>
          <cell r="N14850">
            <v>3.448</v>
          </cell>
          <cell r="O14850">
            <v>2.766</v>
          </cell>
        </row>
        <row r="14851">
          <cell r="E14851" t="str">
            <v>SPEA</v>
          </cell>
          <cell r="F14851" t="str">
            <v>SPEA-E</v>
          </cell>
          <cell r="G14851">
            <v>162</v>
          </cell>
          <cell r="H14851" t="str">
            <v>SPEA-E162</v>
          </cell>
          <cell r="K14851" t="str">
            <v>Fischer,Burnell</v>
          </cell>
          <cell r="N14851">
            <v>2.4169999999999998</v>
          </cell>
          <cell r="O14851">
            <v>2.7269999999999999</v>
          </cell>
        </row>
        <row r="14852">
          <cell r="E14852" t="str">
            <v>SPEA</v>
          </cell>
          <cell r="F14852" t="str">
            <v>SPEA-E</v>
          </cell>
          <cell r="G14852">
            <v>162</v>
          </cell>
          <cell r="H14852" t="str">
            <v>SPEA-E162</v>
          </cell>
          <cell r="K14852" t="str">
            <v>Moore,Thomas Tremaine</v>
          </cell>
          <cell r="N14852">
            <v>2.7309999999999999</v>
          </cell>
          <cell r="O14852">
            <v>3.0019999999999998</v>
          </cell>
        </row>
        <row r="14853">
          <cell r="E14853" t="str">
            <v>SPEA</v>
          </cell>
          <cell r="F14853" t="str">
            <v>SPEA-E</v>
          </cell>
          <cell r="G14853">
            <v>162</v>
          </cell>
          <cell r="H14853" t="str">
            <v>SPEA-E162</v>
          </cell>
          <cell r="K14853" t="str">
            <v>Moore,Thomas Tremaine</v>
          </cell>
          <cell r="N14853">
            <v>2.3519999999999999</v>
          </cell>
          <cell r="O14853">
            <v>2.8119999999999998</v>
          </cell>
        </row>
        <row r="14854">
          <cell r="E14854" t="str">
            <v>SPEA</v>
          </cell>
          <cell r="F14854" t="str">
            <v>SPEA-E</v>
          </cell>
          <cell r="G14854">
            <v>162</v>
          </cell>
          <cell r="H14854" t="str">
            <v>SPEA-E162</v>
          </cell>
          <cell r="K14854" t="str">
            <v>Saulters,Oral S</v>
          </cell>
          <cell r="N14854">
            <v>3.105</v>
          </cell>
          <cell r="O14854">
            <v>2.8889999999999998</v>
          </cell>
        </row>
        <row r="14855">
          <cell r="E14855" t="str">
            <v>SPEA</v>
          </cell>
          <cell r="F14855" t="str">
            <v>SPEA-E</v>
          </cell>
          <cell r="G14855">
            <v>162</v>
          </cell>
          <cell r="H14855" t="str">
            <v>SPEA-E162</v>
          </cell>
          <cell r="K14855" t="str">
            <v>Stevens,Philip S</v>
          </cell>
          <cell r="N14855">
            <v>2.593</v>
          </cell>
          <cell r="O14855">
            <v>2.8119999999999998</v>
          </cell>
        </row>
        <row r="14856">
          <cell r="E14856" t="str">
            <v>SPEA</v>
          </cell>
          <cell r="F14856" t="str">
            <v>SPEA-E</v>
          </cell>
          <cell r="G14856">
            <v>162</v>
          </cell>
          <cell r="H14856" t="str">
            <v>SPEA-E162</v>
          </cell>
          <cell r="K14856" t="str">
            <v>Wadzinski,Lester Alan</v>
          </cell>
          <cell r="N14856">
            <v>3.2839999999999998</v>
          </cell>
          <cell r="O14856">
            <v>2.9569999999999999</v>
          </cell>
        </row>
        <row r="14857">
          <cell r="E14857" t="str">
            <v>SPEA</v>
          </cell>
          <cell r="F14857" t="str">
            <v>SPEA-E</v>
          </cell>
          <cell r="G14857">
            <v>162</v>
          </cell>
          <cell r="H14857" t="str">
            <v>SPEA-E162</v>
          </cell>
          <cell r="K14857" t="str">
            <v>Wadzinski,Lester Alan</v>
          </cell>
          <cell r="N14857">
            <v>3.12</v>
          </cell>
          <cell r="O14857">
            <v>2.8809999999999998</v>
          </cell>
        </row>
        <row r="14858">
          <cell r="E14858" t="str">
            <v>SPEA</v>
          </cell>
          <cell r="F14858" t="str">
            <v>SPEA-E</v>
          </cell>
          <cell r="G14858">
            <v>162</v>
          </cell>
          <cell r="H14858" t="str">
            <v>SPEA-E162</v>
          </cell>
          <cell r="K14858" t="str">
            <v>Wadzinski,Lester Alan</v>
          </cell>
          <cell r="N14858">
            <v>3.0310000000000001</v>
          </cell>
          <cell r="O14858">
            <v>2.7509999999999999</v>
          </cell>
        </row>
        <row r="14859">
          <cell r="E14859" t="str">
            <v>SPEA</v>
          </cell>
          <cell r="F14859" t="str">
            <v>SPEA-E</v>
          </cell>
          <cell r="G14859">
            <v>162</v>
          </cell>
          <cell r="H14859" t="str">
            <v>SPEA-E162</v>
          </cell>
          <cell r="K14859" t="str">
            <v>Wadzinski,Lester Alan</v>
          </cell>
          <cell r="N14859">
            <v>2.7589999999999999</v>
          </cell>
          <cell r="O14859">
            <v>2.681</v>
          </cell>
        </row>
        <row r="14860">
          <cell r="E14860" t="str">
            <v>SPEA</v>
          </cell>
          <cell r="F14860" t="str">
            <v>SPEA-E</v>
          </cell>
          <cell r="G14860">
            <v>162</v>
          </cell>
          <cell r="H14860" t="str">
            <v>SPEA-E162</v>
          </cell>
          <cell r="K14860" t="str">
            <v>Watkins,Shannon Lea</v>
          </cell>
          <cell r="N14860">
            <v>2.9910000000000001</v>
          </cell>
          <cell r="O14860">
            <v>2.931</v>
          </cell>
        </row>
        <row r="14861">
          <cell r="E14861" t="str">
            <v>SPEA</v>
          </cell>
          <cell r="F14861" t="str">
            <v>SPEA-E</v>
          </cell>
          <cell r="G14861">
            <v>162</v>
          </cell>
          <cell r="H14861" t="str">
            <v>SPEA-E162</v>
          </cell>
          <cell r="K14861" t="str">
            <v>Wendling,Zach</v>
          </cell>
          <cell r="N14861">
            <v>3.46</v>
          </cell>
          <cell r="O14861">
            <v>2.903</v>
          </cell>
        </row>
        <row r="14862">
          <cell r="E14862" t="str">
            <v>SPEA</v>
          </cell>
          <cell r="F14862" t="str">
            <v>SPEA-E</v>
          </cell>
          <cell r="G14862">
            <v>260</v>
          </cell>
          <cell r="H14862" t="str">
            <v>SPEA-E260</v>
          </cell>
          <cell r="K14862" t="str">
            <v>Oviedo Vargas,Diana</v>
          </cell>
          <cell r="N14862">
            <v>3.0150000000000001</v>
          </cell>
          <cell r="O14862">
            <v>2.8250000000000002</v>
          </cell>
        </row>
        <row r="14863">
          <cell r="E14863" t="str">
            <v>SPEA</v>
          </cell>
          <cell r="F14863" t="str">
            <v>SPEA-E</v>
          </cell>
          <cell r="G14863">
            <v>262</v>
          </cell>
          <cell r="H14863" t="str">
            <v>SPEA-E262</v>
          </cell>
          <cell r="K14863" t="str">
            <v>Raff,Jonathan</v>
          </cell>
          <cell r="N14863">
            <v>3.129</v>
          </cell>
          <cell r="O14863">
            <v>2.968</v>
          </cell>
        </row>
        <row r="14864">
          <cell r="E14864" t="str">
            <v>SPEA</v>
          </cell>
          <cell r="F14864" t="str">
            <v>SPEA-E</v>
          </cell>
          <cell r="G14864">
            <v>272</v>
          </cell>
          <cell r="H14864" t="str">
            <v>SPEA-E272</v>
          </cell>
          <cell r="K14864" t="str">
            <v>Edwards,Michael A</v>
          </cell>
          <cell r="N14864">
            <v>2.4249999999999998</v>
          </cell>
          <cell r="O14864">
            <v>2.8620000000000001</v>
          </cell>
        </row>
        <row r="14865">
          <cell r="E14865" t="str">
            <v>SPEA</v>
          </cell>
          <cell r="F14865" t="str">
            <v>SPEA-E</v>
          </cell>
          <cell r="G14865">
            <v>272</v>
          </cell>
          <cell r="H14865" t="str">
            <v>SPEA-E272</v>
          </cell>
          <cell r="K14865" t="str">
            <v>Edwards,Michael A</v>
          </cell>
          <cell r="N14865">
            <v>2.6549999999999998</v>
          </cell>
          <cell r="O14865">
            <v>3.0049999999999999</v>
          </cell>
        </row>
        <row r="14866">
          <cell r="E14866" t="str">
            <v>SPEA</v>
          </cell>
          <cell r="F14866" t="str">
            <v>SPEA-E</v>
          </cell>
          <cell r="G14866">
            <v>272</v>
          </cell>
          <cell r="H14866" t="str">
            <v>SPEA-E272</v>
          </cell>
          <cell r="K14866" t="str">
            <v>Powers,Sarah Rose</v>
          </cell>
          <cell r="N14866">
            <v>2.984</v>
          </cell>
          <cell r="O14866">
            <v>2.9630000000000001</v>
          </cell>
        </row>
        <row r="14867">
          <cell r="E14867" t="str">
            <v>SPEA</v>
          </cell>
          <cell r="F14867" t="str">
            <v>SPEA-E</v>
          </cell>
          <cell r="G14867">
            <v>311</v>
          </cell>
          <cell r="H14867" t="str">
            <v>SPEA-E311</v>
          </cell>
          <cell r="K14867" t="str">
            <v>Simon III,Thomas Paul</v>
          </cell>
          <cell r="N14867">
            <v>3.2080000000000002</v>
          </cell>
          <cell r="O14867">
            <v>3.0190000000000001</v>
          </cell>
        </row>
        <row r="14868">
          <cell r="E14868" t="str">
            <v>SPEA</v>
          </cell>
          <cell r="F14868" t="str">
            <v>SPEA-E</v>
          </cell>
          <cell r="G14868">
            <v>311</v>
          </cell>
          <cell r="H14868" t="str">
            <v>SPEA-E311</v>
          </cell>
          <cell r="K14868" t="str">
            <v>Simon III,Thomas Paul</v>
          </cell>
          <cell r="N14868">
            <v>3.036</v>
          </cell>
          <cell r="O14868">
            <v>2.9350000000000001</v>
          </cell>
        </row>
        <row r="14869">
          <cell r="E14869" t="str">
            <v>SPEA</v>
          </cell>
          <cell r="F14869" t="str">
            <v>SPEA-E</v>
          </cell>
          <cell r="G14869">
            <v>325</v>
          </cell>
          <cell r="H14869" t="str">
            <v>SPEA-E325</v>
          </cell>
          <cell r="K14869" t="str">
            <v>Hites,Ronald A.</v>
          </cell>
          <cell r="N14869">
            <v>3.5579999999999998</v>
          </cell>
          <cell r="O14869">
            <v>3.0569999999999999</v>
          </cell>
        </row>
        <row r="14870">
          <cell r="E14870" t="str">
            <v>SPEA</v>
          </cell>
          <cell r="F14870" t="str">
            <v>SPEA-E</v>
          </cell>
          <cell r="G14870">
            <v>332</v>
          </cell>
          <cell r="H14870" t="str">
            <v>SPEA-E332</v>
          </cell>
          <cell r="K14870" t="str">
            <v>Simon III,Thomas Paul</v>
          </cell>
          <cell r="N14870">
            <v>2.9340000000000002</v>
          </cell>
          <cell r="O14870">
            <v>3.05</v>
          </cell>
        </row>
        <row r="14871">
          <cell r="E14871" t="str">
            <v>SPEA</v>
          </cell>
          <cell r="F14871" t="str">
            <v>SPEA-E</v>
          </cell>
          <cell r="G14871">
            <v>340</v>
          </cell>
          <cell r="H14871" t="str">
            <v>SPEA-E340</v>
          </cell>
          <cell r="K14871" t="str">
            <v>Krutilla,Kerry</v>
          </cell>
          <cell r="N14871">
            <v>3.1230000000000002</v>
          </cell>
          <cell r="O14871">
            <v>2.948</v>
          </cell>
        </row>
        <row r="14872">
          <cell r="E14872" t="str">
            <v>SPEA</v>
          </cell>
          <cell r="F14872" t="str">
            <v>SPEA-E</v>
          </cell>
          <cell r="G14872">
            <v>355</v>
          </cell>
          <cell r="H14872" t="str">
            <v>SPEA-E355</v>
          </cell>
          <cell r="K14872" t="str">
            <v>Glaholt,Stephen</v>
          </cell>
          <cell r="N14872">
            <v>3.7330000000000001</v>
          </cell>
          <cell r="O14872">
            <v>3.1480000000000001</v>
          </cell>
        </row>
        <row r="14873">
          <cell r="E14873" t="str">
            <v>SPEA</v>
          </cell>
          <cell r="F14873" t="str">
            <v>SPEA-E</v>
          </cell>
          <cell r="G14873">
            <v>355</v>
          </cell>
          <cell r="H14873" t="str">
            <v>SPEA-E355</v>
          </cell>
          <cell r="K14873" t="str">
            <v>Oviedo Vargas,Diana</v>
          </cell>
          <cell r="N14873">
            <v>2.5630000000000002</v>
          </cell>
          <cell r="O14873">
            <v>2.96</v>
          </cell>
        </row>
        <row r="14874">
          <cell r="E14874" t="str">
            <v>SPEA</v>
          </cell>
          <cell r="F14874" t="str">
            <v>SPEA-E</v>
          </cell>
          <cell r="G14874">
            <v>363</v>
          </cell>
          <cell r="H14874" t="str">
            <v>SPEA-E363</v>
          </cell>
          <cell r="K14874" t="str">
            <v>Lame,Marc Louis</v>
          </cell>
          <cell r="N14874">
            <v>3.1840000000000002</v>
          </cell>
          <cell r="O14874">
            <v>3.0819999999999999</v>
          </cell>
        </row>
        <row r="14875">
          <cell r="E14875" t="str">
            <v>SPEA</v>
          </cell>
          <cell r="F14875" t="str">
            <v>SPEA-E</v>
          </cell>
          <cell r="G14875">
            <v>363</v>
          </cell>
          <cell r="H14875" t="str">
            <v>SPEA-E363</v>
          </cell>
          <cell r="K14875" t="str">
            <v>Simon III,Thomas Paul</v>
          </cell>
          <cell r="N14875">
            <v>3.0920000000000001</v>
          </cell>
          <cell r="O14875">
            <v>3.0139999999999998</v>
          </cell>
        </row>
        <row r="14876">
          <cell r="E14876" t="str">
            <v>SPEA</v>
          </cell>
          <cell r="F14876" t="str">
            <v>SPEA-E</v>
          </cell>
          <cell r="G14876">
            <v>400</v>
          </cell>
          <cell r="H14876" t="str">
            <v>SPEA-E400</v>
          </cell>
          <cell r="K14876" t="str">
            <v>Attari,Shahzeen</v>
          </cell>
          <cell r="N14876">
            <v>3.617</v>
          </cell>
          <cell r="O14876">
            <v>3.383</v>
          </cell>
        </row>
        <row r="14877">
          <cell r="E14877" t="str">
            <v>SPEA</v>
          </cell>
          <cell r="F14877" t="str">
            <v>SPEA-E</v>
          </cell>
          <cell r="G14877">
            <v>400</v>
          </cell>
          <cell r="H14877" t="str">
            <v>SPEA-E400</v>
          </cell>
          <cell r="K14877" t="str">
            <v>Crouch,Gregory Paul</v>
          </cell>
          <cell r="N14877">
            <v>2.7570000000000001</v>
          </cell>
          <cell r="O14877">
            <v>3.03</v>
          </cell>
        </row>
        <row r="14878">
          <cell r="E14878" t="str">
            <v>SPEA</v>
          </cell>
          <cell r="F14878" t="str">
            <v>SPEA-E</v>
          </cell>
          <cell r="G14878">
            <v>400</v>
          </cell>
          <cell r="H14878" t="str">
            <v>SPEA-E400</v>
          </cell>
          <cell r="K14878" t="str">
            <v>DeLong,Brian</v>
          </cell>
          <cell r="N14878" t="str">
            <v>NR</v>
          </cell>
          <cell r="O14878" t="str">
            <v>NR</v>
          </cell>
        </row>
        <row r="14879">
          <cell r="E14879" t="str">
            <v>SPEA</v>
          </cell>
          <cell r="F14879" t="str">
            <v>SPEA-E</v>
          </cell>
          <cell r="G14879">
            <v>400</v>
          </cell>
          <cell r="H14879" t="str">
            <v>SPEA-E400</v>
          </cell>
          <cell r="K14879" t="str">
            <v>Devereaux,James Michael</v>
          </cell>
          <cell r="N14879" t="str">
            <v>NR</v>
          </cell>
          <cell r="O14879" t="str">
            <v>NR</v>
          </cell>
        </row>
        <row r="14880">
          <cell r="E14880" t="str">
            <v>SPEA</v>
          </cell>
          <cell r="F14880" t="str">
            <v>SPEA-E</v>
          </cell>
          <cell r="G14880">
            <v>400</v>
          </cell>
          <cell r="H14880" t="str">
            <v>SPEA-E400</v>
          </cell>
          <cell r="K14880" t="str">
            <v>Devereaux,James Michael</v>
          </cell>
          <cell r="N14880">
            <v>4</v>
          </cell>
          <cell r="O14880">
            <v>3.2290000000000001</v>
          </cell>
        </row>
        <row r="14881">
          <cell r="E14881" t="str">
            <v>SPEA</v>
          </cell>
          <cell r="F14881" t="str">
            <v>SPEA-E</v>
          </cell>
          <cell r="G14881">
            <v>400</v>
          </cell>
          <cell r="H14881" t="str">
            <v>SPEA-E400</v>
          </cell>
          <cell r="K14881" t="str">
            <v>Ehman,Jeffrey L</v>
          </cell>
          <cell r="N14881" t="str">
            <v>NR</v>
          </cell>
          <cell r="O14881" t="str">
            <v>NR</v>
          </cell>
        </row>
        <row r="14882">
          <cell r="E14882" t="str">
            <v>SPEA</v>
          </cell>
          <cell r="F14882" t="str">
            <v>SPEA-E</v>
          </cell>
          <cell r="G14882">
            <v>400</v>
          </cell>
          <cell r="H14882" t="str">
            <v>SPEA-E400</v>
          </cell>
          <cell r="K14882" t="str">
            <v>Galuska,John Daniel</v>
          </cell>
          <cell r="N14882">
            <v>3.7370000000000001</v>
          </cell>
          <cell r="O14882">
            <v>3.4159999999999999</v>
          </cell>
        </row>
        <row r="14883">
          <cell r="E14883" t="str">
            <v>SPEA</v>
          </cell>
          <cell r="F14883" t="str">
            <v>SPEA-E</v>
          </cell>
          <cell r="G14883">
            <v>400</v>
          </cell>
          <cell r="H14883" t="str">
            <v>SPEA-E400</v>
          </cell>
          <cell r="K14883" t="str">
            <v>Gulyas,David Allan</v>
          </cell>
          <cell r="N14883">
            <v>3.72</v>
          </cell>
          <cell r="O14883">
            <v>3.0030000000000001</v>
          </cell>
        </row>
        <row r="14884">
          <cell r="E14884" t="str">
            <v>SPEA</v>
          </cell>
          <cell r="F14884" t="str">
            <v>SPEA-E</v>
          </cell>
          <cell r="G14884">
            <v>400</v>
          </cell>
          <cell r="H14884" t="str">
            <v>SPEA-E400</v>
          </cell>
          <cell r="K14884" t="str">
            <v>Hengeveld,Susan E.</v>
          </cell>
          <cell r="N14884">
            <v>2.7909999999999999</v>
          </cell>
          <cell r="O14884">
            <v>3.04</v>
          </cell>
        </row>
        <row r="14885">
          <cell r="E14885" t="str">
            <v>SPEA</v>
          </cell>
          <cell r="F14885" t="str">
            <v>SPEA-E</v>
          </cell>
          <cell r="G14885">
            <v>400</v>
          </cell>
          <cell r="H14885" t="str">
            <v>SPEA-E400</v>
          </cell>
          <cell r="K14885" t="str">
            <v>Hites,Ronald A.</v>
          </cell>
          <cell r="N14885">
            <v>3.2429999999999999</v>
          </cell>
          <cell r="O14885">
            <v>2.8420000000000001</v>
          </cell>
        </row>
        <row r="14886">
          <cell r="E14886" t="str">
            <v>SPEA</v>
          </cell>
          <cell r="F14886" t="str">
            <v>SPEA-E</v>
          </cell>
          <cell r="G14886">
            <v>400</v>
          </cell>
          <cell r="H14886" t="str">
            <v>SPEA-E400</v>
          </cell>
          <cell r="K14886" t="str">
            <v>Schneller,Paul J</v>
          </cell>
          <cell r="N14886">
            <v>3.37</v>
          </cell>
          <cell r="O14886">
            <v>3.0960000000000001</v>
          </cell>
        </row>
        <row r="14887">
          <cell r="E14887" t="str">
            <v>SPEA</v>
          </cell>
          <cell r="F14887" t="str">
            <v>SPEA-E</v>
          </cell>
          <cell r="G14887">
            <v>400</v>
          </cell>
          <cell r="H14887" t="str">
            <v>SPEA-E400</v>
          </cell>
          <cell r="K14887" t="str">
            <v>Waldron,Carolyn</v>
          </cell>
          <cell r="N14887">
            <v>3.7290000000000001</v>
          </cell>
          <cell r="O14887">
            <v>3.0049999999999999</v>
          </cell>
        </row>
        <row r="14888">
          <cell r="E14888" t="str">
            <v>SPEA</v>
          </cell>
          <cell r="F14888" t="str">
            <v>SPEA-E</v>
          </cell>
          <cell r="G14888">
            <v>410</v>
          </cell>
          <cell r="H14888" t="str">
            <v>SPEA-E410</v>
          </cell>
          <cell r="K14888" t="str">
            <v>Shaw,Joseph</v>
          </cell>
          <cell r="N14888">
            <v>2.794</v>
          </cell>
          <cell r="O14888">
            <v>3.056</v>
          </cell>
        </row>
        <row r="14889">
          <cell r="E14889" t="str">
            <v>SPEA</v>
          </cell>
          <cell r="F14889" t="str">
            <v>SPEA-E</v>
          </cell>
          <cell r="G14889">
            <v>411</v>
          </cell>
          <cell r="H14889" t="str">
            <v>SPEA-E411</v>
          </cell>
          <cell r="K14889" t="str">
            <v>Abrams,Daniel Bruce</v>
          </cell>
          <cell r="N14889">
            <v>3.7090000000000001</v>
          </cell>
          <cell r="O14889">
            <v>3.1629999999999998</v>
          </cell>
        </row>
        <row r="14890">
          <cell r="E14890" t="str">
            <v>SPEA</v>
          </cell>
          <cell r="F14890" t="str">
            <v>SPEA-E</v>
          </cell>
          <cell r="G14890">
            <v>418</v>
          </cell>
          <cell r="H14890" t="str">
            <v>SPEA-E418</v>
          </cell>
          <cell r="K14890" t="str">
            <v>Ehman,Jeffrey L</v>
          </cell>
          <cell r="N14890">
            <v>3.274</v>
          </cell>
          <cell r="O14890">
            <v>3.1989999999999998</v>
          </cell>
        </row>
        <row r="14891">
          <cell r="E14891" t="str">
            <v>SPEA</v>
          </cell>
          <cell r="F14891" t="str">
            <v>SPEA-E</v>
          </cell>
          <cell r="G14891">
            <v>418</v>
          </cell>
          <cell r="H14891" t="str">
            <v>SPEA-E418</v>
          </cell>
          <cell r="K14891" t="str">
            <v>Ehman,Jeffrey L</v>
          </cell>
          <cell r="N14891">
            <v>2.9</v>
          </cell>
          <cell r="O14891">
            <v>3.0760000000000001</v>
          </cell>
        </row>
        <row r="14892">
          <cell r="E14892" t="str">
            <v>SPEA</v>
          </cell>
          <cell r="F14892" t="str">
            <v>SPEA-E</v>
          </cell>
          <cell r="G14892">
            <v>422</v>
          </cell>
          <cell r="H14892" t="str">
            <v>SPEA-E422</v>
          </cell>
          <cell r="K14892" t="str">
            <v>Fischer,Burnell</v>
          </cell>
          <cell r="N14892">
            <v>2.6789999999999998</v>
          </cell>
          <cell r="O14892">
            <v>3.008</v>
          </cell>
        </row>
        <row r="14893">
          <cell r="E14893" t="str">
            <v>SPEA</v>
          </cell>
          <cell r="F14893" t="str">
            <v>SPEA-E</v>
          </cell>
          <cell r="G14893">
            <v>426</v>
          </cell>
          <cell r="H14893" t="str">
            <v>SPEA-E426</v>
          </cell>
          <cell r="K14893" t="str">
            <v>Abrams,Daniel Bruce</v>
          </cell>
          <cell r="N14893">
            <v>3.1669999999999998</v>
          </cell>
          <cell r="O14893">
            <v>3.218</v>
          </cell>
        </row>
        <row r="14894">
          <cell r="E14894" t="str">
            <v>SPEA</v>
          </cell>
          <cell r="F14894" t="str">
            <v>SPEA-E</v>
          </cell>
          <cell r="G14894">
            <v>426</v>
          </cell>
          <cell r="H14894" t="str">
            <v>SPEA-E426</v>
          </cell>
          <cell r="K14894" t="str">
            <v>Haitjema,Hendrik</v>
          </cell>
          <cell r="N14894">
            <v>3.4910000000000001</v>
          </cell>
          <cell r="O14894">
            <v>3.23</v>
          </cell>
        </row>
        <row r="14895">
          <cell r="E14895" t="str">
            <v>SPEA</v>
          </cell>
          <cell r="F14895" t="str">
            <v>SPEA-E</v>
          </cell>
          <cell r="G14895">
            <v>431</v>
          </cell>
          <cell r="H14895" t="str">
            <v>SPEA-E431</v>
          </cell>
          <cell r="K14895" t="str">
            <v>Chakraborty,Anirban</v>
          </cell>
          <cell r="N14895">
            <v>3.3730000000000002</v>
          </cell>
          <cell r="O14895">
            <v>3.1880000000000002</v>
          </cell>
        </row>
        <row r="14896">
          <cell r="E14896" t="str">
            <v>SPEA</v>
          </cell>
          <cell r="F14896" t="str">
            <v>SPEA-E</v>
          </cell>
          <cell r="G14896">
            <v>440</v>
          </cell>
          <cell r="H14896" t="str">
            <v>SPEA-E440</v>
          </cell>
          <cell r="K14896" t="str">
            <v>Craft,Christopher B</v>
          </cell>
          <cell r="N14896">
            <v>3.7669999999999999</v>
          </cell>
          <cell r="O14896">
            <v>3.5470000000000002</v>
          </cell>
        </row>
        <row r="14897">
          <cell r="E14897" t="str">
            <v>SPEA</v>
          </cell>
          <cell r="F14897" t="str">
            <v>SPEA-E</v>
          </cell>
          <cell r="G14897">
            <v>442</v>
          </cell>
          <cell r="H14897" t="str">
            <v>SPEA-E442</v>
          </cell>
          <cell r="K14897" t="str">
            <v>Vogt,Jess</v>
          </cell>
          <cell r="N14897">
            <v>3.3530000000000002</v>
          </cell>
          <cell r="O14897">
            <v>3.081</v>
          </cell>
        </row>
        <row r="14898">
          <cell r="E14898" t="str">
            <v>SPEA</v>
          </cell>
          <cell r="F14898" t="str">
            <v>SPEA-E</v>
          </cell>
          <cell r="G14898">
            <v>451</v>
          </cell>
          <cell r="H14898" t="str">
            <v>SPEA-E451</v>
          </cell>
          <cell r="K14898" t="str">
            <v>Stevens,Philip S</v>
          </cell>
          <cell r="N14898">
            <v>3.03</v>
          </cell>
          <cell r="O14898">
            <v>3.1720000000000002</v>
          </cell>
        </row>
        <row r="14899">
          <cell r="E14899" t="str">
            <v>SPEA</v>
          </cell>
          <cell r="F14899" t="str">
            <v>SPEA-E</v>
          </cell>
          <cell r="G14899">
            <v>452</v>
          </cell>
          <cell r="H14899" t="str">
            <v>SPEA-E452</v>
          </cell>
          <cell r="K14899" t="str">
            <v>Howard,Rex Douglas</v>
          </cell>
          <cell r="N14899">
            <v>3.6190000000000002</v>
          </cell>
          <cell r="O14899">
            <v>3.11</v>
          </cell>
        </row>
        <row r="14900">
          <cell r="E14900" t="str">
            <v>SPEA</v>
          </cell>
          <cell r="F14900" t="str">
            <v>SPEA-E</v>
          </cell>
          <cell r="G14900">
            <v>452</v>
          </cell>
          <cell r="H14900" t="str">
            <v>SPEA-E452</v>
          </cell>
          <cell r="K14900" t="str">
            <v>Howard,Rex Douglas</v>
          </cell>
          <cell r="N14900">
            <v>3.4340000000000002</v>
          </cell>
          <cell r="O14900">
            <v>3.1749999999999998</v>
          </cell>
        </row>
        <row r="14901">
          <cell r="E14901" t="str">
            <v>SPEA</v>
          </cell>
          <cell r="F14901" t="str">
            <v>SPEA-E</v>
          </cell>
          <cell r="G14901">
            <v>455</v>
          </cell>
          <cell r="H14901" t="str">
            <v>SPEA-E455</v>
          </cell>
          <cell r="K14901" t="str">
            <v>Royer,Todd V.</v>
          </cell>
          <cell r="N14901">
            <v>2.9430000000000001</v>
          </cell>
          <cell r="O14901">
            <v>3.306</v>
          </cell>
        </row>
        <row r="14902">
          <cell r="E14902" t="str">
            <v>SPEA</v>
          </cell>
          <cell r="F14902" t="str">
            <v>SPEA-E</v>
          </cell>
          <cell r="G14902">
            <v>456</v>
          </cell>
          <cell r="H14902" t="str">
            <v>SPEA-E456</v>
          </cell>
          <cell r="K14902" t="str">
            <v>Clark,Melissa Ann Laney</v>
          </cell>
          <cell r="N14902">
            <v>2.72</v>
          </cell>
          <cell r="O14902">
            <v>3.0489999999999999</v>
          </cell>
        </row>
        <row r="14903">
          <cell r="E14903" t="str">
            <v>SPEA</v>
          </cell>
          <cell r="F14903" t="str">
            <v>SPEA-E</v>
          </cell>
          <cell r="G14903">
            <v>460</v>
          </cell>
          <cell r="H14903" t="str">
            <v>SPEA-E460</v>
          </cell>
          <cell r="K14903" t="str">
            <v>Bennett,Mark Earle</v>
          </cell>
          <cell r="N14903">
            <v>3.4510000000000001</v>
          </cell>
          <cell r="O14903">
            <v>3.3050000000000002</v>
          </cell>
        </row>
        <row r="14904">
          <cell r="E14904" t="str">
            <v>SPEA</v>
          </cell>
          <cell r="F14904" t="str">
            <v>SPEA-E</v>
          </cell>
          <cell r="G14904">
            <v>461</v>
          </cell>
          <cell r="H14904" t="str">
            <v>SPEA-E461</v>
          </cell>
          <cell r="K14904" t="str">
            <v>Bennett,Mark Earle</v>
          </cell>
          <cell r="N14904">
            <v>3.907</v>
          </cell>
          <cell r="O14904">
            <v>3.4950000000000001</v>
          </cell>
        </row>
        <row r="14905">
          <cell r="E14905" t="str">
            <v>SPEA</v>
          </cell>
          <cell r="F14905" t="str">
            <v>SPEA-E</v>
          </cell>
          <cell r="G14905">
            <v>476</v>
          </cell>
          <cell r="H14905" t="str">
            <v>SPEA-E476</v>
          </cell>
          <cell r="K14905" t="str">
            <v>Cox,David K</v>
          </cell>
          <cell r="N14905">
            <v>3.665</v>
          </cell>
          <cell r="O14905">
            <v>3.077</v>
          </cell>
        </row>
        <row r="14906">
          <cell r="E14906" t="str">
            <v>SPEA</v>
          </cell>
          <cell r="F14906" t="str">
            <v>SPEA-E</v>
          </cell>
          <cell r="G14906">
            <v>476</v>
          </cell>
          <cell r="H14906" t="str">
            <v>SPEA-E476</v>
          </cell>
          <cell r="K14906" t="str">
            <v>Cox,David K</v>
          </cell>
          <cell r="N14906">
            <v>3.4159999999999999</v>
          </cell>
          <cell r="O14906">
            <v>3.0550000000000002</v>
          </cell>
        </row>
        <row r="14907">
          <cell r="E14907" t="str">
            <v>SPEA</v>
          </cell>
          <cell r="F14907" t="str">
            <v>SPEA-E</v>
          </cell>
          <cell r="G14907">
            <v>490</v>
          </cell>
          <cell r="H14907" t="str">
            <v>SPEA-E490</v>
          </cell>
          <cell r="K14907" t="str">
            <v>Bastin,Amy J</v>
          </cell>
          <cell r="N14907" t="str">
            <v>NR</v>
          </cell>
          <cell r="O14907" t="str">
            <v>NR</v>
          </cell>
        </row>
        <row r="14908">
          <cell r="E14908" t="str">
            <v>SPEA</v>
          </cell>
          <cell r="F14908" t="str">
            <v>SPEA-E</v>
          </cell>
          <cell r="G14908">
            <v>490</v>
          </cell>
          <cell r="H14908" t="str">
            <v>SPEA-E490</v>
          </cell>
          <cell r="K14908" t="str">
            <v>Bastin,Amy J</v>
          </cell>
          <cell r="N14908" t="str">
            <v>NR</v>
          </cell>
          <cell r="O14908" t="str">
            <v>NR</v>
          </cell>
        </row>
        <row r="14909">
          <cell r="E14909" t="str">
            <v>SPEA</v>
          </cell>
          <cell r="F14909" t="str">
            <v>SPEA-E</v>
          </cell>
          <cell r="G14909">
            <v>491</v>
          </cell>
          <cell r="H14909" t="str">
            <v>SPEA-E491</v>
          </cell>
          <cell r="K14909" t="str">
            <v>Bastin,Amy J</v>
          </cell>
          <cell r="N14909" t="str">
            <v>NR</v>
          </cell>
          <cell r="O14909" t="str">
            <v>NR</v>
          </cell>
        </row>
        <row r="14910">
          <cell r="E14910" t="str">
            <v>SPEA</v>
          </cell>
          <cell r="F14910" t="str">
            <v>SPEA-E</v>
          </cell>
          <cell r="G14910">
            <v>518</v>
          </cell>
          <cell r="H14910" t="str">
            <v>SPEA-E518</v>
          </cell>
          <cell r="K14910" t="str">
            <v>Ehman,Jeffrey L</v>
          </cell>
          <cell r="N14910">
            <v>3.367</v>
          </cell>
          <cell r="O14910">
            <v>3.544</v>
          </cell>
        </row>
        <row r="14911">
          <cell r="E14911" t="str">
            <v>SPEA</v>
          </cell>
          <cell r="F14911" t="str">
            <v>SPEA-E</v>
          </cell>
          <cell r="G14911">
            <v>518</v>
          </cell>
          <cell r="H14911" t="str">
            <v>SPEA-E518</v>
          </cell>
          <cell r="K14911" t="str">
            <v>Ehman,Jeffrey L</v>
          </cell>
          <cell r="N14911">
            <v>3.5</v>
          </cell>
          <cell r="O14911">
            <v>3.556</v>
          </cell>
        </row>
        <row r="14912">
          <cell r="E14912" t="str">
            <v>SPEA</v>
          </cell>
          <cell r="F14912" t="str">
            <v>SPEA-E</v>
          </cell>
          <cell r="G14912">
            <v>520</v>
          </cell>
          <cell r="H14912" t="str">
            <v>SPEA-E520</v>
          </cell>
          <cell r="K14912" t="str">
            <v>Shaw,Joseph</v>
          </cell>
          <cell r="N14912">
            <v>3.7610000000000001</v>
          </cell>
          <cell r="O14912">
            <v>3.4020000000000001</v>
          </cell>
        </row>
        <row r="14913">
          <cell r="E14913" t="str">
            <v>SPEA</v>
          </cell>
          <cell r="F14913" t="str">
            <v>SPEA-E</v>
          </cell>
          <cell r="G14913">
            <v>522</v>
          </cell>
          <cell r="H14913" t="str">
            <v>SPEA-E522</v>
          </cell>
          <cell r="K14913" t="str">
            <v>Fischer,Burnell</v>
          </cell>
          <cell r="N14913">
            <v>3.5750000000000002</v>
          </cell>
          <cell r="O14913">
            <v>3.5339999999999998</v>
          </cell>
        </row>
        <row r="14914">
          <cell r="E14914" t="str">
            <v>SPEA</v>
          </cell>
          <cell r="F14914" t="str">
            <v>SPEA-E</v>
          </cell>
          <cell r="G14914">
            <v>524</v>
          </cell>
          <cell r="H14914" t="str">
            <v>SPEA-E524</v>
          </cell>
          <cell r="K14914" t="str">
            <v>Vogt,Jess</v>
          </cell>
          <cell r="N14914" t="str">
            <v>NR</v>
          </cell>
          <cell r="O14914" t="str">
            <v>NR</v>
          </cell>
        </row>
        <row r="14915">
          <cell r="E14915" t="str">
            <v>SPEA</v>
          </cell>
          <cell r="F14915" t="str">
            <v>SPEA-E</v>
          </cell>
          <cell r="G14915">
            <v>526</v>
          </cell>
          <cell r="H14915" t="str">
            <v>SPEA-E526</v>
          </cell>
          <cell r="K14915" t="str">
            <v>Abrams,Daniel Bruce</v>
          </cell>
          <cell r="N14915">
            <v>3.714</v>
          </cell>
          <cell r="O14915">
            <v>3.46</v>
          </cell>
        </row>
        <row r="14916">
          <cell r="E14916" t="str">
            <v>SPEA</v>
          </cell>
          <cell r="F14916" t="str">
            <v>SPEA-E</v>
          </cell>
          <cell r="G14916">
            <v>526</v>
          </cell>
          <cell r="H14916" t="str">
            <v>SPEA-E526</v>
          </cell>
          <cell r="K14916" t="str">
            <v>Haitjema,Hendrik</v>
          </cell>
          <cell r="N14916">
            <v>3.5419999999999998</v>
          </cell>
          <cell r="O14916">
            <v>3.3639999999999999</v>
          </cell>
        </row>
        <row r="14917">
          <cell r="E14917" t="str">
            <v>SPEA</v>
          </cell>
          <cell r="F14917" t="str">
            <v>SPEA-E</v>
          </cell>
          <cell r="G14917">
            <v>527</v>
          </cell>
          <cell r="H14917" t="str">
            <v>SPEA-E527</v>
          </cell>
          <cell r="K14917" t="str">
            <v>Simon III,Thomas Paul</v>
          </cell>
          <cell r="N14917">
            <v>3.665</v>
          </cell>
          <cell r="O14917">
            <v>3.5680000000000001</v>
          </cell>
        </row>
        <row r="14918">
          <cell r="E14918" t="str">
            <v>SPEA</v>
          </cell>
          <cell r="F14918" t="str">
            <v>SPEA-E</v>
          </cell>
          <cell r="G14918">
            <v>528</v>
          </cell>
          <cell r="H14918" t="str">
            <v>SPEA-E528</v>
          </cell>
          <cell r="K14918" t="str">
            <v>Johnson,Daniel Jacob</v>
          </cell>
          <cell r="N14918">
            <v>3.8069999999999999</v>
          </cell>
          <cell r="O14918">
            <v>3.54</v>
          </cell>
        </row>
        <row r="14919">
          <cell r="E14919" t="str">
            <v>SPEA</v>
          </cell>
          <cell r="F14919" t="str">
            <v>SPEA-E</v>
          </cell>
          <cell r="G14919">
            <v>529</v>
          </cell>
          <cell r="H14919" t="str">
            <v>SPEA-E529</v>
          </cell>
          <cell r="K14919" t="str">
            <v>Ehman,Jeffrey L</v>
          </cell>
          <cell r="N14919">
            <v>3.6640000000000001</v>
          </cell>
          <cell r="O14919">
            <v>3.25</v>
          </cell>
        </row>
        <row r="14920">
          <cell r="E14920" t="str">
            <v>SPEA</v>
          </cell>
          <cell r="F14920" t="str">
            <v>SPEA-E</v>
          </cell>
          <cell r="G14920">
            <v>532</v>
          </cell>
          <cell r="H14920" t="str">
            <v>SPEA-E532</v>
          </cell>
          <cell r="K14920" t="str">
            <v>Simon III,Thomas Paul</v>
          </cell>
          <cell r="N14920">
            <v>3.64</v>
          </cell>
          <cell r="O14920">
            <v>3.5150000000000001</v>
          </cell>
        </row>
        <row r="14921">
          <cell r="E14921" t="str">
            <v>SPEA</v>
          </cell>
          <cell r="F14921" t="str">
            <v>SPEA-E</v>
          </cell>
          <cell r="G14921">
            <v>534</v>
          </cell>
          <cell r="H14921" t="str">
            <v>SPEA-E534</v>
          </cell>
          <cell r="K14921" t="str">
            <v>Craft,Christopher B</v>
          </cell>
          <cell r="N14921">
            <v>3.8410000000000002</v>
          </cell>
          <cell r="O14921">
            <v>3.5979999999999999</v>
          </cell>
        </row>
        <row r="14922">
          <cell r="E14922" t="str">
            <v>SPEA</v>
          </cell>
          <cell r="F14922" t="str">
            <v>SPEA-E</v>
          </cell>
          <cell r="G14922">
            <v>535</v>
          </cell>
          <cell r="H14922" t="str">
            <v>SPEA-E535</v>
          </cell>
          <cell r="K14922" t="str">
            <v>Ringquist,Evan</v>
          </cell>
          <cell r="N14922">
            <v>3.419</v>
          </cell>
          <cell r="O14922">
            <v>3.5169999999999999</v>
          </cell>
        </row>
        <row r="14923">
          <cell r="E14923" t="str">
            <v>SPEA</v>
          </cell>
          <cell r="F14923" t="str">
            <v>SPEA-E</v>
          </cell>
          <cell r="G14923">
            <v>536</v>
          </cell>
          <cell r="H14923" t="str">
            <v>SPEA-E536</v>
          </cell>
          <cell r="K14923" t="str">
            <v>Raff,Jonathan</v>
          </cell>
          <cell r="N14923">
            <v>3.516</v>
          </cell>
          <cell r="O14923">
            <v>3.4329999999999998</v>
          </cell>
        </row>
        <row r="14924">
          <cell r="E14924" t="str">
            <v>SPEA</v>
          </cell>
          <cell r="F14924" t="str">
            <v>SPEA-E</v>
          </cell>
          <cell r="G14924">
            <v>538</v>
          </cell>
          <cell r="H14924" t="str">
            <v>SPEA-E538</v>
          </cell>
          <cell r="K14924" t="str">
            <v>Good,David Henning</v>
          </cell>
          <cell r="N14924" t="str">
            <v>NR</v>
          </cell>
          <cell r="O14924" t="str">
            <v>NR</v>
          </cell>
        </row>
        <row r="14925">
          <cell r="E14925" t="str">
            <v>SPEA</v>
          </cell>
          <cell r="F14925" t="str">
            <v>SPEA-E</v>
          </cell>
          <cell r="G14925">
            <v>538</v>
          </cell>
          <cell r="H14925" t="str">
            <v>SPEA-E538</v>
          </cell>
          <cell r="K14925" t="str">
            <v>Meretsky,Vicky J.</v>
          </cell>
          <cell r="N14925">
            <v>3.3660000000000001</v>
          </cell>
          <cell r="O14925">
            <v>3.5350000000000001</v>
          </cell>
        </row>
        <row r="14926">
          <cell r="E14926" t="str">
            <v>SPEA</v>
          </cell>
          <cell r="F14926" t="str">
            <v>SPEA-E</v>
          </cell>
          <cell r="G14926">
            <v>539</v>
          </cell>
          <cell r="H14926" t="str">
            <v>SPEA-E539</v>
          </cell>
          <cell r="K14926" t="str">
            <v>White,Jeffrey R.</v>
          </cell>
          <cell r="N14926">
            <v>3.3</v>
          </cell>
          <cell r="O14926">
            <v>3.528</v>
          </cell>
        </row>
        <row r="14927">
          <cell r="E14927" t="str">
            <v>SPEA</v>
          </cell>
          <cell r="F14927" t="str">
            <v>SPEA-E</v>
          </cell>
          <cell r="G14927">
            <v>542</v>
          </cell>
          <cell r="H14927" t="str">
            <v>SPEA-E542</v>
          </cell>
          <cell r="K14927" t="str">
            <v>Kohler,Christopher E</v>
          </cell>
          <cell r="N14927">
            <v>4</v>
          </cell>
          <cell r="O14927">
            <v>3.5880000000000001</v>
          </cell>
        </row>
        <row r="14928">
          <cell r="E14928" t="str">
            <v>SPEA</v>
          </cell>
          <cell r="F14928" t="str">
            <v>SPEA-E</v>
          </cell>
          <cell r="G14928">
            <v>543</v>
          </cell>
          <cell r="H14928" t="str">
            <v>SPEA-E543</v>
          </cell>
          <cell r="K14928" t="str">
            <v>Lame,Marc Louis</v>
          </cell>
          <cell r="N14928">
            <v>3.431</v>
          </cell>
          <cell r="O14928">
            <v>3.5430000000000001</v>
          </cell>
        </row>
        <row r="14929">
          <cell r="E14929" t="str">
            <v>SPEA</v>
          </cell>
          <cell r="F14929" t="str">
            <v>SPEA-E</v>
          </cell>
          <cell r="G14929">
            <v>545</v>
          </cell>
          <cell r="H14929" t="str">
            <v>SPEA-E545</v>
          </cell>
          <cell r="K14929" t="str">
            <v>Clark,Melissa Ann Laney</v>
          </cell>
          <cell r="N14929">
            <v>3.222</v>
          </cell>
          <cell r="O14929">
            <v>3.544</v>
          </cell>
        </row>
        <row r="14930">
          <cell r="E14930" t="str">
            <v>SPEA</v>
          </cell>
          <cell r="F14930" t="str">
            <v>SPEA-E</v>
          </cell>
          <cell r="G14930">
            <v>546</v>
          </cell>
          <cell r="H14930" t="str">
            <v>SPEA-E546</v>
          </cell>
          <cell r="K14930" t="str">
            <v>Royer,Todd V.</v>
          </cell>
          <cell r="N14930">
            <v>3.5670000000000002</v>
          </cell>
          <cell r="O14930">
            <v>3.6579999999999999</v>
          </cell>
        </row>
        <row r="14931">
          <cell r="E14931" t="str">
            <v>SPEA</v>
          </cell>
          <cell r="F14931" t="str">
            <v>SPEA-E</v>
          </cell>
          <cell r="G14931">
            <v>552</v>
          </cell>
          <cell r="H14931" t="str">
            <v>SPEA-E552</v>
          </cell>
          <cell r="K14931" t="str">
            <v>Picardal,Flynn W.</v>
          </cell>
          <cell r="N14931">
            <v>3.3639999999999999</v>
          </cell>
          <cell r="O14931">
            <v>3.6429999999999998</v>
          </cell>
        </row>
        <row r="14932">
          <cell r="E14932" t="str">
            <v>SPEA</v>
          </cell>
          <cell r="F14932" t="str">
            <v>SPEA-E</v>
          </cell>
          <cell r="G14932">
            <v>554</v>
          </cell>
          <cell r="H14932" t="str">
            <v>SPEA-E554</v>
          </cell>
          <cell r="K14932" t="str">
            <v>Abrams,Daniel Bruce</v>
          </cell>
          <cell r="N14932" t="str">
            <v>NR</v>
          </cell>
          <cell r="O14932" t="str">
            <v>NR</v>
          </cell>
        </row>
        <row r="14933">
          <cell r="E14933" t="str">
            <v>SPEA</v>
          </cell>
          <cell r="F14933" t="str">
            <v>SPEA-E</v>
          </cell>
          <cell r="G14933">
            <v>555</v>
          </cell>
          <cell r="H14933" t="str">
            <v>SPEA-E555</v>
          </cell>
          <cell r="K14933" t="str">
            <v>Attari,Shahzeen</v>
          </cell>
          <cell r="N14933">
            <v>3.9129999999999998</v>
          </cell>
          <cell r="O14933">
            <v>3.6920000000000002</v>
          </cell>
        </row>
        <row r="14934">
          <cell r="E14934" t="str">
            <v>SPEA</v>
          </cell>
          <cell r="F14934" t="str">
            <v>SPEA-E</v>
          </cell>
          <cell r="G14934">
            <v>555</v>
          </cell>
          <cell r="H14934" t="str">
            <v>SPEA-E555</v>
          </cell>
          <cell r="K14934" t="str">
            <v>Hengeveld,Susan E.</v>
          </cell>
          <cell r="N14934" t="str">
            <v>NR</v>
          </cell>
          <cell r="O14934" t="str">
            <v>NR</v>
          </cell>
        </row>
        <row r="14935">
          <cell r="E14935" t="str">
            <v>SPEA</v>
          </cell>
          <cell r="F14935" t="str">
            <v>SPEA-E</v>
          </cell>
          <cell r="G14935">
            <v>555</v>
          </cell>
          <cell r="H14935" t="str">
            <v>SPEA-E555</v>
          </cell>
          <cell r="K14935" t="str">
            <v>Hites,Ronald A.</v>
          </cell>
          <cell r="N14935" t="str">
            <v>NR</v>
          </cell>
          <cell r="O14935" t="str">
            <v>NR</v>
          </cell>
        </row>
        <row r="14936">
          <cell r="E14936" t="str">
            <v>SPEA</v>
          </cell>
          <cell r="F14936" t="str">
            <v>SPEA-E</v>
          </cell>
          <cell r="G14936">
            <v>555</v>
          </cell>
          <cell r="H14936" t="str">
            <v>SPEA-E555</v>
          </cell>
          <cell r="K14936" t="str">
            <v>Rupp,John A</v>
          </cell>
          <cell r="N14936">
            <v>3.9569999999999999</v>
          </cell>
          <cell r="O14936">
            <v>3.4860000000000002</v>
          </cell>
        </row>
        <row r="14937">
          <cell r="E14937" t="str">
            <v>SPEA</v>
          </cell>
          <cell r="F14937" t="str">
            <v>SPEA-E</v>
          </cell>
          <cell r="G14937">
            <v>555</v>
          </cell>
          <cell r="H14937" t="str">
            <v>SPEA-E555</v>
          </cell>
          <cell r="K14937" t="str">
            <v>Rupp,John A</v>
          </cell>
          <cell r="N14937">
            <v>4</v>
          </cell>
          <cell r="O14937">
            <v>3.7130000000000001</v>
          </cell>
        </row>
        <row r="14938">
          <cell r="E14938" t="str">
            <v>SPEA</v>
          </cell>
          <cell r="F14938" t="str">
            <v>SPEA-E</v>
          </cell>
          <cell r="G14938">
            <v>555</v>
          </cell>
          <cell r="H14938" t="str">
            <v>SPEA-E555</v>
          </cell>
          <cell r="K14938" t="str">
            <v>Shaw,Joseph</v>
          </cell>
          <cell r="N14938">
            <v>3.7440000000000002</v>
          </cell>
          <cell r="O14938">
            <v>3.6890000000000001</v>
          </cell>
        </row>
        <row r="14939">
          <cell r="E14939" t="str">
            <v>SPEA</v>
          </cell>
          <cell r="F14939" t="str">
            <v>SPEA-E</v>
          </cell>
          <cell r="G14939">
            <v>555</v>
          </cell>
          <cell r="H14939" t="str">
            <v>SPEA-E555</v>
          </cell>
          <cell r="K14939" t="str">
            <v>White,Jeffrey R.</v>
          </cell>
          <cell r="N14939">
            <v>3.3769999999999998</v>
          </cell>
          <cell r="O14939">
            <v>3.5760000000000001</v>
          </cell>
        </row>
        <row r="14940">
          <cell r="E14940" t="str">
            <v>SPEA</v>
          </cell>
          <cell r="F14940" t="str">
            <v>SPEA-E</v>
          </cell>
          <cell r="G14940">
            <v>560</v>
          </cell>
          <cell r="H14940" t="str">
            <v>SPEA-E560</v>
          </cell>
          <cell r="K14940" t="str">
            <v>Simon III,Thomas Paul</v>
          </cell>
          <cell r="N14940">
            <v>3.903</v>
          </cell>
          <cell r="O14940">
            <v>3.653</v>
          </cell>
        </row>
        <row r="14941">
          <cell r="E14941" t="str">
            <v>SPEA</v>
          </cell>
          <cell r="F14941" t="str">
            <v>SPEA-E</v>
          </cell>
          <cell r="G14941">
            <v>562</v>
          </cell>
          <cell r="H14941" t="str">
            <v>SPEA-E562</v>
          </cell>
          <cell r="K14941" t="str">
            <v>Howard,Rex Douglas</v>
          </cell>
          <cell r="N14941">
            <v>3.875</v>
          </cell>
          <cell r="O14941">
            <v>3.5840000000000001</v>
          </cell>
        </row>
        <row r="14942">
          <cell r="E14942" t="str">
            <v>SPEA</v>
          </cell>
          <cell r="F14942" t="str">
            <v>SPEA-E</v>
          </cell>
          <cell r="G14942">
            <v>562</v>
          </cell>
          <cell r="H14942" t="str">
            <v>SPEA-E562</v>
          </cell>
          <cell r="K14942" t="str">
            <v>Howard,Rex Douglas</v>
          </cell>
          <cell r="N14942">
            <v>4</v>
          </cell>
          <cell r="O14942">
            <v>3.536</v>
          </cell>
        </row>
        <row r="14943">
          <cell r="E14943" t="str">
            <v>SPEA</v>
          </cell>
          <cell r="F14943" t="str">
            <v>SPEA-E</v>
          </cell>
          <cell r="G14943">
            <v>570</v>
          </cell>
          <cell r="H14943" t="str">
            <v>SPEA-E570</v>
          </cell>
          <cell r="K14943" t="str">
            <v>Picardal,Flynn W.</v>
          </cell>
          <cell r="N14943">
            <v>3.2170000000000001</v>
          </cell>
          <cell r="O14943">
            <v>3.4710000000000001</v>
          </cell>
        </row>
        <row r="14944">
          <cell r="E14944" t="str">
            <v>SPEA</v>
          </cell>
          <cell r="F14944" t="str">
            <v>SPEA-E</v>
          </cell>
          <cell r="G14944">
            <v>579</v>
          </cell>
          <cell r="H14944" t="str">
            <v>SPEA-E579</v>
          </cell>
          <cell r="K14944" t="str">
            <v>Lame,Marc Louis</v>
          </cell>
          <cell r="N14944" t="str">
            <v>NR</v>
          </cell>
          <cell r="O14944" t="str">
            <v>NR</v>
          </cell>
        </row>
        <row r="14945">
          <cell r="E14945" t="str">
            <v>SPEA</v>
          </cell>
          <cell r="F14945" t="str">
            <v>SPEA-E</v>
          </cell>
          <cell r="G14945">
            <v>589</v>
          </cell>
          <cell r="H14945" t="str">
            <v>SPEA-E589</v>
          </cell>
          <cell r="K14945" t="str">
            <v>Sewell,Katie</v>
          </cell>
          <cell r="N14945" t="str">
            <v>NR</v>
          </cell>
          <cell r="O14945" t="str">
            <v>NR</v>
          </cell>
        </row>
        <row r="14946">
          <cell r="E14946" t="str">
            <v>SPEA</v>
          </cell>
          <cell r="F14946" t="str">
            <v>SPEA-E</v>
          </cell>
          <cell r="G14946">
            <v>589</v>
          </cell>
          <cell r="H14946" t="str">
            <v>SPEA-E589</v>
          </cell>
          <cell r="K14946" t="str">
            <v>Sewell,Katie</v>
          </cell>
          <cell r="N14946" t="str">
            <v>NR</v>
          </cell>
          <cell r="O14946" t="str">
            <v>NR</v>
          </cell>
        </row>
        <row r="14947">
          <cell r="E14947" t="str">
            <v>SPEA</v>
          </cell>
          <cell r="F14947" t="str">
            <v>SPEA-E</v>
          </cell>
          <cell r="G14947">
            <v>625</v>
          </cell>
          <cell r="H14947" t="str">
            <v>SPEA-E625</v>
          </cell>
          <cell r="K14947" t="str">
            <v>Haitjema,Hendrik</v>
          </cell>
          <cell r="N14947">
            <v>4</v>
          </cell>
          <cell r="O14947">
            <v>3.7650000000000001</v>
          </cell>
        </row>
        <row r="14948">
          <cell r="E14948" t="str">
            <v>SPEA</v>
          </cell>
          <cell r="F14948" t="str">
            <v>SPEA-E</v>
          </cell>
          <cell r="G14948">
            <v>625</v>
          </cell>
          <cell r="H14948" t="str">
            <v>SPEA-E625</v>
          </cell>
          <cell r="K14948" t="str">
            <v>Lame,Marc Louis</v>
          </cell>
          <cell r="N14948">
            <v>4</v>
          </cell>
          <cell r="O14948">
            <v>3.9060000000000001</v>
          </cell>
        </row>
        <row r="14949">
          <cell r="E14949" t="str">
            <v>SPEA</v>
          </cell>
          <cell r="F14949" t="str">
            <v>SPEA-E</v>
          </cell>
          <cell r="G14949">
            <v>625</v>
          </cell>
          <cell r="H14949" t="str">
            <v>SPEA-E625</v>
          </cell>
          <cell r="K14949" t="str">
            <v>Lame,Marc Louis</v>
          </cell>
          <cell r="N14949" t="str">
            <v>NR</v>
          </cell>
          <cell r="O14949" t="str">
            <v>NR</v>
          </cell>
        </row>
        <row r="14950">
          <cell r="E14950" t="str">
            <v>SPEA</v>
          </cell>
          <cell r="F14950" t="str">
            <v>SPEA-E</v>
          </cell>
          <cell r="G14950">
            <v>680</v>
          </cell>
          <cell r="H14950" t="str">
            <v>SPEA-E680</v>
          </cell>
          <cell r="K14950" t="str">
            <v>Stevens,Philip S</v>
          </cell>
          <cell r="N14950">
            <v>4</v>
          </cell>
          <cell r="O14950">
            <v>3.875</v>
          </cell>
        </row>
        <row r="14951">
          <cell r="E14951" t="str">
            <v>SPEA</v>
          </cell>
          <cell r="F14951" t="str">
            <v>SPEA-E</v>
          </cell>
          <cell r="G14951">
            <v>680</v>
          </cell>
          <cell r="H14951" t="str">
            <v>SPEA-E680</v>
          </cell>
          <cell r="K14951" t="str">
            <v>Stevens,Philip S</v>
          </cell>
          <cell r="N14951" t="str">
            <v>NR</v>
          </cell>
          <cell r="O14951" t="str">
            <v>NR</v>
          </cell>
        </row>
        <row r="14952">
          <cell r="E14952" t="str">
            <v>SPEA</v>
          </cell>
          <cell r="F14952" t="str">
            <v>SPEA-E</v>
          </cell>
          <cell r="G14952">
            <v>890</v>
          </cell>
          <cell r="H14952" t="str">
            <v>SPEA-E890</v>
          </cell>
          <cell r="K14952" t="str">
            <v>Craft,Christopher B</v>
          </cell>
          <cell r="N14952" t="str">
            <v>NR</v>
          </cell>
          <cell r="O14952" t="str">
            <v>NR</v>
          </cell>
        </row>
        <row r="14953">
          <cell r="E14953" t="str">
            <v>SPEA</v>
          </cell>
          <cell r="F14953" t="str">
            <v>SPEA-E</v>
          </cell>
          <cell r="G14953">
            <v>890</v>
          </cell>
          <cell r="H14953" t="str">
            <v>SPEA-E890</v>
          </cell>
          <cell r="K14953" t="str">
            <v>Haitjema,Hendrik</v>
          </cell>
          <cell r="N14953" t="str">
            <v>NR</v>
          </cell>
          <cell r="O14953" t="str">
            <v>NR</v>
          </cell>
        </row>
        <row r="14954">
          <cell r="E14954" t="str">
            <v>SPEA</v>
          </cell>
          <cell r="F14954" t="str">
            <v>SPEA-G</v>
          </cell>
          <cell r="G14954">
            <v>901</v>
          </cell>
          <cell r="H14954" t="str">
            <v>SPEA-G901</v>
          </cell>
          <cell r="K14954" t="str">
            <v>Ringquist,Evan</v>
          </cell>
          <cell r="N14954" t="str">
            <v>NR</v>
          </cell>
          <cell r="O14954" t="str">
            <v>NR</v>
          </cell>
        </row>
        <row r="14955">
          <cell r="E14955" t="str">
            <v>SPEA</v>
          </cell>
          <cell r="F14955" t="str">
            <v>SPEA-G</v>
          </cell>
          <cell r="G14955">
            <v>901</v>
          </cell>
          <cell r="H14955" t="str">
            <v>SPEA-G901</v>
          </cell>
          <cell r="K14955" t="str">
            <v>Ringquist,Evan</v>
          </cell>
          <cell r="N14955" t="str">
            <v>NR</v>
          </cell>
          <cell r="O14955" t="str">
            <v>NR</v>
          </cell>
        </row>
        <row r="14956">
          <cell r="E14956" t="str">
            <v>SPEA</v>
          </cell>
          <cell r="F14956" t="str">
            <v>SPEA-H</v>
          </cell>
          <cell r="G14956">
            <v>124</v>
          </cell>
          <cell r="H14956" t="str">
            <v>SPEA-H124</v>
          </cell>
          <cell r="K14956" t="str">
            <v>Norrell,Mark</v>
          </cell>
          <cell r="N14956">
            <v>2.7959999999999998</v>
          </cell>
          <cell r="O14956">
            <v>2.9239999999999999</v>
          </cell>
        </row>
        <row r="14957">
          <cell r="E14957" t="str">
            <v>SPEA</v>
          </cell>
          <cell r="F14957" t="str">
            <v>SPEA-H</v>
          </cell>
          <cell r="G14957">
            <v>124</v>
          </cell>
          <cell r="H14957" t="str">
            <v>SPEA-H124</v>
          </cell>
          <cell r="K14957" t="str">
            <v>VanDeventer,Vickie Lynn</v>
          </cell>
          <cell r="N14957">
            <v>3.4430000000000001</v>
          </cell>
          <cell r="O14957">
            <v>3.1549999999999998</v>
          </cell>
        </row>
        <row r="14958">
          <cell r="E14958" t="str">
            <v>SPEA</v>
          </cell>
          <cell r="F14958" t="str">
            <v>SPEA-H</v>
          </cell>
          <cell r="G14958">
            <v>124</v>
          </cell>
          <cell r="H14958" t="str">
            <v>SPEA-H124</v>
          </cell>
          <cell r="K14958" t="str">
            <v>VanDeventer,Vickie Lynn</v>
          </cell>
          <cell r="N14958">
            <v>3.1850000000000001</v>
          </cell>
          <cell r="O14958">
            <v>2.992</v>
          </cell>
        </row>
        <row r="14959">
          <cell r="E14959" t="str">
            <v>SPEA</v>
          </cell>
          <cell r="F14959" t="str">
            <v>SPEA-H</v>
          </cell>
          <cell r="G14959">
            <v>124</v>
          </cell>
          <cell r="H14959" t="str">
            <v>SPEA-H124</v>
          </cell>
          <cell r="K14959" t="str">
            <v>VanDeventer,Vickie Lynn</v>
          </cell>
          <cell r="N14959">
            <v>3.109</v>
          </cell>
          <cell r="O14959">
            <v>3.0209999999999999</v>
          </cell>
        </row>
        <row r="14960">
          <cell r="E14960" t="str">
            <v>SPEA</v>
          </cell>
          <cell r="F14960" t="str">
            <v>SPEA-H</v>
          </cell>
          <cell r="G14960">
            <v>267</v>
          </cell>
          <cell r="H14960" t="str">
            <v>SPEA-H267</v>
          </cell>
          <cell r="K14960" t="str">
            <v>Mc Donald,Kathleen M</v>
          </cell>
          <cell r="N14960">
            <v>3.6</v>
          </cell>
          <cell r="O14960">
            <v>3.1659999999999999</v>
          </cell>
        </row>
        <row r="14961">
          <cell r="E14961" t="str">
            <v>SPEA</v>
          </cell>
          <cell r="F14961" t="str">
            <v>SPEA-H</v>
          </cell>
          <cell r="G14961">
            <v>267</v>
          </cell>
          <cell r="H14961" t="str">
            <v>SPEA-H267</v>
          </cell>
          <cell r="K14961" t="str">
            <v>Mc Donald,Kathleen M</v>
          </cell>
          <cell r="N14961" t="str">
            <v>NR</v>
          </cell>
          <cell r="O14961" t="str">
            <v>NR</v>
          </cell>
        </row>
        <row r="14962">
          <cell r="E14962" t="str">
            <v>SPEA</v>
          </cell>
          <cell r="F14962" t="str">
            <v>SPEA-H</v>
          </cell>
          <cell r="G14962">
            <v>267</v>
          </cell>
          <cell r="H14962" t="str">
            <v>SPEA-H267</v>
          </cell>
          <cell r="K14962" t="str">
            <v>Mc Kean,James Dale</v>
          </cell>
          <cell r="N14962">
            <v>3.8</v>
          </cell>
          <cell r="O14962">
            <v>3.0569999999999999</v>
          </cell>
        </row>
        <row r="14963">
          <cell r="E14963" t="str">
            <v>SPEA</v>
          </cell>
          <cell r="F14963" t="str">
            <v>SPEA-H</v>
          </cell>
          <cell r="G14963">
            <v>267</v>
          </cell>
          <cell r="H14963" t="str">
            <v>SPEA-H267</v>
          </cell>
          <cell r="K14963" t="str">
            <v>Rathbun,Robert Thomas</v>
          </cell>
          <cell r="N14963">
            <v>3.7109999999999999</v>
          </cell>
          <cell r="O14963">
            <v>2.9239999999999999</v>
          </cell>
        </row>
        <row r="14964">
          <cell r="E14964" t="str">
            <v>SPEA</v>
          </cell>
          <cell r="F14964" t="str">
            <v>SPEA-H</v>
          </cell>
          <cell r="G14964">
            <v>267</v>
          </cell>
          <cell r="H14964" t="str">
            <v>SPEA-H267</v>
          </cell>
          <cell r="K14964" t="str">
            <v>Rathbun,Robert Thomas</v>
          </cell>
          <cell r="N14964">
            <v>3.5880000000000001</v>
          </cell>
          <cell r="O14964">
            <v>2.9449999999999998</v>
          </cell>
        </row>
        <row r="14965">
          <cell r="E14965" t="str">
            <v>SPEA</v>
          </cell>
          <cell r="F14965" t="str">
            <v>SPEA-H</v>
          </cell>
          <cell r="G14965">
            <v>267</v>
          </cell>
          <cell r="H14965" t="str">
            <v>SPEA-H267</v>
          </cell>
          <cell r="K14965" t="str">
            <v>Schulz,Glenda</v>
          </cell>
          <cell r="N14965">
            <v>3.8559999999999999</v>
          </cell>
          <cell r="O14965">
            <v>3.0590000000000002</v>
          </cell>
        </row>
        <row r="14966">
          <cell r="E14966" t="str">
            <v>SPEA</v>
          </cell>
          <cell r="F14966" t="str">
            <v>SPEA-H</v>
          </cell>
          <cell r="G14966">
            <v>267</v>
          </cell>
          <cell r="H14966" t="str">
            <v>SPEA-H267</v>
          </cell>
          <cell r="K14966" t="str">
            <v>Schulz,Glenda</v>
          </cell>
          <cell r="N14966">
            <v>3.95</v>
          </cell>
          <cell r="O14966">
            <v>3.262</v>
          </cell>
        </row>
        <row r="14967">
          <cell r="E14967" t="str">
            <v>SPEA</v>
          </cell>
          <cell r="F14967" t="str">
            <v>SPEA-H</v>
          </cell>
          <cell r="G14967">
            <v>267</v>
          </cell>
          <cell r="H14967" t="str">
            <v>SPEA-H267</v>
          </cell>
          <cell r="K14967" t="str">
            <v>Schulz,Glenda</v>
          </cell>
          <cell r="N14967">
            <v>3.7440000000000002</v>
          </cell>
          <cell r="O14967">
            <v>3.0129999999999999</v>
          </cell>
        </row>
        <row r="14968">
          <cell r="E14968" t="str">
            <v>SPEA</v>
          </cell>
          <cell r="F14968" t="str">
            <v>SPEA-H</v>
          </cell>
          <cell r="G14968">
            <v>267</v>
          </cell>
          <cell r="H14968" t="str">
            <v>SPEA-H267</v>
          </cell>
          <cell r="K14968" t="str">
            <v>Sewell,Katie</v>
          </cell>
          <cell r="N14968">
            <v>4</v>
          </cell>
          <cell r="O14968">
            <v>3.4159999999999999</v>
          </cell>
        </row>
        <row r="14969">
          <cell r="E14969" t="str">
            <v>SPEA</v>
          </cell>
          <cell r="F14969" t="str">
            <v>SPEA-H</v>
          </cell>
          <cell r="G14969">
            <v>267</v>
          </cell>
          <cell r="H14969" t="str">
            <v>SPEA-H267</v>
          </cell>
          <cell r="K14969" t="str">
            <v>Sewell,Katie</v>
          </cell>
          <cell r="N14969">
            <v>3.371</v>
          </cell>
          <cell r="O14969">
            <v>2.9049999999999998</v>
          </cell>
        </row>
        <row r="14970">
          <cell r="E14970" t="str">
            <v>SPEA</v>
          </cell>
          <cell r="F14970" t="str">
            <v>SPEA-H</v>
          </cell>
          <cell r="G14970">
            <v>316</v>
          </cell>
          <cell r="H14970" t="str">
            <v>SPEA-H316</v>
          </cell>
          <cell r="K14970" t="str">
            <v>Crouch,Gregory Paul</v>
          </cell>
          <cell r="N14970">
            <v>2.7149999999999999</v>
          </cell>
          <cell r="O14970">
            <v>3.1469999999999998</v>
          </cell>
        </row>
        <row r="14971">
          <cell r="E14971" t="str">
            <v>SPEA</v>
          </cell>
          <cell r="F14971" t="str">
            <v>SPEA-H</v>
          </cell>
          <cell r="G14971">
            <v>316</v>
          </cell>
          <cell r="H14971" t="str">
            <v>SPEA-H316</v>
          </cell>
          <cell r="K14971" t="str">
            <v>Crouch,Gregory Paul</v>
          </cell>
          <cell r="N14971">
            <v>2.4409999999999998</v>
          </cell>
          <cell r="O14971">
            <v>2.9910000000000001</v>
          </cell>
        </row>
        <row r="14972">
          <cell r="E14972" t="str">
            <v>SPEA</v>
          </cell>
          <cell r="F14972" t="str">
            <v>SPEA-H</v>
          </cell>
          <cell r="G14972">
            <v>322</v>
          </cell>
          <cell r="H14972" t="str">
            <v>SPEA-H322</v>
          </cell>
          <cell r="K14972" t="str">
            <v>DiOrio Rekas,Dawne</v>
          </cell>
          <cell r="N14972">
            <v>3.274</v>
          </cell>
          <cell r="O14972">
            <v>2.9710000000000001</v>
          </cell>
        </row>
        <row r="14973">
          <cell r="E14973" t="str">
            <v>SPEA</v>
          </cell>
          <cell r="F14973" t="str">
            <v>SPEA-H</v>
          </cell>
          <cell r="G14973">
            <v>324</v>
          </cell>
          <cell r="H14973" t="str">
            <v>SPEA-H324</v>
          </cell>
          <cell r="K14973" t="str">
            <v>Lawrence,Carrie Ann</v>
          </cell>
          <cell r="N14973">
            <v>3.8820000000000001</v>
          </cell>
          <cell r="O14973">
            <v>3.1080000000000001</v>
          </cell>
        </row>
        <row r="14974">
          <cell r="E14974" t="str">
            <v>SPEA</v>
          </cell>
          <cell r="F14974" t="str">
            <v>SPEA-H</v>
          </cell>
          <cell r="G14974">
            <v>341</v>
          </cell>
          <cell r="H14974" t="str">
            <v>SPEA-H341</v>
          </cell>
          <cell r="K14974" t="str">
            <v>Whitlatch,James</v>
          </cell>
          <cell r="N14974">
            <v>2.9630000000000001</v>
          </cell>
          <cell r="O14974">
            <v>3.0720000000000001</v>
          </cell>
        </row>
        <row r="14975">
          <cell r="E14975" t="str">
            <v>SPEA</v>
          </cell>
          <cell r="F14975" t="str">
            <v>SPEA-H</v>
          </cell>
          <cell r="G14975">
            <v>341</v>
          </cell>
          <cell r="H14975" t="str">
            <v>SPEA-H341</v>
          </cell>
          <cell r="K14975" t="str">
            <v>Whitlatch,James</v>
          </cell>
          <cell r="N14975">
            <v>3.2629999999999999</v>
          </cell>
          <cell r="O14975">
            <v>3.1560000000000001</v>
          </cell>
        </row>
        <row r="14976">
          <cell r="E14976" t="str">
            <v>SPEA</v>
          </cell>
          <cell r="F14976" t="str">
            <v>SPEA-H</v>
          </cell>
          <cell r="G14976">
            <v>342</v>
          </cell>
          <cell r="H14976" t="str">
            <v>SPEA-H342</v>
          </cell>
          <cell r="K14976" t="str">
            <v>DiOrio Rekas,Dawne</v>
          </cell>
          <cell r="N14976">
            <v>3.141</v>
          </cell>
          <cell r="O14976">
            <v>2.9119999999999999</v>
          </cell>
        </row>
        <row r="14977">
          <cell r="E14977" t="str">
            <v>SPEA</v>
          </cell>
          <cell r="F14977" t="str">
            <v>SPEA-H</v>
          </cell>
          <cell r="G14977">
            <v>352</v>
          </cell>
          <cell r="H14977" t="str">
            <v>SPEA-H352</v>
          </cell>
          <cell r="K14977" t="str">
            <v>Renner,Terri L.</v>
          </cell>
          <cell r="N14977">
            <v>2.4049999999999998</v>
          </cell>
          <cell r="O14977">
            <v>3.04</v>
          </cell>
        </row>
        <row r="14978">
          <cell r="E14978" t="str">
            <v>SPEA</v>
          </cell>
          <cell r="F14978" t="str">
            <v>SPEA-H</v>
          </cell>
          <cell r="G14978">
            <v>352</v>
          </cell>
          <cell r="H14978" t="str">
            <v>SPEA-H352</v>
          </cell>
          <cell r="K14978" t="str">
            <v>Renner,Terri L.</v>
          </cell>
          <cell r="N14978">
            <v>2.3769999999999998</v>
          </cell>
          <cell r="O14978">
            <v>3.1190000000000002</v>
          </cell>
        </row>
        <row r="14979">
          <cell r="E14979" t="str">
            <v>SPEA</v>
          </cell>
          <cell r="F14979" t="str">
            <v>SPEA-H</v>
          </cell>
          <cell r="G14979">
            <v>353</v>
          </cell>
          <cell r="H14979" t="str">
            <v>SPEA-H353</v>
          </cell>
          <cell r="K14979" t="str">
            <v>Renner,Terri L.</v>
          </cell>
          <cell r="N14979">
            <v>2.4660000000000002</v>
          </cell>
          <cell r="O14979">
            <v>3.0870000000000002</v>
          </cell>
        </row>
        <row r="14980">
          <cell r="E14980" t="str">
            <v>SPEA</v>
          </cell>
          <cell r="F14980" t="str">
            <v>SPEA-H</v>
          </cell>
          <cell r="G14980">
            <v>353</v>
          </cell>
          <cell r="H14980" t="str">
            <v>SPEA-H353</v>
          </cell>
          <cell r="K14980" t="str">
            <v>Renner,Terri L.</v>
          </cell>
          <cell r="N14980">
            <v>2.165</v>
          </cell>
          <cell r="O14980">
            <v>3.1160000000000001</v>
          </cell>
        </row>
        <row r="14981">
          <cell r="E14981" t="str">
            <v>SPEA</v>
          </cell>
          <cell r="F14981" t="str">
            <v>SPEA-H</v>
          </cell>
          <cell r="G14981">
            <v>354</v>
          </cell>
          <cell r="H14981" t="str">
            <v>SPEA-H354</v>
          </cell>
          <cell r="K14981" t="str">
            <v>Simon,Kosali</v>
          </cell>
          <cell r="N14981">
            <v>2.8559999999999999</v>
          </cell>
          <cell r="O14981">
            <v>3.2080000000000002</v>
          </cell>
        </row>
        <row r="14982">
          <cell r="E14982" t="str">
            <v>SPEA</v>
          </cell>
          <cell r="F14982" t="str">
            <v>SPEA-H</v>
          </cell>
          <cell r="G14982">
            <v>365</v>
          </cell>
          <cell r="H14982" t="str">
            <v>SPEA-H365</v>
          </cell>
          <cell r="K14982" t="str">
            <v>Shaw,Caroline</v>
          </cell>
          <cell r="N14982" t="str">
            <v>NR</v>
          </cell>
          <cell r="O14982" t="str">
            <v>NR</v>
          </cell>
        </row>
        <row r="14983">
          <cell r="E14983" t="str">
            <v>SPEA</v>
          </cell>
          <cell r="F14983" t="str">
            <v>SPEA-H</v>
          </cell>
          <cell r="G14983">
            <v>365</v>
          </cell>
          <cell r="H14983" t="str">
            <v>SPEA-H365</v>
          </cell>
          <cell r="K14983" t="str">
            <v>Shaw,Caroline</v>
          </cell>
          <cell r="N14983" t="str">
            <v>NR</v>
          </cell>
          <cell r="O14983" t="str">
            <v>NR</v>
          </cell>
        </row>
        <row r="14984">
          <cell r="E14984" t="str">
            <v>SPEA</v>
          </cell>
          <cell r="F14984" t="str">
            <v>SPEA-H</v>
          </cell>
          <cell r="G14984">
            <v>365</v>
          </cell>
          <cell r="H14984" t="str">
            <v>SPEA-H365</v>
          </cell>
          <cell r="K14984" t="str">
            <v>Shaw,Caroline</v>
          </cell>
          <cell r="N14984" t="str">
            <v>NR</v>
          </cell>
          <cell r="O14984" t="str">
            <v>NR</v>
          </cell>
        </row>
        <row r="14985">
          <cell r="E14985" t="str">
            <v>SPEA</v>
          </cell>
          <cell r="F14985" t="str">
            <v>SPEA-H</v>
          </cell>
          <cell r="G14985">
            <v>374</v>
          </cell>
          <cell r="H14985" t="str">
            <v>SPEA-H374</v>
          </cell>
          <cell r="K14985" t="str">
            <v>Deweese,Sandra Jo</v>
          </cell>
          <cell r="N14985">
            <v>3.948</v>
          </cell>
          <cell r="O14985">
            <v>3.1589999999999998</v>
          </cell>
        </row>
        <row r="14986">
          <cell r="E14986" t="str">
            <v>SPEA</v>
          </cell>
          <cell r="F14986" t="str">
            <v>SPEA-H</v>
          </cell>
          <cell r="G14986">
            <v>374</v>
          </cell>
          <cell r="H14986" t="str">
            <v>SPEA-H374</v>
          </cell>
          <cell r="K14986" t="str">
            <v>Vilardo,Frank J.</v>
          </cell>
          <cell r="N14986">
            <v>3.2719999999999998</v>
          </cell>
          <cell r="O14986">
            <v>3.0150000000000001</v>
          </cell>
        </row>
        <row r="14987">
          <cell r="E14987" t="str">
            <v>SPEA</v>
          </cell>
          <cell r="F14987" t="str">
            <v>SPEA-H</v>
          </cell>
          <cell r="G14987">
            <v>401</v>
          </cell>
          <cell r="H14987" t="str">
            <v>SPEA-H401</v>
          </cell>
          <cell r="K14987" t="str">
            <v>Valenta,Maryann</v>
          </cell>
          <cell r="N14987">
            <v>3.89</v>
          </cell>
          <cell r="O14987">
            <v>3.1589999999999998</v>
          </cell>
        </row>
        <row r="14988">
          <cell r="E14988" t="str">
            <v>SPEA</v>
          </cell>
          <cell r="F14988" t="str">
            <v>SPEA-H</v>
          </cell>
          <cell r="G14988">
            <v>411</v>
          </cell>
          <cell r="H14988" t="str">
            <v>SPEA-H411</v>
          </cell>
          <cell r="K14988" t="str">
            <v>Eisenhauer,Jaima Kae</v>
          </cell>
          <cell r="N14988">
            <v>2.91</v>
          </cell>
          <cell r="O14988">
            <v>2.98</v>
          </cell>
        </row>
        <row r="14989">
          <cell r="E14989" t="str">
            <v>SPEA</v>
          </cell>
          <cell r="F14989" t="str">
            <v>SPEA-H</v>
          </cell>
          <cell r="G14989">
            <v>455</v>
          </cell>
          <cell r="H14989" t="str">
            <v>SPEA-H455</v>
          </cell>
          <cell r="K14989" t="str">
            <v>Crouch,Gregory Paul</v>
          </cell>
          <cell r="N14989">
            <v>2.7719999999999998</v>
          </cell>
          <cell r="O14989">
            <v>2.9510000000000001</v>
          </cell>
        </row>
        <row r="14990">
          <cell r="E14990" t="str">
            <v>SPEA</v>
          </cell>
          <cell r="F14990" t="str">
            <v>SPEA-H</v>
          </cell>
          <cell r="G14990">
            <v>455</v>
          </cell>
          <cell r="H14990" t="str">
            <v>SPEA-H455</v>
          </cell>
          <cell r="K14990" t="str">
            <v>DeLong,Brian</v>
          </cell>
          <cell r="N14990">
            <v>3.0129999999999999</v>
          </cell>
          <cell r="O14990">
            <v>2.9809999999999999</v>
          </cell>
        </row>
        <row r="14991">
          <cell r="E14991" t="str">
            <v>SPEA</v>
          </cell>
          <cell r="F14991" t="str">
            <v>SPEA-H</v>
          </cell>
          <cell r="G14991">
            <v>455</v>
          </cell>
          <cell r="H14991" t="str">
            <v>SPEA-H455</v>
          </cell>
          <cell r="K14991" t="str">
            <v>Devereaux,James Michael</v>
          </cell>
          <cell r="N14991">
            <v>3.9129999999999998</v>
          </cell>
          <cell r="O14991">
            <v>2.9940000000000002</v>
          </cell>
        </row>
        <row r="14992">
          <cell r="E14992" t="str">
            <v>SPEA</v>
          </cell>
          <cell r="F14992" t="str">
            <v>SPEA-H</v>
          </cell>
          <cell r="G14992">
            <v>455</v>
          </cell>
          <cell r="H14992" t="str">
            <v>SPEA-H455</v>
          </cell>
          <cell r="K14992" t="str">
            <v>Devereaux,James Michael</v>
          </cell>
          <cell r="N14992">
            <v>3.85</v>
          </cell>
          <cell r="O14992">
            <v>2.8740000000000001</v>
          </cell>
        </row>
        <row r="14993">
          <cell r="E14993" t="str">
            <v>SPEA</v>
          </cell>
          <cell r="F14993" t="str">
            <v>SPEA-H</v>
          </cell>
          <cell r="G14993">
            <v>455</v>
          </cell>
          <cell r="H14993" t="str">
            <v>SPEA-H455</v>
          </cell>
          <cell r="K14993" t="str">
            <v>Troy,Tevi D.</v>
          </cell>
          <cell r="N14993">
            <v>3.492</v>
          </cell>
          <cell r="O14993">
            <v>3.5089999999999999</v>
          </cell>
        </row>
        <row r="14994">
          <cell r="E14994" t="str">
            <v>SPEA</v>
          </cell>
          <cell r="F14994" t="str">
            <v>SPEA-H</v>
          </cell>
          <cell r="G14994">
            <v>455</v>
          </cell>
          <cell r="H14994" t="str">
            <v>SPEA-H455</v>
          </cell>
          <cell r="K14994" t="str">
            <v>Troy,Tevi D.</v>
          </cell>
          <cell r="N14994">
            <v>3.1629999999999998</v>
          </cell>
          <cell r="O14994">
            <v>3.637</v>
          </cell>
        </row>
        <row r="14995">
          <cell r="E14995" t="str">
            <v>SPEA</v>
          </cell>
          <cell r="F14995" t="str">
            <v>SPEA-H</v>
          </cell>
          <cell r="G14995">
            <v>455</v>
          </cell>
          <cell r="H14995" t="str">
            <v>SPEA-H455</v>
          </cell>
          <cell r="K14995" t="str">
            <v>VanDeventer,Vickie Lynn</v>
          </cell>
          <cell r="N14995">
            <v>3.5329999999999999</v>
          </cell>
          <cell r="O14995">
            <v>3.024</v>
          </cell>
        </row>
        <row r="14996">
          <cell r="E14996" t="str">
            <v>SPEA</v>
          </cell>
          <cell r="F14996" t="str">
            <v>SPEA-H</v>
          </cell>
          <cell r="G14996">
            <v>455</v>
          </cell>
          <cell r="H14996" t="str">
            <v>SPEA-H455</v>
          </cell>
          <cell r="K14996" t="str">
            <v>VanDeventer,Vickie Lynn</v>
          </cell>
          <cell r="N14996">
            <v>3.6059999999999999</v>
          </cell>
          <cell r="O14996">
            <v>3.1920000000000002</v>
          </cell>
        </row>
        <row r="14997">
          <cell r="E14997" t="str">
            <v>SPEA</v>
          </cell>
          <cell r="F14997" t="str">
            <v>SPEA-H</v>
          </cell>
          <cell r="G14997">
            <v>456</v>
          </cell>
          <cell r="H14997" t="str">
            <v>SPEA-H456</v>
          </cell>
          <cell r="K14997" t="str">
            <v>Norrell,Mark</v>
          </cell>
          <cell r="N14997">
            <v>3.1240000000000001</v>
          </cell>
          <cell r="O14997">
            <v>3.0880000000000001</v>
          </cell>
        </row>
        <row r="14998">
          <cell r="E14998" t="str">
            <v>SPEA</v>
          </cell>
          <cell r="F14998" t="str">
            <v>SPEA-H</v>
          </cell>
          <cell r="G14998">
            <v>456</v>
          </cell>
          <cell r="H14998" t="str">
            <v>SPEA-H456</v>
          </cell>
          <cell r="K14998" t="str">
            <v>Norrell,Mark</v>
          </cell>
          <cell r="N14998">
            <v>3.2</v>
          </cell>
          <cell r="O14998">
            <v>3.004</v>
          </cell>
        </row>
        <row r="14999">
          <cell r="E14999" t="str">
            <v>SPEA</v>
          </cell>
          <cell r="F14999" t="str">
            <v>SPEA-H</v>
          </cell>
          <cell r="G14999">
            <v>466</v>
          </cell>
          <cell r="H14999" t="str">
            <v>SPEA-H466</v>
          </cell>
          <cell r="K14999" t="str">
            <v>Sewell,Katie</v>
          </cell>
          <cell r="N14999" t="str">
            <v>NR</v>
          </cell>
          <cell r="O14999" t="str">
            <v>NR</v>
          </cell>
        </row>
        <row r="15000">
          <cell r="E15000" t="str">
            <v>SPEA</v>
          </cell>
          <cell r="F15000" t="str">
            <v>SPEA-H</v>
          </cell>
          <cell r="G15000">
            <v>466</v>
          </cell>
          <cell r="H15000" t="str">
            <v>SPEA-H466</v>
          </cell>
          <cell r="K15000" t="str">
            <v>Sewell,Katie</v>
          </cell>
          <cell r="N15000" t="str">
            <v>NR</v>
          </cell>
          <cell r="O15000" t="str">
            <v>NR</v>
          </cell>
        </row>
        <row r="15001">
          <cell r="E15001" t="str">
            <v>SPEA</v>
          </cell>
          <cell r="F15001" t="str">
            <v>SPEA-K</v>
          </cell>
          <cell r="G15001">
            <v>300</v>
          </cell>
          <cell r="H15001" t="str">
            <v>SPEA-K300</v>
          </cell>
          <cell r="K15001" t="str">
            <v>Alexeev,Alexander</v>
          </cell>
          <cell r="N15001">
            <v>2.5379999999999998</v>
          </cell>
          <cell r="O15001">
            <v>2.851</v>
          </cell>
        </row>
        <row r="15002">
          <cell r="E15002" t="str">
            <v>SPEA</v>
          </cell>
          <cell r="F15002" t="str">
            <v>SPEA-K</v>
          </cell>
          <cell r="G15002">
            <v>300</v>
          </cell>
          <cell r="H15002" t="str">
            <v>SPEA-K300</v>
          </cell>
          <cell r="K15002" t="str">
            <v>Chan,Kwan Nok</v>
          </cell>
          <cell r="N15002">
            <v>3.5379999999999998</v>
          </cell>
          <cell r="O15002">
            <v>3.0169999999999999</v>
          </cell>
        </row>
        <row r="15003">
          <cell r="E15003" t="str">
            <v>SPEA</v>
          </cell>
          <cell r="F15003" t="str">
            <v>SPEA-K</v>
          </cell>
          <cell r="G15003">
            <v>300</v>
          </cell>
          <cell r="H15003" t="str">
            <v>SPEA-K300</v>
          </cell>
          <cell r="K15003" t="str">
            <v>Chan,Kwan Nok</v>
          </cell>
          <cell r="N15003">
            <v>3.569</v>
          </cell>
          <cell r="O15003">
            <v>3.1030000000000002</v>
          </cell>
        </row>
        <row r="15004">
          <cell r="E15004" t="str">
            <v>SPEA</v>
          </cell>
          <cell r="F15004" t="str">
            <v>SPEA-K</v>
          </cell>
          <cell r="G15004">
            <v>300</v>
          </cell>
          <cell r="H15004" t="str">
            <v>SPEA-K300</v>
          </cell>
          <cell r="K15004" t="str">
            <v>Chang,Chaeyoung</v>
          </cell>
          <cell r="N15004">
            <v>2.851</v>
          </cell>
          <cell r="O15004">
            <v>2.8919999999999999</v>
          </cell>
        </row>
        <row r="15005">
          <cell r="E15005" t="str">
            <v>SPEA</v>
          </cell>
          <cell r="F15005" t="str">
            <v>SPEA-K</v>
          </cell>
          <cell r="G15005">
            <v>300</v>
          </cell>
          <cell r="H15005" t="str">
            <v>SPEA-K300</v>
          </cell>
          <cell r="K15005" t="str">
            <v>Chang,Chaeyoung</v>
          </cell>
          <cell r="N15005">
            <v>2.6819999999999999</v>
          </cell>
          <cell r="O15005">
            <v>2.9089999999999998</v>
          </cell>
        </row>
        <row r="15006">
          <cell r="E15006" t="str">
            <v>SPEA</v>
          </cell>
          <cell r="F15006" t="str">
            <v>SPEA-K</v>
          </cell>
          <cell r="G15006">
            <v>300</v>
          </cell>
          <cell r="H15006" t="str">
            <v>SPEA-K300</v>
          </cell>
          <cell r="K15006" t="str">
            <v>Krupa,Olha</v>
          </cell>
          <cell r="N15006">
            <v>2.427</v>
          </cell>
          <cell r="O15006">
            <v>2.7770000000000001</v>
          </cell>
        </row>
        <row r="15007">
          <cell r="E15007" t="str">
            <v>SPEA</v>
          </cell>
          <cell r="F15007" t="str">
            <v>SPEA-K</v>
          </cell>
          <cell r="G15007">
            <v>300</v>
          </cell>
          <cell r="H15007" t="str">
            <v>SPEA-K300</v>
          </cell>
          <cell r="K15007" t="str">
            <v>LaFontant,Chantalle Edlyne</v>
          </cell>
          <cell r="N15007">
            <v>3.06</v>
          </cell>
          <cell r="O15007">
            <v>3.0019999999999998</v>
          </cell>
        </row>
        <row r="15008">
          <cell r="E15008" t="str">
            <v>SPEA</v>
          </cell>
          <cell r="F15008" t="str">
            <v>SPEA-K</v>
          </cell>
          <cell r="G15008">
            <v>300</v>
          </cell>
          <cell r="H15008" t="str">
            <v>SPEA-K300</v>
          </cell>
          <cell r="K15008" t="str">
            <v>LaFontant,Chantalle Edlyne</v>
          </cell>
          <cell r="N15008">
            <v>2.61</v>
          </cell>
          <cell r="O15008">
            <v>2.835</v>
          </cell>
        </row>
        <row r="15009">
          <cell r="E15009" t="str">
            <v>SPEA</v>
          </cell>
          <cell r="F15009" t="str">
            <v>SPEA-K</v>
          </cell>
          <cell r="G15009">
            <v>300</v>
          </cell>
          <cell r="H15009" t="str">
            <v>SPEA-K300</v>
          </cell>
          <cell r="K15009" t="str">
            <v>Larson,Sarah Elizabeth</v>
          </cell>
          <cell r="N15009">
            <v>3.161</v>
          </cell>
          <cell r="O15009">
            <v>3.1850000000000001</v>
          </cell>
        </row>
        <row r="15010">
          <cell r="E15010" t="str">
            <v>SPEA</v>
          </cell>
          <cell r="F15010" t="str">
            <v>SPEA-K</v>
          </cell>
          <cell r="G15010">
            <v>300</v>
          </cell>
          <cell r="H15010" t="str">
            <v>SPEA-K300</v>
          </cell>
          <cell r="K15010" t="str">
            <v>Laymon,Abigail Suzanne</v>
          </cell>
          <cell r="N15010">
            <v>2.6230000000000002</v>
          </cell>
          <cell r="O15010">
            <v>2.8069999999999999</v>
          </cell>
        </row>
        <row r="15011">
          <cell r="E15011" t="str">
            <v>SPEA</v>
          </cell>
          <cell r="F15011" t="str">
            <v>SPEA-K</v>
          </cell>
          <cell r="G15011">
            <v>300</v>
          </cell>
          <cell r="H15011" t="str">
            <v>SPEA-K300</v>
          </cell>
          <cell r="K15011" t="str">
            <v>Stickford,Jonathon Lee</v>
          </cell>
          <cell r="N15011">
            <v>2.286</v>
          </cell>
          <cell r="O15011">
            <v>2.7679999999999998</v>
          </cell>
        </row>
        <row r="15012">
          <cell r="E15012" t="str">
            <v>SPEA</v>
          </cell>
          <cell r="F15012" t="str">
            <v>SPEA-K</v>
          </cell>
          <cell r="G15012">
            <v>300</v>
          </cell>
          <cell r="H15012" t="str">
            <v>SPEA-K300</v>
          </cell>
          <cell r="K15012" t="str">
            <v>Stickford,Jonathon Lee</v>
          </cell>
          <cell r="N15012">
            <v>2.5779999999999998</v>
          </cell>
          <cell r="O15012">
            <v>2.7650000000000001</v>
          </cell>
        </row>
        <row r="15013">
          <cell r="E15013" t="str">
            <v>SPEA</v>
          </cell>
          <cell r="F15013" t="str">
            <v>SPEA-K</v>
          </cell>
          <cell r="G15013">
            <v>300</v>
          </cell>
          <cell r="H15013" t="str">
            <v>SPEA-K300</v>
          </cell>
          <cell r="K15013" t="str">
            <v>Wakhungu,Henry Kerre</v>
          </cell>
          <cell r="N15013">
            <v>2.9239999999999999</v>
          </cell>
          <cell r="O15013">
            <v>3.07</v>
          </cell>
        </row>
        <row r="15014">
          <cell r="E15014" t="str">
            <v>SPEA</v>
          </cell>
          <cell r="F15014" t="str">
            <v>SPEA-K</v>
          </cell>
          <cell r="G15014">
            <v>300</v>
          </cell>
          <cell r="H15014" t="str">
            <v>SPEA-K300</v>
          </cell>
          <cell r="K15014" t="str">
            <v>Wakhungu,Henry Kerre</v>
          </cell>
          <cell r="N15014">
            <v>2.6030000000000002</v>
          </cell>
          <cell r="O15014">
            <v>2.9449999999999998</v>
          </cell>
        </row>
        <row r="15015">
          <cell r="E15015" t="str">
            <v>SPEA</v>
          </cell>
          <cell r="F15015" t="str">
            <v>SPEA-K</v>
          </cell>
          <cell r="G15015">
            <v>300</v>
          </cell>
          <cell r="H15015" t="str">
            <v>SPEA-K300</v>
          </cell>
          <cell r="K15015" t="str">
            <v>Wakhungu,Henry Kerre</v>
          </cell>
          <cell r="N15015">
            <v>2.6859999999999999</v>
          </cell>
          <cell r="O15015">
            <v>2.9950000000000001</v>
          </cell>
        </row>
        <row r="15016">
          <cell r="E15016" t="str">
            <v>SPEA</v>
          </cell>
          <cell r="F15016" t="str">
            <v>SPEA-K</v>
          </cell>
          <cell r="G15016">
            <v>300</v>
          </cell>
          <cell r="H15016" t="str">
            <v>SPEA-K300</v>
          </cell>
          <cell r="K15016" t="str">
            <v>Wakhungu,Henry Kerre</v>
          </cell>
          <cell r="N15016">
            <v>3.302</v>
          </cell>
          <cell r="O15016">
            <v>3.0920000000000001</v>
          </cell>
        </row>
        <row r="15017">
          <cell r="E15017" t="str">
            <v>SPEA</v>
          </cell>
          <cell r="F15017" t="str">
            <v>SPEA-K</v>
          </cell>
          <cell r="G15017">
            <v>300</v>
          </cell>
          <cell r="H15017" t="str">
            <v>SPEA-K300</v>
          </cell>
          <cell r="K15017" t="str">
            <v>Wakhungu,Henry Kerre</v>
          </cell>
          <cell r="N15017">
            <v>3.14</v>
          </cell>
          <cell r="O15017">
            <v>3.1339999999999999</v>
          </cell>
        </row>
        <row r="15018">
          <cell r="E15018" t="str">
            <v>SPEA</v>
          </cell>
          <cell r="F15018" t="str">
            <v>SPEA-K</v>
          </cell>
          <cell r="G15018">
            <v>300</v>
          </cell>
          <cell r="H15018" t="str">
            <v>SPEA-K300</v>
          </cell>
          <cell r="K15018" t="str">
            <v>Wakhungu,Henry Kerre</v>
          </cell>
          <cell r="N15018">
            <v>3.0030000000000001</v>
          </cell>
          <cell r="O15018">
            <v>3.1030000000000002</v>
          </cell>
        </row>
        <row r="15019">
          <cell r="E15019" t="str">
            <v>SPEA</v>
          </cell>
          <cell r="F15019" t="str">
            <v>SPEA-K</v>
          </cell>
          <cell r="G15019">
            <v>300</v>
          </cell>
          <cell r="H15019" t="str">
            <v>SPEA-K300</v>
          </cell>
          <cell r="K15019" t="str">
            <v>Wakhungu,Henry Kerre</v>
          </cell>
          <cell r="N15019">
            <v>2.8610000000000002</v>
          </cell>
          <cell r="O15019">
            <v>3.0329999999999999</v>
          </cell>
        </row>
        <row r="15020">
          <cell r="E15020" t="str">
            <v>SPEA</v>
          </cell>
          <cell r="F15020" t="str">
            <v>SPEA-K</v>
          </cell>
          <cell r="G15020">
            <v>300</v>
          </cell>
          <cell r="H15020" t="str">
            <v>SPEA-K300</v>
          </cell>
          <cell r="K15020" t="str">
            <v>Wakhungu,Phoebe Khasiala</v>
          </cell>
          <cell r="N15020">
            <v>3.169</v>
          </cell>
          <cell r="O15020">
            <v>2.8969999999999998</v>
          </cell>
        </row>
        <row r="15021">
          <cell r="E15021" t="str">
            <v>SPEA</v>
          </cell>
          <cell r="F15021" t="str">
            <v>SPEA-K</v>
          </cell>
          <cell r="G15021">
            <v>300</v>
          </cell>
          <cell r="H15021" t="str">
            <v>SPEA-K300</v>
          </cell>
          <cell r="K15021" t="str">
            <v>Zhao,Shuang</v>
          </cell>
          <cell r="N15021">
            <v>2.8149999999999999</v>
          </cell>
          <cell r="O15021">
            <v>2.8769999999999998</v>
          </cell>
        </row>
        <row r="15022">
          <cell r="E15022" t="str">
            <v>SPEA</v>
          </cell>
          <cell r="F15022" t="str">
            <v>SPEA-OS</v>
          </cell>
          <cell r="G15022">
            <v>100</v>
          </cell>
          <cell r="H15022" t="str">
            <v>SPEA-OS100</v>
          </cell>
          <cell r="N15022" t="str">
            <v>NR</v>
          </cell>
          <cell r="O15022" t="str">
            <v>NR</v>
          </cell>
        </row>
        <row r="15023">
          <cell r="E15023" t="str">
            <v>SPEA</v>
          </cell>
          <cell r="F15023" t="str">
            <v>SPEA-S</v>
          </cell>
          <cell r="G15023">
            <v>160</v>
          </cell>
          <cell r="H15023" t="str">
            <v>SPEA-S160</v>
          </cell>
          <cell r="K15023" t="str">
            <v>Afoaku,Osita</v>
          </cell>
          <cell r="N15023">
            <v>3.3860000000000001</v>
          </cell>
          <cell r="O15023">
            <v>3.5329999999999999</v>
          </cell>
        </row>
        <row r="15024">
          <cell r="E15024" t="str">
            <v>SPEA</v>
          </cell>
          <cell r="F15024" t="str">
            <v>SPEA-S</v>
          </cell>
          <cell r="G15024">
            <v>160</v>
          </cell>
          <cell r="H15024" t="str">
            <v>SPEA-S160</v>
          </cell>
          <cell r="K15024" t="str">
            <v>Preston,Daniel</v>
          </cell>
          <cell r="N15024">
            <v>3.8079999999999998</v>
          </cell>
          <cell r="O15024">
            <v>3.7360000000000002</v>
          </cell>
        </row>
        <row r="15025">
          <cell r="E15025" t="str">
            <v>SPEA</v>
          </cell>
          <cell r="F15025" t="str">
            <v>SPEA-S</v>
          </cell>
          <cell r="G15025">
            <v>161</v>
          </cell>
          <cell r="H15025" t="str">
            <v>SPEA-S161</v>
          </cell>
          <cell r="K15025" t="str">
            <v>Moldogaziev,Tima</v>
          </cell>
          <cell r="N15025" t="str">
            <v>NR</v>
          </cell>
          <cell r="O15025" t="str">
            <v>NR</v>
          </cell>
        </row>
        <row r="15026">
          <cell r="E15026" t="str">
            <v>SPEA</v>
          </cell>
          <cell r="F15026" t="str">
            <v>SPEA-S</v>
          </cell>
          <cell r="G15026">
            <v>161</v>
          </cell>
          <cell r="H15026" t="str">
            <v>SPEA-S161</v>
          </cell>
          <cell r="K15026" t="str">
            <v>Powell,Orville W</v>
          </cell>
          <cell r="N15026">
            <v>3.6850000000000001</v>
          </cell>
          <cell r="O15026">
            <v>3.714</v>
          </cell>
        </row>
        <row r="15027">
          <cell r="E15027" t="str">
            <v>SPEA</v>
          </cell>
          <cell r="F15027" t="str">
            <v>SPEA-S</v>
          </cell>
          <cell r="G15027">
            <v>162</v>
          </cell>
          <cell r="H15027" t="str">
            <v>SPEA-S162</v>
          </cell>
          <cell r="K15027" t="str">
            <v>Fischer,Burnell</v>
          </cell>
          <cell r="N15027" t="str">
            <v>NR</v>
          </cell>
          <cell r="O15027" t="str">
            <v>NR</v>
          </cell>
        </row>
        <row r="15028">
          <cell r="E15028" t="str">
            <v>SPEA</v>
          </cell>
          <cell r="F15028" t="str">
            <v>SPEA-S</v>
          </cell>
          <cell r="G15028">
            <v>163</v>
          </cell>
          <cell r="H15028" t="str">
            <v>SPEA-S163</v>
          </cell>
          <cell r="K15028" t="str">
            <v>Fields,Ann Katheryn</v>
          </cell>
          <cell r="N15028" t="str">
            <v>NR</v>
          </cell>
          <cell r="O15028" t="str">
            <v>NR</v>
          </cell>
        </row>
        <row r="15029">
          <cell r="E15029" t="str">
            <v>SPEA</v>
          </cell>
          <cell r="F15029" t="str">
            <v>SPEA-S</v>
          </cell>
          <cell r="G15029">
            <v>163</v>
          </cell>
          <cell r="H15029" t="str">
            <v>SPEA-S163</v>
          </cell>
          <cell r="K15029" t="str">
            <v>Lewis,Frank</v>
          </cell>
          <cell r="N15029" t="str">
            <v>NR</v>
          </cell>
          <cell r="O15029" t="str">
            <v>NR</v>
          </cell>
        </row>
        <row r="15030">
          <cell r="E15030" t="str">
            <v>SPEA</v>
          </cell>
          <cell r="F15030" t="str">
            <v>SPEA-S</v>
          </cell>
          <cell r="G15030">
            <v>220</v>
          </cell>
          <cell r="H15030" t="str">
            <v>SPEA-S220</v>
          </cell>
          <cell r="K15030" t="str">
            <v>Cate,Beth E</v>
          </cell>
          <cell r="N15030">
            <v>3.6829999999999998</v>
          </cell>
          <cell r="O15030">
            <v>3.6850000000000001</v>
          </cell>
        </row>
        <row r="15031">
          <cell r="E15031" t="str">
            <v>SPEA</v>
          </cell>
          <cell r="F15031" t="str">
            <v>SPEA-S</v>
          </cell>
          <cell r="G15031">
            <v>220</v>
          </cell>
          <cell r="H15031" t="str">
            <v>SPEA-S220</v>
          </cell>
          <cell r="K15031" t="str">
            <v>Need,Andrea Ruth</v>
          </cell>
          <cell r="N15031">
            <v>3.9769999999999999</v>
          </cell>
          <cell r="O15031">
            <v>3.7269999999999999</v>
          </cell>
        </row>
        <row r="15032">
          <cell r="E15032" t="str">
            <v>SPEA</v>
          </cell>
          <cell r="F15032" t="str">
            <v>SPEA-S</v>
          </cell>
          <cell r="G15032">
            <v>241</v>
          </cell>
          <cell r="H15032" t="str">
            <v>SPEA-S241</v>
          </cell>
          <cell r="K15032" t="str">
            <v>Hughes,Cheryl Kay</v>
          </cell>
          <cell r="N15032" t="str">
            <v>NR</v>
          </cell>
          <cell r="O15032" t="str">
            <v>NR</v>
          </cell>
        </row>
        <row r="15033">
          <cell r="E15033" t="str">
            <v>SPEA</v>
          </cell>
          <cell r="F15033" t="str">
            <v>SPEA-S</v>
          </cell>
          <cell r="G15033">
            <v>272</v>
          </cell>
          <cell r="H15033" t="str">
            <v>SPEA-S272</v>
          </cell>
          <cell r="K15033" t="str">
            <v>Edwards,Michael A</v>
          </cell>
          <cell r="N15033">
            <v>3.9249999999999998</v>
          </cell>
          <cell r="O15033">
            <v>3.762</v>
          </cell>
        </row>
        <row r="15034">
          <cell r="E15034" t="str">
            <v>SPEA</v>
          </cell>
          <cell r="F15034" t="str">
            <v>SPEA-S</v>
          </cell>
          <cell r="G15034">
            <v>272</v>
          </cell>
          <cell r="H15034" t="str">
            <v>SPEA-S272</v>
          </cell>
          <cell r="K15034" t="str">
            <v>Powers,Sarah Rose</v>
          </cell>
          <cell r="N15034" t="str">
            <v>NR</v>
          </cell>
          <cell r="O15034" t="str">
            <v>NR</v>
          </cell>
        </row>
        <row r="15035">
          <cell r="E15035" t="str">
            <v>SPEA</v>
          </cell>
          <cell r="F15035" t="str">
            <v>SPEA-S</v>
          </cell>
          <cell r="G15035">
            <v>316</v>
          </cell>
          <cell r="H15035" t="str">
            <v>SPEA-S316</v>
          </cell>
          <cell r="K15035" t="str">
            <v>Crouch,Gregory Paul</v>
          </cell>
          <cell r="N15035" t="str">
            <v>NR</v>
          </cell>
          <cell r="O15035" t="str">
            <v>NR</v>
          </cell>
        </row>
        <row r="15036">
          <cell r="E15036" t="str">
            <v>SPEA</v>
          </cell>
          <cell r="F15036" t="str">
            <v>SPEA-S</v>
          </cell>
          <cell r="G15036">
            <v>316</v>
          </cell>
          <cell r="H15036" t="str">
            <v>SPEA-S316</v>
          </cell>
          <cell r="K15036" t="str">
            <v>Crouch,Gregory Paul</v>
          </cell>
          <cell r="N15036" t="str">
            <v>NR</v>
          </cell>
          <cell r="O15036" t="str">
            <v>NR</v>
          </cell>
        </row>
        <row r="15037">
          <cell r="E15037" t="str">
            <v>SPEA</v>
          </cell>
          <cell r="F15037" t="str">
            <v>SPEA-S</v>
          </cell>
          <cell r="G15037">
            <v>320</v>
          </cell>
          <cell r="H15037" t="str">
            <v>SPEA-S320</v>
          </cell>
          <cell r="K15037" t="str">
            <v>Norrell,Mark</v>
          </cell>
          <cell r="N15037" t="str">
            <v>NR</v>
          </cell>
          <cell r="O15037" t="str">
            <v>NR</v>
          </cell>
        </row>
        <row r="15038">
          <cell r="E15038" t="str">
            <v>SPEA</v>
          </cell>
          <cell r="F15038" t="str">
            <v>SPEA-S</v>
          </cell>
          <cell r="G15038">
            <v>320</v>
          </cell>
          <cell r="H15038" t="str">
            <v>SPEA-S320</v>
          </cell>
          <cell r="K15038" t="str">
            <v>VanDeventer,Vickie Lynn</v>
          </cell>
          <cell r="N15038" t="str">
            <v>NR</v>
          </cell>
          <cell r="O15038" t="str">
            <v>NR</v>
          </cell>
        </row>
        <row r="15039">
          <cell r="E15039" t="str">
            <v>SPEA</v>
          </cell>
          <cell r="F15039" t="str">
            <v>SPEA-S</v>
          </cell>
          <cell r="G15039">
            <v>332</v>
          </cell>
          <cell r="H15039" t="str">
            <v>SPEA-S332</v>
          </cell>
          <cell r="K15039" t="str">
            <v>Simon III,Thomas Paul</v>
          </cell>
          <cell r="N15039" t="str">
            <v>NR</v>
          </cell>
          <cell r="O15039" t="str">
            <v>NR</v>
          </cell>
        </row>
        <row r="15040">
          <cell r="E15040" t="str">
            <v>SPEA</v>
          </cell>
          <cell r="F15040" t="str">
            <v>SPEA-S</v>
          </cell>
          <cell r="G15040">
            <v>353</v>
          </cell>
          <cell r="H15040" t="str">
            <v>SPEA-S353</v>
          </cell>
          <cell r="K15040" t="str">
            <v>Renner,Terri L.</v>
          </cell>
          <cell r="N15040" t="str">
            <v>NR</v>
          </cell>
          <cell r="O15040" t="str">
            <v>NR</v>
          </cell>
        </row>
        <row r="15041">
          <cell r="E15041" t="str">
            <v>SPEA</v>
          </cell>
          <cell r="F15041" t="str">
            <v>SPEA-S</v>
          </cell>
          <cell r="G15041">
            <v>362</v>
          </cell>
          <cell r="H15041" t="str">
            <v>SPEA-S362</v>
          </cell>
          <cell r="K15041" t="str">
            <v>Lyons,Al L</v>
          </cell>
          <cell r="N15041">
            <v>3.9140000000000001</v>
          </cell>
          <cell r="O15041">
            <v>3.778</v>
          </cell>
        </row>
        <row r="15042">
          <cell r="E15042" t="str">
            <v>SPEA</v>
          </cell>
          <cell r="F15042" t="str">
            <v>SPEA-S</v>
          </cell>
          <cell r="G15042">
            <v>362</v>
          </cell>
          <cell r="H15042" t="str">
            <v>SPEA-S362</v>
          </cell>
          <cell r="K15042" t="str">
            <v>Lyons,Al L</v>
          </cell>
          <cell r="N15042" t="str">
            <v>NR</v>
          </cell>
          <cell r="O15042" t="str">
            <v>NR</v>
          </cell>
        </row>
        <row r="15043">
          <cell r="E15043" t="str">
            <v>SPEA</v>
          </cell>
          <cell r="F15043" t="str">
            <v>SPEA-S</v>
          </cell>
          <cell r="G15043">
            <v>363</v>
          </cell>
          <cell r="H15043" t="str">
            <v>SPEA-S363</v>
          </cell>
          <cell r="K15043" t="str">
            <v>Lame,Marc Louis</v>
          </cell>
          <cell r="N15043">
            <v>3.8330000000000002</v>
          </cell>
          <cell r="O15043">
            <v>3.544</v>
          </cell>
        </row>
        <row r="15044">
          <cell r="E15044" t="str">
            <v>SPEA</v>
          </cell>
          <cell r="F15044" t="str">
            <v>SPEA-S</v>
          </cell>
          <cell r="G15044">
            <v>363</v>
          </cell>
          <cell r="H15044" t="str">
            <v>SPEA-S363</v>
          </cell>
          <cell r="K15044" t="str">
            <v>Simon III,Thomas Paul</v>
          </cell>
          <cell r="N15044" t="str">
            <v>NR</v>
          </cell>
          <cell r="O15044" t="str">
            <v>NR</v>
          </cell>
        </row>
        <row r="15045">
          <cell r="E15045" t="str">
            <v>SPEA</v>
          </cell>
          <cell r="F15045" t="str">
            <v>SPEA-S</v>
          </cell>
          <cell r="G15045">
            <v>366</v>
          </cell>
          <cell r="H15045" t="str">
            <v>SPEA-S366</v>
          </cell>
          <cell r="K15045" t="str">
            <v>Engbers,Trent Aaron</v>
          </cell>
          <cell r="N15045">
            <v>3.9569999999999999</v>
          </cell>
          <cell r="O15045">
            <v>3.7959999999999998</v>
          </cell>
        </row>
        <row r="15046">
          <cell r="E15046" t="str">
            <v>SPEA</v>
          </cell>
          <cell r="F15046" t="str">
            <v>SPEA-S</v>
          </cell>
          <cell r="G15046">
            <v>366</v>
          </cell>
          <cell r="H15046" t="str">
            <v>SPEA-S366</v>
          </cell>
          <cell r="K15046" t="str">
            <v>Hughes,Cheryl Kay</v>
          </cell>
          <cell r="N15046">
            <v>3.8</v>
          </cell>
          <cell r="O15046">
            <v>3.6720000000000002</v>
          </cell>
        </row>
        <row r="15047">
          <cell r="E15047" t="str">
            <v>SPEA</v>
          </cell>
          <cell r="F15047" t="str">
            <v>SPEA-S</v>
          </cell>
          <cell r="G15047">
            <v>369</v>
          </cell>
          <cell r="H15047" t="str">
            <v>SPEA-S369</v>
          </cell>
          <cell r="K15047" t="str">
            <v>England,Christopher</v>
          </cell>
          <cell r="N15047" t="str">
            <v>NR</v>
          </cell>
          <cell r="O15047" t="str">
            <v>NR</v>
          </cell>
        </row>
        <row r="15048">
          <cell r="E15048" t="str">
            <v>SPEA</v>
          </cell>
          <cell r="F15048" t="str">
            <v>SPEA-S</v>
          </cell>
          <cell r="G15048">
            <v>369</v>
          </cell>
          <cell r="H15048" t="str">
            <v>SPEA-S369</v>
          </cell>
          <cell r="K15048" t="str">
            <v>Usrey,Terry Ray</v>
          </cell>
          <cell r="N15048" t="str">
            <v>NR</v>
          </cell>
          <cell r="O15048" t="str">
            <v>NR</v>
          </cell>
        </row>
        <row r="15049">
          <cell r="E15049" t="str">
            <v>SPEA</v>
          </cell>
          <cell r="F15049" t="str">
            <v>SPEA-S</v>
          </cell>
          <cell r="G15049">
            <v>372</v>
          </cell>
          <cell r="H15049" t="str">
            <v>SPEA-S372</v>
          </cell>
          <cell r="K15049" t="str">
            <v>Zorn,C. Kurt</v>
          </cell>
          <cell r="N15049" t="str">
            <v>NR</v>
          </cell>
          <cell r="O15049" t="str">
            <v>NR</v>
          </cell>
        </row>
        <row r="15050">
          <cell r="E15050" t="str">
            <v>SPEA</v>
          </cell>
          <cell r="F15050" t="str">
            <v>SPEA-S</v>
          </cell>
          <cell r="G15050">
            <v>373</v>
          </cell>
          <cell r="H15050" t="str">
            <v>SPEA-S373</v>
          </cell>
          <cell r="K15050" t="str">
            <v>Grundmann,Daniel J.</v>
          </cell>
          <cell r="N15050">
            <v>3.8570000000000002</v>
          </cell>
          <cell r="O15050">
            <v>3.6459999999999999</v>
          </cell>
        </row>
        <row r="15051">
          <cell r="E15051" t="str">
            <v>SPEA</v>
          </cell>
          <cell r="F15051" t="str">
            <v>SPEA-S</v>
          </cell>
          <cell r="G15051">
            <v>373</v>
          </cell>
          <cell r="H15051" t="str">
            <v>SPEA-S373</v>
          </cell>
          <cell r="K15051" t="str">
            <v>Hughes,Cheryl Kay</v>
          </cell>
          <cell r="N15051">
            <v>3.9</v>
          </cell>
          <cell r="O15051">
            <v>3.6720000000000002</v>
          </cell>
        </row>
        <row r="15052">
          <cell r="E15052" t="str">
            <v>SPEA</v>
          </cell>
          <cell r="F15052" t="str">
            <v>SPEA-S</v>
          </cell>
          <cell r="G15052">
            <v>377</v>
          </cell>
          <cell r="H15052" t="str">
            <v>SPEA-S377</v>
          </cell>
          <cell r="K15052" t="str">
            <v>Hansen,Rich</v>
          </cell>
          <cell r="N15052" t="str">
            <v>NR</v>
          </cell>
          <cell r="O15052" t="str">
            <v>NR</v>
          </cell>
        </row>
        <row r="15053">
          <cell r="E15053" t="str">
            <v>SPEA</v>
          </cell>
          <cell r="F15053" t="str">
            <v>SPEA-S</v>
          </cell>
          <cell r="G15053">
            <v>378</v>
          </cell>
          <cell r="H15053" t="str">
            <v>SPEA-S378</v>
          </cell>
          <cell r="K15053" t="str">
            <v>McLean,Donna Rae</v>
          </cell>
          <cell r="N15053" t="str">
            <v>NR</v>
          </cell>
          <cell r="O15053" t="str">
            <v>NR</v>
          </cell>
        </row>
        <row r="15054">
          <cell r="E15054" t="str">
            <v>SPEA</v>
          </cell>
          <cell r="F15054" t="str">
            <v>SPEA-S</v>
          </cell>
          <cell r="G15054">
            <v>405</v>
          </cell>
          <cell r="H15054" t="str">
            <v>SPEA-S405</v>
          </cell>
          <cell r="K15054" t="str">
            <v>Welch,David Louis</v>
          </cell>
          <cell r="N15054" t="str">
            <v>NR</v>
          </cell>
          <cell r="O15054" t="str">
            <v>NR</v>
          </cell>
        </row>
        <row r="15055">
          <cell r="E15055" t="str">
            <v>SPEA</v>
          </cell>
          <cell r="F15055" t="str">
            <v>SPEA-S</v>
          </cell>
          <cell r="G15055">
            <v>422</v>
          </cell>
          <cell r="H15055" t="str">
            <v>SPEA-S422</v>
          </cell>
          <cell r="K15055" t="str">
            <v>Fischer,Burnell</v>
          </cell>
          <cell r="N15055" t="str">
            <v>NR</v>
          </cell>
          <cell r="O15055" t="str">
            <v>NR</v>
          </cell>
        </row>
        <row r="15056">
          <cell r="E15056" t="str">
            <v>SPEA</v>
          </cell>
          <cell r="F15056" t="str">
            <v>SPEA-S</v>
          </cell>
          <cell r="G15056">
            <v>432</v>
          </cell>
          <cell r="H15056" t="str">
            <v>SPEA-S432</v>
          </cell>
          <cell r="K15056" t="str">
            <v>Darko,Richard John</v>
          </cell>
          <cell r="N15056" t="str">
            <v>NR</v>
          </cell>
          <cell r="O15056" t="str">
            <v>NR</v>
          </cell>
        </row>
        <row r="15057">
          <cell r="E15057" t="str">
            <v>SPEA</v>
          </cell>
          <cell r="F15057" t="str">
            <v>SPEA-S</v>
          </cell>
          <cell r="G15057">
            <v>432</v>
          </cell>
          <cell r="H15057" t="str">
            <v>SPEA-S432</v>
          </cell>
          <cell r="K15057" t="str">
            <v>Sklar,Pamela S.</v>
          </cell>
          <cell r="N15057" t="str">
            <v>NR</v>
          </cell>
          <cell r="O15057" t="str">
            <v>NR</v>
          </cell>
        </row>
        <row r="15058">
          <cell r="E15058" t="str">
            <v>SPEA</v>
          </cell>
          <cell r="F15058" t="str">
            <v>SPEA-S</v>
          </cell>
          <cell r="G15058">
            <v>435</v>
          </cell>
          <cell r="H15058" t="str">
            <v>SPEA-S435</v>
          </cell>
          <cell r="K15058" t="str">
            <v>Stager,Nan</v>
          </cell>
          <cell r="N15058" t="str">
            <v>NR</v>
          </cell>
          <cell r="O15058" t="str">
            <v>NR</v>
          </cell>
        </row>
        <row r="15059">
          <cell r="E15059" t="str">
            <v>SPEA</v>
          </cell>
          <cell r="F15059" t="str">
            <v>SPEA-S</v>
          </cell>
          <cell r="G15059">
            <v>435</v>
          </cell>
          <cell r="H15059" t="str">
            <v>SPEA-S435</v>
          </cell>
          <cell r="K15059" t="str">
            <v>Stager,Nan</v>
          </cell>
          <cell r="N15059" t="str">
            <v>NR</v>
          </cell>
          <cell r="O15059" t="str">
            <v>NR</v>
          </cell>
        </row>
        <row r="15060">
          <cell r="E15060" t="str">
            <v>SPEA</v>
          </cell>
          <cell r="F15060" t="str">
            <v>SPEA-S</v>
          </cell>
          <cell r="G15060">
            <v>436</v>
          </cell>
          <cell r="H15060" t="str">
            <v>SPEA-S436</v>
          </cell>
          <cell r="K15060" t="str">
            <v>Lame,Marc Louis</v>
          </cell>
          <cell r="N15060" t="str">
            <v>NR</v>
          </cell>
          <cell r="O15060" t="str">
            <v>NR</v>
          </cell>
        </row>
        <row r="15061">
          <cell r="E15061" t="str">
            <v>SPEA</v>
          </cell>
          <cell r="F15061" t="str">
            <v>SPEA-S</v>
          </cell>
          <cell r="G15061">
            <v>440</v>
          </cell>
          <cell r="H15061" t="str">
            <v>SPEA-S440</v>
          </cell>
          <cell r="K15061" t="str">
            <v>Craft,Christopher B</v>
          </cell>
          <cell r="N15061" t="str">
            <v>NR</v>
          </cell>
          <cell r="O15061" t="str">
            <v>NR</v>
          </cell>
        </row>
        <row r="15062">
          <cell r="E15062" t="str">
            <v>SPEA</v>
          </cell>
          <cell r="F15062" t="str">
            <v>SPEA-S</v>
          </cell>
          <cell r="G15062">
            <v>441</v>
          </cell>
          <cell r="H15062" t="str">
            <v>SPEA-S441</v>
          </cell>
          <cell r="K15062" t="str">
            <v>Whitlatch,James</v>
          </cell>
          <cell r="N15062" t="str">
            <v>NR</v>
          </cell>
          <cell r="O15062" t="str">
            <v>NR</v>
          </cell>
        </row>
        <row r="15063">
          <cell r="E15063" t="str">
            <v>SPEA</v>
          </cell>
          <cell r="F15063" t="str">
            <v>SPEA-S</v>
          </cell>
          <cell r="G15063">
            <v>441</v>
          </cell>
          <cell r="H15063" t="str">
            <v>SPEA-S441</v>
          </cell>
          <cell r="K15063" t="str">
            <v>Whitlatch,James</v>
          </cell>
          <cell r="N15063" t="str">
            <v>NR</v>
          </cell>
          <cell r="O15063" t="str">
            <v>NR</v>
          </cell>
        </row>
        <row r="15064">
          <cell r="E15064" t="str">
            <v>SPEA</v>
          </cell>
          <cell r="F15064" t="str">
            <v>SPEA-S</v>
          </cell>
          <cell r="G15064">
            <v>456</v>
          </cell>
          <cell r="H15064" t="str">
            <v>SPEA-S456</v>
          </cell>
          <cell r="K15064" t="str">
            <v>Norrell,Mark</v>
          </cell>
          <cell r="N15064" t="str">
            <v>NR</v>
          </cell>
          <cell r="O15064" t="str">
            <v>NR</v>
          </cell>
        </row>
        <row r="15065">
          <cell r="E15065" t="str">
            <v>SPEA</v>
          </cell>
          <cell r="F15065" t="str">
            <v>SPEA-S</v>
          </cell>
          <cell r="G15065">
            <v>463</v>
          </cell>
          <cell r="H15065" t="str">
            <v>SPEA-S463</v>
          </cell>
          <cell r="K15065" t="str">
            <v>McGarvey,Dick</v>
          </cell>
          <cell r="N15065" t="str">
            <v>NR</v>
          </cell>
          <cell r="O15065" t="str">
            <v>NR</v>
          </cell>
        </row>
        <row r="15066">
          <cell r="E15066" t="str">
            <v>SPEA</v>
          </cell>
          <cell r="F15066" t="str">
            <v>SPEA-S</v>
          </cell>
          <cell r="G15066">
            <v>463</v>
          </cell>
          <cell r="H15066" t="str">
            <v>SPEA-S463</v>
          </cell>
          <cell r="K15066" t="str">
            <v>McGarvey,Dick</v>
          </cell>
          <cell r="N15066" t="str">
            <v>NR</v>
          </cell>
          <cell r="O15066" t="str">
            <v>NR</v>
          </cell>
        </row>
        <row r="15067">
          <cell r="E15067" t="str">
            <v>SPEA</v>
          </cell>
          <cell r="F15067" t="str">
            <v>SPEA-S</v>
          </cell>
          <cell r="G15067">
            <v>474</v>
          </cell>
          <cell r="H15067" t="str">
            <v>SPEA-S474</v>
          </cell>
          <cell r="K15067" t="str">
            <v>Deweese,Sandra Jo</v>
          </cell>
          <cell r="N15067" t="str">
            <v>NR</v>
          </cell>
          <cell r="O15067" t="str">
            <v>NR</v>
          </cell>
        </row>
        <row r="15068">
          <cell r="E15068" t="str">
            <v>SPEA</v>
          </cell>
          <cell r="F15068" t="str">
            <v>SPEA-V</v>
          </cell>
          <cell r="G15068">
            <v>100</v>
          </cell>
          <cell r="H15068" t="str">
            <v>SPEA-V100</v>
          </cell>
          <cell r="K15068" t="str">
            <v>Schneller,Paul J</v>
          </cell>
          <cell r="N15068">
            <v>3.238</v>
          </cell>
          <cell r="O15068">
            <v>2.7240000000000002</v>
          </cell>
        </row>
        <row r="15069">
          <cell r="E15069" t="str">
            <v>SPEA</v>
          </cell>
          <cell r="F15069" t="str">
            <v>SPEA-V</v>
          </cell>
          <cell r="G15069">
            <v>160</v>
          </cell>
          <cell r="H15069" t="str">
            <v>SPEA-V160</v>
          </cell>
          <cell r="K15069" t="str">
            <v>Afoaku,Osita</v>
          </cell>
          <cell r="N15069">
            <v>2.4620000000000002</v>
          </cell>
          <cell r="O15069">
            <v>2.5659999999999998</v>
          </cell>
        </row>
        <row r="15070">
          <cell r="E15070" t="str">
            <v>SPEA</v>
          </cell>
          <cell r="F15070" t="str">
            <v>SPEA-V</v>
          </cell>
          <cell r="G15070">
            <v>160</v>
          </cell>
          <cell r="H15070" t="str">
            <v>SPEA-V160</v>
          </cell>
          <cell r="K15070" t="str">
            <v>Bolinger,Joel Abel</v>
          </cell>
          <cell r="N15070">
            <v>2.7519999999999998</v>
          </cell>
          <cell r="O15070">
            <v>2.8620000000000001</v>
          </cell>
        </row>
        <row r="15071">
          <cell r="E15071" t="str">
            <v>SPEA</v>
          </cell>
          <cell r="F15071" t="str">
            <v>SPEA-V</v>
          </cell>
          <cell r="G15071">
            <v>160</v>
          </cell>
          <cell r="H15071" t="str">
            <v>SPEA-V160</v>
          </cell>
          <cell r="K15071" t="str">
            <v>Brass,Jennifer</v>
          </cell>
          <cell r="N15071">
            <v>2.9780000000000002</v>
          </cell>
          <cell r="O15071">
            <v>2.7949999999999999</v>
          </cell>
        </row>
        <row r="15072">
          <cell r="E15072" t="str">
            <v>SPEA</v>
          </cell>
          <cell r="F15072" t="str">
            <v>SPEA-V</v>
          </cell>
          <cell r="G15072">
            <v>160</v>
          </cell>
          <cell r="H15072" t="str">
            <v>SPEA-V160</v>
          </cell>
          <cell r="K15072" t="str">
            <v>French,Eric Michael</v>
          </cell>
          <cell r="N15072">
            <v>2.7759999999999998</v>
          </cell>
          <cell r="O15072">
            <v>2.9169999999999998</v>
          </cell>
        </row>
        <row r="15073">
          <cell r="E15073" t="str">
            <v>SPEA</v>
          </cell>
          <cell r="F15073" t="str">
            <v>SPEA-V</v>
          </cell>
          <cell r="G15073">
            <v>160</v>
          </cell>
          <cell r="H15073" t="str">
            <v>SPEA-V160</v>
          </cell>
          <cell r="K15073" t="str">
            <v>French,Eric Michael</v>
          </cell>
          <cell r="N15073">
            <v>2.6230000000000002</v>
          </cell>
          <cell r="O15073">
            <v>2.7210000000000001</v>
          </cell>
        </row>
        <row r="15074">
          <cell r="E15074" t="str">
            <v>SPEA</v>
          </cell>
          <cell r="F15074" t="str">
            <v>SPEA-V</v>
          </cell>
          <cell r="G15074">
            <v>160</v>
          </cell>
          <cell r="H15074" t="str">
            <v>SPEA-V160</v>
          </cell>
          <cell r="K15074" t="str">
            <v>Jones,David L</v>
          </cell>
          <cell r="N15074">
            <v>2.82</v>
          </cell>
          <cell r="O15074">
            <v>2.754</v>
          </cell>
        </row>
        <row r="15075">
          <cell r="E15075" t="str">
            <v>SPEA</v>
          </cell>
          <cell r="F15075" t="str">
            <v>SPEA-V</v>
          </cell>
          <cell r="G15075">
            <v>160</v>
          </cell>
          <cell r="H15075" t="str">
            <v>SPEA-V160</v>
          </cell>
          <cell r="K15075" t="str">
            <v>Karaagac,John</v>
          </cell>
          <cell r="N15075">
            <v>2.605</v>
          </cell>
          <cell r="O15075">
            <v>2.738</v>
          </cell>
        </row>
        <row r="15076">
          <cell r="E15076" t="str">
            <v>SPEA</v>
          </cell>
          <cell r="F15076" t="str">
            <v>SPEA-V</v>
          </cell>
          <cell r="G15076">
            <v>160</v>
          </cell>
          <cell r="H15076" t="str">
            <v>SPEA-V160</v>
          </cell>
          <cell r="K15076" t="str">
            <v>Karaagac,John</v>
          </cell>
          <cell r="N15076">
            <v>2.6120000000000001</v>
          </cell>
          <cell r="O15076">
            <v>2.8759999999999999</v>
          </cell>
        </row>
        <row r="15077">
          <cell r="E15077" t="str">
            <v>SPEA</v>
          </cell>
          <cell r="F15077" t="str">
            <v>SPEA-V</v>
          </cell>
          <cell r="G15077">
            <v>160</v>
          </cell>
          <cell r="H15077" t="str">
            <v>SPEA-V160</v>
          </cell>
          <cell r="K15077" t="str">
            <v>Mohanty,Sobhi</v>
          </cell>
          <cell r="N15077">
            <v>3.7109999999999999</v>
          </cell>
          <cell r="O15077">
            <v>2.819</v>
          </cell>
        </row>
        <row r="15078">
          <cell r="E15078" t="str">
            <v>SPEA</v>
          </cell>
          <cell r="F15078" t="str">
            <v>SPEA-V</v>
          </cell>
          <cell r="G15078">
            <v>160</v>
          </cell>
          <cell r="H15078" t="str">
            <v>SPEA-V160</v>
          </cell>
          <cell r="K15078" t="str">
            <v>Preston,Daniel</v>
          </cell>
          <cell r="N15078">
            <v>2.8460000000000001</v>
          </cell>
          <cell r="O15078">
            <v>2.867</v>
          </cell>
        </row>
        <row r="15079">
          <cell r="E15079" t="str">
            <v>SPEA</v>
          </cell>
          <cell r="F15079" t="str">
            <v>SPEA-V</v>
          </cell>
          <cell r="G15079">
            <v>160</v>
          </cell>
          <cell r="H15079" t="str">
            <v>SPEA-V160</v>
          </cell>
          <cell r="K15079" t="str">
            <v>Preston,Daniel</v>
          </cell>
          <cell r="N15079">
            <v>2.839</v>
          </cell>
          <cell r="O15079">
            <v>2.806</v>
          </cell>
        </row>
        <row r="15080">
          <cell r="E15080" t="str">
            <v>SPEA</v>
          </cell>
          <cell r="F15080" t="str">
            <v>SPEA-V</v>
          </cell>
          <cell r="G15080">
            <v>160</v>
          </cell>
          <cell r="H15080" t="str">
            <v>SPEA-V160</v>
          </cell>
          <cell r="K15080" t="str">
            <v>Preston,Daniel</v>
          </cell>
          <cell r="N15080">
            <v>2.8980000000000001</v>
          </cell>
          <cell r="O15080">
            <v>2.9740000000000002</v>
          </cell>
        </row>
        <row r="15081">
          <cell r="E15081" t="str">
            <v>SPEA</v>
          </cell>
          <cell r="F15081" t="str">
            <v>SPEA-V</v>
          </cell>
          <cell r="G15081">
            <v>160</v>
          </cell>
          <cell r="H15081" t="str">
            <v>SPEA-V160</v>
          </cell>
          <cell r="K15081" t="str">
            <v>Preston,Daniel</v>
          </cell>
          <cell r="N15081">
            <v>2.8610000000000002</v>
          </cell>
          <cell r="O15081">
            <v>2.9940000000000002</v>
          </cell>
        </row>
        <row r="15082">
          <cell r="E15082" t="str">
            <v>SPEA</v>
          </cell>
          <cell r="F15082" t="str">
            <v>SPEA-V</v>
          </cell>
          <cell r="G15082">
            <v>160</v>
          </cell>
          <cell r="H15082" t="str">
            <v>SPEA-V160</v>
          </cell>
          <cell r="K15082" t="str">
            <v>Siena,Susan Jane</v>
          </cell>
          <cell r="N15082">
            <v>3.12</v>
          </cell>
          <cell r="O15082">
            <v>2.9449999999999998</v>
          </cell>
        </row>
        <row r="15083">
          <cell r="E15083" t="str">
            <v>SPEA</v>
          </cell>
          <cell r="F15083" t="str">
            <v>SPEA-V</v>
          </cell>
          <cell r="G15083">
            <v>160</v>
          </cell>
          <cell r="H15083" t="str">
            <v>SPEA-V160</v>
          </cell>
          <cell r="K15083" t="str">
            <v>Siena,Susan Jane</v>
          </cell>
          <cell r="N15083">
            <v>2.8</v>
          </cell>
          <cell r="O15083">
            <v>2.7850000000000001</v>
          </cell>
        </row>
        <row r="15084">
          <cell r="E15084" t="str">
            <v>SPEA</v>
          </cell>
          <cell r="F15084" t="str">
            <v>SPEA-V</v>
          </cell>
          <cell r="G15084">
            <v>161</v>
          </cell>
          <cell r="H15084" t="str">
            <v>SPEA-V161</v>
          </cell>
          <cell r="K15084" t="str">
            <v>Baggetta,Matthew</v>
          </cell>
          <cell r="N15084">
            <v>2.9540000000000002</v>
          </cell>
          <cell r="O15084">
            <v>2.758</v>
          </cell>
        </row>
        <row r="15085">
          <cell r="E15085" t="str">
            <v>SPEA</v>
          </cell>
          <cell r="F15085" t="str">
            <v>SPEA-V</v>
          </cell>
          <cell r="G15085">
            <v>161</v>
          </cell>
          <cell r="H15085" t="str">
            <v>SPEA-V161</v>
          </cell>
          <cell r="K15085" t="str">
            <v>Bolinger,Joel Abel</v>
          </cell>
          <cell r="N15085">
            <v>2.6709999999999998</v>
          </cell>
          <cell r="O15085">
            <v>2.7589999999999999</v>
          </cell>
        </row>
        <row r="15086">
          <cell r="E15086" t="str">
            <v>SPEA</v>
          </cell>
          <cell r="F15086" t="str">
            <v>SPEA-V</v>
          </cell>
          <cell r="G15086">
            <v>161</v>
          </cell>
          <cell r="H15086" t="str">
            <v>SPEA-V161</v>
          </cell>
          <cell r="K15086" t="str">
            <v>Bolinger,Joel Abel</v>
          </cell>
          <cell r="N15086">
            <v>2.4849999999999999</v>
          </cell>
          <cell r="O15086">
            <v>2.6240000000000001</v>
          </cell>
        </row>
        <row r="15087">
          <cell r="E15087" t="str">
            <v>SPEA</v>
          </cell>
          <cell r="F15087" t="str">
            <v>SPEA-V</v>
          </cell>
          <cell r="G15087">
            <v>161</v>
          </cell>
          <cell r="H15087" t="str">
            <v>SPEA-V161</v>
          </cell>
          <cell r="K15087" t="str">
            <v>Bolinger,Joel Abel</v>
          </cell>
          <cell r="N15087">
            <v>2.8109999999999999</v>
          </cell>
          <cell r="O15087">
            <v>2.855</v>
          </cell>
        </row>
        <row r="15088">
          <cell r="E15088" t="str">
            <v>SPEA</v>
          </cell>
          <cell r="F15088" t="str">
            <v>SPEA-V</v>
          </cell>
          <cell r="G15088">
            <v>161</v>
          </cell>
          <cell r="H15088" t="str">
            <v>SPEA-V161</v>
          </cell>
          <cell r="K15088" t="str">
            <v>Fleishman,Rachel</v>
          </cell>
          <cell r="N15088">
            <v>2.9550000000000001</v>
          </cell>
          <cell r="O15088">
            <v>2.734</v>
          </cell>
        </row>
        <row r="15089">
          <cell r="E15089" t="str">
            <v>SPEA</v>
          </cell>
          <cell r="F15089" t="str">
            <v>SPEA-V</v>
          </cell>
          <cell r="G15089">
            <v>161</v>
          </cell>
          <cell r="H15089" t="str">
            <v>SPEA-V161</v>
          </cell>
          <cell r="K15089" t="str">
            <v>Moldogaziev,Tima</v>
          </cell>
          <cell r="N15089">
            <v>2.6720000000000002</v>
          </cell>
          <cell r="O15089">
            <v>2.8410000000000002</v>
          </cell>
        </row>
        <row r="15090">
          <cell r="E15090" t="str">
            <v>SPEA</v>
          </cell>
          <cell r="F15090" t="str">
            <v>SPEA-V</v>
          </cell>
          <cell r="G15090">
            <v>161</v>
          </cell>
          <cell r="H15090" t="str">
            <v>SPEA-V161</v>
          </cell>
          <cell r="K15090" t="str">
            <v>Nierzwicki Jr,Frank Leonard</v>
          </cell>
          <cell r="N15090">
            <v>2.9910000000000001</v>
          </cell>
          <cell r="O15090">
            <v>2.915</v>
          </cell>
        </row>
        <row r="15091">
          <cell r="E15091" t="str">
            <v>SPEA</v>
          </cell>
          <cell r="F15091" t="str">
            <v>SPEA-V</v>
          </cell>
          <cell r="G15091">
            <v>161</v>
          </cell>
          <cell r="H15091" t="str">
            <v>SPEA-V161</v>
          </cell>
          <cell r="K15091" t="str">
            <v>Nierzwicki Jr,Frank Leonard</v>
          </cell>
          <cell r="N15091">
            <v>3.0680000000000001</v>
          </cell>
          <cell r="O15091">
            <v>2.9319999999999999</v>
          </cell>
        </row>
        <row r="15092">
          <cell r="E15092" t="str">
            <v>SPEA</v>
          </cell>
          <cell r="F15092" t="str">
            <v>SPEA-V</v>
          </cell>
          <cell r="G15092">
            <v>161</v>
          </cell>
          <cell r="H15092" t="str">
            <v>SPEA-V161</v>
          </cell>
          <cell r="K15092" t="str">
            <v>Nierzwicki Jr,Frank Leonard</v>
          </cell>
          <cell r="N15092">
            <v>3.07</v>
          </cell>
          <cell r="O15092">
            <v>2.8439999999999999</v>
          </cell>
        </row>
        <row r="15093">
          <cell r="E15093" t="str">
            <v>SPEA</v>
          </cell>
          <cell r="F15093" t="str">
            <v>SPEA-V</v>
          </cell>
          <cell r="G15093">
            <v>161</v>
          </cell>
          <cell r="H15093" t="str">
            <v>SPEA-V161</v>
          </cell>
          <cell r="K15093" t="str">
            <v>Nierzwicki Jr,Frank Leonard</v>
          </cell>
          <cell r="N15093">
            <v>2.895</v>
          </cell>
          <cell r="O15093">
            <v>3</v>
          </cell>
        </row>
        <row r="15094">
          <cell r="E15094" t="str">
            <v>SPEA</v>
          </cell>
          <cell r="F15094" t="str">
            <v>SPEA-V</v>
          </cell>
          <cell r="G15094">
            <v>161</v>
          </cell>
          <cell r="H15094" t="str">
            <v>SPEA-V161</v>
          </cell>
          <cell r="K15094" t="str">
            <v>Nierzwicki Jr,Frank Leonard</v>
          </cell>
          <cell r="N15094">
            <v>3.4220000000000002</v>
          </cell>
          <cell r="O15094">
            <v>2.9910000000000001</v>
          </cell>
        </row>
        <row r="15095">
          <cell r="E15095" t="str">
            <v>SPEA</v>
          </cell>
          <cell r="F15095" t="str">
            <v>SPEA-V</v>
          </cell>
          <cell r="G15095">
            <v>161</v>
          </cell>
          <cell r="H15095" t="str">
            <v>SPEA-V161</v>
          </cell>
          <cell r="K15095" t="str">
            <v>Powell,Orville W</v>
          </cell>
          <cell r="N15095">
            <v>2.8180000000000001</v>
          </cell>
          <cell r="O15095">
            <v>2.8029999999999999</v>
          </cell>
        </row>
        <row r="15096">
          <cell r="E15096" t="str">
            <v>SPEA</v>
          </cell>
          <cell r="F15096" t="str">
            <v>SPEA-V</v>
          </cell>
          <cell r="G15096">
            <v>161</v>
          </cell>
          <cell r="H15096" t="str">
            <v>SPEA-V161</v>
          </cell>
          <cell r="K15096" t="str">
            <v>Powell,Orville W</v>
          </cell>
          <cell r="N15096">
            <v>2.6920000000000002</v>
          </cell>
          <cell r="O15096">
            <v>2.88</v>
          </cell>
        </row>
        <row r="15097">
          <cell r="E15097" t="str">
            <v>SPEA</v>
          </cell>
          <cell r="F15097" t="str">
            <v>SPEA-V</v>
          </cell>
          <cell r="G15097">
            <v>161</v>
          </cell>
          <cell r="H15097" t="str">
            <v>SPEA-V161</v>
          </cell>
          <cell r="K15097" t="str">
            <v>Vargas,Edward David</v>
          </cell>
          <cell r="N15097">
            <v>3.0670000000000002</v>
          </cell>
          <cell r="O15097">
            <v>2.88</v>
          </cell>
        </row>
        <row r="15098">
          <cell r="E15098" t="str">
            <v>SPEA</v>
          </cell>
          <cell r="F15098" t="str">
            <v>SPEA-V</v>
          </cell>
          <cell r="G15098">
            <v>161</v>
          </cell>
          <cell r="H15098" t="str">
            <v>SPEA-V161</v>
          </cell>
          <cell r="K15098" t="str">
            <v>Vargas,Edward David</v>
          </cell>
          <cell r="N15098">
            <v>3.0089999999999999</v>
          </cell>
          <cell r="O15098">
            <v>2.931</v>
          </cell>
        </row>
        <row r="15099">
          <cell r="E15099" t="str">
            <v>SPEA</v>
          </cell>
          <cell r="F15099" t="str">
            <v>SPEA-V</v>
          </cell>
          <cell r="G15099">
            <v>220</v>
          </cell>
          <cell r="H15099" t="str">
            <v>SPEA-V220</v>
          </cell>
          <cell r="K15099" t="str">
            <v>Baker,John</v>
          </cell>
          <cell r="N15099">
            <v>2.9319999999999999</v>
          </cell>
          <cell r="O15099">
            <v>2.6339999999999999</v>
          </cell>
        </row>
        <row r="15100">
          <cell r="E15100" t="str">
            <v>SPEA</v>
          </cell>
          <cell r="F15100" t="str">
            <v>SPEA-V</v>
          </cell>
          <cell r="G15100">
            <v>220</v>
          </cell>
          <cell r="H15100" t="str">
            <v>SPEA-V220</v>
          </cell>
          <cell r="K15100" t="str">
            <v>Baker,John</v>
          </cell>
          <cell r="N15100">
            <v>2.89</v>
          </cell>
          <cell r="O15100">
            <v>2.6349999999999998</v>
          </cell>
        </row>
        <row r="15101">
          <cell r="E15101" t="str">
            <v>SPEA</v>
          </cell>
          <cell r="F15101" t="str">
            <v>SPEA-V</v>
          </cell>
          <cell r="G15101">
            <v>220</v>
          </cell>
          <cell r="H15101" t="str">
            <v>SPEA-V220</v>
          </cell>
          <cell r="K15101" t="str">
            <v>Cox,David K</v>
          </cell>
          <cell r="N15101">
            <v>3.6419999999999999</v>
          </cell>
          <cell r="O15101">
            <v>2.911</v>
          </cell>
        </row>
        <row r="15102">
          <cell r="E15102" t="str">
            <v>SPEA</v>
          </cell>
          <cell r="F15102" t="str">
            <v>SPEA-V</v>
          </cell>
          <cell r="G15102">
            <v>220</v>
          </cell>
          <cell r="H15102" t="str">
            <v>SPEA-V220</v>
          </cell>
          <cell r="K15102" t="str">
            <v>Cox,David K</v>
          </cell>
          <cell r="N15102">
            <v>3.395</v>
          </cell>
          <cell r="O15102">
            <v>2.762</v>
          </cell>
        </row>
        <row r="15103">
          <cell r="E15103" t="str">
            <v>SPEA</v>
          </cell>
          <cell r="F15103" t="str">
            <v>SPEA-V</v>
          </cell>
          <cell r="G15103">
            <v>220</v>
          </cell>
          <cell r="H15103" t="str">
            <v>SPEA-V220</v>
          </cell>
          <cell r="K15103" t="str">
            <v>Darko,Richard John</v>
          </cell>
          <cell r="N15103">
            <v>3.3639999999999999</v>
          </cell>
          <cell r="O15103">
            <v>3.0179999999999998</v>
          </cell>
        </row>
        <row r="15104">
          <cell r="E15104" t="str">
            <v>SPEA</v>
          </cell>
          <cell r="F15104" t="str">
            <v>SPEA-V</v>
          </cell>
          <cell r="G15104">
            <v>220</v>
          </cell>
          <cell r="H15104" t="str">
            <v>SPEA-V220</v>
          </cell>
          <cell r="K15104" t="str">
            <v>Diekhoff,Mary Ellen</v>
          </cell>
          <cell r="N15104">
            <v>3.7829999999999999</v>
          </cell>
          <cell r="O15104">
            <v>3.129</v>
          </cell>
        </row>
        <row r="15105">
          <cell r="E15105" t="str">
            <v>SPEA</v>
          </cell>
          <cell r="F15105" t="str">
            <v>SPEA-V</v>
          </cell>
          <cell r="G15105">
            <v>220</v>
          </cell>
          <cell r="H15105" t="str">
            <v>SPEA-V220</v>
          </cell>
          <cell r="K15105" t="str">
            <v>Diekhoff,Mary Ellen</v>
          </cell>
          <cell r="N15105">
            <v>2.956</v>
          </cell>
          <cell r="O15105">
            <v>3.0139999999999998</v>
          </cell>
        </row>
        <row r="15106">
          <cell r="E15106" t="str">
            <v>SPEA</v>
          </cell>
          <cell r="F15106" t="str">
            <v>SPEA-V</v>
          </cell>
          <cell r="G15106">
            <v>220</v>
          </cell>
          <cell r="H15106" t="str">
            <v>SPEA-V220</v>
          </cell>
          <cell r="K15106" t="str">
            <v>Hansen,Rich</v>
          </cell>
          <cell r="N15106">
            <v>3.4340000000000002</v>
          </cell>
          <cell r="O15106">
            <v>3.0830000000000002</v>
          </cell>
        </row>
        <row r="15107">
          <cell r="E15107" t="str">
            <v>SPEA</v>
          </cell>
          <cell r="F15107" t="str">
            <v>SPEA-V</v>
          </cell>
          <cell r="G15107">
            <v>220</v>
          </cell>
          <cell r="H15107" t="str">
            <v>SPEA-V220</v>
          </cell>
          <cell r="K15107" t="str">
            <v>Hansen,Rich</v>
          </cell>
          <cell r="N15107">
            <v>3.3580000000000001</v>
          </cell>
          <cell r="O15107">
            <v>3.0009999999999999</v>
          </cell>
        </row>
        <row r="15108">
          <cell r="E15108" t="str">
            <v>SPEA</v>
          </cell>
          <cell r="F15108" t="str">
            <v>SPEA-V</v>
          </cell>
          <cell r="G15108">
            <v>220</v>
          </cell>
          <cell r="H15108" t="str">
            <v>SPEA-V220</v>
          </cell>
          <cell r="K15108" t="str">
            <v>Need,Andrea Ruth</v>
          </cell>
          <cell r="N15108">
            <v>3.1259999999999999</v>
          </cell>
          <cell r="O15108">
            <v>3.1030000000000002</v>
          </cell>
        </row>
        <row r="15109">
          <cell r="E15109" t="str">
            <v>SPEA</v>
          </cell>
          <cell r="F15109" t="str">
            <v>SPEA-V</v>
          </cell>
          <cell r="G15109">
            <v>220</v>
          </cell>
          <cell r="H15109" t="str">
            <v>SPEA-V220</v>
          </cell>
          <cell r="K15109" t="str">
            <v>Springston,Rob</v>
          </cell>
          <cell r="N15109">
            <v>3.0680000000000001</v>
          </cell>
          <cell r="O15109">
            <v>2.73</v>
          </cell>
        </row>
        <row r="15110">
          <cell r="E15110" t="str">
            <v>SPEA</v>
          </cell>
          <cell r="F15110" t="str">
            <v>SPEA-V</v>
          </cell>
          <cell r="G15110">
            <v>220</v>
          </cell>
          <cell r="H15110" t="str">
            <v>SPEA-V220</v>
          </cell>
          <cell r="K15110" t="str">
            <v>Springston,Rob</v>
          </cell>
          <cell r="N15110">
            <v>3.2330000000000001</v>
          </cell>
          <cell r="O15110">
            <v>2.9729999999999999</v>
          </cell>
        </row>
        <row r="15111">
          <cell r="E15111" t="str">
            <v>SPEA</v>
          </cell>
          <cell r="F15111" t="str">
            <v>SPEA-V</v>
          </cell>
          <cell r="G15111">
            <v>220</v>
          </cell>
          <cell r="H15111" t="str">
            <v>SPEA-V220</v>
          </cell>
          <cell r="K15111" t="str">
            <v>Ulm,Jessica Lynn</v>
          </cell>
          <cell r="N15111">
            <v>3.0939999999999999</v>
          </cell>
          <cell r="O15111">
            <v>3.0529999999999999</v>
          </cell>
        </row>
        <row r="15112">
          <cell r="E15112" t="str">
            <v>SPEA</v>
          </cell>
          <cell r="F15112" t="str">
            <v>SPEA-V</v>
          </cell>
          <cell r="G15112">
            <v>220</v>
          </cell>
          <cell r="H15112" t="str">
            <v>SPEA-V220</v>
          </cell>
          <cell r="K15112" t="str">
            <v>Welch,David Louis</v>
          </cell>
          <cell r="N15112">
            <v>2.9420000000000002</v>
          </cell>
          <cell r="O15112">
            <v>2.9140000000000001</v>
          </cell>
        </row>
        <row r="15113">
          <cell r="E15113" t="str">
            <v>SPEA</v>
          </cell>
          <cell r="F15113" t="str">
            <v>SPEA-V</v>
          </cell>
          <cell r="G15113">
            <v>220</v>
          </cell>
          <cell r="H15113" t="str">
            <v>SPEA-V220</v>
          </cell>
          <cell r="K15113" t="str">
            <v>Welch,David Louis</v>
          </cell>
          <cell r="N15113">
            <v>2.746</v>
          </cell>
          <cell r="O15113">
            <v>2.6080000000000001</v>
          </cell>
        </row>
        <row r="15114">
          <cell r="E15114" t="str">
            <v>SPEA</v>
          </cell>
          <cell r="F15114" t="str">
            <v>SPEA-V</v>
          </cell>
          <cell r="G15114">
            <v>221</v>
          </cell>
          <cell r="H15114" t="str">
            <v>SPEA-V221</v>
          </cell>
          <cell r="K15114" t="str">
            <v>Nannery,Rebecca Sue</v>
          </cell>
          <cell r="N15114">
            <v>3.0779999999999998</v>
          </cell>
          <cell r="O15114">
            <v>3.1349999999999998</v>
          </cell>
        </row>
        <row r="15115">
          <cell r="E15115" t="str">
            <v>SPEA</v>
          </cell>
          <cell r="F15115" t="str">
            <v>SPEA-V</v>
          </cell>
          <cell r="G15115">
            <v>221</v>
          </cell>
          <cell r="H15115" t="str">
            <v>SPEA-V221</v>
          </cell>
          <cell r="K15115" t="str">
            <v>Nannery,Rebecca Sue</v>
          </cell>
          <cell r="N15115">
            <v>3.141</v>
          </cell>
          <cell r="O15115">
            <v>3.0760000000000001</v>
          </cell>
        </row>
        <row r="15116">
          <cell r="E15116" t="str">
            <v>SPEA</v>
          </cell>
          <cell r="F15116" t="str">
            <v>SPEA-V</v>
          </cell>
          <cell r="G15116">
            <v>241</v>
          </cell>
          <cell r="H15116" t="str">
            <v>SPEA-V241</v>
          </cell>
          <cell r="K15116" t="str">
            <v>Engbers,Trent Aaron</v>
          </cell>
          <cell r="N15116">
            <v>2.7749999999999999</v>
          </cell>
          <cell r="O15116">
            <v>2.8420000000000001</v>
          </cell>
        </row>
        <row r="15117">
          <cell r="E15117" t="str">
            <v>SPEA</v>
          </cell>
          <cell r="F15117" t="str">
            <v>SPEA-V</v>
          </cell>
          <cell r="G15117">
            <v>241</v>
          </cell>
          <cell r="H15117" t="str">
            <v>SPEA-V241</v>
          </cell>
          <cell r="K15117" t="str">
            <v>Hughes,Cheryl Kay</v>
          </cell>
          <cell r="N15117">
            <v>3.1760000000000002</v>
          </cell>
          <cell r="O15117">
            <v>3.0259999999999998</v>
          </cell>
        </row>
        <row r="15118">
          <cell r="E15118" t="str">
            <v>SPEA</v>
          </cell>
          <cell r="F15118" t="str">
            <v>SPEA-V</v>
          </cell>
          <cell r="G15118">
            <v>241</v>
          </cell>
          <cell r="H15118" t="str">
            <v>SPEA-V241</v>
          </cell>
          <cell r="K15118" t="str">
            <v>Hughes,Cheryl Kay</v>
          </cell>
          <cell r="N15118">
            <v>3.4860000000000002</v>
          </cell>
          <cell r="O15118">
            <v>2.9990000000000001</v>
          </cell>
        </row>
        <row r="15119">
          <cell r="E15119" t="str">
            <v>SPEA</v>
          </cell>
          <cell r="F15119" t="str">
            <v>SPEA-V</v>
          </cell>
          <cell r="G15119">
            <v>241</v>
          </cell>
          <cell r="H15119" t="str">
            <v>SPEA-V241</v>
          </cell>
          <cell r="K15119" t="str">
            <v>Kolpakov,Aleksey V</v>
          </cell>
          <cell r="N15119">
            <v>2.9489999999999998</v>
          </cell>
          <cell r="O15119">
            <v>2.6190000000000002</v>
          </cell>
        </row>
        <row r="15120">
          <cell r="E15120" t="str">
            <v>SPEA</v>
          </cell>
          <cell r="F15120" t="str">
            <v>SPEA-V</v>
          </cell>
          <cell r="G15120">
            <v>241</v>
          </cell>
          <cell r="H15120" t="str">
            <v>SPEA-V241</v>
          </cell>
          <cell r="K15120" t="str">
            <v>Lyons,Al L</v>
          </cell>
          <cell r="N15120">
            <v>3.1659999999999999</v>
          </cell>
          <cell r="O15120">
            <v>3.0209999999999999</v>
          </cell>
        </row>
        <row r="15121">
          <cell r="E15121" t="str">
            <v>SPEA</v>
          </cell>
          <cell r="F15121" t="str">
            <v>SPEA-V</v>
          </cell>
          <cell r="G15121">
            <v>241</v>
          </cell>
          <cell r="H15121" t="str">
            <v>SPEA-V241</v>
          </cell>
          <cell r="K15121" t="str">
            <v>O'Neill,Nathan Patrick</v>
          </cell>
          <cell r="N15121">
            <v>3.2829999999999999</v>
          </cell>
          <cell r="O15121">
            <v>2.76</v>
          </cell>
        </row>
        <row r="15122">
          <cell r="E15122" t="str">
            <v>SPEA</v>
          </cell>
          <cell r="F15122" t="str">
            <v>SPEA-V</v>
          </cell>
          <cell r="G15122">
            <v>241</v>
          </cell>
          <cell r="H15122" t="str">
            <v>SPEA-V241</v>
          </cell>
          <cell r="K15122" t="str">
            <v>Petkus,Donald Arnold</v>
          </cell>
          <cell r="N15122">
            <v>3.25</v>
          </cell>
          <cell r="O15122">
            <v>2.9129999999999998</v>
          </cell>
        </row>
        <row r="15123">
          <cell r="E15123" t="str">
            <v>SPEA</v>
          </cell>
          <cell r="F15123" t="str">
            <v>SPEA-V</v>
          </cell>
          <cell r="G15123">
            <v>246</v>
          </cell>
          <cell r="H15123" t="str">
            <v>SPEA-V246</v>
          </cell>
          <cell r="K15123" t="str">
            <v>Fry,Vickie Ann</v>
          </cell>
          <cell r="N15123">
            <v>2.956</v>
          </cell>
          <cell r="O15123">
            <v>2.9870000000000001</v>
          </cell>
        </row>
        <row r="15124">
          <cell r="E15124" t="str">
            <v>SPEA</v>
          </cell>
          <cell r="F15124" t="str">
            <v>SPEA-V</v>
          </cell>
          <cell r="G15124">
            <v>246</v>
          </cell>
          <cell r="H15124" t="str">
            <v>SPEA-V246</v>
          </cell>
          <cell r="K15124" t="str">
            <v>Jain,Chaman Lal</v>
          </cell>
          <cell r="N15124">
            <v>2.6829999999999998</v>
          </cell>
          <cell r="O15124">
            <v>2.9670000000000001</v>
          </cell>
        </row>
        <row r="15125">
          <cell r="E15125" t="str">
            <v>SPEA</v>
          </cell>
          <cell r="F15125" t="str">
            <v>SPEA-V</v>
          </cell>
          <cell r="G15125">
            <v>246</v>
          </cell>
          <cell r="H15125" t="str">
            <v>SPEA-V246</v>
          </cell>
          <cell r="K15125" t="str">
            <v>McCaster,Antonette L</v>
          </cell>
          <cell r="N15125">
            <v>3.0329999999999999</v>
          </cell>
          <cell r="O15125">
            <v>2.984</v>
          </cell>
        </row>
        <row r="15126">
          <cell r="E15126" t="str">
            <v>SPEA</v>
          </cell>
          <cell r="F15126" t="str">
            <v>SPEA-V</v>
          </cell>
          <cell r="G15126">
            <v>246</v>
          </cell>
          <cell r="H15126" t="str">
            <v>SPEA-V246</v>
          </cell>
          <cell r="K15126" t="str">
            <v>McCaster,Antonette L</v>
          </cell>
          <cell r="N15126">
            <v>3.78</v>
          </cell>
          <cell r="O15126">
            <v>3.1019999999999999</v>
          </cell>
        </row>
        <row r="15127">
          <cell r="E15127" t="str">
            <v>SPEA</v>
          </cell>
          <cell r="F15127" t="str">
            <v>SPEA-V</v>
          </cell>
          <cell r="G15127">
            <v>246</v>
          </cell>
          <cell r="H15127" t="str">
            <v>SPEA-V246</v>
          </cell>
          <cell r="K15127" t="str">
            <v>Nguyen,Ha</v>
          </cell>
          <cell r="N15127">
            <v>3.504</v>
          </cell>
          <cell r="O15127">
            <v>3.0750000000000002</v>
          </cell>
        </row>
        <row r="15128">
          <cell r="E15128" t="str">
            <v>SPEA</v>
          </cell>
          <cell r="F15128" t="str">
            <v>SPEA-V</v>
          </cell>
          <cell r="G15128">
            <v>246</v>
          </cell>
          <cell r="H15128" t="str">
            <v>SPEA-V246</v>
          </cell>
          <cell r="K15128" t="str">
            <v>Valenta,Greg J</v>
          </cell>
          <cell r="N15128">
            <v>2.758</v>
          </cell>
          <cell r="O15128">
            <v>2.9249999999999998</v>
          </cell>
        </row>
        <row r="15129">
          <cell r="E15129" t="str">
            <v>SPEA</v>
          </cell>
          <cell r="F15129" t="str">
            <v>SPEA-V</v>
          </cell>
          <cell r="G15129">
            <v>246</v>
          </cell>
          <cell r="H15129" t="str">
            <v>SPEA-V246</v>
          </cell>
          <cell r="K15129" t="str">
            <v>Valenta,Greg J</v>
          </cell>
          <cell r="N15129">
            <v>2.4470000000000001</v>
          </cell>
          <cell r="O15129">
            <v>2.847</v>
          </cell>
        </row>
        <row r="15130">
          <cell r="E15130" t="str">
            <v>SPEA</v>
          </cell>
          <cell r="F15130" t="str">
            <v>SPEA-V</v>
          </cell>
          <cell r="G15130">
            <v>252</v>
          </cell>
          <cell r="H15130" t="str">
            <v>SPEA-V252</v>
          </cell>
          <cell r="K15130" t="str">
            <v>Mc Donald,Kathleen M</v>
          </cell>
          <cell r="N15130">
            <v>3.4220000000000002</v>
          </cell>
          <cell r="O15130">
            <v>3.0529999999999999</v>
          </cell>
        </row>
        <row r="15131">
          <cell r="E15131" t="str">
            <v>SPEA</v>
          </cell>
          <cell r="F15131" t="str">
            <v>SPEA-V</v>
          </cell>
          <cell r="G15131">
            <v>252</v>
          </cell>
          <cell r="H15131" t="str">
            <v>SPEA-V252</v>
          </cell>
          <cell r="K15131" t="str">
            <v>Mc Donald,Kathleen M</v>
          </cell>
          <cell r="N15131">
            <v>3.3519999999999999</v>
          </cell>
          <cell r="O15131">
            <v>2.8980000000000001</v>
          </cell>
        </row>
        <row r="15132">
          <cell r="E15132" t="str">
            <v>SPEA</v>
          </cell>
          <cell r="F15132" t="str">
            <v>SPEA-V</v>
          </cell>
          <cell r="G15132">
            <v>252</v>
          </cell>
          <cell r="H15132" t="str">
            <v>SPEA-V252</v>
          </cell>
          <cell r="K15132" t="str">
            <v>Mc Kean,James Dale</v>
          </cell>
          <cell r="N15132">
            <v>3.32</v>
          </cell>
          <cell r="O15132">
            <v>2.9319999999999999</v>
          </cell>
        </row>
        <row r="15133">
          <cell r="E15133" t="str">
            <v>SPEA</v>
          </cell>
          <cell r="F15133" t="str">
            <v>SPEA-V</v>
          </cell>
          <cell r="G15133">
            <v>252</v>
          </cell>
          <cell r="H15133" t="str">
            <v>SPEA-V252</v>
          </cell>
          <cell r="K15133" t="str">
            <v>Rathbun,Robert Thomas</v>
          </cell>
          <cell r="N15133">
            <v>3.915</v>
          </cell>
          <cell r="O15133">
            <v>3.113</v>
          </cell>
        </row>
        <row r="15134">
          <cell r="E15134" t="str">
            <v>SPEA</v>
          </cell>
          <cell r="F15134" t="str">
            <v>SPEA-V</v>
          </cell>
          <cell r="G15134">
            <v>252</v>
          </cell>
          <cell r="H15134" t="str">
            <v>SPEA-V252</v>
          </cell>
          <cell r="K15134" t="str">
            <v>Rathbun,Robert Thomas</v>
          </cell>
          <cell r="N15134">
            <v>3.7669999999999999</v>
          </cell>
          <cell r="O15134">
            <v>3.0350000000000001</v>
          </cell>
        </row>
        <row r="15135">
          <cell r="E15135" t="str">
            <v>SPEA</v>
          </cell>
          <cell r="F15135" t="str">
            <v>SPEA-V</v>
          </cell>
          <cell r="G15135">
            <v>252</v>
          </cell>
          <cell r="H15135" t="str">
            <v>SPEA-V252</v>
          </cell>
          <cell r="K15135" t="str">
            <v>Schulz,Glenda</v>
          </cell>
          <cell r="N15135">
            <v>3.81</v>
          </cell>
          <cell r="O15135">
            <v>3.1629999999999998</v>
          </cell>
        </row>
        <row r="15136">
          <cell r="E15136" t="str">
            <v>SPEA</v>
          </cell>
          <cell r="F15136" t="str">
            <v>SPEA-V</v>
          </cell>
          <cell r="G15136">
            <v>252</v>
          </cell>
          <cell r="H15136" t="str">
            <v>SPEA-V252</v>
          </cell>
          <cell r="K15136" t="str">
            <v>Schulz,Glenda</v>
          </cell>
          <cell r="N15136">
            <v>3.319</v>
          </cell>
          <cell r="O15136">
            <v>3.0539999999999998</v>
          </cell>
        </row>
        <row r="15137">
          <cell r="E15137" t="str">
            <v>SPEA</v>
          </cell>
          <cell r="F15137" t="str">
            <v>SPEA-V</v>
          </cell>
          <cell r="G15137">
            <v>252</v>
          </cell>
          <cell r="H15137" t="str">
            <v>SPEA-V252</v>
          </cell>
          <cell r="K15137" t="str">
            <v>Schulz,Glenda</v>
          </cell>
          <cell r="N15137">
            <v>3.782</v>
          </cell>
          <cell r="O15137">
            <v>3.1960000000000002</v>
          </cell>
        </row>
        <row r="15138">
          <cell r="E15138" t="str">
            <v>SPEA</v>
          </cell>
          <cell r="F15138" t="str">
            <v>SPEA-V</v>
          </cell>
          <cell r="G15138">
            <v>252</v>
          </cell>
          <cell r="H15138" t="str">
            <v>SPEA-V252</v>
          </cell>
          <cell r="K15138" t="str">
            <v>Sewell,Katie</v>
          </cell>
          <cell r="N15138">
            <v>3.7240000000000002</v>
          </cell>
          <cell r="O15138">
            <v>3.2320000000000002</v>
          </cell>
        </row>
        <row r="15139">
          <cell r="E15139" t="str">
            <v>SPEA</v>
          </cell>
          <cell r="F15139" t="str">
            <v>SPEA-V</v>
          </cell>
          <cell r="G15139">
            <v>252</v>
          </cell>
          <cell r="H15139" t="str">
            <v>SPEA-V252</v>
          </cell>
          <cell r="K15139" t="str">
            <v>Sewell,Katie</v>
          </cell>
          <cell r="N15139">
            <v>3.7770000000000001</v>
          </cell>
          <cell r="O15139">
            <v>3.2050000000000001</v>
          </cell>
        </row>
        <row r="15140">
          <cell r="E15140" t="str">
            <v>SPEA</v>
          </cell>
          <cell r="F15140" t="str">
            <v>SPEA-V</v>
          </cell>
          <cell r="G15140">
            <v>261</v>
          </cell>
          <cell r="H15140" t="str">
            <v>SPEA-V261</v>
          </cell>
          <cell r="K15140" t="str">
            <v>Chaora,Anesu Christopher</v>
          </cell>
          <cell r="N15140">
            <v>3.5379999999999998</v>
          </cell>
          <cell r="O15140">
            <v>2.855</v>
          </cell>
        </row>
        <row r="15141">
          <cell r="E15141" t="str">
            <v>SPEA</v>
          </cell>
          <cell r="F15141" t="str">
            <v>SPEA-V</v>
          </cell>
          <cell r="G15141">
            <v>261</v>
          </cell>
          <cell r="H15141" t="str">
            <v>SPEA-V261</v>
          </cell>
          <cell r="K15141" t="str">
            <v>Chaora,Anesu Christopher</v>
          </cell>
          <cell r="N15141">
            <v>3.4790000000000001</v>
          </cell>
          <cell r="O15141">
            <v>2.754</v>
          </cell>
        </row>
        <row r="15142">
          <cell r="E15142" t="str">
            <v>SPEA</v>
          </cell>
          <cell r="F15142" t="str">
            <v>SPEA-V</v>
          </cell>
          <cell r="G15142">
            <v>261</v>
          </cell>
          <cell r="H15142" t="str">
            <v>SPEA-V261</v>
          </cell>
          <cell r="K15142" t="str">
            <v>England,Christopher</v>
          </cell>
          <cell r="N15142">
            <v>3.5419999999999998</v>
          </cell>
          <cell r="O15142">
            <v>3.0950000000000002</v>
          </cell>
        </row>
        <row r="15143">
          <cell r="E15143" t="str">
            <v>SPEA</v>
          </cell>
          <cell r="F15143" t="str">
            <v>SPEA-V</v>
          </cell>
          <cell r="G15143">
            <v>261</v>
          </cell>
          <cell r="H15143" t="str">
            <v>SPEA-V261</v>
          </cell>
          <cell r="K15143" t="str">
            <v>England,Christopher</v>
          </cell>
          <cell r="N15143">
            <v>3.5289999999999999</v>
          </cell>
          <cell r="O15143">
            <v>2.8690000000000002</v>
          </cell>
        </row>
        <row r="15144">
          <cell r="E15144" t="str">
            <v>SPEA</v>
          </cell>
          <cell r="F15144" t="str">
            <v>SPEA-V</v>
          </cell>
          <cell r="G15144">
            <v>261</v>
          </cell>
          <cell r="H15144" t="str">
            <v>SPEA-V261</v>
          </cell>
          <cell r="K15144" t="str">
            <v>Julovich,James S</v>
          </cell>
          <cell r="N15144">
            <v>2.3420000000000001</v>
          </cell>
          <cell r="O15144">
            <v>2.7589999999999999</v>
          </cell>
        </row>
        <row r="15145">
          <cell r="E15145" t="str">
            <v>SPEA</v>
          </cell>
          <cell r="F15145" t="str">
            <v>SPEA-V</v>
          </cell>
          <cell r="G15145">
            <v>261</v>
          </cell>
          <cell r="H15145" t="str">
            <v>SPEA-V261</v>
          </cell>
          <cell r="K15145" t="str">
            <v>Morris,Roger Alan</v>
          </cell>
          <cell r="N15145">
            <v>3.6930000000000001</v>
          </cell>
          <cell r="O15145">
            <v>3.0710000000000002</v>
          </cell>
        </row>
        <row r="15146">
          <cell r="E15146" t="str">
            <v>SPEA</v>
          </cell>
          <cell r="F15146" t="str">
            <v>SPEA-V</v>
          </cell>
          <cell r="G15146">
            <v>261</v>
          </cell>
          <cell r="H15146" t="str">
            <v>SPEA-V261</v>
          </cell>
          <cell r="K15146" t="str">
            <v>Morris,Roger Alan</v>
          </cell>
          <cell r="N15146">
            <v>3.3149999999999999</v>
          </cell>
          <cell r="O15146">
            <v>2.9319999999999999</v>
          </cell>
        </row>
        <row r="15147">
          <cell r="E15147" t="str">
            <v>SPEA</v>
          </cell>
          <cell r="F15147" t="str">
            <v>SPEA-V</v>
          </cell>
          <cell r="G15147">
            <v>261</v>
          </cell>
          <cell r="H15147" t="str">
            <v>SPEA-V261</v>
          </cell>
          <cell r="K15147" t="str">
            <v>Niswander,Mark A</v>
          </cell>
          <cell r="N15147">
            <v>3.7570000000000001</v>
          </cell>
          <cell r="O15147">
            <v>3.0329999999999999</v>
          </cell>
        </row>
        <row r="15148">
          <cell r="E15148" t="str">
            <v>SPEA</v>
          </cell>
          <cell r="F15148" t="str">
            <v>SPEA-V</v>
          </cell>
          <cell r="G15148">
            <v>261</v>
          </cell>
          <cell r="H15148" t="str">
            <v>SPEA-V261</v>
          </cell>
          <cell r="K15148" t="str">
            <v>Russell,James E</v>
          </cell>
          <cell r="N15148">
            <v>3.1160000000000001</v>
          </cell>
          <cell r="O15148">
            <v>2.988</v>
          </cell>
        </row>
        <row r="15149">
          <cell r="E15149" t="str">
            <v>SPEA</v>
          </cell>
          <cell r="F15149" t="str">
            <v>SPEA-V</v>
          </cell>
          <cell r="G15149">
            <v>261</v>
          </cell>
          <cell r="H15149" t="str">
            <v>SPEA-V261</v>
          </cell>
          <cell r="K15149" t="str">
            <v>Russell,James E</v>
          </cell>
          <cell r="N15149">
            <v>3.1</v>
          </cell>
          <cell r="O15149">
            <v>2.9460000000000002</v>
          </cell>
        </row>
        <row r="15150">
          <cell r="E15150" t="str">
            <v>SPEA</v>
          </cell>
          <cell r="F15150" t="str">
            <v>SPEA-V</v>
          </cell>
          <cell r="G15150">
            <v>261</v>
          </cell>
          <cell r="H15150" t="str">
            <v>SPEA-V261</v>
          </cell>
          <cell r="K15150" t="str">
            <v>Schau,Duane J</v>
          </cell>
          <cell r="N15150">
            <v>3.1680000000000001</v>
          </cell>
          <cell r="O15150">
            <v>3.0750000000000002</v>
          </cell>
        </row>
        <row r="15151">
          <cell r="E15151" t="str">
            <v>SPEA</v>
          </cell>
          <cell r="F15151" t="str">
            <v>SPEA-V</v>
          </cell>
          <cell r="G15151">
            <v>263</v>
          </cell>
          <cell r="H15151" t="str">
            <v>SPEA-V263</v>
          </cell>
          <cell r="K15151" t="str">
            <v>Branham,Gary Lee</v>
          </cell>
          <cell r="N15151">
            <v>2.9209999999999998</v>
          </cell>
          <cell r="O15151">
            <v>2.8570000000000002</v>
          </cell>
        </row>
        <row r="15152">
          <cell r="E15152" t="str">
            <v>SPEA</v>
          </cell>
          <cell r="F15152" t="str">
            <v>SPEA-V</v>
          </cell>
          <cell r="G15152">
            <v>263</v>
          </cell>
          <cell r="H15152" t="str">
            <v>SPEA-V263</v>
          </cell>
          <cell r="K15152" t="str">
            <v>Fucilla,Louis Jude</v>
          </cell>
          <cell r="N15152">
            <v>3.0219999999999998</v>
          </cell>
          <cell r="O15152">
            <v>3.1360000000000001</v>
          </cell>
        </row>
        <row r="15153">
          <cell r="E15153" t="str">
            <v>SPEA</v>
          </cell>
          <cell r="F15153" t="str">
            <v>SPEA-V</v>
          </cell>
          <cell r="G15153">
            <v>263</v>
          </cell>
          <cell r="H15153" t="str">
            <v>SPEA-V263</v>
          </cell>
          <cell r="K15153" t="str">
            <v>McGarvey,Dick</v>
          </cell>
          <cell r="N15153">
            <v>3.444</v>
          </cell>
          <cell r="O15153">
            <v>3.0760000000000001</v>
          </cell>
        </row>
        <row r="15154">
          <cell r="E15154" t="str">
            <v>SPEA</v>
          </cell>
          <cell r="F15154" t="str">
            <v>SPEA-V</v>
          </cell>
          <cell r="G15154">
            <v>263</v>
          </cell>
          <cell r="H15154" t="str">
            <v>SPEA-V263</v>
          </cell>
          <cell r="K15154" t="str">
            <v>Petkus,Donald Arnold</v>
          </cell>
          <cell r="N15154">
            <v>3.38</v>
          </cell>
          <cell r="O15154">
            <v>3.0870000000000002</v>
          </cell>
        </row>
        <row r="15155">
          <cell r="E15155" t="str">
            <v>SPEA</v>
          </cell>
          <cell r="F15155" t="str">
            <v>SPEA-V</v>
          </cell>
          <cell r="G15155">
            <v>263</v>
          </cell>
          <cell r="H15155" t="str">
            <v>SPEA-V263</v>
          </cell>
          <cell r="K15155" t="str">
            <v>Petkus,Donald Arnold</v>
          </cell>
          <cell r="N15155">
            <v>3.129</v>
          </cell>
          <cell r="O15155">
            <v>2.6190000000000002</v>
          </cell>
        </row>
        <row r="15156">
          <cell r="E15156" t="str">
            <v>SPEA</v>
          </cell>
          <cell r="F15156" t="str">
            <v>SPEA-V</v>
          </cell>
          <cell r="G15156">
            <v>263</v>
          </cell>
          <cell r="H15156" t="str">
            <v>SPEA-V263</v>
          </cell>
          <cell r="K15156" t="str">
            <v>Resh,William</v>
          </cell>
          <cell r="N15156">
            <v>2.843</v>
          </cell>
          <cell r="O15156">
            <v>2.766</v>
          </cell>
        </row>
        <row r="15157">
          <cell r="E15157" t="str">
            <v>SPEA</v>
          </cell>
          <cell r="F15157" t="str">
            <v>SPEA-V</v>
          </cell>
          <cell r="G15157">
            <v>267</v>
          </cell>
          <cell r="H15157" t="str">
            <v>SPEA-V267</v>
          </cell>
          <cell r="K15157" t="str">
            <v>Albert,Erika Nicole</v>
          </cell>
          <cell r="N15157">
            <v>4</v>
          </cell>
          <cell r="O15157">
            <v>3.2639999999999998</v>
          </cell>
        </row>
        <row r="15158">
          <cell r="E15158" t="str">
            <v>SPEA</v>
          </cell>
          <cell r="F15158" t="str">
            <v>SPEA-V</v>
          </cell>
          <cell r="G15158">
            <v>340</v>
          </cell>
          <cell r="H15158" t="str">
            <v>SPEA-V340</v>
          </cell>
          <cell r="K15158" t="str">
            <v>Kruzan,Mark R.</v>
          </cell>
          <cell r="N15158">
            <v>3.65</v>
          </cell>
          <cell r="O15158">
            <v>2.9670000000000001</v>
          </cell>
        </row>
        <row r="15159">
          <cell r="E15159" t="str">
            <v>SPEA</v>
          </cell>
          <cell r="F15159" t="str">
            <v>SPEA-V</v>
          </cell>
          <cell r="G15159">
            <v>346</v>
          </cell>
          <cell r="H15159" t="str">
            <v>SPEA-V346</v>
          </cell>
          <cell r="K15159" t="str">
            <v>Jain,Chaman Lal</v>
          </cell>
          <cell r="N15159">
            <v>2.4849999999999999</v>
          </cell>
          <cell r="O15159">
            <v>3.0249999999999999</v>
          </cell>
        </row>
        <row r="15160">
          <cell r="E15160" t="str">
            <v>SPEA</v>
          </cell>
          <cell r="F15160" t="str">
            <v>SPEA-V</v>
          </cell>
          <cell r="G15160">
            <v>346</v>
          </cell>
          <cell r="H15160" t="str">
            <v>SPEA-V346</v>
          </cell>
          <cell r="K15160" t="str">
            <v>McCaster,Antonette L</v>
          </cell>
          <cell r="N15160">
            <v>3.782</v>
          </cell>
          <cell r="O15160">
            <v>3.1080000000000001</v>
          </cell>
        </row>
        <row r="15161">
          <cell r="E15161" t="str">
            <v>SPEA</v>
          </cell>
          <cell r="F15161" t="str">
            <v>SPEA-V</v>
          </cell>
          <cell r="G15161">
            <v>348</v>
          </cell>
          <cell r="H15161" t="str">
            <v>SPEA-V348</v>
          </cell>
          <cell r="K15161" t="str">
            <v>Czar,Nora</v>
          </cell>
          <cell r="N15161">
            <v>2.9769999999999999</v>
          </cell>
          <cell r="O15161">
            <v>2.9910000000000001</v>
          </cell>
        </row>
        <row r="15162">
          <cell r="E15162" t="str">
            <v>SPEA</v>
          </cell>
          <cell r="F15162" t="str">
            <v>SPEA-V</v>
          </cell>
          <cell r="G15162">
            <v>348</v>
          </cell>
          <cell r="H15162" t="str">
            <v>SPEA-V348</v>
          </cell>
          <cell r="K15162" t="str">
            <v>Czar,Nora</v>
          </cell>
          <cell r="N15162">
            <v>3.3940000000000001</v>
          </cell>
          <cell r="O15162">
            <v>3.1309999999999998</v>
          </cell>
        </row>
        <row r="15163">
          <cell r="E15163" t="str">
            <v>SPEA</v>
          </cell>
          <cell r="F15163" t="str">
            <v>SPEA-V</v>
          </cell>
          <cell r="G15163">
            <v>348</v>
          </cell>
          <cell r="H15163" t="str">
            <v>SPEA-V348</v>
          </cell>
          <cell r="K15163" t="str">
            <v>Kolpakov,Aleksey V</v>
          </cell>
          <cell r="N15163">
            <v>2.7349999999999999</v>
          </cell>
          <cell r="O15163">
            <v>2.956</v>
          </cell>
        </row>
        <row r="15164">
          <cell r="E15164" t="str">
            <v>SPEA</v>
          </cell>
          <cell r="F15164" t="str">
            <v>SPEA-V</v>
          </cell>
          <cell r="G15164">
            <v>348</v>
          </cell>
          <cell r="H15164" t="str">
            <v>SPEA-V348</v>
          </cell>
          <cell r="K15164" t="str">
            <v>Vargas,Edward David</v>
          </cell>
          <cell r="N15164">
            <v>3.7290000000000001</v>
          </cell>
          <cell r="O15164">
            <v>3.2389999999999999</v>
          </cell>
        </row>
        <row r="15165">
          <cell r="E15165" t="str">
            <v>SPEA</v>
          </cell>
          <cell r="F15165" t="str">
            <v>SPEA-V</v>
          </cell>
          <cell r="G15165">
            <v>356</v>
          </cell>
          <cell r="H15165" t="str">
            <v>SPEA-V356</v>
          </cell>
          <cell r="K15165" t="str">
            <v>Jain,Chaman Lal</v>
          </cell>
          <cell r="N15165">
            <v>2.7970000000000002</v>
          </cell>
          <cell r="O15165">
            <v>2.8889999999999998</v>
          </cell>
        </row>
        <row r="15166">
          <cell r="E15166" t="str">
            <v>SPEA</v>
          </cell>
          <cell r="F15166" t="str">
            <v>SPEA-V</v>
          </cell>
          <cell r="G15166">
            <v>361</v>
          </cell>
          <cell r="H15166" t="str">
            <v>SPEA-V361</v>
          </cell>
          <cell r="K15166" t="str">
            <v>Gerrish,Ed Carter</v>
          </cell>
          <cell r="N15166">
            <v>2.0049999999999999</v>
          </cell>
          <cell r="O15166">
            <v>2.8130000000000002</v>
          </cell>
        </row>
        <row r="15167">
          <cell r="E15167" t="str">
            <v>SPEA</v>
          </cell>
          <cell r="F15167" t="str">
            <v>SPEA-V</v>
          </cell>
          <cell r="G15167">
            <v>361</v>
          </cell>
          <cell r="H15167" t="str">
            <v>SPEA-V361</v>
          </cell>
          <cell r="K15167" t="str">
            <v>Kurbanov,Shokhrukh Irkinovich</v>
          </cell>
          <cell r="N15167">
            <v>2.238</v>
          </cell>
          <cell r="O15167">
            <v>3.0049999999999999</v>
          </cell>
        </row>
        <row r="15168">
          <cell r="E15168" t="str">
            <v>SPEA</v>
          </cell>
          <cell r="F15168" t="str">
            <v>SPEA-V</v>
          </cell>
          <cell r="G15168">
            <v>361</v>
          </cell>
          <cell r="H15168" t="str">
            <v>SPEA-V361</v>
          </cell>
          <cell r="K15168" t="str">
            <v>McGiverin-Bohan,Kellie</v>
          </cell>
          <cell r="N15168">
            <v>2.9729999999999999</v>
          </cell>
          <cell r="O15168">
            <v>2.8359999999999999</v>
          </cell>
        </row>
        <row r="15169">
          <cell r="E15169" t="str">
            <v>SPEA</v>
          </cell>
          <cell r="F15169" t="str">
            <v>SPEA-V</v>
          </cell>
          <cell r="G15169">
            <v>361</v>
          </cell>
          <cell r="H15169" t="str">
            <v>SPEA-V361</v>
          </cell>
          <cell r="K15169" t="str">
            <v>Moldogaziev,Tima</v>
          </cell>
          <cell r="N15169">
            <v>2.702</v>
          </cell>
          <cell r="O15169">
            <v>3.0760000000000001</v>
          </cell>
        </row>
        <row r="15170">
          <cell r="E15170" t="str">
            <v>SPEA</v>
          </cell>
          <cell r="F15170" t="str">
            <v>SPEA-V</v>
          </cell>
          <cell r="G15170">
            <v>361</v>
          </cell>
          <cell r="H15170" t="str">
            <v>SPEA-V361</v>
          </cell>
          <cell r="K15170" t="str">
            <v>Renner,Terri L.</v>
          </cell>
          <cell r="N15170">
            <v>2.5880000000000001</v>
          </cell>
          <cell r="O15170">
            <v>3.0630000000000002</v>
          </cell>
        </row>
        <row r="15171">
          <cell r="E15171" t="str">
            <v>SPEA</v>
          </cell>
          <cell r="F15171" t="str">
            <v>SPEA-V</v>
          </cell>
          <cell r="G15171">
            <v>361</v>
          </cell>
          <cell r="H15171" t="str">
            <v>SPEA-V361</v>
          </cell>
          <cell r="K15171" t="str">
            <v>Renner,Terri L.</v>
          </cell>
          <cell r="N15171">
            <v>1.4870000000000001</v>
          </cell>
          <cell r="O15171">
            <v>2.6030000000000002</v>
          </cell>
        </row>
        <row r="15172">
          <cell r="E15172" t="str">
            <v>SPEA</v>
          </cell>
          <cell r="F15172" t="str">
            <v>SPEA-V</v>
          </cell>
          <cell r="G15172">
            <v>361</v>
          </cell>
          <cell r="H15172" t="str">
            <v>SPEA-V361</v>
          </cell>
          <cell r="K15172" t="str">
            <v>Reuveny,Rafael</v>
          </cell>
          <cell r="N15172">
            <v>2.8090000000000002</v>
          </cell>
          <cell r="O15172">
            <v>2.9950000000000001</v>
          </cell>
        </row>
        <row r="15173">
          <cell r="E15173" t="str">
            <v>SPEA</v>
          </cell>
          <cell r="F15173" t="str">
            <v>SPEA-V</v>
          </cell>
          <cell r="G15173">
            <v>361</v>
          </cell>
          <cell r="H15173" t="str">
            <v>SPEA-V361</v>
          </cell>
          <cell r="K15173" t="str">
            <v>Reuveny,Rafael</v>
          </cell>
          <cell r="N15173">
            <v>3.2909999999999999</v>
          </cell>
          <cell r="O15173">
            <v>3.16</v>
          </cell>
        </row>
        <row r="15174">
          <cell r="E15174" t="str">
            <v>SPEA</v>
          </cell>
          <cell r="F15174" t="str">
            <v>SPEA-V</v>
          </cell>
          <cell r="G15174">
            <v>361</v>
          </cell>
          <cell r="H15174" t="str">
            <v>SPEA-V361</v>
          </cell>
          <cell r="K15174" t="str">
            <v>Valenta,Greg J</v>
          </cell>
          <cell r="N15174">
            <v>2.9460000000000002</v>
          </cell>
          <cell r="O15174">
            <v>3.0950000000000002</v>
          </cell>
        </row>
        <row r="15175">
          <cell r="E15175" t="str">
            <v>SPEA</v>
          </cell>
          <cell r="F15175" t="str">
            <v>SPEA-V</v>
          </cell>
          <cell r="G15175">
            <v>362</v>
          </cell>
          <cell r="H15175" t="str">
            <v>SPEA-V362</v>
          </cell>
          <cell r="K15175" t="str">
            <v>Applegate,Beth Ann</v>
          </cell>
          <cell r="N15175">
            <v>3.286</v>
          </cell>
          <cell r="O15175">
            <v>3.1560000000000001</v>
          </cell>
        </row>
        <row r="15176">
          <cell r="E15176" t="str">
            <v>SPEA</v>
          </cell>
          <cell r="F15176" t="str">
            <v>SPEA-V</v>
          </cell>
          <cell r="G15176">
            <v>362</v>
          </cell>
          <cell r="H15176" t="str">
            <v>SPEA-V362</v>
          </cell>
          <cell r="K15176" t="str">
            <v>Applegate,Beth Ann</v>
          </cell>
          <cell r="N15176">
            <v>2.97</v>
          </cell>
          <cell r="O15176">
            <v>3.0979999999999999</v>
          </cell>
        </row>
        <row r="15177">
          <cell r="E15177" t="str">
            <v>SPEA</v>
          </cell>
          <cell r="F15177" t="str">
            <v>SPEA-V</v>
          </cell>
          <cell r="G15177">
            <v>362</v>
          </cell>
          <cell r="H15177" t="str">
            <v>SPEA-V362</v>
          </cell>
          <cell r="K15177" t="str">
            <v>Applegate,Beth Ann</v>
          </cell>
          <cell r="N15177">
            <v>3.3759999999999999</v>
          </cell>
          <cell r="O15177">
            <v>3.0960000000000001</v>
          </cell>
        </row>
        <row r="15178">
          <cell r="E15178" t="str">
            <v>SPEA</v>
          </cell>
          <cell r="F15178" t="str">
            <v>SPEA-V</v>
          </cell>
          <cell r="G15178">
            <v>362</v>
          </cell>
          <cell r="H15178" t="str">
            <v>SPEA-V362</v>
          </cell>
          <cell r="K15178" t="str">
            <v>Lyons,Al L</v>
          </cell>
          <cell r="N15178">
            <v>3.24</v>
          </cell>
          <cell r="O15178">
            <v>3.3639999999999999</v>
          </cell>
        </row>
        <row r="15179">
          <cell r="E15179" t="str">
            <v>SPEA</v>
          </cell>
          <cell r="F15179" t="str">
            <v>SPEA-V</v>
          </cell>
          <cell r="G15179">
            <v>362</v>
          </cell>
          <cell r="H15179" t="str">
            <v>SPEA-V362</v>
          </cell>
          <cell r="K15179" t="str">
            <v>Lyons,Al L</v>
          </cell>
          <cell r="N15179">
            <v>3.0750000000000002</v>
          </cell>
          <cell r="O15179">
            <v>3.137</v>
          </cell>
        </row>
        <row r="15180">
          <cell r="E15180" t="str">
            <v>SPEA</v>
          </cell>
          <cell r="F15180" t="str">
            <v>SPEA-V</v>
          </cell>
          <cell r="G15180">
            <v>362</v>
          </cell>
          <cell r="H15180" t="str">
            <v>SPEA-V362</v>
          </cell>
          <cell r="K15180" t="str">
            <v>Lyons,Al L</v>
          </cell>
          <cell r="N15180">
            <v>2.9740000000000002</v>
          </cell>
          <cell r="O15180">
            <v>3.202</v>
          </cell>
        </row>
        <row r="15181">
          <cell r="E15181" t="str">
            <v>SPEA</v>
          </cell>
          <cell r="F15181" t="str">
            <v>SPEA-V</v>
          </cell>
          <cell r="G15181">
            <v>366</v>
          </cell>
          <cell r="H15181" t="str">
            <v>SPEA-V366</v>
          </cell>
          <cell r="K15181" t="str">
            <v>Engbers,Trent Aaron</v>
          </cell>
          <cell r="N15181">
            <v>3.0649999999999999</v>
          </cell>
          <cell r="O15181">
            <v>2.956</v>
          </cell>
        </row>
        <row r="15182">
          <cell r="E15182" t="str">
            <v>SPEA</v>
          </cell>
          <cell r="F15182" t="str">
            <v>SPEA-V</v>
          </cell>
          <cell r="G15182">
            <v>366</v>
          </cell>
          <cell r="H15182" t="str">
            <v>SPEA-V366</v>
          </cell>
          <cell r="K15182" t="str">
            <v>Fucilla,Louis Jude</v>
          </cell>
          <cell r="N15182">
            <v>2.8479999999999999</v>
          </cell>
          <cell r="O15182">
            <v>2.96</v>
          </cell>
        </row>
        <row r="15183">
          <cell r="E15183" t="str">
            <v>SPEA</v>
          </cell>
          <cell r="F15183" t="str">
            <v>SPEA-V</v>
          </cell>
          <cell r="G15183">
            <v>366</v>
          </cell>
          <cell r="H15183" t="str">
            <v>SPEA-V366</v>
          </cell>
          <cell r="K15183" t="str">
            <v>Hughes,Cheryl Kay</v>
          </cell>
          <cell r="N15183">
            <v>3.262</v>
          </cell>
          <cell r="O15183">
            <v>2.9329999999999998</v>
          </cell>
        </row>
        <row r="15184">
          <cell r="E15184" t="str">
            <v>SPEA</v>
          </cell>
          <cell r="F15184" t="str">
            <v>SPEA-V</v>
          </cell>
          <cell r="G15184">
            <v>366</v>
          </cell>
          <cell r="H15184" t="str">
            <v>SPEA-V366</v>
          </cell>
          <cell r="K15184" t="str">
            <v>Hughes,Cheryl Kay</v>
          </cell>
          <cell r="N15184">
            <v>3.4609999999999999</v>
          </cell>
          <cell r="O15184">
            <v>3.056</v>
          </cell>
        </row>
        <row r="15185">
          <cell r="E15185" t="str">
            <v>SPEA</v>
          </cell>
          <cell r="F15185" t="str">
            <v>SPEA-V</v>
          </cell>
          <cell r="G15185">
            <v>366</v>
          </cell>
          <cell r="H15185" t="str">
            <v>SPEA-V366</v>
          </cell>
          <cell r="K15185" t="str">
            <v>Kolpakov,Aleksey V</v>
          </cell>
          <cell r="N15185">
            <v>2.9380000000000002</v>
          </cell>
          <cell r="O15185">
            <v>2.6819999999999999</v>
          </cell>
        </row>
        <row r="15186">
          <cell r="E15186" t="str">
            <v>SPEA</v>
          </cell>
          <cell r="F15186" t="str">
            <v>SPEA-V</v>
          </cell>
          <cell r="G15186">
            <v>366</v>
          </cell>
          <cell r="H15186" t="str">
            <v>SPEA-V366</v>
          </cell>
          <cell r="K15186" t="str">
            <v>Lyons,Al L</v>
          </cell>
          <cell r="N15186">
            <v>2.9529999999999998</v>
          </cell>
          <cell r="O15186">
            <v>3.1219999999999999</v>
          </cell>
        </row>
        <row r="15187">
          <cell r="E15187" t="str">
            <v>SPEA</v>
          </cell>
          <cell r="F15187" t="str">
            <v>SPEA-V</v>
          </cell>
          <cell r="G15187">
            <v>366</v>
          </cell>
          <cell r="H15187" t="str">
            <v>SPEA-V366</v>
          </cell>
          <cell r="K15187" t="str">
            <v>Petkus,Donald Arnold</v>
          </cell>
          <cell r="N15187">
            <v>3.1509999999999998</v>
          </cell>
          <cell r="O15187">
            <v>3.0670000000000002</v>
          </cell>
        </row>
        <row r="15188">
          <cell r="E15188" t="str">
            <v>SPEA</v>
          </cell>
          <cell r="F15188" t="str">
            <v>SPEA-V</v>
          </cell>
          <cell r="G15188">
            <v>369</v>
          </cell>
          <cell r="H15188" t="str">
            <v>SPEA-V369</v>
          </cell>
          <cell r="K15188" t="str">
            <v>Bradley III,Tribble C</v>
          </cell>
          <cell r="N15188">
            <v>2.85</v>
          </cell>
          <cell r="O15188">
            <v>2.8050000000000002</v>
          </cell>
        </row>
        <row r="15189">
          <cell r="E15189" t="str">
            <v>SPEA</v>
          </cell>
          <cell r="F15189" t="str">
            <v>SPEA-V</v>
          </cell>
          <cell r="G15189">
            <v>369</v>
          </cell>
          <cell r="H15189" t="str">
            <v>SPEA-V369</v>
          </cell>
          <cell r="K15189" t="str">
            <v>Bradley III,Tribble C</v>
          </cell>
          <cell r="N15189">
            <v>3.0219999999999998</v>
          </cell>
          <cell r="O15189">
            <v>2.9780000000000002</v>
          </cell>
        </row>
        <row r="15190">
          <cell r="E15190" t="str">
            <v>SPEA</v>
          </cell>
          <cell r="F15190" t="str">
            <v>SPEA-V</v>
          </cell>
          <cell r="G15190">
            <v>369</v>
          </cell>
          <cell r="H15190" t="str">
            <v>SPEA-V369</v>
          </cell>
          <cell r="K15190" t="str">
            <v>England,Christopher</v>
          </cell>
          <cell r="N15190">
            <v>3.5649999999999999</v>
          </cell>
          <cell r="O15190">
            <v>2.9940000000000002</v>
          </cell>
        </row>
        <row r="15191">
          <cell r="E15191" t="str">
            <v>SPEA</v>
          </cell>
          <cell r="F15191" t="str">
            <v>SPEA-V</v>
          </cell>
          <cell r="G15191">
            <v>369</v>
          </cell>
          <cell r="H15191" t="str">
            <v>SPEA-V369</v>
          </cell>
          <cell r="K15191" t="str">
            <v>Hanek,Greg</v>
          </cell>
          <cell r="N15191">
            <v>3.008</v>
          </cell>
          <cell r="O15191">
            <v>2.8929999999999998</v>
          </cell>
        </row>
        <row r="15192">
          <cell r="E15192" t="str">
            <v>SPEA</v>
          </cell>
          <cell r="F15192" t="str">
            <v>SPEA-V</v>
          </cell>
          <cell r="G15192">
            <v>369</v>
          </cell>
          <cell r="H15192" t="str">
            <v>SPEA-V369</v>
          </cell>
          <cell r="K15192" t="str">
            <v>Usrey,Terry Ray</v>
          </cell>
          <cell r="N15192">
            <v>3.008</v>
          </cell>
          <cell r="O15192">
            <v>2.9489999999999998</v>
          </cell>
        </row>
        <row r="15193">
          <cell r="E15193" t="str">
            <v>SPEA</v>
          </cell>
          <cell r="F15193" t="str">
            <v>SPEA-V</v>
          </cell>
          <cell r="G15193">
            <v>369</v>
          </cell>
          <cell r="H15193" t="str">
            <v>SPEA-V369</v>
          </cell>
          <cell r="K15193" t="str">
            <v>Zeller,Tom S</v>
          </cell>
          <cell r="N15193">
            <v>3.2570000000000001</v>
          </cell>
          <cell r="O15193">
            <v>3.109</v>
          </cell>
        </row>
        <row r="15194">
          <cell r="E15194" t="str">
            <v>SPEA</v>
          </cell>
          <cell r="F15194" t="str">
            <v>SPEA-V</v>
          </cell>
          <cell r="G15194">
            <v>369</v>
          </cell>
          <cell r="H15194" t="str">
            <v>SPEA-V369</v>
          </cell>
          <cell r="K15194" t="str">
            <v>Zeller,Tom S</v>
          </cell>
          <cell r="N15194">
            <v>2.9710000000000001</v>
          </cell>
          <cell r="O15194">
            <v>2.8620000000000001</v>
          </cell>
        </row>
        <row r="15195">
          <cell r="E15195" t="str">
            <v>SPEA</v>
          </cell>
          <cell r="F15195" t="str">
            <v>SPEA-V</v>
          </cell>
          <cell r="G15195">
            <v>370</v>
          </cell>
          <cell r="H15195" t="str">
            <v>SPEA-V370</v>
          </cell>
          <cell r="K15195" t="str">
            <v>Alexeev,Alexander</v>
          </cell>
          <cell r="N15195">
            <v>3.46</v>
          </cell>
          <cell r="O15195">
            <v>3.327</v>
          </cell>
        </row>
        <row r="15196">
          <cell r="E15196" t="str">
            <v>SPEA</v>
          </cell>
          <cell r="F15196" t="str">
            <v>SPEA-V</v>
          </cell>
          <cell r="G15196">
            <v>370</v>
          </cell>
          <cell r="H15196" t="str">
            <v>SPEA-V370</v>
          </cell>
          <cell r="K15196" t="str">
            <v>Alexeev,Alexander</v>
          </cell>
          <cell r="N15196">
            <v>3.5</v>
          </cell>
          <cell r="O15196">
            <v>3.14</v>
          </cell>
        </row>
        <row r="15197">
          <cell r="E15197" t="str">
            <v>SPEA</v>
          </cell>
          <cell r="F15197" t="str">
            <v>SPEA-V</v>
          </cell>
          <cell r="G15197">
            <v>372</v>
          </cell>
          <cell r="H15197" t="str">
            <v>SPEA-V372</v>
          </cell>
          <cell r="K15197" t="str">
            <v>Fox,John Anthony</v>
          </cell>
          <cell r="N15197">
            <v>2.8660000000000001</v>
          </cell>
          <cell r="O15197">
            <v>3.1429999999999998</v>
          </cell>
        </row>
        <row r="15198">
          <cell r="E15198" t="str">
            <v>SPEA</v>
          </cell>
          <cell r="F15198" t="str">
            <v>SPEA-V</v>
          </cell>
          <cell r="G15198">
            <v>372</v>
          </cell>
          <cell r="H15198" t="str">
            <v>SPEA-V372</v>
          </cell>
          <cell r="K15198" t="str">
            <v>Fox,John Anthony</v>
          </cell>
          <cell r="N15198">
            <v>2.895</v>
          </cell>
          <cell r="O15198">
            <v>3.202</v>
          </cell>
        </row>
        <row r="15199">
          <cell r="E15199" t="str">
            <v>SPEA</v>
          </cell>
          <cell r="F15199" t="str">
            <v>SPEA-V</v>
          </cell>
          <cell r="G15199">
            <v>372</v>
          </cell>
          <cell r="H15199" t="str">
            <v>SPEA-V372</v>
          </cell>
          <cell r="K15199" t="str">
            <v>Guzman,Tatyana</v>
          </cell>
          <cell r="N15199">
            <v>2.7879999999999998</v>
          </cell>
          <cell r="O15199">
            <v>3.052</v>
          </cell>
        </row>
        <row r="15200">
          <cell r="E15200" t="str">
            <v>SPEA</v>
          </cell>
          <cell r="F15200" t="str">
            <v>SPEA-V</v>
          </cell>
          <cell r="G15200">
            <v>372</v>
          </cell>
          <cell r="H15200" t="str">
            <v>SPEA-V372</v>
          </cell>
          <cell r="K15200" t="str">
            <v>Guzman,Tatyana</v>
          </cell>
          <cell r="N15200">
            <v>3.1070000000000002</v>
          </cell>
          <cell r="O15200">
            <v>3.1030000000000002</v>
          </cell>
        </row>
        <row r="15201">
          <cell r="E15201" t="str">
            <v>SPEA</v>
          </cell>
          <cell r="F15201" t="str">
            <v>SPEA-V</v>
          </cell>
          <cell r="G15201">
            <v>372</v>
          </cell>
          <cell r="H15201" t="str">
            <v>SPEA-V372</v>
          </cell>
          <cell r="K15201" t="str">
            <v>Kurbanov,Shokhrukh Irkinovich</v>
          </cell>
          <cell r="N15201">
            <v>2.4340000000000002</v>
          </cell>
          <cell r="O15201">
            <v>2.7669999999999999</v>
          </cell>
        </row>
        <row r="15202">
          <cell r="E15202" t="str">
            <v>SPEA</v>
          </cell>
          <cell r="F15202" t="str">
            <v>SPEA-V</v>
          </cell>
          <cell r="G15202">
            <v>372</v>
          </cell>
          <cell r="H15202" t="str">
            <v>SPEA-V372</v>
          </cell>
          <cell r="K15202" t="str">
            <v>Kurbanov,Shokhrukh Irkinovich</v>
          </cell>
          <cell r="N15202">
            <v>2.84</v>
          </cell>
          <cell r="O15202">
            <v>2.581</v>
          </cell>
        </row>
        <row r="15203">
          <cell r="E15203" t="str">
            <v>SPEA</v>
          </cell>
          <cell r="F15203" t="str">
            <v>SPEA-V</v>
          </cell>
          <cell r="G15203">
            <v>372</v>
          </cell>
          <cell r="H15203" t="str">
            <v>SPEA-V372</v>
          </cell>
          <cell r="K15203" t="str">
            <v>Larson,Sarah Elizabeth</v>
          </cell>
          <cell r="N15203">
            <v>2.7229999999999999</v>
          </cell>
          <cell r="O15203">
            <v>3.036</v>
          </cell>
        </row>
        <row r="15204">
          <cell r="E15204" t="str">
            <v>SPEA</v>
          </cell>
          <cell r="F15204" t="str">
            <v>SPEA-V</v>
          </cell>
          <cell r="G15204">
            <v>372</v>
          </cell>
          <cell r="H15204" t="str">
            <v>SPEA-V372</v>
          </cell>
          <cell r="K15204" t="str">
            <v>Liu,Cheol</v>
          </cell>
          <cell r="N15204">
            <v>3.5209999999999999</v>
          </cell>
          <cell r="O15204">
            <v>2.9540000000000002</v>
          </cell>
        </row>
        <row r="15205">
          <cell r="E15205" t="str">
            <v>SPEA</v>
          </cell>
          <cell r="F15205" t="str">
            <v>SPEA-V</v>
          </cell>
          <cell r="G15205">
            <v>372</v>
          </cell>
          <cell r="H15205" t="str">
            <v>SPEA-V372</v>
          </cell>
          <cell r="K15205" t="str">
            <v>Liu,Cheol</v>
          </cell>
          <cell r="N15205">
            <v>3.43</v>
          </cell>
          <cell r="O15205">
            <v>2.91</v>
          </cell>
        </row>
        <row r="15206">
          <cell r="E15206" t="str">
            <v>SPEA</v>
          </cell>
          <cell r="F15206" t="str">
            <v>SPEA-V</v>
          </cell>
          <cell r="G15206">
            <v>372</v>
          </cell>
          <cell r="H15206" t="str">
            <v>SPEA-V372</v>
          </cell>
          <cell r="K15206" t="str">
            <v>Trexler,Michael Robert</v>
          </cell>
          <cell r="N15206">
            <v>3.4950000000000001</v>
          </cell>
          <cell r="O15206">
            <v>3.18</v>
          </cell>
        </row>
        <row r="15207">
          <cell r="E15207" t="str">
            <v>SPEA</v>
          </cell>
          <cell r="F15207" t="str">
            <v>SPEA-V</v>
          </cell>
          <cell r="G15207">
            <v>372</v>
          </cell>
          <cell r="H15207" t="str">
            <v>SPEA-V372</v>
          </cell>
          <cell r="K15207" t="str">
            <v>Zorn,C. Kurt</v>
          </cell>
          <cell r="N15207">
            <v>2.8210000000000002</v>
          </cell>
          <cell r="O15207">
            <v>2.98</v>
          </cell>
        </row>
        <row r="15208">
          <cell r="E15208" t="str">
            <v>SPEA</v>
          </cell>
          <cell r="F15208" t="str">
            <v>SPEA-V</v>
          </cell>
          <cell r="G15208">
            <v>373</v>
          </cell>
          <cell r="H15208" t="str">
            <v>SPEA-V373</v>
          </cell>
          <cell r="K15208" t="str">
            <v>Grundmann,Daniel J.</v>
          </cell>
          <cell r="N15208">
            <v>3.2360000000000002</v>
          </cell>
          <cell r="O15208">
            <v>3.1509999999999998</v>
          </cell>
        </row>
        <row r="15209">
          <cell r="E15209" t="str">
            <v>SPEA</v>
          </cell>
          <cell r="F15209" t="str">
            <v>SPEA-V</v>
          </cell>
          <cell r="G15209">
            <v>373</v>
          </cell>
          <cell r="H15209" t="str">
            <v>SPEA-V373</v>
          </cell>
          <cell r="K15209" t="str">
            <v>Grundmann,Daniel J.</v>
          </cell>
          <cell r="N15209">
            <v>2.879</v>
          </cell>
          <cell r="O15209">
            <v>2.8250000000000002</v>
          </cell>
        </row>
        <row r="15210">
          <cell r="E15210" t="str">
            <v>SPEA</v>
          </cell>
          <cell r="F15210" t="str">
            <v>SPEA-V</v>
          </cell>
          <cell r="G15210">
            <v>373</v>
          </cell>
          <cell r="H15210" t="str">
            <v>SPEA-V373</v>
          </cell>
          <cell r="K15210" t="str">
            <v>Grundmann,Daniel J.</v>
          </cell>
          <cell r="N15210">
            <v>2.8130000000000002</v>
          </cell>
          <cell r="O15210">
            <v>2.8580000000000001</v>
          </cell>
        </row>
        <row r="15211">
          <cell r="E15211" t="str">
            <v>SPEA</v>
          </cell>
          <cell r="F15211" t="str">
            <v>SPEA-V</v>
          </cell>
          <cell r="G15211">
            <v>373</v>
          </cell>
          <cell r="H15211" t="str">
            <v>SPEA-V373</v>
          </cell>
          <cell r="K15211" t="str">
            <v>Hughes,Cheryl Kay</v>
          </cell>
          <cell r="N15211">
            <v>3.0779999999999998</v>
          </cell>
          <cell r="O15211">
            <v>3.1120000000000001</v>
          </cell>
        </row>
        <row r="15212">
          <cell r="E15212" t="str">
            <v>SPEA</v>
          </cell>
          <cell r="F15212" t="str">
            <v>SPEA-V</v>
          </cell>
          <cell r="G15212">
            <v>373</v>
          </cell>
          <cell r="H15212" t="str">
            <v>SPEA-V373</v>
          </cell>
          <cell r="K15212" t="str">
            <v>Hughes,Cheryl Kay</v>
          </cell>
          <cell r="N15212">
            <v>3.6589999999999998</v>
          </cell>
          <cell r="O15212">
            <v>3.1909999999999998</v>
          </cell>
        </row>
        <row r="15213">
          <cell r="E15213" t="str">
            <v>SPEA</v>
          </cell>
          <cell r="F15213" t="str">
            <v>SPEA-V</v>
          </cell>
          <cell r="G15213">
            <v>373</v>
          </cell>
          <cell r="H15213" t="str">
            <v>SPEA-V373</v>
          </cell>
          <cell r="K15213" t="str">
            <v>Hughes,Cheryl Kay</v>
          </cell>
          <cell r="N15213">
            <v>3.3519999999999999</v>
          </cell>
          <cell r="O15213">
            <v>3.1349999999999998</v>
          </cell>
        </row>
        <row r="15214">
          <cell r="E15214" t="str">
            <v>SPEA</v>
          </cell>
          <cell r="F15214" t="str">
            <v>SPEA-V</v>
          </cell>
          <cell r="G15214">
            <v>373</v>
          </cell>
          <cell r="H15214" t="str">
            <v>SPEA-V373</v>
          </cell>
          <cell r="K15214" t="str">
            <v>Rayzor,Natalia</v>
          </cell>
          <cell r="N15214">
            <v>3.234</v>
          </cell>
          <cell r="O15214">
            <v>2.9449999999999998</v>
          </cell>
        </row>
        <row r="15215">
          <cell r="E15215" t="str">
            <v>SPEA</v>
          </cell>
          <cell r="F15215" t="str">
            <v>SPEA-V</v>
          </cell>
          <cell r="G15215">
            <v>377</v>
          </cell>
          <cell r="H15215" t="str">
            <v>SPEA-V377</v>
          </cell>
          <cell r="K15215" t="str">
            <v>Hansen,Rich</v>
          </cell>
          <cell r="N15215">
            <v>3.907</v>
          </cell>
          <cell r="O15215">
            <v>3.0859999999999999</v>
          </cell>
        </row>
        <row r="15216">
          <cell r="E15216" t="str">
            <v>SPEA</v>
          </cell>
          <cell r="F15216" t="str">
            <v>SPEA-V</v>
          </cell>
          <cell r="G15216">
            <v>377</v>
          </cell>
          <cell r="H15216" t="str">
            <v>SPEA-V377</v>
          </cell>
          <cell r="K15216" t="str">
            <v>Welch,David Louis</v>
          </cell>
          <cell r="N15216">
            <v>3.3809999999999998</v>
          </cell>
          <cell r="O15216">
            <v>3.11</v>
          </cell>
        </row>
        <row r="15217">
          <cell r="E15217" t="str">
            <v>SPEA</v>
          </cell>
          <cell r="F15217" t="str">
            <v>SPEA-V</v>
          </cell>
          <cell r="G15217">
            <v>378</v>
          </cell>
          <cell r="H15217" t="str">
            <v>SPEA-V378</v>
          </cell>
          <cell r="K15217" t="str">
            <v>McLean,Donna Rae</v>
          </cell>
          <cell r="N15217">
            <v>3.85</v>
          </cell>
          <cell r="O15217">
            <v>3.6259999999999999</v>
          </cell>
        </row>
        <row r="15218">
          <cell r="E15218" t="str">
            <v>SPEA</v>
          </cell>
          <cell r="F15218" t="str">
            <v>SPEA-V</v>
          </cell>
          <cell r="G15218">
            <v>378</v>
          </cell>
          <cell r="H15218" t="str">
            <v>SPEA-V378</v>
          </cell>
          <cell r="K15218" t="str">
            <v>McLean,Donna Rae</v>
          </cell>
          <cell r="N15218">
            <v>3.9809999999999999</v>
          </cell>
          <cell r="O15218">
            <v>3.6360000000000001</v>
          </cell>
        </row>
        <row r="15219">
          <cell r="E15219" t="str">
            <v>SPEA</v>
          </cell>
          <cell r="F15219" t="str">
            <v>SPEA-V</v>
          </cell>
          <cell r="G15219">
            <v>380</v>
          </cell>
          <cell r="H15219" t="str">
            <v>SPEA-V380</v>
          </cell>
          <cell r="K15219" t="str">
            <v>Pear,Elizabeth Anne</v>
          </cell>
          <cell r="N15219" t="str">
            <v>NR</v>
          </cell>
          <cell r="O15219" t="str">
            <v>NR</v>
          </cell>
        </row>
        <row r="15220">
          <cell r="E15220" t="str">
            <v>SPEA</v>
          </cell>
          <cell r="F15220" t="str">
            <v>SPEA-V</v>
          </cell>
          <cell r="G15220">
            <v>380</v>
          </cell>
          <cell r="H15220" t="str">
            <v>SPEA-V380</v>
          </cell>
          <cell r="K15220" t="str">
            <v>Sandbothe,Elizabeth Anne</v>
          </cell>
          <cell r="N15220" t="str">
            <v>NR</v>
          </cell>
          <cell r="O15220" t="str">
            <v>NR</v>
          </cell>
        </row>
        <row r="15221">
          <cell r="E15221" t="str">
            <v>SPEA</v>
          </cell>
          <cell r="F15221" t="str">
            <v>SPEA-V</v>
          </cell>
          <cell r="G15221">
            <v>380</v>
          </cell>
          <cell r="H15221" t="str">
            <v>SPEA-V380</v>
          </cell>
          <cell r="K15221" t="str">
            <v>Sewell,Katie</v>
          </cell>
          <cell r="N15221" t="str">
            <v>NR</v>
          </cell>
          <cell r="O15221" t="str">
            <v>NR</v>
          </cell>
        </row>
        <row r="15222">
          <cell r="E15222" t="str">
            <v>SPEA</v>
          </cell>
          <cell r="F15222" t="str">
            <v>SPEA-V</v>
          </cell>
          <cell r="G15222">
            <v>380</v>
          </cell>
          <cell r="H15222" t="str">
            <v>SPEA-V380</v>
          </cell>
          <cell r="K15222" t="str">
            <v>Sewell,Katie</v>
          </cell>
          <cell r="N15222" t="str">
            <v>NR</v>
          </cell>
          <cell r="O15222" t="str">
            <v>NR</v>
          </cell>
        </row>
        <row r="15223">
          <cell r="E15223" t="str">
            <v>SPEA</v>
          </cell>
          <cell r="F15223" t="str">
            <v>SPEA-V</v>
          </cell>
          <cell r="G15223">
            <v>381</v>
          </cell>
          <cell r="H15223" t="str">
            <v>SPEA-V381</v>
          </cell>
          <cell r="K15223" t="str">
            <v>Pear,Elizabeth Anne</v>
          </cell>
          <cell r="N15223" t="str">
            <v>NR</v>
          </cell>
          <cell r="O15223" t="str">
            <v>NR</v>
          </cell>
        </row>
        <row r="15224">
          <cell r="E15224" t="str">
            <v>SPEA</v>
          </cell>
          <cell r="F15224" t="str">
            <v>SPEA-V</v>
          </cell>
          <cell r="G15224">
            <v>381</v>
          </cell>
          <cell r="H15224" t="str">
            <v>SPEA-V381</v>
          </cell>
          <cell r="K15224" t="str">
            <v>Sandbothe,Elizabeth Anne</v>
          </cell>
          <cell r="N15224" t="str">
            <v>NR</v>
          </cell>
          <cell r="O15224" t="str">
            <v>NR</v>
          </cell>
        </row>
        <row r="15225">
          <cell r="E15225" t="str">
            <v>SPEA</v>
          </cell>
          <cell r="F15225" t="str">
            <v>SPEA-V</v>
          </cell>
          <cell r="G15225">
            <v>381</v>
          </cell>
          <cell r="H15225" t="str">
            <v>SPEA-V381</v>
          </cell>
          <cell r="K15225" t="str">
            <v>Sewell,Katie</v>
          </cell>
          <cell r="N15225" t="str">
            <v>NR</v>
          </cell>
          <cell r="O15225" t="str">
            <v>NR</v>
          </cell>
        </row>
        <row r="15226">
          <cell r="E15226" t="str">
            <v>SPEA</v>
          </cell>
          <cell r="F15226" t="str">
            <v>SPEA-V</v>
          </cell>
          <cell r="G15226">
            <v>381</v>
          </cell>
          <cell r="H15226" t="str">
            <v>SPEA-V381</v>
          </cell>
          <cell r="K15226" t="str">
            <v>Sewell,Katie</v>
          </cell>
          <cell r="N15226" t="str">
            <v>NR</v>
          </cell>
          <cell r="O15226" t="str">
            <v>NR</v>
          </cell>
        </row>
        <row r="15227">
          <cell r="E15227" t="str">
            <v>SPEA</v>
          </cell>
          <cell r="F15227" t="str">
            <v>SPEA-V</v>
          </cell>
          <cell r="G15227">
            <v>386</v>
          </cell>
          <cell r="H15227" t="str">
            <v>SPEA-V386</v>
          </cell>
          <cell r="K15227" t="str">
            <v>Aldridge,Thomas Taylor</v>
          </cell>
          <cell r="N15227">
            <v>3.2389999999999999</v>
          </cell>
          <cell r="O15227">
            <v>2.9260000000000002</v>
          </cell>
        </row>
        <row r="15228">
          <cell r="E15228" t="str">
            <v>SPEA</v>
          </cell>
          <cell r="F15228" t="str">
            <v>SPEA-V</v>
          </cell>
          <cell r="G15228">
            <v>386</v>
          </cell>
          <cell r="H15228" t="str">
            <v>SPEA-V386</v>
          </cell>
          <cell r="K15228" t="str">
            <v>Graham,John D.</v>
          </cell>
          <cell r="N15228">
            <v>3.54</v>
          </cell>
          <cell r="O15228">
            <v>3.0920000000000001</v>
          </cell>
        </row>
        <row r="15229">
          <cell r="E15229" t="str">
            <v>SPEA</v>
          </cell>
          <cell r="F15229" t="str">
            <v>SPEA-V</v>
          </cell>
          <cell r="G15229">
            <v>388</v>
          </cell>
          <cell r="H15229" t="str">
            <v>SPEA-V388</v>
          </cell>
          <cell r="K15229" t="str">
            <v>Stice,Peg</v>
          </cell>
          <cell r="N15229" t="str">
            <v>NR</v>
          </cell>
          <cell r="O15229" t="str">
            <v>NR</v>
          </cell>
        </row>
        <row r="15230">
          <cell r="E15230" t="str">
            <v>SPEA</v>
          </cell>
          <cell r="F15230" t="str">
            <v>SPEA-V</v>
          </cell>
          <cell r="G15230">
            <v>390</v>
          </cell>
          <cell r="H15230" t="str">
            <v>SPEA-V390</v>
          </cell>
          <cell r="K15230" t="str">
            <v>Bastin,Amy J</v>
          </cell>
          <cell r="N15230" t="str">
            <v>NR</v>
          </cell>
          <cell r="O15230" t="str">
            <v>NR</v>
          </cell>
        </row>
        <row r="15231">
          <cell r="E15231" t="str">
            <v>SPEA</v>
          </cell>
          <cell r="F15231" t="str">
            <v>SPEA-V</v>
          </cell>
          <cell r="G15231">
            <v>401</v>
          </cell>
          <cell r="H15231" t="str">
            <v>SPEA-V401</v>
          </cell>
          <cell r="K15231" t="str">
            <v>Duncan,Denvil</v>
          </cell>
          <cell r="N15231">
            <v>2.7650000000000001</v>
          </cell>
          <cell r="O15231">
            <v>3.069</v>
          </cell>
        </row>
        <row r="15232">
          <cell r="E15232" t="str">
            <v>SPEA</v>
          </cell>
          <cell r="F15232" t="str">
            <v>SPEA-V</v>
          </cell>
          <cell r="G15232">
            <v>401</v>
          </cell>
          <cell r="H15232" t="str">
            <v>SPEA-V401</v>
          </cell>
          <cell r="K15232" t="str">
            <v>Heim,Bradley</v>
          </cell>
          <cell r="N15232">
            <v>3.214</v>
          </cell>
          <cell r="O15232">
            <v>3.2879999999999998</v>
          </cell>
        </row>
        <row r="15233">
          <cell r="E15233" t="str">
            <v>SPEA</v>
          </cell>
          <cell r="F15233" t="str">
            <v>SPEA-V</v>
          </cell>
          <cell r="G15233">
            <v>401</v>
          </cell>
          <cell r="H15233" t="str">
            <v>SPEA-V401</v>
          </cell>
          <cell r="K15233" t="str">
            <v>Heim,Bradley</v>
          </cell>
          <cell r="N15233">
            <v>2.9249999999999998</v>
          </cell>
          <cell r="O15233">
            <v>3.1339999999999999</v>
          </cell>
        </row>
        <row r="15234">
          <cell r="E15234" t="str">
            <v>SPEA</v>
          </cell>
          <cell r="F15234" t="str">
            <v>SPEA-V</v>
          </cell>
          <cell r="G15234">
            <v>401</v>
          </cell>
          <cell r="H15234" t="str">
            <v>SPEA-V401</v>
          </cell>
          <cell r="K15234" t="str">
            <v>Krutilla,Kerry</v>
          </cell>
          <cell r="N15234">
            <v>3.246</v>
          </cell>
          <cell r="O15234">
            <v>3.0449999999999999</v>
          </cell>
        </row>
        <row r="15235">
          <cell r="E15235" t="str">
            <v>SPEA</v>
          </cell>
          <cell r="F15235" t="str">
            <v>SPEA-V</v>
          </cell>
          <cell r="G15235">
            <v>405</v>
          </cell>
          <cell r="H15235" t="str">
            <v>SPEA-V405</v>
          </cell>
          <cell r="K15235" t="str">
            <v>Welch,David Louis</v>
          </cell>
          <cell r="N15235">
            <v>3.6920000000000002</v>
          </cell>
          <cell r="O15235">
            <v>3.1280000000000001</v>
          </cell>
        </row>
        <row r="15236">
          <cell r="E15236" t="str">
            <v>SPEA</v>
          </cell>
          <cell r="F15236" t="str">
            <v>SPEA-V</v>
          </cell>
          <cell r="G15236">
            <v>407</v>
          </cell>
          <cell r="H15236" t="str">
            <v>SPEA-V407</v>
          </cell>
          <cell r="K15236" t="str">
            <v>Welch,Peggy Mc Daniel</v>
          </cell>
          <cell r="N15236">
            <v>3.8370000000000002</v>
          </cell>
          <cell r="O15236">
            <v>3.141</v>
          </cell>
        </row>
        <row r="15237">
          <cell r="E15237" t="str">
            <v>SPEA</v>
          </cell>
          <cell r="F15237" t="str">
            <v>SPEA-V</v>
          </cell>
          <cell r="G15237">
            <v>412</v>
          </cell>
          <cell r="H15237" t="str">
            <v>SPEA-V412</v>
          </cell>
          <cell r="K15237" t="str">
            <v>Petkus,Donald Arnold</v>
          </cell>
          <cell r="N15237">
            <v>3.2730000000000001</v>
          </cell>
          <cell r="O15237">
            <v>3.198</v>
          </cell>
        </row>
        <row r="15238">
          <cell r="E15238" t="str">
            <v>SPEA</v>
          </cell>
          <cell r="F15238" t="str">
            <v>SPEA-V</v>
          </cell>
          <cell r="G15238">
            <v>421</v>
          </cell>
          <cell r="H15238" t="str">
            <v>SPEA-V421</v>
          </cell>
          <cell r="K15238" t="str">
            <v>Audretsch,David B</v>
          </cell>
          <cell r="N15238">
            <v>3.0939999999999999</v>
          </cell>
          <cell r="O15238">
            <v>3.1640000000000001</v>
          </cell>
        </row>
        <row r="15239">
          <cell r="E15239" t="str">
            <v>SPEA</v>
          </cell>
          <cell r="F15239" t="str">
            <v>SPEA-V</v>
          </cell>
          <cell r="G15239">
            <v>432</v>
          </cell>
          <cell r="H15239" t="str">
            <v>SPEA-V432</v>
          </cell>
          <cell r="K15239" t="str">
            <v>Darko,Richard John</v>
          </cell>
          <cell r="N15239">
            <v>3.4849999999999999</v>
          </cell>
          <cell r="O15239">
            <v>3.0259999999999998</v>
          </cell>
        </row>
        <row r="15240">
          <cell r="E15240" t="str">
            <v>SPEA</v>
          </cell>
          <cell r="F15240" t="str">
            <v>SPEA-V</v>
          </cell>
          <cell r="G15240">
            <v>432</v>
          </cell>
          <cell r="H15240" t="str">
            <v>SPEA-V432</v>
          </cell>
          <cell r="K15240" t="str">
            <v>Sklar,Pamela S.</v>
          </cell>
          <cell r="N15240">
            <v>3.4049999999999998</v>
          </cell>
          <cell r="O15240">
            <v>2.9390000000000001</v>
          </cell>
        </row>
        <row r="15241">
          <cell r="E15241" t="str">
            <v>SPEA</v>
          </cell>
          <cell r="F15241" t="str">
            <v>SPEA-V</v>
          </cell>
          <cell r="G15241">
            <v>432</v>
          </cell>
          <cell r="H15241" t="str">
            <v>SPEA-V432</v>
          </cell>
          <cell r="K15241" t="str">
            <v>Sklar,Pamela S.</v>
          </cell>
          <cell r="N15241">
            <v>3.464</v>
          </cell>
          <cell r="O15241">
            <v>3.0939999999999999</v>
          </cell>
        </row>
        <row r="15242">
          <cell r="E15242" t="str">
            <v>SPEA</v>
          </cell>
          <cell r="F15242" t="str">
            <v>SPEA-V</v>
          </cell>
          <cell r="G15242">
            <v>435</v>
          </cell>
          <cell r="H15242" t="str">
            <v>SPEA-V435</v>
          </cell>
          <cell r="K15242" t="str">
            <v>Branham,Gary Lee</v>
          </cell>
          <cell r="N15242">
            <v>3.121</v>
          </cell>
          <cell r="O15242">
            <v>2.948</v>
          </cell>
        </row>
        <row r="15243">
          <cell r="E15243" t="str">
            <v>SPEA</v>
          </cell>
          <cell r="F15243" t="str">
            <v>SPEA-V</v>
          </cell>
          <cell r="G15243">
            <v>435</v>
          </cell>
          <cell r="H15243" t="str">
            <v>SPEA-V435</v>
          </cell>
          <cell r="K15243" t="str">
            <v>Napoli,Lisa-Marie</v>
          </cell>
          <cell r="N15243">
            <v>3.1469999999999998</v>
          </cell>
          <cell r="O15243">
            <v>3.133</v>
          </cell>
        </row>
        <row r="15244">
          <cell r="E15244" t="str">
            <v>SPEA</v>
          </cell>
          <cell r="F15244" t="str">
            <v>SPEA-V</v>
          </cell>
          <cell r="G15244">
            <v>435</v>
          </cell>
          <cell r="H15244" t="str">
            <v>SPEA-V435</v>
          </cell>
          <cell r="K15244" t="str">
            <v>Stager,Nan</v>
          </cell>
          <cell r="N15244">
            <v>2.617</v>
          </cell>
          <cell r="O15244">
            <v>2.9420000000000002</v>
          </cell>
        </row>
        <row r="15245">
          <cell r="E15245" t="str">
            <v>SPEA</v>
          </cell>
          <cell r="F15245" t="str">
            <v>SPEA-V</v>
          </cell>
          <cell r="G15245">
            <v>435</v>
          </cell>
          <cell r="H15245" t="str">
            <v>SPEA-V435</v>
          </cell>
          <cell r="K15245" t="str">
            <v>Stager,Nan</v>
          </cell>
          <cell r="N15245">
            <v>2.871</v>
          </cell>
          <cell r="O15245">
            <v>3.0739999999999998</v>
          </cell>
        </row>
        <row r="15246">
          <cell r="E15246" t="str">
            <v>SPEA</v>
          </cell>
          <cell r="F15246" t="str">
            <v>SPEA-V</v>
          </cell>
          <cell r="G15246">
            <v>436</v>
          </cell>
          <cell r="H15246" t="str">
            <v>SPEA-V436</v>
          </cell>
          <cell r="K15246" t="str">
            <v>Lame,Marc Louis</v>
          </cell>
          <cell r="N15246">
            <v>3.0289999999999999</v>
          </cell>
          <cell r="O15246">
            <v>3.0569999999999999</v>
          </cell>
        </row>
        <row r="15247">
          <cell r="E15247" t="str">
            <v>SPEA</v>
          </cell>
          <cell r="F15247" t="str">
            <v>SPEA-V</v>
          </cell>
          <cell r="G15247">
            <v>441</v>
          </cell>
          <cell r="H15247" t="str">
            <v>SPEA-V441</v>
          </cell>
          <cell r="K15247" t="str">
            <v>Johnson,Craig L.</v>
          </cell>
          <cell r="N15247">
            <v>2.9620000000000002</v>
          </cell>
          <cell r="O15247">
            <v>3.0960000000000001</v>
          </cell>
        </row>
        <row r="15248">
          <cell r="E15248" t="str">
            <v>SPEA</v>
          </cell>
          <cell r="F15248" t="str">
            <v>SPEA-V</v>
          </cell>
          <cell r="G15248">
            <v>441</v>
          </cell>
          <cell r="H15248" t="str">
            <v>SPEA-V441</v>
          </cell>
          <cell r="K15248" t="str">
            <v>Lehmkuhler,Philip Gerard</v>
          </cell>
          <cell r="N15248">
            <v>2.5920000000000001</v>
          </cell>
          <cell r="O15248">
            <v>2.859</v>
          </cell>
        </row>
        <row r="15249">
          <cell r="E15249" t="str">
            <v>SPEA</v>
          </cell>
          <cell r="F15249" t="str">
            <v>SPEA-V</v>
          </cell>
          <cell r="G15249">
            <v>441</v>
          </cell>
          <cell r="H15249" t="str">
            <v>SPEA-V441</v>
          </cell>
          <cell r="K15249" t="str">
            <v>Renner,Terri L.</v>
          </cell>
          <cell r="N15249">
            <v>2.8410000000000002</v>
          </cell>
          <cell r="O15249">
            <v>3.032</v>
          </cell>
        </row>
        <row r="15250">
          <cell r="E15250" t="str">
            <v>SPEA</v>
          </cell>
          <cell r="F15250" t="str">
            <v>SPEA-V</v>
          </cell>
          <cell r="G15250">
            <v>442</v>
          </cell>
          <cell r="H15250" t="str">
            <v>SPEA-V442</v>
          </cell>
          <cell r="K15250" t="str">
            <v>Johnson,Craig L.</v>
          </cell>
          <cell r="N15250">
            <v>2.9609999999999999</v>
          </cell>
          <cell r="O15250">
            <v>2.9980000000000002</v>
          </cell>
        </row>
        <row r="15251">
          <cell r="E15251" t="str">
            <v>SPEA</v>
          </cell>
          <cell r="F15251" t="str">
            <v>SPEA-V</v>
          </cell>
          <cell r="G15251">
            <v>443</v>
          </cell>
          <cell r="H15251" t="str">
            <v>SPEA-V443</v>
          </cell>
          <cell r="K15251" t="str">
            <v>Kolpakov,Aleksey V</v>
          </cell>
          <cell r="N15251">
            <v>3.0739999999999998</v>
          </cell>
          <cell r="O15251">
            <v>2.661</v>
          </cell>
        </row>
        <row r="15252">
          <cell r="E15252" t="str">
            <v>SPEA</v>
          </cell>
          <cell r="F15252" t="str">
            <v>SPEA-V</v>
          </cell>
          <cell r="G15252">
            <v>443</v>
          </cell>
          <cell r="H15252" t="str">
            <v>SPEA-V443</v>
          </cell>
          <cell r="K15252" t="str">
            <v>Rayzor,Natalia</v>
          </cell>
          <cell r="N15252">
            <v>3.6669999999999998</v>
          </cell>
          <cell r="O15252">
            <v>2.9350000000000001</v>
          </cell>
        </row>
        <row r="15253">
          <cell r="E15253" t="str">
            <v>SPEA</v>
          </cell>
          <cell r="F15253" t="str">
            <v>SPEA-V</v>
          </cell>
          <cell r="G15253">
            <v>443</v>
          </cell>
          <cell r="H15253" t="str">
            <v>SPEA-V443</v>
          </cell>
          <cell r="K15253" t="str">
            <v>Sklar,Pamela S.</v>
          </cell>
          <cell r="N15253">
            <v>3.722</v>
          </cell>
          <cell r="O15253">
            <v>3.0950000000000002</v>
          </cell>
        </row>
        <row r="15254">
          <cell r="E15254" t="str">
            <v>SPEA</v>
          </cell>
          <cell r="F15254" t="str">
            <v>SPEA-V</v>
          </cell>
          <cell r="G15254">
            <v>449</v>
          </cell>
          <cell r="H15254" t="str">
            <v>SPEA-V449</v>
          </cell>
          <cell r="K15254" t="str">
            <v>Auer,Matthew R</v>
          </cell>
          <cell r="N15254">
            <v>3.7559999999999998</v>
          </cell>
          <cell r="O15254">
            <v>3.3039999999999998</v>
          </cell>
        </row>
        <row r="15255">
          <cell r="E15255" t="str">
            <v>SPEA</v>
          </cell>
          <cell r="F15255" t="str">
            <v>SPEA-V</v>
          </cell>
          <cell r="G15255">
            <v>449</v>
          </cell>
          <cell r="H15255" t="str">
            <v>SPEA-V449</v>
          </cell>
          <cell r="K15255" t="str">
            <v>Karaagac,John</v>
          </cell>
          <cell r="N15255">
            <v>3.6360000000000001</v>
          </cell>
          <cell r="O15255">
            <v>3.2530000000000001</v>
          </cell>
        </row>
        <row r="15256">
          <cell r="E15256" t="str">
            <v>SPEA</v>
          </cell>
          <cell r="F15256" t="str">
            <v>SPEA-V</v>
          </cell>
          <cell r="G15256">
            <v>450</v>
          </cell>
          <cell r="H15256" t="str">
            <v>SPEA-V450</v>
          </cell>
          <cell r="K15256" t="str">
            <v>Afoaku,Osita</v>
          </cell>
          <cell r="N15256">
            <v>3.129</v>
          </cell>
          <cell r="O15256">
            <v>3.105</v>
          </cell>
        </row>
        <row r="15257">
          <cell r="E15257" t="str">
            <v>SPEA</v>
          </cell>
          <cell r="F15257" t="str">
            <v>SPEA-V</v>
          </cell>
          <cell r="G15257">
            <v>450</v>
          </cell>
          <cell r="H15257" t="str">
            <v>SPEA-V450</v>
          </cell>
          <cell r="K15257" t="str">
            <v>Afoaku,Osita</v>
          </cell>
          <cell r="N15257" t="str">
            <v>NR</v>
          </cell>
          <cell r="O15257" t="str">
            <v>NR</v>
          </cell>
        </row>
        <row r="15258">
          <cell r="E15258" t="str">
            <v>SPEA</v>
          </cell>
          <cell r="F15258" t="str">
            <v>SPEA-V</v>
          </cell>
          <cell r="G15258">
            <v>450</v>
          </cell>
          <cell r="H15258" t="str">
            <v>SPEA-V450</v>
          </cell>
          <cell r="K15258" t="str">
            <v>Afoaku,Osita</v>
          </cell>
          <cell r="N15258">
            <v>3.01</v>
          </cell>
          <cell r="O15258">
            <v>2.9319999999999999</v>
          </cell>
        </row>
        <row r="15259">
          <cell r="E15259" t="str">
            <v>SPEA</v>
          </cell>
          <cell r="F15259" t="str">
            <v>SPEA-V</v>
          </cell>
          <cell r="G15259">
            <v>450</v>
          </cell>
          <cell r="H15259" t="str">
            <v>SPEA-V450</v>
          </cell>
          <cell r="K15259" t="str">
            <v>Attari,Shahzeen</v>
          </cell>
          <cell r="N15259" t="str">
            <v>NR</v>
          </cell>
          <cell r="O15259" t="str">
            <v>NR</v>
          </cell>
        </row>
        <row r="15260">
          <cell r="E15260" t="str">
            <v>SPEA</v>
          </cell>
          <cell r="F15260" t="str">
            <v>SPEA-V</v>
          </cell>
          <cell r="G15260">
            <v>450</v>
          </cell>
          <cell r="H15260" t="str">
            <v>SPEA-V450</v>
          </cell>
          <cell r="K15260" t="str">
            <v>Bowers,Ashley</v>
          </cell>
          <cell r="N15260" t="str">
            <v>NR</v>
          </cell>
          <cell r="O15260" t="str">
            <v>NR</v>
          </cell>
        </row>
        <row r="15261">
          <cell r="E15261" t="str">
            <v>SPEA</v>
          </cell>
          <cell r="F15261" t="str">
            <v>SPEA-V</v>
          </cell>
          <cell r="G15261">
            <v>450</v>
          </cell>
          <cell r="H15261" t="str">
            <v>SPEA-V450</v>
          </cell>
          <cell r="K15261" t="str">
            <v>Brass,Jennifer</v>
          </cell>
          <cell r="N15261">
            <v>3.4670000000000001</v>
          </cell>
          <cell r="O15261">
            <v>3.4239999999999999</v>
          </cell>
        </row>
        <row r="15262">
          <cell r="E15262" t="str">
            <v>SPEA</v>
          </cell>
          <cell r="F15262" t="str">
            <v>SPEA-V</v>
          </cell>
          <cell r="G15262">
            <v>450</v>
          </cell>
          <cell r="H15262" t="str">
            <v>SPEA-V450</v>
          </cell>
          <cell r="K15262" t="str">
            <v>Cole,Daniel H.</v>
          </cell>
          <cell r="N15262" t="str">
            <v>NR</v>
          </cell>
          <cell r="O15262" t="str">
            <v>NR</v>
          </cell>
        </row>
        <row r="15263">
          <cell r="E15263" t="str">
            <v>SPEA</v>
          </cell>
          <cell r="F15263" t="str">
            <v>SPEA-V</v>
          </cell>
          <cell r="G15263">
            <v>450</v>
          </cell>
          <cell r="H15263" t="str">
            <v>SPEA-V450</v>
          </cell>
          <cell r="K15263" t="str">
            <v>Cole,Daniel H.</v>
          </cell>
          <cell r="N15263">
            <v>2.8410000000000002</v>
          </cell>
          <cell r="O15263">
            <v>3.04</v>
          </cell>
        </row>
        <row r="15264">
          <cell r="E15264" t="str">
            <v>SPEA</v>
          </cell>
          <cell r="F15264" t="str">
            <v>SPEA-V</v>
          </cell>
          <cell r="G15264">
            <v>450</v>
          </cell>
          <cell r="H15264" t="str">
            <v>SPEA-V450</v>
          </cell>
          <cell r="K15264" t="str">
            <v>Cox,David K</v>
          </cell>
          <cell r="N15264">
            <v>3.625</v>
          </cell>
          <cell r="O15264">
            <v>3.1339999999999999</v>
          </cell>
        </row>
        <row r="15265">
          <cell r="E15265" t="str">
            <v>SPEA</v>
          </cell>
          <cell r="F15265" t="str">
            <v>SPEA-V</v>
          </cell>
          <cell r="G15265">
            <v>450</v>
          </cell>
          <cell r="H15265" t="str">
            <v>SPEA-V450</v>
          </cell>
          <cell r="K15265" t="str">
            <v>Cox,David K</v>
          </cell>
          <cell r="N15265">
            <v>3.343</v>
          </cell>
          <cell r="O15265">
            <v>3.0640000000000001</v>
          </cell>
        </row>
        <row r="15266">
          <cell r="E15266" t="str">
            <v>SPEA</v>
          </cell>
          <cell r="F15266" t="str">
            <v>SPEA-V</v>
          </cell>
          <cell r="G15266">
            <v>450</v>
          </cell>
          <cell r="H15266" t="str">
            <v>SPEA-V450</v>
          </cell>
          <cell r="K15266" t="str">
            <v>Coyle,Gene Arthur</v>
          </cell>
          <cell r="N15266">
            <v>3.194</v>
          </cell>
          <cell r="O15266">
            <v>3.1080000000000001</v>
          </cell>
        </row>
        <row r="15267">
          <cell r="E15267" t="str">
            <v>SPEA</v>
          </cell>
          <cell r="F15267" t="str">
            <v>SPEA-V</v>
          </cell>
          <cell r="G15267">
            <v>450</v>
          </cell>
          <cell r="H15267" t="str">
            <v>SPEA-V450</v>
          </cell>
          <cell r="K15267" t="str">
            <v>Coyle,Gene Arthur</v>
          </cell>
          <cell r="N15267">
            <v>3.883</v>
          </cell>
          <cell r="O15267">
            <v>3.8380000000000001</v>
          </cell>
        </row>
        <row r="15268">
          <cell r="E15268" t="str">
            <v>SPEA</v>
          </cell>
          <cell r="F15268" t="str">
            <v>SPEA-V</v>
          </cell>
          <cell r="G15268">
            <v>450</v>
          </cell>
          <cell r="H15268" t="str">
            <v>SPEA-V450</v>
          </cell>
          <cell r="K15268" t="str">
            <v>Coyle,Gene Arthur</v>
          </cell>
          <cell r="N15268">
            <v>3.82</v>
          </cell>
          <cell r="O15268">
            <v>3.573</v>
          </cell>
        </row>
        <row r="15269">
          <cell r="E15269" t="str">
            <v>SPEA</v>
          </cell>
          <cell r="F15269" t="str">
            <v>SPEA-V</v>
          </cell>
          <cell r="G15269">
            <v>450</v>
          </cell>
          <cell r="H15269" t="str">
            <v>SPEA-V450</v>
          </cell>
          <cell r="K15269" t="str">
            <v>Coyle,Gene Arthur</v>
          </cell>
          <cell r="N15269">
            <v>3.6179999999999999</v>
          </cell>
          <cell r="O15269">
            <v>3.3380000000000001</v>
          </cell>
        </row>
        <row r="15270">
          <cell r="E15270" t="str">
            <v>SPEA</v>
          </cell>
          <cell r="F15270" t="str">
            <v>SPEA-V</v>
          </cell>
          <cell r="G15270">
            <v>450</v>
          </cell>
          <cell r="H15270" t="str">
            <v>SPEA-V450</v>
          </cell>
          <cell r="K15270" t="str">
            <v>DeLong,Brian</v>
          </cell>
          <cell r="N15270" t="str">
            <v>NR</v>
          </cell>
          <cell r="O15270" t="str">
            <v>NR</v>
          </cell>
        </row>
        <row r="15271">
          <cell r="E15271" t="str">
            <v>SPEA</v>
          </cell>
          <cell r="F15271" t="str">
            <v>SPEA-V</v>
          </cell>
          <cell r="G15271">
            <v>450</v>
          </cell>
          <cell r="H15271" t="str">
            <v>SPEA-V450</v>
          </cell>
          <cell r="K15271" t="str">
            <v>DeLong,Brian</v>
          </cell>
          <cell r="N15271" t="str">
            <v>NR</v>
          </cell>
          <cell r="O15271" t="str">
            <v>NR</v>
          </cell>
        </row>
        <row r="15272">
          <cell r="E15272" t="str">
            <v>SPEA</v>
          </cell>
          <cell r="F15272" t="str">
            <v>SPEA-V</v>
          </cell>
          <cell r="G15272">
            <v>450</v>
          </cell>
          <cell r="H15272" t="str">
            <v>SPEA-V450</v>
          </cell>
          <cell r="K15272" t="str">
            <v>DeLong,Brian</v>
          </cell>
          <cell r="N15272">
            <v>3.4710000000000001</v>
          </cell>
          <cell r="O15272">
            <v>3.133</v>
          </cell>
        </row>
        <row r="15273">
          <cell r="E15273" t="str">
            <v>SPEA</v>
          </cell>
          <cell r="F15273" t="str">
            <v>SPEA-V</v>
          </cell>
          <cell r="G15273">
            <v>450</v>
          </cell>
          <cell r="H15273" t="str">
            <v>SPEA-V450</v>
          </cell>
          <cell r="K15273" t="str">
            <v>Devereaux,James Michael</v>
          </cell>
          <cell r="N15273" t="str">
            <v>NR</v>
          </cell>
          <cell r="O15273" t="str">
            <v>NR</v>
          </cell>
        </row>
        <row r="15274">
          <cell r="E15274" t="str">
            <v>SPEA</v>
          </cell>
          <cell r="F15274" t="str">
            <v>SPEA-V</v>
          </cell>
          <cell r="G15274">
            <v>450</v>
          </cell>
          <cell r="H15274" t="str">
            <v>SPEA-V450</v>
          </cell>
          <cell r="K15274" t="str">
            <v>Devereaux,James Michael</v>
          </cell>
          <cell r="N15274" t="str">
            <v>NR</v>
          </cell>
          <cell r="O15274" t="str">
            <v>NR</v>
          </cell>
        </row>
        <row r="15275">
          <cell r="E15275" t="str">
            <v>SPEA</v>
          </cell>
          <cell r="F15275" t="str">
            <v>SPEA-V</v>
          </cell>
          <cell r="G15275">
            <v>450</v>
          </cell>
          <cell r="H15275" t="str">
            <v>SPEA-V450</v>
          </cell>
          <cell r="K15275" t="str">
            <v>Grundmann,Daniel J.</v>
          </cell>
          <cell r="N15275">
            <v>3.238</v>
          </cell>
          <cell r="O15275">
            <v>3.198</v>
          </cell>
        </row>
        <row r="15276">
          <cell r="E15276" t="str">
            <v>SPEA</v>
          </cell>
          <cell r="F15276" t="str">
            <v>SPEA-V</v>
          </cell>
          <cell r="G15276">
            <v>450</v>
          </cell>
          <cell r="H15276" t="str">
            <v>SPEA-V450</v>
          </cell>
          <cell r="K15276" t="str">
            <v>Hamilton,John Mark</v>
          </cell>
          <cell r="N15276">
            <v>3.2810000000000001</v>
          </cell>
          <cell r="O15276">
            <v>3.18</v>
          </cell>
        </row>
        <row r="15277">
          <cell r="E15277" t="str">
            <v>SPEA</v>
          </cell>
          <cell r="F15277" t="str">
            <v>SPEA-V</v>
          </cell>
          <cell r="G15277">
            <v>450</v>
          </cell>
          <cell r="H15277" t="str">
            <v>SPEA-V450</v>
          </cell>
          <cell r="K15277" t="str">
            <v>Herzig,Monika Gm</v>
          </cell>
          <cell r="N15277" t="str">
            <v>NR</v>
          </cell>
          <cell r="O15277" t="str">
            <v>NR</v>
          </cell>
        </row>
        <row r="15278">
          <cell r="E15278" t="str">
            <v>SPEA</v>
          </cell>
          <cell r="F15278" t="str">
            <v>SPEA-V</v>
          </cell>
          <cell r="G15278">
            <v>450</v>
          </cell>
          <cell r="H15278" t="str">
            <v>SPEA-V450</v>
          </cell>
          <cell r="K15278" t="str">
            <v>Karaagac,John</v>
          </cell>
          <cell r="N15278">
            <v>3.4929999999999999</v>
          </cell>
          <cell r="O15278">
            <v>3.1230000000000002</v>
          </cell>
        </row>
        <row r="15279">
          <cell r="E15279" t="str">
            <v>SPEA</v>
          </cell>
          <cell r="F15279" t="str">
            <v>SPEA-V</v>
          </cell>
          <cell r="G15279">
            <v>450</v>
          </cell>
          <cell r="H15279" t="str">
            <v>SPEA-V450</v>
          </cell>
          <cell r="K15279" t="str">
            <v>Lame,Marc Louis</v>
          </cell>
          <cell r="N15279" t="str">
            <v>NR</v>
          </cell>
          <cell r="O15279" t="str">
            <v>NR</v>
          </cell>
        </row>
        <row r="15280">
          <cell r="E15280" t="str">
            <v>SPEA</v>
          </cell>
          <cell r="F15280" t="str">
            <v>SPEA-V</v>
          </cell>
          <cell r="G15280">
            <v>450</v>
          </cell>
          <cell r="H15280" t="str">
            <v>SPEA-V450</v>
          </cell>
          <cell r="K15280" t="str">
            <v>McLary,James</v>
          </cell>
          <cell r="N15280">
            <v>3.74</v>
          </cell>
          <cell r="O15280">
            <v>3.125</v>
          </cell>
        </row>
        <row r="15281">
          <cell r="E15281" t="str">
            <v>SPEA</v>
          </cell>
          <cell r="F15281" t="str">
            <v>SPEA-V</v>
          </cell>
          <cell r="G15281">
            <v>450</v>
          </cell>
          <cell r="H15281" t="str">
            <v>SPEA-V450</v>
          </cell>
          <cell r="K15281" t="str">
            <v>McLary,James</v>
          </cell>
          <cell r="N15281">
            <v>3.75</v>
          </cell>
          <cell r="O15281">
            <v>3.1280000000000001</v>
          </cell>
        </row>
        <row r="15282">
          <cell r="E15282" t="str">
            <v>SPEA</v>
          </cell>
          <cell r="F15282" t="str">
            <v>SPEA-V</v>
          </cell>
          <cell r="G15282">
            <v>450</v>
          </cell>
          <cell r="H15282" t="str">
            <v>SPEA-V450</v>
          </cell>
          <cell r="K15282" t="str">
            <v>McLean,Donna Rae</v>
          </cell>
          <cell r="N15282">
            <v>3.85</v>
          </cell>
          <cell r="O15282">
            <v>3.7429999999999999</v>
          </cell>
        </row>
        <row r="15283">
          <cell r="E15283" t="str">
            <v>SPEA</v>
          </cell>
          <cell r="F15283" t="str">
            <v>SPEA-V</v>
          </cell>
          <cell r="G15283">
            <v>450</v>
          </cell>
          <cell r="H15283" t="str">
            <v>SPEA-V450</v>
          </cell>
          <cell r="K15283" t="str">
            <v>McLean,Donna Rae</v>
          </cell>
          <cell r="N15283">
            <v>3.6</v>
          </cell>
          <cell r="O15283">
            <v>3.6539999999999999</v>
          </cell>
        </row>
        <row r="15284">
          <cell r="E15284" t="str">
            <v>SPEA</v>
          </cell>
          <cell r="F15284" t="str">
            <v>SPEA-V</v>
          </cell>
          <cell r="G15284">
            <v>450</v>
          </cell>
          <cell r="H15284" t="str">
            <v>SPEA-V450</v>
          </cell>
          <cell r="K15284" t="str">
            <v>Myerson,Deborah L</v>
          </cell>
          <cell r="N15284">
            <v>3.1379999999999999</v>
          </cell>
          <cell r="O15284">
            <v>3.3</v>
          </cell>
        </row>
        <row r="15285">
          <cell r="E15285" t="str">
            <v>SPEA</v>
          </cell>
          <cell r="F15285" t="str">
            <v>SPEA-V</v>
          </cell>
          <cell r="G15285">
            <v>450</v>
          </cell>
          <cell r="H15285" t="str">
            <v>SPEA-V450</v>
          </cell>
          <cell r="K15285" t="str">
            <v>Nierzwicki Jr,Frank Leonard</v>
          </cell>
          <cell r="N15285">
            <v>3.028</v>
          </cell>
          <cell r="O15285">
            <v>2.7349999999999999</v>
          </cell>
        </row>
        <row r="15286">
          <cell r="E15286" t="str">
            <v>SPEA</v>
          </cell>
          <cell r="F15286" t="str">
            <v>SPEA-V</v>
          </cell>
          <cell r="G15286">
            <v>450</v>
          </cell>
          <cell r="H15286" t="str">
            <v>SPEA-V450</v>
          </cell>
          <cell r="K15286" t="str">
            <v>Nierzwicki Jr,Frank Leonard</v>
          </cell>
          <cell r="N15286">
            <v>3.5150000000000001</v>
          </cell>
          <cell r="O15286">
            <v>3.0169999999999999</v>
          </cell>
        </row>
        <row r="15287">
          <cell r="E15287" t="str">
            <v>SPEA</v>
          </cell>
          <cell r="F15287" t="str">
            <v>SPEA-V</v>
          </cell>
          <cell r="G15287">
            <v>450</v>
          </cell>
          <cell r="H15287" t="str">
            <v>SPEA-V450</v>
          </cell>
          <cell r="K15287" t="str">
            <v>Preston,Daniel</v>
          </cell>
          <cell r="N15287">
            <v>3.4409999999999998</v>
          </cell>
          <cell r="O15287">
            <v>3.2890000000000001</v>
          </cell>
        </row>
        <row r="15288">
          <cell r="E15288" t="str">
            <v>SPEA</v>
          </cell>
          <cell r="F15288" t="str">
            <v>SPEA-V</v>
          </cell>
          <cell r="G15288">
            <v>450</v>
          </cell>
          <cell r="H15288" t="str">
            <v>SPEA-V450</v>
          </cell>
          <cell r="K15288" t="str">
            <v>Schneller,Paul J</v>
          </cell>
          <cell r="N15288">
            <v>2.871</v>
          </cell>
          <cell r="O15288">
            <v>2.8380000000000001</v>
          </cell>
        </row>
        <row r="15289">
          <cell r="E15289" t="str">
            <v>SPEA</v>
          </cell>
          <cell r="F15289" t="str">
            <v>SPEA-V</v>
          </cell>
          <cell r="G15289">
            <v>450</v>
          </cell>
          <cell r="H15289" t="str">
            <v>SPEA-V450</v>
          </cell>
          <cell r="K15289" t="str">
            <v>Schneller,Paul J</v>
          </cell>
          <cell r="N15289">
            <v>3.3</v>
          </cell>
          <cell r="O15289">
            <v>3.101</v>
          </cell>
        </row>
        <row r="15290">
          <cell r="E15290" t="str">
            <v>SPEA</v>
          </cell>
          <cell r="F15290" t="str">
            <v>SPEA-V</v>
          </cell>
          <cell r="G15290">
            <v>450</v>
          </cell>
          <cell r="H15290" t="str">
            <v>SPEA-V450</v>
          </cell>
          <cell r="K15290" t="str">
            <v>Schneller,Paul J</v>
          </cell>
          <cell r="N15290">
            <v>3.5190000000000001</v>
          </cell>
          <cell r="O15290">
            <v>3.3079999999999998</v>
          </cell>
        </row>
        <row r="15291">
          <cell r="E15291" t="str">
            <v>SPEA</v>
          </cell>
          <cell r="F15291" t="str">
            <v>SPEA-V</v>
          </cell>
          <cell r="G15291">
            <v>450</v>
          </cell>
          <cell r="H15291" t="str">
            <v>SPEA-V450</v>
          </cell>
          <cell r="K15291" t="str">
            <v>Schonemann,Nicole D</v>
          </cell>
          <cell r="N15291">
            <v>3.4039999999999999</v>
          </cell>
          <cell r="O15291">
            <v>3.161</v>
          </cell>
        </row>
        <row r="15292">
          <cell r="E15292" t="str">
            <v>SPEA</v>
          </cell>
          <cell r="F15292" t="str">
            <v>SPEA-V</v>
          </cell>
          <cell r="G15292">
            <v>450</v>
          </cell>
          <cell r="H15292" t="str">
            <v>SPEA-V450</v>
          </cell>
          <cell r="K15292" t="str">
            <v>Simon,Daniel</v>
          </cell>
          <cell r="N15292">
            <v>2.37</v>
          </cell>
          <cell r="O15292">
            <v>3.07</v>
          </cell>
        </row>
        <row r="15293">
          <cell r="E15293" t="str">
            <v>SPEA</v>
          </cell>
          <cell r="F15293" t="str">
            <v>SPEA-V</v>
          </cell>
          <cell r="G15293">
            <v>450</v>
          </cell>
          <cell r="H15293" t="str">
            <v>SPEA-V450</v>
          </cell>
          <cell r="K15293" t="str">
            <v>Waldron,Carolyn</v>
          </cell>
          <cell r="N15293" t="str">
            <v>NR</v>
          </cell>
          <cell r="O15293" t="str">
            <v>NR</v>
          </cell>
        </row>
        <row r="15294">
          <cell r="E15294" t="str">
            <v>SPEA</v>
          </cell>
          <cell r="F15294" t="str">
            <v>SPEA-V</v>
          </cell>
          <cell r="G15294">
            <v>450</v>
          </cell>
          <cell r="H15294" t="str">
            <v>SPEA-V450</v>
          </cell>
          <cell r="K15294" t="str">
            <v>Zody,John Chastain</v>
          </cell>
          <cell r="N15294">
            <v>3.6360000000000001</v>
          </cell>
          <cell r="O15294">
            <v>3.2210000000000001</v>
          </cell>
        </row>
        <row r="15295">
          <cell r="E15295" t="str">
            <v>SPEA</v>
          </cell>
          <cell r="F15295" t="str">
            <v>SPEA-V</v>
          </cell>
          <cell r="G15295">
            <v>458</v>
          </cell>
          <cell r="H15295" t="str">
            <v>SPEA-V458</v>
          </cell>
          <cell r="K15295" t="str">
            <v>Garraghty,Lori</v>
          </cell>
          <cell r="N15295">
            <v>3.0760000000000001</v>
          </cell>
          <cell r="O15295">
            <v>3.3130000000000002</v>
          </cell>
        </row>
        <row r="15296">
          <cell r="E15296" t="str">
            <v>SPEA</v>
          </cell>
          <cell r="F15296" t="str">
            <v>SPEA-V</v>
          </cell>
          <cell r="G15296">
            <v>461</v>
          </cell>
          <cell r="H15296" t="str">
            <v>SPEA-V461</v>
          </cell>
          <cell r="K15296" t="str">
            <v>Usrey,Terry Ray</v>
          </cell>
          <cell r="N15296">
            <v>2.9820000000000002</v>
          </cell>
          <cell r="O15296">
            <v>2.93</v>
          </cell>
        </row>
        <row r="15297">
          <cell r="E15297" t="str">
            <v>SPEA</v>
          </cell>
          <cell r="F15297" t="str">
            <v>SPEA-V</v>
          </cell>
          <cell r="G15297">
            <v>462</v>
          </cell>
          <cell r="H15297" t="str">
            <v>SPEA-V462</v>
          </cell>
          <cell r="K15297" t="str">
            <v>Schneller,Paul J</v>
          </cell>
          <cell r="N15297">
            <v>2.8260000000000001</v>
          </cell>
          <cell r="O15297">
            <v>2.919</v>
          </cell>
        </row>
        <row r="15298">
          <cell r="E15298" t="str">
            <v>SPEA</v>
          </cell>
          <cell r="F15298" t="str">
            <v>SPEA-V</v>
          </cell>
          <cell r="G15298">
            <v>462</v>
          </cell>
          <cell r="H15298" t="str">
            <v>SPEA-V462</v>
          </cell>
          <cell r="K15298" t="str">
            <v>Schneller,Paul J</v>
          </cell>
          <cell r="N15298">
            <v>3.109</v>
          </cell>
          <cell r="O15298">
            <v>3.0819999999999999</v>
          </cell>
        </row>
        <row r="15299">
          <cell r="E15299" t="str">
            <v>SPEA</v>
          </cell>
          <cell r="F15299" t="str">
            <v>SPEA-V</v>
          </cell>
          <cell r="G15299">
            <v>463</v>
          </cell>
          <cell r="H15299" t="str">
            <v>SPEA-V463</v>
          </cell>
          <cell r="K15299" t="str">
            <v>McGarvey,Dick</v>
          </cell>
          <cell r="N15299">
            <v>3.4870000000000001</v>
          </cell>
          <cell r="O15299">
            <v>3.1059999999999999</v>
          </cell>
        </row>
        <row r="15300">
          <cell r="E15300" t="str">
            <v>SPEA</v>
          </cell>
          <cell r="F15300" t="str">
            <v>SPEA-V</v>
          </cell>
          <cell r="G15300">
            <v>463</v>
          </cell>
          <cell r="H15300" t="str">
            <v>SPEA-V463</v>
          </cell>
          <cell r="K15300" t="str">
            <v>McGarvey,Dick</v>
          </cell>
          <cell r="N15300">
            <v>3.2130000000000001</v>
          </cell>
          <cell r="O15300">
            <v>2.9649999999999999</v>
          </cell>
        </row>
        <row r="15301">
          <cell r="E15301" t="str">
            <v>SPEA</v>
          </cell>
          <cell r="F15301" t="str">
            <v>SPEA-V</v>
          </cell>
          <cell r="G15301">
            <v>463</v>
          </cell>
          <cell r="H15301" t="str">
            <v>SPEA-V463</v>
          </cell>
          <cell r="K15301" t="str">
            <v>McGarvey,Dick</v>
          </cell>
          <cell r="N15301">
            <v>3.6059999999999999</v>
          </cell>
          <cell r="O15301">
            <v>3.2709999999999999</v>
          </cell>
        </row>
        <row r="15302">
          <cell r="E15302" t="str">
            <v>SPEA</v>
          </cell>
          <cell r="F15302" t="str">
            <v>SPEA-V</v>
          </cell>
          <cell r="G15302">
            <v>473</v>
          </cell>
          <cell r="H15302" t="str">
            <v>SPEA-V473</v>
          </cell>
          <cell r="K15302" t="str">
            <v>Schneck,Debra A</v>
          </cell>
          <cell r="N15302">
            <v>3.452</v>
          </cell>
          <cell r="O15302">
            <v>3.1509999999999998</v>
          </cell>
        </row>
        <row r="15303">
          <cell r="E15303" t="str">
            <v>SPEA</v>
          </cell>
          <cell r="F15303" t="str">
            <v>SPEA-V</v>
          </cell>
          <cell r="G15303">
            <v>473</v>
          </cell>
          <cell r="H15303" t="str">
            <v>SPEA-V473</v>
          </cell>
          <cell r="K15303" t="str">
            <v>Streeter,Ryan Thomas</v>
          </cell>
          <cell r="N15303">
            <v>3.7040000000000002</v>
          </cell>
          <cell r="O15303">
            <v>3.133</v>
          </cell>
        </row>
        <row r="15304">
          <cell r="E15304" t="str">
            <v>SPEA</v>
          </cell>
          <cell r="F15304" t="str">
            <v>SPEA-V</v>
          </cell>
          <cell r="G15304">
            <v>475</v>
          </cell>
          <cell r="H15304" t="str">
            <v>SPEA-V475</v>
          </cell>
          <cell r="K15304" t="str">
            <v>Usrey,Terry Ray</v>
          </cell>
          <cell r="N15304">
            <v>2.8849999999999998</v>
          </cell>
          <cell r="O15304">
            <v>2.9430000000000001</v>
          </cell>
        </row>
        <row r="15305">
          <cell r="E15305" t="str">
            <v>SPEA</v>
          </cell>
          <cell r="F15305" t="str">
            <v>SPEA-V</v>
          </cell>
          <cell r="G15305">
            <v>490</v>
          </cell>
          <cell r="H15305" t="str">
            <v>SPEA-V490</v>
          </cell>
          <cell r="K15305" t="str">
            <v>Bastin,Amy J</v>
          </cell>
          <cell r="N15305" t="str">
            <v>NR</v>
          </cell>
          <cell r="O15305" t="str">
            <v>NR</v>
          </cell>
        </row>
        <row r="15306">
          <cell r="E15306" t="str">
            <v>SPEA</v>
          </cell>
          <cell r="F15306" t="str">
            <v>SPEA-V</v>
          </cell>
          <cell r="G15306">
            <v>491</v>
          </cell>
          <cell r="H15306" t="str">
            <v>SPEA-V491</v>
          </cell>
          <cell r="K15306" t="str">
            <v>Bastin,Amy J</v>
          </cell>
          <cell r="N15306" t="str">
            <v>NR</v>
          </cell>
          <cell r="O15306" t="str">
            <v>NR</v>
          </cell>
        </row>
        <row r="15307">
          <cell r="E15307" t="str">
            <v>SPEA</v>
          </cell>
          <cell r="F15307" t="str">
            <v>SPEA-V</v>
          </cell>
          <cell r="G15307">
            <v>499</v>
          </cell>
          <cell r="H15307" t="str">
            <v>SPEA-V499</v>
          </cell>
          <cell r="K15307" t="str">
            <v>Bastin,Amy J</v>
          </cell>
          <cell r="N15307">
            <v>3.88</v>
          </cell>
          <cell r="O15307">
            <v>3.7709999999999999</v>
          </cell>
        </row>
        <row r="15308">
          <cell r="E15308" t="str">
            <v>SPEA</v>
          </cell>
          <cell r="F15308" t="str">
            <v>SPEA-V</v>
          </cell>
          <cell r="G15308">
            <v>499</v>
          </cell>
          <cell r="H15308" t="str">
            <v>SPEA-V499</v>
          </cell>
          <cell r="K15308" t="str">
            <v>Bastin,Amy J</v>
          </cell>
          <cell r="N15308">
            <v>3.8650000000000002</v>
          </cell>
          <cell r="O15308">
            <v>3.71</v>
          </cell>
        </row>
        <row r="15309">
          <cell r="E15309" t="str">
            <v>SPEA</v>
          </cell>
          <cell r="F15309" t="str">
            <v>SPEA-V</v>
          </cell>
          <cell r="G15309">
            <v>502</v>
          </cell>
          <cell r="H15309" t="str">
            <v>SPEA-V502</v>
          </cell>
          <cell r="K15309" t="str">
            <v>Fernandez,Sergio</v>
          </cell>
          <cell r="N15309">
            <v>3.76</v>
          </cell>
          <cell r="O15309">
            <v>3.6909999999999998</v>
          </cell>
        </row>
        <row r="15310">
          <cell r="E15310" t="str">
            <v>SPEA</v>
          </cell>
          <cell r="F15310" t="str">
            <v>SPEA-V</v>
          </cell>
          <cell r="G15310">
            <v>502</v>
          </cell>
          <cell r="H15310" t="str">
            <v>SPEA-V502</v>
          </cell>
          <cell r="K15310" t="str">
            <v>Fernandez,Sergio</v>
          </cell>
          <cell r="N15310">
            <v>3.7810000000000001</v>
          </cell>
          <cell r="O15310">
            <v>3.4980000000000002</v>
          </cell>
        </row>
        <row r="15311">
          <cell r="E15311" t="str">
            <v>SPEA</v>
          </cell>
          <cell r="F15311" t="str">
            <v>SPEA-V</v>
          </cell>
          <cell r="G15311">
            <v>502</v>
          </cell>
          <cell r="H15311" t="str">
            <v>SPEA-V502</v>
          </cell>
          <cell r="K15311" t="str">
            <v>McGuire,Michael</v>
          </cell>
          <cell r="N15311">
            <v>3.8</v>
          </cell>
          <cell r="O15311">
            <v>3.5350000000000001</v>
          </cell>
        </row>
        <row r="15312">
          <cell r="E15312" t="str">
            <v>SPEA</v>
          </cell>
          <cell r="F15312" t="str">
            <v>SPEA-V</v>
          </cell>
          <cell r="G15312">
            <v>502</v>
          </cell>
          <cell r="H15312" t="str">
            <v>SPEA-V502</v>
          </cell>
          <cell r="K15312" t="str">
            <v>Perry,James L.</v>
          </cell>
          <cell r="N15312">
            <v>3.383</v>
          </cell>
          <cell r="O15312">
            <v>3.5680000000000001</v>
          </cell>
        </row>
        <row r="15313">
          <cell r="E15313" t="str">
            <v>SPEA</v>
          </cell>
          <cell r="F15313" t="str">
            <v>SPEA-V</v>
          </cell>
          <cell r="G15313">
            <v>502</v>
          </cell>
          <cell r="H15313" t="str">
            <v>SPEA-V502</v>
          </cell>
          <cell r="K15313" t="str">
            <v>Resh,William</v>
          </cell>
          <cell r="N15313">
            <v>3.915</v>
          </cell>
          <cell r="O15313">
            <v>3.4990000000000001</v>
          </cell>
        </row>
        <row r="15314">
          <cell r="E15314" t="str">
            <v>SPEA</v>
          </cell>
          <cell r="F15314" t="str">
            <v>SPEA-V</v>
          </cell>
          <cell r="G15314">
            <v>506</v>
          </cell>
          <cell r="H15314" t="str">
            <v>SPEA-V506</v>
          </cell>
          <cell r="K15314" t="str">
            <v>Good,David Henning</v>
          </cell>
          <cell r="N15314">
            <v>3.22</v>
          </cell>
          <cell r="O15314">
            <v>3.4689999999999999</v>
          </cell>
        </row>
        <row r="15315">
          <cell r="E15315" t="str">
            <v>SPEA</v>
          </cell>
          <cell r="F15315" t="str">
            <v>SPEA-V</v>
          </cell>
          <cell r="G15315">
            <v>506</v>
          </cell>
          <cell r="H15315" t="str">
            <v>SPEA-V506</v>
          </cell>
          <cell r="K15315" t="str">
            <v>Jung,Haeil</v>
          </cell>
          <cell r="N15315">
            <v>3.766</v>
          </cell>
          <cell r="O15315">
            <v>3.7160000000000002</v>
          </cell>
        </row>
        <row r="15316">
          <cell r="E15316" t="str">
            <v>SPEA</v>
          </cell>
          <cell r="F15316" t="str">
            <v>SPEA-V</v>
          </cell>
          <cell r="G15316">
            <v>506</v>
          </cell>
          <cell r="H15316" t="str">
            <v>SPEA-V506</v>
          </cell>
          <cell r="K15316" t="str">
            <v>Meretsky,Vicky J.</v>
          </cell>
          <cell r="N15316" t="str">
            <v>NR</v>
          </cell>
          <cell r="O15316" t="str">
            <v>NR</v>
          </cell>
        </row>
        <row r="15317">
          <cell r="E15317" t="str">
            <v>SPEA</v>
          </cell>
          <cell r="F15317" t="str">
            <v>SPEA-V</v>
          </cell>
          <cell r="G15317">
            <v>506</v>
          </cell>
          <cell r="H15317" t="str">
            <v>SPEA-V506</v>
          </cell>
          <cell r="K15317" t="str">
            <v>Rubin,Barry M.</v>
          </cell>
          <cell r="N15317">
            <v>3.4329999999999998</v>
          </cell>
          <cell r="O15317">
            <v>3.52</v>
          </cell>
        </row>
        <row r="15318">
          <cell r="E15318" t="str">
            <v>SPEA</v>
          </cell>
          <cell r="F15318" t="str">
            <v>SPEA-V</v>
          </cell>
          <cell r="G15318">
            <v>506</v>
          </cell>
          <cell r="H15318" t="str">
            <v>SPEA-V506</v>
          </cell>
          <cell r="K15318" t="str">
            <v>Rubin,Barry M.</v>
          </cell>
          <cell r="N15318">
            <v>3.47</v>
          </cell>
          <cell r="O15318">
            <v>3.508</v>
          </cell>
        </row>
        <row r="15319">
          <cell r="E15319" t="str">
            <v>SPEA</v>
          </cell>
          <cell r="F15319" t="str">
            <v>SPEA-V</v>
          </cell>
          <cell r="G15319">
            <v>506</v>
          </cell>
          <cell r="H15319" t="str">
            <v>SPEA-V506</v>
          </cell>
          <cell r="K15319" t="str">
            <v>Wakhungu,Henry Kerre</v>
          </cell>
          <cell r="N15319">
            <v>3.6</v>
          </cell>
          <cell r="O15319">
            <v>3.6019999999999999</v>
          </cell>
        </row>
        <row r="15320">
          <cell r="E15320" t="str">
            <v>SPEA</v>
          </cell>
          <cell r="F15320" t="str">
            <v>SPEA-V</v>
          </cell>
          <cell r="G15320">
            <v>507</v>
          </cell>
          <cell r="H15320" t="str">
            <v>SPEA-V507</v>
          </cell>
          <cell r="K15320" t="str">
            <v>Ringquist,Evan</v>
          </cell>
          <cell r="N15320">
            <v>3.411</v>
          </cell>
          <cell r="O15320">
            <v>3.456</v>
          </cell>
        </row>
        <row r="15321">
          <cell r="E15321" t="str">
            <v>SPEA</v>
          </cell>
          <cell r="F15321" t="str">
            <v>SPEA-V</v>
          </cell>
          <cell r="G15321">
            <v>507</v>
          </cell>
          <cell r="H15321" t="str">
            <v>SPEA-V507</v>
          </cell>
          <cell r="K15321" t="str">
            <v>Rubin,Barry M.</v>
          </cell>
          <cell r="N15321">
            <v>3.7370000000000001</v>
          </cell>
          <cell r="O15321">
            <v>3.6309999999999998</v>
          </cell>
        </row>
        <row r="15322">
          <cell r="E15322" t="str">
            <v>SPEA</v>
          </cell>
          <cell r="F15322" t="str">
            <v>SPEA-V</v>
          </cell>
          <cell r="G15322">
            <v>507</v>
          </cell>
          <cell r="H15322" t="str">
            <v>SPEA-V507</v>
          </cell>
          <cell r="K15322" t="str">
            <v>Rubin,Barry M.</v>
          </cell>
          <cell r="N15322">
            <v>3.6850000000000001</v>
          </cell>
          <cell r="O15322">
            <v>3.7160000000000002</v>
          </cell>
        </row>
        <row r="15323">
          <cell r="E15323" t="str">
            <v>SPEA</v>
          </cell>
          <cell r="F15323" t="str">
            <v>SPEA-V</v>
          </cell>
          <cell r="G15323">
            <v>515</v>
          </cell>
          <cell r="H15323" t="str">
            <v>SPEA-V515</v>
          </cell>
          <cell r="K15323" t="str">
            <v>Brown,William Marshall</v>
          </cell>
          <cell r="N15323">
            <v>3.84</v>
          </cell>
          <cell r="O15323">
            <v>3.6379999999999999</v>
          </cell>
        </row>
        <row r="15324">
          <cell r="E15324" t="str">
            <v>SPEA</v>
          </cell>
          <cell r="F15324" t="str">
            <v>SPEA-V</v>
          </cell>
          <cell r="G15324">
            <v>516</v>
          </cell>
          <cell r="H15324" t="str">
            <v>SPEA-V516</v>
          </cell>
          <cell r="K15324" t="str">
            <v>Usrey,Terry Ray</v>
          </cell>
          <cell r="N15324">
            <v>3.6</v>
          </cell>
          <cell r="O15324">
            <v>3.6829999999999998</v>
          </cell>
        </row>
        <row r="15325">
          <cell r="E15325" t="str">
            <v>SPEA</v>
          </cell>
          <cell r="F15325" t="str">
            <v>SPEA-V</v>
          </cell>
          <cell r="G15325">
            <v>517</v>
          </cell>
          <cell r="H15325" t="str">
            <v>SPEA-V517</v>
          </cell>
          <cell r="K15325" t="str">
            <v>Ross,Justin</v>
          </cell>
          <cell r="N15325">
            <v>3.012</v>
          </cell>
          <cell r="O15325">
            <v>3.28</v>
          </cell>
        </row>
        <row r="15326">
          <cell r="E15326" t="str">
            <v>SPEA</v>
          </cell>
          <cell r="F15326" t="str">
            <v>SPEA-V</v>
          </cell>
          <cell r="G15326">
            <v>517</v>
          </cell>
          <cell r="H15326" t="str">
            <v>SPEA-V517</v>
          </cell>
          <cell r="K15326" t="str">
            <v>Ross,Justin</v>
          </cell>
          <cell r="N15326">
            <v>3.0910000000000002</v>
          </cell>
          <cell r="O15326">
            <v>3.4609999999999999</v>
          </cell>
        </row>
        <row r="15327">
          <cell r="E15327" t="str">
            <v>SPEA</v>
          </cell>
          <cell r="F15327" t="str">
            <v>SPEA-V</v>
          </cell>
          <cell r="G15327">
            <v>517</v>
          </cell>
          <cell r="H15327" t="str">
            <v>SPEA-V517</v>
          </cell>
          <cell r="K15327" t="str">
            <v>Simon,Daniel</v>
          </cell>
          <cell r="N15327">
            <v>3.286</v>
          </cell>
          <cell r="O15327">
            <v>3.5129999999999999</v>
          </cell>
        </row>
        <row r="15328">
          <cell r="E15328" t="str">
            <v>SPEA</v>
          </cell>
          <cell r="F15328" t="str">
            <v>SPEA-V</v>
          </cell>
          <cell r="G15328">
            <v>517</v>
          </cell>
          <cell r="H15328" t="str">
            <v>SPEA-V517</v>
          </cell>
          <cell r="K15328" t="str">
            <v>Tran,Anh Ngoc</v>
          </cell>
          <cell r="N15328">
            <v>3.6</v>
          </cell>
          <cell r="O15328">
            <v>3.6960000000000002</v>
          </cell>
        </row>
        <row r="15329">
          <cell r="E15329" t="str">
            <v>SPEA</v>
          </cell>
          <cell r="F15329" t="str">
            <v>SPEA-V</v>
          </cell>
          <cell r="G15329">
            <v>517</v>
          </cell>
          <cell r="H15329" t="str">
            <v>SPEA-V517</v>
          </cell>
          <cell r="K15329" t="str">
            <v>Zorn,C. Kurt</v>
          </cell>
          <cell r="N15329">
            <v>3.08</v>
          </cell>
          <cell r="O15329">
            <v>3.5259999999999998</v>
          </cell>
        </row>
        <row r="15330">
          <cell r="E15330" t="str">
            <v>SPEA</v>
          </cell>
          <cell r="F15330" t="str">
            <v>SPEA-V</v>
          </cell>
          <cell r="G15330">
            <v>518</v>
          </cell>
          <cell r="H15330" t="str">
            <v>SPEA-V518</v>
          </cell>
          <cell r="K15330" t="str">
            <v>McGuire,Michael</v>
          </cell>
          <cell r="N15330">
            <v>3.8559999999999999</v>
          </cell>
          <cell r="O15330">
            <v>3.5369999999999999</v>
          </cell>
        </row>
        <row r="15331">
          <cell r="E15331" t="str">
            <v>SPEA</v>
          </cell>
          <cell r="F15331" t="str">
            <v>SPEA-V</v>
          </cell>
          <cell r="G15331">
            <v>519</v>
          </cell>
          <cell r="H15331" t="str">
            <v>SPEA-V519</v>
          </cell>
          <cell r="K15331" t="str">
            <v>Usrey,Terry Ray</v>
          </cell>
          <cell r="N15331">
            <v>3.5870000000000002</v>
          </cell>
          <cell r="O15331">
            <v>3.68</v>
          </cell>
        </row>
        <row r="15332">
          <cell r="E15332" t="str">
            <v>SPEA</v>
          </cell>
          <cell r="F15332" t="str">
            <v>SPEA-V</v>
          </cell>
          <cell r="G15332">
            <v>521</v>
          </cell>
          <cell r="H15332" t="str">
            <v>SPEA-V521</v>
          </cell>
          <cell r="K15332" t="str">
            <v>Gronbjerg,Kirsten A.</v>
          </cell>
          <cell r="N15332">
            <v>3.456</v>
          </cell>
          <cell r="O15332">
            <v>3.5550000000000002</v>
          </cell>
        </row>
        <row r="15333">
          <cell r="E15333" t="str">
            <v>SPEA</v>
          </cell>
          <cell r="F15333" t="str">
            <v>SPEA-V</v>
          </cell>
          <cell r="G15333">
            <v>521</v>
          </cell>
          <cell r="H15333" t="str">
            <v>SPEA-V521</v>
          </cell>
          <cell r="K15333" t="str">
            <v>Lenkowsky,Leslie</v>
          </cell>
          <cell r="N15333">
            <v>3.45</v>
          </cell>
          <cell r="O15333">
            <v>3.8340000000000001</v>
          </cell>
        </row>
        <row r="15334">
          <cell r="E15334" t="str">
            <v>SPEA</v>
          </cell>
          <cell r="F15334" t="str">
            <v>SPEA-V</v>
          </cell>
          <cell r="G15334">
            <v>523</v>
          </cell>
          <cell r="H15334" t="str">
            <v>SPEA-V523</v>
          </cell>
          <cell r="K15334" t="str">
            <v>Baggetta,Matthew</v>
          </cell>
          <cell r="N15334">
            <v>3.581</v>
          </cell>
          <cell r="O15334">
            <v>3.5329999999999999</v>
          </cell>
        </row>
        <row r="15335">
          <cell r="E15335" t="str">
            <v>SPEA</v>
          </cell>
          <cell r="F15335" t="str">
            <v>SPEA-V</v>
          </cell>
          <cell r="G15335">
            <v>525</v>
          </cell>
          <cell r="H15335" t="str">
            <v>SPEA-V525</v>
          </cell>
          <cell r="K15335" t="str">
            <v>Gazley,Beth</v>
          </cell>
          <cell r="N15335">
            <v>3.6469999999999998</v>
          </cell>
          <cell r="O15335">
            <v>3.6629999999999998</v>
          </cell>
        </row>
        <row r="15336">
          <cell r="E15336" t="str">
            <v>SPEA</v>
          </cell>
          <cell r="F15336" t="str">
            <v>SPEA-V</v>
          </cell>
          <cell r="G15336">
            <v>525</v>
          </cell>
          <cell r="H15336" t="str">
            <v>SPEA-V525</v>
          </cell>
          <cell r="K15336" t="str">
            <v>Lyons,Al L</v>
          </cell>
          <cell r="N15336">
            <v>3.7</v>
          </cell>
          <cell r="O15336">
            <v>3.44</v>
          </cell>
        </row>
        <row r="15337">
          <cell r="E15337" t="str">
            <v>SPEA</v>
          </cell>
          <cell r="F15337" t="str">
            <v>SPEA-V</v>
          </cell>
          <cell r="G15337">
            <v>526</v>
          </cell>
          <cell r="H15337" t="str">
            <v>SPEA-V526</v>
          </cell>
          <cell r="K15337" t="str">
            <v>Jain,Chaman Lal</v>
          </cell>
          <cell r="N15337">
            <v>3.6709999999999998</v>
          </cell>
          <cell r="O15337">
            <v>3.661</v>
          </cell>
        </row>
        <row r="15338">
          <cell r="E15338" t="str">
            <v>SPEA</v>
          </cell>
          <cell r="F15338" t="str">
            <v>SPEA-V</v>
          </cell>
          <cell r="G15338">
            <v>534</v>
          </cell>
          <cell r="H15338" t="str">
            <v>SPEA-V534</v>
          </cell>
          <cell r="K15338" t="str">
            <v>Brass,Jennifer</v>
          </cell>
          <cell r="N15338">
            <v>3.7629999999999999</v>
          </cell>
          <cell r="O15338">
            <v>3.702</v>
          </cell>
        </row>
        <row r="15339">
          <cell r="E15339" t="str">
            <v>SPEA</v>
          </cell>
          <cell r="F15339" t="str">
            <v>SPEA-V</v>
          </cell>
          <cell r="G15339">
            <v>540</v>
          </cell>
          <cell r="H15339" t="str">
            <v>SPEA-V540</v>
          </cell>
          <cell r="K15339" t="str">
            <v>Cate,Beth E</v>
          </cell>
          <cell r="N15339">
            <v>3.452</v>
          </cell>
          <cell r="O15339">
            <v>3.5750000000000002</v>
          </cell>
        </row>
        <row r="15340">
          <cell r="E15340" t="str">
            <v>SPEA</v>
          </cell>
          <cell r="F15340" t="str">
            <v>SPEA-V</v>
          </cell>
          <cell r="G15340">
            <v>540</v>
          </cell>
          <cell r="H15340" t="str">
            <v>SPEA-V540</v>
          </cell>
          <cell r="K15340" t="str">
            <v>Need,Andrea Ruth</v>
          </cell>
          <cell r="N15340">
            <v>3.78</v>
          </cell>
          <cell r="O15340">
            <v>3.738</v>
          </cell>
        </row>
        <row r="15341">
          <cell r="E15341" t="str">
            <v>SPEA</v>
          </cell>
          <cell r="F15341" t="str">
            <v>SPEA-V</v>
          </cell>
          <cell r="G15341">
            <v>540</v>
          </cell>
          <cell r="H15341" t="str">
            <v>SPEA-V540</v>
          </cell>
          <cell r="K15341" t="str">
            <v>Need,Andrea Ruth</v>
          </cell>
          <cell r="N15341">
            <v>3.698</v>
          </cell>
          <cell r="O15341">
            <v>3.5859999999999999</v>
          </cell>
        </row>
        <row r="15342">
          <cell r="E15342" t="str">
            <v>SPEA</v>
          </cell>
          <cell r="F15342" t="str">
            <v>SPEA-V</v>
          </cell>
          <cell r="G15342">
            <v>540</v>
          </cell>
          <cell r="H15342" t="str">
            <v>SPEA-V540</v>
          </cell>
          <cell r="K15342" t="str">
            <v>Need,Andrea Ruth</v>
          </cell>
          <cell r="N15342">
            <v>3.6179999999999999</v>
          </cell>
          <cell r="O15342">
            <v>3.5840000000000001</v>
          </cell>
        </row>
        <row r="15343">
          <cell r="E15343" t="str">
            <v>SPEA</v>
          </cell>
          <cell r="F15343" t="str">
            <v>SPEA-V</v>
          </cell>
          <cell r="G15343">
            <v>541</v>
          </cell>
          <cell r="H15343" t="str">
            <v>SPEA-V541</v>
          </cell>
          <cell r="K15343" t="str">
            <v>Krutilla,Kerry</v>
          </cell>
          <cell r="N15343">
            <v>3.79</v>
          </cell>
          <cell r="O15343">
            <v>3.669</v>
          </cell>
        </row>
        <row r="15344">
          <cell r="E15344" t="str">
            <v>SPEA</v>
          </cell>
          <cell r="F15344" t="str">
            <v>SPEA-V</v>
          </cell>
          <cell r="G15344">
            <v>541</v>
          </cell>
          <cell r="H15344" t="str">
            <v>SPEA-V541</v>
          </cell>
          <cell r="K15344" t="str">
            <v>Krutilla,Kerry</v>
          </cell>
          <cell r="N15344">
            <v>3.8730000000000002</v>
          </cell>
          <cell r="O15344">
            <v>3.694</v>
          </cell>
        </row>
        <row r="15345">
          <cell r="E15345" t="str">
            <v>SPEA</v>
          </cell>
          <cell r="F15345" t="str">
            <v>SPEA-V</v>
          </cell>
          <cell r="G15345">
            <v>541</v>
          </cell>
          <cell r="H15345" t="str">
            <v>SPEA-V541</v>
          </cell>
          <cell r="K15345" t="str">
            <v>Ross,Justin</v>
          </cell>
          <cell r="N15345">
            <v>3.827</v>
          </cell>
          <cell r="O15345">
            <v>3.6480000000000001</v>
          </cell>
        </row>
        <row r="15346">
          <cell r="E15346" t="str">
            <v>SPEA</v>
          </cell>
          <cell r="F15346" t="str">
            <v>SPEA-V</v>
          </cell>
          <cell r="G15346">
            <v>541</v>
          </cell>
          <cell r="H15346" t="str">
            <v>SPEA-V541</v>
          </cell>
          <cell r="K15346" t="str">
            <v>Simon,Daniel</v>
          </cell>
          <cell r="N15346">
            <v>3.57</v>
          </cell>
          <cell r="O15346">
            <v>3.6850000000000001</v>
          </cell>
        </row>
        <row r="15347">
          <cell r="E15347" t="str">
            <v>SPEA</v>
          </cell>
          <cell r="F15347" t="str">
            <v>SPEA-V</v>
          </cell>
          <cell r="G15347">
            <v>542</v>
          </cell>
          <cell r="H15347" t="str">
            <v>SPEA-V542</v>
          </cell>
          <cell r="K15347" t="str">
            <v>McCaster,Antonette L</v>
          </cell>
          <cell r="N15347">
            <v>3.9630000000000001</v>
          </cell>
          <cell r="O15347">
            <v>3.6869999999999998</v>
          </cell>
        </row>
        <row r="15348">
          <cell r="E15348" t="str">
            <v>SPEA</v>
          </cell>
          <cell r="F15348" t="str">
            <v>SPEA-V</v>
          </cell>
          <cell r="G15348">
            <v>542</v>
          </cell>
          <cell r="H15348" t="str">
            <v>SPEA-V542</v>
          </cell>
          <cell r="K15348" t="str">
            <v>Yan,Wenli</v>
          </cell>
          <cell r="N15348">
            <v>3.6629999999999998</v>
          </cell>
          <cell r="O15348">
            <v>3.7280000000000002</v>
          </cell>
        </row>
        <row r="15349">
          <cell r="E15349" t="str">
            <v>SPEA</v>
          </cell>
          <cell r="F15349" t="str">
            <v>SPEA-V</v>
          </cell>
          <cell r="G15349">
            <v>547</v>
          </cell>
          <cell r="H15349" t="str">
            <v>SPEA-V547</v>
          </cell>
          <cell r="K15349" t="str">
            <v>Bingham,Lisa Blomgren</v>
          </cell>
          <cell r="N15349">
            <v>3.242</v>
          </cell>
          <cell r="O15349">
            <v>3.5720000000000001</v>
          </cell>
        </row>
        <row r="15350">
          <cell r="E15350" t="str">
            <v>SPEA</v>
          </cell>
          <cell r="F15350" t="str">
            <v>SPEA-V</v>
          </cell>
          <cell r="G15350">
            <v>547</v>
          </cell>
          <cell r="H15350" t="str">
            <v>SPEA-V547</v>
          </cell>
          <cell r="K15350" t="str">
            <v>Napoli,Lisa-Marie</v>
          </cell>
          <cell r="N15350">
            <v>3.871</v>
          </cell>
          <cell r="O15350">
            <v>3.6280000000000001</v>
          </cell>
        </row>
        <row r="15351">
          <cell r="E15351" t="str">
            <v>SPEA</v>
          </cell>
          <cell r="F15351" t="str">
            <v>SPEA-V</v>
          </cell>
          <cell r="G15351">
            <v>550</v>
          </cell>
          <cell r="H15351" t="str">
            <v>SPEA-V550</v>
          </cell>
          <cell r="K15351" t="str">
            <v>Abhyankar,Rajendra Madhukar</v>
          </cell>
          <cell r="N15351">
            <v>3.7440000000000002</v>
          </cell>
          <cell r="O15351">
            <v>3.2320000000000002</v>
          </cell>
        </row>
        <row r="15352">
          <cell r="E15352" t="str">
            <v>SPEA</v>
          </cell>
          <cell r="F15352" t="str">
            <v>SPEA-V</v>
          </cell>
          <cell r="G15352">
            <v>550</v>
          </cell>
          <cell r="H15352" t="str">
            <v>SPEA-V550</v>
          </cell>
          <cell r="K15352" t="str">
            <v>Afoaku,Osita</v>
          </cell>
          <cell r="N15352" t="str">
            <v>NR</v>
          </cell>
          <cell r="O15352" t="str">
            <v>NR</v>
          </cell>
        </row>
        <row r="15353">
          <cell r="E15353" t="str">
            <v>SPEA</v>
          </cell>
          <cell r="F15353" t="str">
            <v>SPEA-V</v>
          </cell>
          <cell r="G15353">
            <v>550</v>
          </cell>
          <cell r="H15353" t="str">
            <v>SPEA-V550</v>
          </cell>
          <cell r="K15353" t="str">
            <v>Afoaku,Osita</v>
          </cell>
          <cell r="N15353">
            <v>3.55</v>
          </cell>
          <cell r="O15353">
            <v>3.2010000000000001</v>
          </cell>
        </row>
        <row r="15354">
          <cell r="E15354" t="str">
            <v>SPEA</v>
          </cell>
          <cell r="F15354" t="str">
            <v>SPEA-V</v>
          </cell>
          <cell r="G15354">
            <v>550</v>
          </cell>
          <cell r="H15354" t="str">
            <v>SPEA-V550</v>
          </cell>
          <cell r="K15354" t="str">
            <v>Afoaku,Osita</v>
          </cell>
          <cell r="N15354" t="str">
            <v>NR</v>
          </cell>
          <cell r="O15354" t="str">
            <v>NR</v>
          </cell>
        </row>
        <row r="15355">
          <cell r="E15355" t="str">
            <v>SPEA</v>
          </cell>
          <cell r="F15355" t="str">
            <v>SPEA-V</v>
          </cell>
          <cell r="G15355">
            <v>550</v>
          </cell>
          <cell r="H15355" t="str">
            <v>SPEA-V550</v>
          </cell>
          <cell r="K15355" t="str">
            <v>Attari,Shahzeen</v>
          </cell>
          <cell r="N15355">
            <v>3.7669999999999999</v>
          </cell>
          <cell r="O15355">
            <v>3.5939999999999999</v>
          </cell>
        </row>
        <row r="15356">
          <cell r="E15356" t="str">
            <v>SPEA</v>
          </cell>
          <cell r="F15356" t="str">
            <v>SPEA-V</v>
          </cell>
          <cell r="G15356">
            <v>550</v>
          </cell>
          <cell r="H15356" t="str">
            <v>SPEA-V550</v>
          </cell>
          <cell r="K15356" t="str">
            <v>Bowers,Ashley</v>
          </cell>
          <cell r="N15356">
            <v>3.8679999999999999</v>
          </cell>
          <cell r="O15356">
            <v>3.75</v>
          </cell>
        </row>
        <row r="15357">
          <cell r="E15357" t="str">
            <v>SPEA</v>
          </cell>
          <cell r="F15357" t="str">
            <v>SPEA-V</v>
          </cell>
          <cell r="G15357">
            <v>550</v>
          </cell>
          <cell r="H15357" t="str">
            <v>SPEA-V550</v>
          </cell>
          <cell r="K15357" t="str">
            <v>Cole,Daniel H.</v>
          </cell>
          <cell r="N15357">
            <v>3.544</v>
          </cell>
          <cell r="O15357">
            <v>3.7309999999999999</v>
          </cell>
        </row>
        <row r="15358">
          <cell r="E15358" t="str">
            <v>SPEA</v>
          </cell>
          <cell r="F15358" t="str">
            <v>SPEA-V</v>
          </cell>
          <cell r="G15358">
            <v>550</v>
          </cell>
          <cell r="H15358" t="str">
            <v>SPEA-V550</v>
          </cell>
          <cell r="K15358" t="str">
            <v>Cole,Daniel H.</v>
          </cell>
          <cell r="N15358" t="str">
            <v>NR</v>
          </cell>
          <cell r="O15358" t="str">
            <v>NR</v>
          </cell>
        </row>
        <row r="15359">
          <cell r="E15359" t="str">
            <v>SPEA</v>
          </cell>
          <cell r="F15359" t="str">
            <v>SPEA-V</v>
          </cell>
          <cell r="G15359">
            <v>550</v>
          </cell>
          <cell r="H15359" t="str">
            <v>SPEA-V550</v>
          </cell>
          <cell r="K15359" t="str">
            <v>Cole,Daniel H.</v>
          </cell>
          <cell r="N15359" t="str">
            <v>NR</v>
          </cell>
          <cell r="O15359" t="str">
            <v>NR</v>
          </cell>
        </row>
        <row r="15360">
          <cell r="E15360" t="str">
            <v>SPEA</v>
          </cell>
          <cell r="F15360" t="str">
            <v>SPEA-V</v>
          </cell>
          <cell r="G15360">
            <v>550</v>
          </cell>
          <cell r="H15360" t="str">
            <v>SPEA-V550</v>
          </cell>
          <cell r="K15360" t="str">
            <v>Hamilton,John Mark</v>
          </cell>
          <cell r="N15360" t="str">
            <v>NR</v>
          </cell>
          <cell r="O15360" t="str">
            <v>NR</v>
          </cell>
        </row>
        <row r="15361">
          <cell r="E15361" t="str">
            <v>SPEA</v>
          </cell>
          <cell r="F15361" t="str">
            <v>SPEA-V</v>
          </cell>
          <cell r="G15361">
            <v>550</v>
          </cell>
          <cell r="H15361" t="str">
            <v>SPEA-V550</v>
          </cell>
          <cell r="K15361" t="str">
            <v>Lame,Marc Louis</v>
          </cell>
          <cell r="N15361" t="str">
            <v>NR</v>
          </cell>
          <cell r="O15361" t="str">
            <v>NR</v>
          </cell>
        </row>
        <row r="15362">
          <cell r="E15362" t="str">
            <v>SPEA</v>
          </cell>
          <cell r="F15362" t="str">
            <v>SPEA-V</v>
          </cell>
          <cell r="G15362">
            <v>550</v>
          </cell>
          <cell r="H15362" t="str">
            <v>SPEA-V550</v>
          </cell>
          <cell r="K15362" t="str">
            <v>McLary,James</v>
          </cell>
          <cell r="N15362" t="str">
            <v>NR</v>
          </cell>
          <cell r="O15362" t="str">
            <v>NR</v>
          </cell>
        </row>
        <row r="15363">
          <cell r="E15363" t="str">
            <v>SPEA</v>
          </cell>
          <cell r="F15363" t="str">
            <v>SPEA-V</v>
          </cell>
          <cell r="G15363">
            <v>550</v>
          </cell>
          <cell r="H15363" t="str">
            <v>SPEA-V550</v>
          </cell>
          <cell r="K15363" t="str">
            <v>McLary,James</v>
          </cell>
          <cell r="N15363" t="str">
            <v>NR</v>
          </cell>
          <cell r="O15363" t="str">
            <v>NR</v>
          </cell>
        </row>
        <row r="15364">
          <cell r="E15364" t="str">
            <v>SPEA</v>
          </cell>
          <cell r="F15364" t="str">
            <v>SPEA-V</v>
          </cell>
          <cell r="G15364">
            <v>550</v>
          </cell>
          <cell r="H15364" t="str">
            <v>SPEA-V550</v>
          </cell>
          <cell r="K15364" t="str">
            <v>Nierzwicki Jr,Frank Leonard</v>
          </cell>
          <cell r="N15364" t="str">
            <v>NR</v>
          </cell>
          <cell r="O15364" t="str">
            <v>NR</v>
          </cell>
        </row>
        <row r="15365">
          <cell r="E15365" t="str">
            <v>SPEA</v>
          </cell>
          <cell r="F15365" t="str">
            <v>SPEA-V</v>
          </cell>
          <cell r="G15365">
            <v>550</v>
          </cell>
          <cell r="H15365" t="str">
            <v>SPEA-V550</v>
          </cell>
          <cell r="K15365" t="str">
            <v>Powell,Orville W</v>
          </cell>
          <cell r="N15365" t="str">
            <v>NR</v>
          </cell>
          <cell r="O15365" t="str">
            <v>NR</v>
          </cell>
        </row>
        <row r="15366">
          <cell r="E15366" t="str">
            <v>SPEA</v>
          </cell>
          <cell r="F15366" t="str">
            <v>SPEA-V</v>
          </cell>
          <cell r="G15366">
            <v>550</v>
          </cell>
          <cell r="H15366" t="str">
            <v>SPEA-V550</v>
          </cell>
          <cell r="K15366" t="str">
            <v>Simon,Daniel</v>
          </cell>
          <cell r="N15366" t="str">
            <v>NR</v>
          </cell>
          <cell r="O15366" t="str">
            <v>NR</v>
          </cell>
        </row>
        <row r="15367">
          <cell r="E15367" t="str">
            <v>SPEA</v>
          </cell>
          <cell r="F15367" t="str">
            <v>SPEA-V</v>
          </cell>
          <cell r="G15367">
            <v>550</v>
          </cell>
          <cell r="H15367" t="str">
            <v>SPEA-V550</v>
          </cell>
          <cell r="K15367" t="str">
            <v>Simon,Kosali</v>
          </cell>
          <cell r="N15367">
            <v>3.68</v>
          </cell>
          <cell r="O15367">
            <v>3.6749999999999998</v>
          </cell>
        </row>
        <row r="15368">
          <cell r="E15368" t="str">
            <v>SPEA</v>
          </cell>
          <cell r="F15368" t="str">
            <v>SPEA-V</v>
          </cell>
          <cell r="G15368">
            <v>550</v>
          </cell>
          <cell r="H15368" t="str">
            <v>SPEA-V550</v>
          </cell>
          <cell r="K15368" t="str">
            <v>Tran,Anh Ngoc</v>
          </cell>
          <cell r="N15368">
            <v>3.7879999999999998</v>
          </cell>
          <cell r="O15368">
            <v>3.6680000000000001</v>
          </cell>
        </row>
        <row r="15369">
          <cell r="E15369" t="str">
            <v>SPEA</v>
          </cell>
          <cell r="F15369" t="str">
            <v>SPEA-V</v>
          </cell>
          <cell r="G15369">
            <v>557</v>
          </cell>
          <cell r="H15369" t="str">
            <v>SPEA-V557</v>
          </cell>
          <cell r="K15369" t="str">
            <v>Scherer,Amanda Gayle</v>
          </cell>
          <cell r="N15369">
            <v>3.7570000000000001</v>
          </cell>
          <cell r="O15369">
            <v>3.7210000000000001</v>
          </cell>
        </row>
        <row r="15370">
          <cell r="E15370" t="str">
            <v>SPEA</v>
          </cell>
          <cell r="F15370" t="str">
            <v>SPEA-V</v>
          </cell>
          <cell r="G15370">
            <v>558</v>
          </cell>
          <cell r="H15370" t="str">
            <v>SPEA-V558</v>
          </cell>
          <cell r="K15370" t="str">
            <v>Brown,Melissa S</v>
          </cell>
          <cell r="N15370">
            <v>3.7189999999999999</v>
          </cell>
          <cell r="O15370">
            <v>3.6030000000000002</v>
          </cell>
        </row>
        <row r="15371">
          <cell r="E15371" t="str">
            <v>SPEA</v>
          </cell>
          <cell r="F15371" t="str">
            <v>SPEA-V</v>
          </cell>
          <cell r="G15371">
            <v>558</v>
          </cell>
          <cell r="H15371" t="str">
            <v>SPEA-V558</v>
          </cell>
          <cell r="K15371" t="str">
            <v>Gronbjerg,Kirsten A.</v>
          </cell>
          <cell r="N15371">
            <v>3.5710000000000002</v>
          </cell>
          <cell r="O15371">
            <v>3.6909999999999998</v>
          </cell>
        </row>
        <row r="15372">
          <cell r="E15372" t="str">
            <v>SPEA</v>
          </cell>
          <cell r="F15372" t="str">
            <v>SPEA-V</v>
          </cell>
          <cell r="G15372">
            <v>559</v>
          </cell>
          <cell r="H15372" t="str">
            <v>SPEA-V559</v>
          </cell>
          <cell r="K15372" t="str">
            <v>Lenkowsky,Leslie</v>
          </cell>
          <cell r="N15372">
            <v>3.6150000000000002</v>
          </cell>
          <cell r="O15372">
            <v>3.677</v>
          </cell>
        </row>
        <row r="15373">
          <cell r="E15373" t="str">
            <v>SPEA</v>
          </cell>
          <cell r="F15373" t="str">
            <v>SPEA-V</v>
          </cell>
          <cell r="G15373">
            <v>560</v>
          </cell>
          <cell r="H15373" t="str">
            <v>SPEA-V560</v>
          </cell>
          <cell r="K15373" t="str">
            <v>Duncan,Denvil</v>
          </cell>
          <cell r="N15373">
            <v>3.0569999999999999</v>
          </cell>
          <cell r="O15373">
            <v>3.4889999999999999</v>
          </cell>
        </row>
        <row r="15374">
          <cell r="E15374" t="str">
            <v>SPEA</v>
          </cell>
          <cell r="F15374" t="str">
            <v>SPEA-V</v>
          </cell>
          <cell r="G15374">
            <v>560</v>
          </cell>
          <cell r="H15374" t="str">
            <v>SPEA-V560</v>
          </cell>
          <cell r="K15374" t="str">
            <v>Kurbanov,Shokhrukh Irkinovich</v>
          </cell>
          <cell r="N15374">
            <v>3.3719999999999999</v>
          </cell>
          <cell r="O15374">
            <v>3.605</v>
          </cell>
        </row>
        <row r="15375">
          <cell r="E15375" t="str">
            <v>SPEA</v>
          </cell>
          <cell r="F15375" t="str">
            <v>SPEA-V</v>
          </cell>
          <cell r="G15375">
            <v>560</v>
          </cell>
          <cell r="H15375" t="str">
            <v>SPEA-V560</v>
          </cell>
          <cell r="K15375" t="str">
            <v>Mikesell,John L.</v>
          </cell>
          <cell r="N15375">
            <v>3.0430000000000001</v>
          </cell>
          <cell r="O15375">
            <v>3.5259999999999998</v>
          </cell>
        </row>
        <row r="15376">
          <cell r="E15376" t="str">
            <v>SPEA</v>
          </cell>
          <cell r="F15376" t="str">
            <v>SPEA-V</v>
          </cell>
          <cell r="G15376">
            <v>560</v>
          </cell>
          <cell r="H15376" t="str">
            <v>SPEA-V560</v>
          </cell>
          <cell r="K15376" t="str">
            <v>Mikesell,John L.</v>
          </cell>
          <cell r="N15376">
            <v>3.23</v>
          </cell>
          <cell r="O15376">
            <v>3.6709999999999998</v>
          </cell>
        </row>
        <row r="15377">
          <cell r="E15377" t="str">
            <v>SPEA</v>
          </cell>
          <cell r="F15377" t="str">
            <v>SPEA-V</v>
          </cell>
          <cell r="G15377">
            <v>561</v>
          </cell>
          <cell r="H15377" t="str">
            <v>SPEA-V561</v>
          </cell>
          <cell r="K15377" t="str">
            <v>Condrey,Stephen Emerson</v>
          </cell>
          <cell r="N15377" t="str">
            <v>NR</v>
          </cell>
          <cell r="O15377" t="str">
            <v>NR</v>
          </cell>
        </row>
        <row r="15378">
          <cell r="E15378" t="str">
            <v>SPEA</v>
          </cell>
          <cell r="F15378" t="str">
            <v>SPEA-V</v>
          </cell>
          <cell r="G15378">
            <v>561</v>
          </cell>
          <cell r="H15378" t="str">
            <v>SPEA-V561</v>
          </cell>
          <cell r="K15378" t="str">
            <v>Perry,James L.</v>
          </cell>
          <cell r="N15378">
            <v>3.7170000000000001</v>
          </cell>
          <cell r="O15378">
            <v>3.6629999999999998</v>
          </cell>
        </row>
        <row r="15379">
          <cell r="E15379" t="str">
            <v>SPEA</v>
          </cell>
          <cell r="F15379" t="str">
            <v>SPEA-V</v>
          </cell>
          <cell r="G15379">
            <v>562</v>
          </cell>
          <cell r="H15379" t="str">
            <v>SPEA-V562</v>
          </cell>
          <cell r="K15379" t="str">
            <v>Littlepage,Laura Carol</v>
          </cell>
          <cell r="N15379">
            <v>3.6709999999999998</v>
          </cell>
          <cell r="O15379">
            <v>3.6739999999999999</v>
          </cell>
        </row>
        <row r="15380">
          <cell r="E15380" t="str">
            <v>SPEA</v>
          </cell>
          <cell r="F15380" t="str">
            <v>SPEA-V</v>
          </cell>
          <cell r="G15380">
            <v>562</v>
          </cell>
          <cell r="H15380" t="str">
            <v>SPEA-V562</v>
          </cell>
          <cell r="K15380" t="str">
            <v>Nelson,Ashlyn</v>
          </cell>
          <cell r="N15380">
            <v>3.3250000000000002</v>
          </cell>
          <cell r="O15380">
            <v>3.63</v>
          </cell>
        </row>
        <row r="15381">
          <cell r="E15381" t="str">
            <v>SPEA</v>
          </cell>
          <cell r="F15381" t="str">
            <v>SPEA-V</v>
          </cell>
          <cell r="G15381">
            <v>562</v>
          </cell>
          <cell r="H15381" t="str">
            <v>SPEA-V562</v>
          </cell>
          <cell r="K15381" t="str">
            <v>Pirog,Maureen</v>
          </cell>
          <cell r="N15381">
            <v>3.593</v>
          </cell>
          <cell r="O15381">
            <v>3.5950000000000002</v>
          </cell>
        </row>
        <row r="15382">
          <cell r="E15382" t="str">
            <v>SPEA</v>
          </cell>
          <cell r="F15382" t="str">
            <v>SPEA-V</v>
          </cell>
          <cell r="G15382">
            <v>564</v>
          </cell>
          <cell r="H15382" t="str">
            <v>SPEA-V564</v>
          </cell>
          <cell r="K15382" t="str">
            <v>Powell,Orville W</v>
          </cell>
          <cell r="N15382">
            <v>3.9249999999999998</v>
          </cell>
          <cell r="O15382">
            <v>3.6459999999999999</v>
          </cell>
        </row>
        <row r="15383">
          <cell r="E15383" t="str">
            <v>SPEA</v>
          </cell>
          <cell r="F15383" t="str">
            <v>SPEA-V</v>
          </cell>
          <cell r="G15383">
            <v>568</v>
          </cell>
          <cell r="H15383" t="str">
            <v>SPEA-V568</v>
          </cell>
          <cell r="K15383" t="str">
            <v>Powell,Orville W</v>
          </cell>
          <cell r="N15383">
            <v>3.8319999999999999</v>
          </cell>
          <cell r="O15383">
            <v>3.7090000000000001</v>
          </cell>
        </row>
        <row r="15384">
          <cell r="E15384" t="str">
            <v>SPEA</v>
          </cell>
          <cell r="F15384" t="str">
            <v>SPEA-V</v>
          </cell>
          <cell r="G15384">
            <v>570</v>
          </cell>
          <cell r="H15384" t="str">
            <v>SPEA-V570</v>
          </cell>
          <cell r="K15384" t="str">
            <v>Jones,Miguel Luke</v>
          </cell>
          <cell r="N15384">
            <v>3.95</v>
          </cell>
          <cell r="O15384">
            <v>3.7189999999999999</v>
          </cell>
        </row>
        <row r="15385">
          <cell r="E15385" t="str">
            <v>SPEA</v>
          </cell>
          <cell r="F15385" t="str">
            <v>SPEA-V</v>
          </cell>
          <cell r="G15385">
            <v>575</v>
          </cell>
          <cell r="H15385" t="str">
            <v>SPEA-V575</v>
          </cell>
          <cell r="K15385" t="str">
            <v>Karaagac,John</v>
          </cell>
          <cell r="N15385">
            <v>3.589</v>
          </cell>
          <cell r="O15385">
            <v>3.585</v>
          </cell>
        </row>
        <row r="15386">
          <cell r="E15386" t="str">
            <v>SPEA</v>
          </cell>
          <cell r="F15386" t="str">
            <v>SPEA-V</v>
          </cell>
          <cell r="G15386">
            <v>577</v>
          </cell>
          <cell r="H15386" t="str">
            <v>SPEA-V577</v>
          </cell>
          <cell r="K15386" t="str">
            <v>Tran,Anh Ngoc</v>
          </cell>
          <cell r="N15386">
            <v>3.694</v>
          </cell>
          <cell r="O15386">
            <v>3.5110000000000001</v>
          </cell>
        </row>
        <row r="15387">
          <cell r="E15387" t="str">
            <v>SPEA</v>
          </cell>
          <cell r="F15387" t="str">
            <v>SPEA-V</v>
          </cell>
          <cell r="G15387">
            <v>578</v>
          </cell>
          <cell r="H15387" t="str">
            <v>SPEA-V578</v>
          </cell>
          <cell r="K15387" t="str">
            <v>Reuveny,Rafael</v>
          </cell>
          <cell r="N15387">
            <v>3.5710000000000002</v>
          </cell>
          <cell r="O15387">
            <v>2.9169999999999998</v>
          </cell>
        </row>
        <row r="15388">
          <cell r="E15388" t="str">
            <v>SPEA</v>
          </cell>
          <cell r="F15388" t="str">
            <v>SPEA-V</v>
          </cell>
          <cell r="G15388">
            <v>578</v>
          </cell>
          <cell r="H15388" t="str">
            <v>SPEA-V578</v>
          </cell>
          <cell r="K15388" t="str">
            <v>Reuveny,Rafael</v>
          </cell>
          <cell r="N15388">
            <v>3.6190000000000002</v>
          </cell>
          <cell r="O15388">
            <v>3.5350000000000001</v>
          </cell>
        </row>
        <row r="15389">
          <cell r="E15389" t="str">
            <v>SPEA</v>
          </cell>
          <cell r="F15389" t="str">
            <v>SPEA-V</v>
          </cell>
          <cell r="G15389">
            <v>580</v>
          </cell>
          <cell r="H15389" t="str">
            <v>SPEA-V580</v>
          </cell>
          <cell r="K15389" t="str">
            <v>Rushton,Michael</v>
          </cell>
          <cell r="N15389">
            <v>3.93</v>
          </cell>
          <cell r="O15389">
            <v>3.613</v>
          </cell>
        </row>
        <row r="15390">
          <cell r="E15390" t="str">
            <v>SPEA</v>
          </cell>
          <cell r="F15390" t="str">
            <v>SPEA-V</v>
          </cell>
          <cell r="G15390">
            <v>580</v>
          </cell>
          <cell r="H15390" t="str">
            <v>SPEA-V580</v>
          </cell>
          <cell r="K15390" t="str">
            <v>Rushton,Michael</v>
          </cell>
          <cell r="N15390">
            <v>3.9089999999999998</v>
          </cell>
          <cell r="O15390">
            <v>3.536</v>
          </cell>
        </row>
        <row r="15391">
          <cell r="E15391" t="str">
            <v>SPEA</v>
          </cell>
          <cell r="F15391" t="str">
            <v>SPEA-V</v>
          </cell>
          <cell r="G15391">
            <v>582</v>
          </cell>
          <cell r="H15391" t="str">
            <v>SPEA-V582</v>
          </cell>
          <cell r="K15391" t="str">
            <v>Lame,Marc Louis</v>
          </cell>
          <cell r="N15391" t="str">
            <v>NR</v>
          </cell>
          <cell r="O15391" t="str">
            <v>NR</v>
          </cell>
        </row>
        <row r="15392">
          <cell r="E15392" t="str">
            <v>SPEA</v>
          </cell>
          <cell r="F15392" t="str">
            <v>SPEA-V</v>
          </cell>
          <cell r="G15392">
            <v>585</v>
          </cell>
          <cell r="H15392" t="str">
            <v>SPEA-V585</v>
          </cell>
          <cell r="K15392" t="str">
            <v>Sewell,Katie</v>
          </cell>
          <cell r="N15392" t="str">
            <v>NR</v>
          </cell>
          <cell r="O15392" t="str">
            <v>NR</v>
          </cell>
        </row>
        <row r="15393">
          <cell r="E15393" t="str">
            <v>SPEA</v>
          </cell>
          <cell r="F15393" t="str">
            <v>SPEA-V</v>
          </cell>
          <cell r="G15393">
            <v>585</v>
          </cell>
          <cell r="H15393" t="str">
            <v>SPEA-V585</v>
          </cell>
          <cell r="K15393" t="str">
            <v>Sewell,Katie</v>
          </cell>
          <cell r="N15393" t="str">
            <v>NR</v>
          </cell>
          <cell r="O15393" t="str">
            <v>NR</v>
          </cell>
        </row>
        <row r="15394">
          <cell r="E15394" t="str">
            <v>SPEA</v>
          </cell>
          <cell r="F15394" t="str">
            <v>SPEA-V</v>
          </cell>
          <cell r="G15394">
            <v>585</v>
          </cell>
          <cell r="H15394" t="str">
            <v>SPEA-V585</v>
          </cell>
          <cell r="K15394" t="str">
            <v>Sewell,Katie</v>
          </cell>
          <cell r="N15394" t="str">
            <v>NR</v>
          </cell>
          <cell r="O15394" t="str">
            <v>NR</v>
          </cell>
        </row>
        <row r="15395">
          <cell r="E15395" t="str">
            <v>SPEA</v>
          </cell>
          <cell r="F15395" t="str">
            <v>SPEA-V</v>
          </cell>
          <cell r="G15395">
            <v>590</v>
          </cell>
          <cell r="H15395" t="str">
            <v>SPEA-V590</v>
          </cell>
          <cell r="K15395" t="str">
            <v>Rushton,Michael</v>
          </cell>
          <cell r="N15395" t="str">
            <v>NR</v>
          </cell>
          <cell r="O15395" t="str">
            <v>NR</v>
          </cell>
        </row>
        <row r="15396">
          <cell r="E15396" t="str">
            <v>SPEA</v>
          </cell>
          <cell r="F15396" t="str">
            <v>SPEA-V</v>
          </cell>
          <cell r="G15396">
            <v>590</v>
          </cell>
          <cell r="H15396" t="str">
            <v>SPEA-V590</v>
          </cell>
          <cell r="K15396" t="str">
            <v>Rushton,Michael</v>
          </cell>
          <cell r="N15396" t="str">
            <v>NR</v>
          </cell>
          <cell r="O15396" t="str">
            <v>NR</v>
          </cell>
        </row>
        <row r="15397">
          <cell r="E15397" t="str">
            <v>SPEA</v>
          </cell>
          <cell r="F15397" t="str">
            <v>SPEA-V</v>
          </cell>
          <cell r="G15397">
            <v>596</v>
          </cell>
          <cell r="H15397" t="str">
            <v>SPEA-V596</v>
          </cell>
          <cell r="K15397" t="str">
            <v>Reuveny,Rafael</v>
          </cell>
          <cell r="N15397">
            <v>3.5760000000000001</v>
          </cell>
          <cell r="O15397">
            <v>3.5939999999999999</v>
          </cell>
        </row>
        <row r="15398">
          <cell r="E15398" t="str">
            <v>SPEA</v>
          </cell>
          <cell r="F15398" t="str">
            <v>SPEA-V</v>
          </cell>
          <cell r="G15398">
            <v>600</v>
          </cell>
          <cell r="H15398" t="str">
            <v>SPEA-V600</v>
          </cell>
          <cell r="K15398" t="str">
            <v>Fischer,Burnell</v>
          </cell>
          <cell r="N15398">
            <v>3.6520000000000001</v>
          </cell>
          <cell r="O15398">
            <v>3.6469999999999998</v>
          </cell>
        </row>
        <row r="15399">
          <cell r="E15399" t="str">
            <v>SPEA</v>
          </cell>
          <cell r="F15399" t="str">
            <v>SPEA-V</v>
          </cell>
          <cell r="G15399">
            <v>600</v>
          </cell>
          <cell r="H15399" t="str">
            <v>SPEA-V600</v>
          </cell>
          <cell r="K15399" t="str">
            <v>Fischman,Robert L</v>
          </cell>
          <cell r="N15399">
            <v>3.496</v>
          </cell>
          <cell r="O15399">
            <v>3.6509999999999998</v>
          </cell>
        </row>
        <row r="15400">
          <cell r="E15400" t="str">
            <v>SPEA</v>
          </cell>
          <cell r="F15400" t="str">
            <v>SPEA-V</v>
          </cell>
          <cell r="G15400">
            <v>600</v>
          </cell>
          <cell r="H15400" t="str">
            <v>SPEA-V600</v>
          </cell>
          <cell r="K15400" t="str">
            <v>Lenkowsky,Leslie</v>
          </cell>
          <cell r="N15400">
            <v>3.3</v>
          </cell>
          <cell r="O15400">
            <v>3.577</v>
          </cell>
        </row>
        <row r="15401">
          <cell r="E15401" t="str">
            <v>SPEA</v>
          </cell>
          <cell r="F15401" t="str">
            <v>SPEA-V</v>
          </cell>
          <cell r="G15401">
            <v>600</v>
          </cell>
          <cell r="H15401" t="str">
            <v>SPEA-V600</v>
          </cell>
          <cell r="K15401" t="str">
            <v>Lenkowsky,Leslie</v>
          </cell>
          <cell r="N15401">
            <v>3.7090000000000001</v>
          </cell>
          <cell r="O15401">
            <v>3.7050000000000001</v>
          </cell>
        </row>
        <row r="15402">
          <cell r="E15402" t="str">
            <v>SPEA</v>
          </cell>
          <cell r="F15402" t="str">
            <v>SPEA-V</v>
          </cell>
          <cell r="G15402">
            <v>600</v>
          </cell>
          <cell r="H15402" t="str">
            <v>SPEA-V600</v>
          </cell>
          <cell r="K15402" t="str">
            <v>Perry,James L.</v>
          </cell>
          <cell r="N15402">
            <v>4</v>
          </cell>
          <cell r="O15402">
            <v>3.7120000000000002</v>
          </cell>
        </row>
        <row r="15403">
          <cell r="E15403" t="str">
            <v>SPEA</v>
          </cell>
          <cell r="F15403" t="str">
            <v>SPEA-V</v>
          </cell>
          <cell r="G15403">
            <v>600</v>
          </cell>
          <cell r="H15403" t="str">
            <v>SPEA-V600</v>
          </cell>
          <cell r="K15403" t="str">
            <v>Rubin,Barry M.</v>
          </cell>
          <cell r="N15403">
            <v>3.9550000000000001</v>
          </cell>
          <cell r="O15403">
            <v>3.706</v>
          </cell>
        </row>
        <row r="15404">
          <cell r="E15404" t="str">
            <v>SPEA</v>
          </cell>
          <cell r="F15404" t="str">
            <v>SPEA-V</v>
          </cell>
          <cell r="G15404">
            <v>600</v>
          </cell>
          <cell r="H15404" t="str">
            <v>SPEA-V600</v>
          </cell>
          <cell r="K15404" t="str">
            <v>Wise,Lois R.</v>
          </cell>
          <cell r="N15404">
            <v>3.8540000000000001</v>
          </cell>
          <cell r="O15404">
            <v>3.7069999999999999</v>
          </cell>
        </row>
        <row r="15405">
          <cell r="E15405" t="str">
            <v>SPEA</v>
          </cell>
          <cell r="F15405" t="str">
            <v>SPEA-V</v>
          </cell>
          <cell r="G15405">
            <v>606</v>
          </cell>
          <cell r="H15405" t="str">
            <v>SPEA-V606</v>
          </cell>
          <cell r="K15405" t="str">
            <v>Jung,Haeil</v>
          </cell>
          <cell r="N15405">
            <v>3.63</v>
          </cell>
          <cell r="O15405">
            <v>3.74</v>
          </cell>
        </row>
        <row r="15406">
          <cell r="E15406" t="str">
            <v>SPEA</v>
          </cell>
          <cell r="F15406" t="str">
            <v>SPEA-V</v>
          </cell>
          <cell r="G15406">
            <v>607</v>
          </cell>
          <cell r="H15406" t="str">
            <v>SPEA-V607</v>
          </cell>
          <cell r="K15406" t="str">
            <v>Jung,Haeil</v>
          </cell>
          <cell r="N15406">
            <v>3.7770000000000001</v>
          </cell>
          <cell r="O15406">
            <v>3.7810000000000001</v>
          </cell>
        </row>
        <row r="15407">
          <cell r="E15407" t="str">
            <v>SPEA</v>
          </cell>
          <cell r="F15407" t="str">
            <v>SPEA-V</v>
          </cell>
          <cell r="G15407">
            <v>609</v>
          </cell>
          <cell r="H15407" t="str">
            <v>SPEA-V609</v>
          </cell>
          <cell r="K15407" t="str">
            <v>Mikesell,John L.</v>
          </cell>
          <cell r="N15407">
            <v>3.71</v>
          </cell>
          <cell r="O15407">
            <v>3.7360000000000002</v>
          </cell>
        </row>
        <row r="15408">
          <cell r="E15408" t="str">
            <v>SPEA</v>
          </cell>
          <cell r="F15408" t="str">
            <v>SPEA-V</v>
          </cell>
          <cell r="G15408">
            <v>611</v>
          </cell>
          <cell r="H15408" t="str">
            <v>SPEA-V611</v>
          </cell>
          <cell r="K15408" t="str">
            <v>Usrey,Terry Ray</v>
          </cell>
          <cell r="N15408" t="str">
            <v>NR</v>
          </cell>
          <cell r="O15408" t="str">
            <v>NR</v>
          </cell>
        </row>
        <row r="15409">
          <cell r="E15409" t="str">
            <v>SPEA</v>
          </cell>
          <cell r="F15409" t="str">
            <v>SPEA-V</v>
          </cell>
          <cell r="G15409">
            <v>621</v>
          </cell>
          <cell r="H15409" t="str">
            <v>SPEA-V621</v>
          </cell>
          <cell r="K15409" t="str">
            <v>Rehrey,George John</v>
          </cell>
          <cell r="N15409">
            <v>4</v>
          </cell>
          <cell r="O15409">
            <v>3.7890000000000001</v>
          </cell>
        </row>
        <row r="15410">
          <cell r="E15410" t="str">
            <v>SPEA</v>
          </cell>
          <cell r="F15410" t="str">
            <v>SPEA-V</v>
          </cell>
          <cell r="G15410">
            <v>622</v>
          </cell>
          <cell r="H15410" t="str">
            <v>SPEA-V622</v>
          </cell>
          <cell r="K15410" t="str">
            <v>Rubin,Barry M.</v>
          </cell>
          <cell r="N15410">
            <v>3.6619999999999999</v>
          </cell>
          <cell r="O15410">
            <v>3.7050000000000001</v>
          </cell>
        </row>
        <row r="15411">
          <cell r="E15411" t="str">
            <v>SPEA</v>
          </cell>
          <cell r="F15411" t="str">
            <v>SPEA-V</v>
          </cell>
          <cell r="G15411">
            <v>623</v>
          </cell>
          <cell r="H15411" t="str">
            <v>SPEA-V623</v>
          </cell>
          <cell r="K15411" t="str">
            <v>Powell,Orville W</v>
          </cell>
          <cell r="N15411">
            <v>4</v>
          </cell>
          <cell r="O15411">
            <v>3.7549999999999999</v>
          </cell>
        </row>
        <row r="15412">
          <cell r="E15412" t="str">
            <v>SPEA</v>
          </cell>
          <cell r="F15412" t="str">
            <v>SPEA-V</v>
          </cell>
          <cell r="G15412">
            <v>640</v>
          </cell>
          <cell r="H15412" t="str">
            <v>SPEA-V640</v>
          </cell>
          <cell r="K15412" t="str">
            <v>Cate,Beth E</v>
          </cell>
          <cell r="N15412">
            <v>3.4529999999999998</v>
          </cell>
          <cell r="O15412">
            <v>3.569</v>
          </cell>
        </row>
        <row r="15413">
          <cell r="E15413" t="str">
            <v>SPEA</v>
          </cell>
          <cell r="F15413" t="str">
            <v>SPEA-V</v>
          </cell>
          <cell r="G15413">
            <v>643</v>
          </cell>
          <cell r="H15413" t="str">
            <v>SPEA-V643</v>
          </cell>
          <cell r="K15413" t="str">
            <v>Lame,Marc Louis</v>
          </cell>
          <cell r="N15413">
            <v>3.4129999999999998</v>
          </cell>
          <cell r="O15413">
            <v>3.5209999999999999</v>
          </cell>
        </row>
        <row r="15414">
          <cell r="E15414" t="str">
            <v>SPEA</v>
          </cell>
          <cell r="F15414" t="str">
            <v>SPEA-V</v>
          </cell>
          <cell r="G15414">
            <v>645</v>
          </cell>
          <cell r="H15414" t="str">
            <v>SPEA-V645</v>
          </cell>
          <cell r="K15414" t="str">
            <v>Barnes,A James</v>
          </cell>
          <cell r="N15414">
            <v>3.7309999999999999</v>
          </cell>
          <cell r="O15414">
            <v>3.6379999999999999</v>
          </cell>
        </row>
        <row r="15415">
          <cell r="E15415" t="str">
            <v>SPEA</v>
          </cell>
          <cell r="F15415" t="str">
            <v>SPEA-V</v>
          </cell>
          <cell r="G15415">
            <v>652</v>
          </cell>
          <cell r="H15415" t="str">
            <v>SPEA-V652</v>
          </cell>
          <cell r="K15415" t="str">
            <v>Wise,Lois R.</v>
          </cell>
          <cell r="N15415">
            <v>3.87</v>
          </cell>
          <cell r="O15415">
            <v>3.5649999999999999</v>
          </cell>
        </row>
        <row r="15416">
          <cell r="E15416" t="str">
            <v>SPEA</v>
          </cell>
          <cell r="F15416" t="str">
            <v>SPEA-V</v>
          </cell>
          <cell r="G15416">
            <v>654</v>
          </cell>
          <cell r="H15416" t="str">
            <v>SPEA-V654</v>
          </cell>
          <cell r="K15416" t="str">
            <v>Fernandez,Sergio</v>
          </cell>
          <cell r="N15416">
            <v>3.9039999999999999</v>
          </cell>
          <cell r="O15416">
            <v>3.7</v>
          </cell>
        </row>
        <row r="15417">
          <cell r="E15417" t="str">
            <v>SPEA</v>
          </cell>
          <cell r="F15417" t="str">
            <v>SPEA-V</v>
          </cell>
          <cell r="G15417">
            <v>664</v>
          </cell>
          <cell r="H15417" t="str">
            <v>SPEA-V664</v>
          </cell>
          <cell r="K15417" t="str">
            <v>Ringquist,Evan</v>
          </cell>
          <cell r="N15417" t="str">
            <v>NR</v>
          </cell>
          <cell r="O15417" t="str">
            <v>NR</v>
          </cell>
        </row>
        <row r="15418">
          <cell r="E15418" t="str">
            <v>SPEA</v>
          </cell>
          <cell r="F15418" t="str">
            <v>SPEA-V</v>
          </cell>
          <cell r="G15418">
            <v>666</v>
          </cell>
          <cell r="H15418" t="str">
            <v>SPEA-V666</v>
          </cell>
          <cell r="K15418" t="str">
            <v>Ross,Justin</v>
          </cell>
          <cell r="N15418" t="str">
            <v>NR</v>
          </cell>
          <cell r="O15418" t="str">
            <v>NR</v>
          </cell>
        </row>
        <row r="15419">
          <cell r="E15419" t="str">
            <v>SPEA</v>
          </cell>
          <cell r="F15419" t="str">
            <v>SPEA-V</v>
          </cell>
          <cell r="G15419">
            <v>667</v>
          </cell>
          <cell r="H15419" t="str">
            <v>SPEA-V667</v>
          </cell>
          <cell r="K15419" t="str">
            <v>Johnson,Craig L.</v>
          </cell>
          <cell r="N15419">
            <v>3.5049999999999999</v>
          </cell>
          <cell r="O15419">
            <v>3.7050000000000001</v>
          </cell>
        </row>
        <row r="15420">
          <cell r="E15420" t="str">
            <v>SPEA</v>
          </cell>
          <cell r="F15420" t="str">
            <v>SPEA-V</v>
          </cell>
          <cell r="G15420">
            <v>671</v>
          </cell>
          <cell r="H15420" t="str">
            <v>SPEA-V671</v>
          </cell>
          <cell r="K15420" t="str">
            <v>Perry,James L.</v>
          </cell>
          <cell r="N15420">
            <v>3.7829999999999999</v>
          </cell>
          <cell r="O15420">
            <v>3.66</v>
          </cell>
        </row>
        <row r="15421">
          <cell r="E15421" t="str">
            <v>SPEA</v>
          </cell>
          <cell r="F15421" t="str">
            <v>SPEA-V</v>
          </cell>
          <cell r="G15421">
            <v>672</v>
          </cell>
          <cell r="H15421" t="str">
            <v>SPEA-V672</v>
          </cell>
          <cell r="K15421" t="str">
            <v>Fernandez,Sergio</v>
          </cell>
          <cell r="N15421">
            <v>3.91</v>
          </cell>
          <cell r="O15421">
            <v>3.7519999999999998</v>
          </cell>
        </row>
        <row r="15422">
          <cell r="E15422" t="str">
            <v>SPEA</v>
          </cell>
          <cell r="F15422" t="str">
            <v>SPEA-V</v>
          </cell>
          <cell r="G15422">
            <v>673</v>
          </cell>
          <cell r="H15422" t="str">
            <v>SPEA-V673</v>
          </cell>
          <cell r="K15422" t="str">
            <v>Good,David Henning</v>
          </cell>
          <cell r="N15422" t="str">
            <v>NR</v>
          </cell>
          <cell r="O15422" t="str">
            <v>NR</v>
          </cell>
        </row>
        <row r="15423">
          <cell r="E15423" t="str">
            <v>SPEA</v>
          </cell>
          <cell r="F15423" t="str">
            <v>SPEA-V</v>
          </cell>
          <cell r="G15423">
            <v>674</v>
          </cell>
          <cell r="H15423" t="str">
            <v>SPEA-V674</v>
          </cell>
          <cell r="K15423" t="str">
            <v>Carley,Sanya</v>
          </cell>
          <cell r="N15423">
            <v>3.4489999999999998</v>
          </cell>
          <cell r="O15423">
            <v>3.6520000000000001</v>
          </cell>
        </row>
        <row r="15424">
          <cell r="E15424" t="str">
            <v>SPEA</v>
          </cell>
          <cell r="F15424" t="str">
            <v>SPEA-V</v>
          </cell>
          <cell r="G15424">
            <v>674</v>
          </cell>
          <cell r="H15424" t="str">
            <v>SPEA-V674</v>
          </cell>
          <cell r="N15424" t="str">
            <v>NR</v>
          </cell>
          <cell r="O15424" t="str">
            <v>NR</v>
          </cell>
        </row>
        <row r="15425">
          <cell r="E15425" t="str">
            <v>SPEA</v>
          </cell>
          <cell r="F15425" t="str">
            <v>SPEA-V</v>
          </cell>
          <cell r="G15425">
            <v>680</v>
          </cell>
          <cell r="H15425" t="str">
            <v>SPEA-V680</v>
          </cell>
          <cell r="K15425" t="str">
            <v>Ringquist,Evan</v>
          </cell>
          <cell r="N15425">
            <v>3.55</v>
          </cell>
          <cell r="O15425">
            <v>3.823</v>
          </cell>
        </row>
        <row r="15426">
          <cell r="E15426" t="str">
            <v>SPEA</v>
          </cell>
          <cell r="F15426" t="str">
            <v>SPEA-V</v>
          </cell>
          <cell r="G15426">
            <v>685</v>
          </cell>
          <cell r="H15426" t="str">
            <v>SPEA-V685</v>
          </cell>
          <cell r="K15426" t="str">
            <v>Johnson,Craig L.</v>
          </cell>
          <cell r="N15426" t="str">
            <v>NR</v>
          </cell>
          <cell r="O15426" t="str">
            <v>NR</v>
          </cell>
        </row>
        <row r="15427">
          <cell r="E15427" t="str">
            <v>SPEA</v>
          </cell>
          <cell r="F15427" t="str">
            <v>SPEA-V</v>
          </cell>
          <cell r="G15427">
            <v>690</v>
          </cell>
          <cell r="H15427" t="str">
            <v>SPEA-V690</v>
          </cell>
          <cell r="K15427" t="str">
            <v>Ringquist,Evan</v>
          </cell>
          <cell r="N15427">
            <v>3.6749999999999998</v>
          </cell>
          <cell r="O15427">
            <v>3.6320000000000001</v>
          </cell>
        </row>
        <row r="15428">
          <cell r="E15428" t="str">
            <v>SPEA</v>
          </cell>
          <cell r="F15428" t="str">
            <v>SPEA-V</v>
          </cell>
          <cell r="G15428">
            <v>691</v>
          </cell>
          <cell r="H15428" t="str">
            <v>SPEA-V691</v>
          </cell>
          <cell r="K15428" t="str">
            <v>Fischer,Burnell</v>
          </cell>
          <cell r="N15428">
            <v>3.57</v>
          </cell>
          <cell r="O15428">
            <v>3.5569999999999999</v>
          </cell>
        </row>
        <row r="15429">
          <cell r="E15429" t="str">
            <v>SPEA</v>
          </cell>
          <cell r="F15429" t="str">
            <v>SPEA-V</v>
          </cell>
          <cell r="G15429">
            <v>691</v>
          </cell>
          <cell r="H15429" t="str">
            <v>SPEA-V691</v>
          </cell>
          <cell r="K15429" t="str">
            <v>McGinnis,Michael Dean</v>
          </cell>
          <cell r="N15429">
            <v>4</v>
          </cell>
          <cell r="O15429">
            <v>3.7360000000000002</v>
          </cell>
        </row>
        <row r="15430">
          <cell r="E15430" t="str">
            <v>SPEA</v>
          </cell>
          <cell r="F15430" t="str">
            <v>SPEA-V</v>
          </cell>
          <cell r="G15430">
            <v>691</v>
          </cell>
          <cell r="H15430" t="str">
            <v>SPEA-V691</v>
          </cell>
          <cell r="K15430" t="str">
            <v>Ringquist,Evan</v>
          </cell>
          <cell r="N15430">
            <v>4</v>
          </cell>
          <cell r="O15430">
            <v>3.6789999999999998</v>
          </cell>
        </row>
        <row r="15431">
          <cell r="E15431" t="str">
            <v>SPEA</v>
          </cell>
          <cell r="F15431" t="str">
            <v>SPEA-V</v>
          </cell>
          <cell r="G15431">
            <v>691</v>
          </cell>
          <cell r="H15431" t="str">
            <v>SPEA-V691</v>
          </cell>
          <cell r="K15431" t="str">
            <v>Ringquist,Evan</v>
          </cell>
          <cell r="N15431">
            <v>4</v>
          </cell>
          <cell r="O15431">
            <v>3.6880000000000002</v>
          </cell>
        </row>
        <row r="15432">
          <cell r="E15432" t="str">
            <v>SPEA</v>
          </cell>
          <cell r="F15432" t="str">
            <v>SPEA-V</v>
          </cell>
          <cell r="G15432">
            <v>710</v>
          </cell>
          <cell r="H15432" t="str">
            <v>SPEA-V710</v>
          </cell>
          <cell r="K15432" t="str">
            <v>Agranoff,Robert</v>
          </cell>
          <cell r="N15432">
            <v>4</v>
          </cell>
          <cell r="O15432">
            <v>3.782</v>
          </cell>
        </row>
        <row r="15433">
          <cell r="E15433" t="str">
            <v>SPEA</v>
          </cell>
          <cell r="F15433" t="str">
            <v>SPEA-V</v>
          </cell>
          <cell r="G15433">
            <v>710</v>
          </cell>
          <cell r="H15433" t="str">
            <v>SPEA-V710</v>
          </cell>
          <cell r="K15433" t="str">
            <v>Heim,Bradley</v>
          </cell>
          <cell r="N15433">
            <v>3.8330000000000002</v>
          </cell>
          <cell r="O15433">
            <v>3.673</v>
          </cell>
        </row>
        <row r="15434">
          <cell r="E15434" t="str">
            <v>SPEA</v>
          </cell>
          <cell r="F15434" t="str">
            <v>SPEA-V</v>
          </cell>
          <cell r="G15434">
            <v>710</v>
          </cell>
          <cell r="H15434" t="str">
            <v>SPEA-V710</v>
          </cell>
          <cell r="K15434" t="str">
            <v>Ringquist,Evan</v>
          </cell>
          <cell r="N15434" t="str">
            <v>NR</v>
          </cell>
          <cell r="O15434" t="str">
            <v>NR</v>
          </cell>
        </row>
        <row r="15435">
          <cell r="E15435" t="str">
            <v>SPEA</v>
          </cell>
          <cell r="F15435" t="str">
            <v>SPEA-V</v>
          </cell>
          <cell r="G15435">
            <v>710</v>
          </cell>
          <cell r="H15435" t="str">
            <v>SPEA-V710</v>
          </cell>
          <cell r="K15435" t="str">
            <v>Simon,Kosali</v>
          </cell>
          <cell r="N15435" t="str">
            <v>NR</v>
          </cell>
          <cell r="O15435" t="str">
            <v>NR</v>
          </cell>
        </row>
        <row r="15436">
          <cell r="E15436" t="str">
            <v>SPEA</v>
          </cell>
          <cell r="F15436" t="str">
            <v>SPEA-V</v>
          </cell>
          <cell r="G15436">
            <v>890</v>
          </cell>
          <cell r="H15436" t="str">
            <v>SPEA-V890</v>
          </cell>
          <cell r="K15436" t="str">
            <v>Ringquist,Evan</v>
          </cell>
          <cell r="N15436" t="str">
            <v>NR</v>
          </cell>
          <cell r="O15436" t="str">
            <v>NR</v>
          </cell>
        </row>
        <row r="15437">
          <cell r="E15437" t="str">
            <v>SPEA</v>
          </cell>
          <cell r="F15437" t="str">
            <v>SPEA-V</v>
          </cell>
          <cell r="G15437">
            <v>890</v>
          </cell>
          <cell r="H15437" t="str">
            <v>SPEA-V890</v>
          </cell>
          <cell r="K15437" t="str">
            <v>Ringquist,Evan</v>
          </cell>
          <cell r="N15437" t="str">
            <v>NR</v>
          </cell>
          <cell r="O15437" t="str">
            <v>NR</v>
          </cell>
        </row>
        <row r="15438">
          <cell r="E15438" t="str">
            <v>SPEA</v>
          </cell>
          <cell r="F15438" t="str">
            <v>SPEA-V</v>
          </cell>
          <cell r="G15438">
            <v>890</v>
          </cell>
          <cell r="H15438" t="str">
            <v>SPEA-V890</v>
          </cell>
          <cell r="K15438" t="str">
            <v>Ringquist,Evan</v>
          </cell>
          <cell r="N15438" t="str">
            <v>NR</v>
          </cell>
          <cell r="O15438" t="str">
            <v>NR</v>
          </cell>
        </row>
        <row r="15439">
          <cell r="E15439" t="str">
            <v>SPEA</v>
          </cell>
          <cell r="F15439" t="str">
            <v>SPEA-V</v>
          </cell>
          <cell r="G15439">
            <v>890</v>
          </cell>
          <cell r="H15439" t="str">
            <v>SPEA-V890</v>
          </cell>
          <cell r="K15439" t="str">
            <v>Ringquist,Evan</v>
          </cell>
          <cell r="N15439" t="str">
            <v>NR</v>
          </cell>
          <cell r="O15439" t="str">
            <v>NR</v>
          </cell>
        </row>
        <row r="15440">
          <cell r="E15440" t="str">
            <v>SPHS</v>
          </cell>
          <cell r="F15440" t="str">
            <v>SPHS-A</v>
          </cell>
          <cell r="G15440">
            <v>100</v>
          </cell>
          <cell r="H15440" t="str">
            <v>SPHS-A100</v>
          </cell>
          <cell r="K15440" t="str">
            <v>Cornwell,Amy Lou</v>
          </cell>
          <cell r="N15440">
            <v>3.5070000000000001</v>
          </cell>
          <cell r="O15440">
            <v>3.218</v>
          </cell>
        </row>
        <row r="15441">
          <cell r="E15441" t="str">
            <v>SPHS</v>
          </cell>
          <cell r="F15441" t="str">
            <v>SPHS-A</v>
          </cell>
          <cell r="G15441">
            <v>100</v>
          </cell>
          <cell r="H15441" t="str">
            <v>SPHS-A100</v>
          </cell>
          <cell r="K15441" t="str">
            <v>Cornwell,Amy Lou</v>
          </cell>
          <cell r="N15441">
            <v>3.476</v>
          </cell>
          <cell r="O15441">
            <v>3.3039999999999998</v>
          </cell>
        </row>
        <row r="15442">
          <cell r="E15442" t="str">
            <v>SPHS</v>
          </cell>
          <cell r="F15442" t="str">
            <v>SPHS-A</v>
          </cell>
          <cell r="G15442">
            <v>100</v>
          </cell>
          <cell r="H15442" t="str">
            <v>SPHS-A100</v>
          </cell>
          <cell r="K15442" t="str">
            <v>Cornwell,Amy Lou</v>
          </cell>
          <cell r="N15442">
            <v>3.4609999999999999</v>
          </cell>
          <cell r="O15442">
            <v>3.383</v>
          </cell>
        </row>
        <row r="15443">
          <cell r="E15443" t="str">
            <v>SPHS</v>
          </cell>
          <cell r="F15443" t="str">
            <v>SPHS-A</v>
          </cell>
          <cell r="G15443">
            <v>100</v>
          </cell>
          <cell r="H15443" t="str">
            <v>SPHS-A100</v>
          </cell>
          <cell r="K15443" t="str">
            <v>Cornwell,Amy Lou</v>
          </cell>
          <cell r="N15443">
            <v>3.403</v>
          </cell>
          <cell r="O15443">
            <v>3.1389999999999998</v>
          </cell>
        </row>
        <row r="15444">
          <cell r="E15444" t="str">
            <v>SPHS</v>
          </cell>
          <cell r="F15444" t="str">
            <v>SPHS-A</v>
          </cell>
          <cell r="G15444">
            <v>100</v>
          </cell>
          <cell r="H15444" t="str">
            <v>SPHS-A100</v>
          </cell>
          <cell r="K15444" t="str">
            <v>Cornwell,Amy Lou</v>
          </cell>
          <cell r="N15444">
            <v>2.9830000000000001</v>
          </cell>
          <cell r="O15444">
            <v>3.012</v>
          </cell>
        </row>
        <row r="15445">
          <cell r="E15445" t="str">
            <v>SPHS</v>
          </cell>
          <cell r="F15445" t="str">
            <v>SPHS-A</v>
          </cell>
          <cell r="G15445">
            <v>100</v>
          </cell>
          <cell r="H15445" t="str">
            <v>SPHS-A100</v>
          </cell>
          <cell r="K15445" t="str">
            <v>Cornwell,Amy Lou</v>
          </cell>
          <cell r="N15445">
            <v>3.3170000000000002</v>
          </cell>
          <cell r="O15445">
            <v>3.089</v>
          </cell>
        </row>
        <row r="15446">
          <cell r="E15446" t="str">
            <v>SPHS</v>
          </cell>
          <cell r="F15446" t="str">
            <v>SPHS-A</v>
          </cell>
          <cell r="G15446">
            <v>100</v>
          </cell>
          <cell r="H15446" t="str">
            <v>SPHS-A100</v>
          </cell>
          <cell r="K15446" t="str">
            <v>Cornwell,Amy Lou</v>
          </cell>
          <cell r="N15446">
            <v>3.4830000000000001</v>
          </cell>
          <cell r="O15446">
            <v>3.2559999999999998</v>
          </cell>
        </row>
        <row r="15447">
          <cell r="E15447" t="str">
            <v>SPHS</v>
          </cell>
          <cell r="F15447" t="str">
            <v>SPHS-A</v>
          </cell>
          <cell r="G15447">
            <v>100</v>
          </cell>
          <cell r="H15447" t="str">
            <v>SPHS-A100</v>
          </cell>
          <cell r="K15447" t="str">
            <v>Cornwell,Amy Lou</v>
          </cell>
          <cell r="N15447">
            <v>3.407</v>
          </cell>
          <cell r="O15447">
            <v>3.1619999999999999</v>
          </cell>
        </row>
        <row r="15448">
          <cell r="E15448" t="str">
            <v>SPHS</v>
          </cell>
          <cell r="F15448" t="str">
            <v>SPHS-A</v>
          </cell>
          <cell r="G15448">
            <v>100</v>
          </cell>
          <cell r="H15448" t="str">
            <v>SPHS-A100</v>
          </cell>
          <cell r="K15448" t="str">
            <v>Smith,Daniel LeRoy</v>
          </cell>
          <cell r="N15448">
            <v>3.3319999999999999</v>
          </cell>
          <cell r="O15448">
            <v>3.214</v>
          </cell>
        </row>
        <row r="15449">
          <cell r="E15449" t="str">
            <v>SPHS</v>
          </cell>
          <cell r="F15449" t="str">
            <v>SPHS-A</v>
          </cell>
          <cell r="G15449">
            <v>100</v>
          </cell>
          <cell r="H15449" t="str">
            <v>SPHS-A100</v>
          </cell>
          <cell r="K15449" t="str">
            <v>Smith,Daniel LeRoy</v>
          </cell>
          <cell r="N15449">
            <v>3.3</v>
          </cell>
          <cell r="O15449">
            <v>3.0840000000000001</v>
          </cell>
        </row>
        <row r="15450">
          <cell r="E15450" t="str">
            <v>SPHS</v>
          </cell>
          <cell r="F15450" t="str">
            <v>SPHS-A</v>
          </cell>
          <cell r="G15450">
            <v>100</v>
          </cell>
          <cell r="H15450" t="str">
            <v>SPHS-A100</v>
          </cell>
          <cell r="K15450" t="str">
            <v>Smith,Daniel LeRoy</v>
          </cell>
          <cell r="N15450">
            <v>3.3</v>
          </cell>
          <cell r="O15450">
            <v>3.0590000000000002</v>
          </cell>
        </row>
        <row r="15451">
          <cell r="E15451" t="str">
            <v>SPHS</v>
          </cell>
          <cell r="F15451" t="str">
            <v>SPHS-A</v>
          </cell>
          <cell r="G15451">
            <v>150</v>
          </cell>
          <cell r="H15451" t="str">
            <v>SPHS-A150</v>
          </cell>
          <cell r="K15451" t="str">
            <v>Jackson,Michael</v>
          </cell>
          <cell r="N15451">
            <v>3.093</v>
          </cell>
          <cell r="O15451">
            <v>3.1819999999999999</v>
          </cell>
        </row>
        <row r="15452">
          <cell r="E15452" t="str">
            <v>SPHS</v>
          </cell>
          <cell r="F15452" t="str">
            <v>SPHS-A</v>
          </cell>
          <cell r="G15452">
            <v>150</v>
          </cell>
          <cell r="H15452" t="str">
            <v>SPHS-A150</v>
          </cell>
          <cell r="K15452" t="str">
            <v>Jackson,Michael</v>
          </cell>
          <cell r="N15452">
            <v>3.1219999999999999</v>
          </cell>
          <cell r="O15452">
            <v>3.2149999999999999</v>
          </cell>
        </row>
        <row r="15453">
          <cell r="E15453" t="str">
            <v>SPHS</v>
          </cell>
          <cell r="F15453" t="str">
            <v>SPHS-A</v>
          </cell>
          <cell r="G15453">
            <v>150</v>
          </cell>
          <cell r="H15453" t="str">
            <v>SPHS-A150</v>
          </cell>
          <cell r="K15453" t="str">
            <v>Jackson,Michael</v>
          </cell>
          <cell r="N15453">
            <v>3.4260000000000002</v>
          </cell>
          <cell r="O15453">
            <v>3.2</v>
          </cell>
        </row>
        <row r="15454">
          <cell r="E15454" t="str">
            <v>SPHS</v>
          </cell>
          <cell r="F15454" t="str">
            <v>SPHS-A</v>
          </cell>
          <cell r="G15454">
            <v>150</v>
          </cell>
          <cell r="H15454" t="str">
            <v>SPHS-A150</v>
          </cell>
          <cell r="K15454" t="str">
            <v>Mnich,Wayne</v>
          </cell>
          <cell r="N15454">
            <v>3.2959999999999998</v>
          </cell>
          <cell r="O15454">
            <v>3.1619999999999999</v>
          </cell>
        </row>
        <row r="15455">
          <cell r="E15455" t="str">
            <v>SPHS</v>
          </cell>
          <cell r="F15455" t="str">
            <v>SPHS-A</v>
          </cell>
          <cell r="G15455">
            <v>150</v>
          </cell>
          <cell r="H15455" t="str">
            <v>SPHS-A150</v>
          </cell>
          <cell r="K15455" t="str">
            <v>Mnich,Wayne</v>
          </cell>
          <cell r="N15455">
            <v>2.9820000000000002</v>
          </cell>
          <cell r="O15455">
            <v>3.202</v>
          </cell>
        </row>
        <row r="15456">
          <cell r="E15456" t="str">
            <v>SPHS</v>
          </cell>
          <cell r="F15456" t="str">
            <v>SPHS-A</v>
          </cell>
          <cell r="G15456">
            <v>150</v>
          </cell>
          <cell r="H15456" t="str">
            <v>SPHS-A150</v>
          </cell>
          <cell r="K15456" t="str">
            <v>Mnich,Wayne</v>
          </cell>
          <cell r="N15456">
            <v>3.3540000000000001</v>
          </cell>
          <cell r="O15456">
            <v>3.38</v>
          </cell>
        </row>
        <row r="15457">
          <cell r="E15457" t="str">
            <v>SPHS</v>
          </cell>
          <cell r="F15457" t="str">
            <v>SPHS-A</v>
          </cell>
          <cell r="G15457">
            <v>150</v>
          </cell>
          <cell r="H15457" t="str">
            <v>SPHS-A150</v>
          </cell>
          <cell r="K15457" t="str">
            <v>Smith,Daniel LeRoy</v>
          </cell>
          <cell r="N15457">
            <v>3.2629999999999999</v>
          </cell>
          <cell r="O15457">
            <v>3.1389999999999998</v>
          </cell>
        </row>
        <row r="15458">
          <cell r="E15458" t="str">
            <v>SPHS</v>
          </cell>
          <cell r="F15458" t="str">
            <v>SPHS-A</v>
          </cell>
          <cell r="G15458">
            <v>150</v>
          </cell>
          <cell r="H15458" t="str">
            <v>SPHS-A150</v>
          </cell>
          <cell r="K15458" t="str">
            <v>Smith,Daniel LeRoy</v>
          </cell>
          <cell r="N15458">
            <v>3.1880000000000002</v>
          </cell>
          <cell r="O15458">
            <v>3.1219999999999999</v>
          </cell>
        </row>
        <row r="15459">
          <cell r="E15459" t="str">
            <v>SPHS</v>
          </cell>
          <cell r="F15459" t="str">
            <v>SPHS-A</v>
          </cell>
          <cell r="G15459">
            <v>150</v>
          </cell>
          <cell r="H15459" t="str">
            <v>SPHS-A150</v>
          </cell>
          <cell r="K15459" t="str">
            <v>Smith,Daniel LeRoy</v>
          </cell>
          <cell r="N15459">
            <v>3.15</v>
          </cell>
          <cell r="O15459">
            <v>2.9350000000000001</v>
          </cell>
        </row>
        <row r="15460">
          <cell r="E15460" t="str">
            <v>SPHS</v>
          </cell>
          <cell r="F15460" t="str">
            <v>SPHS-A</v>
          </cell>
          <cell r="G15460">
            <v>200</v>
          </cell>
          <cell r="H15460" t="str">
            <v>SPHS-A200</v>
          </cell>
          <cell r="K15460" t="str">
            <v>Murray,Joseph F</v>
          </cell>
          <cell r="N15460">
            <v>2.66</v>
          </cell>
          <cell r="O15460">
            <v>3.0720000000000001</v>
          </cell>
        </row>
        <row r="15461">
          <cell r="E15461" t="str">
            <v>SPHS</v>
          </cell>
          <cell r="F15461" t="str">
            <v>SPHS-A</v>
          </cell>
          <cell r="G15461">
            <v>200</v>
          </cell>
          <cell r="H15461" t="str">
            <v>SPHS-A200</v>
          </cell>
          <cell r="K15461" t="str">
            <v>Murray,Joseph F</v>
          </cell>
          <cell r="N15461">
            <v>2.5950000000000002</v>
          </cell>
          <cell r="O15461">
            <v>2.9769999999999999</v>
          </cell>
        </row>
        <row r="15462">
          <cell r="E15462" t="str">
            <v>SPHS</v>
          </cell>
          <cell r="F15462" t="str">
            <v>SPHS-A</v>
          </cell>
          <cell r="G15462">
            <v>200</v>
          </cell>
          <cell r="H15462" t="str">
            <v>SPHS-A200</v>
          </cell>
          <cell r="K15462" t="str">
            <v>Murray,Joseph F</v>
          </cell>
          <cell r="N15462">
            <v>3.153</v>
          </cell>
          <cell r="O15462">
            <v>3.1989999999999998</v>
          </cell>
        </row>
        <row r="15463">
          <cell r="E15463" t="str">
            <v>SPHS</v>
          </cell>
          <cell r="F15463" t="str">
            <v>SPHS-A</v>
          </cell>
          <cell r="G15463">
            <v>200</v>
          </cell>
          <cell r="H15463" t="str">
            <v>SPHS-A200</v>
          </cell>
          <cell r="K15463" t="str">
            <v>Murray,Joseph F</v>
          </cell>
          <cell r="N15463">
            <v>2.9460000000000002</v>
          </cell>
          <cell r="O15463">
            <v>3.1339999999999999</v>
          </cell>
        </row>
        <row r="15464">
          <cell r="E15464" t="str">
            <v>SPHS</v>
          </cell>
          <cell r="F15464" t="str">
            <v>SPHS-A</v>
          </cell>
          <cell r="G15464">
            <v>200</v>
          </cell>
          <cell r="H15464" t="str">
            <v>SPHS-A200</v>
          </cell>
          <cell r="K15464" t="str">
            <v>Murray,Joseph F</v>
          </cell>
          <cell r="N15464">
            <v>3.1640000000000001</v>
          </cell>
          <cell r="O15464">
            <v>3.1760000000000002</v>
          </cell>
        </row>
        <row r="15465">
          <cell r="E15465" t="str">
            <v>SPHS</v>
          </cell>
          <cell r="F15465" t="str">
            <v>SPHS-A</v>
          </cell>
          <cell r="G15465">
            <v>200</v>
          </cell>
          <cell r="H15465" t="str">
            <v>SPHS-A200</v>
          </cell>
          <cell r="K15465" t="str">
            <v>Murray,Joseph F</v>
          </cell>
          <cell r="N15465">
            <v>3.367</v>
          </cell>
          <cell r="O15465">
            <v>3.1080000000000001</v>
          </cell>
        </row>
        <row r="15466">
          <cell r="E15466" t="str">
            <v>SPHS</v>
          </cell>
          <cell r="F15466" t="str">
            <v>SPHS-A</v>
          </cell>
          <cell r="G15466">
            <v>200</v>
          </cell>
          <cell r="H15466" t="str">
            <v>SPHS-A200</v>
          </cell>
          <cell r="K15466" t="str">
            <v>Smith,Daniel LeRoy</v>
          </cell>
          <cell r="N15466">
            <v>3.1680000000000001</v>
          </cell>
          <cell r="O15466">
            <v>3.1789999999999998</v>
          </cell>
        </row>
        <row r="15467">
          <cell r="E15467" t="str">
            <v>SPHS</v>
          </cell>
          <cell r="F15467" t="str">
            <v>SPHS-A</v>
          </cell>
          <cell r="G15467">
            <v>200</v>
          </cell>
          <cell r="H15467" t="str">
            <v>SPHS-A200</v>
          </cell>
          <cell r="K15467" t="str">
            <v>Smith,Daniel LeRoy</v>
          </cell>
          <cell r="N15467">
            <v>2.8879999999999999</v>
          </cell>
          <cell r="O15467">
            <v>2.9319999999999999</v>
          </cell>
        </row>
        <row r="15468">
          <cell r="E15468" t="str">
            <v>SPHS</v>
          </cell>
          <cell r="F15468" t="str">
            <v>SPHS-A</v>
          </cell>
          <cell r="G15468">
            <v>200</v>
          </cell>
          <cell r="H15468" t="str">
            <v>SPHS-A200</v>
          </cell>
          <cell r="K15468" t="str">
            <v>Smith,Daniel LeRoy</v>
          </cell>
          <cell r="N15468">
            <v>2.988</v>
          </cell>
          <cell r="O15468">
            <v>3.016</v>
          </cell>
        </row>
        <row r="15469">
          <cell r="E15469" t="str">
            <v>SPHS</v>
          </cell>
          <cell r="F15469" t="str">
            <v>SPHS-A</v>
          </cell>
          <cell r="G15469">
            <v>250</v>
          </cell>
          <cell r="H15469" t="str">
            <v>SPHS-A250</v>
          </cell>
          <cell r="K15469" t="str">
            <v>Jackson,Michael</v>
          </cell>
          <cell r="N15469">
            <v>3.7440000000000002</v>
          </cell>
          <cell r="O15469">
            <v>3.2309999999999999</v>
          </cell>
        </row>
        <row r="15470">
          <cell r="E15470" t="str">
            <v>SPHS</v>
          </cell>
          <cell r="F15470" t="str">
            <v>SPHS-A</v>
          </cell>
          <cell r="G15470">
            <v>250</v>
          </cell>
          <cell r="H15470" t="str">
            <v>SPHS-A250</v>
          </cell>
          <cell r="K15470" t="str">
            <v>Jackson,Michael</v>
          </cell>
          <cell r="N15470">
            <v>3.7469999999999999</v>
          </cell>
          <cell r="O15470">
            <v>3.012</v>
          </cell>
        </row>
        <row r="15471">
          <cell r="E15471" t="str">
            <v>SPHS</v>
          </cell>
          <cell r="F15471" t="str">
            <v>SPHS-A</v>
          </cell>
          <cell r="G15471">
            <v>250</v>
          </cell>
          <cell r="H15471" t="str">
            <v>SPHS-A250</v>
          </cell>
          <cell r="K15471" t="str">
            <v>Mnich,Wayne</v>
          </cell>
          <cell r="N15471">
            <v>3.4950000000000001</v>
          </cell>
          <cell r="O15471">
            <v>2.9449999999999998</v>
          </cell>
        </row>
        <row r="15472">
          <cell r="E15472" t="str">
            <v>SPHS</v>
          </cell>
          <cell r="F15472" t="str">
            <v>SPHS-A</v>
          </cell>
          <cell r="G15472">
            <v>250</v>
          </cell>
          <cell r="H15472" t="str">
            <v>SPHS-A250</v>
          </cell>
          <cell r="K15472" t="str">
            <v>Mnich,Wayne</v>
          </cell>
          <cell r="N15472">
            <v>3.68</v>
          </cell>
          <cell r="O15472">
            <v>3.181</v>
          </cell>
        </row>
        <row r="15473">
          <cell r="E15473" t="str">
            <v>SPHS</v>
          </cell>
          <cell r="F15473" t="str">
            <v>SPHS-A</v>
          </cell>
          <cell r="G15473">
            <v>250</v>
          </cell>
          <cell r="H15473" t="str">
            <v>SPHS-A250</v>
          </cell>
          <cell r="K15473" t="str">
            <v>Murray,Joseph F</v>
          </cell>
          <cell r="N15473">
            <v>3.7890000000000001</v>
          </cell>
          <cell r="O15473">
            <v>3.274</v>
          </cell>
        </row>
        <row r="15474">
          <cell r="E15474" t="str">
            <v>SPHS</v>
          </cell>
          <cell r="F15474" t="str">
            <v>SPHS-A</v>
          </cell>
          <cell r="G15474">
            <v>250</v>
          </cell>
          <cell r="H15474" t="str">
            <v>SPHS-A250</v>
          </cell>
          <cell r="K15474" t="str">
            <v>Murray,Joseph F</v>
          </cell>
          <cell r="N15474">
            <v>3.5670000000000002</v>
          </cell>
          <cell r="O15474">
            <v>3.2370000000000001</v>
          </cell>
        </row>
        <row r="15475">
          <cell r="E15475" t="str">
            <v>SPHS</v>
          </cell>
          <cell r="F15475" t="str">
            <v>SPHS-A</v>
          </cell>
          <cell r="G15475">
            <v>250</v>
          </cell>
          <cell r="H15475" t="str">
            <v>SPHS-A250</v>
          </cell>
          <cell r="K15475" t="str">
            <v>Murray,Joseph F</v>
          </cell>
          <cell r="N15475">
            <v>3.55</v>
          </cell>
          <cell r="O15475">
            <v>3.085</v>
          </cell>
        </row>
        <row r="15476">
          <cell r="E15476" t="str">
            <v>SPHS</v>
          </cell>
          <cell r="F15476" t="str">
            <v>SPHS-A</v>
          </cell>
          <cell r="G15476">
            <v>250</v>
          </cell>
          <cell r="H15476" t="str">
            <v>SPHS-A250</v>
          </cell>
          <cell r="K15476" t="str">
            <v>Murray,Joseph F</v>
          </cell>
          <cell r="N15476">
            <v>3.5369999999999999</v>
          </cell>
          <cell r="O15476">
            <v>3.24</v>
          </cell>
        </row>
        <row r="15477">
          <cell r="E15477" t="str">
            <v>SPHS</v>
          </cell>
          <cell r="F15477" t="str">
            <v>SPHS-A</v>
          </cell>
          <cell r="G15477">
            <v>250</v>
          </cell>
          <cell r="H15477" t="str">
            <v>SPHS-A250</v>
          </cell>
          <cell r="K15477" t="str">
            <v>Smith,Daniel LeRoy</v>
          </cell>
          <cell r="N15477">
            <v>3.48</v>
          </cell>
          <cell r="O15477">
            <v>3.14</v>
          </cell>
        </row>
        <row r="15478">
          <cell r="E15478" t="str">
            <v>SPHS</v>
          </cell>
          <cell r="F15478" t="str">
            <v>SPHS-A</v>
          </cell>
          <cell r="G15478">
            <v>500</v>
          </cell>
          <cell r="H15478" t="str">
            <v>SPHS-A500</v>
          </cell>
          <cell r="K15478" t="str">
            <v>Cornwell,Amy Lou</v>
          </cell>
          <cell r="N15478" t="str">
            <v>NR</v>
          </cell>
          <cell r="O15478" t="str">
            <v>NR</v>
          </cell>
        </row>
        <row r="15479">
          <cell r="E15479" t="str">
            <v>SPHS</v>
          </cell>
          <cell r="F15479" t="str">
            <v>SPHS-A</v>
          </cell>
          <cell r="G15479">
            <v>500</v>
          </cell>
          <cell r="H15479" t="str">
            <v>SPHS-A500</v>
          </cell>
          <cell r="K15479" t="str">
            <v>Cornwell,Amy Lou</v>
          </cell>
          <cell r="N15479" t="str">
            <v>NR</v>
          </cell>
          <cell r="O15479" t="str">
            <v>NR</v>
          </cell>
        </row>
        <row r="15480">
          <cell r="E15480" t="str">
            <v>SPHS</v>
          </cell>
          <cell r="F15480" t="str">
            <v>SPHS-A</v>
          </cell>
          <cell r="G15480">
            <v>550</v>
          </cell>
          <cell r="H15480" t="str">
            <v>SPHS-A550</v>
          </cell>
          <cell r="K15480" t="str">
            <v>Mnich,Wayne</v>
          </cell>
          <cell r="N15480" t="str">
            <v>NR</v>
          </cell>
          <cell r="O15480" t="str">
            <v>NR</v>
          </cell>
        </row>
        <row r="15481">
          <cell r="E15481" t="str">
            <v>SPHS</v>
          </cell>
          <cell r="F15481" t="str">
            <v>SPHS-G</v>
          </cell>
          <cell r="G15481">
            <v>901</v>
          </cell>
          <cell r="H15481" t="str">
            <v>SPHS-G901</v>
          </cell>
          <cell r="K15481" t="str">
            <v>Forrest,Karen Michele</v>
          </cell>
          <cell r="N15481" t="str">
            <v>NR</v>
          </cell>
          <cell r="O15481" t="str">
            <v>NR</v>
          </cell>
        </row>
        <row r="15482">
          <cell r="E15482" t="str">
            <v>SPHS</v>
          </cell>
          <cell r="F15482" t="str">
            <v>SPHS-G</v>
          </cell>
          <cell r="G15482">
            <v>901</v>
          </cell>
          <cell r="H15482" t="str">
            <v>SPHS-G901</v>
          </cell>
          <cell r="K15482" t="str">
            <v>Forrest,Karen Michele</v>
          </cell>
          <cell r="N15482" t="str">
            <v>NR</v>
          </cell>
          <cell r="O15482" t="str">
            <v>NR</v>
          </cell>
        </row>
        <row r="15483">
          <cell r="E15483" t="str">
            <v>SPHS</v>
          </cell>
          <cell r="F15483" t="str">
            <v>SPHS-S</v>
          </cell>
          <cell r="G15483">
            <v>110</v>
          </cell>
          <cell r="H15483" t="str">
            <v>SPHS-S110</v>
          </cell>
          <cell r="K15483" t="str">
            <v>Fox,Apollonia Willa</v>
          </cell>
          <cell r="N15483">
            <v>3.4550000000000001</v>
          </cell>
          <cell r="O15483">
            <v>3.15</v>
          </cell>
        </row>
        <row r="15484">
          <cell r="E15484" t="str">
            <v>SPHS</v>
          </cell>
          <cell r="F15484" t="str">
            <v>SPHS-S</v>
          </cell>
          <cell r="G15484">
            <v>110</v>
          </cell>
          <cell r="H15484" t="str">
            <v>SPHS-S110</v>
          </cell>
          <cell r="K15484" t="str">
            <v>Souto,Sofia Margarita</v>
          </cell>
          <cell r="N15484">
            <v>3.49</v>
          </cell>
          <cell r="O15484">
            <v>3.2639999999999998</v>
          </cell>
        </row>
        <row r="15485">
          <cell r="E15485" t="str">
            <v>SPHS</v>
          </cell>
          <cell r="F15485" t="str">
            <v>SPHS-S</v>
          </cell>
          <cell r="G15485">
            <v>111</v>
          </cell>
          <cell r="H15485" t="str">
            <v>SPHS-S111</v>
          </cell>
          <cell r="K15485" t="str">
            <v>Atagi,Eriko</v>
          </cell>
          <cell r="N15485">
            <v>3.2320000000000002</v>
          </cell>
          <cell r="O15485">
            <v>3.306</v>
          </cell>
        </row>
        <row r="15486">
          <cell r="E15486" t="str">
            <v>SPHS</v>
          </cell>
          <cell r="F15486" t="str">
            <v>SPHS-S</v>
          </cell>
          <cell r="G15486">
            <v>111</v>
          </cell>
          <cell r="H15486" t="str">
            <v>SPHS-S111</v>
          </cell>
          <cell r="K15486" t="str">
            <v>Bent,Tessa</v>
          </cell>
          <cell r="N15486">
            <v>3.2450000000000001</v>
          </cell>
          <cell r="O15486">
            <v>3.286</v>
          </cell>
        </row>
        <row r="15487">
          <cell r="E15487" t="str">
            <v>SPHS</v>
          </cell>
          <cell r="F15487" t="str">
            <v>SPHS-S</v>
          </cell>
          <cell r="G15487">
            <v>111</v>
          </cell>
          <cell r="H15487" t="str">
            <v>SPHS-S111</v>
          </cell>
          <cell r="K15487" t="str">
            <v>Bent,Tessa</v>
          </cell>
          <cell r="N15487">
            <v>3.238</v>
          </cell>
          <cell r="O15487">
            <v>3.3450000000000002</v>
          </cell>
        </row>
        <row r="15488">
          <cell r="E15488" t="str">
            <v>SPHS</v>
          </cell>
          <cell r="F15488" t="str">
            <v>SPHS-S</v>
          </cell>
          <cell r="G15488">
            <v>201</v>
          </cell>
          <cell r="H15488" t="str">
            <v>SPHS-S201</v>
          </cell>
          <cell r="K15488" t="str">
            <v>Fossett,Tepanta Roquetas Dallas</v>
          </cell>
          <cell r="N15488">
            <v>3.2810000000000001</v>
          </cell>
          <cell r="O15488">
            <v>3.34</v>
          </cell>
        </row>
        <row r="15489">
          <cell r="E15489" t="str">
            <v>SPHS</v>
          </cell>
          <cell r="F15489" t="str">
            <v>SPHS-S</v>
          </cell>
          <cell r="G15489">
            <v>201</v>
          </cell>
          <cell r="H15489" t="str">
            <v>SPHS-S201</v>
          </cell>
          <cell r="K15489" t="str">
            <v>Fossett,Tepanta Roquetas Dallas</v>
          </cell>
          <cell r="N15489">
            <v>3.2490000000000001</v>
          </cell>
          <cell r="O15489">
            <v>3.3090000000000002</v>
          </cell>
        </row>
        <row r="15490">
          <cell r="E15490" t="str">
            <v>SPHS</v>
          </cell>
          <cell r="F15490" t="str">
            <v>SPHS-S</v>
          </cell>
          <cell r="G15490">
            <v>275</v>
          </cell>
          <cell r="H15490" t="str">
            <v>SPHS-S275</v>
          </cell>
          <cell r="K15490" t="str">
            <v>Baar,Kristin Michelle</v>
          </cell>
          <cell r="N15490">
            <v>3.464</v>
          </cell>
          <cell r="O15490">
            <v>3.3450000000000002</v>
          </cell>
        </row>
        <row r="15491">
          <cell r="E15491" t="str">
            <v>SPHS</v>
          </cell>
          <cell r="F15491" t="str">
            <v>SPHS-S</v>
          </cell>
          <cell r="G15491">
            <v>275</v>
          </cell>
          <cell r="H15491" t="str">
            <v>SPHS-S275</v>
          </cell>
          <cell r="K15491" t="str">
            <v>Baar,Kristin Michelle</v>
          </cell>
          <cell r="N15491">
            <v>3.5720000000000001</v>
          </cell>
          <cell r="O15491">
            <v>3.3839999999999999</v>
          </cell>
        </row>
        <row r="15492">
          <cell r="E15492" t="str">
            <v>SPHS</v>
          </cell>
          <cell r="F15492" t="str">
            <v>SPHS-S</v>
          </cell>
          <cell r="G15492">
            <v>302</v>
          </cell>
          <cell r="H15492" t="str">
            <v>SPHS-S302</v>
          </cell>
          <cell r="K15492" t="str">
            <v>Withnell,Robert</v>
          </cell>
          <cell r="N15492">
            <v>3.3069999999999999</v>
          </cell>
          <cell r="O15492">
            <v>3.2959999999999998</v>
          </cell>
        </row>
        <row r="15493">
          <cell r="E15493" t="str">
            <v>SPHS</v>
          </cell>
          <cell r="F15493" t="str">
            <v>SPHS-S</v>
          </cell>
          <cell r="G15493">
            <v>302</v>
          </cell>
          <cell r="H15493" t="str">
            <v>SPHS-S302</v>
          </cell>
          <cell r="K15493" t="str">
            <v>Withnell,Robert</v>
          </cell>
          <cell r="N15493">
            <v>3.4550000000000001</v>
          </cell>
          <cell r="O15493">
            <v>3.3180000000000001</v>
          </cell>
        </row>
        <row r="15494">
          <cell r="E15494" t="str">
            <v>SPHS</v>
          </cell>
          <cell r="F15494" t="str">
            <v>SPHS-S</v>
          </cell>
          <cell r="G15494">
            <v>307</v>
          </cell>
          <cell r="H15494" t="str">
            <v>SPHS-S307</v>
          </cell>
          <cell r="K15494" t="str">
            <v>Murray,Laura L.</v>
          </cell>
          <cell r="N15494">
            <v>2.698</v>
          </cell>
          <cell r="O15494">
            <v>3.31</v>
          </cell>
        </row>
        <row r="15495">
          <cell r="E15495" t="str">
            <v>SPHS</v>
          </cell>
          <cell r="F15495" t="str">
            <v>SPHS-S</v>
          </cell>
          <cell r="G15495">
            <v>311</v>
          </cell>
          <cell r="H15495" t="str">
            <v>SPHS-S311</v>
          </cell>
          <cell r="K15495" t="str">
            <v>Gershkoff,Lisa</v>
          </cell>
          <cell r="N15495">
            <v>3.4870000000000001</v>
          </cell>
          <cell r="O15495">
            <v>3.3460000000000001</v>
          </cell>
        </row>
        <row r="15496">
          <cell r="E15496" t="str">
            <v>SPHS</v>
          </cell>
          <cell r="F15496" t="str">
            <v>SPHS-S</v>
          </cell>
          <cell r="G15496">
            <v>333</v>
          </cell>
          <cell r="H15496" t="str">
            <v>SPHS-S333</v>
          </cell>
          <cell r="K15496" t="str">
            <v>Gershkoff,Lisa</v>
          </cell>
          <cell r="N15496">
            <v>3.202</v>
          </cell>
          <cell r="O15496">
            <v>3.3730000000000002</v>
          </cell>
        </row>
        <row r="15497">
          <cell r="E15497" t="str">
            <v>SPHS</v>
          </cell>
          <cell r="F15497" t="str">
            <v>SPHS-S</v>
          </cell>
          <cell r="G15497">
            <v>333</v>
          </cell>
          <cell r="H15497" t="str">
            <v>SPHS-S333</v>
          </cell>
          <cell r="K15497" t="str">
            <v>Mahowald,Megan Catherine</v>
          </cell>
          <cell r="N15497">
            <v>3.823</v>
          </cell>
          <cell r="O15497">
            <v>3.4220000000000002</v>
          </cell>
        </row>
        <row r="15498">
          <cell r="E15498" t="str">
            <v>SPHS</v>
          </cell>
          <cell r="F15498" t="str">
            <v>SPHS-S</v>
          </cell>
          <cell r="G15498">
            <v>399</v>
          </cell>
          <cell r="H15498" t="str">
            <v>SPHS-S399</v>
          </cell>
          <cell r="K15498" t="str">
            <v>Withnell,Robert</v>
          </cell>
          <cell r="N15498">
            <v>4</v>
          </cell>
          <cell r="O15498">
            <v>3.8450000000000002</v>
          </cell>
        </row>
        <row r="15499">
          <cell r="E15499" t="str">
            <v>SPHS</v>
          </cell>
          <cell r="F15499" t="str">
            <v>SPHS-S</v>
          </cell>
          <cell r="G15499">
            <v>415</v>
          </cell>
          <cell r="H15499" t="str">
            <v>SPHS-S415</v>
          </cell>
          <cell r="K15499" t="str">
            <v>Gershkoff,Lisa</v>
          </cell>
          <cell r="N15499">
            <v>4</v>
          </cell>
          <cell r="O15499">
            <v>3.794</v>
          </cell>
        </row>
        <row r="15500">
          <cell r="E15500" t="str">
            <v>SPHS</v>
          </cell>
          <cell r="F15500" t="str">
            <v>SPHS-S</v>
          </cell>
          <cell r="G15500">
            <v>415</v>
          </cell>
          <cell r="H15500" t="str">
            <v>SPHS-S415</v>
          </cell>
          <cell r="K15500" t="str">
            <v>Withnell,Robert</v>
          </cell>
          <cell r="N15500">
            <v>4</v>
          </cell>
          <cell r="O15500">
            <v>3.82</v>
          </cell>
        </row>
        <row r="15501">
          <cell r="E15501" t="str">
            <v>SPHS</v>
          </cell>
          <cell r="F15501" t="str">
            <v>SPHS-S</v>
          </cell>
          <cell r="G15501">
            <v>420</v>
          </cell>
          <cell r="H15501" t="str">
            <v>SPHS-S420</v>
          </cell>
          <cell r="K15501" t="str">
            <v>Bent,Tessa</v>
          </cell>
          <cell r="N15501">
            <v>3.2090000000000001</v>
          </cell>
          <cell r="O15501">
            <v>3.3580000000000001</v>
          </cell>
        </row>
        <row r="15502">
          <cell r="E15502" t="str">
            <v>SPHS</v>
          </cell>
          <cell r="F15502" t="str">
            <v>SPHS-S</v>
          </cell>
          <cell r="G15502">
            <v>436</v>
          </cell>
          <cell r="H15502" t="str">
            <v>SPHS-S436</v>
          </cell>
          <cell r="K15502" t="str">
            <v>Connell,Phil J</v>
          </cell>
          <cell r="N15502">
            <v>3.4</v>
          </cell>
          <cell r="O15502">
            <v>3.3969999999999998</v>
          </cell>
        </row>
        <row r="15503">
          <cell r="E15503" t="str">
            <v>SPHS</v>
          </cell>
          <cell r="F15503" t="str">
            <v>SPHS-S</v>
          </cell>
          <cell r="G15503">
            <v>436</v>
          </cell>
          <cell r="H15503" t="str">
            <v>SPHS-S436</v>
          </cell>
          <cell r="K15503" t="str">
            <v>Connell,Phil J</v>
          </cell>
          <cell r="N15503">
            <v>3.3460000000000001</v>
          </cell>
          <cell r="O15503">
            <v>3.3420000000000001</v>
          </cell>
        </row>
        <row r="15504">
          <cell r="E15504" t="str">
            <v>SPHS</v>
          </cell>
          <cell r="F15504" t="str">
            <v>SPHS-S</v>
          </cell>
          <cell r="G15504">
            <v>444</v>
          </cell>
          <cell r="H15504" t="str">
            <v>SPHS-S444</v>
          </cell>
          <cell r="K15504" t="str">
            <v>Andrews,Moya L.</v>
          </cell>
          <cell r="N15504">
            <v>3.8239999999999998</v>
          </cell>
          <cell r="O15504">
            <v>3.2480000000000002</v>
          </cell>
        </row>
        <row r="15505">
          <cell r="E15505" t="str">
            <v>SPHS</v>
          </cell>
          <cell r="F15505" t="str">
            <v>SPHS-S</v>
          </cell>
          <cell r="G15505">
            <v>445</v>
          </cell>
          <cell r="H15505" t="str">
            <v>SPHS-S445</v>
          </cell>
          <cell r="K15505" t="str">
            <v>Anderson,Julie D.</v>
          </cell>
          <cell r="N15505">
            <v>3.0739999999999998</v>
          </cell>
          <cell r="O15505">
            <v>3.2469999999999999</v>
          </cell>
        </row>
        <row r="15506">
          <cell r="E15506" t="str">
            <v>SPHS</v>
          </cell>
          <cell r="F15506" t="str">
            <v>SPHS-S</v>
          </cell>
          <cell r="G15506">
            <v>473</v>
          </cell>
          <cell r="H15506" t="str">
            <v>SPHS-S473</v>
          </cell>
          <cell r="K15506" t="str">
            <v>Anderson,Raquel Teresa</v>
          </cell>
          <cell r="N15506">
            <v>3</v>
          </cell>
          <cell r="O15506">
            <v>3.3149999999999999</v>
          </cell>
        </row>
        <row r="15507">
          <cell r="E15507" t="str">
            <v>SPHS</v>
          </cell>
          <cell r="F15507" t="str">
            <v>SPHS-S</v>
          </cell>
          <cell r="G15507">
            <v>477</v>
          </cell>
          <cell r="H15507" t="str">
            <v>SPHS-S477</v>
          </cell>
          <cell r="K15507" t="str">
            <v>Amos,Nathan Edward</v>
          </cell>
          <cell r="N15507">
            <v>3.95</v>
          </cell>
          <cell r="O15507">
            <v>3.7810000000000001</v>
          </cell>
        </row>
        <row r="15508">
          <cell r="E15508" t="str">
            <v>SPHS</v>
          </cell>
          <cell r="F15508" t="str">
            <v>SPHS-S</v>
          </cell>
          <cell r="G15508">
            <v>478</v>
          </cell>
          <cell r="H15508" t="str">
            <v>SPHS-S478</v>
          </cell>
          <cell r="K15508" t="str">
            <v>Holt,Rachael Frush</v>
          </cell>
          <cell r="N15508">
            <v>2.8690000000000002</v>
          </cell>
          <cell r="O15508">
            <v>3.33</v>
          </cell>
        </row>
        <row r="15509">
          <cell r="E15509" t="str">
            <v>SPHS</v>
          </cell>
          <cell r="F15509" t="str">
            <v>SPHS-S</v>
          </cell>
          <cell r="G15509">
            <v>478</v>
          </cell>
          <cell r="H15509" t="str">
            <v>SPHS-S478</v>
          </cell>
          <cell r="K15509" t="str">
            <v>Holt,Rachael Frush</v>
          </cell>
          <cell r="N15509">
            <v>3.0270000000000001</v>
          </cell>
          <cell r="O15509">
            <v>3.4220000000000002</v>
          </cell>
        </row>
        <row r="15510">
          <cell r="E15510" t="str">
            <v>SPHS</v>
          </cell>
          <cell r="F15510" t="str">
            <v>SPHS-S</v>
          </cell>
          <cell r="G15510">
            <v>480</v>
          </cell>
          <cell r="H15510" t="str">
            <v>SPHS-S480</v>
          </cell>
          <cell r="K15510" t="str">
            <v>Forrest,Karen Michele</v>
          </cell>
          <cell r="N15510" t="str">
            <v>NR</v>
          </cell>
          <cell r="O15510" t="str">
            <v>NR</v>
          </cell>
        </row>
        <row r="15511">
          <cell r="E15511" t="str">
            <v>SPHS</v>
          </cell>
          <cell r="F15511" t="str">
            <v>SPHS-S</v>
          </cell>
          <cell r="G15511">
            <v>480</v>
          </cell>
          <cell r="H15511" t="str">
            <v>SPHS-S480</v>
          </cell>
          <cell r="K15511" t="str">
            <v>Forrest,Karen Michele</v>
          </cell>
          <cell r="N15511">
            <v>3.8889999999999998</v>
          </cell>
          <cell r="O15511">
            <v>3.4380000000000002</v>
          </cell>
        </row>
        <row r="15512">
          <cell r="E15512" t="str">
            <v>SPHS</v>
          </cell>
          <cell r="F15512" t="str">
            <v>SPHS-S</v>
          </cell>
          <cell r="G15512">
            <v>499</v>
          </cell>
          <cell r="H15512" t="str">
            <v>SPHS-S499</v>
          </cell>
          <cell r="K15512" t="str">
            <v>Withnell,Robert</v>
          </cell>
          <cell r="N15512">
            <v>3.77</v>
          </cell>
          <cell r="O15512">
            <v>3.7759999999999998</v>
          </cell>
        </row>
        <row r="15513">
          <cell r="E15513" t="str">
            <v>SPHS</v>
          </cell>
          <cell r="F15513" t="str">
            <v>SPHS-S</v>
          </cell>
          <cell r="G15513">
            <v>501</v>
          </cell>
          <cell r="H15513" t="str">
            <v>SPHS-S501</v>
          </cell>
          <cell r="K15513" t="str">
            <v>Anderson,Julie D.</v>
          </cell>
          <cell r="N15513">
            <v>3.4350000000000001</v>
          </cell>
          <cell r="O15513">
            <v>3.7919999999999998</v>
          </cell>
        </row>
        <row r="15514">
          <cell r="E15514" t="str">
            <v>SPHS</v>
          </cell>
          <cell r="F15514" t="str">
            <v>SPHS-S</v>
          </cell>
          <cell r="G15514">
            <v>505</v>
          </cell>
          <cell r="H15514" t="str">
            <v>SPHS-S505</v>
          </cell>
          <cell r="K15514" t="str">
            <v>Gierut,Judith A</v>
          </cell>
          <cell r="N15514">
            <v>3.9430000000000001</v>
          </cell>
          <cell r="O15514">
            <v>3.8170000000000002</v>
          </cell>
        </row>
        <row r="15515">
          <cell r="E15515" t="str">
            <v>SPHS</v>
          </cell>
          <cell r="F15515" t="str">
            <v>SPHS-S</v>
          </cell>
          <cell r="G15515">
            <v>506</v>
          </cell>
          <cell r="H15515" t="str">
            <v>SPHS-S506</v>
          </cell>
          <cell r="K15515" t="str">
            <v>Nelson,Nancy Louise</v>
          </cell>
          <cell r="N15515">
            <v>3.7559999999999998</v>
          </cell>
          <cell r="O15515">
            <v>3.5779999999999998</v>
          </cell>
        </row>
        <row r="15516">
          <cell r="E15516" t="str">
            <v>SPHS</v>
          </cell>
          <cell r="F15516" t="str">
            <v>SPHS-S</v>
          </cell>
          <cell r="G15516">
            <v>508</v>
          </cell>
          <cell r="H15516" t="str">
            <v>SPHS-S508</v>
          </cell>
          <cell r="K15516" t="str">
            <v>Forrest,Karen Michele</v>
          </cell>
          <cell r="N15516">
            <v>3.806</v>
          </cell>
          <cell r="O15516">
            <v>3.706</v>
          </cell>
        </row>
        <row r="15517">
          <cell r="E15517" t="str">
            <v>SPHS</v>
          </cell>
          <cell r="F15517" t="str">
            <v>SPHS-S</v>
          </cell>
          <cell r="G15517">
            <v>511</v>
          </cell>
          <cell r="H15517" t="str">
            <v>SPHS-S511</v>
          </cell>
          <cell r="K15517" t="str">
            <v>Bent,Tessa</v>
          </cell>
          <cell r="N15517">
            <v>4</v>
          </cell>
          <cell r="O15517">
            <v>3.8690000000000002</v>
          </cell>
        </row>
        <row r="15518">
          <cell r="E15518" t="str">
            <v>SPHS</v>
          </cell>
          <cell r="F15518" t="str">
            <v>SPHS-S</v>
          </cell>
          <cell r="G15518">
            <v>513</v>
          </cell>
          <cell r="H15518" t="str">
            <v>SPHS-S513</v>
          </cell>
          <cell r="K15518" t="str">
            <v>Fossett,Tepanta Roquetas Dallas</v>
          </cell>
          <cell r="N15518" t="str">
            <v>NR</v>
          </cell>
          <cell r="O15518" t="str">
            <v>NR</v>
          </cell>
        </row>
        <row r="15519">
          <cell r="E15519" t="str">
            <v>SPHS</v>
          </cell>
          <cell r="F15519" t="str">
            <v>SPHS-S</v>
          </cell>
          <cell r="G15519">
            <v>513</v>
          </cell>
          <cell r="H15519" t="str">
            <v>SPHS-S513</v>
          </cell>
          <cell r="K15519" t="str">
            <v>Fossett,Tepanta Roquetas Dallas</v>
          </cell>
          <cell r="N15519" t="str">
            <v>NR</v>
          </cell>
          <cell r="O15519" t="str">
            <v>NR</v>
          </cell>
        </row>
        <row r="15520">
          <cell r="E15520" t="str">
            <v>SPHS</v>
          </cell>
          <cell r="F15520" t="str">
            <v>SPHS-S</v>
          </cell>
          <cell r="G15520">
            <v>515</v>
          </cell>
          <cell r="H15520" t="str">
            <v>SPHS-S515</v>
          </cell>
          <cell r="K15520" t="str">
            <v>Alant,Erna</v>
          </cell>
          <cell r="N15520" t="str">
            <v>NR</v>
          </cell>
          <cell r="O15520" t="str">
            <v>NR</v>
          </cell>
        </row>
        <row r="15521">
          <cell r="E15521" t="str">
            <v>SPHS</v>
          </cell>
          <cell r="F15521" t="str">
            <v>SPHS-S</v>
          </cell>
          <cell r="G15521">
            <v>515</v>
          </cell>
          <cell r="H15521" t="str">
            <v>SPHS-S515</v>
          </cell>
          <cell r="K15521" t="str">
            <v>Anderson,Raquel Teresa</v>
          </cell>
          <cell r="N15521">
            <v>3.7829999999999999</v>
          </cell>
          <cell r="O15521">
            <v>3.6880000000000002</v>
          </cell>
        </row>
        <row r="15522">
          <cell r="E15522" t="str">
            <v>SPHS</v>
          </cell>
          <cell r="F15522" t="str">
            <v>SPHS-S</v>
          </cell>
          <cell r="G15522">
            <v>515</v>
          </cell>
          <cell r="H15522" t="str">
            <v>SPHS-S515</v>
          </cell>
          <cell r="K15522" t="str">
            <v>Fossett,Tepanta Roquetas Dallas</v>
          </cell>
          <cell r="N15522">
            <v>3.8140000000000001</v>
          </cell>
          <cell r="O15522">
            <v>3.7170000000000001</v>
          </cell>
        </row>
        <row r="15523">
          <cell r="E15523" t="str">
            <v>SPHS</v>
          </cell>
          <cell r="F15523" t="str">
            <v>SPHS-S</v>
          </cell>
          <cell r="G15523">
            <v>515</v>
          </cell>
          <cell r="H15523" t="str">
            <v>SPHS-S515</v>
          </cell>
          <cell r="K15523" t="str">
            <v>Lentz,Jennifer J</v>
          </cell>
          <cell r="N15523">
            <v>3.4689999999999999</v>
          </cell>
          <cell r="O15523">
            <v>3.2040000000000002</v>
          </cell>
        </row>
        <row r="15524">
          <cell r="E15524" t="str">
            <v>SPHS</v>
          </cell>
          <cell r="F15524" t="str">
            <v>SPHS-S</v>
          </cell>
          <cell r="G15524">
            <v>515</v>
          </cell>
          <cell r="H15524" t="str">
            <v>SPHS-S515</v>
          </cell>
          <cell r="K15524" t="str">
            <v>Lulich,Steven Michael</v>
          </cell>
          <cell r="N15524">
            <v>3.6669999999999998</v>
          </cell>
          <cell r="O15524">
            <v>3.47</v>
          </cell>
        </row>
        <row r="15525">
          <cell r="E15525" t="str">
            <v>SPHS</v>
          </cell>
          <cell r="F15525" t="str">
            <v>SPHS-S</v>
          </cell>
          <cell r="G15525">
            <v>515</v>
          </cell>
          <cell r="H15525" t="str">
            <v>SPHS-S515</v>
          </cell>
          <cell r="K15525" t="str">
            <v>Withnell,Robert</v>
          </cell>
          <cell r="N15525" t="str">
            <v>NR</v>
          </cell>
          <cell r="O15525" t="str">
            <v>NR</v>
          </cell>
        </row>
        <row r="15526">
          <cell r="E15526" t="str">
            <v>SPHS</v>
          </cell>
          <cell r="F15526" t="str">
            <v>SPHS-S</v>
          </cell>
          <cell r="G15526">
            <v>520</v>
          </cell>
          <cell r="H15526" t="str">
            <v>SPHS-S520</v>
          </cell>
          <cell r="K15526" t="str">
            <v>Gierut,Judith A</v>
          </cell>
          <cell r="N15526">
            <v>3.9790000000000001</v>
          </cell>
          <cell r="O15526">
            <v>3.8</v>
          </cell>
        </row>
        <row r="15527">
          <cell r="E15527" t="str">
            <v>SPHS</v>
          </cell>
          <cell r="F15527" t="str">
            <v>SPHS-S</v>
          </cell>
          <cell r="G15527">
            <v>521</v>
          </cell>
          <cell r="H15527" t="str">
            <v>SPHS-S521</v>
          </cell>
          <cell r="K15527" t="str">
            <v>Bent,Tessa</v>
          </cell>
          <cell r="N15527">
            <v>3.9670000000000001</v>
          </cell>
          <cell r="O15527">
            <v>3.875</v>
          </cell>
        </row>
        <row r="15528">
          <cell r="E15528" t="str">
            <v>SPHS</v>
          </cell>
          <cell r="F15528" t="str">
            <v>SPHS-S</v>
          </cell>
          <cell r="G15528">
            <v>524</v>
          </cell>
          <cell r="H15528" t="str">
            <v>SPHS-S524</v>
          </cell>
          <cell r="K15528" t="str">
            <v>Gershkoff,Lisa</v>
          </cell>
          <cell r="N15528" t="str">
            <v>NR</v>
          </cell>
          <cell r="O15528" t="str">
            <v>NR</v>
          </cell>
        </row>
        <row r="15529">
          <cell r="E15529" t="str">
            <v>SPHS</v>
          </cell>
          <cell r="F15529" t="str">
            <v>SPHS-S</v>
          </cell>
          <cell r="G15529">
            <v>524</v>
          </cell>
          <cell r="H15529" t="str">
            <v>SPHS-S524</v>
          </cell>
          <cell r="K15529" t="str">
            <v>Mahowald,Megan Catherine</v>
          </cell>
          <cell r="N15529">
            <v>4</v>
          </cell>
          <cell r="O15529">
            <v>3.8079999999999998</v>
          </cell>
        </row>
        <row r="15530">
          <cell r="E15530" t="str">
            <v>SPHS</v>
          </cell>
          <cell r="F15530" t="str">
            <v>SPHS-S</v>
          </cell>
          <cell r="G15530">
            <v>525</v>
          </cell>
          <cell r="H15530" t="str">
            <v>SPHS-S525</v>
          </cell>
          <cell r="K15530" t="str">
            <v>Forrest,Karen Michele</v>
          </cell>
          <cell r="N15530">
            <v>3.855</v>
          </cell>
          <cell r="O15530">
            <v>3.762</v>
          </cell>
        </row>
        <row r="15531">
          <cell r="E15531" t="str">
            <v>SPHS</v>
          </cell>
          <cell r="F15531" t="str">
            <v>SPHS-S</v>
          </cell>
          <cell r="G15531">
            <v>531</v>
          </cell>
          <cell r="H15531" t="str">
            <v>SPHS-S531</v>
          </cell>
          <cell r="K15531" t="str">
            <v>Murray,Laura L.</v>
          </cell>
          <cell r="N15531">
            <v>3.4830000000000001</v>
          </cell>
          <cell r="O15531">
            <v>3.7639999999999998</v>
          </cell>
        </row>
        <row r="15532">
          <cell r="E15532" t="str">
            <v>SPHS</v>
          </cell>
          <cell r="F15532" t="str">
            <v>SPHS-S</v>
          </cell>
          <cell r="G15532">
            <v>537</v>
          </cell>
          <cell r="H15532" t="str">
            <v>SPHS-S537</v>
          </cell>
          <cell r="K15532" t="str">
            <v>Murray,Laura L.</v>
          </cell>
          <cell r="N15532">
            <v>3.3050000000000002</v>
          </cell>
          <cell r="O15532">
            <v>3.7410000000000001</v>
          </cell>
        </row>
        <row r="15533">
          <cell r="E15533" t="str">
            <v>SPHS</v>
          </cell>
          <cell r="F15533" t="str">
            <v>SPHS-S</v>
          </cell>
          <cell r="G15533">
            <v>538</v>
          </cell>
          <cell r="H15533" t="str">
            <v>SPHS-S538</v>
          </cell>
          <cell r="K15533" t="str">
            <v>Connell,Phil J</v>
          </cell>
          <cell r="N15533">
            <v>4</v>
          </cell>
          <cell r="O15533">
            <v>3.7069999999999999</v>
          </cell>
        </row>
        <row r="15534">
          <cell r="E15534" t="str">
            <v>SPHS</v>
          </cell>
          <cell r="F15534" t="str">
            <v>SPHS-S</v>
          </cell>
          <cell r="G15534">
            <v>539</v>
          </cell>
          <cell r="H15534" t="str">
            <v>SPHS-S539</v>
          </cell>
          <cell r="K15534" t="str">
            <v>Anderson,Raquel Teresa</v>
          </cell>
          <cell r="N15534">
            <v>3.9359999999999999</v>
          </cell>
          <cell r="O15534">
            <v>3.72</v>
          </cell>
        </row>
        <row r="15535">
          <cell r="E15535" t="str">
            <v>SPHS</v>
          </cell>
          <cell r="F15535" t="str">
            <v>SPHS-S</v>
          </cell>
          <cell r="G15535">
            <v>540</v>
          </cell>
          <cell r="H15535" t="str">
            <v>SPHS-S540</v>
          </cell>
          <cell r="K15535" t="str">
            <v>Patel,Rita R</v>
          </cell>
          <cell r="N15535">
            <v>4</v>
          </cell>
          <cell r="O15535">
            <v>3.8690000000000002</v>
          </cell>
        </row>
        <row r="15536">
          <cell r="E15536" t="str">
            <v>SPHS</v>
          </cell>
          <cell r="F15536" t="str">
            <v>SPHS-S</v>
          </cell>
          <cell r="G15536">
            <v>540</v>
          </cell>
          <cell r="H15536" t="str">
            <v>SPHS-S540</v>
          </cell>
          <cell r="K15536" t="str">
            <v>Rademacher,Julia Ellen</v>
          </cell>
          <cell r="N15536">
            <v>3.883</v>
          </cell>
          <cell r="O15536">
            <v>3.843</v>
          </cell>
        </row>
        <row r="15537">
          <cell r="E15537" t="str">
            <v>SPHS</v>
          </cell>
          <cell r="F15537" t="str">
            <v>SPHS-S</v>
          </cell>
          <cell r="G15537">
            <v>541</v>
          </cell>
          <cell r="H15537" t="str">
            <v>SPHS-S541</v>
          </cell>
          <cell r="K15537" t="str">
            <v>Hammond,Deborah Michelle</v>
          </cell>
          <cell r="N15537">
            <v>3.613</v>
          </cell>
          <cell r="O15537">
            <v>3.7490000000000001</v>
          </cell>
        </row>
        <row r="15538">
          <cell r="E15538" t="str">
            <v>SPHS</v>
          </cell>
          <cell r="F15538" t="str">
            <v>SPHS-S</v>
          </cell>
          <cell r="G15538">
            <v>545</v>
          </cell>
          <cell r="H15538" t="str">
            <v>SPHS-S545</v>
          </cell>
          <cell r="K15538" t="str">
            <v>Murray,Laura L.</v>
          </cell>
          <cell r="N15538">
            <v>3.56</v>
          </cell>
          <cell r="O15538">
            <v>3.7530000000000001</v>
          </cell>
        </row>
        <row r="15539">
          <cell r="E15539" t="str">
            <v>SPHS</v>
          </cell>
          <cell r="F15539" t="str">
            <v>SPHS-S</v>
          </cell>
          <cell r="G15539">
            <v>547</v>
          </cell>
          <cell r="H15539" t="str">
            <v>SPHS-S547</v>
          </cell>
          <cell r="K15539" t="str">
            <v>Connell,Phil J</v>
          </cell>
          <cell r="N15539">
            <v>3.94</v>
          </cell>
          <cell r="O15539">
            <v>3.8439999999999999</v>
          </cell>
        </row>
        <row r="15540">
          <cell r="E15540" t="str">
            <v>SPHS</v>
          </cell>
          <cell r="F15540" t="str">
            <v>SPHS-S</v>
          </cell>
          <cell r="G15540">
            <v>550</v>
          </cell>
          <cell r="H15540" t="str">
            <v>SPHS-S550</v>
          </cell>
          <cell r="K15540" t="str">
            <v>Anderson,Julie D.</v>
          </cell>
          <cell r="N15540">
            <v>3.5539999999999998</v>
          </cell>
          <cell r="O15540">
            <v>3.7250000000000001</v>
          </cell>
        </row>
        <row r="15541">
          <cell r="E15541" t="str">
            <v>SPHS</v>
          </cell>
          <cell r="F15541" t="str">
            <v>SPHS-S</v>
          </cell>
          <cell r="G15541">
            <v>555</v>
          </cell>
          <cell r="H15541" t="str">
            <v>SPHS-S555</v>
          </cell>
          <cell r="K15541" t="str">
            <v>Fossett,Tepanta Roquetas Dallas</v>
          </cell>
          <cell r="N15541">
            <v>3.8730000000000002</v>
          </cell>
          <cell r="O15541">
            <v>3.7160000000000002</v>
          </cell>
        </row>
        <row r="15542">
          <cell r="E15542" t="str">
            <v>SPHS</v>
          </cell>
          <cell r="F15542" t="str">
            <v>SPHS-S</v>
          </cell>
          <cell r="G15542">
            <v>561</v>
          </cell>
          <cell r="H15542" t="str">
            <v>SPHS-S561</v>
          </cell>
          <cell r="K15542" t="str">
            <v>Karcher,Laura A</v>
          </cell>
          <cell r="N15542">
            <v>3.956</v>
          </cell>
          <cell r="O15542">
            <v>3.7559999999999998</v>
          </cell>
        </row>
        <row r="15543">
          <cell r="E15543" t="str">
            <v>SPHS</v>
          </cell>
          <cell r="F15543" t="str">
            <v>SPHS-S</v>
          </cell>
          <cell r="G15543">
            <v>561</v>
          </cell>
          <cell r="H15543" t="str">
            <v>SPHS-S561</v>
          </cell>
          <cell r="K15543" t="str">
            <v>Karcher,Laura A</v>
          </cell>
          <cell r="N15543">
            <v>3.9609999999999999</v>
          </cell>
          <cell r="O15543">
            <v>3.7879999999999998</v>
          </cell>
        </row>
        <row r="15544">
          <cell r="E15544" t="str">
            <v>SPHS</v>
          </cell>
          <cell r="F15544" t="str">
            <v>SPHS-S</v>
          </cell>
          <cell r="G15544">
            <v>561</v>
          </cell>
          <cell r="H15544" t="str">
            <v>SPHS-S561</v>
          </cell>
          <cell r="K15544" t="str">
            <v>Karcher,Laura A</v>
          </cell>
          <cell r="N15544">
            <v>3.9609999999999999</v>
          </cell>
          <cell r="O15544">
            <v>3.7389999999999999</v>
          </cell>
        </row>
        <row r="15545">
          <cell r="E15545" t="str">
            <v>SPHS</v>
          </cell>
          <cell r="F15545" t="str">
            <v>SPHS-S</v>
          </cell>
          <cell r="G15545">
            <v>563</v>
          </cell>
          <cell r="H15545" t="str">
            <v>SPHS-S563</v>
          </cell>
          <cell r="K15545" t="str">
            <v>Piper,Amy Wickizer</v>
          </cell>
          <cell r="N15545" t="str">
            <v>NR</v>
          </cell>
          <cell r="O15545" t="str">
            <v>NR</v>
          </cell>
        </row>
        <row r="15546">
          <cell r="E15546" t="str">
            <v>SPHS</v>
          </cell>
          <cell r="F15546" t="str">
            <v>SPHS-S</v>
          </cell>
          <cell r="G15546">
            <v>563</v>
          </cell>
          <cell r="H15546" t="str">
            <v>SPHS-S563</v>
          </cell>
          <cell r="K15546" t="str">
            <v>Piper,Amy Wickizer</v>
          </cell>
          <cell r="N15546">
            <v>3.8</v>
          </cell>
          <cell r="O15546">
            <v>3.722</v>
          </cell>
        </row>
        <row r="15547">
          <cell r="E15547" t="str">
            <v>SPHS</v>
          </cell>
          <cell r="F15547" t="str">
            <v>SPHS-S</v>
          </cell>
          <cell r="G15547">
            <v>563</v>
          </cell>
          <cell r="H15547" t="str">
            <v>SPHS-S563</v>
          </cell>
          <cell r="K15547" t="str">
            <v>Piper,Amy Wickizer</v>
          </cell>
          <cell r="N15547" t="str">
            <v>NR</v>
          </cell>
          <cell r="O15547" t="str">
            <v>NR</v>
          </cell>
        </row>
        <row r="15548">
          <cell r="E15548" t="str">
            <v>SPHS</v>
          </cell>
          <cell r="F15548" t="str">
            <v>SPHS-S</v>
          </cell>
          <cell r="G15548">
            <v>570</v>
          </cell>
          <cell r="H15548" t="str">
            <v>SPHS-S570</v>
          </cell>
          <cell r="K15548" t="str">
            <v>Garner,Carolyn B.</v>
          </cell>
          <cell r="N15548">
            <v>3.5920000000000001</v>
          </cell>
          <cell r="O15548">
            <v>3.2040000000000002</v>
          </cell>
        </row>
        <row r="15549">
          <cell r="E15549" t="str">
            <v>SPHS</v>
          </cell>
          <cell r="F15549" t="str">
            <v>SPHS-S</v>
          </cell>
          <cell r="G15549">
            <v>570</v>
          </cell>
          <cell r="H15549" t="str">
            <v>SPHS-S570</v>
          </cell>
          <cell r="K15549" t="str">
            <v>Nelson,Nancy Louise</v>
          </cell>
          <cell r="N15549">
            <v>3.9630000000000001</v>
          </cell>
          <cell r="O15549">
            <v>3.5659999999999998</v>
          </cell>
        </row>
        <row r="15550">
          <cell r="E15550" t="str">
            <v>SPHS</v>
          </cell>
          <cell r="F15550" t="str">
            <v>SPHS-S</v>
          </cell>
          <cell r="G15550">
            <v>571</v>
          </cell>
          <cell r="H15550" t="str">
            <v>SPHS-S571</v>
          </cell>
          <cell r="K15550" t="str">
            <v>Shofner Jr,William Phillip</v>
          </cell>
          <cell r="N15550">
            <v>3.1309999999999998</v>
          </cell>
          <cell r="O15550">
            <v>3.2040000000000002</v>
          </cell>
        </row>
        <row r="15551">
          <cell r="E15551" t="str">
            <v>SPHS</v>
          </cell>
          <cell r="F15551" t="str">
            <v>SPHS-S</v>
          </cell>
          <cell r="G15551">
            <v>573</v>
          </cell>
          <cell r="H15551" t="str">
            <v>SPHS-S573</v>
          </cell>
          <cell r="K15551" t="str">
            <v>Garner,Carolyn B.</v>
          </cell>
          <cell r="N15551">
            <v>3.6709999999999998</v>
          </cell>
          <cell r="O15551">
            <v>3.597</v>
          </cell>
        </row>
        <row r="15552">
          <cell r="E15552" t="str">
            <v>SPHS</v>
          </cell>
          <cell r="F15552" t="str">
            <v>SPHS-S</v>
          </cell>
          <cell r="G15552">
            <v>574</v>
          </cell>
          <cell r="H15552" t="str">
            <v>SPHS-S574</v>
          </cell>
          <cell r="K15552" t="str">
            <v>Shofner Jr,William Phillip</v>
          </cell>
          <cell r="N15552">
            <v>3.9</v>
          </cell>
          <cell r="O15552">
            <v>3.7810000000000001</v>
          </cell>
        </row>
        <row r="15553">
          <cell r="E15553" t="str">
            <v>SPHS</v>
          </cell>
          <cell r="F15553" t="str">
            <v>SPHS-S</v>
          </cell>
          <cell r="G15553">
            <v>575</v>
          </cell>
          <cell r="H15553" t="str">
            <v>SPHS-S575</v>
          </cell>
          <cell r="K15553" t="str">
            <v>Baar,Kristin Michelle</v>
          </cell>
          <cell r="N15553" t="str">
            <v>NR</v>
          </cell>
          <cell r="O15553" t="str">
            <v>NR</v>
          </cell>
        </row>
        <row r="15554">
          <cell r="E15554" t="str">
            <v>SPHS</v>
          </cell>
          <cell r="F15554" t="str">
            <v>SPHS-S</v>
          </cell>
          <cell r="G15554">
            <v>575</v>
          </cell>
          <cell r="H15554" t="str">
            <v>SPHS-S575</v>
          </cell>
          <cell r="K15554" t="str">
            <v>Baar,Kristin Michelle</v>
          </cell>
          <cell r="N15554">
            <v>3.9129999999999998</v>
          </cell>
          <cell r="O15554">
            <v>3.8650000000000002</v>
          </cell>
        </row>
        <row r="15555">
          <cell r="E15555" t="str">
            <v>SPHS</v>
          </cell>
          <cell r="F15555" t="str">
            <v>SPHS-S</v>
          </cell>
          <cell r="G15555">
            <v>576</v>
          </cell>
          <cell r="H15555" t="str">
            <v>SPHS-S576</v>
          </cell>
          <cell r="K15555" t="str">
            <v>Baar,Kristin Michelle</v>
          </cell>
          <cell r="N15555">
            <v>3.75</v>
          </cell>
          <cell r="O15555">
            <v>3.645</v>
          </cell>
        </row>
        <row r="15556">
          <cell r="E15556" t="str">
            <v>SPHS</v>
          </cell>
          <cell r="F15556" t="str">
            <v>SPHS-S</v>
          </cell>
          <cell r="G15556">
            <v>578</v>
          </cell>
          <cell r="H15556" t="str">
            <v>SPHS-S578</v>
          </cell>
          <cell r="K15556" t="str">
            <v>Amos,Nathan Edward</v>
          </cell>
          <cell r="N15556">
            <v>3.4079999999999999</v>
          </cell>
          <cell r="O15556">
            <v>3.2040000000000002</v>
          </cell>
        </row>
        <row r="15557">
          <cell r="E15557" t="str">
            <v>SPHS</v>
          </cell>
          <cell r="F15557" t="str">
            <v>SPHS-S</v>
          </cell>
          <cell r="G15557">
            <v>579</v>
          </cell>
          <cell r="H15557" t="str">
            <v>SPHS-S579</v>
          </cell>
          <cell r="K15557" t="str">
            <v>Holt,Rachael Frush</v>
          </cell>
          <cell r="N15557">
            <v>3.6429999999999998</v>
          </cell>
          <cell r="O15557">
            <v>3.7269999999999999</v>
          </cell>
        </row>
        <row r="15558">
          <cell r="E15558" t="str">
            <v>SPHS</v>
          </cell>
          <cell r="F15558" t="str">
            <v>SPHS-S</v>
          </cell>
          <cell r="G15558">
            <v>580</v>
          </cell>
          <cell r="H15558" t="str">
            <v>SPHS-S580</v>
          </cell>
          <cell r="K15558" t="str">
            <v>Gershkoff,Lisa</v>
          </cell>
          <cell r="N15558">
            <v>3.6909999999999998</v>
          </cell>
          <cell r="O15558">
            <v>3.79</v>
          </cell>
        </row>
        <row r="15559">
          <cell r="E15559" t="str">
            <v>SPHS</v>
          </cell>
          <cell r="F15559" t="str">
            <v>SPHS-S</v>
          </cell>
          <cell r="G15559">
            <v>670</v>
          </cell>
          <cell r="H15559" t="str">
            <v>SPHS-S670</v>
          </cell>
          <cell r="K15559" t="str">
            <v>Goerner,Lisa McHugh</v>
          </cell>
          <cell r="N15559">
            <v>3.9140000000000001</v>
          </cell>
          <cell r="O15559">
            <v>3.7269999999999999</v>
          </cell>
        </row>
        <row r="15560">
          <cell r="E15560" t="str">
            <v>SPHS</v>
          </cell>
          <cell r="F15560" t="str">
            <v>SPHS-S</v>
          </cell>
          <cell r="G15560">
            <v>670</v>
          </cell>
          <cell r="H15560" t="str">
            <v>SPHS-S670</v>
          </cell>
          <cell r="K15560" t="str">
            <v>Goerner,Lisa McHugh</v>
          </cell>
          <cell r="N15560">
            <v>3.7890000000000001</v>
          </cell>
          <cell r="O15560">
            <v>3.484</v>
          </cell>
        </row>
        <row r="15561">
          <cell r="E15561" t="str">
            <v>SPHS</v>
          </cell>
          <cell r="F15561" t="str">
            <v>SPHS-S</v>
          </cell>
          <cell r="G15561">
            <v>671</v>
          </cell>
          <cell r="H15561" t="str">
            <v>SPHS-S671</v>
          </cell>
          <cell r="K15561" t="str">
            <v>Amos,Nathan Edward</v>
          </cell>
          <cell r="N15561">
            <v>3.7629999999999999</v>
          </cell>
          <cell r="O15561">
            <v>3.645</v>
          </cell>
        </row>
        <row r="15562">
          <cell r="E15562" t="str">
            <v>SPHS</v>
          </cell>
          <cell r="F15562" t="str">
            <v>SPHS-S</v>
          </cell>
          <cell r="G15562">
            <v>672</v>
          </cell>
          <cell r="H15562" t="str">
            <v>SPHS-S672</v>
          </cell>
          <cell r="K15562" t="str">
            <v>Garner,Carolyn B.</v>
          </cell>
          <cell r="N15562" t="str">
            <v>NR</v>
          </cell>
          <cell r="O15562" t="str">
            <v>NR</v>
          </cell>
        </row>
        <row r="15563">
          <cell r="E15563" t="str">
            <v>SPHS</v>
          </cell>
          <cell r="F15563" t="str">
            <v>SPHS-S</v>
          </cell>
          <cell r="G15563">
            <v>672</v>
          </cell>
          <cell r="H15563" t="str">
            <v>SPHS-S672</v>
          </cell>
          <cell r="K15563" t="str">
            <v>Garner,Carolyn B.</v>
          </cell>
          <cell r="N15563" t="str">
            <v>NR</v>
          </cell>
          <cell r="O15563" t="str">
            <v>NR</v>
          </cell>
        </row>
        <row r="15564">
          <cell r="E15564" t="str">
            <v>SPHS</v>
          </cell>
          <cell r="F15564" t="str">
            <v>SPHS-S</v>
          </cell>
          <cell r="G15564">
            <v>673</v>
          </cell>
          <cell r="H15564" t="str">
            <v>SPHS-S673</v>
          </cell>
          <cell r="K15564" t="str">
            <v>Garner,Carolyn B.</v>
          </cell>
          <cell r="N15564">
            <v>3.7639999999999998</v>
          </cell>
          <cell r="O15564">
            <v>3.5539999999999998</v>
          </cell>
        </row>
        <row r="15565">
          <cell r="E15565" t="str">
            <v>SPHS</v>
          </cell>
          <cell r="F15565" t="str">
            <v>SPHS-S</v>
          </cell>
          <cell r="G15565">
            <v>673</v>
          </cell>
          <cell r="H15565" t="str">
            <v>SPHS-S673</v>
          </cell>
          <cell r="K15565" t="str">
            <v>Garner,Carolyn B.</v>
          </cell>
          <cell r="N15565" t="str">
            <v>NR</v>
          </cell>
          <cell r="O15565" t="str">
            <v>NR</v>
          </cell>
        </row>
        <row r="15566">
          <cell r="E15566" t="str">
            <v>SPHS</v>
          </cell>
          <cell r="F15566" t="str">
            <v>SPHS-S</v>
          </cell>
          <cell r="G15566">
            <v>675</v>
          </cell>
          <cell r="H15566" t="str">
            <v>SPHS-S675</v>
          </cell>
          <cell r="K15566" t="str">
            <v>Withnell,Robert</v>
          </cell>
          <cell r="N15566">
            <v>3.8849999999999998</v>
          </cell>
          <cell r="O15566">
            <v>3.2040000000000002</v>
          </cell>
        </row>
        <row r="15567">
          <cell r="E15567" t="str">
            <v>SPHS</v>
          </cell>
          <cell r="F15567" t="str">
            <v>SPHS-S</v>
          </cell>
          <cell r="G15567">
            <v>676</v>
          </cell>
          <cell r="H15567" t="str">
            <v>SPHS-S676</v>
          </cell>
          <cell r="K15567" t="str">
            <v>Amos,Nathan Edward</v>
          </cell>
          <cell r="N15567">
            <v>3.78</v>
          </cell>
          <cell r="O15567">
            <v>3.4510000000000001</v>
          </cell>
        </row>
        <row r="15568">
          <cell r="E15568" t="str">
            <v>SPHS</v>
          </cell>
          <cell r="F15568" t="str">
            <v>SPHS-S</v>
          </cell>
          <cell r="G15568">
            <v>677</v>
          </cell>
          <cell r="H15568" t="str">
            <v>SPHS-S677</v>
          </cell>
          <cell r="K15568" t="str">
            <v>Holt,Rachael Frush</v>
          </cell>
          <cell r="N15568">
            <v>3.1549999999999998</v>
          </cell>
          <cell r="O15568">
            <v>3.5819999999999999</v>
          </cell>
        </row>
        <row r="15569">
          <cell r="E15569" t="str">
            <v>SPHS</v>
          </cell>
          <cell r="F15569" t="str">
            <v>SPHS-S</v>
          </cell>
          <cell r="G15569">
            <v>678</v>
          </cell>
          <cell r="H15569" t="str">
            <v>SPHS-S678</v>
          </cell>
          <cell r="K15569" t="str">
            <v>Lentz,Jennifer J</v>
          </cell>
          <cell r="N15569">
            <v>3.375</v>
          </cell>
          <cell r="O15569">
            <v>3.5760000000000001</v>
          </cell>
        </row>
        <row r="15570">
          <cell r="E15570" t="str">
            <v>SPHS</v>
          </cell>
          <cell r="F15570" t="str">
            <v>SPHS-S</v>
          </cell>
          <cell r="G15570">
            <v>679</v>
          </cell>
          <cell r="H15570" t="str">
            <v>SPHS-S679</v>
          </cell>
          <cell r="K15570" t="str">
            <v>Withnell,Robert</v>
          </cell>
          <cell r="N15570">
            <v>3.7890000000000001</v>
          </cell>
          <cell r="O15570">
            <v>3.484</v>
          </cell>
        </row>
        <row r="15571">
          <cell r="E15571" t="str">
            <v>SPHS</v>
          </cell>
          <cell r="F15571" t="str">
            <v>SPHS-S</v>
          </cell>
          <cell r="G15571">
            <v>680</v>
          </cell>
          <cell r="H15571" t="str">
            <v>SPHS-S680</v>
          </cell>
          <cell r="K15571" t="str">
            <v>Forrest,Karen Michele</v>
          </cell>
          <cell r="N15571" t="str">
            <v>NR</v>
          </cell>
          <cell r="O15571" t="str">
            <v>NR</v>
          </cell>
        </row>
        <row r="15572">
          <cell r="E15572" t="str">
            <v>SPHS</v>
          </cell>
          <cell r="F15572" t="str">
            <v>SPHS-S</v>
          </cell>
          <cell r="G15572">
            <v>680</v>
          </cell>
          <cell r="H15572" t="str">
            <v>SPHS-S680</v>
          </cell>
          <cell r="K15572" t="str">
            <v>Forrest,Karen Michele</v>
          </cell>
          <cell r="N15572" t="str">
            <v>NR</v>
          </cell>
          <cell r="O15572" t="str">
            <v>NR</v>
          </cell>
        </row>
        <row r="15573">
          <cell r="E15573" t="str">
            <v>SPHS</v>
          </cell>
          <cell r="F15573" t="str">
            <v>SPHS-S</v>
          </cell>
          <cell r="G15573">
            <v>680</v>
          </cell>
          <cell r="H15573" t="str">
            <v>SPHS-S680</v>
          </cell>
          <cell r="K15573" t="str">
            <v>Forrest,Karen Michele</v>
          </cell>
          <cell r="N15573" t="str">
            <v>NR</v>
          </cell>
          <cell r="O15573" t="str">
            <v>NR</v>
          </cell>
        </row>
        <row r="15574">
          <cell r="E15574" t="str">
            <v>SPHS</v>
          </cell>
          <cell r="F15574" t="str">
            <v>SPHS-S</v>
          </cell>
          <cell r="G15574">
            <v>680</v>
          </cell>
          <cell r="H15574" t="str">
            <v>SPHS-S680</v>
          </cell>
          <cell r="K15574" t="str">
            <v>Forrest,Karen Michele</v>
          </cell>
          <cell r="N15574" t="str">
            <v>NR</v>
          </cell>
          <cell r="O15574" t="str">
            <v>NR</v>
          </cell>
        </row>
        <row r="15575">
          <cell r="E15575" t="str">
            <v>SPHS</v>
          </cell>
          <cell r="F15575" t="str">
            <v>SPHS-S</v>
          </cell>
          <cell r="G15575">
            <v>683</v>
          </cell>
          <cell r="H15575" t="str">
            <v>SPHS-S683</v>
          </cell>
          <cell r="K15575" t="str">
            <v>Forrest,Karen Michele</v>
          </cell>
          <cell r="N15575" t="str">
            <v>NR</v>
          </cell>
          <cell r="O15575" t="str">
            <v>NR</v>
          </cell>
        </row>
        <row r="15576">
          <cell r="E15576" t="str">
            <v>SPHS</v>
          </cell>
          <cell r="F15576" t="str">
            <v>SPHS-S</v>
          </cell>
          <cell r="G15576">
            <v>683</v>
          </cell>
          <cell r="H15576" t="str">
            <v>SPHS-S683</v>
          </cell>
          <cell r="K15576" t="str">
            <v>Gierut,Judith A</v>
          </cell>
          <cell r="N15576" t="str">
            <v>NR</v>
          </cell>
          <cell r="O15576" t="str">
            <v>NR</v>
          </cell>
        </row>
        <row r="15577">
          <cell r="E15577" t="str">
            <v>SPHS</v>
          </cell>
          <cell r="F15577" t="str">
            <v>SPHS-S</v>
          </cell>
          <cell r="G15577">
            <v>771</v>
          </cell>
          <cell r="H15577" t="str">
            <v>SPHS-S771</v>
          </cell>
          <cell r="K15577" t="str">
            <v>Amos,Nathan Edward</v>
          </cell>
          <cell r="N15577">
            <v>4</v>
          </cell>
          <cell r="O15577">
            <v>3.5750000000000002</v>
          </cell>
        </row>
        <row r="15578">
          <cell r="E15578" t="str">
            <v>SPHS</v>
          </cell>
          <cell r="F15578" t="str">
            <v>SPHS-S</v>
          </cell>
          <cell r="G15578">
            <v>772</v>
          </cell>
          <cell r="H15578" t="str">
            <v>SPHS-S772</v>
          </cell>
          <cell r="K15578" t="str">
            <v>Amos,Nathan Edward</v>
          </cell>
          <cell r="N15578">
            <v>4</v>
          </cell>
          <cell r="O15578">
            <v>3.6819999999999999</v>
          </cell>
        </row>
        <row r="15579">
          <cell r="E15579" t="str">
            <v>SPHS</v>
          </cell>
          <cell r="F15579" t="str">
            <v>SPHS-S</v>
          </cell>
          <cell r="G15579">
            <v>777</v>
          </cell>
          <cell r="H15579" t="str">
            <v>SPHS-S777</v>
          </cell>
          <cell r="K15579" t="str">
            <v>Humes,Larry E.</v>
          </cell>
          <cell r="N15579">
            <v>3.5289999999999999</v>
          </cell>
          <cell r="O15579">
            <v>3.7989999999999999</v>
          </cell>
        </row>
        <row r="15580">
          <cell r="E15580" t="str">
            <v>SPHS</v>
          </cell>
          <cell r="F15580" t="str">
            <v>SPHS-S</v>
          </cell>
          <cell r="G15580">
            <v>880</v>
          </cell>
          <cell r="H15580" t="str">
            <v>SPHS-S880</v>
          </cell>
          <cell r="K15580" t="str">
            <v>Forrest,Karen Michele</v>
          </cell>
          <cell r="N15580" t="str">
            <v>NR</v>
          </cell>
          <cell r="O15580" t="str">
            <v>NR</v>
          </cell>
        </row>
        <row r="15581">
          <cell r="E15581" t="str">
            <v>SPHS</v>
          </cell>
          <cell r="F15581" t="str">
            <v>SPHS-S</v>
          </cell>
          <cell r="G15581">
            <v>880</v>
          </cell>
          <cell r="H15581" t="str">
            <v>SPHS-S880</v>
          </cell>
          <cell r="K15581" t="str">
            <v>Forrest,Karen Michele</v>
          </cell>
          <cell r="N15581" t="str">
            <v>NR</v>
          </cell>
          <cell r="O15581" t="str">
            <v>NR</v>
          </cell>
        </row>
        <row r="15582">
          <cell r="E15582" t="str">
            <v>STAT</v>
          </cell>
          <cell r="F15582" t="str">
            <v>STAT-K</v>
          </cell>
          <cell r="G15582">
            <v>310</v>
          </cell>
          <cell r="H15582" t="str">
            <v>STAT-K310</v>
          </cell>
          <cell r="K15582" t="str">
            <v>Jackson,Thomas Arthur</v>
          </cell>
          <cell r="N15582">
            <v>3.1909999999999998</v>
          </cell>
          <cell r="O15582">
            <v>3.3740000000000001</v>
          </cell>
        </row>
        <row r="15583">
          <cell r="E15583" t="str">
            <v>STAT</v>
          </cell>
          <cell r="F15583" t="str">
            <v>STAT-K</v>
          </cell>
          <cell r="G15583">
            <v>310</v>
          </cell>
          <cell r="H15583" t="str">
            <v>STAT-K310</v>
          </cell>
          <cell r="K15583" t="str">
            <v>Luen,Brad</v>
          </cell>
          <cell r="N15583">
            <v>3.2970000000000002</v>
          </cell>
          <cell r="O15583">
            <v>3.3149999999999999</v>
          </cell>
        </row>
        <row r="15584">
          <cell r="E15584" t="str">
            <v>STAT</v>
          </cell>
          <cell r="F15584" t="str">
            <v>STAT-K</v>
          </cell>
          <cell r="G15584">
            <v>310</v>
          </cell>
          <cell r="H15584" t="str">
            <v>STAT-K310</v>
          </cell>
          <cell r="K15584" t="str">
            <v>Sang,Hailin</v>
          </cell>
          <cell r="N15584">
            <v>3.246</v>
          </cell>
          <cell r="O15584">
            <v>3.3540000000000001</v>
          </cell>
        </row>
        <row r="15585">
          <cell r="E15585" t="str">
            <v>STAT</v>
          </cell>
          <cell r="F15585" t="str">
            <v>STAT-K</v>
          </cell>
          <cell r="G15585">
            <v>310</v>
          </cell>
          <cell r="H15585" t="str">
            <v>STAT-K310</v>
          </cell>
          <cell r="K15585" t="str">
            <v>Sang,Hailin</v>
          </cell>
          <cell r="N15585">
            <v>2.7349999999999999</v>
          </cell>
          <cell r="O15585">
            <v>3.3260000000000001</v>
          </cell>
        </row>
        <row r="15586">
          <cell r="E15586" t="str">
            <v>STAT</v>
          </cell>
          <cell r="F15586" t="str">
            <v>STAT-S</v>
          </cell>
          <cell r="G15586">
            <v>100</v>
          </cell>
          <cell r="H15586" t="str">
            <v>STAT-S100</v>
          </cell>
          <cell r="K15586" t="str">
            <v>Jackson,Thomas Arthur</v>
          </cell>
          <cell r="N15586">
            <v>2.948</v>
          </cell>
          <cell r="O15586">
            <v>3.0009999999999999</v>
          </cell>
        </row>
        <row r="15587">
          <cell r="E15587" t="str">
            <v>STAT</v>
          </cell>
          <cell r="F15587" t="str">
            <v>STAT-S</v>
          </cell>
          <cell r="G15587">
            <v>100</v>
          </cell>
          <cell r="H15587" t="str">
            <v>STAT-S100</v>
          </cell>
          <cell r="K15587" t="str">
            <v>Luen,Brad</v>
          </cell>
          <cell r="N15587">
            <v>3.0329999999999999</v>
          </cell>
          <cell r="O15587">
            <v>3.085</v>
          </cell>
        </row>
        <row r="15588">
          <cell r="E15588" t="str">
            <v>STAT</v>
          </cell>
          <cell r="F15588" t="str">
            <v>STAT-S</v>
          </cell>
          <cell r="G15588">
            <v>300</v>
          </cell>
          <cell r="H15588" t="str">
            <v>STAT-S300</v>
          </cell>
          <cell r="K15588" t="str">
            <v>Duke Jr,Joseph Wayne</v>
          </cell>
          <cell r="N15588">
            <v>3.004</v>
          </cell>
          <cell r="O15588">
            <v>3.1280000000000001</v>
          </cell>
        </row>
        <row r="15589">
          <cell r="E15589" t="str">
            <v>STAT</v>
          </cell>
          <cell r="F15589" t="str">
            <v>STAT-S</v>
          </cell>
          <cell r="G15589">
            <v>300</v>
          </cell>
          <cell r="H15589" t="str">
            <v>STAT-S300</v>
          </cell>
          <cell r="K15589" t="str">
            <v>Wyatt,William Russell</v>
          </cell>
          <cell r="N15589">
            <v>2.91</v>
          </cell>
          <cell r="O15589">
            <v>2.9929999999999999</v>
          </cell>
        </row>
        <row r="15590">
          <cell r="E15590" t="str">
            <v>STAT</v>
          </cell>
          <cell r="F15590" t="str">
            <v>STAT-S</v>
          </cell>
          <cell r="G15590">
            <v>301</v>
          </cell>
          <cell r="H15590" t="str">
            <v>STAT-S301</v>
          </cell>
          <cell r="K15590" t="str">
            <v>Jackson,Thomas Arthur</v>
          </cell>
          <cell r="N15590">
            <v>3.0459999999999998</v>
          </cell>
          <cell r="O15590">
            <v>3.4460000000000002</v>
          </cell>
        </row>
        <row r="15591">
          <cell r="E15591" t="str">
            <v>STAT</v>
          </cell>
          <cell r="F15591" t="str">
            <v>STAT-S</v>
          </cell>
          <cell r="G15591">
            <v>301</v>
          </cell>
          <cell r="H15591" t="str">
            <v>STAT-S301</v>
          </cell>
          <cell r="K15591" t="str">
            <v>Wolfe,Brian Andrew</v>
          </cell>
          <cell r="N15591">
            <v>3.0939999999999999</v>
          </cell>
          <cell r="O15591">
            <v>3.38</v>
          </cell>
        </row>
        <row r="15592">
          <cell r="E15592" t="str">
            <v>STAT</v>
          </cell>
          <cell r="F15592" t="str">
            <v>STAT-S</v>
          </cell>
          <cell r="G15592">
            <v>320</v>
          </cell>
          <cell r="H15592" t="str">
            <v>STAT-S320</v>
          </cell>
          <cell r="K15592" t="str">
            <v>Trosset,Michael</v>
          </cell>
          <cell r="N15592">
            <v>2.605</v>
          </cell>
          <cell r="O15592">
            <v>3.1230000000000002</v>
          </cell>
        </row>
        <row r="15593">
          <cell r="E15593" t="str">
            <v>STAT</v>
          </cell>
          <cell r="F15593" t="str">
            <v>STAT-S</v>
          </cell>
          <cell r="G15593">
            <v>420</v>
          </cell>
          <cell r="H15593" t="str">
            <v>STAT-S420</v>
          </cell>
          <cell r="K15593" t="str">
            <v>Huerta,Gabriel</v>
          </cell>
          <cell r="N15593" t="str">
            <v>NR</v>
          </cell>
          <cell r="O15593" t="str">
            <v>NR</v>
          </cell>
        </row>
        <row r="15594">
          <cell r="E15594" t="str">
            <v>STAT</v>
          </cell>
          <cell r="F15594" t="str">
            <v>STAT-S</v>
          </cell>
          <cell r="G15594">
            <v>426</v>
          </cell>
          <cell r="H15594" t="str">
            <v>STAT-S426</v>
          </cell>
          <cell r="K15594" t="str">
            <v>Huerta,Gabriel</v>
          </cell>
          <cell r="N15594" t="str">
            <v>NR</v>
          </cell>
          <cell r="O15594" t="str">
            <v>NR</v>
          </cell>
        </row>
        <row r="15595">
          <cell r="E15595" t="str">
            <v>STAT</v>
          </cell>
          <cell r="F15595" t="str">
            <v>STAT-S</v>
          </cell>
          <cell r="G15595">
            <v>431</v>
          </cell>
          <cell r="H15595" t="str">
            <v>STAT-S431</v>
          </cell>
          <cell r="K15595" t="str">
            <v>Huang,Chunfeng</v>
          </cell>
          <cell r="N15595" t="str">
            <v>NR</v>
          </cell>
          <cell r="O15595" t="str">
            <v>NR</v>
          </cell>
        </row>
        <row r="15596">
          <cell r="E15596" t="str">
            <v>STAT</v>
          </cell>
          <cell r="F15596" t="str">
            <v>STAT-S</v>
          </cell>
          <cell r="G15596">
            <v>432</v>
          </cell>
          <cell r="H15596" t="str">
            <v>STAT-S432</v>
          </cell>
          <cell r="K15596" t="str">
            <v>Huang,Chunfeng</v>
          </cell>
          <cell r="N15596">
            <v>3.5859999999999999</v>
          </cell>
          <cell r="O15596">
            <v>3.2679999999999998</v>
          </cell>
        </row>
        <row r="15597">
          <cell r="E15597" t="str">
            <v>STAT</v>
          </cell>
          <cell r="F15597" t="str">
            <v>STAT-S</v>
          </cell>
          <cell r="G15597">
            <v>470</v>
          </cell>
          <cell r="H15597" t="str">
            <v>STAT-S470</v>
          </cell>
          <cell r="K15597" t="str">
            <v>Kafadar,Karen</v>
          </cell>
          <cell r="N15597" t="str">
            <v>NR</v>
          </cell>
          <cell r="O15597" t="str">
            <v>NR</v>
          </cell>
        </row>
        <row r="15598">
          <cell r="E15598" t="str">
            <v>STAT</v>
          </cell>
          <cell r="F15598" t="str">
            <v>STAT-S</v>
          </cell>
          <cell r="G15598">
            <v>481</v>
          </cell>
          <cell r="H15598" t="str">
            <v>STAT-S481</v>
          </cell>
          <cell r="K15598" t="str">
            <v>An,Weihua</v>
          </cell>
          <cell r="N15598" t="str">
            <v>NR</v>
          </cell>
          <cell r="O15598" t="str">
            <v>NR</v>
          </cell>
        </row>
        <row r="15599">
          <cell r="E15599" t="str">
            <v>STAT</v>
          </cell>
          <cell r="F15599" t="str">
            <v>STAT-S</v>
          </cell>
          <cell r="G15599">
            <v>490</v>
          </cell>
          <cell r="H15599" t="str">
            <v>STAT-S490</v>
          </cell>
          <cell r="K15599" t="str">
            <v>Kafadar,Karen</v>
          </cell>
          <cell r="N15599" t="str">
            <v>NR</v>
          </cell>
          <cell r="O15599" t="str">
            <v>NR</v>
          </cell>
        </row>
        <row r="15600">
          <cell r="E15600" t="str">
            <v>STAT</v>
          </cell>
          <cell r="F15600" t="str">
            <v>STAT-S</v>
          </cell>
          <cell r="G15600">
            <v>490</v>
          </cell>
          <cell r="H15600" t="str">
            <v>STAT-S490</v>
          </cell>
          <cell r="K15600" t="str">
            <v>Kafadar,Karen</v>
          </cell>
          <cell r="N15600" t="str">
            <v>NR</v>
          </cell>
          <cell r="O15600" t="str">
            <v>NR</v>
          </cell>
        </row>
        <row r="15601">
          <cell r="E15601" t="str">
            <v>STAT</v>
          </cell>
          <cell r="F15601" t="str">
            <v>STAT-S</v>
          </cell>
          <cell r="G15601">
            <v>501</v>
          </cell>
          <cell r="H15601" t="str">
            <v>STAT-S501</v>
          </cell>
          <cell r="K15601" t="str">
            <v>Wyatt,William Russell</v>
          </cell>
          <cell r="N15601">
            <v>3.7749999999999999</v>
          </cell>
          <cell r="O15601">
            <v>3.6880000000000002</v>
          </cell>
        </row>
        <row r="15602">
          <cell r="E15602" t="str">
            <v>STAT</v>
          </cell>
          <cell r="F15602" t="str">
            <v>STAT-S</v>
          </cell>
          <cell r="G15602">
            <v>501</v>
          </cell>
          <cell r="H15602" t="str">
            <v>STAT-S501</v>
          </cell>
          <cell r="K15602" t="str">
            <v>Wyatt,William Russell</v>
          </cell>
          <cell r="N15602">
            <v>3.5470000000000002</v>
          </cell>
          <cell r="O15602">
            <v>3.7749999999999999</v>
          </cell>
        </row>
        <row r="15603">
          <cell r="E15603" t="str">
            <v>STAT</v>
          </cell>
          <cell r="F15603" t="str">
            <v>STAT-S</v>
          </cell>
          <cell r="G15603">
            <v>503</v>
          </cell>
          <cell r="H15603" t="str">
            <v>STAT-S503</v>
          </cell>
          <cell r="K15603" t="str">
            <v>Long,Scott</v>
          </cell>
          <cell r="N15603">
            <v>3.7559999999999998</v>
          </cell>
          <cell r="O15603">
            <v>3.8149999999999999</v>
          </cell>
        </row>
        <row r="15604">
          <cell r="E15604" t="str">
            <v>STAT</v>
          </cell>
          <cell r="F15604" t="str">
            <v>STAT-S</v>
          </cell>
          <cell r="G15604">
            <v>520</v>
          </cell>
          <cell r="H15604" t="str">
            <v>STAT-S520</v>
          </cell>
          <cell r="K15604" t="str">
            <v>Trosset,Michael</v>
          </cell>
          <cell r="N15604">
            <v>3.74</v>
          </cell>
          <cell r="O15604">
            <v>3.4910000000000001</v>
          </cell>
        </row>
        <row r="15605">
          <cell r="E15605" t="str">
            <v>STAT</v>
          </cell>
          <cell r="F15605" t="str">
            <v>STAT-S</v>
          </cell>
          <cell r="G15605">
            <v>620</v>
          </cell>
          <cell r="H15605" t="str">
            <v>STAT-S620</v>
          </cell>
          <cell r="K15605" t="str">
            <v>Huerta,Gabriel</v>
          </cell>
          <cell r="N15605">
            <v>3.62</v>
          </cell>
          <cell r="O15605">
            <v>3.7650000000000001</v>
          </cell>
        </row>
        <row r="15606">
          <cell r="E15606" t="str">
            <v>STAT</v>
          </cell>
          <cell r="F15606" t="str">
            <v>STAT-S</v>
          </cell>
          <cell r="G15606">
            <v>626</v>
          </cell>
          <cell r="H15606" t="str">
            <v>STAT-S626</v>
          </cell>
          <cell r="K15606" t="str">
            <v>Huerta,Gabriel</v>
          </cell>
          <cell r="N15606">
            <v>3.7639999999999998</v>
          </cell>
          <cell r="O15606">
            <v>3.7090000000000001</v>
          </cell>
        </row>
        <row r="15607">
          <cell r="E15607" t="str">
            <v>STAT</v>
          </cell>
          <cell r="F15607" t="str">
            <v>STAT-S</v>
          </cell>
          <cell r="G15607">
            <v>631</v>
          </cell>
          <cell r="H15607" t="str">
            <v>STAT-S631</v>
          </cell>
          <cell r="K15607" t="str">
            <v>Huang,Chunfeng</v>
          </cell>
          <cell r="N15607">
            <v>3.8210000000000002</v>
          </cell>
          <cell r="O15607">
            <v>3.7709999999999999</v>
          </cell>
        </row>
        <row r="15608">
          <cell r="E15608" t="str">
            <v>STAT</v>
          </cell>
          <cell r="F15608" t="str">
            <v>STAT-S</v>
          </cell>
          <cell r="G15608">
            <v>632</v>
          </cell>
          <cell r="H15608" t="str">
            <v>STAT-S632</v>
          </cell>
          <cell r="K15608" t="str">
            <v>Huang,Chunfeng</v>
          </cell>
          <cell r="N15608">
            <v>3.7749999999999999</v>
          </cell>
          <cell r="O15608">
            <v>3.835</v>
          </cell>
        </row>
        <row r="15609">
          <cell r="E15609" t="str">
            <v>STAT</v>
          </cell>
          <cell r="F15609" t="str">
            <v>STAT-S</v>
          </cell>
          <cell r="G15609">
            <v>640</v>
          </cell>
          <cell r="H15609" t="str">
            <v>STAT-S640</v>
          </cell>
          <cell r="K15609" t="str">
            <v>Wyatt,William Russell</v>
          </cell>
          <cell r="N15609">
            <v>3.573</v>
          </cell>
          <cell r="O15609">
            <v>3.7669999999999999</v>
          </cell>
        </row>
        <row r="15610">
          <cell r="E15610" t="str">
            <v>STAT</v>
          </cell>
          <cell r="F15610" t="str">
            <v>STAT-S</v>
          </cell>
          <cell r="G15610">
            <v>650</v>
          </cell>
          <cell r="H15610" t="str">
            <v>STAT-S650</v>
          </cell>
          <cell r="K15610" t="str">
            <v>Busemeyer,Jerome R.</v>
          </cell>
          <cell r="N15610">
            <v>3.9140000000000001</v>
          </cell>
          <cell r="O15610">
            <v>3.8460000000000001</v>
          </cell>
        </row>
        <row r="15611">
          <cell r="E15611" t="str">
            <v>STAT</v>
          </cell>
          <cell r="F15611" t="str">
            <v>STAT-S</v>
          </cell>
          <cell r="G15611">
            <v>670</v>
          </cell>
          <cell r="H15611" t="str">
            <v>STAT-S670</v>
          </cell>
          <cell r="K15611" t="str">
            <v>Kafadar,Karen</v>
          </cell>
          <cell r="N15611">
            <v>3.3679999999999999</v>
          </cell>
          <cell r="O15611">
            <v>3.677</v>
          </cell>
        </row>
        <row r="15612">
          <cell r="E15612" t="str">
            <v>STAT</v>
          </cell>
          <cell r="F15612" t="str">
            <v>STAT-S</v>
          </cell>
          <cell r="G15612">
            <v>681</v>
          </cell>
          <cell r="H15612" t="str">
            <v>STAT-S681</v>
          </cell>
          <cell r="K15612" t="str">
            <v>An,Weihua</v>
          </cell>
          <cell r="N15612">
            <v>3.6709999999999998</v>
          </cell>
          <cell r="O15612">
            <v>3.6259999999999999</v>
          </cell>
        </row>
        <row r="15613">
          <cell r="E15613" t="str">
            <v>STAT</v>
          </cell>
          <cell r="F15613" t="str">
            <v>STAT-S</v>
          </cell>
          <cell r="G15613">
            <v>681</v>
          </cell>
          <cell r="H15613" t="str">
            <v>STAT-S681</v>
          </cell>
          <cell r="K15613" t="str">
            <v>Huang,Chunfeng</v>
          </cell>
          <cell r="N15613">
            <v>3.875</v>
          </cell>
          <cell r="O15613">
            <v>3.7250000000000001</v>
          </cell>
        </row>
        <row r="15614">
          <cell r="E15614" t="str">
            <v>STAT</v>
          </cell>
          <cell r="F15614" t="str">
            <v>STAT-S</v>
          </cell>
          <cell r="G15614">
            <v>681</v>
          </cell>
          <cell r="H15614" t="str">
            <v>STAT-S681</v>
          </cell>
          <cell r="K15614" t="str">
            <v>Sang,Hailin</v>
          </cell>
          <cell r="N15614">
            <v>3.97</v>
          </cell>
          <cell r="O15614">
            <v>3.702</v>
          </cell>
        </row>
        <row r="15615">
          <cell r="E15615" t="str">
            <v>STAT</v>
          </cell>
          <cell r="F15615" t="str">
            <v>STAT-S</v>
          </cell>
          <cell r="G15615">
            <v>690</v>
          </cell>
          <cell r="H15615" t="str">
            <v>STAT-S690</v>
          </cell>
          <cell r="K15615" t="str">
            <v>Kafadar,Karen</v>
          </cell>
          <cell r="N15615">
            <v>3.7829999999999999</v>
          </cell>
          <cell r="O15615">
            <v>3.8380000000000001</v>
          </cell>
        </row>
        <row r="15616">
          <cell r="E15616" t="str">
            <v>STAT</v>
          </cell>
          <cell r="F15616" t="str">
            <v>STAT-S</v>
          </cell>
          <cell r="G15616">
            <v>690</v>
          </cell>
          <cell r="H15616" t="str">
            <v>STAT-S690</v>
          </cell>
          <cell r="K15616" t="str">
            <v>Kafadar,Karen</v>
          </cell>
          <cell r="N15616">
            <v>3.645</v>
          </cell>
          <cell r="O15616">
            <v>3.714</v>
          </cell>
        </row>
        <row r="15617">
          <cell r="E15617" t="str">
            <v>STAT</v>
          </cell>
          <cell r="F15617" t="str">
            <v>STAT-S</v>
          </cell>
          <cell r="G15617">
            <v>695</v>
          </cell>
          <cell r="H15617" t="str">
            <v>STAT-S695</v>
          </cell>
          <cell r="K15617" t="str">
            <v>Kafadar,Karen</v>
          </cell>
          <cell r="N15617" t="str">
            <v>NR</v>
          </cell>
          <cell r="O15617" t="str">
            <v>NR</v>
          </cell>
        </row>
        <row r="15618">
          <cell r="E15618" t="str">
            <v>STAT</v>
          </cell>
          <cell r="F15618" t="str">
            <v>STAT-S</v>
          </cell>
          <cell r="G15618">
            <v>710</v>
          </cell>
          <cell r="H15618" t="str">
            <v>STAT-S710</v>
          </cell>
          <cell r="K15618" t="str">
            <v>Trosset,Michael</v>
          </cell>
          <cell r="N15618">
            <v>3.758</v>
          </cell>
          <cell r="O15618">
            <v>3.7650000000000001</v>
          </cell>
        </row>
        <row r="15619">
          <cell r="E15619" t="str">
            <v>STAT</v>
          </cell>
          <cell r="F15619" t="str">
            <v>STAT-S</v>
          </cell>
          <cell r="G15619">
            <v>721</v>
          </cell>
          <cell r="H15619" t="str">
            <v>STAT-S721</v>
          </cell>
          <cell r="K15619" t="str">
            <v>McDonald,Daniel Joseph</v>
          </cell>
          <cell r="N15619">
            <v>3.8</v>
          </cell>
          <cell r="O15619">
            <v>3.6480000000000001</v>
          </cell>
        </row>
        <row r="15620">
          <cell r="E15620" t="str">
            <v>STAT</v>
          </cell>
          <cell r="F15620" t="str">
            <v>STAT-S</v>
          </cell>
          <cell r="G15620">
            <v>722</v>
          </cell>
          <cell r="H15620" t="str">
            <v>STAT-S722</v>
          </cell>
          <cell r="K15620" t="str">
            <v>Huerta,Gabriel</v>
          </cell>
          <cell r="N15620">
            <v>3.95</v>
          </cell>
          <cell r="O15620">
            <v>3.8380000000000001</v>
          </cell>
        </row>
        <row r="15621">
          <cell r="E15621" t="str">
            <v>STAT</v>
          </cell>
          <cell r="F15621" t="str">
            <v>STAT-S</v>
          </cell>
          <cell r="G15621">
            <v>730</v>
          </cell>
          <cell r="H15621" t="str">
            <v>STAT-S730</v>
          </cell>
          <cell r="K15621" t="str">
            <v>Huang,Chunfeng</v>
          </cell>
          <cell r="N15621">
            <v>3.9140000000000001</v>
          </cell>
          <cell r="O15621">
            <v>3.8370000000000002</v>
          </cell>
        </row>
        <row r="15622">
          <cell r="E15622" t="str">
            <v>STAT</v>
          </cell>
          <cell r="F15622" t="str">
            <v>STAT-S</v>
          </cell>
          <cell r="G15622">
            <v>799</v>
          </cell>
          <cell r="H15622" t="str">
            <v>STAT-S799</v>
          </cell>
          <cell r="K15622" t="str">
            <v>Kafadar,Karen</v>
          </cell>
          <cell r="N15622" t="str">
            <v>NR</v>
          </cell>
          <cell r="O15622" t="str">
            <v>NR</v>
          </cell>
        </row>
        <row r="15623">
          <cell r="E15623" t="str">
            <v>STAT</v>
          </cell>
          <cell r="F15623" t="str">
            <v>STAT-S</v>
          </cell>
          <cell r="G15623">
            <v>799</v>
          </cell>
          <cell r="H15623" t="str">
            <v>STAT-S799</v>
          </cell>
          <cell r="K15623" t="str">
            <v>Trosset,Michael</v>
          </cell>
          <cell r="N15623" t="str">
            <v>NR</v>
          </cell>
          <cell r="O15623" t="str">
            <v>NR</v>
          </cell>
        </row>
        <row r="15624">
          <cell r="E15624" t="str">
            <v>SWK</v>
          </cell>
          <cell r="F15624" t="str">
            <v xml:space="preserve">SWK-S </v>
          </cell>
          <cell r="G15624">
            <v>100</v>
          </cell>
          <cell r="H15624" t="str">
            <v>SWK-S 100</v>
          </cell>
          <cell r="K15624" t="str">
            <v>Esch-Williams,Iris Ingrid</v>
          </cell>
          <cell r="N15624">
            <v>3.2389999999999999</v>
          </cell>
          <cell r="O15624">
            <v>2.9910000000000001</v>
          </cell>
        </row>
        <row r="15625">
          <cell r="E15625" t="str">
            <v>SWK</v>
          </cell>
          <cell r="F15625" t="str">
            <v xml:space="preserve">SWK-S </v>
          </cell>
          <cell r="G15625">
            <v>100</v>
          </cell>
          <cell r="H15625" t="str">
            <v>SWK-S 100</v>
          </cell>
          <cell r="K15625" t="str">
            <v>Esch-Williams,Iris Ingrid</v>
          </cell>
          <cell r="N15625">
            <v>3.7730000000000001</v>
          </cell>
          <cell r="O15625">
            <v>3.2589999999999999</v>
          </cell>
        </row>
        <row r="15626">
          <cell r="E15626" t="str">
            <v>SWK</v>
          </cell>
          <cell r="F15626" t="str">
            <v xml:space="preserve">SWK-S </v>
          </cell>
          <cell r="G15626">
            <v>100</v>
          </cell>
          <cell r="H15626" t="str">
            <v>SWK-S 100</v>
          </cell>
          <cell r="K15626" t="str">
            <v>Nelson,Tammi L</v>
          </cell>
          <cell r="N15626">
            <v>3.2639999999999998</v>
          </cell>
          <cell r="O15626">
            <v>3.0009999999999999</v>
          </cell>
        </row>
        <row r="15627">
          <cell r="E15627" t="str">
            <v>SWK</v>
          </cell>
          <cell r="F15627" t="str">
            <v xml:space="preserve">SWK-S </v>
          </cell>
          <cell r="G15627">
            <v>100</v>
          </cell>
          <cell r="H15627" t="str">
            <v>SWK-S 100</v>
          </cell>
          <cell r="K15627" t="str">
            <v>Nelson,Tammi L</v>
          </cell>
          <cell r="N15627">
            <v>2.3290000000000002</v>
          </cell>
          <cell r="O15627">
            <v>2.129</v>
          </cell>
        </row>
        <row r="15628">
          <cell r="E15628" t="str">
            <v>SWK</v>
          </cell>
          <cell r="F15628" t="str">
            <v xml:space="preserve">SWK-S </v>
          </cell>
          <cell r="G15628">
            <v>100</v>
          </cell>
          <cell r="H15628" t="str">
            <v>SWK-S 100</v>
          </cell>
          <cell r="K15628" t="str">
            <v>Rose,Colleen Michelle</v>
          </cell>
          <cell r="N15628">
            <v>3.6749999999999998</v>
          </cell>
          <cell r="O15628">
            <v>3.13</v>
          </cell>
        </row>
        <row r="15629">
          <cell r="E15629" t="str">
            <v>SWK</v>
          </cell>
          <cell r="F15629" t="str">
            <v xml:space="preserve">SWK-S </v>
          </cell>
          <cell r="G15629">
            <v>100</v>
          </cell>
          <cell r="H15629" t="str">
            <v>SWK-S 100</v>
          </cell>
          <cell r="K15629" t="str">
            <v>Sullenberger,Sabrina W.</v>
          </cell>
          <cell r="N15629">
            <v>3.9329999999999998</v>
          </cell>
          <cell r="O15629">
            <v>3.1379999999999999</v>
          </cell>
        </row>
        <row r="15630">
          <cell r="E15630" t="str">
            <v>SWK</v>
          </cell>
          <cell r="F15630" t="str">
            <v xml:space="preserve">SWK-S </v>
          </cell>
          <cell r="G15630">
            <v>100</v>
          </cell>
          <cell r="H15630" t="str">
            <v>SWK-S 100</v>
          </cell>
          <cell r="K15630" t="str">
            <v>Toney,Sharlene Marie</v>
          </cell>
          <cell r="N15630">
            <v>3.2749999999999999</v>
          </cell>
          <cell r="O15630">
            <v>3.3140000000000001</v>
          </cell>
        </row>
        <row r="15631">
          <cell r="E15631" t="str">
            <v>SWK</v>
          </cell>
          <cell r="F15631" t="str">
            <v xml:space="preserve">SWK-S </v>
          </cell>
          <cell r="G15631">
            <v>102</v>
          </cell>
          <cell r="H15631" t="str">
            <v>SWK-S 102</v>
          </cell>
          <cell r="K15631" t="str">
            <v>Esch-Williams,Iris Ingrid</v>
          </cell>
          <cell r="N15631">
            <v>3.411</v>
          </cell>
          <cell r="O15631">
            <v>2.948</v>
          </cell>
        </row>
        <row r="15632">
          <cell r="E15632" t="str">
            <v>SWK</v>
          </cell>
          <cell r="F15632" t="str">
            <v xml:space="preserve">SWK-S </v>
          </cell>
          <cell r="G15632">
            <v>102</v>
          </cell>
          <cell r="H15632" t="str">
            <v>SWK-S 102</v>
          </cell>
          <cell r="K15632" t="str">
            <v>Esch-Williams,Iris Ingrid</v>
          </cell>
          <cell r="N15632">
            <v>3.4550000000000001</v>
          </cell>
          <cell r="O15632">
            <v>2.7559999999999998</v>
          </cell>
        </row>
        <row r="15633">
          <cell r="E15633" t="str">
            <v>SWK</v>
          </cell>
          <cell r="F15633" t="str">
            <v xml:space="preserve">SWK-S </v>
          </cell>
          <cell r="G15633">
            <v>102</v>
          </cell>
          <cell r="H15633" t="str">
            <v>SWK-S 102</v>
          </cell>
          <cell r="K15633" t="str">
            <v>Jones,Liz</v>
          </cell>
          <cell r="N15633">
            <v>3.24</v>
          </cell>
          <cell r="O15633">
            <v>2.9569999999999999</v>
          </cell>
        </row>
        <row r="15634">
          <cell r="E15634" t="str">
            <v>SWK</v>
          </cell>
          <cell r="F15634" t="str">
            <v xml:space="preserve">SWK-S </v>
          </cell>
          <cell r="G15634">
            <v>102</v>
          </cell>
          <cell r="H15634" t="str">
            <v>SWK-S 102</v>
          </cell>
          <cell r="K15634" t="str">
            <v>Smallwood,Amber Michelle</v>
          </cell>
          <cell r="N15634">
            <v>3.6930000000000001</v>
          </cell>
          <cell r="O15634">
            <v>3.05</v>
          </cell>
        </row>
        <row r="15635">
          <cell r="E15635" t="str">
            <v>SWK</v>
          </cell>
          <cell r="F15635" t="str">
            <v xml:space="preserve">SWK-S </v>
          </cell>
          <cell r="G15635">
            <v>102</v>
          </cell>
          <cell r="H15635" t="str">
            <v>SWK-S 102</v>
          </cell>
          <cell r="K15635" t="str">
            <v>Toney,Sharlene Marie</v>
          </cell>
          <cell r="N15635">
            <v>2.8940000000000001</v>
          </cell>
          <cell r="O15635">
            <v>3.0790000000000002</v>
          </cell>
        </row>
        <row r="15636">
          <cell r="E15636" t="str">
            <v>SWK</v>
          </cell>
          <cell r="F15636" t="str">
            <v xml:space="preserve">SWK-S </v>
          </cell>
          <cell r="G15636">
            <v>141</v>
          </cell>
          <cell r="H15636" t="str">
            <v>SWK-S 141</v>
          </cell>
          <cell r="K15636" t="str">
            <v>McCallister,Bruce K.</v>
          </cell>
          <cell r="N15636">
            <v>2.8450000000000002</v>
          </cell>
          <cell r="O15636">
            <v>3.0459999999999998</v>
          </cell>
        </row>
        <row r="15637">
          <cell r="E15637" t="str">
            <v>SWK</v>
          </cell>
          <cell r="F15637" t="str">
            <v xml:space="preserve">SWK-S </v>
          </cell>
          <cell r="G15637">
            <v>141</v>
          </cell>
          <cell r="H15637" t="str">
            <v>SWK-S 141</v>
          </cell>
          <cell r="K15637" t="str">
            <v>McCallister,Bruce K.</v>
          </cell>
          <cell r="N15637">
            <v>2.839</v>
          </cell>
          <cell r="O15637">
            <v>2.9239999999999999</v>
          </cell>
        </row>
        <row r="15638">
          <cell r="E15638" t="str">
            <v>SWK</v>
          </cell>
          <cell r="F15638" t="str">
            <v xml:space="preserve">SWK-S </v>
          </cell>
          <cell r="G15638">
            <v>141</v>
          </cell>
          <cell r="H15638" t="str">
            <v>SWK-S 141</v>
          </cell>
          <cell r="K15638" t="str">
            <v>McCallister,Bruce K.</v>
          </cell>
          <cell r="N15638">
            <v>3.0190000000000001</v>
          </cell>
          <cell r="O15638">
            <v>2.9969999999999999</v>
          </cell>
        </row>
        <row r="15639">
          <cell r="E15639" t="str">
            <v>SWK</v>
          </cell>
          <cell r="F15639" t="str">
            <v xml:space="preserve">SWK-S </v>
          </cell>
          <cell r="G15639">
            <v>141</v>
          </cell>
          <cell r="H15639" t="str">
            <v>SWK-S 141</v>
          </cell>
          <cell r="K15639" t="str">
            <v>McCallister,Bruce K.</v>
          </cell>
          <cell r="N15639">
            <v>3.0390000000000001</v>
          </cell>
          <cell r="O15639">
            <v>3.133</v>
          </cell>
        </row>
        <row r="15640">
          <cell r="E15640" t="str">
            <v>SWK</v>
          </cell>
          <cell r="F15640" t="str">
            <v xml:space="preserve">SWK-S </v>
          </cell>
          <cell r="G15640">
            <v>141</v>
          </cell>
          <cell r="H15640" t="str">
            <v>SWK-S 141</v>
          </cell>
          <cell r="K15640" t="str">
            <v>Quinn,Carlene Arteel</v>
          </cell>
          <cell r="N15640">
            <v>3.2080000000000002</v>
          </cell>
          <cell r="O15640">
            <v>2.548</v>
          </cell>
        </row>
        <row r="15641">
          <cell r="E15641" t="str">
            <v>SWK</v>
          </cell>
          <cell r="F15641" t="str">
            <v xml:space="preserve">SWK-S </v>
          </cell>
          <cell r="G15641">
            <v>141</v>
          </cell>
          <cell r="H15641" t="str">
            <v>SWK-S 141</v>
          </cell>
          <cell r="K15641" t="str">
            <v>Quinn,Carlene Arteel</v>
          </cell>
          <cell r="N15641">
            <v>3.1280000000000001</v>
          </cell>
          <cell r="O15641">
            <v>2.7330000000000001</v>
          </cell>
        </row>
        <row r="15642">
          <cell r="E15642" t="str">
            <v>SWK</v>
          </cell>
          <cell r="F15642" t="str">
            <v xml:space="preserve">SWK-S </v>
          </cell>
          <cell r="G15642">
            <v>221</v>
          </cell>
          <cell r="H15642" t="str">
            <v>SWK-S 221</v>
          </cell>
          <cell r="K15642" t="str">
            <v>Stone,Darrell Ann Gamache</v>
          </cell>
          <cell r="N15642">
            <v>3.9849999999999999</v>
          </cell>
          <cell r="O15642">
            <v>3.3479999999999999</v>
          </cell>
        </row>
        <row r="15643">
          <cell r="E15643" t="str">
            <v>SWK</v>
          </cell>
          <cell r="F15643" t="str">
            <v xml:space="preserve">SWK-S </v>
          </cell>
          <cell r="G15643">
            <v>221</v>
          </cell>
          <cell r="H15643" t="str">
            <v>SWK-S 221</v>
          </cell>
          <cell r="K15643" t="str">
            <v>Stone,Darrell Ann Gamache</v>
          </cell>
          <cell r="N15643">
            <v>3.9550000000000001</v>
          </cell>
          <cell r="O15643">
            <v>3.2250000000000001</v>
          </cell>
        </row>
        <row r="15644">
          <cell r="E15644" t="str">
            <v>SWK</v>
          </cell>
          <cell r="F15644" t="str">
            <v xml:space="preserve">SWK-S </v>
          </cell>
          <cell r="G15644">
            <v>221</v>
          </cell>
          <cell r="H15644" t="str">
            <v>SWK-S 221</v>
          </cell>
          <cell r="K15644" t="str">
            <v>Toney,Sharlene Marie</v>
          </cell>
          <cell r="N15644">
            <v>2.75</v>
          </cell>
          <cell r="O15644">
            <v>3.1070000000000002</v>
          </cell>
        </row>
        <row r="15645">
          <cell r="E15645" t="str">
            <v>SWK</v>
          </cell>
          <cell r="F15645" t="str">
            <v xml:space="preserve">SWK-S </v>
          </cell>
          <cell r="G15645">
            <v>221</v>
          </cell>
          <cell r="H15645" t="str">
            <v>SWK-S 221</v>
          </cell>
          <cell r="K15645" t="str">
            <v>Toney,Sharlene Marie</v>
          </cell>
          <cell r="N15645">
            <v>2.7669999999999999</v>
          </cell>
          <cell r="O15645">
            <v>3.1389999999999998</v>
          </cell>
        </row>
        <row r="15646">
          <cell r="E15646" t="str">
            <v>SWK</v>
          </cell>
          <cell r="F15646" t="str">
            <v xml:space="preserve">SWK-S </v>
          </cell>
          <cell r="G15646">
            <v>251</v>
          </cell>
          <cell r="H15646" t="str">
            <v>SWK-S 251</v>
          </cell>
          <cell r="K15646" t="str">
            <v>McCallister,Bruce K.</v>
          </cell>
          <cell r="N15646">
            <v>3.7450000000000001</v>
          </cell>
          <cell r="O15646">
            <v>3.39</v>
          </cell>
        </row>
        <row r="15647">
          <cell r="E15647" t="str">
            <v>SWK</v>
          </cell>
          <cell r="F15647" t="str">
            <v xml:space="preserve">SWK-S </v>
          </cell>
          <cell r="G15647">
            <v>251</v>
          </cell>
          <cell r="H15647" t="str">
            <v>SWK-S 251</v>
          </cell>
          <cell r="K15647" t="str">
            <v>McCallister,Bruce K.</v>
          </cell>
          <cell r="N15647">
            <v>3.823</v>
          </cell>
          <cell r="O15647">
            <v>3.3370000000000002</v>
          </cell>
        </row>
        <row r="15648">
          <cell r="E15648" t="str">
            <v>SWK</v>
          </cell>
          <cell r="F15648" t="str">
            <v xml:space="preserve">SWK-S </v>
          </cell>
          <cell r="G15648">
            <v>280</v>
          </cell>
          <cell r="H15648" t="str">
            <v>SWK-S 280</v>
          </cell>
          <cell r="K15648" t="str">
            <v>Quinn,Carlene Arteel</v>
          </cell>
          <cell r="N15648" t="str">
            <v>NR</v>
          </cell>
          <cell r="O15648" t="str">
            <v>NR</v>
          </cell>
        </row>
        <row r="15649">
          <cell r="E15649" t="str">
            <v>SWK</v>
          </cell>
          <cell r="F15649" t="str">
            <v xml:space="preserve">SWK-S </v>
          </cell>
          <cell r="G15649">
            <v>280</v>
          </cell>
          <cell r="H15649" t="str">
            <v>SWK-S 280</v>
          </cell>
          <cell r="K15649" t="str">
            <v>Quinn,Carlene Arteel</v>
          </cell>
          <cell r="N15649">
            <v>4</v>
          </cell>
          <cell r="O15649">
            <v>3.4020000000000001</v>
          </cell>
        </row>
        <row r="15650">
          <cell r="E15650" t="str">
            <v>SWK</v>
          </cell>
          <cell r="F15650" t="str">
            <v xml:space="preserve">SWK-S </v>
          </cell>
          <cell r="G15650">
            <v>300</v>
          </cell>
          <cell r="H15650" t="str">
            <v>SWK-S 300</v>
          </cell>
          <cell r="K15650" t="str">
            <v>Barrett,Heather Elizabeth</v>
          </cell>
          <cell r="N15650">
            <v>3.625</v>
          </cell>
          <cell r="O15650">
            <v>3.3809999999999998</v>
          </cell>
        </row>
        <row r="15651">
          <cell r="E15651" t="str">
            <v>SWK</v>
          </cell>
          <cell r="F15651" t="str">
            <v xml:space="preserve">SWK-S </v>
          </cell>
          <cell r="G15651">
            <v>300</v>
          </cell>
          <cell r="H15651" t="str">
            <v>SWK-S 300</v>
          </cell>
          <cell r="K15651" t="str">
            <v>Capler,Jean Marie</v>
          </cell>
          <cell r="N15651">
            <v>3.6629999999999998</v>
          </cell>
          <cell r="O15651">
            <v>3.181</v>
          </cell>
        </row>
        <row r="15652">
          <cell r="E15652" t="str">
            <v>SWK</v>
          </cell>
          <cell r="F15652" t="str">
            <v xml:space="preserve">SWK-S </v>
          </cell>
          <cell r="G15652">
            <v>300</v>
          </cell>
          <cell r="H15652" t="str">
            <v>SWK-S 300</v>
          </cell>
          <cell r="K15652" t="str">
            <v>Capler,Jean Marie</v>
          </cell>
          <cell r="N15652">
            <v>3.8380000000000001</v>
          </cell>
          <cell r="O15652">
            <v>3.1680000000000001</v>
          </cell>
        </row>
        <row r="15653">
          <cell r="E15653" t="str">
            <v>SWK</v>
          </cell>
          <cell r="F15653" t="str">
            <v xml:space="preserve">SWK-S </v>
          </cell>
          <cell r="G15653">
            <v>300</v>
          </cell>
          <cell r="H15653" t="str">
            <v>SWK-S 300</v>
          </cell>
          <cell r="K15653" t="str">
            <v>Malschick,Judy L.</v>
          </cell>
          <cell r="N15653">
            <v>3.8570000000000002</v>
          </cell>
          <cell r="O15653">
            <v>3.0449999999999999</v>
          </cell>
        </row>
        <row r="15654">
          <cell r="E15654" t="str">
            <v>SWK</v>
          </cell>
          <cell r="F15654" t="str">
            <v xml:space="preserve">SWK-S </v>
          </cell>
          <cell r="G15654">
            <v>300</v>
          </cell>
          <cell r="H15654" t="str">
            <v>SWK-S 300</v>
          </cell>
          <cell r="K15654" t="str">
            <v>Malschick,Judy L.</v>
          </cell>
          <cell r="N15654">
            <v>3.8839999999999999</v>
          </cell>
          <cell r="O15654">
            <v>3.181</v>
          </cell>
        </row>
        <row r="15655">
          <cell r="E15655" t="str">
            <v>SWK</v>
          </cell>
          <cell r="F15655" t="str">
            <v xml:space="preserve">SWK-S </v>
          </cell>
          <cell r="G15655">
            <v>300</v>
          </cell>
          <cell r="H15655" t="str">
            <v>SWK-S 300</v>
          </cell>
          <cell r="K15655" t="str">
            <v>Sullenberger,Sabrina W.</v>
          </cell>
          <cell r="N15655">
            <v>3.4420000000000002</v>
          </cell>
          <cell r="O15655">
            <v>3.0870000000000002</v>
          </cell>
        </row>
        <row r="15656">
          <cell r="E15656" t="str">
            <v>SWK</v>
          </cell>
          <cell r="F15656" t="str">
            <v xml:space="preserve">SWK-S </v>
          </cell>
          <cell r="G15656">
            <v>300</v>
          </cell>
          <cell r="H15656" t="str">
            <v>SWK-S 300</v>
          </cell>
          <cell r="K15656" t="str">
            <v>Sullenberger,Sabrina W.</v>
          </cell>
          <cell r="N15656">
            <v>3.1669999999999998</v>
          </cell>
          <cell r="O15656">
            <v>2.9380000000000002</v>
          </cell>
        </row>
        <row r="15657">
          <cell r="E15657" t="str">
            <v>SWK</v>
          </cell>
          <cell r="F15657" t="str">
            <v xml:space="preserve">SWK-S </v>
          </cell>
          <cell r="G15657">
            <v>322</v>
          </cell>
          <cell r="H15657" t="str">
            <v>SWK-S 322</v>
          </cell>
          <cell r="K15657" t="str">
            <v>Hostetter,Carol</v>
          </cell>
          <cell r="N15657">
            <v>3.7709999999999999</v>
          </cell>
          <cell r="O15657">
            <v>3.3450000000000002</v>
          </cell>
        </row>
        <row r="15658">
          <cell r="E15658" t="str">
            <v>SWK</v>
          </cell>
          <cell r="F15658" t="str">
            <v xml:space="preserve">SWK-S </v>
          </cell>
          <cell r="G15658">
            <v>322</v>
          </cell>
          <cell r="H15658" t="str">
            <v>SWK-S 322</v>
          </cell>
          <cell r="K15658" t="str">
            <v>Hostetter,Carol</v>
          </cell>
          <cell r="N15658">
            <v>3.7690000000000001</v>
          </cell>
          <cell r="O15658">
            <v>3.4630000000000001</v>
          </cell>
        </row>
        <row r="15659">
          <cell r="E15659" t="str">
            <v>SWK</v>
          </cell>
          <cell r="F15659" t="str">
            <v xml:space="preserve">SWK-S </v>
          </cell>
          <cell r="G15659">
            <v>331</v>
          </cell>
          <cell r="H15659" t="str">
            <v>SWK-S 331</v>
          </cell>
          <cell r="K15659" t="str">
            <v>Nelson,Tammi L</v>
          </cell>
          <cell r="N15659">
            <v>3.653</v>
          </cell>
          <cell r="O15659">
            <v>3.4340000000000002</v>
          </cell>
        </row>
        <row r="15660">
          <cell r="E15660" t="str">
            <v>SWK</v>
          </cell>
          <cell r="F15660" t="str">
            <v xml:space="preserve">SWK-S </v>
          </cell>
          <cell r="G15660">
            <v>331</v>
          </cell>
          <cell r="H15660" t="str">
            <v>SWK-S 331</v>
          </cell>
          <cell r="K15660" t="str">
            <v>Nelson,Tammi L</v>
          </cell>
          <cell r="N15660">
            <v>3.6080000000000001</v>
          </cell>
          <cell r="O15660">
            <v>3.2719999999999998</v>
          </cell>
        </row>
        <row r="15661">
          <cell r="E15661" t="str">
            <v>SWK</v>
          </cell>
          <cell r="F15661" t="str">
            <v xml:space="preserve">SWK-S </v>
          </cell>
          <cell r="G15661">
            <v>331</v>
          </cell>
          <cell r="H15661" t="str">
            <v>SWK-S 331</v>
          </cell>
          <cell r="K15661" t="str">
            <v>Nelson,Tammi L</v>
          </cell>
          <cell r="N15661">
            <v>3.7669999999999999</v>
          </cell>
          <cell r="O15661">
            <v>3.4980000000000002</v>
          </cell>
        </row>
        <row r="15662">
          <cell r="E15662" t="str">
            <v>SWK</v>
          </cell>
          <cell r="F15662" t="str">
            <v xml:space="preserve">SWK-S </v>
          </cell>
          <cell r="G15662">
            <v>332</v>
          </cell>
          <cell r="H15662" t="str">
            <v>SWK-S 332</v>
          </cell>
          <cell r="K15662" t="str">
            <v>Nelson,Tammi L</v>
          </cell>
          <cell r="N15662">
            <v>3.8809999999999998</v>
          </cell>
          <cell r="O15662">
            <v>3.5409999999999999</v>
          </cell>
        </row>
        <row r="15663">
          <cell r="E15663" t="str">
            <v>SWK</v>
          </cell>
          <cell r="F15663" t="str">
            <v xml:space="preserve">SWK-S </v>
          </cell>
          <cell r="G15663">
            <v>332</v>
          </cell>
          <cell r="H15663" t="str">
            <v>SWK-S 332</v>
          </cell>
          <cell r="K15663" t="str">
            <v>Nelson,Tammi L</v>
          </cell>
          <cell r="N15663">
            <v>3.7</v>
          </cell>
          <cell r="O15663">
            <v>3.2869999999999999</v>
          </cell>
        </row>
        <row r="15664">
          <cell r="E15664" t="str">
            <v>SWK</v>
          </cell>
          <cell r="F15664" t="str">
            <v xml:space="preserve">SWK-S </v>
          </cell>
          <cell r="G15664">
            <v>352</v>
          </cell>
          <cell r="H15664" t="str">
            <v>SWK-S 352</v>
          </cell>
          <cell r="K15664" t="str">
            <v>Byers,Katharine V.</v>
          </cell>
          <cell r="N15664">
            <v>3.5529999999999999</v>
          </cell>
          <cell r="O15664">
            <v>3.37</v>
          </cell>
        </row>
        <row r="15665">
          <cell r="E15665" t="str">
            <v>SWK</v>
          </cell>
          <cell r="F15665" t="str">
            <v xml:space="preserve">SWK-S </v>
          </cell>
          <cell r="G15665">
            <v>352</v>
          </cell>
          <cell r="H15665" t="str">
            <v>SWK-S 352</v>
          </cell>
          <cell r="K15665" t="str">
            <v>McCallister,Bruce K.</v>
          </cell>
          <cell r="N15665">
            <v>3.371</v>
          </cell>
          <cell r="O15665">
            <v>3.238</v>
          </cell>
        </row>
        <row r="15666">
          <cell r="E15666" t="str">
            <v>SWK</v>
          </cell>
          <cell r="F15666" t="str">
            <v xml:space="preserve">SWK-S </v>
          </cell>
          <cell r="G15666">
            <v>371</v>
          </cell>
          <cell r="H15666" t="str">
            <v>SWK-S 371</v>
          </cell>
          <cell r="K15666" t="str">
            <v>Hostetter,Carol</v>
          </cell>
          <cell r="N15666">
            <v>3.9380000000000002</v>
          </cell>
          <cell r="O15666">
            <v>3.43</v>
          </cell>
        </row>
        <row r="15667">
          <cell r="E15667" t="str">
            <v>SWK</v>
          </cell>
          <cell r="F15667" t="str">
            <v xml:space="preserve">SWK-S </v>
          </cell>
          <cell r="G15667">
            <v>371</v>
          </cell>
          <cell r="H15667" t="str">
            <v>SWK-S 371</v>
          </cell>
          <cell r="K15667" t="str">
            <v>Hostetter,Carol</v>
          </cell>
          <cell r="N15667">
            <v>3.9430000000000001</v>
          </cell>
          <cell r="O15667">
            <v>3.4129999999999998</v>
          </cell>
        </row>
        <row r="15668">
          <cell r="E15668" t="str">
            <v>SWK</v>
          </cell>
          <cell r="F15668" t="str">
            <v xml:space="preserve">SWK-S </v>
          </cell>
          <cell r="G15668">
            <v>400</v>
          </cell>
          <cell r="H15668" t="str">
            <v>SWK-S 400</v>
          </cell>
          <cell r="K15668" t="str">
            <v>Byrd,Donyel</v>
          </cell>
          <cell r="N15668">
            <v>3.9289999999999998</v>
          </cell>
          <cell r="O15668">
            <v>3.4449999999999998</v>
          </cell>
        </row>
        <row r="15669">
          <cell r="E15669" t="str">
            <v>SWK</v>
          </cell>
          <cell r="F15669" t="str">
            <v xml:space="preserve">SWK-S </v>
          </cell>
          <cell r="G15669">
            <v>400</v>
          </cell>
          <cell r="H15669" t="str">
            <v>SWK-S 400</v>
          </cell>
          <cell r="K15669" t="str">
            <v>Byrd,Donyel</v>
          </cell>
          <cell r="N15669">
            <v>3.9129999999999998</v>
          </cell>
          <cell r="O15669">
            <v>3.512</v>
          </cell>
        </row>
        <row r="15670">
          <cell r="E15670" t="str">
            <v>SWK</v>
          </cell>
          <cell r="F15670" t="str">
            <v xml:space="preserve">SWK-S </v>
          </cell>
          <cell r="G15670">
            <v>400</v>
          </cell>
          <cell r="H15670" t="str">
            <v>SWK-S 400</v>
          </cell>
          <cell r="K15670" t="str">
            <v>Quinn,Carlene Arteel</v>
          </cell>
          <cell r="N15670">
            <v>3.839</v>
          </cell>
          <cell r="O15670">
            <v>3.5230000000000001</v>
          </cell>
        </row>
        <row r="15671">
          <cell r="E15671" t="str">
            <v>SWK</v>
          </cell>
          <cell r="F15671" t="str">
            <v xml:space="preserve">SWK-S </v>
          </cell>
          <cell r="G15671">
            <v>401</v>
          </cell>
          <cell r="H15671" t="str">
            <v>SWK-S 401</v>
          </cell>
          <cell r="K15671" t="str">
            <v>Nelson,Tammi L</v>
          </cell>
          <cell r="N15671">
            <v>3.5449999999999999</v>
          </cell>
          <cell r="O15671">
            <v>3.4790000000000001</v>
          </cell>
        </row>
        <row r="15672">
          <cell r="E15672" t="str">
            <v>SWK</v>
          </cell>
          <cell r="F15672" t="str">
            <v xml:space="preserve">SWK-S </v>
          </cell>
          <cell r="G15672">
            <v>401</v>
          </cell>
          <cell r="H15672" t="str">
            <v>SWK-S 401</v>
          </cell>
          <cell r="K15672" t="str">
            <v>Quinn,Carlene Arteel</v>
          </cell>
          <cell r="N15672">
            <v>3.5179999999999998</v>
          </cell>
          <cell r="O15672">
            <v>3.4780000000000002</v>
          </cell>
        </row>
        <row r="15673">
          <cell r="E15673" t="str">
            <v>SWK</v>
          </cell>
          <cell r="F15673" t="str">
            <v xml:space="preserve">SWK-S </v>
          </cell>
          <cell r="G15673">
            <v>401</v>
          </cell>
          <cell r="H15673" t="str">
            <v>SWK-S 401</v>
          </cell>
          <cell r="K15673" t="str">
            <v>Robinson,Amy Jo</v>
          </cell>
          <cell r="N15673">
            <v>2.74</v>
          </cell>
          <cell r="O15673">
            <v>3.27</v>
          </cell>
        </row>
        <row r="15674">
          <cell r="E15674" t="str">
            <v>SWK</v>
          </cell>
          <cell r="F15674" t="str">
            <v xml:space="preserve">SWK-S </v>
          </cell>
          <cell r="G15674">
            <v>401</v>
          </cell>
          <cell r="H15674" t="str">
            <v>SWK-S 401</v>
          </cell>
          <cell r="K15674" t="str">
            <v>Robinson,Amy Jo</v>
          </cell>
          <cell r="N15674">
            <v>2.9460000000000002</v>
          </cell>
          <cell r="O15674">
            <v>3.5059999999999998</v>
          </cell>
        </row>
        <row r="15675">
          <cell r="E15675" t="str">
            <v>SWK</v>
          </cell>
          <cell r="F15675" t="str">
            <v xml:space="preserve">SWK-S </v>
          </cell>
          <cell r="G15675">
            <v>423</v>
          </cell>
          <cell r="H15675" t="str">
            <v>SWK-S 423</v>
          </cell>
          <cell r="K15675" t="str">
            <v>Plaford,Gary Ray</v>
          </cell>
          <cell r="N15675">
            <v>3.976</v>
          </cell>
          <cell r="O15675">
            <v>3.5030000000000001</v>
          </cell>
        </row>
        <row r="15676">
          <cell r="E15676" t="str">
            <v>SWK</v>
          </cell>
          <cell r="F15676" t="str">
            <v xml:space="preserve">SWK-S </v>
          </cell>
          <cell r="G15676">
            <v>423</v>
          </cell>
          <cell r="H15676" t="str">
            <v>SWK-S 423</v>
          </cell>
          <cell r="K15676" t="str">
            <v>Rentschler,Lacey J</v>
          </cell>
          <cell r="N15676">
            <v>3.536</v>
          </cell>
          <cell r="O15676">
            <v>3.3679999999999999</v>
          </cell>
        </row>
        <row r="15677">
          <cell r="E15677" t="str">
            <v>SWK</v>
          </cell>
          <cell r="F15677" t="str">
            <v xml:space="preserve">SWK-S </v>
          </cell>
          <cell r="G15677">
            <v>433</v>
          </cell>
          <cell r="H15677" t="str">
            <v>SWK-S 433</v>
          </cell>
          <cell r="K15677" t="str">
            <v>Sullenberger,Sabrina W.</v>
          </cell>
          <cell r="N15677">
            <v>3.7869999999999999</v>
          </cell>
          <cell r="O15677">
            <v>3.4740000000000002</v>
          </cell>
        </row>
        <row r="15678">
          <cell r="E15678" t="str">
            <v>SWK</v>
          </cell>
          <cell r="F15678" t="str">
            <v xml:space="preserve">SWK-S </v>
          </cell>
          <cell r="G15678">
            <v>433</v>
          </cell>
          <cell r="H15678" t="str">
            <v>SWK-S 433</v>
          </cell>
          <cell r="K15678" t="str">
            <v>Sullenberger,Sabrina W.</v>
          </cell>
          <cell r="N15678">
            <v>3.7210000000000001</v>
          </cell>
          <cell r="O15678">
            <v>3.516</v>
          </cell>
        </row>
        <row r="15679">
          <cell r="E15679" t="str">
            <v>SWK</v>
          </cell>
          <cell r="F15679" t="str">
            <v xml:space="preserve">SWK-S </v>
          </cell>
          <cell r="G15679">
            <v>442</v>
          </cell>
          <cell r="H15679" t="str">
            <v>SWK-S 442</v>
          </cell>
          <cell r="K15679" t="str">
            <v>Barrett,Heather Elizabeth</v>
          </cell>
          <cell r="N15679">
            <v>3.8410000000000002</v>
          </cell>
          <cell r="O15679">
            <v>3.5169999999999999</v>
          </cell>
        </row>
        <row r="15680">
          <cell r="E15680" t="str">
            <v>SWK</v>
          </cell>
          <cell r="F15680" t="str">
            <v xml:space="preserve">SWK-S </v>
          </cell>
          <cell r="G15680">
            <v>442</v>
          </cell>
          <cell r="H15680" t="str">
            <v>SWK-S 442</v>
          </cell>
          <cell r="K15680" t="str">
            <v>Capler,Jean Marie</v>
          </cell>
          <cell r="N15680">
            <v>3.819</v>
          </cell>
          <cell r="O15680">
            <v>3.3180000000000001</v>
          </cell>
        </row>
        <row r="15681">
          <cell r="E15681" t="str">
            <v>SWK</v>
          </cell>
          <cell r="F15681" t="str">
            <v xml:space="preserve">SWK-S </v>
          </cell>
          <cell r="G15681">
            <v>442</v>
          </cell>
          <cell r="H15681" t="str">
            <v>SWK-S 442</v>
          </cell>
          <cell r="K15681" t="str">
            <v>Moore,Matthew Allen</v>
          </cell>
          <cell r="N15681" t="str">
            <v>NR</v>
          </cell>
          <cell r="O15681" t="str">
            <v>NR</v>
          </cell>
        </row>
        <row r="15682">
          <cell r="E15682" t="str">
            <v>SWK</v>
          </cell>
          <cell r="F15682" t="str">
            <v xml:space="preserve">SWK-S </v>
          </cell>
          <cell r="G15682">
            <v>442</v>
          </cell>
          <cell r="H15682" t="str">
            <v>SWK-S 442</v>
          </cell>
          <cell r="K15682" t="str">
            <v>Plaford,Gary Ray</v>
          </cell>
          <cell r="N15682">
            <v>3.9769999999999999</v>
          </cell>
          <cell r="O15682">
            <v>3.5369999999999999</v>
          </cell>
        </row>
        <row r="15683">
          <cell r="E15683" t="str">
            <v>SWK</v>
          </cell>
          <cell r="F15683" t="str">
            <v xml:space="preserve">SWK-S </v>
          </cell>
          <cell r="G15683">
            <v>472</v>
          </cell>
          <cell r="H15683" t="str">
            <v>SWK-S 472</v>
          </cell>
          <cell r="K15683" t="str">
            <v>Robinson,Amy Jo</v>
          </cell>
          <cell r="N15683">
            <v>3.843</v>
          </cell>
          <cell r="O15683">
            <v>3.5019999999999998</v>
          </cell>
        </row>
        <row r="15684">
          <cell r="E15684" t="str">
            <v>SWK</v>
          </cell>
          <cell r="F15684" t="str">
            <v xml:space="preserve">SWK-S </v>
          </cell>
          <cell r="G15684">
            <v>472</v>
          </cell>
          <cell r="H15684" t="str">
            <v>SWK-S 472</v>
          </cell>
          <cell r="K15684" t="str">
            <v>Wood,Leila Grace</v>
          </cell>
          <cell r="N15684">
            <v>3.7829999999999999</v>
          </cell>
          <cell r="O15684">
            <v>3.488</v>
          </cell>
        </row>
        <row r="15685">
          <cell r="E15685" t="str">
            <v>SWK</v>
          </cell>
          <cell r="F15685" t="str">
            <v xml:space="preserve">SWK-S </v>
          </cell>
          <cell r="G15685">
            <v>481</v>
          </cell>
          <cell r="H15685" t="str">
            <v>SWK-S 481</v>
          </cell>
          <cell r="K15685" t="str">
            <v>Nelson,Tammi L</v>
          </cell>
          <cell r="N15685" t="str">
            <v>NR</v>
          </cell>
          <cell r="O15685" t="str">
            <v>NR</v>
          </cell>
        </row>
        <row r="15686">
          <cell r="E15686" t="str">
            <v>SWK</v>
          </cell>
          <cell r="F15686" t="str">
            <v xml:space="preserve">SWK-S </v>
          </cell>
          <cell r="G15686">
            <v>481</v>
          </cell>
          <cell r="H15686" t="str">
            <v>SWK-S 481</v>
          </cell>
          <cell r="K15686" t="str">
            <v>Quinn,Carlene Arteel</v>
          </cell>
          <cell r="N15686" t="str">
            <v>NR</v>
          </cell>
          <cell r="O15686" t="str">
            <v>NR</v>
          </cell>
        </row>
        <row r="15687">
          <cell r="E15687" t="str">
            <v>SWK</v>
          </cell>
          <cell r="F15687" t="str">
            <v xml:space="preserve">SWK-S </v>
          </cell>
          <cell r="G15687">
            <v>481</v>
          </cell>
          <cell r="H15687" t="str">
            <v>SWK-S 481</v>
          </cell>
          <cell r="K15687" t="str">
            <v>Robinson,Amy Jo</v>
          </cell>
          <cell r="N15687" t="str">
            <v>NR</v>
          </cell>
          <cell r="O15687" t="str">
            <v>NR</v>
          </cell>
        </row>
        <row r="15688">
          <cell r="E15688" t="str">
            <v>SWK</v>
          </cell>
          <cell r="F15688" t="str">
            <v xml:space="preserve">SWK-S </v>
          </cell>
          <cell r="G15688">
            <v>481</v>
          </cell>
          <cell r="H15688" t="str">
            <v>SWK-S 481</v>
          </cell>
          <cell r="K15688" t="str">
            <v>Robinson,Amy Jo</v>
          </cell>
          <cell r="N15688" t="str">
            <v>NR</v>
          </cell>
          <cell r="O15688" t="str">
            <v>NR</v>
          </cell>
        </row>
        <row r="15689">
          <cell r="E15689" t="str">
            <v>SWK</v>
          </cell>
          <cell r="F15689" t="str">
            <v xml:space="preserve">SWK-S </v>
          </cell>
          <cell r="G15689">
            <v>482</v>
          </cell>
          <cell r="H15689" t="str">
            <v>SWK-S 482</v>
          </cell>
          <cell r="K15689" t="str">
            <v>Byrd,Donyel</v>
          </cell>
          <cell r="N15689" t="str">
            <v>NR</v>
          </cell>
          <cell r="O15689" t="str">
            <v>NR</v>
          </cell>
        </row>
        <row r="15690">
          <cell r="E15690" t="str">
            <v>SWK</v>
          </cell>
          <cell r="F15690" t="str">
            <v xml:space="preserve">SWK-S </v>
          </cell>
          <cell r="G15690">
            <v>482</v>
          </cell>
          <cell r="H15690" t="str">
            <v>SWK-S 482</v>
          </cell>
          <cell r="K15690" t="str">
            <v>Byrd,Donyel</v>
          </cell>
          <cell r="N15690" t="str">
            <v>NR</v>
          </cell>
          <cell r="O15690" t="str">
            <v>NR</v>
          </cell>
        </row>
        <row r="15691">
          <cell r="E15691" t="str">
            <v>SWK</v>
          </cell>
          <cell r="F15691" t="str">
            <v xml:space="preserve">SWK-S </v>
          </cell>
          <cell r="G15691">
            <v>482</v>
          </cell>
          <cell r="H15691" t="str">
            <v>SWK-S 482</v>
          </cell>
          <cell r="K15691" t="str">
            <v>Quinn,Carlene Arteel</v>
          </cell>
          <cell r="N15691" t="str">
            <v>NR</v>
          </cell>
          <cell r="O15691" t="str">
            <v>NR</v>
          </cell>
        </row>
        <row r="15692">
          <cell r="E15692" t="str">
            <v>SWK</v>
          </cell>
          <cell r="F15692" t="str">
            <v xml:space="preserve">SWK-S </v>
          </cell>
          <cell r="G15692">
            <v>490</v>
          </cell>
          <cell r="H15692" t="str">
            <v>SWK-S 490</v>
          </cell>
          <cell r="K15692" t="str">
            <v>Byers,Katharine V.</v>
          </cell>
          <cell r="N15692" t="str">
            <v>NR</v>
          </cell>
          <cell r="O15692" t="str">
            <v>NR</v>
          </cell>
        </row>
        <row r="15693">
          <cell r="E15693" t="str">
            <v>SWK</v>
          </cell>
          <cell r="F15693" t="str">
            <v xml:space="preserve">SWK-S </v>
          </cell>
          <cell r="G15693">
            <v>490</v>
          </cell>
          <cell r="H15693" t="str">
            <v>SWK-S 490</v>
          </cell>
          <cell r="K15693" t="str">
            <v>Byers,Katharine V.</v>
          </cell>
          <cell r="N15693" t="str">
            <v>NR</v>
          </cell>
          <cell r="O15693" t="str">
            <v>NR</v>
          </cell>
        </row>
        <row r="15694">
          <cell r="E15694" t="str">
            <v>TEL</v>
          </cell>
          <cell r="F15694" t="str">
            <v xml:space="preserve">TEL-G </v>
          </cell>
          <cell r="G15694">
            <v>901</v>
          </cell>
          <cell r="H15694" t="str">
            <v>TEL-G 901</v>
          </cell>
          <cell r="K15694" t="str">
            <v>Sawhney,Harmeet</v>
          </cell>
          <cell r="N15694" t="str">
            <v>NR</v>
          </cell>
          <cell r="O15694" t="str">
            <v>NR</v>
          </cell>
        </row>
        <row r="15695">
          <cell r="E15695" t="str">
            <v>TEL</v>
          </cell>
          <cell r="F15695" t="str">
            <v xml:space="preserve">TEL-G </v>
          </cell>
          <cell r="G15695">
            <v>901</v>
          </cell>
          <cell r="H15695" t="str">
            <v>TEL-G 901</v>
          </cell>
          <cell r="K15695" t="str">
            <v>Sawhney,Harmeet</v>
          </cell>
          <cell r="N15695" t="str">
            <v>NR</v>
          </cell>
          <cell r="O15695" t="str">
            <v>NR</v>
          </cell>
        </row>
        <row r="15696">
          <cell r="E15696" t="str">
            <v>TEL</v>
          </cell>
          <cell r="F15696" t="str">
            <v xml:space="preserve">TEL-S </v>
          </cell>
          <cell r="G15696">
            <v>451</v>
          </cell>
          <cell r="H15696" t="str">
            <v>TEL-S 451</v>
          </cell>
          <cell r="K15696" t="str">
            <v>Fox,Julia R</v>
          </cell>
          <cell r="N15696">
            <v>3.6869999999999998</v>
          </cell>
          <cell r="O15696">
            <v>3.645</v>
          </cell>
        </row>
        <row r="15697">
          <cell r="E15697" t="str">
            <v>TEL</v>
          </cell>
          <cell r="F15697" t="str">
            <v xml:space="preserve">TEL-S </v>
          </cell>
          <cell r="G15697">
            <v>451</v>
          </cell>
          <cell r="H15697" t="str">
            <v>TEL-S 451</v>
          </cell>
          <cell r="K15697" t="str">
            <v>Martins,Nicole</v>
          </cell>
          <cell r="N15697">
            <v>3.8210000000000002</v>
          </cell>
          <cell r="O15697">
            <v>3.6520000000000001</v>
          </cell>
        </row>
        <row r="15698">
          <cell r="E15698" t="str">
            <v>TEL</v>
          </cell>
          <cell r="F15698" t="str">
            <v xml:space="preserve">TEL-T </v>
          </cell>
          <cell r="G15698">
            <v>101</v>
          </cell>
          <cell r="H15698" t="str">
            <v>TEL-T 101</v>
          </cell>
          <cell r="K15698" t="str">
            <v>Deuze,Martinus J</v>
          </cell>
          <cell r="N15698">
            <v>3.222</v>
          </cell>
          <cell r="O15698">
            <v>2.8109999999999999</v>
          </cell>
        </row>
        <row r="15699">
          <cell r="E15699" t="str">
            <v>TEL</v>
          </cell>
          <cell r="F15699" t="str">
            <v xml:space="preserve">TEL-T </v>
          </cell>
          <cell r="G15699">
            <v>101</v>
          </cell>
          <cell r="H15699" t="str">
            <v>TEL-T 101</v>
          </cell>
          <cell r="K15699" t="str">
            <v>Deuze,Martinus J</v>
          </cell>
          <cell r="N15699">
            <v>3.1379999999999999</v>
          </cell>
          <cell r="O15699">
            <v>2.8439999999999999</v>
          </cell>
        </row>
        <row r="15700">
          <cell r="E15700" t="str">
            <v>TEL</v>
          </cell>
          <cell r="F15700" t="str">
            <v xml:space="preserve">TEL-T </v>
          </cell>
          <cell r="G15700">
            <v>160</v>
          </cell>
          <cell r="H15700" t="str">
            <v>TEL-T 160</v>
          </cell>
          <cell r="K15700" t="str">
            <v>Strawser,Donald Michael</v>
          </cell>
          <cell r="N15700">
            <v>2.6579999999999999</v>
          </cell>
          <cell r="O15700">
            <v>2.6389999999999998</v>
          </cell>
        </row>
        <row r="15701">
          <cell r="E15701" t="str">
            <v>TEL</v>
          </cell>
          <cell r="F15701" t="str">
            <v xml:space="preserve">TEL-T </v>
          </cell>
          <cell r="G15701">
            <v>160</v>
          </cell>
          <cell r="H15701" t="str">
            <v>TEL-T 160</v>
          </cell>
          <cell r="K15701" t="str">
            <v>Strawser,Donald Michael</v>
          </cell>
          <cell r="N15701">
            <v>2.8660000000000001</v>
          </cell>
          <cell r="O15701">
            <v>2.8420000000000001</v>
          </cell>
        </row>
        <row r="15702">
          <cell r="E15702" t="str">
            <v>TEL</v>
          </cell>
          <cell r="F15702" t="str">
            <v xml:space="preserve">TEL-T </v>
          </cell>
          <cell r="G15702">
            <v>192</v>
          </cell>
          <cell r="H15702" t="str">
            <v>TEL-T 192</v>
          </cell>
          <cell r="K15702" t="str">
            <v>Martins,Nicole</v>
          </cell>
          <cell r="N15702">
            <v>3.1219999999999999</v>
          </cell>
          <cell r="O15702">
            <v>3.101</v>
          </cell>
        </row>
        <row r="15703">
          <cell r="E15703" t="str">
            <v>TEL</v>
          </cell>
          <cell r="F15703" t="str">
            <v xml:space="preserve">TEL-T </v>
          </cell>
          <cell r="G15703">
            <v>195</v>
          </cell>
          <cell r="H15703" t="str">
            <v>TEL-T 195</v>
          </cell>
          <cell r="K15703" t="str">
            <v>Gonzales,Amy</v>
          </cell>
          <cell r="N15703">
            <v>3.363</v>
          </cell>
          <cell r="O15703">
            <v>2.65</v>
          </cell>
        </row>
        <row r="15704">
          <cell r="E15704" t="str">
            <v>TEL</v>
          </cell>
          <cell r="F15704" t="str">
            <v xml:space="preserve">TEL-T </v>
          </cell>
          <cell r="G15704">
            <v>205</v>
          </cell>
          <cell r="H15704" t="str">
            <v>TEL-T 205</v>
          </cell>
          <cell r="K15704" t="str">
            <v>Gonzales,Amy</v>
          </cell>
          <cell r="N15704">
            <v>2.9929999999999999</v>
          </cell>
          <cell r="O15704">
            <v>2.8239999999999998</v>
          </cell>
        </row>
        <row r="15705">
          <cell r="E15705" t="str">
            <v>TEL</v>
          </cell>
          <cell r="F15705" t="str">
            <v xml:space="preserve">TEL-T </v>
          </cell>
          <cell r="G15705">
            <v>205</v>
          </cell>
          <cell r="H15705" t="str">
            <v>TEL-T 205</v>
          </cell>
          <cell r="K15705" t="str">
            <v>Grabe,Maria Elizabeth</v>
          </cell>
          <cell r="N15705">
            <v>2.2610000000000001</v>
          </cell>
          <cell r="O15705">
            <v>2.702</v>
          </cell>
        </row>
        <row r="15706">
          <cell r="E15706" t="str">
            <v>TEL</v>
          </cell>
          <cell r="F15706" t="str">
            <v xml:space="preserve">TEL-T </v>
          </cell>
          <cell r="G15706">
            <v>205</v>
          </cell>
          <cell r="H15706" t="str">
            <v>TEL-T 205</v>
          </cell>
          <cell r="K15706" t="str">
            <v>Grabe,Maria Elizabeth</v>
          </cell>
          <cell r="N15706">
            <v>2.3849999999999998</v>
          </cell>
          <cell r="O15706">
            <v>2.8580000000000001</v>
          </cell>
        </row>
        <row r="15707">
          <cell r="E15707" t="str">
            <v>TEL</v>
          </cell>
          <cell r="F15707" t="str">
            <v xml:space="preserve">TEL-T </v>
          </cell>
          <cell r="G15707">
            <v>205</v>
          </cell>
          <cell r="H15707" t="str">
            <v>TEL-T 205</v>
          </cell>
          <cell r="K15707" t="str">
            <v>Paul,Bryant M</v>
          </cell>
          <cell r="N15707">
            <v>2.4900000000000002</v>
          </cell>
          <cell r="O15707">
            <v>2.7069999999999999</v>
          </cell>
        </row>
        <row r="15708">
          <cell r="E15708" t="str">
            <v>TEL</v>
          </cell>
          <cell r="F15708" t="str">
            <v xml:space="preserve">TEL-T </v>
          </cell>
          <cell r="G15708">
            <v>205</v>
          </cell>
          <cell r="H15708" t="str">
            <v>TEL-T 205</v>
          </cell>
          <cell r="K15708" t="str">
            <v>Weaver,Andrew Joseph</v>
          </cell>
          <cell r="N15708">
            <v>3.8540000000000001</v>
          </cell>
          <cell r="O15708">
            <v>3.63</v>
          </cell>
        </row>
        <row r="15709">
          <cell r="E15709" t="str">
            <v>TEL</v>
          </cell>
          <cell r="F15709" t="str">
            <v xml:space="preserve">TEL-T </v>
          </cell>
          <cell r="G15709">
            <v>205</v>
          </cell>
          <cell r="H15709" t="str">
            <v>TEL-T 205</v>
          </cell>
          <cell r="K15709" t="str">
            <v>Weaver,Andrew Joseph</v>
          </cell>
          <cell r="N15709">
            <v>2.8319999999999999</v>
          </cell>
          <cell r="O15709">
            <v>2.9529999999999998</v>
          </cell>
        </row>
        <row r="15710">
          <cell r="E15710" t="str">
            <v>TEL</v>
          </cell>
          <cell r="F15710" t="str">
            <v xml:space="preserve">TEL-T </v>
          </cell>
          <cell r="G15710">
            <v>205</v>
          </cell>
          <cell r="H15710" t="str">
            <v>TEL-T 205</v>
          </cell>
          <cell r="K15710" t="str">
            <v>Weaver,Andrew Joseph</v>
          </cell>
          <cell r="N15710">
            <v>2.988</v>
          </cell>
          <cell r="O15710">
            <v>3.08</v>
          </cell>
        </row>
        <row r="15711">
          <cell r="E15711" t="str">
            <v>TEL</v>
          </cell>
          <cell r="F15711" t="str">
            <v xml:space="preserve">TEL-T </v>
          </cell>
          <cell r="G15711">
            <v>206</v>
          </cell>
          <cell r="H15711" t="str">
            <v>TEL-T 206</v>
          </cell>
          <cell r="K15711" t="str">
            <v>Kelly,Susan Elizabeth</v>
          </cell>
          <cell r="N15711">
            <v>2.649</v>
          </cell>
          <cell r="O15711">
            <v>2.7509999999999999</v>
          </cell>
        </row>
        <row r="15712">
          <cell r="E15712" t="str">
            <v>TEL</v>
          </cell>
          <cell r="F15712" t="str">
            <v xml:space="preserve">TEL-T </v>
          </cell>
          <cell r="G15712">
            <v>206</v>
          </cell>
          <cell r="H15712" t="str">
            <v>TEL-T 206</v>
          </cell>
          <cell r="K15712" t="str">
            <v>Kelly,Susan Elizabeth</v>
          </cell>
          <cell r="N15712">
            <v>3.8</v>
          </cell>
          <cell r="O15712">
            <v>3.629</v>
          </cell>
        </row>
        <row r="15713">
          <cell r="E15713" t="str">
            <v>TEL</v>
          </cell>
          <cell r="F15713" t="str">
            <v xml:space="preserve">TEL-T </v>
          </cell>
          <cell r="G15713">
            <v>206</v>
          </cell>
          <cell r="H15713" t="str">
            <v>TEL-T 206</v>
          </cell>
          <cell r="K15713" t="str">
            <v>Krahnke,Steven R</v>
          </cell>
          <cell r="N15713">
            <v>2.7770000000000001</v>
          </cell>
          <cell r="O15713">
            <v>2.8279999999999998</v>
          </cell>
        </row>
        <row r="15714">
          <cell r="E15714" t="str">
            <v>TEL</v>
          </cell>
          <cell r="F15714" t="str">
            <v xml:space="preserve">TEL-T </v>
          </cell>
          <cell r="G15714">
            <v>206</v>
          </cell>
          <cell r="H15714" t="str">
            <v>TEL-T 206</v>
          </cell>
          <cell r="K15714" t="str">
            <v>Krahnke,Steven R</v>
          </cell>
          <cell r="N15714">
            <v>3.2280000000000002</v>
          </cell>
          <cell r="O15714">
            <v>2.9460000000000002</v>
          </cell>
        </row>
        <row r="15715">
          <cell r="E15715" t="str">
            <v>TEL</v>
          </cell>
          <cell r="F15715" t="str">
            <v xml:space="preserve">TEL-T </v>
          </cell>
          <cell r="G15715">
            <v>206</v>
          </cell>
          <cell r="H15715" t="str">
            <v>TEL-T 206</v>
          </cell>
          <cell r="K15715" t="str">
            <v>Walsh,John</v>
          </cell>
          <cell r="N15715">
            <v>3.0739999999999998</v>
          </cell>
          <cell r="O15715">
            <v>2.879</v>
          </cell>
        </row>
        <row r="15716">
          <cell r="E15716" t="str">
            <v>TEL</v>
          </cell>
          <cell r="F15716" t="str">
            <v xml:space="preserve">TEL-T </v>
          </cell>
          <cell r="G15716">
            <v>206</v>
          </cell>
          <cell r="H15716" t="str">
            <v>TEL-T 206</v>
          </cell>
          <cell r="K15716" t="str">
            <v>Walsh,John</v>
          </cell>
          <cell r="N15716">
            <v>2.9929999999999999</v>
          </cell>
          <cell r="O15716">
            <v>2.738</v>
          </cell>
        </row>
        <row r="15717">
          <cell r="E15717" t="str">
            <v>TEL</v>
          </cell>
          <cell r="F15717" t="str">
            <v xml:space="preserve">TEL-T </v>
          </cell>
          <cell r="G15717">
            <v>207</v>
          </cell>
          <cell r="H15717" t="str">
            <v>TEL-T 207</v>
          </cell>
          <cell r="K15717" t="str">
            <v>McGregor,Michael</v>
          </cell>
          <cell r="N15717">
            <v>2.4470000000000001</v>
          </cell>
          <cell r="O15717">
            <v>2.5379999999999998</v>
          </cell>
        </row>
        <row r="15718">
          <cell r="E15718" t="str">
            <v>TEL</v>
          </cell>
          <cell r="F15718" t="str">
            <v xml:space="preserve">TEL-T </v>
          </cell>
          <cell r="G15718">
            <v>207</v>
          </cell>
          <cell r="H15718" t="str">
            <v>TEL-T 207</v>
          </cell>
          <cell r="K15718" t="str">
            <v>McGregor,Michael</v>
          </cell>
          <cell r="N15718">
            <v>2.5720000000000001</v>
          </cell>
          <cell r="O15718">
            <v>2.8959999999999999</v>
          </cell>
        </row>
        <row r="15719">
          <cell r="E15719" t="str">
            <v>TEL</v>
          </cell>
          <cell r="F15719" t="str">
            <v xml:space="preserve">TEL-T </v>
          </cell>
          <cell r="G15719">
            <v>207</v>
          </cell>
          <cell r="H15719" t="str">
            <v>TEL-T 207</v>
          </cell>
          <cell r="K15719" t="str">
            <v>Pierce,Matt</v>
          </cell>
          <cell r="N15719">
            <v>2.1749999999999998</v>
          </cell>
          <cell r="O15719">
            <v>2.8969999999999998</v>
          </cell>
        </row>
        <row r="15720">
          <cell r="E15720" t="str">
            <v>TEL</v>
          </cell>
          <cell r="F15720" t="str">
            <v xml:space="preserve">TEL-T </v>
          </cell>
          <cell r="G15720">
            <v>207</v>
          </cell>
          <cell r="H15720" t="str">
            <v>TEL-T 207</v>
          </cell>
          <cell r="K15720" t="str">
            <v>Pierce,Matt</v>
          </cell>
          <cell r="N15720">
            <v>2.1040000000000001</v>
          </cell>
          <cell r="O15720">
            <v>2.7469999999999999</v>
          </cell>
        </row>
        <row r="15721">
          <cell r="E15721" t="str">
            <v>TEL</v>
          </cell>
          <cell r="F15721" t="str">
            <v xml:space="preserve">TEL-T </v>
          </cell>
          <cell r="G15721">
            <v>207</v>
          </cell>
          <cell r="H15721" t="str">
            <v>TEL-T 207</v>
          </cell>
          <cell r="K15721" t="str">
            <v>Pierce,Matt</v>
          </cell>
          <cell r="N15721">
            <v>1.3</v>
          </cell>
          <cell r="O15721">
            <v>2.468</v>
          </cell>
        </row>
        <row r="15722">
          <cell r="E15722" t="str">
            <v>TEL</v>
          </cell>
          <cell r="F15722" t="str">
            <v xml:space="preserve">TEL-T </v>
          </cell>
          <cell r="G15722">
            <v>207</v>
          </cell>
          <cell r="H15722" t="str">
            <v>TEL-T 207</v>
          </cell>
          <cell r="K15722" t="str">
            <v>Pierce,Matt</v>
          </cell>
          <cell r="N15722">
            <v>1.7789999999999999</v>
          </cell>
          <cell r="O15722">
            <v>2.7109999999999999</v>
          </cell>
        </row>
        <row r="15723">
          <cell r="E15723" t="str">
            <v>TEL</v>
          </cell>
          <cell r="F15723" t="str">
            <v xml:space="preserve">TEL-T </v>
          </cell>
          <cell r="G15723">
            <v>211</v>
          </cell>
          <cell r="H15723" t="str">
            <v>TEL-T 211</v>
          </cell>
          <cell r="K15723" t="str">
            <v>Leonard,Michael</v>
          </cell>
          <cell r="N15723">
            <v>3.7879999999999998</v>
          </cell>
          <cell r="O15723">
            <v>3.0369999999999999</v>
          </cell>
        </row>
        <row r="15724">
          <cell r="E15724" t="str">
            <v>TEL</v>
          </cell>
          <cell r="F15724" t="str">
            <v xml:space="preserve">TEL-T </v>
          </cell>
          <cell r="G15724">
            <v>211</v>
          </cell>
          <cell r="H15724" t="str">
            <v>TEL-T 211</v>
          </cell>
          <cell r="K15724" t="str">
            <v>Myers,Jeanne L</v>
          </cell>
          <cell r="N15724">
            <v>2.6680000000000001</v>
          </cell>
          <cell r="O15724">
            <v>2.9660000000000002</v>
          </cell>
        </row>
        <row r="15725">
          <cell r="E15725" t="str">
            <v>TEL</v>
          </cell>
          <cell r="F15725" t="str">
            <v xml:space="preserve">TEL-T </v>
          </cell>
          <cell r="G15725">
            <v>211</v>
          </cell>
          <cell r="H15725" t="str">
            <v>TEL-T 211</v>
          </cell>
          <cell r="K15725" t="str">
            <v>Williams,Susan L</v>
          </cell>
          <cell r="N15725">
            <v>3.5070000000000001</v>
          </cell>
          <cell r="O15725">
            <v>3.129</v>
          </cell>
        </row>
        <row r="15726">
          <cell r="E15726" t="str">
            <v>TEL</v>
          </cell>
          <cell r="F15726" t="str">
            <v xml:space="preserve">TEL-T </v>
          </cell>
          <cell r="G15726">
            <v>211</v>
          </cell>
          <cell r="H15726" t="str">
            <v>TEL-T 211</v>
          </cell>
          <cell r="K15726" t="str">
            <v>Williams,Susan L</v>
          </cell>
          <cell r="N15726">
            <v>3.5790000000000002</v>
          </cell>
          <cell r="O15726">
            <v>3.21</v>
          </cell>
        </row>
        <row r="15727">
          <cell r="E15727" t="str">
            <v>TEL</v>
          </cell>
          <cell r="F15727" t="str">
            <v xml:space="preserve">TEL-T </v>
          </cell>
          <cell r="G15727">
            <v>283</v>
          </cell>
          <cell r="H15727" t="str">
            <v>TEL-T 283</v>
          </cell>
          <cell r="K15727" t="str">
            <v>Walsh,John</v>
          </cell>
          <cell r="N15727">
            <v>3.444</v>
          </cell>
          <cell r="O15727">
            <v>3.0019999999999998</v>
          </cell>
        </row>
        <row r="15728">
          <cell r="E15728" t="str">
            <v>TEL</v>
          </cell>
          <cell r="F15728" t="str">
            <v xml:space="preserve">TEL-T </v>
          </cell>
          <cell r="G15728">
            <v>283</v>
          </cell>
          <cell r="H15728" t="str">
            <v>TEL-T 283</v>
          </cell>
          <cell r="K15728" t="str">
            <v>Walsh,John</v>
          </cell>
          <cell r="N15728">
            <v>3.2789999999999999</v>
          </cell>
          <cell r="O15728">
            <v>2.911</v>
          </cell>
        </row>
        <row r="15729">
          <cell r="E15729" t="str">
            <v>TEL</v>
          </cell>
          <cell r="F15729" t="str">
            <v xml:space="preserve">TEL-T </v>
          </cell>
          <cell r="G15729">
            <v>284</v>
          </cell>
          <cell r="H15729" t="str">
            <v>TEL-T 284</v>
          </cell>
          <cell r="K15729" t="str">
            <v>Emigh,William Gareth</v>
          </cell>
          <cell r="N15729">
            <v>2.222</v>
          </cell>
          <cell r="O15729">
            <v>2.883</v>
          </cell>
        </row>
        <row r="15730">
          <cell r="E15730" t="str">
            <v>TEL</v>
          </cell>
          <cell r="F15730" t="str">
            <v xml:space="preserve">TEL-T </v>
          </cell>
          <cell r="G15730">
            <v>284</v>
          </cell>
          <cell r="H15730" t="str">
            <v>TEL-T 284</v>
          </cell>
          <cell r="K15730" t="str">
            <v>Herber,Norbert Francis</v>
          </cell>
          <cell r="N15730">
            <v>2.589</v>
          </cell>
          <cell r="O15730">
            <v>3.0590000000000002</v>
          </cell>
        </row>
        <row r="15731">
          <cell r="E15731" t="str">
            <v>TEL</v>
          </cell>
          <cell r="F15731" t="str">
            <v xml:space="preserve">TEL-T </v>
          </cell>
          <cell r="G15731">
            <v>311</v>
          </cell>
          <cell r="H15731" t="str">
            <v>TEL-T 311</v>
          </cell>
          <cell r="K15731" t="str">
            <v>Pierce,Matt</v>
          </cell>
          <cell r="N15731">
            <v>2.6920000000000002</v>
          </cell>
          <cell r="O15731">
            <v>2.94</v>
          </cell>
        </row>
        <row r="15732">
          <cell r="E15732" t="str">
            <v>TEL</v>
          </cell>
          <cell r="F15732" t="str">
            <v xml:space="preserve">TEL-T </v>
          </cell>
          <cell r="G15732">
            <v>311</v>
          </cell>
          <cell r="H15732" t="str">
            <v>TEL-T 311</v>
          </cell>
          <cell r="K15732" t="str">
            <v>Terry,Herbert A.</v>
          </cell>
          <cell r="N15732">
            <v>2.8759999999999999</v>
          </cell>
          <cell r="O15732">
            <v>2.8069999999999999</v>
          </cell>
        </row>
        <row r="15733">
          <cell r="E15733" t="str">
            <v>TEL</v>
          </cell>
          <cell r="F15733" t="str">
            <v xml:space="preserve">TEL-T </v>
          </cell>
          <cell r="G15733">
            <v>312</v>
          </cell>
          <cell r="H15733" t="str">
            <v>TEL-T 312</v>
          </cell>
          <cell r="K15733" t="str">
            <v>Fox,Julia R</v>
          </cell>
          <cell r="N15733">
            <v>3.4020000000000001</v>
          </cell>
          <cell r="O15733">
            <v>3.024</v>
          </cell>
        </row>
        <row r="15734">
          <cell r="E15734" t="str">
            <v>TEL</v>
          </cell>
          <cell r="F15734" t="str">
            <v xml:space="preserve">TEL-T </v>
          </cell>
          <cell r="G15734">
            <v>312</v>
          </cell>
          <cell r="H15734" t="str">
            <v>TEL-T 312</v>
          </cell>
          <cell r="K15734" t="str">
            <v>Fox,Julia R</v>
          </cell>
          <cell r="N15734">
            <v>3.653</v>
          </cell>
          <cell r="O15734">
            <v>2.9860000000000002</v>
          </cell>
        </row>
        <row r="15735">
          <cell r="E15735" t="str">
            <v>TEL</v>
          </cell>
          <cell r="F15735" t="str">
            <v xml:space="preserve">TEL-T </v>
          </cell>
          <cell r="G15735">
            <v>314</v>
          </cell>
          <cell r="H15735" t="str">
            <v>TEL-T 314</v>
          </cell>
          <cell r="K15735" t="str">
            <v>Wright,Paul</v>
          </cell>
          <cell r="N15735">
            <v>2.544</v>
          </cell>
          <cell r="O15735">
            <v>2.8490000000000002</v>
          </cell>
        </row>
        <row r="15736">
          <cell r="E15736" t="str">
            <v>TEL</v>
          </cell>
          <cell r="F15736" t="str">
            <v xml:space="preserve">TEL-T </v>
          </cell>
          <cell r="G15736">
            <v>314</v>
          </cell>
          <cell r="H15736" t="str">
            <v>TEL-T 314</v>
          </cell>
          <cell r="K15736" t="str">
            <v>Wright,Paul</v>
          </cell>
          <cell r="N15736">
            <v>2.9039999999999999</v>
          </cell>
          <cell r="O15736">
            <v>2.9409999999999998</v>
          </cell>
        </row>
        <row r="15737">
          <cell r="E15737" t="str">
            <v>TEL</v>
          </cell>
          <cell r="F15737" t="str">
            <v xml:space="preserve">TEL-T </v>
          </cell>
          <cell r="G15737">
            <v>316</v>
          </cell>
          <cell r="H15737" t="str">
            <v>TEL-T 316</v>
          </cell>
          <cell r="K15737" t="str">
            <v>Terry,Herbert A.</v>
          </cell>
          <cell r="N15737">
            <v>3.161</v>
          </cell>
          <cell r="O15737">
            <v>2.9329999999999998</v>
          </cell>
        </row>
        <row r="15738">
          <cell r="E15738" t="str">
            <v>TEL</v>
          </cell>
          <cell r="F15738" t="str">
            <v xml:space="preserve">TEL-T </v>
          </cell>
          <cell r="G15738">
            <v>317</v>
          </cell>
          <cell r="H15738" t="str">
            <v>TEL-T 317</v>
          </cell>
          <cell r="K15738" t="str">
            <v>Martins,Nicole</v>
          </cell>
          <cell r="N15738">
            <v>3.097</v>
          </cell>
          <cell r="O15738">
            <v>3.0339999999999998</v>
          </cell>
        </row>
        <row r="15739">
          <cell r="E15739" t="str">
            <v>TEL</v>
          </cell>
          <cell r="F15739" t="str">
            <v xml:space="preserve">TEL-T </v>
          </cell>
          <cell r="G15739">
            <v>317</v>
          </cell>
          <cell r="H15739" t="str">
            <v>TEL-T 317</v>
          </cell>
          <cell r="K15739" t="str">
            <v>Martins,Nicole</v>
          </cell>
          <cell r="N15739">
            <v>3.1219999999999999</v>
          </cell>
          <cell r="O15739">
            <v>3.1190000000000002</v>
          </cell>
        </row>
        <row r="15740">
          <cell r="E15740" t="str">
            <v>TEL</v>
          </cell>
          <cell r="F15740" t="str">
            <v xml:space="preserve">TEL-T </v>
          </cell>
          <cell r="G15740">
            <v>321</v>
          </cell>
          <cell r="H15740" t="str">
            <v>TEL-T 321</v>
          </cell>
          <cell r="K15740" t="str">
            <v>Cherry,Barbara</v>
          </cell>
          <cell r="N15740">
            <v>2.64</v>
          </cell>
          <cell r="O15740">
            <v>2.9820000000000002</v>
          </cell>
        </row>
        <row r="15741">
          <cell r="E15741" t="str">
            <v>TEL</v>
          </cell>
          <cell r="F15741" t="str">
            <v xml:space="preserve">TEL-T </v>
          </cell>
          <cell r="G15741">
            <v>321</v>
          </cell>
          <cell r="H15741" t="str">
            <v>TEL-T 321</v>
          </cell>
          <cell r="K15741" t="str">
            <v>Cherry,Barbara</v>
          </cell>
          <cell r="N15741">
            <v>2.4329999999999998</v>
          </cell>
          <cell r="O15741">
            <v>2.8290000000000002</v>
          </cell>
        </row>
        <row r="15742">
          <cell r="E15742" t="str">
            <v>TEL</v>
          </cell>
          <cell r="F15742" t="str">
            <v xml:space="preserve">TEL-T </v>
          </cell>
          <cell r="G15742">
            <v>321</v>
          </cell>
          <cell r="H15742" t="str">
            <v>TEL-T 321</v>
          </cell>
          <cell r="K15742" t="str">
            <v>Cherry,Barbara</v>
          </cell>
          <cell r="N15742">
            <v>2.6480000000000001</v>
          </cell>
          <cell r="O15742">
            <v>2.7080000000000002</v>
          </cell>
        </row>
        <row r="15743">
          <cell r="E15743" t="str">
            <v>TEL</v>
          </cell>
          <cell r="F15743" t="str">
            <v xml:space="preserve">TEL-T </v>
          </cell>
          <cell r="G15743">
            <v>322</v>
          </cell>
          <cell r="H15743" t="str">
            <v>TEL-T 322</v>
          </cell>
          <cell r="K15743" t="str">
            <v>Forkner,Terry R.</v>
          </cell>
          <cell r="N15743">
            <v>3.0779999999999998</v>
          </cell>
          <cell r="O15743">
            <v>2.7349999999999999</v>
          </cell>
        </row>
        <row r="15744">
          <cell r="E15744" t="str">
            <v>TEL</v>
          </cell>
          <cell r="F15744" t="str">
            <v xml:space="preserve">TEL-T </v>
          </cell>
          <cell r="G15744">
            <v>322</v>
          </cell>
          <cell r="H15744" t="str">
            <v>TEL-T 322</v>
          </cell>
          <cell r="K15744" t="str">
            <v>Forkner,Terry R.</v>
          </cell>
          <cell r="N15744">
            <v>3.2090000000000001</v>
          </cell>
          <cell r="O15744">
            <v>2.9790000000000001</v>
          </cell>
        </row>
        <row r="15745">
          <cell r="E15745" t="str">
            <v>TEL</v>
          </cell>
          <cell r="F15745" t="str">
            <v xml:space="preserve">TEL-T </v>
          </cell>
          <cell r="G15745">
            <v>326</v>
          </cell>
          <cell r="H15745" t="str">
            <v>TEL-T 326</v>
          </cell>
          <cell r="K15745" t="str">
            <v>Forkner,Terry R.</v>
          </cell>
          <cell r="N15745">
            <v>3.331</v>
          </cell>
          <cell r="O15745">
            <v>2.794</v>
          </cell>
        </row>
        <row r="15746">
          <cell r="E15746" t="str">
            <v>TEL</v>
          </cell>
          <cell r="F15746" t="str">
            <v xml:space="preserve">TEL-T </v>
          </cell>
          <cell r="G15746">
            <v>327</v>
          </cell>
          <cell r="H15746" t="str">
            <v>TEL-T 327</v>
          </cell>
          <cell r="K15746" t="str">
            <v>Forkner,Terry R.</v>
          </cell>
          <cell r="N15746">
            <v>3.75</v>
          </cell>
          <cell r="O15746">
            <v>2.9689999999999999</v>
          </cell>
        </row>
        <row r="15747">
          <cell r="E15747" t="str">
            <v>TEL</v>
          </cell>
          <cell r="F15747" t="str">
            <v xml:space="preserve">TEL-T </v>
          </cell>
          <cell r="G15747">
            <v>330</v>
          </cell>
          <cell r="H15747" t="str">
            <v>TEL-T 330</v>
          </cell>
          <cell r="K15747" t="str">
            <v>Krahnke,Steven R</v>
          </cell>
          <cell r="N15747">
            <v>2.734</v>
          </cell>
          <cell r="O15747">
            <v>2.85</v>
          </cell>
        </row>
        <row r="15748">
          <cell r="E15748" t="str">
            <v>TEL</v>
          </cell>
          <cell r="F15748" t="str">
            <v xml:space="preserve">TEL-T </v>
          </cell>
          <cell r="G15748">
            <v>331</v>
          </cell>
          <cell r="H15748" t="str">
            <v>TEL-T 331</v>
          </cell>
          <cell r="K15748" t="str">
            <v>Kelly,Susan Elizabeth</v>
          </cell>
          <cell r="N15748">
            <v>3.028</v>
          </cell>
          <cell r="O15748">
            <v>3.254</v>
          </cell>
        </row>
        <row r="15749">
          <cell r="E15749" t="str">
            <v>TEL</v>
          </cell>
          <cell r="F15749" t="str">
            <v xml:space="preserve">TEL-T </v>
          </cell>
          <cell r="G15749">
            <v>331</v>
          </cell>
          <cell r="H15749" t="str">
            <v>TEL-T 331</v>
          </cell>
          <cell r="K15749" t="str">
            <v>Kelly,Susan Elizabeth</v>
          </cell>
          <cell r="N15749">
            <v>2.9369999999999998</v>
          </cell>
          <cell r="O15749">
            <v>3.0049999999999999</v>
          </cell>
        </row>
        <row r="15750">
          <cell r="E15750" t="str">
            <v>TEL</v>
          </cell>
          <cell r="F15750" t="str">
            <v xml:space="preserve">TEL-T </v>
          </cell>
          <cell r="G15750">
            <v>340</v>
          </cell>
          <cell r="H15750" t="str">
            <v>TEL-T 340</v>
          </cell>
          <cell r="K15750" t="str">
            <v>Affe,Robert B.</v>
          </cell>
          <cell r="N15750">
            <v>2.9409999999999998</v>
          </cell>
          <cell r="O15750">
            <v>2.8079999999999998</v>
          </cell>
        </row>
        <row r="15751">
          <cell r="E15751" t="str">
            <v>TEL</v>
          </cell>
          <cell r="F15751" t="str">
            <v xml:space="preserve">TEL-T </v>
          </cell>
          <cell r="G15751">
            <v>340</v>
          </cell>
          <cell r="H15751" t="str">
            <v>TEL-T 340</v>
          </cell>
          <cell r="K15751" t="str">
            <v>Affe,Robert B.</v>
          </cell>
          <cell r="N15751">
            <v>3.53</v>
          </cell>
          <cell r="O15751">
            <v>2.9049999999999998</v>
          </cell>
        </row>
        <row r="15752">
          <cell r="E15752" t="str">
            <v>TEL</v>
          </cell>
          <cell r="F15752" t="str">
            <v xml:space="preserve">TEL-T </v>
          </cell>
          <cell r="G15752">
            <v>340</v>
          </cell>
          <cell r="H15752" t="str">
            <v>TEL-T 340</v>
          </cell>
          <cell r="K15752" t="str">
            <v>Potter,Rob</v>
          </cell>
          <cell r="N15752">
            <v>2.5910000000000002</v>
          </cell>
          <cell r="O15752">
            <v>2.988</v>
          </cell>
        </row>
        <row r="15753">
          <cell r="E15753" t="str">
            <v>TEL</v>
          </cell>
          <cell r="F15753" t="str">
            <v xml:space="preserve">TEL-T </v>
          </cell>
          <cell r="G15753">
            <v>344</v>
          </cell>
          <cell r="H15753" t="str">
            <v>TEL-T 344</v>
          </cell>
          <cell r="K15753" t="str">
            <v>Potter,Rob</v>
          </cell>
          <cell r="N15753">
            <v>2.9350000000000001</v>
          </cell>
          <cell r="O15753">
            <v>3.004</v>
          </cell>
        </row>
        <row r="15754">
          <cell r="E15754" t="str">
            <v>TEL</v>
          </cell>
          <cell r="F15754" t="str">
            <v xml:space="preserve">TEL-T </v>
          </cell>
          <cell r="G15754">
            <v>347</v>
          </cell>
          <cell r="H15754" t="str">
            <v>TEL-T 347</v>
          </cell>
          <cell r="K15754" t="str">
            <v>Meyer,Phil</v>
          </cell>
          <cell r="N15754">
            <v>3.5649999999999999</v>
          </cell>
          <cell r="O15754">
            <v>2.9729999999999999</v>
          </cell>
        </row>
        <row r="15755">
          <cell r="E15755" t="str">
            <v>TEL</v>
          </cell>
          <cell r="F15755" t="str">
            <v xml:space="preserve">TEL-T </v>
          </cell>
          <cell r="G15755">
            <v>347</v>
          </cell>
          <cell r="H15755" t="str">
            <v>TEL-T 347</v>
          </cell>
          <cell r="K15755" t="str">
            <v>Meyer,Phil</v>
          </cell>
          <cell r="N15755">
            <v>3.5049999999999999</v>
          </cell>
          <cell r="O15755">
            <v>3.004</v>
          </cell>
        </row>
        <row r="15756">
          <cell r="E15756" t="str">
            <v>TEL</v>
          </cell>
          <cell r="F15756" t="str">
            <v xml:space="preserve">TEL-T </v>
          </cell>
          <cell r="G15756">
            <v>348</v>
          </cell>
          <cell r="H15756" t="str">
            <v>TEL-T 348</v>
          </cell>
          <cell r="K15756" t="str">
            <v>Paul,Bryant M</v>
          </cell>
          <cell r="N15756">
            <v>2.6920000000000002</v>
          </cell>
          <cell r="O15756">
            <v>3.0550000000000002</v>
          </cell>
        </row>
        <row r="15757">
          <cell r="E15757" t="str">
            <v>TEL</v>
          </cell>
          <cell r="F15757" t="str">
            <v xml:space="preserve">TEL-T </v>
          </cell>
          <cell r="G15757">
            <v>351</v>
          </cell>
          <cell r="H15757" t="str">
            <v>TEL-T 351</v>
          </cell>
          <cell r="K15757" t="str">
            <v>Bolstridge,Eric Alan</v>
          </cell>
          <cell r="N15757">
            <v>3.4550000000000001</v>
          </cell>
          <cell r="O15757">
            <v>3.173</v>
          </cell>
        </row>
        <row r="15758">
          <cell r="E15758" t="str">
            <v>TEL</v>
          </cell>
          <cell r="F15758" t="str">
            <v xml:space="preserve">TEL-T </v>
          </cell>
          <cell r="G15758">
            <v>351</v>
          </cell>
          <cell r="H15758" t="str">
            <v>TEL-T 351</v>
          </cell>
          <cell r="K15758" t="str">
            <v>Bolstridge,Eric Alan</v>
          </cell>
          <cell r="N15758">
            <v>3.75</v>
          </cell>
          <cell r="O15758">
            <v>3.2989999999999999</v>
          </cell>
        </row>
        <row r="15759">
          <cell r="E15759" t="str">
            <v>TEL</v>
          </cell>
          <cell r="F15759" t="str">
            <v xml:space="preserve">TEL-T </v>
          </cell>
          <cell r="G15759">
            <v>351</v>
          </cell>
          <cell r="H15759" t="str">
            <v>TEL-T 351</v>
          </cell>
          <cell r="K15759" t="str">
            <v>Krause,James R</v>
          </cell>
          <cell r="N15759">
            <v>3.0910000000000002</v>
          </cell>
          <cell r="O15759">
            <v>2.9239999999999999</v>
          </cell>
        </row>
        <row r="15760">
          <cell r="E15760" t="str">
            <v>TEL</v>
          </cell>
          <cell r="F15760" t="str">
            <v xml:space="preserve">TEL-T </v>
          </cell>
          <cell r="G15760">
            <v>351</v>
          </cell>
          <cell r="H15760" t="str">
            <v>TEL-T 351</v>
          </cell>
          <cell r="K15760" t="str">
            <v>Krause,James R</v>
          </cell>
          <cell r="N15760">
            <v>3.0550000000000002</v>
          </cell>
          <cell r="O15760">
            <v>2.8530000000000002</v>
          </cell>
        </row>
        <row r="15761">
          <cell r="E15761" t="str">
            <v>TEL</v>
          </cell>
          <cell r="F15761" t="str">
            <v xml:space="preserve">TEL-T </v>
          </cell>
          <cell r="G15761">
            <v>353</v>
          </cell>
          <cell r="H15761" t="str">
            <v>TEL-T 353</v>
          </cell>
          <cell r="K15761" t="str">
            <v>Belser,Jacob Nathaniel</v>
          </cell>
          <cell r="N15761">
            <v>3.3530000000000002</v>
          </cell>
          <cell r="O15761">
            <v>2.9910000000000001</v>
          </cell>
        </row>
        <row r="15762">
          <cell r="E15762" t="str">
            <v>TEL</v>
          </cell>
          <cell r="F15762" t="str">
            <v xml:space="preserve">TEL-T </v>
          </cell>
          <cell r="G15762">
            <v>353</v>
          </cell>
          <cell r="H15762" t="str">
            <v>TEL-T 353</v>
          </cell>
          <cell r="K15762" t="str">
            <v>Belser,Jacob Nathaniel</v>
          </cell>
          <cell r="N15762">
            <v>3.4870000000000001</v>
          </cell>
          <cell r="O15762">
            <v>3.032</v>
          </cell>
        </row>
        <row r="15763">
          <cell r="E15763" t="str">
            <v>TEL</v>
          </cell>
          <cell r="F15763" t="str">
            <v xml:space="preserve">TEL-T </v>
          </cell>
          <cell r="G15763">
            <v>353</v>
          </cell>
          <cell r="H15763" t="str">
            <v>TEL-T 353</v>
          </cell>
          <cell r="K15763" t="str">
            <v>Mahern,Paul Cantwell</v>
          </cell>
          <cell r="N15763">
            <v>3.7879999999999998</v>
          </cell>
          <cell r="O15763">
            <v>3.0219999999999998</v>
          </cell>
        </row>
        <row r="15764">
          <cell r="E15764" t="str">
            <v>TEL</v>
          </cell>
          <cell r="F15764" t="str">
            <v xml:space="preserve">TEL-T </v>
          </cell>
          <cell r="G15764">
            <v>353</v>
          </cell>
          <cell r="H15764" t="str">
            <v>TEL-T 353</v>
          </cell>
          <cell r="K15764" t="str">
            <v>Mahern,Paul Cantwell</v>
          </cell>
          <cell r="N15764">
            <v>3.9</v>
          </cell>
          <cell r="O15764">
            <v>2.95</v>
          </cell>
        </row>
        <row r="15765">
          <cell r="E15765" t="str">
            <v>TEL</v>
          </cell>
          <cell r="F15765" t="str">
            <v xml:space="preserve">TEL-T </v>
          </cell>
          <cell r="G15765">
            <v>354</v>
          </cell>
          <cell r="H15765" t="str">
            <v>TEL-T 354</v>
          </cell>
          <cell r="K15765" t="str">
            <v>Carmichael,Scott A</v>
          </cell>
          <cell r="N15765">
            <v>3.0470000000000002</v>
          </cell>
          <cell r="O15765">
            <v>3.2389999999999999</v>
          </cell>
        </row>
        <row r="15766">
          <cell r="E15766" t="str">
            <v>TEL</v>
          </cell>
          <cell r="F15766" t="str">
            <v xml:space="preserve">TEL-T </v>
          </cell>
          <cell r="G15766">
            <v>354</v>
          </cell>
          <cell r="H15766" t="str">
            <v>TEL-T 354</v>
          </cell>
          <cell r="K15766" t="str">
            <v>Krause,James R</v>
          </cell>
          <cell r="N15766">
            <v>2.66</v>
          </cell>
          <cell r="O15766">
            <v>3.306</v>
          </cell>
        </row>
        <row r="15767">
          <cell r="E15767" t="str">
            <v>TEL</v>
          </cell>
          <cell r="F15767" t="str">
            <v xml:space="preserve">TEL-T </v>
          </cell>
          <cell r="G15767">
            <v>356</v>
          </cell>
          <cell r="H15767" t="str">
            <v>TEL-T 356</v>
          </cell>
          <cell r="K15767" t="str">
            <v>Krause,James R</v>
          </cell>
          <cell r="N15767">
            <v>3.04</v>
          </cell>
          <cell r="O15767">
            <v>2.9220000000000002</v>
          </cell>
        </row>
        <row r="15768">
          <cell r="E15768" t="str">
            <v>TEL</v>
          </cell>
          <cell r="F15768" t="str">
            <v xml:space="preserve">TEL-T </v>
          </cell>
          <cell r="G15768">
            <v>356</v>
          </cell>
          <cell r="H15768" t="str">
            <v>TEL-T 356</v>
          </cell>
          <cell r="K15768" t="str">
            <v>Krause,James R</v>
          </cell>
          <cell r="N15768">
            <v>3.34</v>
          </cell>
          <cell r="O15768">
            <v>3.1150000000000002</v>
          </cell>
        </row>
        <row r="15769">
          <cell r="E15769" t="str">
            <v>TEL</v>
          </cell>
          <cell r="F15769" t="str">
            <v xml:space="preserve">TEL-T </v>
          </cell>
          <cell r="G15769">
            <v>356</v>
          </cell>
          <cell r="H15769" t="str">
            <v>TEL-T 356</v>
          </cell>
          <cell r="K15769" t="str">
            <v>Krause,James R</v>
          </cell>
          <cell r="N15769">
            <v>3.1629999999999998</v>
          </cell>
          <cell r="O15769">
            <v>3.1560000000000001</v>
          </cell>
        </row>
        <row r="15770">
          <cell r="E15770" t="str">
            <v>TEL</v>
          </cell>
          <cell r="F15770" t="str">
            <v xml:space="preserve">TEL-T </v>
          </cell>
          <cell r="G15770">
            <v>356</v>
          </cell>
          <cell r="H15770" t="str">
            <v>TEL-T 356</v>
          </cell>
          <cell r="K15770" t="str">
            <v>Krause,James R</v>
          </cell>
          <cell r="N15770">
            <v>3</v>
          </cell>
          <cell r="O15770">
            <v>3.004</v>
          </cell>
        </row>
        <row r="15771">
          <cell r="E15771" t="str">
            <v>TEL</v>
          </cell>
          <cell r="F15771" t="str">
            <v xml:space="preserve">TEL-T </v>
          </cell>
          <cell r="G15771">
            <v>361</v>
          </cell>
          <cell r="H15771" t="str">
            <v>TEL-T 361</v>
          </cell>
          <cell r="K15771" t="str">
            <v>Chabin,Michael S</v>
          </cell>
          <cell r="N15771">
            <v>3.6280000000000001</v>
          </cell>
          <cell r="O15771">
            <v>2.99</v>
          </cell>
        </row>
        <row r="15772">
          <cell r="E15772" t="str">
            <v>TEL</v>
          </cell>
          <cell r="F15772" t="str">
            <v xml:space="preserve">TEL-T </v>
          </cell>
          <cell r="G15772">
            <v>361</v>
          </cell>
          <cell r="H15772" t="str">
            <v>TEL-T 361</v>
          </cell>
          <cell r="K15772" t="str">
            <v>Chabin,Michael S</v>
          </cell>
          <cell r="N15772">
            <v>3.6680000000000001</v>
          </cell>
          <cell r="O15772">
            <v>3.181</v>
          </cell>
        </row>
        <row r="15773">
          <cell r="E15773" t="str">
            <v>TEL</v>
          </cell>
          <cell r="F15773" t="str">
            <v xml:space="preserve">TEL-T </v>
          </cell>
          <cell r="G15773">
            <v>364</v>
          </cell>
          <cell r="H15773" t="str">
            <v>TEL-T 364</v>
          </cell>
          <cell r="K15773" t="str">
            <v>Blosser,Jasen</v>
          </cell>
          <cell r="N15773">
            <v>3.875</v>
          </cell>
          <cell r="O15773">
            <v>3.2559999999999998</v>
          </cell>
        </row>
        <row r="15774">
          <cell r="E15774" t="str">
            <v>TEL</v>
          </cell>
          <cell r="F15774" t="str">
            <v xml:space="preserve">TEL-T </v>
          </cell>
          <cell r="G15774">
            <v>364</v>
          </cell>
          <cell r="H15774" t="str">
            <v>TEL-T 364</v>
          </cell>
          <cell r="K15774" t="str">
            <v>Blosser,Jasen</v>
          </cell>
          <cell r="N15774">
            <v>4</v>
          </cell>
          <cell r="O15774">
            <v>3.133</v>
          </cell>
        </row>
        <row r="15775">
          <cell r="E15775" t="str">
            <v>TEL</v>
          </cell>
          <cell r="F15775" t="str">
            <v xml:space="preserve">TEL-T </v>
          </cell>
          <cell r="G15775">
            <v>367</v>
          </cell>
          <cell r="H15775" t="str">
            <v>TEL-T 367</v>
          </cell>
          <cell r="K15775" t="str">
            <v>Castronova,Edward J</v>
          </cell>
          <cell r="N15775">
            <v>3.0019999999999998</v>
          </cell>
          <cell r="O15775">
            <v>3.13</v>
          </cell>
        </row>
        <row r="15776">
          <cell r="E15776" t="str">
            <v>TEL</v>
          </cell>
          <cell r="F15776" t="str">
            <v xml:space="preserve">TEL-T </v>
          </cell>
          <cell r="G15776">
            <v>367</v>
          </cell>
          <cell r="H15776" t="str">
            <v>TEL-T 367</v>
          </cell>
          <cell r="K15776" t="str">
            <v>Ross,Travis Leigh</v>
          </cell>
          <cell r="N15776">
            <v>3.0649999999999999</v>
          </cell>
          <cell r="O15776">
            <v>2.9510000000000001</v>
          </cell>
        </row>
        <row r="15777">
          <cell r="E15777" t="str">
            <v>TEL</v>
          </cell>
          <cell r="F15777" t="str">
            <v xml:space="preserve">TEL-T </v>
          </cell>
          <cell r="G15777">
            <v>369</v>
          </cell>
          <cell r="H15777" t="str">
            <v>TEL-T 369</v>
          </cell>
          <cell r="K15777" t="str">
            <v>Herber,Norbert Francis</v>
          </cell>
          <cell r="N15777">
            <v>2.8889999999999998</v>
          </cell>
          <cell r="O15777">
            <v>2.9740000000000002</v>
          </cell>
        </row>
        <row r="15778">
          <cell r="E15778" t="str">
            <v>TEL</v>
          </cell>
          <cell r="F15778" t="str">
            <v xml:space="preserve">TEL-T </v>
          </cell>
          <cell r="G15778">
            <v>369</v>
          </cell>
          <cell r="H15778" t="str">
            <v>TEL-T 369</v>
          </cell>
          <cell r="K15778" t="str">
            <v>Herber,Norbert Francis</v>
          </cell>
          <cell r="N15778">
            <v>3.2669999999999999</v>
          </cell>
          <cell r="O15778">
            <v>3.2029999999999998</v>
          </cell>
        </row>
        <row r="15779">
          <cell r="E15779" t="str">
            <v>TEL</v>
          </cell>
          <cell r="F15779" t="str">
            <v xml:space="preserve">TEL-T </v>
          </cell>
          <cell r="G15779">
            <v>410</v>
          </cell>
          <cell r="H15779" t="str">
            <v>TEL-T 410</v>
          </cell>
          <cell r="K15779" t="str">
            <v>Wright,Paul</v>
          </cell>
          <cell r="N15779">
            <v>3.4239999999999999</v>
          </cell>
          <cell r="O15779">
            <v>3.1789999999999998</v>
          </cell>
        </row>
        <row r="15780">
          <cell r="E15780" t="str">
            <v>TEL</v>
          </cell>
          <cell r="F15780" t="str">
            <v xml:space="preserve">TEL-T </v>
          </cell>
          <cell r="G15780">
            <v>410</v>
          </cell>
          <cell r="H15780" t="str">
            <v>TEL-T 410</v>
          </cell>
          <cell r="K15780" t="str">
            <v>Wright,Paul</v>
          </cell>
          <cell r="N15780">
            <v>3.3079999999999998</v>
          </cell>
          <cell r="O15780">
            <v>3.2519999999999998</v>
          </cell>
        </row>
        <row r="15781">
          <cell r="E15781" t="str">
            <v>TEL</v>
          </cell>
          <cell r="F15781" t="str">
            <v xml:space="preserve">TEL-T </v>
          </cell>
          <cell r="G15781">
            <v>413</v>
          </cell>
          <cell r="H15781" t="str">
            <v>TEL-T 413</v>
          </cell>
          <cell r="K15781" t="str">
            <v>Affe,Robert B.</v>
          </cell>
          <cell r="N15781">
            <v>3.3149999999999999</v>
          </cell>
          <cell r="O15781">
            <v>2.7469999999999999</v>
          </cell>
        </row>
        <row r="15782">
          <cell r="E15782" t="str">
            <v>TEL</v>
          </cell>
          <cell r="F15782" t="str">
            <v xml:space="preserve">TEL-T </v>
          </cell>
          <cell r="G15782">
            <v>416</v>
          </cell>
          <cell r="H15782" t="str">
            <v>TEL-T 416</v>
          </cell>
          <cell r="K15782" t="str">
            <v>Krahnke,Steven R</v>
          </cell>
          <cell r="N15782">
            <v>3.2120000000000002</v>
          </cell>
          <cell r="O15782">
            <v>2.9329999999999998</v>
          </cell>
        </row>
        <row r="15783">
          <cell r="E15783" t="str">
            <v>TEL</v>
          </cell>
          <cell r="F15783" t="str">
            <v xml:space="preserve">TEL-T </v>
          </cell>
          <cell r="G15783">
            <v>416</v>
          </cell>
          <cell r="H15783" t="str">
            <v>TEL-T 416</v>
          </cell>
          <cell r="K15783" t="str">
            <v>Krahnke,Steven R</v>
          </cell>
          <cell r="N15783">
            <v>3.2949999999999999</v>
          </cell>
          <cell r="O15783">
            <v>2.9750000000000001</v>
          </cell>
        </row>
        <row r="15784">
          <cell r="E15784" t="str">
            <v>TEL</v>
          </cell>
          <cell r="F15784" t="str">
            <v xml:space="preserve">TEL-T </v>
          </cell>
          <cell r="G15784">
            <v>421</v>
          </cell>
          <cell r="H15784" t="str">
            <v>TEL-T 421</v>
          </cell>
          <cell r="K15784" t="str">
            <v>Waterman,David H.</v>
          </cell>
          <cell r="N15784">
            <v>2.8239999999999998</v>
          </cell>
          <cell r="O15784">
            <v>2.8639999999999999</v>
          </cell>
        </row>
        <row r="15785">
          <cell r="E15785" t="str">
            <v>TEL</v>
          </cell>
          <cell r="F15785" t="str">
            <v xml:space="preserve">TEL-T </v>
          </cell>
          <cell r="G15785">
            <v>422</v>
          </cell>
          <cell r="H15785" t="str">
            <v>TEL-T 422</v>
          </cell>
          <cell r="K15785" t="str">
            <v>Waterman,David H.</v>
          </cell>
          <cell r="N15785">
            <v>3.15</v>
          </cell>
          <cell r="O15785">
            <v>2.8759999999999999</v>
          </cell>
        </row>
        <row r="15786">
          <cell r="E15786" t="str">
            <v>TEL</v>
          </cell>
          <cell r="F15786" t="str">
            <v xml:space="preserve">TEL-T </v>
          </cell>
          <cell r="G15786">
            <v>424</v>
          </cell>
          <cell r="H15786" t="str">
            <v>TEL-T 424</v>
          </cell>
          <cell r="K15786" t="str">
            <v>McGregor,Michael</v>
          </cell>
          <cell r="N15786">
            <v>2.9</v>
          </cell>
          <cell r="O15786">
            <v>2.8380000000000001</v>
          </cell>
        </row>
        <row r="15787">
          <cell r="E15787" t="str">
            <v>TEL</v>
          </cell>
          <cell r="F15787" t="str">
            <v xml:space="preserve">TEL-T </v>
          </cell>
          <cell r="G15787">
            <v>427</v>
          </cell>
          <cell r="H15787" t="str">
            <v>TEL-T 427</v>
          </cell>
          <cell r="K15787" t="str">
            <v>Sawhney,Harmeet</v>
          </cell>
          <cell r="N15787">
            <v>3.2919999999999998</v>
          </cell>
          <cell r="O15787">
            <v>3.1339999999999999</v>
          </cell>
        </row>
        <row r="15788">
          <cell r="E15788" t="str">
            <v>TEL</v>
          </cell>
          <cell r="F15788" t="str">
            <v xml:space="preserve">TEL-T </v>
          </cell>
          <cell r="G15788">
            <v>427</v>
          </cell>
          <cell r="H15788" t="str">
            <v>TEL-T 427</v>
          </cell>
          <cell r="K15788" t="str">
            <v>Sawhney,Harmeet</v>
          </cell>
          <cell r="N15788">
            <v>2.7120000000000002</v>
          </cell>
          <cell r="O15788">
            <v>2.7440000000000002</v>
          </cell>
        </row>
        <row r="15789">
          <cell r="E15789" t="str">
            <v>TEL</v>
          </cell>
          <cell r="F15789" t="str">
            <v xml:space="preserve">TEL-T </v>
          </cell>
          <cell r="G15789">
            <v>431</v>
          </cell>
          <cell r="H15789" t="str">
            <v>TEL-T 431</v>
          </cell>
          <cell r="K15789" t="str">
            <v>Osgood,Ronald J.</v>
          </cell>
          <cell r="N15789">
            <v>3.407</v>
          </cell>
          <cell r="O15789">
            <v>3.1930000000000001</v>
          </cell>
        </row>
        <row r="15790">
          <cell r="E15790" t="str">
            <v>TEL</v>
          </cell>
          <cell r="F15790" t="str">
            <v xml:space="preserve">TEL-T </v>
          </cell>
          <cell r="G15790">
            <v>435</v>
          </cell>
          <cell r="H15790" t="str">
            <v>TEL-T 435</v>
          </cell>
          <cell r="K15790" t="str">
            <v>Osgood,Ronald J.</v>
          </cell>
          <cell r="N15790">
            <v>3.9449999999999998</v>
          </cell>
          <cell r="O15790">
            <v>3.2989999999999999</v>
          </cell>
        </row>
        <row r="15791">
          <cell r="E15791" t="str">
            <v>TEL</v>
          </cell>
          <cell r="F15791" t="str">
            <v xml:space="preserve">TEL-T </v>
          </cell>
          <cell r="G15791">
            <v>436</v>
          </cell>
          <cell r="H15791" t="str">
            <v>TEL-T 436</v>
          </cell>
          <cell r="K15791" t="str">
            <v>Krause,James R</v>
          </cell>
          <cell r="N15791" t="str">
            <v>NR</v>
          </cell>
          <cell r="O15791" t="str">
            <v>NR</v>
          </cell>
        </row>
        <row r="15792">
          <cell r="E15792" t="str">
            <v>TEL</v>
          </cell>
          <cell r="F15792" t="str">
            <v xml:space="preserve">TEL-T </v>
          </cell>
          <cell r="G15792">
            <v>436</v>
          </cell>
          <cell r="H15792" t="str">
            <v>TEL-T 436</v>
          </cell>
          <cell r="K15792" t="str">
            <v>Throckmorton,Jo</v>
          </cell>
          <cell r="N15792">
            <v>4</v>
          </cell>
          <cell r="O15792">
            <v>3.169</v>
          </cell>
        </row>
        <row r="15793">
          <cell r="E15793" t="str">
            <v>TEL</v>
          </cell>
          <cell r="F15793" t="str">
            <v xml:space="preserve">TEL-T </v>
          </cell>
          <cell r="G15793">
            <v>436</v>
          </cell>
          <cell r="H15793" t="str">
            <v>TEL-T 436</v>
          </cell>
          <cell r="K15793" t="str">
            <v>Throckmorton,Jo</v>
          </cell>
          <cell r="N15793">
            <v>4</v>
          </cell>
          <cell r="O15793">
            <v>3.0870000000000002</v>
          </cell>
        </row>
        <row r="15794">
          <cell r="E15794" t="str">
            <v>TEL</v>
          </cell>
          <cell r="F15794" t="str">
            <v xml:space="preserve">TEL-T </v>
          </cell>
          <cell r="G15794">
            <v>437</v>
          </cell>
          <cell r="H15794" t="str">
            <v>TEL-T 437</v>
          </cell>
          <cell r="K15794" t="str">
            <v>Fox,Julia R</v>
          </cell>
          <cell r="N15794">
            <v>3.875</v>
          </cell>
          <cell r="O15794">
            <v>3.2709999999999999</v>
          </cell>
        </row>
        <row r="15795">
          <cell r="E15795" t="str">
            <v>TEL</v>
          </cell>
          <cell r="F15795" t="str">
            <v xml:space="preserve">TEL-T </v>
          </cell>
          <cell r="G15795">
            <v>437</v>
          </cell>
          <cell r="H15795" t="str">
            <v>TEL-T 437</v>
          </cell>
          <cell r="K15795" t="str">
            <v>Fox,Julia R</v>
          </cell>
          <cell r="N15795">
            <v>3.6669999999999998</v>
          </cell>
          <cell r="O15795">
            <v>3.0880000000000001</v>
          </cell>
        </row>
        <row r="15796">
          <cell r="E15796" t="str">
            <v>TEL</v>
          </cell>
          <cell r="F15796" t="str">
            <v xml:space="preserve">TEL-T </v>
          </cell>
          <cell r="G15796">
            <v>441</v>
          </cell>
          <cell r="H15796" t="str">
            <v>TEL-T 441</v>
          </cell>
          <cell r="K15796" t="str">
            <v>Gantz,Walter</v>
          </cell>
          <cell r="N15796">
            <v>2.6589999999999998</v>
          </cell>
          <cell r="O15796">
            <v>2.823</v>
          </cell>
        </row>
        <row r="15797">
          <cell r="E15797" t="str">
            <v>TEL</v>
          </cell>
          <cell r="F15797" t="str">
            <v xml:space="preserve">TEL-T </v>
          </cell>
          <cell r="G15797">
            <v>445</v>
          </cell>
          <cell r="H15797" t="str">
            <v>TEL-T 445</v>
          </cell>
          <cell r="K15797" t="str">
            <v>Gantz,Walter</v>
          </cell>
          <cell r="N15797">
            <v>2.64</v>
          </cell>
          <cell r="O15797">
            <v>3.0350000000000001</v>
          </cell>
        </row>
        <row r="15798">
          <cell r="E15798" t="str">
            <v>TEL</v>
          </cell>
          <cell r="F15798" t="str">
            <v xml:space="preserve">TEL-T </v>
          </cell>
          <cell r="G15798">
            <v>446</v>
          </cell>
          <cell r="H15798" t="str">
            <v>TEL-T 446</v>
          </cell>
          <cell r="K15798" t="str">
            <v>Hefron,Michael James</v>
          </cell>
          <cell r="N15798">
            <v>3.4260000000000002</v>
          </cell>
          <cell r="O15798">
            <v>2.8860000000000001</v>
          </cell>
        </row>
        <row r="15799">
          <cell r="E15799" t="str">
            <v>TEL</v>
          </cell>
          <cell r="F15799" t="str">
            <v xml:space="preserve">TEL-T </v>
          </cell>
          <cell r="G15799">
            <v>451</v>
          </cell>
          <cell r="H15799" t="str">
            <v>TEL-T 451</v>
          </cell>
          <cell r="K15799" t="str">
            <v>Fox,Julia R</v>
          </cell>
          <cell r="N15799">
            <v>3.1320000000000001</v>
          </cell>
          <cell r="O15799">
            <v>3.012</v>
          </cell>
        </row>
        <row r="15800">
          <cell r="E15800" t="str">
            <v>TEL</v>
          </cell>
          <cell r="F15800" t="str">
            <v xml:space="preserve">TEL-T </v>
          </cell>
          <cell r="G15800">
            <v>452</v>
          </cell>
          <cell r="H15800" t="str">
            <v>TEL-T 452</v>
          </cell>
          <cell r="K15800" t="str">
            <v>Carmichael,Scott A</v>
          </cell>
          <cell r="N15800">
            <v>3.1150000000000002</v>
          </cell>
          <cell r="O15800">
            <v>3.4009999999999998</v>
          </cell>
        </row>
        <row r="15801">
          <cell r="E15801" t="str">
            <v>TEL</v>
          </cell>
          <cell r="F15801" t="str">
            <v xml:space="preserve">TEL-T </v>
          </cell>
          <cell r="G15801">
            <v>452</v>
          </cell>
          <cell r="H15801" t="str">
            <v>TEL-T 452</v>
          </cell>
          <cell r="K15801" t="str">
            <v>Castronova,Edward J</v>
          </cell>
          <cell r="N15801">
            <v>4</v>
          </cell>
          <cell r="O15801">
            <v>3.2029999999999998</v>
          </cell>
        </row>
        <row r="15802">
          <cell r="E15802" t="str">
            <v>TEL</v>
          </cell>
          <cell r="F15802" t="str">
            <v xml:space="preserve">TEL-T </v>
          </cell>
          <cell r="G15802">
            <v>452</v>
          </cell>
          <cell r="H15802" t="str">
            <v>TEL-T 452</v>
          </cell>
          <cell r="K15802" t="str">
            <v>Eller,Chris</v>
          </cell>
          <cell r="N15802">
            <v>3.609</v>
          </cell>
          <cell r="O15802">
            <v>3.35</v>
          </cell>
        </row>
        <row r="15803">
          <cell r="E15803" t="str">
            <v>TEL</v>
          </cell>
          <cell r="F15803" t="str">
            <v xml:space="preserve">TEL-T </v>
          </cell>
          <cell r="G15803">
            <v>452</v>
          </cell>
          <cell r="H15803" t="str">
            <v>TEL-T 452</v>
          </cell>
          <cell r="K15803" t="str">
            <v>Kelly,Susan Elizabeth</v>
          </cell>
          <cell r="N15803">
            <v>3.1269999999999998</v>
          </cell>
          <cell r="O15803">
            <v>3.38</v>
          </cell>
        </row>
        <row r="15804">
          <cell r="E15804" t="str">
            <v>TEL</v>
          </cell>
          <cell r="F15804" t="str">
            <v xml:space="preserve">TEL-T </v>
          </cell>
          <cell r="G15804">
            <v>453</v>
          </cell>
          <cell r="H15804" t="str">
            <v>TEL-T 453</v>
          </cell>
          <cell r="K15804" t="str">
            <v>Gantz,Walter</v>
          </cell>
          <cell r="N15804" t="str">
            <v>NR</v>
          </cell>
          <cell r="O15804" t="str">
            <v>NR</v>
          </cell>
        </row>
        <row r="15805">
          <cell r="E15805" t="str">
            <v>TEL</v>
          </cell>
          <cell r="F15805" t="str">
            <v xml:space="preserve">TEL-T </v>
          </cell>
          <cell r="G15805">
            <v>460</v>
          </cell>
          <cell r="H15805" t="str">
            <v>TEL-T 460</v>
          </cell>
          <cell r="K15805" t="str">
            <v>Castronova,Edward J</v>
          </cell>
          <cell r="N15805">
            <v>4</v>
          </cell>
          <cell r="O15805">
            <v>3.0209999999999999</v>
          </cell>
        </row>
        <row r="15806">
          <cell r="E15806" t="str">
            <v>TEL</v>
          </cell>
          <cell r="F15806" t="str">
            <v xml:space="preserve">TEL-T </v>
          </cell>
          <cell r="G15806">
            <v>471</v>
          </cell>
          <cell r="H15806" t="str">
            <v>TEL-T 471</v>
          </cell>
          <cell r="K15806" t="str">
            <v>Lang,Annie</v>
          </cell>
          <cell r="N15806">
            <v>3.0870000000000002</v>
          </cell>
          <cell r="O15806">
            <v>2.8149999999999999</v>
          </cell>
        </row>
        <row r="15807">
          <cell r="E15807" t="str">
            <v>TEL</v>
          </cell>
          <cell r="F15807" t="str">
            <v xml:space="preserve">TEL-T </v>
          </cell>
          <cell r="G15807">
            <v>471</v>
          </cell>
          <cell r="H15807" t="str">
            <v>TEL-T 471</v>
          </cell>
          <cell r="K15807" t="str">
            <v>Lang,Annie</v>
          </cell>
          <cell r="N15807">
            <v>2.9449999999999998</v>
          </cell>
          <cell r="O15807">
            <v>2.9209999999999998</v>
          </cell>
        </row>
        <row r="15808">
          <cell r="E15808" t="str">
            <v>TEL</v>
          </cell>
          <cell r="F15808" t="str">
            <v xml:space="preserve">TEL-T </v>
          </cell>
          <cell r="G15808">
            <v>480</v>
          </cell>
          <cell r="H15808" t="str">
            <v>TEL-T 480</v>
          </cell>
          <cell r="K15808" t="str">
            <v>McGregor,Michael</v>
          </cell>
          <cell r="N15808">
            <v>3.5</v>
          </cell>
          <cell r="O15808">
            <v>2.8450000000000002</v>
          </cell>
        </row>
        <row r="15809">
          <cell r="E15809" t="str">
            <v>TEL</v>
          </cell>
          <cell r="F15809" t="str">
            <v xml:space="preserve">TEL-T </v>
          </cell>
          <cell r="G15809">
            <v>495</v>
          </cell>
          <cell r="H15809" t="str">
            <v>TEL-T 495</v>
          </cell>
          <cell r="K15809" t="str">
            <v>Fox,Julia R</v>
          </cell>
          <cell r="N15809" t="str">
            <v>NR</v>
          </cell>
          <cell r="O15809" t="str">
            <v>NR</v>
          </cell>
        </row>
        <row r="15810">
          <cell r="E15810" t="str">
            <v>TEL</v>
          </cell>
          <cell r="F15810" t="str">
            <v xml:space="preserve">TEL-T </v>
          </cell>
          <cell r="G15810">
            <v>497</v>
          </cell>
          <cell r="H15810" t="str">
            <v>TEL-T 497</v>
          </cell>
          <cell r="K15810" t="str">
            <v>Haywood-Smith,Lynda</v>
          </cell>
          <cell r="N15810" t="str">
            <v>NR</v>
          </cell>
          <cell r="O15810" t="str">
            <v>NR</v>
          </cell>
        </row>
        <row r="15811">
          <cell r="E15811" t="str">
            <v>TEL</v>
          </cell>
          <cell r="F15811" t="str">
            <v xml:space="preserve">TEL-T </v>
          </cell>
          <cell r="G15811">
            <v>497</v>
          </cell>
          <cell r="H15811" t="str">
            <v>TEL-T 497</v>
          </cell>
          <cell r="K15811" t="str">
            <v>Haywood-Smith,Lynda</v>
          </cell>
          <cell r="N15811" t="str">
            <v>NR</v>
          </cell>
          <cell r="O15811" t="str">
            <v>NR</v>
          </cell>
        </row>
        <row r="15812">
          <cell r="E15812" t="str">
            <v>TEL</v>
          </cell>
          <cell r="F15812" t="str">
            <v xml:space="preserve">TEL-T </v>
          </cell>
          <cell r="G15812">
            <v>498</v>
          </cell>
          <cell r="H15812" t="str">
            <v>TEL-T 498</v>
          </cell>
          <cell r="K15812" t="str">
            <v>Fox,Julia R</v>
          </cell>
          <cell r="N15812" t="str">
            <v>NR</v>
          </cell>
          <cell r="O15812" t="str">
            <v>NR</v>
          </cell>
        </row>
        <row r="15813">
          <cell r="E15813" t="str">
            <v>TEL</v>
          </cell>
          <cell r="F15813" t="str">
            <v xml:space="preserve">TEL-T </v>
          </cell>
          <cell r="G15813">
            <v>498</v>
          </cell>
          <cell r="H15813" t="str">
            <v>TEL-T 498</v>
          </cell>
          <cell r="K15813" t="str">
            <v>Fox,Julia R</v>
          </cell>
          <cell r="N15813" t="str">
            <v>NR</v>
          </cell>
          <cell r="O15813" t="str">
            <v>NR</v>
          </cell>
        </row>
        <row r="15814">
          <cell r="E15814" t="str">
            <v>TEL</v>
          </cell>
          <cell r="F15814" t="str">
            <v xml:space="preserve">TEL-T </v>
          </cell>
          <cell r="G15814">
            <v>499</v>
          </cell>
          <cell r="H15814" t="str">
            <v>TEL-T 499</v>
          </cell>
          <cell r="K15814" t="str">
            <v>Cherry,Barbara</v>
          </cell>
          <cell r="N15814" t="str">
            <v>NR</v>
          </cell>
          <cell r="O15814" t="str">
            <v>NR</v>
          </cell>
        </row>
        <row r="15815">
          <cell r="E15815" t="str">
            <v>TEL</v>
          </cell>
          <cell r="F15815" t="str">
            <v xml:space="preserve">TEL-T </v>
          </cell>
          <cell r="G15815">
            <v>501</v>
          </cell>
          <cell r="H15815" t="str">
            <v>TEL-T 501</v>
          </cell>
          <cell r="K15815" t="str">
            <v>Lang,Annie</v>
          </cell>
          <cell r="N15815">
            <v>3.6150000000000002</v>
          </cell>
          <cell r="O15815">
            <v>3.6829999999999998</v>
          </cell>
        </row>
        <row r="15816">
          <cell r="E15816" t="str">
            <v>TEL</v>
          </cell>
          <cell r="F15816" t="str">
            <v xml:space="preserve">TEL-T </v>
          </cell>
          <cell r="G15816">
            <v>502</v>
          </cell>
          <cell r="H15816" t="str">
            <v>TEL-T 502</v>
          </cell>
          <cell r="K15816" t="str">
            <v>Potter,Rob</v>
          </cell>
          <cell r="N15816">
            <v>3.4220000000000002</v>
          </cell>
          <cell r="O15816">
            <v>3.6259999999999999</v>
          </cell>
        </row>
        <row r="15817">
          <cell r="E15817" t="str">
            <v>TEL</v>
          </cell>
          <cell r="F15817" t="str">
            <v xml:space="preserve">TEL-T </v>
          </cell>
          <cell r="G15817">
            <v>503</v>
          </cell>
          <cell r="H15817" t="str">
            <v>TEL-T 503</v>
          </cell>
          <cell r="K15817" t="str">
            <v>Grabe,Maria Elizabeth</v>
          </cell>
          <cell r="N15817">
            <v>2.9180000000000001</v>
          </cell>
          <cell r="O15817">
            <v>3.5659999999999998</v>
          </cell>
        </row>
        <row r="15818">
          <cell r="E15818" t="str">
            <v>TEL</v>
          </cell>
          <cell r="F15818" t="str">
            <v xml:space="preserve">TEL-T </v>
          </cell>
          <cell r="G15818">
            <v>504</v>
          </cell>
          <cell r="H15818" t="str">
            <v>TEL-T 504</v>
          </cell>
          <cell r="K15818" t="str">
            <v>Cherry,Barbara</v>
          </cell>
          <cell r="N15818">
            <v>3.7709999999999999</v>
          </cell>
          <cell r="O15818">
            <v>3.819</v>
          </cell>
        </row>
        <row r="15819">
          <cell r="E15819" t="str">
            <v>TEL</v>
          </cell>
          <cell r="F15819" t="str">
            <v xml:space="preserve">TEL-T </v>
          </cell>
          <cell r="G15819">
            <v>505</v>
          </cell>
          <cell r="H15819" t="str">
            <v>TEL-T 505</v>
          </cell>
          <cell r="K15819" t="str">
            <v>Deuze,Martinus J</v>
          </cell>
          <cell r="N15819">
            <v>3.5230000000000001</v>
          </cell>
          <cell r="O15819">
            <v>3.6989999999999998</v>
          </cell>
        </row>
        <row r="15820">
          <cell r="E15820" t="str">
            <v>TEL</v>
          </cell>
          <cell r="F15820" t="str">
            <v xml:space="preserve">TEL-T </v>
          </cell>
          <cell r="G15820">
            <v>510</v>
          </cell>
          <cell r="H15820" t="str">
            <v>TEL-T 510</v>
          </cell>
          <cell r="K15820" t="str">
            <v>Grabe,Maria Elizabeth</v>
          </cell>
          <cell r="N15820">
            <v>3.629</v>
          </cell>
          <cell r="O15820">
            <v>3.7440000000000002</v>
          </cell>
        </row>
        <row r="15821">
          <cell r="E15821" t="str">
            <v>TEL</v>
          </cell>
          <cell r="F15821" t="str">
            <v xml:space="preserve">TEL-T </v>
          </cell>
          <cell r="G15821">
            <v>522</v>
          </cell>
          <cell r="H15821" t="str">
            <v>TEL-T 522</v>
          </cell>
          <cell r="K15821" t="str">
            <v>Krahnke,Steven R</v>
          </cell>
          <cell r="N15821">
            <v>3.4</v>
          </cell>
          <cell r="O15821">
            <v>3.6560000000000001</v>
          </cell>
        </row>
        <row r="15822">
          <cell r="E15822" t="str">
            <v>TEL</v>
          </cell>
          <cell r="F15822" t="str">
            <v xml:space="preserve">TEL-T </v>
          </cell>
          <cell r="G15822">
            <v>532</v>
          </cell>
          <cell r="H15822" t="str">
            <v>TEL-T 532</v>
          </cell>
          <cell r="K15822" t="str">
            <v>Waterman,David H.</v>
          </cell>
          <cell r="N15822">
            <v>3.55</v>
          </cell>
          <cell r="O15822">
            <v>3.7679999999999998</v>
          </cell>
        </row>
        <row r="15823">
          <cell r="E15823" t="str">
            <v>TEL</v>
          </cell>
          <cell r="F15823" t="str">
            <v xml:space="preserve">TEL-T </v>
          </cell>
          <cell r="G15823">
            <v>540</v>
          </cell>
          <cell r="H15823" t="str">
            <v>TEL-T 540</v>
          </cell>
          <cell r="K15823" t="str">
            <v>Herber,Norbert Francis</v>
          </cell>
          <cell r="N15823" t="str">
            <v>NR</v>
          </cell>
          <cell r="O15823" t="str">
            <v>NR</v>
          </cell>
        </row>
        <row r="15824">
          <cell r="E15824" t="str">
            <v>TEL</v>
          </cell>
          <cell r="F15824" t="str">
            <v xml:space="preserve">TEL-T </v>
          </cell>
          <cell r="G15824">
            <v>540</v>
          </cell>
          <cell r="H15824" t="str">
            <v>TEL-T 540</v>
          </cell>
          <cell r="K15824" t="str">
            <v>Lang,Annie</v>
          </cell>
          <cell r="N15824">
            <v>4</v>
          </cell>
          <cell r="O15824">
            <v>3.8220000000000001</v>
          </cell>
        </row>
        <row r="15825">
          <cell r="E15825" t="str">
            <v>TEL</v>
          </cell>
          <cell r="F15825" t="str">
            <v xml:space="preserve">TEL-T </v>
          </cell>
          <cell r="G15825">
            <v>540</v>
          </cell>
          <cell r="H15825" t="str">
            <v>TEL-T 540</v>
          </cell>
          <cell r="K15825" t="str">
            <v>Sawhney,Harmeet</v>
          </cell>
          <cell r="N15825" t="str">
            <v>NR</v>
          </cell>
          <cell r="O15825" t="str">
            <v>NR</v>
          </cell>
        </row>
        <row r="15826">
          <cell r="E15826" t="str">
            <v>TEL</v>
          </cell>
          <cell r="F15826" t="str">
            <v xml:space="preserve">TEL-T </v>
          </cell>
          <cell r="G15826">
            <v>540</v>
          </cell>
          <cell r="H15826" t="str">
            <v>TEL-T 540</v>
          </cell>
          <cell r="K15826" t="str">
            <v>Sawhney,Harmeet</v>
          </cell>
          <cell r="N15826" t="str">
            <v>NR</v>
          </cell>
          <cell r="O15826" t="str">
            <v>NR</v>
          </cell>
        </row>
        <row r="15827">
          <cell r="E15827" t="str">
            <v>TEL</v>
          </cell>
          <cell r="F15827" t="str">
            <v xml:space="preserve">TEL-T </v>
          </cell>
          <cell r="G15827">
            <v>540</v>
          </cell>
          <cell r="H15827" t="str">
            <v>TEL-T 540</v>
          </cell>
          <cell r="K15827" t="str">
            <v>Sawhney,Harmeet</v>
          </cell>
          <cell r="N15827" t="str">
            <v>NR</v>
          </cell>
          <cell r="O15827" t="str">
            <v>NR</v>
          </cell>
        </row>
        <row r="15828">
          <cell r="E15828" t="str">
            <v>TEL</v>
          </cell>
          <cell r="F15828" t="str">
            <v xml:space="preserve">TEL-T </v>
          </cell>
          <cell r="G15828">
            <v>560</v>
          </cell>
          <cell r="H15828" t="str">
            <v>TEL-T 560</v>
          </cell>
          <cell r="K15828" t="str">
            <v>Waterman,David H.</v>
          </cell>
          <cell r="N15828">
            <v>3.621</v>
          </cell>
          <cell r="O15828">
            <v>3.6549999999999998</v>
          </cell>
        </row>
        <row r="15829">
          <cell r="E15829" t="str">
            <v>TEL</v>
          </cell>
          <cell r="F15829" t="str">
            <v xml:space="preserve">TEL-T </v>
          </cell>
          <cell r="G15829">
            <v>576</v>
          </cell>
          <cell r="H15829" t="str">
            <v>TEL-T 576</v>
          </cell>
          <cell r="K15829" t="str">
            <v>Sawhney,Harmeet</v>
          </cell>
          <cell r="N15829" t="str">
            <v>NR</v>
          </cell>
          <cell r="O15829" t="str">
            <v>NR</v>
          </cell>
        </row>
        <row r="15830">
          <cell r="E15830" t="str">
            <v>TEL</v>
          </cell>
          <cell r="F15830" t="str">
            <v xml:space="preserve">TEL-T </v>
          </cell>
          <cell r="G15830">
            <v>576</v>
          </cell>
          <cell r="H15830" t="str">
            <v>TEL-T 576</v>
          </cell>
          <cell r="K15830" t="str">
            <v>Sawhney,Harmeet</v>
          </cell>
          <cell r="N15830" t="str">
            <v>NR</v>
          </cell>
          <cell r="O15830" t="str">
            <v>NR</v>
          </cell>
        </row>
        <row r="15831">
          <cell r="E15831" t="str">
            <v>TEL</v>
          </cell>
          <cell r="F15831" t="str">
            <v xml:space="preserve">TEL-T </v>
          </cell>
          <cell r="G15831">
            <v>577</v>
          </cell>
          <cell r="H15831" t="str">
            <v>TEL-T 577</v>
          </cell>
          <cell r="K15831" t="str">
            <v>Sawhney,Harmeet</v>
          </cell>
          <cell r="N15831" t="str">
            <v>NR</v>
          </cell>
          <cell r="O15831" t="str">
            <v>NR</v>
          </cell>
        </row>
        <row r="15832">
          <cell r="E15832" t="str">
            <v>TEL</v>
          </cell>
          <cell r="F15832" t="str">
            <v xml:space="preserve">TEL-T </v>
          </cell>
          <cell r="G15832">
            <v>577</v>
          </cell>
          <cell r="H15832" t="str">
            <v>TEL-T 577</v>
          </cell>
          <cell r="K15832" t="str">
            <v>Sawhney,Harmeet</v>
          </cell>
          <cell r="N15832" t="str">
            <v>NR</v>
          </cell>
          <cell r="O15832" t="str">
            <v>NR</v>
          </cell>
        </row>
        <row r="15833">
          <cell r="E15833" t="str">
            <v>TEL</v>
          </cell>
          <cell r="F15833" t="str">
            <v xml:space="preserve">TEL-T </v>
          </cell>
          <cell r="G15833">
            <v>580</v>
          </cell>
          <cell r="H15833" t="str">
            <v>TEL-T 580</v>
          </cell>
          <cell r="K15833" t="str">
            <v>Herber,Norbert Francis</v>
          </cell>
          <cell r="N15833">
            <v>3.8220000000000001</v>
          </cell>
          <cell r="O15833">
            <v>3.6459999999999999</v>
          </cell>
        </row>
        <row r="15834">
          <cell r="E15834" t="str">
            <v>TEL</v>
          </cell>
          <cell r="F15834" t="str">
            <v xml:space="preserve">TEL-T </v>
          </cell>
          <cell r="G15834">
            <v>597</v>
          </cell>
          <cell r="H15834" t="str">
            <v>TEL-T 597</v>
          </cell>
          <cell r="K15834" t="str">
            <v>Sawhney,Harmeet</v>
          </cell>
          <cell r="N15834" t="str">
            <v>NR</v>
          </cell>
          <cell r="O15834" t="str">
            <v>NR</v>
          </cell>
        </row>
        <row r="15835">
          <cell r="E15835" t="str">
            <v>TEL</v>
          </cell>
          <cell r="F15835" t="str">
            <v xml:space="preserve">TEL-T </v>
          </cell>
          <cell r="G15835">
            <v>597</v>
          </cell>
          <cell r="H15835" t="str">
            <v>TEL-T 597</v>
          </cell>
          <cell r="K15835" t="str">
            <v>Sawhney,Harmeet</v>
          </cell>
          <cell r="N15835" t="str">
            <v>NR</v>
          </cell>
          <cell r="O15835" t="str">
            <v>NR</v>
          </cell>
        </row>
        <row r="15836">
          <cell r="E15836" t="str">
            <v>TEL</v>
          </cell>
          <cell r="F15836" t="str">
            <v xml:space="preserve">TEL-T </v>
          </cell>
          <cell r="G15836">
            <v>600</v>
          </cell>
          <cell r="H15836" t="str">
            <v>TEL-T 600</v>
          </cell>
          <cell r="K15836" t="str">
            <v>Deuze,Martinus J</v>
          </cell>
          <cell r="N15836" t="str">
            <v>NR</v>
          </cell>
          <cell r="O15836" t="str">
            <v>NR</v>
          </cell>
        </row>
        <row r="15837">
          <cell r="E15837" t="str">
            <v>TEL</v>
          </cell>
          <cell r="F15837" t="str">
            <v xml:space="preserve">TEL-T </v>
          </cell>
          <cell r="G15837">
            <v>600</v>
          </cell>
          <cell r="H15837" t="str">
            <v>TEL-T 600</v>
          </cell>
          <cell r="K15837" t="str">
            <v>Paul,Bryant M</v>
          </cell>
          <cell r="N15837" t="str">
            <v>NR</v>
          </cell>
          <cell r="O15837" t="str">
            <v>NR</v>
          </cell>
        </row>
        <row r="15838">
          <cell r="E15838" t="str">
            <v>TEL</v>
          </cell>
          <cell r="F15838" t="str">
            <v xml:space="preserve">TEL-T </v>
          </cell>
          <cell r="G15838">
            <v>602</v>
          </cell>
          <cell r="H15838" t="str">
            <v>TEL-T 602</v>
          </cell>
          <cell r="K15838" t="str">
            <v>Potter,Rob</v>
          </cell>
          <cell r="N15838">
            <v>3.65</v>
          </cell>
          <cell r="O15838">
            <v>3.7080000000000002</v>
          </cell>
        </row>
        <row r="15839">
          <cell r="E15839" t="str">
            <v>TEL</v>
          </cell>
          <cell r="F15839" t="str">
            <v xml:space="preserve">TEL-T </v>
          </cell>
          <cell r="G15839">
            <v>602</v>
          </cell>
          <cell r="H15839" t="str">
            <v>TEL-T 602</v>
          </cell>
          <cell r="K15839" t="str">
            <v>Weaver,Andrew Joseph</v>
          </cell>
          <cell r="N15839">
            <v>3.746</v>
          </cell>
          <cell r="O15839">
            <v>3.7959999999999998</v>
          </cell>
        </row>
        <row r="15840">
          <cell r="E15840" t="str">
            <v>TEL</v>
          </cell>
          <cell r="F15840" t="str">
            <v xml:space="preserve">TEL-T </v>
          </cell>
          <cell r="G15840">
            <v>603</v>
          </cell>
          <cell r="H15840" t="str">
            <v>TEL-T 603</v>
          </cell>
          <cell r="K15840" t="str">
            <v>Sawhney,Harmeet</v>
          </cell>
          <cell r="N15840" t="str">
            <v>NR</v>
          </cell>
          <cell r="O15840" t="str">
            <v>NR</v>
          </cell>
        </row>
        <row r="15841">
          <cell r="E15841" t="str">
            <v>TEL</v>
          </cell>
          <cell r="F15841" t="str">
            <v xml:space="preserve">TEL-T </v>
          </cell>
          <cell r="G15841">
            <v>800</v>
          </cell>
          <cell r="H15841" t="str">
            <v>TEL-T 800</v>
          </cell>
          <cell r="K15841" t="str">
            <v>Sawhney,Harmeet</v>
          </cell>
          <cell r="N15841" t="str">
            <v>NR</v>
          </cell>
          <cell r="O15841" t="str">
            <v>NR</v>
          </cell>
        </row>
        <row r="15842">
          <cell r="E15842" t="str">
            <v>TEL</v>
          </cell>
          <cell r="F15842" t="str">
            <v xml:space="preserve">TEL-T </v>
          </cell>
          <cell r="G15842">
            <v>800</v>
          </cell>
          <cell r="H15842" t="str">
            <v>TEL-T 800</v>
          </cell>
          <cell r="K15842" t="str">
            <v>Sawhney,Harmeet</v>
          </cell>
          <cell r="N15842" t="str">
            <v>NR</v>
          </cell>
          <cell r="O15842" t="str">
            <v>NR</v>
          </cell>
        </row>
        <row r="15843">
          <cell r="E15843" t="str">
            <v>THTR</v>
          </cell>
          <cell r="F15843" t="str">
            <v>THTR-G</v>
          </cell>
          <cell r="G15843">
            <v>901</v>
          </cell>
          <cell r="H15843" t="str">
            <v>THTR-G901</v>
          </cell>
          <cell r="K15843" t="str">
            <v>Wainscott,Ronald H.</v>
          </cell>
          <cell r="N15843" t="str">
            <v>NR</v>
          </cell>
          <cell r="O15843" t="str">
            <v>NR</v>
          </cell>
        </row>
        <row r="15844">
          <cell r="E15844" t="str">
            <v>THTR</v>
          </cell>
          <cell r="F15844" t="str">
            <v>THTR-G</v>
          </cell>
          <cell r="G15844">
            <v>901</v>
          </cell>
          <cell r="H15844" t="str">
            <v>THTR-G901</v>
          </cell>
          <cell r="K15844" t="str">
            <v>Wainscott,Ronald H.</v>
          </cell>
          <cell r="N15844" t="str">
            <v>NR</v>
          </cell>
          <cell r="O15844" t="str">
            <v>NR</v>
          </cell>
        </row>
        <row r="15845">
          <cell r="E15845" t="str">
            <v>THTR</v>
          </cell>
          <cell r="F15845" t="str">
            <v>THTR-OS</v>
          </cell>
          <cell r="G15845">
            <v>100</v>
          </cell>
          <cell r="H15845" t="str">
            <v>THTR-OS100</v>
          </cell>
          <cell r="N15845" t="str">
            <v>NR</v>
          </cell>
          <cell r="O15845" t="str">
            <v>NR</v>
          </cell>
        </row>
        <row r="15846">
          <cell r="E15846" t="str">
            <v>THTR</v>
          </cell>
          <cell r="F15846" t="str">
            <v>THTR-OS</v>
          </cell>
          <cell r="G15846">
            <v>100</v>
          </cell>
          <cell r="H15846" t="str">
            <v>THTR-OS100</v>
          </cell>
          <cell r="N15846" t="str">
            <v>NR</v>
          </cell>
          <cell r="O15846" t="str">
            <v>NR</v>
          </cell>
        </row>
        <row r="15847">
          <cell r="E15847" t="str">
            <v>THTR</v>
          </cell>
          <cell r="F15847" t="str">
            <v>THTR-OS</v>
          </cell>
          <cell r="G15847">
            <v>100</v>
          </cell>
          <cell r="H15847" t="str">
            <v>THTR-OS100</v>
          </cell>
          <cell r="N15847" t="str">
            <v>NR</v>
          </cell>
          <cell r="O15847" t="str">
            <v>NR</v>
          </cell>
        </row>
        <row r="15848">
          <cell r="E15848" t="str">
            <v>THTR</v>
          </cell>
          <cell r="F15848" t="str">
            <v>THTR-T</v>
          </cell>
          <cell r="G15848">
            <v>100</v>
          </cell>
          <cell r="H15848" t="str">
            <v>THTR-T100</v>
          </cell>
          <cell r="K15848" t="str">
            <v>Gaier,Carle William</v>
          </cell>
          <cell r="N15848">
            <v>2.569</v>
          </cell>
          <cell r="O15848">
            <v>2.8559999999999999</v>
          </cell>
        </row>
        <row r="15849">
          <cell r="E15849" t="str">
            <v>THTR</v>
          </cell>
          <cell r="F15849" t="str">
            <v>THTR-T</v>
          </cell>
          <cell r="G15849">
            <v>100</v>
          </cell>
          <cell r="H15849" t="str">
            <v>THTR-T100</v>
          </cell>
          <cell r="K15849" t="str">
            <v>Gaier,Carle William</v>
          </cell>
          <cell r="N15849">
            <v>2.823</v>
          </cell>
          <cell r="O15849">
            <v>2.93</v>
          </cell>
        </row>
        <row r="15850">
          <cell r="E15850" t="str">
            <v>THTR</v>
          </cell>
          <cell r="F15850" t="str">
            <v>THTR-T</v>
          </cell>
          <cell r="G15850">
            <v>100</v>
          </cell>
          <cell r="H15850" t="str">
            <v>THTR-T100</v>
          </cell>
          <cell r="K15850" t="str">
            <v>Heaps,Eric C</v>
          </cell>
          <cell r="N15850">
            <v>3.137</v>
          </cell>
          <cell r="O15850">
            <v>3.1070000000000002</v>
          </cell>
        </row>
        <row r="15851">
          <cell r="E15851" t="str">
            <v>THTR</v>
          </cell>
          <cell r="F15851" t="str">
            <v>THTR-T</v>
          </cell>
          <cell r="G15851">
            <v>100</v>
          </cell>
          <cell r="H15851" t="str">
            <v>THTR-T100</v>
          </cell>
          <cell r="K15851" t="str">
            <v>Stollenwerk,Joseph John</v>
          </cell>
          <cell r="N15851">
            <v>2.6259999999999999</v>
          </cell>
          <cell r="O15851">
            <v>2.9289999999999998</v>
          </cell>
        </row>
        <row r="15852">
          <cell r="E15852" t="str">
            <v>THTR</v>
          </cell>
          <cell r="F15852" t="str">
            <v>THTR-T</v>
          </cell>
          <cell r="G15852">
            <v>101</v>
          </cell>
          <cell r="H15852" t="str">
            <v>THTR-T101</v>
          </cell>
          <cell r="K15852" t="str">
            <v>Gaier,Carle William</v>
          </cell>
          <cell r="N15852">
            <v>2.968</v>
          </cell>
          <cell r="O15852">
            <v>3.028</v>
          </cell>
        </row>
        <row r="15853">
          <cell r="E15853" t="str">
            <v>THTR</v>
          </cell>
          <cell r="F15853" t="str">
            <v>THTR-T</v>
          </cell>
          <cell r="G15853">
            <v>101</v>
          </cell>
          <cell r="H15853" t="str">
            <v>THTR-T101</v>
          </cell>
          <cell r="K15853" t="str">
            <v>Gaier,Carle William</v>
          </cell>
          <cell r="N15853">
            <v>3.0270000000000001</v>
          </cell>
          <cell r="O15853">
            <v>3.1280000000000001</v>
          </cell>
        </row>
        <row r="15854">
          <cell r="E15854" t="str">
            <v>THTR</v>
          </cell>
          <cell r="F15854" t="str">
            <v>THTR-T</v>
          </cell>
          <cell r="G15854">
            <v>101</v>
          </cell>
          <cell r="H15854" t="str">
            <v>THTR-T101</v>
          </cell>
          <cell r="K15854" t="str">
            <v>Heaps,Eric C</v>
          </cell>
          <cell r="N15854">
            <v>3.4950000000000001</v>
          </cell>
          <cell r="O15854">
            <v>2.9740000000000002</v>
          </cell>
        </row>
        <row r="15855">
          <cell r="E15855" t="str">
            <v>THTR</v>
          </cell>
          <cell r="F15855" t="str">
            <v>THTR-T</v>
          </cell>
          <cell r="G15855">
            <v>101</v>
          </cell>
          <cell r="H15855" t="str">
            <v>THTR-T101</v>
          </cell>
          <cell r="K15855" t="str">
            <v>Nichols,Deana L</v>
          </cell>
          <cell r="N15855">
            <v>3.3570000000000002</v>
          </cell>
          <cell r="O15855">
            <v>3.2320000000000002</v>
          </cell>
        </row>
        <row r="15856">
          <cell r="E15856" t="str">
            <v>THTR</v>
          </cell>
          <cell r="F15856" t="str">
            <v>THTR-T</v>
          </cell>
          <cell r="G15856">
            <v>101</v>
          </cell>
          <cell r="H15856" t="str">
            <v>THTR-T101</v>
          </cell>
          <cell r="K15856" t="str">
            <v>Pyles,Timothy Andrew</v>
          </cell>
          <cell r="N15856">
            <v>3.0379999999999998</v>
          </cell>
          <cell r="O15856">
            <v>2.8050000000000002</v>
          </cell>
        </row>
        <row r="15857">
          <cell r="E15857" t="str">
            <v>THTR</v>
          </cell>
          <cell r="F15857" t="str">
            <v>THTR-T</v>
          </cell>
          <cell r="G15857">
            <v>101</v>
          </cell>
          <cell r="H15857" t="str">
            <v>THTR-T101</v>
          </cell>
          <cell r="K15857" t="str">
            <v>Stollenwerk,Joseph John</v>
          </cell>
          <cell r="N15857">
            <v>3.32</v>
          </cell>
          <cell r="O15857">
            <v>3.0680000000000001</v>
          </cell>
        </row>
        <row r="15858">
          <cell r="E15858" t="str">
            <v>THTR</v>
          </cell>
          <cell r="F15858" t="str">
            <v>THTR-T</v>
          </cell>
          <cell r="G15858">
            <v>101</v>
          </cell>
          <cell r="H15858" t="str">
            <v>THTR-T101</v>
          </cell>
          <cell r="K15858" t="str">
            <v>Taylor,Sara Beth</v>
          </cell>
          <cell r="N15858">
            <v>3.1619999999999999</v>
          </cell>
          <cell r="O15858">
            <v>3.2440000000000002</v>
          </cell>
        </row>
        <row r="15859">
          <cell r="E15859" t="str">
            <v>THTR</v>
          </cell>
          <cell r="F15859" t="str">
            <v>THTR-T</v>
          </cell>
          <cell r="G15859">
            <v>101</v>
          </cell>
          <cell r="H15859" t="str">
            <v>THTR-T101</v>
          </cell>
          <cell r="K15859" t="str">
            <v>Utterback,Neal Allen</v>
          </cell>
          <cell r="N15859">
            <v>3.448</v>
          </cell>
          <cell r="O15859">
            <v>2.9740000000000002</v>
          </cell>
        </row>
        <row r="15860">
          <cell r="E15860" t="str">
            <v>THTR</v>
          </cell>
          <cell r="F15860" t="str">
            <v>THTR-T</v>
          </cell>
          <cell r="G15860">
            <v>120</v>
          </cell>
          <cell r="H15860" t="str">
            <v>THTR-T120</v>
          </cell>
          <cell r="K15860" t="str">
            <v>Casey,Molly Elizabeth</v>
          </cell>
          <cell r="N15860">
            <v>3.5059999999999998</v>
          </cell>
          <cell r="O15860">
            <v>3.2450000000000001</v>
          </cell>
        </row>
        <row r="15861">
          <cell r="E15861" t="str">
            <v>THTR</v>
          </cell>
          <cell r="F15861" t="str">
            <v>THTR-T</v>
          </cell>
          <cell r="G15861">
            <v>120</v>
          </cell>
          <cell r="H15861" t="str">
            <v>THTR-T120</v>
          </cell>
          <cell r="K15861" t="str">
            <v>Cromwell,Lee Anthony</v>
          </cell>
          <cell r="N15861">
            <v>3.7829999999999999</v>
          </cell>
          <cell r="O15861">
            <v>3.036</v>
          </cell>
        </row>
        <row r="15862">
          <cell r="E15862" t="str">
            <v>THTR</v>
          </cell>
          <cell r="F15862" t="str">
            <v>THTR-T</v>
          </cell>
          <cell r="G15862">
            <v>120</v>
          </cell>
          <cell r="H15862" t="str">
            <v>THTR-T120</v>
          </cell>
          <cell r="K15862" t="str">
            <v>Cromwell,Lee Anthony</v>
          </cell>
          <cell r="N15862">
            <v>3.6389999999999998</v>
          </cell>
          <cell r="O15862">
            <v>3.2749999999999999</v>
          </cell>
        </row>
        <row r="15863">
          <cell r="E15863" t="str">
            <v>THTR</v>
          </cell>
          <cell r="F15863" t="str">
            <v>THTR-T</v>
          </cell>
          <cell r="G15863">
            <v>120</v>
          </cell>
          <cell r="H15863" t="str">
            <v>THTR-T120</v>
          </cell>
          <cell r="K15863" t="str">
            <v>Gaynor,Evelyn</v>
          </cell>
          <cell r="N15863">
            <v>3.7559999999999998</v>
          </cell>
          <cell r="O15863">
            <v>3.387</v>
          </cell>
        </row>
        <row r="15864">
          <cell r="E15864" t="str">
            <v>THTR</v>
          </cell>
          <cell r="F15864" t="str">
            <v>THTR-T</v>
          </cell>
          <cell r="G15864">
            <v>120</v>
          </cell>
          <cell r="H15864" t="str">
            <v>THTR-T120</v>
          </cell>
          <cell r="K15864" t="str">
            <v>Heller,Robert Marshall</v>
          </cell>
          <cell r="N15864">
            <v>3.47</v>
          </cell>
          <cell r="O15864">
            <v>3.2269999999999999</v>
          </cell>
        </row>
        <row r="15865">
          <cell r="E15865" t="str">
            <v>THTR</v>
          </cell>
          <cell r="F15865" t="str">
            <v>THTR-T</v>
          </cell>
          <cell r="G15865">
            <v>120</v>
          </cell>
          <cell r="H15865" t="str">
            <v>THTR-T120</v>
          </cell>
          <cell r="K15865" t="str">
            <v>Heller,Robert Marshall</v>
          </cell>
          <cell r="N15865">
            <v>3.133</v>
          </cell>
          <cell r="O15865">
            <v>2.8519999999999999</v>
          </cell>
        </row>
        <row r="15866">
          <cell r="E15866" t="str">
            <v>THTR</v>
          </cell>
          <cell r="F15866" t="str">
            <v>THTR-T</v>
          </cell>
          <cell r="G15866">
            <v>120</v>
          </cell>
          <cell r="H15866" t="str">
            <v>THTR-T120</v>
          </cell>
          <cell r="K15866" t="str">
            <v>Kamie,Mark</v>
          </cell>
          <cell r="N15866">
            <v>3.5710000000000002</v>
          </cell>
          <cell r="O15866">
            <v>3.1160000000000001</v>
          </cell>
        </row>
        <row r="15867">
          <cell r="E15867" t="str">
            <v>THTR</v>
          </cell>
          <cell r="F15867" t="str">
            <v>THTR-T</v>
          </cell>
          <cell r="G15867">
            <v>120</v>
          </cell>
          <cell r="H15867" t="str">
            <v>THTR-T120</v>
          </cell>
          <cell r="K15867" t="str">
            <v>Kamie,Mark</v>
          </cell>
          <cell r="N15867">
            <v>3.6629999999999998</v>
          </cell>
          <cell r="O15867">
            <v>3.101</v>
          </cell>
        </row>
        <row r="15868">
          <cell r="E15868" t="str">
            <v>THTR</v>
          </cell>
          <cell r="F15868" t="str">
            <v>THTR-T</v>
          </cell>
          <cell r="G15868">
            <v>120</v>
          </cell>
          <cell r="H15868" t="str">
            <v>THTR-T120</v>
          </cell>
          <cell r="K15868" t="str">
            <v>Kirkpatrick,Aaron</v>
          </cell>
          <cell r="N15868">
            <v>3.625</v>
          </cell>
          <cell r="O15868">
            <v>3.2770000000000001</v>
          </cell>
        </row>
        <row r="15869">
          <cell r="E15869" t="str">
            <v>THTR</v>
          </cell>
          <cell r="F15869" t="str">
            <v>THTR-T</v>
          </cell>
          <cell r="G15869">
            <v>120</v>
          </cell>
          <cell r="H15869" t="str">
            <v>THTR-T120</v>
          </cell>
          <cell r="K15869" t="str">
            <v>Kirkpatrick,Aaron</v>
          </cell>
          <cell r="N15869">
            <v>3.8130000000000002</v>
          </cell>
          <cell r="O15869">
            <v>3.4750000000000001</v>
          </cell>
        </row>
        <row r="15870">
          <cell r="E15870" t="str">
            <v>THTR</v>
          </cell>
          <cell r="F15870" t="str">
            <v>THTR-T</v>
          </cell>
          <cell r="G15870">
            <v>120</v>
          </cell>
          <cell r="H15870" t="str">
            <v>THTR-T120</v>
          </cell>
          <cell r="K15870" t="str">
            <v>Mellos,Andrea Nicole</v>
          </cell>
          <cell r="N15870">
            <v>3.7</v>
          </cell>
          <cell r="O15870">
            <v>3.1659999999999999</v>
          </cell>
        </row>
        <row r="15871">
          <cell r="E15871" t="str">
            <v>THTR</v>
          </cell>
          <cell r="F15871" t="str">
            <v>THTR-T</v>
          </cell>
          <cell r="G15871">
            <v>120</v>
          </cell>
          <cell r="H15871" t="str">
            <v>THTR-T120</v>
          </cell>
          <cell r="K15871" t="str">
            <v>Mellos,Andrea Nicole</v>
          </cell>
          <cell r="N15871">
            <v>3.6890000000000001</v>
          </cell>
          <cell r="O15871">
            <v>3.1779999999999999</v>
          </cell>
        </row>
        <row r="15872">
          <cell r="E15872" t="str">
            <v>THTR</v>
          </cell>
          <cell r="F15872" t="str">
            <v>THTR-T</v>
          </cell>
          <cell r="G15872">
            <v>120</v>
          </cell>
          <cell r="H15872" t="str">
            <v>THTR-T120</v>
          </cell>
          <cell r="K15872" t="str">
            <v>Mellos,Andrea Nicole</v>
          </cell>
          <cell r="N15872">
            <v>3.7120000000000002</v>
          </cell>
          <cell r="O15872">
            <v>3.0920000000000001</v>
          </cell>
        </row>
        <row r="15873">
          <cell r="E15873" t="str">
            <v>THTR</v>
          </cell>
          <cell r="F15873" t="str">
            <v>THTR-T</v>
          </cell>
          <cell r="G15873">
            <v>120</v>
          </cell>
          <cell r="H15873" t="str">
            <v>THTR-T120</v>
          </cell>
          <cell r="K15873" t="str">
            <v>St. John,Adam Gregory</v>
          </cell>
          <cell r="N15873">
            <v>2.794</v>
          </cell>
          <cell r="O15873">
            <v>2.97</v>
          </cell>
        </row>
        <row r="15874">
          <cell r="E15874" t="str">
            <v>THTR</v>
          </cell>
          <cell r="F15874" t="str">
            <v>THTR-T</v>
          </cell>
          <cell r="G15874">
            <v>120</v>
          </cell>
          <cell r="H15874" t="str">
            <v>THTR-T120</v>
          </cell>
          <cell r="K15874" t="str">
            <v>Stollenwerk,Joseph John</v>
          </cell>
          <cell r="N15874">
            <v>3.629</v>
          </cell>
          <cell r="O15874">
            <v>3.1459999999999999</v>
          </cell>
        </row>
        <row r="15875">
          <cell r="E15875" t="str">
            <v>THTR</v>
          </cell>
          <cell r="F15875" t="str">
            <v>THTR-T</v>
          </cell>
          <cell r="G15875">
            <v>120</v>
          </cell>
          <cell r="H15875" t="str">
            <v>THTR-T120</v>
          </cell>
          <cell r="K15875" t="str">
            <v>Weltsek III,Gustave</v>
          </cell>
          <cell r="N15875">
            <v>3.5630000000000002</v>
          </cell>
          <cell r="O15875">
            <v>3.1840000000000002</v>
          </cell>
        </row>
        <row r="15876">
          <cell r="E15876" t="str">
            <v>THTR</v>
          </cell>
          <cell r="F15876" t="str">
            <v>THTR-T</v>
          </cell>
          <cell r="G15876">
            <v>120</v>
          </cell>
          <cell r="H15876" t="str">
            <v>THTR-T120</v>
          </cell>
          <cell r="K15876" t="str">
            <v>Wright,Jaysen Alexander</v>
          </cell>
          <cell r="N15876">
            <v>2.718</v>
          </cell>
          <cell r="O15876">
            <v>2.6859999999999999</v>
          </cell>
        </row>
        <row r="15877">
          <cell r="E15877" t="str">
            <v>THTR</v>
          </cell>
          <cell r="F15877" t="str">
            <v>THTR-T</v>
          </cell>
          <cell r="G15877">
            <v>121</v>
          </cell>
          <cell r="H15877" t="str">
            <v>THTR-T121</v>
          </cell>
          <cell r="K15877" t="str">
            <v>Cromwell,Lee Anthony</v>
          </cell>
          <cell r="N15877">
            <v>3.7829999999999999</v>
          </cell>
          <cell r="O15877">
            <v>3.202</v>
          </cell>
        </row>
        <row r="15878">
          <cell r="E15878" t="str">
            <v>THTR</v>
          </cell>
          <cell r="F15878" t="str">
            <v>THTR-T</v>
          </cell>
          <cell r="G15878">
            <v>121</v>
          </cell>
          <cell r="H15878" t="str">
            <v>THTR-T121</v>
          </cell>
          <cell r="K15878" t="str">
            <v>Kirkpatrick,Aaron</v>
          </cell>
          <cell r="N15878">
            <v>4</v>
          </cell>
          <cell r="O15878">
            <v>3.4369999999999998</v>
          </cell>
        </row>
        <row r="15879">
          <cell r="E15879" t="str">
            <v>THTR</v>
          </cell>
          <cell r="F15879" t="str">
            <v>THTR-T</v>
          </cell>
          <cell r="G15879">
            <v>121</v>
          </cell>
          <cell r="H15879" t="str">
            <v>THTR-T121</v>
          </cell>
          <cell r="K15879" t="str">
            <v>McFadden,Dale C.</v>
          </cell>
          <cell r="N15879">
            <v>3.9060000000000001</v>
          </cell>
          <cell r="O15879">
            <v>3.484</v>
          </cell>
        </row>
        <row r="15880">
          <cell r="E15880" t="str">
            <v>THTR</v>
          </cell>
          <cell r="F15880" t="str">
            <v>THTR-T</v>
          </cell>
          <cell r="G15880">
            <v>121</v>
          </cell>
          <cell r="H15880" t="str">
            <v>THTR-T121</v>
          </cell>
          <cell r="K15880" t="str">
            <v>St. John,Adam Gregory</v>
          </cell>
          <cell r="N15880">
            <v>3.2189999999999999</v>
          </cell>
          <cell r="O15880">
            <v>3.069</v>
          </cell>
        </row>
        <row r="15881">
          <cell r="E15881" t="str">
            <v>THTR</v>
          </cell>
          <cell r="F15881" t="str">
            <v>THTR-T</v>
          </cell>
          <cell r="G15881">
            <v>125</v>
          </cell>
          <cell r="H15881" t="str">
            <v>THTR-T125</v>
          </cell>
          <cell r="K15881" t="str">
            <v>Brunner,Paul J</v>
          </cell>
          <cell r="N15881">
            <v>3.5329999999999999</v>
          </cell>
          <cell r="O15881">
            <v>3.395</v>
          </cell>
        </row>
        <row r="15882">
          <cell r="E15882" t="str">
            <v>THTR</v>
          </cell>
          <cell r="F15882" t="str">
            <v>THTR-T</v>
          </cell>
          <cell r="G15882">
            <v>125</v>
          </cell>
          <cell r="H15882" t="str">
            <v>THTR-T125</v>
          </cell>
          <cell r="K15882" t="str">
            <v>Duer,Fred M.</v>
          </cell>
          <cell r="N15882">
            <v>3.5139999999999998</v>
          </cell>
          <cell r="O15882">
            <v>3.2909999999999999</v>
          </cell>
        </row>
        <row r="15883">
          <cell r="E15883" t="str">
            <v>THTR</v>
          </cell>
          <cell r="F15883" t="str">
            <v>THTR-T</v>
          </cell>
          <cell r="G15883">
            <v>130</v>
          </cell>
          <cell r="H15883" t="str">
            <v>THTR-T130</v>
          </cell>
          <cell r="K15883" t="str">
            <v>Metzger,Colleen Alexis</v>
          </cell>
          <cell r="N15883">
            <v>3.5579999999999998</v>
          </cell>
          <cell r="O15883">
            <v>3.28</v>
          </cell>
        </row>
        <row r="15884">
          <cell r="E15884" t="str">
            <v>THTR</v>
          </cell>
          <cell r="F15884" t="str">
            <v>THTR-T</v>
          </cell>
          <cell r="G15884">
            <v>202</v>
          </cell>
          <cell r="H15884" t="str">
            <v>THTR-T202</v>
          </cell>
          <cell r="K15884" t="str">
            <v>Gennaro,Liza</v>
          </cell>
          <cell r="N15884">
            <v>3.0470000000000002</v>
          </cell>
          <cell r="O15884">
            <v>3.3809999999999998</v>
          </cell>
        </row>
        <row r="15885">
          <cell r="E15885" t="str">
            <v>THTR</v>
          </cell>
          <cell r="F15885" t="str">
            <v>THTR-T</v>
          </cell>
          <cell r="G15885">
            <v>202</v>
          </cell>
          <cell r="H15885" t="str">
            <v>THTR-T202</v>
          </cell>
          <cell r="K15885" t="str">
            <v>Pinney,George</v>
          </cell>
          <cell r="N15885">
            <v>3.968</v>
          </cell>
          <cell r="O15885">
            <v>3.6059999999999999</v>
          </cell>
        </row>
        <row r="15886">
          <cell r="E15886" t="str">
            <v>THTR</v>
          </cell>
          <cell r="F15886" t="str">
            <v>THTR-T</v>
          </cell>
          <cell r="G15886">
            <v>203</v>
          </cell>
          <cell r="H15886" t="str">
            <v>THTR-T203</v>
          </cell>
          <cell r="K15886" t="str">
            <v>LaBolt,Terry L.</v>
          </cell>
          <cell r="N15886">
            <v>3.9609999999999999</v>
          </cell>
          <cell r="O15886">
            <v>3.504</v>
          </cell>
        </row>
        <row r="15887">
          <cell r="E15887" t="str">
            <v>THTR</v>
          </cell>
          <cell r="F15887" t="str">
            <v>THTR-T</v>
          </cell>
          <cell r="G15887">
            <v>203</v>
          </cell>
          <cell r="H15887" t="str">
            <v>THTR-T203</v>
          </cell>
          <cell r="K15887" t="str">
            <v>LaBolt,Terry L.</v>
          </cell>
          <cell r="N15887">
            <v>4</v>
          </cell>
          <cell r="O15887">
            <v>3.5579999999999998</v>
          </cell>
        </row>
        <row r="15888">
          <cell r="E15888" t="str">
            <v>THTR</v>
          </cell>
          <cell r="F15888" t="str">
            <v>THTR-T</v>
          </cell>
          <cell r="G15888">
            <v>220</v>
          </cell>
          <cell r="H15888" t="str">
            <v>THTR-T220</v>
          </cell>
          <cell r="K15888" t="str">
            <v>Casey,Molly Elizabeth</v>
          </cell>
          <cell r="N15888">
            <v>3.88</v>
          </cell>
          <cell r="O15888">
            <v>3.032</v>
          </cell>
        </row>
        <row r="15889">
          <cell r="E15889" t="str">
            <v>THTR</v>
          </cell>
          <cell r="F15889" t="str">
            <v>THTR-T</v>
          </cell>
          <cell r="G15889">
            <v>220</v>
          </cell>
          <cell r="H15889" t="str">
            <v>THTR-T220</v>
          </cell>
          <cell r="K15889" t="str">
            <v>Gerrard,Clayton D</v>
          </cell>
          <cell r="N15889">
            <v>3.5289999999999999</v>
          </cell>
          <cell r="O15889">
            <v>3.1909999999999998</v>
          </cell>
        </row>
        <row r="15890">
          <cell r="E15890" t="str">
            <v>THTR</v>
          </cell>
          <cell r="F15890" t="str">
            <v>THTR-T</v>
          </cell>
          <cell r="G15890">
            <v>220</v>
          </cell>
          <cell r="H15890" t="str">
            <v>THTR-T220</v>
          </cell>
          <cell r="K15890" t="str">
            <v>Gerrard,Clayton D</v>
          </cell>
          <cell r="N15890">
            <v>3.4750000000000001</v>
          </cell>
          <cell r="O15890">
            <v>2.6819999999999999</v>
          </cell>
        </row>
        <row r="15891">
          <cell r="E15891" t="str">
            <v>THTR</v>
          </cell>
          <cell r="F15891" t="str">
            <v>THTR-T</v>
          </cell>
          <cell r="G15891">
            <v>220</v>
          </cell>
          <cell r="H15891" t="str">
            <v>THTR-T220</v>
          </cell>
          <cell r="K15891" t="str">
            <v>McGibbon,Murray L. J.</v>
          </cell>
          <cell r="N15891">
            <v>3.6819999999999999</v>
          </cell>
          <cell r="O15891">
            <v>3.3660000000000001</v>
          </cell>
        </row>
        <row r="15892">
          <cell r="E15892" t="str">
            <v>THTR</v>
          </cell>
          <cell r="F15892" t="str">
            <v>THTR-T</v>
          </cell>
          <cell r="G15892">
            <v>220</v>
          </cell>
          <cell r="H15892" t="str">
            <v>THTR-T220</v>
          </cell>
          <cell r="K15892" t="str">
            <v>Pyles,Timothy Andrew</v>
          </cell>
          <cell r="N15892">
            <v>3.7290000000000001</v>
          </cell>
          <cell r="O15892">
            <v>3.218</v>
          </cell>
        </row>
        <row r="15893">
          <cell r="E15893" t="str">
            <v>THTR</v>
          </cell>
          <cell r="F15893" t="str">
            <v>THTR-T</v>
          </cell>
          <cell r="G15893">
            <v>220</v>
          </cell>
          <cell r="H15893" t="str">
            <v>THTR-T220</v>
          </cell>
          <cell r="K15893" t="str">
            <v>St. John,Adam Gregory</v>
          </cell>
          <cell r="N15893">
            <v>3.2930000000000001</v>
          </cell>
          <cell r="O15893">
            <v>3.0110000000000001</v>
          </cell>
        </row>
        <row r="15894">
          <cell r="E15894" t="str">
            <v>THTR</v>
          </cell>
          <cell r="F15894" t="str">
            <v>THTR-T</v>
          </cell>
          <cell r="G15894">
            <v>220</v>
          </cell>
          <cell r="H15894" t="str">
            <v>THTR-T220</v>
          </cell>
          <cell r="K15894" t="str">
            <v>Wright,Jaysen Alexander</v>
          </cell>
          <cell r="N15894">
            <v>3.8220000000000001</v>
          </cell>
          <cell r="O15894">
            <v>3.5550000000000002</v>
          </cell>
        </row>
        <row r="15895">
          <cell r="E15895" t="str">
            <v>THTR</v>
          </cell>
          <cell r="F15895" t="str">
            <v>THTR-T</v>
          </cell>
          <cell r="G15895">
            <v>229</v>
          </cell>
          <cell r="H15895" t="str">
            <v>THTR-T229</v>
          </cell>
          <cell r="K15895" t="str">
            <v>Quintas,Thomas William</v>
          </cell>
          <cell r="N15895">
            <v>3.883</v>
          </cell>
          <cell r="O15895">
            <v>3.1880000000000002</v>
          </cell>
        </row>
        <row r="15896">
          <cell r="E15896" t="str">
            <v>THTR</v>
          </cell>
          <cell r="F15896" t="str">
            <v>THTR-T</v>
          </cell>
          <cell r="G15896">
            <v>230</v>
          </cell>
          <cell r="H15896" t="str">
            <v>THTR-T230</v>
          </cell>
          <cell r="K15896" t="str">
            <v>Pisano,Linda M.</v>
          </cell>
          <cell r="N15896">
            <v>2.8090000000000002</v>
          </cell>
          <cell r="O15896">
            <v>3.246</v>
          </cell>
        </row>
        <row r="15897">
          <cell r="E15897" t="str">
            <v>THTR</v>
          </cell>
          <cell r="F15897" t="str">
            <v>THTR-T</v>
          </cell>
          <cell r="G15897">
            <v>230</v>
          </cell>
          <cell r="H15897" t="str">
            <v>THTR-T230</v>
          </cell>
          <cell r="K15897" t="str">
            <v>Pisano,Linda M.</v>
          </cell>
          <cell r="N15897">
            <v>2.996</v>
          </cell>
          <cell r="O15897">
            <v>3.29</v>
          </cell>
        </row>
        <row r="15898">
          <cell r="E15898" t="str">
            <v>THTR</v>
          </cell>
          <cell r="F15898" t="str">
            <v>THTR-T</v>
          </cell>
          <cell r="G15898">
            <v>291</v>
          </cell>
          <cell r="H15898" t="str">
            <v>THTR-T291</v>
          </cell>
          <cell r="K15898" t="str">
            <v>Pisano,Linda M.</v>
          </cell>
          <cell r="N15898" t="str">
            <v>NR</v>
          </cell>
          <cell r="O15898" t="str">
            <v>NR</v>
          </cell>
        </row>
        <row r="15899">
          <cell r="E15899" t="str">
            <v>THTR</v>
          </cell>
          <cell r="F15899" t="str">
            <v>THTR-T</v>
          </cell>
          <cell r="G15899">
            <v>300</v>
          </cell>
          <cell r="H15899" t="str">
            <v>THTR-T300</v>
          </cell>
          <cell r="K15899" t="str">
            <v>Ivey,James V</v>
          </cell>
          <cell r="N15899">
            <v>3.96</v>
          </cell>
          <cell r="O15899">
            <v>3.6059999999999999</v>
          </cell>
        </row>
        <row r="15900">
          <cell r="E15900" t="str">
            <v>THTR</v>
          </cell>
          <cell r="F15900" t="str">
            <v>THTR-T</v>
          </cell>
          <cell r="G15900">
            <v>300</v>
          </cell>
          <cell r="H15900" t="str">
            <v>THTR-T300</v>
          </cell>
          <cell r="K15900" t="str">
            <v>Pinney,George</v>
          </cell>
          <cell r="N15900">
            <v>3.8380000000000001</v>
          </cell>
          <cell r="O15900">
            <v>3.5259999999999998</v>
          </cell>
        </row>
        <row r="15901">
          <cell r="E15901" t="str">
            <v>THTR</v>
          </cell>
          <cell r="F15901" t="str">
            <v>THTR-T</v>
          </cell>
          <cell r="G15901">
            <v>300</v>
          </cell>
          <cell r="H15901" t="str">
            <v>THTR-T300</v>
          </cell>
          <cell r="K15901" t="str">
            <v>Pinney,George</v>
          </cell>
          <cell r="N15901">
            <v>3.53</v>
          </cell>
          <cell r="O15901">
            <v>3.4169999999999998</v>
          </cell>
        </row>
        <row r="15902">
          <cell r="E15902" t="str">
            <v>THTR</v>
          </cell>
          <cell r="F15902" t="str">
            <v>THTR-T</v>
          </cell>
          <cell r="G15902">
            <v>300</v>
          </cell>
          <cell r="H15902" t="str">
            <v>THTR-T300</v>
          </cell>
          <cell r="K15902" t="str">
            <v>Pinney,George</v>
          </cell>
          <cell r="N15902">
            <v>4</v>
          </cell>
          <cell r="O15902">
            <v>3.6</v>
          </cell>
        </row>
        <row r="15903">
          <cell r="E15903" t="str">
            <v>THTR</v>
          </cell>
          <cell r="F15903" t="str">
            <v>THTR-T</v>
          </cell>
          <cell r="G15903">
            <v>301</v>
          </cell>
          <cell r="H15903" t="str">
            <v>THTR-T301</v>
          </cell>
          <cell r="K15903" t="str">
            <v>Gennaro,Liza</v>
          </cell>
          <cell r="N15903">
            <v>3.282</v>
          </cell>
          <cell r="O15903">
            <v>3.49</v>
          </cell>
        </row>
        <row r="15904">
          <cell r="E15904" t="str">
            <v>THTR</v>
          </cell>
          <cell r="F15904" t="str">
            <v>THTR-T</v>
          </cell>
          <cell r="G15904">
            <v>302</v>
          </cell>
          <cell r="H15904" t="str">
            <v>THTR-T302</v>
          </cell>
          <cell r="K15904" t="str">
            <v>Pinney,George</v>
          </cell>
          <cell r="N15904">
            <v>3.0579999999999998</v>
          </cell>
          <cell r="O15904">
            <v>3.5489999999999999</v>
          </cell>
        </row>
        <row r="15905">
          <cell r="E15905" t="str">
            <v>THTR</v>
          </cell>
          <cell r="F15905" t="str">
            <v>THTR-T</v>
          </cell>
          <cell r="G15905">
            <v>305</v>
          </cell>
          <cell r="H15905" t="str">
            <v>THTR-T305</v>
          </cell>
          <cell r="K15905" t="str">
            <v>Fellman,Raymond T</v>
          </cell>
          <cell r="N15905">
            <v>4</v>
          </cell>
          <cell r="O15905">
            <v>3.4359999999999999</v>
          </cell>
        </row>
        <row r="15906">
          <cell r="E15906" t="str">
            <v>THTR</v>
          </cell>
          <cell r="F15906" t="str">
            <v>THTR-T</v>
          </cell>
          <cell r="G15906">
            <v>305</v>
          </cell>
          <cell r="H15906" t="str">
            <v>THTR-T305</v>
          </cell>
          <cell r="K15906" t="str">
            <v>Fellman,Raymond T</v>
          </cell>
          <cell r="N15906">
            <v>3.988</v>
          </cell>
          <cell r="O15906">
            <v>3.4860000000000002</v>
          </cell>
        </row>
        <row r="15907">
          <cell r="E15907" t="str">
            <v>THTR</v>
          </cell>
          <cell r="F15907" t="str">
            <v>THTR-T</v>
          </cell>
          <cell r="G15907">
            <v>305</v>
          </cell>
          <cell r="H15907" t="str">
            <v>THTR-T305</v>
          </cell>
          <cell r="K15907" t="str">
            <v>LaBolt,Terry L.</v>
          </cell>
          <cell r="N15907">
            <v>4</v>
          </cell>
          <cell r="O15907">
            <v>3.508</v>
          </cell>
        </row>
        <row r="15908">
          <cell r="E15908" t="str">
            <v>THTR</v>
          </cell>
          <cell r="F15908" t="str">
            <v>THTR-T</v>
          </cell>
          <cell r="G15908">
            <v>305</v>
          </cell>
          <cell r="H15908" t="str">
            <v>THTR-T305</v>
          </cell>
          <cell r="K15908" t="str">
            <v>LaBolt,Terry L.</v>
          </cell>
          <cell r="N15908">
            <v>4</v>
          </cell>
          <cell r="O15908">
            <v>3.5219999999999998</v>
          </cell>
        </row>
        <row r="15909">
          <cell r="E15909" t="str">
            <v>THTR</v>
          </cell>
          <cell r="F15909" t="str">
            <v>THTR-T</v>
          </cell>
          <cell r="G15909">
            <v>305</v>
          </cell>
          <cell r="H15909" t="str">
            <v>THTR-T305</v>
          </cell>
          <cell r="K15909" t="str">
            <v>Swaney,Susan Lyn</v>
          </cell>
          <cell r="N15909">
            <v>4</v>
          </cell>
          <cell r="O15909">
            <v>3.597</v>
          </cell>
        </row>
        <row r="15910">
          <cell r="E15910" t="str">
            <v>THTR</v>
          </cell>
          <cell r="F15910" t="str">
            <v>THTR-T</v>
          </cell>
          <cell r="G15910">
            <v>305</v>
          </cell>
          <cell r="H15910" t="str">
            <v>THTR-T305</v>
          </cell>
          <cell r="K15910" t="str">
            <v>Swaney,Susan Lyn</v>
          </cell>
          <cell r="N15910">
            <v>4</v>
          </cell>
          <cell r="O15910">
            <v>3.7549999999999999</v>
          </cell>
        </row>
        <row r="15911">
          <cell r="E15911" t="str">
            <v>THTR</v>
          </cell>
          <cell r="F15911" t="str">
            <v>THTR-T</v>
          </cell>
          <cell r="G15911">
            <v>319</v>
          </cell>
          <cell r="H15911" t="str">
            <v>THTR-T319</v>
          </cell>
          <cell r="K15911" t="str">
            <v>Burgun,Bruce E.</v>
          </cell>
          <cell r="N15911">
            <v>3.907</v>
          </cell>
          <cell r="O15911">
            <v>3.5310000000000001</v>
          </cell>
        </row>
        <row r="15912">
          <cell r="E15912" t="str">
            <v>THTR</v>
          </cell>
          <cell r="F15912" t="str">
            <v>THTR-T</v>
          </cell>
          <cell r="G15912">
            <v>319</v>
          </cell>
          <cell r="H15912" t="str">
            <v>THTR-T319</v>
          </cell>
          <cell r="K15912" t="str">
            <v>Burgun,Bruce E.</v>
          </cell>
          <cell r="N15912">
            <v>3.9569999999999999</v>
          </cell>
          <cell r="O15912">
            <v>3.516</v>
          </cell>
        </row>
        <row r="15913">
          <cell r="E15913" t="str">
            <v>THTR</v>
          </cell>
          <cell r="F15913" t="str">
            <v>THTR-T</v>
          </cell>
          <cell r="G15913">
            <v>319</v>
          </cell>
          <cell r="H15913" t="str">
            <v>THTR-T319</v>
          </cell>
          <cell r="K15913" t="str">
            <v>Michaelsen,Jonathan Robert</v>
          </cell>
          <cell r="N15913">
            <v>3.3170000000000002</v>
          </cell>
          <cell r="O15913">
            <v>3.0419999999999998</v>
          </cell>
        </row>
        <row r="15914">
          <cell r="E15914" t="str">
            <v>THTR</v>
          </cell>
          <cell r="F15914" t="str">
            <v>THTR-T</v>
          </cell>
          <cell r="G15914">
            <v>319</v>
          </cell>
          <cell r="H15914" t="str">
            <v>THTR-T319</v>
          </cell>
          <cell r="K15914" t="str">
            <v>Syer,K. Fontaine</v>
          </cell>
          <cell r="N15914">
            <v>3.81</v>
          </cell>
          <cell r="O15914">
            <v>3.3940000000000001</v>
          </cell>
        </row>
        <row r="15915">
          <cell r="E15915" t="str">
            <v>THTR</v>
          </cell>
          <cell r="F15915" t="str">
            <v>THTR-T</v>
          </cell>
          <cell r="G15915">
            <v>325</v>
          </cell>
          <cell r="H15915" t="str">
            <v>THTR-T325</v>
          </cell>
          <cell r="K15915" t="str">
            <v>Densley,Kristl Anne</v>
          </cell>
          <cell r="N15915">
            <v>3.5920000000000001</v>
          </cell>
          <cell r="O15915">
            <v>3.5369999999999999</v>
          </cell>
        </row>
        <row r="15916">
          <cell r="E15916" t="str">
            <v>THTR</v>
          </cell>
          <cell r="F15916" t="str">
            <v>THTR-T</v>
          </cell>
          <cell r="G15916">
            <v>325</v>
          </cell>
          <cell r="H15916" t="str">
            <v>THTR-T325</v>
          </cell>
          <cell r="K15916" t="str">
            <v>Densley,Kristl Anne</v>
          </cell>
          <cell r="N15916">
            <v>2.8919999999999999</v>
          </cell>
          <cell r="O15916">
            <v>3.3260000000000001</v>
          </cell>
        </row>
        <row r="15917">
          <cell r="E15917" t="str">
            <v>THTR</v>
          </cell>
          <cell r="F15917" t="str">
            <v>THTR-T</v>
          </cell>
          <cell r="G15917">
            <v>325</v>
          </cell>
          <cell r="H15917" t="str">
            <v>THTR-T325</v>
          </cell>
          <cell r="K15917" t="str">
            <v>Gaynor,Evelyn</v>
          </cell>
          <cell r="N15917">
            <v>3.92</v>
          </cell>
          <cell r="O15917">
            <v>2.9540000000000002</v>
          </cell>
        </row>
        <row r="15918">
          <cell r="E15918" t="str">
            <v>THTR</v>
          </cell>
          <cell r="F15918" t="str">
            <v>THTR-T</v>
          </cell>
          <cell r="G15918">
            <v>325</v>
          </cell>
          <cell r="H15918" t="str">
            <v>THTR-T325</v>
          </cell>
          <cell r="K15918" t="str">
            <v>Gaynor,Evelyn</v>
          </cell>
          <cell r="N15918">
            <v>3.5470000000000002</v>
          </cell>
          <cell r="O15918">
            <v>3.2069999999999999</v>
          </cell>
        </row>
        <row r="15919">
          <cell r="E15919" t="str">
            <v>THTR</v>
          </cell>
          <cell r="F15919" t="str">
            <v>THTR-T</v>
          </cell>
          <cell r="G15919">
            <v>325</v>
          </cell>
          <cell r="H15919" t="str">
            <v>THTR-T325</v>
          </cell>
          <cell r="K15919" t="str">
            <v>Lipschultz,Nancy L.</v>
          </cell>
          <cell r="N15919">
            <v>3.8479999999999999</v>
          </cell>
          <cell r="O15919">
            <v>3.3029999999999999</v>
          </cell>
        </row>
        <row r="15920">
          <cell r="E15920" t="str">
            <v>THTR</v>
          </cell>
          <cell r="F15920" t="str">
            <v>THTR-T</v>
          </cell>
          <cell r="G15920">
            <v>326</v>
          </cell>
          <cell r="H15920" t="str">
            <v>THTR-T326</v>
          </cell>
          <cell r="K15920" t="str">
            <v>Duer,Fred M.</v>
          </cell>
          <cell r="N15920" t="str">
            <v>NR</v>
          </cell>
          <cell r="O15920" t="str">
            <v>NR</v>
          </cell>
        </row>
        <row r="15921">
          <cell r="E15921" t="str">
            <v>THTR</v>
          </cell>
          <cell r="F15921" t="str">
            <v>THTR-T</v>
          </cell>
          <cell r="G15921">
            <v>335</v>
          </cell>
          <cell r="H15921" t="str">
            <v>THTR-T335</v>
          </cell>
          <cell r="K15921" t="str">
            <v>Shakespeare,Robert A.</v>
          </cell>
          <cell r="N15921">
            <v>3.383</v>
          </cell>
          <cell r="O15921">
            <v>3.254</v>
          </cell>
        </row>
        <row r="15922">
          <cell r="E15922" t="str">
            <v>THTR</v>
          </cell>
          <cell r="F15922" t="str">
            <v>THTR-T</v>
          </cell>
          <cell r="G15922">
            <v>335</v>
          </cell>
          <cell r="H15922" t="str">
            <v>THTR-T335</v>
          </cell>
          <cell r="K15922" t="str">
            <v>Shakespeare,Robert A.</v>
          </cell>
          <cell r="N15922">
            <v>3.2559999999999998</v>
          </cell>
          <cell r="O15922">
            <v>3.04</v>
          </cell>
        </row>
        <row r="15923">
          <cell r="E15923" t="str">
            <v>THTR</v>
          </cell>
          <cell r="F15923" t="str">
            <v>THTR-T</v>
          </cell>
          <cell r="G15923">
            <v>340</v>
          </cell>
          <cell r="H15923" t="str">
            <v>THTR-T340</v>
          </cell>
          <cell r="K15923" t="str">
            <v>Burgun,Bruce E.</v>
          </cell>
          <cell r="N15923">
            <v>4</v>
          </cell>
          <cell r="O15923">
            <v>3.2839999999999998</v>
          </cell>
        </row>
        <row r="15924">
          <cell r="E15924" t="str">
            <v>THTR</v>
          </cell>
          <cell r="F15924" t="str">
            <v>THTR-T</v>
          </cell>
          <cell r="G15924">
            <v>340</v>
          </cell>
          <cell r="H15924" t="str">
            <v>THTR-T340</v>
          </cell>
          <cell r="K15924" t="str">
            <v>Cameron-Webb,Gavin</v>
          </cell>
          <cell r="N15924">
            <v>2.8860000000000001</v>
          </cell>
          <cell r="O15924">
            <v>3.0830000000000002</v>
          </cell>
        </row>
        <row r="15925">
          <cell r="E15925" t="str">
            <v>THTR</v>
          </cell>
          <cell r="F15925" t="str">
            <v>THTR-T</v>
          </cell>
          <cell r="G15925">
            <v>340</v>
          </cell>
          <cell r="H15925" t="str">
            <v>THTR-T340</v>
          </cell>
          <cell r="K15925" t="str">
            <v>McFadden,Dale C.</v>
          </cell>
          <cell r="N15925">
            <v>3.9729999999999999</v>
          </cell>
          <cell r="O15925">
            <v>3.4729999999999999</v>
          </cell>
        </row>
        <row r="15926">
          <cell r="E15926" t="str">
            <v>THTR</v>
          </cell>
          <cell r="F15926" t="str">
            <v>THTR-T</v>
          </cell>
          <cell r="G15926">
            <v>340</v>
          </cell>
          <cell r="H15926" t="str">
            <v>THTR-T340</v>
          </cell>
          <cell r="K15926" t="str">
            <v>McGibbon,Murray L. J.</v>
          </cell>
          <cell r="N15926">
            <v>3.1669999999999998</v>
          </cell>
          <cell r="O15926">
            <v>3.0249999999999999</v>
          </cell>
        </row>
        <row r="15927">
          <cell r="E15927" t="str">
            <v>THTR</v>
          </cell>
          <cell r="F15927" t="str">
            <v>THTR-T</v>
          </cell>
          <cell r="G15927">
            <v>340</v>
          </cell>
          <cell r="H15927" t="str">
            <v>THTR-T340</v>
          </cell>
          <cell r="K15927" t="str">
            <v>McGibbon,Murray L. J.</v>
          </cell>
          <cell r="N15927">
            <v>2.8919999999999999</v>
          </cell>
          <cell r="O15927">
            <v>3.0720000000000001</v>
          </cell>
        </row>
        <row r="15928">
          <cell r="E15928" t="str">
            <v>THTR</v>
          </cell>
          <cell r="F15928" t="str">
            <v>THTR-T</v>
          </cell>
          <cell r="G15928">
            <v>347</v>
          </cell>
          <cell r="H15928" t="str">
            <v>THTR-T347</v>
          </cell>
          <cell r="K15928" t="str">
            <v>Hopson,Andrew R.</v>
          </cell>
          <cell r="N15928">
            <v>3.7669999999999999</v>
          </cell>
          <cell r="O15928">
            <v>3.2309999999999999</v>
          </cell>
        </row>
        <row r="15929">
          <cell r="E15929" t="str">
            <v>THTR</v>
          </cell>
          <cell r="F15929" t="str">
            <v>THTR-T</v>
          </cell>
          <cell r="G15929">
            <v>359</v>
          </cell>
          <cell r="H15929" t="str">
            <v>THTR-T359</v>
          </cell>
          <cell r="K15929" t="str">
            <v>Duer,Fred M.</v>
          </cell>
          <cell r="N15929" t="str">
            <v>NR</v>
          </cell>
          <cell r="O15929" t="str">
            <v>NR</v>
          </cell>
        </row>
        <row r="15930">
          <cell r="E15930" t="str">
            <v>THTR</v>
          </cell>
          <cell r="F15930" t="str">
            <v>THTR-T</v>
          </cell>
          <cell r="G15930">
            <v>359</v>
          </cell>
          <cell r="H15930" t="str">
            <v>THTR-T359</v>
          </cell>
          <cell r="K15930" t="str">
            <v>Duer,Fred M.</v>
          </cell>
          <cell r="N15930" t="str">
            <v>NR</v>
          </cell>
          <cell r="O15930" t="str">
            <v>NR</v>
          </cell>
        </row>
        <row r="15931">
          <cell r="E15931" t="str">
            <v>THTR</v>
          </cell>
          <cell r="F15931" t="str">
            <v>THTR-T</v>
          </cell>
          <cell r="G15931">
            <v>370</v>
          </cell>
          <cell r="H15931" t="str">
            <v>THTR-T370</v>
          </cell>
          <cell r="K15931" t="str">
            <v>Goodlander,Jennifer Lynn</v>
          </cell>
          <cell r="N15931">
            <v>3.5230000000000001</v>
          </cell>
          <cell r="O15931">
            <v>3.3479999999999999</v>
          </cell>
        </row>
        <row r="15932">
          <cell r="E15932" t="str">
            <v>THTR</v>
          </cell>
          <cell r="F15932" t="str">
            <v>THTR-T</v>
          </cell>
          <cell r="G15932">
            <v>370</v>
          </cell>
          <cell r="H15932" t="str">
            <v>THTR-T370</v>
          </cell>
          <cell r="K15932" t="str">
            <v>Oldham,Thomas Anthony</v>
          </cell>
          <cell r="N15932">
            <v>3.0390000000000001</v>
          </cell>
          <cell r="O15932">
            <v>3.141</v>
          </cell>
        </row>
        <row r="15933">
          <cell r="E15933" t="str">
            <v>THTR</v>
          </cell>
          <cell r="F15933" t="str">
            <v>THTR-T</v>
          </cell>
          <cell r="G15933">
            <v>370</v>
          </cell>
          <cell r="H15933" t="str">
            <v>THTR-T370</v>
          </cell>
          <cell r="K15933" t="str">
            <v>Utterback,Neal Allen</v>
          </cell>
          <cell r="N15933">
            <v>3.5310000000000001</v>
          </cell>
          <cell r="O15933">
            <v>3.3090000000000002</v>
          </cell>
        </row>
        <row r="15934">
          <cell r="E15934" t="str">
            <v>THTR</v>
          </cell>
          <cell r="F15934" t="str">
            <v>THTR-T</v>
          </cell>
          <cell r="G15934">
            <v>371</v>
          </cell>
          <cell r="H15934" t="str">
            <v>THTR-T371</v>
          </cell>
          <cell r="K15934" t="str">
            <v>Wainscott,Ronald H.</v>
          </cell>
          <cell r="N15934">
            <v>2.8730000000000002</v>
          </cell>
          <cell r="O15934">
            <v>3.1579999999999999</v>
          </cell>
        </row>
        <row r="15935">
          <cell r="E15935" t="str">
            <v>THTR</v>
          </cell>
          <cell r="F15935" t="str">
            <v>THTR-T</v>
          </cell>
          <cell r="G15935">
            <v>371</v>
          </cell>
          <cell r="H15935" t="str">
            <v>THTR-T371</v>
          </cell>
          <cell r="K15935" t="str">
            <v>Wainscott,Ronald H.</v>
          </cell>
          <cell r="N15935">
            <v>2.9359999999999999</v>
          </cell>
          <cell r="O15935">
            <v>3.3759999999999999</v>
          </cell>
        </row>
        <row r="15936">
          <cell r="E15936" t="str">
            <v>THTR</v>
          </cell>
          <cell r="F15936" t="str">
            <v>THTR-T</v>
          </cell>
          <cell r="G15936">
            <v>378</v>
          </cell>
          <cell r="H15936" t="str">
            <v>THTR-T378</v>
          </cell>
          <cell r="K15936" t="str">
            <v>Weltsek III,Gustave</v>
          </cell>
          <cell r="N15936" t="str">
            <v>NR</v>
          </cell>
          <cell r="O15936" t="str">
            <v>NR</v>
          </cell>
        </row>
        <row r="15937">
          <cell r="E15937" t="str">
            <v>THTR</v>
          </cell>
          <cell r="F15937" t="str">
            <v>THTR-T</v>
          </cell>
          <cell r="G15937">
            <v>399</v>
          </cell>
          <cell r="H15937" t="str">
            <v>THTR-T399</v>
          </cell>
          <cell r="K15937" t="str">
            <v>McFadden,Dale C.</v>
          </cell>
          <cell r="N15937" t="str">
            <v>NR</v>
          </cell>
          <cell r="O15937" t="str">
            <v>NR</v>
          </cell>
        </row>
        <row r="15938">
          <cell r="E15938" t="str">
            <v>THTR</v>
          </cell>
          <cell r="F15938" t="str">
            <v>THTR-T</v>
          </cell>
          <cell r="G15938">
            <v>399</v>
          </cell>
          <cell r="H15938" t="str">
            <v>THTR-T399</v>
          </cell>
          <cell r="K15938" t="str">
            <v>McFadden,Dale C.</v>
          </cell>
          <cell r="N15938" t="str">
            <v>NR</v>
          </cell>
          <cell r="O15938" t="str">
            <v>NR</v>
          </cell>
        </row>
        <row r="15939">
          <cell r="E15939" t="str">
            <v>THTR</v>
          </cell>
          <cell r="F15939" t="str">
            <v>THTR-T</v>
          </cell>
          <cell r="G15939">
            <v>401</v>
          </cell>
          <cell r="H15939" t="str">
            <v>THTR-T401</v>
          </cell>
          <cell r="K15939" t="str">
            <v>LaBolt,Terry L.</v>
          </cell>
          <cell r="N15939">
            <v>4</v>
          </cell>
          <cell r="O15939">
            <v>3.6040000000000001</v>
          </cell>
        </row>
        <row r="15940">
          <cell r="E15940" t="str">
            <v>THTR</v>
          </cell>
          <cell r="F15940" t="str">
            <v>THTR-T</v>
          </cell>
          <cell r="G15940">
            <v>404</v>
          </cell>
          <cell r="H15940" t="str">
            <v>THTR-T404</v>
          </cell>
          <cell r="K15940" t="str">
            <v>Noble,Adam</v>
          </cell>
          <cell r="N15940">
            <v>3.831</v>
          </cell>
          <cell r="O15940">
            <v>3.3980000000000001</v>
          </cell>
        </row>
        <row r="15941">
          <cell r="E15941" t="str">
            <v>THTR</v>
          </cell>
          <cell r="F15941" t="str">
            <v>THTR-T</v>
          </cell>
          <cell r="G15941">
            <v>410</v>
          </cell>
          <cell r="H15941" t="str">
            <v>THTR-T410</v>
          </cell>
          <cell r="K15941" t="str">
            <v>Noble,Adam</v>
          </cell>
          <cell r="N15941">
            <v>3.68</v>
          </cell>
          <cell r="O15941">
            <v>3.4169999999999998</v>
          </cell>
        </row>
        <row r="15942">
          <cell r="E15942" t="str">
            <v>THTR</v>
          </cell>
          <cell r="F15942" t="str">
            <v>THTR-T</v>
          </cell>
          <cell r="G15942">
            <v>410</v>
          </cell>
          <cell r="H15942" t="str">
            <v>THTR-T410</v>
          </cell>
          <cell r="K15942" t="str">
            <v>Noble,Adam</v>
          </cell>
          <cell r="N15942">
            <v>3.8130000000000002</v>
          </cell>
          <cell r="O15942">
            <v>3.2160000000000002</v>
          </cell>
        </row>
        <row r="15943">
          <cell r="E15943" t="str">
            <v>THTR</v>
          </cell>
          <cell r="F15943" t="str">
            <v>THTR-T</v>
          </cell>
          <cell r="G15943">
            <v>410</v>
          </cell>
          <cell r="H15943" t="str">
            <v>THTR-T410</v>
          </cell>
          <cell r="K15943" t="str">
            <v>Noble,Adam</v>
          </cell>
          <cell r="N15943">
            <v>3.57</v>
          </cell>
          <cell r="O15943">
            <v>3.1840000000000002</v>
          </cell>
        </row>
        <row r="15944">
          <cell r="E15944" t="str">
            <v>THTR</v>
          </cell>
          <cell r="F15944" t="str">
            <v>THTR-T</v>
          </cell>
          <cell r="G15944">
            <v>411</v>
          </cell>
          <cell r="H15944" t="str">
            <v>THTR-T411</v>
          </cell>
          <cell r="K15944" t="str">
            <v>Noble,Adam</v>
          </cell>
          <cell r="N15944">
            <v>3.6909999999999998</v>
          </cell>
          <cell r="O15944">
            <v>3.327</v>
          </cell>
        </row>
        <row r="15945">
          <cell r="E15945" t="str">
            <v>THTR</v>
          </cell>
          <cell r="F15945" t="str">
            <v>THTR-T</v>
          </cell>
          <cell r="G15945">
            <v>419</v>
          </cell>
          <cell r="H15945" t="str">
            <v>THTR-T419</v>
          </cell>
          <cell r="K15945" t="str">
            <v>Burgun,Bruce E.</v>
          </cell>
          <cell r="N15945">
            <v>4</v>
          </cell>
          <cell r="O15945">
            <v>3.38</v>
          </cell>
        </row>
        <row r="15946">
          <cell r="E15946" t="str">
            <v>THTR</v>
          </cell>
          <cell r="F15946" t="str">
            <v>THTR-T</v>
          </cell>
          <cell r="G15946">
            <v>419</v>
          </cell>
          <cell r="H15946" t="str">
            <v>THTR-T419</v>
          </cell>
          <cell r="K15946" t="str">
            <v>Syer,K. Fontaine</v>
          </cell>
          <cell r="N15946">
            <v>3.4860000000000002</v>
          </cell>
          <cell r="O15946">
            <v>3.15</v>
          </cell>
        </row>
        <row r="15947">
          <cell r="E15947" t="str">
            <v>THTR</v>
          </cell>
          <cell r="F15947" t="str">
            <v>THTR-T</v>
          </cell>
          <cell r="G15947">
            <v>419</v>
          </cell>
          <cell r="H15947" t="str">
            <v>THTR-T419</v>
          </cell>
          <cell r="K15947" t="str">
            <v>Syer,K. Fontaine</v>
          </cell>
          <cell r="N15947">
            <v>3.7669999999999999</v>
          </cell>
          <cell r="O15947">
            <v>3.4950000000000001</v>
          </cell>
        </row>
        <row r="15948">
          <cell r="E15948" t="str">
            <v>THTR</v>
          </cell>
          <cell r="F15948" t="str">
            <v>THTR-T</v>
          </cell>
          <cell r="G15948">
            <v>425</v>
          </cell>
          <cell r="H15948" t="str">
            <v>THTR-T425</v>
          </cell>
          <cell r="K15948" t="str">
            <v>Brunner,Paul J</v>
          </cell>
          <cell r="N15948" t="str">
            <v>NR</v>
          </cell>
          <cell r="O15948" t="str">
            <v>NR</v>
          </cell>
        </row>
        <row r="15949">
          <cell r="E15949" t="str">
            <v>THTR</v>
          </cell>
          <cell r="F15949" t="str">
            <v>THTR-T</v>
          </cell>
          <cell r="G15949">
            <v>426</v>
          </cell>
          <cell r="H15949" t="str">
            <v>THTR-T426</v>
          </cell>
          <cell r="K15949" t="str">
            <v>Duer,Fred M.</v>
          </cell>
          <cell r="N15949" t="str">
            <v>NR</v>
          </cell>
          <cell r="O15949" t="str">
            <v>NR</v>
          </cell>
        </row>
        <row r="15950">
          <cell r="E15950" t="str">
            <v>THTR</v>
          </cell>
          <cell r="F15950" t="str">
            <v>THTR-T</v>
          </cell>
          <cell r="G15950">
            <v>428</v>
          </cell>
          <cell r="H15950" t="str">
            <v>THTR-T428</v>
          </cell>
          <cell r="K15950" t="str">
            <v>Jefferson,Tayneshia La Chelle</v>
          </cell>
          <cell r="N15950">
            <v>2.9420000000000002</v>
          </cell>
          <cell r="O15950">
            <v>3.0950000000000002</v>
          </cell>
        </row>
        <row r="15951">
          <cell r="E15951" t="str">
            <v>THTR</v>
          </cell>
          <cell r="F15951" t="str">
            <v>THTR-T</v>
          </cell>
          <cell r="G15951">
            <v>430</v>
          </cell>
          <cell r="H15951" t="str">
            <v>THTR-T430</v>
          </cell>
          <cell r="K15951" t="str">
            <v>Berich,Lara Southerland</v>
          </cell>
          <cell r="N15951" t="str">
            <v>NR</v>
          </cell>
          <cell r="O15951" t="str">
            <v>NR</v>
          </cell>
        </row>
        <row r="15952">
          <cell r="E15952" t="str">
            <v>THTR</v>
          </cell>
          <cell r="F15952" t="str">
            <v>THTR-T</v>
          </cell>
          <cell r="G15952">
            <v>432</v>
          </cell>
          <cell r="H15952" t="str">
            <v>THTR-T432</v>
          </cell>
          <cell r="K15952" t="str">
            <v>Hausmann,Patricia J</v>
          </cell>
          <cell r="N15952" t="str">
            <v>NR</v>
          </cell>
          <cell r="O15952" t="str">
            <v>NR</v>
          </cell>
        </row>
        <row r="15953">
          <cell r="E15953" t="str">
            <v>THTR</v>
          </cell>
          <cell r="F15953" t="str">
            <v>THTR-T</v>
          </cell>
          <cell r="G15953">
            <v>433</v>
          </cell>
          <cell r="H15953" t="str">
            <v>THTR-T433</v>
          </cell>
          <cell r="K15953" t="str">
            <v>Pisano,Linda M.</v>
          </cell>
          <cell r="N15953" t="str">
            <v>NR</v>
          </cell>
          <cell r="O15953" t="str">
            <v>NR</v>
          </cell>
        </row>
        <row r="15954">
          <cell r="E15954" t="str">
            <v>THTR</v>
          </cell>
          <cell r="F15954" t="str">
            <v>THTR-T</v>
          </cell>
          <cell r="G15954">
            <v>435</v>
          </cell>
          <cell r="H15954" t="str">
            <v>THTR-T435</v>
          </cell>
          <cell r="K15954" t="str">
            <v>Brunner,Paul J</v>
          </cell>
          <cell r="N15954" t="str">
            <v>NR</v>
          </cell>
          <cell r="O15954" t="str">
            <v>NR</v>
          </cell>
        </row>
        <row r="15955">
          <cell r="E15955" t="str">
            <v>THTR</v>
          </cell>
          <cell r="F15955" t="str">
            <v>THTR-T</v>
          </cell>
          <cell r="G15955">
            <v>438</v>
          </cell>
          <cell r="H15955" t="str">
            <v>THTR-T438</v>
          </cell>
          <cell r="K15955" t="str">
            <v>Shakespeare,Robert A.</v>
          </cell>
          <cell r="N15955" t="str">
            <v>NR</v>
          </cell>
          <cell r="O15955" t="str">
            <v>NR</v>
          </cell>
        </row>
        <row r="15956">
          <cell r="E15956" t="str">
            <v>THTR</v>
          </cell>
          <cell r="F15956" t="str">
            <v>THTR-T</v>
          </cell>
          <cell r="G15956">
            <v>441</v>
          </cell>
          <cell r="H15956" t="str">
            <v>THTR-T441</v>
          </cell>
          <cell r="K15956" t="str">
            <v>Burgun,Bruce E.</v>
          </cell>
          <cell r="N15956">
            <v>4</v>
          </cell>
          <cell r="O15956">
            <v>3.4590000000000001</v>
          </cell>
        </row>
        <row r="15957">
          <cell r="E15957" t="str">
            <v>THTR</v>
          </cell>
          <cell r="F15957" t="str">
            <v>THTR-T</v>
          </cell>
          <cell r="G15957">
            <v>442</v>
          </cell>
          <cell r="H15957" t="str">
            <v>THTR-T442</v>
          </cell>
          <cell r="K15957" t="str">
            <v>McGibbon,Murray L. J.</v>
          </cell>
          <cell r="N15957" t="str">
            <v>NR</v>
          </cell>
          <cell r="O15957" t="str">
            <v>NR</v>
          </cell>
        </row>
        <row r="15958">
          <cell r="E15958" t="str">
            <v>THTR</v>
          </cell>
          <cell r="F15958" t="str">
            <v>THTR-T</v>
          </cell>
          <cell r="G15958">
            <v>443</v>
          </cell>
          <cell r="H15958" t="str">
            <v>THTR-T443</v>
          </cell>
          <cell r="K15958" t="str">
            <v>McGibbon,Murray L. J.</v>
          </cell>
          <cell r="N15958" t="str">
            <v>NR</v>
          </cell>
          <cell r="O15958" t="str">
            <v>NR</v>
          </cell>
        </row>
        <row r="15959">
          <cell r="E15959" t="str">
            <v>THTR</v>
          </cell>
          <cell r="F15959" t="str">
            <v>THTR-T</v>
          </cell>
          <cell r="G15959">
            <v>445</v>
          </cell>
          <cell r="H15959" t="str">
            <v>THTR-T445</v>
          </cell>
          <cell r="K15959" t="str">
            <v>Lipschultz,Nancy L.</v>
          </cell>
          <cell r="N15959">
            <v>3.6190000000000002</v>
          </cell>
          <cell r="O15959">
            <v>3.444</v>
          </cell>
        </row>
        <row r="15960">
          <cell r="E15960" t="str">
            <v>THTR</v>
          </cell>
          <cell r="F15960" t="str">
            <v>THTR-T</v>
          </cell>
          <cell r="G15960">
            <v>447</v>
          </cell>
          <cell r="H15960" t="str">
            <v>THTR-T447</v>
          </cell>
          <cell r="K15960" t="str">
            <v>Hopson,Andrew R.</v>
          </cell>
          <cell r="N15960" t="str">
            <v>NR</v>
          </cell>
          <cell r="O15960" t="str">
            <v>NR</v>
          </cell>
        </row>
        <row r="15961">
          <cell r="E15961" t="str">
            <v>THTR</v>
          </cell>
          <cell r="F15961" t="str">
            <v>THTR-T</v>
          </cell>
          <cell r="G15961">
            <v>452</v>
          </cell>
          <cell r="H15961" t="str">
            <v>THTR-T452</v>
          </cell>
          <cell r="K15961" t="str">
            <v>Delong,John L</v>
          </cell>
          <cell r="N15961" t="str">
            <v>NR</v>
          </cell>
          <cell r="O15961" t="str">
            <v>NR</v>
          </cell>
        </row>
        <row r="15962">
          <cell r="E15962" t="str">
            <v>THTR</v>
          </cell>
          <cell r="F15962" t="str">
            <v>THTR-T</v>
          </cell>
          <cell r="G15962">
            <v>453</v>
          </cell>
          <cell r="H15962" t="str">
            <v>THTR-T453</v>
          </cell>
          <cell r="K15962" t="str">
            <v>Davis,Nathan A.</v>
          </cell>
          <cell r="N15962">
            <v>3.5289999999999999</v>
          </cell>
          <cell r="O15962">
            <v>3.2919999999999998</v>
          </cell>
        </row>
        <row r="15963">
          <cell r="E15963" t="str">
            <v>THTR</v>
          </cell>
          <cell r="F15963" t="str">
            <v>THTR-T</v>
          </cell>
          <cell r="G15963">
            <v>453</v>
          </cell>
          <cell r="H15963" t="str">
            <v>THTR-T453</v>
          </cell>
          <cell r="K15963" t="str">
            <v>Lusk,Kelly Patrick</v>
          </cell>
          <cell r="N15963">
            <v>3.5289999999999999</v>
          </cell>
          <cell r="O15963">
            <v>3.1059999999999999</v>
          </cell>
        </row>
        <row r="15964">
          <cell r="E15964" t="str">
            <v>THTR</v>
          </cell>
          <cell r="F15964" t="str">
            <v>THTR-T</v>
          </cell>
          <cell r="G15964">
            <v>454</v>
          </cell>
          <cell r="H15964" t="str">
            <v>THTR-T454</v>
          </cell>
          <cell r="K15964" t="str">
            <v>Weitzman,Kenneth S.</v>
          </cell>
          <cell r="N15964">
            <v>3.5619999999999998</v>
          </cell>
          <cell r="O15964">
            <v>3.46</v>
          </cell>
        </row>
        <row r="15965">
          <cell r="E15965" t="str">
            <v>THTR</v>
          </cell>
          <cell r="F15965" t="str">
            <v>THTR-T</v>
          </cell>
          <cell r="G15965">
            <v>458</v>
          </cell>
          <cell r="H15965" t="str">
            <v>THTR-T458</v>
          </cell>
          <cell r="K15965" t="str">
            <v>Weitzman,Kenneth S.</v>
          </cell>
          <cell r="N15965">
            <v>3.5329999999999999</v>
          </cell>
          <cell r="O15965">
            <v>3.343</v>
          </cell>
        </row>
        <row r="15966">
          <cell r="E15966" t="str">
            <v>THTR</v>
          </cell>
          <cell r="F15966" t="str">
            <v>THTR-T</v>
          </cell>
          <cell r="G15966">
            <v>462</v>
          </cell>
          <cell r="H15966" t="str">
            <v>THTR-T462</v>
          </cell>
          <cell r="K15966" t="str">
            <v>Cook,Amy Elizabeth</v>
          </cell>
          <cell r="N15966">
            <v>2.9169999999999998</v>
          </cell>
          <cell r="O15966">
            <v>3.0750000000000002</v>
          </cell>
        </row>
        <row r="15967">
          <cell r="E15967" t="str">
            <v>THTR</v>
          </cell>
          <cell r="F15967" t="str">
            <v>THTR-T</v>
          </cell>
          <cell r="G15967">
            <v>462</v>
          </cell>
          <cell r="H15967" t="str">
            <v>THTR-T462</v>
          </cell>
          <cell r="K15967" t="str">
            <v>Nichols,Deana L</v>
          </cell>
          <cell r="N15967">
            <v>3.2480000000000002</v>
          </cell>
          <cell r="O15967">
            <v>3.1030000000000002</v>
          </cell>
        </row>
        <row r="15968">
          <cell r="E15968" t="str">
            <v>THTR</v>
          </cell>
          <cell r="F15968" t="str">
            <v>THTR-T</v>
          </cell>
          <cell r="G15968">
            <v>466</v>
          </cell>
          <cell r="H15968" t="str">
            <v>THTR-T466</v>
          </cell>
          <cell r="K15968" t="str">
            <v>Berich,Lara Southerland</v>
          </cell>
          <cell r="N15968" t="str">
            <v>NR</v>
          </cell>
          <cell r="O15968" t="str">
            <v>NR</v>
          </cell>
        </row>
        <row r="15969">
          <cell r="E15969" t="str">
            <v>THTR</v>
          </cell>
          <cell r="F15969" t="str">
            <v>THTR-T</v>
          </cell>
          <cell r="G15969">
            <v>478</v>
          </cell>
          <cell r="H15969" t="str">
            <v>THTR-T478</v>
          </cell>
          <cell r="K15969" t="str">
            <v>Weltsek III,Gustave</v>
          </cell>
          <cell r="N15969" t="str">
            <v>NR</v>
          </cell>
          <cell r="O15969" t="str">
            <v>NR</v>
          </cell>
        </row>
        <row r="15970">
          <cell r="E15970" t="str">
            <v>THTR</v>
          </cell>
          <cell r="F15970" t="str">
            <v>THTR-T</v>
          </cell>
          <cell r="G15970">
            <v>483</v>
          </cell>
          <cell r="H15970" t="str">
            <v>THTR-T483</v>
          </cell>
          <cell r="K15970" t="str">
            <v>Duer,Fred M.</v>
          </cell>
          <cell r="N15970" t="str">
            <v>NR</v>
          </cell>
          <cell r="O15970" t="str">
            <v>NR</v>
          </cell>
        </row>
        <row r="15971">
          <cell r="E15971" t="str">
            <v>THTR</v>
          </cell>
          <cell r="F15971" t="str">
            <v>THTR-T</v>
          </cell>
          <cell r="G15971">
            <v>490</v>
          </cell>
          <cell r="H15971" t="str">
            <v>THTR-T490</v>
          </cell>
          <cell r="K15971" t="str">
            <v>Michaelsen,Jonathan Robert</v>
          </cell>
          <cell r="N15971">
            <v>3.69</v>
          </cell>
          <cell r="O15971">
            <v>3.3460000000000001</v>
          </cell>
        </row>
        <row r="15972">
          <cell r="E15972" t="str">
            <v>THTR</v>
          </cell>
          <cell r="F15972" t="str">
            <v>THTR-T</v>
          </cell>
          <cell r="G15972">
            <v>490</v>
          </cell>
          <cell r="H15972" t="str">
            <v>THTR-T490</v>
          </cell>
          <cell r="K15972" t="str">
            <v>Michaelsen,Jonathan Robert</v>
          </cell>
          <cell r="N15972">
            <v>4</v>
          </cell>
          <cell r="O15972">
            <v>3.5880000000000001</v>
          </cell>
        </row>
        <row r="15973">
          <cell r="E15973" t="str">
            <v>THTR</v>
          </cell>
          <cell r="F15973" t="str">
            <v>THTR-T</v>
          </cell>
          <cell r="G15973">
            <v>491</v>
          </cell>
          <cell r="H15973" t="str">
            <v>THTR-T491</v>
          </cell>
          <cell r="K15973" t="str">
            <v>Syer,K. Fontaine</v>
          </cell>
          <cell r="N15973">
            <v>3.7709999999999999</v>
          </cell>
          <cell r="O15973">
            <v>3.105</v>
          </cell>
        </row>
        <row r="15974">
          <cell r="E15974" t="str">
            <v>THTR</v>
          </cell>
          <cell r="F15974" t="str">
            <v>THTR-T</v>
          </cell>
          <cell r="G15974">
            <v>500</v>
          </cell>
          <cell r="H15974" t="str">
            <v>THTR-T500</v>
          </cell>
          <cell r="K15974" t="str">
            <v>Cook,Amy Elizabeth</v>
          </cell>
          <cell r="N15974" t="str">
            <v>NR</v>
          </cell>
          <cell r="O15974" t="str">
            <v>NR</v>
          </cell>
        </row>
        <row r="15975">
          <cell r="E15975" t="str">
            <v>THTR</v>
          </cell>
          <cell r="F15975" t="str">
            <v>THTR-T</v>
          </cell>
          <cell r="G15975">
            <v>504</v>
          </cell>
          <cell r="H15975" t="str">
            <v>THTR-T504</v>
          </cell>
          <cell r="K15975" t="str">
            <v>Noble,Adam</v>
          </cell>
          <cell r="N15975" t="str">
            <v>NR</v>
          </cell>
          <cell r="O15975" t="str">
            <v>NR</v>
          </cell>
        </row>
        <row r="15976">
          <cell r="E15976" t="str">
            <v>THTR</v>
          </cell>
          <cell r="F15976" t="str">
            <v>THTR-T</v>
          </cell>
          <cell r="G15976">
            <v>505</v>
          </cell>
          <cell r="H15976" t="str">
            <v>THTR-T505</v>
          </cell>
          <cell r="K15976" t="str">
            <v>Duer,Fred M.</v>
          </cell>
          <cell r="N15976">
            <v>3.9649999999999999</v>
          </cell>
          <cell r="O15976">
            <v>3.9089999999999998</v>
          </cell>
        </row>
        <row r="15977">
          <cell r="E15977" t="str">
            <v>THTR</v>
          </cell>
          <cell r="F15977" t="str">
            <v>THTR-T</v>
          </cell>
          <cell r="G15977">
            <v>506</v>
          </cell>
          <cell r="H15977" t="str">
            <v>THTR-T506</v>
          </cell>
          <cell r="K15977" t="str">
            <v>Duer,Fred M.</v>
          </cell>
          <cell r="N15977">
            <v>4</v>
          </cell>
          <cell r="O15977">
            <v>3.8759999999999999</v>
          </cell>
        </row>
        <row r="15978">
          <cell r="E15978" t="str">
            <v>THTR</v>
          </cell>
          <cell r="F15978" t="str">
            <v>THTR-T</v>
          </cell>
          <cell r="G15978">
            <v>510</v>
          </cell>
          <cell r="H15978" t="str">
            <v>THTR-T510</v>
          </cell>
          <cell r="K15978" t="str">
            <v>Noble,Adam</v>
          </cell>
          <cell r="N15978" t="str">
            <v>NR</v>
          </cell>
          <cell r="O15978" t="str">
            <v>NR</v>
          </cell>
        </row>
        <row r="15979">
          <cell r="E15979" t="str">
            <v>THTR</v>
          </cell>
          <cell r="F15979" t="str">
            <v>THTR-T</v>
          </cell>
          <cell r="G15979">
            <v>511</v>
          </cell>
          <cell r="H15979" t="str">
            <v>THTR-T511</v>
          </cell>
          <cell r="K15979" t="str">
            <v>Noble,Adam</v>
          </cell>
          <cell r="N15979" t="str">
            <v>NR</v>
          </cell>
          <cell r="O15979" t="str">
            <v>NR</v>
          </cell>
        </row>
        <row r="15980">
          <cell r="E15980" t="str">
            <v>THTR</v>
          </cell>
          <cell r="F15980" t="str">
            <v>THTR-T</v>
          </cell>
          <cell r="G15980">
            <v>521</v>
          </cell>
          <cell r="H15980" t="str">
            <v>THTR-T521</v>
          </cell>
          <cell r="K15980" t="str">
            <v>Burgun,Bruce E.</v>
          </cell>
          <cell r="N15980" t="str">
            <v>NR</v>
          </cell>
          <cell r="O15980" t="str">
            <v>NR</v>
          </cell>
        </row>
        <row r="15981">
          <cell r="E15981" t="str">
            <v>THTR</v>
          </cell>
          <cell r="F15981" t="str">
            <v>THTR-T</v>
          </cell>
          <cell r="G15981">
            <v>522</v>
          </cell>
          <cell r="H15981" t="str">
            <v>THTR-T522</v>
          </cell>
          <cell r="K15981" t="str">
            <v>McFadden,Dale C.</v>
          </cell>
          <cell r="N15981">
            <v>4</v>
          </cell>
          <cell r="O15981">
            <v>3.9969999999999999</v>
          </cell>
        </row>
        <row r="15982">
          <cell r="E15982" t="str">
            <v>THTR</v>
          </cell>
          <cell r="F15982" t="str">
            <v>THTR-T</v>
          </cell>
          <cell r="G15982">
            <v>524</v>
          </cell>
          <cell r="H15982" t="str">
            <v>THTR-T524</v>
          </cell>
          <cell r="K15982" t="str">
            <v>Duer,Fred M.</v>
          </cell>
          <cell r="N15982">
            <v>4</v>
          </cell>
          <cell r="O15982">
            <v>3.8809999999999998</v>
          </cell>
        </row>
        <row r="15983">
          <cell r="E15983" t="str">
            <v>THTR</v>
          </cell>
          <cell r="F15983" t="str">
            <v>THTR-T</v>
          </cell>
          <cell r="G15983">
            <v>525</v>
          </cell>
          <cell r="H15983" t="str">
            <v>THTR-T525</v>
          </cell>
          <cell r="K15983" t="str">
            <v>Lipschultz,Nancy L.</v>
          </cell>
          <cell r="N15983">
            <v>4</v>
          </cell>
          <cell r="O15983">
            <v>3.9590000000000001</v>
          </cell>
        </row>
        <row r="15984">
          <cell r="E15984" t="str">
            <v>THTR</v>
          </cell>
          <cell r="F15984" t="str">
            <v>THTR-T</v>
          </cell>
          <cell r="G15984">
            <v>526</v>
          </cell>
          <cell r="H15984" t="str">
            <v>THTR-T526</v>
          </cell>
          <cell r="K15984" t="str">
            <v>Duer,Fred M.</v>
          </cell>
          <cell r="N15984" t="str">
            <v>NR</v>
          </cell>
          <cell r="O15984" t="str">
            <v>NR</v>
          </cell>
        </row>
        <row r="15985">
          <cell r="E15985" t="str">
            <v>THTR</v>
          </cell>
          <cell r="F15985" t="str">
            <v>THTR-T</v>
          </cell>
          <cell r="G15985">
            <v>528</v>
          </cell>
          <cell r="H15985" t="str">
            <v>THTR-T528</v>
          </cell>
          <cell r="K15985" t="str">
            <v>Duer,Fred M.</v>
          </cell>
          <cell r="N15985" t="str">
            <v>NR</v>
          </cell>
          <cell r="O15985" t="str">
            <v>NR</v>
          </cell>
        </row>
        <row r="15986">
          <cell r="E15986" t="str">
            <v>THTR</v>
          </cell>
          <cell r="F15986" t="str">
            <v>THTR-T</v>
          </cell>
          <cell r="G15986">
            <v>529</v>
          </cell>
          <cell r="H15986" t="str">
            <v>THTR-T529</v>
          </cell>
          <cell r="K15986" t="str">
            <v>Brunner,Paul J</v>
          </cell>
          <cell r="N15986" t="str">
            <v>NR</v>
          </cell>
          <cell r="O15986" t="str">
            <v>NR</v>
          </cell>
        </row>
        <row r="15987">
          <cell r="E15987" t="str">
            <v>THTR</v>
          </cell>
          <cell r="F15987" t="str">
            <v>THTR-T</v>
          </cell>
          <cell r="G15987">
            <v>529</v>
          </cell>
          <cell r="H15987" t="str">
            <v>THTR-T529</v>
          </cell>
          <cell r="K15987" t="str">
            <v>Brunner,Paul J</v>
          </cell>
          <cell r="N15987" t="str">
            <v>NR</v>
          </cell>
          <cell r="O15987" t="str">
            <v>NR</v>
          </cell>
        </row>
        <row r="15988">
          <cell r="E15988" t="str">
            <v>THTR</v>
          </cell>
          <cell r="F15988" t="str">
            <v>THTR-T</v>
          </cell>
          <cell r="G15988">
            <v>530</v>
          </cell>
          <cell r="H15988" t="str">
            <v>THTR-T530</v>
          </cell>
          <cell r="K15988" t="str">
            <v>Pisano,Linda M.</v>
          </cell>
          <cell r="N15988" t="str">
            <v>NR</v>
          </cell>
          <cell r="O15988" t="str">
            <v>NR</v>
          </cell>
        </row>
        <row r="15989">
          <cell r="E15989" t="str">
            <v>THTR</v>
          </cell>
          <cell r="F15989" t="str">
            <v>THTR-T</v>
          </cell>
          <cell r="G15989">
            <v>531</v>
          </cell>
          <cell r="H15989" t="str">
            <v>THTR-T531</v>
          </cell>
          <cell r="K15989" t="str">
            <v>Berich,Lara Southerland</v>
          </cell>
          <cell r="N15989" t="str">
            <v>NR</v>
          </cell>
          <cell r="O15989" t="str">
            <v>NR</v>
          </cell>
        </row>
        <row r="15990">
          <cell r="E15990" t="str">
            <v>THTR</v>
          </cell>
          <cell r="F15990" t="str">
            <v>THTR-T</v>
          </cell>
          <cell r="G15990">
            <v>533</v>
          </cell>
          <cell r="H15990" t="str">
            <v>THTR-T533</v>
          </cell>
          <cell r="K15990" t="str">
            <v>Pisano,Linda M.</v>
          </cell>
          <cell r="N15990">
            <v>3.9569999999999999</v>
          </cell>
          <cell r="O15990">
            <v>3.879</v>
          </cell>
        </row>
        <row r="15991">
          <cell r="E15991" t="str">
            <v>THTR</v>
          </cell>
          <cell r="F15991" t="str">
            <v>THTR-T</v>
          </cell>
          <cell r="G15991">
            <v>535</v>
          </cell>
          <cell r="H15991" t="str">
            <v>THTR-T535</v>
          </cell>
          <cell r="K15991" t="str">
            <v>Lipschultz,Nancy L.</v>
          </cell>
          <cell r="N15991" t="str">
            <v>NR</v>
          </cell>
          <cell r="O15991" t="str">
            <v>NR</v>
          </cell>
        </row>
        <row r="15992">
          <cell r="E15992" t="str">
            <v>THTR</v>
          </cell>
          <cell r="F15992" t="str">
            <v>THTR-T</v>
          </cell>
          <cell r="G15992">
            <v>536</v>
          </cell>
          <cell r="H15992" t="str">
            <v>THTR-T536</v>
          </cell>
          <cell r="K15992" t="str">
            <v>Brunner,Paul J</v>
          </cell>
          <cell r="N15992">
            <v>4</v>
          </cell>
          <cell r="O15992">
            <v>3.9580000000000002</v>
          </cell>
        </row>
        <row r="15993">
          <cell r="E15993" t="str">
            <v>THTR</v>
          </cell>
          <cell r="F15993" t="str">
            <v>THTR-T</v>
          </cell>
          <cell r="G15993">
            <v>537</v>
          </cell>
          <cell r="H15993" t="str">
            <v>THTR-T537</v>
          </cell>
          <cell r="K15993" t="str">
            <v>Pisano,Linda M.</v>
          </cell>
          <cell r="N15993" t="str">
            <v>NR</v>
          </cell>
          <cell r="O15993" t="str">
            <v>NR</v>
          </cell>
        </row>
        <row r="15994">
          <cell r="E15994" t="str">
            <v>THTR</v>
          </cell>
          <cell r="F15994" t="str">
            <v>THTR-T</v>
          </cell>
          <cell r="G15994">
            <v>538</v>
          </cell>
          <cell r="H15994" t="str">
            <v>THTR-T538</v>
          </cell>
          <cell r="K15994" t="str">
            <v>Shakespeare,Robert A.</v>
          </cell>
          <cell r="N15994" t="str">
            <v>NR</v>
          </cell>
          <cell r="O15994" t="str">
            <v>NR</v>
          </cell>
        </row>
        <row r="15995">
          <cell r="E15995" t="str">
            <v>THTR</v>
          </cell>
          <cell r="F15995" t="str">
            <v>THTR-T</v>
          </cell>
          <cell r="G15995">
            <v>538</v>
          </cell>
          <cell r="H15995" t="str">
            <v>THTR-T538</v>
          </cell>
          <cell r="K15995" t="str">
            <v>Shakespeare,Robert A.</v>
          </cell>
          <cell r="N15995" t="str">
            <v>NR</v>
          </cell>
          <cell r="O15995" t="str">
            <v>NR</v>
          </cell>
        </row>
        <row r="15996">
          <cell r="E15996" t="str">
            <v>THTR</v>
          </cell>
          <cell r="F15996" t="str">
            <v>THTR-T</v>
          </cell>
          <cell r="G15996">
            <v>539</v>
          </cell>
          <cell r="H15996" t="str">
            <v>THTR-T539</v>
          </cell>
          <cell r="K15996" t="str">
            <v>Brunner,Paul J</v>
          </cell>
          <cell r="N15996">
            <v>3.5670000000000002</v>
          </cell>
          <cell r="O15996">
            <v>3.8580000000000001</v>
          </cell>
        </row>
        <row r="15997">
          <cell r="E15997" t="str">
            <v>THTR</v>
          </cell>
          <cell r="F15997" t="str">
            <v>THTR-T</v>
          </cell>
          <cell r="G15997">
            <v>540</v>
          </cell>
          <cell r="H15997" t="str">
            <v>THTR-T540</v>
          </cell>
          <cell r="K15997" t="str">
            <v>Brunner,Paul J</v>
          </cell>
          <cell r="N15997" t="str">
            <v>NR</v>
          </cell>
          <cell r="O15997" t="str">
            <v>NR</v>
          </cell>
        </row>
        <row r="15998">
          <cell r="E15998" t="str">
            <v>THTR</v>
          </cell>
          <cell r="F15998" t="str">
            <v>THTR-T</v>
          </cell>
          <cell r="G15998">
            <v>543</v>
          </cell>
          <cell r="H15998" t="str">
            <v>THTR-T543</v>
          </cell>
          <cell r="K15998" t="str">
            <v>McFadden,Dale C.</v>
          </cell>
          <cell r="N15998" t="str">
            <v>NR</v>
          </cell>
          <cell r="O15998" t="str">
            <v>NR</v>
          </cell>
        </row>
        <row r="15999">
          <cell r="E15999" t="str">
            <v>THTR</v>
          </cell>
          <cell r="F15999" t="str">
            <v>THTR-T</v>
          </cell>
          <cell r="G15999">
            <v>543</v>
          </cell>
          <cell r="H15999" t="str">
            <v>THTR-T543</v>
          </cell>
          <cell r="K15999" t="str">
            <v>Syer,K. Fontaine</v>
          </cell>
          <cell r="N15999" t="str">
            <v>NR</v>
          </cell>
          <cell r="O15999" t="str">
            <v>NR</v>
          </cell>
        </row>
        <row r="16000">
          <cell r="E16000" t="str">
            <v>THTR</v>
          </cell>
          <cell r="F16000" t="str">
            <v>THTR-T</v>
          </cell>
          <cell r="G16000">
            <v>546</v>
          </cell>
          <cell r="H16000" t="str">
            <v>THTR-T546</v>
          </cell>
          <cell r="K16000" t="str">
            <v>Shakespeare,Robert A.</v>
          </cell>
          <cell r="N16000" t="str">
            <v>NR</v>
          </cell>
          <cell r="O16000" t="str">
            <v>NR</v>
          </cell>
        </row>
        <row r="16001">
          <cell r="E16001" t="str">
            <v>THTR</v>
          </cell>
          <cell r="F16001" t="str">
            <v>THTR-T</v>
          </cell>
          <cell r="G16001">
            <v>547</v>
          </cell>
          <cell r="H16001" t="str">
            <v>THTR-T547</v>
          </cell>
          <cell r="K16001" t="str">
            <v>Hopson,Andrew R.</v>
          </cell>
          <cell r="N16001" t="str">
            <v>NR</v>
          </cell>
          <cell r="O16001" t="str">
            <v>NR</v>
          </cell>
        </row>
        <row r="16002">
          <cell r="E16002" t="str">
            <v>THTR</v>
          </cell>
          <cell r="F16002" t="str">
            <v>THTR-T</v>
          </cell>
          <cell r="G16002">
            <v>552</v>
          </cell>
          <cell r="H16002" t="str">
            <v>THTR-T552</v>
          </cell>
          <cell r="K16002" t="str">
            <v>Delong,John L</v>
          </cell>
          <cell r="N16002" t="str">
            <v>NR</v>
          </cell>
          <cell r="O16002" t="str">
            <v>NR</v>
          </cell>
        </row>
        <row r="16003">
          <cell r="E16003" t="str">
            <v>THTR</v>
          </cell>
          <cell r="F16003" t="str">
            <v>THTR-T</v>
          </cell>
          <cell r="G16003">
            <v>561</v>
          </cell>
          <cell r="H16003" t="str">
            <v>THTR-T561</v>
          </cell>
          <cell r="K16003" t="str">
            <v>Berich,Lara Southerland</v>
          </cell>
          <cell r="N16003" t="str">
            <v>NR</v>
          </cell>
          <cell r="O16003" t="str">
            <v>NR</v>
          </cell>
        </row>
        <row r="16004">
          <cell r="E16004" t="str">
            <v>THTR</v>
          </cell>
          <cell r="F16004" t="str">
            <v>THTR-T</v>
          </cell>
          <cell r="G16004">
            <v>566</v>
          </cell>
          <cell r="H16004" t="str">
            <v>THTR-T566</v>
          </cell>
          <cell r="K16004" t="str">
            <v>Cook,Amy Elizabeth</v>
          </cell>
          <cell r="N16004">
            <v>3.7330000000000001</v>
          </cell>
          <cell r="O16004">
            <v>3.9239999999999999</v>
          </cell>
        </row>
        <row r="16005">
          <cell r="E16005" t="str">
            <v>THTR</v>
          </cell>
          <cell r="F16005" t="str">
            <v>THTR-T</v>
          </cell>
          <cell r="G16005">
            <v>571</v>
          </cell>
          <cell r="H16005" t="str">
            <v>THTR-T571</v>
          </cell>
          <cell r="K16005" t="str">
            <v>Herzel,Roger W.</v>
          </cell>
          <cell r="N16005">
            <v>4</v>
          </cell>
          <cell r="O16005">
            <v>3.9540000000000002</v>
          </cell>
        </row>
        <row r="16006">
          <cell r="E16006" t="str">
            <v>THTR</v>
          </cell>
          <cell r="F16006" t="str">
            <v>THTR-T</v>
          </cell>
          <cell r="G16006">
            <v>572</v>
          </cell>
          <cell r="H16006" t="str">
            <v>THTR-T572</v>
          </cell>
          <cell r="K16006" t="str">
            <v>Wainscott,Ronald H.</v>
          </cell>
          <cell r="N16006">
            <v>3.9649999999999999</v>
          </cell>
          <cell r="O16006">
            <v>3.97</v>
          </cell>
        </row>
        <row r="16007">
          <cell r="E16007" t="str">
            <v>THTR</v>
          </cell>
          <cell r="F16007" t="str">
            <v>THTR-T</v>
          </cell>
          <cell r="G16007">
            <v>583</v>
          </cell>
          <cell r="H16007" t="str">
            <v>THTR-T583</v>
          </cell>
          <cell r="K16007" t="str">
            <v>Cameron-Webb,Gavin</v>
          </cell>
          <cell r="N16007" t="str">
            <v>NR</v>
          </cell>
          <cell r="O16007" t="str">
            <v>NR</v>
          </cell>
        </row>
        <row r="16008">
          <cell r="E16008" t="str">
            <v>THTR</v>
          </cell>
          <cell r="F16008" t="str">
            <v>THTR-T</v>
          </cell>
          <cell r="G16008">
            <v>583</v>
          </cell>
          <cell r="H16008" t="str">
            <v>THTR-T583</v>
          </cell>
          <cell r="K16008" t="str">
            <v>Goodlander,Jennifer Lynn</v>
          </cell>
          <cell r="N16008">
            <v>3.867</v>
          </cell>
          <cell r="O16008">
            <v>3.9209999999999998</v>
          </cell>
        </row>
        <row r="16009">
          <cell r="E16009" t="str">
            <v>THTR</v>
          </cell>
          <cell r="F16009" t="str">
            <v>THTR-T</v>
          </cell>
          <cell r="G16009">
            <v>583</v>
          </cell>
          <cell r="H16009" t="str">
            <v>THTR-T583</v>
          </cell>
          <cell r="K16009" t="str">
            <v>Hausmann,Patricia J</v>
          </cell>
          <cell r="N16009" t="str">
            <v>NR</v>
          </cell>
          <cell r="O16009" t="str">
            <v>NR</v>
          </cell>
        </row>
        <row r="16010">
          <cell r="E16010" t="str">
            <v>THTR</v>
          </cell>
          <cell r="F16010" t="str">
            <v>THTR-T</v>
          </cell>
          <cell r="G16010">
            <v>583</v>
          </cell>
          <cell r="H16010" t="str">
            <v>THTR-T583</v>
          </cell>
          <cell r="K16010" t="str">
            <v>McFadden,Dale C.</v>
          </cell>
          <cell r="N16010" t="str">
            <v>NR</v>
          </cell>
          <cell r="O16010" t="str">
            <v>NR</v>
          </cell>
        </row>
        <row r="16011">
          <cell r="E16011" t="str">
            <v>THTR</v>
          </cell>
          <cell r="F16011" t="str">
            <v>THTR-T</v>
          </cell>
          <cell r="G16011">
            <v>583</v>
          </cell>
          <cell r="H16011" t="str">
            <v>THTR-T583</v>
          </cell>
          <cell r="K16011" t="str">
            <v>Syer,K. Fontaine</v>
          </cell>
          <cell r="N16011" t="str">
            <v>NR</v>
          </cell>
          <cell r="O16011" t="str">
            <v>NR</v>
          </cell>
        </row>
        <row r="16012">
          <cell r="E16012" t="str">
            <v>THTR</v>
          </cell>
          <cell r="F16012" t="str">
            <v>THTR-T</v>
          </cell>
          <cell r="G16012">
            <v>583</v>
          </cell>
          <cell r="H16012" t="str">
            <v>THTR-T583</v>
          </cell>
          <cell r="K16012" t="str">
            <v>Weitzman,Kenneth S.</v>
          </cell>
          <cell r="N16012" t="str">
            <v>NR</v>
          </cell>
          <cell r="O16012" t="str">
            <v>NR</v>
          </cell>
        </row>
        <row r="16013">
          <cell r="E16013" t="str">
            <v>THTR</v>
          </cell>
          <cell r="F16013" t="str">
            <v>THTR-T</v>
          </cell>
          <cell r="G16013">
            <v>583</v>
          </cell>
          <cell r="H16013" t="str">
            <v>THTR-T583</v>
          </cell>
          <cell r="K16013" t="str">
            <v>Weitzman,Kenneth S.</v>
          </cell>
          <cell r="N16013" t="str">
            <v>NR</v>
          </cell>
          <cell r="O16013" t="str">
            <v>NR</v>
          </cell>
        </row>
        <row r="16014">
          <cell r="E16014" t="str">
            <v>THTR</v>
          </cell>
          <cell r="F16014" t="str">
            <v>THTR-T</v>
          </cell>
          <cell r="G16014">
            <v>583</v>
          </cell>
          <cell r="H16014" t="str">
            <v>THTR-T583</v>
          </cell>
          <cell r="K16014" t="str">
            <v>Weitzman,Kenneth S.</v>
          </cell>
          <cell r="N16014" t="str">
            <v>NR</v>
          </cell>
          <cell r="O16014" t="str">
            <v>NR</v>
          </cell>
        </row>
        <row r="16015">
          <cell r="E16015" t="str">
            <v>THTR</v>
          </cell>
          <cell r="F16015" t="str">
            <v>THTR-T</v>
          </cell>
          <cell r="G16015">
            <v>600</v>
          </cell>
          <cell r="H16015" t="str">
            <v>THTR-T600</v>
          </cell>
          <cell r="K16015" t="str">
            <v>Wainscott,Ronald H.</v>
          </cell>
          <cell r="N16015" t="str">
            <v>NR</v>
          </cell>
          <cell r="O16015" t="str">
            <v>NR</v>
          </cell>
        </row>
        <row r="16016">
          <cell r="E16016" t="str">
            <v>THTR</v>
          </cell>
          <cell r="F16016" t="str">
            <v>THTR-T</v>
          </cell>
          <cell r="G16016">
            <v>610</v>
          </cell>
          <cell r="H16016" t="str">
            <v>THTR-T610</v>
          </cell>
          <cell r="K16016" t="str">
            <v>Noble,Adam</v>
          </cell>
          <cell r="N16016" t="str">
            <v>NR</v>
          </cell>
          <cell r="O16016" t="str">
            <v>NR</v>
          </cell>
        </row>
        <row r="16017">
          <cell r="E16017" t="str">
            <v>THTR</v>
          </cell>
          <cell r="F16017" t="str">
            <v>THTR-T</v>
          </cell>
          <cell r="G16017">
            <v>625</v>
          </cell>
          <cell r="H16017" t="str">
            <v>THTR-T625</v>
          </cell>
          <cell r="K16017" t="str">
            <v>Lipschultz,Nancy L.</v>
          </cell>
          <cell r="N16017" t="str">
            <v>NR</v>
          </cell>
          <cell r="O16017" t="str">
            <v>NR</v>
          </cell>
        </row>
        <row r="16018">
          <cell r="E16018" t="str">
            <v>THTR</v>
          </cell>
          <cell r="F16018" t="str">
            <v>THTR-T</v>
          </cell>
          <cell r="G16018">
            <v>626</v>
          </cell>
          <cell r="H16018" t="str">
            <v>THTR-T626</v>
          </cell>
          <cell r="K16018" t="str">
            <v>Duer,Fred M.</v>
          </cell>
          <cell r="N16018" t="str">
            <v>NR</v>
          </cell>
          <cell r="O16018" t="str">
            <v>NR</v>
          </cell>
        </row>
        <row r="16019">
          <cell r="E16019" t="str">
            <v>THTR</v>
          </cell>
          <cell r="F16019" t="str">
            <v>THTR-T</v>
          </cell>
          <cell r="G16019">
            <v>639</v>
          </cell>
          <cell r="H16019" t="str">
            <v>THTR-T639</v>
          </cell>
          <cell r="K16019" t="str">
            <v>Brunner,Paul J</v>
          </cell>
          <cell r="N16019" t="str">
            <v>NR</v>
          </cell>
          <cell r="O16019" t="str">
            <v>NR</v>
          </cell>
        </row>
        <row r="16020">
          <cell r="E16020" t="str">
            <v>THTR</v>
          </cell>
          <cell r="F16020" t="str">
            <v>THTR-T</v>
          </cell>
          <cell r="G16020">
            <v>700</v>
          </cell>
          <cell r="H16020" t="str">
            <v>THTR-T700</v>
          </cell>
          <cell r="K16020" t="str">
            <v>Michaelsen,Jonathan Robert</v>
          </cell>
          <cell r="N16020">
            <v>4</v>
          </cell>
          <cell r="O16020">
            <v>3.9550000000000001</v>
          </cell>
        </row>
        <row r="16021">
          <cell r="E16021" t="str">
            <v>THTR</v>
          </cell>
          <cell r="F16021" t="str">
            <v>THTR-T</v>
          </cell>
          <cell r="G16021">
            <v>700</v>
          </cell>
          <cell r="H16021" t="str">
            <v>THTR-T700</v>
          </cell>
          <cell r="K16021" t="str">
            <v>Michaelsen,Jonathan Robert</v>
          </cell>
          <cell r="N16021">
            <v>4</v>
          </cell>
          <cell r="O16021">
            <v>3.9220000000000002</v>
          </cell>
        </row>
        <row r="16022">
          <cell r="E16022" t="str">
            <v>THTR</v>
          </cell>
          <cell r="F16022" t="str">
            <v>THTR-T</v>
          </cell>
          <cell r="G16022">
            <v>701</v>
          </cell>
          <cell r="H16022" t="str">
            <v>THTR-T701</v>
          </cell>
          <cell r="K16022" t="str">
            <v>Wainscott,Ronald H.</v>
          </cell>
          <cell r="N16022" t="str">
            <v>NR</v>
          </cell>
          <cell r="O16022" t="str">
            <v>NR</v>
          </cell>
        </row>
        <row r="16023">
          <cell r="E16023" t="str">
            <v>THTR</v>
          </cell>
          <cell r="F16023" t="str">
            <v>THTR-T</v>
          </cell>
          <cell r="G16023">
            <v>735</v>
          </cell>
          <cell r="H16023" t="str">
            <v>THTR-T735</v>
          </cell>
          <cell r="K16023" t="str">
            <v>Lipschultz,Nancy L.</v>
          </cell>
          <cell r="N16023" t="str">
            <v>NR</v>
          </cell>
          <cell r="O16023" t="str">
            <v>NR</v>
          </cell>
        </row>
        <row r="16024">
          <cell r="E16024" t="str">
            <v>THTR</v>
          </cell>
          <cell r="F16024" t="str">
            <v>THTR-T</v>
          </cell>
          <cell r="G16024">
            <v>775</v>
          </cell>
          <cell r="H16024" t="str">
            <v>THTR-T775</v>
          </cell>
          <cell r="K16024" t="str">
            <v>Wainscott,Ronald H.</v>
          </cell>
          <cell r="N16024">
            <v>3.9329999999999998</v>
          </cell>
          <cell r="O16024">
            <v>3.9649999999999999</v>
          </cell>
        </row>
        <row r="16025">
          <cell r="E16025" t="str">
            <v>THTR</v>
          </cell>
          <cell r="F16025" t="str">
            <v>THTR-T</v>
          </cell>
          <cell r="G16025">
            <v>897</v>
          </cell>
          <cell r="H16025" t="str">
            <v>THTR-T897</v>
          </cell>
          <cell r="K16025" t="str">
            <v>Wainscott,Ronald H.</v>
          </cell>
          <cell r="N16025" t="str">
            <v>NR</v>
          </cell>
          <cell r="O16025" t="str">
            <v>NR</v>
          </cell>
        </row>
        <row r="16026">
          <cell r="E16026" t="str">
            <v>THTR</v>
          </cell>
          <cell r="F16026" t="str">
            <v>THTR-T</v>
          </cell>
          <cell r="G16026">
            <v>897</v>
          </cell>
          <cell r="H16026" t="str">
            <v>THTR-T897</v>
          </cell>
          <cell r="K16026" t="str">
            <v>Wainscott,Ronald H.</v>
          </cell>
          <cell r="N16026" t="str">
            <v>NR</v>
          </cell>
          <cell r="O16026" t="str">
            <v>NR</v>
          </cell>
        </row>
        <row r="16027">
          <cell r="E16027" t="str">
            <v>THTR</v>
          </cell>
          <cell r="F16027" t="str">
            <v>THTR-T</v>
          </cell>
          <cell r="G16027">
            <v>899</v>
          </cell>
          <cell r="H16027" t="str">
            <v>THTR-T899</v>
          </cell>
          <cell r="K16027" t="str">
            <v>Wainscott,Ronald H.</v>
          </cell>
          <cell r="N16027" t="str">
            <v>NR</v>
          </cell>
          <cell r="O16027" t="str">
            <v>NR</v>
          </cell>
        </row>
        <row r="16028">
          <cell r="E16028" t="str">
            <v>THTR</v>
          </cell>
          <cell r="F16028" t="str">
            <v>THTR-T</v>
          </cell>
          <cell r="G16028">
            <v>899</v>
          </cell>
          <cell r="H16028" t="str">
            <v>THTR-T899</v>
          </cell>
          <cell r="K16028" t="str">
            <v>Wainscott,Ronald H.</v>
          </cell>
          <cell r="N16028" t="str">
            <v>NR</v>
          </cell>
          <cell r="O16028" t="str">
            <v>NR</v>
          </cell>
        </row>
        <row r="16029">
          <cell r="E16029" t="str">
            <v>TOPT</v>
          </cell>
          <cell r="F16029" t="str">
            <v>TOPT-V</v>
          </cell>
          <cell r="G16029">
            <v>111</v>
          </cell>
          <cell r="H16029" t="str">
            <v>TOPT-V111</v>
          </cell>
          <cell r="K16029" t="str">
            <v>Gerstman,Daniel R.</v>
          </cell>
          <cell r="N16029">
            <v>3.47</v>
          </cell>
          <cell r="O16029">
            <v>3.1970000000000001</v>
          </cell>
        </row>
        <row r="16030">
          <cell r="E16030" t="str">
            <v>TOPT</v>
          </cell>
          <cell r="F16030" t="str">
            <v>TOPT-V</v>
          </cell>
          <cell r="G16030">
            <v>121</v>
          </cell>
          <cell r="H16030" t="str">
            <v>TOPT-V121</v>
          </cell>
          <cell r="K16030" t="str">
            <v>Brooks,Clifford W.</v>
          </cell>
          <cell r="N16030">
            <v>3.6669999999999998</v>
          </cell>
          <cell r="O16030">
            <v>3.355</v>
          </cell>
        </row>
        <row r="16031">
          <cell r="E16031" t="str">
            <v>TOPT</v>
          </cell>
          <cell r="F16031" t="str">
            <v>TOPT-V</v>
          </cell>
          <cell r="G16031">
            <v>131</v>
          </cell>
          <cell r="H16031" t="str">
            <v>TOPT-V131</v>
          </cell>
          <cell r="K16031" t="str">
            <v>Gerstman,Daniel R.</v>
          </cell>
          <cell r="N16031">
            <v>3.95</v>
          </cell>
          <cell r="O16031">
            <v>3.355</v>
          </cell>
        </row>
        <row r="16032">
          <cell r="E16032" t="str">
            <v>TOPT</v>
          </cell>
          <cell r="F16032" t="str">
            <v>TOPT-V</v>
          </cell>
          <cell r="G16032">
            <v>151</v>
          </cell>
          <cell r="H16032" t="str">
            <v>TOPT-V151</v>
          </cell>
          <cell r="K16032" t="str">
            <v>Pickel Jr,Merle Kenneth</v>
          </cell>
          <cell r="N16032">
            <v>3.6669999999999998</v>
          </cell>
          <cell r="O16032">
            <v>3.3250000000000002</v>
          </cell>
        </row>
        <row r="16033">
          <cell r="E16033" t="str">
            <v>TOPT</v>
          </cell>
          <cell r="F16033" t="str">
            <v>TOPT-V</v>
          </cell>
          <cell r="G16033">
            <v>153</v>
          </cell>
          <cell r="H16033" t="str">
            <v>TOPT-V153</v>
          </cell>
          <cell r="K16033" t="str">
            <v>Pickel,Sandra L.</v>
          </cell>
          <cell r="N16033">
            <v>3.331</v>
          </cell>
          <cell r="O16033">
            <v>3.1320000000000001</v>
          </cell>
        </row>
        <row r="16034">
          <cell r="E16034" t="str">
            <v>TOPT</v>
          </cell>
          <cell r="F16034" t="str">
            <v>TOPT-V</v>
          </cell>
          <cell r="G16034">
            <v>174</v>
          </cell>
          <cell r="H16034" t="str">
            <v>TOPT-V174</v>
          </cell>
          <cell r="K16034" t="str">
            <v>Pickel,Sandra L.</v>
          </cell>
          <cell r="N16034">
            <v>3.57</v>
          </cell>
          <cell r="O16034">
            <v>3.3250000000000002</v>
          </cell>
        </row>
        <row r="16035">
          <cell r="E16035" t="str">
            <v>TOPT</v>
          </cell>
          <cell r="F16035" t="str">
            <v>TOPT-V</v>
          </cell>
          <cell r="G16035">
            <v>201</v>
          </cell>
          <cell r="H16035" t="str">
            <v>TOPT-V201</v>
          </cell>
          <cell r="K16035" t="str">
            <v>Himebaugh,Nikole Lynn</v>
          </cell>
          <cell r="N16035">
            <v>3.1339999999999999</v>
          </cell>
          <cell r="O16035">
            <v>3.008</v>
          </cell>
        </row>
        <row r="16036">
          <cell r="E16036" t="str">
            <v>TOPT</v>
          </cell>
          <cell r="F16036" t="str">
            <v>TOPT-V</v>
          </cell>
          <cell r="G16036">
            <v>210</v>
          </cell>
          <cell r="H16036" t="str">
            <v>TOPT-V210</v>
          </cell>
          <cell r="K16036" t="str">
            <v>Brooks,Clifford W.</v>
          </cell>
          <cell r="N16036" t="str">
            <v>NR</v>
          </cell>
          <cell r="O16036" t="str">
            <v>NR</v>
          </cell>
        </row>
        <row r="16037">
          <cell r="E16037" t="str">
            <v>TOPT</v>
          </cell>
          <cell r="F16037" t="str">
            <v>TOPT-V</v>
          </cell>
          <cell r="G16037">
            <v>210</v>
          </cell>
          <cell r="H16037" t="str">
            <v>TOPT-V210</v>
          </cell>
          <cell r="K16037" t="str">
            <v>Brooks,Clifford W.</v>
          </cell>
          <cell r="N16037" t="str">
            <v>NR</v>
          </cell>
          <cell r="O16037" t="str">
            <v>NR</v>
          </cell>
        </row>
        <row r="16038">
          <cell r="E16038" t="str">
            <v>TOPT</v>
          </cell>
          <cell r="F16038" t="str">
            <v>TOPT-V</v>
          </cell>
          <cell r="G16038">
            <v>211</v>
          </cell>
          <cell r="H16038" t="str">
            <v>TOPT-V211</v>
          </cell>
          <cell r="K16038" t="str">
            <v>Brooks,Clifford W.</v>
          </cell>
          <cell r="N16038" t="str">
            <v>NR</v>
          </cell>
          <cell r="O16038" t="str">
            <v>NR</v>
          </cell>
        </row>
        <row r="16039">
          <cell r="E16039" t="str">
            <v>TOPT</v>
          </cell>
          <cell r="F16039" t="str">
            <v>TOPT-V</v>
          </cell>
          <cell r="G16039">
            <v>211</v>
          </cell>
          <cell r="H16039" t="str">
            <v>TOPT-V211</v>
          </cell>
          <cell r="K16039" t="str">
            <v>Brooks,Clifford W.</v>
          </cell>
          <cell r="N16039" t="str">
            <v>NR</v>
          </cell>
          <cell r="O16039" t="str">
            <v>NR</v>
          </cell>
        </row>
        <row r="16040">
          <cell r="E16040" t="str">
            <v>TOPT</v>
          </cell>
          <cell r="F16040" t="str">
            <v>TOPT-V</v>
          </cell>
          <cell r="G16040">
            <v>221</v>
          </cell>
          <cell r="H16040" t="str">
            <v>TOPT-V221</v>
          </cell>
          <cell r="K16040" t="str">
            <v>Brooks,Clifford W.</v>
          </cell>
          <cell r="N16040" t="str">
            <v>NR</v>
          </cell>
          <cell r="O16040" t="str">
            <v>NR</v>
          </cell>
        </row>
        <row r="16041">
          <cell r="E16041" t="str">
            <v>TOPT</v>
          </cell>
          <cell r="F16041" t="str">
            <v>TOPT-V</v>
          </cell>
          <cell r="G16041">
            <v>232</v>
          </cell>
          <cell r="H16041" t="str">
            <v>TOPT-V232</v>
          </cell>
          <cell r="K16041" t="str">
            <v>Himebaugh,Nikole Lynn</v>
          </cell>
          <cell r="N16041" t="str">
            <v>NR</v>
          </cell>
          <cell r="O16041" t="str">
            <v>NR</v>
          </cell>
        </row>
        <row r="16042">
          <cell r="E16042" t="str">
            <v>TOPT</v>
          </cell>
          <cell r="F16042" t="str">
            <v>TOPT-V</v>
          </cell>
          <cell r="G16042">
            <v>251</v>
          </cell>
          <cell r="H16042" t="str">
            <v>TOPT-V251</v>
          </cell>
          <cell r="K16042" t="str">
            <v>Pickel Jr,Merle Kenneth</v>
          </cell>
          <cell r="N16042" t="str">
            <v>NR</v>
          </cell>
          <cell r="O16042" t="str">
            <v>NR</v>
          </cell>
        </row>
        <row r="16043">
          <cell r="E16043" t="str">
            <v>TOPT</v>
          </cell>
          <cell r="F16043" t="str">
            <v>TOPT-V</v>
          </cell>
          <cell r="G16043">
            <v>254</v>
          </cell>
          <cell r="H16043" t="str">
            <v>TOPT-V254</v>
          </cell>
          <cell r="K16043" t="str">
            <v>Pickel,Sandra L.</v>
          </cell>
          <cell r="N16043" t="str">
            <v>NR</v>
          </cell>
          <cell r="O16043" t="str">
            <v>NR</v>
          </cell>
        </row>
        <row r="16044">
          <cell r="E16044" t="str">
            <v>TOPT</v>
          </cell>
          <cell r="F16044" t="str">
            <v>TOPT-V</v>
          </cell>
          <cell r="G16044">
            <v>255</v>
          </cell>
          <cell r="H16044" t="str">
            <v>TOPT-V255</v>
          </cell>
          <cell r="K16044" t="str">
            <v>Pickel,Sandra L.</v>
          </cell>
          <cell r="N16044" t="str">
            <v>NR</v>
          </cell>
          <cell r="O16044" t="str">
            <v>NR</v>
          </cell>
        </row>
        <row r="16045">
          <cell r="E16045" t="str">
            <v>TOPT</v>
          </cell>
          <cell r="F16045" t="str">
            <v>TOPT-V</v>
          </cell>
          <cell r="G16045">
            <v>255</v>
          </cell>
          <cell r="H16045" t="str">
            <v>TOPT-V255</v>
          </cell>
          <cell r="K16045" t="str">
            <v>Pickel,Sandra L.</v>
          </cell>
          <cell r="N16045" t="str">
            <v>NR</v>
          </cell>
          <cell r="O16045" t="str">
            <v>NR</v>
          </cell>
        </row>
        <row r="16046">
          <cell r="E16046" t="str">
            <v>TOPT</v>
          </cell>
          <cell r="F16046" t="str">
            <v>TOPT-V</v>
          </cell>
          <cell r="G16046">
            <v>256</v>
          </cell>
          <cell r="H16046" t="str">
            <v>TOPT-V256</v>
          </cell>
          <cell r="K16046" t="str">
            <v>Pickel,Sandra L.</v>
          </cell>
          <cell r="N16046" t="str">
            <v>NR</v>
          </cell>
          <cell r="O16046" t="str">
            <v>NR</v>
          </cell>
        </row>
        <row r="16047">
          <cell r="E16047" t="str">
            <v>TOPT</v>
          </cell>
          <cell r="F16047" t="str">
            <v>TOPT-V</v>
          </cell>
          <cell r="G16047">
            <v>256</v>
          </cell>
          <cell r="H16047" t="str">
            <v>TOPT-V256</v>
          </cell>
          <cell r="K16047" t="str">
            <v>Pickel,Sandra L.</v>
          </cell>
          <cell r="N16047" t="str">
            <v>NR</v>
          </cell>
          <cell r="O16047" t="str">
            <v>NR</v>
          </cell>
        </row>
        <row r="16048">
          <cell r="E16048" t="str">
            <v>VICT</v>
          </cell>
          <cell r="F16048" t="str">
            <v>VICT-V</v>
          </cell>
          <cell r="G16048">
            <v>611</v>
          </cell>
          <cell r="H16048" t="str">
            <v>VICT-V611</v>
          </cell>
          <cell r="K16048" t="str">
            <v>Kriegel,Lara</v>
          </cell>
          <cell r="N16048">
            <v>3.91</v>
          </cell>
          <cell r="O16048">
            <v>3.895</v>
          </cell>
        </row>
        <row r="16049">
          <cell r="E16049" t="str">
            <v>VSCI</v>
          </cell>
          <cell r="F16049" t="str">
            <v>VSCI-G</v>
          </cell>
          <cell r="G16049">
            <v>901</v>
          </cell>
          <cell r="H16049" t="str">
            <v>VSCI-G901</v>
          </cell>
          <cell r="K16049" t="str">
            <v>Burns,Stephen Allan</v>
          </cell>
          <cell r="N16049" t="str">
            <v>NR</v>
          </cell>
          <cell r="O16049" t="str">
            <v>NR</v>
          </cell>
        </row>
        <row r="16050">
          <cell r="E16050" t="str">
            <v>VSCI</v>
          </cell>
          <cell r="F16050" t="str">
            <v>VSCI-G</v>
          </cell>
          <cell r="G16050">
            <v>901</v>
          </cell>
          <cell r="H16050" t="str">
            <v>VSCI-G901</v>
          </cell>
          <cell r="K16050" t="str">
            <v>Burns,Stephen Allan</v>
          </cell>
          <cell r="N16050" t="str">
            <v>NR</v>
          </cell>
          <cell r="O16050" t="str">
            <v>NR</v>
          </cell>
        </row>
        <row r="16051">
          <cell r="E16051" t="str">
            <v>VSCI</v>
          </cell>
          <cell r="F16051" t="str">
            <v>VSCI-V</v>
          </cell>
          <cell r="G16051">
            <v>595</v>
          </cell>
          <cell r="H16051" t="str">
            <v>VSCI-V595</v>
          </cell>
          <cell r="K16051" t="str">
            <v>Burns,Stephen Allan</v>
          </cell>
          <cell r="N16051" t="str">
            <v>NR</v>
          </cell>
          <cell r="O16051" t="str">
            <v>NR</v>
          </cell>
        </row>
        <row r="16052">
          <cell r="E16052" t="str">
            <v>VSCI</v>
          </cell>
          <cell r="F16052" t="str">
            <v>VSCI-V</v>
          </cell>
          <cell r="G16052">
            <v>695</v>
          </cell>
          <cell r="H16052" t="str">
            <v>VSCI-V695</v>
          </cell>
          <cell r="K16052" t="str">
            <v>Burns,Stephen Allan</v>
          </cell>
          <cell r="N16052" t="str">
            <v>NR</v>
          </cell>
          <cell r="O16052" t="str">
            <v>NR</v>
          </cell>
        </row>
        <row r="16053">
          <cell r="E16053" t="str">
            <v>VSCI</v>
          </cell>
          <cell r="F16053" t="str">
            <v>VSCI-V</v>
          </cell>
          <cell r="G16053">
            <v>695</v>
          </cell>
          <cell r="H16053" t="str">
            <v>VSCI-V695</v>
          </cell>
          <cell r="K16053" t="str">
            <v>Burns,Stephen Allan</v>
          </cell>
          <cell r="N16053" t="str">
            <v>NR</v>
          </cell>
          <cell r="O16053" t="str">
            <v>NR</v>
          </cell>
        </row>
        <row r="16054">
          <cell r="E16054" t="str">
            <v>VSCI</v>
          </cell>
          <cell r="F16054" t="str">
            <v>VSCI-V</v>
          </cell>
          <cell r="G16054">
            <v>707</v>
          </cell>
          <cell r="H16054" t="str">
            <v>VSCI-V707</v>
          </cell>
          <cell r="K16054" t="str">
            <v>Elsner,Ann Elizabeth</v>
          </cell>
          <cell r="N16054" t="str">
            <v>NR</v>
          </cell>
          <cell r="O16054" t="str">
            <v>NR</v>
          </cell>
        </row>
        <row r="16055">
          <cell r="E16055" t="str">
            <v>VSCI</v>
          </cell>
          <cell r="F16055" t="str">
            <v>VSCI-V</v>
          </cell>
          <cell r="G16055">
            <v>717</v>
          </cell>
          <cell r="H16055" t="str">
            <v>VSCI-V717</v>
          </cell>
          <cell r="K16055" t="str">
            <v>Candy,T Rowan</v>
          </cell>
          <cell r="N16055" t="str">
            <v>NR</v>
          </cell>
          <cell r="O16055" t="str">
            <v>NR</v>
          </cell>
        </row>
        <row r="16056">
          <cell r="E16056" t="str">
            <v>VSCI</v>
          </cell>
          <cell r="F16056" t="str">
            <v>VSCI-V</v>
          </cell>
          <cell r="G16056">
            <v>765</v>
          </cell>
          <cell r="H16056" t="str">
            <v>VSCI-V765</v>
          </cell>
          <cell r="K16056" t="str">
            <v>Burns,Stephen Allan</v>
          </cell>
          <cell r="N16056">
            <v>3.7450000000000001</v>
          </cell>
          <cell r="O16056">
            <v>3.6160000000000001</v>
          </cell>
        </row>
        <row r="16057">
          <cell r="E16057" t="str">
            <v>VSCI</v>
          </cell>
          <cell r="F16057" t="str">
            <v>VSCI-V</v>
          </cell>
          <cell r="G16057">
            <v>765</v>
          </cell>
          <cell r="H16057" t="str">
            <v>VSCI-V765</v>
          </cell>
          <cell r="K16057" t="str">
            <v>Viswanathan,Suresh</v>
          </cell>
          <cell r="N16057">
            <v>3.4950000000000001</v>
          </cell>
          <cell r="O16057">
            <v>3.6030000000000002</v>
          </cell>
        </row>
        <row r="16058">
          <cell r="E16058" t="str">
            <v>VSCI</v>
          </cell>
          <cell r="F16058" t="str">
            <v>VSCI-V</v>
          </cell>
          <cell r="G16058">
            <v>768</v>
          </cell>
          <cell r="H16058" t="str">
            <v>VSCI-V768</v>
          </cell>
          <cell r="K16058" t="str">
            <v>Burns,Stephen Allan</v>
          </cell>
          <cell r="N16058" t="str">
            <v>NR</v>
          </cell>
          <cell r="O16058" t="str">
            <v>NR</v>
          </cell>
        </row>
        <row r="16059">
          <cell r="E16059" t="str">
            <v>VSCI</v>
          </cell>
          <cell r="F16059" t="str">
            <v>VSCI-V</v>
          </cell>
          <cell r="G16059">
            <v>768</v>
          </cell>
          <cell r="H16059" t="str">
            <v>VSCI-V768</v>
          </cell>
          <cell r="K16059" t="str">
            <v>Candy,T Rowan</v>
          </cell>
          <cell r="N16059" t="str">
            <v>NR</v>
          </cell>
          <cell r="O16059" t="str">
            <v>NR</v>
          </cell>
        </row>
        <row r="16060">
          <cell r="E16060" t="str">
            <v>VSCI</v>
          </cell>
          <cell r="F16060" t="str">
            <v>VSCI-V</v>
          </cell>
          <cell r="G16060">
            <v>768</v>
          </cell>
          <cell r="H16060" t="str">
            <v>VSCI-V768</v>
          </cell>
          <cell r="K16060" t="str">
            <v>Candy,T Rowan</v>
          </cell>
          <cell r="N16060" t="str">
            <v>NR</v>
          </cell>
          <cell r="O16060" t="str">
            <v>NR</v>
          </cell>
        </row>
        <row r="16061">
          <cell r="E16061" t="str">
            <v>VSCI</v>
          </cell>
          <cell r="F16061" t="str">
            <v>VSCI-V</v>
          </cell>
          <cell r="G16061">
            <v>768</v>
          </cell>
          <cell r="H16061" t="str">
            <v>VSCI-V768</v>
          </cell>
          <cell r="K16061" t="str">
            <v>Hassan,Shirin Elgin</v>
          </cell>
          <cell r="N16061" t="str">
            <v>NR</v>
          </cell>
          <cell r="O16061" t="str">
            <v>NR</v>
          </cell>
        </row>
        <row r="16062">
          <cell r="E16062" t="str">
            <v>VSCI</v>
          </cell>
          <cell r="F16062" t="str">
            <v>VSCI-V</v>
          </cell>
          <cell r="G16062">
            <v>768</v>
          </cell>
          <cell r="H16062" t="str">
            <v>VSCI-V768</v>
          </cell>
          <cell r="K16062" t="str">
            <v>Swanson,William Howard</v>
          </cell>
          <cell r="N16062" t="str">
            <v>NR</v>
          </cell>
          <cell r="O16062" t="str">
            <v>NR</v>
          </cell>
        </row>
        <row r="16063">
          <cell r="E16063" t="str">
            <v>VSCI</v>
          </cell>
          <cell r="F16063" t="str">
            <v>VSCI-V</v>
          </cell>
          <cell r="G16063">
            <v>768</v>
          </cell>
          <cell r="H16063" t="str">
            <v>VSCI-V768</v>
          </cell>
          <cell r="K16063" t="str">
            <v>Viswanathan,Suresh</v>
          </cell>
          <cell r="N16063" t="str">
            <v>NR</v>
          </cell>
          <cell r="O16063" t="str">
            <v>NR</v>
          </cell>
        </row>
        <row r="16064">
          <cell r="E16064" t="str">
            <v>VSCI</v>
          </cell>
          <cell r="F16064" t="str">
            <v>VSCI-V</v>
          </cell>
          <cell r="G16064">
            <v>768</v>
          </cell>
          <cell r="H16064" t="str">
            <v>VSCI-V768</v>
          </cell>
          <cell r="K16064" t="str">
            <v>Viswanathan,Suresh</v>
          </cell>
          <cell r="N16064" t="str">
            <v>NR</v>
          </cell>
          <cell r="O16064" t="str">
            <v>NR</v>
          </cell>
        </row>
        <row r="16065">
          <cell r="E16065" t="str">
            <v>VSCI</v>
          </cell>
          <cell r="F16065" t="str">
            <v>VSCI-V</v>
          </cell>
          <cell r="G16065">
            <v>768</v>
          </cell>
          <cell r="H16065" t="str">
            <v>VSCI-V768</v>
          </cell>
          <cell r="K16065" t="str">
            <v>Viswanathan,Suresh</v>
          </cell>
          <cell r="N16065" t="str">
            <v>NR</v>
          </cell>
          <cell r="O16065" t="str">
            <v>NR</v>
          </cell>
        </row>
        <row r="16066">
          <cell r="E16066" t="str">
            <v>VSCI</v>
          </cell>
          <cell r="F16066" t="str">
            <v>VSCI-V</v>
          </cell>
          <cell r="G16066">
            <v>768</v>
          </cell>
          <cell r="H16066" t="str">
            <v>VSCI-V768</v>
          </cell>
          <cell r="K16066" t="str">
            <v>Viswanathan,Suresh</v>
          </cell>
          <cell r="N16066" t="str">
            <v>NR</v>
          </cell>
          <cell r="O16066" t="str">
            <v>NR</v>
          </cell>
        </row>
        <row r="16067">
          <cell r="E16067" t="str">
            <v>VSCI</v>
          </cell>
          <cell r="F16067" t="str">
            <v>VSCI-V</v>
          </cell>
          <cell r="G16067">
            <v>768</v>
          </cell>
          <cell r="H16067" t="str">
            <v>VSCI-V768</v>
          </cell>
          <cell r="K16067" t="str">
            <v>Viswanathan,Suresh</v>
          </cell>
          <cell r="N16067" t="str">
            <v>NR</v>
          </cell>
          <cell r="O16067" t="str">
            <v>NR</v>
          </cell>
        </row>
        <row r="16068">
          <cell r="E16068" t="str">
            <v>VSCI</v>
          </cell>
          <cell r="F16068" t="str">
            <v>VSCI-V</v>
          </cell>
          <cell r="G16068">
            <v>791</v>
          </cell>
          <cell r="H16068" t="str">
            <v>VSCI-V791</v>
          </cell>
          <cell r="K16068" t="str">
            <v>Thibos,Larry</v>
          </cell>
          <cell r="N16068">
            <v>3.7890000000000001</v>
          </cell>
          <cell r="O16068">
            <v>3.677</v>
          </cell>
        </row>
        <row r="16069">
          <cell r="E16069" t="str">
            <v>VSCI</v>
          </cell>
          <cell r="F16069" t="str">
            <v>VSCI-V</v>
          </cell>
          <cell r="G16069">
            <v>795</v>
          </cell>
          <cell r="H16069" t="str">
            <v>VSCI-V795</v>
          </cell>
          <cell r="K16069" t="str">
            <v>Burns,Stephen Allan</v>
          </cell>
          <cell r="N16069" t="str">
            <v>NR</v>
          </cell>
          <cell r="O16069" t="str">
            <v>NR</v>
          </cell>
        </row>
        <row r="16070">
          <cell r="E16070" t="str">
            <v>VSCI</v>
          </cell>
          <cell r="F16070" t="str">
            <v>VSCI-V</v>
          </cell>
          <cell r="G16070">
            <v>795</v>
          </cell>
          <cell r="H16070" t="str">
            <v>VSCI-V795</v>
          </cell>
          <cell r="K16070" t="str">
            <v>Burns,Stephen Allan</v>
          </cell>
          <cell r="N16070" t="str">
            <v>NR</v>
          </cell>
          <cell r="O16070" t="str">
            <v>NR</v>
          </cell>
        </row>
        <row r="16071">
          <cell r="E16071" t="str">
            <v>VSCI</v>
          </cell>
          <cell r="F16071" t="str">
            <v>VSCI-V</v>
          </cell>
          <cell r="G16071">
            <v>799</v>
          </cell>
          <cell r="H16071" t="str">
            <v>VSCI-V799</v>
          </cell>
          <cell r="K16071" t="str">
            <v>Burns,Stephen Allan</v>
          </cell>
          <cell r="N16071" t="str">
            <v>NR</v>
          </cell>
          <cell r="O16071" t="str">
            <v>NR</v>
          </cell>
        </row>
        <row r="16072">
          <cell r="E16072" t="str">
            <v>VSCI</v>
          </cell>
          <cell r="F16072" t="str">
            <v>VSCI-V</v>
          </cell>
          <cell r="G16072">
            <v>799</v>
          </cell>
          <cell r="H16072" t="str">
            <v>VSCI-V799</v>
          </cell>
          <cell r="K16072" t="str">
            <v>Burns,Stephen Allan</v>
          </cell>
          <cell r="N16072">
            <v>4</v>
          </cell>
          <cell r="O16072">
            <v>3.65</v>
          </cell>
        </row>
        <row r="16073">
          <cell r="E16073" t="str">
            <v>VSCI</v>
          </cell>
          <cell r="F16073" t="str">
            <v>VSCI-V</v>
          </cell>
          <cell r="G16073">
            <v>899</v>
          </cell>
          <cell r="H16073" t="str">
            <v>VSCI-V899</v>
          </cell>
          <cell r="K16073" t="str">
            <v>Burns,Stephen Allan</v>
          </cell>
          <cell r="N16073" t="str">
            <v>NR</v>
          </cell>
          <cell r="O16073" t="str">
            <v>NR</v>
          </cell>
        </row>
        <row r="16074">
          <cell r="E16074" t="str">
            <v>VSCI</v>
          </cell>
          <cell r="F16074" t="str">
            <v>VSCI-V</v>
          </cell>
          <cell r="G16074">
            <v>899</v>
          </cell>
          <cell r="H16074" t="str">
            <v>VSCI-V899</v>
          </cell>
          <cell r="K16074" t="str">
            <v>Burns,Stephen Allan</v>
          </cell>
          <cell r="N16074" t="str">
            <v>NR</v>
          </cell>
          <cell r="O16074" t="str">
            <v>NR</v>
          </cell>
        </row>
        <row r="16075">
          <cell r="E16075" t="str">
            <v>WEUR</v>
          </cell>
          <cell r="F16075" t="str">
            <v>WEUR-E</v>
          </cell>
          <cell r="G16075">
            <v>100</v>
          </cell>
          <cell r="H16075" t="str">
            <v>WEUR-E100</v>
          </cell>
          <cell r="K16075" t="str">
            <v>Hess,Frank</v>
          </cell>
          <cell r="N16075">
            <v>3.617</v>
          </cell>
          <cell r="O16075">
            <v>3.226</v>
          </cell>
        </row>
        <row r="16076">
          <cell r="E16076" t="str">
            <v>WEUR</v>
          </cell>
          <cell r="F16076" t="str">
            <v>WEUR-E</v>
          </cell>
          <cell r="G16076">
            <v>150</v>
          </cell>
          <cell r="H16076" t="str">
            <v>WEUR-E150</v>
          </cell>
          <cell r="K16076" t="str">
            <v>Hess,Frank</v>
          </cell>
          <cell r="N16076">
            <v>3.6070000000000002</v>
          </cell>
          <cell r="O16076">
            <v>3.008</v>
          </cell>
        </row>
        <row r="16077">
          <cell r="E16077" t="str">
            <v>WEUR</v>
          </cell>
          <cell r="F16077" t="str">
            <v>WEUR-E</v>
          </cell>
          <cell r="G16077">
            <v>200</v>
          </cell>
          <cell r="H16077" t="str">
            <v>WEUR-E200</v>
          </cell>
          <cell r="K16077" t="str">
            <v>Hess,Frank</v>
          </cell>
          <cell r="N16077">
            <v>3.68</v>
          </cell>
          <cell r="O16077">
            <v>3.0089999999999999</v>
          </cell>
        </row>
        <row r="16078">
          <cell r="E16078" t="str">
            <v>WEUR</v>
          </cell>
          <cell r="F16078" t="str">
            <v>WEUR-E</v>
          </cell>
          <cell r="G16078">
            <v>250</v>
          </cell>
          <cell r="H16078" t="str">
            <v>WEUR-E250</v>
          </cell>
          <cell r="K16078" t="str">
            <v>Hess,Frank</v>
          </cell>
          <cell r="N16078" t="str">
            <v>NR</v>
          </cell>
          <cell r="O16078" t="str">
            <v>NR</v>
          </cell>
        </row>
        <row r="16079">
          <cell r="E16079" t="str">
            <v>WEUR</v>
          </cell>
          <cell r="F16079" t="str">
            <v>WEUR-E</v>
          </cell>
          <cell r="G16079">
            <v>492</v>
          </cell>
          <cell r="H16079" t="str">
            <v>WEUR-E492</v>
          </cell>
          <cell r="K16079" t="str">
            <v>Hess,Frank</v>
          </cell>
          <cell r="N16079" t="str">
            <v>NR</v>
          </cell>
          <cell r="O16079" t="str">
            <v>NR</v>
          </cell>
        </row>
        <row r="16080">
          <cell r="E16080" t="str">
            <v>WEUR</v>
          </cell>
          <cell r="F16080" t="str">
            <v>WEUR-E</v>
          </cell>
          <cell r="G16080">
            <v>582</v>
          </cell>
          <cell r="H16080" t="str">
            <v>WEUR-E582</v>
          </cell>
          <cell r="K16080" t="str">
            <v>Hess,Frank</v>
          </cell>
          <cell r="N16080" t="str">
            <v>NR</v>
          </cell>
          <cell r="O16080" t="str">
            <v>NR</v>
          </cell>
        </row>
        <row r="16081">
          <cell r="E16081" t="str">
            <v>WEUR</v>
          </cell>
          <cell r="F16081" t="str">
            <v>WEUR-W</v>
          </cell>
          <cell r="G16081">
            <v>100</v>
          </cell>
          <cell r="H16081" t="str">
            <v>WEUR-W100</v>
          </cell>
          <cell r="K16081" t="str">
            <v>Rottet,Kevin James</v>
          </cell>
          <cell r="N16081">
            <v>2.875</v>
          </cell>
          <cell r="O16081">
            <v>3.3439999999999999</v>
          </cell>
        </row>
        <row r="16082">
          <cell r="E16082" t="str">
            <v>WEUR</v>
          </cell>
          <cell r="F16082" t="str">
            <v>WEUR-W</v>
          </cell>
          <cell r="G16082">
            <v>301</v>
          </cell>
          <cell r="H16082" t="str">
            <v>WEUR-W301</v>
          </cell>
          <cell r="K16082" t="str">
            <v>Hellwig,Timothy T</v>
          </cell>
          <cell r="N16082" t="str">
            <v>NR</v>
          </cell>
          <cell r="O16082" t="str">
            <v>NR</v>
          </cell>
        </row>
        <row r="16083">
          <cell r="E16083" t="str">
            <v>WEUR</v>
          </cell>
          <cell r="F16083" t="str">
            <v>WEUR-W</v>
          </cell>
          <cell r="G16083">
            <v>304</v>
          </cell>
          <cell r="H16083" t="str">
            <v>WEUR-W304</v>
          </cell>
          <cell r="K16083" t="str">
            <v>Beyer,Brant</v>
          </cell>
          <cell r="N16083" t="str">
            <v>NR</v>
          </cell>
          <cell r="O16083" t="str">
            <v>NR</v>
          </cell>
        </row>
        <row r="16084">
          <cell r="E16084" t="str">
            <v>WEUR</v>
          </cell>
          <cell r="F16084" t="str">
            <v>WEUR-W</v>
          </cell>
          <cell r="G16084">
            <v>401</v>
          </cell>
          <cell r="H16084" t="str">
            <v>WEUR-W401</v>
          </cell>
          <cell r="K16084" t="str">
            <v>Douglas,Allen R.</v>
          </cell>
          <cell r="N16084" t="str">
            <v>NR</v>
          </cell>
          <cell r="O16084" t="str">
            <v>NR</v>
          </cell>
        </row>
        <row r="16085">
          <cell r="E16085" t="str">
            <v>WEUR</v>
          </cell>
          <cell r="F16085" t="str">
            <v>WEUR-W</v>
          </cell>
          <cell r="G16085">
            <v>405</v>
          </cell>
          <cell r="H16085" t="str">
            <v>WEUR-W405</v>
          </cell>
          <cell r="K16085" t="str">
            <v>Coyle,Gene Arthur</v>
          </cell>
          <cell r="N16085" t="str">
            <v>NR</v>
          </cell>
          <cell r="O16085" t="str">
            <v>NR</v>
          </cell>
        </row>
        <row r="16086">
          <cell r="E16086" t="str">
            <v>WEUR</v>
          </cell>
          <cell r="F16086" t="str">
            <v>WEUR-W</v>
          </cell>
          <cell r="G16086">
            <v>405</v>
          </cell>
          <cell r="H16086" t="str">
            <v>WEUR-W405</v>
          </cell>
          <cell r="K16086" t="str">
            <v>Douglas,Allen R.</v>
          </cell>
          <cell r="N16086">
            <v>3.95</v>
          </cell>
          <cell r="O16086">
            <v>3.3210000000000002</v>
          </cell>
        </row>
        <row r="16087">
          <cell r="E16087" t="str">
            <v>WEUR</v>
          </cell>
          <cell r="F16087" t="str">
            <v>WEUR-W</v>
          </cell>
          <cell r="G16087">
            <v>405</v>
          </cell>
          <cell r="H16087" t="str">
            <v>WEUR-W405</v>
          </cell>
          <cell r="K16087" t="str">
            <v>Douglas,Allen R.</v>
          </cell>
          <cell r="N16087" t="str">
            <v>NR</v>
          </cell>
          <cell r="O16087" t="str">
            <v>NR</v>
          </cell>
        </row>
        <row r="16088">
          <cell r="E16088" t="str">
            <v>WEUR</v>
          </cell>
          <cell r="F16088" t="str">
            <v>WEUR-W</v>
          </cell>
          <cell r="G16088">
            <v>405</v>
          </cell>
          <cell r="H16088" t="str">
            <v>WEUR-W405</v>
          </cell>
          <cell r="K16088" t="str">
            <v>Haitjema,Bieneke A</v>
          </cell>
          <cell r="N16088" t="str">
            <v>NR</v>
          </cell>
          <cell r="O16088" t="str">
            <v>NR</v>
          </cell>
        </row>
        <row r="16089">
          <cell r="E16089" t="str">
            <v>WEUR</v>
          </cell>
          <cell r="F16089" t="str">
            <v>WEUR-W</v>
          </cell>
          <cell r="G16089">
            <v>405</v>
          </cell>
          <cell r="H16089" t="str">
            <v>WEUR-W405</v>
          </cell>
          <cell r="K16089" t="str">
            <v>Hess,Frank</v>
          </cell>
          <cell r="N16089">
            <v>2.8929999999999998</v>
          </cell>
          <cell r="O16089">
            <v>2.714</v>
          </cell>
        </row>
        <row r="16090">
          <cell r="E16090" t="str">
            <v>WEUR</v>
          </cell>
          <cell r="F16090" t="str">
            <v>WEUR-W</v>
          </cell>
          <cell r="G16090">
            <v>405</v>
          </cell>
          <cell r="H16090" t="str">
            <v>WEUR-W405</v>
          </cell>
          <cell r="K16090" t="str">
            <v>Knudsen,Daniel Curtis</v>
          </cell>
          <cell r="N16090" t="str">
            <v>NR</v>
          </cell>
          <cell r="O16090" t="str">
            <v>NR</v>
          </cell>
        </row>
        <row r="16091">
          <cell r="E16091" t="str">
            <v>WEUR</v>
          </cell>
          <cell r="F16091" t="str">
            <v>WEUR-W</v>
          </cell>
          <cell r="G16091">
            <v>406</v>
          </cell>
          <cell r="H16091" t="str">
            <v>WEUR-W406</v>
          </cell>
          <cell r="K16091" t="str">
            <v>Bowles,Brett</v>
          </cell>
          <cell r="N16091" t="str">
            <v>NR</v>
          </cell>
          <cell r="O16091" t="str">
            <v>NR</v>
          </cell>
        </row>
        <row r="16092">
          <cell r="E16092" t="str">
            <v>WEUR</v>
          </cell>
          <cell r="F16092" t="str">
            <v>WEUR-W</v>
          </cell>
          <cell r="G16092">
            <v>406</v>
          </cell>
          <cell r="H16092" t="str">
            <v>WEUR-W406</v>
          </cell>
          <cell r="K16092" t="str">
            <v>Ham,Esther</v>
          </cell>
          <cell r="N16092">
            <v>2.95</v>
          </cell>
          <cell r="O16092">
            <v>2.6869999999999998</v>
          </cell>
        </row>
        <row r="16093">
          <cell r="E16093" t="str">
            <v>WEUR</v>
          </cell>
          <cell r="F16093" t="str">
            <v>WEUR-W</v>
          </cell>
          <cell r="G16093">
            <v>406</v>
          </cell>
          <cell r="H16093" t="str">
            <v>WEUR-W406</v>
          </cell>
          <cell r="K16093" t="str">
            <v>May,Gergana Gueorguieva</v>
          </cell>
          <cell r="N16093">
            <v>2.714</v>
          </cell>
          <cell r="O16093">
            <v>3.0470000000000002</v>
          </cell>
        </row>
        <row r="16094">
          <cell r="E16094" t="str">
            <v>WEUR</v>
          </cell>
          <cell r="F16094" t="str">
            <v>WEUR-W</v>
          </cell>
          <cell r="G16094">
            <v>406</v>
          </cell>
          <cell r="H16094" t="str">
            <v>WEUR-W406</v>
          </cell>
          <cell r="K16094" t="str">
            <v>Vitti,Antonio Carlo</v>
          </cell>
          <cell r="N16094" t="str">
            <v>NR</v>
          </cell>
          <cell r="O16094" t="str">
            <v>NR</v>
          </cell>
        </row>
        <row r="16095">
          <cell r="E16095" t="str">
            <v>WEUR</v>
          </cell>
          <cell r="F16095" t="str">
            <v>WEUR-W</v>
          </cell>
          <cell r="G16095">
            <v>406</v>
          </cell>
          <cell r="H16095" t="str">
            <v>WEUR-W406</v>
          </cell>
          <cell r="K16095" t="str">
            <v>Wagner,Brigitta Bettina</v>
          </cell>
          <cell r="N16095" t="str">
            <v>NR</v>
          </cell>
          <cell r="O16095" t="str">
            <v>NR</v>
          </cell>
        </row>
        <row r="16096">
          <cell r="E16096" t="str">
            <v>WEUR</v>
          </cell>
          <cell r="F16096" t="str">
            <v>WEUR-W</v>
          </cell>
          <cell r="G16096">
            <v>415</v>
          </cell>
          <cell r="H16096" t="str">
            <v>WEUR-W415</v>
          </cell>
          <cell r="K16096" t="str">
            <v>Wise,Lois R.</v>
          </cell>
          <cell r="N16096" t="str">
            <v>NR</v>
          </cell>
          <cell r="O16096" t="str">
            <v>NR</v>
          </cell>
        </row>
        <row r="16097">
          <cell r="E16097" t="str">
            <v>WEUR</v>
          </cell>
          <cell r="F16097" t="str">
            <v>WEUR-W</v>
          </cell>
          <cell r="G16097">
            <v>415</v>
          </cell>
          <cell r="H16097" t="str">
            <v>WEUR-W415</v>
          </cell>
          <cell r="K16097" t="str">
            <v>Wise,Lois R.</v>
          </cell>
          <cell r="N16097" t="str">
            <v>NR</v>
          </cell>
          <cell r="O16097" t="str">
            <v>NR</v>
          </cell>
        </row>
        <row r="16098">
          <cell r="E16098" t="str">
            <v>WEUR</v>
          </cell>
          <cell r="F16098" t="str">
            <v>WEUR-W</v>
          </cell>
          <cell r="G16098">
            <v>501</v>
          </cell>
          <cell r="H16098" t="str">
            <v>WEUR-W501</v>
          </cell>
          <cell r="K16098" t="str">
            <v>Spechler,Martin C.</v>
          </cell>
          <cell r="N16098" t="str">
            <v>NR</v>
          </cell>
          <cell r="O16098" t="str">
            <v>NR</v>
          </cell>
        </row>
        <row r="16099">
          <cell r="E16099" t="str">
            <v>WEUR</v>
          </cell>
          <cell r="F16099" t="str">
            <v>WEUR-W</v>
          </cell>
          <cell r="G16099">
            <v>504</v>
          </cell>
          <cell r="H16099" t="str">
            <v>WEUR-W504</v>
          </cell>
          <cell r="K16099" t="str">
            <v>Beyer,Brant</v>
          </cell>
          <cell r="N16099" t="str">
            <v>NR</v>
          </cell>
          <cell r="O16099" t="str">
            <v>NR</v>
          </cell>
        </row>
        <row r="16100">
          <cell r="E16100" t="str">
            <v>WEUR</v>
          </cell>
          <cell r="F16100" t="str">
            <v>WEUR-W</v>
          </cell>
          <cell r="G16100">
            <v>605</v>
          </cell>
          <cell r="H16100" t="str">
            <v>WEUR-W605</v>
          </cell>
          <cell r="K16100" t="str">
            <v>Coyle,Gene Arthur</v>
          </cell>
          <cell r="N16100">
            <v>3.7909999999999999</v>
          </cell>
          <cell r="O16100">
            <v>3.762</v>
          </cell>
        </row>
        <row r="16101">
          <cell r="E16101" t="str">
            <v>WEUR</v>
          </cell>
          <cell r="F16101" t="str">
            <v>WEUR-W</v>
          </cell>
          <cell r="G16101">
            <v>605</v>
          </cell>
          <cell r="H16101" t="str">
            <v>WEUR-W605</v>
          </cell>
          <cell r="K16101" t="str">
            <v>Douglas,Allen R.</v>
          </cell>
          <cell r="N16101" t="str">
            <v>NR</v>
          </cell>
          <cell r="O16101" t="str">
            <v>NR</v>
          </cell>
        </row>
        <row r="16102">
          <cell r="E16102" t="str">
            <v>WEUR</v>
          </cell>
          <cell r="F16102" t="str">
            <v>WEUR-W</v>
          </cell>
          <cell r="G16102">
            <v>605</v>
          </cell>
          <cell r="H16102" t="str">
            <v>WEUR-W605</v>
          </cell>
          <cell r="K16102" t="str">
            <v>Douglas,Allen R.</v>
          </cell>
          <cell r="N16102" t="str">
            <v>NR</v>
          </cell>
          <cell r="O16102" t="str">
            <v>NR</v>
          </cell>
        </row>
        <row r="16103">
          <cell r="E16103" t="str">
            <v>WEUR</v>
          </cell>
          <cell r="F16103" t="str">
            <v>WEUR-W</v>
          </cell>
          <cell r="G16103">
            <v>605</v>
          </cell>
          <cell r="H16103" t="str">
            <v>WEUR-W605</v>
          </cell>
          <cell r="K16103" t="str">
            <v>Douglas,Allen R.</v>
          </cell>
          <cell r="N16103" t="str">
            <v>NR</v>
          </cell>
          <cell r="O16103" t="str">
            <v>NR</v>
          </cell>
        </row>
        <row r="16104">
          <cell r="E16104" t="str">
            <v>WEUR</v>
          </cell>
          <cell r="F16104" t="str">
            <v>WEUR-W</v>
          </cell>
          <cell r="G16104">
            <v>605</v>
          </cell>
          <cell r="H16104" t="str">
            <v>WEUR-W605</v>
          </cell>
          <cell r="K16104" t="str">
            <v>Hess,Frank</v>
          </cell>
          <cell r="N16104" t="str">
            <v>NR</v>
          </cell>
          <cell r="O16104" t="str">
            <v>NR</v>
          </cell>
        </row>
        <row r="16105">
          <cell r="E16105" t="str">
            <v>WEUR</v>
          </cell>
          <cell r="F16105" t="str">
            <v>WEUR-W</v>
          </cell>
          <cell r="G16105">
            <v>800</v>
          </cell>
          <cell r="H16105" t="str">
            <v>WEUR-W800</v>
          </cell>
          <cell r="K16105" t="str">
            <v>Wise,Lois R.</v>
          </cell>
          <cell r="N16105" t="str">
            <v>NR</v>
          </cell>
          <cell r="O16105" t="str">
            <v>NR</v>
          </cell>
        </row>
        <row r="16106">
          <cell r="E16106" t="str">
            <v>WEUR</v>
          </cell>
          <cell r="F16106" t="str">
            <v>WEUR-W</v>
          </cell>
          <cell r="G16106">
            <v>800</v>
          </cell>
          <cell r="H16106" t="str">
            <v>WEUR-W800</v>
          </cell>
          <cell r="K16106" t="str">
            <v>Wise,Lois R.</v>
          </cell>
          <cell r="N16106" t="str">
            <v>NR</v>
          </cell>
          <cell r="O16106" t="str">
            <v>NR</v>
          </cell>
        </row>
        <row r="16107">
          <cell r="E16107" t="str">
            <v>WEUR</v>
          </cell>
          <cell r="F16107" t="str">
            <v>WEUR-W</v>
          </cell>
          <cell r="G16107">
            <v>805</v>
          </cell>
          <cell r="H16107" t="str">
            <v>WEUR-W805</v>
          </cell>
          <cell r="K16107" t="str">
            <v>Wise,Lois R.</v>
          </cell>
          <cell r="N16107" t="str">
            <v>NR</v>
          </cell>
          <cell r="O16107" t="str">
            <v>NR</v>
          </cell>
        </row>
        <row r="16108">
          <cell r="E16108" t="str">
            <v>WEUR</v>
          </cell>
          <cell r="F16108" t="str">
            <v>WEUR-W</v>
          </cell>
          <cell r="G16108">
            <v>875</v>
          </cell>
          <cell r="H16108" t="str">
            <v>WEUR-W875</v>
          </cell>
          <cell r="K16108" t="str">
            <v>Martin Dominguez,Pablo</v>
          </cell>
          <cell r="N16108" t="str">
            <v>NR</v>
          </cell>
          <cell r="O16108" t="str">
            <v>NR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tabSelected="1" zoomScale="115" zoomScaleNormal="115" workbookViewId="0">
      <selection activeCell="E10" sqref="E10"/>
    </sheetView>
  </sheetViews>
  <sheetFormatPr defaultRowHeight="15" x14ac:dyDescent="0.25"/>
  <cols>
    <col min="1" max="1" width="7.85546875" customWidth="1"/>
    <col min="2" max="2" width="12.7109375" bestFit="1" customWidth="1"/>
    <col min="3" max="3" width="8.28515625" bestFit="1" customWidth="1"/>
    <col min="4" max="4" width="9.28515625" bestFit="1" customWidth="1"/>
    <col min="5" max="5" width="32.5703125" customWidth="1"/>
    <col min="6" max="6" width="15.5703125" bestFit="1" customWidth="1"/>
    <col min="7" max="7" width="17" bestFit="1" customWidth="1"/>
    <col min="8" max="8" width="6.42578125" bestFit="1" customWidth="1"/>
    <col min="9" max="9" width="31.5703125" customWidth="1"/>
    <col min="10" max="10" width="9.28515625" customWidth="1"/>
    <col min="11" max="11" width="8.7109375" customWidth="1"/>
    <col min="12" max="12" width="22.28515625" bestFit="1" customWidth="1"/>
  </cols>
  <sheetData>
    <row r="1" spans="1:12" ht="26.25" customHeight="1" x14ac:dyDescent="0.4">
      <c r="A1" s="8" t="s">
        <v>125</v>
      </c>
      <c r="B1" s="8"/>
      <c r="C1" s="8"/>
      <c r="D1" s="8"/>
      <c r="E1" s="8"/>
      <c r="F1" s="8"/>
      <c r="G1" s="8"/>
      <c r="H1" s="8"/>
      <c r="I1" s="8"/>
    </row>
    <row r="2" spans="1:12" ht="15" customHeight="1" x14ac:dyDescent="0.25">
      <c r="A2" s="30" t="s">
        <v>128</v>
      </c>
      <c r="B2" s="30"/>
      <c r="C2" s="30"/>
      <c r="D2" s="30"/>
      <c r="E2" s="30"/>
      <c r="F2" s="30"/>
      <c r="G2" s="30"/>
      <c r="H2" s="30"/>
      <c r="I2" s="30"/>
    </row>
    <row r="3" spans="1:12" ht="24.75" customHeight="1" thickBot="1" x14ac:dyDescent="0.3">
      <c r="A3" s="31"/>
      <c r="B3" s="31"/>
      <c r="C3" s="31"/>
      <c r="D3" s="31"/>
      <c r="E3" s="31"/>
      <c r="F3" s="31"/>
      <c r="G3" s="31"/>
      <c r="H3" s="31"/>
      <c r="I3" s="31"/>
      <c r="K3" s="6"/>
      <c r="L3" s="3"/>
    </row>
    <row r="4" spans="1:12" ht="30.75" thickBot="1" x14ac:dyDescent="0.3">
      <c r="A4" s="24" t="s">
        <v>0</v>
      </c>
      <c r="B4" s="25" t="s">
        <v>101</v>
      </c>
      <c r="C4" s="26" t="s">
        <v>102</v>
      </c>
      <c r="D4" s="27" t="s">
        <v>1</v>
      </c>
      <c r="E4" s="27" t="s">
        <v>108</v>
      </c>
      <c r="F4" s="28" t="s">
        <v>127</v>
      </c>
      <c r="G4" s="29" t="s">
        <v>126</v>
      </c>
      <c r="H4" s="25" t="s">
        <v>118</v>
      </c>
      <c r="I4" s="26" t="s">
        <v>121</v>
      </c>
      <c r="K4" s="4"/>
    </row>
    <row r="5" spans="1:12" ht="20.45" customHeight="1" thickTop="1" x14ac:dyDescent="0.25">
      <c r="A5" s="9">
        <v>1</v>
      </c>
      <c r="B5" s="10" t="s">
        <v>51</v>
      </c>
      <c r="C5" s="10" t="s">
        <v>123</v>
      </c>
      <c r="D5" s="10">
        <v>210</v>
      </c>
      <c r="E5" s="11" t="s">
        <v>124</v>
      </c>
      <c r="F5" s="12">
        <f>IFERROR(One!$A$12,"")</f>
        <v>3.0255000000000001</v>
      </c>
      <c r="G5" s="13">
        <f>IFERROR(One!$A$14,"")</f>
        <v>2.8674999999999997</v>
      </c>
      <c r="H5" s="14" t="str">
        <f>IFERROR(One!$A$16,"")</f>
        <v>1/2</v>
      </c>
      <c r="I5" s="14" t="str">
        <f>IFERROR(One!$A$22,"")</f>
        <v>Bollen,Johan L.</v>
      </c>
      <c r="K5" s="5"/>
    </row>
    <row r="6" spans="1:12" ht="20.45" customHeight="1" x14ac:dyDescent="0.25">
      <c r="A6" s="15">
        <v>2</v>
      </c>
      <c r="B6" s="16"/>
      <c r="C6" s="16"/>
      <c r="D6" s="16"/>
      <c r="E6" s="17"/>
      <c r="F6" s="18" t="str">
        <f>IFERROR(Two!$A$12,"")</f>
        <v/>
      </c>
      <c r="G6" s="19" t="str">
        <f>IFERROR(Two!$A$14,"")</f>
        <v/>
      </c>
      <c r="H6" s="20" t="str">
        <f>IFERROR(Two!$A$16,"")</f>
        <v/>
      </c>
      <c r="I6" s="20" t="str">
        <f>IFERROR(Two!$A$22,"")</f>
        <v/>
      </c>
      <c r="K6" s="5"/>
    </row>
    <row r="7" spans="1:12" ht="20.45" customHeight="1" x14ac:dyDescent="0.25">
      <c r="A7" s="15">
        <v>3</v>
      </c>
      <c r="B7" s="10"/>
      <c r="C7" s="10"/>
      <c r="D7" s="10"/>
      <c r="E7" s="11"/>
      <c r="F7" s="21" t="str">
        <f>IFERROR(Three!$A$12,"")</f>
        <v/>
      </c>
      <c r="G7" s="22" t="str">
        <f>IFERROR(Three!$A$14,"")</f>
        <v/>
      </c>
      <c r="H7" s="23" t="str">
        <f>IFERROR(Three!$A$16,"")</f>
        <v/>
      </c>
      <c r="I7" s="23" t="str">
        <f>IFERROR(Three!$A$22,"")</f>
        <v/>
      </c>
      <c r="K7" s="5"/>
    </row>
    <row r="8" spans="1:12" ht="20.45" customHeight="1" x14ac:dyDescent="0.25">
      <c r="A8" s="15">
        <v>4</v>
      </c>
      <c r="B8" s="16"/>
      <c r="C8" s="16"/>
      <c r="D8" s="16"/>
      <c r="E8" s="17"/>
      <c r="F8" s="18" t="str">
        <f>IFERROR(Four!$A$12,"")</f>
        <v/>
      </c>
      <c r="G8" s="19" t="str">
        <f>IFERROR(Four!$A$14,"")</f>
        <v/>
      </c>
      <c r="H8" s="20" t="str">
        <f>IFERROR(Four!$A$16,"")</f>
        <v/>
      </c>
      <c r="I8" s="20" t="str">
        <f>IFERROR(Four!$A$22,"")</f>
        <v/>
      </c>
      <c r="K8" s="5"/>
    </row>
    <row r="9" spans="1:12" ht="20.45" customHeight="1" x14ac:dyDescent="0.25">
      <c r="A9" s="15">
        <v>5</v>
      </c>
      <c r="B9" s="10"/>
      <c r="C9" s="10"/>
      <c r="D9" s="10"/>
      <c r="E9" s="11"/>
      <c r="F9" s="21" t="str">
        <f>IFERROR(Five!$A$12,"")</f>
        <v/>
      </c>
      <c r="G9" s="22" t="str">
        <f>IFERROR(Five!$A$14,"")</f>
        <v/>
      </c>
      <c r="H9" s="23" t="str">
        <f>IFERROR(Five!$A$16,"")</f>
        <v/>
      </c>
      <c r="I9" s="23" t="str">
        <f>IFERROR(Five!$A$22,"")</f>
        <v/>
      </c>
      <c r="K9" s="5"/>
    </row>
    <row r="10" spans="1:12" ht="20.45" customHeight="1" x14ac:dyDescent="0.25">
      <c r="A10" s="15">
        <v>6</v>
      </c>
      <c r="B10" s="16"/>
      <c r="C10" s="16"/>
      <c r="D10" s="16"/>
      <c r="E10" s="17"/>
      <c r="F10" s="18" t="str">
        <f>IFERROR(Six!$A$12,"")</f>
        <v/>
      </c>
      <c r="G10" s="19" t="str">
        <f>IFERROR(Six!$A$14,"")</f>
        <v/>
      </c>
      <c r="H10" s="20" t="str">
        <f>IFERROR(Six!$A$16,"")</f>
        <v/>
      </c>
      <c r="I10" s="20" t="str">
        <f>IFERROR(Six!$A$22,"")</f>
        <v/>
      </c>
      <c r="K10" s="5"/>
    </row>
    <row r="11" spans="1:12" ht="20.45" customHeight="1" x14ac:dyDescent="0.25">
      <c r="A11" s="15">
        <v>7</v>
      </c>
      <c r="B11" s="10"/>
      <c r="C11" s="10"/>
      <c r="D11" s="10"/>
      <c r="E11" s="11"/>
      <c r="F11" s="21" t="str">
        <f>IFERROR(Seven!$A$12,"")</f>
        <v/>
      </c>
      <c r="G11" s="22" t="str">
        <f>IFERROR(Seven!$A$14,"")</f>
        <v/>
      </c>
      <c r="H11" s="23" t="str">
        <f>IFERROR(Seven!$A$16,"")</f>
        <v/>
      </c>
      <c r="I11" s="23" t="str">
        <f>IFERROR(Seven!$A$22,"")</f>
        <v/>
      </c>
      <c r="K11" s="5"/>
    </row>
    <row r="12" spans="1:12" ht="20.45" customHeight="1" x14ac:dyDescent="0.25">
      <c r="A12" s="15">
        <v>8</v>
      </c>
      <c r="B12" s="16"/>
      <c r="C12" s="16"/>
      <c r="D12" s="16"/>
      <c r="E12" s="17"/>
      <c r="F12" s="18" t="str">
        <f>IFERROR(Eight!$A$12,"")</f>
        <v/>
      </c>
      <c r="G12" s="19" t="str">
        <f>IFERROR(Eight!$A$14,"")</f>
        <v/>
      </c>
      <c r="H12" s="20" t="str">
        <f>IFERROR(Eight!$A$16,"")</f>
        <v/>
      </c>
      <c r="I12" s="20" t="str">
        <f>IFERROR(Eight!$A$22,"")</f>
        <v/>
      </c>
      <c r="K12" s="5"/>
    </row>
    <row r="13" spans="1:12" x14ac:dyDescent="0.25">
      <c r="B13" s="4"/>
      <c r="C13" s="4"/>
      <c r="D13" s="4"/>
      <c r="E13" s="4"/>
      <c r="F13" s="4"/>
      <c r="G13" s="4"/>
      <c r="H13" s="4"/>
      <c r="I13" s="4"/>
      <c r="J13" s="7"/>
    </row>
    <row r="14" spans="1:12" x14ac:dyDescent="0.25">
      <c r="K14" s="2"/>
    </row>
  </sheetData>
  <sheetProtection password="CED2" sheet="1" objects="1" scenarios="1" selectLockedCells="1"/>
  <mergeCells count="2">
    <mergeCell ref="A1:I1"/>
    <mergeCell ref="A2:I3"/>
  </mergeCells>
  <conditionalFormatting sqref="I5 E5">
    <cfRule type="uniqueValues" dxfId="7" priority="8"/>
  </conditionalFormatting>
  <conditionalFormatting sqref="I6 E6">
    <cfRule type="uniqueValues" dxfId="6" priority="7"/>
  </conditionalFormatting>
  <conditionalFormatting sqref="I7 E7">
    <cfRule type="uniqueValues" dxfId="5" priority="6"/>
  </conditionalFormatting>
  <conditionalFormatting sqref="I8 E8">
    <cfRule type="uniqueValues" dxfId="4" priority="5"/>
  </conditionalFormatting>
  <conditionalFormatting sqref="I9 E9">
    <cfRule type="uniqueValues" dxfId="3" priority="4"/>
  </conditionalFormatting>
  <conditionalFormatting sqref="I10 E10">
    <cfRule type="uniqueValues" dxfId="2" priority="3"/>
  </conditionalFormatting>
  <conditionalFormatting sqref="I11 E11">
    <cfRule type="uniqueValues" dxfId="1" priority="2"/>
  </conditionalFormatting>
  <conditionalFormatting sqref="I12 E12">
    <cfRule type="uniqueValues" dxfId="0" priority="1"/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2">
        <x14:dataValidation type="list" allowBlank="1" showInputMessage="1" showErrorMessage="1">
          <x14:formula1>
            <xm:f>OFFSET(One!$H$2,0,0,MATCH("*",One!$H:$H,-1)-2,1)</xm:f>
          </x14:formula1>
          <xm:sqref>E5</xm:sqref>
        </x14:dataValidation>
        <x14:dataValidation type="list" allowBlank="1" showInputMessage="1" showErrorMessage="1">
          <x14:formula1>
            <xm:f>OFFSET(One!$F$2,0,0,COUNT(One!$F:$F),1)</xm:f>
          </x14:formula1>
          <xm:sqref>D5</xm:sqref>
        </x14:dataValidation>
        <x14:dataValidation type="list" allowBlank="1" showInputMessage="1" showErrorMessage="1">
          <x14:formula1>
            <xm:f>OFFSET(One!$E$2,0,0,MATCH("*",One!$E:$E,-1)-2,1)</xm:f>
          </x14:formula1>
          <xm:sqref>C5</xm:sqref>
        </x14:dataValidation>
        <x14:dataValidation type="list" allowBlank="1" showInputMessage="1" showErrorMessage="1">
          <x14:formula1>
            <xm:f>One!$B$3:$B$100</xm:f>
          </x14:formula1>
          <xm:sqref>B5</xm:sqref>
        </x14:dataValidation>
        <x14:dataValidation type="list" allowBlank="1" showInputMessage="1" showErrorMessage="1">
          <x14:formula1>
            <xm:f>Two!$B$3:$B$100</xm:f>
          </x14:formula1>
          <xm:sqref>B6</xm:sqref>
        </x14:dataValidation>
        <x14:dataValidation type="list" allowBlank="1" showInputMessage="1" showErrorMessage="1">
          <x14:formula1>
            <xm:f>OFFSET(Two!$E$2,0,0,MATCH("*",Two!$E:$E,-1)-2,1)</xm:f>
          </x14:formula1>
          <xm:sqref>C6</xm:sqref>
        </x14:dataValidation>
        <x14:dataValidation type="list" allowBlank="1" showInputMessage="1" showErrorMessage="1">
          <x14:formula1>
            <xm:f>OFFSET(Two!$F$2,0,0,COUNT(Two!$F:$F),1)</xm:f>
          </x14:formula1>
          <xm:sqref>D6</xm:sqref>
        </x14:dataValidation>
        <x14:dataValidation type="list" allowBlank="1" showInputMessage="1" showErrorMessage="1">
          <x14:formula1>
            <xm:f>OFFSET(Two!$H$2,0,0,MATCH("*",Two!$H:$H,-1)-2,1)</xm:f>
          </x14:formula1>
          <xm:sqref>E6</xm:sqref>
        </x14:dataValidation>
        <x14:dataValidation type="list" allowBlank="1" showInputMessage="1" showErrorMessage="1">
          <x14:formula1>
            <xm:f>Three!$B$3:$B$100</xm:f>
          </x14:formula1>
          <xm:sqref>B7</xm:sqref>
        </x14:dataValidation>
        <x14:dataValidation type="list" allowBlank="1" showInputMessage="1" showErrorMessage="1">
          <x14:formula1>
            <xm:f>OFFSET(Three!$E$2,0,0,MATCH("*",Three!$E:$E,-1)-2,1)</xm:f>
          </x14:formula1>
          <xm:sqref>C7</xm:sqref>
        </x14:dataValidation>
        <x14:dataValidation type="list" allowBlank="1" showInputMessage="1" showErrorMessage="1">
          <x14:formula1>
            <xm:f>OFFSET(Three!$F$2,0,0,COUNT(Three!$F:$F),1)</xm:f>
          </x14:formula1>
          <xm:sqref>D7</xm:sqref>
        </x14:dataValidation>
        <x14:dataValidation type="list" allowBlank="1" showInputMessage="1" showErrorMessage="1">
          <x14:formula1>
            <xm:f>OFFSET(Three!$H$2,0,0,MATCH("*",Three!$H:$H,-1)-2,1)</xm:f>
          </x14:formula1>
          <xm:sqref>E7</xm:sqref>
        </x14:dataValidation>
        <x14:dataValidation type="list" allowBlank="1" showInputMessage="1" showErrorMessage="1">
          <x14:formula1>
            <xm:f>Four!$B$3:$B$100</xm:f>
          </x14:formula1>
          <xm:sqref>B8</xm:sqref>
        </x14:dataValidation>
        <x14:dataValidation type="list" allowBlank="1" showInputMessage="1" showErrorMessage="1">
          <x14:formula1>
            <xm:f>OFFSET(Four!$E$2,0,0,MATCH("*",Four!$E:$E,-1)-2,1)</xm:f>
          </x14:formula1>
          <xm:sqref>C8</xm:sqref>
        </x14:dataValidation>
        <x14:dataValidation type="list" allowBlank="1" showInputMessage="1" showErrorMessage="1">
          <x14:formula1>
            <xm:f>OFFSET(Four!$F$2,0,0,COUNT(Four!$F:$F),1)</xm:f>
          </x14:formula1>
          <xm:sqref>D8</xm:sqref>
        </x14:dataValidation>
        <x14:dataValidation type="list" allowBlank="1" showInputMessage="1" showErrorMessage="1">
          <x14:formula1>
            <xm:f>OFFSET(Four!$H$2,0,0,MATCH("*",Four!$H:$H,-1)-2,1)</xm:f>
          </x14:formula1>
          <xm:sqref>E8</xm:sqref>
        </x14:dataValidation>
        <x14:dataValidation type="list" allowBlank="1" showInputMessage="1" showErrorMessage="1">
          <x14:formula1>
            <xm:f>Five!$B$3:$B$100</xm:f>
          </x14:formula1>
          <xm:sqref>B9</xm:sqref>
        </x14:dataValidation>
        <x14:dataValidation type="list" allowBlank="1" showInputMessage="1" showErrorMessage="1">
          <x14:formula1>
            <xm:f>OFFSET(Five!$E$2,0,0,MATCH("*",Five!$E:$E,-1)-2,1)</xm:f>
          </x14:formula1>
          <xm:sqref>C9</xm:sqref>
        </x14:dataValidation>
        <x14:dataValidation type="list" allowBlank="1" showInputMessage="1" showErrorMessage="1">
          <x14:formula1>
            <xm:f>OFFSET(Five!$F$2,0,0,COUNT(Five!$F:$F),1)</xm:f>
          </x14:formula1>
          <xm:sqref>D9</xm:sqref>
        </x14:dataValidation>
        <x14:dataValidation type="list" allowBlank="1" showInputMessage="1" showErrorMessage="1">
          <x14:formula1>
            <xm:f>OFFSET(Five!$H$2,0,0,MATCH("*",Five!$H:$H,-1)-2,1)</xm:f>
          </x14:formula1>
          <xm:sqref>E9</xm:sqref>
        </x14:dataValidation>
        <x14:dataValidation type="list" allowBlank="1" showInputMessage="1" showErrorMessage="1">
          <x14:formula1>
            <xm:f>Six!$B$3:$B$100</xm:f>
          </x14:formula1>
          <xm:sqref>B10</xm:sqref>
        </x14:dataValidation>
        <x14:dataValidation type="list" allowBlank="1" showInputMessage="1" showErrorMessage="1">
          <x14:formula1>
            <xm:f>OFFSET(Six!$E$2,0,0,MATCH("*",Six!$E:$E,-1)-2,1)</xm:f>
          </x14:formula1>
          <xm:sqref>C10</xm:sqref>
        </x14:dataValidation>
        <x14:dataValidation type="list" allowBlank="1" showInputMessage="1" showErrorMessage="1">
          <x14:formula1>
            <xm:f>OFFSET(Six!$F$2,0,0,COUNT(Six!$F:$F),1)</xm:f>
          </x14:formula1>
          <xm:sqref>D10</xm:sqref>
        </x14:dataValidation>
        <x14:dataValidation type="list" allowBlank="1" showInputMessage="1" showErrorMessage="1">
          <x14:formula1>
            <xm:f>OFFSET(Six!$H$2,0,0,MATCH("*",Six!$H:$H,-1)-2,1)</xm:f>
          </x14:formula1>
          <xm:sqref>E10</xm:sqref>
        </x14:dataValidation>
        <x14:dataValidation type="list" allowBlank="1" showInputMessage="1" showErrorMessage="1">
          <x14:formula1>
            <xm:f>Seven!$B$3:$B$100</xm:f>
          </x14:formula1>
          <xm:sqref>B11</xm:sqref>
        </x14:dataValidation>
        <x14:dataValidation type="list" allowBlank="1" showInputMessage="1" showErrorMessage="1">
          <x14:formula1>
            <xm:f>OFFSET(Seven!$E$2,0,0,MATCH("*",Seven!$E:$E,-1)-2,1)</xm:f>
          </x14:formula1>
          <xm:sqref>C11</xm:sqref>
        </x14:dataValidation>
        <x14:dataValidation type="list" allowBlank="1" showInputMessage="1" showErrorMessage="1">
          <x14:formula1>
            <xm:f>OFFSET(Seven!$F$2,0,0,COUNT(Seven!$F:$F),1)</xm:f>
          </x14:formula1>
          <xm:sqref>D11</xm:sqref>
        </x14:dataValidation>
        <x14:dataValidation type="list" allowBlank="1" showInputMessage="1" showErrorMessage="1">
          <x14:formula1>
            <xm:f>OFFSET(Seven!$H$2,0,0,MATCH("*",Seven!$H:$H,-1)-2,1)</xm:f>
          </x14:formula1>
          <xm:sqref>E11</xm:sqref>
        </x14:dataValidation>
        <x14:dataValidation type="list" allowBlank="1" showInputMessage="1" showErrorMessage="1">
          <x14:formula1>
            <xm:f>Eight!$B$3:$B$100</xm:f>
          </x14:formula1>
          <xm:sqref>B12</xm:sqref>
        </x14:dataValidation>
        <x14:dataValidation type="list" allowBlank="1" showInputMessage="1" showErrorMessage="1">
          <x14:formula1>
            <xm:f>OFFSET(Eight!$E$2,0,0,MATCH("*",Eight!$E:$E,-1)-2,1)</xm:f>
          </x14:formula1>
          <xm:sqref>C12</xm:sqref>
        </x14:dataValidation>
        <x14:dataValidation type="list" allowBlank="1" showInputMessage="1" showErrorMessage="1">
          <x14:formula1>
            <xm:f>OFFSET(Eight!$F$2,0,0,COUNT(Eight!$F:$F),1)</xm:f>
          </x14:formula1>
          <xm:sqref>D12</xm:sqref>
        </x14:dataValidation>
        <x14:dataValidation type="list" allowBlank="1" showInputMessage="1" showErrorMessage="1">
          <x14:formula1>
            <xm:f>OFFSET(Eight!$H$2,0,0,MATCH("*",Eight!$H:$H,-1)-2,1)</xm:f>
          </x14:formula1>
          <xm:sqref>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46"/>
  <sheetViews>
    <sheetView workbookViewId="0">
      <selection activeCell="C15" sqref="C15"/>
    </sheetView>
  </sheetViews>
  <sheetFormatPr defaultRowHeight="15" x14ac:dyDescent="0.25"/>
  <cols>
    <col min="1" max="2" width="12.5703125" bestFit="1" customWidth="1"/>
    <col min="5" max="5" width="13.42578125" bestFit="1" customWidth="1"/>
    <col min="8" max="8" width="22.140625" bestFit="1" customWidth="1"/>
    <col min="10" max="10" width="12.140625" bestFit="1" customWidth="1"/>
    <col min="11" max="11" width="13.140625" bestFit="1" customWidth="1"/>
    <col min="14" max="14" width="13.85546875" bestFit="1" customWidth="1"/>
  </cols>
  <sheetData>
    <row r="1" spans="1:15" x14ac:dyDescent="0.25">
      <c r="B1" t="s">
        <v>100</v>
      </c>
      <c r="C1" t="s">
        <v>103</v>
      </c>
      <c r="D1" t="s">
        <v>104</v>
      </c>
      <c r="E1" t="s">
        <v>107</v>
      </c>
      <c r="F1" t="s">
        <v>105</v>
      </c>
      <c r="G1" t="s">
        <v>106</v>
      </c>
      <c r="H1" t="s">
        <v>108</v>
      </c>
      <c r="I1" t="s">
        <v>109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</row>
    <row r="2" spans="1:15" x14ac:dyDescent="0.25">
      <c r="A2" t="s">
        <v>101</v>
      </c>
      <c r="E2" s="1"/>
    </row>
    <row r="3" spans="1:15" x14ac:dyDescent="0.25">
      <c r="A3" t="str">
        <f>Schedule!B5</f>
        <v>INFO</v>
      </c>
      <c r="B3" t="s">
        <v>3</v>
      </c>
      <c r="C3" t="str">
        <f>INDEX('[1]Grade Project'!$F:$F,MATCH($A$3,'[1]Grade Project'!$E:$E,0))</f>
        <v>INFO-G</v>
      </c>
      <c r="D3">
        <f>COUNTIFS('[1]Grade Project'!$E:$E,$A$3,'[1]Grade Project'!$F:$F,C3)</f>
        <v>4</v>
      </c>
      <c r="E3" t="str">
        <f>IFERROR(RIGHT(C3,LEN(C3)-FIND("-",C3)),"")</f>
        <v>G</v>
      </c>
      <c r="F3">
        <f>INDEX('[1]Grade Project'!$G:$G,MATCH($A$5,'[1]Grade Project'!$F:$F,0))</f>
        <v>101</v>
      </c>
      <c r="G3">
        <f>COUNTIFS('[1]Grade Project'!$F:$F,$A$5,'[1]Grade Project'!$G:$G,F3)</f>
        <v>8</v>
      </c>
      <c r="H3" t="str">
        <f>INDEX('[1]Grade Project'!$K:$K,MATCH(A28,'[1]Grade Project'!$H:$H,0))</f>
        <v>Bollen,Johan L.</v>
      </c>
      <c r="I3">
        <f>COUNTIFS('[1]Grade Project'!$G:$G,$A$8,'[1]Grade Project'!$K:$K,H3,'[1]Grade Project'!$F:$F,$A$5)</f>
        <v>2</v>
      </c>
      <c r="J3">
        <f>IFERROR(AVERAGEIFS('[1]Grade Project'!$N:$N,'[1]Grade Project'!$K:$K,H3,'[1]Grade Project'!$F:$F,$A$5,'[1]Grade Project'!$G:$G,$A$8),"")</f>
        <v>3.0255000000000001</v>
      </c>
      <c r="K3">
        <f>IFERROR(AVERAGEIFS('[1]Grade Project'!$O:$O,'[1]Grade Project'!$K:$K,H3,'[1]Grade Project'!$F:$F,$A$5,'[1]Grade Project'!$G:$G,$A$8),"")</f>
        <v>2.8674999999999997</v>
      </c>
      <c r="L3">
        <f>IFERROR(K3/J3,"")</f>
        <v>0.94777722690464372</v>
      </c>
      <c r="M3">
        <f>IFERROR(_xlfn.RANK.EQ(L3,L:L),"")</f>
        <v>2</v>
      </c>
      <c r="N3">
        <f>IFERROR(MAX(M:M)-M3+1,"")</f>
        <v>1</v>
      </c>
      <c r="O3">
        <f>COUNT(N:N)</f>
        <v>2</v>
      </c>
    </row>
    <row r="4" spans="1:15" x14ac:dyDescent="0.25">
      <c r="A4" t="s">
        <v>102</v>
      </c>
      <c r="B4" t="s">
        <v>4</v>
      </c>
      <c r="C4" t="str">
        <f>IF(C3="","",IF(C3=INDEX('[1]Grade Project'!$F:$F,MATCH($A$3,'[1]Grade Project'!$E:$E,0)+SUM($D$3:D3)),"",INDEX('[1]Grade Project'!$F:$F,MATCH($A$3,'[1]Grade Project'!$E:$E,0)+SUM($D$3:D3))))</f>
        <v>INFO-H</v>
      </c>
      <c r="D4">
        <f>COUNTIFS('[1]Grade Project'!$E:$E,$A$3,'[1]Grade Project'!$F:$F,C4)</f>
        <v>12</v>
      </c>
      <c r="E4" t="str">
        <f t="shared" ref="E4:E36" si="0">IFERROR(RIGHT(C4,LEN(C4)-FIND("-",C4)),"")</f>
        <v>H</v>
      </c>
      <c r="F4">
        <f>IF(G3=0,"",INDEX('[1]Grade Project'!$G:$G,MATCH($A$5,'[1]Grade Project'!$F:$F,0)+SUM($G$3:G3)))</f>
        <v>130</v>
      </c>
      <c r="G4">
        <f>COUNTIFS('[1]Grade Project'!$F:$F,$A$5,'[1]Grade Project'!$G:$G,F4)</f>
        <v>2</v>
      </c>
      <c r="H4" t="str">
        <f>IF(I3=0,"",INDEX('[1]Grade Project'!$K:$K,MATCH($A$28,'[1]Grade Project'!$H:$H,0)+SUM($I$3:I3)))</f>
        <v>Duncan,J</v>
      </c>
      <c r="I4">
        <f>COUNTIFS('[1]Grade Project'!$G:$G,$A$8,'[1]Grade Project'!$K:$K,H4,'[1]Grade Project'!$F:$F,$A$5)</f>
        <v>2</v>
      </c>
      <c r="J4">
        <f>IFERROR(AVERAGEIFS('[1]Grade Project'!$N:$N,'[1]Grade Project'!$K:$K,H4,'[1]Grade Project'!$F:$F,$A$5,'[1]Grade Project'!$G:$G,$A$8),"")</f>
        <v>2.899</v>
      </c>
      <c r="K4">
        <f>IFERROR(AVERAGEIFS('[1]Grade Project'!$O:$O,'[1]Grade Project'!$K:$K,H4,'[1]Grade Project'!$F:$F,$A$5,'[1]Grade Project'!$G:$G,$A$8),"")</f>
        <v>2.8890000000000002</v>
      </c>
      <c r="L4">
        <f t="shared" ref="L4:L67" si="1">IFERROR(K4/J4,"")</f>
        <v>0.99655053466712662</v>
      </c>
      <c r="M4">
        <f t="shared" ref="M4:M67" si="2">IFERROR(_xlfn.RANK.EQ(L4,L:L),"")</f>
        <v>1</v>
      </c>
      <c r="N4">
        <f t="shared" ref="N4:N67" si="3">IFERROR(MAX(M:M)-M4+1,"")</f>
        <v>2</v>
      </c>
    </row>
    <row r="5" spans="1:15" x14ac:dyDescent="0.25">
      <c r="A5" t="str">
        <f>INDEX(C:C,MATCH(A6,E:E,0))</f>
        <v>INFO-I</v>
      </c>
      <c r="B5" t="s">
        <v>5</v>
      </c>
      <c r="C5" t="str">
        <f>IF(C4="","",IF(C4=INDEX('[1]Grade Project'!$F:$F,MATCH($A$3,'[1]Grade Project'!$E:$E,0)+SUM($D$3:D4)),"",INDEX('[1]Grade Project'!$F:$F,MATCH($A$3,'[1]Grade Project'!$E:$E,0)+SUM($D$3:D4))))</f>
        <v>INFO-I</v>
      </c>
      <c r="D5">
        <f>COUNTIFS('[1]Grade Project'!$E:$E,$A$3,'[1]Grade Project'!$F:$F,C5)</f>
        <v>136</v>
      </c>
      <c r="E5" t="str">
        <f t="shared" si="0"/>
        <v>I</v>
      </c>
      <c r="F5">
        <f>IF(G4=0,"",INDEX('[1]Grade Project'!$G:$G,MATCH($A$5,'[1]Grade Project'!$F:$F,0)+SUM($G$3:G4)))</f>
        <v>201</v>
      </c>
      <c r="G5">
        <f>COUNTIFS('[1]Grade Project'!$F:$F,$A$5,'[1]Grade Project'!$G:$G,F5)</f>
        <v>4</v>
      </c>
      <c r="H5" t="str">
        <f>IF(I4=0,"",INDEX('[1]Grade Project'!$K:$K,MATCH($A$28,'[1]Grade Project'!$H:$H,0)+SUM($I$3:I4)))</f>
        <v>Ahn,Yong Yeol</v>
      </c>
      <c r="I5">
        <f>COUNTIFS('[1]Grade Project'!$G:$G,$A$8,'[1]Grade Project'!$K:$K,H5,'[1]Grade Project'!$F:$F,$A$5)</f>
        <v>0</v>
      </c>
      <c r="J5" t="str">
        <f>IFERROR(AVERAGEIFS('[1]Grade Project'!$N:$N,'[1]Grade Project'!$K:$K,H5,'[1]Grade Project'!$F:$F,$A$5,'[1]Grade Project'!$G:$G,$A$8),"")</f>
        <v/>
      </c>
      <c r="K5" t="str">
        <f>IFERROR(AVERAGEIFS('[1]Grade Project'!$O:$O,'[1]Grade Project'!$K:$K,H5,'[1]Grade Project'!$F:$F,$A$5,'[1]Grade Project'!$G:$G,$A$8),"")</f>
        <v/>
      </c>
      <c r="L5" t="str">
        <f t="shared" si="1"/>
        <v/>
      </c>
      <c r="M5" t="str">
        <f t="shared" si="2"/>
        <v/>
      </c>
      <c r="N5" t="str">
        <f t="shared" si="3"/>
        <v/>
      </c>
    </row>
    <row r="6" spans="1:15" x14ac:dyDescent="0.25">
      <c r="A6" t="str">
        <f>Schedule!C5</f>
        <v>i</v>
      </c>
      <c r="B6" t="s">
        <v>6</v>
      </c>
      <c r="C6" t="str">
        <f>IF(C5="","",IF(C5=INDEX('[1]Grade Project'!$F:$F,MATCH($A$3,'[1]Grade Project'!$E:$E,0)+SUM($D$3:D5)),"",INDEX('[1]Grade Project'!$F:$F,MATCH($A$3,'[1]Grade Project'!$E:$E,0)+SUM($D$3:D5))))</f>
        <v>INFO-T</v>
      </c>
      <c r="D6">
        <f>COUNTIFS('[1]Grade Project'!$E:$E,$A$3,'[1]Grade Project'!$F:$F,C6)</f>
        <v>1</v>
      </c>
      <c r="E6" t="str">
        <f t="shared" si="0"/>
        <v>T</v>
      </c>
      <c r="F6">
        <f>IF(G5=0,"",INDEX('[1]Grade Project'!$G:$G,MATCH($A$5,'[1]Grade Project'!$F:$F,0)+SUM($G$3:G5)))</f>
        <v>202</v>
      </c>
      <c r="G6">
        <f>COUNTIFS('[1]Grade Project'!$F:$F,$A$5,'[1]Grade Project'!$G:$G,F6)</f>
        <v>4</v>
      </c>
      <c r="H6" t="str">
        <f>IF(I5=0,"",INDEX('[1]Grade Project'!$K:$K,MATCH($A$28,'[1]Grade Project'!$H:$H,0)+SUM($I$3:I5)))</f>
        <v/>
      </c>
      <c r="I6">
        <f>COUNTIFS('[1]Grade Project'!$G:$G,$A$8,'[1]Grade Project'!$K:$K,H6,'[1]Grade Project'!$F:$F,$A$5)</f>
        <v>0</v>
      </c>
      <c r="J6" t="str">
        <f>IFERROR(AVERAGEIFS('[1]Grade Project'!$N:$N,'[1]Grade Project'!$K:$K,H6,'[1]Grade Project'!$F:$F,$A$5,'[1]Grade Project'!$G:$G,$A$8),"")</f>
        <v/>
      </c>
      <c r="K6" t="str">
        <f>IFERROR(AVERAGEIFS('[1]Grade Project'!$O:$O,'[1]Grade Project'!$K:$K,H6,'[1]Grade Project'!$F:$F,$A$5,'[1]Grade Project'!$G:$G,$A$8),"")</f>
        <v/>
      </c>
      <c r="L6" t="str">
        <f t="shared" si="1"/>
        <v/>
      </c>
      <c r="M6" t="str">
        <f t="shared" si="2"/>
        <v/>
      </c>
      <c r="N6" t="str">
        <f t="shared" si="3"/>
        <v/>
      </c>
    </row>
    <row r="7" spans="1:15" x14ac:dyDescent="0.25">
      <c r="A7" t="s">
        <v>0</v>
      </c>
      <c r="B7" t="s">
        <v>7</v>
      </c>
      <c r="C7" t="str">
        <f>IF(C6="","",IF(C6=INDEX('[1]Grade Project'!$F:$F,MATCH($A$3,'[1]Grade Project'!$E:$E,0)+SUM($D$3:D6)),"",INDEX('[1]Grade Project'!$F:$F,MATCH($A$3,'[1]Grade Project'!$E:$E,0)+SUM($D$3:D6))))</f>
        <v>INFO-Y</v>
      </c>
      <c r="D7">
        <f>COUNTIFS('[1]Grade Project'!$E:$E,$A$3,'[1]Grade Project'!$F:$F,C7)</f>
        <v>11</v>
      </c>
      <c r="E7" t="str">
        <f t="shared" si="0"/>
        <v>Y</v>
      </c>
      <c r="F7">
        <f>IF(G6=0,"",INDEX('[1]Grade Project'!$G:$G,MATCH($A$5,'[1]Grade Project'!$F:$F,0)+SUM($G$3:G6)))</f>
        <v>210</v>
      </c>
      <c r="G7">
        <f>COUNTIFS('[1]Grade Project'!$F:$F,$A$5,'[1]Grade Project'!$G:$G,F7)</f>
        <v>4</v>
      </c>
      <c r="H7" t="str">
        <f>IF(I6=0,"",INDEX('[1]Grade Project'!$K:$K,MATCH($A$28,'[1]Grade Project'!$H:$H,0)+SUM($I$3:I6)))</f>
        <v/>
      </c>
      <c r="I7">
        <f>COUNTIFS('[1]Grade Project'!$G:$G,$A$8,'[1]Grade Project'!$K:$K,H7,'[1]Grade Project'!$F:$F,$A$5)</f>
        <v>0</v>
      </c>
      <c r="J7" t="str">
        <f>IFERROR(AVERAGEIFS('[1]Grade Project'!$N:$N,'[1]Grade Project'!$K:$K,H7,'[1]Grade Project'!$F:$F,$A$5,'[1]Grade Project'!$G:$G,$A$8),"")</f>
        <v/>
      </c>
      <c r="K7" t="str">
        <f>IFERROR(AVERAGEIFS('[1]Grade Project'!$O:$O,'[1]Grade Project'!$K:$K,H7,'[1]Grade Project'!$F:$F,$A$5,'[1]Grade Project'!$G:$G,$A$8),"")</f>
        <v/>
      </c>
      <c r="L7" t="str">
        <f t="shared" si="1"/>
        <v/>
      </c>
      <c r="M7" t="str">
        <f t="shared" si="2"/>
        <v/>
      </c>
      <c r="N7" t="str">
        <f t="shared" si="3"/>
        <v/>
      </c>
    </row>
    <row r="8" spans="1:15" x14ac:dyDescent="0.25">
      <c r="A8">
        <f>Schedule!D5</f>
        <v>210</v>
      </c>
      <c r="B8" t="s">
        <v>8</v>
      </c>
      <c r="C8" t="str">
        <f>IF(C7="","",IF(C7=INDEX('[1]Grade Project'!$F:$F,MATCH($A$3,'[1]Grade Project'!$E:$E,0)+SUM($D$3:D7)),"",INDEX('[1]Grade Project'!$F:$F,MATCH($A$3,'[1]Grade Project'!$E:$E,0)+SUM($D$3:D7))))</f>
        <v>INST-B</v>
      </c>
      <c r="D8">
        <f>COUNTIFS('[1]Grade Project'!$E:$E,$A$3,'[1]Grade Project'!$F:$F,C8)</f>
        <v>0</v>
      </c>
      <c r="E8" t="str">
        <f t="shared" si="0"/>
        <v>B</v>
      </c>
      <c r="F8">
        <f>IF(G7=0,"",INDEX('[1]Grade Project'!$G:$G,MATCH($A$5,'[1]Grade Project'!$F:$F,0)+SUM($G$3:G7)))</f>
        <v>211</v>
      </c>
      <c r="G8">
        <f>COUNTIFS('[1]Grade Project'!$F:$F,$A$5,'[1]Grade Project'!$G:$G,F8)</f>
        <v>4</v>
      </c>
      <c r="H8" t="str">
        <f>IF(I7=0,"",INDEX('[1]Grade Project'!$K:$K,MATCH($A$28,'[1]Grade Project'!$H:$H,0)+SUM($I$3:I7)))</f>
        <v/>
      </c>
      <c r="I8">
        <f>COUNTIFS('[1]Grade Project'!$G:$G,$A$8,'[1]Grade Project'!$K:$K,H8,'[1]Grade Project'!$F:$F,$A$5)</f>
        <v>0</v>
      </c>
      <c r="J8" t="str">
        <f>IFERROR(AVERAGEIFS('[1]Grade Project'!$N:$N,'[1]Grade Project'!$K:$K,H8,'[1]Grade Project'!$F:$F,$A$5,'[1]Grade Project'!$G:$G,$A$8),"")</f>
        <v/>
      </c>
      <c r="K8" t="str">
        <f>IFERROR(AVERAGEIFS('[1]Grade Project'!$O:$O,'[1]Grade Project'!$K:$K,H8,'[1]Grade Project'!$F:$F,$A$5,'[1]Grade Project'!$G:$G,$A$8),"")</f>
        <v/>
      </c>
      <c r="L8" t="str">
        <f t="shared" si="1"/>
        <v/>
      </c>
      <c r="M8" t="str">
        <f t="shared" si="2"/>
        <v/>
      </c>
      <c r="N8" t="str">
        <f t="shared" si="3"/>
        <v/>
      </c>
    </row>
    <row r="9" spans="1:15" x14ac:dyDescent="0.25">
      <c r="A9" t="s">
        <v>108</v>
      </c>
      <c r="B9" t="s">
        <v>9</v>
      </c>
      <c r="C9" t="str">
        <f>IF(C8="","",IF(C8=INDEX('[1]Grade Project'!$F:$F,MATCH($A$3,'[1]Grade Project'!$E:$E,0)+SUM($D$3:D8)),"",INDEX('[1]Grade Project'!$F:$F,MATCH($A$3,'[1]Grade Project'!$E:$E,0)+SUM($D$3:D8))))</f>
        <v/>
      </c>
      <c r="D9">
        <f>COUNTIFS('[1]Grade Project'!$E:$E,$A$3,'[1]Grade Project'!$F:$F,C9)</f>
        <v>0</v>
      </c>
      <c r="E9" t="str">
        <f t="shared" si="0"/>
        <v/>
      </c>
      <c r="F9">
        <f>IF(G8=0,"",INDEX('[1]Grade Project'!$G:$G,MATCH($A$5,'[1]Grade Project'!$F:$F,0)+SUM($G$3:G8)))</f>
        <v>230</v>
      </c>
      <c r="G9">
        <f>COUNTIFS('[1]Grade Project'!$F:$F,$A$5,'[1]Grade Project'!$G:$G,F9)</f>
        <v>1</v>
      </c>
      <c r="H9" t="str">
        <f>IF(I8=0,"",INDEX('[1]Grade Project'!$K:$K,MATCH($A$28,'[1]Grade Project'!$H:$H,0)+SUM($I$3:I8)))</f>
        <v/>
      </c>
      <c r="I9">
        <f>COUNTIFS('[1]Grade Project'!$G:$G,$A$8,'[1]Grade Project'!$K:$K,H9,'[1]Grade Project'!$F:$F,$A$5)</f>
        <v>0</v>
      </c>
      <c r="J9" t="str">
        <f>IFERROR(AVERAGEIFS('[1]Grade Project'!$N:$N,'[1]Grade Project'!$K:$K,H9,'[1]Grade Project'!$F:$F,$A$5,'[1]Grade Project'!$G:$G,$A$8),"")</f>
        <v/>
      </c>
      <c r="K9" t="str">
        <f>IFERROR(AVERAGEIFS('[1]Grade Project'!$O:$O,'[1]Grade Project'!$K:$K,H9,'[1]Grade Project'!$F:$F,$A$5,'[1]Grade Project'!$G:$G,$A$8),"")</f>
        <v/>
      </c>
      <c r="L9" t="str">
        <f t="shared" si="1"/>
        <v/>
      </c>
      <c r="M9" t="str">
        <f t="shared" si="2"/>
        <v/>
      </c>
      <c r="N9" t="str">
        <f t="shared" si="3"/>
        <v/>
      </c>
    </row>
    <row r="10" spans="1:15" x14ac:dyDescent="0.25">
      <c r="A10" t="str">
        <f>Schedule!E5</f>
        <v>Bollen,Johan L.</v>
      </c>
      <c r="B10" t="s">
        <v>10</v>
      </c>
      <c r="C10" t="str">
        <f>IF(C9="","",IF(C9=INDEX('[1]Grade Project'!$F:$F,MATCH($A$3,'[1]Grade Project'!$E:$E,0)+SUM($D$3:D9)),"",INDEX('[1]Grade Project'!$F:$F,MATCH($A$3,'[1]Grade Project'!$E:$E,0)+SUM($D$3:D9))))</f>
        <v/>
      </c>
      <c r="D10">
        <f>COUNTIFS('[1]Grade Project'!$E:$E,$A$3,'[1]Grade Project'!$F:$F,C10)</f>
        <v>0</v>
      </c>
      <c r="E10" t="str">
        <f t="shared" si="0"/>
        <v/>
      </c>
      <c r="F10">
        <f>IF(G9=0,"",INDEX('[1]Grade Project'!$G:$G,MATCH($A$5,'[1]Grade Project'!$F:$F,0)+SUM($G$3:G9)))</f>
        <v>231</v>
      </c>
      <c r="G10">
        <f>COUNTIFS('[1]Grade Project'!$F:$F,$A$5,'[1]Grade Project'!$G:$G,F10)</f>
        <v>1</v>
      </c>
      <c r="H10" t="str">
        <f>IF(I9=0,"",INDEX('[1]Grade Project'!$K:$K,MATCH($A$28,'[1]Grade Project'!$H:$H,0)+SUM($I$3:I9)))</f>
        <v/>
      </c>
      <c r="I10">
        <f>COUNTIFS('[1]Grade Project'!$G:$G,$A$8,'[1]Grade Project'!$K:$K,H10,'[1]Grade Project'!$F:$F,$A$5)</f>
        <v>0</v>
      </c>
      <c r="J10" t="str">
        <f>IFERROR(AVERAGEIFS('[1]Grade Project'!$N:$N,'[1]Grade Project'!$K:$K,H10,'[1]Grade Project'!$F:$F,$A$5,'[1]Grade Project'!$G:$G,$A$8),"")</f>
        <v/>
      </c>
      <c r="K10" t="str">
        <f>IFERROR(AVERAGEIFS('[1]Grade Project'!$O:$O,'[1]Grade Project'!$K:$K,H10,'[1]Grade Project'!$F:$F,$A$5,'[1]Grade Project'!$G:$G,$A$8),"")</f>
        <v/>
      </c>
      <c r="L10" t="str">
        <f t="shared" si="1"/>
        <v/>
      </c>
      <c r="M10" t="str">
        <f t="shared" si="2"/>
        <v/>
      </c>
      <c r="N10" t="str">
        <f t="shared" si="3"/>
        <v/>
      </c>
    </row>
    <row r="11" spans="1:15" x14ac:dyDescent="0.25">
      <c r="A11" t="s">
        <v>111</v>
      </c>
      <c r="B11" t="s">
        <v>11</v>
      </c>
      <c r="C11" t="str">
        <f>IF(C10="","",IF(C10=INDEX('[1]Grade Project'!$F:$F,MATCH($A$3,'[1]Grade Project'!$E:$E,0)+SUM($D$3:D10)),"",INDEX('[1]Grade Project'!$F:$F,MATCH($A$3,'[1]Grade Project'!$E:$E,0)+SUM($D$3:D10))))</f>
        <v/>
      </c>
      <c r="D11">
        <f>COUNTIFS('[1]Grade Project'!$E:$E,$A$3,'[1]Grade Project'!$F:$F,C11)</f>
        <v>0</v>
      </c>
      <c r="E11" t="str">
        <f t="shared" si="0"/>
        <v/>
      </c>
      <c r="F11">
        <f>IF(G10=0,"",INDEX('[1]Grade Project'!$G:$G,MATCH($A$5,'[1]Grade Project'!$F:$F,0)+SUM($G$3:G10)))</f>
        <v>300</v>
      </c>
      <c r="G11">
        <f>COUNTIFS('[1]Grade Project'!$F:$F,$A$5,'[1]Grade Project'!$G:$G,F11)</f>
        <v>2</v>
      </c>
      <c r="H11" t="str">
        <f>IF(I10=0,"",INDEX('[1]Grade Project'!$K:$K,MATCH($A$28,'[1]Grade Project'!$H:$H,0)+SUM($I$3:I10)))</f>
        <v/>
      </c>
      <c r="I11">
        <f>COUNTIFS('[1]Grade Project'!$G:$G,$A$8,'[1]Grade Project'!$K:$K,H11,'[1]Grade Project'!$F:$F,$A$5)</f>
        <v>0</v>
      </c>
      <c r="J11" t="str">
        <f>IFERROR(AVERAGEIFS('[1]Grade Project'!$N:$N,'[1]Grade Project'!$K:$K,H11,'[1]Grade Project'!$F:$F,$A$5,'[1]Grade Project'!$G:$G,$A$8),"")</f>
        <v/>
      </c>
      <c r="K11" t="str">
        <f>IFERROR(AVERAGEIFS('[1]Grade Project'!$O:$O,'[1]Grade Project'!$K:$K,H11,'[1]Grade Project'!$F:$F,$A$5,'[1]Grade Project'!$G:$G,$A$8),"")</f>
        <v/>
      </c>
      <c r="L11" t="str">
        <f t="shared" si="1"/>
        <v/>
      </c>
      <c r="M11" t="str">
        <f t="shared" si="2"/>
        <v/>
      </c>
      <c r="N11" t="str">
        <f t="shared" si="3"/>
        <v/>
      </c>
    </row>
    <row r="12" spans="1:15" x14ac:dyDescent="0.25">
      <c r="A12">
        <f>AVERAGEIFS('[1]Grade Project'!$N:$N,'[1]Grade Project'!$K:$K,$A$10,'[1]Grade Project'!$F:$F,A5,'[1]Grade Project'!$G:$G,$A$8)</f>
        <v>3.0255000000000001</v>
      </c>
      <c r="B12" t="s">
        <v>12</v>
      </c>
      <c r="C12" t="str">
        <f>IF(C11="","",IF(C11=INDEX('[1]Grade Project'!$F:$F,MATCH($A$3,'[1]Grade Project'!$E:$E,0)+SUM($D$3:D11)),"",INDEX('[1]Grade Project'!$F:$F,MATCH($A$3,'[1]Grade Project'!$E:$E,0)+SUM($D$3:D11))))</f>
        <v/>
      </c>
      <c r="D12">
        <f>COUNTIFS('[1]Grade Project'!$E:$E,$A$3,'[1]Grade Project'!$F:$F,C12)</f>
        <v>0</v>
      </c>
      <c r="E12" t="str">
        <f t="shared" si="0"/>
        <v/>
      </c>
      <c r="F12">
        <f>IF(G11=0,"",INDEX('[1]Grade Project'!$G:$G,MATCH($A$5,'[1]Grade Project'!$F:$F,0)+SUM($G$3:G11)))</f>
        <v>303</v>
      </c>
      <c r="G12">
        <f>COUNTIFS('[1]Grade Project'!$F:$F,$A$5,'[1]Grade Project'!$G:$G,F12)</f>
        <v>1</v>
      </c>
      <c r="H12" t="str">
        <f>IF(I11=0,"",INDEX('[1]Grade Project'!$K:$K,MATCH($A$28,'[1]Grade Project'!$H:$H,0)+SUM($I$3:I11)))</f>
        <v/>
      </c>
      <c r="I12">
        <f>COUNTIFS('[1]Grade Project'!$G:$G,$A$8,'[1]Grade Project'!$K:$K,H12,'[1]Grade Project'!$F:$F,$A$5)</f>
        <v>0</v>
      </c>
      <c r="J12" t="str">
        <f>IFERROR(AVERAGEIFS('[1]Grade Project'!$N:$N,'[1]Grade Project'!$K:$K,H12,'[1]Grade Project'!$F:$F,$A$5,'[1]Grade Project'!$G:$G,$A$8),"")</f>
        <v/>
      </c>
      <c r="K12" t="str">
        <f>IFERROR(AVERAGEIFS('[1]Grade Project'!$O:$O,'[1]Grade Project'!$K:$K,H12,'[1]Grade Project'!$F:$F,$A$5,'[1]Grade Project'!$G:$G,$A$8),"")</f>
        <v/>
      </c>
      <c r="L12" t="str">
        <f t="shared" si="1"/>
        <v/>
      </c>
      <c r="M12" t="str">
        <f t="shared" si="2"/>
        <v/>
      </c>
      <c r="N12" t="str">
        <f t="shared" si="3"/>
        <v/>
      </c>
    </row>
    <row r="13" spans="1:15" x14ac:dyDescent="0.25">
      <c r="A13" t="s">
        <v>112</v>
      </c>
      <c r="B13" t="s">
        <v>13</v>
      </c>
      <c r="C13" t="str">
        <f>IF(C12="","",IF(C12=INDEX('[1]Grade Project'!$F:$F,MATCH($A$3,'[1]Grade Project'!$E:$E,0)+SUM($D$3:D12)),"",INDEX('[1]Grade Project'!$F:$F,MATCH($A$3,'[1]Grade Project'!$E:$E,0)+SUM($D$3:D12))))</f>
        <v/>
      </c>
      <c r="D13">
        <f>COUNTIFS('[1]Grade Project'!$E:$E,$A$3,'[1]Grade Project'!$F:$F,C13)</f>
        <v>0</v>
      </c>
      <c r="E13" t="str">
        <f t="shared" si="0"/>
        <v/>
      </c>
      <c r="F13">
        <f>IF(G12=0,"",INDEX('[1]Grade Project'!$G:$G,MATCH($A$5,'[1]Grade Project'!$F:$F,0)+SUM($G$3:G12)))</f>
        <v>308</v>
      </c>
      <c r="G13">
        <f>COUNTIFS('[1]Grade Project'!$F:$F,$A$5,'[1]Grade Project'!$G:$G,F13)</f>
        <v>3</v>
      </c>
      <c r="H13" t="str">
        <f>IF(I12=0,"",INDEX('[1]Grade Project'!$K:$K,MATCH($A$28,'[1]Grade Project'!$H:$H,0)+SUM($I$3:I12)))</f>
        <v/>
      </c>
      <c r="I13">
        <f>COUNTIFS('[1]Grade Project'!$G:$G,$A$8,'[1]Grade Project'!$K:$K,H13,'[1]Grade Project'!$F:$F,$A$5)</f>
        <v>0</v>
      </c>
      <c r="J13" t="str">
        <f>IFERROR(AVERAGEIFS('[1]Grade Project'!$N:$N,'[1]Grade Project'!$K:$K,H13,'[1]Grade Project'!$F:$F,$A$5,'[1]Grade Project'!$G:$G,$A$8),"")</f>
        <v/>
      </c>
      <c r="K13" t="str">
        <f>IFERROR(AVERAGEIFS('[1]Grade Project'!$O:$O,'[1]Grade Project'!$K:$K,H13,'[1]Grade Project'!$F:$F,$A$5,'[1]Grade Project'!$G:$G,$A$8),"")</f>
        <v/>
      </c>
      <c r="L13" t="str">
        <f t="shared" si="1"/>
        <v/>
      </c>
      <c r="M13" t="str">
        <f t="shared" si="2"/>
        <v/>
      </c>
      <c r="N13" t="str">
        <f t="shared" si="3"/>
        <v/>
      </c>
    </row>
    <row r="14" spans="1:15" x14ac:dyDescent="0.25">
      <c r="A14">
        <f>AVERAGEIFS('[1]Grade Project'!$O:$O,'[1]Grade Project'!$K:$K,$A$10,'[1]Grade Project'!$F:$F,A5,'[1]Grade Project'!$G:$G,$A$8)</f>
        <v>2.8674999999999997</v>
      </c>
      <c r="B14" t="s">
        <v>14</v>
      </c>
      <c r="C14" t="str">
        <f>IF(C13="","",IF(C13=INDEX('[1]Grade Project'!$F:$F,MATCH($A$3,'[1]Grade Project'!$E:$E,0)+SUM($D$3:D13)),"",INDEX('[1]Grade Project'!$F:$F,MATCH($A$3,'[1]Grade Project'!$E:$E,0)+SUM($D$3:D13))))</f>
        <v/>
      </c>
      <c r="D14">
        <f>COUNTIFS('[1]Grade Project'!$E:$E,$A$3,'[1]Grade Project'!$F:$F,C14)</f>
        <v>0</v>
      </c>
      <c r="E14" t="str">
        <f t="shared" si="0"/>
        <v/>
      </c>
      <c r="F14">
        <f>IF(G13=0,"",INDEX('[1]Grade Project'!$G:$G,MATCH($A$5,'[1]Grade Project'!$F:$F,0)+SUM($G$3:G13)))</f>
        <v>310</v>
      </c>
      <c r="G14">
        <f>COUNTIFS('[1]Grade Project'!$F:$F,$A$5,'[1]Grade Project'!$G:$G,F14)</f>
        <v>2</v>
      </c>
      <c r="H14" t="str">
        <f>IF(I13=0,"",INDEX('[1]Grade Project'!$K:$K,MATCH($A$28,'[1]Grade Project'!$H:$H,0)+SUM($I$3:I13)))</f>
        <v/>
      </c>
      <c r="I14">
        <f>COUNTIFS('[1]Grade Project'!$G:$G,$A$8,'[1]Grade Project'!$K:$K,H14,'[1]Grade Project'!$F:$F,$A$5)</f>
        <v>0</v>
      </c>
      <c r="J14" t="str">
        <f>IFERROR(AVERAGEIFS('[1]Grade Project'!$N:$N,'[1]Grade Project'!$K:$K,H14,'[1]Grade Project'!$F:$F,$A$5,'[1]Grade Project'!$G:$G,$A$8),"")</f>
        <v/>
      </c>
      <c r="K14" t="str">
        <f>IFERROR(AVERAGEIFS('[1]Grade Project'!$O:$O,'[1]Grade Project'!$K:$K,H14,'[1]Grade Project'!$F:$F,$A$5,'[1]Grade Project'!$G:$G,$A$8),"")</f>
        <v/>
      </c>
      <c r="L14" t="str">
        <f t="shared" si="1"/>
        <v/>
      </c>
      <c r="M14" t="str">
        <f t="shared" si="2"/>
        <v/>
      </c>
      <c r="N14" t="str">
        <f t="shared" si="3"/>
        <v/>
      </c>
    </row>
    <row r="15" spans="1:15" x14ac:dyDescent="0.25">
      <c r="A15" t="s">
        <v>118</v>
      </c>
      <c r="B15" t="s">
        <v>15</v>
      </c>
      <c r="C15" t="str">
        <f>IF(C14="","",IF(C14=INDEX('[1]Grade Project'!$F:$F,MATCH($A$3,'[1]Grade Project'!$E:$E,0)+SUM($D$3:D14)),"",INDEX('[1]Grade Project'!$F:$F,MATCH($A$3,'[1]Grade Project'!$E:$E,0)+SUM($D$3:D14))))</f>
        <v/>
      </c>
      <c r="D15">
        <f>COUNTIFS('[1]Grade Project'!$E:$E,$A$3,'[1]Grade Project'!$F:$F,C15)</f>
        <v>0</v>
      </c>
      <c r="E15" t="str">
        <f t="shared" si="0"/>
        <v/>
      </c>
      <c r="F15">
        <f>IF(G14=0,"",INDEX('[1]Grade Project'!$G:$G,MATCH($A$5,'[1]Grade Project'!$F:$F,0)+SUM($G$3:G14)))</f>
        <v>330</v>
      </c>
      <c r="G15">
        <f>COUNTIFS('[1]Grade Project'!$F:$F,$A$5,'[1]Grade Project'!$G:$G,F15)</f>
        <v>1</v>
      </c>
      <c r="H15" t="str">
        <f>IF(I14=0,"",INDEX('[1]Grade Project'!$K:$K,MATCH($A$28,'[1]Grade Project'!$H:$H,0)+SUM($I$3:I14)))</f>
        <v/>
      </c>
      <c r="I15">
        <f>COUNTIFS('[1]Grade Project'!$G:$G,$A$8,'[1]Grade Project'!$K:$K,H15,'[1]Grade Project'!$F:$F,$A$5)</f>
        <v>0</v>
      </c>
      <c r="J15" t="str">
        <f>IFERROR(AVERAGEIFS('[1]Grade Project'!$N:$N,'[1]Grade Project'!$K:$K,H15,'[1]Grade Project'!$F:$F,$A$5,'[1]Grade Project'!$G:$G,$A$8),"")</f>
        <v/>
      </c>
      <c r="K15" t="str">
        <f>IFERROR(AVERAGEIFS('[1]Grade Project'!$O:$O,'[1]Grade Project'!$K:$K,H15,'[1]Grade Project'!$F:$F,$A$5,'[1]Grade Project'!$G:$G,$A$8),"")</f>
        <v/>
      </c>
      <c r="L15" t="str">
        <f t="shared" si="1"/>
        <v/>
      </c>
      <c r="M15" t="str">
        <f t="shared" si="2"/>
        <v/>
      </c>
      <c r="N15" t="str">
        <f t="shared" si="3"/>
        <v/>
      </c>
    </row>
    <row r="16" spans="1:15" x14ac:dyDescent="0.25">
      <c r="A16" t="str">
        <f>INDEX(One!N:N,MATCH(A14/A12,One!L:L,0))&amp;"/"&amp;COUNT(One!N:N)</f>
        <v>1/2</v>
      </c>
      <c r="B16" t="s">
        <v>16</v>
      </c>
      <c r="C16" t="str">
        <f>IF(C15="","",IF(C15=INDEX('[1]Grade Project'!$F:$F,MATCH($A$3,'[1]Grade Project'!$E:$E,0)+SUM($D$3:D15)),"",INDEX('[1]Grade Project'!$F:$F,MATCH($A$3,'[1]Grade Project'!$E:$E,0)+SUM($D$3:D15))))</f>
        <v/>
      </c>
      <c r="D16">
        <f>COUNTIFS('[1]Grade Project'!$E:$E,$A$3,'[1]Grade Project'!$F:$F,C16)</f>
        <v>0</v>
      </c>
      <c r="E16" t="str">
        <f t="shared" si="0"/>
        <v/>
      </c>
      <c r="F16">
        <f>IF(G15=0,"",INDEX('[1]Grade Project'!$G:$G,MATCH($A$5,'[1]Grade Project'!$F:$F,0)+SUM($G$3:G15)))</f>
        <v>391</v>
      </c>
      <c r="G16">
        <f>COUNTIFS('[1]Grade Project'!$F:$F,$A$5,'[1]Grade Project'!$G:$G,F16)</f>
        <v>4</v>
      </c>
      <c r="H16" t="str">
        <f>IF(I15=0,"",INDEX('[1]Grade Project'!$K:$K,MATCH($A$28,'[1]Grade Project'!$H:$H,0)+SUM($I$3:I15)))</f>
        <v/>
      </c>
      <c r="I16">
        <f>COUNTIFS('[1]Grade Project'!$G:$G,$A$8,'[1]Grade Project'!$K:$K,H16,'[1]Grade Project'!$F:$F,$A$5)</f>
        <v>0</v>
      </c>
      <c r="J16" t="str">
        <f>IFERROR(AVERAGEIFS('[1]Grade Project'!$N:$N,'[1]Grade Project'!$K:$K,H16,'[1]Grade Project'!$F:$F,$A$5,'[1]Grade Project'!$G:$G,$A$8),"")</f>
        <v/>
      </c>
      <c r="K16" t="str">
        <f>IFERROR(AVERAGEIFS('[1]Grade Project'!$O:$O,'[1]Grade Project'!$K:$K,H16,'[1]Grade Project'!$F:$F,$A$5,'[1]Grade Project'!$G:$G,$A$8),"")</f>
        <v/>
      </c>
      <c r="L16" t="str">
        <f t="shared" si="1"/>
        <v/>
      </c>
      <c r="M16" t="str">
        <f t="shared" si="2"/>
        <v/>
      </c>
      <c r="N16" t="str">
        <f t="shared" si="3"/>
        <v/>
      </c>
    </row>
    <row r="17" spans="1:14" x14ac:dyDescent="0.25">
      <c r="A17" t="s">
        <v>113</v>
      </c>
      <c r="B17" t="s">
        <v>17</v>
      </c>
      <c r="C17" t="str">
        <f>IF(C16="","",IF(C16=INDEX('[1]Grade Project'!$F:$F,MATCH($A$3,'[1]Grade Project'!$E:$E,0)+SUM($D$3:D16)),"",INDEX('[1]Grade Project'!$F:$F,MATCH($A$3,'[1]Grade Project'!$E:$E,0)+SUM($D$3:D16))))</f>
        <v/>
      </c>
      <c r="D17">
        <f>COUNTIFS('[1]Grade Project'!$E:$E,$A$3,'[1]Grade Project'!$F:$F,C17)</f>
        <v>0</v>
      </c>
      <c r="E17" t="str">
        <f t="shared" si="0"/>
        <v/>
      </c>
      <c r="F17">
        <f>IF(G16=0,"",INDEX('[1]Grade Project'!$G:$G,MATCH($A$5,'[1]Grade Project'!$F:$F,0)+SUM($G$3:G16)))</f>
        <v>399</v>
      </c>
      <c r="G17">
        <f>COUNTIFS('[1]Grade Project'!$F:$F,$A$5,'[1]Grade Project'!$G:$G,F17)</f>
        <v>2</v>
      </c>
      <c r="H17" t="str">
        <f>IF(I16=0,"",INDEX('[1]Grade Project'!$K:$K,MATCH($A$28,'[1]Grade Project'!$H:$H,0)+SUM($I$3:I16)))</f>
        <v/>
      </c>
      <c r="I17">
        <f>COUNTIFS('[1]Grade Project'!$G:$G,$A$8,'[1]Grade Project'!$K:$K,H17,'[1]Grade Project'!$F:$F,$A$5)</f>
        <v>0</v>
      </c>
      <c r="J17" t="str">
        <f>IFERROR(AVERAGEIFS('[1]Grade Project'!$N:$N,'[1]Grade Project'!$K:$K,H17,'[1]Grade Project'!$F:$F,$A$5,'[1]Grade Project'!$G:$G,$A$8),"")</f>
        <v/>
      </c>
      <c r="K17" t="str">
        <f>IFERROR(AVERAGEIFS('[1]Grade Project'!$O:$O,'[1]Grade Project'!$K:$K,H17,'[1]Grade Project'!$F:$F,$A$5,'[1]Grade Project'!$G:$G,$A$8),"")</f>
        <v/>
      </c>
      <c r="L17" t="str">
        <f t="shared" si="1"/>
        <v/>
      </c>
      <c r="M17" t="str">
        <f t="shared" si="2"/>
        <v/>
      </c>
      <c r="N17" t="str">
        <f t="shared" si="3"/>
        <v/>
      </c>
    </row>
    <row r="18" spans="1:14" x14ac:dyDescent="0.25">
      <c r="A18" t="str">
        <f>INDEX(One!H:H,MATCH(MAX(One!N:N),One!N:N,0))</f>
        <v>Duncan,J</v>
      </c>
      <c r="B18" t="s">
        <v>18</v>
      </c>
      <c r="C18" t="str">
        <f>IF(C17="","",IF(C17=INDEX('[1]Grade Project'!$F:$F,MATCH($A$3,'[1]Grade Project'!$E:$E,0)+SUM($D$3:D17)),"",INDEX('[1]Grade Project'!$F:$F,MATCH($A$3,'[1]Grade Project'!$E:$E,0)+SUM($D$3:D17))))</f>
        <v/>
      </c>
      <c r="D18">
        <f>COUNTIFS('[1]Grade Project'!$E:$E,$A$3,'[1]Grade Project'!$F:$F,C18)</f>
        <v>0</v>
      </c>
      <c r="E18" t="str">
        <f t="shared" si="0"/>
        <v/>
      </c>
      <c r="F18">
        <f>IF(G17=0,"",INDEX('[1]Grade Project'!$G:$G,MATCH($A$5,'[1]Grade Project'!$F:$F,0)+SUM($G$3:G17)))</f>
        <v>400</v>
      </c>
      <c r="G18">
        <f>COUNTIFS('[1]Grade Project'!$F:$F,$A$5,'[1]Grade Project'!$G:$G,F18)</f>
        <v>9</v>
      </c>
      <c r="H18" t="str">
        <f>IF(I17=0,"",INDEX('[1]Grade Project'!$K:$K,MATCH($A$28,'[1]Grade Project'!$H:$H,0)+SUM($I$3:I17)))</f>
        <v/>
      </c>
      <c r="I18">
        <f>COUNTIFS('[1]Grade Project'!$G:$G,$A$8,'[1]Grade Project'!$K:$K,H18,'[1]Grade Project'!$F:$F,$A$5)</f>
        <v>0</v>
      </c>
      <c r="J18" t="str">
        <f>IFERROR(AVERAGEIFS('[1]Grade Project'!$N:$N,'[1]Grade Project'!$K:$K,H18,'[1]Grade Project'!$F:$F,$A$5,'[1]Grade Project'!$G:$G,$A$8),"")</f>
        <v/>
      </c>
      <c r="K18" t="str">
        <f>IFERROR(AVERAGEIFS('[1]Grade Project'!$O:$O,'[1]Grade Project'!$K:$K,H18,'[1]Grade Project'!$F:$F,$A$5,'[1]Grade Project'!$G:$G,$A$8),"")</f>
        <v/>
      </c>
      <c r="L18" t="str">
        <f t="shared" si="1"/>
        <v/>
      </c>
      <c r="M18" t="str">
        <f t="shared" si="2"/>
        <v/>
      </c>
      <c r="N18" t="str">
        <f t="shared" si="3"/>
        <v/>
      </c>
    </row>
    <row r="19" spans="1:14" x14ac:dyDescent="0.25">
      <c r="A19" t="s">
        <v>110</v>
      </c>
      <c r="B19" t="s">
        <v>2</v>
      </c>
      <c r="C19" t="str">
        <f>IF(C18="","",IF(C18=INDEX('[1]Grade Project'!$F:$F,MATCH($A$3,'[1]Grade Project'!$E:$E,0)+SUM($D$3:D18)),"",INDEX('[1]Grade Project'!$F:$F,MATCH($A$3,'[1]Grade Project'!$E:$E,0)+SUM($D$3:D18))))</f>
        <v/>
      </c>
      <c r="D19">
        <f>COUNTIFS('[1]Grade Project'!$E:$E,$A$3,'[1]Grade Project'!$F:$F,C19)</f>
        <v>0</v>
      </c>
      <c r="E19" t="str">
        <f t="shared" si="0"/>
        <v/>
      </c>
      <c r="F19">
        <f>IF(G18=0,"",INDEX('[1]Grade Project'!$G:$G,MATCH($A$5,'[1]Grade Project'!$F:$F,0)+SUM($G$3:G18)))</f>
        <v>421</v>
      </c>
      <c r="G19">
        <f>COUNTIFS('[1]Grade Project'!$F:$F,$A$5,'[1]Grade Project'!$G:$G,F19)</f>
        <v>1</v>
      </c>
      <c r="H19" t="str">
        <f>IF(I18=0,"",INDEX('[1]Grade Project'!$K:$K,MATCH($A$28,'[1]Grade Project'!$H:$H,0)+SUM($I$3:I18)))</f>
        <v/>
      </c>
      <c r="I19">
        <f>COUNTIFS('[1]Grade Project'!$G:$G,$A$8,'[1]Grade Project'!$K:$K,H19,'[1]Grade Project'!$F:$F,$A$5)</f>
        <v>0</v>
      </c>
      <c r="J19" t="str">
        <f>IFERROR(AVERAGEIFS('[1]Grade Project'!$N:$N,'[1]Grade Project'!$K:$K,H19,'[1]Grade Project'!$F:$F,$A$5,'[1]Grade Project'!$G:$G,$A$8),"")</f>
        <v/>
      </c>
      <c r="K19" t="str">
        <f>IFERROR(AVERAGEIFS('[1]Grade Project'!$O:$O,'[1]Grade Project'!$K:$K,H19,'[1]Grade Project'!$F:$F,$A$5,'[1]Grade Project'!$G:$G,$A$8),"")</f>
        <v/>
      </c>
      <c r="L19" t="str">
        <f t="shared" si="1"/>
        <v/>
      </c>
      <c r="M19" t="str">
        <f t="shared" si="2"/>
        <v/>
      </c>
      <c r="N19" t="str">
        <f t="shared" si="3"/>
        <v/>
      </c>
    </row>
    <row r="20" spans="1:14" x14ac:dyDescent="0.25">
      <c r="A20">
        <f>INDEX(One!J:J,MATCH(MAX(One!N:N),One!N:N,0))</f>
        <v>2.899</v>
      </c>
      <c r="B20" t="s">
        <v>19</v>
      </c>
      <c r="C20" t="str">
        <f>IF(C19="","",IF(C19=INDEX('[1]Grade Project'!$F:$F,MATCH($A$3,'[1]Grade Project'!$E:$E,0)+SUM($D$3:D19)),"",INDEX('[1]Grade Project'!$F:$F,MATCH($A$3,'[1]Grade Project'!$E:$E,0)+SUM($D$3:D19))))</f>
        <v/>
      </c>
      <c r="D20">
        <f>COUNTIFS('[1]Grade Project'!$E:$E,$A$3,'[1]Grade Project'!$F:$F,C20)</f>
        <v>0</v>
      </c>
      <c r="E20" t="str">
        <f t="shared" si="0"/>
        <v/>
      </c>
      <c r="F20">
        <f>IF(G19=0,"",INDEX('[1]Grade Project'!$G:$G,MATCH($A$5,'[1]Grade Project'!$F:$F,0)+SUM($G$3:G19)))</f>
        <v>427</v>
      </c>
      <c r="G20">
        <f>COUNTIFS('[1]Grade Project'!$F:$F,$A$5,'[1]Grade Project'!$G:$G,F20)</f>
        <v>1</v>
      </c>
      <c r="H20" t="str">
        <f>IF(I19=0,"",INDEX('[1]Grade Project'!$K:$K,MATCH($A$28,'[1]Grade Project'!$H:$H,0)+SUM($I$3:I19)))</f>
        <v/>
      </c>
      <c r="I20">
        <f>COUNTIFS('[1]Grade Project'!$G:$G,$A$8,'[1]Grade Project'!$K:$K,H20,'[1]Grade Project'!$F:$F,$A$5)</f>
        <v>0</v>
      </c>
      <c r="J20" t="str">
        <f>IFERROR(AVERAGEIFS('[1]Grade Project'!$N:$N,'[1]Grade Project'!$K:$K,H20,'[1]Grade Project'!$F:$F,$A$5,'[1]Grade Project'!$G:$G,$A$8),"")</f>
        <v/>
      </c>
      <c r="K20" t="str">
        <f>IFERROR(AVERAGEIFS('[1]Grade Project'!$O:$O,'[1]Grade Project'!$K:$K,H20,'[1]Grade Project'!$F:$F,$A$5,'[1]Grade Project'!$G:$G,$A$8),"")</f>
        <v/>
      </c>
      <c r="L20" t="str">
        <f t="shared" si="1"/>
        <v/>
      </c>
      <c r="M20" t="str">
        <f t="shared" si="2"/>
        <v/>
      </c>
      <c r="N20" t="str">
        <f t="shared" si="3"/>
        <v/>
      </c>
    </row>
    <row r="21" spans="1:14" x14ac:dyDescent="0.25">
      <c r="A21" t="s">
        <v>114</v>
      </c>
      <c r="B21" t="s">
        <v>20</v>
      </c>
      <c r="C21" t="str">
        <f>IF(C20="","",IF(C20=INDEX('[1]Grade Project'!$F:$F,MATCH($A$3,'[1]Grade Project'!$E:$E,0)+SUM($D$3:D20)),"",INDEX('[1]Grade Project'!$F:$F,MATCH($A$3,'[1]Grade Project'!$E:$E,0)+SUM($D$3:D20))))</f>
        <v/>
      </c>
      <c r="D21">
        <f>COUNTIFS('[1]Grade Project'!$E:$E,$A$3,'[1]Grade Project'!$F:$F,C21)</f>
        <v>0</v>
      </c>
      <c r="E21" t="str">
        <f t="shared" si="0"/>
        <v/>
      </c>
      <c r="F21">
        <f>IF(G20=0,"",INDEX('[1]Grade Project'!$G:$G,MATCH($A$5,'[1]Grade Project'!$F:$F,0)+SUM($G$3:G20)))</f>
        <v>433</v>
      </c>
      <c r="G21">
        <f>COUNTIFS('[1]Grade Project'!$F:$F,$A$5,'[1]Grade Project'!$G:$G,F21)</f>
        <v>2</v>
      </c>
      <c r="H21" t="str">
        <f>IF(I20=0,"",INDEX('[1]Grade Project'!$K:$K,MATCH($A$28,'[1]Grade Project'!$H:$H,0)+SUM($I$3:I20)))</f>
        <v/>
      </c>
      <c r="I21">
        <f>COUNTIFS('[1]Grade Project'!$G:$G,$A$8,'[1]Grade Project'!$K:$K,H21,'[1]Grade Project'!$F:$F,$A$5)</f>
        <v>0</v>
      </c>
      <c r="J21" t="str">
        <f>IFERROR(AVERAGEIFS('[1]Grade Project'!$N:$N,'[1]Grade Project'!$K:$K,H21,'[1]Grade Project'!$F:$F,$A$5,'[1]Grade Project'!$G:$G,$A$8),"")</f>
        <v/>
      </c>
      <c r="K21" t="str">
        <f>IFERROR(AVERAGEIFS('[1]Grade Project'!$O:$O,'[1]Grade Project'!$K:$K,H21,'[1]Grade Project'!$F:$F,$A$5,'[1]Grade Project'!$G:$G,$A$8),"")</f>
        <v/>
      </c>
      <c r="L21" t="str">
        <f t="shared" si="1"/>
        <v/>
      </c>
      <c r="M21" t="str">
        <f t="shared" si="2"/>
        <v/>
      </c>
      <c r="N21" t="str">
        <f t="shared" si="3"/>
        <v/>
      </c>
    </row>
    <row r="22" spans="1:14" x14ac:dyDescent="0.25">
      <c r="A22" t="str">
        <f>INDEX(One!H:H,MATCH(MIN(One!N:N),One!N:N,0))</f>
        <v>Bollen,Johan L.</v>
      </c>
      <c r="B22" t="s">
        <v>21</v>
      </c>
      <c r="C22" t="str">
        <f>IF(C21="","",IF(C21=INDEX('[1]Grade Project'!$F:$F,MATCH($A$3,'[1]Grade Project'!$E:$E,0)+SUM($D$3:D21)),"",INDEX('[1]Grade Project'!$F:$F,MATCH($A$3,'[1]Grade Project'!$E:$E,0)+SUM($D$3:D21))))</f>
        <v/>
      </c>
      <c r="D22">
        <f>COUNTIFS('[1]Grade Project'!$E:$E,$A$3,'[1]Grade Project'!$F:$F,C22)</f>
        <v>0</v>
      </c>
      <c r="E22" t="str">
        <f t="shared" si="0"/>
        <v/>
      </c>
      <c r="F22">
        <f>IF(G21=0,"",INDEX('[1]Grade Project'!$G:$G,MATCH($A$5,'[1]Grade Project'!$F:$F,0)+SUM($G$3:G21)))</f>
        <v>453</v>
      </c>
      <c r="G22">
        <f>COUNTIFS('[1]Grade Project'!$F:$F,$A$5,'[1]Grade Project'!$G:$G,F22)</f>
        <v>1</v>
      </c>
      <c r="H22" t="str">
        <f>IF(I21=0,"",INDEX('[1]Grade Project'!$K:$K,MATCH($A$28,'[1]Grade Project'!$H:$H,0)+SUM($I$3:I21)))</f>
        <v/>
      </c>
      <c r="I22">
        <f>COUNTIFS('[1]Grade Project'!$G:$G,$A$8,'[1]Grade Project'!$K:$K,H22,'[1]Grade Project'!$F:$F,$A$5)</f>
        <v>0</v>
      </c>
      <c r="J22" t="str">
        <f>IFERROR(AVERAGEIFS('[1]Grade Project'!$N:$N,'[1]Grade Project'!$K:$K,H22,'[1]Grade Project'!$F:$F,$A$5,'[1]Grade Project'!$G:$G,$A$8),"")</f>
        <v/>
      </c>
      <c r="K22" t="str">
        <f>IFERROR(AVERAGEIFS('[1]Grade Project'!$O:$O,'[1]Grade Project'!$K:$K,H22,'[1]Grade Project'!$F:$F,$A$5,'[1]Grade Project'!$G:$G,$A$8),"")</f>
        <v/>
      </c>
      <c r="L22" t="str">
        <f t="shared" si="1"/>
        <v/>
      </c>
      <c r="M22" t="str">
        <f t="shared" si="2"/>
        <v/>
      </c>
      <c r="N22" t="str">
        <f t="shared" si="3"/>
        <v/>
      </c>
    </row>
    <row r="23" spans="1:14" x14ac:dyDescent="0.25">
      <c r="A23" t="s">
        <v>110</v>
      </c>
      <c r="B23" t="s">
        <v>22</v>
      </c>
      <c r="C23" t="str">
        <f>IF(C22="","",IF(C22=INDEX('[1]Grade Project'!$F:$F,MATCH($A$3,'[1]Grade Project'!$E:$E,0)+SUM($D$3:D22)),"",INDEX('[1]Grade Project'!$F:$F,MATCH($A$3,'[1]Grade Project'!$E:$E,0)+SUM($D$3:D22))))</f>
        <v/>
      </c>
      <c r="D23">
        <f>COUNTIFS('[1]Grade Project'!$E:$E,$A$3,'[1]Grade Project'!$F:$F,C23)</f>
        <v>0</v>
      </c>
      <c r="E23" t="str">
        <f t="shared" si="0"/>
        <v/>
      </c>
      <c r="F23">
        <f>IF(G22=0,"",INDEX('[1]Grade Project'!$G:$G,MATCH($A$5,'[1]Grade Project'!$F:$F,0)+SUM($G$3:G22)))</f>
        <v>485</v>
      </c>
      <c r="G23">
        <f>COUNTIFS('[1]Grade Project'!$F:$F,$A$5,'[1]Grade Project'!$G:$G,F23)</f>
        <v>1</v>
      </c>
      <c r="H23" t="str">
        <f>IF(I22=0,"",INDEX('[1]Grade Project'!$K:$K,MATCH($A$28,'[1]Grade Project'!$H:$H,0)+SUM($I$3:I22)))</f>
        <v/>
      </c>
      <c r="I23">
        <f>COUNTIFS('[1]Grade Project'!$G:$G,$A$8,'[1]Grade Project'!$K:$K,H23,'[1]Grade Project'!$F:$F,$A$5)</f>
        <v>0</v>
      </c>
      <c r="J23" t="str">
        <f>IFERROR(AVERAGEIFS('[1]Grade Project'!$N:$N,'[1]Grade Project'!$K:$K,H23,'[1]Grade Project'!$F:$F,$A$5,'[1]Grade Project'!$G:$G,$A$8),"")</f>
        <v/>
      </c>
      <c r="K23" t="str">
        <f>IFERROR(AVERAGEIFS('[1]Grade Project'!$O:$O,'[1]Grade Project'!$K:$K,H23,'[1]Grade Project'!$F:$F,$A$5,'[1]Grade Project'!$G:$G,$A$8),"")</f>
        <v/>
      </c>
      <c r="L23" t="str">
        <f t="shared" si="1"/>
        <v/>
      </c>
      <c r="M23" t="str">
        <f t="shared" si="2"/>
        <v/>
      </c>
      <c r="N23" t="str">
        <f t="shared" si="3"/>
        <v/>
      </c>
    </row>
    <row r="24" spans="1:14" x14ac:dyDescent="0.25">
      <c r="A24">
        <f>INDEX(One!J:J,MATCH(MIN(One!N:N),One!N:N,0))</f>
        <v>3.0255000000000001</v>
      </c>
      <c r="B24" t="s">
        <v>23</v>
      </c>
      <c r="C24" t="str">
        <f>IF(C23="","",IF(C23=INDEX('[1]Grade Project'!$F:$F,MATCH($A$3,'[1]Grade Project'!$E:$E,0)+SUM($D$3:D23)),"",INDEX('[1]Grade Project'!$F:$F,MATCH($A$3,'[1]Grade Project'!$E:$E,0)+SUM($D$3:D23))))</f>
        <v/>
      </c>
      <c r="E24" t="str">
        <f t="shared" si="0"/>
        <v/>
      </c>
      <c r="F24">
        <f>IF(G23=0,"",INDEX('[1]Grade Project'!$G:$G,MATCH($A$5,'[1]Grade Project'!$F:$F,0)+SUM($G$3:G23)))</f>
        <v>490</v>
      </c>
      <c r="G24">
        <f>COUNTIFS('[1]Grade Project'!$F:$F,$A$5,'[1]Grade Project'!$G:$G,F24)</f>
        <v>2</v>
      </c>
      <c r="H24" t="str">
        <f>IF(I23=0,"",INDEX('[1]Grade Project'!$K:$K,MATCH($A$28,'[1]Grade Project'!$H:$H,0)+SUM($I$3:I23)))</f>
        <v/>
      </c>
      <c r="I24">
        <f>COUNTIFS('[1]Grade Project'!$G:$G,$A$8,'[1]Grade Project'!$K:$K,H24,'[1]Grade Project'!$F:$F,$A$5)</f>
        <v>0</v>
      </c>
      <c r="J24" t="str">
        <f>IFERROR(AVERAGEIFS('[1]Grade Project'!$N:$N,'[1]Grade Project'!$K:$K,H24,'[1]Grade Project'!$F:$F,$A$5,'[1]Grade Project'!$G:$G,$A$8),"")</f>
        <v/>
      </c>
      <c r="K24" t="str">
        <f>IFERROR(AVERAGEIFS('[1]Grade Project'!$O:$O,'[1]Grade Project'!$K:$K,H24,'[1]Grade Project'!$F:$F,$A$5,'[1]Grade Project'!$G:$G,$A$8),"")</f>
        <v/>
      </c>
      <c r="L24" t="str">
        <f t="shared" si="1"/>
        <v/>
      </c>
      <c r="M24" t="str">
        <f t="shared" si="2"/>
        <v/>
      </c>
      <c r="N24" t="str">
        <f t="shared" si="3"/>
        <v/>
      </c>
    </row>
    <row r="25" spans="1:14" x14ac:dyDescent="0.25">
      <c r="A25" t="s">
        <v>117</v>
      </c>
      <c r="B25" t="s">
        <v>24</v>
      </c>
      <c r="C25" t="str">
        <f>IF(C24="","",IF(C24=INDEX('[1]Grade Project'!$F:$F,MATCH($A$3,'[1]Grade Project'!$E:$E,0)+SUM($D$3:D24)),"",INDEX('[1]Grade Project'!$F:$F,MATCH($A$3,'[1]Grade Project'!$E:$E,0)+SUM($D$3:D24))))</f>
        <v/>
      </c>
      <c r="E25" t="str">
        <f t="shared" si="0"/>
        <v/>
      </c>
      <c r="F25">
        <f>IF(G24=0,"",INDEX('[1]Grade Project'!$G:$G,MATCH($A$5,'[1]Grade Project'!$F:$F,0)+SUM($G$3:G24)))</f>
        <v>491</v>
      </c>
      <c r="G25">
        <f>COUNTIFS('[1]Grade Project'!$F:$F,$A$5,'[1]Grade Project'!$G:$G,F25)</f>
        <v>5</v>
      </c>
      <c r="H25" t="str">
        <f>IF(I24=0,"",INDEX('[1]Grade Project'!$K:$K,MATCH($A$28,'[1]Grade Project'!$H:$H,0)+SUM($I$3:I24)))</f>
        <v/>
      </c>
      <c r="I25">
        <f>COUNTIFS('[1]Grade Project'!$G:$G,$A$8,'[1]Grade Project'!$K:$K,H25,'[1]Grade Project'!$F:$F,$A$5)</f>
        <v>0</v>
      </c>
      <c r="J25" t="str">
        <f>IFERROR(AVERAGEIFS('[1]Grade Project'!$N:$N,'[1]Grade Project'!$K:$K,H25,'[1]Grade Project'!$F:$F,$A$5,'[1]Grade Project'!$G:$G,$A$8),"")</f>
        <v/>
      </c>
      <c r="K25" t="str">
        <f>IFERROR(AVERAGEIFS('[1]Grade Project'!$O:$O,'[1]Grade Project'!$K:$K,H25,'[1]Grade Project'!$F:$F,$A$5,'[1]Grade Project'!$G:$G,$A$8),"")</f>
        <v/>
      </c>
      <c r="L25" t="str">
        <f t="shared" si="1"/>
        <v/>
      </c>
      <c r="M25" t="str">
        <f t="shared" si="2"/>
        <v/>
      </c>
      <c r="N25" t="str">
        <f t="shared" si="3"/>
        <v/>
      </c>
    </row>
    <row r="26" spans="1:14" x14ac:dyDescent="0.25">
      <c r="A26" t="e">
        <f>A12/#REF!</f>
        <v>#REF!</v>
      </c>
      <c r="B26" t="s">
        <v>25</v>
      </c>
      <c r="C26" t="str">
        <f>IF(C25="","",IF(C25=INDEX('[1]Grade Project'!$F:$F,MATCH($A$3,'[1]Grade Project'!$E:$E,0)+SUM($D$3:D25)),"",INDEX('[1]Grade Project'!$F:$F,MATCH($A$3,'[1]Grade Project'!$E:$E,0)+SUM($D$3:D25))))</f>
        <v/>
      </c>
      <c r="E26" t="str">
        <f t="shared" si="0"/>
        <v/>
      </c>
      <c r="F26">
        <f>IF(G25=0,"",INDEX('[1]Grade Project'!$G:$G,MATCH($A$5,'[1]Grade Project'!$F:$F,0)+SUM($G$3:G25)))</f>
        <v>492</v>
      </c>
      <c r="G26">
        <f>COUNTIFS('[1]Grade Project'!$F:$F,$A$5,'[1]Grade Project'!$G:$G,F26)</f>
        <v>1</v>
      </c>
      <c r="H26" t="str">
        <f>IF(I25=0,"",INDEX('[1]Grade Project'!$K:$K,MATCH($A$28,'[1]Grade Project'!$H:$H,0)+SUM($I$3:I25)))</f>
        <v/>
      </c>
      <c r="I26">
        <f>COUNTIFS('[1]Grade Project'!$G:$G,$A$8,'[1]Grade Project'!$K:$K,H26,'[1]Grade Project'!$F:$F,$A$5)</f>
        <v>0</v>
      </c>
      <c r="J26" t="str">
        <f>IFERROR(AVERAGEIFS('[1]Grade Project'!$N:$N,'[1]Grade Project'!$K:$K,H26,'[1]Grade Project'!$F:$F,$A$5,'[1]Grade Project'!$G:$G,$A$8),"")</f>
        <v/>
      </c>
      <c r="K26" t="str">
        <f>IFERROR(AVERAGEIFS('[1]Grade Project'!$O:$O,'[1]Grade Project'!$K:$K,H26,'[1]Grade Project'!$F:$F,$A$5,'[1]Grade Project'!$G:$G,$A$8),"")</f>
        <v/>
      </c>
      <c r="L26" t="str">
        <f t="shared" si="1"/>
        <v/>
      </c>
      <c r="M26" t="str">
        <f t="shared" si="2"/>
        <v/>
      </c>
      <c r="N26" t="str">
        <f t="shared" si="3"/>
        <v/>
      </c>
    </row>
    <row r="27" spans="1:14" x14ac:dyDescent="0.25">
      <c r="A27" t="s">
        <v>122</v>
      </c>
      <c r="B27" t="s">
        <v>26</v>
      </c>
      <c r="C27" t="str">
        <f>IF(C26="","",IF(C26=INDEX('[1]Grade Project'!$F:$F,MATCH($A$3,'[1]Grade Project'!$E:$E,0)+SUM($D$3:D26)),"",INDEX('[1]Grade Project'!$F:$F,MATCH($A$3,'[1]Grade Project'!$E:$E,0)+SUM($D$3:D26))))</f>
        <v/>
      </c>
      <c r="E27" t="str">
        <f t="shared" si="0"/>
        <v/>
      </c>
      <c r="F27">
        <f>IF(G26=0,"",INDEX('[1]Grade Project'!$G:$G,MATCH($A$5,'[1]Grade Project'!$F:$F,0)+SUM($G$3:G26)))</f>
        <v>493</v>
      </c>
      <c r="G27">
        <f>COUNTIFS('[1]Grade Project'!$F:$F,$A$5,'[1]Grade Project'!$G:$G,F27)</f>
        <v>2</v>
      </c>
      <c r="H27" t="str">
        <f>IF(I26=0,"",INDEX('[1]Grade Project'!$K:$K,MATCH($A$28,'[1]Grade Project'!$H:$H,0)+SUM($I$3:I26)))</f>
        <v/>
      </c>
      <c r="I27">
        <f>COUNTIFS('[1]Grade Project'!$G:$G,$A$8,'[1]Grade Project'!$K:$K,H27,'[1]Grade Project'!$F:$F,$A$5)</f>
        <v>0</v>
      </c>
      <c r="J27" t="str">
        <f>IFERROR(AVERAGEIFS('[1]Grade Project'!$N:$N,'[1]Grade Project'!$K:$K,H27,'[1]Grade Project'!$F:$F,$A$5,'[1]Grade Project'!$G:$G,$A$8),"")</f>
        <v/>
      </c>
      <c r="K27" t="str">
        <f>IFERROR(AVERAGEIFS('[1]Grade Project'!$O:$O,'[1]Grade Project'!$K:$K,H27,'[1]Grade Project'!$F:$F,$A$5,'[1]Grade Project'!$G:$G,$A$8),"")</f>
        <v/>
      </c>
      <c r="L27" t="str">
        <f t="shared" si="1"/>
        <v/>
      </c>
      <c r="M27" t="str">
        <f t="shared" si="2"/>
        <v/>
      </c>
      <c r="N27" t="str">
        <f t="shared" si="3"/>
        <v/>
      </c>
    </row>
    <row r="28" spans="1:14" x14ac:dyDescent="0.25">
      <c r="A28" t="str">
        <f>CONCATENATE(A5,A8)</f>
        <v>INFO-I210</v>
      </c>
      <c r="B28" t="s">
        <v>27</v>
      </c>
      <c r="C28" t="str">
        <f>IF(C27="","",IF(C27=INDEX('[1]Grade Project'!$F:$F,MATCH($A$3,'[1]Grade Project'!$E:$E,0)+SUM($D$3:D27)),"",INDEX('[1]Grade Project'!$F:$F,MATCH($A$3,'[1]Grade Project'!$E:$E,0)+SUM($D$3:D27))))</f>
        <v/>
      </c>
      <c r="E28" t="str">
        <f t="shared" si="0"/>
        <v/>
      </c>
      <c r="F28">
        <f>IF(G27=0,"",INDEX('[1]Grade Project'!$G:$G,MATCH($A$5,'[1]Grade Project'!$F:$F,0)+SUM($G$3:G27)))</f>
        <v>494</v>
      </c>
      <c r="G28">
        <f>COUNTIFS('[1]Grade Project'!$F:$F,$A$5,'[1]Grade Project'!$G:$G,F28)</f>
        <v>1</v>
      </c>
      <c r="H28" t="str">
        <f>IF(I27=0,"",INDEX('[1]Grade Project'!$K:$K,MATCH($A$28,'[1]Grade Project'!$H:$H,0)+SUM($I$3:I27)))</f>
        <v/>
      </c>
      <c r="I28">
        <f>COUNTIFS('[1]Grade Project'!$G:$G,$A$8,'[1]Grade Project'!$K:$K,H28,'[1]Grade Project'!$F:$F,$A$5)</f>
        <v>0</v>
      </c>
      <c r="J28" t="str">
        <f>IFERROR(AVERAGEIFS('[1]Grade Project'!$N:$N,'[1]Grade Project'!$K:$K,H28,'[1]Grade Project'!$F:$F,$A$5,'[1]Grade Project'!$G:$G,$A$8),"")</f>
        <v/>
      </c>
      <c r="K28" t="str">
        <f>IFERROR(AVERAGEIFS('[1]Grade Project'!$O:$O,'[1]Grade Project'!$K:$K,H28,'[1]Grade Project'!$F:$F,$A$5,'[1]Grade Project'!$G:$G,$A$8),"")</f>
        <v/>
      </c>
      <c r="L28" t="str">
        <f t="shared" si="1"/>
        <v/>
      </c>
      <c r="M28" t="str">
        <f t="shared" si="2"/>
        <v/>
      </c>
      <c r="N28" t="str">
        <f t="shared" si="3"/>
        <v/>
      </c>
    </row>
    <row r="29" spans="1:14" x14ac:dyDescent="0.25">
      <c r="B29" t="s">
        <v>28</v>
      </c>
      <c r="C29" t="str">
        <f>IF(C28="","",IF(C28=INDEX('[1]Grade Project'!$F:$F,MATCH($A$3,'[1]Grade Project'!$E:$E,0)+SUM($D$3:D28)),"",INDEX('[1]Grade Project'!$F:$F,MATCH($A$3,'[1]Grade Project'!$E:$E,0)+SUM($D$3:D28))))</f>
        <v/>
      </c>
      <c r="E29" t="str">
        <f t="shared" si="0"/>
        <v/>
      </c>
      <c r="F29">
        <f>IF(G28=0,"",INDEX('[1]Grade Project'!$G:$G,MATCH($A$5,'[1]Grade Project'!$F:$F,0)+SUM($G$3:G28)))</f>
        <v>495</v>
      </c>
      <c r="G29">
        <f>COUNTIFS('[1]Grade Project'!$F:$F,$A$5,'[1]Grade Project'!$G:$G,F29)</f>
        <v>4</v>
      </c>
      <c r="H29" t="str">
        <f>IF(I28=0,"",INDEX('[1]Grade Project'!$K:$K,MATCH($A$28,'[1]Grade Project'!$H:$H,0)+SUM($I$3:I28)))</f>
        <v/>
      </c>
      <c r="I29">
        <f>COUNTIFS('[1]Grade Project'!$G:$G,$A$8,'[1]Grade Project'!$K:$K,H29,'[1]Grade Project'!$F:$F,$A$5)</f>
        <v>0</v>
      </c>
      <c r="J29" t="str">
        <f>IFERROR(AVERAGEIFS('[1]Grade Project'!$N:$N,'[1]Grade Project'!$K:$K,H29,'[1]Grade Project'!$F:$F,$A$5,'[1]Grade Project'!$G:$G,$A$8),"")</f>
        <v/>
      </c>
      <c r="K29" t="str">
        <f>IFERROR(AVERAGEIFS('[1]Grade Project'!$O:$O,'[1]Grade Project'!$K:$K,H29,'[1]Grade Project'!$F:$F,$A$5,'[1]Grade Project'!$G:$G,$A$8),"")</f>
        <v/>
      </c>
      <c r="L29" t="str">
        <f t="shared" si="1"/>
        <v/>
      </c>
      <c r="M29" t="str">
        <f t="shared" si="2"/>
        <v/>
      </c>
      <c r="N29" t="str">
        <f t="shared" si="3"/>
        <v/>
      </c>
    </row>
    <row r="30" spans="1:14" x14ac:dyDescent="0.25">
      <c r="B30" t="s">
        <v>29</v>
      </c>
      <c r="C30" t="str">
        <f>IF(C29="","",IF(C29=INDEX('[1]Grade Project'!$F:$F,MATCH($A$3,'[1]Grade Project'!$E:$E,0)+SUM($D$3:D29)),"",INDEX('[1]Grade Project'!$F:$F,MATCH($A$3,'[1]Grade Project'!$E:$E,0)+SUM($D$3:D29))))</f>
        <v/>
      </c>
      <c r="E30" t="str">
        <f t="shared" si="0"/>
        <v/>
      </c>
      <c r="F30">
        <f>IF(G29=0,"",INDEX('[1]Grade Project'!$G:$G,MATCH($A$5,'[1]Grade Project'!$F:$F,0)+SUM($G$3:G29)))</f>
        <v>499</v>
      </c>
      <c r="G30">
        <f>COUNTIFS('[1]Grade Project'!$F:$F,$A$5,'[1]Grade Project'!$G:$G,F30)</f>
        <v>1</v>
      </c>
      <c r="H30" t="str">
        <f>IF(I29=0,"",INDEX('[1]Grade Project'!$K:$K,MATCH($A$28,'[1]Grade Project'!$H:$H,0)+SUM($I$3:I29)))</f>
        <v/>
      </c>
      <c r="I30">
        <f>COUNTIFS('[1]Grade Project'!$G:$G,$A$8,'[1]Grade Project'!$K:$K,H30,'[1]Grade Project'!$F:$F,$A$5)</f>
        <v>0</v>
      </c>
      <c r="J30" t="str">
        <f>IFERROR(AVERAGEIFS('[1]Grade Project'!$N:$N,'[1]Grade Project'!$K:$K,H30,'[1]Grade Project'!$F:$F,$A$5,'[1]Grade Project'!$G:$G,$A$8),"")</f>
        <v/>
      </c>
      <c r="K30" t="str">
        <f>IFERROR(AVERAGEIFS('[1]Grade Project'!$O:$O,'[1]Grade Project'!$K:$K,H30,'[1]Grade Project'!$F:$F,$A$5,'[1]Grade Project'!$G:$G,$A$8),"")</f>
        <v/>
      </c>
      <c r="L30" t="str">
        <f t="shared" si="1"/>
        <v/>
      </c>
      <c r="M30" t="str">
        <f t="shared" si="2"/>
        <v/>
      </c>
      <c r="N30" t="str">
        <f t="shared" si="3"/>
        <v/>
      </c>
    </row>
    <row r="31" spans="1:14" x14ac:dyDescent="0.25">
      <c r="B31" t="s">
        <v>30</v>
      </c>
      <c r="C31" t="str">
        <f>IF(C30="","",IF(C30=INDEX('[1]Grade Project'!$F:$F,MATCH($A$3,'[1]Grade Project'!$E:$E,0)+SUM($D$3:D30)),"",INDEX('[1]Grade Project'!$F:$F,MATCH($A$3,'[1]Grade Project'!$E:$E,0)+SUM($D$3:D30))))</f>
        <v/>
      </c>
      <c r="E31" t="str">
        <f t="shared" si="0"/>
        <v/>
      </c>
      <c r="F31">
        <f>IF(G30=0,"",INDEX('[1]Grade Project'!$G:$G,MATCH($A$5,'[1]Grade Project'!$F:$F,0)+SUM($G$3:G30)))</f>
        <v>500</v>
      </c>
      <c r="G31">
        <f>COUNTIFS('[1]Grade Project'!$F:$F,$A$5,'[1]Grade Project'!$G:$G,F31)</f>
        <v>1</v>
      </c>
      <c r="H31" t="str">
        <f>IF(I30=0,"",INDEX('[1]Grade Project'!$K:$K,MATCH($A$28,'[1]Grade Project'!$H:$H,0)+SUM($I$3:I30)))</f>
        <v/>
      </c>
      <c r="I31">
        <f>COUNTIFS('[1]Grade Project'!$G:$G,$A$8,'[1]Grade Project'!$K:$K,H31,'[1]Grade Project'!$F:$F,$A$5)</f>
        <v>0</v>
      </c>
      <c r="J31" t="str">
        <f>IFERROR(AVERAGEIFS('[1]Grade Project'!$N:$N,'[1]Grade Project'!$K:$K,H31,'[1]Grade Project'!$F:$F,$A$5,'[1]Grade Project'!$G:$G,$A$8),"")</f>
        <v/>
      </c>
      <c r="K31" t="str">
        <f>IFERROR(AVERAGEIFS('[1]Grade Project'!$O:$O,'[1]Grade Project'!$K:$K,H31,'[1]Grade Project'!$F:$F,$A$5,'[1]Grade Project'!$G:$G,$A$8),"")</f>
        <v/>
      </c>
      <c r="L31" t="str">
        <f t="shared" si="1"/>
        <v/>
      </c>
      <c r="M31" t="str">
        <f t="shared" si="2"/>
        <v/>
      </c>
      <c r="N31" t="str">
        <f t="shared" si="3"/>
        <v/>
      </c>
    </row>
    <row r="32" spans="1:14" x14ac:dyDescent="0.25">
      <c r="B32" t="s">
        <v>31</v>
      </c>
      <c r="C32" t="str">
        <f>IF(C31="","",IF(C31=INDEX('[1]Grade Project'!$F:$F,MATCH($A$3,'[1]Grade Project'!$E:$E,0)+SUM($D$3:D31)),"",INDEX('[1]Grade Project'!$F:$F,MATCH($A$3,'[1]Grade Project'!$E:$E,0)+SUM($D$3:D31))))</f>
        <v/>
      </c>
      <c r="E32" t="str">
        <f t="shared" si="0"/>
        <v/>
      </c>
      <c r="F32">
        <f>IF(G31=0,"",INDEX('[1]Grade Project'!$G:$G,MATCH($A$5,'[1]Grade Project'!$F:$F,0)+SUM($G$3:G31)))</f>
        <v>501</v>
      </c>
      <c r="G32">
        <f>COUNTIFS('[1]Grade Project'!$F:$F,$A$5,'[1]Grade Project'!$G:$G,F32)</f>
        <v>1</v>
      </c>
      <c r="H32" t="str">
        <f>IF(I31=0,"",INDEX('[1]Grade Project'!$K:$K,MATCH($A$28,'[1]Grade Project'!$H:$H,0)+SUM($I$3:I31)))</f>
        <v/>
      </c>
      <c r="I32">
        <f>COUNTIFS('[1]Grade Project'!$G:$G,$A$8,'[1]Grade Project'!$K:$K,H32,'[1]Grade Project'!$F:$F,$A$5)</f>
        <v>0</v>
      </c>
      <c r="J32" t="str">
        <f>IFERROR(AVERAGEIFS('[1]Grade Project'!$N:$N,'[1]Grade Project'!$K:$K,H32,'[1]Grade Project'!$F:$F,$A$5,'[1]Grade Project'!$G:$G,$A$8),"")</f>
        <v/>
      </c>
      <c r="K32" t="str">
        <f>IFERROR(AVERAGEIFS('[1]Grade Project'!$O:$O,'[1]Grade Project'!$K:$K,H32,'[1]Grade Project'!$F:$F,$A$5,'[1]Grade Project'!$G:$G,$A$8),"")</f>
        <v/>
      </c>
      <c r="L32" t="str">
        <f t="shared" si="1"/>
        <v/>
      </c>
      <c r="M32" t="str">
        <f t="shared" si="2"/>
        <v/>
      </c>
      <c r="N32" t="str">
        <f t="shared" si="3"/>
        <v/>
      </c>
    </row>
    <row r="33" spans="2:14" x14ac:dyDescent="0.25">
      <c r="B33" t="s">
        <v>32</v>
      </c>
      <c r="C33" t="str">
        <f>IF(C32="","",IF(C32=INDEX('[1]Grade Project'!$F:$F,MATCH($A$3,'[1]Grade Project'!$E:$E,0)+SUM($D$3:D32)),"",INDEX('[1]Grade Project'!$F:$F,MATCH($A$3,'[1]Grade Project'!$E:$E,0)+SUM($D$3:D32))))</f>
        <v/>
      </c>
      <c r="E33" t="str">
        <f t="shared" si="0"/>
        <v/>
      </c>
      <c r="F33">
        <f>IF(G32=0,"",INDEX('[1]Grade Project'!$G:$G,MATCH($A$5,'[1]Grade Project'!$F:$F,0)+SUM($G$3:G32)))</f>
        <v>519</v>
      </c>
      <c r="G33">
        <f>COUNTIFS('[1]Grade Project'!$F:$F,$A$5,'[1]Grade Project'!$G:$G,F33)</f>
        <v>1</v>
      </c>
      <c r="H33" t="str">
        <f>IF(I32=0,"",INDEX('[1]Grade Project'!$K:$K,MATCH($A$28,'[1]Grade Project'!$H:$H,0)+SUM($I$3:I32)))</f>
        <v/>
      </c>
      <c r="I33">
        <f>COUNTIFS('[1]Grade Project'!$G:$G,$A$8,'[1]Grade Project'!$K:$K,H33,'[1]Grade Project'!$F:$F,$A$5)</f>
        <v>0</v>
      </c>
      <c r="J33" t="str">
        <f>IFERROR(AVERAGEIFS('[1]Grade Project'!$N:$N,'[1]Grade Project'!$K:$K,H33,'[1]Grade Project'!$F:$F,$A$5,'[1]Grade Project'!$G:$G,$A$8),"")</f>
        <v/>
      </c>
      <c r="K33" t="str">
        <f>IFERROR(AVERAGEIFS('[1]Grade Project'!$O:$O,'[1]Grade Project'!$K:$K,H33,'[1]Grade Project'!$F:$F,$A$5,'[1]Grade Project'!$G:$G,$A$8),"")</f>
        <v/>
      </c>
      <c r="L33" t="str">
        <f t="shared" si="1"/>
        <v/>
      </c>
      <c r="M33" t="str">
        <f t="shared" si="2"/>
        <v/>
      </c>
      <c r="N33" t="str">
        <f t="shared" si="3"/>
        <v/>
      </c>
    </row>
    <row r="34" spans="2:14" x14ac:dyDescent="0.25">
      <c r="B34" t="s">
        <v>33</v>
      </c>
      <c r="C34" t="str">
        <f>IF(C33="","",IF(C33=INDEX('[1]Grade Project'!$F:$F,MATCH($A$3,'[1]Grade Project'!$E:$E,0)+SUM($D$3:D33)),"",INDEX('[1]Grade Project'!$F:$F,MATCH($A$3,'[1]Grade Project'!$E:$E,0)+SUM($D$3:D33))))</f>
        <v/>
      </c>
      <c r="E34" t="str">
        <f t="shared" si="0"/>
        <v/>
      </c>
      <c r="F34">
        <f>IF(G33=0,"",INDEX('[1]Grade Project'!$G:$G,MATCH($A$5,'[1]Grade Project'!$F:$F,0)+SUM($G$3:G33)))</f>
        <v>521</v>
      </c>
      <c r="G34">
        <f>COUNTIFS('[1]Grade Project'!$F:$F,$A$5,'[1]Grade Project'!$G:$G,F34)</f>
        <v>2</v>
      </c>
      <c r="H34" t="str">
        <f>IF(I33=0,"",INDEX('[1]Grade Project'!$K:$K,MATCH($A$28,'[1]Grade Project'!$H:$H,0)+SUM($I$3:I33)))</f>
        <v/>
      </c>
      <c r="I34">
        <f>COUNTIFS('[1]Grade Project'!$G:$G,$A$8,'[1]Grade Project'!$K:$K,H34,'[1]Grade Project'!$F:$F,$A$5)</f>
        <v>0</v>
      </c>
      <c r="J34" t="str">
        <f>IFERROR(AVERAGEIFS('[1]Grade Project'!$N:$N,'[1]Grade Project'!$K:$K,H34,'[1]Grade Project'!$F:$F,$A$5,'[1]Grade Project'!$G:$G,$A$8),"")</f>
        <v/>
      </c>
      <c r="K34" t="str">
        <f>IFERROR(AVERAGEIFS('[1]Grade Project'!$O:$O,'[1]Grade Project'!$K:$K,H34,'[1]Grade Project'!$F:$F,$A$5,'[1]Grade Project'!$G:$G,$A$8),"")</f>
        <v/>
      </c>
      <c r="L34" t="str">
        <f t="shared" si="1"/>
        <v/>
      </c>
      <c r="M34" t="str">
        <f t="shared" si="2"/>
        <v/>
      </c>
      <c r="N34" t="str">
        <f t="shared" si="3"/>
        <v/>
      </c>
    </row>
    <row r="35" spans="2:14" x14ac:dyDescent="0.25">
      <c r="B35" t="s">
        <v>34</v>
      </c>
      <c r="C35" t="str">
        <f>IF(C34="","",IF(C34=INDEX('[1]Grade Project'!$F:$F,MATCH($A$3,'[1]Grade Project'!$E:$E,0)+SUM($D$3:D34)),"",INDEX('[1]Grade Project'!$F:$F,MATCH($A$3,'[1]Grade Project'!$E:$E,0)+SUM($D$3:D34))))</f>
        <v/>
      </c>
      <c r="E35" t="str">
        <f t="shared" si="0"/>
        <v/>
      </c>
      <c r="F35">
        <f>IF(G34=0,"",INDEX('[1]Grade Project'!$G:$G,MATCH($A$5,'[1]Grade Project'!$F:$F,0)+SUM($G$3:G34)))</f>
        <v>525</v>
      </c>
      <c r="G35">
        <f>COUNTIFS('[1]Grade Project'!$F:$F,$A$5,'[1]Grade Project'!$G:$G,F35)</f>
        <v>1</v>
      </c>
      <c r="H35" t="str">
        <f>IF(I34=0,"",INDEX('[1]Grade Project'!$K:$K,MATCH($A$28,'[1]Grade Project'!$H:$H,0)+SUM($I$3:I34)))</f>
        <v/>
      </c>
      <c r="I35">
        <f>COUNTIFS('[1]Grade Project'!$G:$G,$A$8,'[1]Grade Project'!$K:$K,H35,'[1]Grade Project'!$F:$F,$A$5)</f>
        <v>0</v>
      </c>
      <c r="J35" t="str">
        <f>IFERROR(AVERAGEIFS('[1]Grade Project'!$N:$N,'[1]Grade Project'!$K:$K,H35,'[1]Grade Project'!$F:$F,$A$5,'[1]Grade Project'!$G:$G,$A$8),"")</f>
        <v/>
      </c>
      <c r="K35" t="str">
        <f>IFERROR(AVERAGEIFS('[1]Grade Project'!$O:$O,'[1]Grade Project'!$K:$K,H35,'[1]Grade Project'!$F:$F,$A$5,'[1]Grade Project'!$G:$G,$A$8),"")</f>
        <v/>
      </c>
      <c r="L35" t="str">
        <f t="shared" si="1"/>
        <v/>
      </c>
      <c r="M35" t="str">
        <f t="shared" si="2"/>
        <v/>
      </c>
      <c r="N35" t="str">
        <f t="shared" si="3"/>
        <v/>
      </c>
    </row>
    <row r="36" spans="2:14" x14ac:dyDescent="0.25">
      <c r="B36" t="s">
        <v>35</v>
      </c>
      <c r="C36" t="str">
        <f>IF(C35="","",IF(C35=INDEX('[1]Grade Project'!$F:$F,MATCH($A$3,'[1]Grade Project'!$E:$E,0)+SUM($D$3:D35)),"",INDEX('[1]Grade Project'!$F:$F,MATCH($A$3,'[1]Grade Project'!$E:$E,0)+SUM($D$3:D35))))</f>
        <v/>
      </c>
      <c r="E36" t="str">
        <f t="shared" si="0"/>
        <v/>
      </c>
      <c r="F36">
        <f>IF(G35=0,"",INDEX('[1]Grade Project'!$G:$G,MATCH($A$5,'[1]Grade Project'!$F:$F,0)+SUM($G$3:G35)))</f>
        <v>529</v>
      </c>
      <c r="G36">
        <f>COUNTIFS('[1]Grade Project'!$F:$F,$A$5,'[1]Grade Project'!$G:$G,F36)</f>
        <v>1</v>
      </c>
      <c r="H36" t="str">
        <f>IF(I35=0,"",INDEX('[1]Grade Project'!$K:$K,MATCH($A$28,'[1]Grade Project'!$H:$H,0)+SUM($I$3:I35)))</f>
        <v/>
      </c>
      <c r="I36">
        <f>COUNTIFS('[1]Grade Project'!$G:$G,$A$8,'[1]Grade Project'!$K:$K,H36,'[1]Grade Project'!$F:$F,$A$5)</f>
        <v>0</v>
      </c>
      <c r="J36" t="str">
        <f>IFERROR(AVERAGEIFS('[1]Grade Project'!$N:$N,'[1]Grade Project'!$K:$K,H36,'[1]Grade Project'!$F:$F,$A$5,'[1]Grade Project'!$G:$G,$A$8),"")</f>
        <v/>
      </c>
      <c r="K36" t="str">
        <f>IFERROR(AVERAGEIFS('[1]Grade Project'!$O:$O,'[1]Grade Project'!$K:$K,H36,'[1]Grade Project'!$F:$F,$A$5,'[1]Grade Project'!$G:$G,$A$8),"")</f>
        <v/>
      </c>
      <c r="L36" t="str">
        <f t="shared" si="1"/>
        <v/>
      </c>
      <c r="M36" t="str">
        <f t="shared" si="2"/>
        <v/>
      </c>
      <c r="N36" t="str">
        <f t="shared" si="3"/>
        <v/>
      </c>
    </row>
    <row r="37" spans="2:14" x14ac:dyDescent="0.25">
      <c r="B37" t="s">
        <v>36</v>
      </c>
      <c r="C37" t="str">
        <f>IF(C36="","",IF(C36=INDEX('[1]Grade Project'!$F:$F,MATCH($A$3,'[1]Grade Project'!$E:$E,0)+SUM($D$3:D36)),"",INDEX('[1]Grade Project'!$F:$F,MATCH($A$3,'[1]Grade Project'!$E:$E,0)+SUM($D$3:D36))))</f>
        <v/>
      </c>
      <c r="F37">
        <f>IF(G36=0,"",INDEX('[1]Grade Project'!$G:$G,MATCH($A$5,'[1]Grade Project'!$F:$F,0)+SUM($G$3:G36)))</f>
        <v>533</v>
      </c>
      <c r="G37">
        <f>COUNTIFS('[1]Grade Project'!$F:$F,$A$5,'[1]Grade Project'!$G:$G,F37)</f>
        <v>2</v>
      </c>
      <c r="H37" t="str">
        <f>IF(I36=0,"",INDEX('[1]Grade Project'!$K:$K,MATCH($A$28,'[1]Grade Project'!$H:$H,0)+SUM($I$3:I36)))</f>
        <v/>
      </c>
      <c r="I37">
        <f>COUNTIFS('[1]Grade Project'!$G:$G,$A$8,'[1]Grade Project'!$K:$K,H37,'[1]Grade Project'!$F:$F,$A$5)</f>
        <v>0</v>
      </c>
      <c r="J37" t="str">
        <f>IFERROR(AVERAGEIFS('[1]Grade Project'!$N:$N,'[1]Grade Project'!$K:$K,H37,'[1]Grade Project'!$F:$F,$A$5,'[1]Grade Project'!$G:$G,$A$8),"")</f>
        <v/>
      </c>
      <c r="K37" t="str">
        <f>IFERROR(AVERAGEIFS('[1]Grade Project'!$O:$O,'[1]Grade Project'!$K:$K,H37,'[1]Grade Project'!$F:$F,$A$5,'[1]Grade Project'!$G:$G,$A$8),"")</f>
        <v/>
      </c>
      <c r="L37" t="str">
        <f t="shared" si="1"/>
        <v/>
      </c>
      <c r="M37" t="str">
        <f t="shared" si="2"/>
        <v/>
      </c>
      <c r="N37" t="str">
        <f t="shared" si="3"/>
        <v/>
      </c>
    </row>
    <row r="38" spans="2:14" x14ac:dyDescent="0.25">
      <c r="B38" t="s">
        <v>37</v>
      </c>
      <c r="C38" t="str">
        <f>IF(C37="","",IF(C37=INDEX('[1]Grade Project'!$F:$F,MATCH($A$3,'[1]Grade Project'!$E:$E,0)+SUM($D$3:D37)),"",INDEX('[1]Grade Project'!$F:$F,MATCH($A$3,'[1]Grade Project'!$E:$E,0)+SUM($D$3:D37))))</f>
        <v/>
      </c>
      <c r="F38">
        <f>IF(G37=0,"",INDEX('[1]Grade Project'!$G:$G,MATCH($A$5,'[1]Grade Project'!$F:$F,0)+SUM($G$3:G37)))</f>
        <v>541</v>
      </c>
      <c r="G38">
        <f>COUNTIFS('[1]Grade Project'!$F:$F,$A$5,'[1]Grade Project'!$G:$G,F38)</f>
        <v>1</v>
      </c>
      <c r="H38" t="str">
        <f>IF(I37=0,"",INDEX('[1]Grade Project'!$K:$K,MATCH($A$28,'[1]Grade Project'!$H:$H,0)+SUM($I$3:I37)))</f>
        <v/>
      </c>
      <c r="I38">
        <f>COUNTIFS('[1]Grade Project'!$G:$G,$A$8,'[1]Grade Project'!$K:$K,H38,'[1]Grade Project'!$F:$F,$A$5)</f>
        <v>0</v>
      </c>
      <c r="J38" t="str">
        <f>IFERROR(AVERAGEIFS('[1]Grade Project'!$N:$N,'[1]Grade Project'!$K:$K,H38,'[1]Grade Project'!$F:$F,$A$5,'[1]Grade Project'!$G:$G,$A$8),"")</f>
        <v/>
      </c>
      <c r="K38" t="str">
        <f>IFERROR(AVERAGEIFS('[1]Grade Project'!$O:$O,'[1]Grade Project'!$K:$K,H38,'[1]Grade Project'!$F:$F,$A$5,'[1]Grade Project'!$G:$G,$A$8),"")</f>
        <v/>
      </c>
      <c r="L38" t="str">
        <f t="shared" si="1"/>
        <v/>
      </c>
      <c r="M38" t="str">
        <f t="shared" si="2"/>
        <v/>
      </c>
      <c r="N38" t="str">
        <f t="shared" si="3"/>
        <v/>
      </c>
    </row>
    <row r="39" spans="2:14" x14ac:dyDescent="0.25">
      <c r="B39" t="s">
        <v>38</v>
      </c>
      <c r="C39" t="str">
        <f>IF(C38="","",IF(C38=INDEX('[1]Grade Project'!$F:$F,MATCH($A$3,'[1]Grade Project'!$E:$E,0)+SUM($D$3:D38)),"",INDEX('[1]Grade Project'!$F:$F,MATCH($A$3,'[1]Grade Project'!$E:$E,0)+SUM($D$3:D38))))</f>
        <v/>
      </c>
      <c r="F39">
        <f>IF(G38=0,"",INDEX('[1]Grade Project'!$G:$G,MATCH($A$5,'[1]Grade Project'!$F:$F,0)+SUM($G$3:G38)))</f>
        <v>542</v>
      </c>
      <c r="G39">
        <f>COUNTIFS('[1]Grade Project'!$F:$F,$A$5,'[1]Grade Project'!$G:$G,F39)</f>
        <v>1</v>
      </c>
      <c r="H39" t="str">
        <f>IF(I38=0,"",INDEX('[1]Grade Project'!$K:$K,MATCH($A$28,'[1]Grade Project'!$H:$H,0)+SUM($I$3:I38)))</f>
        <v/>
      </c>
      <c r="I39">
        <f>COUNTIFS('[1]Grade Project'!$G:$G,$A$8,'[1]Grade Project'!$K:$K,H39,'[1]Grade Project'!$F:$F,$A$5)</f>
        <v>0</v>
      </c>
      <c r="J39" t="str">
        <f>IFERROR(AVERAGEIFS('[1]Grade Project'!$N:$N,'[1]Grade Project'!$K:$K,H39,'[1]Grade Project'!$F:$F,$A$5,'[1]Grade Project'!$G:$G,$A$8),"")</f>
        <v/>
      </c>
      <c r="K39" t="str">
        <f>IFERROR(AVERAGEIFS('[1]Grade Project'!$O:$O,'[1]Grade Project'!$K:$K,H39,'[1]Grade Project'!$F:$F,$A$5,'[1]Grade Project'!$G:$G,$A$8),"")</f>
        <v/>
      </c>
      <c r="L39" t="str">
        <f t="shared" si="1"/>
        <v/>
      </c>
      <c r="M39" t="str">
        <f t="shared" si="2"/>
        <v/>
      </c>
      <c r="N39" t="str">
        <f t="shared" si="3"/>
        <v/>
      </c>
    </row>
    <row r="40" spans="2:14" x14ac:dyDescent="0.25">
      <c r="B40" t="s">
        <v>39</v>
      </c>
      <c r="C40" t="str">
        <f>IF(C39="","",IF(C39=INDEX('[1]Grade Project'!$F:$F,MATCH($A$3,'[1]Grade Project'!$E:$E,0)+SUM($D$3:D39)),"",INDEX('[1]Grade Project'!$F:$F,MATCH($A$3,'[1]Grade Project'!$E:$E,0)+SUM($D$3:D39))))</f>
        <v/>
      </c>
      <c r="F40">
        <f>IF(G39=0,"",INDEX('[1]Grade Project'!$G:$G,MATCH($A$5,'[1]Grade Project'!$F:$F,0)+SUM($G$3:G39)))</f>
        <v>543</v>
      </c>
      <c r="G40">
        <f>COUNTIFS('[1]Grade Project'!$F:$F,$A$5,'[1]Grade Project'!$G:$G,F40)</f>
        <v>1</v>
      </c>
      <c r="H40" t="str">
        <f>IF(I39=0,"",INDEX('[1]Grade Project'!$K:$K,MATCH($A$28,'[1]Grade Project'!$H:$H,0)+SUM($I$3:I39)))</f>
        <v/>
      </c>
      <c r="I40">
        <f>COUNTIFS('[1]Grade Project'!$G:$G,$A$8,'[1]Grade Project'!$K:$K,H40,'[1]Grade Project'!$F:$F,$A$5)</f>
        <v>0</v>
      </c>
      <c r="J40" t="str">
        <f>IFERROR(AVERAGEIFS('[1]Grade Project'!$N:$N,'[1]Grade Project'!$K:$K,H40,'[1]Grade Project'!$F:$F,$A$5,'[1]Grade Project'!$G:$G,$A$8),"")</f>
        <v/>
      </c>
      <c r="K40" t="str">
        <f>IFERROR(AVERAGEIFS('[1]Grade Project'!$O:$O,'[1]Grade Project'!$K:$K,H40,'[1]Grade Project'!$F:$F,$A$5,'[1]Grade Project'!$G:$G,$A$8),"")</f>
        <v/>
      </c>
      <c r="L40" t="str">
        <f t="shared" si="1"/>
        <v/>
      </c>
      <c r="M40" t="str">
        <f t="shared" si="2"/>
        <v/>
      </c>
      <c r="N40" t="str">
        <f t="shared" si="3"/>
        <v/>
      </c>
    </row>
    <row r="41" spans="2:14" x14ac:dyDescent="0.25">
      <c r="B41" t="s">
        <v>40</v>
      </c>
      <c r="C41" t="str">
        <f>IF(C40="","",IF(C40=INDEX('[1]Grade Project'!$F:$F,MATCH($A$3,'[1]Grade Project'!$E:$E,0)+SUM($D$3:D40)),"",INDEX('[1]Grade Project'!$F:$F,MATCH($A$3,'[1]Grade Project'!$E:$E,0)+SUM($D$3:D40))))</f>
        <v/>
      </c>
      <c r="F41">
        <f>IF(G40=0,"",INDEX('[1]Grade Project'!$G:$G,MATCH($A$5,'[1]Grade Project'!$F:$F,0)+SUM($G$3:G40)))</f>
        <v>544</v>
      </c>
      <c r="G41">
        <f>COUNTIFS('[1]Grade Project'!$F:$F,$A$5,'[1]Grade Project'!$G:$G,F41)</f>
        <v>1</v>
      </c>
      <c r="H41" t="str">
        <f>IF(I40=0,"",INDEX('[1]Grade Project'!$K:$K,MATCH($A$28,'[1]Grade Project'!$H:$H,0)+SUM($I$3:I40)))</f>
        <v/>
      </c>
      <c r="I41">
        <f>COUNTIFS('[1]Grade Project'!$G:$G,$A$8,'[1]Grade Project'!$K:$K,H41,'[1]Grade Project'!$F:$F,$A$5)</f>
        <v>0</v>
      </c>
      <c r="J41" t="str">
        <f>IFERROR(AVERAGEIFS('[1]Grade Project'!$N:$N,'[1]Grade Project'!$K:$K,H41,'[1]Grade Project'!$F:$F,$A$5,'[1]Grade Project'!$G:$G,$A$8),"")</f>
        <v/>
      </c>
      <c r="K41" t="str">
        <f>IFERROR(AVERAGEIFS('[1]Grade Project'!$O:$O,'[1]Grade Project'!$K:$K,H41,'[1]Grade Project'!$F:$F,$A$5,'[1]Grade Project'!$G:$G,$A$8),"")</f>
        <v/>
      </c>
      <c r="L41" t="str">
        <f t="shared" si="1"/>
        <v/>
      </c>
      <c r="M41" t="str">
        <f t="shared" si="2"/>
        <v/>
      </c>
      <c r="N41" t="str">
        <f t="shared" si="3"/>
        <v/>
      </c>
    </row>
    <row r="42" spans="2:14" x14ac:dyDescent="0.25">
      <c r="B42" t="s">
        <v>41</v>
      </c>
      <c r="C42" t="str">
        <f>IF(C41="","",IF(C41=INDEX('[1]Grade Project'!$F:$F,MATCH($A$3,'[1]Grade Project'!$E:$E,0)+SUM($D$3:D41)),"",INDEX('[1]Grade Project'!$F:$F,MATCH($A$3,'[1]Grade Project'!$E:$E,0)+SUM($D$3:D41))))</f>
        <v/>
      </c>
      <c r="F42">
        <f>IF(G41=0,"",INDEX('[1]Grade Project'!$G:$G,MATCH($A$5,'[1]Grade Project'!$F:$F,0)+SUM($G$3:G41)))</f>
        <v>547</v>
      </c>
      <c r="G42">
        <f>COUNTIFS('[1]Grade Project'!$F:$F,$A$5,'[1]Grade Project'!$G:$G,F42)</f>
        <v>2</v>
      </c>
      <c r="H42" t="str">
        <f>IF(I41=0,"",INDEX('[1]Grade Project'!$K:$K,MATCH($A$28,'[1]Grade Project'!$H:$H,0)+SUM($I$3:I41)))</f>
        <v/>
      </c>
      <c r="I42">
        <f>COUNTIFS('[1]Grade Project'!$G:$G,$A$8,'[1]Grade Project'!$K:$K,H42,'[1]Grade Project'!$F:$F,$A$5)</f>
        <v>0</v>
      </c>
      <c r="J42" t="str">
        <f>IFERROR(AVERAGEIFS('[1]Grade Project'!$N:$N,'[1]Grade Project'!$K:$K,H42,'[1]Grade Project'!$F:$F,$A$5,'[1]Grade Project'!$G:$G,$A$8),"")</f>
        <v/>
      </c>
      <c r="K42" t="str">
        <f>IFERROR(AVERAGEIFS('[1]Grade Project'!$O:$O,'[1]Grade Project'!$K:$K,H42,'[1]Grade Project'!$F:$F,$A$5,'[1]Grade Project'!$G:$G,$A$8),"")</f>
        <v/>
      </c>
      <c r="L42" t="str">
        <f t="shared" si="1"/>
        <v/>
      </c>
      <c r="M42" t="str">
        <f t="shared" si="2"/>
        <v/>
      </c>
      <c r="N42" t="str">
        <f t="shared" si="3"/>
        <v/>
      </c>
    </row>
    <row r="43" spans="2:14" x14ac:dyDescent="0.25">
      <c r="B43" t="s">
        <v>42</v>
      </c>
      <c r="C43" t="str">
        <f>IF(C42="","",IF(C42=INDEX('[1]Grade Project'!$F:$F,MATCH($A$3,'[1]Grade Project'!$E:$E,0)+SUM($D$3:D42)),"",INDEX('[1]Grade Project'!$F:$F,MATCH($A$3,'[1]Grade Project'!$E:$E,0)+SUM($D$3:D42))))</f>
        <v/>
      </c>
      <c r="F43">
        <f>IF(G42=0,"",INDEX('[1]Grade Project'!$G:$G,MATCH($A$5,'[1]Grade Project'!$F:$F,0)+SUM($G$3:G42)))</f>
        <v>552</v>
      </c>
      <c r="G43">
        <f>COUNTIFS('[1]Grade Project'!$F:$F,$A$5,'[1]Grade Project'!$G:$G,F43)</f>
        <v>1</v>
      </c>
      <c r="H43" t="str">
        <f>IF(I42=0,"",INDEX('[1]Grade Project'!$K:$K,MATCH($A$28,'[1]Grade Project'!$H:$H,0)+SUM($I$3:I42)))</f>
        <v/>
      </c>
      <c r="I43">
        <f>COUNTIFS('[1]Grade Project'!$G:$G,$A$8,'[1]Grade Project'!$K:$K,H43,'[1]Grade Project'!$F:$F,$A$5)</f>
        <v>0</v>
      </c>
      <c r="J43" t="str">
        <f>IFERROR(AVERAGEIFS('[1]Grade Project'!$N:$N,'[1]Grade Project'!$K:$K,H43,'[1]Grade Project'!$F:$F,$A$5,'[1]Grade Project'!$G:$G,$A$8),"")</f>
        <v/>
      </c>
      <c r="K43" t="str">
        <f>IFERROR(AVERAGEIFS('[1]Grade Project'!$O:$O,'[1]Grade Project'!$K:$K,H43,'[1]Grade Project'!$F:$F,$A$5,'[1]Grade Project'!$G:$G,$A$8),"")</f>
        <v/>
      </c>
      <c r="L43" t="str">
        <f t="shared" si="1"/>
        <v/>
      </c>
      <c r="M43" t="str">
        <f t="shared" si="2"/>
        <v/>
      </c>
      <c r="N43" t="str">
        <f t="shared" si="3"/>
        <v/>
      </c>
    </row>
    <row r="44" spans="2:14" x14ac:dyDescent="0.25">
      <c r="B44" t="s">
        <v>43</v>
      </c>
      <c r="C44" t="str">
        <f>IF(C43="","",IF(C43=INDEX('[1]Grade Project'!$F:$F,MATCH($A$3,'[1]Grade Project'!$E:$E,0)+SUM($D$3:D43)),"",INDEX('[1]Grade Project'!$F:$F,MATCH($A$3,'[1]Grade Project'!$E:$E,0)+SUM($D$3:D43))))</f>
        <v/>
      </c>
      <c r="F44">
        <f>IF(G43=0,"",INDEX('[1]Grade Project'!$G:$G,MATCH($A$5,'[1]Grade Project'!$F:$F,0)+SUM($G$3:G43)))</f>
        <v>554</v>
      </c>
      <c r="G44">
        <f>COUNTIFS('[1]Grade Project'!$F:$F,$A$5,'[1]Grade Project'!$G:$G,F44)</f>
        <v>2</v>
      </c>
      <c r="H44" t="str">
        <f>IF(I43=0,"",INDEX('[1]Grade Project'!$K:$K,MATCH($A$28,'[1]Grade Project'!$H:$H,0)+SUM($I$3:I43)))</f>
        <v/>
      </c>
      <c r="I44">
        <f>COUNTIFS('[1]Grade Project'!$G:$G,$A$8,'[1]Grade Project'!$K:$K,H44,'[1]Grade Project'!$F:$F,$A$5)</f>
        <v>0</v>
      </c>
      <c r="J44" t="str">
        <f>IFERROR(AVERAGEIFS('[1]Grade Project'!$N:$N,'[1]Grade Project'!$K:$K,H44,'[1]Grade Project'!$F:$F,$A$5,'[1]Grade Project'!$G:$G,$A$8),"")</f>
        <v/>
      </c>
      <c r="K44" t="str">
        <f>IFERROR(AVERAGEIFS('[1]Grade Project'!$O:$O,'[1]Grade Project'!$K:$K,H44,'[1]Grade Project'!$F:$F,$A$5,'[1]Grade Project'!$G:$G,$A$8),"")</f>
        <v/>
      </c>
      <c r="L44" t="str">
        <f t="shared" si="1"/>
        <v/>
      </c>
      <c r="M44" t="str">
        <f t="shared" si="2"/>
        <v/>
      </c>
      <c r="N44" t="str">
        <f t="shared" si="3"/>
        <v/>
      </c>
    </row>
    <row r="45" spans="2:14" x14ac:dyDescent="0.25">
      <c r="B45" t="s">
        <v>44</v>
      </c>
      <c r="C45" t="str">
        <f>IF(C44="","",IF(C44=INDEX('[1]Grade Project'!$F:$F,MATCH($A$3,'[1]Grade Project'!$E:$E,0)+SUM($D$3:D44)),"",INDEX('[1]Grade Project'!$F:$F,MATCH($A$3,'[1]Grade Project'!$E:$E,0)+SUM($D$3:D44))))</f>
        <v/>
      </c>
      <c r="F45">
        <f>IF(G44=0,"",INDEX('[1]Grade Project'!$G:$G,MATCH($A$5,'[1]Grade Project'!$F:$F,0)+SUM($G$3:G44)))</f>
        <v>561</v>
      </c>
      <c r="G45">
        <f>COUNTIFS('[1]Grade Project'!$F:$F,$A$5,'[1]Grade Project'!$G:$G,F45)</f>
        <v>1</v>
      </c>
      <c r="H45" t="str">
        <f>IF(I44=0,"",INDEX('[1]Grade Project'!$K:$K,MATCH($A$28,'[1]Grade Project'!$H:$H,0)+SUM($I$3:I44)))</f>
        <v/>
      </c>
      <c r="I45">
        <f>COUNTIFS('[1]Grade Project'!$G:$G,$A$8,'[1]Grade Project'!$K:$K,H45,'[1]Grade Project'!$F:$F,$A$5)</f>
        <v>0</v>
      </c>
      <c r="J45" t="str">
        <f>IFERROR(AVERAGEIFS('[1]Grade Project'!$N:$N,'[1]Grade Project'!$K:$K,H45,'[1]Grade Project'!$F:$F,$A$5,'[1]Grade Project'!$G:$G,$A$8),"")</f>
        <v/>
      </c>
      <c r="K45" t="str">
        <f>IFERROR(AVERAGEIFS('[1]Grade Project'!$O:$O,'[1]Grade Project'!$K:$K,H45,'[1]Grade Project'!$F:$F,$A$5,'[1]Grade Project'!$G:$G,$A$8),"")</f>
        <v/>
      </c>
      <c r="L45" t="str">
        <f t="shared" si="1"/>
        <v/>
      </c>
      <c r="M45" t="str">
        <f t="shared" si="2"/>
        <v/>
      </c>
      <c r="N45" t="str">
        <f t="shared" si="3"/>
        <v/>
      </c>
    </row>
    <row r="46" spans="2:14" x14ac:dyDescent="0.25">
      <c r="B46" t="s">
        <v>45</v>
      </c>
      <c r="C46" t="str">
        <f>IF(C45="","",IF(C45=INDEX('[1]Grade Project'!$F:$F,MATCH($A$3,'[1]Grade Project'!$E:$E,0)+SUM($D$3:D45)),"",INDEX('[1]Grade Project'!$F:$F,MATCH($A$3,'[1]Grade Project'!$E:$E,0)+SUM($D$3:D45))))</f>
        <v/>
      </c>
      <c r="F46">
        <f>IF(G45=0,"",INDEX('[1]Grade Project'!$G:$G,MATCH($A$5,'[1]Grade Project'!$F:$F,0)+SUM($G$3:G45)))</f>
        <v>585</v>
      </c>
      <c r="G46">
        <f>COUNTIFS('[1]Grade Project'!$F:$F,$A$5,'[1]Grade Project'!$G:$G,F46)</f>
        <v>1</v>
      </c>
      <c r="H46" t="str">
        <f>IF(I45=0,"",INDEX('[1]Grade Project'!$K:$K,MATCH($A$28,'[1]Grade Project'!$H:$H,0)+SUM($I$3:I45)))</f>
        <v/>
      </c>
      <c r="I46">
        <f>COUNTIFS('[1]Grade Project'!$G:$G,$A$8,'[1]Grade Project'!$K:$K,H46,'[1]Grade Project'!$F:$F,$A$5)</f>
        <v>0</v>
      </c>
      <c r="J46" t="str">
        <f>IFERROR(AVERAGEIFS('[1]Grade Project'!$N:$N,'[1]Grade Project'!$K:$K,H46,'[1]Grade Project'!$F:$F,$A$5,'[1]Grade Project'!$G:$G,$A$8),"")</f>
        <v/>
      </c>
      <c r="K46" t="str">
        <f>IFERROR(AVERAGEIFS('[1]Grade Project'!$O:$O,'[1]Grade Project'!$K:$K,H46,'[1]Grade Project'!$F:$F,$A$5,'[1]Grade Project'!$G:$G,$A$8),"")</f>
        <v/>
      </c>
      <c r="L46" t="str">
        <f t="shared" si="1"/>
        <v/>
      </c>
      <c r="M46" t="str">
        <f t="shared" si="2"/>
        <v/>
      </c>
      <c r="N46" t="str">
        <f t="shared" si="3"/>
        <v/>
      </c>
    </row>
    <row r="47" spans="2:14" x14ac:dyDescent="0.25">
      <c r="B47" t="s">
        <v>46</v>
      </c>
      <c r="C47" t="str">
        <f>IF(C46="","",IF(C46=INDEX('[1]Grade Project'!$F:$F,MATCH($A$3,'[1]Grade Project'!$E:$E,0)+SUM($D$3:D46)),"",INDEX('[1]Grade Project'!$F:$F,MATCH($A$3,'[1]Grade Project'!$E:$E,0)+SUM($D$3:D46))))</f>
        <v/>
      </c>
      <c r="F47">
        <f>IF(G46=0,"",INDEX('[1]Grade Project'!$G:$G,MATCH($A$5,'[1]Grade Project'!$F:$F,0)+SUM($G$3:G46)))</f>
        <v>590</v>
      </c>
      <c r="G47">
        <f>COUNTIFS('[1]Grade Project'!$F:$F,$A$5,'[1]Grade Project'!$G:$G,F47)</f>
        <v>11</v>
      </c>
      <c r="H47" t="str">
        <f>IF(I46=0,"",INDEX('[1]Grade Project'!$K:$K,MATCH($A$28,'[1]Grade Project'!$H:$H,0)+SUM($I$3:I46)))</f>
        <v/>
      </c>
      <c r="I47">
        <f>COUNTIFS('[1]Grade Project'!$G:$G,$A$8,'[1]Grade Project'!$K:$K,H47,'[1]Grade Project'!$F:$F,$A$5)</f>
        <v>0</v>
      </c>
      <c r="J47" t="str">
        <f>IFERROR(AVERAGEIFS('[1]Grade Project'!$N:$N,'[1]Grade Project'!$K:$K,H47,'[1]Grade Project'!$F:$F,$A$5,'[1]Grade Project'!$G:$G,$A$8),"")</f>
        <v/>
      </c>
      <c r="K47" t="str">
        <f>IFERROR(AVERAGEIFS('[1]Grade Project'!$O:$O,'[1]Grade Project'!$K:$K,H47,'[1]Grade Project'!$F:$F,$A$5,'[1]Grade Project'!$G:$G,$A$8),"")</f>
        <v/>
      </c>
      <c r="L47" t="str">
        <f t="shared" si="1"/>
        <v/>
      </c>
      <c r="M47" t="str">
        <f t="shared" si="2"/>
        <v/>
      </c>
      <c r="N47" t="str">
        <f t="shared" si="3"/>
        <v/>
      </c>
    </row>
    <row r="48" spans="2:14" x14ac:dyDescent="0.25">
      <c r="B48" t="s">
        <v>47</v>
      </c>
      <c r="C48" t="str">
        <f>IF(C47="","",IF(C47=INDEX('[1]Grade Project'!$F:$F,MATCH($A$3,'[1]Grade Project'!$E:$E,0)+SUM($D$3:D47)),"",INDEX('[1]Grade Project'!$F:$F,MATCH($A$3,'[1]Grade Project'!$E:$E,0)+SUM($D$3:D47))))</f>
        <v/>
      </c>
      <c r="F48">
        <f>IF(G47=0,"",INDEX('[1]Grade Project'!$G:$G,MATCH($A$5,'[1]Grade Project'!$F:$F,0)+SUM($G$3:G47)))</f>
        <v>591</v>
      </c>
      <c r="G48">
        <f>COUNTIFS('[1]Grade Project'!$F:$F,$A$5,'[1]Grade Project'!$G:$G,F48)</f>
        <v>4</v>
      </c>
      <c r="H48" t="str">
        <f>IF(I47=0,"",INDEX('[1]Grade Project'!$K:$K,MATCH($A$28,'[1]Grade Project'!$H:$H,0)+SUM($I$3:I47)))</f>
        <v/>
      </c>
      <c r="I48">
        <f>COUNTIFS('[1]Grade Project'!$G:$G,$A$8,'[1]Grade Project'!$K:$K,H48,'[1]Grade Project'!$F:$F,$A$5)</f>
        <v>0</v>
      </c>
      <c r="J48" t="str">
        <f>IFERROR(AVERAGEIFS('[1]Grade Project'!$N:$N,'[1]Grade Project'!$K:$K,H48,'[1]Grade Project'!$F:$F,$A$5,'[1]Grade Project'!$G:$G,$A$8),"")</f>
        <v/>
      </c>
      <c r="K48" t="str">
        <f>IFERROR(AVERAGEIFS('[1]Grade Project'!$O:$O,'[1]Grade Project'!$K:$K,H48,'[1]Grade Project'!$F:$F,$A$5,'[1]Grade Project'!$G:$G,$A$8),"")</f>
        <v/>
      </c>
      <c r="L48" t="str">
        <f t="shared" si="1"/>
        <v/>
      </c>
      <c r="M48" t="str">
        <f t="shared" si="2"/>
        <v/>
      </c>
      <c r="N48" t="str">
        <f t="shared" si="3"/>
        <v/>
      </c>
    </row>
    <row r="49" spans="2:14" x14ac:dyDescent="0.25">
      <c r="B49" t="s">
        <v>48</v>
      </c>
      <c r="C49" t="str">
        <f>IF(C48="","",IF(C48=INDEX('[1]Grade Project'!$F:$F,MATCH($A$3,'[1]Grade Project'!$E:$E,0)+SUM($D$3:D48)),"",INDEX('[1]Grade Project'!$F:$F,MATCH($A$3,'[1]Grade Project'!$E:$E,0)+SUM($D$3:D48))))</f>
        <v/>
      </c>
      <c r="F49">
        <f>IF(G48=0,"",INDEX('[1]Grade Project'!$G:$G,MATCH($A$5,'[1]Grade Project'!$F:$F,0)+SUM($G$3:G48)))</f>
        <v>601</v>
      </c>
      <c r="G49">
        <f>COUNTIFS('[1]Grade Project'!$F:$F,$A$5,'[1]Grade Project'!$G:$G,F49)</f>
        <v>1</v>
      </c>
      <c r="H49" t="str">
        <f>IF(I48=0,"",INDEX('[1]Grade Project'!$K:$K,MATCH($A$28,'[1]Grade Project'!$H:$H,0)+SUM($I$3:I48)))</f>
        <v/>
      </c>
      <c r="I49">
        <f>COUNTIFS('[1]Grade Project'!$G:$G,$A$8,'[1]Grade Project'!$K:$K,H49,'[1]Grade Project'!$F:$F,$A$5)</f>
        <v>0</v>
      </c>
      <c r="J49" t="str">
        <f>IFERROR(AVERAGEIFS('[1]Grade Project'!$N:$N,'[1]Grade Project'!$K:$K,H49,'[1]Grade Project'!$F:$F,$A$5,'[1]Grade Project'!$G:$G,$A$8),"")</f>
        <v/>
      </c>
      <c r="K49" t="str">
        <f>IFERROR(AVERAGEIFS('[1]Grade Project'!$O:$O,'[1]Grade Project'!$K:$K,H49,'[1]Grade Project'!$F:$F,$A$5,'[1]Grade Project'!$G:$G,$A$8),"")</f>
        <v/>
      </c>
      <c r="L49" t="str">
        <f t="shared" si="1"/>
        <v/>
      </c>
      <c r="M49" t="str">
        <f t="shared" si="2"/>
        <v/>
      </c>
      <c r="N49" t="str">
        <f t="shared" si="3"/>
        <v/>
      </c>
    </row>
    <row r="50" spans="2:14" x14ac:dyDescent="0.25">
      <c r="B50" t="s">
        <v>49</v>
      </c>
      <c r="C50" t="str">
        <f>IF(C49="","",IF(C49=INDEX('[1]Grade Project'!$F:$F,MATCH($A$3,'[1]Grade Project'!$E:$E,0)+SUM($D$3:D49)),"",INDEX('[1]Grade Project'!$F:$F,MATCH($A$3,'[1]Grade Project'!$E:$E,0)+SUM($D$3:D49))))</f>
        <v/>
      </c>
      <c r="F50">
        <f>IF(G49=0,"",INDEX('[1]Grade Project'!$G:$G,MATCH($A$5,'[1]Grade Project'!$F:$F,0)+SUM($G$3:G49)))</f>
        <v>602</v>
      </c>
      <c r="G50">
        <f>COUNTIFS('[1]Grade Project'!$F:$F,$A$5,'[1]Grade Project'!$G:$G,F50)</f>
        <v>1</v>
      </c>
      <c r="H50" t="str">
        <f>IF(I49=0,"",INDEX('[1]Grade Project'!$K:$K,MATCH($A$28,'[1]Grade Project'!$H:$H,0)+SUM($I$3:I49)))</f>
        <v/>
      </c>
      <c r="I50">
        <f>COUNTIFS('[1]Grade Project'!$G:$G,$A$8,'[1]Grade Project'!$K:$K,H50,'[1]Grade Project'!$F:$F,$A$5)</f>
        <v>0</v>
      </c>
      <c r="J50" t="str">
        <f>IFERROR(AVERAGEIFS('[1]Grade Project'!$N:$N,'[1]Grade Project'!$K:$K,H50,'[1]Grade Project'!$F:$F,$A$5,'[1]Grade Project'!$G:$G,$A$8),"")</f>
        <v/>
      </c>
      <c r="K50" t="str">
        <f>IFERROR(AVERAGEIFS('[1]Grade Project'!$O:$O,'[1]Grade Project'!$K:$K,H50,'[1]Grade Project'!$F:$F,$A$5,'[1]Grade Project'!$G:$G,$A$8),"")</f>
        <v/>
      </c>
      <c r="L50" t="str">
        <f t="shared" si="1"/>
        <v/>
      </c>
      <c r="M50" t="str">
        <f t="shared" si="2"/>
        <v/>
      </c>
      <c r="N50" t="str">
        <f t="shared" si="3"/>
        <v/>
      </c>
    </row>
    <row r="51" spans="2:14" x14ac:dyDescent="0.25">
      <c r="B51" t="s">
        <v>50</v>
      </c>
      <c r="C51" t="str">
        <f>IF(C50="","",IF(C50=INDEX('[1]Grade Project'!$F:$F,MATCH($A$3,'[1]Grade Project'!$E:$E,0)+SUM($D$3:D50)),"",INDEX('[1]Grade Project'!$F:$F,MATCH($A$3,'[1]Grade Project'!$E:$E,0)+SUM($D$3:D50))))</f>
        <v/>
      </c>
      <c r="F51">
        <f>IF(G50=0,"",INDEX('[1]Grade Project'!$G:$G,MATCH($A$5,'[1]Grade Project'!$F:$F,0)+SUM($G$3:G50)))</f>
        <v>604</v>
      </c>
      <c r="G51">
        <f>COUNTIFS('[1]Grade Project'!$F:$F,$A$5,'[1]Grade Project'!$G:$G,F51)</f>
        <v>1</v>
      </c>
      <c r="H51" t="str">
        <f>IF(I50=0,"",INDEX('[1]Grade Project'!$K:$K,MATCH($A$28,'[1]Grade Project'!$H:$H,0)+SUM($I$3:I50)))</f>
        <v/>
      </c>
      <c r="I51">
        <f>COUNTIFS('[1]Grade Project'!$G:$G,$A$8,'[1]Grade Project'!$K:$K,H51,'[1]Grade Project'!$F:$F,$A$5)</f>
        <v>0</v>
      </c>
      <c r="J51" t="str">
        <f>IFERROR(AVERAGEIFS('[1]Grade Project'!$N:$N,'[1]Grade Project'!$K:$K,H51,'[1]Grade Project'!$F:$F,$A$5,'[1]Grade Project'!$G:$G,$A$8),"")</f>
        <v/>
      </c>
      <c r="K51" t="str">
        <f>IFERROR(AVERAGEIFS('[1]Grade Project'!$O:$O,'[1]Grade Project'!$K:$K,H51,'[1]Grade Project'!$F:$F,$A$5,'[1]Grade Project'!$G:$G,$A$8),"")</f>
        <v/>
      </c>
      <c r="L51" t="str">
        <f t="shared" si="1"/>
        <v/>
      </c>
      <c r="M51" t="str">
        <f t="shared" si="2"/>
        <v/>
      </c>
      <c r="N51" t="str">
        <f t="shared" si="3"/>
        <v/>
      </c>
    </row>
    <row r="52" spans="2:14" x14ac:dyDescent="0.25">
      <c r="B52" t="s">
        <v>51</v>
      </c>
      <c r="C52" t="str">
        <f>IF(C51="","",IF(C51=INDEX('[1]Grade Project'!$F:$F,MATCH($A$3,'[1]Grade Project'!$E:$E,0)+SUM($D$3:D51)),"",INDEX('[1]Grade Project'!$F:$F,MATCH($A$3,'[1]Grade Project'!$E:$E,0)+SUM($D$3:D51))))</f>
        <v/>
      </c>
      <c r="F52">
        <f>IF(G51=0,"",INDEX('[1]Grade Project'!$G:$G,MATCH($A$5,'[1]Grade Project'!$F:$F,0)+SUM($G$3:G51)))</f>
        <v>609</v>
      </c>
      <c r="G52">
        <f>COUNTIFS('[1]Grade Project'!$F:$F,$A$5,'[1]Grade Project'!$G:$G,F52)</f>
        <v>3</v>
      </c>
      <c r="H52" t="str">
        <f>IF(I51=0,"",INDEX('[1]Grade Project'!$K:$K,MATCH($A$28,'[1]Grade Project'!$H:$H,0)+SUM($I$3:I51)))</f>
        <v/>
      </c>
      <c r="I52">
        <f>COUNTIFS('[1]Grade Project'!$G:$G,$A$8,'[1]Grade Project'!$K:$K,H52,'[1]Grade Project'!$F:$F,$A$5)</f>
        <v>0</v>
      </c>
      <c r="J52" t="str">
        <f>IFERROR(AVERAGEIFS('[1]Grade Project'!$N:$N,'[1]Grade Project'!$K:$K,H52,'[1]Grade Project'!$F:$F,$A$5,'[1]Grade Project'!$G:$G,$A$8),"")</f>
        <v/>
      </c>
      <c r="K52" t="str">
        <f>IFERROR(AVERAGEIFS('[1]Grade Project'!$O:$O,'[1]Grade Project'!$K:$K,H52,'[1]Grade Project'!$F:$F,$A$5,'[1]Grade Project'!$G:$G,$A$8),"")</f>
        <v/>
      </c>
      <c r="L52" t="str">
        <f t="shared" si="1"/>
        <v/>
      </c>
      <c r="M52" t="str">
        <f t="shared" si="2"/>
        <v/>
      </c>
      <c r="N52" t="str">
        <f t="shared" si="3"/>
        <v/>
      </c>
    </row>
    <row r="53" spans="2:14" x14ac:dyDescent="0.25">
      <c r="B53" t="s">
        <v>52</v>
      </c>
      <c r="C53" t="str">
        <f>IF(C52="","",IF(C52=INDEX('[1]Grade Project'!$F:$F,MATCH($A$3,'[1]Grade Project'!$E:$E,0)+SUM($D$3:D52)),"",INDEX('[1]Grade Project'!$F:$F,MATCH($A$3,'[1]Grade Project'!$E:$E,0)+SUM($D$3:D52))))</f>
        <v/>
      </c>
      <c r="F53">
        <f>IF(G52=0,"",INDEX('[1]Grade Project'!$G:$G,MATCH($A$5,'[1]Grade Project'!$F:$F,0)+SUM($G$3:G52)))</f>
        <v>692</v>
      </c>
      <c r="G53">
        <f>COUNTIFS('[1]Grade Project'!$F:$F,$A$5,'[1]Grade Project'!$G:$G,F53)</f>
        <v>2</v>
      </c>
      <c r="H53" t="str">
        <f>IF(I52=0,"",INDEX('[1]Grade Project'!$K:$K,MATCH($A$28,'[1]Grade Project'!$H:$H,0)+SUM($I$3:I52)))</f>
        <v/>
      </c>
      <c r="I53">
        <f>COUNTIFS('[1]Grade Project'!$G:$G,$A$8,'[1]Grade Project'!$K:$K,H53,'[1]Grade Project'!$F:$F,$A$5)</f>
        <v>0</v>
      </c>
      <c r="J53" t="str">
        <f>IFERROR(AVERAGEIFS('[1]Grade Project'!$N:$N,'[1]Grade Project'!$K:$K,H53,'[1]Grade Project'!$F:$F,$A$5,'[1]Grade Project'!$G:$G,$A$8),"")</f>
        <v/>
      </c>
      <c r="K53" t="str">
        <f>IFERROR(AVERAGEIFS('[1]Grade Project'!$O:$O,'[1]Grade Project'!$K:$K,H53,'[1]Grade Project'!$F:$F,$A$5,'[1]Grade Project'!$G:$G,$A$8),"")</f>
        <v/>
      </c>
      <c r="L53" t="str">
        <f t="shared" si="1"/>
        <v/>
      </c>
      <c r="M53" t="str">
        <f t="shared" si="2"/>
        <v/>
      </c>
      <c r="N53" t="str">
        <f t="shared" si="3"/>
        <v/>
      </c>
    </row>
    <row r="54" spans="2:14" x14ac:dyDescent="0.25">
      <c r="B54" t="s">
        <v>53</v>
      </c>
      <c r="C54" t="str">
        <f>IF(C53="","",IF(C53=INDEX('[1]Grade Project'!$F:$F,MATCH($A$3,'[1]Grade Project'!$E:$E,0)+SUM($D$3:D53)),"",INDEX('[1]Grade Project'!$F:$F,MATCH($A$3,'[1]Grade Project'!$E:$E,0)+SUM($D$3:D53))))</f>
        <v/>
      </c>
      <c r="F54">
        <f>IF(G53=0,"",INDEX('[1]Grade Project'!$G:$G,MATCH($A$5,'[1]Grade Project'!$F:$F,0)+SUM($G$3:G53)))</f>
        <v>693</v>
      </c>
      <c r="G54">
        <f>COUNTIFS('[1]Grade Project'!$F:$F,$A$5,'[1]Grade Project'!$G:$G,F54)</f>
        <v>1</v>
      </c>
      <c r="H54" t="str">
        <f>IF(I53=0,"",INDEX('[1]Grade Project'!$K:$K,MATCH($A$28,'[1]Grade Project'!$H:$H,0)+SUM($I$3:I53)))</f>
        <v/>
      </c>
      <c r="I54">
        <f>COUNTIFS('[1]Grade Project'!$G:$G,$A$8,'[1]Grade Project'!$K:$K,H54,'[1]Grade Project'!$F:$F,$A$5)</f>
        <v>0</v>
      </c>
      <c r="J54" t="str">
        <f>IFERROR(AVERAGEIFS('[1]Grade Project'!$N:$N,'[1]Grade Project'!$K:$K,H54,'[1]Grade Project'!$F:$F,$A$5,'[1]Grade Project'!$G:$G,$A$8),"")</f>
        <v/>
      </c>
      <c r="K54" t="str">
        <f>IFERROR(AVERAGEIFS('[1]Grade Project'!$O:$O,'[1]Grade Project'!$K:$K,H54,'[1]Grade Project'!$F:$F,$A$5,'[1]Grade Project'!$G:$G,$A$8),"")</f>
        <v/>
      </c>
      <c r="L54" t="str">
        <f t="shared" si="1"/>
        <v/>
      </c>
      <c r="M54" t="str">
        <f t="shared" si="2"/>
        <v/>
      </c>
      <c r="N54" t="str">
        <f t="shared" si="3"/>
        <v/>
      </c>
    </row>
    <row r="55" spans="2:14" x14ac:dyDescent="0.25">
      <c r="B55" t="s">
        <v>54</v>
      </c>
      <c r="F55">
        <f>IF(G54=0,"",INDEX('[1]Grade Project'!$G:$G,MATCH($A$5,'[1]Grade Project'!$F:$F,0)+SUM($G$3:G54)))</f>
        <v>694</v>
      </c>
      <c r="G55">
        <f>COUNTIFS('[1]Grade Project'!$F:$F,$A$5,'[1]Grade Project'!$G:$G,F55)</f>
        <v>1</v>
      </c>
      <c r="H55" t="str">
        <f>IF(I54=0,"",INDEX('[1]Grade Project'!$K:$K,MATCH($A$28,'[1]Grade Project'!$H:$H,0)+SUM($I$3:I54)))</f>
        <v/>
      </c>
      <c r="I55">
        <f>COUNTIFS('[1]Grade Project'!$G:$G,$A$8,'[1]Grade Project'!$K:$K,H55,'[1]Grade Project'!$F:$F,$A$5)</f>
        <v>0</v>
      </c>
      <c r="J55" t="str">
        <f>IFERROR(AVERAGEIFS('[1]Grade Project'!$N:$N,'[1]Grade Project'!$K:$K,H55,'[1]Grade Project'!$F:$F,$A$5,'[1]Grade Project'!$G:$G,$A$8),"")</f>
        <v/>
      </c>
      <c r="K55" t="str">
        <f>IFERROR(AVERAGEIFS('[1]Grade Project'!$O:$O,'[1]Grade Project'!$K:$K,H55,'[1]Grade Project'!$F:$F,$A$5,'[1]Grade Project'!$G:$G,$A$8),"")</f>
        <v/>
      </c>
      <c r="L55" t="str">
        <f t="shared" si="1"/>
        <v/>
      </c>
      <c r="M55" t="str">
        <f t="shared" si="2"/>
        <v/>
      </c>
      <c r="N55" t="str">
        <f t="shared" si="3"/>
        <v/>
      </c>
    </row>
    <row r="56" spans="2:14" x14ac:dyDescent="0.25">
      <c r="B56" t="s">
        <v>55</v>
      </c>
      <c r="F56">
        <f>IF(G55=0,"",INDEX('[1]Grade Project'!$G:$G,MATCH($A$5,'[1]Grade Project'!$F:$F,0)+SUM($G$3:G55)))</f>
        <v>698</v>
      </c>
      <c r="G56">
        <f>COUNTIFS('[1]Grade Project'!$F:$F,$A$5,'[1]Grade Project'!$G:$G,F56)</f>
        <v>3</v>
      </c>
      <c r="H56" t="str">
        <f>IF(I55=0,"",INDEX('[1]Grade Project'!$K:$K,MATCH($A$28,'[1]Grade Project'!$H:$H,0)+SUM($I$3:I55)))</f>
        <v/>
      </c>
      <c r="I56">
        <f>COUNTIFS('[1]Grade Project'!$G:$G,$A$8,'[1]Grade Project'!$K:$K,H56,'[1]Grade Project'!$F:$F,$A$5)</f>
        <v>0</v>
      </c>
      <c r="J56" t="str">
        <f>IFERROR(AVERAGEIFS('[1]Grade Project'!$N:$N,'[1]Grade Project'!$K:$K,H56,'[1]Grade Project'!$F:$F,$A$5,'[1]Grade Project'!$G:$G,$A$8),"")</f>
        <v/>
      </c>
      <c r="K56" t="str">
        <f>IFERROR(AVERAGEIFS('[1]Grade Project'!$O:$O,'[1]Grade Project'!$K:$K,H56,'[1]Grade Project'!$F:$F,$A$5,'[1]Grade Project'!$G:$G,$A$8),"")</f>
        <v/>
      </c>
      <c r="L56" t="str">
        <f t="shared" si="1"/>
        <v/>
      </c>
      <c r="M56" t="str">
        <f t="shared" si="2"/>
        <v/>
      </c>
      <c r="N56" t="str">
        <f t="shared" si="3"/>
        <v/>
      </c>
    </row>
    <row r="57" spans="2:14" x14ac:dyDescent="0.25">
      <c r="B57" t="s">
        <v>56</v>
      </c>
      <c r="F57">
        <f>IF(G56=0,"",INDEX('[1]Grade Project'!$G:$G,MATCH($A$5,'[1]Grade Project'!$F:$F,0)+SUM($G$3:G56)))</f>
        <v>699</v>
      </c>
      <c r="G57">
        <f>COUNTIFS('[1]Grade Project'!$F:$F,$A$5,'[1]Grade Project'!$G:$G,F57)</f>
        <v>3</v>
      </c>
      <c r="H57" t="str">
        <f>IF(I56=0,"",INDEX('[1]Grade Project'!$K:$K,MATCH($A$28,'[1]Grade Project'!$H:$H,0)+SUM($I$3:I56)))</f>
        <v/>
      </c>
      <c r="I57">
        <f>COUNTIFS('[1]Grade Project'!$G:$G,$A$8,'[1]Grade Project'!$K:$K,H57,'[1]Grade Project'!$F:$F,$A$5)</f>
        <v>0</v>
      </c>
      <c r="J57" t="str">
        <f>IFERROR(AVERAGEIFS('[1]Grade Project'!$N:$N,'[1]Grade Project'!$K:$K,H57,'[1]Grade Project'!$F:$F,$A$5,'[1]Grade Project'!$G:$G,$A$8),"")</f>
        <v/>
      </c>
      <c r="K57" t="str">
        <f>IFERROR(AVERAGEIFS('[1]Grade Project'!$O:$O,'[1]Grade Project'!$K:$K,H57,'[1]Grade Project'!$F:$F,$A$5,'[1]Grade Project'!$G:$G,$A$8),"")</f>
        <v/>
      </c>
      <c r="L57" t="str">
        <f t="shared" si="1"/>
        <v/>
      </c>
      <c r="M57" t="str">
        <f t="shared" si="2"/>
        <v/>
      </c>
      <c r="N57" t="str">
        <f t="shared" si="3"/>
        <v/>
      </c>
    </row>
    <row r="58" spans="2:14" x14ac:dyDescent="0.25">
      <c r="B58" t="s">
        <v>57</v>
      </c>
      <c r="F58">
        <f>IF(G57=0,"",INDEX('[1]Grade Project'!$G:$G,MATCH($A$5,'[1]Grade Project'!$F:$F,0)+SUM($G$3:G57)))</f>
        <v>709</v>
      </c>
      <c r="G58">
        <f>COUNTIFS('[1]Grade Project'!$F:$F,$A$5,'[1]Grade Project'!$G:$G,F58)</f>
        <v>1</v>
      </c>
      <c r="H58" t="str">
        <f>IF(I57=0,"",INDEX('[1]Grade Project'!$K:$K,MATCH($A$28,'[1]Grade Project'!$H:$H,0)+SUM($I$3:I57)))</f>
        <v/>
      </c>
      <c r="I58">
        <f>COUNTIFS('[1]Grade Project'!$G:$G,$A$8,'[1]Grade Project'!$K:$K,H58,'[1]Grade Project'!$F:$F,$A$5)</f>
        <v>0</v>
      </c>
      <c r="J58" t="str">
        <f>IFERROR(AVERAGEIFS('[1]Grade Project'!$N:$N,'[1]Grade Project'!$K:$K,H58,'[1]Grade Project'!$F:$F,$A$5,'[1]Grade Project'!$G:$G,$A$8),"")</f>
        <v/>
      </c>
      <c r="K58" t="str">
        <f>IFERROR(AVERAGEIFS('[1]Grade Project'!$O:$O,'[1]Grade Project'!$K:$K,H58,'[1]Grade Project'!$F:$F,$A$5,'[1]Grade Project'!$G:$G,$A$8),"")</f>
        <v/>
      </c>
      <c r="L58" t="str">
        <f t="shared" si="1"/>
        <v/>
      </c>
      <c r="M58" t="str">
        <f t="shared" si="2"/>
        <v/>
      </c>
      <c r="N58" t="str">
        <f t="shared" si="3"/>
        <v/>
      </c>
    </row>
    <row r="59" spans="2:14" x14ac:dyDescent="0.25">
      <c r="B59" t="s">
        <v>58</v>
      </c>
      <c r="F59">
        <f>IF(G58=0,"",INDEX('[1]Grade Project'!$G:$G,MATCH($A$5,'[1]Grade Project'!$F:$F,0)+SUM($G$3:G58)))</f>
        <v>790</v>
      </c>
      <c r="G59">
        <f>COUNTIFS('[1]Grade Project'!$F:$F,$A$5,'[1]Grade Project'!$G:$G,F59)</f>
        <v>2</v>
      </c>
      <c r="H59" t="str">
        <f>IF(I58=0,"",INDEX('[1]Grade Project'!$K:$K,MATCH($A$28,'[1]Grade Project'!$H:$H,0)+SUM($I$3:I58)))</f>
        <v/>
      </c>
      <c r="I59">
        <f>COUNTIFS('[1]Grade Project'!$G:$G,$A$8,'[1]Grade Project'!$K:$K,H59,'[1]Grade Project'!$F:$F,$A$5)</f>
        <v>0</v>
      </c>
      <c r="J59" t="str">
        <f>IFERROR(AVERAGEIFS('[1]Grade Project'!$N:$N,'[1]Grade Project'!$K:$K,H59,'[1]Grade Project'!$F:$F,$A$5,'[1]Grade Project'!$G:$G,$A$8),"")</f>
        <v/>
      </c>
      <c r="K59" t="str">
        <f>IFERROR(AVERAGEIFS('[1]Grade Project'!$O:$O,'[1]Grade Project'!$K:$K,H59,'[1]Grade Project'!$F:$F,$A$5,'[1]Grade Project'!$G:$G,$A$8),"")</f>
        <v/>
      </c>
      <c r="L59" t="str">
        <f t="shared" si="1"/>
        <v/>
      </c>
      <c r="M59" t="str">
        <f t="shared" si="2"/>
        <v/>
      </c>
      <c r="N59" t="str">
        <f t="shared" si="3"/>
        <v/>
      </c>
    </row>
    <row r="60" spans="2:14" x14ac:dyDescent="0.25">
      <c r="B60" t="s">
        <v>59</v>
      </c>
      <c r="F60">
        <f>IF(G59=0,"",INDEX('[1]Grade Project'!$G:$G,MATCH($A$5,'[1]Grade Project'!$F:$F,0)+SUM($G$3:G59)))</f>
        <v>798</v>
      </c>
      <c r="G60">
        <f>COUNTIFS('[1]Grade Project'!$F:$F,$A$5,'[1]Grade Project'!$G:$G,F60)</f>
        <v>4</v>
      </c>
      <c r="H60" t="str">
        <f>IF(I59=0,"",INDEX('[1]Grade Project'!$K:$K,MATCH($A$28,'[1]Grade Project'!$H:$H,0)+SUM($I$3:I59)))</f>
        <v/>
      </c>
      <c r="I60">
        <f>COUNTIFS('[1]Grade Project'!$G:$G,$A$8,'[1]Grade Project'!$K:$K,H60,'[1]Grade Project'!$F:$F,$A$5)</f>
        <v>0</v>
      </c>
      <c r="J60" t="str">
        <f>IFERROR(AVERAGEIFS('[1]Grade Project'!$N:$N,'[1]Grade Project'!$K:$K,H60,'[1]Grade Project'!$F:$F,$A$5,'[1]Grade Project'!$G:$G,$A$8),"")</f>
        <v/>
      </c>
      <c r="K60" t="str">
        <f>IFERROR(AVERAGEIFS('[1]Grade Project'!$O:$O,'[1]Grade Project'!$K:$K,H60,'[1]Grade Project'!$F:$F,$A$5,'[1]Grade Project'!$G:$G,$A$8),"")</f>
        <v/>
      </c>
      <c r="L60" t="str">
        <f t="shared" si="1"/>
        <v/>
      </c>
      <c r="M60" t="str">
        <f t="shared" si="2"/>
        <v/>
      </c>
      <c r="N60" t="str">
        <f t="shared" si="3"/>
        <v/>
      </c>
    </row>
    <row r="61" spans="2:14" x14ac:dyDescent="0.25">
      <c r="B61" t="s">
        <v>60</v>
      </c>
      <c r="F61">
        <f>IF(G60=0,"",INDEX('[1]Grade Project'!$G:$G,MATCH($A$5,'[1]Grade Project'!$F:$F,0)+SUM($G$3:G60)))</f>
        <v>890</v>
      </c>
      <c r="G61">
        <f>COUNTIFS('[1]Grade Project'!$F:$F,$A$5,'[1]Grade Project'!$G:$G,F61)</f>
        <v>4</v>
      </c>
      <c r="H61" t="str">
        <f>IF(I60=0,"",INDEX('[1]Grade Project'!$K:$K,MATCH($A$28,'[1]Grade Project'!$H:$H,0)+SUM($I$3:I60)))</f>
        <v/>
      </c>
      <c r="I61">
        <f>COUNTIFS('[1]Grade Project'!$G:$G,$A$8,'[1]Grade Project'!$K:$K,H61,'[1]Grade Project'!$F:$F,$A$5)</f>
        <v>0</v>
      </c>
      <c r="J61" t="str">
        <f>IFERROR(AVERAGEIFS('[1]Grade Project'!$N:$N,'[1]Grade Project'!$K:$K,H61,'[1]Grade Project'!$F:$F,$A$5,'[1]Grade Project'!$G:$G,$A$8),"")</f>
        <v/>
      </c>
      <c r="K61" t="str">
        <f>IFERROR(AVERAGEIFS('[1]Grade Project'!$O:$O,'[1]Grade Project'!$K:$K,H61,'[1]Grade Project'!$F:$F,$A$5,'[1]Grade Project'!$G:$G,$A$8),"")</f>
        <v/>
      </c>
      <c r="L61" t="str">
        <f t="shared" si="1"/>
        <v/>
      </c>
      <c r="M61" t="str">
        <f t="shared" si="2"/>
        <v/>
      </c>
      <c r="N61" t="str">
        <f t="shared" si="3"/>
        <v/>
      </c>
    </row>
    <row r="62" spans="2:14" x14ac:dyDescent="0.25">
      <c r="B62" t="s">
        <v>61</v>
      </c>
      <c r="F62">
        <f>IF(G61=0,"",INDEX('[1]Grade Project'!$G:$G,MATCH($A$5,'[1]Grade Project'!$F:$F,0)+SUM($G$3:G61)))</f>
        <v>100</v>
      </c>
      <c r="G62">
        <f>COUNTIFS('[1]Grade Project'!$F:$F,$A$5,'[1]Grade Project'!$G:$G,F62)</f>
        <v>0</v>
      </c>
      <c r="H62" t="str">
        <f>IF(I61=0,"",INDEX('[1]Grade Project'!$K:$K,MATCH($A$28,'[1]Grade Project'!$H:$H,0)+SUM($I$3:I61)))</f>
        <v/>
      </c>
      <c r="I62">
        <f>COUNTIFS('[1]Grade Project'!$G:$G,$A$8,'[1]Grade Project'!$K:$K,H62,'[1]Grade Project'!$F:$F,$A$5)</f>
        <v>0</v>
      </c>
      <c r="J62" t="str">
        <f>IFERROR(AVERAGEIFS('[1]Grade Project'!$N:$N,'[1]Grade Project'!$K:$K,H62,'[1]Grade Project'!$F:$F,$A$5,'[1]Grade Project'!$G:$G,$A$8),"")</f>
        <v/>
      </c>
      <c r="K62" t="str">
        <f>IFERROR(AVERAGEIFS('[1]Grade Project'!$O:$O,'[1]Grade Project'!$K:$K,H62,'[1]Grade Project'!$F:$F,$A$5,'[1]Grade Project'!$G:$G,$A$8),"")</f>
        <v/>
      </c>
      <c r="L62" t="str">
        <f t="shared" si="1"/>
        <v/>
      </c>
      <c r="M62" t="str">
        <f t="shared" si="2"/>
        <v/>
      </c>
      <c r="N62" t="str">
        <f t="shared" si="3"/>
        <v/>
      </c>
    </row>
    <row r="63" spans="2:14" x14ac:dyDescent="0.25">
      <c r="B63" t="s">
        <v>62</v>
      </c>
      <c r="F63" t="str">
        <f>IF(G62=0,"",INDEX('[1]Grade Project'!$G:$G,MATCH($A$5,'[1]Grade Project'!$F:$F,0)+SUM($G$3:G62)))</f>
        <v/>
      </c>
      <c r="G63">
        <f>COUNTIFS('[1]Grade Project'!$F:$F,$A$5,'[1]Grade Project'!$G:$G,F63)</f>
        <v>0</v>
      </c>
      <c r="H63" t="str">
        <f>IF(I62=0,"",INDEX('[1]Grade Project'!$K:$K,MATCH($A$28,'[1]Grade Project'!$H:$H,0)+SUM($I$3:I62)))</f>
        <v/>
      </c>
      <c r="I63">
        <f>COUNTIFS('[1]Grade Project'!$G:$G,$A$8,'[1]Grade Project'!$K:$K,H63,'[1]Grade Project'!$F:$F,$A$5)</f>
        <v>0</v>
      </c>
      <c r="J63" t="str">
        <f>IFERROR(AVERAGEIFS('[1]Grade Project'!$N:$N,'[1]Grade Project'!$K:$K,H63,'[1]Grade Project'!$F:$F,$A$5,'[1]Grade Project'!$G:$G,$A$8),"")</f>
        <v/>
      </c>
      <c r="K63" t="str">
        <f>IFERROR(AVERAGEIFS('[1]Grade Project'!$O:$O,'[1]Grade Project'!$K:$K,H63,'[1]Grade Project'!$F:$F,$A$5,'[1]Grade Project'!$G:$G,$A$8),"")</f>
        <v/>
      </c>
      <c r="L63" t="str">
        <f t="shared" si="1"/>
        <v/>
      </c>
      <c r="M63" t="str">
        <f t="shared" si="2"/>
        <v/>
      </c>
      <c r="N63" t="str">
        <f t="shared" si="3"/>
        <v/>
      </c>
    </row>
    <row r="64" spans="2:14" x14ac:dyDescent="0.25">
      <c r="B64" t="s">
        <v>63</v>
      </c>
      <c r="F64" t="str">
        <f>IF(G63=0,"",INDEX('[1]Grade Project'!$G:$G,MATCH($A$5,'[1]Grade Project'!$F:$F,0)+SUM($G$3:G63)))</f>
        <v/>
      </c>
      <c r="G64">
        <f>COUNTIFS('[1]Grade Project'!$F:$F,$A$5,'[1]Grade Project'!$G:$G,F64)</f>
        <v>0</v>
      </c>
      <c r="H64" t="str">
        <f>IF(I63=0,"",INDEX('[1]Grade Project'!$K:$K,MATCH($A$28,'[1]Grade Project'!$H:$H,0)+SUM($I$3:I63)))</f>
        <v/>
      </c>
      <c r="I64">
        <f>COUNTIFS('[1]Grade Project'!$G:$G,$A$8,'[1]Grade Project'!$K:$K,H64,'[1]Grade Project'!$F:$F,$A$5)</f>
        <v>0</v>
      </c>
      <c r="J64" t="str">
        <f>IFERROR(AVERAGEIFS('[1]Grade Project'!$N:$N,'[1]Grade Project'!$K:$K,H64,'[1]Grade Project'!$F:$F,$A$5,'[1]Grade Project'!$G:$G,$A$8),"")</f>
        <v/>
      </c>
      <c r="K64" t="str">
        <f>IFERROR(AVERAGEIFS('[1]Grade Project'!$O:$O,'[1]Grade Project'!$K:$K,H64,'[1]Grade Project'!$F:$F,$A$5,'[1]Grade Project'!$G:$G,$A$8),"")</f>
        <v/>
      </c>
      <c r="L64" t="str">
        <f t="shared" si="1"/>
        <v/>
      </c>
      <c r="M64" t="str">
        <f t="shared" si="2"/>
        <v/>
      </c>
      <c r="N64" t="str">
        <f t="shared" si="3"/>
        <v/>
      </c>
    </row>
    <row r="65" spans="2:14" x14ac:dyDescent="0.25">
      <c r="B65" t="s">
        <v>64</v>
      </c>
      <c r="F65" t="str">
        <f>IF(G64=0,"",INDEX('[1]Grade Project'!$G:$G,MATCH($A$5,'[1]Grade Project'!$F:$F,0)+SUM($G$3:G64)))</f>
        <v/>
      </c>
      <c r="G65">
        <f>COUNTIFS('[1]Grade Project'!$F:$F,$A$5,'[1]Grade Project'!$G:$G,F65)</f>
        <v>0</v>
      </c>
      <c r="H65" t="str">
        <f>IF(I64=0,"",INDEX('[1]Grade Project'!$K:$K,MATCH($A$28,'[1]Grade Project'!$H:$H,0)+SUM($I$3:I64)))</f>
        <v/>
      </c>
      <c r="I65">
        <f>COUNTIFS('[1]Grade Project'!$G:$G,$A$8,'[1]Grade Project'!$K:$K,H65,'[1]Grade Project'!$F:$F,$A$5)</f>
        <v>0</v>
      </c>
      <c r="J65" t="str">
        <f>IFERROR(AVERAGEIFS('[1]Grade Project'!$N:$N,'[1]Grade Project'!$K:$K,H65,'[1]Grade Project'!$F:$F,$A$5,'[1]Grade Project'!$G:$G,$A$8),"")</f>
        <v/>
      </c>
      <c r="K65" t="str">
        <f>IFERROR(AVERAGEIFS('[1]Grade Project'!$O:$O,'[1]Grade Project'!$K:$K,H65,'[1]Grade Project'!$F:$F,$A$5,'[1]Grade Project'!$G:$G,$A$8),"")</f>
        <v/>
      </c>
      <c r="L65" t="str">
        <f t="shared" si="1"/>
        <v/>
      </c>
      <c r="M65" t="str">
        <f t="shared" si="2"/>
        <v/>
      </c>
      <c r="N65" t="str">
        <f t="shared" si="3"/>
        <v/>
      </c>
    </row>
    <row r="66" spans="2:14" x14ac:dyDescent="0.25">
      <c r="B66" t="s">
        <v>65</v>
      </c>
      <c r="F66" t="str">
        <f>IF(G65=0,"",INDEX('[1]Grade Project'!$G:$G,MATCH($A$5,'[1]Grade Project'!$F:$F,0)+SUM($G$3:G65)))</f>
        <v/>
      </c>
      <c r="G66">
        <f>COUNTIFS('[1]Grade Project'!$F:$F,$A$5,'[1]Grade Project'!$G:$G,F66)</f>
        <v>0</v>
      </c>
      <c r="H66" t="str">
        <f>IF(I65=0,"",INDEX('[1]Grade Project'!$K:$K,MATCH($A$28,'[1]Grade Project'!$H:$H,0)+SUM($I$3:I65)))</f>
        <v/>
      </c>
      <c r="I66">
        <f>COUNTIFS('[1]Grade Project'!$G:$G,$A$8,'[1]Grade Project'!$K:$K,H66,'[1]Grade Project'!$F:$F,$A$5)</f>
        <v>0</v>
      </c>
      <c r="J66" t="str">
        <f>IFERROR(AVERAGEIFS('[1]Grade Project'!$N:$N,'[1]Grade Project'!$K:$K,H66,'[1]Grade Project'!$F:$F,$A$5,'[1]Grade Project'!$G:$G,$A$8),"")</f>
        <v/>
      </c>
      <c r="K66" t="str">
        <f>IFERROR(AVERAGEIFS('[1]Grade Project'!$O:$O,'[1]Grade Project'!$K:$K,H66,'[1]Grade Project'!$F:$F,$A$5,'[1]Grade Project'!$G:$G,$A$8),"")</f>
        <v/>
      </c>
      <c r="L66" t="str">
        <f t="shared" si="1"/>
        <v/>
      </c>
      <c r="M66" t="str">
        <f t="shared" si="2"/>
        <v/>
      </c>
      <c r="N66" t="str">
        <f t="shared" si="3"/>
        <v/>
      </c>
    </row>
    <row r="67" spans="2:14" x14ac:dyDescent="0.25">
      <c r="B67" t="s">
        <v>66</v>
      </c>
      <c r="F67" t="str">
        <f>IF(G66=0,"",INDEX('[1]Grade Project'!$G:$G,MATCH($A$5,'[1]Grade Project'!$F:$F,0)+SUM($G$3:G66)))</f>
        <v/>
      </c>
      <c r="G67">
        <f>COUNTIFS('[1]Grade Project'!$F:$F,$A$5,'[1]Grade Project'!$G:$G,F67)</f>
        <v>0</v>
      </c>
      <c r="H67" t="str">
        <f>IF(I66=0,"",INDEX('[1]Grade Project'!$K:$K,MATCH($A$28,'[1]Grade Project'!$H:$H,0)+SUM($I$3:I66)))</f>
        <v/>
      </c>
      <c r="I67">
        <f>COUNTIFS('[1]Grade Project'!$G:$G,$A$8,'[1]Grade Project'!$K:$K,H67,'[1]Grade Project'!$F:$F,$A$5)</f>
        <v>0</v>
      </c>
      <c r="J67" t="str">
        <f>IFERROR(AVERAGEIFS('[1]Grade Project'!$N:$N,'[1]Grade Project'!$K:$K,H67,'[1]Grade Project'!$F:$F,$A$5,'[1]Grade Project'!$G:$G,$A$8),"")</f>
        <v/>
      </c>
      <c r="K67" t="str">
        <f>IFERROR(AVERAGEIFS('[1]Grade Project'!$O:$O,'[1]Grade Project'!$K:$K,H67,'[1]Grade Project'!$F:$F,$A$5,'[1]Grade Project'!$G:$G,$A$8),"")</f>
        <v/>
      </c>
      <c r="L67" t="str">
        <f t="shared" si="1"/>
        <v/>
      </c>
      <c r="M67" t="str">
        <f t="shared" si="2"/>
        <v/>
      </c>
      <c r="N67" t="str">
        <f t="shared" si="3"/>
        <v/>
      </c>
    </row>
    <row r="68" spans="2:14" x14ac:dyDescent="0.25">
      <c r="B68" t="s">
        <v>67</v>
      </c>
      <c r="F68" t="str">
        <f>IF(G67=0,"",INDEX('[1]Grade Project'!$G:$G,MATCH($A$5,'[1]Grade Project'!$F:$F,0)+SUM($G$3:G67)))</f>
        <v/>
      </c>
      <c r="G68">
        <f>COUNTIFS('[1]Grade Project'!$F:$F,$A$5,'[1]Grade Project'!$G:$G,F68)</f>
        <v>0</v>
      </c>
      <c r="H68" t="str">
        <f>IF(I67=0,"",INDEX('[1]Grade Project'!$K:$K,MATCH($A$28,'[1]Grade Project'!$H:$H,0)+SUM($I$3:I67)))</f>
        <v/>
      </c>
      <c r="I68">
        <f>COUNTIFS('[1]Grade Project'!$G:$G,$A$8,'[1]Grade Project'!$K:$K,H68,'[1]Grade Project'!$F:$F,$A$5)</f>
        <v>0</v>
      </c>
      <c r="J68" t="str">
        <f>IFERROR(AVERAGEIFS('[1]Grade Project'!$N:$N,'[1]Grade Project'!$K:$K,H68,'[1]Grade Project'!$F:$F,$A$5,'[1]Grade Project'!$G:$G,$A$8),"")</f>
        <v/>
      </c>
      <c r="K68" t="str">
        <f>IFERROR(AVERAGEIFS('[1]Grade Project'!$O:$O,'[1]Grade Project'!$K:$K,H68,'[1]Grade Project'!$F:$F,$A$5,'[1]Grade Project'!$G:$G,$A$8),"")</f>
        <v/>
      </c>
      <c r="L68" t="str">
        <f t="shared" ref="L68:L131" si="4">IFERROR(K68/J68,"")</f>
        <v/>
      </c>
      <c r="M68" t="str">
        <f t="shared" ref="M68:M131" si="5">IFERROR(_xlfn.RANK.EQ(L68,L:L),"")</f>
        <v/>
      </c>
      <c r="N68" t="str">
        <f t="shared" ref="N68:N131" si="6">IFERROR(MAX(M:M)-M68+1,"")</f>
        <v/>
      </c>
    </row>
    <row r="69" spans="2:14" x14ac:dyDescent="0.25">
      <c r="B69" t="s">
        <v>68</v>
      </c>
      <c r="F69" t="str">
        <f>IF(G68=0,"",INDEX('[1]Grade Project'!$G:$G,MATCH($A$5,'[1]Grade Project'!$F:$F,0)+SUM($G$3:G68)))</f>
        <v/>
      </c>
      <c r="G69">
        <f>COUNTIFS('[1]Grade Project'!$F:$F,$A$5,'[1]Grade Project'!$G:$G,F69)</f>
        <v>0</v>
      </c>
      <c r="H69" t="str">
        <f>IF(I68=0,"",INDEX('[1]Grade Project'!$K:$K,MATCH($A$28,'[1]Grade Project'!$H:$H,0)+SUM($I$3:I68)))</f>
        <v/>
      </c>
      <c r="I69">
        <f>COUNTIFS('[1]Grade Project'!$G:$G,$A$8,'[1]Grade Project'!$K:$K,H69,'[1]Grade Project'!$F:$F,$A$5)</f>
        <v>0</v>
      </c>
      <c r="J69" t="str">
        <f>IFERROR(AVERAGEIFS('[1]Grade Project'!$N:$N,'[1]Grade Project'!$K:$K,H69,'[1]Grade Project'!$F:$F,$A$5,'[1]Grade Project'!$G:$G,$A$8),"")</f>
        <v/>
      </c>
      <c r="K69" t="str">
        <f>IFERROR(AVERAGEIFS('[1]Grade Project'!$O:$O,'[1]Grade Project'!$K:$K,H69,'[1]Grade Project'!$F:$F,$A$5,'[1]Grade Project'!$G:$G,$A$8),"")</f>
        <v/>
      </c>
      <c r="L69" t="str">
        <f t="shared" si="4"/>
        <v/>
      </c>
      <c r="M69" t="str">
        <f t="shared" si="5"/>
        <v/>
      </c>
      <c r="N69" t="str">
        <f t="shared" si="6"/>
        <v/>
      </c>
    </row>
    <row r="70" spans="2:14" x14ac:dyDescent="0.25">
      <c r="B70" t="s">
        <v>69</v>
      </c>
      <c r="F70" t="str">
        <f>IF(G69=0,"",INDEX('[1]Grade Project'!$G:$G,MATCH($A$5,'[1]Grade Project'!$F:$F,0)+SUM($G$3:G69)))</f>
        <v/>
      </c>
      <c r="G70">
        <f>COUNTIFS('[1]Grade Project'!$F:$F,$A$5,'[1]Grade Project'!$G:$G,F70)</f>
        <v>0</v>
      </c>
      <c r="H70" t="str">
        <f>IF(I69=0,"",INDEX('[1]Grade Project'!$K:$K,MATCH($A$28,'[1]Grade Project'!$H:$H,0)+SUM($I$3:I69)))</f>
        <v/>
      </c>
      <c r="I70">
        <f>COUNTIFS('[1]Grade Project'!$G:$G,$A$8,'[1]Grade Project'!$K:$K,H70,'[1]Grade Project'!$F:$F,$A$5)</f>
        <v>0</v>
      </c>
      <c r="J70" t="str">
        <f>IFERROR(AVERAGEIFS('[1]Grade Project'!$N:$N,'[1]Grade Project'!$K:$K,H70,'[1]Grade Project'!$F:$F,$A$5,'[1]Grade Project'!$G:$G,$A$8),"")</f>
        <v/>
      </c>
      <c r="K70" t="str">
        <f>IFERROR(AVERAGEIFS('[1]Grade Project'!$O:$O,'[1]Grade Project'!$K:$K,H70,'[1]Grade Project'!$F:$F,$A$5,'[1]Grade Project'!$G:$G,$A$8),"")</f>
        <v/>
      </c>
      <c r="L70" t="str">
        <f t="shared" si="4"/>
        <v/>
      </c>
      <c r="M70" t="str">
        <f t="shared" si="5"/>
        <v/>
      </c>
      <c r="N70" t="str">
        <f t="shared" si="6"/>
        <v/>
      </c>
    </row>
    <row r="71" spans="2:14" x14ac:dyDescent="0.25">
      <c r="B71" t="s">
        <v>70</v>
      </c>
      <c r="F71" t="str">
        <f>IF(G70=0,"",INDEX('[1]Grade Project'!$G:$G,MATCH($A$5,'[1]Grade Project'!$F:$F,0)+SUM($G$3:G70)))</f>
        <v/>
      </c>
      <c r="G71">
        <f>COUNTIFS('[1]Grade Project'!$F:$F,$A$5,'[1]Grade Project'!$G:$G,F71)</f>
        <v>0</v>
      </c>
      <c r="H71" t="str">
        <f>IF(I70=0,"",INDEX('[1]Grade Project'!$K:$K,MATCH($A$28,'[1]Grade Project'!$H:$H,0)+SUM($I$3:I70)))</f>
        <v/>
      </c>
      <c r="I71">
        <f>COUNTIFS('[1]Grade Project'!$G:$G,$A$8,'[1]Grade Project'!$K:$K,H71,'[1]Grade Project'!$F:$F,$A$5)</f>
        <v>0</v>
      </c>
      <c r="J71" t="str">
        <f>IFERROR(AVERAGEIFS('[1]Grade Project'!$N:$N,'[1]Grade Project'!$K:$K,H71,'[1]Grade Project'!$F:$F,$A$5,'[1]Grade Project'!$G:$G,$A$8),"")</f>
        <v/>
      </c>
      <c r="K71" t="str">
        <f>IFERROR(AVERAGEIFS('[1]Grade Project'!$O:$O,'[1]Grade Project'!$K:$K,H71,'[1]Grade Project'!$F:$F,$A$5,'[1]Grade Project'!$G:$G,$A$8),"")</f>
        <v/>
      </c>
      <c r="L71" t="str">
        <f t="shared" si="4"/>
        <v/>
      </c>
      <c r="M71" t="str">
        <f t="shared" si="5"/>
        <v/>
      </c>
      <c r="N71" t="str">
        <f t="shared" si="6"/>
        <v/>
      </c>
    </row>
    <row r="72" spans="2:14" x14ac:dyDescent="0.25">
      <c r="B72" t="s">
        <v>71</v>
      </c>
      <c r="F72" t="str">
        <f>IF(G71=0,"",INDEX('[1]Grade Project'!$G:$G,MATCH($A$5,'[1]Grade Project'!$F:$F,0)+SUM($G$3:G71)))</f>
        <v/>
      </c>
      <c r="G72">
        <f>COUNTIFS('[1]Grade Project'!$F:$F,$A$5,'[1]Grade Project'!$G:$G,F72)</f>
        <v>0</v>
      </c>
      <c r="H72" t="str">
        <f>IF(I71=0,"",INDEX('[1]Grade Project'!$K:$K,MATCH($A$28,'[1]Grade Project'!$H:$H,0)+SUM($I$3:I71)))</f>
        <v/>
      </c>
      <c r="I72">
        <f>COUNTIFS('[1]Grade Project'!$G:$G,$A$8,'[1]Grade Project'!$K:$K,H72,'[1]Grade Project'!$F:$F,$A$5)</f>
        <v>0</v>
      </c>
      <c r="J72" t="str">
        <f>IFERROR(AVERAGEIFS('[1]Grade Project'!$N:$N,'[1]Grade Project'!$K:$K,H72,'[1]Grade Project'!$F:$F,$A$5,'[1]Grade Project'!$G:$G,$A$8),"")</f>
        <v/>
      </c>
      <c r="K72" t="str">
        <f>IFERROR(AVERAGEIFS('[1]Grade Project'!$O:$O,'[1]Grade Project'!$K:$K,H72,'[1]Grade Project'!$F:$F,$A$5,'[1]Grade Project'!$G:$G,$A$8),"")</f>
        <v/>
      </c>
      <c r="L72" t="str">
        <f t="shared" si="4"/>
        <v/>
      </c>
      <c r="M72" t="str">
        <f t="shared" si="5"/>
        <v/>
      </c>
      <c r="N72" t="str">
        <f t="shared" si="6"/>
        <v/>
      </c>
    </row>
    <row r="73" spans="2:14" x14ac:dyDescent="0.25">
      <c r="B73" t="s">
        <v>72</v>
      </c>
      <c r="F73" t="str">
        <f>IF(G72=0,"",INDEX('[1]Grade Project'!$G:$G,MATCH($A$5,'[1]Grade Project'!$F:$F,0)+SUM($G$3:G72)))</f>
        <v/>
      </c>
      <c r="G73">
        <f>COUNTIFS('[1]Grade Project'!$F:$F,$A$5,'[1]Grade Project'!$G:$G,F73)</f>
        <v>0</v>
      </c>
      <c r="H73" t="str">
        <f>IF(I72=0,"",INDEX('[1]Grade Project'!$K:$K,MATCH($A$28,'[1]Grade Project'!$H:$H,0)+SUM($I$3:I72)))</f>
        <v/>
      </c>
      <c r="I73">
        <f>COUNTIFS('[1]Grade Project'!$G:$G,$A$8,'[1]Grade Project'!$K:$K,H73,'[1]Grade Project'!$F:$F,$A$5)</f>
        <v>0</v>
      </c>
      <c r="J73" t="str">
        <f>IFERROR(AVERAGEIFS('[1]Grade Project'!$N:$N,'[1]Grade Project'!$K:$K,H73,'[1]Grade Project'!$F:$F,$A$5,'[1]Grade Project'!$G:$G,$A$8),"")</f>
        <v/>
      </c>
      <c r="K73" t="str">
        <f>IFERROR(AVERAGEIFS('[1]Grade Project'!$O:$O,'[1]Grade Project'!$K:$K,H73,'[1]Grade Project'!$F:$F,$A$5,'[1]Grade Project'!$G:$G,$A$8),"")</f>
        <v/>
      </c>
      <c r="L73" t="str">
        <f t="shared" si="4"/>
        <v/>
      </c>
      <c r="M73" t="str">
        <f t="shared" si="5"/>
        <v/>
      </c>
      <c r="N73" t="str">
        <f t="shared" si="6"/>
        <v/>
      </c>
    </row>
    <row r="74" spans="2:14" x14ac:dyDescent="0.25">
      <c r="B74" t="s">
        <v>73</v>
      </c>
      <c r="F74" t="str">
        <f>IF(G73=0,"",INDEX('[1]Grade Project'!$G:$G,MATCH($A$5,'[1]Grade Project'!$F:$F,0)+SUM($G$3:G73)))</f>
        <v/>
      </c>
      <c r="G74">
        <f>COUNTIFS('[1]Grade Project'!$F:$F,$A$5,'[1]Grade Project'!$G:$G,F74)</f>
        <v>0</v>
      </c>
      <c r="H74" t="str">
        <f>IF(I73=0,"",INDEX('[1]Grade Project'!$K:$K,MATCH($A$28,'[1]Grade Project'!$H:$H,0)+SUM($I$3:I73)))</f>
        <v/>
      </c>
      <c r="I74">
        <f>COUNTIFS('[1]Grade Project'!$G:$G,$A$8,'[1]Grade Project'!$K:$K,H74,'[1]Grade Project'!$F:$F,$A$5)</f>
        <v>0</v>
      </c>
      <c r="J74" t="str">
        <f>IFERROR(AVERAGEIFS('[1]Grade Project'!$N:$N,'[1]Grade Project'!$K:$K,H74,'[1]Grade Project'!$F:$F,$A$5,'[1]Grade Project'!$G:$G,$A$8),"")</f>
        <v/>
      </c>
      <c r="K74" t="str">
        <f>IFERROR(AVERAGEIFS('[1]Grade Project'!$O:$O,'[1]Grade Project'!$K:$K,H74,'[1]Grade Project'!$F:$F,$A$5,'[1]Grade Project'!$G:$G,$A$8),"")</f>
        <v/>
      </c>
      <c r="L74" t="str">
        <f t="shared" si="4"/>
        <v/>
      </c>
      <c r="M74" t="str">
        <f t="shared" si="5"/>
        <v/>
      </c>
      <c r="N74" t="str">
        <f t="shared" si="6"/>
        <v/>
      </c>
    </row>
    <row r="75" spans="2:14" x14ac:dyDescent="0.25">
      <c r="B75" t="s">
        <v>74</v>
      </c>
      <c r="F75" t="str">
        <f>IF(G74=0,"",INDEX('[1]Grade Project'!$G:$G,MATCH($A$5,'[1]Grade Project'!$F:$F,0)+SUM($G$3:G74)))</f>
        <v/>
      </c>
      <c r="G75">
        <f>COUNTIFS('[1]Grade Project'!$F:$F,$A$5,'[1]Grade Project'!$G:$G,F75)</f>
        <v>0</v>
      </c>
      <c r="H75" t="str">
        <f>IF(I74=0,"",INDEX('[1]Grade Project'!$K:$K,MATCH($A$28,'[1]Grade Project'!$H:$H,0)+SUM($I$3:I74)))</f>
        <v/>
      </c>
      <c r="I75">
        <f>COUNTIFS('[1]Grade Project'!$G:$G,$A$8,'[1]Grade Project'!$K:$K,H75,'[1]Grade Project'!$F:$F,$A$5)</f>
        <v>0</v>
      </c>
      <c r="J75" t="str">
        <f>IFERROR(AVERAGEIFS('[1]Grade Project'!$N:$N,'[1]Grade Project'!$K:$K,H75,'[1]Grade Project'!$F:$F,$A$5,'[1]Grade Project'!$G:$G,$A$8),"")</f>
        <v/>
      </c>
      <c r="K75" t="str">
        <f>IFERROR(AVERAGEIFS('[1]Grade Project'!$O:$O,'[1]Grade Project'!$K:$K,H75,'[1]Grade Project'!$F:$F,$A$5,'[1]Grade Project'!$G:$G,$A$8),"")</f>
        <v/>
      </c>
      <c r="L75" t="str">
        <f t="shared" si="4"/>
        <v/>
      </c>
      <c r="M75" t="str">
        <f t="shared" si="5"/>
        <v/>
      </c>
      <c r="N75" t="str">
        <f t="shared" si="6"/>
        <v/>
      </c>
    </row>
    <row r="76" spans="2:14" x14ac:dyDescent="0.25">
      <c r="B76" t="s">
        <v>75</v>
      </c>
      <c r="F76" t="str">
        <f>IF(G75=0,"",INDEX('[1]Grade Project'!$G:$G,MATCH($A$5,'[1]Grade Project'!$F:$F,0)+SUM($G$3:G75)))</f>
        <v/>
      </c>
      <c r="G76">
        <f>COUNTIFS('[1]Grade Project'!$F:$F,$A$5,'[1]Grade Project'!$G:$G,F76)</f>
        <v>0</v>
      </c>
      <c r="H76" t="str">
        <f>IF(I75=0,"",INDEX('[1]Grade Project'!$K:$K,MATCH($A$28,'[1]Grade Project'!$H:$H,0)+SUM($I$3:I75)))</f>
        <v/>
      </c>
      <c r="I76">
        <f>COUNTIFS('[1]Grade Project'!$G:$G,$A$8,'[1]Grade Project'!$K:$K,H76,'[1]Grade Project'!$F:$F,$A$5)</f>
        <v>0</v>
      </c>
      <c r="J76" t="str">
        <f>IFERROR(AVERAGEIFS('[1]Grade Project'!$N:$N,'[1]Grade Project'!$K:$K,H76,'[1]Grade Project'!$F:$F,$A$5,'[1]Grade Project'!$G:$G,$A$8),"")</f>
        <v/>
      </c>
      <c r="K76" t="str">
        <f>IFERROR(AVERAGEIFS('[1]Grade Project'!$O:$O,'[1]Grade Project'!$K:$K,H76,'[1]Grade Project'!$F:$F,$A$5,'[1]Grade Project'!$G:$G,$A$8),"")</f>
        <v/>
      </c>
      <c r="L76" t="str">
        <f t="shared" si="4"/>
        <v/>
      </c>
      <c r="M76" t="str">
        <f t="shared" si="5"/>
        <v/>
      </c>
      <c r="N76" t="str">
        <f t="shared" si="6"/>
        <v/>
      </c>
    </row>
    <row r="77" spans="2:14" x14ac:dyDescent="0.25">
      <c r="B77" t="s">
        <v>76</v>
      </c>
      <c r="F77" t="str">
        <f>IF(G76=0,"",INDEX('[1]Grade Project'!$G:$G,MATCH($A$5,'[1]Grade Project'!$F:$F,0)+SUM($G$3:G76)))</f>
        <v/>
      </c>
      <c r="G77">
        <f>COUNTIFS('[1]Grade Project'!$F:$F,$A$5,'[1]Grade Project'!$G:$G,F77)</f>
        <v>0</v>
      </c>
      <c r="H77" t="str">
        <f>IF(I76=0,"",INDEX('[1]Grade Project'!$K:$K,MATCH($A$28,'[1]Grade Project'!$H:$H,0)+SUM($I$3:I76)))</f>
        <v/>
      </c>
      <c r="I77">
        <f>COUNTIFS('[1]Grade Project'!$G:$G,$A$8,'[1]Grade Project'!$K:$K,H77,'[1]Grade Project'!$F:$F,$A$5)</f>
        <v>0</v>
      </c>
      <c r="J77" t="str">
        <f>IFERROR(AVERAGEIFS('[1]Grade Project'!$N:$N,'[1]Grade Project'!$K:$K,H77,'[1]Grade Project'!$F:$F,$A$5,'[1]Grade Project'!$G:$G,$A$8),"")</f>
        <v/>
      </c>
      <c r="K77" t="str">
        <f>IFERROR(AVERAGEIFS('[1]Grade Project'!$O:$O,'[1]Grade Project'!$K:$K,H77,'[1]Grade Project'!$F:$F,$A$5,'[1]Grade Project'!$G:$G,$A$8),"")</f>
        <v/>
      </c>
      <c r="L77" t="str">
        <f t="shared" si="4"/>
        <v/>
      </c>
      <c r="M77" t="str">
        <f t="shared" si="5"/>
        <v/>
      </c>
      <c r="N77" t="str">
        <f t="shared" si="6"/>
        <v/>
      </c>
    </row>
    <row r="78" spans="2:14" x14ac:dyDescent="0.25">
      <c r="B78" t="s">
        <v>77</v>
      </c>
      <c r="F78" t="str">
        <f>IF(G77=0,"",INDEX('[1]Grade Project'!$G:$G,MATCH($A$5,'[1]Grade Project'!$F:$F,0)+SUM($G$3:G77)))</f>
        <v/>
      </c>
      <c r="G78">
        <f>COUNTIFS('[1]Grade Project'!$F:$F,$A$5,'[1]Grade Project'!$G:$G,F78)</f>
        <v>0</v>
      </c>
      <c r="H78" t="str">
        <f>IF(I77=0,"",INDEX('[1]Grade Project'!$K:$K,MATCH($A$28,'[1]Grade Project'!$H:$H,0)+SUM($I$3:I77)))</f>
        <v/>
      </c>
      <c r="I78">
        <f>COUNTIFS('[1]Grade Project'!$G:$G,$A$8,'[1]Grade Project'!$K:$K,H78,'[1]Grade Project'!$F:$F,$A$5)</f>
        <v>0</v>
      </c>
      <c r="J78" t="str">
        <f>IFERROR(AVERAGEIFS('[1]Grade Project'!$N:$N,'[1]Grade Project'!$K:$K,H78,'[1]Grade Project'!$F:$F,$A$5,'[1]Grade Project'!$G:$G,$A$8),"")</f>
        <v/>
      </c>
      <c r="K78" t="str">
        <f>IFERROR(AVERAGEIFS('[1]Grade Project'!$O:$O,'[1]Grade Project'!$K:$K,H78,'[1]Grade Project'!$F:$F,$A$5,'[1]Grade Project'!$G:$G,$A$8),"")</f>
        <v/>
      </c>
      <c r="L78" t="str">
        <f t="shared" si="4"/>
        <v/>
      </c>
      <c r="M78" t="str">
        <f t="shared" si="5"/>
        <v/>
      </c>
      <c r="N78" t="str">
        <f t="shared" si="6"/>
        <v/>
      </c>
    </row>
    <row r="79" spans="2:14" x14ac:dyDescent="0.25">
      <c r="B79" t="s">
        <v>78</v>
      </c>
      <c r="F79" t="str">
        <f>IF(G78=0,"",INDEX('[1]Grade Project'!$G:$G,MATCH($A$5,'[1]Grade Project'!$F:$F,0)+SUM($G$3:G78)))</f>
        <v/>
      </c>
      <c r="G79">
        <f>COUNTIFS('[1]Grade Project'!$F:$F,$A$5,'[1]Grade Project'!$G:$G,F79)</f>
        <v>0</v>
      </c>
      <c r="H79" t="str">
        <f>IF(I78=0,"",INDEX('[1]Grade Project'!$K:$K,MATCH($A$28,'[1]Grade Project'!$H:$H,0)+SUM($I$3:I78)))</f>
        <v/>
      </c>
      <c r="I79">
        <f>COUNTIFS('[1]Grade Project'!$G:$G,$A$8,'[1]Grade Project'!$K:$K,H79,'[1]Grade Project'!$F:$F,$A$5)</f>
        <v>0</v>
      </c>
      <c r="J79" t="str">
        <f>IFERROR(AVERAGEIFS('[1]Grade Project'!$N:$N,'[1]Grade Project'!$K:$K,H79,'[1]Grade Project'!$F:$F,$A$5,'[1]Grade Project'!$G:$G,$A$8),"")</f>
        <v/>
      </c>
      <c r="K79" t="str">
        <f>IFERROR(AVERAGEIFS('[1]Grade Project'!$O:$O,'[1]Grade Project'!$K:$K,H79,'[1]Grade Project'!$F:$F,$A$5,'[1]Grade Project'!$G:$G,$A$8),"")</f>
        <v/>
      </c>
      <c r="L79" t="str">
        <f t="shared" si="4"/>
        <v/>
      </c>
      <c r="M79" t="str">
        <f t="shared" si="5"/>
        <v/>
      </c>
      <c r="N79" t="str">
        <f t="shared" si="6"/>
        <v/>
      </c>
    </row>
    <row r="80" spans="2:14" x14ac:dyDescent="0.25">
      <c r="B80" t="s">
        <v>79</v>
      </c>
      <c r="F80" t="str">
        <f>IF(G79=0,"",INDEX('[1]Grade Project'!$G:$G,MATCH($A$5,'[1]Grade Project'!$F:$F,0)+SUM($G$3:G79)))</f>
        <v/>
      </c>
      <c r="G80">
        <f>COUNTIFS('[1]Grade Project'!$F:$F,$A$5,'[1]Grade Project'!$G:$G,F80)</f>
        <v>0</v>
      </c>
      <c r="H80" t="str">
        <f>IF(I79=0,"",INDEX('[1]Grade Project'!$K:$K,MATCH($A$28,'[1]Grade Project'!$H:$H,0)+SUM($I$3:I79)))</f>
        <v/>
      </c>
      <c r="I80">
        <f>COUNTIFS('[1]Grade Project'!$G:$G,$A$8,'[1]Grade Project'!$K:$K,H80,'[1]Grade Project'!$F:$F,$A$5)</f>
        <v>0</v>
      </c>
      <c r="J80" t="str">
        <f>IFERROR(AVERAGEIFS('[1]Grade Project'!$N:$N,'[1]Grade Project'!$K:$K,H80,'[1]Grade Project'!$F:$F,$A$5,'[1]Grade Project'!$G:$G,$A$8),"")</f>
        <v/>
      </c>
      <c r="K80" t="str">
        <f>IFERROR(AVERAGEIFS('[1]Grade Project'!$O:$O,'[1]Grade Project'!$K:$K,H80,'[1]Grade Project'!$F:$F,$A$5,'[1]Grade Project'!$G:$G,$A$8),"")</f>
        <v/>
      </c>
      <c r="L80" t="str">
        <f t="shared" si="4"/>
        <v/>
      </c>
      <c r="M80" t="str">
        <f t="shared" si="5"/>
        <v/>
      </c>
      <c r="N80" t="str">
        <f t="shared" si="6"/>
        <v/>
      </c>
    </row>
    <row r="81" spans="2:14" x14ac:dyDescent="0.25">
      <c r="B81" t="s">
        <v>80</v>
      </c>
      <c r="F81" t="str">
        <f>IF(G80=0,"",INDEX('[1]Grade Project'!$G:$G,MATCH($A$5,'[1]Grade Project'!$F:$F,0)+SUM($G$3:G80)))</f>
        <v/>
      </c>
      <c r="G81">
        <f>COUNTIFS('[1]Grade Project'!$F:$F,$A$5,'[1]Grade Project'!$G:$G,F81)</f>
        <v>0</v>
      </c>
      <c r="H81" t="str">
        <f>IF(I80=0,"",INDEX('[1]Grade Project'!$K:$K,MATCH($A$28,'[1]Grade Project'!$H:$H,0)+SUM($I$3:I80)))</f>
        <v/>
      </c>
      <c r="I81">
        <f>COUNTIFS('[1]Grade Project'!$G:$G,$A$8,'[1]Grade Project'!$K:$K,H81,'[1]Grade Project'!$F:$F,$A$5)</f>
        <v>0</v>
      </c>
      <c r="J81" t="str">
        <f>IFERROR(AVERAGEIFS('[1]Grade Project'!$N:$N,'[1]Grade Project'!$K:$K,H81,'[1]Grade Project'!$F:$F,$A$5,'[1]Grade Project'!$G:$G,$A$8),"")</f>
        <v/>
      </c>
      <c r="K81" t="str">
        <f>IFERROR(AVERAGEIFS('[1]Grade Project'!$O:$O,'[1]Grade Project'!$K:$K,H81,'[1]Grade Project'!$F:$F,$A$5,'[1]Grade Project'!$G:$G,$A$8),"")</f>
        <v/>
      </c>
      <c r="L81" t="str">
        <f t="shared" si="4"/>
        <v/>
      </c>
      <c r="M81" t="str">
        <f t="shared" si="5"/>
        <v/>
      </c>
      <c r="N81" t="str">
        <f t="shared" si="6"/>
        <v/>
      </c>
    </row>
    <row r="82" spans="2:14" x14ac:dyDescent="0.25">
      <c r="B82" t="s">
        <v>81</v>
      </c>
      <c r="F82" t="str">
        <f>IF(G81=0,"",INDEX('[1]Grade Project'!$G:$G,MATCH($A$5,'[1]Grade Project'!$F:$F,0)+SUM($G$3:G81)))</f>
        <v/>
      </c>
      <c r="G82">
        <f>COUNTIFS('[1]Grade Project'!$F:$F,$A$5,'[1]Grade Project'!$G:$G,F82)</f>
        <v>0</v>
      </c>
      <c r="H82" t="str">
        <f>IF(I81=0,"",INDEX('[1]Grade Project'!$K:$K,MATCH($A$28,'[1]Grade Project'!$H:$H,0)+SUM($I$3:I81)))</f>
        <v/>
      </c>
      <c r="I82">
        <f>COUNTIFS('[1]Grade Project'!$G:$G,$A$8,'[1]Grade Project'!$K:$K,H82,'[1]Grade Project'!$F:$F,$A$5)</f>
        <v>0</v>
      </c>
      <c r="J82" t="str">
        <f>IFERROR(AVERAGEIFS('[1]Grade Project'!$N:$N,'[1]Grade Project'!$K:$K,H82,'[1]Grade Project'!$F:$F,$A$5,'[1]Grade Project'!$G:$G,$A$8),"")</f>
        <v/>
      </c>
      <c r="K82" t="str">
        <f>IFERROR(AVERAGEIFS('[1]Grade Project'!$O:$O,'[1]Grade Project'!$K:$K,H82,'[1]Grade Project'!$F:$F,$A$5,'[1]Grade Project'!$G:$G,$A$8),"")</f>
        <v/>
      </c>
      <c r="L82" t="str">
        <f t="shared" si="4"/>
        <v/>
      </c>
      <c r="M82" t="str">
        <f t="shared" si="5"/>
        <v/>
      </c>
      <c r="N82" t="str">
        <f t="shared" si="6"/>
        <v/>
      </c>
    </row>
    <row r="83" spans="2:14" x14ac:dyDescent="0.25">
      <c r="B83" t="s">
        <v>82</v>
      </c>
      <c r="F83" t="str">
        <f>IF(G82=0,"",INDEX('[1]Grade Project'!$G:$G,MATCH($A$5,'[1]Grade Project'!$F:$F,0)+SUM($G$3:G82)))</f>
        <v/>
      </c>
      <c r="G83">
        <f>COUNTIFS('[1]Grade Project'!$F:$F,$A$5,'[1]Grade Project'!$G:$G,F83)</f>
        <v>0</v>
      </c>
      <c r="H83" t="str">
        <f>IF(I82=0,"",INDEX('[1]Grade Project'!$K:$K,MATCH($A$28,'[1]Grade Project'!$H:$H,0)+SUM($I$3:I82)))</f>
        <v/>
      </c>
      <c r="I83">
        <f>COUNTIFS('[1]Grade Project'!$G:$G,$A$8,'[1]Grade Project'!$K:$K,H83,'[1]Grade Project'!$F:$F,$A$5)</f>
        <v>0</v>
      </c>
      <c r="J83" t="str">
        <f>IFERROR(AVERAGEIFS('[1]Grade Project'!$N:$N,'[1]Grade Project'!$K:$K,H83,'[1]Grade Project'!$F:$F,$A$5,'[1]Grade Project'!$G:$G,$A$8),"")</f>
        <v/>
      </c>
      <c r="K83" t="str">
        <f>IFERROR(AVERAGEIFS('[1]Grade Project'!$O:$O,'[1]Grade Project'!$K:$K,H83,'[1]Grade Project'!$F:$F,$A$5,'[1]Grade Project'!$G:$G,$A$8),"")</f>
        <v/>
      </c>
      <c r="L83" t="str">
        <f t="shared" si="4"/>
        <v/>
      </c>
      <c r="M83" t="str">
        <f t="shared" si="5"/>
        <v/>
      </c>
      <c r="N83" t="str">
        <f t="shared" si="6"/>
        <v/>
      </c>
    </row>
    <row r="84" spans="2:14" x14ac:dyDescent="0.25">
      <c r="B84" t="s">
        <v>83</v>
      </c>
      <c r="F84" t="str">
        <f>IF(G83=0,"",INDEX('[1]Grade Project'!$G:$G,MATCH($A$5,'[1]Grade Project'!$F:$F,0)+SUM($G$3:G83)))</f>
        <v/>
      </c>
      <c r="G84">
        <f>COUNTIFS('[1]Grade Project'!$F:$F,$A$5,'[1]Grade Project'!$G:$G,F84)</f>
        <v>0</v>
      </c>
      <c r="H84" t="str">
        <f>IF(I83=0,"",INDEX('[1]Grade Project'!$K:$K,MATCH($A$28,'[1]Grade Project'!$H:$H,0)+SUM($I$3:I83)))</f>
        <v/>
      </c>
      <c r="I84">
        <f>COUNTIFS('[1]Grade Project'!$G:$G,$A$8,'[1]Grade Project'!$K:$K,H84,'[1]Grade Project'!$F:$F,$A$5)</f>
        <v>0</v>
      </c>
      <c r="J84" t="str">
        <f>IFERROR(AVERAGEIFS('[1]Grade Project'!$N:$N,'[1]Grade Project'!$K:$K,H84,'[1]Grade Project'!$F:$F,$A$5,'[1]Grade Project'!$G:$G,$A$8),"")</f>
        <v/>
      </c>
      <c r="K84" t="str">
        <f>IFERROR(AVERAGEIFS('[1]Grade Project'!$O:$O,'[1]Grade Project'!$K:$K,H84,'[1]Grade Project'!$F:$F,$A$5,'[1]Grade Project'!$G:$G,$A$8),"")</f>
        <v/>
      </c>
      <c r="L84" t="str">
        <f t="shared" si="4"/>
        <v/>
      </c>
      <c r="M84" t="str">
        <f t="shared" si="5"/>
        <v/>
      </c>
      <c r="N84" t="str">
        <f t="shared" si="6"/>
        <v/>
      </c>
    </row>
    <row r="85" spans="2:14" x14ac:dyDescent="0.25">
      <c r="B85" t="s">
        <v>84</v>
      </c>
      <c r="F85" t="str">
        <f>IF(G84=0,"",INDEX('[1]Grade Project'!$G:$G,MATCH($A$5,'[1]Grade Project'!$F:$F,0)+SUM($G$3:G84)))</f>
        <v/>
      </c>
      <c r="G85">
        <f>COUNTIFS('[1]Grade Project'!$F:$F,$A$5,'[1]Grade Project'!$G:$G,F85)</f>
        <v>0</v>
      </c>
      <c r="H85" t="str">
        <f>IF(I84=0,"",INDEX('[1]Grade Project'!$K:$K,MATCH($A$28,'[1]Grade Project'!$H:$H,0)+SUM($I$3:I84)))</f>
        <v/>
      </c>
      <c r="I85">
        <f>COUNTIFS('[1]Grade Project'!$G:$G,$A$8,'[1]Grade Project'!$K:$K,H85,'[1]Grade Project'!$F:$F,$A$5)</f>
        <v>0</v>
      </c>
      <c r="J85" t="str">
        <f>IFERROR(AVERAGEIFS('[1]Grade Project'!$N:$N,'[1]Grade Project'!$K:$K,H85,'[1]Grade Project'!$F:$F,$A$5,'[1]Grade Project'!$G:$G,$A$8),"")</f>
        <v/>
      </c>
      <c r="K85" t="str">
        <f>IFERROR(AVERAGEIFS('[1]Grade Project'!$O:$O,'[1]Grade Project'!$K:$K,H85,'[1]Grade Project'!$F:$F,$A$5,'[1]Grade Project'!$G:$G,$A$8),"")</f>
        <v/>
      </c>
      <c r="L85" t="str">
        <f t="shared" si="4"/>
        <v/>
      </c>
      <c r="M85" t="str">
        <f t="shared" si="5"/>
        <v/>
      </c>
      <c r="N85" t="str">
        <f t="shared" si="6"/>
        <v/>
      </c>
    </row>
    <row r="86" spans="2:14" x14ac:dyDescent="0.25">
      <c r="B86" t="s">
        <v>85</v>
      </c>
      <c r="F86" t="str">
        <f>IF(G85=0,"",INDEX('[1]Grade Project'!$G:$G,MATCH($A$5,'[1]Grade Project'!$F:$F,0)+SUM($G$3:G85)))</f>
        <v/>
      </c>
      <c r="G86">
        <f>COUNTIFS('[1]Grade Project'!$F:$F,$A$5,'[1]Grade Project'!$G:$G,F86)</f>
        <v>0</v>
      </c>
      <c r="H86" t="str">
        <f>IF(I85=0,"",INDEX('[1]Grade Project'!$K:$K,MATCH($A$28,'[1]Grade Project'!$H:$H,0)+SUM($I$3:I85)))</f>
        <v/>
      </c>
      <c r="I86">
        <f>COUNTIFS('[1]Grade Project'!$G:$G,$A$8,'[1]Grade Project'!$K:$K,H86,'[1]Grade Project'!$F:$F,$A$5)</f>
        <v>0</v>
      </c>
      <c r="J86" t="str">
        <f>IFERROR(AVERAGEIFS('[1]Grade Project'!$N:$N,'[1]Grade Project'!$K:$K,H86,'[1]Grade Project'!$F:$F,$A$5,'[1]Grade Project'!$G:$G,$A$8),"")</f>
        <v/>
      </c>
      <c r="K86" t="str">
        <f>IFERROR(AVERAGEIFS('[1]Grade Project'!$O:$O,'[1]Grade Project'!$K:$K,H86,'[1]Grade Project'!$F:$F,$A$5,'[1]Grade Project'!$G:$G,$A$8),"")</f>
        <v/>
      </c>
      <c r="L86" t="str">
        <f t="shared" si="4"/>
        <v/>
      </c>
      <c r="M86" t="str">
        <f t="shared" si="5"/>
        <v/>
      </c>
      <c r="N86" t="str">
        <f t="shared" si="6"/>
        <v/>
      </c>
    </row>
    <row r="87" spans="2:14" x14ac:dyDescent="0.25">
      <c r="B87" t="s">
        <v>86</v>
      </c>
      <c r="F87" t="str">
        <f>IF(G86=0,"",INDEX('[1]Grade Project'!$G:$G,MATCH($A$5,'[1]Grade Project'!$F:$F,0)+SUM($G$3:G86)))</f>
        <v/>
      </c>
      <c r="G87">
        <f>COUNTIFS('[1]Grade Project'!$F:$F,$A$5,'[1]Grade Project'!$G:$G,F87)</f>
        <v>0</v>
      </c>
      <c r="H87" t="str">
        <f>IF(I86=0,"",INDEX('[1]Grade Project'!$K:$K,MATCH($A$28,'[1]Grade Project'!$H:$H,0)+SUM($I$3:I86)))</f>
        <v/>
      </c>
      <c r="I87">
        <f>COUNTIFS('[1]Grade Project'!$G:$G,$A$8,'[1]Grade Project'!$K:$K,H87,'[1]Grade Project'!$F:$F,$A$5)</f>
        <v>0</v>
      </c>
      <c r="J87" t="str">
        <f>IFERROR(AVERAGEIFS('[1]Grade Project'!$N:$N,'[1]Grade Project'!$K:$K,H87,'[1]Grade Project'!$F:$F,$A$5,'[1]Grade Project'!$G:$G,$A$8),"")</f>
        <v/>
      </c>
      <c r="K87" t="str">
        <f>IFERROR(AVERAGEIFS('[1]Grade Project'!$O:$O,'[1]Grade Project'!$K:$K,H87,'[1]Grade Project'!$F:$F,$A$5,'[1]Grade Project'!$G:$G,$A$8),"")</f>
        <v/>
      </c>
      <c r="L87" t="str">
        <f t="shared" si="4"/>
        <v/>
      </c>
      <c r="M87" t="str">
        <f t="shared" si="5"/>
        <v/>
      </c>
      <c r="N87" t="str">
        <f t="shared" si="6"/>
        <v/>
      </c>
    </row>
    <row r="88" spans="2:14" x14ac:dyDescent="0.25">
      <c r="B88" t="s">
        <v>87</v>
      </c>
      <c r="F88" t="str">
        <f>IF(G87=0,"",INDEX('[1]Grade Project'!$G:$G,MATCH($A$5,'[1]Grade Project'!$F:$F,0)+SUM($G$3:G87)))</f>
        <v/>
      </c>
      <c r="G88">
        <f>COUNTIFS('[1]Grade Project'!$F:$F,$A$5,'[1]Grade Project'!$G:$G,F88)</f>
        <v>0</v>
      </c>
      <c r="H88" t="str">
        <f>IF(I87=0,"",INDEX('[1]Grade Project'!$K:$K,MATCH($A$28,'[1]Grade Project'!$H:$H,0)+SUM($I$3:I87)))</f>
        <v/>
      </c>
      <c r="I88">
        <f>COUNTIFS('[1]Grade Project'!$G:$G,$A$8,'[1]Grade Project'!$K:$K,H88,'[1]Grade Project'!$F:$F,$A$5)</f>
        <v>0</v>
      </c>
      <c r="J88" t="str">
        <f>IFERROR(AVERAGEIFS('[1]Grade Project'!$N:$N,'[1]Grade Project'!$K:$K,H88,'[1]Grade Project'!$F:$F,$A$5,'[1]Grade Project'!$G:$G,$A$8),"")</f>
        <v/>
      </c>
      <c r="K88" t="str">
        <f>IFERROR(AVERAGEIFS('[1]Grade Project'!$O:$O,'[1]Grade Project'!$K:$K,H88,'[1]Grade Project'!$F:$F,$A$5,'[1]Grade Project'!$G:$G,$A$8),"")</f>
        <v/>
      </c>
      <c r="L88" t="str">
        <f t="shared" si="4"/>
        <v/>
      </c>
      <c r="M88" t="str">
        <f t="shared" si="5"/>
        <v/>
      </c>
      <c r="N88" t="str">
        <f t="shared" si="6"/>
        <v/>
      </c>
    </row>
    <row r="89" spans="2:14" x14ac:dyDescent="0.25">
      <c r="B89" t="s">
        <v>88</v>
      </c>
      <c r="F89" t="str">
        <f>IF(G88=0,"",INDEX('[1]Grade Project'!$G:$G,MATCH($A$5,'[1]Grade Project'!$F:$F,0)+SUM($G$3:G88)))</f>
        <v/>
      </c>
      <c r="G89">
        <f>COUNTIFS('[1]Grade Project'!$F:$F,$A$5,'[1]Grade Project'!$G:$G,F89)</f>
        <v>0</v>
      </c>
      <c r="H89" t="str">
        <f>IF(I88=0,"",INDEX('[1]Grade Project'!$K:$K,MATCH($A$28,'[1]Grade Project'!$H:$H,0)+SUM($I$3:I88)))</f>
        <v/>
      </c>
      <c r="I89">
        <f>COUNTIFS('[1]Grade Project'!$G:$G,$A$8,'[1]Grade Project'!$K:$K,H89,'[1]Grade Project'!$F:$F,$A$5)</f>
        <v>0</v>
      </c>
      <c r="J89" t="str">
        <f>IFERROR(AVERAGEIFS('[1]Grade Project'!$N:$N,'[1]Grade Project'!$K:$K,H89,'[1]Grade Project'!$F:$F,$A$5,'[1]Grade Project'!$G:$G,$A$8),"")</f>
        <v/>
      </c>
      <c r="K89" t="str">
        <f>IFERROR(AVERAGEIFS('[1]Grade Project'!$O:$O,'[1]Grade Project'!$K:$K,H89,'[1]Grade Project'!$F:$F,$A$5,'[1]Grade Project'!$G:$G,$A$8),"")</f>
        <v/>
      </c>
      <c r="L89" t="str">
        <f t="shared" si="4"/>
        <v/>
      </c>
      <c r="M89" t="str">
        <f t="shared" si="5"/>
        <v/>
      </c>
      <c r="N89" t="str">
        <f t="shared" si="6"/>
        <v/>
      </c>
    </row>
    <row r="90" spans="2:14" x14ac:dyDescent="0.25">
      <c r="B90" t="s">
        <v>89</v>
      </c>
      <c r="F90" t="str">
        <f>IF(G89=0,"",INDEX('[1]Grade Project'!$G:$G,MATCH($A$5,'[1]Grade Project'!$F:$F,0)+SUM($G$3:G89)))</f>
        <v/>
      </c>
      <c r="G90">
        <f>COUNTIFS('[1]Grade Project'!$F:$F,$A$5,'[1]Grade Project'!$G:$G,F90)</f>
        <v>0</v>
      </c>
      <c r="H90" t="str">
        <f>IF(I89=0,"",INDEX('[1]Grade Project'!$K:$K,MATCH($A$28,'[1]Grade Project'!$H:$H,0)+SUM($I$3:I89)))</f>
        <v/>
      </c>
      <c r="I90">
        <f>COUNTIFS('[1]Grade Project'!$G:$G,$A$8,'[1]Grade Project'!$K:$K,H90,'[1]Grade Project'!$F:$F,$A$5)</f>
        <v>0</v>
      </c>
      <c r="J90" t="str">
        <f>IFERROR(AVERAGEIFS('[1]Grade Project'!$N:$N,'[1]Grade Project'!$K:$K,H90,'[1]Grade Project'!$F:$F,$A$5,'[1]Grade Project'!$G:$G,$A$8),"")</f>
        <v/>
      </c>
      <c r="K90" t="str">
        <f>IFERROR(AVERAGEIFS('[1]Grade Project'!$O:$O,'[1]Grade Project'!$K:$K,H90,'[1]Grade Project'!$F:$F,$A$5,'[1]Grade Project'!$G:$G,$A$8),"")</f>
        <v/>
      </c>
      <c r="L90" t="str">
        <f t="shared" si="4"/>
        <v/>
      </c>
      <c r="M90" t="str">
        <f t="shared" si="5"/>
        <v/>
      </c>
      <c r="N90" t="str">
        <f t="shared" si="6"/>
        <v/>
      </c>
    </row>
    <row r="91" spans="2:14" x14ac:dyDescent="0.25">
      <c r="B91" t="s">
        <v>90</v>
      </c>
      <c r="F91" t="str">
        <f>IF(G90=0,"",INDEX('[1]Grade Project'!$G:$G,MATCH($A$5,'[1]Grade Project'!$F:$F,0)+SUM($G$3:G90)))</f>
        <v/>
      </c>
      <c r="G91">
        <f>COUNTIFS('[1]Grade Project'!$F:$F,$A$5,'[1]Grade Project'!$G:$G,F91)</f>
        <v>0</v>
      </c>
      <c r="H91" t="str">
        <f>IF(I90=0,"",INDEX('[1]Grade Project'!$K:$K,MATCH($A$28,'[1]Grade Project'!$H:$H,0)+SUM($I$3:I90)))</f>
        <v/>
      </c>
      <c r="I91">
        <f>COUNTIFS('[1]Grade Project'!$G:$G,$A$8,'[1]Grade Project'!$K:$K,H91,'[1]Grade Project'!$F:$F,$A$5)</f>
        <v>0</v>
      </c>
      <c r="J91" t="str">
        <f>IFERROR(AVERAGEIFS('[1]Grade Project'!$N:$N,'[1]Grade Project'!$K:$K,H91,'[1]Grade Project'!$F:$F,$A$5,'[1]Grade Project'!$G:$G,$A$8),"")</f>
        <v/>
      </c>
      <c r="K91" t="str">
        <f>IFERROR(AVERAGEIFS('[1]Grade Project'!$O:$O,'[1]Grade Project'!$K:$K,H91,'[1]Grade Project'!$F:$F,$A$5,'[1]Grade Project'!$G:$G,$A$8),"")</f>
        <v/>
      </c>
      <c r="L91" t="str">
        <f t="shared" si="4"/>
        <v/>
      </c>
      <c r="M91" t="str">
        <f t="shared" si="5"/>
        <v/>
      </c>
      <c r="N91" t="str">
        <f t="shared" si="6"/>
        <v/>
      </c>
    </row>
    <row r="92" spans="2:14" x14ac:dyDescent="0.25">
      <c r="B92" t="s">
        <v>91</v>
      </c>
      <c r="F92" t="str">
        <f>IF(G91=0,"",INDEX('[1]Grade Project'!$G:$G,MATCH($A$5,'[1]Grade Project'!$F:$F,0)+SUM($G$3:G91)))</f>
        <v/>
      </c>
      <c r="G92">
        <f>COUNTIFS('[1]Grade Project'!$F:$F,$A$5,'[1]Grade Project'!$G:$G,F92)</f>
        <v>0</v>
      </c>
      <c r="H92" t="str">
        <f>IF(I91=0,"",INDEX('[1]Grade Project'!$K:$K,MATCH($A$28,'[1]Grade Project'!$H:$H,0)+SUM($I$3:I91)))</f>
        <v/>
      </c>
      <c r="I92">
        <f>COUNTIFS('[1]Grade Project'!$G:$G,$A$8,'[1]Grade Project'!$K:$K,H92,'[1]Grade Project'!$F:$F,$A$5)</f>
        <v>0</v>
      </c>
      <c r="J92" t="str">
        <f>IFERROR(AVERAGEIFS('[1]Grade Project'!$N:$N,'[1]Grade Project'!$K:$K,H92,'[1]Grade Project'!$F:$F,$A$5,'[1]Grade Project'!$G:$G,$A$8),"")</f>
        <v/>
      </c>
      <c r="K92" t="str">
        <f>IFERROR(AVERAGEIFS('[1]Grade Project'!$O:$O,'[1]Grade Project'!$K:$K,H92,'[1]Grade Project'!$F:$F,$A$5,'[1]Grade Project'!$G:$G,$A$8),"")</f>
        <v/>
      </c>
      <c r="L92" t="str">
        <f t="shared" si="4"/>
        <v/>
      </c>
      <c r="M92" t="str">
        <f t="shared" si="5"/>
        <v/>
      </c>
      <c r="N92" t="str">
        <f t="shared" si="6"/>
        <v/>
      </c>
    </row>
    <row r="93" spans="2:14" x14ac:dyDescent="0.25">
      <c r="B93" t="s">
        <v>92</v>
      </c>
      <c r="F93" t="str">
        <f>IF(G92=0,"",INDEX('[1]Grade Project'!$G:$G,MATCH($A$5,'[1]Grade Project'!$F:$F,0)+SUM($G$3:G92)))</f>
        <v/>
      </c>
      <c r="G93">
        <f>COUNTIFS('[1]Grade Project'!$F:$F,$A$5,'[1]Grade Project'!$G:$G,F93)</f>
        <v>0</v>
      </c>
      <c r="H93" t="str">
        <f>IF(I92=0,"",INDEX('[1]Grade Project'!$K:$K,MATCH($A$28,'[1]Grade Project'!$H:$H,0)+SUM($I$3:I92)))</f>
        <v/>
      </c>
      <c r="I93">
        <f>COUNTIFS('[1]Grade Project'!$G:$G,$A$8,'[1]Grade Project'!$K:$K,H93,'[1]Grade Project'!$F:$F,$A$5)</f>
        <v>0</v>
      </c>
      <c r="J93" t="str">
        <f>IFERROR(AVERAGEIFS('[1]Grade Project'!$N:$N,'[1]Grade Project'!$K:$K,H93,'[1]Grade Project'!$F:$F,$A$5,'[1]Grade Project'!$G:$G,$A$8),"")</f>
        <v/>
      </c>
      <c r="K93" t="str">
        <f>IFERROR(AVERAGEIFS('[1]Grade Project'!$O:$O,'[1]Grade Project'!$K:$K,H93,'[1]Grade Project'!$F:$F,$A$5,'[1]Grade Project'!$G:$G,$A$8),"")</f>
        <v/>
      </c>
      <c r="L93" t="str">
        <f t="shared" si="4"/>
        <v/>
      </c>
      <c r="M93" t="str">
        <f t="shared" si="5"/>
        <v/>
      </c>
      <c r="N93" t="str">
        <f t="shared" si="6"/>
        <v/>
      </c>
    </row>
    <row r="94" spans="2:14" x14ac:dyDescent="0.25">
      <c r="B94" t="s">
        <v>93</v>
      </c>
      <c r="F94" t="str">
        <f>IF(G93=0,"",INDEX('[1]Grade Project'!$G:$G,MATCH($A$5,'[1]Grade Project'!$F:$F,0)+SUM($G$3:G93)))</f>
        <v/>
      </c>
      <c r="G94">
        <f>COUNTIFS('[1]Grade Project'!$F:$F,$A$5,'[1]Grade Project'!$G:$G,F94)</f>
        <v>0</v>
      </c>
      <c r="H94" t="str">
        <f>IF(I93=0,"",INDEX('[1]Grade Project'!$K:$K,MATCH($A$28,'[1]Grade Project'!$H:$H,0)+SUM($I$3:I93)))</f>
        <v/>
      </c>
      <c r="I94">
        <f>COUNTIFS('[1]Grade Project'!$G:$G,$A$8,'[1]Grade Project'!$K:$K,H94,'[1]Grade Project'!$F:$F,$A$5)</f>
        <v>0</v>
      </c>
      <c r="J94" t="str">
        <f>IFERROR(AVERAGEIFS('[1]Grade Project'!$N:$N,'[1]Grade Project'!$K:$K,H94,'[1]Grade Project'!$F:$F,$A$5,'[1]Grade Project'!$G:$G,$A$8),"")</f>
        <v/>
      </c>
      <c r="K94" t="str">
        <f>IFERROR(AVERAGEIFS('[1]Grade Project'!$O:$O,'[1]Grade Project'!$K:$K,H94,'[1]Grade Project'!$F:$F,$A$5,'[1]Grade Project'!$G:$G,$A$8),"")</f>
        <v/>
      </c>
      <c r="L94" t="str">
        <f t="shared" si="4"/>
        <v/>
      </c>
      <c r="M94" t="str">
        <f t="shared" si="5"/>
        <v/>
      </c>
      <c r="N94" t="str">
        <f t="shared" si="6"/>
        <v/>
      </c>
    </row>
    <row r="95" spans="2:14" x14ac:dyDescent="0.25">
      <c r="B95" t="s">
        <v>94</v>
      </c>
      <c r="F95" t="str">
        <f>IF(G94=0,"",INDEX('[1]Grade Project'!$G:$G,MATCH($A$5,'[1]Grade Project'!$F:$F,0)+SUM($G$3:G94)))</f>
        <v/>
      </c>
      <c r="G95">
        <f>COUNTIFS('[1]Grade Project'!$F:$F,$A$5,'[1]Grade Project'!$G:$G,F95)</f>
        <v>0</v>
      </c>
      <c r="H95" t="str">
        <f>IF(I94=0,"",INDEX('[1]Grade Project'!$K:$K,MATCH($A$28,'[1]Grade Project'!$H:$H,0)+SUM($I$3:I94)))</f>
        <v/>
      </c>
      <c r="I95">
        <f>COUNTIFS('[1]Grade Project'!$G:$G,$A$8,'[1]Grade Project'!$K:$K,H95,'[1]Grade Project'!$F:$F,$A$5)</f>
        <v>0</v>
      </c>
      <c r="J95" t="str">
        <f>IFERROR(AVERAGEIFS('[1]Grade Project'!$N:$N,'[1]Grade Project'!$K:$K,H95,'[1]Grade Project'!$F:$F,$A$5,'[1]Grade Project'!$G:$G,$A$8),"")</f>
        <v/>
      </c>
      <c r="K95" t="str">
        <f>IFERROR(AVERAGEIFS('[1]Grade Project'!$O:$O,'[1]Grade Project'!$K:$K,H95,'[1]Grade Project'!$F:$F,$A$5,'[1]Grade Project'!$G:$G,$A$8),"")</f>
        <v/>
      </c>
      <c r="L95" t="str">
        <f t="shared" si="4"/>
        <v/>
      </c>
      <c r="M95" t="str">
        <f t="shared" si="5"/>
        <v/>
      </c>
      <c r="N95" t="str">
        <f t="shared" si="6"/>
        <v/>
      </c>
    </row>
    <row r="96" spans="2:14" x14ac:dyDescent="0.25">
      <c r="B96" t="s">
        <v>95</v>
      </c>
      <c r="F96" t="str">
        <f>IF(G95=0,"",INDEX('[1]Grade Project'!$G:$G,MATCH($A$5,'[1]Grade Project'!$F:$F,0)+SUM($G$3:G95)))</f>
        <v/>
      </c>
      <c r="G96">
        <f>COUNTIFS('[1]Grade Project'!$F:$F,$A$5,'[1]Grade Project'!$G:$G,F96)</f>
        <v>0</v>
      </c>
      <c r="H96" t="str">
        <f>IF(I95=0,"",INDEX('[1]Grade Project'!$K:$K,MATCH($A$28,'[1]Grade Project'!$H:$H,0)+SUM($I$3:I95)))</f>
        <v/>
      </c>
      <c r="I96">
        <f>COUNTIFS('[1]Grade Project'!$G:$G,$A$8,'[1]Grade Project'!$K:$K,H96,'[1]Grade Project'!$F:$F,$A$5)</f>
        <v>0</v>
      </c>
      <c r="J96" t="str">
        <f>IFERROR(AVERAGEIFS('[1]Grade Project'!$N:$N,'[1]Grade Project'!$K:$K,H96,'[1]Grade Project'!$F:$F,$A$5,'[1]Grade Project'!$G:$G,$A$8),"")</f>
        <v/>
      </c>
      <c r="K96" t="str">
        <f>IFERROR(AVERAGEIFS('[1]Grade Project'!$O:$O,'[1]Grade Project'!$K:$K,H96,'[1]Grade Project'!$F:$F,$A$5,'[1]Grade Project'!$G:$G,$A$8),"")</f>
        <v/>
      </c>
      <c r="L96" t="str">
        <f t="shared" si="4"/>
        <v/>
      </c>
      <c r="M96" t="str">
        <f t="shared" si="5"/>
        <v/>
      </c>
      <c r="N96" t="str">
        <f t="shared" si="6"/>
        <v/>
      </c>
    </row>
    <row r="97" spans="2:14" x14ac:dyDescent="0.25">
      <c r="B97" t="s">
        <v>96</v>
      </c>
      <c r="H97" t="str">
        <f>IF(I96=0,"",INDEX('[1]Grade Project'!$K:$K,MATCH($A$28,'[1]Grade Project'!$H:$H,0)+SUM($I$3:I96)))</f>
        <v/>
      </c>
      <c r="I97">
        <f>COUNTIFS('[1]Grade Project'!$G:$G,$A$8,'[1]Grade Project'!$K:$K,H97,'[1]Grade Project'!$F:$F,$A$5)</f>
        <v>0</v>
      </c>
      <c r="J97" t="str">
        <f>IFERROR(AVERAGEIFS('[1]Grade Project'!$N:$N,'[1]Grade Project'!$K:$K,H97,'[1]Grade Project'!$F:$F,$A$5,'[1]Grade Project'!$G:$G,$A$8),"")</f>
        <v/>
      </c>
      <c r="K97" t="str">
        <f>IFERROR(AVERAGEIFS('[1]Grade Project'!$O:$O,'[1]Grade Project'!$K:$K,H97,'[1]Grade Project'!$F:$F,$A$5,'[1]Grade Project'!$G:$G,$A$8),"")</f>
        <v/>
      </c>
      <c r="L97" t="str">
        <f t="shared" si="4"/>
        <v/>
      </c>
      <c r="M97" t="str">
        <f t="shared" si="5"/>
        <v/>
      </c>
      <c r="N97" t="str">
        <f t="shared" si="6"/>
        <v/>
      </c>
    </row>
    <row r="98" spans="2:14" x14ac:dyDescent="0.25">
      <c r="B98" t="s">
        <v>97</v>
      </c>
      <c r="H98" t="str">
        <f>IF(I97=0,"",INDEX('[1]Grade Project'!$K:$K,MATCH($A$28,'[1]Grade Project'!$H:$H,0)+SUM($I$3:I97)))</f>
        <v/>
      </c>
      <c r="I98">
        <f>COUNTIFS('[1]Grade Project'!$G:$G,$A$8,'[1]Grade Project'!$K:$K,H98,'[1]Grade Project'!$F:$F,$A$5)</f>
        <v>0</v>
      </c>
      <c r="J98" t="str">
        <f>IFERROR(AVERAGEIFS('[1]Grade Project'!$N:$N,'[1]Grade Project'!$K:$K,H98,'[1]Grade Project'!$F:$F,$A$5,'[1]Grade Project'!$G:$G,$A$8),"")</f>
        <v/>
      </c>
      <c r="K98" t="str">
        <f>IFERROR(AVERAGEIFS('[1]Grade Project'!$O:$O,'[1]Grade Project'!$K:$K,H98,'[1]Grade Project'!$F:$F,$A$5,'[1]Grade Project'!$G:$G,$A$8),"")</f>
        <v/>
      </c>
      <c r="L98" t="str">
        <f t="shared" si="4"/>
        <v/>
      </c>
      <c r="M98" t="str">
        <f t="shared" si="5"/>
        <v/>
      </c>
      <c r="N98" t="str">
        <f t="shared" si="6"/>
        <v/>
      </c>
    </row>
    <row r="99" spans="2:14" x14ac:dyDescent="0.25">
      <c r="B99" t="s">
        <v>98</v>
      </c>
      <c r="H99" t="str">
        <f>IF(I98=0,"",INDEX('[1]Grade Project'!$K:$K,MATCH($A$28,'[1]Grade Project'!$H:$H,0)+SUM($I$3:I98)))</f>
        <v/>
      </c>
      <c r="I99">
        <f>COUNTIFS('[1]Grade Project'!$G:$G,$A$8,'[1]Grade Project'!$K:$K,H99,'[1]Grade Project'!$F:$F,$A$5)</f>
        <v>0</v>
      </c>
      <c r="J99" t="str">
        <f>IFERROR(AVERAGEIFS('[1]Grade Project'!$N:$N,'[1]Grade Project'!$K:$K,H99,'[1]Grade Project'!$F:$F,$A$5,'[1]Grade Project'!$G:$G,$A$8),"")</f>
        <v/>
      </c>
      <c r="K99" t="str">
        <f>IFERROR(AVERAGEIFS('[1]Grade Project'!$O:$O,'[1]Grade Project'!$K:$K,H99,'[1]Grade Project'!$F:$F,$A$5,'[1]Grade Project'!$G:$G,$A$8),"")</f>
        <v/>
      </c>
      <c r="L99" t="str">
        <f t="shared" si="4"/>
        <v/>
      </c>
      <c r="M99" t="str">
        <f t="shared" si="5"/>
        <v/>
      </c>
      <c r="N99" t="str">
        <f t="shared" si="6"/>
        <v/>
      </c>
    </row>
    <row r="100" spans="2:14" x14ac:dyDescent="0.25">
      <c r="B100" t="s">
        <v>99</v>
      </c>
      <c r="H100" t="str">
        <f>IF(I99=0,"",INDEX('[1]Grade Project'!$K:$K,MATCH($A$28,'[1]Grade Project'!$H:$H,0)+SUM($I$3:I99)))</f>
        <v/>
      </c>
      <c r="I100">
        <f>COUNTIFS('[1]Grade Project'!$G:$G,$A$8,'[1]Grade Project'!$K:$K,H100,'[1]Grade Project'!$F:$F,$A$5)</f>
        <v>0</v>
      </c>
      <c r="J100" t="str">
        <f>IFERROR(AVERAGEIFS('[1]Grade Project'!$N:$N,'[1]Grade Project'!$K:$K,H100,'[1]Grade Project'!$F:$F,$A$5,'[1]Grade Project'!$G:$G,$A$8),"")</f>
        <v/>
      </c>
      <c r="K100" t="str">
        <f>IFERROR(AVERAGEIFS('[1]Grade Project'!$O:$O,'[1]Grade Project'!$K:$K,H100,'[1]Grade Project'!$F:$F,$A$5,'[1]Grade Project'!$G:$G,$A$8),"")</f>
        <v/>
      </c>
      <c r="L100" t="str">
        <f t="shared" si="4"/>
        <v/>
      </c>
      <c r="M100" t="str">
        <f t="shared" si="5"/>
        <v/>
      </c>
      <c r="N100" t="str">
        <f t="shared" si="6"/>
        <v/>
      </c>
    </row>
    <row r="101" spans="2:14" x14ac:dyDescent="0.25">
      <c r="H101" t="str">
        <f>IF(I100=0,"",INDEX('[1]Grade Project'!$K:$K,MATCH($A$28,'[1]Grade Project'!$H:$H,0)+SUM($I$3:I100)))</f>
        <v/>
      </c>
      <c r="I101">
        <f>COUNTIFS('[1]Grade Project'!$G:$G,$A$8,'[1]Grade Project'!$K:$K,H101,'[1]Grade Project'!$F:$F,$A$5)</f>
        <v>0</v>
      </c>
      <c r="J101" t="str">
        <f>IFERROR(AVERAGEIFS('[1]Grade Project'!$N:$N,'[1]Grade Project'!$K:$K,H101,'[1]Grade Project'!$F:$F,$A$5,'[1]Grade Project'!$G:$G,$A$8),"")</f>
        <v/>
      </c>
      <c r="K101" t="str">
        <f>IFERROR(AVERAGEIFS('[1]Grade Project'!$O:$O,'[1]Grade Project'!$K:$K,H101,'[1]Grade Project'!$F:$F,$A$5,'[1]Grade Project'!$G:$G,$A$8),"")</f>
        <v/>
      </c>
      <c r="L101" t="str">
        <f t="shared" si="4"/>
        <v/>
      </c>
      <c r="M101" t="str">
        <f t="shared" si="5"/>
        <v/>
      </c>
      <c r="N101" t="str">
        <f t="shared" si="6"/>
        <v/>
      </c>
    </row>
    <row r="102" spans="2:14" x14ac:dyDescent="0.25">
      <c r="H102" t="str">
        <f>IF(I101=0,"",INDEX('[1]Grade Project'!$K:$K,MATCH($A$28,'[1]Grade Project'!$H:$H,0)+SUM($I$3:I101)))</f>
        <v/>
      </c>
      <c r="I102">
        <f>COUNTIFS('[1]Grade Project'!$G:$G,$A$8,'[1]Grade Project'!$K:$K,H102,'[1]Grade Project'!$F:$F,$A$5)</f>
        <v>0</v>
      </c>
      <c r="J102" t="str">
        <f>IFERROR(AVERAGEIFS('[1]Grade Project'!$N:$N,'[1]Grade Project'!$K:$K,H102,'[1]Grade Project'!$F:$F,$A$5,'[1]Grade Project'!$G:$G,$A$8),"")</f>
        <v/>
      </c>
      <c r="K102" t="str">
        <f>IFERROR(AVERAGEIFS('[1]Grade Project'!$O:$O,'[1]Grade Project'!$K:$K,H102,'[1]Grade Project'!$F:$F,$A$5,'[1]Grade Project'!$G:$G,$A$8),"")</f>
        <v/>
      </c>
      <c r="L102" t="str">
        <f t="shared" si="4"/>
        <v/>
      </c>
      <c r="M102" t="str">
        <f t="shared" si="5"/>
        <v/>
      </c>
      <c r="N102" t="str">
        <f t="shared" si="6"/>
        <v/>
      </c>
    </row>
    <row r="103" spans="2:14" x14ac:dyDescent="0.25">
      <c r="H103" t="str">
        <f>IF(I102=0,"",INDEX('[1]Grade Project'!$K:$K,MATCH($A$28,'[1]Grade Project'!$H:$H,0)+SUM($I$3:I102)))</f>
        <v/>
      </c>
      <c r="I103">
        <f>COUNTIFS('[1]Grade Project'!$G:$G,$A$8,'[1]Grade Project'!$K:$K,H103,'[1]Grade Project'!$F:$F,$A$5)</f>
        <v>0</v>
      </c>
      <c r="J103" t="str">
        <f>IFERROR(AVERAGEIFS('[1]Grade Project'!$N:$N,'[1]Grade Project'!$K:$K,H103,'[1]Grade Project'!$F:$F,$A$5,'[1]Grade Project'!$G:$G,$A$8),"")</f>
        <v/>
      </c>
      <c r="K103" t="str">
        <f>IFERROR(AVERAGEIFS('[1]Grade Project'!$O:$O,'[1]Grade Project'!$K:$K,H103,'[1]Grade Project'!$F:$F,$A$5,'[1]Grade Project'!$G:$G,$A$8),"")</f>
        <v/>
      </c>
      <c r="L103" t="str">
        <f t="shared" si="4"/>
        <v/>
      </c>
      <c r="M103" t="str">
        <f t="shared" si="5"/>
        <v/>
      </c>
      <c r="N103" t="str">
        <f t="shared" si="6"/>
        <v/>
      </c>
    </row>
    <row r="104" spans="2:14" x14ac:dyDescent="0.25">
      <c r="H104" t="str">
        <f>IF(I103=0,"",INDEX('[1]Grade Project'!$K:$K,MATCH($A$28,'[1]Grade Project'!$H:$H,0)+SUM($I$3:I103)))</f>
        <v/>
      </c>
      <c r="I104">
        <f>COUNTIFS('[1]Grade Project'!$G:$G,$A$8,'[1]Grade Project'!$K:$K,H104,'[1]Grade Project'!$F:$F,$A$5)</f>
        <v>0</v>
      </c>
      <c r="J104" t="str">
        <f>IFERROR(AVERAGEIFS('[1]Grade Project'!$N:$N,'[1]Grade Project'!$K:$K,H104,'[1]Grade Project'!$F:$F,$A$5,'[1]Grade Project'!$G:$G,$A$8),"")</f>
        <v/>
      </c>
      <c r="K104" t="str">
        <f>IFERROR(AVERAGEIFS('[1]Grade Project'!$O:$O,'[1]Grade Project'!$K:$K,H104,'[1]Grade Project'!$F:$F,$A$5,'[1]Grade Project'!$G:$G,$A$8),"")</f>
        <v/>
      </c>
      <c r="L104" t="str">
        <f t="shared" si="4"/>
        <v/>
      </c>
      <c r="M104" t="str">
        <f t="shared" si="5"/>
        <v/>
      </c>
      <c r="N104" t="str">
        <f t="shared" si="6"/>
        <v/>
      </c>
    </row>
    <row r="105" spans="2:14" x14ac:dyDescent="0.25">
      <c r="H105" t="str">
        <f>IF(I104=0,"",INDEX('[1]Grade Project'!$K:$K,MATCH($A$28,'[1]Grade Project'!$H:$H,0)+SUM($I$3:I104)))</f>
        <v/>
      </c>
      <c r="I105">
        <f>COUNTIFS('[1]Grade Project'!$G:$G,$A$8,'[1]Grade Project'!$K:$K,H105,'[1]Grade Project'!$F:$F,$A$5)</f>
        <v>0</v>
      </c>
      <c r="J105" t="str">
        <f>IFERROR(AVERAGEIFS('[1]Grade Project'!$N:$N,'[1]Grade Project'!$K:$K,H105,'[1]Grade Project'!$F:$F,$A$5,'[1]Grade Project'!$G:$G,$A$8),"")</f>
        <v/>
      </c>
      <c r="K105" t="str">
        <f>IFERROR(AVERAGEIFS('[1]Grade Project'!$O:$O,'[1]Grade Project'!$K:$K,H105,'[1]Grade Project'!$F:$F,$A$5,'[1]Grade Project'!$G:$G,$A$8),"")</f>
        <v/>
      </c>
      <c r="L105" t="str">
        <f t="shared" si="4"/>
        <v/>
      </c>
      <c r="M105" t="str">
        <f t="shared" si="5"/>
        <v/>
      </c>
      <c r="N105" t="str">
        <f t="shared" si="6"/>
        <v/>
      </c>
    </row>
    <row r="106" spans="2:14" x14ac:dyDescent="0.25">
      <c r="H106" t="str">
        <f>IF(I105=0,"",INDEX('[1]Grade Project'!$K:$K,MATCH($A$28,'[1]Grade Project'!$H:$H,0)+SUM($I$3:I105)))</f>
        <v/>
      </c>
      <c r="I106">
        <f>COUNTIFS('[1]Grade Project'!$G:$G,$A$8,'[1]Grade Project'!$K:$K,H106,'[1]Grade Project'!$F:$F,$A$5)</f>
        <v>0</v>
      </c>
      <c r="J106" t="str">
        <f>IFERROR(AVERAGEIFS('[1]Grade Project'!$N:$N,'[1]Grade Project'!$K:$K,H106,'[1]Grade Project'!$F:$F,$A$5,'[1]Grade Project'!$G:$G,$A$8),"")</f>
        <v/>
      </c>
      <c r="K106" t="str">
        <f>IFERROR(AVERAGEIFS('[1]Grade Project'!$O:$O,'[1]Grade Project'!$K:$K,H106,'[1]Grade Project'!$F:$F,$A$5,'[1]Grade Project'!$G:$G,$A$8),"")</f>
        <v/>
      </c>
      <c r="L106" t="str">
        <f t="shared" si="4"/>
        <v/>
      </c>
      <c r="M106" t="str">
        <f t="shared" si="5"/>
        <v/>
      </c>
      <c r="N106" t="str">
        <f t="shared" si="6"/>
        <v/>
      </c>
    </row>
    <row r="107" spans="2:14" x14ac:dyDescent="0.25">
      <c r="H107" t="str">
        <f>IF(I106=0,"",INDEX('[1]Grade Project'!$K:$K,MATCH($A$28,'[1]Grade Project'!$H:$H,0)+SUM($I$3:I106)))</f>
        <v/>
      </c>
      <c r="I107">
        <f>COUNTIFS('[1]Grade Project'!$G:$G,$A$8,'[1]Grade Project'!$K:$K,H107,'[1]Grade Project'!$F:$F,$A$5)</f>
        <v>0</v>
      </c>
      <c r="J107" t="str">
        <f>IFERROR(AVERAGEIFS('[1]Grade Project'!$N:$N,'[1]Grade Project'!$K:$K,H107,'[1]Grade Project'!$F:$F,$A$5,'[1]Grade Project'!$G:$G,$A$8),"")</f>
        <v/>
      </c>
      <c r="K107" t="str">
        <f>IFERROR(AVERAGEIFS('[1]Grade Project'!$O:$O,'[1]Grade Project'!$K:$K,H107,'[1]Grade Project'!$F:$F,$A$5,'[1]Grade Project'!$G:$G,$A$8),"")</f>
        <v/>
      </c>
      <c r="L107" t="str">
        <f t="shared" si="4"/>
        <v/>
      </c>
      <c r="M107" t="str">
        <f t="shared" si="5"/>
        <v/>
      </c>
      <c r="N107" t="str">
        <f t="shared" si="6"/>
        <v/>
      </c>
    </row>
    <row r="108" spans="2:14" x14ac:dyDescent="0.25">
      <c r="H108" t="str">
        <f>IF(I107=0,"",INDEX('[1]Grade Project'!$K:$K,MATCH($A$28,'[1]Grade Project'!$H:$H,0)+SUM($I$3:I107)))</f>
        <v/>
      </c>
      <c r="I108">
        <f>COUNTIFS('[1]Grade Project'!$G:$G,$A$8,'[1]Grade Project'!$K:$K,H108,'[1]Grade Project'!$F:$F,$A$5)</f>
        <v>0</v>
      </c>
      <c r="J108" t="str">
        <f>IFERROR(AVERAGEIFS('[1]Grade Project'!$N:$N,'[1]Grade Project'!$K:$K,H108,'[1]Grade Project'!$F:$F,$A$5,'[1]Grade Project'!$G:$G,$A$8),"")</f>
        <v/>
      </c>
      <c r="K108" t="str">
        <f>IFERROR(AVERAGEIFS('[1]Grade Project'!$O:$O,'[1]Grade Project'!$K:$K,H108,'[1]Grade Project'!$F:$F,$A$5,'[1]Grade Project'!$G:$G,$A$8),"")</f>
        <v/>
      </c>
      <c r="L108" t="str">
        <f t="shared" si="4"/>
        <v/>
      </c>
      <c r="M108" t="str">
        <f t="shared" si="5"/>
        <v/>
      </c>
      <c r="N108" t="str">
        <f t="shared" si="6"/>
        <v/>
      </c>
    </row>
    <row r="109" spans="2:14" x14ac:dyDescent="0.25">
      <c r="H109" t="str">
        <f>IF(I108=0,"",INDEX('[1]Grade Project'!$K:$K,MATCH($A$28,'[1]Grade Project'!$H:$H,0)+SUM($I$3:I108)))</f>
        <v/>
      </c>
      <c r="I109">
        <f>COUNTIFS('[1]Grade Project'!$G:$G,$A$8,'[1]Grade Project'!$K:$K,H109,'[1]Grade Project'!$F:$F,$A$5)</f>
        <v>0</v>
      </c>
      <c r="J109" t="str">
        <f>IFERROR(AVERAGEIFS('[1]Grade Project'!$N:$N,'[1]Grade Project'!$K:$K,H109,'[1]Grade Project'!$F:$F,$A$5,'[1]Grade Project'!$G:$G,$A$8),"")</f>
        <v/>
      </c>
      <c r="K109" t="str">
        <f>IFERROR(AVERAGEIFS('[1]Grade Project'!$O:$O,'[1]Grade Project'!$K:$K,H109,'[1]Grade Project'!$F:$F,$A$5,'[1]Grade Project'!$G:$G,$A$8),"")</f>
        <v/>
      </c>
      <c r="L109" t="str">
        <f t="shared" si="4"/>
        <v/>
      </c>
      <c r="M109" t="str">
        <f t="shared" si="5"/>
        <v/>
      </c>
      <c r="N109" t="str">
        <f t="shared" si="6"/>
        <v/>
      </c>
    </row>
    <row r="110" spans="2:14" x14ac:dyDescent="0.25">
      <c r="H110" t="str">
        <f>IF(I109=0,"",INDEX('[1]Grade Project'!$K:$K,MATCH($A$28,'[1]Grade Project'!$H:$H,0)+SUM($I$3:I109)))</f>
        <v/>
      </c>
      <c r="I110">
        <f>COUNTIFS('[1]Grade Project'!$G:$G,$A$8,'[1]Grade Project'!$K:$K,H110,'[1]Grade Project'!$F:$F,$A$5)</f>
        <v>0</v>
      </c>
      <c r="J110" t="str">
        <f>IFERROR(AVERAGEIFS('[1]Grade Project'!$N:$N,'[1]Grade Project'!$K:$K,H110,'[1]Grade Project'!$F:$F,$A$5,'[1]Grade Project'!$G:$G,$A$8),"")</f>
        <v/>
      </c>
      <c r="K110" t="str">
        <f>IFERROR(AVERAGEIFS('[1]Grade Project'!$O:$O,'[1]Grade Project'!$K:$K,H110,'[1]Grade Project'!$F:$F,$A$5,'[1]Grade Project'!$G:$G,$A$8),"")</f>
        <v/>
      </c>
      <c r="L110" t="str">
        <f t="shared" si="4"/>
        <v/>
      </c>
      <c r="M110" t="str">
        <f t="shared" si="5"/>
        <v/>
      </c>
      <c r="N110" t="str">
        <f t="shared" si="6"/>
        <v/>
      </c>
    </row>
    <row r="111" spans="2:14" x14ac:dyDescent="0.25">
      <c r="H111" t="str">
        <f>IF(I110=0,"",INDEX('[1]Grade Project'!$K:$K,MATCH($A$28,'[1]Grade Project'!$H:$H,0)+SUM($I$3:I110)))</f>
        <v/>
      </c>
      <c r="I111">
        <f>COUNTIFS('[1]Grade Project'!$G:$G,$A$8,'[1]Grade Project'!$K:$K,H111,'[1]Grade Project'!$F:$F,$A$5)</f>
        <v>0</v>
      </c>
      <c r="J111" t="str">
        <f>IFERROR(AVERAGEIFS('[1]Grade Project'!$N:$N,'[1]Grade Project'!$K:$K,H111,'[1]Grade Project'!$F:$F,$A$5,'[1]Grade Project'!$G:$G,$A$8),"")</f>
        <v/>
      </c>
      <c r="K111" t="str">
        <f>IFERROR(AVERAGEIFS('[1]Grade Project'!$O:$O,'[1]Grade Project'!$K:$K,H111,'[1]Grade Project'!$F:$F,$A$5,'[1]Grade Project'!$G:$G,$A$8),"")</f>
        <v/>
      </c>
      <c r="L111" t="str">
        <f t="shared" si="4"/>
        <v/>
      </c>
      <c r="M111" t="str">
        <f t="shared" si="5"/>
        <v/>
      </c>
      <c r="N111" t="str">
        <f t="shared" si="6"/>
        <v/>
      </c>
    </row>
    <row r="112" spans="2:14" x14ac:dyDescent="0.25">
      <c r="H112" t="str">
        <f>IF(I111=0,"",INDEX('[1]Grade Project'!$K:$K,MATCH($A$28,'[1]Grade Project'!$H:$H,0)+SUM($I$3:I111)))</f>
        <v/>
      </c>
      <c r="I112">
        <f>COUNTIFS('[1]Grade Project'!$G:$G,$A$8,'[1]Grade Project'!$K:$K,H112,'[1]Grade Project'!$F:$F,$A$5)</f>
        <v>0</v>
      </c>
      <c r="J112" t="str">
        <f>IFERROR(AVERAGEIFS('[1]Grade Project'!$N:$N,'[1]Grade Project'!$K:$K,H112,'[1]Grade Project'!$F:$F,$A$5,'[1]Grade Project'!$G:$G,$A$8),"")</f>
        <v/>
      </c>
      <c r="K112" t="str">
        <f>IFERROR(AVERAGEIFS('[1]Grade Project'!$O:$O,'[1]Grade Project'!$K:$K,H112,'[1]Grade Project'!$F:$F,$A$5,'[1]Grade Project'!$G:$G,$A$8),"")</f>
        <v/>
      </c>
      <c r="L112" t="str">
        <f t="shared" si="4"/>
        <v/>
      </c>
      <c r="M112" t="str">
        <f t="shared" si="5"/>
        <v/>
      </c>
      <c r="N112" t="str">
        <f t="shared" si="6"/>
        <v/>
      </c>
    </row>
    <row r="113" spans="8:14" x14ac:dyDescent="0.25">
      <c r="H113" t="str">
        <f>IF(I112=0,"",INDEX('[1]Grade Project'!$K:$K,MATCH($A$28,'[1]Grade Project'!$H:$H,0)+SUM($I$3:I112)))</f>
        <v/>
      </c>
      <c r="I113">
        <f>COUNTIFS('[1]Grade Project'!$G:$G,$A$8,'[1]Grade Project'!$K:$K,H113,'[1]Grade Project'!$F:$F,$A$5)</f>
        <v>0</v>
      </c>
      <c r="J113" t="str">
        <f>IFERROR(AVERAGEIFS('[1]Grade Project'!$N:$N,'[1]Grade Project'!$K:$K,H113,'[1]Grade Project'!$F:$F,$A$5,'[1]Grade Project'!$G:$G,$A$8),"")</f>
        <v/>
      </c>
      <c r="K113" t="str">
        <f>IFERROR(AVERAGEIFS('[1]Grade Project'!$O:$O,'[1]Grade Project'!$K:$K,H113,'[1]Grade Project'!$F:$F,$A$5,'[1]Grade Project'!$G:$G,$A$8),"")</f>
        <v/>
      </c>
      <c r="L113" t="str">
        <f t="shared" si="4"/>
        <v/>
      </c>
      <c r="M113" t="str">
        <f t="shared" si="5"/>
        <v/>
      </c>
      <c r="N113" t="str">
        <f t="shared" si="6"/>
        <v/>
      </c>
    </row>
    <row r="114" spans="8:14" x14ac:dyDescent="0.25">
      <c r="H114" t="str">
        <f>IF(I113=0,"",INDEX('[1]Grade Project'!$K:$K,MATCH($A$28,'[1]Grade Project'!$H:$H,0)+SUM($I$3:I113)))</f>
        <v/>
      </c>
      <c r="I114">
        <f>COUNTIFS('[1]Grade Project'!$G:$G,$A$8,'[1]Grade Project'!$K:$K,H114,'[1]Grade Project'!$F:$F,$A$5)</f>
        <v>0</v>
      </c>
      <c r="J114" t="str">
        <f>IFERROR(AVERAGEIFS('[1]Grade Project'!$N:$N,'[1]Grade Project'!$K:$K,H114,'[1]Grade Project'!$F:$F,$A$5,'[1]Grade Project'!$G:$G,$A$8),"")</f>
        <v/>
      </c>
      <c r="K114" t="str">
        <f>IFERROR(AVERAGEIFS('[1]Grade Project'!$O:$O,'[1]Grade Project'!$K:$K,H114,'[1]Grade Project'!$F:$F,$A$5,'[1]Grade Project'!$G:$G,$A$8),"")</f>
        <v/>
      </c>
      <c r="L114" t="str">
        <f t="shared" si="4"/>
        <v/>
      </c>
      <c r="M114" t="str">
        <f t="shared" si="5"/>
        <v/>
      </c>
      <c r="N114" t="str">
        <f t="shared" si="6"/>
        <v/>
      </c>
    </row>
    <row r="115" spans="8:14" x14ac:dyDescent="0.25">
      <c r="H115" t="str">
        <f>IF(I114=0,"",INDEX('[1]Grade Project'!$K:$K,MATCH($A$28,'[1]Grade Project'!$H:$H,0)+SUM($I$3:I114)))</f>
        <v/>
      </c>
      <c r="I115">
        <f>COUNTIFS('[1]Grade Project'!$G:$G,$A$8,'[1]Grade Project'!$K:$K,H115,'[1]Grade Project'!$F:$F,$A$5)</f>
        <v>0</v>
      </c>
      <c r="J115" t="str">
        <f>IFERROR(AVERAGEIFS('[1]Grade Project'!$N:$N,'[1]Grade Project'!$K:$K,H115,'[1]Grade Project'!$F:$F,$A$5,'[1]Grade Project'!$G:$G,$A$8),"")</f>
        <v/>
      </c>
      <c r="K115" t="str">
        <f>IFERROR(AVERAGEIFS('[1]Grade Project'!$O:$O,'[1]Grade Project'!$K:$K,H115,'[1]Grade Project'!$F:$F,$A$5,'[1]Grade Project'!$G:$G,$A$8),"")</f>
        <v/>
      </c>
      <c r="L115" t="str">
        <f t="shared" si="4"/>
        <v/>
      </c>
      <c r="M115" t="str">
        <f t="shared" si="5"/>
        <v/>
      </c>
      <c r="N115" t="str">
        <f t="shared" si="6"/>
        <v/>
      </c>
    </row>
    <row r="116" spans="8:14" x14ac:dyDescent="0.25">
      <c r="H116" t="str">
        <f>IF(I115=0,"",INDEX('[1]Grade Project'!$K:$K,MATCH($A$28,'[1]Grade Project'!$H:$H,0)+SUM($I$3:I115)))</f>
        <v/>
      </c>
      <c r="I116">
        <f>COUNTIFS('[1]Grade Project'!$G:$G,$A$8,'[1]Grade Project'!$K:$K,H116,'[1]Grade Project'!$F:$F,$A$5)</f>
        <v>0</v>
      </c>
      <c r="J116" t="str">
        <f>IFERROR(AVERAGEIFS('[1]Grade Project'!$N:$N,'[1]Grade Project'!$K:$K,H116,'[1]Grade Project'!$F:$F,$A$5,'[1]Grade Project'!$G:$G,$A$8),"")</f>
        <v/>
      </c>
      <c r="K116" t="str">
        <f>IFERROR(AVERAGEIFS('[1]Grade Project'!$O:$O,'[1]Grade Project'!$K:$K,H116,'[1]Grade Project'!$F:$F,$A$5,'[1]Grade Project'!$G:$G,$A$8),"")</f>
        <v/>
      </c>
      <c r="L116" t="str">
        <f t="shared" si="4"/>
        <v/>
      </c>
      <c r="M116" t="str">
        <f t="shared" si="5"/>
        <v/>
      </c>
      <c r="N116" t="str">
        <f t="shared" si="6"/>
        <v/>
      </c>
    </row>
    <row r="117" spans="8:14" x14ac:dyDescent="0.25">
      <c r="H117" t="str">
        <f>IF(I116=0,"",INDEX('[1]Grade Project'!$K:$K,MATCH($A$28,'[1]Grade Project'!$H:$H,0)+SUM($I$3:I116)))</f>
        <v/>
      </c>
      <c r="I117">
        <f>COUNTIFS('[1]Grade Project'!$G:$G,$A$8,'[1]Grade Project'!$K:$K,H117,'[1]Grade Project'!$F:$F,$A$5)</f>
        <v>0</v>
      </c>
      <c r="J117" t="str">
        <f>IFERROR(AVERAGEIFS('[1]Grade Project'!$N:$N,'[1]Grade Project'!$K:$K,H117,'[1]Grade Project'!$F:$F,$A$5,'[1]Grade Project'!$G:$G,$A$8),"")</f>
        <v/>
      </c>
      <c r="K117" t="str">
        <f>IFERROR(AVERAGEIFS('[1]Grade Project'!$O:$O,'[1]Grade Project'!$K:$K,H117,'[1]Grade Project'!$F:$F,$A$5,'[1]Grade Project'!$G:$G,$A$8),"")</f>
        <v/>
      </c>
      <c r="L117" t="str">
        <f t="shared" si="4"/>
        <v/>
      </c>
      <c r="M117" t="str">
        <f t="shared" si="5"/>
        <v/>
      </c>
      <c r="N117" t="str">
        <f t="shared" si="6"/>
        <v/>
      </c>
    </row>
    <row r="118" spans="8:14" x14ac:dyDescent="0.25">
      <c r="H118" t="str">
        <f>IF(I117=0,"",INDEX('[1]Grade Project'!$K:$K,MATCH($A$28,'[1]Grade Project'!$H:$H,0)+SUM($I$3:I117)))</f>
        <v/>
      </c>
      <c r="I118">
        <f>COUNTIFS('[1]Grade Project'!$G:$G,$A$8,'[1]Grade Project'!$K:$K,H118,'[1]Grade Project'!$F:$F,$A$5)</f>
        <v>0</v>
      </c>
      <c r="J118" t="str">
        <f>IFERROR(AVERAGEIFS('[1]Grade Project'!$N:$N,'[1]Grade Project'!$K:$K,H118,'[1]Grade Project'!$F:$F,$A$5,'[1]Grade Project'!$G:$G,$A$8),"")</f>
        <v/>
      </c>
      <c r="K118" t="str">
        <f>IFERROR(AVERAGEIFS('[1]Grade Project'!$O:$O,'[1]Grade Project'!$K:$K,H118,'[1]Grade Project'!$F:$F,$A$5,'[1]Grade Project'!$G:$G,$A$8),"")</f>
        <v/>
      </c>
      <c r="L118" t="str">
        <f t="shared" si="4"/>
        <v/>
      </c>
      <c r="M118" t="str">
        <f t="shared" si="5"/>
        <v/>
      </c>
      <c r="N118" t="str">
        <f t="shared" si="6"/>
        <v/>
      </c>
    </row>
    <row r="119" spans="8:14" x14ac:dyDescent="0.25">
      <c r="H119" t="str">
        <f>IF(I118=0,"",INDEX('[1]Grade Project'!$K:$K,MATCH($A$28,'[1]Grade Project'!$H:$H,0)+SUM($I$3:I118)))</f>
        <v/>
      </c>
      <c r="I119">
        <f>COUNTIFS('[1]Grade Project'!$G:$G,$A$8,'[1]Grade Project'!$K:$K,H119,'[1]Grade Project'!$F:$F,$A$5)</f>
        <v>0</v>
      </c>
      <c r="J119" t="str">
        <f>IFERROR(AVERAGEIFS('[1]Grade Project'!$N:$N,'[1]Grade Project'!$K:$K,H119,'[1]Grade Project'!$F:$F,$A$5,'[1]Grade Project'!$G:$G,$A$8),"")</f>
        <v/>
      </c>
      <c r="K119" t="str">
        <f>IFERROR(AVERAGEIFS('[1]Grade Project'!$O:$O,'[1]Grade Project'!$K:$K,H119,'[1]Grade Project'!$F:$F,$A$5,'[1]Grade Project'!$G:$G,$A$8),"")</f>
        <v/>
      </c>
      <c r="L119" t="str">
        <f t="shared" si="4"/>
        <v/>
      </c>
      <c r="M119" t="str">
        <f t="shared" si="5"/>
        <v/>
      </c>
      <c r="N119" t="str">
        <f t="shared" si="6"/>
        <v/>
      </c>
    </row>
    <row r="120" spans="8:14" x14ac:dyDescent="0.25">
      <c r="H120" t="str">
        <f>IF(I119=0,"",INDEX('[1]Grade Project'!$K:$K,MATCH($A$28,'[1]Grade Project'!$H:$H,0)+SUM($I$3:I119)))</f>
        <v/>
      </c>
      <c r="I120">
        <f>COUNTIFS('[1]Grade Project'!$G:$G,$A$8,'[1]Grade Project'!$K:$K,H120,'[1]Grade Project'!$F:$F,$A$5)</f>
        <v>0</v>
      </c>
      <c r="J120" t="str">
        <f>IFERROR(AVERAGEIFS('[1]Grade Project'!$N:$N,'[1]Grade Project'!$K:$K,H120,'[1]Grade Project'!$F:$F,$A$5,'[1]Grade Project'!$G:$G,$A$8),"")</f>
        <v/>
      </c>
      <c r="K120" t="str">
        <f>IFERROR(AVERAGEIFS('[1]Grade Project'!$O:$O,'[1]Grade Project'!$K:$K,H120,'[1]Grade Project'!$F:$F,$A$5,'[1]Grade Project'!$G:$G,$A$8),"")</f>
        <v/>
      </c>
      <c r="L120" t="str">
        <f t="shared" si="4"/>
        <v/>
      </c>
      <c r="M120" t="str">
        <f t="shared" si="5"/>
        <v/>
      </c>
      <c r="N120" t="str">
        <f t="shared" si="6"/>
        <v/>
      </c>
    </row>
    <row r="121" spans="8:14" x14ac:dyDescent="0.25">
      <c r="H121" t="str">
        <f>IF(I120=0,"",INDEX('[1]Grade Project'!$K:$K,MATCH($A$28,'[1]Grade Project'!$H:$H,0)+SUM($I$3:I120)))</f>
        <v/>
      </c>
      <c r="I121">
        <f>COUNTIFS('[1]Grade Project'!$G:$G,$A$8,'[1]Grade Project'!$K:$K,H121,'[1]Grade Project'!$F:$F,$A$5)</f>
        <v>0</v>
      </c>
      <c r="J121" t="str">
        <f>IFERROR(AVERAGEIFS('[1]Grade Project'!$N:$N,'[1]Grade Project'!$K:$K,H121,'[1]Grade Project'!$F:$F,$A$5,'[1]Grade Project'!$G:$G,$A$8),"")</f>
        <v/>
      </c>
      <c r="K121" t="str">
        <f>IFERROR(AVERAGEIFS('[1]Grade Project'!$O:$O,'[1]Grade Project'!$K:$K,H121,'[1]Grade Project'!$F:$F,$A$5,'[1]Grade Project'!$G:$G,$A$8),"")</f>
        <v/>
      </c>
      <c r="L121" t="str">
        <f t="shared" si="4"/>
        <v/>
      </c>
      <c r="M121" t="str">
        <f t="shared" si="5"/>
        <v/>
      </c>
      <c r="N121" t="str">
        <f t="shared" si="6"/>
        <v/>
      </c>
    </row>
    <row r="122" spans="8:14" x14ac:dyDescent="0.25">
      <c r="H122" t="str">
        <f>IF(I121=0,"",INDEX('[1]Grade Project'!$K:$K,MATCH($A$28,'[1]Grade Project'!$H:$H,0)+SUM($I$3:I121)))</f>
        <v/>
      </c>
      <c r="I122">
        <f>COUNTIFS('[1]Grade Project'!$G:$G,$A$8,'[1]Grade Project'!$K:$K,H122,'[1]Grade Project'!$F:$F,$A$5)</f>
        <v>0</v>
      </c>
      <c r="J122" t="str">
        <f>IFERROR(AVERAGEIFS('[1]Grade Project'!$N:$N,'[1]Grade Project'!$K:$K,H122,'[1]Grade Project'!$F:$F,$A$5,'[1]Grade Project'!$G:$G,$A$8),"")</f>
        <v/>
      </c>
      <c r="K122" t="str">
        <f>IFERROR(AVERAGEIFS('[1]Grade Project'!$O:$O,'[1]Grade Project'!$K:$K,H122,'[1]Grade Project'!$F:$F,$A$5,'[1]Grade Project'!$G:$G,$A$8),"")</f>
        <v/>
      </c>
      <c r="L122" t="str">
        <f t="shared" si="4"/>
        <v/>
      </c>
      <c r="M122" t="str">
        <f t="shared" si="5"/>
        <v/>
      </c>
      <c r="N122" t="str">
        <f t="shared" si="6"/>
        <v/>
      </c>
    </row>
    <row r="123" spans="8:14" x14ac:dyDescent="0.25">
      <c r="H123" t="str">
        <f>IF(I122=0,"",INDEX('[1]Grade Project'!$K:$K,MATCH($A$28,'[1]Grade Project'!$H:$H,0)+SUM($I$3:I122)))</f>
        <v/>
      </c>
      <c r="I123">
        <f>COUNTIFS('[1]Grade Project'!$G:$G,$A$8,'[1]Grade Project'!$K:$K,H123,'[1]Grade Project'!$F:$F,$A$5)</f>
        <v>0</v>
      </c>
      <c r="J123" t="str">
        <f>IFERROR(AVERAGEIFS('[1]Grade Project'!$N:$N,'[1]Grade Project'!$K:$K,H123,'[1]Grade Project'!$F:$F,$A$5,'[1]Grade Project'!$G:$G,$A$8),"")</f>
        <v/>
      </c>
      <c r="K123" t="str">
        <f>IFERROR(AVERAGEIFS('[1]Grade Project'!$O:$O,'[1]Grade Project'!$K:$K,H123,'[1]Grade Project'!$F:$F,$A$5,'[1]Grade Project'!$G:$G,$A$8),"")</f>
        <v/>
      </c>
      <c r="L123" t="str">
        <f t="shared" si="4"/>
        <v/>
      </c>
      <c r="M123" t="str">
        <f t="shared" si="5"/>
        <v/>
      </c>
      <c r="N123" t="str">
        <f t="shared" si="6"/>
        <v/>
      </c>
    </row>
    <row r="124" spans="8:14" x14ac:dyDescent="0.25">
      <c r="H124" t="str">
        <f>IF(I123=0,"",INDEX('[1]Grade Project'!$K:$K,MATCH($A$28,'[1]Grade Project'!$H:$H,0)+SUM($I$3:I123)))</f>
        <v/>
      </c>
      <c r="I124">
        <f>COUNTIFS('[1]Grade Project'!$G:$G,$A$8,'[1]Grade Project'!$K:$K,H124,'[1]Grade Project'!$F:$F,$A$5)</f>
        <v>0</v>
      </c>
      <c r="J124" t="str">
        <f>IFERROR(AVERAGEIFS('[1]Grade Project'!$N:$N,'[1]Grade Project'!$K:$K,H124,'[1]Grade Project'!$F:$F,$A$5,'[1]Grade Project'!$G:$G,$A$8),"")</f>
        <v/>
      </c>
      <c r="K124" t="str">
        <f>IFERROR(AVERAGEIFS('[1]Grade Project'!$O:$O,'[1]Grade Project'!$K:$K,H124,'[1]Grade Project'!$F:$F,$A$5,'[1]Grade Project'!$G:$G,$A$8),"")</f>
        <v/>
      </c>
      <c r="L124" t="str">
        <f t="shared" si="4"/>
        <v/>
      </c>
      <c r="M124" t="str">
        <f t="shared" si="5"/>
        <v/>
      </c>
      <c r="N124" t="str">
        <f t="shared" si="6"/>
        <v/>
      </c>
    </row>
    <row r="125" spans="8:14" x14ac:dyDescent="0.25">
      <c r="H125" t="str">
        <f>IF(I124=0,"",INDEX('[1]Grade Project'!$K:$K,MATCH($A$28,'[1]Grade Project'!$H:$H,0)+SUM($I$3:I124)))</f>
        <v/>
      </c>
      <c r="I125">
        <f>COUNTIFS('[1]Grade Project'!$G:$G,$A$8,'[1]Grade Project'!$K:$K,H125,'[1]Grade Project'!$F:$F,$A$5)</f>
        <v>0</v>
      </c>
      <c r="J125" t="str">
        <f>IFERROR(AVERAGEIFS('[1]Grade Project'!$N:$N,'[1]Grade Project'!$K:$K,H125,'[1]Grade Project'!$F:$F,$A$5,'[1]Grade Project'!$G:$G,$A$8),"")</f>
        <v/>
      </c>
      <c r="K125" t="str">
        <f>IFERROR(AVERAGEIFS('[1]Grade Project'!$O:$O,'[1]Grade Project'!$K:$K,H125,'[1]Grade Project'!$F:$F,$A$5,'[1]Grade Project'!$G:$G,$A$8),"")</f>
        <v/>
      </c>
      <c r="L125" t="str">
        <f t="shared" si="4"/>
        <v/>
      </c>
      <c r="M125" t="str">
        <f t="shared" si="5"/>
        <v/>
      </c>
      <c r="N125" t="str">
        <f t="shared" si="6"/>
        <v/>
      </c>
    </row>
    <row r="126" spans="8:14" x14ac:dyDescent="0.25">
      <c r="H126" t="str">
        <f>IF(I125=0,"",INDEX('[1]Grade Project'!$K:$K,MATCH($A$28,'[1]Grade Project'!$H:$H,0)+SUM($I$3:I125)))</f>
        <v/>
      </c>
      <c r="I126">
        <f>COUNTIFS('[1]Grade Project'!$G:$G,$A$8,'[1]Grade Project'!$K:$K,H126,'[1]Grade Project'!$F:$F,$A$5)</f>
        <v>0</v>
      </c>
      <c r="J126" t="str">
        <f>IFERROR(AVERAGEIFS('[1]Grade Project'!$N:$N,'[1]Grade Project'!$K:$K,H126,'[1]Grade Project'!$F:$F,$A$5,'[1]Grade Project'!$G:$G,$A$8),"")</f>
        <v/>
      </c>
      <c r="K126" t="str">
        <f>IFERROR(AVERAGEIFS('[1]Grade Project'!$O:$O,'[1]Grade Project'!$K:$K,H126,'[1]Grade Project'!$F:$F,$A$5,'[1]Grade Project'!$G:$G,$A$8),"")</f>
        <v/>
      </c>
      <c r="L126" t="str">
        <f t="shared" si="4"/>
        <v/>
      </c>
      <c r="M126" t="str">
        <f t="shared" si="5"/>
        <v/>
      </c>
      <c r="N126" t="str">
        <f t="shared" si="6"/>
        <v/>
      </c>
    </row>
    <row r="127" spans="8:14" x14ac:dyDescent="0.25">
      <c r="H127" t="str">
        <f>IF(I126=0,"",INDEX('[1]Grade Project'!$K:$K,MATCH($A$28,'[1]Grade Project'!$H:$H,0)+SUM($I$3:I126)))</f>
        <v/>
      </c>
      <c r="I127">
        <f>COUNTIFS('[1]Grade Project'!$G:$G,$A$8,'[1]Grade Project'!$K:$K,H127,'[1]Grade Project'!$F:$F,$A$5)</f>
        <v>0</v>
      </c>
      <c r="J127" t="str">
        <f>IFERROR(AVERAGEIFS('[1]Grade Project'!$N:$N,'[1]Grade Project'!$K:$K,H127,'[1]Grade Project'!$F:$F,$A$5,'[1]Grade Project'!$G:$G,$A$8),"")</f>
        <v/>
      </c>
      <c r="K127" t="str">
        <f>IFERROR(AVERAGEIFS('[1]Grade Project'!$O:$O,'[1]Grade Project'!$K:$K,H127,'[1]Grade Project'!$F:$F,$A$5,'[1]Grade Project'!$G:$G,$A$8),"")</f>
        <v/>
      </c>
      <c r="L127" t="str">
        <f t="shared" si="4"/>
        <v/>
      </c>
      <c r="M127" t="str">
        <f t="shared" si="5"/>
        <v/>
      </c>
      <c r="N127" t="str">
        <f t="shared" si="6"/>
        <v/>
      </c>
    </row>
    <row r="128" spans="8:14" x14ac:dyDescent="0.25">
      <c r="H128" t="str">
        <f>IF(I127=0,"",INDEX('[1]Grade Project'!$K:$K,MATCH($A$28,'[1]Grade Project'!$H:$H,0)+SUM($I$3:I127)))</f>
        <v/>
      </c>
      <c r="I128">
        <f>COUNTIFS('[1]Grade Project'!$G:$G,$A$8,'[1]Grade Project'!$K:$K,H128,'[1]Grade Project'!$F:$F,$A$5)</f>
        <v>0</v>
      </c>
      <c r="J128" t="str">
        <f>IFERROR(AVERAGEIFS('[1]Grade Project'!$N:$N,'[1]Grade Project'!$K:$K,H128,'[1]Grade Project'!$F:$F,$A$5,'[1]Grade Project'!$G:$G,$A$8),"")</f>
        <v/>
      </c>
      <c r="K128" t="str">
        <f>IFERROR(AVERAGEIFS('[1]Grade Project'!$O:$O,'[1]Grade Project'!$K:$K,H128,'[1]Grade Project'!$F:$F,$A$5,'[1]Grade Project'!$G:$G,$A$8),"")</f>
        <v/>
      </c>
      <c r="L128" t="str">
        <f t="shared" si="4"/>
        <v/>
      </c>
      <c r="M128" t="str">
        <f t="shared" si="5"/>
        <v/>
      </c>
      <c r="N128" t="str">
        <f t="shared" si="6"/>
        <v/>
      </c>
    </row>
    <row r="129" spans="8:14" x14ac:dyDescent="0.25">
      <c r="H129" t="str">
        <f>IF(I128=0,"",INDEX('[1]Grade Project'!$K:$K,MATCH($A$28,'[1]Grade Project'!$H:$H,0)+SUM($I$3:I128)))</f>
        <v/>
      </c>
      <c r="I129">
        <f>COUNTIFS('[1]Grade Project'!$G:$G,$A$8,'[1]Grade Project'!$K:$K,H129,'[1]Grade Project'!$F:$F,$A$5)</f>
        <v>0</v>
      </c>
      <c r="J129" t="str">
        <f>IFERROR(AVERAGEIFS('[1]Grade Project'!$N:$N,'[1]Grade Project'!$K:$K,H129,'[1]Grade Project'!$F:$F,$A$5,'[1]Grade Project'!$G:$G,$A$8),"")</f>
        <v/>
      </c>
      <c r="K129" t="str">
        <f>IFERROR(AVERAGEIFS('[1]Grade Project'!$O:$O,'[1]Grade Project'!$K:$K,H129,'[1]Grade Project'!$F:$F,$A$5,'[1]Grade Project'!$G:$G,$A$8),"")</f>
        <v/>
      </c>
      <c r="L129" t="str">
        <f t="shared" si="4"/>
        <v/>
      </c>
      <c r="M129" t="str">
        <f t="shared" si="5"/>
        <v/>
      </c>
      <c r="N129" t="str">
        <f t="shared" si="6"/>
        <v/>
      </c>
    </row>
    <row r="130" spans="8:14" x14ac:dyDescent="0.25">
      <c r="H130" t="str">
        <f>IF(I129=0,"",INDEX('[1]Grade Project'!$K:$K,MATCH($A$28,'[1]Grade Project'!$H:$H,0)+SUM($I$3:I129)))</f>
        <v/>
      </c>
      <c r="I130">
        <f>COUNTIFS('[1]Grade Project'!$G:$G,$A$8,'[1]Grade Project'!$K:$K,H130,'[1]Grade Project'!$F:$F,$A$5)</f>
        <v>0</v>
      </c>
      <c r="J130" t="str">
        <f>IFERROR(AVERAGEIFS('[1]Grade Project'!$N:$N,'[1]Grade Project'!$K:$K,H130,'[1]Grade Project'!$F:$F,$A$5,'[1]Grade Project'!$G:$G,$A$8),"")</f>
        <v/>
      </c>
      <c r="K130" t="str">
        <f>IFERROR(AVERAGEIFS('[1]Grade Project'!$O:$O,'[1]Grade Project'!$K:$K,H130,'[1]Grade Project'!$F:$F,$A$5,'[1]Grade Project'!$G:$G,$A$8),"")</f>
        <v/>
      </c>
      <c r="L130" t="str">
        <f t="shared" si="4"/>
        <v/>
      </c>
      <c r="M130" t="str">
        <f t="shared" si="5"/>
        <v/>
      </c>
      <c r="N130" t="str">
        <f t="shared" si="6"/>
        <v/>
      </c>
    </row>
    <row r="131" spans="8:14" x14ac:dyDescent="0.25">
      <c r="H131" t="str">
        <f>IF(I130=0,"",INDEX('[1]Grade Project'!$K:$K,MATCH($A$28,'[1]Grade Project'!$H:$H,0)+SUM($I$3:I130)))</f>
        <v/>
      </c>
      <c r="I131">
        <f>COUNTIFS('[1]Grade Project'!$G:$G,$A$8,'[1]Grade Project'!$K:$K,H131,'[1]Grade Project'!$F:$F,$A$5)</f>
        <v>0</v>
      </c>
      <c r="J131" t="str">
        <f>IFERROR(AVERAGEIFS('[1]Grade Project'!$N:$N,'[1]Grade Project'!$K:$K,H131,'[1]Grade Project'!$F:$F,$A$5,'[1]Grade Project'!$G:$G,$A$8),"")</f>
        <v/>
      </c>
      <c r="K131" t="str">
        <f>IFERROR(AVERAGEIFS('[1]Grade Project'!$O:$O,'[1]Grade Project'!$K:$K,H131,'[1]Grade Project'!$F:$F,$A$5,'[1]Grade Project'!$G:$G,$A$8),"")</f>
        <v/>
      </c>
      <c r="L131" t="str">
        <f t="shared" si="4"/>
        <v/>
      </c>
      <c r="M131" t="str">
        <f t="shared" si="5"/>
        <v/>
      </c>
      <c r="N131" t="str">
        <f t="shared" si="6"/>
        <v/>
      </c>
    </row>
    <row r="132" spans="8:14" x14ac:dyDescent="0.25">
      <c r="H132" t="str">
        <f>IF(I131=0,"",INDEX('[1]Grade Project'!$K:$K,MATCH($A$28,'[1]Grade Project'!$H:$H,0)+SUM($I$3:I131)))</f>
        <v/>
      </c>
      <c r="I132">
        <f>COUNTIFS('[1]Grade Project'!$G:$G,$A$8,'[1]Grade Project'!$K:$K,H132,'[1]Grade Project'!$F:$F,$A$5)</f>
        <v>0</v>
      </c>
      <c r="J132" t="str">
        <f>IFERROR(AVERAGEIFS('[1]Grade Project'!$N:$N,'[1]Grade Project'!$K:$K,H132,'[1]Grade Project'!$F:$F,$A$5,'[1]Grade Project'!$G:$G,$A$8),"")</f>
        <v/>
      </c>
      <c r="K132" t="str">
        <f>IFERROR(AVERAGEIFS('[1]Grade Project'!$O:$O,'[1]Grade Project'!$K:$K,H132,'[1]Grade Project'!$F:$F,$A$5,'[1]Grade Project'!$G:$G,$A$8),"")</f>
        <v/>
      </c>
      <c r="L132" t="str">
        <f t="shared" ref="L132:L146" si="7">IFERROR(K132/J132,"")</f>
        <v/>
      </c>
      <c r="M132" t="str">
        <f t="shared" ref="M132:M146" si="8">IFERROR(_xlfn.RANK.EQ(L132,L:L),"")</f>
        <v/>
      </c>
      <c r="N132" t="str">
        <f t="shared" ref="N132:N146" si="9">IFERROR(MAX(M:M)-M132+1,"")</f>
        <v/>
      </c>
    </row>
    <row r="133" spans="8:14" x14ac:dyDescent="0.25">
      <c r="H133" t="str">
        <f>IF(I132=0,"",INDEX('[1]Grade Project'!$K:$K,MATCH($A$28,'[1]Grade Project'!$H:$H,0)+SUM($I$3:I132)))</f>
        <v/>
      </c>
      <c r="I133">
        <f>COUNTIFS('[1]Grade Project'!$G:$G,$A$8,'[1]Grade Project'!$K:$K,H133,'[1]Grade Project'!$F:$F,$A$5)</f>
        <v>0</v>
      </c>
      <c r="J133" t="str">
        <f>IFERROR(AVERAGEIFS('[1]Grade Project'!$N:$N,'[1]Grade Project'!$K:$K,H133,'[1]Grade Project'!$F:$F,$A$5,'[1]Grade Project'!$G:$G,$A$8),"")</f>
        <v/>
      </c>
      <c r="K133" t="str">
        <f>IFERROR(AVERAGEIFS('[1]Grade Project'!$O:$O,'[1]Grade Project'!$K:$K,H133,'[1]Grade Project'!$F:$F,$A$5,'[1]Grade Project'!$G:$G,$A$8),"")</f>
        <v/>
      </c>
      <c r="L133" t="str">
        <f t="shared" si="7"/>
        <v/>
      </c>
      <c r="M133" t="str">
        <f t="shared" si="8"/>
        <v/>
      </c>
      <c r="N133" t="str">
        <f t="shared" si="9"/>
        <v/>
      </c>
    </row>
    <row r="134" spans="8:14" x14ac:dyDescent="0.25">
      <c r="H134" t="str">
        <f>IF(I133=0,"",INDEX('[1]Grade Project'!$K:$K,MATCH($A$28,'[1]Grade Project'!$H:$H,0)+SUM($I$3:I133)))</f>
        <v/>
      </c>
      <c r="I134">
        <f>COUNTIFS('[1]Grade Project'!$G:$G,$A$8,'[1]Grade Project'!$K:$K,H134,'[1]Grade Project'!$F:$F,$A$5)</f>
        <v>0</v>
      </c>
      <c r="J134" t="str">
        <f>IFERROR(AVERAGEIFS('[1]Grade Project'!$N:$N,'[1]Grade Project'!$K:$K,H134,'[1]Grade Project'!$F:$F,$A$5,'[1]Grade Project'!$G:$G,$A$8),"")</f>
        <v/>
      </c>
      <c r="K134" t="str">
        <f>IFERROR(AVERAGEIFS('[1]Grade Project'!$O:$O,'[1]Grade Project'!$K:$K,H134,'[1]Grade Project'!$F:$F,$A$5,'[1]Grade Project'!$G:$G,$A$8),"")</f>
        <v/>
      </c>
      <c r="L134" t="str">
        <f t="shared" si="7"/>
        <v/>
      </c>
      <c r="M134" t="str">
        <f t="shared" si="8"/>
        <v/>
      </c>
      <c r="N134" t="str">
        <f t="shared" si="9"/>
        <v/>
      </c>
    </row>
    <row r="135" spans="8:14" x14ac:dyDescent="0.25">
      <c r="H135" t="str">
        <f>IF(I134=0,"",INDEX('[1]Grade Project'!$K:$K,MATCH($A$28,'[1]Grade Project'!$H:$H,0)+SUM($I$3:I134)))</f>
        <v/>
      </c>
      <c r="I135">
        <f>COUNTIFS('[1]Grade Project'!$G:$G,$A$8,'[1]Grade Project'!$K:$K,H135,'[1]Grade Project'!$F:$F,$A$5)</f>
        <v>0</v>
      </c>
      <c r="J135" t="str">
        <f>IFERROR(AVERAGEIFS('[1]Grade Project'!$N:$N,'[1]Grade Project'!$K:$K,H135,'[1]Grade Project'!$F:$F,$A$5,'[1]Grade Project'!$G:$G,$A$8),"")</f>
        <v/>
      </c>
      <c r="K135" t="str">
        <f>IFERROR(AVERAGEIFS('[1]Grade Project'!$O:$O,'[1]Grade Project'!$K:$K,H135,'[1]Grade Project'!$F:$F,$A$5,'[1]Grade Project'!$G:$G,$A$8),"")</f>
        <v/>
      </c>
      <c r="L135" t="str">
        <f t="shared" si="7"/>
        <v/>
      </c>
      <c r="M135" t="str">
        <f t="shared" si="8"/>
        <v/>
      </c>
      <c r="N135" t="str">
        <f t="shared" si="9"/>
        <v/>
      </c>
    </row>
    <row r="136" spans="8:14" x14ac:dyDescent="0.25">
      <c r="H136" t="str">
        <f>IF(I135=0,"",INDEX('[1]Grade Project'!$K:$K,MATCH($A$28,'[1]Grade Project'!$H:$H,0)+SUM($I$3:I135)))</f>
        <v/>
      </c>
      <c r="I136">
        <f>COUNTIFS('[1]Grade Project'!$G:$G,$A$8,'[1]Grade Project'!$K:$K,H136,'[1]Grade Project'!$F:$F,$A$5)</f>
        <v>0</v>
      </c>
      <c r="J136" t="str">
        <f>IFERROR(AVERAGEIFS('[1]Grade Project'!$N:$N,'[1]Grade Project'!$K:$K,H136,'[1]Grade Project'!$F:$F,$A$5,'[1]Grade Project'!$G:$G,$A$8),"")</f>
        <v/>
      </c>
      <c r="K136" t="str">
        <f>IFERROR(AVERAGEIFS('[1]Grade Project'!$O:$O,'[1]Grade Project'!$K:$K,H136,'[1]Grade Project'!$F:$F,$A$5,'[1]Grade Project'!$G:$G,$A$8),"")</f>
        <v/>
      </c>
      <c r="L136" t="str">
        <f t="shared" si="7"/>
        <v/>
      </c>
      <c r="M136" t="str">
        <f t="shared" si="8"/>
        <v/>
      </c>
      <c r="N136" t="str">
        <f t="shared" si="9"/>
        <v/>
      </c>
    </row>
    <row r="137" spans="8:14" x14ac:dyDescent="0.25">
      <c r="H137" t="str">
        <f>IF(I136=0,"",INDEX('[1]Grade Project'!$K:$K,MATCH($A$28,'[1]Grade Project'!$H:$H,0)+SUM($I$3:I136)))</f>
        <v/>
      </c>
      <c r="I137">
        <f>COUNTIFS('[1]Grade Project'!$G:$G,$A$8,'[1]Grade Project'!$K:$K,H137,'[1]Grade Project'!$F:$F,$A$5)</f>
        <v>0</v>
      </c>
      <c r="J137" t="str">
        <f>IFERROR(AVERAGEIFS('[1]Grade Project'!$N:$N,'[1]Grade Project'!$K:$K,H137,'[1]Grade Project'!$F:$F,$A$5,'[1]Grade Project'!$G:$G,$A$8),"")</f>
        <v/>
      </c>
      <c r="K137" t="str">
        <f>IFERROR(AVERAGEIFS('[1]Grade Project'!$O:$O,'[1]Grade Project'!$K:$K,H137,'[1]Grade Project'!$F:$F,$A$5,'[1]Grade Project'!$G:$G,$A$8),"")</f>
        <v/>
      </c>
      <c r="L137" t="str">
        <f t="shared" si="7"/>
        <v/>
      </c>
      <c r="M137" t="str">
        <f t="shared" si="8"/>
        <v/>
      </c>
      <c r="N137" t="str">
        <f t="shared" si="9"/>
        <v/>
      </c>
    </row>
    <row r="138" spans="8:14" x14ac:dyDescent="0.25">
      <c r="H138" t="str">
        <f>IF(I137=0,"",INDEX('[1]Grade Project'!$K:$K,MATCH($A$28,'[1]Grade Project'!$H:$H,0)+SUM($I$3:I137)))</f>
        <v/>
      </c>
      <c r="I138">
        <f>COUNTIFS('[1]Grade Project'!$G:$G,$A$8,'[1]Grade Project'!$K:$K,H138,'[1]Grade Project'!$F:$F,$A$5)</f>
        <v>0</v>
      </c>
      <c r="J138" t="str">
        <f>IFERROR(AVERAGEIFS('[1]Grade Project'!$N:$N,'[1]Grade Project'!$K:$K,H138,'[1]Grade Project'!$F:$F,$A$5,'[1]Grade Project'!$G:$G,$A$8),"")</f>
        <v/>
      </c>
      <c r="K138" t="str">
        <f>IFERROR(AVERAGEIFS('[1]Grade Project'!$O:$O,'[1]Grade Project'!$K:$K,H138,'[1]Grade Project'!$F:$F,$A$5,'[1]Grade Project'!$G:$G,$A$8),"")</f>
        <v/>
      </c>
      <c r="L138" t="str">
        <f t="shared" si="7"/>
        <v/>
      </c>
      <c r="M138" t="str">
        <f t="shared" si="8"/>
        <v/>
      </c>
      <c r="N138" t="str">
        <f t="shared" si="9"/>
        <v/>
      </c>
    </row>
    <row r="139" spans="8:14" x14ac:dyDescent="0.25">
      <c r="H139" t="str">
        <f>IF(I138=0,"",INDEX('[1]Grade Project'!$K:$K,MATCH($A$28,'[1]Grade Project'!$H:$H,0)+SUM($I$3:I138)))</f>
        <v/>
      </c>
      <c r="I139">
        <f>COUNTIFS('[1]Grade Project'!$G:$G,$A$8,'[1]Grade Project'!$K:$K,H139,'[1]Grade Project'!$F:$F,$A$5)</f>
        <v>0</v>
      </c>
      <c r="J139" t="str">
        <f>IFERROR(AVERAGEIFS('[1]Grade Project'!$N:$N,'[1]Grade Project'!$K:$K,H139,'[1]Grade Project'!$F:$F,$A$5,'[1]Grade Project'!$G:$G,$A$8),"")</f>
        <v/>
      </c>
      <c r="K139" t="str">
        <f>IFERROR(AVERAGEIFS('[1]Grade Project'!$O:$O,'[1]Grade Project'!$K:$K,H139,'[1]Grade Project'!$F:$F,$A$5,'[1]Grade Project'!$G:$G,$A$8),"")</f>
        <v/>
      </c>
      <c r="L139" t="str">
        <f t="shared" si="7"/>
        <v/>
      </c>
      <c r="M139" t="str">
        <f t="shared" si="8"/>
        <v/>
      </c>
      <c r="N139" t="str">
        <f t="shared" si="9"/>
        <v/>
      </c>
    </row>
    <row r="140" spans="8:14" x14ac:dyDescent="0.25">
      <c r="H140" t="str">
        <f>IF(I139=0,"",INDEX('[1]Grade Project'!$K:$K,MATCH($A$28,'[1]Grade Project'!$H:$H,0)+SUM($I$3:I139)))</f>
        <v/>
      </c>
      <c r="I140">
        <f>COUNTIFS('[1]Grade Project'!$G:$G,$A$8,'[1]Grade Project'!$K:$K,H140,'[1]Grade Project'!$F:$F,$A$5)</f>
        <v>0</v>
      </c>
      <c r="J140" t="str">
        <f>IFERROR(AVERAGEIFS('[1]Grade Project'!$N:$N,'[1]Grade Project'!$K:$K,H140,'[1]Grade Project'!$F:$F,$A$5,'[1]Grade Project'!$G:$G,$A$8),"")</f>
        <v/>
      </c>
      <c r="K140" t="str">
        <f>IFERROR(AVERAGEIFS('[1]Grade Project'!$O:$O,'[1]Grade Project'!$K:$K,H140,'[1]Grade Project'!$F:$F,$A$5,'[1]Grade Project'!$G:$G,$A$8),"")</f>
        <v/>
      </c>
      <c r="L140" t="str">
        <f t="shared" si="7"/>
        <v/>
      </c>
      <c r="M140" t="str">
        <f t="shared" si="8"/>
        <v/>
      </c>
      <c r="N140" t="str">
        <f t="shared" si="9"/>
        <v/>
      </c>
    </row>
    <row r="141" spans="8:14" x14ac:dyDescent="0.25">
      <c r="H141" t="str">
        <f>IF(I140=0,"",INDEX('[1]Grade Project'!$K:$K,MATCH($A$28,'[1]Grade Project'!$H:$H,0)+SUM($I$3:I140)))</f>
        <v/>
      </c>
      <c r="I141">
        <f>COUNTIFS('[1]Grade Project'!$G:$G,$A$8,'[1]Grade Project'!$K:$K,H141,'[1]Grade Project'!$F:$F,$A$5)</f>
        <v>0</v>
      </c>
      <c r="J141" t="str">
        <f>IFERROR(AVERAGEIFS('[1]Grade Project'!$N:$N,'[1]Grade Project'!$K:$K,H141,'[1]Grade Project'!$F:$F,$A$5,'[1]Grade Project'!$G:$G,$A$8),"")</f>
        <v/>
      </c>
      <c r="K141" t="str">
        <f>IFERROR(AVERAGEIFS('[1]Grade Project'!$O:$O,'[1]Grade Project'!$K:$K,H141,'[1]Grade Project'!$F:$F,$A$5,'[1]Grade Project'!$G:$G,$A$8),"")</f>
        <v/>
      </c>
      <c r="L141" t="str">
        <f t="shared" si="7"/>
        <v/>
      </c>
      <c r="M141" t="str">
        <f t="shared" si="8"/>
        <v/>
      </c>
      <c r="N141" t="str">
        <f t="shared" si="9"/>
        <v/>
      </c>
    </row>
    <row r="142" spans="8:14" x14ac:dyDescent="0.25">
      <c r="H142" t="str">
        <f>IF(I141=0,"",INDEX('[1]Grade Project'!$K:$K,MATCH($A$28,'[1]Grade Project'!$H:$H,0)+SUM($I$3:I141)))</f>
        <v/>
      </c>
      <c r="I142">
        <f>COUNTIFS('[1]Grade Project'!$G:$G,$A$8,'[1]Grade Project'!$K:$K,H142,'[1]Grade Project'!$F:$F,$A$5)</f>
        <v>0</v>
      </c>
      <c r="J142" t="str">
        <f>IFERROR(AVERAGEIFS('[1]Grade Project'!$N:$N,'[1]Grade Project'!$K:$K,H142,'[1]Grade Project'!$F:$F,$A$5,'[1]Grade Project'!$G:$G,$A$8),"")</f>
        <v/>
      </c>
      <c r="K142" t="str">
        <f>IFERROR(AVERAGEIFS('[1]Grade Project'!$O:$O,'[1]Grade Project'!$K:$K,H142,'[1]Grade Project'!$F:$F,$A$5,'[1]Grade Project'!$G:$G,$A$8),"")</f>
        <v/>
      </c>
      <c r="L142" t="str">
        <f t="shared" si="7"/>
        <v/>
      </c>
      <c r="M142" t="str">
        <f t="shared" si="8"/>
        <v/>
      </c>
      <c r="N142" t="str">
        <f t="shared" si="9"/>
        <v/>
      </c>
    </row>
    <row r="143" spans="8:14" x14ac:dyDescent="0.25">
      <c r="H143" t="str">
        <f>IF(I142=0,"",INDEX('[1]Grade Project'!$K:$K,MATCH($A$28,'[1]Grade Project'!$H:$H,0)+SUM($I$3:I142)))</f>
        <v/>
      </c>
      <c r="I143">
        <f>COUNTIFS('[1]Grade Project'!$G:$G,$A$8,'[1]Grade Project'!$K:$K,H143,'[1]Grade Project'!$F:$F,$A$5)</f>
        <v>0</v>
      </c>
      <c r="J143" t="str">
        <f>IFERROR(AVERAGEIFS('[1]Grade Project'!$N:$N,'[1]Grade Project'!$K:$K,H143,'[1]Grade Project'!$F:$F,$A$5,'[1]Grade Project'!$G:$G,$A$8),"")</f>
        <v/>
      </c>
      <c r="K143" t="str">
        <f>IFERROR(AVERAGEIFS('[1]Grade Project'!$O:$O,'[1]Grade Project'!$K:$K,H143,'[1]Grade Project'!$F:$F,$A$5,'[1]Grade Project'!$G:$G,$A$8),"")</f>
        <v/>
      </c>
      <c r="L143" t="str">
        <f t="shared" si="7"/>
        <v/>
      </c>
      <c r="M143" t="str">
        <f t="shared" si="8"/>
        <v/>
      </c>
      <c r="N143" t="str">
        <f t="shared" si="9"/>
        <v/>
      </c>
    </row>
    <row r="144" spans="8:14" x14ac:dyDescent="0.25">
      <c r="H144" t="str">
        <f>IF(I143=0,"",INDEX('[1]Grade Project'!$K:$K,MATCH($A$28,'[1]Grade Project'!$H:$H,0)+SUM($I$3:I143)))</f>
        <v/>
      </c>
      <c r="I144">
        <f>COUNTIFS('[1]Grade Project'!$G:$G,$A$8,'[1]Grade Project'!$K:$K,H144,'[1]Grade Project'!$F:$F,$A$5)</f>
        <v>0</v>
      </c>
      <c r="J144" t="str">
        <f>IFERROR(AVERAGEIFS('[1]Grade Project'!$N:$N,'[1]Grade Project'!$K:$K,H144,'[1]Grade Project'!$F:$F,$A$5,'[1]Grade Project'!$G:$G,$A$8),"")</f>
        <v/>
      </c>
      <c r="K144" t="str">
        <f>IFERROR(AVERAGEIFS('[1]Grade Project'!$O:$O,'[1]Grade Project'!$K:$K,H144,'[1]Grade Project'!$F:$F,$A$5,'[1]Grade Project'!$G:$G,$A$8),"")</f>
        <v/>
      </c>
      <c r="L144" t="str">
        <f t="shared" si="7"/>
        <v/>
      </c>
      <c r="M144" t="str">
        <f t="shared" si="8"/>
        <v/>
      </c>
      <c r="N144" t="str">
        <f t="shared" si="9"/>
        <v/>
      </c>
    </row>
    <row r="145" spans="8:14" x14ac:dyDescent="0.25">
      <c r="H145" t="str">
        <f>IF(I144=0,"",INDEX('[1]Grade Project'!$K:$K,MATCH($A$28,'[1]Grade Project'!$H:$H,0)+SUM($I$3:I144)))</f>
        <v/>
      </c>
      <c r="I145">
        <f>COUNTIFS('[1]Grade Project'!$G:$G,$A$8,'[1]Grade Project'!$K:$K,H145,'[1]Grade Project'!$F:$F,$A$5)</f>
        <v>0</v>
      </c>
      <c r="J145" t="str">
        <f>IFERROR(AVERAGEIFS('[1]Grade Project'!$N:$N,'[1]Grade Project'!$K:$K,H145,'[1]Grade Project'!$F:$F,$A$5,'[1]Grade Project'!$G:$G,$A$8),"")</f>
        <v/>
      </c>
      <c r="K145" t="str">
        <f>IFERROR(AVERAGEIFS('[1]Grade Project'!$O:$O,'[1]Grade Project'!$K:$K,H145,'[1]Grade Project'!$F:$F,$A$5,'[1]Grade Project'!$G:$G,$A$8),"")</f>
        <v/>
      </c>
      <c r="L145" t="str">
        <f t="shared" si="7"/>
        <v/>
      </c>
      <c r="M145" t="str">
        <f t="shared" si="8"/>
        <v/>
      </c>
      <c r="N145" t="str">
        <f t="shared" si="9"/>
        <v/>
      </c>
    </row>
    <row r="146" spans="8:14" x14ac:dyDescent="0.25">
      <c r="H146" t="str">
        <f>IF(I145=0,"",INDEX('[1]Grade Project'!$K:$K,MATCH($A$28,'[1]Grade Project'!$H:$H,0)+SUM($I$3:I145)))</f>
        <v/>
      </c>
      <c r="I146">
        <f>COUNTIFS('[1]Grade Project'!$G:$G,$A$8,'[1]Grade Project'!$K:$K,H146,'[1]Grade Project'!$F:$F,$A$5)</f>
        <v>0</v>
      </c>
      <c r="J146" t="str">
        <f>IFERROR(AVERAGEIFS('[1]Grade Project'!$N:$N,'[1]Grade Project'!$K:$K,H146,'[1]Grade Project'!$F:$F,$A$5,'[1]Grade Project'!$G:$G,$A$8),"")</f>
        <v/>
      </c>
      <c r="K146" t="str">
        <f>IFERROR(AVERAGEIFS('[1]Grade Project'!$O:$O,'[1]Grade Project'!$K:$K,H146,'[1]Grade Project'!$F:$F,$A$5,'[1]Grade Project'!$G:$G,$A$8),"")</f>
        <v/>
      </c>
      <c r="L146" t="str">
        <f t="shared" si="7"/>
        <v/>
      </c>
      <c r="M146" t="str">
        <f t="shared" si="8"/>
        <v/>
      </c>
      <c r="N146" t="str">
        <f t="shared" si="9"/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46"/>
  <sheetViews>
    <sheetView workbookViewId="0">
      <selection activeCell="C15" sqref="C15"/>
    </sheetView>
  </sheetViews>
  <sheetFormatPr defaultRowHeight="15" x14ac:dyDescent="0.25"/>
  <cols>
    <col min="1" max="2" width="12.5703125" bestFit="1" customWidth="1"/>
    <col min="5" max="5" width="13.42578125" bestFit="1" customWidth="1"/>
    <col min="8" max="8" width="22.140625" bestFit="1" customWidth="1"/>
    <col min="10" max="10" width="12.140625" bestFit="1" customWidth="1"/>
    <col min="11" max="11" width="13.140625" bestFit="1" customWidth="1"/>
    <col min="14" max="14" width="13.85546875" bestFit="1" customWidth="1"/>
  </cols>
  <sheetData>
    <row r="1" spans="1:15" x14ac:dyDescent="0.25">
      <c r="B1" t="s">
        <v>100</v>
      </c>
      <c r="C1" t="s">
        <v>103</v>
      </c>
      <c r="D1" t="s">
        <v>104</v>
      </c>
      <c r="E1" t="s">
        <v>107</v>
      </c>
      <c r="F1" t="s">
        <v>105</v>
      </c>
      <c r="G1" t="s">
        <v>106</v>
      </c>
      <c r="H1" t="s">
        <v>108</v>
      </c>
      <c r="I1" t="s">
        <v>109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</row>
    <row r="2" spans="1:15" x14ac:dyDescent="0.25">
      <c r="A2" t="s">
        <v>101</v>
      </c>
      <c r="E2" s="1"/>
    </row>
    <row r="3" spans="1:15" x14ac:dyDescent="0.25">
      <c r="A3">
        <f>Schedule!B6</f>
        <v>0</v>
      </c>
      <c r="B3" t="s">
        <v>3</v>
      </c>
      <c r="C3" t="e">
        <f>INDEX('[1]Grade Project'!$F:$F,MATCH($A$3,'[1]Grade Project'!$E:$E,0))</f>
        <v>#N/A</v>
      </c>
      <c r="D3">
        <f>COUNTIFS('[1]Grade Project'!$E:$E,$A$3,'[1]Grade Project'!$F:$F,C3)</f>
        <v>0</v>
      </c>
      <c r="E3" t="str">
        <f>IFERROR(RIGHT(C3,LEN(C3)-FIND("-",C3)),"")</f>
        <v/>
      </c>
      <c r="F3" t="e">
        <f>INDEX('[1]Grade Project'!$G:$G,MATCH($A$5,'[1]Grade Project'!$F:$F,0))</f>
        <v>#N/A</v>
      </c>
      <c r="G3">
        <f>COUNTIFS('[1]Grade Project'!$F:$F,$A$5,'[1]Grade Project'!$G:$G,F3)</f>
        <v>0</v>
      </c>
      <c r="H3" t="e">
        <f>INDEX('[1]Grade Project'!$K:$K,MATCH(CONCATENATE(A5,A8),'[1]Grade Project'!$H:$H,0))</f>
        <v>#N/A</v>
      </c>
      <c r="I3">
        <f>COUNTIFS('[1]Grade Project'!$G:$G,$A$8,'[1]Grade Project'!$K:$K,H3,'[1]Grade Project'!$F:$F,$A$5)</f>
        <v>0</v>
      </c>
      <c r="J3" t="str">
        <f>IFERROR(AVERAGEIFS('[1]Grade Project'!$N:$N,'[1]Grade Project'!$K:$K,H3,'[1]Grade Project'!$F:$F,$A$5,'[1]Grade Project'!$G:$G,$A$8),"")</f>
        <v/>
      </c>
      <c r="K3" t="str">
        <f>IFERROR(AVERAGEIFS('[1]Grade Project'!$O:$O,'[1]Grade Project'!$K:$K,H3,'[1]Grade Project'!$F:$F,$A$5,'[1]Grade Project'!$G:$G,$A$8),"")</f>
        <v/>
      </c>
      <c r="L3" t="str">
        <f>IFERROR(K3/J3,"")</f>
        <v/>
      </c>
      <c r="M3" t="str">
        <f>IFERROR(_xlfn.RANK.EQ(L3,L:L),"")</f>
        <v/>
      </c>
      <c r="N3" t="str">
        <f>IFERROR(MAX(M:M)-M3+1,"")</f>
        <v/>
      </c>
      <c r="O3">
        <f>COUNT(N:N)</f>
        <v>0</v>
      </c>
    </row>
    <row r="4" spans="1:15" x14ac:dyDescent="0.25">
      <c r="A4" t="s">
        <v>102</v>
      </c>
      <c r="B4" t="s">
        <v>4</v>
      </c>
      <c r="C4" t="e">
        <f>IF(C3="","",IF(C3=INDEX('[1]Grade Project'!$F:$F,MATCH($A$3,'[1]Grade Project'!$E:$E,0)+SUM($D$3:D3)),"",INDEX('[1]Grade Project'!$F:$F,MATCH($A$3,'[1]Grade Project'!$E:$E,0)+SUM($D$3:D3))))</f>
        <v>#N/A</v>
      </c>
      <c r="D4">
        <f>COUNTIFS('[1]Grade Project'!$E:$E,$A$3,'[1]Grade Project'!$F:$F,C4)</f>
        <v>0</v>
      </c>
      <c r="E4" t="str">
        <f t="shared" ref="E4:E36" si="0">IFERROR(RIGHT(C4,LEN(C4)-FIND("-",C4)),"")</f>
        <v/>
      </c>
      <c r="F4" t="str">
        <f>IF(G3=0,"",INDEX('[1]Grade Project'!$G:$G,MATCH($A$5,'[1]Grade Project'!$F:$F,0)+SUM($G$3:G3)))</f>
        <v/>
      </c>
      <c r="G4">
        <f>COUNTIFS('[1]Grade Project'!$F:$F,$A$5,'[1]Grade Project'!$G:$G,F4)</f>
        <v>0</v>
      </c>
      <c r="H4" t="str">
        <f>IF(I3=0,"",INDEX('[1]Grade Project'!$K:$K,MATCH(CONCATENATE($A$5,$A$8),'[1]Grade Project'!$H:$H,0)+SUM($I$3:I3)))</f>
        <v/>
      </c>
      <c r="I4">
        <f>COUNTIFS('[1]Grade Project'!$G:$G,$A$8,'[1]Grade Project'!$K:$K,H4,'[1]Grade Project'!$F:$F,$A$5)</f>
        <v>0</v>
      </c>
      <c r="J4" t="str">
        <f>IFERROR(AVERAGEIFS('[1]Grade Project'!$N:$N,'[1]Grade Project'!$K:$K,H4,'[1]Grade Project'!$F:$F,$A$5,'[1]Grade Project'!$G:$G,$A$8),"")</f>
        <v/>
      </c>
      <c r="K4" t="str">
        <f>IFERROR(AVERAGEIFS('[1]Grade Project'!$O:$O,'[1]Grade Project'!$K:$K,H4,'[1]Grade Project'!$F:$F,$A$5,'[1]Grade Project'!$G:$G,$A$8),"")</f>
        <v/>
      </c>
      <c r="L4" t="str">
        <f t="shared" ref="L4:L67" si="1">IFERROR(K4/J4,"")</f>
        <v/>
      </c>
      <c r="M4" t="str">
        <f t="shared" ref="M4:M67" si="2">IFERROR(_xlfn.RANK.EQ(L4,L:L),"")</f>
        <v/>
      </c>
      <c r="N4" t="str">
        <f t="shared" ref="N4:N67" si="3">IFERROR(MAX(M:M)-M4+1,"")</f>
        <v/>
      </c>
    </row>
    <row r="5" spans="1:15" x14ac:dyDescent="0.25">
      <c r="A5" t="e">
        <f>INDEX(C:C,MATCH(A6,E:E,0))</f>
        <v>#N/A</v>
      </c>
      <c r="B5" t="s">
        <v>5</v>
      </c>
      <c r="C5" t="e">
        <f>IF(C4="","",IF(C4=INDEX('[1]Grade Project'!$F:$F,MATCH($A$3,'[1]Grade Project'!$E:$E,0)+SUM($D$3:D4)),"",INDEX('[1]Grade Project'!$F:$F,MATCH($A$3,'[1]Grade Project'!$E:$E,0)+SUM($D$3:D4))))</f>
        <v>#N/A</v>
      </c>
      <c r="D5">
        <f>COUNTIFS('[1]Grade Project'!$E:$E,$A$3,'[1]Grade Project'!$F:$F,C5)</f>
        <v>0</v>
      </c>
      <c r="E5" t="str">
        <f t="shared" si="0"/>
        <v/>
      </c>
      <c r="F5" t="str">
        <f>IF(G4=0,"",INDEX('[1]Grade Project'!$G:$G,MATCH($A$5,'[1]Grade Project'!$F:$F,0)+SUM($G$3:G4)))</f>
        <v/>
      </c>
      <c r="G5">
        <f>COUNTIFS('[1]Grade Project'!$F:$F,$A$5,'[1]Grade Project'!$G:$G,F5)</f>
        <v>0</v>
      </c>
      <c r="H5" t="str">
        <f>IF(I4=0,"",INDEX('[1]Grade Project'!$K:$K,MATCH(CONCATENATE($A$5,$A$8),'[1]Grade Project'!$H:$H,0)+SUM($I$3:I4)))</f>
        <v/>
      </c>
      <c r="I5">
        <f>COUNTIFS('[1]Grade Project'!$G:$G,$A$8,'[1]Grade Project'!$K:$K,H5,'[1]Grade Project'!$F:$F,$A$5)</f>
        <v>0</v>
      </c>
      <c r="J5" t="str">
        <f>IFERROR(AVERAGEIFS('[1]Grade Project'!$N:$N,'[1]Grade Project'!$K:$K,H5,'[1]Grade Project'!$F:$F,$A$5,'[1]Grade Project'!$G:$G,$A$8),"")</f>
        <v/>
      </c>
      <c r="K5" t="str">
        <f>IFERROR(AVERAGEIFS('[1]Grade Project'!$O:$O,'[1]Grade Project'!$K:$K,H5,'[1]Grade Project'!$F:$F,$A$5,'[1]Grade Project'!$G:$G,$A$8),"")</f>
        <v/>
      </c>
      <c r="L5" t="str">
        <f t="shared" si="1"/>
        <v/>
      </c>
      <c r="M5" t="str">
        <f t="shared" si="2"/>
        <v/>
      </c>
      <c r="N5" t="str">
        <f t="shared" si="3"/>
        <v/>
      </c>
    </row>
    <row r="6" spans="1:15" x14ac:dyDescent="0.25">
      <c r="A6">
        <f>Schedule!C6</f>
        <v>0</v>
      </c>
      <c r="B6" t="s">
        <v>6</v>
      </c>
      <c r="C6" t="e">
        <f>IF(C5="","",IF(C5=INDEX('[1]Grade Project'!$F:$F,MATCH($A$3,'[1]Grade Project'!$E:$E,0)+SUM($D$3:D5)),"",INDEX('[1]Grade Project'!$F:$F,MATCH($A$3,'[1]Grade Project'!$E:$E,0)+SUM($D$3:D5))))</f>
        <v>#N/A</v>
      </c>
      <c r="D6">
        <f>COUNTIFS('[1]Grade Project'!$E:$E,$A$3,'[1]Grade Project'!$F:$F,C6)</f>
        <v>0</v>
      </c>
      <c r="E6" t="str">
        <f t="shared" si="0"/>
        <v/>
      </c>
      <c r="F6" t="str">
        <f>IF(G5=0,"",INDEX('[1]Grade Project'!$G:$G,MATCH($A$5,'[1]Grade Project'!$F:$F,0)+SUM($G$3:G5)))</f>
        <v/>
      </c>
      <c r="G6">
        <f>COUNTIFS('[1]Grade Project'!$F:$F,$A$5,'[1]Grade Project'!$G:$G,F6)</f>
        <v>0</v>
      </c>
      <c r="H6" t="str">
        <f>IF(I5=0,"",INDEX('[1]Grade Project'!$K:$K,MATCH(CONCATENATE($A$5,$A$8),'[1]Grade Project'!$H:$H,0)+SUM($I$3:I5)))</f>
        <v/>
      </c>
      <c r="I6">
        <f>COUNTIFS('[1]Grade Project'!$G:$G,$A$8,'[1]Grade Project'!$K:$K,H6,'[1]Grade Project'!$F:$F,$A$5)</f>
        <v>0</v>
      </c>
      <c r="J6" t="str">
        <f>IFERROR(AVERAGEIFS('[1]Grade Project'!$N:$N,'[1]Grade Project'!$K:$K,H6,'[1]Grade Project'!$F:$F,$A$5,'[1]Grade Project'!$G:$G,$A$8),"")</f>
        <v/>
      </c>
      <c r="K6" t="str">
        <f>IFERROR(AVERAGEIFS('[1]Grade Project'!$O:$O,'[1]Grade Project'!$K:$K,H6,'[1]Grade Project'!$F:$F,$A$5,'[1]Grade Project'!$G:$G,$A$8),"")</f>
        <v/>
      </c>
      <c r="L6" t="str">
        <f t="shared" si="1"/>
        <v/>
      </c>
      <c r="M6" t="str">
        <f t="shared" si="2"/>
        <v/>
      </c>
      <c r="N6" t="str">
        <f t="shared" si="3"/>
        <v/>
      </c>
    </row>
    <row r="7" spans="1:15" x14ac:dyDescent="0.25">
      <c r="A7" t="s">
        <v>0</v>
      </c>
      <c r="B7" t="s">
        <v>7</v>
      </c>
      <c r="C7" t="e">
        <f>IF(C6="","",IF(C6=INDEX('[1]Grade Project'!$F:$F,MATCH($A$3,'[1]Grade Project'!$E:$E,0)+SUM($D$3:D6)),"",INDEX('[1]Grade Project'!$F:$F,MATCH($A$3,'[1]Grade Project'!$E:$E,0)+SUM($D$3:D6))))</f>
        <v>#N/A</v>
      </c>
      <c r="D7">
        <f>COUNTIFS('[1]Grade Project'!$E:$E,$A$3,'[1]Grade Project'!$F:$F,C7)</f>
        <v>0</v>
      </c>
      <c r="E7" t="str">
        <f t="shared" si="0"/>
        <v/>
      </c>
      <c r="F7" t="str">
        <f>IF(G6=0,"",INDEX('[1]Grade Project'!$G:$G,MATCH($A$5,'[1]Grade Project'!$F:$F,0)+SUM($G$3:G6)))</f>
        <v/>
      </c>
      <c r="G7">
        <f>COUNTIFS('[1]Grade Project'!$F:$F,$A$5,'[1]Grade Project'!$G:$G,F7)</f>
        <v>0</v>
      </c>
      <c r="H7" t="str">
        <f>IF(I6=0,"",INDEX('[1]Grade Project'!$K:$K,MATCH(CONCATENATE($A$5,$A$8),'[1]Grade Project'!$H:$H,0)+SUM($I$3:I6)))</f>
        <v/>
      </c>
      <c r="I7">
        <f>COUNTIFS('[1]Grade Project'!$G:$G,$A$8,'[1]Grade Project'!$K:$K,H7,'[1]Grade Project'!$F:$F,$A$5)</f>
        <v>0</v>
      </c>
      <c r="J7" t="str">
        <f>IFERROR(AVERAGEIFS('[1]Grade Project'!$N:$N,'[1]Grade Project'!$K:$K,H7,'[1]Grade Project'!$F:$F,$A$5,'[1]Grade Project'!$G:$G,$A$8),"")</f>
        <v/>
      </c>
      <c r="K7" t="str">
        <f>IFERROR(AVERAGEIFS('[1]Grade Project'!$O:$O,'[1]Grade Project'!$K:$K,H7,'[1]Grade Project'!$F:$F,$A$5,'[1]Grade Project'!$G:$G,$A$8),"")</f>
        <v/>
      </c>
      <c r="L7" t="str">
        <f t="shared" si="1"/>
        <v/>
      </c>
      <c r="M7" t="str">
        <f t="shared" si="2"/>
        <v/>
      </c>
      <c r="N7" t="str">
        <f t="shared" si="3"/>
        <v/>
      </c>
    </row>
    <row r="8" spans="1:15" x14ac:dyDescent="0.25">
      <c r="A8">
        <f>Schedule!D6</f>
        <v>0</v>
      </c>
      <c r="B8" t="s">
        <v>8</v>
      </c>
      <c r="C8" t="e">
        <f>IF(C7="","",IF(C7=INDEX('[1]Grade Project'!$F:$F,MATCH($A$3,'[1]Grade Project'!$E:$E,0)+SUM($D$3:D7)),"",INDEX('[1]Grade Project'!$F:$F,MATCH($A$3,'[1]Grade Project'!$E:$E,0)+SUM($D$3:D7))))</f>
        <v>#N/A</v>
      </c>
      <c r="D8">
        <f>COUNTIFS('[1]Grade Project'!$E:$E,$A$3,'[1]Grade Project'!$F:$F,C8)</f>
        <v>0</v>
      </c>
      <c r="E8" t="str">
        <f t="shared" si="0"/>
        <v/>
      </c>
      <c r="F8" t="str">
        <f>IF(G7=0,"",INDEX('[1]Grade Project'!$G:$G,MATCH($A$5,'[1]Grade Project'!$F:$F,0)+SUM($G$3:G7)))</f>
        <v/>
      </c>
      <c r="G8">
        <f>COUNTIFS('[1]Grade Project'!$F:$F,$A$5,'[1]Grade Project'!$G:$G,F8)</f>
        <v>0</v>
      </c>
      <c r="H8" t="str">
        <f>IF(I7=0,"",INDEX('[1]Grade Project'!$K:$K,MATCH(CONCATENATE($A$5,$A$8),'[1]Grade Project'!$H:$H,0)+SUM($I$3:I7)))</f>
        <v/>
      </c>
      <c r="I8">
        <f>COUNTIFS('[1]Grade Project'!$G:$G,$A$8,'[1]Grade Project'!$K:$K,H8,'[1]Grade Project'!$F:$F,$A$5)</f>
        <v>0</v>
      </c>
      <c r="J8" t="str">
        <f>IFERROR(AVERAGEIFS('[1]Grade Project'!$N:$N,'[1]Grade Project'!$K:$K,H8,'[1]Grade Project'!$F:$F,$A$5,'[1]Grade Project'!$G:$G,$A$8),"")</f>
        <v/>
      </c>
      <c r="K8" t="str">
        <f>IFERROR(AVERAGEIFS('[1]Grade Project'!$O:$O,'[1]Grade Project'!$K:$K,H8,'[1]Grade Project'!$F:$F,$A$5,'[1]Grade Project'!$G:$G,$A$8),"")</f>
        <v/>
      </c>
      <c r="L8" t="str">
        <f t="shared" si="1"/>
        <v/>
      </c>
      <c r="M8" t="str">
        <f t="shared" si="2"/>
        <v/>
      </c>
      <c r="N8" t="str">
        <f t="shared" si="3"/>
        <v/>
      </c>
    </row>
    <row r="9" spans="1:15" x14ac:dyDescent="0.25">
      <c r="A9" t="s">
        <v>108</v>
      </c>
      <c r="B9" t="s">
        <v>9</v>
      </c>
      <c r="C9" t="e">
        <f>IF(C8="","",IF(C8=INDEX('[1]Grade Project'!$F:$F,MATCH($A$3,'[1]Grade Project'!$E:$E,0)+SUM($D$3:D8)),"",INDEX('[1]Grade Project'!$F:$F,MATCH($A$3,'[1]Grade Project'!$E:$E,0)+SUM($D$3:D8))))</f>
        <v>#N/A</v>
      </c>
      <c r="D9">
        <f>COUNTIFS('[1]Grade Project'!$E:$E,$A$3,'[1]Grade Project'!$F:$F,C9)</f>
        <v>0</v>
      </c>
      <c r="E9" t="str">
        <f t="shared" si="0"/>
        <v/>
      </c>
      <c r="F9" t="str">
        <f>IF(G8=0,"",INDEX('[1]Grade Project'!$G:$G,MATCH($A$5,'[1]Grade Project'!$F:$F,0)+SUM($G$3:G8)))</f>
        <v/>
      </c>
      <c r="G9">
        <f>COUNTIFS('[1]Grade Project'!$F:$F,$A$5,'[1]Grade Project'!$G:$G,F9)</f>
        <v>0</v>
      </c>
      <c r="H9" t="str">
        <f>IF(I8=0,"",INDEX('[1]Grade Project'!$K:$K,MATCH(CONCATENATE($A$5,$A$8),'[1]Grade Project'!$H:$H,0)+SUM($I$3:I8)))</f>
        <v/>
      </c>
      <c r="I9">
        <f>COUNTIFS('[1]Grade Project'!$G:$G,$A$8,'[1]Grade Project'!$K:$K,H9,'[1]Grade Project'!$F:$F,$A$5)</f>
        <v>0</v>
      </c>
      <c r="J9" t="str">
        <f>IFERROR(AVERAGEIFS('[1]Grade Project'!$N:$N,'[1]Grade Project'!$K:$K,H9,'[1]Grade Project'!$F:$F,$A$5,'[1]Grade Project'!$G:$G,$A$8),"")</f>
        <v/>
      </c>
      <c r="K9" t="str">
        <f>IFERROR(AVERAGEIFS('[1]Grade Project'!$O:$O,'[1]Grade Project'!$K:$K,H9,'[1]Grade Project'!$F:$F,$A$5,'[1]Grade Project'!$G:$G,$A$8),"")</f>
        <v/>
      </c>
      <c r="L9" t="str">
        <f t="shared" si="1"/>
        <v/>
      </c>
      <c r="M9" t="str">
        <f t="shared" si="2"/>
        <v/>
      </c>
      <c r="N9" t="str">
        <f t="shared" si="3"/>
        <v/>
      </c>
    </row>
    <row r="10" spans="1:15" x14ac:dyDescent="0.25">
      <c r="A10">
        <f>Schedule!E6</f>
        <v>0</v>
      </c>
      <c r="B10" t="s">
        <v>10</v>
      </c>
      <c r="C10" t="e">
        <f>IF(C9="","",IF(C9=INDEX('[1]Grade Project'!$F:$F,MATCH($A$3,'[1]Grade Project'!$E:$E,0)+SUM($D$3:D9)),"",INDEX('[1]Grade Project'!$F:$F,MATCH($A$3,'[1]Grade Project'!$E:$E,0)+SUM($D$3:D9))))</f>
        <v>#N/A</v>
      </c>
      <c r="D10">
        <f>COUNTIFS('[1]Grade Project'!$E:$E,$A$3,'[1]Grade Project'!$F:$F,C10)</f>
        <v>0</v>
      </c>
      <c r="E10" t="str">
        <f t="shared" si="0"/>
        <v/>
      </c>
      <c r="F10" t="str">
        <f>IF(G9=0,"",INDEX('[1]Grade Project'!$G:$G,MATCH($A$5,'[1]Grade Project'!$F:$F,0)+SUM($G$3:G9)))</f>
        <v/>
      </c>
      <c r="G10">
        <f>COUNTIFS('[1]Grade Project'!$F:$F,$A$5,'[1]Grade Project'!$G:$G,F10)</f>
        <v>0</v>
      </c>
      <c r="H10" t="str">
        <f>IF(I9=0,"",INDEX('[1]Grade Project'!$K:$K,MATCH(CONCATENATE($A$5,$A$8),'[1]Grade Project'!$H:$H,0)+SUM($I$3:I9)))</f>
        <v/>
      </c>
      <c r="I10">
        <f>COUNTIFS('[1]Grade Project'!$G:$G,$A$8,'[1]Grade Project'!$K:$K,H10,'[1]Grade Project'!$F:$F,$A$5)</f>
        <v>0</v>
      </c>
      <c r="J10" t="str">
        <f>IFERROR(AVERAGEIFS('[1]Grade Project'!$N:$N,'[1]Grade Project'!$K:$K,H10,'[1]Grade Project'!$F:$F,$A$5,'[1]Grade Project'!$G:$G,$A$8),"")</f>
        <v/>
      </c>
      <c r="K10" t="str">
        <f>IFERROR(AVERAGEIFS('[1]Grade Project'!$O:$O,'[1]Grade Project'!$K:$K,H10,'[1]Grade Project'!$F:$F,$A$5,'[1]Grade Project'!$G:$G,$A$8),"")</f>
        <v/>
      </c>
      <c r="L10" t="str">
        <f t="shared" si="1"/>
        <v/>
      </c>
      <c r="M10" t="str">
        <f t="shared" si="2"/>
        <v/>
      </c>
      <c r="N10" t="str">
        <f t="shared" si="3"/>
        <v/>
      </c>
    </row>
    <row r="11" spans="1:15" x14ac:dyDescent="0.25">
      <c r="A11" t="s">
        <v>111</v>
      </c>
      <c r="B11" t="s">
        <v>11</v>
      </c>
      <c r="C11" t="e">
        <f>IF(C10="","",IF(C10=INDEX('[1]Grade Project'!$F:$F,MATCH($A$3,'[1]Grade Project'!$E:$E,0)+SUM($D$3:D10)),"",INDEX('[1]Grade Project'!$F:$F,MATCH($A$3,'[1]Grade Project'!$E:$E,0)+SUM($D$3:D10))))</f>
        <v>#N/A</v>
      </c>
      <c r="D11">
        <f>COUNTIFS('[1]Grade Project'!$E:$E,$A$3,'[1]Grade Project'!$F:$F,C11)</f>
        <v>0</v>
      </c>
      <c r="E11" t="str">
        <f t="shared" si="0"/>
        <v/>
      </c>
      <c r="F11" t="str">
        <f>IF(G10=0,"",INDEX('[1]Grade Project'!$G:$G,MATCH($A$5,'[1]Grade Project'!$F:$F,0)+SUM($G$3:G10)))</f>
        <v/>
      </c>
      <c r="G11">
        <f>COUNTIFS('[1]Grade Project'!$F:$F,$A$5,'[1]Grade Project'!$G:$G,F11)</f>
        <v>0</v>
      </c>
      <c r="H11" t="str">
        <f>IF(I10=0,"",INDEX('[1]Grade Project'!$K:$K,MATCH(CONCATENATE($A$5,$A$8),'[1]Grade Project'!$H:$H,0)+SUM($I$3:I10)))</f>
        <v/>
      </c>
      <c r="I11">
        <f>COUNTIFS('[1]Grade Project'!$G:$G,$A$8,'[1]Grade Project'!$K:$K,H11,'[1]Grade Project'!$F:$F,$A$5)</f>
        <v>0</v>
      </c>
      <c r="J11" t="str">
        <f>IFERROR(AVERAGEIFS('[1]Grade Project'!$N:$N,'[1]Grade Project'!$K:$K,H11,'[1]Grade Project'!$F:$F,$A$5,'[1]Grade Project'!$G:$G,$A$8),"")</f>
        <v/>
      </c>
      <c r="K11" t="str">
        <f>IFERROR(AVERAGEIFS('[1]Grade Project'!$O:$O,'[1]Grade Project'!$K:$K,H11,'[1]Grade Project'!$F:$F,$A$5,'[1]Grade Project'!$G:$G,$A$8),"")</f>
        <v/>
      </c>
      <c r="L11" t="str">
        <f t="shared" si="1"/>
        <v/>
      </c>
      <c r="M11" t="str">
        <f t="shared" si="2"/>
        <v/>
      </c>
      <c r="N11" t="str">
        <f t="shared" si="3"/>
        <v/>
      </c>
    </row>
    <row r="12" spans="1:15" x14ac:dyDescent="0.25">
      <c r="A12" t="e">
        <f>AVERAGEIFS('[1]Grade Project'!$N:$N,'[1]Grade Project'!$K:$K,$A$10,'[1]Grade Project'!$F:$F,A5,'[1]Grade Project'!$G:$G,$A$8)</f>
        <v>#DIV/0!</v>
      </c>
      <c r="B12" t="s">
        <v>12</v>
      </c>
      <c r="C12" t="e">
        <f>IF(C11="","",IF(C11=INDEX('[1]Grade Project'!$F:$F,MATCH($A$3,'[1]Grade Project'!$E:$E,0)+SUM($D$3:D11)),"",INDEX('[1]Grade Project'!$F:$F,MATCH($A$3,'[1]Grade Project'!$E:$E,0)+SUM($D$3:D11))))</f>
        <v>#N/A</v>
      </c>
      <c r="D12">
        <f>COUNTIFS('[1]Grade Project'!$E:$E,$A$3,'[1]Grade Project'!$F:$F,C12)</f>
        <v>0</v>
      </c>
      <c r="E12" t="str">
        <f t="shared" si="0"/>
        <v/>
      </c>
      <c r="F12" t="str">
        <f>IF(G11=0,"",INDEX('[1]Grade Project'!$G:$G,MATCH($A$5,'[1]Grade Project'!$F:$F,0)+SUM($G$3:G11)))</f>
        <v/>
      </c>
      <c r="G12">
        <f>COUNTIFS('[1]Grade Project'!$F:$F,$A$5,'[1]Grade Project'!$G:$G,F12)</f>
        <v>0</v>
      </c>
      <c r="H12" t="str">
        <f>IF(I11=0,"",INDEX('[1]Grade Project'!$K:$K,MATCH(CONCATENATE($A$5,$A$8),'[1]Grade Project'!$H:$H,0)+SUM($I$3:I11)))</f>
        <v/>
      </c>
      <c r="I12">
        <f>COUNTIFS('[1]Grade Project'!$G:$G,$A$8,'[1]Grade Project'!$K:$K,H12,'[1]Grade Project'!$F:$F,$A$5)</f>
        <v>0</v>
      </c>
      <c r="J12" t="str">
        <f>IFERROR(AVERAGEIFS('[1]Grade Project'!$N:$N,'[1]Grade Project'!$K:$K,H12,'[1]Grade Project'!$F:$F,$A$5,'[1]Grade Project'!$G:$G,$A$8),"")</f>
        <v/>
      </c>
      <c r="K12" t="str">
        <f>IFERROR(AVERAGEIFS('[1]Grade Project'!$O:$O,'[1]Grade Project'!$K:$K,H12,'[1]Grade Project'!$F:$F,$A$5,'[1]Grade Project'!$G:$G,$A$8),"")</f>
        <v/>
      </c>
      <c r="L12" t="str">
        <f t="shared" si="1"/>
        <v/>
      </c>
      <c r="M12" t="str">
        <f t="shared" si="2"/>
        <v/>
      </c>
      <c r="N12" t="str">
        <f t="shared" si="3"/>
        <v/>
      </c>
    </row>
    <row r="13" spans="1:15" x14ac:dyDescent="0.25">
      <c r="A13" t="s">
        <v>112</v>
      </c>
      <c r="B13" t="s">
        <v>13</v>
      </c>
      <c r="C13" t="e">
        <f>IF(C12="","",IF(C12=INDEX('[1]Grade Project'!$F:$F,MATCH($A$3,'[1]Grade Project'!$E:$E,0)+SUM($D$3:D12)),"",INDEX('[1]Grade Project'!$F:$F,MATCH($A$3,'[1]Grade Project'!$E:$E,0)+SUM($D$3:D12))))</f>
        <v>#N/A</v>
      </c>
      <c r="D13">
        <f>COUNTIFS('[1]Grade Project'!$E:$E,$A$3,'[1]Grade Project'!$F:$F,C13)</f>
        <v>0</v>
      </c>
      <c r="E13" t="str">
        <f t="shared" si="0"/>
        <v/>
      </c>
      <c r="F13" t="str">
        <f>IF(G12=0,"",INDEX('[1]Grade Project'!$G:$G,MATCH($A$5,'[1]Grade Project'!$F:$F,0)+SUM($G$3:G12)))</f>
        <v/>
      </c>
      <c r="G13">
        <f>COUNTIFS('[1]Grade Project'!$F:$F,$A$5,'[1]Grade Project'!$G:$G,F13)</f>
        <v>0</v>
      </c>
      <c r="H13" t="str">
        <f>IF(I12=0,"",INDEX('[1]Grade Project'!$K:$K,MATCH(CONCATENATE($A$5,$A$8),'[1]Grade Project'!$H:$H,0)+SUM($I$3:I12)))</f>
        <v/>
      </c>
      <c r="I13">
        <f>COUNTIFS('[1]Grade Project'!$G:$G,$A$8,'[1]Grade Project'!$K:$K,H13,'[1]Grade Project'!$F:$F,$A$5)</f>
        <v>0</v>
      </c>
      <c r="J13" t="str">
        <f>IFERROR(AVERAGEIFS('[1]Grade Project'!$N:$N,'[1]Grade Project'!$K:$K,H13,'[1]Grade Project'!$F:$F,$A$5,'[1]Grade Project'!$G:$G,$A$8),"")</f>
        <v/>
      </c>
      <c r="K13" t="str">
        <f>IFERROR(AVERAGEIFS('[1]Grade Project'!$O:$O,'[1]Grade Project'!$K:$K,H13,'[1]Grade Project'!$F:$F,$A$5,'[1]Grade Project'!$G:$G,$A$8),"")</f>
        <v/>
      </c>
      <c r="L13" t="str">
        <f t="shared" si="1"/>
        <v/>
      </c>
      <c r="M13" t="str">
        <f t="shared" si="2"/>
        <v/>
      </c>
      <c r="N13" t="str">
        <f t="shared" si="3"/>
        <v/>
      </c>
    </row>
    <row r="14" spans="1:15" x14ac:dyDescent="0.25">
      <c r="A14" t="e">
        <f>AVERAGEIFS('[1]Grade Project'!$O:$O,'[1]Grade Project'!$K:$K,$A$10,'[1]Grade Project'!$F:$F,A5,'[1]Grade Project'!$G:$G,$A$8)</f>
        <v>#DIV/0!</v>
      </c>
      <c r="B14" t="s">
        <v>14</v>
      </c>
      <c r="C14" t="e">
        <f>IF(C13="","",IF(C13=INDEX('[1]Grade Project'!$F:$F,MATCH($A$3,'[1]Grade Project'!$E:$E,0)+SUM($D$3:D13)),"",INDEX('[1]Grade Project'!$F:$F,MATCH($A$3,'[1]Grade Project'!$E:$E,0)+SUM($D$3:D13))))</f>
        <v>#N/A</v>
      </c>
      <c r="D14">
        <f>COUNTIFS('[1]Grade Project'!$E:$E,$A$3,'[1]Grade Project'!$F:$F,C14)</f>
        <v>0</v>
      </c>
      <c r="E14" t="str">
        <f t="shared" si="0"/>
        <v/>
      </c>
      <c r="F14" t="str">
        <f>IF(G13=0,"",INDEX('[1]Grade Project'!$G:$G,MATCH($A$5,'[1]Grade Project'!$F:$F,0)+SUM($G$3:G13)))</f>
        <v/>
      </c>
      <c r="G14">
        <f>COUNTIFS('[1]Grade Project'!$F:$F,$A$5,'[1]Grade Project'!$G:$G,F14)</f>
        <v>0</v>
      </c>
      <c r="H14" t="str">
        <f>IF(I13=0,"",INDEX('[1]Grade Project'!$K:$K,MATCH(CONCATENATE($A$5,$A$8),'[1]Grade Project'!$H:$H,0)+SUM($I$3:I13)))</f>
        <v/>
      </c>
      <c r="I14">
        <f>COUNTIFS('[1]Grade Project'!$G:$G,$A$8,'[1]Grade Project'!$K:$K,H14,'[1]Grade Project'!$F:$F,$A$5)</f>
        <v>0</v>
      </c>
      <c r="J14" t="str">
        <f>IFERROR(AVERAGEIFS('[1]Grade Project'!$N:$N,'[1]Grade Project'!$K:$K,H14,'[1]Grade Project'!$F:$F,$A$5,'[1]Grade Project'!$G:$G,$A$8),"")</f>
        <v/>
      </c>
      <c r="K14" t="str">
        <f>IFERROR(AVERAGEIFS('[1]Grade Project'!$O:$O,'[1]Grade Project'!$K:$K,H14,'[1]Grade Project'!$F:$F,$A$5,'[1]Grade Project'!$G:$G,$A$8),"")</f>
        <v/>
      </c>
      <c r="L14" t="str">
        <f t="shared" si="1"/>
        <v/>
      </c>
      <c r="M14" t="str">
        <f t="shared" si="2"/>
        <v/>
      </c>
      <c r="N14" t="str">
        <f t="shared" si="3"/>
        <v/>
      </c>
    </row>
    <row r="15" spans="1:15" x14ac:dyDescent="0.25">
      <c r="A15" t="s">
        <v>118</v>
      </c>
      <c r="B15" t="s">
        <v>15</v>
      </c>
      <c r="C15" t="e">
        <f>IF(C14="","",IF(C14=INDEX('[1]Grade Project'!$F:$F,MATCH($A$3,'[1]Grade Project'!$E:$E,0)+SUM($D$3:D14)),"",INDEX('[1]Grade Project'!$F:$F,MATCH($A$3,'[1]Grade Project'!$E:$E,0)+SUM($D$3:D14))))</f>
        <v>#N/A</v>
      </c>
      <c r="D15">
        <f>COUNTIFS('[1]Grade Project'!$E:$E,$A$3,'[1]Grade Project'!$F:$F,C15)</f>
        <v>0</v>
      </c>
      <c r="E15" t="str">
        <f t="shared" si="0"/>
        <v/>
      </c>
      <c r="F15" t="str">
        <f>IF(G14=0,"",INDEX('[1]Grade Project'!$G:$G,MATCH($A$5,'[1]Grade Project'!$F:$F,0)+SUM($G$3:G14)))</f>
        <v/>
      </c>
      <c r="G15">
        <f>COUNTIFS('[1]Grade Project'!$F:$F,$A$5,'[1]Grade Project'!$G:$G,F15)</f>
        <v>0</v>
      </c>
      <c r="H15" t="str">
        <f>IF(I14=0,"",INDEX('[1]Grade Project'!$K:$K,MATCH(CONCATENATE($A$5,$A$8),'[1]Grade Project'!$H:$H,0)+SUM($I$3:I14)))</f>
        <v/>
      </c>
      <c r="I15">
        <f>COUNTIFS('[1]Grade Project'!$G:$G,$A$8,'[1]Grade Project'!$K:$K,H15,'[1]Grade Project'!$F:$F,$A$5)</f>
        <v>0</v>
      </c>
      <c r="J15" t="str">
        <f>IFERROR(AVERAGEIFS('[1]Grade Project'!$N:$N,'[1]Grade Project'!$K:$K,H15,'[1]Grade Project'!$F:$F,$A$5,'[1]Grade Project'!$G:$G,$A$8),"")</f>
        <v/>
      </c>
      <c r="K15" t="str">
        <f>IFERROR(AVERAGEIFS('[1]Grade Project'!$O:$O,'[1]Grade Project'!$K:$K,H15,'[1]Grade Project'!$F:$F,$A$5,'[1]Grade Project'!$G:$G,$A$8),"")</f>
        <v/>
      </c>
      <c r="L15" t="str">
        <f t="shared" si="1"/>
        <v/>
      </c>
      <c r="M15" t="str">
        <f t="shared" si="2"/>
        <v/>
      </c>
      <c r="N15" t="str">
        <f t="shared" si="3"/>
        <v/>
      </c>
    </row>
    <row r="16" spans="1:15" x14ac:dyDescent="0.25">
      <c r="A16" t="e">
        <f>INDEX(Two!N:N,MATCH(A14/A12,Two!L:L,0))&amp;"/"&amp;COUNT(Two!N:N)</f>
        <v>#DIV/0!</v>
      </c>
      <c r="B16" t="s">
        <v>16</v>
      </c>
      <c r="C16" t="e">
        <f>IF(C15="","",IF(C15=INDEX('[1]Grade Project'!$F:$F,MATCH($A$3,'[1]Grade Project'!$E:$E,0)+SUM($D$3:D15)),"",INDEX('[1]Grade Project'!$F:$F,MATCH($A$3,'[1]Grade Project'!$E:$E,0)+SUM($D$3:D15))))</f>
        <v>#N/A</v>
      </c>
      <c r="D16">
        <f>COUNTIFS('[1]Grade Project'!$E:$E,$A$3,'[1]Grade Project'!$F:$F,C16)</f>
        <v>0</v>
      </c>
      <c r="E16" t="str">
        <f t="shared" si="0"/>
        <v/>
      </c>
      <c r="F16" t="str">
        <f>IF(G15=0,"",INDEX('[1]Grade Project'!$G:$G,MATCH($A$5,'[1]Grade Project'!$F:$F,0)+SUM($G$3:G15)))</f>
        <v/>
      </c>
      <c r="G16">
        <f>COUNTIFS('[1]Grade Project'!$F:$F,$A$5,'[1]Grade Project'!$G:$G,F16)</f>
        <v>0</v>
      </c>
      <c r="H16" t="str">
        <f>IF(I15=0,"",INDEX('[1]Grade Project'!$K:$K,MATCH(CONCATENATE($A$5,$A$8),'[1]Grade Project'!$H:$H,0)+SUM($I$3:I15)))</f>
        <v/>
      </c>
      <c r="I16">
        <f>COUNTIFS('[1]Grade Project'!$G:$G,$A$8,'[1]Grade Project'!$K:$K,H16,'[1]Grade Project'!$F:$F,$A$5)</f>
        <v>0</v>
      </c>
      <c r="J16" t="str">
        <f>IFERROR(AVERAGEIFS('[1]Grade Project'!$N:$N,'[1]Grade Project'!$K:$K,H16,'[1]Grade Project'!$F:$F,$A$5,'[1]Grade Project'!$G:$G,$A$8),"")</f>
        <v/>
      </c>
      <c r="K16" t="str">
        <f>IFERROR(AVERAGEIFS('[1]Grade Project'!$O:$O,'[1]Grade Project'!$K:$K,H16,'[1]Grade Project'!$F:$F,$A$5,'[1]Grade Project'!$G:$G,$A$8),"")</f>
        <v/>
      </c>
      <c r="L16" t="str">
        <f t="shared" si="1"/>
        <v/>
      </c>
      <c r="M16" t="str">
        <f t="shared" si="2"/>
        <v/>
      </c>
      <c r="N16" t="str">
        <f t="shared" si="3"/>
        <v/>
      </c>
    </row>
    <row r="17" spans="1:14" x14ac:dyDescent="0.25">
      <c r="A17" t="s">
        <v>113</v>
      </c>
      <c r="B17" t="s">
        <v>17</v>
      </c>
      <c r="C17" t="e">
        <f>IF(C16="","",IF(C16=INDEX('[1]Grade Project'!$F:$F,MATCH($A$3,'[1]Grade Project'!$E:$E,0)+SUM($D$3:D16)),"",INDEX('[1]Grade Project'!$F:$F,MATCH($A$3,'[1]Grade Project'!$E:$E,0)+SUM($D$3:D16))))</f>
        <v>#N/A</v>
      </c>
      <c r="D17">
        <f>COUNTIFS('[1]Grade Project'!$E:$E,$A$3,'[1]Grade Project'!$F:$F,C17)</f>
        <v>0</v>
      </c>
      <c r="E17" t="str">
        <f t="shared" si="0"/>
        <v/>
      </c>
      <c r="F17" t="str">
        <f>IF(G16=0,"",INDEX('[1]Grade Project'!$G:$G,MATCH($A$5,'[1]Grade Project'!$F:$F,0)+SUM($G$3:G16)))</f>
        <v/>
      </c>
      <c r="G17">
        <f>COUNTIFS('[1]Grade Project'!$F:$F,$A$5,'[1]Grade Project'!$G:$G,F17)</f>
        <v>0</v>
      </c>
      <c r="H17" t="str">
        <f>IF(I16=0,"",INDEX('[1]Grade Project'!$K:$K,MATCH(CONCATENATE($A$5,$A$8),'[1]Grade Project'!$H:$H,0)+SUM($I$3:I16)))</f>
        <v/>
      </c>
      <c r="I17">
        <f>COUNTIFS('[1]Grade Project'!$G:$G,$A$8,'[1]Grade Project'!$K:$K,H17,'[1]Grade Project'!$F:$F,$A$5)</f>
        <v>0</v>
      </c>
      <c r="J17" t="str">
        <f>IFERROR(AVERAGEIFS('[1]Grade Project'!$N:$N,'[1]Grade Project'!$K:$K,H17,'[1]Grade Project'!$F:$F,$A$5,'[1]Grade Project'!$G:$G,$A$8),"")</f>
        <v/>
      </c>
      <c r="K17" t="str">
        <f>IFERROR(AVERAGEIFS('[1]Grade Project'!$O:$O,'[1]Grade Project'!$K:$K,H17,'[1]Grade Project'!$F:$F,$A$5,'[1]Grade Project'!$G:$G,$A$8),"")</f>
        <v/>
      </c>
      <c r="L17" t="str">
        <f t="shared" si="1"/>
        <v/>
      </c>
      <c r="M17" t="str">
        <f t="shared" si="2"/>
        <v/>
      </c>
      <c r="N17" t="str">
        <f t="shared" si="3"/>
        <v/>
      </c>
    </row>
    <row r="18" spans="1:14" x14ac:dyDescent="0.25">
      <c r="A18" t="e">
        <f>INDEX(Two!H:H,MATCH(MAX(Two!N:N),Two!N:N,0))</f>
        <v>#N/A</v>
      </c>
      <c r="B18" t="s">
        <v>18</v>
      </c>
      <c r="C18" t="e">
        <f>IF(C17="","",IF(C17=INDEX('[1]Grade Project'!$F:$F,MATCH($A$3,'[1]Grade Project'!$E:$E,0)+SUM($D$3:D17)),"",INDEX('[1]Grade Project'!$F:$F,MATCH($A$3,'[1]Grade Project'!$E:$E,0)+SUM($D$3:D17))))</f>
        <v>#N/A</v>
      </c>
      <c r="D18">
        <f>COUNTIFS('[1]Grade Project'!$E:$E,$A$3,'[1]Grade Project'!$F:$F,C18)</f>
        <v>0</v>
      </c>
      <c r="E18" t="str">
        <f t="shared" si="0"/>
        <v/>
      </c>
      <c r="F18" t="str">
        <f>IF(G17=0,"",INDEX('[1]Grade Project'!$G:$G,MATCH($A$5,'[1]Grade Project'!$F:$F,0)+SUM($G$3:G17)))</f>
        <v/>
      </c>
      <c r="G18">
        <f>COUNTIFS('[1]Grade Project'!$F:$F,$A$5,'[1]Grade Project'!$G:$G,F18)</f>
        <v>0</v>
      </c>
      <c r="H18" t="str">
        <f>IF(I17=0,"",INDEX('[1]Grade Project'!$K:$K,MATCH(CONCATENATE($A$5,$A$8),'[1]Grade Project'!$H:$H,0)+SUM($I$3:I17)))</f>
        <v/>
      </c>
      <c r="I18">
        <f>COUNTIFS('[1]Grade Project'!$G:$G,$A$8,'[1]Grade Project'!$K:$K,H18,'[1]Grade Project'!$F:$F,$A$5)</f>
        <v>0</v>
      </c>
      <c r="J18" t="str">
        <f>IFERROR(AVERAGEIFS('[1]Grade Project'!$N:$N,'[1]Grade Project'!$K:$K,H18,'[1]Grade Project'!$F:$F,$A$5,'[1]Grade Project'!$G:$G,$A$8),"")</f>
        <v/>
      </c>
      <c r="K18" t="str">
        <f>IFERROR(AVERAGEIFS('[1]Grade Project'!$O:$O,'[1]Grade Project'!$K:$K,H18,'[1]Grade Project'!$F:$F,$A$5,'[1]Grade Project'!$G:$G,$A$8),"")</f>
        <v/>
      </c>
      <c r="L18" t="str">
        <f t="shared" si="1"/>
        <v/>
      </c>
      <c r="M18" t="str">
        <f t="shared" si="2"/>
        <v/>
      </c>
      <c r="N18" t="str">
        <f t="shared" si="3"/>
        <v/>
      </c>
    </row>
    <row r="19" spans="1:14" x14ac:dyDescent="0.25">
      <c r="A19" t="s">
        <v>110</v>
      </c>
      <c r="B19" t="s">
        <v>2</v>
      </c>
      <c r="C19" t="e">
        <f>IF(C18="","",IF(C18=INDEX('[1]Grade Project'!$F:$F,MATCH($A$3,'[1]Grade Project'!$E:$E,0)+SUM($D$3:D18)),"",INDEX('[1]Grade Project'!$F:$F,MATCH($A$3,'[1]Grade Project'!$E:$E,0)+SUM($D$3:D18))))</f>
        <v>#N/A</v>
      </c>
      <c r="D19">
        <f>COUNTIFS('[1]Grade Project'!$E:$E,$A$3,'[1]Grade Project'!$F:$F,C19)</f>
        <v>0</v>
      </c>
      <c r="E19" t="str">
        <f t="shared" si="0"/>
        <v/>
      </c>
      <c r="F19" t="str">
        <f>IF(G18=0,"",INDEX('[1]Grade Project'!$G:$G,MATCH($A$5,'[1]Grade Project'!$F:$F,0)+SUM($G$3:G18)))</f>
        <v/>
      </c>
      <c r="G19">
        <f>COUNTIFS('[1]Grade Project'!$F:$F,$A$5,'[1]Grade Project'!$G:$G,F19)</f>
        <v>0</v>
      </c>
      <c r="H19" t="str">
        <f>IF(I18=0,"",INDEX('[1]Grade Project'!$K:$K,MATCH(CONCATENATE($A$5,$A$8),'[1]Grade Project'!$H:$H,0)+SUM($I$3:I18)))</f>
        <v/>
      </c>
      <c r="I19">
        <f>COUNTIFS('[1]Grade Project'!$G:$G,$A$8,'[1]Grade Project'!$K:$K,H19,'[1]Grade Project'!$F:$F,$A$5)</f>
        <v>0</v>
      </c>
      <c r="J19" t="str">
        <f>IFERROR(AVERAGEIFS('[1]Grade Project'!$N:$N,'[1]Grade Project'!$K:$K,H19,'[1]Grade Project'!$F:$F,$A$5,'[1]Grade Project'!$G:$G,$A$8),"")</f>
        <v/>
      </c>
      <c r="K19" t="str">
        <f>IFERROR(AVERAGEIFS('[1]Grade Project'!$O:$O,'[1]Grade Project'!$K:$K,H19,'[1]Grade Project'!$F:$F,$A$5,'[1]Grade Project'!$G:$G,$A$8),"")</f>
        <v/>
      </c>
      <c r="L19" t="str">
        <f t="shared" si="1"/>
        <v/>
      </c>
      <c r="M19" t="str">
        <f t="shared" si="2"/>
        <v/>
      </c>
      <c r="N19" t="str">
        <f t="shared" si="3"/>
        <v/>
      </c>
    </row>
    <row r="20" spans="1:14" x14ac:dyDescent="0.25">
      <c r="A20" t="e">
        <f>INDEX(Two!J:J,MATCH(MAX(Two!N:N),Two!N:N,0))</f>
        <v>#N/A</v>
      </c>
      <c r="B20" t="s">
        <v>19</v>
      </c>
      <c r="C20" t="e">
        <f>IF(C19="","",IF(C19=INDEX('[1]Grade Project'!$F:$F,MATCH($A$3,'[1]Grade Project'!$E:$E,0)+SUM($D$3:D19)),"",INDEX('[1]Grade Project'!$F:$F,MATCH($A$3,'[1]Grade Project'!$E:$E,0)+SUM($D$3:D19))))</f>
        <v>#N/A</v>
      </c>
      <c r="D20">
        <f>COUNTIFS('[1]Grade Project'!$E:$E,$A$3,'[1]Grade Project'!$F:$F,C20)</f>
        <v>0</v>
      </c>
      <c r="E20" t="str">
        <f t="shared" si="0"/>
        <v/>
      </c>
      <c r="F20" t="str">
        <f>IF(G19=0,"",INDEX('[1]Grade Project'!$G:$G,MATCH($A$5,'[1]Grade Project'!$F:$F,0)+SUM($G$3:G19)))</f>
        <v/>
      </c>
      <c r="G20">
        <f>COUNTIFS('[1]Grade Project'!$F:$F,$A$5,'[1]Grade Project'!$G:$G,F20)</f>
        <v>0</v>
      </c>
      <c r="H20" t="str">
        <f>IF(I19=0,"",INDEX('[1]Grade Project'!$K:$K,MATCH(CONCATENATE($A$5,$A$8),'[1]Grade Project'!$H:$H,0)+SUM($I$3:I19)))</f>
        <v/>
      </c>
      <c r="I20">
        <f>COUNTIFS('[1]Grade Project'!$G:$G,$A$8,'[1]Grade Project'!$K:$K,H20,'[1]Grade Project'!$F:$F,$A$5)</f>
        <v>0</v>
      </c>
      <c r="J20" t="str">
        <f>IFERROR(AVERAGEIFS('[1]Grade Project'!$N:$N,'[1]Grade Project'!$K:$K,H20,'[1]Grade Project'!$F:$F,$A$5,'[1]Grade Project'!$G:$G,$A$8),"")</f>
        <v/>
      </c>
      <c r="K20" t="str">
        <f>IFERROR(AVERAGEIFS('[1]Grade Project'!$O:$O,'[1]Grade Project'!$K:$K,H20,'[1]Grade Project'!$F:$F,$A$5,'[1]Grade Project'!$G:$G,$A$8),"")</f>
        <v/>
      </c>
      <c r="L20" t="str">
        <f t="shared" si="1"/>
        <v/>
      </c>
      <c r="M20" t="str">
        <f t="shared" si="2"/>
        <v/>
      </c>
      <c r="N20" t="str">
        <f t="shared" si="3"/>
        <v/>
      </c>
    </row>
    <row r="21" spans="1:14" x14ac:dyDescent="0.25">
      <c r="A21" t="s">
        <v>114</v>
      </c>
      <c r="B21" t="s">
        <v>20</v>
      </c>
      <c r="C21" t="e">
        <f>IF(C20="","",IF(C20=INDEX('[1]Grade Project'!$F:$F,MATCH($A$3,'[1]Grade Project'!$E:$E,0)+SUM($D$3:D20)),"",INDEX('[1]Grade Project'!$F:$F,MATCH($A$3,'[1]Grade Project'!$E:$E,0)+SUM($D$3:D20))))</f>
        <v>#N/A</v>
      </c>
      <c r="D21">
        <f>COUNTIFS('[1]Grade Project'!$E:$E,$A$3,'[1]Grade Project'!$F:$F,C21)</f>
        <v>0</v>
      </c>
      <c r="E21" t="str">
        <f t="shared" si="0"/>
        <v/>
      </c>
      <c r="F21" t="str">
        <f>IF(G20=0,"",INDEX('[1]Grade Project'!$G:$G,MATCH($A$5,'[1]Grade Project'!$F:$F,0)+SUM($G$3:G20)))</f>
        <v/>
      </c>
      <c r="G21">
        <f>COUNTIFS('[1]Grade Project'!$F:$F,$A$5,'[1]Grade Project'!$G:$G,F21)</f>
        <v>0</v>
      </c>
      <c r="H21" t="str">
        <f>IF(I20=0,"",INDEX('[1]Grade Project'!$K:$K,MATCH(CONCATENATE($A$5,$A$8),'[1]Grade Project'!$H:$H,0)+SUM($I$3:I20)))</f>
        <v/>
      </c>
      <c r="I21">
        <f>COUNTIFS('[1]Grade Project'!$G:$G,$A$8,'[1]Grade Project'!$K:$K,H21,'[1]Grade Project'!$F:$F,$A$5)</f>
        <v>0</v>
      </c>
      <c r="J21" t="str">
        <f>IFERROR(AVERAGEIFS('[1]Grade Project'!$N:$N,'[1]Grade Project'!$K:$K,H21,'[1]Grade Project'!$F:$F,$A$5,'[1]Grade Project'!$G:$G,$A$8),"")</f>
        <v/>
      </c>
      <c r="K21" t="str">
        <f>IFERROR(AVERAGEIFS('[1]Grade Project'!$O:$O,'[1]Grade Project'!$K:$K,H21,'[1]Grade Project'!$F:$F,$A$5,'[1]Grade Project'!$G:$G,$A$8),"")</f>
        <v/>
      </c>
      <c r="L21" t="str">
        <f t="shared" si="1"/>
        <v/>
      </c>
      <c r="M21" t="str">
        <f t="shared" si="2"/>
        <v/>
      </c>
      <c r="N21" t="str">
        <f t="shared" si="3"/>
        <v/>
      </c>
    </row>
    <row r="22" spans="1:14" x14ac:dyDescent="0.25">
      <c r="A22" t="e">
        <f>INDEX(Two!H:H,MATCH(MIN(Two!N:N),Two!N:N,0))</f>
        <v>#N/A</v>
      </c>
      <c r="B22" t="s">
        <v>21</v>
      </c>
      <c r="C22" t="e">
        <f>IF(C21="","",IF(C21=INDEX('[1]Grade Project'!$F:$F,MATCH($A$3,'[1]Grade Project'!$E:$E,0)+SUM($D$3:D21)),"",INDEX('[1]Grade Project'!$F:$F,MATCH($A$3,'[1]Grade Project'!$E:$E,0)+SUM($D$3:D21))))</f>
        <v>#N/A</v>
      </c>
      <c r="D22">
        <f>COUNTIFS('[1]Grade Project'!$E:$E,$A$3,'[1]Grade Project'!$F:$F,C22)</f>
        <v>0</v>
      </c>
      <c r="E22" t="str">
        <f t="shared" si="0"/>
        <v/>
      </c>
      <c r="F22" t="str">
        <f>IF(G21=0,"",INDEX('[1]Grade Project'!$G:$G,MATCH($A$5,'[1]Grade Project'!$F:$F,0)+SUM($G$3:G21)))</f>
        <v/>
      </c>
      <c r="G22">
        <f>COUNTIFS('[1]Grade Project'!$F:$F,$A$5,'[1]Grade Project'!$G:$G,F22)</f>
        <v>0</v>
      </c>
      <c r="H22" t="str">
        <f>IF(I21=0,"",INDEX('[1]Grade Project'!$K:$K,MATCH(CONCATENATE($A$5,$A$8),'[1]Grade Project'!$H:$H,0)+SUM($I$3:I21)))</f>
        <v/>
      </c>
      <c r="I22">
        <f>COUNTIFS('[1]Grade Project'!$G:$G,$A$8,'[1]Grade Project'!$K:$K,H22,'[1]Grade Project'!$F:$F,$A$5)</f>
        <v>0</v>
      </c>
      <c r="J22" t="str">
        <f>IFERROR(AVERAGEIFS('[1]Grade Project'!$N:$N,'[1]Grade Project'!$K:$K,H22,'[1]Grade Project'!$F:$F,$A$5,'[1]Grade Project'!$G:$G,$A$8),"")</f>
        <v/>
      </c>
      <c r="K22" t="str">
        <f>IFERROR(AVERAGEIFS('[1]Grade Project'!$O:$O,'[1]Grade Project'!$K:$K,H22,'[1]Grade Project'!$F:$F,$A$5,'[1]Grade Project'!$G:$G,$A$8),"")</f>
        <v/>
      </c>
      <c r="L22" t="str">
        <f t="shared" si="1"/>
        <v/>
      </c>
      <c r="M22" t="str">
        <f t="shared" si="2"/>
        <v/>
      </c>
      <c r="N22" t="str">
        <f t="shared" si="3"/>
        <v/>
      </c>
    </row>
    <row r="23" spans="1:14" x14ac:dyDescent="0.25">
      <c r="A23" t="s">
        <v>110</v>
      </c>
      <c r="B23" t="s">
        <v>22</v>
      </c>
      <c r="C23" t="e">
        <f>IF(C22="","",IF(C22=INDEX('[1]Grade Project'!$F:$F,MATCH($A$3,'[1]Grade Project'!$E:$E,0)+SUM($D$3:D22)),"",INDEX('[1]Grade Project'!$F:$F,MATCH($A$3,'[1]Grade Project'!$E:$E,0)+SUM($D$3:D22))))</f>
        <v>#N/A</v>
      </c>
      <c r="D23">
        <f>COUNTIFS('[1]Grade Project'!$E:$E,$A$3,'[1]Grade Project'!$F:$F,C23)</f>
        <v>0</v>
      </c>
      <c r="E23" t="str">
        <f t="shared" si="0"/>
        <v/>
      </c>
      <c r="F23" t="str">
        <f>IF(G22=0,"",INDEX('[1]Grade Project'!$G:$G,MATCH($A$5,'[1]Grade Project'!$F:$F,0)+SUM($G$3:G22)))</f>
        <v/>
      </c>
      <c r="G23">
        <f>COUNTIFS('[1]Grade Project'!$F:$F,$A$5,'[1]Grade Project'!$G:$G,F23)</f>
        <v>0</v>
      </c>
      <c r="H23" t="str">
        <f>IF(I22=0,"",INDEX('[1]Grade Project'!$K:$K,MATCH(CONCATENATE($A$5,$A$8),'[1]Grade Project'!$H:$H,0)+SUM($I$3:I22)))</f>
        <v/>
      </c>
      <c r="I23">
        <f>COUNTIFS('[1]Grade Project'!$G:$G,$A$8,'[1]Grade Project'!$K:$K,H23,'[1]Grade Project'!$F:$F,$A$5)</f>
        <v>0</v>
      </c>
      <c r="J23" t="str">
        <f>IFERROR(AVERAGEIFS('[1]Grade Project'!$N:$N,'[1]Grade Project'!$K:$K,H23,'[1]Grade Project'!$F:$F,$A$5,'[1]Grade Project'!$G:$G,$A$8),"")</f>
        <v/>
      </c>
      <c r="K23" t="str">
        <f>IFERROR(AVERAGEIFS('[1]Grade Project'!$O:$O,'[1]Grade Project'!$K:$K,H23,'[1]Grade Project'!$F:$F,$A$5,'[1]Grade Project'!$G:$G,$A$8),"")</f>
        <v/>
      </c>
      <c r="L23" t="str">
        <f t="shared" si="1"/>
        <v/>
      </c>
      <c r="M23" t="str">
        <f t="shared" si="2"/>
        <v/>
      </c>
      <c r="N23" t="str">
        <f t="shared" si="3"/>
        <v/>
      </c>
    </row>
    <row r="24" spans="1:14" x14ac:dyDescent="0.25">
      <c r="A24" t="e">
        <f>INDEX(Two!J:J,MATCH(MIN(Two!N:N),Two!N:N,0))</f>
        <v>#N/A</v>
      </c>
      <c r="B24" t="s">
        <v>23</v>
      </c>
      <c r="C24" t="e">
        <f>IF(C23="","",IF(C23=INDEX('[1]Grade Project'!$F:$F,MATCH($A$3,'[1]Grade Project'!$E:$E,0)+SUM($D$3:D23)),"",INDEX('[1]Grade Project'!$F:$F,MATCH($A$3,'[1]Grade Project'!$E:$E,0)+SUM($D$3:D23))))</f>
        <v>#N/A</v>
      </c>
      <c r="E24" t="str">
        <f t="shared" si="0"/>
        <v/>
      </c>
      <c r="F24" t="str">
        <f>IF(G23=0,"",INDEX('[1]Grade Project'!$G:$G,MATCH($A$5,'[1]Grade Project'!$F:$F,0)+SUM($G$3:G23)))</f>
        <v/>
      </c>
      <c r="G24">
        <f>COUNTIFS('[1]Grade Project'!$F:$F,$A$5,'[1]Grade Project'!$G:$G,F24)</f>
        <v>0</v>
      </c>
      <c r="H24" t="str">
        <f>IF(I23=0,"",INDEX('[1]Grade Project'!$K:$K,MATCH(CONCATENATE($A$5,$A$8),'[1]Grade Project'!$H:$H,0)+SUM($I$3:I23)))</f>
        <v/>
      </c>
      <c r="I24">
        <f>COUNTIFS('[1]Grade Project'!$G:$G,$A$8,'[1]Grade Project'!$K:$K,H24,'[1]Grade Project'!$F:$F,$A$5)</f>
        <v>0</v>
      </c>
      <c r="J24" t="str">
        <f>IFERROR(AVERAGEIFS('[1]Grade Project'!$N:$N,'[1]Grade Project'!$K:$K,H24,'[1]Grade Project'!$F:$F,$A$5,'[1]Grade Project'!$G:$G,$A$8),"")</f>
        <v/>
      </c>
      <c r="K24" t="str">
        <f>IFERROR(AVERAGEIFS('[1]Grade Project'!$O:$O,'[1]Grade Project'!$K:$K,H24,'[1]Grade Project'!$F:$F,$A$5,'[1]Grade Project'!$G:$G,$A$8),"")</f>
        <v/>
      </c>
      <c r="L24" t="str">
        <f t="shared" si="1"/>
        <v/>
      </c>
      <c r="M24" t="str">
        <f t="shared" si="2"/>
        <v/>
      </c>
      <c r="N24" t="str">
        <f t="shared" si="3"/>
        <v/>
      </c>
    </row>
    <row r="25" spans="1:14" x14ac:dyDescent="0.25">
      <c r="A25" t="s">
        <v>117</v>
      </c>
      <c r="B25" t="s">
        <v>24</v>
      </c>
      <c r="C25" t="e">
        <f>IF(C24="","",IF(C24=INDEX('[1]Grade Project'!$F:$F,MATCH($A$3,'[1]Grade Project'!$E:$E,0)+SUM($D$3:D24)),"",INDEX('[1]Grade Project'!$F:$F,MATCH($A$3,'[1]Grade Project'!$E:$E,0)+SUM($D$3:D24))))</f>
        <v>#N/A</v>
      </c>
      <c r="E25" t="str">
        <f t="shared" si="0"/>
        <v/>
      </c>
      <c r="F25" t="str">
        <f>IF(G24=0,"",INDEX('[1]Grade Project'!$G:$G,MATCH($A$5,'[1]Grade Project'!$F:$F,0)+SUM($G$3:G24)))</f>
        <v/>
      </c>
      <c r="G25">
        <f>COUNTIFS('[1]Grade Project'!$F:$F,$A$5,'[1]Grade Project'!$G:$G,F25)</f>
        <v>0</v>
      </c>
      <c r="H25" t="str">
        <f>IF(I24=0,"",INDEX('[1]Grade Project'!$K:$K,MATCH(CONCATENATE($A$5,$A$8),'[1]Grade Project'!$H:$H,0)+SUM($I$3:I24)))</f>
        <v/>
      </c>
      <c r="I25">
        <f>COUNTIFS('[1]Grade Project'!$G:$G,$A$8,'[1]Grade Project'!$K:$K,H25,'[1]Grade Project'!$F:$F,$A$5)</f>
        <v>0</v>
      </c>
      <c r="J25" t="str">
        <f>IFERROR(AVERAGEIFS('[1]Grade Project'!$N:$N,'[1]Grade Project'!$K:$K,H25,'[1]Grade Project'!$F:$F,$A$5,'[1]Grade Project'!$G:$G,$A$8),"")</f>
        <v/>
      </c>
      <c r="K25" t="str">
        <f>IFERROR(AVERAGEIFS('[1]Grade Project'!$O:$O,'[1]Grade Project'!$K:$K,H25,'[1]Grade Project'!$F:$F,$A$5,'[1]Grade Project'!$G:$G,$A$8),"")</f>
        <v/>
      </c>
      <c r="L25" t="str">
        <f t="shared" si="1"/>
        <v/>
      </c>
      <c r="M25" t="str">
        <f t="shared" si="2"/>
        <v/>
      </c>
      <c r="N25" t="str">
        <f t="shared" si="3"/>
        <v/>
      </c>
    </row>
    <row r="26" spans="1:14" x14ac:dyDescent="0.25">
      <c r="A26" t="e">
        <f>A12/#REF!</f>
        <v>#DIV/0!</v>
      </c>
      <c r="B26" t="s">
        <v>25</v>
      </c>
      <c r="C26" t="e">
        <f>IF(C25="","",IF(C25=INDEX('[1]Grade Project'!$F:$F,MATCH($A$3,'[1]Grade Project'!$E:$E,0)+SUM($D$3:D25)),"",INDEX('[1]Grade Project'!$F:$F,MATCH($A$3,'[1]Grade Project'!$E:$E,0)+SUM($D$3:D25))))</f>
        <v>#N/A</v>
      </c>
      <c r="E26" t="str">
        <f t="shared" si="0"/>
        <v/>
      </c>
      <c r="F26" t="str">
        <f>IF(G25=0,"",INDEX('[1]Grade Project'!$G:$G,MATCH($A$5,'[1]Grade Project'!$F:$F,0)+SUM($G$3:G25)))</f>
        <v/>
      </c>
      <c r="G26">
        <f>COUNTIFS('[1]Grade Project'!$F:$F,$A$5,'[1]Grade Project'!$G:$G,F26)</f>
        <v>0</v>
      </c>
      <c r="H26" t="str">
        <f>IF(I25=0,"",INDEX('[1]Grade Project'!$K:$K,MATCH(CONCATENATE($A$5,$A$8),'[1]Grade Project'!$H:$H,0)+SUM($I$3:I25)))</f>
        <v/>
      </c>
      <c r="I26">
        <f>COUNTIFS('[1]Grade Project'!$G:$G,$A$8,'[1]Grade Project'!$K:$K,H26,'[1]Grade Project'!$F:$F,$A$5)</f>
        <v>0</v>
      </c>
      <c r="J26" t="str">
        <f>IFERROR(AVERAGEIFS('[1]Grade Project'!$N:$N,'[1]Grade Project'!$K:$K,H26,'[1]Grade Project'!$F:$F,$A$5,'[1]Grade Project'!$G:$G,$A$8),"")</f>
        <v/>
      </c>
      <c r="K26" t="str">
        <f>IFERROR(AVERAGEIFS('[1]Grade Project'!$O:$O,'[1]Grade Project'!$K:$K,H26,'[1]Grade Project'!$F:$F,$A$5,'[1]Grade Project'!$G:$G,$A$8),"")</f>
        <v/>
      </c>
      <c r="L26" t="str">
        <f t="shared" si="1"/>
        <v/>
      </c>
      <c r="M26" t="str">
        <f t="shared" si="2"/>
        <v/>
      </c>
      <c r="N26" t="str">
        <f t="shared" si="3"/>
        <v/>
      </c>
    </row>
    <row r="27" spans="1:14" x14ac:dyDescent="0.25">
      <c r="B27" t="s">
        <v>26</v>
      </c>
      <c r="C27" t="e">
        <f>IF(C26="","",IF(C26=INDEX('[1]Grade Project'!$F:$F,MATCH($A$3,'[1]Grade Project'!$E:$E,0)+SUM($D$3:D26)),"",INDEX('[1]Grade Project'!$F:$F,MATCH($A$3,'[1]Grade Project'!$E:$E,0)+SUM($D$3:D26))))</f>
        <v>#N/A</v>
      </c>
      <c r="E27" t="str">
        <f t="shared" si="0"/>
        <v/>
      </c>
      <c r="F27" t="str">
        <f>IF(G26=0,"",INDEX('[1]Grade Project'!$G:$G,MATCH($A$5,'[1]Grade Project'!$F:$F,0)+SUM($G$3:G26)))</f>
        <v/>
      </c>
      <c r="G27">
        <f>COUNTIFS('[1]Grade Project'!$F:$F,$A$5,'[1]Grade Project'!$G:$G,F27)</f>
        <v>0</v>
      </c>
      <c r="H27" t="str">
        <f>IF(I26=0,"",INDEX('[1]Grade Project'!$K:$K,MATCH(CONCATENATE($A$5,$A$8),'[1]Grade Project'!$H:$H,0)+SUM($I$3:I26)))</f>
        <v/>
      </c>
      <c r="I27">
        <f>COUNTIFS('[1]Grade Project'!$G:$G,$A$8,'[1]Grade Project'!$K:$K,H27,'[1]Grade Project'!$F:$F,$A$5)</f>
        <v>0</v>
      </c>
      <c r="J27" t="str">
        <f>IFERROR(AVERAGEIFS('[1]Grade Project'!$N:$N,'[1]Grade Project'!$K:$K,H27,'[1]Grade Project'!$F:$F,$A$5,'[1]Grade Project'!$G:$G,$A$8),"")</f>
        <v/>
      </c>
      <c r="K27" t="str">
        <f>IFERROR(AVERAGEIFS('[1]Grade Project'!$O:$O,'[1]Grade Project'!$K:$K,H27,'[1]Grade Project'!$F:$F,$A$5,'[1]Grade Project'!$G:$G,$A$8),"")</f>
        <v/>
      </c>
      <c r="L27" t="str">
        <f t="shared" si="1"/>
        <v/>
      </c>
      <c r="M27" t="str">
        <f t="shared" si="2"/>
        <v/>
      </c>
      <c r="N27" t="str">
        <f t="shared" si="3"/>
        <v/>
      </c>
    </row>
    <row r="28" spans="1:14" x14ac:dyDescent="0.25">
      <c r="B28" t="s">
        <v>27</v>
      </c>
      <c r="C28" t="e">
        <f>IF(C27="","",IF(C27=INDEX('[1]Grade Project'!$F:$F,MATCH($A$3,'[1]Grade Project'!$E:$E,0)+SUM($D$3:D27)),"",INDEX('[1]Grade Project'!$F:$F,MATCH($A$3,'[1]Grade Project'!$E:$E,0)+SUM($D$3:D27))))</f>
        <v>#N/A</v>
      </c>
      <c r="E28" t="str">
        <f t="shared" si="0"/>
        <v/>
      </c>
      <c r="F28" t="str">
        <f>IF(G27=0,"",INDEX('[1]Grade Project'!$G:$G,MATCH($A$5,'[1]Grade Project'!$F:$F,0)+SUM($G$3:G27)))</f>
        <v/>
      </c>
      <c r="G28">
        <f>COUNTIFS('[1]Grade Project'!$F:$F,$A$5,'[1]Grade Project'!$G:$G,F28)</f>
        <v>0</v>
      </c>
      <c r="H28" t="str">
        <f>IF(I27=0,"",INDEX('[1]Grade Project'!$K:$K,MATCH(CONCATENATE($A$5,$A$8),'[1]Grade Project'!$H:$H,0)+SUM($I$3:I27)))</f>
        <v/>
      </c>
      <c r="I28">
        <f>COUNTIFS('[1]Grade Project'!$G:$G,$A$8,'[1]Grade Project'!$K:$K,H28,'[1]Grade Project'!$F:$F,$A$5)</f>
        <v>0</v>
      </c>
      <c r="J28" t="str">
        <f>IFERROR(AVERAGEIFS('[1]Grade Project'!$N:$N,'[1]Grade Project'!$K:$K,H28,'[1]Grade Project'!$F:$F,$A$5,'[1]Grade Project'!$G:$G,$A$8),"")</f>
        <v/>
      </c>
      <c r="K28" t="str">
        <f>IFERROR(AVERAGEIFS('[1]Grade Project'!$O:$O,'[1]Grade Project'!$K:$K,H28,'[1]Grade Project'!$F:$F,$A$5,'[1]Grade Project'!$G:$G,$A$8),"")</f>
        <v/>
      </c>
      <c r="L28" t="str">
        <f t="shared" si="1"/>
        <v/>
      </c>
      <c r="M28" t="str">
        <f t="shared" si="2"/>
        <v/>
      </c>
      <c r="N28" t="str">
        <f t="shared" si="3"/>
        <v/>
      </c>
    </row>
    <row r="29" spans="1:14" x14ac:dyDescent="0.25">
      <c r="B29" t="s">
        <v>28</v>
      </c>
      <c r="C29" t="e">
        <f>IF(C28="","",IF(C28=INDEX('[1]Grade Project'!$F:$F,MATCH($A$3,'[1]Grade Project'!$E:$E,0)+SUM($D$3:D28)),"",INDEX('[1]Grade Project'!$F:$F,MATCH($A$3,'[1]Grade Project'!$E:$E,0)+SUM($D$3:D28))))</f>
        <v>#N/A</v>
      </c>
      <c r="E29" t="str">
        <f t="shared" si="0"/>
        <v/>
      </c>
      <c r="F29" t="str">
        <f>IF(G28=0,"",INDEX('[1]Grade Project'!$G:$G,MATCH($A$5,'[1]Grade Project'!$F:$F,0)+SUM($G$3:G28)))</f>
        <v/>
      </c>
      <c r="G29">
        <f>COUNTIFS('[1]Grade Project'!$F:$F,$A$5,'[1]Grade Project'!$G:$G,F29)</f>
        <v>0</v>
      </c>
      <c r="H29" t="str">
        <f>IF(I28=0,"",INDEX('[1]Grade Project'!$K:$K,MATCH(CONCATENATE($A$5,$A$8),'[1]Grade Project'!$H:$H,0)+SUM($I$3:I28)))</f>
        <v/>
      </c>
      <c r="I29">
        <f>COUNTIFS('[1]Grade Project'!$G:$G,$A$8,'[1]Grade Project'!$K:$K,H29,'[1]Grade Project'!$F:$F,$A$5)</f>
        <v>0</v>
      </c>
      <c r="J29" t="str">
        <f>IFERROR(AVERAGEIFS('[1]Grade Project'!$N:$N,'[1]Grade Project'!$K:$K,H29,'[1]Grade Project'!$F:$F,$A$5,'[1]Grade Project'!$G:$G,$A$8),"")</f>
        <v/>
      </c>
      <c r="K29" t="str">
        <f>IFERROR(AVERAGEIFS('[1]Grade Project'!$O:$O,'[1]Grade Project'!$K:$K,H29,'[1]Grade Project'!$F:$F,$A$5,'[1]Grade Project'!$G:$G,$A$8),"")</f>
        <v/>
      </c>
      <c r="L29" t="str">
        <f t="shared" si="1"/>
        <v/>
      </c>
      <c r="M29" t="str">
        <f t="shared" si="2"/>
        <v/>
      </c>
      <c r="N29" t="str">
        <f t="shared" si="3"/>
        <v/>
      </c>
    </row>
    <row r="30" spans="1:14" x14ac:dyDescent="0.25">
      <c r="B30" t="s">
        <v>29</v>
      </c>
      <c r="C30" t="e">
        <f>IF(C29="","",IF(C29=INDEX('[1]Grade Project'!$F:$F,MATCH($A$3,'[1]Grade Project'!$E:$E,0)+SUM($D$3:D29)),"",INDEX('[1]Grade Project'!$F:$F,MATCH($A$3,'[1]Grade Project'!$E:$E,0)+SUM($D$3:D29))))</f>
        <v>#N/A</v>
      </c>
      <c r="E30" t="str">
        <f t="shared" si="0"/>
        <v/>
      </c>
      <c r="F30" t="str">
        <f>IF(G29=0,"",INDEX('[1]Grade Project'!$G:$G,MATCH($A$5,'[1]Grade Project'!$F:$F,0)+SUM($G$3:G29)))</f>
        <v/>
      </c>
      <c r="G30">
        <f>COUNTIFS('[1]Grade Project'!$F:$F,$A$5,'[1]Grade Project'!$G:$G,F30)</f>
        <v>0</v>
      </c>
      <c r="H30" t="str">
        <f>IF(I29=0,"",INDEX('[1]Grade Project'!$K:$K,MATCH(CONCATENATE($A$5,$A$8),'[1]Grade Project'!$H:$H,0)+SUM($I$3:I29)))</f>
        <v/>
      </c>
      <c r="I30">
        <f>COUNTIFS('[1]Grade Project'!$G:$G,$A$8,'[1]Grade Project'!$K:$K,H30,'[1]Grade Project'!$F:$F,$A$5)</f>
        <v>0</v>
      </c>
      <c r="J30" t="str">
        <f>IFERROR(AVERAGEIFS('[1]Grade Project'!$N:$N,'[1]Grade Project'!$K:$K,H30,'[1]Grade Project'!$F:$F,$A$5,'[1]Grade Project'!$G:$G,$A$8),"")</f>
        <v/>
      </c>
      <c r="K30" t="str">
        <f>IFERROR(AVERAGEIFS('[1]Grade Project'!$O:$O,'[1]Grade Project'!$K:$K,H30,'[1]Grade Project'!$F:$F,$A$5,'[1]Grade Project'!$G:$G,$A$8),"")</f>
        <v/>
      </c>
      <c r="L30" t="str">
        <f t="shared" si="1"/>
        <v/>
      </c>
      <c r="M30" t="str">
        <f t="shared" si="2"/>
        <v/>
      </c>
      <c r="N30" t="str">
        <f t="shared" si="3"/>
        <v/>
      </c>
    </row>
    <row r="31" spans="1:14" x14ac:dyDescent="0.25">
      <c r="B31" t="s">
        <v>30</v>
      </c>
      <c r="C31" t="e">
        <f>IF(C30="","",IF(C30=INDEX('[1]Grade Project'!$F:$F,MATCH($A$3,'[1]Grade Project'!$E:$E,0)+SUM($D$3:D30)),"",INDEX('[1]Grade Project'!$F:$F,MATCH($A$3,'[1]Grade Project'!$E:$E,0)+SUM($D$3:D30))))</f>
        <v>#N/A</v>
      </c>
      <c r="E31" t="str">
        <f t="shared" si="0"/>
        <v/>
      </c>
      <c r="F31" t="str">
        <f>IF(G30=0,"",INDEX('[1]Grade Project'!$G:$G,MATCH($A$5,'[1]Grade Project'!$F:$F,0)+SUM($G$3:G30)))</f>
        <v/>
      </c>
      <c r="G31">
        <f>COUNTIFS('[1]Grade Project'!$F:$F,$A$5,'[1]Grade Project'!$G:$G,F31)</f>
        <v>0</v>
      </c>
      <c r="H31" t="str">
        <f>IF(I30=0,"",INDEX('[1]Grade Project'!$K:$K,MATCH(CONCATENATE($A$5,$A$8),'[1]Grade Project'!$H:$H,0)+SUM($I$3:I30)))</f>
        <v/>
      </c>
      <c r="I31">
        <f>COUNTIFS('[1]Grade Project'!$G:$G,$A$8,'[1]Grade Project'!$K:$K,H31,'[1]Grade Project'!$F:$F,$A$5)</f>
        <v>0</v>
      </c>
      <c r="J31" t="str">
        <f>IFERROR(AVERAGEIFS('[1]Grade Project'!$N:$N,'[1]Grade Project'!$K:$K,H31,'[1]Grade Project'!$F:$F,$A$5,'[1]Grade Project'!$G:$G,$A$8),"")</f>
        <v/>
      </c>
      <c r="K31" t="str">
        <f>IFERROR(AVERAGEIFS('[1]Grade Project'!$O:$O,'[1]Grade Project'!$K:$K,H31,'[1]Grade Project'!$F:$F,$A$5,'[1]Grade Project'!$G:$G,$A$8),"")</f>
        <v/>
      </c>
      <c r="L31" t="str">
        <f t="shared" si="1"/>
        <v/>
      </c>
      <c r="M31" t="str">
        <f t="shared" si="2"/>
        <v/>
      </c>
      <c r="N31" t="str">
        <f t="shared" si="3"/>
        <v/>
      </c>
    </row>
    <row r="32" spans="1:14" x14ac:dyDescent="0.25">
      <c r="B32" t="s">
        <v>31</v>
      </c>
      <c r="C32" t="e">
        <f>IF(C31="","",IF(C31=INDEX('[1]Grade Project'!$F:$F,MATCH($A$3,'[1]Grade Project'!$E:$E,0)+SUM($D$3:D31)),"",INDEX('[1]Grade Project'!$F:$F,MATCH($A$3,'[1]Grade Project'!$E:$E,0)+SUM($D$3:D31))))</f>
        <v>#N/A</v>
      </c>
      <c r="E32" t="str">
        <f t="shared" si="0"/>
        <v/>
      </c>
      <c r="F32" t="str">
        <f>IF(G31=0,"",INDEX('[1]Grade Project'!$G:$G,MATCH($A$5,'[1]Grade Project'!$F:$F,0)+SUM($G$3:G31)))</f>
        <v/>
      </c>
      <c r="G32">
        <f>COUNTIFS('[1]Grade Project'!$F:$F,$A$5,'[1]Grade Project'!$G:$G,F32)</f>
        <v>0</v>
      </c>
      <c r="H32" t="str">
        <f>IF(I31=0,"",INDEX('[1]Grade Project'!$K:$K,MATCH(CONCATENATE($A$5,$A$8),'[1]Grade Project'!$H:$H,0)+SUM($I$3:I31)))</f>
        <v/>
      </c>
      <c r="I32">
        <f>COUNTIFS('[1]Grade Project'!$G:$G,$A$8,'[1]Grade Project'!$K:$K,H32,'[1]Grade Project'!$F:$F,$A$5)</f>
        <v>0</v>
      </c>
      <c r="J32" t="str">
        <f>IFERROR(AVERAGEIFS('[1]Grade Project'!$N:$N,'[1]Grade Project'!$K:$K,H32,'[1]Grade Project'!$F:$F,$A$5,'[1]Grade Project'!$G:$G,$A$8),"")</f>
        <v/>
      </c>
      <c r="K32" t="str">
        <f>IFERROR(AVERAGEIFS('[1]Grade Project'!$O:$O,'[1]Grade Project'!$K:$K,H32,'[1]Grade Project'!$F:$F,$A$5,'[1]Grade Project'!$G:$G,$A$8),"")</f>
        <v/>
      </c>
      <c r="L32" t="str">
        <f t="shared" si="1"/>
        <v/>
      </c>
      <c r="M32" t="str">
        <f t="shared" si="2"/>
        <v/>
      </c>
      <c r="N32" t="str">
        <f t="shared" si="3"/>
        <v/>
      </c>
    </row>
    <row r="33" spans="2:14" x14ac:dyDescent="0.25">
      <c r="B33" t="s">
        <v>32</v>
      </c>
      <c r="C33" t="e">
        <f>IF(C32="","",IF(C32=INDEX('[1]Grade Project'!$F:$F,MATCH($A$3,'[1]Grade Project'!$E:$E,0)+SUM($D$3:D32)),"",INDEX('[1]Grade Project'!$F:$F,MATCH($A$3,'[1]Grade Project'!$E:$E,0)+SUM($D$3:D32))))</f>
        <v>#N/A</v>
      </c>
      <c r="E33" t="str">
        <f t="shared" si="0"/>
        <v/>
      </c>
      <c r="F33" t="str">
        <f>IF(G32=0,"",INDEX('[1]Grade Project'!$G:$G,MATCH($A$5,'[1]Grade Project'!$F:$F,0)+SUM($G$3:G32)))</f>
        <v/>
      </c>
      <c r="G33">
        <f>COUNTIFS('[1]Grade Project'!$F:$F,$A$5,'[1]Grade Project'!$G:$G,F33)</f>
        <v>0</v>
      </c>
      <c r="H33" t="str">
        <f>IF(I32=0,"",INDEX('[1]Grade Project'!$K:$K,MATCH(CONCATENATE($A$5,$A$8),'[1]Grade Project'!$H:$H,0)+SUM($I$3:I32)))</f>
        <v/>
      </c>
      <c r="I33">
        <f>COUNTIFS('[1]Grade Project'!$G:$G,$A$8,'[1]Grade Project'!$K:$K,H33,'[1]Grade Project'!$F:$F,$A$5)</f>
        <v>0</v>
      </c>
      <c r="J33" t="str">
        <f>IFERROR(AVERAGEIFS('[1]Grade Project'!$N:$N,'[1]Grade Project'!$K:$K,H33,'[1]Grade Project'!$F:$F,$A$5,'[1]Grade Project'!$G:$G,$A$8),"")</f>
        <v/>
      </c>
      <c r="K33" t="str">
        <f>IFERROR(AVERAGEIFS('[1]Grade Project'!$O:$O,'[1]Grade Project'!$K:$K,H33,'[1]Grade Project'!$F:$F,$A$5,'[1]Grade Project'!$G:$G,$A$8),"")</f>
        <v/>
      </c>
      <c r="L33" t="str">
        <f t="shared" si="1"/>
        <v/>
      </c>
      <c r="M33" t="str">
        <f t="shared" si="2"/>
        <v/>
      </c>
      <c r="N33" t="str">
        <f t="shared" si="3"/>
        <v/>
      </c>
    </row>
    <row r="34" spans="2:14" x14ac:dyDescent="0.25">
      <c r="B34" t="s">
        <v>33</v>
      </c>
      <c r="C34" t="e">
        <f>IF(C33="","",IF(C33=INDEX('[1]Grade Project'!$F:$F,MATCH($A$3,'[1]Grade Project'!$E:$E,0)+SUM($D$3:D33)),"",INDEX('[1]Grade Project'!$F:$F,MATCH($A$3,'[1]Grade Project'!$E:$E,0)+SUM($D$3:D33))))</f>
        <v>#N/A</v>
      </c>
      <c r="E34" t="str">
        <f t="shared" si="0"/>
        <v/>
      </c>
      <c r="F34" t="str">
        <f>IF(G33=0,"",INDEX('[1]Grade Project'!$G:$G,MATCH($A$5,'[1]Grade Project'!$F:$F,0)+SUM($G$3:G33)))</f>
        <v/>
      </c>
      <c r="G34">
        <f>COUNTIFS('[1]Grade Project'!$F:$F,$A$5,'[1]Grade Project'!$G:$G,F34)</f>
        <v>0</v>
      </c>
      <c r="H34" t="str">
        <f>IF(I33=0,"",INDEX('[1]Grade Project'!$K:$K,MATCH(CONCATENATE($A$5,$A$8),'[1]Grade Project'!$H:$H,0)+SUM($I$3:I33)))</f>
        <v/>
      </c>
      <c r="I34">
        <f>COUNTIFS('[1]Grade Project'!$G:$G,$A$8,'[1]Grade Project'!$K:$K,H34,'[1]Grade Project'!$F:$F,$A$5)</f>
        <v>0</v>
      </c>
      <c r="J34" t="str">
        <f>IFERROR(AVERAGEIFS('[1]Grade Project'!$N:$N,'[1]Grade Project'!$K:$K,H34,'[1]Grade Project'!$F:$F,$A$5,'[1]Grade Project'!$G:$G,$A$8),"")</f>
        <v/>
      </c>
      <c r="K34" t="str">
        <f>IFERROR(AVERAGEIFS('[1]Grade Project'!$O:$O,'[1]Grade Project'!$K:$K,H34,'[1]Grade Project'!$F:$F,$A$5,'[1]Grade Project'!$G:$G,$A$8),"")</f>
        <v/>
      </c>
      <c r="L34" t="str">
        <f t="shared" si="1"/>
        <v/>
      </c>
      <c r="M34" t="str">
        <f t="shared" si="2"/>
        <v/>
      </c>
      <c r="N34" t="str">
        <f t="shared" si="3"/>
        <v/>
      </c>
    </row>
    <row r="35" spans="2:14" x14ac:dyDescent="0.25">
      <c r="B35" t="s">
        <v>34</v>
      </c>
      <c r="C35" t="e">
        <f>IF(C34="","",IF(C34=INDEX('[1]Grade Project'!$F:$F,MATCH($A$3,'[1]Grade Project'!$E:$E,0)+SUM($D$3:D34)),"",INDEX('[1]Grade Project'!$F:$F,MATCH($A$3,'[1]Grade Project'!$E:$E,0)+SUM($D$3:D34))))</f>
        <v>#N/A</v>
      </c>
      <c r="E35" t="str">
        <f t="shared" si="0"/>
        <v/>
      </c>
      <c r="F35" t="str">
        <f>IF(G34=0,"",INDEX('[1]Grade Project'!$G:$G,MATCH($A$5,'[1]Grade Project'!$F:$F,0)+SUM($G$3:G34)))</f>
        <v/>
      </c>
      <c r="G35">
        <f>COUNTIFS('[1]Grade Project'!$F:$F,$A$5,'[1]Grade Project'!$G:$G,F35)</f>
        <v>0</v>
      </c>
      <c r="H35" t="str">
        <f>IF(I34=0,"",INDEX('[1]Grade Project'!$K:$K,MATCH(CONCATENATE($A$5,$A$8),'[1]Grade Project'!$H:$H,0)+SUM($I$3:I34)))</f>
        <v/>
      </c>
      <c r="I35">
        <f>COUNTIFS('[1]Grade Project'!$G:$G,$A$8,'[1]Grade Project'!$K:$K,H35,'[1]Grade Project'!$F:$F,$A$5)</f>
        <v>0</v>
      </c>
      <c r="J35" t="str">
        <f>IFERROR(AVERAGEIFS('[1]Grade Project'!$N:$N,'[1]Grade Project'!$K:$K,H35,'[1]Grade Project'!$F:$F,$A$5,'[1]Grade Project'!$G:$G,$A$8),"")</f>
        <v/>
      </c>
      <c r="K35" t="str">
        <f>IFERROR(AVERAGEIFS('[1]Grade Project'!$O:$O,'[1]Grade Project'!$K:$K,H35,'[1]Grade Project'!$F:$F,$A$5,'[1]Grade Project'!$G:$G,$A$8),"")</f>
        <v/>
      </c>
      <c r="L35" t="str">
        <f t="shared" si="1"/>
        <v/>
      </c>
      <c r="M35" t="str">
        <f t="shared" si="2"/>
        <v/>
      </c>
      <c r="N35" t="str">
        <f t="shared" si="3"/>
        <v/>
      </c>
    </row>
    <row r="36" spans="2:14" x14ac:dyDescent="0.25">
      <c r="B36" t="s">
        <v>35</v>
      </c>
      <c r="C36" t="e">
        <f>IF(C35="","",IF(C35=INDEX('[1]Grade Project'!$F:$F,MATCH($A$3,'[1]Grade Project'!$E:$E,0)+SUM($D$3:D35)),"",INDEX('[1]Grade Project'!$F:$F,MATCH($A$3,'[1]Grade Project'!$E:$E,0)+SUM($D$3:D35))))</f>
        <v>#N/A</v>
      </c>
      <c r="E36" t="str">
        <f t="shared" si="0"/>
        <v/>
      </c>
      <c r="F36" t="str">
        <f>IF(G35=0,"",INDEX('[1]Grade Project'!$G:$G,MATCH($A$5,'[1]Grade Project'!$F:$F,0)+SUM($G$3:G35)))</f>
        <v/>
      </c>
      <c r="G36">
        <f>COUNTIFS('[1]Grade Project'!$F:$F,$A$5,'[1]Grade Project'!$G:$G,F36)</f>
        <v>0</v>
      </c>
      <c r="H36" t="str">
        <f>IF(I35=0,"",INDEX('[1]Grade Project'!$K:$K,MATCH(CONCATENATE($A$5,$A$8),'[1]Grade Project'!$H:$H,0)+SUM($I$3:I35)))</f>
        <v/>
      </c>
      <c r="I36">
        <f>COUNTIFS('[1]Grade Project'!$G:$G,$A$8,'[1]Grade Project'!$K:$K,H36,'[1]Grade Project'!$F:$F,$A$5)</f>
        <v>0</v>
      </c>
      <c r="J36" t="str">
        <f>IFERROR(AVERAGEIFS('[1]Grade Project'!$N:$N,'[1]Grade Project'!$K:$K,H36,'[1]Grade Project'!$F:$F,$A$5,'[1]Grade Project'!$G:$G,$A$8),"")</f>
        <v/>
      </c>
      <c r="K36" t="str">
        <f>IFERROR(AVERAGEIFS('[1]Grade Project'!$O:$O,'[1]Grade Project'!$K:$K,H36,'[1]Grade Project'!$F:$F,$A$5,'[1]Grade Project'!$G:$G,$A$8),"")</f>
        <v/>
      </c>
      <c r="L36" t="str">
        <f t="shared" si="1"/>
        <v/>
      </c>
      <c r="M36" t="str">
        <f t="shared" si="2"/>
        <v/>
      </c>
      <c r="N36" t="str">
        <f t="shared" si="3"/>
        <v/>
      </c>
    </row>
    <row r="37" spans="2:14" x14ac:dyDescent="0.25">
      <c r="B37" t="s">
        <v>36</v>
      </c>
      <c r="C37" t="e">
        <f>IF(C36="","",IF(C36=INDEX('[1]Grade Project'!$F:$F,MATCH($A$3,'[1]Grade Project'!$E:$E,0)+SUM($D$3:D36)),"",INDEX('[1]Grade Project'!$F:$F,MATCH($A$3,'[1]Grade Project'!$E:$E,0)+SUM($D$3:D36))))</f>
        <v>#N/A</v>
      </c>
      <c r="F37" t="str">
        <f>IF(G36=0,"",INDEX('[1]Grade Project'!$G:$G,MATCH($A$5,'[1]Grade Project'!$F:$F,0)+SUM($G$3:G36)))</f>
        <v/>
      </c>
      <c r="G37">
        <f>COUNTIFS('[1]Grade Project'!$F:$F,$A$5,'[1]Grade Project'!$G:$G,F37)</f>
        <v>0</v>
      </c>
      <c r="H37" t="str">
        <f>IF(I36=0,"",INDEX('[1]Grade Project'!$K:$K,MATCH(CONCATENATE($A$5,$A$8),'[1]Grade Project'!$H:$H,0)+SUM($I$3:I36)))</f>
        <v/>
      </c>
      <c r="I37">
        <f>COUNTIFS('[1]Grade Project'!$G:$G,$A$8,'[1]Grade Project'!$K:$K,H37,'[1]Grade Project'!$F:$F,$A$5)</f>
        <v>0</v>
      </c>
      <c r="J37" t="str">
        <f>IFERROR(AVERAGEIFS('[1]Grade Project'!$N:$N,'[1]Grade Project'!$K:$K,H37,'[1]Grade Project'!$F:$F,$A$5,'[1]Grade Project'!$G:$G,$A$8),"")</f>
        <v/>
      </c>
      <c r="K37" t="str">
        <f>IFERROR(AVERAGEIFS('[1]Grade Project'!$O:$O,'[1]Grade Project'!$K:$K,H37,'[1]Grade Project'!$F:$F,$A$5,'[1]Grade Project'!$G:$G,$A$8),"")</f>
        <v/>
      </c>
      <c r="L37" t="str">
        <f t="shared" si="1"/>
        <v/>
      </c>
      <c r="M37" t="str">
        <f t="shared" si="2"/>
        <v/>
      </c>
      <c r="N37" t="str">
        <f t="shared" si="3"/>
        <v/>
      </c>
    </row>
    <row r="38" spans="2:14" x14ac:dyDescent="0.25">
      <c r="B38" t="s">
        <v>37</v>
      </c>
      <c r="C38" t="e">
        <f>IF(C37="","",IF(C37=INDEX('[1]Grade Project'!$F:$F,MATCH($A$3,'[1]Grade Project'!$E:$E,0)+SUM($D$3:D37)),"",INDEX('[1]Grade Project'!$F:$F,MATCH($A$3,'[1]Grade Project'!$E:$E,0)+SUM($D$3:D37))))</f>
        <v>#N/A</v>
      </c>
      <c r="F38" t="str">
        <f>IF(G37=0,"",INDEX('[1]Grade Project'!$G:$G,MATCH($A$5,'[1]Grade Project'!$F:$F,0)+SUM($G$3:G37)))</f>
        <v/>
      </c>
      <c r="G38">
        <f>COUNTIFS('[1]Grade Project'!$F:$F,$A$5,'[1]Grade Project'!$G:$G,F38)</f>
        <v>0</v>
      </c>
      <c r="H38" t="str">
        <f>IF(I37=0,"",INDEX('[1]Grade Project'!$K:$K,MATCH(CONCATENATE($A$5,$A$8),'[1]Grade Project'!$H:$H,0)+SUM($I$3:I37)))</f>
        <v/>
      </c>
      <c r="I38">
        <f>COUNTIFS('[1]Grade Project'!$G:$G,$A$8,'[1]Grade Project'!$K:$K,H38,'[1]Grade Project'!$F:$F,$A$5)</f>
        <v>0</v>
      </c>
      <c r="J38" t="str">
        <f>IFERROR(AVERAGEIFS('[1]Grade Project'!$N:$N,'[1]Grade Project'!$K:$K,H38,'[1]Grade Project'!$F:$F,$A$5,'[1]Grade Project'!$G:$G,$A$8),"")</f>
        <v/>
      </c>
      <c r="K38" t="str">
        <f>IFERROR(AVERAGEIFS('[1]Grade Project'!$O:$O,'[1]Grade Project'!$K:$K,H38,'[1]Grade Project'!$F:$F,$A$5,'[1]Grade Project'!$G:$G,$A$8),"")</f>
        <v/>
      </c>
      <c r="L38" t="str">
        <f t="shared" si="1"/>
        <v/>
      </c>
      <c r="M38" t="str">
        <f t="shared" si="2"/>
        <v/>
      </c>
      <c r="N38" t="str">
        <f t="shared" si="3"/>
        <v/>
      </c>
    </row>
    <row r="39" spans="2:14" x14ac:dyDescent="0.25">
      <c r="B39" t="s">
        <v>38</v>
      </c>
      <c r="C39" t="e">
        <f>IF(C38="","",IF(C38=INDEX('[1]Grade Project'!$F:$F,MATCH($A$3,'[1]Grade Project'!$E:$E,0)+SUM($D$3:D38)),"",INDEX('[1]Grade Project'!$F:$F,MATCH($A$3,'[1]Grade Project'!$E:$E,0)+SUM($D$3:D38))))</f>
        <v>#N/A</v>
      </c>
      <c r="F39" t="str">
        <f>IF(G38=0,"",INDEX('[1]Grade Project'!$G:$G,MATCH($A$5,'[1]Grade Project'!$F:$F,0)+SUM($G$3:G38)))</f>
        <v/>
      </c>
      <c r="G39">
        <f>COUNTIFS('[1]Grade Project'!$F:$F,$A$5,'[1]Grade Project'!$G:$G,F39)</f>
        <v>0</v>
      </c>
      <c r="H39" t="str">
        <f>IF(I38=0,"",INDEX('[1]Grade Project'!$K:$K,MATCH(CONCATENATE($A$5,$A$8),'[1]Grade Project'!$H:$H,0)+SUM($I$3:I38)))</f>
        <v/>
      </c>
      <c r="I39">
        <f>COUNTIFS('[1]Grade Project'!$G:$G,$A$8,'[1]Grade Project'!$K:$K,H39,'[1]Grade Project'!$F:$F,$A$5)</f>
        <v>0</v>
      </c>
      <c r="J39" t="str">
        <f>IFERROR(AVERAGEIFS('[1]Grade Project'!$N:$N,'[1]Grade Project'!$K:$K,H39,'[1]Grade Project'!$F:$F,$A$5,'[1]Grade Project'!$G:$G,$A$8),"")</f>
        <v/>
      </c>
      <c r="K39" t="str">
        <f>IFERROR(AVERAGEIFS('[1]Grade Project'!$O:$O,'[1]Grade Project'!$K:$K,H39,'[1]Grade Project'!$F:$F,$A$5,'[1]Grade Project'!$G:$G,$A$8),"")</f>
        <v/>
      </c>
      <c r="L39" t="str">
        <f t="shared" si="1"/>
        <v/>
      </c>
      <c r="M39" t="str">
        <f t="shared" si="2"/>
        <v/>
      </c>
      <c r="N39" t="str">
        <f t="shared" si="3"/>
        <v/>
      </c>
    </row>
    <row r="40" spans="2:14" x14ac:dyDescent="0.25">
      <c r="B40" t="s">
        <v>39</v>
      </c>
      <c r="C40" t="e">
        <f>IF(C39="","",IF(C39=INDEX('[1]Grade Project'!$F:$F,MATCH($A$3,'[1]Grade Project'!$E:$E,0)+SUM($D$3:D39)),"",INDEX('[1]Grade Project'!$F:$F,MATCH($A$3,'[1]Grade Project'!$E:$E,0)+SUM($D$3:D39))))</f>
        <v>#N/A</v>
      </c>
      <c r="F40" t="str">
        <f>IF(G39=0,"",INDEX('[1]Grade Project'!$G:$G,MATCH($A$5,'[1]Grade Project'!$F:$F,0)+SUM($G$3:G39)))</f>
        <v/>
      </c>
      <c r="G40">
        <f>COUNTIFS('[1]Grade Project'!$F:$F,$A$5,'[1]Grade Project'!$G:$G,F40)</f>
        <v>0</v>
      </c>
      <c r="H40" t="str">
        <f>IF(I39=0,"",INDEX('[1]Grade Project'!$K:$K,MATCH(CONCATENATE($A$5,$A$8),'[1]Grade Project'!$H:$H,0)+SUM($I$3:I39)))</f>
        <v/>
      </c>
      <c r="I40">
        <f>COUNTIFS('[1]Grade Project'!$G:$G,$A$8,'[1]Grade Project'!$K:$K,H40,'[1]Grade Project'!$F:$F,$A$5)</f>
        <v>0</v>
      </c>
      <c r="J40" t="str">
        <f>IFERROR(AVERAGEIFS('[1]Grade Project'!$N:$N,'[1]Grade Project'!$K:$K,H40,'[1]Grade Project'!$F:$F,$A$5,'[1]Grade Project'!$G:$G,$A$8),"")</f>
        <v/>
      </c>
      <c r="K40" t="str">
        <f>IFERROR(AVERAGEIFS('[1]Grade Project'!$O:$O,'[1]Grade Project'!$K:$K,H40,'[1]Grade Project'!$F:$F,$A$5,'[1]Grade Project'!$G:$G,$A$8),"")</f>
        <v/>
      </c>
      <c r="L40" t="str">
        <f t="shared" si="1"/>
        <v/>
      </c>
      <c r="M40" t="str">
        <f t="shared" si="2"/>
        <v/>
      </c>
      <c r="N40" t="str">
        <f t="shared" si="3"/>
        <v/>
      </c>
    </row>
    <row r="41" spans="2:14" x14ac:dyDescent="0.25">
      <c r="B41" t="s">
        <v>40</v>
      </c>
      <c r="C41" t="e">
        <f>IF(C40="","",IF(C40=INDEX('[1]Grade Project'!$F:$F,MATCH($A$3,'[1]Grade Project'!$E:$E,0)+SUM($D$3:D40)),"",INDEX('[1]Grade Project'!$F:$F,MATCH($A$3,'[1]Grade Project'!$E:$E,0)+SUM($D$3:D40))))</f>
        <v>#N/A</v>
      </c>
      <c r="F41" t="str">
        <f>IF(G40=0,"",INDEX('[1]Grade Project'!$G:$G,MATCH($A$5,'[1]Grade Project'!$F:$F,0)+SUM($G$3:G40)))</f>
        <v/>
      </c>
      <c r="G41">
        <f>COUNTIFS('[1]Grade Project'!$F:$F,$A$5,'[1]Grade Project'!$G:$G,F41)</f>
        <v>0</v>
      </c>
      <c r="H41" t="str">
        <f>IF(I40=0,"",INDEX('[1]Grade Project'!$K:$K,MATCH(CONCATENATE($A$5,$A$8),'[1]Grade Project'!$H:$H,0)+SUM($I$3:I40)))</f>
        <v/>
      </c>
      <c r="I41">
        <f>COUNTIFS('[1]Grade Project'!$G:$G,$A$8,'[1]Grade Project'!$K:$K,H41,'[1]Grade Project'!$F:$F,$A$5)</f>
        <v>0</v>
      </c>
      <c r="J41" t="str">
        <f>IFERROR(AVERAGEIFS('[1]Grade Project'!$N:$N,'[1]Grade Project'!$K:$K,H41,'[1]Grade Project'!$F:$F,$A$5,'[1]Grade Project'!$G:$G,$A$8),"")</f>
        <v/>
      </c>
      <c r="K41" t="str">
        <f>IFERROR(AVERAGEIFS('[1]Grade Project'!$O:$O,'[1]Grade Project'!$K:$K,H41,'[1]Grade Project'!$F:$F,$A$5,'[1]Grade Project'!$G:$G,$A$8),"")</f>
        <v/>
      </c>
      <c r="L41" t="str">
        <f t="shared" si="1"/>
        <v/>
      </c>
      <c r="M41" t="str">
        <f t="shared" si="2"/>
        <v/>
      </c>
      <c r="N41" t="str">
        <f t="shared" si="3"/>
        <v/>
      </c>
    </row>
    <row r="42" spans="2:14" x14ac:dyDescent="0.25">
      <c r="B42" t="s">
        <v>41</v>
      </c>
      <c r="C42" t="e">
        <f>IF(C41="","",IF(C41=INDEX('[1]Grade Project'!$F:$F,MATCH($A$3,'[1]Grade Project'!$E:$E,0)+SUM($D$3:D41)),"",INDEX('[1]Grade Project'!$F:$F,MATCH($A$3,'[1]Grade Project'!$E:$E,0)+SUM($D$3:D41))))</f>
        <v>#N/A</v>
      </c>
      <c r="F42" t="str">
        <f>IF(G41=0,"",INDEX('[1]Grade Project'!$G:$G,MATCH($A$5,'[1]Grade Project'!$F:$F,0)+SUM($G$3:G41)))</f>
        <v/>
      </c>
      <c r="G42">
        <f>COUNTIFS('[1]Grade Project'!$F:$F,$A$5,'[1]Grade Project'!$G:$G,F42)</f>
        <v>0</v>
      </c>
      <c r="H42" t="str">
        <f>IF(I41=0,"",INDEX('[1]Grade Project'!$K:$K,MATCH(CONCATENATE($A$5,$A$8),'[1]Grade Project'!$H:$H,0)+SUM($I$3:I41)))</f>
        <v/>
      </c>
      <c r="I42">
        <f>COUNTIFS('[1]Grade Project'!$G:$G,$A$8,'[1]Grade Project'!$K:$K,H42,'[1]Grade Project'!$F:$F,$A$5)</f>
        <v>0</v>
      </c>
      <c r="J42" t="str">
        <f>IFERROR(AVERAGEIFS('[1]Grade Project'!$N:$N,'[1]Grade Project'!$K:$K,H42,'[1]Grade Project'!$F:$F,$A$5,'[1]Grade Project'!$G:$G,$A$8),"")</f>
        <v/>
      </c>
      <c r="K42" t="str">
        <f>IFERROR(AVERAGEIFS('[1]Grade Project'!$O:$O,'[1]Grade Project'!$K:$K,H42,'[1]Grade Project'!$F:$F,$A$5,'[1]Grade Project'!$G:$G,$A$8),"")</f>
        <v/>
      </c>
      <c r="L42" t="str">
        <f t="shared" si="1"/>
        <v/>
      </c>
      <c r="M42" t="str">
        <f t="shared" si="2"/>
        <v/>
      </c>
      <c r="N42" t="str">
        <f t="shared" si="3"/>
        <v/>
      </c>
    </row>
    <row r="43" spans="2:14" x14ac:dyDescent="0.25">
      <c r="B43" t="s">
        <v>42</v>
      </c>
      <c r="C43" t="e">
        <f>IF(C42="","",IF(C42=INDEX('[1]Grade Project'!$F:$F,MATCH($A$3,'[1]Grade Project'!$E:$E,0)+SUM($D$3:D42)),"",INDEX('[1]Grade Project'!$F:$F,MATCH($A$3,'[1]Grade Project'!$E:$E,0)+SUM($D$3:D42))))</f>
        <v>#N/A</v>
      </c>
      <c r="F43" t="str">
        <f>IF(G42=0,"",INDEX('[1]Grade Project'!$G:$G,MATCH($A$5,'[1]Grade Project'!$F:$F,0)+SUM($G$3:G42)))</f>
        <v/>
      </c>
      <c r="G43">
        <f>COUNTIFS('[1]Grade Project'!$F:$F,$A$5,'[1]Grade Project'!$G:$G,F43)</f>
        <v>0</v>
      </c>
      <c r="H43" t="str">
        <f>IF(I42=0,"",INDEX('[1]Grade Project'!$K:$K,MATCH(CONCATENATE($A$5,$A$8),'[1]Grade Project'!$H:$H,0)+SUM($I$3:I42)))</f>
        <v/>
      </c>
      <c r="I43">
        <f>COUNTIFS('[1]Grade Project'!$G:$G,$A$8,'[1]Grade Project'!$K:$K,H43,'[1]Grade Project'!$F:$F,$A$5)</f>
        <v>0</v>
      </c>
      <c r="J43" t="str">
        <f>IFERROR(AVERAGEIFS('[1]Grade Project'!$N:$N,'[1]Grade Project'!$K:$K,H43,'[1]Grade Project'!$F:$F,$A$5,'[1]Grade Project'!$G:$G,$A$8),"")</f>
        <v/>
      </c>
      <c r="K43" t="str">
        <f>IFERROR(AVERAGEIFS('[1]Grade Project'!$O:$O,'[1]Grade Project'!$K:$K,H43,'[1]Grade Project'!$F:$F,$A$5,'[1]Grade Project'!$G:$G,$A$8),"")</f>
        <v/>
      </c>
      <c r="L43" t="str">
        <f t="shared" si="1"/>
        <v/>
      </c>
      <c r="M43" t="str">
        <f t="shared" si="2"/>
        <v/>
      </c>
      <c r="N43" t="str">
        <f t="shared" si="3"/>
        <v/>
      </c>
    </row>
    <row r="44" spans="2:14" x14ac:dyDescent="0.25">
      <c r="B44" t="s">
        <v>43</v>
      </c>
      <c r="C44" t="e">
        <f>IF(C43="","",IF(C43=INDEX('[1]Grade Project'!$F:$F,MATCH($A$3,'[1]Grade Project'!$E:$E,0)+SUM($D$3:D43)),"",INDEX('[1]Grade Project'!$F:$F,MATCH($A$3,'[1]Grade Project'!$E:$E,0)+SUM($D$3:D43))))</f>
        <v>#N/A</v>
      </c>
      <c r="F44" t="str">
        <f>IF(G43=0,"",INDEX('[1]Grade Project'!$G:$G,MATCH($A$5,'[1]Grade Project'!$F:$F,0)+SUM($G$3:G43)))</f>
        <v/>
      </c>
      <c r="G44">
        <f>COUNTIFS('[1]Grade Project'!$F:$F,$A$5,'[1]Grade Project'!$G:$G,F44)</f>
        <v>0</v>
      </c>
      <c r="H44" t="str">
        <f>IF(I43=0,"",INDEX('[1]Grade Project'!$K:$K,MATCH(CONCATENATE($A$5,$A$8),'[1]Grade Project'!$H:$H,0)+SUM($I$3:I43)))</f>
        <v/>
      </c>
      <c r="I44">
        <f>COUNTIFS('[1]Grade Project'!$G:$G,$A$8,'[1]Grade Project'!$K:$K,H44,'[1]Grade Project'!$F:$F,$A$5)</f>
        <v>0</v>
      </c>
      <c r="J44" t="str">
        <f>IFERROR(AVERAGEIFS('[1]Grade Project'!$N:$N,'[1]Grade Project'!$K:$K,H44,'[1]Grade Project'!$F:$F,$A$5,'[1]Grade Project'!$G:$G,$A$8),"")</f>
        <v/>
      </c>
      <c r="K44" t="str">
        <f>IFERROR(AVERAGEIFS('[1]Grade Project'!$O:$O,'[1]Grade Project'!$K:$K,H44,'[1]Grade Project'!$F:$F,$A$5,'[1]Grade Project'!$G:$G,$A$8),"")</f>
        <v/>
      </c>
      <c r="L44" t="str">
        <f t="shared" si="1"/>
        <v/>
      </c>
      <c r="M44" t="str">
        <f t="shared" si="2"/>
        <v/>
      </c>
      <c r="N44" t="str">
        <f t="shared" si="3"/>
        <v/>
      </c>
    </row>
    <row r="45" spans="2:14" x14ac:dyDescent="0.25">
      <c r="B45" t="s">
        <v>44</v>
      </c>
      <c r="C45" t="e">
        <f>IF(C44="","",IF(C44=INDEX('[1]Grade Project'!$F:$F,MATCH($A$3,'[1]Grade Project'!$E:$E,0)+SUM($D$3:D44)),"",INDEX('[1]Grade Project'!$F:$F,MATCH($A$3,'[1]Grade Project'!$E:$E,0)+SUM($D$3:D44))))</f>
        <v>#N/A</v>
      </c>
      <c r="F45" t="str">
        <f>IF(G44=0,"",INDEX('[1]Grade Project'!$G:$G,MATCH($A$5,'[1]Grade Project'!$F:$F,0)+SUM($G$3:G44)))</f>
        <v/>
      </c>
      <c r="G45">
        <f>COUNTIFS('[1]Grade Project'!$F:$F,$A$5,'[1]Grade Project'!$G:$G,F45)</f>
        <v>0</v>
      </c>
      <c r="H45" t="str">
        <f>IF(I44=0,"",INDEX('[1]Grade Project'!$K:$K,MATCH(CONCATENATE($A$5,$A$8),'[1]Grade Project'!$H:$H,0)+SUM($I$3:I44)))</f>
        <v/>
      </c>
      <c r="I45">
        <f>COUNTIFS('[1]Grade Project'!$G:$G,$A$8,'[1]Grade Project'!$K:$K,H45,'[1]Grade Project'!$F:$F,$A$5)</f>
        <v>0</v>
      </c>
      <c r="J45" t="str">
        <f>IFERROR(AVERAGEIFS('[1]Grade Project'!$N:$N,'[1]Grade Project'!$K:$K,H45,'[1]Grade Project'!$F:$F,$A$5,'[1]Grade Project'!$G:$G,$A$8),"")</f>
        <v/>
      </c>
      <c r="K45" t="str">
        <f>IFERROR(AVERAGEIFS('[1]Grade Project'!$O:$O,'[1]Grade Project'!$K:$K,H45,'[1]Grade Project'!$F:$F,$A$5,'[1]Grade Project'!$G:$G,$A$8),"")</f>
        <v/>
      </c>
      <c r="L45" t="str">
        <f t="shared" si="1"/>
        <v/>
      </c>
      <c r="M45" t="str">
        <f t="shared" si="2"/>
        <v/>
      </c>
      <c r="N45" t="str">
        <f t="shared" si="3"/>
        <v/>
      </c>
    </row>
    <row r="46" spans="2:14" x14ac:dyDescent="0.25">
      <c r="B46" t="s">
        <v>45</v>
      </c>
      <c r="C46" t="e">
        <f>IF(C45="","",IF(C45=INDEX('[1]Grade Project'!$F:$F,MATCH($A$3,'[1]Grade Project'!$E:$E,0)+SUM($D$3:D45)),"",INDEX('[1]Grade Project'!$F:$F,MATCH($A$3,'[1]Grade Project'!$E:$E,0)+SUM($D$3:D45))))</f>
        <v>#N/A</v>
      </c>
      <c r="F46" t="str">
        <f>IF(G45=0,"",INDEX('[1]Grade Project'!$G:$G,MATCH($A$5,'[1]Grade Project'!$F:$F,0)+SUM($G$3:G45)))</f>
        <v/>
      </c>
      <c r="G46">
        <f>COUNTIFS('[1]Grade Project'!$F:$F,$A$5,'[1]Grade Project'!$G:$G,F46)</f>
        <v>0</v>
      </c>
      <c r="H46" t="str">
        <f>IF(I45=0,"",INDEX('[1]Grade Project'!$K:$K,MATCH(CONCATENATE($A$5,$A$8),'[1]Grade Project'!$H:$H,0)+SUM($I$3:I45)))</f>
        <v/>
      </c>
      <c r="I46">
        <f>COUNTIFS('[1]Grade Project'!$G:$G,$A$8,'[1]Grade Project'!$K:$K,H46,'[1]Grade Project'!$F:$F,$A$5)</f>
        <v>0</v>
      </c>
      <c r="J46" t="str">
        <f>IFERROR(AVERAGEIFS('[1]Grade Project'!$N:$N,'[1]Grade Project'!$K:$K,H46,'[1]Grade Project'!$F:$F,$A$5,'[1]Grade Project'!$G:$G,$A$8),"")</f>
        <v/>
      </c>
      <c r="K46" t="str">
        <f>IFERROR(AVERAGEIFS('[1]Grade Project'!$O:$O,'[1]Grade Project'!$K:$K,H46,'[1]Grade Project'!$F:$F,$A$5,'[1]Grade Project'!$G:$G,$A$8),"")</f>
        <v/>
      </c>
      <c r="L46" t="str">
        <f t="shared" si="1"/>
        <v/>
      </c>
      <c r="M46" t="str">
        <f t="shared" si="2"/>
        <v/>
      </c>
      <c r="N46" t="str">
        <f t="shared" si="3"/>
        <v/>
      </c>
    </row>
    <row r="47" spans="2:14" x14ac:dyDescent="0.25">
      <c r="B47" t="s">
        <v>46</v>
      </c>
      <c r="C47" t="e">
        <f>IF(C46="","",IF(C46=INDEX('[1]Grade Project'!$F:$F,MATCH($A$3,'[1]Grade Project'!$E:$E,0)+SUM($D$3:D46)),"",INDEX('[1]Grade Project'!$F:$F,MATCH($A$3,'[1]Grade Project'!$E:$E,0)+SUM($D$3:D46))))</f>
        <v>#N/A</v>
      </c>
      <c r="F47" t="str">
        <f>IF(G46=0,"",INDEX('[1]Grade Project'!$G:$G,MATCH($A$5,'[1]Grade Project'!$F:$F,0)+SUM($G$3:G46)))</f>
        <v/>
      </c>
      <c r="G47">
        <f>COUNTIFS('[1]Grade Project'!$F:$F,$A$5,'[1]Grade Project'!$G:$G,F47)</f>
        <v>0</v>
      </c>
      <c r="H47" t="str">
        <f>IF(I46=0,"",INDEX('[1]Grade Project'!$K:$K,MATCH(CONCATENATE($A$5,$A$8),'[1]Grade Project'!$H:$H,0)+SUM($I$3:I46)))</f>
        <v/>
      </c>
      <c r="I47">
        <f>COUNTIFS('[1]Grade Project'!$G:$G,$A$8,'[1]Grade Project'!$K:$K,H47,'[1]Grade Project'!$F:$F,$A$5)</f>
        <v>0</v>
      </c>
      <c r="J47" t="str">
        <f>IFERROR(AVERAGEIFS('[1]Grade Project'!$N:$N,'[1]Grade Project'!$K:$K,H47,'[1]Grade Project'!$F:$F,$A$5,'[1]Grade Project'!$G:$G,$A$8),"")</f>
        <v/>
      </c>
      <c r="K47" t="str">
        <f>IFERROR(AVERAGEIFS('[1]Grade Project'!$O:$O,'[1]Grade Project'!$K:$K,H47,'[1]Grade Project'!$F:$F,$A$5,'[1]Grade Project'!$G:$G,$A$8),"")</f>
        <v/>
      </c>
      <c r="L47" t="str">
        <f t="shared" si="1"/>
        <v/>
      </c>
      <c r="M47" t="str">
        <f t="shared" si="2"/>
        <v/>
      </c>
      <c r="N47" t="str">
        <f t="shared" si="3"/>
        <v/>
      </c>
    </row>
    <row r="48" spans="2:14" x14ac:dyDescent="0.25">
      <c r="B48" t="s">
        <v>47</v>
      </c>
      <c r="C48" t="e">
        <f>IF(C47="","",IF(C47=INDEX('[1]Grade Project'!$F:$F,MATCH($A$3,'[1]Grade Project'!$E:$E,0)+SUM($D$3:D47)),"",INDEX('[1]Grade Project'!$F:$F,MATCH($A$3,'[1]Grade Project'!$E:$E,0)+SUM($D$3:D47))))</f>
        <v>#N/A</v>
      </c>
      <c r="F48" t="str">
        <f>IF(G47=0,"",INDEX('[1]Grade Project'!$G:$G,MATCH($A$5,'[1]Grade Project'!$F:$F,0)+SUM($G$3:G47)))</f>
        <v/>
      </c>
      <c r="G48">
        <f>COUNTIFS('[1]Grade Project'!$F:$F,$A$5,'[1]Grade Project'!$G:$G,F48)</f>
        <v>0</v>
      </c>
      <c r="H48" t="str">
        <f>IF(I47=0,"",INDEX('[1]Grade Project'!$K:$K,MATCH(CONCATENATE($A$5,$A$8),'[1]Grade Project'!$H:$H,0)+SUM($I$3:I47)))</f>
        <v/>
      </c>
      <c r="I48">
        <f>COUNTIFS('[1]Grade Project'!$G:$G,$A$8,'[1]Grade Project'!$K:$K,H48,'[1]Grade Project'!$F:$F,$A$5)</f>
        <v>0</v>
      </c>
      <c r="J48" t="str">
        <f>IFERROR(AVERAGEIFS('[1]Grade Project'!$N:$N,'[1]Grade Project'!$K:$K,H48,'[1]Grade Project'!$F:$F,$A$5,'[1]Grade Project'!$G:$G,$A$8),"")</f>
        <v/>
      </c>
      <c r="K48" t="str">
        <f>IFERROR(AVERAGEIFS('[1]Grade Project'!$O:$O,'[1]Grade Project'!$K:$K,H48,'[1]Grade Project'!$F:$F,$A$5,'[1]Grade Project'!$G:$G,$A$8),"")</f>
        <v/>
      </c>
      <c r="L48" t="str">
        <f t="shared" si="1"/>
        <v/>
      </c>
      <c r="M48" t="str">
        <f t="shared" si="2"/>
        <v/>
      </c>
      <c r="N48" t="str">
        <f t="shared" si="3"/>
        <v/>
      </c>
    </row>
    <row r="49" spans="2:14" x14ac:dyDescent="0.25">
      <c r="B49" t="s">
        <v>48</v>
      </c>
      <c r="C49" t="e">
        <f>IF(C48="","",IF(C48=INDEX('[1]Grade Project'!$F:$F,MATCH($A$3,'[1]Grade Project'!$E:$E,0)+SUM($D$3:D48)),"",INDEX('[1]Grade Project'!$F:$F,MATCH($A$3,'[1]Grade Project'!$E:$E,0)+SUM($D$3:D48))))</f>
        <v>#N/A</v>
      </c>
      <c r="F49" t="str">
        <f>IF(G48=0,"",INDEX('[1]Grade Project'!$G:$G,MATCH($A$5,'[1]Grade Project'!$F:$F,0)+SUM($G$3:G48)))</f>
        <v/>
      </c>
      <c r="G49">
        <f>COUNTIFS('[1]Grade Project'!$F:$F,$A$5,'[1]Grade Project'!$G:$G,F49)</f>
        <v>0</v>
      </c>
      <c r="H49" t="str">
        <f>IF(I48=0,"",INDEX('[1]Grade Project'!$K:$K,MATCH(CONCATENATE($A$5,$A$8),'[1]Grade Project'!$H:$H,0)+SUM($I$3:I48)))</f>
        <v/>
      </c>
      <c r="I49">
        <f>COUNTIFS('[1]Grade Project'!$G:$G,$A$8,'[1]Grade Project'!$K:$K,H49,'[1]Grade Project'!$F:$F,$A$5)</f>
        <v>0</v>
      </c>
      <c r="J49" t="str">
        <f>IFERROR(AVERAGEIFS('[1]Grade Project'!$N:$N,'[1]Grade Project'!$K:$K,H49,'[1]Grade Project'!$F:$F,$A$5,'[1]Grade Project'!$G:$G,$A$8),"")</f>
        <v/>
      </c>
      <c r="K49" t="str">
        <f>IFERROR(AVERAGEIFS('[1]Grade Project'!$O:$O,'[1]Grade Project'!$K:$K,H49,'[1]Grade Project'!$F:$F,$A$5,'[1]Grade Project'!$G:$G,$A$8),"")</f>
        <v/>
      </c>
      <c r="L49" t="str">
        <f t="shared" si="1"/>
        <v/>
      </c>
      <c r="M49" t="str">
        <f t="shared" si="2"/>
        <v/>
      </c>
      <c r="N49" t="str">
        <f t="shared" si="3"/>
        <v/>
      </c>
    </row>
    <row r="50" spans="2:14" x14ac:dyDescent="0.25">
      <c r="B50" t="s">
        <v>49</v>
      </c>
      <c r="C50" t="e">
        <f>IF(C49="","",IF(C49=INDEX('[1]Grade Project'!$F:$F,MATCH($A$3,'[1]Grade Project'!$E:$E,0)+SUM($D$3:D49)),"",INDEX('[1]Grade Project'!$F:$F,MATCH($A$3,'[1]Grade Project'!$E:$E,0)+SUM($D$3:D49))))</f>
        <v>#N/A</v>
      </c>
      <c r="F50" t="str">
        <f>IF(G49=0,"",INDEX('[1]Grade Project'!$G:$G,MATCH($A$5,'[1]Grade Project'!$F:$F,0)+SUM($G$3:G49)))</f>
        <v/>
      </c>
      <c r="G50">
        <f>COUNTIFS('[1]Grade Project'!$F:$F,$A$5,'[1]Grade Project'!$G:$G,F50)</f>
        <v>0</v>
      </c>
      <c r="H50" t="str">
        <f>IF(I49=0,"",INDEX('[1]Grade Project'!$K:$K,MATCH(CONCATENATE($A$5,$A$8),'[1]Grade Project'!$H:$H,0)+SUM($I$3:I49)))</f>
        <v/>
      </c>
      <c r="I50">
        <f>COUNTIFS('[1]Grade Project'!$G:$G,$A$8,'[1]Grade Project'!$K:$K,H50,'[1]Grade Project'!$F:$F,$A$5)</f>
        <v>0</v>
      </c>
      <c r="J50" t="str">
        <f>IFERROR(AVERAGEIFS('[1]Grade Project'!$N:$N,'[1]Grade Project'!$K:$K,H50,'[1]Grade Project'!$F:$F,$A$5,'[1]Grade Project'!$G:$G,$A$8),"")</f>
        <v/>
      </c>
      <c r="K50" t="str">
        <f>IFERROR(AVERAGEIFS('[1]Grade Project'!$O:$O,'[1]Grade Project'!$K:$K,H50,'[1]Grade Project'!$F:$F,$A$5,'[1]Grade Project'!$G:$G,$A$8),"")</f>
        <v/>
      </c>
      <c r="L50" t="str">
        <f t="shared" si="1"/>
        <v/>
      </c>
      <c r="M50" t="str">
        <f t="shared" si="2"/>
        <v/>
      </c>
      <c r="N50" t="str">
        <f t="shared" si="3"/>
        <v/>
      </c>
    </row>
    <row r="51" spans="2:14" x14ac:dyDescent="0.25">
      <c r="B51" t="s">
        <v>50</v>
      </c>
      <c r="C51" t="e">
        <f>IF(C50="","",IF(C50=INDEX('[1]Grade Project'!$F:$F,MATCH($A$3,'[1]Grade Project'!$E:$E,0)+SUM($D$3:D50)),"",INDEX('[1]Grade Project'!$F:$F,MATCH($A$3,'[1]Grade Project'!$E:$E,0)+SUM($D$3:D50))))</f>
        <v>#N/A</v>
      </c>
      <c r="F51" t="str">
        <f>IF(G50=0,"",INDEX('[1]Grade Project'!$G:$G,MATCH($A$5,'[1]Grade Project'!$F:$F,0)+SUM($G$3:G50)))</f>
        <v/>
      </c>
      <c r="G51">
        <f>COUNTIFS('[1]Grade Project'!$F:$F,$A$5,'[1]Grade Project'!$G:$G,F51)</f>
        <v>0</v>
      </c>
      <c r="H51" t="str">
        <f>IF(I50=0,"",INDEX('[1]Grade Project'!$K:$K,MATCH(CONCATENATE($A$5,$A$8),'[1]Grade Project'!$H:$H,0)+SUM($I$3:I50)))</f>
        <v/>
      </c>
      <c r="I51">
        <f>COUNTIFS('[1]Grade Project'!$G:$G,$A$8,'[1]Grade Project'!$K:$K,H51,'[1]Grade Project'!$F:$F,$A$5)</f>
        <v>0</v>
      </c>
      <c r="J51" t="str">
        <f>IFERROR(AVERAGEIFS('[1]Grade Project'!$N:$N,'[1]Grade Project'!$K:$K,H51,'[1]Grade Project'!$F:$F,$A$5,'[1]Grade Project'!$G:$G,$A$8),"")</f>
        <v/>
      </c>
      <c r="K51" t="str">
        <f>IFERROR(AVERAGEIFS('[1]Grade Project'!$O:$O,'[1]Grade Project'!$K:$K,H51,'[1]Grade Project'!$F:$F,$A$5,'[1]Grade Project'!$G:$G,$A$8),"")</f>
        <v/>
      </c>
      <c r="L51" t="str">
        <f t="shared" si="1"/>
        <v/>
      </c>
      <c r="M51" t="str">
        <f t="shared" si="2"/>
        <v/>
      </c>
      <c r="N51" t="str">
        <f t="shared" si="3"/>
        <v/>
      </c>
    </row>
    <row r="52" spans="2:14" x14ac:dyDescent="0.25">
      <c r="B52" t="s">
        <v>51</v>
      </c>
      <c r="C52" t="e">
        <f>IF(C51="","",IF(C51=INDEX('[1]Grade Project'!$F:$F,MATCH($A$3,'[1]Grade Project'!$E:$E,0)+SUM($D$3:D51)),"",INDEX('[1]Grade Project'!$F:$F,MATCH($A$3,'[1]Grade Project'!$E:$E,0)+SUM($D$3:D51))))</f>
        <v>#N/A</v>
      </c>
      <c r="F52" t="str">
        <f>IF(G51=0,"",INDEX('[1]Grade Project'!$G:$G,MATCH($A$5,'[1]Grade Project'!$F:$F,0)+SUM($G$3:G51)))</f>
        <v/>
      </c>
      <c r="G52">
        <f>COUNTIFS('[1]Grade Project'!$F:$F,$A$5,'[1]Grade Project'!$G:$G,F52)</f>
        <v>0</v>
      </c>
      <c r="H52" t="str">
        <f>IF(I51=0,"",INDEX('[1]Grade Project'!$K:$K,MATCH(CONCATENATE($A$5,$A$8),'[1]Grade Project'!$H:$H,0)+SUM($I$3:I51)))</f>
        <v/>
      </c>
      <c r="I52">
        <f>COUNTIFS('[1]Grade Project'!$G:$G,$A$8,'[1]Grade Project'!$K:$K,H52,'[1]Grade Project'!$F:$F,$A$5)</f>
        <v>0</v>
      </c>
      <c r="J52" t="str">
        <f>IFERROR(AVERAGEIFS('[1]Grade Project'!$N:$N,'[1]Grade Project'!$K:$K,H52,'[1]Grade Project'!$F:$F,$A$5,'[1]Grade Project'!$G:$G,$A$8),"")</f>
        <v/>
      </c>
      <c r="K52" t="str">
        <f>IFERROR(AVERAGEIFS('[1]Grade Project'!$O:$O,'[1]Grade Project'!$K:$K,H52,'[1]Grade Project'!$F:$F,$A$5,'[1]Grade Project'!$G:$G,$A$8),"")</f>
        <v/>
      </c>
      <c r="L52" t="str">
        <f t="shared" si="1"/>
        <v/>
      </c>
      <c r="M52" t="str">
        <f t="shared" si="2"/>
        <v/>
      </c>
      <c r="N52" t="str">
        <f t="shared" si="3"/>
        <v/>
      </c>
    </row>
    <row r="53" spans="2:14" x14ac:dyDescent="0.25">
      <c r="B53" t="s">
        <v>52</v>
      </c>
      <c r="C53" t="e">
        <f>IF(C52="","",IF(C52=INDEX('[1]Grade Project'!$F:$F,MATCH($A$3,'[1]Grade Project'!$E:$E,0)+SUM($D$3:D52)),"",INDEX('[1]Grade Project'!$F:$F,MATCH($A$3,'[1]Grade Project'!$E:$E,0)+SUM($D$3:D52))))</f>
        <v>#N/A</v>
      </c>
      <c r="F53" t="str">
        <f>IF(G52=0,"",INDEX('[1]Grade Project'!$G:$G,MATCH($A$5,'[1]Grade Project'!$F:$F,0)+SUM($G$3:G52)))</f>
        <v/>
      </c>
      <c r="G53">
        <f>COUNTIFS('[1]Grade Project'!$F:$F,$A$5,'[1]Grade Project'!$G:$G,F53)</f>
        <v>0</v>
      </c>
      <c r="H53" t="str">
        <f>IF(I52=0,"",INDEX('[1]Grade Project'!$K:$K,MATCH(CONCATENATE($A$5,$A$8),'[1]Grade Project'!$H:$H,0)+SUM($I$3:I52)))</f>
        <v/>
      </c>
      <c r="I53">
        <f>COUNTIFS('[1]Grade Project'!$G:$G,$A$8,'[1]Grade Project'!$K:$K,H53,'[1]Grade Project'!$F:$F,$A$5)</f>
        <v>0</v>
      </c>
      <c r="J53" t="str">
        <f>IFERROR(AVERAGEIFS('[1]Grade Project'!$N:$N,'[1]Grade Project'!$K:$K,H53,'[1]Grade Project'!$F:$F,$A$5,'[1]Grade Project'!$G:$G,$A$8),"")</f>
        <v/>
      </c>
      <c r="K53" t="str">
        <f>IFERROR(AVERAGEIFS('[1]Grade Project'!$O:$O,'[1]Grade Project'!$K:$K,H53,'[1]Grade Project'!$F:$F,$A$5,'[1]Grade Project'!$G:$G,$A$8),"")</f>
        <v/>
      </c>
      <c r="L53" t="str">
        <f t="shared" si="1"/>
        <v/>
      </c>
      <c r="M53" t="str">
        <f t="shared" si="2"/>
        <v/>
      </c>
      <c r="N53" t="str">
        <f t="shared" si="3"/>
        <v/>
      </c>
    </row>
    <row r="54" spans="2:14" x14ac:dyDescent="0.25">
      <c r="B54" t="s">
        <v>53</v>
      </c>
      <c r="C54" t="e">
        <f>IF(C53="","",IF(C53=INDEX('[1]Grade Project'!$F:$F,MATCH($A$3,'[1]Grade Project'!$E:$E,0)+SUM($D$3:D53)),"",INDEX('[1]Grade Project'!$F:$F,MATCH($A$3,'[1]Grade Project'!$E:$E,0)+SUM($D$3:D53))))</f>
        <v>#N/A</v>
      </c>
      <c r="F54" t="str">
        <f>IF(G53=0,"",INDEX('[1]Grade Project'!$G:$G,MATCH($A$5,'[1]Grade Project'!$F:$F,0)+SUM($G$3:G53)))</f>
        <v/>
      </c>
      <c r="G54">
        <f>COUNTIFS('[1]Grade Project'!$F:$F,$A$5,'[1]Grade Project'!$G:$G,F54)</f>
        <v>0</v>
      </c>
      <c r="H54" t="str">
        <f>IF(I53=0,"",INDEX('[1]Grade Project'!$K:$K,MATCH(CONCATENATE($A$5,$A$8),'[1]Grade Project'!$H:$H,0)+SUM($I$3:I53)))</f>
        <v/>
      </c>
      <c r="I54">
        <f>COUNTIFS('[1]Grade Project'!$G:$G,$A$8,'[1]Grade Project'!$K:$K,H54,'[1]Grade Project'!$F:$F,$A$5)</f>
        <v>0</v>
      </c>
      <c r="J54" t="str">
        <f>IFERROR(AVERAGEIFS('[1]Grade Project'!$N:$N,'[1]Grade Project'!$K:$K,H54,'[1]Grade Project'!$F:$F,$A$5,'[1]Grade Project'!$G:$G,$A$8),"")</f>
        <v/>
      </c>
      <c r="K54" t="str">
        <f>IFERROR(AVERAGEIFS('[1]Grade Project'!$O:$O,'[1]Grade Project'!$K:$K,H54,'[1]Grade Project'!$F:$F,$A$5,'[1]Grade Project'!$G:$G,$A$8),"")</f>
        <v/>
      </c>
      <c r="L54" t="str">
        <f t="shared" si="1"/>
        <v/>
      </c>
      <c r="M54" t="str">
        <f t="shared" si="2"/>
        <v/>
      </c>
      <c r="N54" t="str">
        <f t="shared" si="3"/>
        <v/>
      </c>
    </row>
    <row r="55" spans="2:14" x14ac:dyDescent="0.25">
      <c r="B55" t="s">
        <v>54</v>
      </c>
      <c r="F55" t="str">
        <f>IF(G54=0,"",INDEX('[1]Grade Project'!$G:$G,MATCH($A$5,'[1]Grade Project'!$F:$F,0)+SUM($G$3:G54)))</f>
        <v/>
      </c>
      <c r="G55">
        <f>COUNTIFS('[1]Grade Project'!$F:$F,$A$5,'[1]Grade Project'!$G:$G,F55)</f>
        <v>0</v>
      </c>
      <c r="H55" t="str">
        <f>IF(I54=0,"",INDEX('[1]Grade Project'!$K:$K,MATCH(CONCATENATE($A$5,$A$8),'[1]Grade Project'!$H:$H,0)+SUM($I$3:I54)))</f>
        <v/>
      </c>
      <c r="I55">
        <f>COUNTIFS('[1]Grade Project'!$G:$G,$A$8,'[1]Grade Project'!$K:$K,H55,'[1]Grade Project'!$F:$F,$A$5)</f>
        <v>0</v>
      </c>
      <c r="J55" t="str">
        <f>IFERROR(AVERAGEIFS('[1]Grade Project'!$N:$N,'[1]Grade Project'!$K:$K,H55,'[1]Grade Project'!$F:$F,$A$5,'[1]Grade Project'!$G:$G,$A$8),"")</f>
        <v/>
      </c>
      <c r="K55" t="str">
        <f>IFERROR(AVERAGEIFS('[1]Grade Project'!$O:$O,'[1]Grade Project'!$K:$K,H55,'[1]Grade Project'!$F:$F,$A$5,'[1]Grade Project'!$G:$G,$A$8),"")</f>
        <v/>
      </c>
      <c r="L55" t="str">
        <f t="shared" si="1"/>
        <v/>
      </c>
      <c r="M55" t="str">
        <f t="shared" si="2"/>
        <v/>
      </c>
      <c r="N55" t="str">
        <f t="shared" si="3"/>
        <v/>
      </c>
    </row>
    <row r="56" spans="2:14" x14ac:dyDescent="0.25">
      <c r="B56" t="s">
        <v>55</v>
      </c>
      <c r="F56" t="str">
        <f>IF(G55=0,"",INDEX('[1]Grade Project'!$G:$G,MATCH($A$5,'[1]Grade Project'!$F:$F,0)+SUM($G$3:G55)))</f>
        <v/>
      </c>
      <c r="G56">
        <f>COUNTIFS('[1]Grade Project'!$F:$F,$A$5,'[1]Grade Project'!$G:$G,F56)</f>
        <v>0</v>
      </c>
      <c r="H56" t="str">
        <f>IF(I55=0,"",INDEX('[1]Grade Project'!$K:$K,MATCH(CONCATENATE($A$5,$A$8),'[1]Grade Project'!$H:$H,0)+SUM($I$3:I55)))</f>
        <v/>
      </c>
      <c r="I56">
        <f>COUNTIFS('[1]Grade Project'!$G:$G,$A$8,'[1]Grade Project'!$K:$K,H56,'[1]Grade Project'!$F:$F,$A$5)</f>
        <v>0</v>
      </c>
      <c r="J56" t="str">
        <f>IFERROR(AVERAGEIFS('[1]Grade Project'!$N:$N,'[1]Grade Project'!$K:$K,H56,'[1]Grade Project'!$F:$F,$A$5,'[1]Grade Project'!$G:$G,$A$8),"")</f>
        <v/>
      </c>
      <c r="K56" t="str">
        <f>IFERROR(AVERAGEIFS('[1]Grade Project'!$O:$O,'[1]Grade Project'!$K:$K,H56,'[1]Grade Project'!$F:$F,$A$5,'[1]Grade Project'!$G:$G,$A$8),"")</f>
        <v/>
      </c>
      <c r="L56" t="str">
        <f t="shared" si="1"/>
        <v/>
      </c>
      <c r="M56" t="str">
        <f t="shared" si="2"/>
        <v/>
      </c>
      <c r="N56" t="str">
        <f t="shared" si="3"/>
        <v/>
      </c>
    </row>
    <row r="57" spans="2:14" x14ac:dyDescent="0.25">
      <c r="B57" t="s">
        <v>56</v>
      </c>
      <c r="F57" t="str">
        <f>IF(G56=0,"",INDEX('[1]Grade Project'!$G:$G,MATCH($A$5,'[1]Grade Project'!$F:$F,0)+SUM($G$3:G56)))</f>
        <v/>
      </c>
      <c r="G57">
        <f>COUNTIFS('[1]Grade Project'!$F:$F,$A$5,'[1]Grade Project'!$G:$G,F57)</f>
        <v>0</v>
      </c>
      <c r="H57" t="str">
        <f>IF(I56=0,"",INDEX('[1]Grade Project'!$K:$K,MATCH(CONCATENATE($A$5,$A$8),'[1]Grade Project'!$H:$H,0)+SUM($I$3:I56)))</f>
        <v/>
      </c>
      <c r="I57">
        <f>COUNTIFS('[1]Grade Project'!$G:$G,$A$8,'[1]Grade Project'!$K:$K,H57,'[1]Grade Project'!$F:$F,$A$5)</f>
        <v>0</v>
      </c>
      <c r="J57" t="str">
        <f>IFERROR(AVERAGEIFS('[1]Grade Project'!$N:$N,'[1]Grade Project'!$K:$K,H57,'[1]Grade Project'!$F:$F,$A$5,'[1]Grade Project'!$G:$G,$A$8),"")</f>
        <v/>
      </c>
      <c r="K57" t="str">
        <f>IFERROR(AVERAGEIFS('[1]Grade Project'!$O:$O,'[1]Grade Project'!$K:$K,H57,'[1]Grade Project'!$F:$F,$A$5,'[1]Grade Project'!$G:$G,$A$8),"")</f>
        <v/>
      </c>
      <c r="L57" t="str">
        <f t="shared" si="1"/>
        <v/>
      </c>
      <c r="M57" t="str">
        <f t="shared" si="2"/>
        <v/>
      </c>
      <c r="N57" t="str">
        <f t="shared" si="3"/>
        <v/>
      </c>
    </row>
    <row r="58" spans="2:14" x14ac:dyDescent="0.25">
      <c r="B58" t="s">
        <v>57</v>
      </c>
      <c r="F58" t="str">
        <f>IF(G57=0,"",INDEX('[1]Grade Project'!$G:$G,MATCH($A$5,'[1]Grade Project'!$F:$F,0)+SUM($G$3:G57)))</f>
        <v/>
      </c>
      <c r="G58">
        <f>COUNTIFS('[1]Grade Project'!$F:$F,$A$5,'[1]Grade Project'!$G:$G,F58)</f>
        <v>0</v>
      </c>
      <c r="H58" t="str">
        <f>IF(I57=0,"",INDEX('[1]Grade Project'!$K:$K,MATCH(CONCATENATE($A$5,$A$8),'[1]Grade Project'!$H:$H,0)+SUM($I$3:I57)))</f>
        <v/>
      </c>
      <c r="I58">
        <f>COUNTIFS('[1]Grade Project'!$G:$G,$A$8,'[1]Grade Project'!$K:$K,H58,'[1]Grade Project'!$F:$F,$A$5)</f>
        <v>0</v>
      </c>
      <c r="J58" t="str">
        <f>IFERROR(AVERAGEIFS('[1]Grade Project'!$N:$N,'[1]Grade Project'!$K:$K,H58,'[1]Grade Project'!$F:$F,$A$5,'[1]Grade Project'!$G:$G,$A$8),"")</f>
        <v/>
      </c>
      <c r="K58" t="str">
        <f>IFERROR(AVERAGEIFS('[1]Grade Project'!$O:$O,'[1]Grade Project'!$K:$K,H58,'[1]Grade Project'!$F:$F,$A$5,'[1]Grade Project'!$G:$G,$A$8),"")</f>
        <v/>
      </c>
      <c r="L58" t="str">
        <f t="shared" si="1"/>
        <v/>
      </c>
      <c r="M58" t="str">
        <f t="shared" si="2"/>
        <v/>
      </c>
      <c r="N58" t="str">
        <f t="shared" si="3"/>
        <v/>
      </c>
    </row>
    <row r="59" spans="2:14" x14ac:dyDescent="0.25">
      <c r="B59" t="s">
        <v>58</v>
      </c>
      <c r="F59" t="str">
        <f>IF(G58=0,"",INDEX('[1]Grade Project'!$G:$G,MATCH($A$5,'[1]Grade Project'!$F:$F,0)+SUM($G$3:G58)))</f>
        <v/>
      </c>
      <c r="G59">
        <f>COUNTIFS('[1]Grade Project'!$F:$F,$A$5,'[1]Grade Project'!$G:$G,F59)</f>
        <v>0</v>
      </c>
      <c r="H59" t="str">
        <f>IF(I58=0,"",INDEX('[1]Grade Project'!$K:$K,MATCH(CONCATENATE($A$5,$A$8),'[1]Grade Project'!$H:$H,0)+SUM($I$3:I58)))</f>
        <v/>
      </c>
      <c r="I59">
        <f>COUNTIFS('[1]Grade Project'!$G:$G,$A$8,'[1]Grade Project'!$K:$K,H59,'[1]Grade Project'!$F:$F,$A$5)</f>
        <v>0</v>
      </c>
      <c r="J59" t="str">
        <f>IFERROR(AVERAGEIFS('[1]Grade Project'!$N:$N,'[1]Grade Project'!$K:$K,H59,'[1]Grade Project'!$F:$F,$A$5,'[1]Grade Project'!$G:$G,$A$8),"")</f>
        <v/>
      </c>
      <c r="K59" t="str">
        <f>IFERROR(AVERAGEIFS('[1]Grade Project'!$O:$O,'[1]Grade Project'!$K:$K,H59,'[1]Grade Project'!$F:$F,$A$5,'[1]Grade Project'!$G:$G,$A$8),"")</f>
        <v/>
      </c>
      <c r="L59" t="str">
        <f t="shared" si="1"/>
        <v/>
      </c>
      <c r="M59" t="str">
        <f t="shared" si="2"/>
        <v/>
      </c>
      <c r="N59" t="str">
        <f t="shared" si="3"/>
        <v/>
      </c>
    </row>
    <row r="60" spans="2:14" x14ac:dyDescent="0.25">
      <c r="B60" t="s">
        <v>59</v>
      </c>
      <c r="F60" t="str">
        <f>IF(G59=0,"",INDEX('[1]Grade Project'!$G:$G,MATCH($A$5,'[1]Grade Project'!$F:$F,0)+SUM($G$3:G59)))</f>
        <v/>
      </c>
      <c r="G60">
        <f>COUNTIFS('[1]Grade Project'!$F:$F,$A$5,'[1]Grade Project'!$G:$G,F60)</f>
        <v>0</v>
      </c>
      <c r="H60" t="str">
        <f>IF(I59=0,"",INDEX('[1]Grade Project'!$K:$K,MATCH(CONCATENATE($A$5,$A$8),'[1]Grade Project'!$H:$H,0)+SUM($I$3:I59)))</f>
        <v/>
      </c>
      <c r="I60">
        <f>COUNTIFS('[1]Grade Project'!$G:$G,$A$8,'[1]Grade Project'!$K:$K,H60,'[1]Grade Project'!$F:$F,$A$5)</f>
        <v>0</v>
      </c>
      <c r="J60" t="str">
        <f>IFERROR(AVERAGEIFS('[1]Grade Project'!$N:$N,'[1]Grade Project'!$K:$K,H60,'[1]Grade Project'!$F:$F,$A$5,'[1]Grade Project'!$G:$G,$A$8),"")</f>
        <v/>
      </c>
      <c r="K60" t="str">
        <f>IFERROR(AVERAGEIFS('[1]Grade Project'!$O:$O,'[1]Grade Project'!$K:$K,H60,'[1]Grade Project'!$F:$F,$A$5,'[1]Grade Project'!$G:$G,$A$8),"")</f>
        <v/>
      </c>
      <c r="L60" t="str">
        <f t="shared" si="1"/>
        <v/>
      </c>
      <c r="M60" t="str">
        <f t="shared" si="2"/>
        <v/>
      </c>
      <c r="N60" t="str">
        <f t="shared" si="3"/>
        <v/>
      </c>
    </row>
    <row r="61" spans="2:14" x14ac:dyDescent="0.25">
      <c r="B61" t="s">
        <v>60</v>
      </c>
      <c r="F61" t="str">
        <f>IF(G60=0,"",INDEX('[1]Grade Project'!$G:$G,MATCH($A$5,'[1]Grade Project'!$F:$F,0)+SUM($G$3:G60)))</f>
        <v/>
      </c>
      <c r="G61">
        <f>COUNTIFS('[1]Grade Project'!$F:$F,$A$5,'[1]Grade Project'!$G:$G,F61)</f>
        <v>0</v>
      </c>
      <c r="H61" t="str">
        <f>IF(I60=0,"",INDEX('[1]Grade Project'!$K:$K,MATCH(CONCATENATE($A$5,$A$8),'[1]Grade Project'!$H:$H,0)+SUM($I$3:I60)))</f>
        <v/>
      </c>
      <c r="I61">
        <f>COUNTIFS('[1]Grade Project'!$G:$G,$A$8,'[1]Grade Project'!$K:$K,H61,'[1]Grade Project'!$F:$F,$A$5)</f>
        <v>0</v>
      </c>
      <c r="J61" t="str">
        <f>IFERROR(AVERAGEIFS('[1]Grade Project'!$N:$N,'[1]Grade Project'!$K:$K,H61,'[1]Grade Project'!$F:$F,$A$5,'[1]Grade Project'!$G:$G,$A$8),"")</f>
        <v/>
      </c>
      <c r="K61" t="str">
        <f>IFERROR(AVERAGEIFS('[1]Grade Project'!$O:$O,'[1]Grade Project'!$K:$K,H61,'[1]Grade Project'!$F:$F,$A$5,'[1]Grade Project'!$G:$G,$A$8),"")</f>
        <v/>
      </c>
      <c r="L61" t="str">
        <f t="shared" si="1"/>
        <v/>
      </c>
      <c r="M61" t="str">
        <f t="shared" si="2"/>
        <v/>
      </c>
      <c r="N61" t="str">
        <f t="shared" si="3"/>
        <v/>
      </c>
    </row>
    <row r="62" spans="2:14" x14ac:dyDescent="0.25">
      <c r="B62" t="s">
        <v>61</v>
      </c>
      <c r="F62" t="str">
        <f>IF(G61=0,"",INDEX('[1]Grade Project'!$G:$G,MATCH($A$5,'[1]Grade Project'!$F:$F,0)+SUM($G$3:G61)))</f>
        <v/>
      </c>
      <c r="G62">
        <f>COUNTIFS('[1]Grade Project'!$F:$F,$A$5,'[1]Grade Project'!$G:$G,F62)</f>
        <v>0</v>
      </c>
      <c r="H62" t="str">
        <f>IF(I61=0,"",INDEX('[1]Grade Project'!$K:$K,MATCH(CONCATENATE($A$5,$A$8),'[1]Grade Project'!$H:$H,0)+SUM($I$3:I61)))</f>
        <v/>
      </c>
      <c r="I62">
        <f>COUNTIFS('[1]Grade Project'!$G:$G,$A$8,'[1]Grade Project'!$K:$K,H62,'[1]Grade Project'!$F:$F,$A$5)</f>
        <v>0</v>
      </c>
      <c r="J62" t="str">
        <f>IFERROR(AVERAGEIFS('[1]Grade Project'!$N:$N,'[1]Grade Project'!$K:$K,H62,'[1]Grade Project'!$F:$F,$A$5,'[1]Grade Project'!$G:$G,$A$8),"")</f>
        <v/>
      </c>
      <c r="K62" t="str">
        <f>IFERROR(AVERAGEIFS('[1]Grade Project'!$O:$O,'[1]Grade Project'!$K:$K,H62,'[1]Grade Project'!$F:$F,$A$5,'[1]Grade Project'!$G:$G,$A$8),"")</f>
        <v/>
      </c>
      <c r="L62" t="str">
        <f t="shared" si="1"/>
        <v/>
      </c>
      <c r="M62" t="str">
        <f t="shared" si="2"/>
        <v/>
      </c>
      <c r="N62" t="str">
        <f t="shared" si="3"/>
        <v/>
      </c>
    </row>
    <row r="63" spans="2:14" x14ac:dyDescent="0.25">
      <c r="B63" t="s">
        <v>62</v>
      </c>
      <c r="F63" t="str">
        <f>IF(G62=0,"",INDEX('[1]Grade Project'!$G:$G,MATCH($A$5,'[1]Grade Project'!$F:$F,0)+SUM($G$3:G62)))</f>
        <v/>
      </c>
      <c r="G63">
        <f>COUNTIFS('[1]Grade Project'!$F:$F,$A$5,'[1]Grade Project'!$G:$G,F63)</f>
        <v>0</v>
      </c>
      <c r="H63" t="str">
        <f>IF(I62=0,"",INDEX('[1]Grade Project'!$K:$K,MATCH(CONCATENATE($A$5,$A$8),'[1]Grade Project'!$H:$H,0)+SUM($I$3:I62)))</f>
        <v/>
      </c>
      <c r="I63">
        <f>COUNTIFS('[1]Grade Project'!$G:$G,$A$8,'[1]Grade Project'!$K:$K,H63,'[1]Grade Project'!$F:$F,$A$5)</f>
        <v>0</v>
      </c>
      <c r="J63" t="str">
        <f>IFERROR(AVERAGEIFS('[1]Grade Project'!$N:$N,'[1]Grade Project'!$K:$K,H63,'[1]Grade Project'!$F:$F,$A$5,'[1]Grade Project'!$G:$G,$A$8),"")</f>
        <v/>
      </c>
      <c r="K63" t="str">
        <f>IFERROR(AVERAGEIFS('[1]Grade Project'!$O:$O,'[1]Grade Project'!$K:$K,H63,'[1]Grade Project'!$F:$F,$A$5,'[1]Grade Project'!$G:$G,$A$8),"")</f>
        <v/>
      </c>
      <c r="L63" t="str">
        <f t="shared" si="1"/>
        <v/>
      </c>
      <c r="M63" t="str">
        <f t="shared" si="2"/>
        <v/>
      </c>
      <c r="N63" t="str">
        <f t="shared" si="3"/>
        <v/>
      </c>
    </row>
    <row r="64" spans="2:14" x14ac:dyDescent="0.25">
      <c r="B64" t="s">
        <v>63</v>
      </c>
      <c r="F64" t="str">
        <f>IF(G63=0,"",INDEX('[1]Grade Project'!$G:$G,MATCH($A$5,'[1]Grade Project'!$F:$F,0)+SUM($G$3:G63)))</f>
        <v/>
      </c>
      <c r="G64">
        <f>COUNTIFS('[1]Grade Project'!$F:$F,$A$5,'[1]Grade Project'!$G:$G,F64)</f>
        <v>0</v>
      </c>
      <c r="H64" t="str">
        <f>IF(I63=0,"",INDEX('[1]Grade Project'!$K:$K,MATCH(CONCATENATE($A$5,$A$8),'[1]Grade Project'!$H:$H,0)+SUM($I$3:I63)))</f>
        <v/>
      </c>
      <c r="I64">
        <f>COUNTIFS('[1]Grade Project'!$G:$G,$A$8,'[1]Grade Project'!$K:$K,H64,'[1]Grade Project'!$F:$F,$A$5)</f>
        <v>0</v>
      </c>
      <c r="J64" t="str">
        <f>IFERROR(AVERAGEIFS('[1]Grade Project'!$N:$N,'[1]Grade Project'!$K:$K,H64,'[1]Grade Project'!$F:$F,$A$5,'[1]Grade Project'!$G:$G,$A$8),"")</f>
        <v/>
      </c>
      <c r="K64" t="str">
        <f>IFERROR(AVERAGEIFS('[1]Grade Project'!$O:$O,'[1]Grade Project'!$K:$K,H64,'[1]Grade Project'!$F:$F,$A$5,'[1]Grade Project'!$G:$G,$A$8),"")</f>
        <v/>
      </c>
      <c r="L64" t="str">
        <f t="shared" si="1"/>
        <v/>
      </c>
      <c r="M64" t="str">
        <f t="shared" si="2"/>
        <v/>
      </c>
      <c r="N64" t="str">
        <f t="shared" si="3"/>
        <v/>
      </c>
    </row>
    <row r="65" spans="2:14" x14ac:dyDescent="0.25">
      <c r="B65" t="s">
        <v>64</v>
      </c>
      <c r="F65" t="str">
        <f>IF(G64=0,"",INDEX('[1]Grade Project'!$G:$G,MATCH($A$5,'[1]Grade Project'!$F:$F,0)+SUM($G$3:G64)))</f>
        <v/>
      </c>
      <c r="G65">
        <f>COUNTIFS('[1]Grade Project'!$F:$F,$A$5,'[1]Grade Project'!$G:$G,F65)</f>
        <v>0</v>
      </c>
      <c r="H65" t="str">
        <f>IF(I64=0,"",INDEX('[1]Grade Project'!$K:$K,MATCH(CONCATENATE($A$5,$A$8),'[1]Grade Project'!$H:$H,0)+SUM($I$3:I64)))</f>
        <v/>
      </c>
      <c r="I65">
        <f>COUNTIFS('[1]Grade Project'!$G:$G,$A$8,'[1]Grade Project'!$K:$K,H65,'[1]Grade Project'!$F:$F,$A$5)</f>
        <v>0</v>
      </c>
      <c r="J65" t="str">
        <f>IFERROR(AVERAGEIFS('[1]Grade Project'!$N:$N,'[1]Grade Project'!$K:$K,H65,'[1]Grade Project'!$F:$F,$A$5,'[1]Grade Project'!$G:$G,$A$8),"")</f>
        <v/>
      </c>
      <c r="K65" t="str">
        <f>IFERROR(AVERAGEIFS('[1]Grade Project'!$O:$O,'[1]Grade Project'!$K:$K,H65,'[1]Grade Project'!$F:$F,$A$5,'[1]Grade Project'!$G:$G,$A$8),"")</f>
        <v/>
      </c>
      <c r="L65" t="str">
        <f t="shared" si="1"/>
        <v/>
      </c>
      <c r="M65" t="str">
        <f t="shared" si="2"/>
        <v/>
      </c>
      <c r="N65" t="str">
        <f t="shared" si="3"/>
        <v/>
      </c>
    </row>
    <row r="66" spans="2:14" x14ac:dyDescent="0.25">
      <c r="B66" t="s">
        <v>65</v>
      </c>
      <c r="F66" t="str">
        <f>IF(G65=0,"",INDEX('[1]Grade Project'!$G:$G,MATCH($A$5,'[1]Grade Project'!$F:$F,0)+SUM($G$3:G65)))</f>
        <v/>
      </c>
      <c r="G66">
        <f>COUNTIFS('[1]Grade Project'!$F:$F,$A$5,'[1]Grade Project'!$G:$G,F66)</f>
        <v>0</v>
      </c>
      <c r="H66" t="str">
        <f>IF(I65=0,"",INDEX('[1]Grade Project'!$K:$K,MATCH(CONCATENATE($A$5,$A$8),'[1]Grade Project'!$H:$H,0)+SUM($I$3:I65)))</f>
        <v/>
      </c>
      <c r="I66">
        <f>COUNTIFS('[1]Grade Project'!$G:$G,$A$8,'[1]Grade Project'!$K:$K,H66,'[1]Grade Project'!$F:$F,$A$5)</f>
        <v>0</v>
      </c>
      <c r="J66" t="str">
        <f>IFERROR(AVERAGEIFS('[1]Grade Project'!$N:$N,'[1]Grade Project'!$K:$K,H66,'[1]Grade Project'!$F:$F,$A$5,'[1]Grade Project'!$G:$G,$A$8),"")</f>
        <v/>
      </c>
      <c r="K66" t="str">
        <f>IFERROR(AVERAGEIFS('[1]Grade Project'!$O:$O,'[1]Grade Project'!$K:$K,H66,'[1]Grade Project'!$F:$F,$A$5,'[1]Grade Project'!$G:$G,$A$8),"")</f>
        <v/>
      </c>
      <c r="L66" t="str">
        <f t="shared" si="1"/>
        <v/>
      </c>
      <c r="M66" t="str">
        <f t="shared" si="2"/>
        <v/>
      </c>
      <c r="N66" t="str">
        <f t="shared" si="3"/>
        <v/>
      </c>
    </row>
    <row r="67" spans="2:14" x14ac:dyDescent="0.25">
      <c r="B67" t="s">
        <v>66</v>
      </c>
      <c r="F67" t="str">
        <f>IF(G66=0,"",INDEX('[1]Grade Project'!$G:$G,MATCH($A$5,'[1]Grade Project'!$F:$F,0)+SUM($G$3:G66)))</f>
        <v/>
      </c>
      <c r="G67">
        <f>COUNTIFS('[1]Grade Project'!$F:$F,$A$5,'[1]Grade Project'!$G:$G,F67)</f>
        <v>0</v>
      </c>
      <c r="H67" t="str">
        <f>IF(I66=0,"",INDEX('[1]Grade Project'!$K:$K,MATCH(CONCATENATE($A$5,$A$8),'[1]Grade Project'!$H:$H,0)+SUM($I$3:I66)))</f>
        <v/>
      </c>
      <c r="I67">
        <f>COUNTIFS('[1]Grade Project'!$G:$G,$A$8,'[1]Grade Project'!$K:$K,H67,'[1]Grade Project'!$F:$F,$A$5)</f>
        <v>0</v>
      </c>
      <c r="J67" t="str">
        <f>IFERROR(AVERAGEIFS('[1]Grade Project'!$N:$N,'[1]Grade Project'!$K:$K,H67,'[1]Grade Project'!$F:$F,$A$5,'[1]Grade Project'!$G:$G,$A$8),"")</f>
        <v/>
      </c>
      <c r="K67" t="str">
        <f>IFERROR(AVERAGEIFS('[1]Grade Project'!$O:$O,'[1]Grade Project'!$K:$K,H67,'[1]Grade Project'!$F:$F,$A$5,'[1]Grade Project'!$G:$G,$A$8),"")</f>
        <v/>
      </c>
      <c r="L67" t="str">
        <f t="shared" si="1"/>
        <v/>
      </c>
      <c r="M67" t="str">
        <f t="shared" si="2"/>
        <v/>
      </c>
      <c r="N67" t="str">
        <f t="shared" si="3"/>
        <v/>
      </c>
    </row>
    <row r="68" spans="2:14" x14ac:dyDescent="0.25">
      <c r="B68" t="s">
        <v>67</v>
      </c>
      <c r="F68" t="str">
        <f>IF(G67=0,"",INDEX('[1]Grade Project'!$G:$G,MATCH($A$5,'[1]Grade Project'!$F:$F,0)+SUM($G$3:G67)))</f>
        <v/>
      </c>
      <c r="G68">
        <f>COUNTIFS('[1]Grade Project'!$F:$F,$A$5,'[1]Grade Project'!$G:$G,F68)</f>
        <v>0</v>
      </c>
      <c r="H68" t="str">
        <f>IF(I67=0,"",INDEX('[1]Grade Project'!$K:$K,MATCH(CONCATENATE($A$5,$A$8),'[1]Grade Project'!$H:$H,0)+SUM($I$3:I67)))</f>
        <v/>
      </c>
      <c r="I68">
        <f>COUNTIFS('[1]Grade Project'!$G:$G,$A$8,'[1]Grade Project'!$K:$K,H68,'[1]Grade Project'!$F:$F,$A$5)</f>
        <v>0</v>
      </c>
      <c r="J68" t="str">
        <f>IFERROR(AVERAGEIFS('[1]Grade Project'!$N:$N,'[1]Grade Project'!$K:$K,H68,'[1]Grade Project'!$F:$F,$A$5,'[1]Grade Project'!$G:$G,$A$8),"")</f>
        <v/>
      </c>
      <c r="K68" t="str">
        <f>IFERROR(AVERAGEIFS('[1]Grade Project'!$O:$O,'[1]Grade Project'!$K:$K,H68,'[1]Grade Project'!$F:$F,$A$5,'[1]Grade Project'!$G:$G,$A$8),"")</f>
        <v/>
      </c>
      <c r="L68" t="str">
        <f t="shared" ref="L68:L131" si="4">IFERROR(K68/J68,"")</f>
        <v/>
      </c>
      <c r="M68" t="str">
        <f t="shared" ref="M68:M131" si="5">IFERROR(_xlfn.RANK.EQ(L68,L:L),"")</f>
        <v/>
      </c>
      <c r="N68" t="str">
        <f t="shared" ref="N68:N131" si="6">IFERROR(MAX(M:M)-M68+1,"")</f>
        <v/>
      </c>
    </row>
    <row r="69" spans="2:14" x14ac:dyDescent="0.25">
      <c r="B69" t="s">
        <v>68</v>
      </c>
      <c r="F69" t="str">
        <f>IF(G68=0,"",INDEX('[1]Grade Project'!$G:$G,MATCH($A$5,'[1]Grade Project'!$F:$F,0)+SUM($G$3:G68)))</f>
        <v/>
      </c>
      <c r="G69">
        <f>COUNTIFS('[1]Grade Project'!$F:$F,$A$5,'[1]Grade Project'!$G:$G,F69)</f>
        <v>0</v>
      </c>
      <c r="H69" t="str">
        <f>IF(I68=0,"",INDEX('[1]Grade Project'!$K:$K,MATCH(CONCATENATE($A$5,$A$8),'[1]Grade Project'!$H:$H,0)+SUM($I$3:I68)))</f>
        <v/>
      </c>
      <c r="I69">
        <f>COUNTIFS('[1]Grade Project'!$G:$G,$A$8,'[1]Grade Project'!$K:$K,H69,'[1]Grade Project'!$F:$F,$A$5)</f>
        <v>0</v>
      </c>
      <c r="J69" t="str">
        <f>IFERROR(AVERAGEIFS('[1]Grade Project'!$N:$N,'[1]Grade Project'!$K:$K,H69,'[1]Grade Project'!$F:$F,$A$5,'[1]Grade Project'!$G:$G,$A$8),"")</f>
        <v/>
      </c>
      <c r="K69" t="str">
        <f>IFERROR(AVERAGEIFS('[1]Grade Project'!$O:$O,'[1]Grade Project'!$K:$K,H69,'[1]Grade Project'!$F:$F,$A$5,'[1]Grade Project'!$G:$G,$A$8),"")</f>
        <v/>
      </c>
      <c r="L69" t="str">
        <f t="shared" si="4"/>
        <v/>
      </c>
      <c r="M69" t="str">
        <f t="shared" si="5"/>
        <v/>
      </c>
      <c r="N69" t="str">
        <f t="shared" si="6"/>
        <v/>
      </c>
    </row>
    <row r="70" spans="2:14" x14ac:dyDescent="0.25">
      <c r="B70" t="s">
        <v>69</v>
      </c>
      <c r="F70" t="str">
        <f>IF(G69=0,"",INDEX('[1]Grade Project'!$G:$G,MATCH($A$5,'[1]Grade Project'!$F:$F,0)+SUM($G$3:G69)))</f>
        <v/>
      </c>
      <c r="G70">
        <f>COUNTIFS('[1]Grade Project'!$F:$F,$A$5,'[1]Grade Project'!$G:$G,F70)</f>
        <v>0</v>
      </c>
      <c r="H70" t="str">
        <f>IF(I69=0,"",INDEX('[1]Grade Project'!$K:$K,MATCH(CONCATENATE($A$5,$A$8),'[1]Grade Project'!$H:$H,0)+SUM($I$3:I69)))</f>
        <v/>
      </c>
      <c r="I70">
        <f>COUNTIFS('[1]Grade Project'!$G:$G,$A$8,'[1]Grade Project'!$K:$K,H70,'[1]Grade Project'!$F:$F,$A$5)</f>
        <v>0</v>
      </c>
      <c r="J70" t="str">
        <f>IFERROR(AVERAGEIFS('[1]Grade Project'!$N:$N,'[1]Grade Project'!$K:$K,H70,'[1]Grade Project'!$F:$F,$A$5,'[1]Grade Project'!$G:$G,$A$8),"")</f>
        <v/>
      </c>
      <c r="K70" t="str">
        <f>IFERROR(AVERAGEIFS('[1]Grade Project'!$O:$O,'[1]Grade Project'!$K:$K,H70,'[1]Grade Project'!$F:$F,$A$5,'[1]Grade Project'!$G:$G,$A$8),"")</f>
        <v/>
      </c>
      <c r="L70" t="str">
        <f t="shared" si="4"/>
        <v/>
      </c>
      <c r="M70" t="str">
        <f t="shared" si="5"/>
        <v/>
      </c>
      <c r="N70" t="str">
        <f t="shared" si="6"/>
        <v/>
      </c>
    </row>
    <row r="71" spans="2:14" x14ac:dyDescent="0.25">
      <c r="B71" t="s">
        <v>70</v>
      </c>
      <c r="F71" t="str">
        <f>IF(G70=0,"",INDEX('[1]Grade Project'!$G:$G,MATCH($A$5,'[1]Grade Project'!$F:$F,0)+SUM($G$3:G70)))</f>
        <v/>
      </c>
      <c r="G71">
        <f>COUNTIFS('[1]Grade Project'!$F:$F,$A$5,'[1]Grade Project'!$G:$G,F71)</f>
        <v>0</v>
      </c>
      <c r="H71" t="str">
        <f>IF(I70=0,"",INDEX('[1]Grade Project'!$K:$K,MATCH(CONCATENATE($A$5,$A$8),'[1]Grade Project'!$H:$H,0)+SUM($I$3:I70)))</f>
        <v/>
      </c>
      <c r="I71">
        <f>COUNTIFS('[1]Grade Project'!$G:$G,$A$8,'[1]Grade Project'!$K:$K,H71,'[1]Grade Project'!$F:$F,$A$5)</f>
        <v>0</v>
      </c>
      <c r="J71" t="str">
        <f>IFERROR(AVERAGEIFS('[1]Grade Project'!$N:$N,'[1]Grade Project'!$K:$K,H71,'[1]Grade Project'!$F:$F,$A$5,'[1]Grade Project'!$G:$G,$A$8),"")</f>
        <v/>
      </c>
      <c r="K71" t="str">
        <f>IFERROR(AVERAGEIFS('[1]Grade Project'!$O:$O,'[1]Grade Project'!$K:$K,H71,'[1]Grade Project'!$F:$F,$A$5,'[1]Grade Project'!$G:$G,$A$8),"")</f>
        <v/>
      </c>
      <c r="L71" t="str">
        <f t="shared" si="4"/>
        <v/>
      </c>
      <c r="M71" t="str">
        <f t="shared" si="5"/>
        <v/>
      </c>
      <c r="N71" t="str">
        <f t="shared" si="6"/>
        <v/>
      </c>
    </row>
    <row r="72" spans="2:14" x14ac:dyDescent="0.25">
      <c r="B72" t="s">
        <v>71</v>
      </c>
      <c r="F72" t="str">
        <f>IF(G71=0,"",INDEX('[1]Grade Project'!$G:$G,MATCH($A$5,'[1]Grade Project'!$F:$F,0)+SUM($G$3:G71)))</f>
        <v/>
      </c>
      <c r="G72">
        <f>COUNTIFS('[1]Grade Project'!$F:$F,$A$5,'[1]Grade Project'!$G:$G,F72)</f>
        <v>0</v>
      </c>
      <c r="H72" t="str">
        <f>IF(I71=0,"",INDEX('[1]Grade Project'!$K:$K,MATCH(CONCATENATE($A$5,$A$8),'[1]Grade Project'!$H:$H,0)+SUM($I$3:I71)))</f>
        <v/>
      </c>
      <c r="I72">
        <f>COUNTIFS('[1]Grade Project'!$G:$G,$A$8,'[1]Grade Project'!$K:$K,H72,'[1]Grade Project'!$F:$F,$A$5)</f>
        <v>0</v>
      </c>
      <c r="J72" t="str">
        <f>IFERROR(AVERAGEIFS('[1]Grade Project'!$N:$N,'[1]Grade Project'!$K:$K,H72,'[1]Grade Project'!$F:$F,$A$5,'[1]Grade Project'!$G:$G,$A$8),"")</f>
        <v/>
      </c>
      <c r="K72" t="str">
        <f>IFERROR(AVERAGEIFS('[1]Grade Project'!$O:$O,'[1]Grade Project'!$K:$K,H72,'[1]Grade Project'!$F:$F,$A$5,'[1]Grade Project'!$G:$G,$A$8),"")</f>
        <v/>
      </c>
      <c r="L72" t="str">
        <f t="shared" si="4"/>
        <v/>
      </c>
      <c r="M72" t="str">
        <f t="shared" si="5"/>
        <v/>
      </c>
      <c r="N72" t="str">
        <f t="shared" si="6"/>
        <v/>
      </c>
    </row>
    <row r="73" spans="2:14" x14ac:dyDescent="0.25">
      <c r="B73" t="s">
        <v>72</v>
      </c>
      <c r="F73" t="str">
        <f>IF(G72=0,"",INDEX('[1]Grade Project'!$G:$G,MATCH($A$5,'[1]Grade Project'!$F:$F,0)+SUM($G$3:G72)))</f>
        <v/>
      </c>
      <c r="G73">
        <f>COUNTIFS('[1]Grade Project'!$F:$F,$A$5,'[1]Grade Project'!$G:$G,F73)</f>
        <v>0</v>
      </c>
      <c r="H73" t="str">
        <f>IF(I72=0,"",INDEX('[1]Grade Project'!$K:$K,MATCH(CONCATENATE($A$5,$A$8),'[1]Grade Project'!$H:$H,0)+SUM($I$3:I72)))</f>
        <v/>
      </c>
      <c r="I73">
        <f>COUNTIFS('[1]Grade Project'!$G:$G,$A$8,'[1]Grade Project'!$K:$K,H73,'[1]Grade Project'!$F:$F,$A$5)</f>
        <v>0</v>
      </c>
      <c r="J73" t="str">
        <f>IFERROR(AVERAGEIFS('[1]Grade Project'!$N:$N,'[1]Grade Project'!$K:$K,H73,'[1]Grade Project'!$F:$F,$A$5,'[1]Grade Project'!$G:$G,$A$8),"")</f>
        <v/>
      </c>
      <c r="K73" t="str">
        <f>IFERROR(AVERAGEIFS('[1]Grade Project'!$O:$O,'[1]Grade Project'!$K:$K,H73,'[1]Grade Project'!$F:$F,$A$5,'[1]Grade Project'!$G:$G,$A$8),"")</f>
        <v/>
      </c>
      <c r="L73" t="str">
        <f t="shared" si="4"/>
        <v/>
      </c>
      <c r="M73" t="str">
        <f t="shared" si="5"/>
        <v/>
      </c>
      <c r="N73" t="str">
        <f t="shared" si="6"/>
        <v/>
      </c>
    </row>
    <row r="74" spans="2:14" x14ac:dyDescent="0.25">
      <c r="B74" t="s">
        <v>73</v>
      </c>
      <c r="F74" t="str">
        <f>IF(G73=0,"",INDEX('[1]Grade Project'!$G:$G,MATCH($A$5,'[1]Grade Project'!$F:$F,0)+SUM($G$3:G73)))</f>
        <v/>
      </c>
      <c r="G74">
        <f>COUNTIFS('[1]Grade Project'!$F:$F,$A$5,'[1]Grade Project'!$G:$G,F74)</f>
        <v>0</v>
      </c>
      <c r="H74" t="str">
        <f>IF(I73=0,"",INDEX('[1]Grade Project'!$K:$K,MATCH(CONCATENATE($A$5,$A$8),'[1]Grade Project'!$H:$H,0)+SUM($I$3:I73)))</f>
        <v/>
      </c>
      <c r="I74">
        <f>COUNTIFS('[1]Grade Project'!$G:$G,$A$8,'[1]Grade Project'!$K:$K,H74,'[1]Grade Project'!$F:$F,$A$5)</f>
        <v>0</v>
      </c>
      <c r="J74" t="str">
        <f>IFERROR(AVERAGEIFS('[1]Grade Project'!$N:$N,'[1]Grade Project'!$K:$K,H74,'[1]Grade Project'!$F:$F,$A$5,'[1]Grade Project'!$G:$G,$A$8),"")</f>
        <v/>
      </c>
      <c r="K74" t="str">
        <f>IFERROR(AVERAGEIFS('[1]Grade Project'!$O:$O,'[1]Grade Project'!$K:$K,H74,'[1]Grade Project'!$F:$F,$A$5,'[1]Grade Project'!$G:$G,$A$8),"")</f>
        <v/>
      </c>
      <c r="L74" t="str">
        <f t="shared" si="4"/>
        <v/>
      </c>
      <c r="M74" t="str">
        <f t="shared" si="5"/>
        <v/>
      </c>
      <c r="N74" t="str">
        <f t="shared" si="6"/>
        <v/>
      </c>
    </row>
    <row r="75" spans="2:14" x14ac:dyDescent="0.25">
      <c r="B75" t="s">
        <v>74</v>
      </c>
      <c r="F75" t="str">
        <f>IF(G74=0,"",INDEX('[1]Grade Project'!$G:$G,MATCH($A$5,'[1]Grade Project'!$F:$F,0)+SUM($G$3:G74)))</f>
        <v/>
      </c>
      <c r="G75">
        <f>COUNTIFS('[1]Grade Project'!$F:$F,$A$5,'[1]Grade Project'!$G:$G,F75)</f>
        <v>0</v>
      </c>
      <c r="H75" t="str">
        <f>IF(I74=0,"",INDEX('[1]Grade Project'!$K:$K,MATCH(CONCATENATE($A$5,$A$8),'[1]Grade Project'!$H:$H,0)+SUM($I$3:I74)))</f>
        <v/>
      </c>
      <c r="I75">
        <f>COUNTIFS('[1]Grade Project'!$G:$G,$A$8,'[1]Grade Project'!$K:$K,H75,'[1]Grade Project'!$F:$F,$A$5)</f>
        <v>0</v>
      </c>
      <c r="J75" t="str">
        <f>IFERROR(AVERAGEIFS('[1]Grade Project'!$N:$N,'[1]Grade Project'!$K:$K,H75,'[1]Grade Project'!$F:$F,$A$5,'[1]Grade Project'!$G:$G,$A$8),"")</f>
        <v/>
      </c>
      <c r="K75" t="str">
        <f>IFERROR(AVERAGEIFS('[1]Grade Project'!$O:$O,'[1]Grade Project'!$K:$K,H75,'[1]Grade Project'!$F:$F,$A$5,'[1]Grade Project'!$G:$G,$A$8),"")</f>
        <v/>
      </c>
      <c r="L75" t="str">
        <f t="shared" si="4"/>
        <v/>
      </c>
      <c r="M75" t="str">
        <f t="shared" si="5"/>
        <v/>
      </c>
      <c r="N75" t="str">
        <f t="shared" si="6"/>
        <v/>
      </c>
    </row>
    <row r="76" spans="2:14" x14ac:dyDescent="0.25">
      <c r="B76" t="s">
        <v>75</v>
      </c>
      <c r="F76" t="str">
        <f>IF(G75=0,"",INDEX('[1]Grade Project'!$G:$G,MATCH($A$5,'[1]Grade Project'!$F:$F,0)+SUM($G$3:G75)))</f>
        <v/>
      </c>
      <c r="G76">
        <f>COUNTIFS('[1]Grade Project'!$F:$F,$A$5,'[1]Grade Project'!$G:$G,F76)</f>
        <v>0</v>
      </c>
      <c r="H76" t="str">
        <f>IF(I75=0,"",INDEX('[1]Grade Project'!$K:$K,MATCH(CONCATENATE($A$5,$A$8),'[1]Grade Project'!$H:$H,0)+SUM($I$3:I75)))</f>
        <v/>
      </c>
      <c r="I76">
        <f>COUNTIFS('[1]Grade Project'!$G:$G,$A$8,'[1]Grade Project'!$K:$K,H76,'[1]Grade Project'!$F:$F,$A$5)</f>
        <v>0</v>
      </c>
      <c r="J76" t="str">
        <f>IFERROR(AVERAGEIFS('[1]Grade Project'!$N:$N,'[1]Grade Project'!$K:$K,H76,'[1]Grade Project'!$F:$F,$A$5,'[1]Grade Project'!$G:$G,$A$8),"")</f>
        <v/>
      </c>
      <c r="K76" t="str">
        <f>IFERROR(AVERAGEIFS('[1]Grade Project'!$O:$O,'[1]Grade Project'!$K:$K,H76,'[1]Grade Project'!$F:$F,$A$5,'[1]Grade Project'!$G:$G,$A$8),"")</f>
        <v/>
      </c>
      <c r="L76" t="str">
        <f t="shared" si="4"/>
        <v/>
      </c>
      <c r="M76" t="str">
        <f t="shared" si="5"/>
        <v/>
      </c>
      <c r="N76" t="str">
        <f t="shared" si="6"/>
        <v/>
      </c>
    </row>
    <row r="77" spans="2:14" x14ac:dyDescent="0.25">
      <c r="B77" t="s">
        <v>76</v>
      </c>
      <c r="F77" t="str">
        <f>IF(G76=0,"",INDEX('[1]Grade Project'!$G:$G,MATCH($A$5,'[1]Grade Project'!$F:$F,0)+SUM($G$3:G76)))</f>
        <v/>
      </c>
      <c r="G77">
        <f>COUNTIFS('[1]Grade Project'!$F:$F,$A$5,'[1]Grade Project'!$G:$G,F77)</f>
        <v>0</v>
      </c>
      <c r="H77" t="str">
        <f>IF(I76=0,"",INDEX('[1]Grade Project'!$K:$K,MATCH(CONCATENATE($A$5,$A$8),'[1]Grade Project'!$H:$H,0)+SUM($I$3:I76)))</f>
        <v/>
      </c>
      <c r="I77">
        <f>COUNTIFS('[1]Grade Project'!$G:$G,$A$8,'[1]Grade Project'!$K:$K,H77,'[1]Grade Project'!$F:$F,$A$5)</f>
        <v>0</v>
      </c>
      <c r="J77" t="str">
        <f>IFERROR(AVERAGEIFS('[1]Grade Project'!$N:$N,'[1]Grade Project'!$K:$K,H77,'[1]Grade Project'!$F:$F,$A$5,'[1]Grade Project'!$G:$G,$A$8),"")</f>
        <v/>
      </c>
      <c r="K77" t="str">
        <f>IFERROR(AVERAGEIFS('[1]Grade Project'!$O:$O,'[1]Grade Project'!$K:$K,H77,'[1]Grade Project'!$F:$F,$A$5,'[1]Grade Project'!$G:$G,$A$8),"")</f>
        <v/>
      </c>
      <c r="L77" t="str">
        <f t="shared" si="4"/>
        <v/>
      </c>
      <c r="M77" t="str">
        <f t="shared" si="5"/>
        <v/>
      </c>
      <c r="N77" t="str">
        <f t="shared" si="6"/>
        <v/>
      </c>
    </row>
    <row r="78" spans="2:14" x14ac:dyDescent="0.25">
      <c r="B78" t="s">
        <v>77</v>
      </c>
      <c r="F78" t="str">
        <f>IF(G77=0,"",INDEX('[1]Grade Project'!$G:$G,MATCH($A$5,'[1]Grade Project'!$F:$F,0)+SUM($G$3:G77)))</f>
        <v/>
      </c>
      <c r="G78">
        <f>COUNTIFS('[1]Grade Project'!$F:$F,$A$5,'[1]Grade Project'!$G:$G,F78)</f>
        <v>0</v>
      </c>
      <c r="H78" t="str">
        <f>IF(I77=0,"",INDEX('[1]Grade Project'!$K:$K,MATCH(CONCATENATE($A$5,$A$8),'[1]Grade Project'!$H:$H,0)+SUM($I$3:I77)))</f>
        <v/>
      </c>
      <c r="I78">
        <f>COUNTIFS('[1]Grade Project'!$G:$G,$A$8,'[1]Grade Project'!$K:$K,H78,'[1]Grade Project'!$F:$F,$A$5)</f>
        <v>0</v>
      </c>
      <c r="J78" t="str">
        <f>IFERROR(AVERAGEIFS('[1]Grade Project'!$N:$N,'[1]Grade Project'!$K:$K,H78,'[1]Grade Project'!$F:$F,$A$5,'[1]Grade Project'!$G:$G,$A$8),"")</f>
        <v/>
      </c>
      <c r="K78" t="str">
        <f>IFERROR(AVERAGEIFS('[1]Grade Project'!$O:$O,'[1]Grade Project'!$K:$K,H78,'[1]Grade Project'!$F:$F,$A$5,'[1]Grade Project'!$G:$G,$A$8),"")</f>
        <v/>
      </c>
      <c r="L78" t="str">
        <f t="shared" si="4"/>
        <v/>
      </c>
      <c r="M78" t="str">
        <f t="shared" si="5"/>
        <v/>
      </c>
      <c r="N78" t="str">
        <f t="shared" si="6"/>
        <v/>
      </c>
    </row>
    <row r="79" spans="2:14" x14ac:dyDescent="0.25">
      <c r="B79" t="s">
        <v>78</v>
      </c>
      <c r="F79" t="str">
        <f>IF(G78=0,"",INDEX('[1]Grade Project'!$G:$G,MATCH($A$5,'[1]Grade Project'!$F:$F,0)+SUM($G$3:G78)))</f>
        <v/>
      </c>
      <c r="G79">
        <f>COUNTIFS('[1]Grade Project'!$F:$F,$A$5,'[1]Grade Project'!$G:$G,F79)</f>
        <v>0</v>
      </c>
      <c r="H79" t="str">
        <f>IF(I78=0,"",INDEX('[1]Grade Project'!$K:$K,MATCH(CONCATENATE($A$5,$A$8),'[1]Grade Project'!$H:$H,0)+SUM($I$3:I78)))</f>
        <v/>
      </c>
      <c r="I79">
        <f>COUNTIFS('[1]Grade Project'!$G:$G,$A$8,'[1]Grade Project'!$K:$K,H79,'[1]Grade Project'!$F:$F,$A$5)</f>
        <v>0</v>
      </c>
      <c r="J79" t="str">
        <f>IFERROR(AVERAGEIFS('[1]Grade Project'!$N:$N,'[1]Grade Project'!$K:$K,H79,'[1]Grade Project'!$F:$F,$A$5,'[1]Grade Project'!$G:$G,$A$8),"")</f>
        <v/>
      </c>
      <c r="K79" t="str">
        <f>IFERROR(AVERAGEIFS('[1]Grade Project'!$O:$O,'[1]Grade Project'!$K:$K,H79,'[1]Grade Project'!$F:$F,$A$5,'[1]Grade Project'!$G:$G,$A$8),"")</f>
        <v/>
      </c>
      <c r="L79" t="str">
        <f t="shared" si="4"/>
        <v/>
      </c>
      <c r="M79" t="str">
        <f t="shared" si="5"/>
        <v/>
      </c>
      <c r="N79" t="str">
        <f t="shared" si="6"/>
        <v/>
      </c>
    </row>
    <row r="80" spans="2:14" x14ac:dyDescent="0.25">
      <c r="B80" t="s">
        <v>79</v>
      </c>
      <c r="F80" t="str">
        <f>IF(G79=0,"",INDEX('[1]Grade Project'!$G:$G,MATCH($A$5,'[1]Grade Project'!$F:$F,0)+SUM($G$3:G79)))</f>
        <v/>
      </c>
      <c r="G80">
        <f>COUNTIFS('[1]Grade Project'!$F:$F,$A$5,'[1]Grade Project'!$G:$G,F80)</f>
        <v>0</v>
      </c>
      <c r="H80" t="str">
        <f>IF(I79=0,"",INDEX('[1]Grade Project'!$K:$K,MATCH(CONCATENATE($A$5,$A$8),'[1]Grade Project'!$H:$H,0)+SUM($I$3:I79)))</f>
        <v/>
      </c>
      <c r="I80">
        <f>COUNTIFS('[1]Grade Project'!$G:$G,$A$8,'[1]Grade Project'!$K:$K,H80,'[1]Grade Project'!$F:$F,$A$5)</f>
        <v>0</v>
      </c>
      <c r="J80" t="str">
        <f>IFERROR(AVERAGEIFS('[1]Grade Project'!$N:$N,'[1]Grade Project'!$K:$K,H80,'[1]Grade Project'!$F:$F,$A$5,'[1]Grade Project'!$G:$G,$A$8),"")</f>
        <v/>
      </c>
      <c r="K80" t="str">
        <f>IFERROR(AVERAGEIFS('[1]Grade Project'!$O:$O,'[1]Grade Project'!$K:$K,H80,'[1]Grade Project'!$F:$F,$A$5,'[1]Grade Project'!$G:$G,$A$8),"")</f>
        <v/>
      </c>
      <c r="L80" t="str">
        <f t="shared" si="4"/>
        <v/>
      </c>
      <c r="M80" t="str">
        <f t="shared" si="5"/>
        <v/>
      </c>
      <c r="N80" t="str">
        <f t="shared" si="6"/>
        <v/>
      </c>
    </row>
    <row r="81" spans="2:14" x14ac:dyDescent="0.25">
      <c r="B81" t="s">
        <v>80</v>
      </c>
      <c r="F81" t="str">
        <f>IF(G80=0,"",INDEX('[1]Grade Project'!$G:$G,MATCH($A$5,'[1]Grade Project'!$F:$F,0)+SUM($G$3:G80)))</f>
        <v/>
      </c>
      <c r="G81">
        <f>COUNTIFS('[1]Grade Project'!$F:$F,$A$5,'[1]Grade Project'!$G:$G,F81)</f>
        <v>0</v>
      </c>
      <c r="H81" t="str">
        <f>IF(I80=0,"",INDEX('[1]Grade Project'!$K:$K,MATCH(CONCATENATE($A$5,$A$8),'[1]Grade Project'!$H:$H,0)+SUM($I$3:I80)))</f>
        <v/>
      </c>
      <c r="I81">
        <f>COUNTIFS('[1]Grade Project'!$G:$G,$A$8,'[1]Grade Project'!$K:$K,H81,'[1]Grade Project'!$F:$F,$A$5)</f>
        <v>0</v>
      </c>
      <c r="J81" t="str">
        <f>IFERROR(AVERAGEIFS('[1]Grade Project'!$N:$N,'[1]Grade Project'!$K:$K,H81,'[1]Grade Project'!$F:$F,$A$5,'[1]Grade Project'!$G:$G,$A$8),"")</f>
        <v/>
      </c>
      <c r="K81" t="str">
        <f>IFERROR(AVERAGEIFS('[1]Grade Project'!$O:$O,'[1]Grade Project'!$K:$K,H81,'[1]Grade Project'!$F:$F,$A$5,'[1]Grade Project'!$G:$G,$A$8),"")</f>
        <v/>
      </c>
      <c r="L81" t="str">
        <f t="shared" si="4"/>
        <v/>
      </c>
      <c r="M81" t="str">
        <f t="shared" si="5"/>
        <v/>
      </c>
      <c r="N81" t="str">
        <f t="shared" si="6"/>
        <v/>
      </c>
    </row>
    <row r="82" spans="2:14" x14ac:dyDescent="0.25">
      <c r="B82" t="s">
        <v>81</v>
      </c>
      <c r="F82" t="str">
        <f>IF(G81=0,"",INDEX('[1]Grade Project'!$G:$G,MATCH($A$5,'[1]Grade Project'!$F:$F,0)+SUM($G$3:G81)))</f>
        <v/>
      </c>
      <c r="G82">
        <f>COUNTIFS('[1]Grade Project'!$F:$F,$A$5,'[1]Grade Project'!$G:$G,F82)</f>
        <v>0</v>
      </c>
      <c r="H82" t="str">
        <f>IF(I81=0,"",INDEX('[1]Grade Project'!$K:$K,MATCH(CONCATENATE($A$5,$A$8),'[1]Grade Project'!$H:$H,0)+SUM($I$3:I81)))</f>
        <v/>
      </c>
      <c r="I82">
        <f>COUNTIFS('[1]Grade Project'!$G:$G,$A$8,'[1]Grade Project'!$K:$K,H82,'[1]Grade Project'!$F:$F,$A$5)</f>
        <v>0</v>
      </c>
      <c r="J82" t="str">
        <f>IFERROR(AVERAGEIFS('[1]Grade Project'!$N:$N,'[1]Grade Project'!$K:$K,H82,'[1]Grade Project'!$F:$F,$A$5,'[1]Grade Project'!$G:$G,$A$8),"")</f>
        <v/>
      </c>
      <c r="K82" t="str">
        <f>IFERROR(AVERAGEIFS('[1]Grade Project'!$O:$O,'[1]Grade Project'!$K:$K,H82,'[1]Grade Project'!$F:$F,$A$5,'[1]Grade Project'!$G:$G,$A$8),"")</f>
        <v/>
      </c>
      <c r="L82" t="str">
        <f t="shared" si="4"/>
        <v/>
      </c>
      <c r="M82" t="str">
        <f t="shared" si="5"/>
        <v/>
      </c>
      <c r="N82" t="str">
        <f t="shared" si="6"/>
        <v/>
      </c>
    </row>
    <row r="83" spans="2:14" x14ac:dyDescent="0.25">
      <c r="B83" t="s">
        <v>82</v>
      </c>
      <c r="F83" t="str">
        <f>IF(G82=0,"",INDEX('[1]Grade Project'!$G:$G,MATCH($A$5,'[1]Grade Project'!$F:$F,0)+SUM($G$3:G82)))</f>
        <v/>
      </c>
      <c r="G83">
        <f>COUNTIFS('[1]Grade Project'!$F:$F,$A$5,'[1]Grade Project'!$G:$G,F83)</f>
        <v>0</v>
      </c>
      <c r="H83" t="str">
        <f>IF(I82=0,"",INDEX('[1]Grade Project'!$K:$K,MATCH(CONCATENATE($A$5,$A$8),'[1]Grade Project'!$H:$H,0)+SUM($I$3:I82)))</f>
        <v/>
      </c>
      <c r="I83">
        <f>COUNTIFS('[1]Grade Project'!$G:$G,$A$8,'[1]Grade Project'!$K:$K,H83,'[1]Grade Project'!$F:$F,$A$5)</f>
        <v>0</v>
      </c>
      <c r="J83" t="str">
        <f>IFERROR(AVERAGEIFS('[1]Grade Project'!$N:$N,'[1]Grade Project'!$K:$K,H83,'[1]Grade Project'!$F:$F,$A$5,'[1]Grade Project'!$G:$G,$A$8),"")</f>
        <v/>
      </c>
      <c r="K83" t="str">
        <f>IFERROR(AVERAGEIFS('[1]Grade Project'!$O:$O,'[1]Grade Project'!$K:$K,H83,'[1]Grade Project'!$F:$F,$A$5,'[1]Grade Project'!$G:$G,$A$8),"")</f>
        <v/>
      </c>
      <c r="L83" t="str">
        <f t="shared" si="4"/>
        <v/>
      </c>
      <c r="M83" t="str">
        <f t="shared" si="5"/>
        <v/>
      </c>
      <c r="N83" t="str">
        <f t="shared" si="6"/>
        <v/>
      </c>
    </row>
    <row r="84" spans="2:14" x14ac:dyDescent="0.25">
      <c r="B84" t="s">
        <v>83</v>
      </c>
      <c r="F84" t="str">
        <f>IF(G83=0,"",INDEX('[1]Grade Project'!$G:$G,MATCH($A$5,'[1]Grade Project'!$F:$F,0)+SUM($G$3:G83)))</f>
        <v/>
      </c>
      <c r="G84">
        <f>COUNTIFS('[1]Grade Project'!$F:$F,$A$5,'[1]Grade Project'!$G:$G,F84)</f>
        <v>0</v>
      </c>
      <c r="H84" t="str">
        <f>IF(I83=0,"",INDEX('[1]Grade Project'!$K:$K,MATCH(CONCATENATE($A$5,$A$8),'[1]Grade Project'!$H:$H,0)+SUM($I$3:I83)))</f>
        <v/>
      </c>
      <c r="I84">
        <f>COUNTIFS('[1]Grade Project'!$G:$G,$A$8,'[1]Grade Project'!$K:$K,H84,'[1]Grade Project'!$F:$F,$A$5)</f>
        <v>0</v>
      </c>
      <c r="J84" t="str">
        <f>IFERROR(AVERAGEIFS('[1]Grade Project'!$N:$N,'[1]Grade Project'!$K:$K,H84,'[1]Grade Project'!$F:$F,$A$5,'[1]Grade Project'!$G:$G,$A$8),"")</f>
        <v/>
      </c>
      <c r="K84" t="str">
        <f>IFERROR(AVERAGEIFS('[1]Grade Project'!$O:$O,'[1]Grade Project'!$K:$K,H84,'[1]Grade Project'!$F:$F,$A$5,'[1]Grade Project'!$G:$G,$A$8),"")</f>
        <v/>
      </c>
      <c r="L84" t="str">
        <f t="shared" si="4"/>
        <v/>
      </c>
      <c r="M84" t="str">
        <f t="shared" si="5"/>
        <v/>
      </c>
      <c r="N84" t="str">
        <f t="shared" si="6"/>
        <v/>
      </c>
    </row>
    <row r="85" spans="2:14" x14ac:dyDescent="0.25">
      <c r="B85" t="s">
        <v>84</v>
      </c>
      <c r="F85" t="str">
        <f>IF(G84=0,"",INDEX('[1]Grade Project'!$G:$G,MATCH($A$5,'[1]Grade Project'!$F:$F,0)+SUM($G$3:G84)))</f>
        <v/>
      </c>
      <c r="G85">
        <f>COUNTIFS('[1]Grade Project'!$F:$F,$A$5,'[1]Grade Project'!$G:$G,F85)</f>
        <v>0</v>
      </c>
      <c r="H85" t="str">
        <f>IF(I84=0,"",INDEX('[1]Grade Project'!$K:$K,MATCH(CONCATENATE($A$5,$A$8),'[1]Grade Project'!$H:$H,0)+SUM($I$3:I84)))</f>
        <v/>
      </c>
      <c r="I85">
        <f>COUNTIFS('[1]Grade Project'!$G:$G,$A$8,'[1]Grade Project'!$K:$K,H85,'[1]Grade Project'!$F:$F,$A$5)</f>
        <v>0</v>
      </c>
      <c r="J85" t="str">
        <f>IFERROR(AVERAGEIFS('[1]Grade Project'!$N:$N,'[1]Grade Project'!$K:$K,H85,'[1]Grade Project'!$F:$F,$A$5,'[1]Grade Project'!$G:$G,$A$8),"")</f>
        <v/>
      </c>
      <c r="K85" t="str">
        <f>IFERROR(AVERAGEIFS('[1]Grade Project'!$O:$O,'[1]Grade Project'!$K:$K,H85,'[1]Grade Project'!$F:$F,$A$5,'[1]Grade Project'!$G:$G,$A$8),"")</f>
        <v/>
      </c>
      <c r="L85" t="str">
        <f t="shared" si="4"/>
        <v/>
      </c>
      <c r="M85" t="str">
        <f t="shared" si="5"/>
        <v/>
      </c>
      <c r="N85" t="str">
        <f t="shared" si="6"/>
        <v/>
      </c>
    </row>
    <row r="86" spans="2:14" x14ac:dyDescent="0.25">
      <c r="B86" t="s">
        <v>85</v>
      </c>
      <c r="F86" t="str">
        <f>IF(G85=0,"",INDEX('[1]Grade Project'!$G:$G,MATCH($A$5,'[1]Grade Project'!$F:$F,0)+SUM($G$3:G85)))</f>
        <v/>
      </c>
      <c r="G86">
        <f>COUNTIFS('[1]Grade Project'!$F:$F,$A$5,'[1]Grade Project'!$G:$G,F86)</f>
        <v>0</v>
      </c>
      <c r="H86" t="str">
        <f>IF(I85=0,"",INDEX('[1]Grade Project'!$K:$K,MATCH(CONCATENATE($A$5,$A$8),'[1]Grade Project'!$H:$H,0)+SUM($I$3:I85)))</f>
        <v/>
      </c>
      <c r="I86">
        <f>COUNTIFS('[1]Grade Project'!$G:$G,$A$8,'[1]Grade Project'!$K:$K,H86,'[1]Grade Project'!$F:$F,$A$5)</f>
        <v>0</v>
      </c>
      <c r="J86" t="str">
        <f>IFERROR(AVERAGEIFS('[1]Grade Project'!$N:$N,'[1]Grade Project'!$K:$K,H86,'[1]Grade Project'!$F:$F,$A$5,'[1]Grade Project'!$G:$G,$A$8),"")</f>
        <v/>
      </c>
      <c r="K86" t="str">
        <f>IFERROR(AVERAGEIFS('[1]Grade Project'!$O:$O,'[1]Grade Project'!$K:$K,H86,'[1]Grade Project'!$F:$F,$A$5,'[1]Grade Project'!$G:$G,$A$8),"")</f>
        <v/>
      </c>
      <c r="L86" t="str">
        <f t="shared" si="4"/>
        <v/>
      </c>
      <c r="M86" t="str">
        <f t="shared" si="5"/>
        <v/>
      </c>
      <c r="N86" t="str">
        <f t="shared" si="6"/>
        <v/>
      </c>
    </row>
    <row r="87" spans="2:14" x14ac:dyDescent="0.25">
      <c r="B87" t="s">
        <v>86</v>
      </c>
      <c r="F87" t="str">
        <f>IF(G86=0,"",INDEX('[1]Grade Project'!$G:$G,MATCH($A$5,'[1]Grade Project'!$F:$F,0)+SUM($G$3:G86)))</f>
        <v/>
      </c>
      <c r="G87">
        <f>COUNTIFS('[1]Grade Project'!$F:$F,$A$5,'[1]Grade Project'!$G:$G,F87)</f>
        <v>0</v>
      </c>
      <c r="H87" t="str">
        <f>IF(I86=0,"",INDEX('[1]Grade Project'!$K:$K,MATCH(CONCATENATE($A$5,$A$8),'[1]Grade Project'!$H:$H,0)+SUM($I$3:I86)))</f>
        <v/>
      </c>
      <c r="I87">
        <f>COUNTIFS('[1]Grade Project'!$G:$G,$A$8,'[1]Grade Project'!$K:$K,H87,'[1]Grade Project'!$F:$F,$A$5)</f>
        <v>0</v>
      </c>
      <c r="J87" t="str">
        <f>IFERROR(AVERAGEIFS('[1]Grade Project'!$N:$N,'[1]Grade Project'!$K:$K,H87,'[1]Grade Project'!$F:$F,$A$5,'[1]Grade Project'!$G:$G,$A$8),"")</f>
        <v/>
      </c>
      <c r="K87" t="str">
        <f>IFERROR(AVERAGEIFS('[1]Grade Project'!$O:$O,'[1]Grade Project'!$K:$K,H87,'[1]Grade Project'!$F:$F,$A$5,'[1]Grade Project'!$G:$G,$A$8),"")</f>
        <v/>
      </c>
      <c r="L87" t="str">
        <f t="shared" si="4"/>
        <v/>
      </c>
      <c r="M87" t="str">
        <f t="shared" si="5"/>
        <v/>
      </c>
      <c r="N87" t="str">
        <f t="shared" si="6"/>
        <v/>
      </c>
    </row>
    <row r="88" spans="2:14" x14ac:dyDescent="0.25">
      <c r="B88" t="s">
        <v>87</v>
      </c>
      <c r="F88" t="str">
        <f>IF(G87=0,"",INDEX('[1]Grade Project'!$G:$G,MATCH($A$5,'[1]Grade Project'!$F:$F,0)+SUM($G$3:G87)))</f>
        <v/>
      </c>
      <c r="G88">
        <f>COUNTIFS('[1]Grade Project'!$F:$F,$A$5,'[1]Grade Project'!$G:$G,F88)</f>
        <v>0</v>
      </c>
      <c r="H88" t="str">
        <f>IF(I87=0,"",INDEX('[1]Grade Project'!$K:$K,MATCH(CONCATENATE($A$5,$A$8),'[1]Grade Project'!$H:$H,0)+SUM($I$3:I87)))</f>
        <v/>
      </c>
      <c r="I88">
        <f>COUNTIFS('[1]Grade Project'!$G:$G,$A$8,'[1]Grade Project'!$K:$K,H88,'[1]Grade Project'!$F:$F,$A$5)</f>
        <v>0</v>
      </c>
      <c r="J88" t="str">
        <f>IFERROR(AVERAGEIFS('[1]Grade Project'!$N:$N,'[1]Grade Project'!$K:$K,H88,'[1]Grade Project'!$F:$F,$A$5,'[1]Grade Project'!$G:$G,$A$8),"")</f>
        <v/>
      </c>
      <c r="K88" t="str">
        <f>IFERROR(AVERAGEIFS('[1]Grade Project'!$O:$O,'[1]Grade Project'!$K:$K,H88,'[1]Grade Project'!$F:$F,$A$5,'[1]Grade Project'!$G:$G,$A$8),"")</f>
        <v/>
      </c>
      <c r="L88" t="str">
        <f t="shared" si="4"/>
        <v/>
      </c>
      <c r="M88" t="str">
        <f t="shared" si="5"/>
        <v/>
      </c>
      <c r="N88" t="str">
        <f t="shared" si="6"/>
        <v/>
      </c>
    </row>
    <row r="89" spans="2:14" x14ac:dyDescent="0.25">
      <c r="B89" t="s">
        <v>88</v>
      </c>
      <c r="F89" t="str">
        <f>IF(G88=0,"",INDEX('[1]Grade Project'!$G:$G,MATCH($A$5,'[1]Grade Project'!$F:$F,0)+SUM($G$3:G88)))</f>
        <v/>
      </c>
      <c r="G89">
        <f>COUNTIFS('[1]Grade Project'!$F:$F,$A$5,'[1]Grade Project'!$G:$G,F89)</f>
        <v>0</v>
      </c>
      <c r="H89" t="str">
        <f>IF(I88=0,"",INDEX('[1]Grade Project'!$K:$K,MATCH(CONCATENATE($A$5,$A$8),'[1]Grade Project'!$H:$H,0)+SUM($I$3:I88)))</f>
        <v/>
      </c>
      <c r="I89">
        <f>COUNTIFS('[1]Grade Project'!$G:$G,$A$8,'[1]Grade Project'!$K:$K,H89,'[1]Grade Project'!$F:$F,$A$5)</f>
        <v>0</v>
      </c>
      <c r="J89" t="str">
        <f>IFERROR(AVERAGEIFS('[1]Grade Project'!$N:$N,'[1]Grade Project'!$K:$K,H89,'[1]Grade Project'!$F:$F,$A$5,'[1]Grade Project'!$G:$G,$A$8),"")</f>
        <v/>
      </c>
      <c r="K89" t="str">
        <f>IFERROR(AVERAGEIFS('[1]Grade Project'!$O:$O,'[1]Grade Project'!$K:$K,H89,'[1]Grade Project'!$F:$F,$A$5,'[1]Grade Project'!$G:$G,$A$8),"")</f>
        <v/>
      </c>
      <c r="L89" t="str">
        <f t="shared" si="4"/>
        <v/>
      </c>
      <c r="M89" t="str">
        <f t="shared" si="5"/>
        <v/>
      </c>
      <c r="N89" t="str">
        <f t="shared" si="6"/>
        <v/>
      </c>
    </row>
    <row r="90" spans="2:14" x14ac:dyDescent="0.25">
      <c r="B90" t="s">
        <v>89</v>
      </c>
      <c r="F90" t="str">
        <f>IF(G89=0,"",INDEX('[1]Grade Project'!$G:$G,MATCH($A$5,'[1]Grade Project'!$F:$F,0)+SUM($G$3:G89)))</f>
        <v/>
      </c>
      <c r="G90">
        <f>COUNTIFS('[1]Grade Project'!$F:$F,$A$5,'[1]Grade Project'!$G:$G,F90)</f>
        <v>0</v>
      </c>
      <c r="H90" t="str">
        <f>IF(I89=0,"",INDEX('[1]Grade Project'!$K:$K,MATCH(CONCATENATE($A$5,$A$8),'[1]Grade Project'!$H:$H,0)+SUM($I$3:I89)))</f>
        <v/>
      </c>
      <c r="I90">
        <f>COUNTIFS('[1]Grade Project'!$G:$G,$A$8,'[1]Grade Project'!$K:$K,H90,'[1]Grade Project'!$F:$F,$A$5)</f>
        <v>0</v>
      </c>
      <c r="J90" t="str">
        <f>IFERROR(AVERAGEIFS('[1]Grade Project'!$N:$N,'[1]Grade Project'!$K:$K,H90,'[1]Grade Project'!$F:$F,$A$5,'[1]Grade Project'!$G:$G,$A$8),"")</f>
        <v/>
      </c>
      <c r="K90" t="str">
        <f>IFERROR(AVERAGEIFS('[1]Grade Project'!$O:$O,'[1]Grade Project'!$K:$K,H90,'[1]Grade Project'!$F:$F,$A$5,'[1]Grade Project'!$G:$G,$A$8),"")</f>
        <v/>
      </c>
      <c r="L90" t="str">
        <f t="shared" si="4"/>
        <v/>
      </c>
      <c r="M90" t="str">
        <f t="shared" si="5"/>
        <v/>
      </c>
      <c r="N90" t="str">
        <f t="shared" si="6"/>
        <v/>
      </c>
    </row>
    <row r="91" spans="2:14" x14ac:dyDescent="0.25">
      <c r="B91" t="s">
        <v>90</v>
      </c>
      <c r="F91" t="str">
        <f>IF(G90=0,"",INDEX('[1]Grade Project'!$G:$G,MATCH($A$5,'[1]Grade Project'!$F:$F,0)+SUM($G$3:G90)))</f>
        <v/>
      </c>
      <c r="G91">
        <f>COUNTIFS('[1]Grade Project'!$F:$F,$A$5,'[1]Grade Project'!$G:$G,F91)</f>
        <v>0</v>
      </c>
      <c r="H91" t="str">
        <f>IF(I90=0,"",INDEX('[1]Grade Project'!$K:$K,MATCH(CONCATENATE($A$5,$A$8),'[1]Grade Project'!$H:$H,0)+SUM($I$3:I90)))</f>
        <v/>
      </c>
      <c r="I91">
        <f>COUNTIFS('[1]Grade Project'!$G:$G,$A$8,'[1]Grade Project'!$K:$K,H91,'[1]Grade Project'!$F:$F,$A$5)</f>
        <v>0</v>
      </c>
      <c r="J91" t="str">
        <f>IFERROR(AVERAGEIFS('[1]Grade Project'!$N:$N,'[1]Grade Project'!$K:$K,H91,'[1]Grade Project'!$F:$F,$A$5,'[1]Grade Project'!$G:$G,$A$8),"")</f>
        <v/>
      </c>
      <c r="K91" t="str">
        <f>IFERROR(AVERAGEIFS('[1]Grade Project'!$O:$O,'[1]Grade Project'!$K:$K,H91,'[1]Grade Project'!$F:$F,$A$5,'[1]Grade Project'!$G:$G,$A$8),"")</f>
        <v/>
      </c>
      <c r="L91" t="str">
        <f t="shared" si="4"/>
        <v/>
      </c>
      <c r="M91" t="str">
        <f t="shared" si="5"/>
        <v/>
      </c>
      <c r="N91" t="str">
        <f t="shared" si="6"/>
        <v/>
      </c>
    </row>
    <row r="92" spans="2:14" x14ac:dyDescent="0.25">
      <c r="B92" t="s">
        <v>91</v>
      </c>
      <c r="F92" t="str">
        <f>IF(G91=0,"",INDEX('[1]Grade Project'!$G:$G,MATCH($A$5,'[1]Grade Project'!$F:$F,0)+SUM($G$3:G91)))</f>
        <v/>
      </c>
      <c r="G92">
        <f>COUNTIFS('[1]Grade Project'!$F:$F,$A$5,'[1]Grade Project'!$G:$G,F92)</f>
        <v>0</v>
      </c>
      <c r="H92" t="str">
        <f>IF(I91=0,"",INDEX('[1]Grade Project'!$K:$K,MATCH(CONCATENATE($A$5,$A$8),'[1]Grade Project'!$H:$H,0)+SUM($I$3:I91)))</f>
        <v/>
      </c>
      <c r="I92">
        <f>COUNTIFS('[1]Grade Project'!$G:$G,$A$8,'[1]Grade Project'!$K:$K,H92,'[1]Grade Project'!$F:$F,$A$5)</f>
        <v>0</v>
      </c>
      <c r="J92" t="str">
        <f>IFERROR(AVERAGEIFS('[1]Grade Project'!$N:$N,'[1]Grade Project'!$K:$K,H92,'[1]Grade Project'!$F:$F,$A$5,'[1]Grade Project'!$G:$G,$A$8),"")</f>
        <v/>
      </c>
      <c r="K92" t="str">
        <f>IFERROR(AVERAGEIFS('[1]Grade Project'!$O:$O,'[1]Grade Project'!$K:$K,H92,'[1]Grade Project'!$F:$F,$A$5,'[1]Grade Project'!$G:$G,$A$8),"")</f>
        <v/>
      </c>
      <c r="L92" t="str">
        <f t="shared" si="4"/>
        <v/>
      </c>
      <c r="M92" t="str">
        <f t="shared" si="5"/>
        <v/>
      </c>
      <c r="N92" t="str">
        <f t="shared" si="6"/>
        <v/>
      </c>
    </row>
    <row r="93" spans="2:14" x14ac:dyDescent="0.25">
      <c r="B93" t="s">
        <v>92</v>
      </c>
      <c r="F93" t="str">
        <f>IF(G92=0,"",INDEX('[1]Grade Project'!$G:$G,MATCH($A$5,'[1]Grade Project'!$F:$F,0)+SUM($G$3:G92)))</f>
        <v/>
      </c>
      <c r="G93">
        <f>COUNTIFS('[1]Grade Project'!$F:$F,$A$5,'[1]Grade Project'!$G:$G,F93)</f>
        <v>0</v>
      </c>
      <c r="H93" t="str">
        <f>IF(I92=0,"",INDEX('[1]Grade Project'!$K:$K,MATCH(CONCATENATE($A$5,$A$8),'[1]Grade Project'!$H:$H,0)+SUM($I$3:I92)))</f>
        <v/>
      </c>
      <c r="I93">
        <f>COUNTIFS('[1]Grade Project'!$G:$G,$A$8,'[1]Grade Project'!$K:$K,H93,'[1]Grade Project'!$F:$F,$A$5)</f>
        <v>0</v>
      </c>
      <c r="J93" t="str">
        <f>IFERROR(AVERAGEIFS('[1]Grade Project'!$N:$N,'[1]Grade Project'!$K:$K,H93,'[1]Grade Project'!$F:$F,$A$5,'[1]Grade Project'!$G:$G,$A$8),"")</f>
        <v/>
      </c>
      <c r="K93" t="str">
        <f>IFERROR(AVERAGEIFS('[1]Grade Project'!$O:$O,'[1]Grade Project'!$K:$K,H93,'[1]Grade Project'!$F:$F,$A$5,'[1]Grade Project'!$G:$G,$A$8),"")</f>
        <v/>
      </c>
      <c r="L93" t="str">
        <f t="shared" si="4"/>
        <v/>
      </c>
      <c r="M93" t="str">
        <f t="shared" si="5"/>
        <v/>
      </c>
      <c r="N93" t="str">
        <f t="shared" si="6"/>
        <v/>
      </c>
    </row>
    <row r="94" spans="2:14" x14ac:dyDescent="0.25">
      <c r="B94" t="s">
        <v>93</v>
      </c>
      <c r="F94" t="str">
        <f>IF(G93=0,"",INDEX('[1]Grade Project'!$G:$G,MATCH($A$5,'[1]Grade Project'!$F:$F,0)+SUM($G$3:G93)))</f>
        <v/>
      </c>
      <c r="G94">
        <f>COUNTIFS('[1]Grade Project'!$F:$F,$A$5,'[1]Grade Project'!$G:$G,F94)</f>
        <v>0</v>
      </c>
      <c r="H94" t="str">
        <f>IF(I93=0,"",INDEX('[1]Grade Project'!$K:$K,MATCH(CONCATENATE($A$5,$A$8),'[1]Grade Project'!$H:$H,0)+SUM($I$3:I93)))</f>
        <v/>
      </c>
      <c r="I94">
        <f>COUNTIFS('[1]Grade Project'!$G:$G,$A$8,'[1]Grade Project'!$K:$K,H94,'[1]Grade Project'!$F:$F,$A$5)</f>
        <v>0</v>
      </c>
      <c r="J94" t="str">
        <f>IFERROR(AVERAGEIFS('[1]Grade Project'!$N:$N,'[1]Grade Project'!$K:$K,H94,'[1]Grade Project'!$F:$F,$A$5,'[1]Grade Project'!$G:$G,$A$8),"")</f>
        <v/>
      </c>
      <c r="K94" t="str">
        <f>IFERROR(AVERAGEIFS('[1]Grade Project'!$O:$O,'[1]Grade Project'!$K:$K,H94,'[1]Grade Project'!$F:$F,$A$5,'[1]Grade Project'!$G:$G,$A$8),"")</f>
        <v/>
      </c>
      <c r="L94" t="str">
        <f t="shared" si="4"/>
        <v/>
      </c>
      <c r="M94" t="str">
        <f t="shared" si="5"/>
        <v/>
      </c>
      <c r="N94" t="str">
        <f t="shared" si="6"/>
        <v/>
      </c>
    </row>
    <row r="95" spans="2:14" x14ac:dyDescent="0.25">
      <c r="B95" t="s">
        <v>94</v>
      </c>
      <c r="F95" t="str">
        <f>IF(G94=0,"",INDEX('[1]Grade Project'!$G:$G,MATCH($A$5,'[1]Grade Project'!$F:$F,0)+SUM($G$3:G94)))</f>
        <v/>
      </c>
      <c r="G95">
        <f>COUNTIFS('[1]Grade Project'!$F:$F,$A$5,'[1]Grade Project'!$G:$G,F95)</f>
        <v>0</v>
      </c>
      <c r="H95" t="str">
        <f>IF(I94=0,"",INDEX('[1]Grade Project'!$K:$K,MATCH(CONCATENATE($A$5,$A$8),'[1]Grade Project'!$H:$H,0)+SUM($I$3:I94)))</f>
        <v/>
      </c>
      <c r="I95">
        <f>COUNTIFS('[1]Grade Project'!$G:$G,$A$8,'[1]Grade Project'!$K:$K,H95,'[1]Grade Project'!$F:$F,$A$5)</f>
        <v>0</v>
      </c>
      <c r="J95" t="str">
        <f>IFERROR(AVERAGEIFS('[1]Grade Project'!$N:$N,'[1]Grade Project'!$K:$K,H95,'[1]Grade Project'!$F:$F,$A$5,'[1]Grade Project'!$G:$G,$A$8),"")</f>
        <v/>
      </c>
      <c r="K95" t="str">
        <f>IFERROR(AVERAGEIFS('[1]Grade Project'!$O:$O,'[1]Grade Project'!$K:$K,H95,'[1]Grade Project'!$F:$F,$A$5,'[1]Grade Project'!$G:$G,$A$8),"")</f>
        <v/>
      </c>
      <c r="L95" t="str">
        <f t="shared" si="4"/>
        <v/>
      </c>
      <c r="M95" t="str">
        <f t="shared" si="5"/>
        <v/>
      </c>
      <c r="N95" t="str">
        <f t="shared" si="6"/>
        <v/>
      </c>
    </row>
    <row r="96" spans="2:14" x14ac:dyDescent="0.25">
      <c r="B96" t="s">
        <v>95</v>
      </c>
      <c r="F96" t="str">
        <f>IF(G95=0,"",INDEX('[1]Grade Project'!$G:$G,MATCH($A$5,'[1]Grade Project'!$F:$F,0)+SUM($G$3:G95)))</f>
        <v/>
      </c>
      <c r="G96">
        <f>COUNTIFS('[1]Grade Project'!$F:$F,$A$5,'[1]Grade Project'!$G:$G,F96)</f>
        <v>0</v>
      </c>
      <c r="H96" t="str">
        <f>IF(I95=0,"",INDEX('[1]Grade Project'!$K:$K,MATCH(CONCATENATE($A$5,$A$8),'[1]Grade Project'!$H:$H,0)+SUM($I$3:I95)))</f>
        <v/>
      </c>
      <c r="I96">
        <f>COUNTIFS('[1]Grade Project'!$G:$G,$A$8,'[1]Grade Project'!$K:$K,H96,'[1]Grade Project'!$F:$F,$A$5)</f>
        <v>0</v>
      </c>
      <c r="J96" t="str">
        <f>IFERROR(AVERAGEIFS('[1]Grade Project'!$N:$N,'[1]Grade Project'!$K:$K,H96,'[1]Grade Project'!$F:$F,$A$5,'[1]Grade Project'!$G:$G,$A$8),"")</f>
        <v/>
      </c>
      <c r="K96" t="str">
        <f>IFERROR(AVERAGEIFS('[1]Grade Project'!$O:$O,'[1]Grade Project'!$K:$K,H96,'[1]Grade Project'!$F:$F,$A$5,'[1]Grade Project'!$G:$G,$A$8),"")</f>
        <v/>
      </c>
      <c r="L96" t="str">
        <f t="shared" si="4"/>
        <v/>
      </c>
      <c r="M96" t="str">
        <f t="shared" si="5"/>
        <v/>
      </c>
      <c r="N96" t="str">
        <f t="shared" si="6"/>
        <v/>
      </c>
    </row>
    <row r="97" spans="2:14" x14ac:dyDescent="0.25">
      <c r="B97" t="s">
        <v>96</v>
      </c>
      <c r="H97" t="str">
        <f>IF(I96=0,"",INDEX('[1]Grade Project'!$K:$K,MATCH(CONCATENATE($A$5,$A$8),'[1]Grade Project'!$H:$H,0)+SUM($I$3:I96)))</f>
        <v/>
      </c>
      <c r="I97">
        <f>COUNTIFS('[1]Grade Project'!$G:$G,$A$8,'[1]Grade Project'!$K:$K,H97,'[1]Grade Project'!$F:$F,$A$5)</f>
        <v>0</v>
      </c>
      <c r="J97" t="str">
        <f>IFERROR(AVERAGEIFS('[1]Grade Project'!$N:$N,'[1]Grade Project'!$K:$K,H97,'[1]Grade Project'!$F:$F,$A$5,'[1]Grade Project'!$G:$G,$A$8),"")</f>
        <v/>
      </c>
      <c r="K97" t="str">
        <f>IFERROR(AVERAGEIFS('[1]Grade Project'!$O:$O,'[1]Grade Project'!$K:$K,H97,'[1]Grade Project'!$F:$F,$A$5,'[1]Grade Project'!$G:$G,$A$8),"")</f>
        <v/>
      </c>
      <c r="L97" t="str">
        <f t="shared" si="4"/>
        <v/>
      </c>
      <c r="M97" t="str">
        <f t="shared" si="5"/>
        <v/>
      </c>
      <c r="N97" t="str">
        <f t="shared" si="6"/>
        <v/>
      </c>
    </row>
    <row r="98" spans="2:14" x14ac:dyDescent="0.25">
      <c r="B98" t="s">
        <v>97</v>
      </c>
      <c r="H98" t="str">
        <f>IF(I97=0,"",INDEX('[1]Grade Project'!$K:$K,MATCH(CONCATENATE($A$5,$A$8),'[1]Grade Project'!$H:$H,0)+SUM($I$3:I97)))</f>
        <v/>
      </c>
      <c r="I98">
        <f>COUNTIFS('[1]Grade Project'!$G:$G,$A$8,'[1]Grade Project'!$K:$K,H98,'[1]Grade Project'!$F:$F,$A$5)</f>
        <v>0</v>
      </c>
      <c r="J98" t="str">
        <f>IFERROR(AVERAGEIFS('[1]Grade Project'!$N:$N,'[1]Grade Project'!$K:$K,H98,'[1]Grade Project'!$F:$F,$A$5,'[1]Grade Project'!$G:$G,$A$8),"")</f>
        <v/>
      </c>
      <c r="K98" t="str">
        <f>IFERROR(AVERAGEIFS('[1]Grade Project'!$O:$O,'[1]Grade Project'!$K:$K,H98,'[1]Grade Project'!$F:$F,$A$5,'[1]Grade Project'!$G:$G,$A$8),"")</f>
        <v/>
      </c>
      <c r="L98" t="str">
        <f t="shared" si="4"/>
        <v/>
      </c>
      <c r="M98" t="str">
        <f t="shared" si="5"/>
        <v/>
      </c>
      <c r="N98" t="str">
        <f t="shared" si="6"/>
        <v/>
      </c>
    </row>
    <row r="99" spans="2:14" x14ac:dyDescent="0.25">
      <c r="B99" t="s">
        <v>98</v>
      </c>
      <c r="H99" t="str">
        <f>IF(I98=0,"",INDEX('[1]Grade Project'!$K:$K,MATCH(CONCATENATE($A$5,$A$8),'[1]Grade Project'!$H:$H,0)+SUM($I$3:I98)))</f>
        <v/>
      </c>
      <c r="I99">
        <f>COUNTIFS('[1]Grade Project'!$G:$G,$A$8,'[1]Grade Project'!$K:$K,H99,'[1]Grade Project'!$F:$F,$A$5)</f>
        <v>0</v>
      </c>
      <c r="J99" t="str">
        <f>IFERROR(AVERAGEIFS('[1]Grade Project'!$N:$N,'[1]Grade Project'!$K:$K,H99,'[1]Grade Project'!$F:$F,$A$5,'[1]Grade Project'!$G:$G,$A$8),"")</f>
        <v/>
      </c>
      <c r="K99" t="str">
        <f>IFERROR(AVERAGEIFS('[1]Grade Project'!$O:$O,'[1]Grade Project'!$K:$K,H99,'[1]Grade Project'!$F:$F,$A$5,'[1]Grade Project'!$G:$G,$A$8),"")</f>
        <v/>
      </c>
      <c r="L99" t="str">
        <f t="shared" si="4"/>
        <v/>
      </c>
      <c r="M99" t="str">
        <f t="shared" si="5"/>
        <v/>
      </c>
      <c r="N99" t="str">
        <f t="shared" si="6"/>
        <v/>
      </c>
    </row>
    <row r="100" spans="2:14" x14ac:dyDescent="0.25">
      <c r="B100" t="s">
        <v>99</v>
      </c>
      <c r="H100" t="str">
        <f>IF(I99=0,"",INDEX('[1]Grade Project'!$K:$K,MATCH(CONCATENATE($A$5,$A$8),'[1]Grade Project'!$H:$H,0)+SUM($I$3:I99)))</f>
        <v/>
      </c>
      <c r="I100">
        <f>COUNTIFS('[1]Grade Project'!$G:$G,$A$8,'[1]Grade Project'!$K:$K,H100,'[1]Grade Project'!$F:$F,$A$5)</f>
        <v>0</v>
      </c>
      <c r="J100" t="str">
        <f>IFERROR(AVERAGEIFS('[1]Grade Project'!$N:$N,'[1]Grade Project'!$K:$K,H100,'[1]Grade Project'!$F:$F,$A$5,'[1]Grade Project'!$G:$G,$A$8),"")</f>
        <v/>
      </c>
      <c r="K100" t="str">
        <f>IFERROR(AVERAGEIFS('[1]Grade Project'!$O:$O,'[1]Grade Project'!$K:$K,H100,'[1]Grade Project'!$F:$F,$A$5,'[1]Grade Project'!$G:$G,$A$8),"")</f>
        <v/>
      </c>
      <c r="L100" t="str">
        <f t="shared" si="4"/>
        <v/>
      </c>
      <c r="M100" t="str">
        <f t="shared" si="5"/>
        <v/>
      </c>
      <c r="N100" t="str">
        <f t="shared" si="6"/>
        <v/>
      </c>
    </row>
    <row r="101" spans="2:14" x14ac:dyDescent="0.25">
      <c r="H101" t="str">
        <f>IF(I100=0,"",INDEX('[1]Grade Project'!$K:$K,MATCH(CONCATENATE($A$5,$A$8),'[1]Grade Project'!$H:$H,0)+SUM($I$3:I100)))</f>
        <v/>
      </c>
      <c r="I101">
        <f>COUNTIFS('[1]Grade Project'!$G:$G,$A$8,'[1]Grade Project'!$K:$K,H101,'[1]Grade Project'!$F:$F,$A$5)</f>
        <v>0</v>
      </c>
      <c r="J101" t="str">
        <f>IFERROR(AVERAGEIFS('[1]Grade Project'!$N:$N,'[1]Grade Project'!$K:$K,H101,'[1]Grade Project'!$F:$F,$A$5,'[1]Grade Project'!$G:$G,$A$8),"")</f>
        <v/>
      </c>
      <c r="K101" t="str">
        <f>IFERROR(AVERAGEIFS('[1]Grade Project'!$O:$O,'[1]Grade Project'!$K:$K,H101,'[1]Grade Project'!$F:$F,$A$5,'[1]Grade Project'!$G:$G,$A$8),"")</f>
        <v/>
      </c>
      <c r="L101" t="str">
        <f t="shared" si="4"/>
        <v/>
      </c>
      <c r="M101" t="str">
        <f t="shared" si="5"/>
        <v/>
      </c>
      <c r="N101" t="str">
        <f t="shared" si="6"/>
        <v/>
      </c>
    </row>
    <row r="102" spans="2:14" x14ac:dyDescent="0.25">
      <c r="H102" t="str">
        <f>IF(I101=0,"",INDEX('[1]Grade Project'!$K:$K,MATCH(CONCATENATE($A$5,$A$8),'[1]Grade Project'!$H:$H,0)+SUM($I$3:I101)))</f>
        <v/>
      </c>
      <c r="I102">
        <f>COUNTIFS('[1]Grade Project'!$G:$G,$A$8,'[1]Grade Project'!$K:$K,H102,'[1]Grade Project'!$F:$F,$A$5)</f>
        <v>0</v>
      </c>
      <c r="J102" t="str">
        <f>IFERROR(AVERAGEIFS('[1]Grade Project'!$N:$N,'[1]Grade Project'!$K:$K,H102,'[1]Grade Project'!$F:$F,$A$5,'[1]Grade Project'!$G:$G,$A$8),"")</f>
        <v/>
      </c>
      <c r="K102" t="str">
        <f>IFERROR(AVERAGEIFS('[1]Grade Project'!$O:$O,'[1]Grade Project'!$K:$K,H102,'[1]Grade Project'!$F:$F,$A$5,'[1]Grade Project'!$G:$G,$A$8),"")</f>
        <v/>
      </c>
      <c r="L102" t="str">
        <f t="shared" si="4"/>
        <v/>
      </c>
      <c r="M102" t="str">
        <f t="shared" si="5"/>
        <v/>
      </c>
      <c r="N102" t="str">
        <f t="shared" si="6"/>
        <v/>
      </c>
    </row>
    <row r="103" spans="2:14" x14ac:dyDescent="0.25">
      <c r="H103" t="str">
        <f>IF(I102=0,"",INDEX('[1]Grade Project'!$K:$K,MATCH(CONCATENATE($A$5,$A$8),'[1]Grade Project'!$H:$H,0)+SUM($I$3:I102)))</f>
        <v/>
      </c>
      <c r="I103">
        <f>COUNTIFS('[1]Grade Project'!$G:$G,$A$8,'[1]Grade Project'!$K:$K,H103,'[1]Grade Project'!$F:$F,$A$5)</f>
        <v>0</v>
      </c>
      <c r="J103" t="str">
        <f>IFERROR(AVERAGEIFS('[1]Grade Project'!$N:$N,'[1]Grade Project'!$K:$K,H103,'[1]Grade Project'!$F:$F,$A$5,'[1]Grade Project'!$G:$G,$A$8),"")</f>
        <v/>
      </c>
      <c r="K103" t="str">
        <f>IFERROR(AVERAGEIFS('[1]Grade Project'!$O:$O,'[1]Grade Project'!$K:$K,H103,'[1]Grade Project'!$F:$F,$A$5,'[1]Grade Project'!$G:$G,$A$8),"")</f>
        <v/>
      </c>
      <c r="L103" t="str">
        <f t="shared" si="4"/>
        <v/>
      </c>
      <c r="M103" t="str">
        <f t="shared" si="5"/>
        <v/>
      </c>
      <c r="N103" t="str">
        <f t="shared" si="6"/>
        <v/>
      </c>
    </row>
    <row r="104" spans="2:14" x14ac:dyDescent="0.25">
      <c r="H104" t="str">
        <f>IF(I103=0,"",INDEX('[1]Grade Project'!$K:$K,MATCH(CONCATENATE($A$5,$A$8),'[1]Grade Project'!$H:$H,0)+SUM($I$3:I103)))</f>
        <v/>
      </c>
      <c r="I104">
        <f>COUNTIFS('[1]Grade Project'!$G:$G,$A$8,'[1]Grade Project'!$K:$K,H104,'[1]Grade Project'!$F:$F,$A$5)</f>
        <v>0</v>
      </c>
      <c r="J104" t="str">
        <f>IFERROR(AVERAGEIFS('[1]Grade Project'!$N:$N,'[1]Grade Project'!$K:$K,H104,'[1]Grade Project'!$F:$F,$A$5,'[1]Grade Project'!$G:$G,$A$8),"")</f>
        <v/>
      </c>
      <c r="K104" t="str">
        <f>IFERROR(AVERAGEIFS('[1]Grade Project'!$O:$O,'[1]Grade Project'!$K:$K,H104,'[1]Grade Project'!$F:$F,$A$5,'[1]Grade Project'!$G:$G,$A$8),"")</f>
        <v/>
      </c>
      <c r="L104" t="str">
        <f t="shared" si="4"/>
        <v/>
      </c>
      <c r="M104" t="str">
        <f t="shared" si="5"/>
        <v/>
      </c>
      <c r="N104" t="str">
        <f t="shared" si="6"/>
        <v/>
      </c>
    </row>
    <row r="105" spans="2:14" x14ac:dyDescent="0.25">
      <c r="H105" t="str">
        <f>IF(I104=0,"",INDEX('[1]Grade Project'!$K:$K,MATCH(CONCATENATE($A$5,$A$8),'[1]Grade Project'!$H:$H,0)+SUM($I$3:I104)))</f>
        <v/>
      </c>
      <c r="I105">
        <f>COUNTIFS('[1]Grade Project'!$G:$G,$A$8,'[1]Grade Project'!$K:$K,H105,'[1]Grade Project'!$F:$F,$A$5)</f>
        <v>0</v>
      </c>
      <c r="J105" t="str">
        <f>IFERROR(AVERAGEIFS('[1]Grade Project'!$N:$N,'[1]Grade Project'!$K:$K,H105,'[1]Grade Project'!$F:$F,$A$5,'[1]Grade Project'!$G:$G,$A$8),"")</f>
        <v/>
      </c>
      <c r="K105" t="str">
        <f>IFERROR(AVERAGEIFS('[1]Grade Project'!$O:$O,'[1]Grade Project'!$K:$K,H105,'[1]Grade Project'!$F:$F,$A$5,'[1]Grade Project'!$G:$G,$A$8),"")</f>
        <v/>
      </c>
      <c r="L105" t="str">
        <f t="shared" si="4"/>
        <v/>
      </c>
      <c r="M105" t="str">
        <f t="shared" si="5"/>
        <v/>
      </c>
      <c r="N105" t="str">
        <f t="shared" si="6"/>
        <v/>
      </c>
    </row>
    <row r="106" spans="2:14" x14ac:dyDescent="0.25">
      <c r="H106" t="str">
        <f>IF(I105=0,"",INDEX('[1]Grade Project'!$K:$K,MATCH(CONCATENATE($A$5,$A$8),'[1]Grade Project'!$H:$H,0)+SUM($I$3:I105)))</f>
        <v/>
      </c>
      <c r="I106">
        <f>COUNTIFS('[1]Grade Project'!$G:$G,$A$8,'[1]Grade Project'!$K:$K,H106,'[1]Grade Project'!$F:$F,$A$5)</f>
        <v>0</v>
      </c>
      <c r="J106" t="str">
        <f>IFERROR(AVERAGEIFS('[1]Grade Project'!$N:$N,'[1]Grade Project'!$K:$K,H106,'[1]Grade Project'!$F:$F,$A$5,'[1]Grade Project'!$G:$G,$A$8),"")</f>
        <v/>
      </c>
      <c r="K106" t="str">
        <f>IFERROR(AVERAGEIFS('[1]Grade Project'!$O:$O,'[1]Grade Project'!$K:$K,H106,'[1]Grade Project'!$F:$F,$A$5,'[1]Grade Project'!$G:$G,$A$8),"")</f>
        <v/>
      </c>
      <c r="L106" t="str">
        <f t="shared" si="4"/>
        <v/>
      </c>
      <c r="M106" t="str">
        <f t="shared" si="5"/>
        <v/>
      </c>
      <c r="N106" t="str">
        <f t="shared" si="6"/>
        <v/>
      </c>
    </row>
    <row r="107" spans="2:14" x14ac:dyDescent="0.25">
      <c r="H107" t="str">
        <f>IF(I106=0,"",INDEX('[1]Grade Project'!$K:$K,MATCH(CONCATENATE($A$5,$A$8),'[1]Grade Project'!$H:$H,0)+SUM($I$3:I106)))</f>
        <v/>
      </c>
      <c r="I107">
        <f>COUNTIFS('[1]Grade Project'!$G:$G,$A$8,'[1]Grade Project'!$K:$K,H107,'[1]Grade Project'!$F:$F,$A$5)</f>
        <v>0</v>
      </c>
      <c r="J107" t="str">
        <f>IFERROR(AVERAGEIFS('[1]Grade Project'!$N:$N,'[1]Grade Project'!$K:$K,H107,'[1]Grade Project'!$F:$F,$A$5,'[1]Grade Project'!$G:$G,$A$8),"")</f>
        <v/>
      </c>
      <c r="K107" t="str">
        <f>IFERROR(AVERAGEIFS('[1]Grade Project'!$O:$O,'[1]Grade Project'!$K:$K,H107,'[1]Grade Project'!$F:$F,$A$5,'[1]Grade Project'!$G:$G,$A$8),"")</f>
        <v/>
      </c>
      <c r="L107" t="str">
        <f t="shared" si="4"/>
        <v/>
      </c>
      <c r="M107" t="str">
        <f t="shared" si="5"/>
        <v/>
      </c>
      <c r="N107" t="str">
        <f t="shared" si="6"/>
        <v/>
      </c>
    </row>
    <row r="108" spans="2:14" x14ac:dyDescent="0.25">
      <c r="H108" t="str">
        <f>IF(I107=0,"",INDEX('[1]Grade Project'!$K:$K,MATCH(CONCATENATE($A$5,$A$8),'[1]Grade Project'!$H:$H,0)+SUM($I$3:I107)))</f>
        <v/>
      </c>
      <c r="I108">
        <f>COUNTIFS('[1]Grade Project'!$G:$G,$A$8,'[1]Grade Project'!$K:$K,H108,'[1]Grade Project'!$F:$F,$A$5)</f>
        <v>0</v>
      </c>
      <c r="J108" t="str">
        <f>IFERROR(AVERAGEIFS('[1]Grade Project'!$N:$N,'[1]Grade Project'!$K:$K,H108,'[1]Grade Project'!$F:$F,$A$5,'[1]Grade Project'!$G:$G,$A$8),"")</f>
        <v/>
      </c>
      <c r="K108" t="str">
        <f>IFERROR(AVERAGEIFS('[1]Grade Project'!$O:$O,'[1]Grade Project'!$K:$K,H108,'[1]Grade Project'!$F:$F,$A$5,'[1]Grade Project'!$G:$G,$A$8),"")</f>
        <v/>
      </c>
      <c r="L108" t="str">
        <f t="shared" si="4"/>
        <v/>
      </c>
      <c r="M108" t="str">
        <f t="shared" si="5"/>
        <v/>
      </c>
      <c r="N108" t="str">
        <f t="shared" si="6"/>
        <v/>
      </c>
    </row>
    <row r="109" spans="2:14" x14ac:dyDescent="0.25">
      <c r="H109" t="str">
        <f>IF(I108=0,"",INDEX('[1]Grade Project'!$K:$K,MATCH(CONCATENATE($A$5,$A$8),'[1]Grade Project'!$H:$H,0)+SUM($I$3:I108)))</f>
        <v/>
      </c>
      <c r="I109">
        <f>COUNTIFS('[1]Grade Project'!$G:$G,$A$8,'[1]Grade Project'!$K:$K,H109,'[1]Grade Project'!$F:$F,$A$5)</f>
        <v>0</v>
      </c>
      <c r="J109" t="str">
        <f>IFERROR(AVERAGEIFS('[1]Grade Project'!$N:$N,'[1]Grade Project'!$K:$K,H109,'[1]Grade Project'!$F:$F,$A$5,'[1]Grade Project'!$G:$G,$A$8),"")</f>
        <v/>
      </c>
      <c r="K109" t="str">
        <f>IFERROR(AVERAGEIFS('[1]Grade Project'!$O:$O,'[1]Grade Project'!$K:$K,H109,'[1]Grade Project'!$F:$F,$A$5,'[1]Grade Project'!$G:$G,$A$8),"")</f>
        <v/>
      </c>
      <c r="L109" t="str">
        <f t="shared" si="4"/>
        <v/>
      </c>
      <c r="M109" t="str">
        <f t="shared" si="5"/>
        <v/>
      </c>
      <c r="N109" t="str">
        <f t="shared" si="6"/>
        <v/>
      </c>
    </row>
    <row r="110" spans="2:14" x14ac:dyDescent="0.25">
      <c r="H110" t="str">
        <f>IF(I109=0,"",INDEX('[1]Grade Project'!$K:$K,MATCH(CONCATENATE($A$5,$A$8),'[1]Grade Project'!$H:$H,0)+SUM($I$3:I109)))</f>
        <v/>
      </c>
      <c r="I110">
        <f>COUNTIFS('[1]Grade Project'!$G:$G,$A$8,'[1]Grade Project'!$K:$K,H110,'[1]Grade Project'!$F:$F,$A$5)</f>
        <v>0</v>
      </c>
      <c r="J110" t="str">
        <f>IFERROR(AVERAGEIFS('[1]Grade Project'!$N:$N,'[1]Grade Project'!$K:$K,H110,'[1]Grade Project'!$F:$F,$A$5,'[1]Grade Project'!$G:$G,$A$8),"")</f>
        <v/>
      </c>
      <c r="K110" t="str">
        <f>IFERROR(AVERAGEIFS('[1]Grade Project'!$O:$O,'[1]Grade Project'!$K:$K,H110,'[1]Grade Project'!$F:$F,$A$5,'[1]Grade Project'!$G:$G,$A$8),"")</f>
        <v/>
      </c>
      <c r="L110" t="str">
        <f t="shared" si="4"/>
        <v/>
      </c>
      <c r="M110" t="str">
        <f t="shared" si="5"/>
        <v/>
      </c>
      <c r="N110" t="str">
        <f t="shared" si="6"/>
        <v/>
      </c>
    </row>
    <row r="111" spans="2:14" x14ac:dyDescent="0.25">
      <c r="H111" t="str">
        <f>IF(I110=0,"",INDEX('[1]Grade Project'!$K:$K,MATCH(CONCATENATE($A$5,$A$8),'[1]Grade Project'!$H:$H,0)+SUM($I$3:I110)))</f>
        <v/>
      </c>
      <c r="I111">
        <f>COUNTIFS('[1]Grade Project'!$G:$G,$A$8,'[1]Grade Project'!$K:$K,H111,'[1]Grade Project'!$F:$F,$A$5)</f>
        <v>0</v>
      </c>
      <c r="J111" t="str">
        <f>IFERROR(AVERAGEIFS('[1]Grade Project'!$N:$N,'[1]Grade Project'!$K:$K,H111,'[1]Grade Project'!$F:$F,$A$5,'[1]Grade Project'!$G:$G,$A$8),"")</f>
        <v/>
      </c>
      <c r="K111" t="str">
        <f>IFERROR(AVERAGEIFS('[1]Grade Project'!$O:$O,'[1]Grade Project'!$K:$K,H111,'[1]Grade Project'!$F:$F,$A$5,'[1]Grade Project'!$G:$G,$A$8),"")</f>
        <v/>
      </c>
      <c r="L111" t="str">
        <f t="shared" si="4"/>
        <v/>
      </c>
      <c r="M111" t="str">
        <f t="shared" si="5"/>
        <v/>
      </c>
      <c r="N111" t="str">
        <f t="shared" si="6"/>
        <v/>
      </c>
    </row>
    <row r="112" spans="2:14" x14ac:dyDescent="0.25">
      <c r="H112" t="str">
        <f>IF(I111=0,"",INDEX('[1]Grade Project'!$K:$K,MATCH(CONCATENATE($A$5,$A$8),'[1]Grade Project'!$H:$H,0)+SUM($I$3:I111)))</f>
        <v/>
      </c>
      <c r="I112">
        <f>COUNTIFS('[1]Grade Project'!$G:$G,$A$8,'[1]Grade Project'!$K:$K,H112,'[1]Grade Project'!$F:$F,$A$5)</f>
        <v>0</v>
      </c>
      <c r="J112" t="str">
        <f>IFERROR(AVERAGEIFS('[1]Grade Project'!$N:$N,'[1]Grade Project'!$K:$K,H112,'[1]Grade Project'!$F:$F,$A$5,'[1]Grade Project'!$G:$G,$A$8),"")</f>
        <v/>
      </c>
      <c r="K112" t="str">
        <f>IFERROR(AVERAGEIFS('[1]Grade Project'!$O:$O,'[1]Grade Project'!$K:$K,H112,'[1]Grade Project'!$F:$F,$A$5,'[1]Grade Project'!$G:$G,$A$8),"")</f>
        <v/>
      </c>
      <c r="L112" t="str">
        <f t="shared" si="4"/>
        <v/>
      </c>
      <c r="M112" t="str">
        <f t="shared" si="5"/>
        <v/>
      </c>
      <c r="N112" t="str">
        <f t="shared" si="6"/>
        <v/>
      </c>
    </row>
    <row r="113" spans="8:14" x14ac:dyDescent="0.25">
      <c r="H113" t="str">
        <f>IF(I112=0,"",INDEX('[1]Grade Project'!$K:$K,MATCH(CONCATENATE($A$5,$A$8),'[1]Grade Project'!$H:$H,0)+SUM($I$3:I112)))</f>
        <v/>
      </c>
      <c r="I113">
        <f>COUNTIFS('[1]Grade Project'!$G:$G,$A$8,'[1]Grade Project'!$K:$K,H113,'[1]Grade Project'!$F:$F,$A$5)</f>
        <v>0</v>
      </c>
      <c r="J113" t="str">
        <f>IFERROR(AVERAGEIFS('[1]Grade Project'!$N:$N,'[1]Grade Project'!$K:$K,H113,'[1]Grade Project'!$F:$F,$A$5,'[1]Grade Project'!$G:$G,$A$8),"")</f>
        <v/>
      </c>
      <c r="K113" t="str">
        <f>IFERROR(AVERAGEIFS('[1]Grade Project'!$O:$O,'[1]Grade Project'!$K:$K,H113,'[1]Grade Project'!$F:$F,$A$5,'[1]Grade Project'!$G:$G,$A$8),"")</f>
        <v/>
      </c>
      <c r="L113" t="str">
        <f t="shared" si="4"/>
        <v/>
      </c>
      <c r="M113" t="str">
        <f t="shared" si="5"/>
        <v/>
      </c>
      <c r="N113" t="str">
        <f t="shared" si="6"/>
        <v/>
      </c>
    </row>
    <row r="114" spans="8:14" x14ac:dyDescent="0.25">
      <c r="H114" t="str">
        <f>IF(I113=0,"",INDEX('[1]Grade Project'!$K:$K,MATCH(CONCATENATE($A$5,$A$8),'[1]Grade Project'!$H:$H,0)+SUM($I$3:I113)))</f>
        <v/>
      </c>
      <c r="I114">
        <f>COUNTIFS('[1]Grade Project'!$G:$G,$A$8,'[1]Grade Project'!$K:$K,H114,'[1]Grade Project'!$F:$F,$A$5)</f>
        <v>0</v>
      </c>
      <c r="J114" t="str">
        <f>IFERROR(AVERAGEIFS('[1]Grade Project'!$N:$N,'[1]Grade Project'!$K:$K,H114,'[1]Grade Project'!$F:$F,$A$5,'[1]Grade Project'!$G:$G,$A$8),"")</f>
        <v/>
      </c>
      <c r="K114" t="str">
        <f>IFERROR(AVERAGEIFS('[1]Grade Project'!$O:$O,'[1]Grade Project'!$K:$K,H114,'[1]Grade Project'!$F:$F,$A$5,'[1]Grade Project'!$G:$G,$A$8),"")</f>
        <v/>
      </c>
      <c r="L114" t="str">
        <f t="shared" si="4"/>
        <v/>
      </c>
      <c r="M114" t="str">
        <f t="shared" si="5"/>
        <v/>
      </c>
      <c r="N114" t="str">
        <f t="shared" si="6"/>
        <v/>
      </c>
    </row>
    <row r="115" spans="8:14" x14ac:dyDescent="0.25">
      <c r="H115" t="str">
        <f>IF(I114=0,"",INDEX('[1]Grade Project'!$K:$K,MATCH(CONCATENATE($A$5,$A$8),'[1]Grade Project'!$H:$H,0)+SUM($I$3:I114)))</f>
        <v/>
      </c>
      <c r="I115">
        <f>COUNTIFS('[1]Grade Project'!$G:$G,$A$8,'[1]Grade Project'!$K:$K,H115,'[1]Grade Project'!$F:$F,$A$5)</f>
        <v>0</v>
      </c>
      <c r="J115" t="str">
        <f>IFERROR(AVERAGEIFS('[1]Grade Project'!$N:$N,'[1]Grade Project'!$K:$K,H115,'[1]Grade Project'!$F:$F,$A$5,'[1]Grade Project'!$G:$G,$A$8),"")</f>
        <v/>
      </c>
      <c r="K115" t="str">
        <f>IFERROR(AVERAGEIFS('[1]Grade Project'!$O:$O,'[1]Grade Project'!$K:$K,H115,'[1]Grade Project'!$F:$F,$A$5,'[1]Grade Project'!$G:$G,$A$8),"")</f>
        <v/>
      </c>
      <c r="L115" t="str">
        <f t="shared" si="4"/>
        <v/>
      </c>
      <c r="M115" t="str">
        <f t="shared" si="5"/>
        <v/>
      </c>
      <c r="N115" t="str">
        <f t="shared" si="6"/>
        <v/>
      </c>
    </row>
    <row r="116" spans="8:14" x14ac:dyDescent="0.25">
      <c r="H116" t="str">
        <f>IF(I115=0,"",INDEX('[1]Grade Project'!$K:$K,MATCH(CONCATENATE($A$5,$A$8),'[1]Grade Project'!$H:$H,0)+SUM($I$3:I115)))</f>
        <v/>
      </c>
      <c r="I116">
        <f>COUNTIFS('[1]Grade Project'!$G:$G,$A$8,'[1]Grade Project'!$K:$K,H116,'[1]Grade Project'!$F:$F,$A$5)</f>
        <v>0</v>
      </c>
      <c r="J116" t="str">
        <f>IFERROR(AVERAGEIFS('[1]Grade Project'!$N:$N,'[1]Grade Project'!$K:$K,H116,'[1]Grade Project'!$F:$F,$A$5,'[1]Grade Project'!$G:$G,$A$8),"")</f>
        <v/>
      </c>
      <c r="K116" t="str">
        <f>IFERROR(AVERAGEIFS('[1]Grade Project'!$O:$O,'[1]Grade Project'!$K:$K,H116,'[1]Grade Project'!$F:$F,$A$5,'[1]Grade Project'!$G:$G,$A$8),"")</f>
        <v/>
      </c>
      <c r="L116" t="str">
        <f t="shared" si="4"/>
        <v/>
      </c>
      <c r="M116" t="str">
        <f t="shared" si="5"/>
        <v/>
      </c>
      <c r="N116" t="str">
        <f t="shared" si="6"/>
        <v/>
      </c>
    </row>
    <row r="117" spans="8:14" x14ac:dyDescent="0.25">
      <c r="H117" t="str">
        <f>IF(I116=0,"",INDEX('[1]Grade Project'!$K:$K,MATCH(CONCATENATE($A$5,$A$8),'[1]Grade Project'!$H:$H,0)+SUM($I$3:I116)))</f>
        <v/>
      </c>
      <c r="I117">
        <f>COUNTIFS('[1]Grade Project'!$G:$G,$A$8,'[1]Grade Project'!$K:$K,H117,'[1]Grade Project'!$F:$F,$A$5)</f>
        <v>0</v>
      </c>
      <c r="J117" t="str">
        <f>IFERROR(AVERAGEIFS('[1]Grade Project'!$N:$N,'[1]Grade Project'!$K:$K,H117,'[1]Grade Project'!$F:$F,$A$5,'[1]Grade Project'!$G:$G,$A$8),"")</f>
        <v/>
      </c>
      <c r="K117" t="str">
        <f>IFERROR(AVERAGEIFS('[1]Grade Project'!$O:$O,'[1]Grade Project'!$K:$K,H117,'[1]Grade Project'!$F:$F,$A$5,'[1]Grade Project'!$G:$G,$A$8),"")</f>
        <v/>
      </c>
      <c r="L117" t="str">
        <f t="shared" si="4"/>
        <v/>
      </c>
      <c r="M117" t="str">
        <f t="shared" si="5"/>
        <v/>
      </c>
      <c r="N117" t="str">
        <f t="shared" si="6"/>
        <v/>
      </c>
    </row>
    <row r="118" spans="8:14" x14ac:dyDescent="0.25">
      <c r="H118" t="str">
        <f>IF(I117=0,"",INDEX('[1]Grade Project'!$K:$K,MATCH(CONCATENATE($A$5,$A$8),'[1]Grade Project'!$H:$H,0)+SUM($I$3:I117)))</f>
        <v/>
      </c>
      <c r="I118">
        <f>COUNTIFS('[1]Grade Project'!$G:$G,$A$8,'[1]Grade Project'!$K:$K,H118,'[1]Grade Project'!$F:$F,$A$5)</f>
        <v>0</v>
      </c>
      <c r="J118" t="str">
        <f>IFERROR(AVERAGEIFS('[1]Grade Project'!$N:$N,'[1]Grade Project'!$K:$K,H118,'[1]Grade Project'!$F:$F,$A$5,'[1]Grade Project'!$G:$G,$A$8),"")</f>
        <v/>
      </c>
      <c r="K118" t="str">
        <f>IFERROR(AVERAGEIFS('[1]Grade Project'!$O:$O,'[1]Grade Project'!$K:$K,H118,'[1]Grade Project'!$F:$F,$A$5,'[1]Grade Project'!$G:$G,$A$8),"")</f>
        <v/>
      </c>
      <c r="L118" t="str">
        <f t="shared" si="4"/>
        <v/>
      </c>
      <c r="M118" t="str">
        <f t="shared" si="5"/>
        <v/>
      </c>
      <c r="N118" t="str">
        <f t="shared" si="6"/>
        <v/>
      </c>
    </row>
    <row r="119" spans="8:14" x14ac:dyDescent="0.25">
      <c r="H119" t="str">
        <f>IF(I118=0,"",INDEX('[1]Grade Project'!$K:$K,MATCH(CONCATENATE($A$5,$A$8),'[1]Grade Project'!$H:$H,0)+SUM($I$3:I118)))</f>
        <v/>
      </c>
      <c r="I119">
        <f>COUNTIFS('[1]Grade Project'!$G:$G,$A$8,'[1]Grade Project'!$K:$K,H119,'[1]Grade Project'!$F:$F,$A$5)</f>
        <v>0</v>
      </c>
      <c r="J119" t="str">
        <f>IFERROR(AVERAGEIFS('[1]Grade Project'!$N:$N,'[1]Grade Project'!$K:$K,H119,'[1]Grade Project'!$F:$F,$A$5,'[1]Grade Project'!$G:$G,$A$8),"")</f>
        <v/>
      </c>
      <c r="K119" t="str">
        <f>IFERROR(AVERAGEIFS('[1]Grade Project'!$O:$O,'[1]Grade Project'!$K:$K,H119,'[1]Grade Project'!$F:$F,$A$5,'[1]Grade Project'!$G:$G,$A$8),"")</f>
        <v/>
      </c>
      <c r="L119" t="str">
        <f t="shared" si="4"/>
        <v/>
      </c>
      <c r="M119" t="str">
        <f t="shared" si="5"/>
        <v/>
      </c>
      <c r="N119" t="str">
        <f t="shared" si="6"/>
        <v/>
      </c>
    </row>
    <row r="120" spans="8:14" x14ac:dyDescent="0.25">
      <c r="H120" t="str">
        <f>IF(I119=0,"",INDEX('[1]Grade Project'!$K:$K,MATCH(CONCATENATE($A$5,$A$8),'[1]Grade Project'!$H:$H,0)+SUM($I$3:I119)))</f>
        <v/>
      </c>
      <c r="I120">
        <f>COUNTIFS('[1]Grade Project'!$G:$G,$A$8,'[1]Grade Project'!$K:$K,H120,'[1]Grade Project'!$F:$F,$A$5)</f>
        <v>0</v>
      </c>
      <c r="J120" t="str">
        <f>IFERROR(AVERAGEIFS('[1]Grade Project'!$N:$N,'[1]Grade Project'!$K:$K,H120,'[1]Grade Project'!$F:$F,$A$5,'[1]Grade Project'!$G:$G,$A$8),"")</f>
        <v/>
      </c>
      <c r="K120" t="str">
        <f>IFERROR(AVERAGEIFS('[1]Grade Project'!$O:$O,'[1]Grade Project'!$K:$K,H120,'[1]Grade Project'!$F:$F,$A$5,'[1]Grade Project'!$G:$G,$A$8),"")</f>
        <v/>
      </c>
      <c r="L120" t="str">
        <f t="shared" si="4"/>
        <v/>
      </c>
      <c r="M120" t="str">
        <f t="shared" si="5"/>
        <v/>
      </c>
      <c r="N120" t="str">
        <f t="shared" si="6"/>
        <v/>
      </c>
    </row>
    <row r="121" spans="8:14" x14ac:dyDescent="0.25">
      <c r="H121" t="str">
        <f>IF(I120=0,"",INDEX('[1]Grade Project'!$K:$K,MATCH(CONCATENATE($A$5,$A$8),'[1]Grade Project'!$H:$H,0)+SUM($I$3:I120)))</f>
        <v/>
      </c>
      <c r="I121">
        <f>COUNTIFS('[1]Grade Project'!$G:$G,$A$8,'[1]Grade Project'!$K:$K,H121,'[1]Grade Project'!$F:$F,$A$5)</f>
        <v>0</v>
      </c>
      <c r="J121" t="str">
        <f>IFERROR(AVERAGEIFS('[1]Grade Project'!$N:$N,'[1]Grade Project'!$K:$K,H121,'[1]Grade Project'!$F:$F,$A$5,'[1]Grade Project'!$G:$G,$A$8),"")</f>
        <v/>
      </c>
      <c r="K121" t="str">
        <f>IFERROR(AVERAGEIFS('[1]Grade Project'!$O:$O,'[1]Grade Project'!$K:$K,H121,'[1]Grade Project'!$F:$F,$A$5,'[1]Grade Project'!$G:$G,$A$8),"")</f>
        <v/>
      </c>
      <c r="L121" t="str">
        <f t="shared" si="4"/>
        <v/>
      </c>
      <c r="M121" t="str">
        <f t="shared" si="5"/>
        <v/>
      </c>
      <c r="N121" t="str">
        <f t="shared" si="6"/>
        <v/>
      </c>
    </row>
    <row r="122" spans="8:14" x14ac:dyDescent="0.25">
      <c r="H122" t="str">
        <f>IF(I121=0,"",INDEX('[1]Grade Project'!$K:$K,MATCH(CONCATENATE($A$5,$A$8),'[1]Grade Project'!$H:$H,0)+SUM($I$3:I121)))</f>
        <v/>
      </c>
      <c r="I122">
        <f>COUNTIFS('[1]Grade Project'!$G:$G,$A$8,'[1]Grade Project'!$K:$K,H122,'[1]Grade Project'!$F:$F,$A$5)</f>
        <v>0</v>
      </c>
      <c r="J122" t="str">
        <f>IFERROR(AVERAGEIFS('[1]Grade Project'!$N:$N,'[1]Grade Project'!$K:$K,H122,'[1]Grade Project'!$F:$F,$A$5,'[1]Grade Project'!$G:$G,$A$8),"")</f>
        <v/>
      </c>
      <c r="K122" t="str">
        <f>IFERROR(AVERAGEIFS('[1]Grade Project'!$O:$O,'[1]Grade Project'!$K:$K,H122,'[1]Grade Project'!$F:$F,$A$5,'[1]Grade Project'!$G:$G,$A$8),"")</f>
        <v/>
      </c>
      <c r="L122" t="str">
        <f t="shared" si="4"/>
        <v/>
      </c>
      <c r="M122" t="str">
        <f t="shared" si="5"/>
        <v/>
      </c>
      <c r="N122" t="str">
        <f t="shared" si="6"/>
        <v/>
      </c>
    </row>
    <row r="123" spans="8:14" x14ac:dyDescent="0.25">
      <c r="H123" t="str">
        <f>IF(I122=0,"",INDEX('[1]Grade Project'!$K:$K,MATCH(CONCATENATE($A$5,$A$8),'[1]Grade Project'!$H:$H,0)+SUM($I$3:I122)))</f>
        <v/>
      </c>
      <c r="I123">
        <f>COUNTIFS('[1]Grade Project'!$G:$G,$A$8,'[1]Grade Project'!$K:$K,H123,'[1]Grade Project'!$F:$F,$A$5)</f>
        <v>0</v>
      </c>
      <c r="J123" t="str">
        <f>IFERROR(AVERAGEIFS('[1]Grade Project'!$N:$N,'[1]Grade Project'!$K:$K,H123,'[1]Grade Project'!$F:$F,$A$5,'[1]Grade Project'!$G:$G,$A$8),"")</f>
        <v/>
      </c>
      <c r="K123" t="str">
        <f>IFERROR(AVERAGEIFS('[1]Grade Project'!$O:$O,'[1]Grade Project'!$K:$K,H123,'[1]Grade Project'!$F:$F,$A$5,'[1]Grade Project'!$G:$G,$A$8),"")</f>
        <v/>
      </c>
      <c r="L123" t="str">
        <f t="shared" si="4"/>
        <v/>
      </c>
      <c r="M123" t="str">
        <f t="shared" si="5"/>
        <v/>
      </c>
      <c r="N123" t="str">
        <f t="shared" si="6"/>
        <v/>
      </c>
    </row>
    <row r="124" spans="8:14" x14ac:dyDescent="0.25">
      <c r="H124" t="str">
        <f>IF(I123=0,"",INDEX('[1]Grade Project'!$K:$K,MATCH(CONCATENATE($A$5,$A$8),'[1]Grade Project'!$H:$H,0)+SUM($I$3:I123)))</f>
        <v/>
      </c>
      <c r="I124">
        <f>COUNTIFS('[1]Grade Project'!$G:$G,$A$8,'[1]Grade Project'!$K:$K,H124,'[1]Grade Project'!$F:$F,$A$5)</f>
        <v>0</v>
      </c>
      <c r="J124" t="str">
        <f>IFERROR(AVERAGEIFS('[1]Grade Project'!$N:$N,'[1]Grade Project'!$K:$K,H124,'[1]Grade Project'!$F:$F,$A$5,'[1]Grade Project'!$G:$G,$A$8),"")</f>
        <v/>
      </c>
      <c r="K124" t="str">
        <f>IFERROR(AVERAGEIFS('[1]Grade Project'!$O:$O,'[1]Grade Project'!$K:$K,H124,'[1]Grade Project'!$F:$F,$A$5,'[1]Grade Project'!$G:$G,$A$8),"")</f>
        <v/>
      </c>
      <c r="L124" t="str">
        <f t="shared" si="4"/>
        <v/>
      </c>
      <c r="M124" t="str">
        <f t="shared" si="5"/>
        <v/>
      </c>
      <c r="N124" t="str">
        <f t="shared" si="6"/>
        <v/>
      </c>
    </row>
    <row r="125" spans="8:14" x14ac:dyDescent="0.25">
      <c r="H125" t="str">
        <f>IF(I124=0,"",INDEX('[1]Grade Project'!$K:$K,MATCH(CONCATENATE($A$5,$A$8),'[1]Grade Project'!$H:$H,0)+SUM($I$3:I124)))</f>
        <v/>
      </c>
      <c r="I125">
        <f>COUNTIFS('[1]Grade Project'!$G:$G,$A$8,'[1]Grade Project'!$K:$K,H125,'[1]Grade Project'!$F:$F,$A$5)</f>
        <v>0</v>
      </c>
      <c r="J125" t="str">
        <f>IFERROR(AVERAGEIFS('[1]Grade Project'!$N:$N,'[1]Grade Project'!$K:$K,H125,'[1]Grade Project'!$F:$F,$A$5,'[1]Grade Project'!$G:$G,$A$8),"")</f>
        <v/>
      </c>
      <c r="K125" t="str">
        <f>IFERROR(AVERAGEIFS('[1]Grade Project'!$O:$O,'[1]Grade Project'!$K:$K,H125,'[1]Grade Project'!$F:$F,$A$5,'[1]Grade Project'!$G:$G,$A$8),"")</f>
        <v/>
      </c>
      <c r="L125" t="str">
        <f t="shared" si="4"/>
        <v/>
      </c>
      <c r="M125" t="str">
        <f t="shared" si="5"/>
        <v/>
      </c>
      <c r="N125" t="str">
        <f t="shared" si="6"/>
        <v/>
      </c>
    </row>
    <row r="126" spans="8:14" x14ac:dyDescent="0.25">
      <c r="H126" t="str">
        <f>IF(I125=0,"",INDEX('[1]Grade Project'!$K:$K,MATCH(CONCATENATE($A$5,$A$8),'[1]Grade Project'!$H:$H,0)+SUM($I$3:I125)))</f>
        <v/>
      </c>
      <c r="I126">
        <f>COUNTIFS('[1]Grade Project'!$G:$G,$A$8,'[1]Grade Project'!$K:$K,H126,'[1]Grade Project'!$F:$F,$A$5)</f>
        <v>0</v>
      </c>
      <c r="J126" t="str">
        <f>IFERROR(AVERAGEIFS('[1]Grade Project'!$N:$N,'[1]Grade Project'!$K:$K,H126,'[1]Grade Project'!$F:$F,$A$5,'[1]Grade Project'!$G:$G,$A$8),"")</f>
        <v/>
      </c>
      <c r="K126" t="str">
        <f>IFERROR(AVERAGEIFS('[1]Grade Project'!$O:$O,'[1]Grade Project'!$K:$K,H126,'[1]Grade Project'!$F:$F,$A$5,'[1]Grade Project'!$G:$G,$A$8),"")</f>
        <v/>
      </c>
      <c r="L126" t="str">
        <f t="shared" si="4"/>
        <v/>
      </c>
      <c r="M126" t="str">
        <f t="shared" si="5"/>
        <v/>
      </c>
      <c r="N126" t="str">
        <f t="shared" si="6"/>
        <v/>
      </c>
    </row>
    <row r="127" spans="8:14" x14ac:dyDescent="0.25">
      <c r="H127" t="str">
        <f>IF(I126=0,"",INDEX('[1]Grade Project'!$K:$K,MATCH(CONCATENATE($A$5,$A$8),'[1]Grade Project'!$H:$H,0)+SUM($I$3:I126)))</f>
        <v/>
      </c>
      <c r="I127">
        <f>COUNTIFS('[1]Grade Project'!$G:$G,$A$8,'[1]Grade Project'!$K:$K,H127,'[1]Grade Project'!$F:$F,$A$5)</f>
        <v>0</v>
      </c>
      <c r="J127" t="str">
        <f>IFERROR(AVERAGEIFS('[1]Grade Project'!$N:$N,'[1]Grade Project'!$K:$K,H127,'[1]Grade Project'!$F:$F,$A$5,'[1]Grade Project'!$G:$G,$A$8),"")</f>
        <v/>
      </c>
      <c r="K127" t="str">
        <f>IFERROR(AVERAGEIFS('[1]Grade Project'!$O:$O,'[1]Grade Project'!$K:$K,H127,'[1]Grade Project'!$F:$F,$A$5,'[1]Grade Project'!$G:$G,$A$8),"")</f>
        <v/>
      </c>
      <c r="L127" t="str">
        <f t="shared" si="4"/>
        <v/>
      </c>
      <c r="M127" t="str">
        <f t="shared" si="5"/>
        <v/>
      </c>
      <c r="N127" t="str">
        <f t="shared" si="6"/>
        <v/>
      </c>
    </row>
    <row r="128" spans="8:14" x14ac:dyDescent="0.25">
      <c r="H128" t="str">
        <f>IF(I127=0,"",INDEX('[1]Grade Project'!$K:$K,MATCH(CONCATENATE($A$5,$A$8),'[1]Grade Project'!$H:$H,0)+SUM($I$3:I127)))</f>
        <v/>
      </c>
      <c r="I128">
        <f>COUNTIFS('[1]Grade Project'!$G:$G,$A$8,'[1]Grade Project'!$K:$K,H128,'[1]Grade Project'!$F:$F,$A$5)</f>
        <v>0</v>
      </c>
      <c r="J128" t="str">
        <f>IFERROR(AVERAGEIFS('[1]Grade Project'!$N:$N,'[1]Grade Project'!$K:$K,H128,'[1]Grade Project'!$F:$F,$A$5,'[1]Grade Project'!$G:$G,$A$8),"")</f>
        <v/>
      </c>
      <c r="K128" t="str">
        <f>IFERROR(AVERAGEIFS('[1]Grade Project'!$O:$O,'[1]Grade Project'!$K:$K,H128,'[1]Grade Project'!$F:$F,$A$5,'[1]Grade Project'!$G:$G,$A$8),"")</f>
        <v/>
      </c>
      <c r="L128" t="str">
        <f t="shared" si="4"/>
        <v/>
      </c>
      <c r="M128" t="str">
        <f t="shared" si="5"/>
        <v/>
      </c>
      <c r="N128" t="str">
        <f t="shared" si="6"/>
        <v/>
      </c>
    </row>
    <row r="129" spans="8:14" x14ac:dyDescent="0.25">
      <c r="H129" t="str">
        <f>IF(I128=0,"",INDEX('[1]Grade Project'!$K:$K,MATCH(CONCATENATE($A$5,$A$8),'[1]Grade Project'!$H:$H,0)+SUM($I$3:I128)))</f>
        <v/>
      </c>
      <c r="I129">
        <f>COUNTIFS('[1]Grade Project'!$G:$G,$A$8,'[1]Grade Project'!$K:$K,H129,'[1]Grade Project'!$F:$F,$A$5)</f>
        <v>0</v>
      </c>
      <c r="J129" t="str">
        <f>IFERROR(AVERAGEIFS('[1]Grade Project'!$N:$N,'[1]Grade Project'!$K:$K,H129,'[1]Grade Project'!$F:$F,$A$5,'[1]Grade Project'!$G:$G,$A$8),"")</f>
        <v/>
      </c>
      <c r="K129" t="str">
        <f>IFERROR(AVERAGEIFS('[1]Grade Project'!$O:$O,'[1]Grade Project'!$K:$K,H129,'[1]Grade Project'!$F:$F,$A$5,'[1]Grade Project'!$G:$G,$A$8),"")</f>
        <v/>
      </c>
      <c r="L129" t="str">
        <f t="shared" si="4"/>
        <v/>
      </c>
      <c r="M129" t="str">
        <f t="shared" si="5"/>
        <v/>
      </c>
      <c r="N129" t="str">
        <f t="shared" si="6"/>
        <v/>
      </c>
    </row>
    <row r="130" spans="8:14" x14ac:dyDescent="0.25">
      <c r="H130" t="str">
        <f>IF(I129=0,"",INDEX('[1]Grade Project'!$K:$K,MATCH(CONCATENATE($A$5,$A$8),'[1]Grade Project'!$H:$H,0)+SUM($I$3:I129)))</f>
        <v/>
      </c>
      <c r="I130">
        <f>COUNTIFS('[1]Grade Project'!$G:$G,$A$8,'[1]Grade Project'!$K:$K,H130,'[1]Grade Project'!$F:$F,$A$5)</f>
        <v>0</v>
      </c>
      <c r="J130" t="str">
        <f>IFERROR(AVERAGEIFS('[1]Grade Project'!$N:$N,'[1]Grade Project'!$K:$K,H130,'[1]Grade Project'!$F:$F,$A$5,'[1]Grade Project'!$G:$G,$A$8),"")</f>
        <v/>
      </c>
      <c r="K130" t="str">
        <f>IFERROR(AVERAGEIFS('[1]Grade Project'!$O:$O,'[1]Grade Project'!$K:$K,H130,'[1]Grade Project'!$F:$F,$A$5,'[1]Grade Project'!$G:$G,$A$8),"")</f>
        <v/>
      </c>
      <c r="L130" t="str">
        <f t="shared" si="4"/>
        <v/>
      </c>
      <c r="M130" t="str">
        <f t="shared" si="5"/>
        <v/>
      </c>
      <c r="N130" t="str">
        <f t="shared" si="6"/>
        <v/>
      </c>
    </row>
    <row r="131" spans="8:14" x14ac:dyDescent="0.25">
      <c r="H131" t="str">
        <f>IF(I130=0,"",INDEX('[1]Grade Project'!$K:$K,MATCH(CONCATENATE($A$5,$A$8),'[1]Grade Project'!$H:$H,0)+SUM($I$3:I130)))</f>
        <v/>
      </c>
      <c r="I131">
        <f>COUNTIFS('[1]Grade Project'!$G:$G,$A$8,'[1]Grade Project'!$K:$K,H131,'[1]Grade Project'!$F:$F,$A$5)</f>
        <v>0</v>
      </c>
      <c r="J131" t="str">
        <f>IFERROR(AVERAGEIFS('[1]Grade Project'!$N:$N,'[1]Grade Project'!$K:$K,H131,'[1]Grade Project'!$F:$F,$A$5,'[1]Grade Project'!$G:$G,$A$8),"")</f>
        <v/>
      </c>
      <c r="K131" t="str">
        <f>IFERROR(AVERAGEIFS('[1]Grade Project'!$O:$O,'[1]Grade Project'!$K:$K,H131,'[1]Grade Project'!$F:$F,$A$5,'[1]Grade Project'!$G:$G,$A$8),"")</f>
        <v/>
      </c>
      <c r="L131" t="str">
        <f t="shared" si="4"/>
        <v/>
      </c>
      <c r="M131" t="str">
        <f t="shared" si="5"/>
        <v/>
      </c>
      <c r="N131" t="str">
        <f t="shared" si="6"/>
        <v/>
      </c>
    </row>
    <row r="132" spans="8:14" x14ac:dyDescent="0.25">
      <c r="H132" t="str">
        <f>IF(I131=0,"",INDEX('[1]Grade Project'!$K:$K,MATCH(CONCATENATE($A$5,$A$8),'[1]Grade Project'!$H:$H,0)+SUM($I$3:I131)))</f>
        <v/>
      </c>
      <c r="I132">
        <f>COUNTIFS('[1]Grade Project'!$G:$G,$A$8,'[1]Grade Project'!$K:$K,H132,'[1]Grade Project'!$F:$F,$A$5)</f>
        <v>0</v>
      </c>
      <c r="J132" t="str">
        <f>IFERROR(AVERAGEIFS('[1]Grade Project'!$N:$N,'[1]Grade Project'!$K:$K,H132,'[1]Grade Project'!$F:$F,$A$5,'[1]Grade Project'!$G:$G,$A$8),"")</f>
        <v/>
      </c>
      <c r="K132" t="str">
        <f>IFERROR(AVERAGEIFS('[1]Grade Project'!$O:$O,'[1]Grade Project'!$K:$K,H132,'[1]Grade Project'!$F:$F,$A$5,'[1]Grade Project'!$G:$G,$A$8),"")</f>
        <v/>
      </c>
      <c r="L132" t="str">
        <f t="shared" ref="L132:L146" si="7">IFERROR(K132/J132,"")</f>
        <v/>
      </c>
      <c r="M132" t="str">
        <f t="shared" ref="M132:M146" si="8">IFERROR(_xlfn.RANK.EQ(L132,L:L),"")</f>
        <v/>
      </c>
      <c r="N132" t="str">
        <f t="shared" ref="N132:N146" si="9">IFERROR(MAX(M:M)-M132+1,"")</f>
        <v/>
      </c>
    </row>
    <row r="133" spans="8:14" x14ac:dyDescent="0.25">
      <c r="H133" t="str">
        <f>IF(I132=0,"",INDEX('[1]Grade Project'!$K:$K,MATCH(CONCATENATE($A$5,$A$8),'[1]Grade Project'!$H:$H,0)+SUM($I$3:I132)))</f>
        <v/>
      </c>
      <c r="I133">
        <f>COUNTIFS('[1]Grade Project'!$G:$G,$A$8,'[1]Grade Project'!$K:$K,H133,'[1]Grade Project'!$F:$F,$A$5)</f>
        <v>0</v>
      </c>
      <c r="J133" t="str">
        <f>IFERROR(AVERAGEIFS('[1]Grade Project'!$N:$N,'[1]Grade Project'!$K:$K,H133,'[1]Grade Project'!$F:$F,$A$5,'[1]Grade Project'!$G:$G,$A$8),"")</f>
        <v/>
      </c>
      <c r="K133" t="str">
        <f>IFERROR(AVERAGEIFS('[1]Grade Project'!$O:$O,'[1]Grade Project'!$K:$K,H133,'[1]Grade Project'!$F:$F,$A$5,'[1]Grade Project'!$G:$G,$A$8),"")</f>
        <v/>
      </c>
      <c r="L133" t="str">
        <f t="shared" si="7"/>
        <v/>
      </c>
      <c r="M133" t="str">
        <f t="shared" si="8"/>
        <v/>
      </c>
      <c r="N133" t="str">
        <f t="shared" si="9"/>
        <v/>
      </c>
    </row>
    <row r="134" spans="8:14" x14ac:dyDescent="0.25">
      <c r="H134" t="str">
        <f>IF(I133=0,"",INDEX('[1]Grade Project'!$K:$K,MATCH(CONCATENATE($A$5,$A$8),'[1]Grade Project'!$H:$H,0)+SUM($I$3:I133)))</f>
        <v/>
      </c>
      <c r="I134">
        <f>COUNTIFS('[1]Grade Project'!$G:$G,$A$8,'[1]Grade Project'!$K:$K,H134,'[1]Grade Project'!$F:$F,$A$5)</f>
        <v>0</v>
      </c>
      <c r="J134" t="str">
        <f>IFERROR(AVERAGEIFS('[1]Grade Project'!$N:$N,'[1]Grade Project'!$K:$K,H134,'[1]Grade Project'!$F:$F,$A$5,'[1]Grade Project'!$G:$G,$A$8),"")</f>
        <v/>
      </c>
      <c r="K134" t="str">
        <f>IFERROR(AVERAGEIFS('[1]Grade Project'!$O:$O,'[1]Grade Project'!$K:$K,H134,'[1]Grade Project'!$F:$F,$A$5,'[1]Grade Project'!$G:$G,$A$8),"")</f>
        <v/>
      </c>
      <c r="L134" t="str">
        <f t="shared" si="7"/>
        <v/>
      </c>
      <c r="M134" t="str">
        <f t="shared" si="8"/>
        <v/>
      </c>
      <c r="N134" t="str">
        <f t="shared" si="9"/>
        <v/>
      </c>
    </row>
    <row r="135" spans="8:14" x14ac:dyDescent="0.25">
      <c r="H135" t="str">
        <f>IF(I134=0,"",INDEX('[1]Grade Project'!$K:$K,MATCH(CONCATENATE($A$5,$A$8),'[1]Grade Project'!$H:$H,0)+SUM($I$3:I134)))</f>
        <v/>
      </c>
      <c r="I135">
        <f>COUNTIFS('[1]Grade Project'!$G:$G,$A$8,'[1]Grade Project'!$K:$K,H135,'[1]Grade Project'!$F:$F,$A$5)</f>
        <v>0</v>
      </c>
      <c r="J135" t="str">
        <f>IFERROR(AVERAGEIFS('[1]Grade Project'!$N:$N,'[1]Grade Project'!$K:$K,H135,'[1]Grade Project'!$F:$F,$A$5,'[1]Grade Project'!$G:$G,$A$8),"")</f>
        <v/>
      </c>
      <c r="K135" t="str">
        <f>IFERROR(AVERAGEIFS('[1]Grade Project'!$O:$O,'[1]Grade Project'!$K:$K,H135,'[1]Grade Project'!$F:$F,$A$5,'[1]Grade Project'!$G:$G,$A$8),"")</f>
        <v/>
      </c>
      <c r="L135" t="str">
        <f t="shared" si="7"/>
        <v/>
      </c>
      <c r="M135" t="str">
        <f t="shared" si="8"/>
        <v/>
      </c>
      <c r="N135" t="str">
        <f t="shared" si="9"/>
        <v/>
      </c>
    </row>
    <row r="136" spans="8:14" x14ac:dyDescent="0.25">
      <c r="H136" t="str">
        <f>IF(I135=0,"",INDEX('[1]Grade Project'!$K:$K,MATCH(CONCATENATE($A$5,$A$8),'[1]Grade Project'!$H:$H,0)+SUM($I$3:I135)))</f>
        <v/>
      </c>
      <c r="I136">
        <f>COUNTIFS('[1]Grade Project'!$G:$G,$A$8,'[1]Grade Project'!$K:$K,H136,'[1]Grade Project'!$F:$F,$A$5)</f>
        <v>0</v>
      </c>
      <c r="J136" t="str">
        <f>IFERROR(AVERAGEIFS('[1]Grade Project'!$N:$N,'[1]Grade Project'!$K:$K,H136,'[1]Grade Project'!$F:$F,$A$5,'[1]Grade Project'!$G:$G,$A$8),"")</f>
        <v/>
      </c>
      <c r="K136" t="str">
        <f>IFERROR(AVERAGEIFS('[1]Grade Project'!$O:$O,'[1]Grade Project'!$K:$K,H136,'[1]Grade Project'!$F:$F,$A$5,'[1]Grade Project'!$G:$G,$A$8),"")</f>
        <v/>
      </c>
      <c r="L136" t="str">
        <f t="shared" si="7"/>
        <v/>
      </c>
      <c r="M136" t="str">
        <f t="shared" si="8"/>
        <v/>
      </c>
      <c r="N136" t="str">
        <f t="shared" si="9"/>
        <v/>
      </c>
    </row>
    <row r="137" spans="8:14" x14ac:dyDescent="0.25">
      <c r="H137" t="str">
        <f>IF(I136=0,"",INDEX('[1]Grade Project'!$K:$K,MATCH(CONCATENATE($A$5,$A$8),'[1]Grade Project'!$H:$H,0)+SUM($I$3:I136)))</f>
        <v/>
      </c>
      <c r="I137">
        <f>COUNTIFS('[1]Grade Project'!$G:$G,$A$8,'[1]Grade Project'!$K:$K,H137,'[1]Grade Project'!$F:$F,$A$5)</f>
        <v>0</v>
      </c>
      <c r="J137" t="str">
        <f>IFERROR(AVERAGEIFS('[1]Grade Project'!$N:$N,'[1]Grade Project'!$K:$K,H137,'[1]Grade Project'!$F:$F,$A$5,'[1]Grade Project'!$G:$G,$A$8),"")</f>
        <v/>
      </c>
      <c r="K137" t="str">
        <f>IFERROR(AVERAGEIFS('[1]Grade Project'!$O:$O,'[1]Grade Project'!$K:$K,H137,'[1]Grade Project'!$F:$F,$A$5,'[1]Grade Project'!$G:$G,$A$8),"")</f>
        <v/>
      </c>
      <c r="L137" t="str">
        <f t="shared" si="7"/>
        <v/>
      </c>
      <c r="M137" t="str">
        <f t="shared" si="8"/>
        <v/>
      </c>
      <c r="N137" t="str">
        <f t="shared" si="9"/>
        <v/>
      </c>
    </row>
    <row r="138" spans="8:14" x14ac:dyDescent="0.25">
      <c r="H138" t="str">
        <f>IF(I137=0,"",INDEX('[1]Grade Project'!$K:$K,MATCH(CONCATENATE($A$5,$A$8),'[1]Grade Project'!$H:$H,0)+SUM($I$3:I137)))</f>
        <v/>
      </c>
      <c r="I138">
        <f>COUNTIFS('[1]Grade Project'!$G:$G,$A$8,'[1]Grade Project'!$K:$K,H138,'[1]Grade Project'!$F:$F,$A$5)</f>
        <v>0</v>
      </c>
      <c r="J138" t="str">
        <f>IFERROR(AVERAGEIFS('[1]Grade Project'!$N:$N,'[1]Grade Project'!$K:$K,H138,'[1]Grade Project'!$F:$F,$A$5,'[1]Grade Project'!$G:$G,$A$8),"")</f>
        <v/>
      </c>
      <c r="K138" t="str">
        <f>IFERROR(AVERAGEIFS('[1]Grade Project'!$O:$O,'[1]Grade Project'!$K:$K,H138,'[1]Grade Project'!$F:$F,$A$5,'[1]Grade Project'!$G:$G,$A$8),"")</f>
        <v/>
      </c>
      <c r="L138" t="str">
        <f t="shared" si="7"/>
        <v/>
      </c>
      <c r="M138" t="str">
        <f t="shared" si="8"/>
        <v/>
      </c>
      <c r="N138" t="str">
        <f t="shared" si="9"/>
        <v/>
      </c>
    </row>
    <row r="139" spans="8:14" x14ac:dyDescent="0.25">
      <c r="H139" t="str">
        <f>IF(I138=0,"",INDEX('[1]Grade Project'!$K:$K,MATCH(CONCATENATE($A$5,$A$8),'[1]Grade Project'!$H:$H,0)+SUM($I$3:I138)))</f>
        <v/>
      </c>
      <c r="I139">
        <f>COUNTIFS('[1]Grade Project'!$G:$G,$A$8,'[1]Grade Project'!$K:$K,H139,'[1]Grade Project'!$F:$F,$A$5)</f>
        <v>0</v>
      </c>
      <c r="J139" t="str">
        <f>IFERROR(AVERAGEIFS('[1]Grade Project'!$N:$N,'[1]Grade Project'!$K:$K,H139,'[1]Grade Project'!$F:$F,$A$5,'[1]Grade Project'!$G:$G,$A$8),"")</f>
        <v/>
      </c>
      <c r="K139" t="str">
        <f>IFERROR(AVERAGEIFS('[1]Grade Project'!$O:$O,'[1]Grade Project'!$K:$K,H139,'[1]Grade Project'!$F:$F,$A$5,'[1]Grade Project'!$G:$G,$A$8),"")</f>
        <v/>
      </c>
      <c r="L139" t="str">
        <f t="shared" si="7"/>
        <v/>
      </c>
      <c r="M139" t="str">
        <f t="shared" si="8"/>
        <v/>
      </c>
      <c r="N139" t="str">
        <f t="shared" si="9"/>
        <v/>
      </c>
    </row>
    <row r="140" spans="8:14" x14ac:dyDescent="0.25">
      <c r="H140" t="str">
        <f>IF(I139=0,"",INDEX('[1]Grade Project'!$K:$K,MATCH(CONCATENATE($A$5,$A$8),'[1]Grade Project'!$H:$H,0)+SUM($I$3:I139)))</f>
        <v/>
      </c>
      <c r="I140">
        <f>COUNTIFS('[1]Grade Project'!$G:$G,$A$8,'[1]Grade Project'!$K:$K,H140,'[1]Grade Project'!$F:$F,$A$5)</f>
        <v>0</v>
      </c>
      <c r="J140" t="str">
        <f>IFERROR(AVERAGEIFS('[1]Grade Project'!$N:$N,'[1]Grade Project'!$K:$K,H140,'[1]Grade Project'!$F:$F,$A$5,'[1]Grade Project'!$G:$G,$A$8),"")</f>
        <v/>
      </c>
      <c r="K140" t="str">
        <f>IFERROR(AVERAGEIFS('[1]Grade Project'!$O:$O,'[1]Grade Project'!$K:$K,H140,'[1]Grade Project'!$F:$F,$A$5,'[1]Grade Project'!$G:$G,$A$8),"")</f>
        <v/>
      </c>
      <c r="L140" t="str">
        <f t="shared" si="7"/>
        <v/>
      </c>
      <c r="M140" t="str">
        <f t="shared" si="8"/>
        <v/>
      </c>
      <c r="N140" t="str">
        <f t="shared" si="9"/>
        <v/>
      </c>
    </row>
    <row r="141" spans="8:14" x14ac:dyDescent="0.25">
      <c r="H141" t="str">
        <f>IF(I140=0,"",INDEX('[1]Grade Project'!$K:$K,MATCH(CONCATENATE($A$5,$A$8),'[1]Grade Project'!$H:$H,0)+SUM($I$3:I140)))</f>
        <v/>
      </c>
      <c r="I141">
        <f>COUNTIFS('[1]Grade Project'!$G:$G,$A$8,'[1]Grade Project'!$K:$K,H141,'[1]Grade Project'!$F:$F,$A$5)</f>
        <v>0</v>
      </c>
      <c r="J141" t="str">
        <f>IFERROR(AVERAGEIFS('[1]Grade Project'!$N:$N,'[1]Grade Project'!$K:$K,H141,'[1]Grade Project'!$F:$F,$A$5,'[1]Grade Project'!$G:$G,$A$8),"")</f>
        <v/>
      </c>
      <c r="K141" t="str">
        <f>IFERROR(AVERAGEIFS('[1]Grade Project'!$O:$O,'[1]Grade Project'!$K:$K,H141,'[1]Grade Project'!$F:$F,$A$5,'[1]Grade Project'!$G:$G,$A$8),"")</f>
        <v/>
      </c>
      <c r="L141" t="str">
        <f t="shared" si="7"/>
        <v/>
      </c>
      <c r="M141" t="str">
        <f t="shared" si="8"/>
        <v/>
      </c>
      <c r="N141" t="str">
        <f t="shared" si="9"/>
        <v/>
      </c>
    </row>
    <row r="142" spans="8:14" x14ac:dyDescent="0.25">
      <c r="H142" t="str">
        <f>IF(I141=0,"",INDEX('[1]Grade Project'!$K:$K,MATCH(CONCATENATE($A$5,$A$8),'[1]Grade Project'!$H:$H,0)+SUM($I$3:I141)))</f>
        <v/>
      </c>
      <c r="I142">
        <f>COUNTIFS('[1]Grade Project'!$G:$G,$A$8,'[1]Grade Project'!$K:$K,H142,'[1]Grade Project'!$F:$F,$A$5)</f>
        <v>0</v>
      </c>
      <c r="J142" t="str">
        <f>IFERROR(AVERAGEIFS('[1]Grade Project'!$N:$N,'[1]Grade Project'!$K:$K,H142,'[1]Grade Project'!$F:$F,$A$5,'[1]Grade Project'!$G:$G,$A$8),"")</f>
        <v/>
      </c>
      <c r="K142" t="str">
        <f>IFERROR(AVERAGEIFS('[1]Grade Project'!$O:$O,'[1]Grade Project'!$K:$K,H142,'[1]Grade Project'!$F:$F,$A$5,'[1]Grade Project'!$G:$G,$A$8),"")</f>
        <v/>
      </c>
      <c r="L142" t="str">
        <f t="shared" si="7"/>
        <v/>
      </c>
      <c r="M142" t="str">
        <f t="shared" si="8"/>
        <v/>
      </c>
      <c r="N142" t="str">
        <f t="shared" si="9"/>
        <v/>
      </c>
    </row>
    <row r="143" spans="8:14" x14ac:dyDescent="0.25">
      <c r="H143" t="str">
        <f>IF(I142=0,"",INDEX('[1]Grade Project'!$K:$K,MATCH(CONCATENATE($A$5,$A$8),'[1]Grade Project'!$H:$H,0)+SUM($I$3:I142)))</f>
        <v/>
      </c>
      <c r="I143">
        <f>COUNTIFS('[1]Grade Project'!$G:$G,$A$8,'[1]Grade Project'!$K:$K,H143,'[1]Grade Project'!$F:$F,$A$5)</f>
        <v>0</v>
      </c>
      <c r="J143" t="str">
        <f>IFERROR(AVERAGEIFS('[1]Grade Project'!$N:$N,'[1]Grade Project'!$K:$K,H143,'[1]Grade Project'!$F:$F,$A$5,'[1]Grade Project'!$G:$G,$A$8),"")</f>
        <v/>
      </c>
      <c r="K143" t="str">
        <f>IFERROR(AVERAGEIFS('[1]Grade Project'!$O:$O,'[1]Grade Project'!$K:$K,H143,'[1]Grade Project'!$F:$F,$A$5,'[1]Grade Project'!$G:$G,$A$8),"")</f>
        <v/>
      </c>
      <c r="L143" t="str">
        <f t="shared" si="7"/>
        <v/>
      </c>
      <c r="M143" t="str">
        <f t="shared" si="8"/>
        <v/>
      </c>
      <c r="N143" t="str">
        <f t="shared" si="9"/>
        <v/>
      </c>
    </row>
    <row r="144" spans="8:14" x14ac:dyDescent="0.25">
      <c r="H144" t="str">
        <f>IF(I143=0,"",INDEX('[1]Grade Project'!$K:$K,MATCH(CONCATENATE($A$5,$A$8),'[1]Grade Project'!$H:$H,0)+SUM($I$3:I143)))</f>
        <v/>
      </c>
      <c r="I144">
        <f>COUNTIFS('[1]Grade Project'!$G:$G,$A$8,'[1]Grade Project'!$K:$K,H144,'[1]Grade Project'!$F:$F,$A$5)</f>
        <v>0</v>
      </c>
      <c r="J144" t="str">
        <f>IFERROR(AVERAGEIFS('[1]Grade Project'!$N:$N,'[1]Grade Project'!$K:$K,H144,'[1]Grade Project'!$F:$F,$A$5,'[1]Grade Project'!$G:$G,$A$8),"")</f>
        <v/>
      </c>
      <c r="K144" t="str">
        <f>IFERROR(AVERAGEIFS('[1]Grade Project'!$O:$O,'[1]Grade Project'!$K:$K,H144,'[1]Grade Project'!$F:$F,$A$5,'[1]Grade Project'!$G:$G,$A$8),"")</f>
        <v/>
      </c>
      <c r="L144" t="str">
        <f t="shared" si="7"/>
        <v/>
      </c>
      <c r="M144" t="str">
        <f t="shared" si="8"/>
        <v/>
      </c>
      <c r="N144" t="str">
        <f t="shared" si="9"/>
        <v/>
      </c>
    </row>
    <row r="145" spans="8:14" x14ac:dyDescent="0.25">
      <c r="H145" t="str">
        <f>IF(I144=0,"",INDEX('[1]Grade Project'!$K:$K,MATCH(CONCATENATE($A$5,$A$8),'[1]Grade Project'!$H:$H,0)+SUM($I$3:I144)))</f>
        <v/>
      </c>
      <c r="I145">
        <f>COUNTIFS('[1]Grade Project'!$G:$G,$A$8,'[1]Grade Project'!$K:$K,H145,'[1]Grade Project'!$F:$F,$A$5)</f>
        <v>0</v>
      </c>
      <c r="J145" t="str">
        <f>IFERROR(AVERAGEIFS('[1]Grade Project'!$N:$N,'[1]Grade Project'!$K:$K,H145,'[1]Grade Project'!$F:$F,$A$5,'[1]Grade Project'!$G:$G,$A$8),"")</f>
        <v/>
      </c>
      <c r="K145" t="str">
        <f>IFERROR(AVERAGEIFS('[1]Grade Project'!$O:$O,'[1]Grade Project'!$K:$K,H145,'[1]Grade Project'!$F:$F,$A$5,'[1]Grade Project'!$G:$G,$A$8),"")</f>
        <v/>
      </c>
      <c r="L145" t="str">
        <f t="shared" si="7"/>
        <v/>
      </c>
      <c r="M145" t="str">
        <f t="shared" si="8"/>
        <v/>
      </c>
      <c r="N145" t="str">
        <f t="shared" si="9"/>
        <v/>
      </c>
    </row>
    <row r="146" spans="8:14" x14ac:dyDescent="0.25">
      <c r="H146" t="str">
        <f>IF(I145=0,"",INDEX('[1]Grade Project'!$K:$K,MATCH(CONCATENATE($A$5,$A$8),'[1]Grade Project'!$H:$H,0)+SUM($I$3:I145)))</f>
        <v/>
      </c>
      <c r="I146">
        <f>COUNTIFS('[1]Grade Project'!$G:$G,$A$8,'[1]Grade Project'!$K:$K,H146,'[1]Grade Project'!$F:$F,$A$5)</f>
        <v>0</v>
      </c>
      <c r="J146" t="str">
        <f>IFERROR(AVERAGEIFS('[1]Grade Project'!$N:$N,'[1]Grade Project'!$K:$K,H146,'[1]Grade Project'!$F:$F,$A$5,'[1]Grade Project'!$G:$G,$A$8),"")</f>
        <v/>
      </c>
      <c r="K146" t="str">
        <f>IFERROR(AVERAGEIFS('[1]Grade Project'!$O:$O,'[1]Grade Project'!$K:$K,H146,'[1]Grade Project'!$F:$F,$A$5,'[1]Grade Project'!$G:$G,$A$8),"")</f>
        <v/>
      </c>
      <c r="L146" t="str">
        <f t="shared" si="7"/>
        <v/>
      </c>
      <c r="M146" t="str">
        <f t="shared" si="8"/>
        <v/>
      </c>
      <c r="N146" t="str">
        <f t="shared" si="9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46"/>
  <sheetViews>
    <sheetView topLeftCell="D1" workbookViewId="0">
      <selection activeCell="C15" sqref="C15"/>
    </sheetView>
  </sheetViews>
  <sheetFormatPr defaultRowHeight="15" x14ac:dyDescent="0.25"/>
  <cols>
    <col min="1" max="2" width="12.5703125" bestFit="1" customWidth="1"/>
    <col min="5" max="5" width="13.42578125" bestFit="1" customWidth="1"/>
    <col min="8" max="8" width="22.140625" bestFit="1" customWidth="1"/>
    <col min="10" max="10" width="12.140625" bestFit="1" customWidth="1"/>
    <col min="11" max="11" width="13.140625" bestFit="1" customWidth="1"/>
    <col min="14" max="14" width="13.85546875" bestFit="1" customWidth="1"/>
  </cols>
  <sheetData>
    <row r="1" spans="1:15" x14ac:dyDescent="0.25">
      <c r="B1" t="s">
        <v>100</v>
      </c>
      <c r="C1" t="s">
        <v>103</v>
      </c>
      <c r="D1" t="s">
        <v>104</v>
      </c>
      <c r="E1" t="s">
        <v>107</v>
      </c>
      <c r="F1" t="s">
        <v>105</v>
      </c>
      <c r="G1" t="s">
        <v>106</v>
      </c>
      <c r="H1" t="s">
        <v>108</v>
      </c>
      <c r="I1" t="s">
        <v>109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</row>
    <row r="2" spans="1:15" x14ac:dyDescent="0.25">
      <c r="A2" t="s">
        <v>101</v>
      </c>
      <c r="E2" s="1"/>
    </row>
    <row r="3" spans="1:15" x14ac:dyDescent="0.25">
      <c r="A3">
        <f>Schedule!B7</f>
        <v>0</v>
      </c>
      <c r="B3" t="s">
        <v>3</v>
      </c>
      <c r="C3" t="e">
        <f>INDEX('[1]Grade Project'!$F:$F,MATCH($A$3,'[1]Grade Project'!$E:$E,0))</f>
        <v>#N/A</v>
      </c>
      <c r="D3">
        <f>COUNTIFS('[1]Grade Project'!$E:$E,$A$3,'[1]Grade Project'!$F:$F,C3)</f>
        <v>0</v>
      </c>
      <c r="E3" t="str">
        <f>IFERROR(RIGHT(C3,LEN(C3)-FIND("-",C3)),"")</f>
        <v/>
      </c>
      <c r="F3" t="e">
        <f>INDEX('[1]Grade Project'!$G:$G,MATCH($A$5,'[1]Grade Project'!$F:$F,0))</f>
        <v>#N/A</v>
      </c>
      <c r="G3">
        <f>COUNTIFS('[1]Grade Project'!$F:$F,$A$5,'[1]Grade Project'!$G:$G,F3)</f>
        <v>0</v>
      </c>
      <c r="H3" t="e">
        <f>INDEX('[1]Grade Project'!$K:$K,MATCH(CONCATENATE(A5,A8),'[1]Grade Project'!$H:$H,0))</f>
        <v>#N/A</v>
      </c>
      <c r="I3">
        <f>COUNTIFS('[1]Grade Project'!$G:$G,$A$8,'[1]Grade Project'!$K:$K,H3,'[1]Grade Project'!$F:$F,$A$5)</f>
        <v>0</v>
      </c>
      <c r="J3" t="str">
        <f>IFERROR(AVERAGEIFS('[1]Grade Project'!$N:$N,'[1]Grade Project'!$K:$K,H3,'[1]Grade Project'!$F:$F,$A$5,'[1]Grade Project'!$G:$G,$A$8),"")</f>
        <v/>
      </c>
      <c r="K3" t="str">
        <f>IFERROR(AVERAGEIFS('[1]Grade Project'!$O:$O,'[1]Grade Project'!$K:$K,H3,'[1]Grade Project'!$F:$F,$A$5,'[1]Grade Project'!$G:$G,$A$8),"")</f>
        <v/>
      </c>
      <c r="L3" t="str">
        <f>IFERROR(K3/J3,"")</f>
        <v/>
      </c>
      <c r="M3" t="str">
        <f>IFERROR(_xlfn.RANK.EQ(L3,L:L),"")</f>
        <v/>
      </c>
      <c r="N3" t="str">
        <f>IFERROR(MAX(M:M)-M3+1,"")</f>
        <v/>
      </c>
      <c r="O3">
        <f>COUNT(N:N)</f>
        <v>0</v>
      </c>
    </row>
    <row r="4" spans="1:15" x14ac:dyDescent="0.25">
      <c r="A4" t="s">
        <v>102</v>
      </c>
      <c r="B4" t="s">
        <v>4</v>
      </c>
      <c r="C4" t="e">
        <f>IF(C3="","",IF(C3=INDEX('[1]Grade Project'!$F:$F,MATCH($A$3,'[1]Grade Project'!$E:$E,0)+SUM($D$3:D3)),"",INDEX('[1]Grade Project'!$F:$F,MATCH($A$3,'[1]Grade Project'!$E:$E,0)+SUM($D$3:D3))))</f>
        <v>#N/A</v>
      </c>
      <c r="D4">
        <f>COUNTIFS('[1]Grade Project'!$E:$E,$A$3,'[1]Grade Project'!$F:$F,C4)</f>
        <v>0</v>
      </c>
      <c r="E4" t="str">
        <f t="shared" ref="E4:E36" si="0">IFERROR(RIGHT(C4,LEN(C4)-FIND("-",C4)),"")</f>
        <v/>
      </c>
      <c r="F4" t="str">
        <f>IF(G3=0,"",INDEX('[1]Grade Project'!$G:$G,MATCH($A$5,'[1]Grade Project'!$F:$F,0)+SUM($G$3:G3)))</f>
        <v/>
      </c>
      <c r="G4">
        <f>COUNTIFS('[1]Grade Project'!$F:$F,$A$5,'[1]Grade Project'!$G:$G,F4)</f>
        <v>0</v>
      </c>
      <c r="H4" t="str">
        <f>IF(I3=0,"",INDEX('[1]Grade Project'!$K:$K,MATCH(CONCATENATE($A$5,$A$8),'[1]Grade Project'!$H:$H,0)+SUM($I$3:I3)))</f>
        <v/>
      </c>
      <c r="I4">
        <f>COUNTIFS('[1]Grade Project'!$G:$G,$A$8,'[1]Grade Project'!$K:$K,H4,'[1]Grade Project'!$F:$F,$A$5)</f>
        <v>0</v>
      </c>
      <c r="J4" t="str">
        <f>IFERROR(AVERAGEIFS('[1]Grade Project'!$N:$N,'[1]Grade Project'!$K:$K,H4,'[1]Grade Project'!$F:$F,$A$5,'[1]Grade Project'!$G:$G,$A$8),"")</f>
        <v/>
      </c>
      <c r="K4" t="str">
        <f>IFERROR(AVERAGEIFS('[1]Grade Project'!$O:$O,'[1]Grade Project'!$K:$K,H4,'[1]Grade Project'!$F:$F,$A$5,'[1]Grade Project'!$G:$G,$A$8),"")</f>
        <v/>
      </c>
      <c r="L4" t="str">
        <f t="shared" ref="L4:L67" si="1">IFERROR(K4/J4,"")</f>
        <v/>
      </c>
      <c r="M4" t="str">
        <f t="shared" ref="M4:M67" si="2">IFERROR(_xlfn.RANK.EQ(L4,L:L),"")</f>
        <v/>
      </c>
      <c r="N4" t="str">
        <f t="shared" ref="N4:N67" si="3">IFERROR(MAX(M:M)-M4+1,"")</f>
        <v/>
      </c>
    </row>
    <row r="5" spans="1:15" x14ac:dyDescent="0.25">
      <c r="A5" t="e">
        <f>INDEX(C:C,MATCH(A6,E:E,0))</f>
        <v>#N/A</v>
      </c>
      <c r="B5" t="s">
        <v>5</v>
      </c>
      <c r="C5" t="e">
        <f>IF(C4="","",IF(C4=INDEX('[1]Grade Project'!$F:$F,MATCH($A$3,'[1]Grade Project'!$E:$E,0)+SUM($D$3:D4)),"",INDEX('[1]Grade Project'!$F:$F,MATCH($A$3,'[1]Grade Project'!$E:$E,0)+SUM($D$3:D4))))</f>
        <v>#N/A</v>
      </c>
      <c r="D5">
        <f>COUNTIFS('[1]Grade Project'!$E:$E,$A$3,'[1]Grade Project'!$F:$F,C5)</f>
        <v>0</v>
      </c>
      <c r="E5" t="str">
        <f t="shared" si="0"/>
        <v/>
      </c>
      <c r="F5" t="str">
        <f>IF(G4=0,"",INDEX('[1]Grade Project'!$G:$G,MATCH($A$5,'[1]Grade Project'!$F:$F,0)+SUM($G$3:G4)))</f>
        <v/>
      </c>
      <c r="G5">
        <f>COUNTIFS('[1]Grade Project'!$F:$F,$A$5,'[1]Grade Project'!$G:$G,F5)</f>
        <v>0</v>
      </c>
      <c r="H5" t="str">
        <f>IF(I4=0,"",INDEX('[1]Grade Project'!$K:$K,MATCH(CONCATENATE($A$5,$A$8),'[1]Grade Project'!$H:$H,0)+SUM($I$3:I4)))</f>
        <v/>
      </c>
      <c r="I5">
        <f>COUNTIFS('[1]Grade Project'!$G:$G,$A$8,'[1]Grade Project'!$K:$K,H5,'[1]Grade Project'!$F:$F,$A$5)</f>
        <v>0</v>
      </c>
      <c r="J5" t="str">
        <f>IFERROR(AVERAGEIFS('[1]Grade Project'!$N:$N,'[1]Grade Project'!$K:$K,H5,'[1]Grade Project'!$F:$F,$A$5,'[1]Grade Project'!$G:$G,$A$8),"")</f>
        <v/>
      </c>
      <c r="K5" t="str">
        <f>IFERROR(AVERAGEIFS('[1]Grade Project'!$O:$O,'[1]Grade Project'!$K:$K,H5,'[1]Grade Project'!$F:$F,$A$5,'[1]Grade Project'!$G:$G,$A$8),"")</f>
        <v/>
      </c>
      <c r="L5" t="str">
        <f t="shared" si="1"/>
        <v/>
      </c>
      <c r="M5" t="str">
        <f t="shared" si="2"/>
        <v/>
      </c>
      <c r="N5" t="str">
        <f t="shared" si="3"/>
        <v/>
      </c>
    </row>
    <row r="6" spans="1:15" x14ac:dyDescent="0.25">
      <c r="A6">
        <f>Schedule!C7</f>
        <v>0</v>
      </c>
      <c r="B6" t="s">
        <v>6</v>
      </c>
      <c r="C6" t="e">
        <f>IF(C5="","",IF(C5=INDEX('[1]Grade Project'!$F:$F,MATCH($A$3,'[1]Grade Project'!$E:$E,0)+SUM($D$3:D5)),"",INDEX('[1]Grade Project'!$F:$F,MATCH($A$3,'[1]Grade Project'!$E:$E,0)+SUM($D$3:D5))))</f>
        <v>#N/A</v>
      </c>
      <c r="D6">
        <f>COUNTIFS('[1]Grade Project'!$E:$E,$A$3,'[1]Grade Project'!$F:$F,C6)</f>
        <v>0</v>
      </c>
      <c r="E6" t="str">
        <f t="shared" si="0"/>
        <v/>
      </c>
      <c r="F6" t="str">
        <f>IF(G5=0,"",INDEX('[1]Grade Project'!$G:$G,MATCH($A$5,'[1]Grade Project'!$F:$F,0)+SUM($G$3:G5)))</f>
        <v/>
      </c>
      <c r="G6">
        <f>COUNTIFS('[1]Grade Project'!$F:$F,$A$5,'[1]Grade Project'!$G:$G,F6)</f>
        <v>0</v>
      </c>
      <c r="H6" t="str">
        <f>IF(I5=0,"",INDEX('[1]Grade Project'!$K:$K,MATCH(CONCATENATE($A$5,$A$8),'[1]Grade Project'!$H:$H,0)+SUM($I$3:I5)))</f>
        <v/>
      </c>
      <c r="I6">
        <f>COUNTIFS('[1]Grade Project'!$G:$G,$A$8,'[1]Grade Project'!$K:$K,H6,'[1]Grade Project'!$F:$F,$A$5)</f>
        <v>0</v>
      </c>
      <c r="J6" t="str">
        <f>IFERROR(AVERAGEIFS('[1]Grade Project'!$N:$N,'[1]Grade Project'!$K:$K,H6,'[1]Grade Project'!$F:$F,$A$5,'[1]Grade Project'!$G:$G,$A$8),"")</f>
        <v/>
      </c>
      <c r="K6" t="str">
        <f>IFERROR(AVERAGEIFS('[1]Grade Project'!$O:$O,'[1]Grade Project'!$K:$K,H6,'[1]Grade Project'!$F:$F,$A$5,'[1]Grade Project'!$G:$G,$A$8),"")</f>
        <v/>
      </c>
      <c r="L6" t="str">
        <f t="shared" si="1"/>
        <v/>
      </c>
      <c r="M6" t="str">
        <f t="shared" si="2"/>
        <v/>
      </c>
      <c r="N6" t="str">
        <f t="shared" si="3"/>
        <v/>
      </c>
    </row>
    <row r="7" spans="1:15" x14ac:dyDescent="0.25">
      <c r="A7" t="s">
        <v>0</v>
      </c>
      <c r="B7" t="s">
        <v>7</v>
      </c>
      <c r="C7" t="e">
        <f>IF(C6="","",IF(C6=INDEX('[1]Grade Project'!$F:$F,MATCH($A$3,'[1]Grade Project'!$E:$E,0)+SUM($D$3:D6)),"",INDEX('[1]Grade Project'!$F:$F,MATCH($A$3,'[1]Grade Project'!$E:$E,0)+SUM($D$3:D6))))</f>
        <v>#N/A</v>
      </c>
      <c r="D7">
        <f>COUNTIFS('[1]Grade Project'!$E:$E,$A$3,'[1]Grade Project'!$F:$F,C7)</f>
        <v>0</v>
      </c>
      <c r="E7" t="str">
        <f t="shared" si="0"/>
        <v/>
      </c>
      <c r="F7" t="str">
        <f>IF(G6=0,"",INDEX('[1]Grade Project'!$G:$G,MATCH($A$5,'[1]Grade Project'!$F:$F,0)+SUM($G$3:G6)))</f>
        <v/>
      </c>
      <c r="G7">
        <f>COUNTIFS('[1]Grade Project'!$F:$F,$A$5,'[1]Grade Project'!$G:$G,F7)</f>
        <v>0</v>
      </c>
      <c r="H7" t="str">
        <f>IF(I6=0,"",INDEX('[1]Grade Project'!$K:$K,MATCH(CONCATENATE($A$5,$A$8),'[1]Grade Project'!$H:$H,0)+SUM($I$3:I6)))</f>
        <v/>
      </c>
      <c r="I7">
        <f>COUNTIFS('[1]Grade Project'!$G:$G,$A$8,'[1]Grade Project'!$K:$K,H7,'[1]Grade Project'!$F:$F,$A$5)</f>
        <v>0</v>
      </c>
      <c r="J7" t="str">
        <f>IFERROR(AVERAGEIFS('[1]Grade Project'!$N:$N,'[1]Grade Project'!$K:$K,H7,'[1]Grade Project'!$F:$F,$A$5,'[1]Grade Project'!$G:$G,$A$8),"")</f>
        <v/>
      </c>
      <c r="K7" t="str">
        <f>IFERROR(AVERAGEIFS('[1]Grade Project'!$O:$O,'[1]Grade Project'!$K:$K,H7,'[1]Grade Project'!$F:$F,$A$5,'[1]Grade Project'!$G:$G,$A$8),"")</f>
        <v/>
      </c>
      <c r="L7" t="str">
        <f t="shared" si="1"/>
        <v/>
      </c>
      <c r="M7" t="str">
        <f t="shared" si="2"/>
        <v/>
      </c>
      <c r="N7" t="str">
        <f t="shared" si="3"/>
        <v/>
      </c>
    </row>
    <row r="8" spans="1:15" x14ac:dyDescent="0.25">
      <c r="A8">
        <f>Schedule!D7</f>
        <v>0</v>
      </c>
      <c r="B8" t="s">
        <v>8</v>
      </c>
      <c r="C8" t="e">
        <f>IF(C7="","",IF(C7=INDEX('[1]Grade Project'!$F:$F,MATCH($A$3,'[1]Grade Project'!$E:$E,0)+SUM($D$3:D7)),"",INDEX('[1]Grade Project'!$F:$F,MATCH($A$3,'[1]Grade Project'!$E:$E,0)+SUM($D$3:D7))))</f>
        <v>#N/A</v>
      </c>
      <c r="D8">
        <f>COUNTIFS('[1]Grade Project'!$E:$E,$A$3,'[1]Grade Project'!$F:$F,C8)</f>
        <v>0</v>
      </c>
      <c r="E8" t="str">
        <f t="shared" si="0"/>
        <v/>
      </c>
      <c r="F8" t="str">
        <f>IF(G7=0,"",INDEX('[1]Grade Project'!$G:$G,MATCH($A$5,'[1]Grade Project'!$F:$F,0)+SUM($G$3:G7)))</f>
        <v/>
      </c>
      <c r="G8">
        <f>COUNTIFS('[1]Grade Project'!$F:$F,$A$5,'[1]Grade Project'!$G:$G,F8)</f>
        <v>0</v>
      </c>
      <c r="H8" t="str">
        <f>IF(I7=0,"",INDEX('[1]Grade Project'!$K:$K,MATCH(CONCATENATE($A$5,$A$8),'[1]Grade Project'!$H:$H,0)+SUM($I$3:I7)))</f>
        <v/>
      </c>
      <c r="I8">
        <f>COUNTIFS('[1]Grade Project'!$G:$G,$A$8,'[1]Grade Project'!$K:$K,H8,'[1]Grade Project'!$F:$F,$A$5)</f>
        <v>0</v>
      </c>
      <c r="J8" t="str">
        <f>IFERROR(AVERAGEIFS('[1]Grade Project'!$N:$N,'[1]Grade Project'!$K:$K,H8,'[1]Grade Project'!$F:$F,$A$5,'[1]Grade Project'!$G:$G,$A$8),"")</f>
        <v/>
      </c>
      <c r="K8" t="str">
        <f>IFERROR(AVERAGEIFS('[1]Grade Project'!$O:$O,'[1]Grade Project'!$K:$K,H8,'[1]Grade Project'!$F:$F,$A$5,'[1]Grade Project'!$G:$G,$A$8),"")</f>
        <v/>
      </c>
      <c r="L8" t="str">
        <f t="shared" si="1"/>
        <v/>
      </c>
      <c r="M8" t="str">
        <f t="shared" si="2"/>
        <v/>
      </c>
      <c r="N8" t="str">
        <f t="shared" si="3"/>
        <v/>
      </c>
    </row>
    <row r="9" spans="1:15" x14ac:dyDescent="0.25">
      <c r="A9" t="s">
        <v>108</v>
      </c>
      <c r="B9" t="s">
        <v>9</v>
      </c>
      <c r="C9" t="e">
        <f>IF(C8="","",IF(C8=INDEX('[1]Grade Project'!$F:$F,MATCH($A$3,'[1]Grade Project'!$E:$E,0)+SUM($D$3:D8)),"",INDEX('[1]Grade Project'!$F:$F,MATCH($A$3,'[1]Grade Project'!$E:$E,0)+SUM($D$3:D8))))</f>
        <v>#N/A</v>
      </c>
      <c r="D9">
        <f>COUNTIFS('[1]Grade Project'!$E:$E,$A$3,'[1]Grade Project'!$F:$F,C9)</f>
        <v>0</v>
      </c>
      <c r="E9" t="str">
        <f t="shared" si="0"/>
        <v/>
      </c>
      <c r="F9" t="str">
        <f>IF(G8=0,"",INDEX('[1]Grade Project'!$G:$G,MATCH($A$5,'[1]Grade Project'!$F:$F,0)+SUM($G$3:G8)))</f>
        <v/>
      </c>
      <c r="G9">
        <f>COUNTIFS('[1]Grade Project'!$F:$F,$A$5,'[1]Grade Project'!$G:$G,F9)</f>
        <v>0</v>
      </c>
      <c r="H9" t="str">
        <f>IF(I8=0,"",INDEX('[1]Grade Project'!$K:$K,MATCH(CONCATENATE($A$5,$A$8),'[1]Grade Project'!$H:$H,0)+SUM($I$3:I8)))</f>
        <v/>
      </c>
      <c r="I9">
        <f>COUNTIFS('[1]Grade Project'!$G:$G,$A$8,'[1]Grade Project'!$K:$K,H9,'[1]Grade Project'!$F:$F,$A$5)</f>
        <v>0</v>
      </c>
      <c r="J9" t="str">
        <f>IFERROR(AVERAGEIFS('[1]Grade Project'!$N:$N,'[1]Grade Project'!$K:$K,H9,'[1]Grade Project'!$F:$F,$A$5,'[1]Grade Project'!$G:$G,$A$8),"")</f>
        <v/>
      </c>
      <c r="K9" t="str">
        <f>IFERROR(AVERAGEIFS('[1]Grade Project'!$O:$O,'[1]Grade Project'!$K:$K,H9,'[1]Grade Project'!$F:$F,$A$5,'[1]Grade Project'!$G:$G,$A$8),"")</f>
        <v/>
      </c>
      <c r="L9" t="str">
        <f t="shared" si="1"/>
        <v/>
      </c>
      <c r="M9" t="str">
        <f t="shared" si="2"/>
        <v/>
      </c>
      <c r="N9" t="str">
        <f t="shared" si="3"/>
        <v/>
      </c>
    </row>
    <row r="10" spans="1:15" x14ac:dyDescent="0.25">
      <c r="A10">
        <f>Schedule!E7</f>
        <v>0</v>
      </c>
      <c r="B10" t="s">
        <v>10</v>
      </c>
      <c r="C10" t="e">
        <f>IF(C9="","",IF(C9=INDEX('[1]Grade Project'!$F:$F,MATCH($A$3,'[1]Grade Project'!$E:$E,0)+SUM($D$3:D9)),"",INDEX('[1]Grade Project'!$F:$F,MATCH($A$3,'[1]Grade Project'!$E:$E,0)+SUM($D$3:D9))))</f>
        <v>#N/A</v>
      </c>
      <c r="D10">
        <f>COUNTIFS('[1]Grade Project'!$E:$E,$A$3,'[1]Grade Project'!$F:$F,C10)</f>
        <v>0</v>
      </c>
      <c r="E10" t="str">
        <f t="shared" si="0"/>
        <v/>
      </c>
      <c r="F10" t="str">
        <f>IF(G9=0,"",INDEX('[1]Grade Project'!$G:$G,MATCH($A$5,'[1]Grade Project'!$F:$F,0)+SUM($G$3:G9)))</f>
        <v/>
      </c>
      <c r="G10">
        <f>COUNTIFS('[1]Grade Project'!$F:$F,$A$5,'[1]Grade Project'!$G:$G,F10)</f>
        <v>0</v>
      </c>
      <c r="H10" t="str">
        <f>IF(I9=0,"",INDEX('[1]Grade Project'!$K:$K,MATCH(CONCATENATE($A$5,$A$8),'[1]Grade Project'!$H:$H,0)+SUM($I$3:I9)))</f>
        <v/>
      </c>
      <c r="I10">
        <f>COUNTIFS('[1]Grade Project'!$G:$G,$A$8,'[1]Grade Project'!$K:$K,H10,'[1]Grade Project'!$F:$F,$A$5)</f>
        <v>0</v>
      </c>
      <c r="J10" t="str">
        <f>IFERROR(AVERAGEIFS('[1]Grade Project'!$N:$N,'[1]Grade Project'!$K:$K,H10,'[1]Grade Project'!$F:$F,$A$5,'[1]Grade Project'!$G:$G,$A$8),"")</f>
        <v/>
      </c>
      <c r="K10" t="str">
        <f>IFERROR(AVERAGEIFS('[1]Grade Project'!$O:$O,'[1]Grade Project'!$K:$K,H10,'[1]Grade Project'!$F:$F,$A$5,'[1]Grade Project'!$G:$G,$A$8),"")</f>
        <v/>
      </c>
      <c r="L10" t="str">
        <f t="shared" si="1"/>
        <v/>
      </c>
      <c r="M10" t="str">
        <f t="shared" si="2"/>
        <v/>
      </c>
      <c r="N10" t="str">
        <f t="shared" si="3"/>
        <v/>
      </c>
    </row>
    <row r="11" spans="1:15" x14ac:dyDescent="0.25">
      <c r="A11" t="s">
        <v>111</v>
      </c>
      <c r="B11" t="s">
        <v>11</v>
      </c>
      <c r="C11" t="e">
        <f>IF(C10="","",IF(C10=INDEX('[1]Grade Project'!$F:$F,MATCH($A$3,'[1]Grade Project'!$E:$E,0)+SUM($D$3:D10)),"",INDEX('[1]Grade Project'!$F:$F,MATCH($A$3,'[1]Grade Project'!$E:$E,0)+SUM($D$3:D10))))</f>
        <v>#N/A</v>
      </c>
      <c r="D11">
        <f>COUNTIFS('[1]Grade Project'!$E:$E,$A$3,'[1]Grade Project'!$F:$F,C11)</f>
        <v>0</v>
      </c>
      <c r="E11" t="str">
        <f t="shared" si="0"/>
        <v/>
      </c>
      <c r="F11" t="str">
        <f>IF(G10=0,"",INDEX('[1]Grade Project'!$G:$G,MATCH($A$5,'[1]Grade Project'!$F:$F,0)+SUM($G$3:G10)))</f>
        <v/>
      </c>
      <c r="G11">
        <f>COUNTIFS('[1]Grade Project'!$F:$F,$A$5,'[1]Grade Project'!$G:$G,F11)</f>
        <v>0</v>
      </c>
      <c r="H11" t="str">
        <f>IF(I10=0,"",INDEX('[1]Grade Project'!$K:$K,MATCH(CONCATENATE($A$5,$A$8),'[1]Grade Project'!$H:$H,0)+SUM($I$3:I10)))</f>
        <v/>
      </c>
      <c r="I11">
        <f>COUNTIFS('[1]Grade Project'!$G:$G,$A$8,'[1]Grade Project'!$K:$K,H11,'[1]Grade Project'!$F:$F,$A$5)</f>
        <v>0</v>
      </c>
      <c r="J11" t="str">
        <f>IFERROR(AVERAGEIFS('[1]Grade Project'!$N:$N,'[1]Grade Project'!$K:$K,H11,'[1]Grade Project'!$F:$F,$A$5,'[1]Grade Project'!$G:$G,$A$8),"")</f>
        <v/>
      </c>
      <c r="K11" t="str">
        <f>IFERROR(AVERAGEIFS('[1]Grade Project'!$O:$O,'[1]Grade Project'!$K:$K,H11,'[1]Grade Project'!$F:$F,$A$5,'[1]Grade Project'!$G:$G,$A$8),"")</f>
        <v/>
      </c>
      <c r="L11" t="str">
        <f t="shared" si="1"/>
        <v/>
      </c>
      <c r="M11" t="str">
        <f t="shared" si="2"/>
        <v/>
      </c>
      <c r="N11" t="str">
        <f t="shared" si="3"/>
        <v/>
      </c>
    </row>
    <row r="12" spans="1:15" x14ac:dyDescent="0.25">
      <c r="A12" t="e">
        <f>AVERAGEIFS('[1]Grade Project'!$N:$N,'[1]Grade Project'!$K:$K,$A$10,'[1]Grade Project'!$F:$F,A5,'[1]Grade Project'!$G:$G,$A$8)</f>
        <v>#DIV/0!</v>
      </c>
      <c r="B12" t="s">
        <v>12</v>
      </c>
      <c r="C12" t="e">
        <f>IF(C11="","",IF(C11=INDEX('[1]Grade Project'!$F:$F,MATCH($A$3,'[1]Grade Project'!$E:$E,0)+SUM($D$3:D11)),"",INDEX('[1]Grade Project'!$F:$F,MATCH($A$3,'[1]Grade Project'!$E:$E,0)+SUM($D$3:D11))))</f>
        <v>#N/A</v>
      </c>
      <c r="D12">
        <f>COUNTIFS('[1]Grade Project'!$E:$E,$A$3,'[1]Grade Project'!$F:$F,C12)</f>
        <v>0</v>
      </c>
      <c r="E12" t="str">
        <f t="shared" si="0"/>
        <v/>
      </c>
      <c r="F12" t="str">
        <f>IF(G11=0,"",INDEX('[1]Grade Project'!$G:$G,MATCH($A$5,'[1]Grade Project'!$F:$F,0)+SUM($G$3:G11)))</f>
        <v/>
      </c>
      <c r="G12">
        <f>COUNTIFS('[1]Grade Project'!$F:$F,$A$5,'[1]Grade Project'!$G:$G,F12)</f>
        <v>0</v>
      </c>
      <c r="H12" t="str">
        <f>IF(I11=0,"",INDEX('[1]Grade Project'!$K:$K,MATCH(CONCATENATE($A$5,$A$8),'[1]Grade Project'!$H:$H,0)+SUM($I$3:I11)))</f>
        <v/>
      </c>
      <c r="I12">
        <f>COUNTIFS('[1]Grade Project'!$G:$G,$A$8,'[1]Grade Project'!$K:$K,H12,'[1]Grade Project'!$F:$F,$A$5)</f>
        <v>0</v>
      </c>
      <c r="J12" t="str">
        <f>IFERROR(AVERAGEIFS('[1]Grade Project'!$N:$N,'[1]Grade Project'!$K:$K,H12,'[1]Grade Project'!$F:$F,$A$5,'[1]Grade Project'!$G:$G,$A$8),"")</f>
        <v/>
      </c>
      <c r="K12" t="str">
        <f>IFERROR(AVERAGEIFS('[1]Grade Project'!$O:$O,'[1]Grade Project'!$K:$K,H12,'[1]Grade Project'!$F:$F,$A$5,'[1]Grade Project'!$G:$G,$A$8),"")</f>
        <v/>
      </c>
      <c r="L12" t="str">
        <f t="shared" si="1"/>
        <v/>
      </c>
      <c r="M12" t="str">
        <f t="shared" si="2"/>
        <v/>
      </c>
      <c r="N12" t="str">
        <f t="shared" si="3"/>
        <v/>
      </c>
    </row>
    <row r="13" spans="1:15" x14ac:dyDescent="0.25">
      <c r="A13" t="s">
        <v>112</v>
      </c>
      <c r="B13" t="s">
        <v>13</v>
      </c>
      <c r="C13" t="e">
        <f>IF(C12="","",IF(C12=INDEX('[1]Grade Project'!$F:$F,MATCH($A$3,'[1]Grade Project'!$E:$E,0)+SUM($D$3:D12)),"",INDEX('[1]Grade Project'!$F:$F,MATCH($A$3,'[1]Grade Project'!$E:$E,0)+SUM($D$3:D12))))</f>
        <v>#N/A</v>
      </c>
      <c r="D13">
        <f>COUNTIFS('[1]Grade Project'!$E:$E,$A$3,'[1]Grade Project'!$F:$F,C13)</f>
        <v>0</v>
      </c>
      <c r="E13" t="str">
        <f t="shared" si="0"/>
        <v/>
      </c>
      <c r="F13" t="str">
        <f>IF(G12=0,"",INDEX('[1]Grade Project'!$G:$G,MATCH($A$5,'[1]Grade Project'!$F:$F,0)+SUM($G$3:G12)))</f>
        <v/>
      </c>
      <c r="G13">
        <f>COUNTIFS('[1]Grade Project'!$F:$F,$A$5,'[1]Grade Project'!$G:$G,F13)</f>
        <v>0</v>
      </c>
      <c r="H13" t="str">
        <f>IF(I12=0,"",INDEX('[1]Grade Project'!$K:$K,MATCH(CONCATENATE($A$5,$A$8),'[1]Grade Project'!$H:$H,0)+SUM($I$3:I12)))</f>
        <v/>
      </c>
      <c r="I13">
        <f>COUNTIFS('[1]Grade Project'!$G:$G,$A$8,'[1]Grade Project'!$K:$K,H13,'[1]Grade Project'!$F:$F,$A$5)</f>
        <v>0</v>
      </c>
      <c r="J13" t="str">
        <f>IFERROR(AVERAGEIFS('[1]Grade Project'!$N:$N,'[1]Grade Project'!$K:$K,H13,'[1]Grade Project'!$F:$F,$A$5,'[1]Grade Project'!$G:$G,$A$8),"")</f>
        <v/>
      </c>
      <c r="K13" t="str">
        <f>IFERROR(AVERAGEIFS('[1]Grade Project'!$O:$O,'[1]Grade Project'!$K:$K,H13,'[1]Grade Project'!$F:$F,$A$5,'[1]Grade Project'!$G:$G,$A$8),"")</f>
        <v/>
      </c>
      <c r="L13" t="str">
        <f t="shared" si="1"/>
        <v/>
      </c>
      <c r="M13" t="str">
        <f t="shared" si="2"/>
        <v/>
      </c>
      <c r="N13" t="str">
        <f t="shared" si="3"/>
        <v/>
      </c>
    </row>
    <row r="14" spans="1:15" x14ac:dyDescent="0.25">
      <c r="A14" t="e">
        <f>AVERAGEIFS('[1]Grade Project'!$O:$O,'[1]Grade Project'!$K:$K,$A$10,'[1]Grade Project'!$F:$F,A5,'[1]Grade Project'!$G:$G,$A$8)</f>
        <v>#DIV/0!</v>
      </c>
      <c r="B14" t="s">
        <v>14</v>
      </c>
      <c r="C14" t="e">
        <f>IF(C13="","",IF(C13=INDEX('[1]Grade Project'!$F:$F,MATCH($A$3,'[1]Grade Project'!$E:$E,0)+SUM($D$3:D13)),"",INDEX('[1]Grade Project'!$F:$F,MATCH($A$3,'[1]Grade Project'!$E:$E,0)+SUM($D$3:D13))))</f>
        <v>#N/A</v>
      </c>
      <c r="D14">
        <f>COUNTIFS('[1]Grade Project'!$E:$E,$A$3,'[1]Grade Project'!$F:$F,C14)</f>
        <v>0</v>
      </c>
      <c r="E14" t="str">
        <f t="shared" si="0"/>
        <v/>
      </c>
      <c r="F14" t="str">
        <f>IF(G13=0,"",INDEX('[1]Grade Project'!$G:$G,MATCH($A$5,'[1]Grade Project'!$F:$F,0)+SUM($G$3:G13)))</f>
        <v/>
      </c>
      <c r="G14">
        <f>COUNTIFS('[1]Grade Project'!$F:$F,$A$5,'[1]Grade Project'!$G:$G,F14)</f>
        <v>0</v>
      </c>
      <c r="H14" t="str">
        <f>IF(I13=0,"",INDEX('[1]Grade Project'!$K:$K,MATCH(CONCATENATE($A$5,$A$8),'[1]Grade Project'!$H:$H,0)+SUM($I$3:I13)))</f>
        <v/>
      </c>
      <c r="I14">
        <f>COUNTIFS('[1]Grade Project'!$G:$G,$A$8,'[1]Grade Project'!$K:$K,H14,'[1]Grade Project'!$F:$F,$A$5)</f>
        <v>0</v>
      </c>
      <c r="J14" t="str">
        <f>IFERROR(AVERAGEIFS('[1]Grade Project'!$N:$N,'[1]Grade Project'!$K:$K,H14,'[1]Grade Project'!$F:$F,$A$5,'[1]Grade Project'!$G:$G,$A$8),"")</f>
        <v/>
      </c>
      <c r="K14" t="str">
        <f>IFERROR(AVERAGEIFS('[1]Grade Project'!$O:$O,'[1]Grade Project'!$K:$K,H14,'[1]Grade Project'!$F:$F,$A$5,'[1]Grade Project'!$G:$G,$A$8),"")</f>
        <v/>
      </c>
      <c r="L14" t="str">
        <f t="shared" si="1"/>
        <v/>
      </c>
      <c r="M14" t="str">
        <f t="shared" si="2"/>
        <v/>
      </c>
      <c r="N14" t="str">
        <f t="shared" si="3"/>
        <v/>
      </c>
    </row>
    <row r="15" spans="1:15" x14ac:dyDescent="0.25">
      <c r="A15" t="s">
        <v>118</v>
      </c>
      <c r="B15" t="s">
        <v>15</v>
      </c>
      <c r="C15" t="e">
        <f>IF(C14="","",IF(C14=INDEX('[1]Grade Project'!$F:$F,MATCH($A$3,'[1]Grade Project'!$E:$E,0)+SUM($D$3:D14)),"",INDEX('[1]Grade Project'!$F:$F,MATCH($A$3,'[1]Grade Project'!$E:$E,0)+SUM($D$3:D14))))</f>
        <v>#N/A</v>
      </c>
      <c r="D15">
        <f>COUNTIFS('[1]Grade Project'!$E:$E,$A$3,'[1]Grade Project'!$F:$F,C15)</f>
        <v>0</v>
      </c>
      <c r="E15" t="str">
        <f t="shared" si="0"/>
        <v/>
      </c>
      <c r="F15" t="str">
        <f>IF(G14=0,"",INDEX('[1]Grade Project'!$G:$G,MATCH($A$5,'[1]Grade Project'!$F:$F,0)+SUM($G$3:G14)))</f>
        <v/>
      </c>
      <c r="G15">
        <f>COUNTIFS('[1]Grade Project'!$F:$F,$A$5,'[1]Grade Project'!$G:$G,F15)</f>
        <v>0</v>
      </c>
      <c r="H15" t="str">
        <f>IF(I14=0,"",INDEX('[1]Grade Project'!$K:$K,MATCH(CONCATENATE($A$5,$A$8),'[1]Grade Project'!$H:$H,0)+SUM($I$3:I14)))</f>
        <v/>
      </c>
      <c r="I15">
        <f>COUNTIFS('[1]Grade Project'!$G:$G,$A$8,'[1]Grade Project'!$K:$K,H15,'[1]Grade Project'!$F:$F,$A$5)</f>
        <v>0</v>
      </c>
      <c r="J15" t="str">
        <f>IFERROR(AVERAGEIFS('[1]Grade Project'!$N:$N,'[1]Grade Project'!$K:$K,H15,'[1]Grade Project'!$F:$F,$A$5,'[1]Grade Project'!$G:$G,$A$8),"")</f>
        <v/>
      </c>
      <c r="K15" t="str">
        <f>IFERROR(AVERAGEIFS('[1]Grade Project'!$O:$O,'[1]Grade Project'!$K:$K,H15,'[1]Grade Project'!$F:$F,$A$5,'[1]Grade Project'!$G:$G,$A$8),"")</f>
        <v/>
      </c>
      <c r="L15" t="str">
        <f t="shared" si="1"/>
        <v/>
      </c>
      <c r="M15" t="str">
        <f t="shared" si="2"/>
        <v/>
      </c>
      <c r="N15" t="str">
        <f t="shared" si="3"/>
        <v/>
      </c>
    </row>
    <row r="16" spans="1:15" x14ac:dyDescent="0.25">
      <c r="A16" t="e">
        <f>INDEX(Three!N:N,MATCH(A14/A12,Three!L:L,0))&amp;"/"&amp;COUNT(Three!N:N)</f>
        <v>#DIV/0!</v>
      </c>
      <c r="B16" t="s">
        <v>16</v>
      </c>
      <c r="C16" t="e">
        <f>IF(C15="","",IF(C15=INDEX('[1]Grade Project'!$F:$F,MATCH($A$3,'[1]Grade Project'!$E:$E,0)+SUM($D$3:D15)),"",INDEX('[1]Grade Project'!$F:$F,MATCH($A$3,'[1]Grade Project'!$E:$E,0)+SUM($D$3:D15))))</f>
        <v>#N/A</v>
      </c>
      <c r="D16">
        <f>COUNTIFS('[1]Grade Project'!$E:$E,$A$3,'[1]Grade Project'!$F:$F,C16)</f>
        <v>0</v>
      </c>
      <c r="E16" t="str">
        <f t="shared" si="0"/>
        <v/>
      </c>
      <c r="F16" t="str">
        <f>IF(G15=0,"",INDEX('[1]Grade Project'!$G:$G,MATCH($A$5,'[1]Grade Project'!$F:$F,0)+SUM($G$3:G15)))</f>
        <v/>
      </c>
      <c r="G16">
        <f>COUNTIFS('[1]Grade Project'!$F:$F,$A$5,'[1]Grade Project'!$G:$G,F16)</f>
        <v>0</v>
      </c>
      <c r="H16" t="str">
        <f>IF(I15=0,"",INDEX('[1]Grade Project'!$K:$K,MATCH(CONCATENATE($A$5,$A$8),'[1]Grade Project'!$H:$H,0)+SUM($I$3:I15)))</f>
        <v/>
      </c>
      <c r="I16">
        <f>COUNTIFS('[1]Grade Project'!$G:$G,$A$8,'[1]Grade Project'!$K:$K,H16,'[1]Grade Project'!$F:$F,$A$5)</f>
        <v>0</v>
      </c>
      <c r="J16" t="str">
        <f>IFERROR(AVERAGEIFS('[1]Grade Project'!$N:$N,'[1]Grade Project'!$K:$K,H16,'[1]Grade Project'!$F:$F,$A$5,'[1]Grade Project'!$G:$G,$A$8),"")</f>
        <v/>
      </c>
      <c r="K16" t="str">
        <f>IFERROR(AVERAGEIFS('[1]Grade Project'!$O:$O,'[1]Grade Project'!$K:$K,H16,'[1]Grade Project'!$F:$F,$A$5,'[1]Grade Project'!$G:$G,$A$8),"")</f>
        <v/>
      </c>
      <c r="L16" t="str">
        <f t="shared" si="1"/>
        <v/>
      </c>
      <c r="M16" t="str">
        <f t="shared" si="2"/>
        <v/>
      </c>
      <c r="N16" t="str">
        <f t="shared" si="3"/>
        <v/>
      </c>
    </row>
    <row r="17" spans="1:14" x14ac:dyDescent="0.25">
      <c r="A17" t="s">
        <v>113</v>
      </c>
      <c r="B17" t="s">
        <v>17</v>
      </c>
      <c r="C17" t="e">
        <f>IF(C16="","",IF(C16=INDEX('[1]Grade Project'!$F:$F,MATCH($A$3,'[1]Grade Project'!$E:$E,0)+SUM($D$3:D16)),"",INDEX('[1]Grade Project'!$F:$F,MATCH($A$3,'[1]Grade Project'!$E:$E,0)+SUM($D$3:D16))))</f>
        <v>#N/A</v>
      </c>
      <c r="D17">
        <f>COUNTIFS('[1]Grade Project'!$E:$E,$A$3,'[1]Grade Project'!$F:$F,C17)</f>
        <v>0</v>
      </c>
      <c r="E17" t="str">
        <f t="shared" si="0"/>
        <v/>
      </c>
      <c r="F17" t="str">
        <f>IF(G16=0,"",INDEX('[1]Grade Project'!$G:$G,MATCH($A$5,'[1]Grade Project'!$F:$F,0)+SUM($G$3:G16)))</f>
        <v/>
      </c>
      <c r="G17">
        <f>COUNTIFS('[1]Grade Project'!$F:$F,$A$5,'[1]Grade Project'!$G:$G,F17)</f>
        <v>0</v>
      </c>
      <c r="H17" t="str">
        <f>IF(I16=0,"",INDEX('[1]Grade Project'!$K:$K,MATCH(CONCATENATE($A$5,$A$8),'[1]Grade Project'!$H:$H,0)+SUM($I$3:I16)))</f>
        <v/>
      </c>
      <c r="I17">
        <f>COUNTIFS('[1]Grade Project'!$G:$G,$A$8,'[1]Grade Project'!$K:$K,H17,'[1]Grade Project'!$F:$F,$A$5)</f>
        <v>0</v>
      </c>
      <c r="J17" t="str">
        <f>IFERROR(AVERAGEIFS('[1]Grade Project'!$N:$N,'[1]Grade Project'!$K:$K,H17,'[1]Grade Project'!$F:$F,$A$5,'[1]Grade Project'!$G:$G,$A$8),"")</f>
        <v/>
      </c>
      <c r="K17" t="str">
        <f>IFERROR(AVERAGEIFS('[1]Grade Project'!$O:$O,'[1]Grade Project'!$K:$K,H17,'[1]Grade Project'!$F:$F,$A$5,'[1]Grade Project'!$G:$G,$A$8),"")</f>
        <v/>
      </c>
      <c r="L17" t="str">
        <f t="shared" si="1"/>
        <v/>
      </c>
      <c r="M17" t="str">
        <f t="shared" si="2"/>
        <v/>
      </c>
      <c r="N17" t="str">
        <f t="shared" si="3"/>
        <v/>
      </c>
    </row>
    <row r="18" spans="1:14" x14ac:dyDescent="0.25">
      <c r="A18" t="e">
        <f>INDEX(Three!H:H,MATCH(MAX(Three!N:N),Three!N:N,0))</f>
        <v>#N/A</v>
      </c>
      <c r="B18" t="s">
        <v>18</v>
      </c>
      <c r="C18" t="e">
        <f>IF(C17="","",IF(C17=INDEX('[1]Grade Project'!$F:$F,MATCH($A$3,'[1]Grade Project'!$E:$E,0)+SUM($D$3:D17)),"",INDEX('[1]Grade Project'!$F:$F,MATCH($A$3,'[1]Grade Project'!$E:$E,0)+SUM($D$3:D17))))</f>
        <v>#N/A</v>
      </c>
      <c r="D18">
        <f>COUNTIFS('[1]Grade Project'!$E:$E,$A$3,'[1]Grade Project'!$F:$F,C18)</f>
        <v>0</v>
      </c>
      <c r="E18" t="str">
        <f t="shared" si="0"/>
        <v/>
      </c>
      <c r="F18" t="str">
        <f>IF(G17=0,"",INDEX('[1]Grade Project'!$G:$G,MATCH($A$5,'[1]Grade Project'!$F:$F,0)+SUM($G$3:G17)))</f>
        <v/>
      </c>
      <c r="G18">
        <f>COUNTIFS('[1]Grade Project'!$F:$F,$A$5,'[1]Grade Project'!$G:$G,F18)</f>
        <v>0</v>
      </c>
      <c r="H18" t="str">
        <f>IF(I17=0,"",INDEX('[1]Grade Project'!$K:$K,MATCH(CONCATENATE($A$5,$A$8),'[1]Grade Project'!$H:$H,0)+SUM($I$3:I17)))</f>
        <v/>
      </c>
      <c r="I18">
        <f>COUNTIFS('[1]Grade Project'!$G:$G,$A$8,'[1]Grade Project'!$K:$K,H18,'[1]Grade Project'!$F:$F,$A$5)</f>
        <v>0</v>
      </c>
      <c r="J18" t="str">
        <f>IFERROR(AVERAGEIFS('[1]Grade Project'!$N:$N,'[1]Grade Project'!$K:$K,H18,'[1]Grade Project'!$F:$F,$A$5,'[1]Grade Project'!$G:$G,$A$8),"")</f>
        <v/>
      </c>
      <c r="K18" t="str">
        <f>IFERROR(AVERAGEIFS('[1]Grade Project'!$O:$O,'[1]Grade Project'!$K:$K,H18,'[1]Grade Project'!$F:$F,$A$5,'[1]Grade Project'!$G:$G,$A$8),"")</f>
        <v/>
      </c>
      <c r="L18" t="str">
        <f t="shared" si="1"/>
        <v/>
      </c>
      <c r="M18" t="str">
        <f t="shared" si="2"/>
        <v/>
      </c>
      <c r="N18" t="str">
        <f t="shared" si="3"/>
        <v/>
      </c>
    </row>
    <row r="19" spans="1:14" x14ac:dyDescent="0.25">
      <c r="A19" t="s">
        <v>110</v>
      </c>
      <c r="B19" t="s">
        <v>2</v>
      </c>
      <c r="C19" t="e">
        <f>IF(C18="","",IF(C18=INDEX('[1]Grade Project'!$F:$F,MATCH($A$3,'[1]Grade Project'!$E:$E,0)+SUM($D$3:D18)),"",INDEX('[1]Grade Project'!$F:$F,MATCH($A$3,'[1]Grade Project'!$E:$E,0)+SUM($D$3:D18))))</f>
        <v>#N/A</v>
      </c>
      <c r="D19">
        <f>COUNTIFS('[1]Grade Project'!$E:$E,$A$3,'[1]Grade Project'!$F:$F,C19)</f>
        <v>0</v>
      </c>
      <c r="E19" t="str">
        <f t="shared" si="0"/>
        <v/>
      </c>
      <c r="F19" t="str">
        <f>IF(G18=0,"",INDEX('[1]Grade Project'!$G:$G,MATCH($A$5,'[1]Grade Project'!$F:$F,0)+SUM($G$3:G18)))</f>
        <v/>
      </c>
      <c r="G19">
        <f>COUNTIFS('[1]Grade Project'!$F:$F,$A$5,'[1]Grade Project'!$G:$G,F19)</f>
        <v>0</v>
      </c>
      <c r="H19" t="str">
        <f>IF(I18=0,"",INDEX('[1]Grade Project'!$K:$K,MATCH(CONCATENATE($A$5,$A$8),'[1]Grade Project'!$H:$H,0)+SUM($I$3:I18)))</f>
        <v/>
      </c>
      <c r="I19">
        <f>COUNTIFS('[1]Grade Project'!$G:$G,$A$8,'[1]Grade Project'!$K:$K,H19,'[1]Grade Project'!$F:$F,$A$5)</f>
        <v>0</v>
      </c>
      <c r="J19" t="str">
        <f>IFERROR(AVERAGEIFS('[1]Grade Project'!$N:$N,'[1]Grade Project'!$K:$K,H19,'[1]Grade Project'!$F:$F,$A$5,'[1]Grade Project'!$G:$G,$A$8),"")</f>
        <v/>
      </c>
      <c r="K19" t="str">
        <f>IFERROR(AVERAGEIFS('[1]Grade Project'!$O:$O,'[1]Grade Project'!$K:$K,H19,'[1]Grade Project'!$F:$F,$A$5,'[1]Grade Project'!$G:$G,$A$8),"")</f>
        <v/>
      </c>
      <c r="L19" t="str">
        <f t="shared" si="1"/>
        <v/>
      </c>
      <c r="M19" t="str">
        <f t="shared" si="2"/>
        <v/>
      </c>
      <c r="N19" t="str">
        <f t="shared" si="3"/>
        <v/>
      </c>
    </row>
    <row r="20" spans="1:14" x14ac:dyDescent="0.25">
      <c r="A20" t="e">
        <f>INDEX(Three!J:J,MATCH(MAX(Three!N:N),Three!N:N,0))</f>
        <v>#N/A</v>
      </c>
      <c r="B20" t="s">
        <v>19</v>
      </c>
      <c r="C20" t="e">
        <f>IF(C19="","",IF(C19=INDEX('[1]Grade Project'!$F:$F,MATCH($A$3,'[1]Grade Project'!$E:$E,0)+SUM($D$3:D19)),"",INDEX('[1]Grade Project'!$F:$F,MATCH($A$3,'[1]Grade Project'!$E:$E,0)+SUM($D$3:D19))))</f>
        <v>#N/A</v>
      </c>
      <c r="D20">
        <f>COUNTIFS('[1]Grade Project'!$E:$E,$A$3,'[1]Grade Project'!$F:$F,C20)</f>
        <v>0</v>
      </c>
      <c r="E20" t="str">
        <f t="shared" si="0"/>
        <v/>
      </c>
      <c r="F20" t="str">
        <f>IF(G19=0,"",INDEX('[1]Grade Project'!$G:$G,MATCH($A$5,'[1]Grade Project'!$F:$F,0)+SUM($G$3:G19)))</f>
        <v/>
      </c>
      <c r="G20">
        <f>COUNTIFS('[1]Grade Project'!$F:$F,$A$5,'[1]Grade Project'!$G:$G,F20)</f>
        <v>0</v>
      </c>
      <c r="H20" t="str">
        <f>IF(I19=0,"",INDEX('[1]Grade Project'!$K:$K,MATCH(CONCATENATE($A$5,$A$8),'[1]Grade Project'!$H:$H,0)+SUM($I$3:I19)))</f>
        <v/>
      </c>
      <c r="I20">
        <f>COUNTIFS('[1]Grade Project'!$G:$G,$A$8,'[1]Grade Project'!$K:$K,H20,'[1]Grade Project'!$F:$F,$A$5)</f>
        <v>0</v>
      </c>
      <c r="J20" t="str">
        <f>IFERROR(AVERAGEIFS('[1]Grade Project'!$N:$N,'[1]Grade Project'!$K:$K,H20,'[1]Grade Project'!$F:$F,$A$5,'[1]Grade Project'!$G:$G,$A$8),"")</f>
        <v/>
      </c>
      <c r="K20" t="str">
        <f>IFERROR(AVERAGEIFS('[1]Grade Project'!$O:$O,'[1]Grade Project'!$K:$K,H20,'[1]Grade Project'!$F:$F,$A$5,'[1]Grade Project'!$G:$G,$A$8),"")</f>
        <v/>
      </c>
      <c r="L20" t="str">
        <f t="shared" si="1"/>
        <v/>
      </c>
      <c r="M20" t="str">
        <f t="shared" si="2"/>
        <v/>
      </c>
      <c r="N20" t="str">
        <f t="shared" si="3"/>
        <v/>
      </c>
    </row>
    <row r="21" spans="1:14" x14ac:dyDescent="0.25">
      <c r="A21" t="s">
        <v>114</v>
      </c>
      <c r="B21" t="s">
        <v>20</v>
      </c>
      <c r="C21" t="e">
        <f>IF(C20="","",IF(C20=INDEX('[1]Grade Project'!$F:$F,MATCH($A$3,'[1]Grade Project'!$E:$E,0)+SUM($D$3:D20)),"",INDEX('[1]Grade Project'!$F:$F,MATCH($A$3,'[1]Grade Project'!$E:$E,0)+SUM($D$3:D20))))</f>
        <v>#N/A</v>
      </c>
      <c r="D21">
        <f>COUNTIFS('[1]Grade Project'!$E:$E,$A$3,'[1]Grade Project'!$F:$F,C21)</f>
        <v>0</v>
      </c>
      <c r="E21" t="str">
        <f t="shared" si="0"/>
        <v/>
      </c>
      <c r="F21" t="str">
        <f>IF(G20=0,"",INDEX('[1]Grade Project'!$G:$G,MATCH($A$5,'[1]Grade Project'!$F:$F,0)+SUM($G$3:G20)))</f>
        <v/>
      </c>
      <c r="G21">
        <f>COUNTIFS('[1]Grade Project'!$F:$F,$A$5,'[1]Grade Project'!$G:$G,F21)</f>
        <v>0</v>
      </c>
      <c r="H21" t="str">
        <f>IF(I20=0,"",INDEX('[1]Grade Project'!$K:$K,MATCH(CONCATENATE($A$5,$A$8),'[1]Grade Project'!$H:$H,0)+SUM($I$3:I20)))</f>
        <v/>
      </c>
      <c r="I21">
        <f>COUNTIFS('[1]Grade Project'!$G:$G,$A$8,'[1]Grade Project'!$K:$K,H21,'[1]Grade Project'!$F:$F,$A$5)</f>
        <v>0</v>
      </c>
      <c r="J21" t="str">
        <f>IFERROR(AVERAGEIFS('[1]Grade Project'!$N:$N,'[1]Grade Project'!$K:$K,H21,'[1]Grade Project'!$F:$F,$A$5,'[1]Grade Project'!$G:$G,$A$8),"")</f>
        <v/>
      </c>
      <c r="K21" t="str">
        <f>IFERROR(AVERAGEIFS('[1]Grade Project'!$O:$O,'[1]Grade Project'!$K:$K,H21,'[1]Grade Project'!$F:$F,$A$5,'[1]Grade Project'!$G:$G,$A$8),"")</f>
        <v/>
      </c>
      <c r="L21" t="str">
        <f t="shared" si="1"/>
        <v/>
      </c>
      <c r="M21" t="str">
        <f t="shared" si="2"/>
        <v/>
      </c>
      <c r="N21" t="str">
        <f t="shared" si="3"/>
        <v/>
      </c>
    </row>
    <row r="22" spans="1:14" x14ac:dyDescent="0.25">
      <c r="A22" t="e">
        <f>INDEX(Three!H:H,MATCH(MIN(Three!N:N),Three!N:N,0))</f>
        <v>#N/A</v>
      </c>
      <c r="B22" t="s">
        <v>21</v>
      </c>
      <c r="C22" t="e">
        <f>IF(C21="","",IF(C21=INDEX('[1]Grade Project'!$F:$F,MATCH($A$3,'[1]Grade Project'!$E:$E,0)+SUM($D$3:D21)),"",INDEX('[1]Grade Project'!$F:$F,MATCH($A$3,'[1]Grade Project'!$E:$E,0)+SUM($D$3:D21))))</f>
        <v>#N/A</v>
      </c>
      <c r="D22">
        <f>COUNTIFS('[1]Grade Project'!$E:$E,$A$3,'[1]Grade Project'!$F:$F,C22)</f>
        <v>0</v>
      </c>
      <c r="E22" t="str">
        <f t="shared" si="0"/>
        <v/>
      </c>
      <c r="F22" t="str">
        <f>IF(G21=0,"",INDEX('[1]Grade Project'!$G:$G,MATCH($A$5,'[1]Grade Project'!$F:$F,0)+SUM($G$3:G21)))</f>
        <v/>
      </c>
      <c r="G22">
        <f>COUNTIFS('[1]Grade Project'!$F:$F,$A$5,'[1]Grade Project'!$G:$G,F22)</f>
        <v>0</v>
      </c>
      <c r="H22" t="str">
        <f>IF(I21=0,"",INDEX('[1]Grade Project'!$K:$K,MATCH(CONCATENATE($A$5,$A$8),'[1]Grade Project'!$H:$H,0)+SUM($I$3:I21)))</f>
        <v/>
      </c>
      <c r="I22">
        <f>COUNTIFS('[1]Grade Project'!$G:$G,$A$8,'[1]Grade Project'!$K:$K,H22,'[1]Grade Project'!$F:$F,$A$5)</f>
        <v>0</v>
      </c>
      <c r="J22" t="str">
        <f>IFERROR(AVERAGEIFS('[1]Grade Project'!$N:$N,'[1]Grade Project'!$K:$K,H22,'[1]Grade Project'!$F:$F,$A$5,'[1]Grade Project'!$G:$G,$A$8),"")</f>
        <v/>
      </c>
      <c r="K22" t="str">
        <f>IFERROR(AVERAGEIFS('[1]Grade Project'!$O:$O,'[1]Grade Project'!$K:$K,H22,'[1]Grade Project'!$F:$F,$A$5,'[1]Grade Project'!$G:$G,$A$8),"")</f>
        <v/>
      </c>
      <c r="L22" t="str">
        <f t="shared" si="1"/>
        <v/>
      </c>
      <c r="M22" t="str">
        <f t="shared" si="2"/>
        <v/>
      </c>
      <c r="N22" t="str">
        <f t="shared" si="3"/>
        <v/>
      </c>
    </row>
    <row r="23" spans="1:14" x14ac:dyDescent="0.25">
      <c r="A23" t="s">
        <v>110</v>
      </c>
      <c r="B23" t="s">
        <v>22</v>
      </c>
      <c r="C23" t="e">
        <f>IF(C22="","",IF(C22=INDEX('[1]Grade Project'!$F:$F,MATCH($A$3,'[1]Grade Project'!$E:$E,0)+SUM($D$3:D22)),"",INDEX('[1]Grade Project'!$F:$F,MATCH($A$3,'[1]Grade Project'!$E:$E,0)+SUM($D$3:D22))))</f>
        <v>#N/A</v>
      </c>
      <c r="D23">
        <f>COUNTIFS('[1]Grade Project'!$E:$E,$A$3,'[1]Grade Project'!$F:$F,C23)</f>
        <v>0</v>
      </c>
      <c r="E23" t="str">
        <f t="shared" si="0"/>
        <v/>
      </c>
      <c r="F23" t="str">
        <f>IF(G22=0,"",INDEX('[1]Grade Project'!$G:$G,MATCH($A$5,'[1]Grade Project'!$F:$F,0)+SUM($G$3:G22)))</f>
        <v/>
      </c>
      <c r="G23">
        <f>COUNTIFS('[1]Grade Project'!$F:$F,$A$5,'[1]Grade Project'!$G:$G,F23)</f>
        <v>0</v>
      </c>
      <c r="H23" t="str">
        <f>IF(I22=0,"",INDEX('[1]Grade Project'!$K:$K,MATCH(CONCATENATE($A$5,$A$8),'[1]Grade Project'!$H:$H,0)+SUM($I$3:I22)))</f>
        <v/>
      </c>
      <c r="I23">
        <f>COUNTIFS('[1]Grade Project'!$G:$G,$A$8,'[1]Grade Project'!$K:$K,H23,'[1]Grade Project'!$F:$F,$A$5)</f>
        <v>0</v>
      </c>
      <c r="J23" t="str">
        <f>IFERROR(AVERAGEIFS('[1]Grade Project'!$N:$N,'[1]Grade Project'!$K:$K,H23,'[1]Grade Project'!$F:$F,$A$5,'[1]Grade Project'!$G:$G,$A$8),"")</f>
        <v/>
      </c>
      <c r="K23" t="str">
        <f>IFERROR(AVERAGEIFS('[1]Grade Project'!$O:$O,'[1]Grade Project'!$K:$K,H23,'[1]Grade Project'!$F:$F,$A$5,'[1]Grade Project'!$G:$G,$A$8),"")</f>
        <v/>
      </c>
      <c r="L23" t="str">
        <f t="shared" si="1"/>
        <v/>
      </c>
      <c r="M23" t="str">
        <f t="shared" si="2"/>
        <v/>
      </c>
      <c r="N23" t="str">
        <f t="shared" si="3"/>
        <v/>
      </c>
    </row>
    <row r="24" spans="1:14" x14ac:dyDescent="0.25">
      <c r="A24" t="e">
        <f>INDEX(Three!J:J,MATCH(MIN(Three!N:N),Three!N:N,0))</f>
        <v>#N/A</v>
      </c>
      <c r="B24" t="s">
        <v>23</v>
      </c>
      <c r="C24" t="e">
        <f>IF(C23="","",IF(C23=INDEX('[1]Grade Project'!$F:$F,MATCH($A$3,'[1]Grade Project'!$E:$E,0)+SUM($D$3:D23)),"",INDEX('[1]Grade Project'!$F:$F,MATCH($A$3,'[1]Grade Project'!$E:$E,0)+SUM($D$3:D23))))</f>
        <v>#N/A</v>
      </c>
      <c r="E24" t="str">
        <f t="shared" si="0"/>
        <v/>
      </c>
      <c r="F24" t="str">
        <f>IF(G23=0,"",INDEX('[1]Grade Project'!$G:$G,MATCH($A$5,'[1]Grade Project'!$F:$F,0)+SUM($G$3:G23)))</f>
        <v/>
      </c>
      <c r="G24">
        <f>COUNTIFS('[1]Grade Project'!$F:$F,$A$5,'[1]Grade Project'!$G:$G,F24)</f>
        <v>0</v>
      </c>
      <c r="H24" t="str">
        <f>IF(I23=0,"",INDEX('[1]Grade Project'!$K:$K,MATCH(CONCATENATE($A$5,$A$8),'[1]Grade Project'!$H:$H,0)+SUM($I$3:I23)))</f>
        <v/>
      </c>
      <c r="I24">
        <f>COUNTIFS('[1]Grade Project'!$G:$G,$A$8,'[1]Grade Project'!$K:$K,H24,'[1]Grade Project'!$F:$F,$A$5)</f>
        <v>0</v>
      </c>
      <c r="J24" t="str">
        <f>IFERROR(AVERAGEIFS('[1]Grade Project'!$N:$N,'[1]Grade Project'!$K:$K,H24,'[1]Grade Project'!$F:$F,$A$5,'[1]Grade Project'!$G:$G,$A$8),"")</f>
        <v/>
      </c>
      <c r="K24" t="str">
        <f>IFERROR(AVERAGEIFS('[1]Grade Project'!$O:$O,'[1]Grade Project'!$K:$K,H24,'[1]Grade Project'!$F:$F,$A$5,'[1]Grade Project'!$G:$G,$A$8),"")</f>
        <v/>
      </c>
      <c r="L24" t="str">
        <f t="shared" si="1"/>
        <v/>
      </c>
      <c r="M24" t="str">
        <f t="shared" si="2"/>
        <v/>
      </c>
      <c r="N24" t="str">
        <f t="shared" si="3"/>
        <v/>
      </c>
    </row>
    <row r="25" spans="1:14" x14ac:dyDescent="0.25">
      <c r="A25" t="s">
        <v>117</v>
      </c>
      <c r="B25" t="s">
        <v>24</v>
      </c>
      <c r="C25" t="e">
        <f>IF(C24="","",IF(C24=INDEX('[1]Grade Project'!$F:$F,MATCH($A$3,'[1]Grade Project'!$E:$E,0)+SUM($D$3:D24)),"",INDEX('[1]Grade Project'!$F:$F,MATCH($A$3,'[1]Grade Project'!$E:$E,0)+SUM($D$3:D24))))</f>
        <v>#N/A</v>
      </c>
      <c r="E25" t="str">
        <f t="shared" si="0"/>
        <v/>
      </c>
      <c r="F25" t="str">
        <f>IF(G24=0,"",INDEX('[1]Grade Project'!$G:$G,MATCH($A$5,'[1]Grade Project'!$F:$F,0)+SUM($G$3:G24)))</f>
        <v/>
      </c>
      <c r="G25">
        <f>COUNTIFS('[1]Grade Project'!$F:$F,$A$5,'[1]Grade Project'!$G:$G,F25)</f>
        <v>0</v>
      </c>
      <c r="H25" t="str">
        <f>IF(I24=0,"",INDEX('[1]Grade Project'!$K:$K,MATCH(CONCATENATE($A$5,$A$8),'[1]Grade Project'!$H:$H,0)+SUM($I$3:I24)))</f>
        <v/>
      </c>
      <c r="I25">
        <f>COUNTIFS('[1]Grade Project'!$G:$G,$A$8,'[1]Grade Project'!$K:$K,H25,'[1]Grade Project'!$F:$F,$A$5)</f>
        <v>0</v>
      </c>
      <c r="J25" t="str">
        <f>IFERROR(AVERAGEIFS('[1]Grade Project'!$N:$N,'[1]Grade Project'!$K:$K,H25,'[1]Grade Project'!$F:$F,$A$5,'[1]Grade Project'!$G:$G,$A$8),"")</f>
        <v/>
      </c>
      <c r="K25" t="str">
        <f>IFERROR(AVERAGEIFS('[1]Grade Project'!$O:$O,'[1]Grade Project'!$K:$K,H25,'[1]Grade Project'!$F:$F,$A$5,'[1]Grade Project'!$G:$G,$A$8),"")</f>
        <v/>
      </c>
      <c r="L25" t="str">
        <f t="shared" si="1"/>
        <v/>
      </c>
      <c r="M25" t="str">
        <f t="shared" si="2"/>
        <v/>
      </c>
      <c r="N25" t="str">
        <f t="shared" si="3"/>
        <v/>
      </c>
    </row>
    <row r="26" spans="1:14" x14ac:dyDescent="0.25">
      <c r="A26" t="e">
        <f>A12/#REF!</f>
        <v>#DIV/0!</v>
      </c>
      <c r="B26" t="s">
        <v>25</v>
      </c>
      <c r="C26" t="e">
        <f>IF(C25="","",IF(C25=INDEX('[1]Grade Project'!$F:$F,MATCH($A$3,'[1]Grade Project'!$E:$E,0)+SUM($D$3:D25)),"",INDEX('[1]Grade Project'!$F:$F,MATCH($A$3,'[1]Grade Project'!$E:$E,0)+SUM($D$3:D25))))</f>
        <v>#N/A</v>
      </c>
      <c r="E26" t="str">
        <f t="shared" si="0"/>
        <v/>
      </c>
      <c r="F26" t="str">
        <f>IF(G25=0,"",INDEX('[1]Grade Project'!$G:$G,MATCH($A$5,'[1]Grade Project'!$F:$F,0)+SUM($G$3:G25)))</f>
        <v/>
      </c>
      <c r="G26">
        <f>COUNTIFS('[1]Grade Project'!$F:$F,$A$5,'[1]Grade Project'!$G:$G,F26)</f>
        <v>0</v>
      </c>
      <c r="H26" t="str">
        <f>IF(I25=0,"",INDEX('[1]Grade Project'!$K:$K,MATCH(CONCATENATE($A$5,$A$8),'[1]Grade Project'!$H:$H,0)+SUM($I$3:I25)))</f>
        <v/>
      </c>
      <c r="I26">
        <f>COUNTIFS('[1]Grade Project'!$G:$G,$A$8,'[1]Grade Project'!$K:$K,H26,'[1]Grade Project'!$F:$F,$A$5)</f>
        <v>0</v>
      </c>
      <c r="J26" t="str">
        <f>IFERROR(AVERAGEIFS('[1]Grade Project'!$N:$N,'[1]Grade Project'!$K:$K,H26,'[1]Grade Project'!$F:$F,$A$5,'[1]Grade Project'!$G:$G,$A$8),"")</f>
        <v/>
      </c>
      <c r="K26" t="str">
        <f>IFERROR(AVERAGEIFS('[1]Grade Project'!$O:$O,'[1]Grade Project'!$K:$K,H26,'[1]Grade Project'!$F:$F,$A$5,'[1]Grade Project'!$G:$G,$A$8),"")</f>
        <v/>
      </c>
      <c r="L26" t="str">
        <f t="shared" si="1"/>
        <v/>
      </c>
      <c r="M26" t="str">
        <f t="shared" si="2"/>
        <v/>
      </c>
      <c r="N26" t="str">
        <f t="shared" si="3"/>
        <v/>
      </c>
    </row>
    <row r="27" spans="1:14" x14ac:dyDescent="0.25">
      <c r="B27" t="s">
        <v>26</v>
      </c>
      <c r="C27" t="e">
        <f>IF(C26="","",IF(C26=INDEX('[1]Grade Project'!$F:$F,MATCH($A$3,'[1]Grade Project'!$E:$E,0)+SUM($D$3:D26)),"",INDEX('[1]Grade Project'!$F:$F,MATCH($A$3,'[1]Grade Project'!$E:$E,0)+SUM($D$3:D26))))</f>
        <v>#N/A</v>
      </c>
      <c r="E27" t="str">
        <f t="shared" si="0"/>
        <v/>
      </c>
      <c r="F27" t="str">
        <f>IF(G26=0,"",INDEX('[1]Grade Project'!$G:$G,MATCH($A$5,'[1]Grade Project'!$F:$F,0)+SUM($G$3:G26)))</f>
        <v/>
      </c>
      <c r="G27">
        <f>COUNTIFS('[1]Grade Project'!$F:$F,$A$5,'[1]Grade Project'!$G:$G,F27)</f>
        <v>0</v>
      </c>
      <c r="H27" t="str">
        <f>IF(I26=0,"",INDEX('[1]Grade Project'!$K:$K,MATCH(CONCATENATE($A$5,$A$8),'[1]Grade Project'!$H:$H,0)+SUM($I$3:I26)))</f>
        <v/>
      </c>
      <c r="I27">
        <f>COUNTIFS('[1]Grade Project'!$G:$G,$A$8,'[1]Grade Project'!$K:$K,H27,'[1]Grade Project'!$F:$F,$A$5)</f>
        <v>0</v>
      </c>
      <c r="J27" t="str">
        <f>IFERROR(AVERAGEIFS('[1]Grade Project'!$N:$N,'[1]Grade Project'!$K:$K,H27,'[1]Grade Project'!$F:$F,$A$5,'[1]Grade Project'!$G:$G,$A$8),"")</f>
        <v/>
      </c>
      <c r="K27" t="str">
        <f>IFERROR(AVERAGEIFS('[1]Grade Project'!$O:$O,'[1]Grade Project'!$K:$K,H27,'[1]Grade Project'!$F:$F,$A$5,'[1]Grade Project'!$G:$G,$A$8),"")</f>
        <v/>
      </c>
      <c r="L27" t="str">
        <f t="shared" si="1"/>
        <v/>
      </c>
      <c r="M27" t="str">
        <f t="shared" si="2"/>
        <v/>
      </c>
      <c r="N27" t="str">
        <f t="shared" si="3"/>
        <v/>
      </c>
    </row>
    <row r="28" spans="1:14" x14ac:dyDescent="0.25">
      <c r="B28" t="s">
        <v>27</v>
      </c>
      <c r="C28" t="e">
        <f>IF(C27="","",IF(C27=INDEX('[1]Grade Project'!$F:$F,MATCH($A$3,'[1]Grade Project'!$E:$E,0)+SUM($D$3:D27)),"",INDEX('[1]Grade Project'!$F:$F,MATCH($A$3,'[1]Grade Project'!$E:$E,0)+SUM($D$3:D27))))</f>
        <v>#N/A</v>
      </c>
      <c r="E28" t="str">
        <f t="shared" si="0"/>
        <v/>
      </c>
      <c r="F28" t="str">
        <f>IF(G27=0,"",INDEX('[1]Grade Project'!$G:$G,MATCH($A$5,'[1]Grade Project'!$F:$F,0)+SUM($G$3:G27)))</f>
        <v/>
      </c>
      <c r="G28">
        <f>COUNTIFS('[1]Grade Project'!$F:$F,$A$5,'[1]Grade Project'!$G:$G,F28)</f>
        <v>0</v>
      </c>
      <c r="H28" t="str">
        <f>IF(I27=0,"",INDEX('[1]Grade Project'!$K:$K,MATCH(CONCATENATE($A$5,$A$8),'[1]Grade Project'!$H:$H,0)+SUM($I$3:I27)))</f>
        <v/>
      </c>
      <c r="I28">
        <f>COUNTIFS('[1]Grade Project'!$G:$G,$A$8,'[1]Grade Project'!$K:$K,H28,'[1]Grade Project'!$F:$F,$A$5)</f>
        <v>0</v>
      </c>
      <c r="J28" t="str">
        <f>IFERROR(AVERAGEIFS('[1]Grade Project'!$N:$N,'[1]Grade Project'!$K:$K,H28,'[1]Grade Project'!$F:$F,$A$5,'[1]Grade Project'!$G:$G,$A$8),"")</f>
        <v/>
      </c>
      <c r="K28" t="str">
        <f>IFERROR(AVERAGEIFS('[1]Grade Project'!$O:$O,'[1]Grade Project'!$K:$K,H28,'[1]Grade Project'!$F:$F,$A$5,'[1]Grade Project'!$G:$G,$A$8),"")</f>
        <v/>
      </c>
      <c r="L28" t="str">
        <f t="shared" si="1"/>
        <v/>
      </c>
      <c r="M28" t="str">
        <f t="shared" si="2"/>
        <v/>
      </c>
      <c r="N28" t="str">
        <f t="shared" si="3"/>
        <v/>
      </c>
    </row>
    <row r="29" spans="1:14" x14ac:dyDescent="0.25">
      <c r="B29" t="s">
        <v>28</v>
      </c>
      <c r="C29" t="e">
        <f>IF(C28="","",IF(C28=INDEX('[1]Grade Project'!$F:$F,MATCH($A$3,'[1]Grade Project'!$E:$E,0)+SUM($D$3:D28)),"",INDEX('[1]Grade Project'!$F:$F,MATCH($A$3,'[1]Grade Project'!$E:$E,0)+SUM($D$3:D28))))</f>
        <v>#N/A</v>
      </c>
      <c r="E29" t="str">
        <f t="shared" si="0"/>
        <v/>
      </c>
      <c r="F29" t="str">
        <f>IF(G28=0,"",INDEX('[1]Grade Project'!$G:$G,MATCH($A$5,'[1]Grade Project'!$F:$F,0)+SUM($G$3:G28)))</f>
        <v/>
      </c>
      <c r="G29">
        <f>COUNTIFS('[1]Grade Project'!$F:$F,$A$5,'[1]Grade Project'!$G:$G,F29)</f>
        <v>0</v>
      </c>
      <c r="H29" t="str">
        <f>IF(I28=0,"",INDEX('[1]Grade Project'!$K:$K,MATCH(CONCATENATE($A$5,$A$8),'[1]Grade Project'!$H:$H,0)+SUM($I$3:I28)))</f>
        <v/>
      </c>
      <c r="I29">
        <f>COUNTIFS('[1]Grade Project'!$G:$G,$A$8,'[1]Grade Project'!$K:$K,H29,'[1]Grade Project'!$F:$F,$A$5)</f>
        <v>0</v>
      </c>
      <c r="J29" t="str">
        <f>IFERROR(AVERAGEIFS('[1]Grade Project'!$N:$N,'[1]Grade Project'!$K:$K,H29,'[1]Grade Project'!$F:$F,$A$5,'[1]Grade Project'!$G:$G,$A$8),"")</f>
        <v/>
      </c>
      <c r="K29" t="str">
        <f>IFERROR(AVERAGEIFS('[1]Grade Project'!$O:$O,'[1]Grade Project'!$K:$K,H29,'[1]Grade Project'!$F:$F,$A$5,'[1]Grade Project'!$G:$G,$A$8),"")</f>
        <v/>
      </c>
      <c r="L29" t="str">
        <f t="shared" si="1"/>
        <v/>
      </c>
      <c r="M29" t="str">
        <f t="shared" si="2"/>
        <v/>
      </c>
      <c r="N29" t="str">
        <f t="shared" si="3"/>
        <v/>
      </c>
    </row>
    <row r="30" spans="1:14" x14ac:dyDescent="0.25">
      <c r="B30" t="s">
        <v>29</v>
      </c>
      <c r="C30" t="e">
        <f>IF(C29="","",IF(C29=INDEX('[1]Grade Project'!$F:$F,MATCH($A$3,'[1]Grade Project'!$E:$E,0)+SUM($D$3:D29)),"",INDEX('[1]Grade Project'!$F:$F,MATCH($A$3,'[1]Grade Project'!$E:$E,0)+SUM($D$3:D29))))</f>
        <v>#N/A</v>
      </c>
      <c r="E30" t="str">
        <f t="shared" si="0"/>
        <v/>
      </c>
      <c r="F30" t="str">
        <f>IF(G29=0,"",INDEX('[1]Grade Project'!$G:$G,MATCH($A$5,'[1]Grade Project'!$F:$F,0)+SUM($G$3:G29)))</f>
        <v/>
      </c>
      <c r="G30">
        <f>COUNTIFS('[1]Grade Project'!$F:$F,$A$5,'[1]Grade Project'!$G:$G,F30)</f>
        <v>0</v>
      </c>
      <c r="H30" t="str">
        <f>IF(I29=0,"",INDEX('[1]Grade Project'!$K:$K,MATCH(CONCATENATE($A$5,$A$8),'[1]Grade Project'!$H:$H,0)+SUM($I$3:I29)))</f>
        <v/>
      </c>
      <c r="I30">
        <f>COUNTIFS('[1]Grade Project'!$G:$G,$A$8,'[1]Grade Project'!$K:$K,H30,'[1]Grade Project'!$F:$F,$A$5)</f>
        <v>0</v>
      </c>
      <c r="J30" t="str">
        <f>IFERROR(AVERAGEIFS('[1]Grade Project'!$N:$N,'[1]Grade Project'!$K:$K,H30,'[1]Grade Project'!$F:$F,$A$5,'[1]Grade Project'!$G:$G,$A$8),"")</f>
        <v/>
      </c>
      <c r="K30" t="str">
        <f>IFERROR(AVERAGEIFS('[1]Grade Project'!$O:$O,'[1]Grade Project'!$K:$K,H30,'[1]Grade Project'!$F:$F,$A$5,'[1]Grade Project'!$G:$G,$A$8),"")</f>
        <v/>
      </c>
      <c r="L30" t="str">
        <f t="shared" si="1"/>
        <v/>
      </c>
      <c r="M30" t="str">
        <f t="shared" si="2"/>
        <v/>
      </c>
      <c r="N30" t="str">
        <f t="shared" si="3"/>
        <v/>
      </c>
    </row>
    <row r="31" spans="1:14" x14ac:dyDescent="0.25">
      <c r="B31" t="s">
        <v>30</v>
      </c>
      <c r="C31" t="e">
        <f>IF(C30="","",IF(C30=INDEX('[1]Grade Project'!$F:$F,MATCH($A$3,'[1]Grade Project'!$E:$E,0)+SUM($D$3:D30)),"",INDEX('[1]Grade Project'!$F:$F,MATCH($A$3,'[1]Grade Project'!$E:$E,0)+SUM($D$3:D30))))</f>
        <v>#N/A</v>
      </c>
      <c r="E31" t="str">
        <f t="shared" si="0"/>
        <v/>
      </c>
      <c r="F31" t="str">
        <f>IF(G30=0,"",INDEX('[1]Grade Project'!$G:$G,MATCH($A$5,'[1]Grade Project'!$F:$F,0)+SUM($G$3:G30)))</f>
        <v/>
      </c>
      <c r="G31">
        <f>COUNTIFS('[1]Grade Project'!$F:$F,$A$5,'[1]Grade Project'!$G:$G,F31)</f>
        <v>0</v>
      </c>
      <c r="H31" t="str">
        <f>IF(I30=0,"",INDEX('[1]Grade Project'!$K:$K,MATCH(CONCATENATE($A$5,$A$8),'[1]Grade Project'!$H:$H,0)+SUM($I$3:I30)))</f>
        <v/>
      </c>
      <c r="I31">
        <f>COUNTIFS('[1]Grade Project'!$G:$G,$A$8,'[1]Grade Project'!$K:$K,H31,'[1]Grade Project'!$F:$F,$A$5)</f>
        <v>0</v>
      </c>
      <c r="J31" t="str">
        <f>IFERROR(AVERAGEIFS('[1]Grade Project'!$N:$N,'[1]Grade Project'!$K:$K,H31,'[1]Grade Project'!$F:$F,$A$5,'[1]Grade Project'!$G:$G,$A$8),"")</f>
        <v/>
      </c>
      <c r="K31" t="str">
        <f>IFERROR(AVERAGEIFS('[1]Grade Project'!$O:$O,'[1]Grade Project'!$K:$K,H31,'[1]Grade Project'!$F:$F,$A$5,'[1]Grade Project'!$G:$G,$A$8),"")</f>
        <v/>
      </c>
      <c r="L31" t="str">
        <f t="shared" si="1"/>
        <v/>
      </c>
      <c r="M31" t="str">
        <f t="shared" si="2"/>
        <v/>
      </c>
      <c r="N31" t="str">
        <f t="shared" si="3"/>
        <v/>
      </c>
    </row>
    <row r="32" spans="1:14" x14ac:dyDescent="0.25">
      <c r="B32" t="s">
        <v>31</v>
      </c>
      <c r="C32" t="e">
        <f>IF(C31="","",IF(C31=INDEX('[1]Grade Project'!$F:$F,MATCH($A$3,'[1]Grade Project'!$E:$E,0)+SUM($D$3:D31)),"",INDEX('[1]Grade Project'!$F:$F,MATCH($A$3,'[1]Grade Project'!$E:$E,0)+SUM($D$3:D31))))</f>
        <v>#N/A</v>
      </c>
      <c r="E32" t="str">
        <f t="shared" si="0"/>
        <v/>
      </c>
      <c r="F32" t="str">
        <f>IF(G31=0,"",INDEX('[1]Grade Project'!$G:$G,MATCH($A$5,'[1]Grade Project'!$F:$F,0)+SUM($G$3:G31)))</f>
        <v/>
      </c>
      <c r="G32">
        <f>COUNTIFS('[1]Grade Project'!$F:$F,$A$5,'[1]Grade Project'!$G:$G,F32)</f>
        <v>0</v>
      </c>
      <c r="H32" t="str">
        <f>IF(I31=0,"",INDEX('[1]Grade Project'!$K:$K,MATCH(CONCATENATE($A$5,$A$8),'[1]Grade Project'!$H:$H,0)+SUM($I$3:I31)))</f>
        <v/>
      </c>
      <c r="I32">
        <f>COUNTIFS('[1]Grade Project'!$G:$G,$A$8,'[1]Grade Project'!$K:$K,H32,'[1]Grade Project'!$F:$F,$A$5)</f>
        <v>0</v>
      </c>
      <c r="J32" t="str">
        <f>IFERROR(AVERAGEIFS('[1]Grade Project'!$N:$N,'[1]Grade Project'!$K:$K,H32,'[1]Grade Project'!$F:$F,$A$5,'[1]Grade Project'!$G:$G,$A$8),"")</f>
        <v/>
      </c>
      <c r="K32" t="str">
        <f>IFERROR(AVERAGEIFS('[1]Grade Project'!$O:$O,'[1]Grade Project'!$K:$K,H32,'[1]Grade Project'!$F:$F,$A$5,'[1]Grade Project'!$G:$G,$A$8),"")</f>
        <v/>
      </c>
      <c r="L32" t="str">
        <f t="shared" si="1"/>
        <v/>
      </c>
      <c r="M32" t="str">
        <f t="shared" si="2"/>
        <v/>
      </c>
      <c r="N32" t="str">
        <f t="shared" si="3"/>
        <v/>
      </c>
    </row>
    <row r="33" spans="2:14" x14ac:dyDescent="0.25">
      <c r="B33" t="s">
        <v>32</v>
      </c>
      <c r="C33" t="e">
        <f>IF(C32="","",IF(C32=INDEX('[1]Grade Project'!$F:$F,MATCH($A$3,'[1]Grade Project'!$E:$E,0)+SUM($D$3:D32)),"",INDEX('[1]Grade Project'!$F:$F,MATCH($A$3,'[1]Grade Project'!$E:$E,0)+SUM($D$3:D32))))</f>
        <v>#N/A</v>
      </c>
      <c r="E33" t="str">
        <f t="shared" si="0"/>
        <v/>
      </c>
      <c r="F33" t="str">
        <f>IF(G32=0,"",INDEX('[1]Grade Project'!$G:$G,MATCH($A$5,'[1]Grade Project'!$F:$F,0)+SUM($G$3:G32)))</f>
        <v/>
      </c>
      <c r="G33">
        <f>COUNTIFS('[1]Grade Project'!$F:$F,$A$5,'[1]Grade Project'!$G:$G,F33)</f>
        <v>0</v>
      </c>
      <c r="H33" t="str">
        <f>IF(I32=0,"",INDEX('[1]Grade Project'!$K:$K,MATCH(CONCATENATE($A$5,$A$8),'[1]Grade Project'!$H:$H,0)+SUM($I$3:I32)))</f>
        <v/>
      </c>
      <c r="I33">
        <f>COUNTIFS('[1]Grade Project'!$G:$G,$A$8,'[1]Grade Project'!$K:$K,H33,'[1]Grade Project'!$F:$F,$A$5)</f>
        <v>0</v>
      </c>
      <c r="J33" t="str">
        <f>IFERROR(AVERAGEIFS('[1]Grade Project'!$N:$N,'[1]Grade Project'!$K:$K,H33,'[1]Grade Project'!$F:$F,$A$5,'[1]Grade Project'!$G:$G,$A$8),"")</f>
        <v/>
      </c>
      <c r="K33" t="str">
        <f>IFERROR(AVERAGEIFS('[1]Grade Project'!$O:$O,'[1]Grade Project'!$K:$K,H33,'[1]Grade Project'!$F:$F,$A$5,'[1]Grade Project'!$G:$G,$A$8),"")</f>
        <v/>
      </c>
      <c r="L33" t="str">
        <f t="shared" si="1"/>
        <v/>
      </c>
      <c r="M33" t="str">
        <f t="shared" si="2"/>
        <v/>
      </c>
      <c r="N33" t="str">
        <f t="shared" si="3"/>
        <v/>
      </c>
    </row>
    <row r="34" spans="2:14" x14ac:dyDescent="0.25">
      <c r="B34" t="s">
        <v>33</v>
      </c>
      <c r="C34" t="e">
        <f>IF(C33="","",IF(C33=INDEX('[1]Grade Project'!$F:$F,MATCH($A$3,'[1]Grade Project'!$E:$E,0)+SUM($D$3:D33)),"",INDEX('[1]Grade Project'!$F:$F,MATCH($A$3,'[1]Grade Project'!$E:$E,0)+SUM($D$3:D33))))</f>
        <v>#N/A</v>
      </c>
      <c r="E34" t="str">
        <f t="shared" si="0"/>
        <v/>
      </c>
      <c r="F34" t="str">
        <f>IF(G33=0,"",INDEX('[1]Grade Project'!$G:$G,MATCH($A$5,'[1]Grade Project'!$F:$F,0)+SUM($G$3:G33)))</f>
        <v/>
      </c>
      <c r="G34">
        <f>COUNTIFS('[1]Grade Project'!$F:$F,$A$5,'[1]Grade Project'!$G:$G,F34)</f>
        <v>0</v>
      </c>
      <c r="H34" t="str">
        <f>IF(I33=0,"",INDEX('[1]Grade Project'!$K:$K,MATCH(CONCATENATE($A$5,$A$8),'[1]Grade Project'!$H:$H,0)+SUM($I$3:I33)))</f>
        <v/>
      </c>
      <c r="I34">
        <f>COUNTIFS('[1]Grade Project'!$G:$G,$A$8,'[1]Grade Project'!$K:$K,H34,'[1]Grade Project'!$F:$F,$A$5)</f>
        <v>0</v>
      </c>
      <c r="J34" t="str">
        <f>IFERROR(AVERAGEIFS('[1]Grade Project'!$N:$N,'[1]Grade Project'!$K:$K,H34,'[1]Grade Project'!$F:$F,$A$5,'[1]Grade Project'!$G:$G,$A$8),"")</f>
        <v/>
      </c>
      <c r="K34" t="str">
        <f>IFERROR(AVERAGEIFS('[1]Grade Project'!$O:$O,'[1]Grade Project'!$K:$K,H34,'[1]Grade Project'!$F:$F,$A$5,'[1]Grade Project'!$G:$G,$A$8),"")</f>
        <v/>
      </c>
      <c r="L34" t="str">
        <f t="shared" si="1"/>
        <v/>
      </c>
      <c r="M34" t="str">
        <f t="shared" si="2"/>
        <v/>
      </c>
      <c r="N34" t="str">
        <f t="shared" si="3"/>
        <v/>
      </c>
    </row>
    <row r="35" spans="2:14" x14ac:dyDescent="0.25">
      <c r="B35" t="s">
        <v>34</v>
      </c>
      <c r="C35" t="e">
        <f>IF(C34="","",IF(C34=INDEX('[1]Grade Project'!$F:$F,MATCH($A$3,'[1]Grade Project'!$E:$E,0)+SUM($D$3:D34)),"",INDEX('[1]Grade Project'!$F:$F,MATCH($A$3,'[1]Grade Project'!$E:$E,0)+SUM($D$3:D34))))</f>
        <v>#N/A</v>
      </c>
      <c r="E35" t="str">
        <f t="shared" si="0"/>
        <v/>
      </c>
      <c r="F35" t="str">
        <f>IF(G34=0,"",INDEX('[1]Grade Project'!$G:$G,MATCH($A$5,'[1]Grade Project'!$F:$F,0)+SUM($G$3:G34)))</f>
        <v/>
      </c>
      <c r="G35">
        <f>COUNTIFS('[1]Grade Project'!$F:$F,$A$5,'[1]Grade Project'!$G:$G,F35)</f>
        <v>0</v>
      </c>
      <c r="H35" t="str">
        <f>IF(I34=0,"",INDEX('[1]Grade Project'!$K:$K,MATCH(CONCATENATE($A$5,$A$8),'[1]Grade Project'!$H:$H,0)+SUM($I$3:I34)))</f>
        <v/>
      </c>
      <c r="I35">
        <f>COUNTIFS('[1]Grade Project'!$G:$G,$A$8,'[1]Grade Project'!$K:$K,H35,'[1]Grade Project'!$F:$F,$A$5)</f>
        <v>0</v>
      </c>
      <c r="J35" t="str">
        <f>IFERROR(AVERAGEIFS('[1]Grade Project'!$N:$N,'[1]Grade Project'!$K:$K,H35,'[1]Grade Project'!$F:$F,$A$5,'[1]Grade Project'!$G:$G,$A$8),"")</f>
        <v/>
      </c>
      <c r="K35" t="str">
        <f>IFERROR(AVERAGEIFS('[1]Grade Project'!$O:$O,'[1]Grade Project'!$K:$K,H35,'[1]Grade Project'!$F:$F,$A$5,'[1]Grade Project'!$G:$G,$A$8),"")</f>
        <v/>
      </c>
      <c r="L35" t="str">
        <f t="shared" si="1"/>
        <v/>
      </c>
      <c r="M35" t="str">
        <f t="shared" si="2"/>
        <v/>
      </c>
      <c r="N35" t="str">
        <f t="shared" si="3"/>
        <v/>
      </c>
    </row>
    <row r="36" spans="2:14" x14ac:dyDescent="0.25">
      <c r="B36" t="s">
        <v>35</v>
      </c>
      <c r="C36" t="e">
        <f>IF(C35="","",IF(C35=INDEX('[1]Grade Project'!$F:$F,MATCH($A$3,'[1]Grade Project'!$E:$E,0)+SUM($D$3:D35)),"",INDEX('[1]Grade Project'!$F:$F,MATCH($A$3,'[1]Grade Project'!$E:$E,0)+SUM($D$3:D35))))</f>
        <v>#N/A</v>
      </c>
      <c r="E36" t="str">
        <f t="shared" si="0"/>
        <v/>
      </c>
      <c r="F36" t="str">
        <f>IF(G35=0,"",INDEX('[1]Grade Project'!$G:$G,MATCH($A$5,'[1]Grade Project'!$F:$F,0)+SUM($G$3:G35)))</f>
        <v/>
      </c>
      <c r="G36">
        <f>COUNTIFS('[1]Grade Project'!$F:$F,$A$5,'[1]Grade Project'!$G:$G,F36)</f>
        <v>0</v>
      </c>
      <c r="H36" t="str">
        <f>IF(I35=0,"",INDEX('[1]Grade Project'!$K:$K,MATCH(CONCATENATE($A$5,$A$8),'[1]Grade Project'!$H:$H,0)+SUM($I$3:I35)))</f>
        <v/>
      </c>
      <c r="I36">
        <f>COUNTIFS('[1]Grade Project'!$G:$G,$A$8,'[1]Grade Project'!$K:$K,H36,'[1]Grade Project'!$F:$F,$A$5)</f>
        <v>0</v>
      </c>
      <c r="J36" t="str">
        <f>IFERROR(AVERAGEIFS('[1]Grade Project'!$N:$N,'[1]Grade Project'!$K:$K,H36,'[1]Grade Project'!$F:$F,$A$5,'[1]Grade Project'!$G:$G,$A$8),"")</f>
        <v/>
      </c>
      <c r="K36" t="str">
        <f>IFERROR(AVERAGEIFS('[1]Grade Project'!$O:$O,'[1]Grade Project'!$K:$K,H36,'[1]Grade Project'!$F:$F,$A$5,'[1]Grade Project'!$G:$G,$A$8),"")</f>
        <v/>
      </c>
      <c r="L36" t="str">
        <f t="shared" si="1"/>
        <v/>
      </c>
      <c r="M36" t="str">
        <f t="shared" si="2"/>
        <v/>
      </c>
      <c r="N36" t="str">
        <f t="shared" si="3"/>
        <v/>
      </c>
    </row>
    <row r="37" spans="2:14" x14ac:dyDescent="0.25">
      <c r="B37" t="s">
        <v>36</v>
      </c>
      <c r="C37" t="e">
        <f>IF(C36="","",IF(C36=INDEX('[1]Grade Project'!$F:$F,MATCH($A$3,'[1]Grade Project'!$E:$E,0)+SUM($D$3:D36)),"",INDEX('[1]Grade Project'!$F:$F,MATCH($A$3,'[1]Grade Project'!$E:$E,0)+SUM($D$3:D36))))</f>
        <v>#N/A</v>
      </c>
      <c r="F37" t="str">
        <f>IF(G36=0,"",INDEX('[1]Grade Project'!$G:$G,MATCH($A$5,'[1]Grade Project'!$F:$F,0)+SUM($G$3:G36)))</f>
        <v/>
      </c>
      <c r="G37">
        <f>COUNTIFS('[1]Grade Project'!$F:$F,$A$5,'[1]Grade Project'!$G:$G,F37)</f>
        <v>0</v>
      </c>
      <c r="H37" t="str">
        <f>IF(I36=0,"",INDEX('[1]Grade Project'!$K:$K,MATCH(CONCATENATE($A$5,$A$8),'[1]Grade Project'!$H:$H,0)+SUM($I$3:I36)))</f>
        <v/>
      </c>
      <c r="I37">
        <f>COUNTIFS('[1]Grade Project'!$G:$G,$A$8,'[1]Grade Project'!$K:$K,H37,'[1]Grade Project'!$F:$F,$A$5)</f>
        <v>0</v>
      </c>
      <c r="J37" t="str">
        <f>IFERROR(AVERAGEIFS('[1]Grade Project'!$N:$N,'[1]Grade Project'!$K:$K,H37,'[1]Grade Project'!$F:$F,$A$5,'[1]Grade Project'!$G:$G,$A$8),"")</f>
        <v/>
      </c>
      <c r="K37" t="str">
        <f>IFERROR(AVERAGEIFS('[1]Grade Project'!$O:$O,'[1]Grade Project'!$K:$K,H37,'[1]Grade Project'!$F:$F,$A$5,'[1]Grade Project'!$G:$G,$A$8),"")</f>
        <v/>
      </c>
      <c r="L37" t="str">
        <f t="shared" si="1"/>
        <v/>
      </c>
      <c r="M37" t="str">
        <f t="shared" si="2"/>
        <v/>
      </c>
      <c r="N37" t="str">
        <f t="shared" si="3"/>
        <v/>
      </c>
    </row>
    <row r="38" spans="2:14" x14ac:dyDescent="0.25">
      <c r="B38" t="s">
        <v>37</v>
      </c>
      <c r="C38" t="e">
        <f>IF(C37="","",IF(C37=INDEX('[1]Grade Project'!$F:$F,MATCH($A$3,'[1]Grade Project'!$E:$E,0)+SUM($D$3:D37)),"",INDEX('[1]Grade Project'!$F:$F,MATCH($A$3,'[1]Grade Project'!$E:$E,0)+SUM($D$3:D37))))</f>
        <v>#N/A</v>
      </c>
      <c r="F38" t="str">
        <f>IF(G37=0,"",INDEX('[1]Grade Project'!$G:$G,MATCH($A$5,'[1]Grade Project'!$F:$F,0)+SUM($G$3:G37)))</f>
        <v/>
      </c>
      <c r="G38">
        <f>COUNTIFS('[1]Grade Project'!$F:$F,$A$5,'[1]Grade Project'!$G:$G,F38)</f>
        <v>0</v>
      </c>
      <c r="H38" t="str">
        <f>IF(I37=0,"",INDEX('[1]Grade Project'!$K:$K,MATCH(CONCATENATE($A$5,$A$8),'[1]Grade Project'!$H:$H,0)+SUM($I$3:I37)))</f>
        <v/>
      </c>
      <c r="I38">
        <f>COUNTIFS('[1]Grade Project'!$G:$G,$A$8,'[1]Grade Project'!$K:$K,H38,'[1]Grade Project'!$F:$F,$A$5)</f>
        <v>0</v>
      </c>
      <c r="J38" t="str">
        <f>IFERROR(AVERAGEIFS('[1]Grade Project'!$N:$N,'[1]Grade Project'!$K:$K,H38,'[1]Grade Project'!$F:$F,$A$5,'[1]Grade Project'!$G:$G,$A$8),"")</f>
        <v/>
      </c>
      <c r="K38" t="str">
        <f>IFERROR(AVERAGEIFS('[1]Grade Project'!$O:$O,'[1]Grade Project'!$K:$K,H38,'[1]Grade Project'!$F:$F,$A$5,'[1]Grade Project'!$G:$G,$A$8),"")</f>
        <v/>
      </c>
      <c r="L38" t="str">
        <f t="shared" si="1"/>
        <v/>
      </c>
      <c r="M38" t="str">
        <f t="shared" si="2"/>
        <v/>
      </c>
      <c r="N38" t="str">
        <f t="shared" si="3"/>
        <v/>
      </c>
    </row>
    <row r="39" spans="2:14" x14ac:dyDescent="0.25">
      <c r="B39" t="s">
        <v>38</v>
      </c>
      <c r="C39" t="e">
        <f>IF(C38="","",IF(C38=INDEX('[1]Grade Project'!$F:$F,MATCH($A$3,'[1]Grade Project'!$E:$E,0)+SUM($D$3:D38)),"",INDEX('[1]Grade Project'!$F:$F,MATCH($A$3,'[1]Grade Project'!$E:$E,0)+SUM($D$3:D38))))</f>
        <v>#N/A</v>
      </c>
      <c r="F39" t="str">
        <f>IF(G38=0,"",INDEX('[1]Grade Project'!$G:$G,MATCH($A$5,'[1]Grade Project'!$F:$F,0)+SUM($G$3:G38)))</f>
        <v/>
      </c>
      <c r="G39">
        <f>COUNTIFS('[1]Grade Project'!$F:$F,$A$5,'[1]Grade Project'!$G:$G,F39)</f>
        <v>0</v>
      </c>
      <c r="H39" t="str">
        <f>IF(I38=0,"",INDEX('[1]Grade Project'!$K:$K,MATCH(CONCATENATE($A$5,$A$8),'[1]Grade Project'!$H:$H,0)+SUM($I$3:I38)))</f>
        <v/>
      </c>
      <c r="I39">
        <f>COUNTIFS('[1]Grade Project'!$G:$G,$A$8,'[1]Grade Project'!$K:$K,H39,'[1]Grade Project'!$F:$F,$A$5)</f>
        <v>0</v>
      </c>
      <c r="J39" t="str">
        <f>IFERROR(AVERAGEIFS('[1]Grade Project'!$N:$N,'[1]Grade Project'!$K:$K,H39,'[1]Grade Project'!$F:$F,$A$5,'[1]Grade Project'!$G:$G,$A$8),"")</f>
        <v/>
      </c>
      <c r="K39" t="str">
        <f>IFERROR(AVERAGEIFS('[1]Grade Project'!$O:$O,'[1]Grade Project'!$K:$K,H39,'[1]Grade Project'!$F:$F,$A$5,'[1]Grade Project'!$G:$G,$A$8),"")</f>
        <v/>
      </c>
      <c r="L39" t="str">
        <f t="shared" si="1"/>
        <v/>
      </c>
      <c r="M39" t="str">
        <f t="shared" si="2"/>
        <v/>
      </c>
      <c r="N39" t="str">
        <f t="shared" si="3"/>
        <v/>
      </c>
    </row>
    <row r="40" spans="2:14" x14ac:dyDescent="0.25">
      <c r="B40" t="s">
        <v>39</v>
      </c>
      <c r="C40" t="e">
        <f>IF(C39="","",IF(C39=INDEX('[1]Grade Project'!$F:$F,MATCH($A$3,'[1]Grade Project'!$E:$E,0)+SUM($D$3:D39)),"",INDEX('[1]Grade Project'!$F:$F,MATCH($A$3,'[1]Grade Project'!$E:$E,0)+SUM($D$3:D39))))</f>
        <v>#N/A</v>
      </c>
      <c r="F40" t="str">
        <f>IF(G39=0,"",INDEX('[1]Grade Project'!$G:$G,MATCH($A$5,'[1]Grade Project'!$F:$F,0)+SUM($G$3:G39)))</f>
        <v/>
      </c>
      <c r="G40">
        <f>COUNTIFS('[1]Grade Project'!$F:$F,$A$5,'[1]Grade Project'!$G:$G,F40)</f>
        <v>0</v>
      </c>
      <c r="H40" t="str">
        <f>IF(I39=0,"",INDEX('[1]Grade Project'!$K:$K,MATCH(CONCATENATE($A$5,$A$8),'[1]Grade Project'!$H:$H,0)+SUM($I$3:I39)))</f>
        <v/>
      </c>
      <c r="I40">
        <f>COUNTIFS('[1]Grade Project'!$G:$G,$A$8,'[1]Grade Project'!$K:$K,H40,'[1]Grade Project'!$F:$F,$A$5)</f>
        <v>0</v>
      </c>
      <c r="J40" t="str">
        <f>IFERROR(AVERAGEIFS('[1]Grade Project'!$N:$N,'[1]Grade Project'!$K:$K,H40,'[1]Grade Project'!$F:$F,$A$5,'[1]Grade Project'!$G:$G,$A$8),"")</f>
        <v/>
      </c>
      <c r="K40" t="str">
        <f>IFERROR(AVERAGEIFS('[1]Grade Project'!$O:$O,'[1]Grade Project'!$K:$K,H40,'[1]Grade Project'!$F:$F,$A$5,'[1]Grade Project'!$G:$G,$A$8),"")</f>
        <v/>
      </c>
      <c r="L40" t="str">
        <f t="shared" si="1"/>
        <v/>
      </c>
      <c r="M40" t="str">
        <f t="shared" si="2"/>
        <v/>
      </c>
      <c r="N40" t="str">
        <f t="shared" si="3"/>
        <v/>
      </c>
    </row>
    <row r="41" spans="2:14" x14ac:dyDescent="0.25">
      <c r="B41" t="s">
        <v>40</v>
      </c>
      <c r="C41" t="e">
        <f>IF(C40="","",IF(C40=INDEX('[1]Grade Project'!$F:$F,MATCH($A$3,'[1]Grade Project'!$E:$E,0)+SUM($D$3:D40)),"",INDEX('[1]Grade Project'!$F:$F,MATCH($A$3,'[1]Grade Project'!$E:$E,0)+SUM($D$3:D40))))</f>
        <v>#N/A</v>
      </c>
      <c r="F41" t="str">
        <f>IF(G40=0,"",INDEX('[1]Grade Project'!$G:$G,MATCH($A$5,'[1]Grade Project'!$F:$F,0)+SUM($G$3:G40)))</f>
        <v/>
      </c>
      <c r="G41">
        <f>COUNTIFS('[1]Grade Project'!$F:$F,$A$5,'[1]Grade Project'!$G:$G,F41)</f>
        <v>0</v>
      </c>
      <c r="H41" t="str">
        <f>IF(I40=0,"",INDEX('[1]Grade Project'!$K:$K,MATCH(CONCATENATE($A$5,$A$8),'[1]Grade Project'!$H:$H,0)+SUM($I$3:I40)))</f>
        <v/>
      </c>
      <c r="I41">
        <f>COUNTIFS('[1]Grade Project'!$G:$G,$A$8,'[1]Grade Project'!$K:$K,H41,'[1]Grade Project'!$F:$F,$A$5)</f>
        <v>0</v>
      </c>
      <c r="J41" t="str">
        <f>IFERROR(AVERAGEIFS('[1]Grade Project'!$N:$N,'[1]Grade Project'!$K:$K,H41,'[1]Grade Project'!$F:$F,$A$5,'[1]Grade Project'!$G:$G,$A$8),"")</f>
        <v/>
      </c>
      <c r="K41" t="str">
        <f>IFERROR(AVERAGEIFS('[1]Grade Project'!$O:$O,'[1]Grade Project'!$K:$K,H41,'[1]Grade Project'!$F:$F,$A$5,'[1]Grade Project'!$G:$G,$A$8),"")</f>
        <v/>
      </c>
      <c r="L41" t="str">
        <f t="shared" si="1"/>
        <v/>
      </c>
      <c r="M41" t="str">
        <f t="shared" si="2"/>
        <v/>
      </c>
      <c r="N41" t="str">
        <f t="shared" si="3"/>
        <v/>
      </c>
    </row>
    <row r="42" spans="2:14" x14ac:dyDescent="0.25">
      <c r="B42" t="s">
        <v>41</v>
      </c>
      <c r="C42" t="e">
        <f>IF(C41="","",IF(C41=INDEX('[1]Grade Project'!$F:$F,MATCH($A$3,'[1]Grade Project'!$E:$E,0)+SUM($D$3:D41)),"",INDEX('[1]Grade Project'!$F:$F,MATCH($A$3,'[1]Grade Project'!$E:$E,0)+SUM($D$3:D41))))</f>
        <v>#N/A</v>
      </c>
      <c r="F42" t="str">
        <f>IF(G41=0,"",INDEX('[1]Grade Project'!$G:$G,MATCH($A$5,'[1]Grade Project'!$F:$F,0)+SUM($G$3:G41)))</f>
        <v/>
      </c>
      <c r="G42">
        <f>COUNTIFS('[1]Grade Project'!$F:$F,$A$5,'[1]Grade Project'!$G:$G,F42)</f>
        <v>0</v>
      </c>
      <c r="H42" t="str">
        <f>IF(I41=0,"",INDEX('[1]Grade Project'!$K:$K,MATCH(CONCATENATE($A$5,$A$8),'[1]Grade Project'!$H:$H,0)+SUM($I$3:I41)))</f>
        <v/>
      </c>
      <c r="I42">
        <f>COUNTIFS('[1]Grade Project'!$G:$G,$A$8,'[1]Grade Project'!$K:$K,H42,'[1]Grade Project'!$F:$F,$A$5)</f>
        <v>0</v>
      </c>
      <c r="J42" t="str">
        <f>IFERROR(AVERAGEIFS('[1]Grade Project'!$N:$N,'[1]Grade Project'!$K:$K,H42,'[1]Grade Project'!$F:$F,$A$5,'[1]Grade Project'!$G:$G,$A$8),"")</f>
        <v/>
      </c>
      <c r="K42" t="str">
        <f>IFERROR(AVERAGEIFS('[1]Grade Project'!$O:$O,'[1]Grade Project'!$K:$K,H42,'[1]Grade Project'!$F:$F,$A$5,'[1]Grade Project'!$G:$G,$A$8),"")</f>
        <v/>
      </c>
      <c r="L42" t="str">
        <f t="shared" si="1"/>
        <v/>
      </c>
      <c r="M42" t="str">
        <f t="shared" si="2"/>
        <v/>
      </c>
      <c r="N42" t="str">
        <f t="shared" si="3"/>
        <v/>
      </c>
    </row>
    <row r="43" spans="2:14" x14ac:dyDescent="0.25">
      <c r="B43" t="s">
        <v>42</v>
      </c>
      <c r="C43" t="e">
        <f>IF(C42="","",IF(C42=INDEX('[1]Grade Project'!$F:$F,MATCH($A$3,'[1]Grade Project'!$E:$E,0)+SUM($D$3:D42)),"",INDEX('[1]Grade Project'!$F:$F,MATCH($A$3,'[1]Grade Project'!$E:$E,0)+SUM($D$3:D42))))</f>
        <v>#N/A</v>
      </c>
      <c r="F43" t="str">
        <f>IF(G42=0,"",INDEX('[1]Grade Project'!$G:$G,MATCH($A$5,'[1]Grade Project'!$F:$F,0)+SUM($G$3:G42)))</f>
        <v/>
      </c>
      <c r="G43">
        <f>COUNTIFS('[1]Grade Project'!$F:$F,$A$5,'[1]Grade Project'!$G:$G,F43)</f>
        <v>0</v>
      </c>
      <c r="H43" t="str">
        <f>IF(I42=0,"",INDEX('[1]Grade Project'!$K:$K,MATCH(CONCATENATE($A$5,$A$8),'[1]Grade Project'!$H:$H,0)+SUM($I$3:I42)))</f>
        <v/>
      </c>
      <c r="I43">
        <f>COUNTIFS('[1]Grade Project'!$G:$G,$A$8,'[1]Grade Project'!$K:$K,H43,'[1]Grade Project'!$F:$F,$A$5)</f>
        <v>0</v>
      </c>
      <c r="J43" t="str">
        <f>IFERROR(AVERAGEIFS('[1]Grade Project'!$N:$N,'[1]Grade Project'!$K:$K,H43,'[1]Grade Project'!$F:$F,$A$5,'[1]Grade Project'!$G:$G,$A$8),"")</f>
        <v/>
      </c>
      <c r="K43" t="str">
        <f>IFERROR(AVERAGEIFS('[1]Grade Project'!$O:$O,'[1]Grade Project'!$K:$K,H43,'[1]Grade Project'!$F:$F,$A$5,'[1]Grade Project'!$G:$G,$A$8),"")</f>
        <v/>
      </c>
      <c r="L43" t="str">
        <f t="shared" si="1"/>
        <v/>
      </c>
      <c r="M43" t="str">
        <f t="shared" si="2"/>
        <v/>
      </c>
      <c r="N43" t="str">
        <f t="shared" si="3"/>
        <v/>
      </c>
    </row>
    <row r="44" spans="2:14" x14ac:dyDescent="0.25">
      <c r="B44" t="s">
        <v>43</v>
      </c>
      <c r="C44" t="e">
        <f>IF(C43="","",IF(C43=INDEX('[1]Grade Project'!$F:$F,MATCH($A$3,'[1]Grade Project'!$E:$E,0)+SUM($D$3:D43)),"",INDEX('[1]Grade Project'!$F:$F,MATCH($A$3,'[1]Grade Project'!$E:$E,0)+SUM($D$3:D43))))</f>
        <v>#N/A</v>
      </c>
      <c r="F44" t="str">
        <f>IF(G43=0,"",INDEX('[1]Grade Project'!$G:$G,MATCH($A$5,'[1]Grade Project'!$F:$F,0)+SUM($G$3:G43)))</f>
        <v/>
      </c>
      <c r="G44">
        <f>COUNTIFS('[1]Grade Project'!$F:$F,$A$5,'[1]Grade Project'!$G:$G,F44)</f>
        <v>0</v>
      </c>
      <c r="H44" t="str">
        <f>IF(I43=0,"",INDEX('[1]Grade Project'!$K:$K,MATCH(CONCATENATE($A$5,$A$8),'[1]Grade Project'!$H:$H,0)+SUM($I$3:I43)))</f>
        <v/>
      </c>
      <c r="I44">
        <f>COUNTIFS('[1]Grade Project'!$G:$G,$A$8,'[1]Grade Project'!$K:$K,H44,'[1]Grade Project'!$F:$F,$A$5)</f>
        <v>0</v>
      </c>
      <c r="J44" t="str">
        <f>IFERROR(AVERAGEIFS('[1]Grade Project'!$N:$N,'[1]Grade Project'!$K:$K,H44,'[1]Grade Project'!$F:$F,$A$5,'[1]Grade Project'!$G:$G,$A$8),"")</f>
        <v/>
      </c>
      <c r="K44" t="str">
        <f>IFERROR(AVERAGEIFS('[1]Grade Project'!$O:$O,'[1]Grade Project'!$K:$K,H44,'[1]Grade Project'!$F:$F,$A$5,'[1]Grade Project'!$G:$G,$A$8),"")</f>
        <v/>
      </c>
      <c r="L44" t="str">
        <f t="shared" si="1"/>
        <v/>
      </c>
      <c r="M44" t="str">
        <f t="shared" si="2"/>
        <v/>
      </c>
      <c r="N44" t="str">
        <f t="shared" si="3"/>
        <v/>
      </c>
    </row>
    <row r="45" spans="2:14" x14ac:dyDescent="0.25">
      <c r="B45" t="s">
        <v>44</v>
      </c>
      <c r="C45" t="e">
        <f>IF(C44="","",IF(C44=INDEX('[1]Grade Project'!$F:$F,MATCH($A$3,'[1]Grade Project'!$E:$E,0)+SUM($D$3:D44)),"",INDEX('[1]Grade Project'!$F:$F,MATCH($A$3,'[1]Grade Project'!$E:$E,0)+SUM($D$3:D44))))</f>
        <v>#N/A</v>
      </c>
      <c r="F45" t="str">
        <f>IF(G44=0,"",INDEX('[1]Grade Project'!$G:$G,MATCH($A$5,'[1]Grade Project'!$F:$F,0)+SUM($G$3:G44)))</f>
        <v/>
      </c>
      <c r="G45">
        <f>COUNTIFS('[1]Grade Project'!$F:$F,$A$5,'[1]Grade Project'!$G:$G,F45)</f>
        <v>0</v>
      </c>
      <c r="H45" t="str">
        <f>IF(I44=0,"",INDEX('[1]Grade Project'!$K:$K,MATCH(CONCATENATE($A$5,$A$8),'[1]Grade Project'!$H:$H,0)+SUM($I$3:I44)))</f>
        <v/>
      </c>
      <c r="I45">
        <f>COUNTIFS('[1]Grade Project'!$G:$G,$A$8,'[1]Grade Project'!$K:$K,H45,'[1]Grade Project'!$F:$F,$A$5)</f>
        <v>0</v>
      </c>
      <c r="J45" t="str">
        <f>IFERROR(AVERAGEIFS('[1]Grade Project'!$N:$N,'[1]Grade Project'!$K:$K,H45,'[1]Grade Project'!$F:$F,$A$5,'[1]Grade Project'!$G:$G,$A$8),"")</f>
        <v/>
      </c>
      <c r="K45" t="str">
        <f>IFERROR(AVERAGEIFS('[1]Grade Project'!$O:$O,'[1]Grade Project'!$K:$K,H45,'[1]Grade Project'!$F:$F,$A$5,'[1]Grade Project'!$G:$G,$A$8),"")</f>
        <v/>
      </c>
      <c r="L45" t="str">
        <f t="shared" si="1"/>
        <v/>
      </c>
      <c r="M45" t="str">
        <f t="shared" si="2"/>
        <v/>
      </c>
      <c r="N45" t="str">
        <f t="shared" si="3"/>
        <v/>
      </c>
    </row>
    <row r="46" spans="2:14" x14ac:dyDescent="0.25">
      <c r="B46" t="s">
        <v>45</v>
      </c>
      <c r="C46" t="e">
        <f>IF(C45="","",IF(C45=INDEX('[1]Grade Project'!$F:$F,MATCH($A$3,'[1]Grade Project'!$E:$E,0)+SUM($D$3:D45)),"",INDEX('[1]Grade Project'!$F:$F,MATCH($A$3,'[1]Grade Project'!$E:$E,0)+SUM($D$3:D45))))</f>
        <v>#N/A</v>
      </c>
      <c r="F46" t="str">
        <f>IF(G45=0,"",INDEX('[1]Grade Project'!$G:$G,MATCH($A$5,'[1]Grade Project'!$F:$F,0)+SUM($G$3:G45)))</f>
        <v/>
      </c>
      <c r="G46">
        <f>COUNTIFS('[1]Grade Project'!$F:$F,$A$5,'[1]Grade Project'!$G:$G,F46)</f>
        <v>0</v>
      </c>
      <c r="H46" t="str">
        <f>IF(I45=0,"",INDEX('[1]Grade Project'!$K:$K,MATCH(CONCATENATE($A$5,$A$8),'[1]Grade Project'!$H:$H,0)+SUM($I$3:I45)))</f>
        <v/>
      </c>
      <c r="I46">
        <f>COUNTIFS('[1]Grade Project'!$G:$G,$A$8,'[1]Grade Project'!$K:$K,H46,'[1]Grade Project'!$F:$F,$A$5)</f>
        <v>0</v>
      </c>
      <c r="J46" t="str">
        <f>IFERROR(AVERAGEIFS('[1]Grade Project'!$N:$N,'[1]Grade Project'!$K:$K,H46,'[1]Grade Project'!$F:$F,$A$5,'[1]Grade Project'!$G:$G,$A$8),"")</f>
        <v/>
      </c>
      <c r="K46" t="str">
        <f>IFERROR(AVERAGEIFS('[1]Grade Project'!$O:$O,'[1]Grade Project'!$K:$K,H46,'[1]Grade Project'!$F:$F,$A$5,'[1]Grade Project'!$G:$G,$A$8),"")</f>
        <v/>
      </c>
      <c r="L46" t="str">
        <f t="shared" si="1"/>
        <v/>
      </c>
      <c r="M46" t="str">
        <f t="shared" si="2"/>
        <v/>
      </c>
      <c r="N46" t="str">
        <f t="shared" si="3"/>
        <v/>
      </c>
    </row>
    <row r="47" spans="2:14" x14ac:dyDescent="0.25">
      <c r="B47" t="s">
        <v>46</v>
      </c>
      <c r="C47" t="e">
        <f>IF(C46="","",IF(C46=INDEX('[1]Grade Project'!$F:$F,MATCH($A$3,'[1]Grade Project'!$E:$E,0)+SUM($D$3:D46)),"",INDEX('[1]Grade Project'!$F:$F,MATCH($A$3,'[1]Grade Project'!$E:$E,0)+SUM($D$3:D46))))</f>
        <v>#N/A</v>
      </c>
      <c r="F47" t="str">
        <f>IF(G46=0,"",INDEX('[1]Grade Project'!$G:$G,MATCH($A$5,'[1]Grade Project'!$F:$F,0)+SUM($G$3:G46)))</f>
        <v/>
      </c>
      <c r="G47">
        <f>COUNTIFS('[1]Grade Project'!$F:$F,$A$5,'[1]Grade Project'!$G:$G,F47)</f>
        <v>0</v>
      </c>
      <c r="H47" t="str">
        <f>IF(I46=0,"",INDEX('[1]Grade Project'!$K:$K,MATCH(CONCATENATE($A$5,$A$8),'[1]Grade Project'!$H:$H,0)+SUM($I$3:I46)))</f>
        <v/>
      </c>
      <c r="I47">
        <f>COUNTIFS('[1]Grade Project'!$G:$G,$A$8,'[1]Grade Project'!$K:$K,H47,'[1]Grade Project'!$F:$F,$A$5)</f>
        <v>0</v>
      </c>
      <c r="J47" t="str">
        <f>IFERROR(AVERAGEIFS('[1]Grade Project'!$N:$N,'[1]Grade Project'!$K:$K,H47,'[1]Grade Project'!$F:$F,$A$5,'[1]Grade Project'!$G:$G,$A$8),"")</f>
        <v/>
      </c>
      <c r="K47" t="str">
        <f>IFERROR(AVERAGEIFS('[1]Grade Project'!$O:$O,'[1]Grade Project'!$K:$K,H47,'[1]Grade Project'!$F:$F,$A$5,'[1]Grade Project'!$G:$G,$A$8),"")</f>
        <v/>
      </c>
      <c r="L47" t="str">
        <f t="shared" si="1"/>
        <v/>
      </c>
      <c r="M47" t="str">
        <f t="shared" si="2"/>
        <v/>
      </c>
      <c r="N47" t="str">
        <f t="shared" si="3"/>
        <v/>
      </c>
    </row>
    <row r="48" spans="2:14" x14ac:dyDescent="0.25">
      <c r="B48" t="s">
        <v>47</v>
      </c>
      <c r="C48" t="e">
        <f>IF(C47="","",IF(C47=INDEX('[1]Grade Project'!$F:$F,MATCH($A$3,'[1]Grade Project'!$E:$E,0)+SUM($D$3:D47)),"",INDEX('[1]Grade Project'!$F:$F,MATCH($A$3,'[1]Grade Project'!$E:$E,0)+SUM($D$3:D47))))</f>
        <v>#N/A</v>
      </c>
      <c r="F48" t="str">
        <f>IF(G47=0,"",INDEX('[1]Grade Project'!$G:$G,MATCH($A$5,'[1]Grade Project'!$F:$F,0)+SUM($G$3:G47)))</f>
        <v/>
      </c>
      <c r="G48">
        <f>COUNTIFS('[1]Grade Project'!$F:$F,$A$5,'[1]Grade Project'!$G:$G,F48)</f>
        <v>0</v>
      </c>
      <c r="H48" t="str">
        <f>IF(I47=0,"",INDEX('[1]Grade Project'!$K:$K,MATCH(CONCATENATE($A$5,$A$8),'[1]Grade Project'!$H:$H,0)+SUM($I$3:I47)))</f>
        <v/>
      </c>
      <c r="I48">
        <f>COUNTIFS('[1]Grade Project'!$G:$G,$A$8,'[1]Grade Project'!$K:$K,H48,'[1]Grade Project'!$F:$F,$A$5)</f>
        <v>0</v>
      </c>
      <c r="J48" t="str">
        <f>IFERROR(AVERAGEIFS('[1]Grade Project'!$N:$N,'[1]Grade Project'!$K:$K,H48,'[1]Grade Project'!$F:$F,$A$5,'[1]Grade Project'!$G:$G,$A$8),"")</f>
        <v/>
      </c>
      <c r="K48" t="str">
        <f>IFERROR(AVERAGEIFS('[1]Grade Project'!$O:$O,'[1]Grade Project'!$K:$K,H48,'[1]Grade Project'!$F:$F,$A$5,'[1]Grade Project'!$G:$G,$A$8),"")</f>
        <v/>
      </c>
      <c r="L48" t="str">
        <f t="shared" si="1"/>
        <v/>
      </c>
      <c r="M48" t="str">
        <f t="shared" si="2"/>
        <v/>
      </c>
      <c r="N48" t="str">
        <f t="shared" si="3"/>
        <v/>
      </c>
    </row>
    <row r="49" spans="2:14" x14ac:dyDescent="0.25">
      <c r="B49" t="s">
        <v>48</v>
      </c>
      <c r="C49" t="e">
        <f>IF(C48="","",IF(C48=INDEX('[1]Grade Project'!$F:$F,MATCH($A$3,'[1]Grade Project'!$E:$E,0)+SUM($D$3:D48)),"",INDEX('[1]Grade Project'!$F:$F,MATCH($A$3,'[1]Grade Project'!$E:$E,0)+SUM($D$3:D48))))</f>
        <v>#N/A</v>
      </c>
      <c r="F49" t="str">
        <f>IF(G48=0,"",INDEX('[1]Grade Project'!$G:$G,MATCH($A$5,'[1]Grade Project'!$F:$F,0)+SUM($G$3:G48)))</f>
        <v/>
      </c>
      <c r="G49">
        <f>COUNTIFS('[1]Grade Project'!$F:$F,$A$5,'[1]Grade Project'!$G:$G,F49)</f>
        <v>0</v>
      </c>
      <c r="H49" t="str">
        <f>IF(I48=0,"",INDEX('[1]Grade Project'!$K:$K,MATCH(CONCATENATE($A$5,$A$8),'[1]Grade Project'!$H:$H,0)+SUM($I$3:I48)))</f>
        <v/>
      </c>
      <c r="I49">
        <f>COUNTIFS('[1]Grade Project'!$G:$G,$A$8,'[1]Grade Project'!$K:$K,H49,'[1]Grade Project'!$F:$F,$A$5)</f>
        <v>0</v>
      </c>
      <c r="J49" t="str">
        <f>IFERROR(AVERAGEIFS('[1]Grade Project'!$N:$N,'[1]Grade Project'!$K:$K,H49,'[1]Grade Project'!$F:$F,$A$5,'[1]Grade Project'!$G:$G,$A$8),"")</f>
        <v/>
      </c>
      <c r="K49" t="str">
        <f>IFERROR(AVERAGEIFS('[1]Grade Project'!$O:$O,'[1]Grade Project'!$K:$K,H49,'[1]Grade Project'!$F:$F,$A$5,'[1]Grade Project'!$G:$G,$A$8),"")</f>
        <v/>
      </c>
      <c r="L49" t="str">
        <f t="shared" si="1"/>
        <v/>
      </c>
      <c r="M49" t="str">
        <f t="shared" si="2"/>
        <v/>
      </c>
      <c r="N49" t="str">
        <f t="shared" si="3"/>
        <v/>
      </c>
    </row>
    <row r="50" spans="2:14" x14ac:dyDescent="0.25">
      <c r="B50" t="s">
        <v>49</v>
      </c>
      <c r="C50" t="e">
        <f>IF(C49="","",IF(C49=INDEX('[1]Grade Project'!$F:$F,MATCH($A$3,'[1]Grade Project'!$E:$E,0)+SUM($D$3:D49)),"",INDEX('[1]Grade Project'!$F:$F,MATCH($A$3,'[1]Grade Project'!$E:$E,0)+SUM($D$3:D49))))</f>
        <v>#N/A</v>
      </c>
      <c r="F50" t="str">
        <f>IF(G49=0,"",INDEX('[1]Grade Project'!$G:$G,MATCH($A$5,'[1]Grade Project'!$F:$F,0)+SUM($G$3:G49)))</f>
        <v/>
      </c>
      <c r="G50">
        <f>COUNTIFS('[1]Grade Project'!$F:$F,$A$5,'[1]Grade Project'!$G:$G,F50)</f>
        <v>0</v>
      </c>
      <c r="H50" t="str">
        <f>IF(I49=0,"",INDEX('[1]Grade Project'!$K:$K,MATCH(CONCATENATE($A$5,$A$8),'[1]Grade Project'!$H:$H,0)+SUM($I$3:I49)))</f>
        <v/>
      </c>
      <c r="I50">
        <f>COUNTIFS('[1]Grade Project'!$G:$G,$A$8,'[1]Grade Project'!$K:$K,H50,'[1]Grade Project'!$F:$F,$A$5)</f>
        <v>0</v>
      </c>
      <c r="J50" t="str">
        <f>IFERROR(AVERAGEIFS('[1]Grade Project'!$N:$N,'[1]Grade Project'!$K:$K,H50,'[1]Grade Project'!$F:$F,$A$5,'[1]Grade Project'!$G:$G,$A$8),"")</f>
        <v/>
      </c>
      <c r="K50" t="str">
        <f>IFERROR(AVERAGEIFS('[1]Grade Project'!$O:$O,'[1]Grade Project'!$K:$K,H50,'[1]Grade Project'!$F:$F,$A$5,'[1]Grade Project'!$G:$G,$A$8),"")</f>
        <v/>
      </c>
      <c r="L50" t="str">
        <f t="shared" si="1"/>
        <v/>
      </c>
      <c r="M50" t="str">
        <f t="shared" si="2"/>
        <v/>
      </c>
      <c r="N50" t="str">
        <f t="shared" si="3"/>
        <v/>
      </c>
    </row>
    <row r="51" spans="2:14" x14ac:dyDescent="0.25">
      <c r="B51" t="s">
        <v>50</v>
      </c>
      <c r="C51" t="e">
        <f>IF(C50="","",IF(C50=INDEX('[1]Grade Project'!$F:$F,MATCH($A$3,'[1]Grade Project'!$E:$E,0)+SUM($D$3:D50)),"",INDEX('[1]Grade Project'!$F:$F,MATCH($A$3,'[1]Grade Project'!$E:$E,0)+SUM($D$3:D50))))</f>
        <v>#N/A</v>
      </c>
      <c r="F51" t="str">
        <f>IF(G50=0,"",INDEX('[1]Grade Project'!$G:$G,MATCH($A$5,'[1]Grade Project'!$F:$F,0)+SUM($G$3:G50)))</f>
        <v/>
      </c>
      <c r="G51">
        <f>COUNTIFS('[1]Grade Project'!$F:$F,$A$5,'[1]Grade Project'!$G:$G,F51)</f>
        <v>0</v>
      </c>
      <c r="H51" t="str">
        <f>IF(I50=0,"",INDEX('[1]Grade Project'!$K:$K,MATCH(CONCATENATE($A$5,$A$8),'[1]Grade Project'!$H:$H,0)+SUM($I$3:I50)))</f>
        <v/>
      </c>
      <c r="I51">
        <f>COUNTIFS('[1]Grade Project'!$G:$G,$A$8,'[1]Grade Project'!$K:$K,H51,'[1]Grade Project'!$F:$F,$A$5)</f>
        <v>0</v>
      </c>
      <c r="J51" t="str">
        <f>IFERROR(AVERAGEIFS('[1]Grade Project'!$N:$N,'[1]Grade Project'!$K:$K,H51,'[1]Grade Project'!$F:$F,$A$5,'[1]Grade Project'!$G:$G,$A$8),"")</f>
        <v/>
      </c>
      <c r="K51" t="str">
        <f>IFERROR(AVERAGEIFS('[1]Grade Project'!$O:$O,'[1]Grade Project'!$K:$K,H51,'[1]Grade Project'!$F:$F,$A$5,'[1]Grade Project'!$G:$G,$A$8),"")</f>
        <v/>
      </c>
      <c r="L51" t="str">
        <f t="shared" si="1"/>
        <v/>
      </c>
      <c r="M51" t="str">
        <f t="shared" si="2"/>
        <v/>
      </c>
      <c r="N51" t="str">
        <f t="shared" si="3"/>
        <v/>
      </c>
    </row>
    <row r="52" spans="2:14" x14ac:dyDescent="0.25">
      <c r="B52" t="s">
        <v>51</v>
      </c>
      <c r="C52" t="e">
        <f>IF(C51="","",IF(C51=INDEX('[1]Grade Project'!$F:$F,MATCH($A$3,'[1]Grade Project'!$E:$E,0)+SUM($D$3:D51)),"",INDEX('[1]Grade Project'!$F:$F,MATCH($A$3,'[1]Grade Project'!$E:$E,0)+SUM($D$3:D51))))</f>
        <v>#N/A</v>
      </c>
      <c r="F52" t="str">
        <f>IF(G51=0,"",INDEX('[1]Grade Project'!$G:$G,MATCH($A$5,'[1]Grade Project'!$F:$F,0)+SUM($G$3:G51)))</f>
        <v/>
      </c>
      <c r="G52">
        <f>COUNTIFS('[1]Grade Project'!$F:$F,$A$5,'[1]Grade Project'!$G:$G,F52)</f>
        <v>0</v>
      </c>
      <c r="H52" t="str">
        <f>IF(I51=0,"",INDEX('[1]Grade Project'!$K:$K,MATCH(CONCATENATE($A$5,$A$8),'[1]Grade Project'!$H:$H,0)+SUM($I$3:I51)))</f>
        <v/>
      </c>
      <c r="I52">
        <f>COUNTIFS('[1]Grade Project'!$G:$G,$A$8,'[1]Grade Project'!$K:$K,H52,'[1]Grade Project'!$F:$F,$A$5)</f>
        <v>0</v>
      </c>
      <c r="J52" t="str">
        <f>IFERROR(AVERAGEIFS('[1]Grade Project'!$N:$N,'[1]Grade Project'!$K:$K,H52,'[1]Grade Project'!$F:$F,$A$5,'[1]Grade Project'!$G:$G,$A$8),"")</f>
        <v/>
      </c>
      <c r="K52" t="str">
        <f>IFERROR(AVERAGEIFS('[1]Grade Project'!$O:$O,'[1]Grade Project'!$K:$K,H52,'[1]Grade Project'!$F:$F,$A$5,'[1]Grade Project'!$G:$G,$A$8),"")</f>
        <v/>
      </c>
      <c r="L52" t="str">
        <f t="shared" si="1"/>
        <v/>
      </c>
      <c r="M52" t="str">
        <f t="shared" si="2"/>
        <v/>
      </c>
      <c r="N52" t="str">
        <f t="shared" si="3"/>
        <v/>
      </c>
    </row>
    <row r="53" spans="2:14" x14ac:dyDescent="0.25">
      <c r="B53" t="s">
        <v>52</v>
      </c>
      <c r="C53" t="e">
        <f>IF(C52="","",IF(C52=INDEX('[1]Grade Project'!$F:$F,MATCH($A$3,'[1]Grade Project'!$E:$E,0)+SUM($D$3:D52)),"",INDEX('[1]Grade Project'!$F:$F,MATCH($A$3,'[1]Grade Project'!$E:$E,0)+SUM($D$3:D52))))</f>
        <v>#N/A</v>
      </c>
      <c r="F53" t="str">
        <f>IF(G52=0,"",INDEX('[1]Grade Project'!$G:$G,MATCH($A$5,'[1]Grade Project'!$F:$F,0)+SUM($G$3:G52)))</f>
        <v/>
      </c>
      <c r="G53">
        <f>COUNTIFS('[1]Grade Project'!$F:$F,$A$5,'[1]Grade Project'!$G:$G,F53)</f>
        <v>0</v>
      </c>
      <c r="H53" t="str">
        <f>IF(I52=0,"",INDEX('[1]Grade Project'!$K:$K,MATCH(CONCATENATE($A$5,$A$8),'[1]Grade Project'!$H:$H,0)+SUM($I$3:I52)))</f>
        <v/>
      </c>
      <c r="I53">
        <f>COUNTIFS('[1]Grade Project'!$G:$G,$A$8,'[1]Grade Project'!$K:$K,H53,'[1]Grade Project'!$F:$F,$A$5)</f>
        <v>0</v>
      </c>
      <c r="J53" t="str">
        <f>IFERROR(AVERAGEIFS('[1]Grade Project'!$N:$N,'[1]Grade Project'!$K:$K,H53,'[1]Grade Project'!$F:$F,$A$5,'[1]Grade Project'!$G:$G,$A$8),"")</f>
        <v/>
      </c>
      <c r="K53" t="str">
        <f>IFERROR(AVERAGEIFS('[1]Grade Project'!$O:$O,'[1]Grade Project'!$K:$K,H53,'[1]Grade Project'!$F:$F,$A$5,'[1]Grade Project'!$G:$G,$A$8),"")</f>
        <v/>
      </c>
      <c r="L53" t="str">
        <f t="shared" si="1"/>
        <v/>
      </c>
      <c r="M53" t="str">
        <f t="shared" si="2"/>
        <v/>
      </c>
      <c r="N53" t="str">
        <f t="shared" si="3"/>
        <v/>
      </c>
    </row>
    <row r="54" spans="2:14" x14ac:dyDescent="0.25">
      <c r="B54" t="s">
        <v>53</v>
      </c>
      <c r="C54" t="e">
        <f>IF(C53="","",IF(C53=INDEX('[1]Grade Project'!$F:$F,MATCH($A$3,'[1]Grade Project'!$E:$E,0)+SUM($D$3:D53)),"",INDEX('[1]Grade Project'!$F:$F,MATCH($A$3,'[1]Grade Project'!$E:$E,0)+SUM($D$3:D53))))</f>
        <v>#N/A</v>
      </c>
      <c r="F54" t="str">
        <f>IF(G53=0,"",INDEX('[1]Grade Project'!$G:$G,MATCH($A$5,'[1]Grade Project'!$F:$F,0)+SUM($G$3:G53)))</f>
        <v/>
      </c>
      <c r="G54">
        <f>COUNTIFS('[1]Grade Project'!$F:$F,$A$5,'[1]Grade Project'!$G:$G,F54)</f>
        <v>0</v>
      </c>
      <c r="H54" t="str">
        <f>IF(I53=0,"",INDEX('[1]Grade Project'!$K:$K,MATCH(CONCATENATE($A$5,$A$8),'[1]Grade Project'!$H:$H,0)+SUM($I$3:I53)))</f>
        <v/>
      </c>
      <c r="I54">
        <f>COUNTIFS('[1]Grade Project'!$G:$G,$A$8,'[1]Grade Project'!$K:$K,H54,'[1]Grade Project'!$F:$F,$A$5)</f>
        <v>0</v>
      </c>
      <c r="J54" t="str">
        <f>IFERROR(AVERAGEIFS('[1]Grade Project'!$N:$N,'[1]Grade Project'!$K:$K,H54,'[1]Grade Project'!$F:$F,$A$5,'[1]Grade Project'!$G:$G,$A$8),"")</f>
        <v/>
      </c>
      <c r="K54" t="str">
        <f>IFERROR(AVERAGEIFS('[1]Grade Project'!$O:$O,'[1]Grade Project'!$K:$K,H54,'[1]Grade Project'!$F:$F,$A$5,'[1]Grade Project'!$G:$G,$A$8),"")</f>
        <v/>
      </c>
      <c r="L54" t="str">
        <f t="shared" si="1"/>
        <v/>
      </c>
      <c r="M54" t="str">
        <f t="shared" si="2"/>
        <v/>
      </c>
      <c r="N54" t="str">
        <f t="shared" si="3"/>
        <v/>
      </c>
    </row>
    <row r="55" spans="2:14" x14ac:dyDescent="0.25">
      <c r="B55" t="s">
        <v>54</v>
      </c>
      <c r="F55" t="str">
        <f>IF(G54=0,"",INDEX('[1]Grade Project'!$G:$G,MATCH($A$5,'[1]Grade Project'!$F:$F,0)+SUM($G$3:G54)))</f>
        <v/>
      </c>
      <c r="G55">
        <f>COUNTIFS('[1]Grade Project'!$F:$F,$A$5,'[1]Grade Project'!$G:$G,F55)</f>
        <v>0</v>
      </c>
      <c r="H55" t="str">
        <f>IF(I54=0,"",INDEX('[1]Grade Project'!$K:$K,MATCH(CONCATENATE($A$5,$A$8),'[1]Grade Project'!$H:$H,0)+SUM($I$3:I54)))</f>
        <v/>
      </c>
      <c r="I55">
        <f>COUNTIFS('[1]Grade Project'!$G:$G,$A$8,'[1]Grade Project'!$K:$K,H55,'[1]Grade Project'!$F:$F,$A$5)</f>
        <v>0</v>
      </c>
      <c r="J55" t="str">
        <f>IFERROR(AVERAGEIFS('[1]Grade Project'!$N:$N,'[1]Grade Project'!$K:$K,H55,'[1]Grade Project'!$F:$F,$A$5,'[1]Grade Project'!$G:$G,$A$8),"")</f>
        <v/>
      </c>
      <c r="K55" t="str">
        <f>IFERROR(AVERAGEIFS('[1]Grade Project'!$O:$O,'[1]Grade Project'!$K:$K,H55,'[1]Grade Project'!$F:$F,$A$5,'[1]Grade Project'!$G:$G,$A$8),"")</f>
        <v/>
      </c>
      <c r="L55" t="str">
        <f t="shared" si="1"/>
        <v/>
      </c>
      <c r="M55" t="str">
        <f t="shared" si="2"/>
        <v/>
      </c>
      <c r="N55" t="str">
        <f t="shared" si="3"/>
        <v/>
      </c>
    </row>
    <row r="56" spans="2:14" x14ac:dyDescent="0.25">
      <c r="B56" t="s">
        <v>55</v>
      </c>
      <c r="F56" t="str">
        <f>IF(G55=0,"",INDEX('[1]Grade Project'!$G:$G,MATCH($A$5,'[1]Grade Project'!$F:$F,0)+SUM($G$3:G55)))</f>
        <v/>
      </c>
      <c r="G56">
        <f>COUNTIFS('[1]Grade Project'!$F:$F,$A$5,'[1]Grade Project'!$G:$G,F56)</f>
        <v>0</v>
      </c>
      <c r="H56" t="str">
        <f>IF(I55=0,"",INDEX('[1]Grade Project'!$K:$K,MATCH(CONCATENATE($A$5,$A$8),'[1]Grade Project'!$H:$H,0)+SUM($I$3:I55)))</f>
        <v/>
      </c>
      <c r="I56">
        <f>COUNTIFS('[1]Grade Project'!$G:$G,$A$8,'[1]Grade Project'!$K:$K,H56,'[1]Grade Project'!$F:$F,$A$5)</f>
        <v>0</v>
      </c>
      <c r="J56" t="str">
        <f>IFERROR(AVERAGEIFS('[1]Grade Project'!$N:$N,'[1]Grade Project'!$K:$K,H56,'[1]Grade Project'!$F:$F,$A$5,'[1]Grade Project'!$G:$G,$A$8),"")</f>
        <v/>
      </c>
      <c r="K56" t="str">
        <f>IFERROR(AVERAGEIFS('[1]Grade Project'!$O:$O,'[1]Grade Project'!$K:$K,H56,'[1]Grade Project'!$F:$F,$A$5,'[1]Grade Project'!$G:$G,$A$8),"")</f>
        <v/>
      </c>
      <c r="L56" t="str">
        <f t="shared" si="1"/>
        <v/>
      </c>
      <c r="M56" t="str">
        <f t="shared" si="2"/>
        <v/>
      </c>
      <c r="N56" t="str">
        <f t="shared" si="3"/>
        <v/>
      </c>
    </row>
    <row r="57" spans="2:14" x14ac:dyDescent="0.25">
      <c r="B57" t="s">
        <v>56</v>
      </c>
      <c r="F57" t="str">
        <f>IF(G56=0,"",INDEX('[1]Grade Project'!$G:$G,MATCH($A$5,'[1]Grade Project'!$F:$F,0)+SUM($G$3:G56)))</f>
        <v/>
      </c>
      <c r="G57">
        <f>COUNTIFS('[1]Grade Project'!$F:$F,$A$5,'[1]Grade Project'!$G:$G,F57)</f>
        <v>0</v>
      </c>
      <c r="H57" t="str">
        <f>IF(I56=0,"",INDEX('[1]Grade Project'!$K:$K,MATCH(CONCATENATE($A$5,$A$8),'[1]Grade Project'!$H:$H,0)+SUM($I$3:I56)))</f>
        <v/>
      </c>
      <c r="I57">
        <f>COUNTIFS('[1]Grade Project'!$G:$G,$A$8,'[1]Grade Project'!$K:$K,H57,'[1]Grade Project'!$F:$F,$A$5)</f>
        <v>0</v>
      </c>
      <c r="J57" t="str">
        <f>IFERROR(AVERAGEIFS('[1]Grade Project'!$N:$N,'[1]Grade Project'!$K:$K,H57,'[1]Grade Project'!$F:$F,$A$5,'[1]Grade Project'!$G:$G,$A$8),"")</f>
        <v/>
      </c>
      <c r="K57" t="str">
        <f>IFERROR(AVERAGEIFS('[1]Grade Project'!$O:$O,'[1]Grade Project'!$K:$K,H57,'[1]Grade Project'!$F:$F,$A$5,'[1]Grade Project'!$G:$G,$A$8),"")</f>
        <v/>
      </c>
      <c r="L57" t="str">
        <f t="shared" si="1"/>
        <v/>
      </c>
      <c r="M57" t="str">
        <f t="shared" si="2"/>
        <v/>
      </c>
      <c r="N57" t="str">
        <f t="shared" si="3"/>
        <v/>
      </c>
    </row>
    <row r="58" spans="2:14" x14ac:dyDescent="0.25">
      <c r="B58" t="s">
        <v>57</v>
      </c>
      <c r="F58" t="str">
        <f>IF(G57=0,"",INDEX('[1]Grade Project'!$G:$G,MATCH($A$5,'[1]Grade Project'!$F:$F,0)+SUM($G$3:G57)))</f>
        <v/>
      </c>
      <c r="G58">
        <f>COUNTIFS('[1]Grade Project'!$F:$F,$A$5,'[1]Grade Project'!$G:$G,F58)</f>
        <v>0</v>
      </c>
      <c r="H58" t="str">
        <f>IF(I57=0,"",INDEX('[1]Grade Project'!$K:$K,MATCH(CONCATENATE($A$5,$A$8),'[1]Grade Project'!$H:$H,0)+SUM($I$3:I57)))</f>
        <v/>
      </c>
      <c r="I58">
        <f>COUNTIFS('[1]Grade Project'!$G:$G,$A$8,'[1]Grade Project'!$K:$K,H58,'[1]Grade Project'!$F:$F,$A$5)</f>
        <v>0</v>
      </c>
      <c r="J58" t="str">
        <f>IFERROR(AVERAGEIFS('[1]Grade Project'!$N:$N,'[1]Grade Project'!$K:$K,H58,'[1]Grade Project'!$F:$F,$A$5,'[1]Grade Project'!$G:$G,$A$8),"")</f>
        <v/>
      </c>
      <c r="K58" t="str">
        <f>IFERROR(AVERAGEIFS('[1]Grade Project'!$O:$O,'[1]Grade Project'!$K:$K,H58,'[1]Grade Project'!$F:$F,$A$5,'[1]Grade Project'!$G:$G,$A$8),"")</f>
        <v/>
      </c>
      <c r="L58" t="str">
        <f t="shared" si="1"/>
        <v/>
      </c>
      <c r="M58" t="str">
        <f t="shared" si="2"/>
        <v/>
      </c>
      <c r="N58" t="str">
        <f t="shared" si="3"/>
        <v/>
      </c>
    </row>
    <row r="59" spans="2:14" x14ac:dyDescent="0.25">
      <c r="B59" t="s">
        <v>58</v>
      </c>
      <c r="F59" t="str">
        <f>IF(G58=0,"",INDEX('[1]Grade Project'!$G:$G,MATCH($A$5,'[1]Grade Project'!$F:$F,0)+SUM($G$3:G58)))</f>
        <v/>
      </c>
      <c r="G59">
        <f>COUNTIFS('[1]Grade Project'!$F:$F,$A$5,'[1]Grade Project'!$G:$G,F59)</f>
        <v>0</v>
      </c>
      <c r="H59" t="str">
        <f>IF(I58=0,"",INDEX('[1]Grade Project'!$K:$K,MATCH(CONCATENATE($A$5,$A$8),'[1]Grade Project'!$H:$H,0)+SUM($I$3:I58)))</f>
        <v/>
      </c>
      <c r="I59">
        <f>COUNTIFS('[1]Grade Project'!$G:$G,$A$8,'[1]Grade Project'!$K:$K,H59,'[1]Grade Project'!$F:$F,$A$5)</f>
        <v>0</v>
      </c>
      <c r="J59" t="str">
        <f>IFERROR(AVERAGEIFS('[1]Grade Project'!$N:$N,'[1]Grade Project'!$K:$K,H59,'[1]Grade Project'!$F:$F,$A$5,'[1]Grade Project'!$G:$G,$A$8),"")</f>
        <v/>
      </c>
      <c r="K59" t="str">
        <f>IFERROR(AVERAGEIFS('[1]Grade Project'!$O:$O,'[1]Grade Project'!$K:$K,H59,'[1]Grade Project'!$F:$F,$A$5,'[1]Grade Project'!$G:$G,$A$8),"")</f>
        <v/>
      </c>
      <c r="L59" t="str">
        <f t="shared" si="1"/>
        <v/>
      </c>
      <c r="M59" t="str">
        <f t="shared" si="2"/>
        <v/>
      </c>
      <c r="N59" t="str">
        <f t="shared" si="3"/>
        <v/>
      </c>
    </row>
    <row r="60" spans="2:14" x14ac:dyDescent="0.25">
      <c r="B60" t="s">
        <v>59</v>
      </c>
      <c r="F60" t="str">
        <f>IF(G59=0,"",INDEX('[1]Grade Project'!$G:$G,MATCH($A$5,'[1]Grade Project'!$F:$F,0)+SUM($G$3:G59)))</f>
        <v/>
      </c>
      <c r="G60">
        <f>COUNTIFS('[1]Grade Project'!$F:$F,$A$5,'[1]Grade Project'!$G:$G,F60)</f>
        <v>0</v>
      </c>
      <c r="H60" t="str">
        <f>IF(I59=0,"",INDEX('[1]Grade Project'!$K:$K,MATCH(CONCATENATE($A$5,$A$8),'[1]Grade Project'!$H:$H,0)+SUM($I$3:I59)))</f>
        <v/>
      </c>
      <c r="I60">
        <f>COUNTIFS('[1]Grade Project'!$G:$G,$A$8,'[1]Grade Project'!$K:$K,H60,'[1]Grade Project'!$F:$F,$A$5)</f>
        <v>0</v>
      </c>
      <c r="J60" t="str">
        <f>IFERROR(AVERAGEIFS('[1]Grade Project'!$N:$N,'[1]Grade Project'!$K:$K,H60,'[1]Grade Project'!$F:$F,$A$5,'[1]Grade Project'!$G:$G,$A$8),"")</f>
        <v/>
      </c>
      <c r="K60" t="str">
        <f>IFERROR(AVERAGEIFS('[1]Grade Project'!$O:$O,'[1]Grade Project'!$K:$K,H60,'[1]Grade Project'!$F:$F,$A$5,'[1]Grade Project'!$G:$G,$A$8),"")</f>
        <v/>
      </c>
      <c r="L60" t="str">
        <f t="shared" si="1"/>
        <v/>
      </c>
      <c r="M60" t="str">
        <f t="shared" si="2"/>
        <v/>
      </c>
      <c r="N60" t="str">
        <f t="shared" si="3"/>
        <v/>
      </c>
    </row>
    <row r="61" spans="2:14" x14ac:dyDescent="0.25">
      <c r="B61" t="s">
        <v>60</v>
      </c>
      <c r="F61" t="str">
        <f>IF(G60=0,"",INDEX('[1]Grade Project'!$G:$G,MATCH($A$5,'[1]Grade Project'!$F:$F,0)+SUM($G$3:G60)))</f>
        <v/>
      </c>
      <c r="G61">
        <f>COUNTIFS('[1]Grade Project'!$F:$F,$A$5,'[1]Grade Project'!$G:$G,F61)</f>
        <v>0</v>
      </c>
      <c r="H61" t="str">
        <f>IF(I60=0,"",INDEX('[1]Grade Project'!$K:$K,MATCH(CONCATENATE($A$5,$A$8),'[1]Grade Project'!$H:$H,0)+SUM($I$3:I60)))</f>
        <v/>
      </c>
      <c r="I61">
        <f>COUNTIFS('[1]Grade Project'!$G:$G,$A$8,'[1]Grade Project'!$K:$K,H61,'[1]Grade Project'!$F:$F,$A$5)</f>
        <v>0</v>
      </c>
      <c r="J61" t="str">
        <f>IFERROR(AVERAGEIFS('[1]Grade Project'!$N:$N,'[1]Grade Project'!$K:$K,H61,'[1]Grade Project'!$F:$F,$A$5,'[1]Grade Project'!$G:$G,$A$8),"")</f>
        <v/>
      </c>
      <c r="K61" t="str">
        <f>IFERROR(AVERAGEIFS('[1]Grade Project'!$O:$O,'[1]Grade Project'!$K:$K,H61,'[1]Grade Project'!$F:$F,$A$5,'[1]Grade Project'!$G:$G,$A$8),"")</f>
        <v/>
      </c>
      <c r="L61" t="str">
        <f t="shared" si="1"/>
        <v/>
      </c>
      <c r="M61" t="str">
        <f t="shared" si="2"/>
        <v/>
      </c>
      <c r="N61" t="str">
        <f t="shared" si="3"/>
        <v/>
      </c>
    </row>
    <row r="62" spans="2:14" x14ac:dyDescent="0.25">
      <c r="B62" t="s">
        <v>61</v>
      </c>
      <c r="F62" t="str">
        <f>IF(G61=0,"",INDEX('[1]Grade Project'!$G:$G,MATCH($A$5,'[1]Grade Project'!$F:$F,0)+SUM($G$3:G61)))</f>
        <v/>
      </c>
      <c r="G62">
        <f>COUNTIFS('[1]Grade Project'!$F:$F,$A$5,'[1]Grade Project'!$G:$G,F62)</f>
        <v>0</v>
      </c>
      <c r="H62" t="str">
        <f>IF(I61=0,"",INDEX('[1]Grade Project'!$K:$K,MATCH(CONCATENATE($A$5,$A$8),'[1]Grade Project'!$H:$H,0)+SUM($I$3:I61)))</f>
        <v/>
      </c>
      <c r="I62">
        <f>COUNTIFS('[1]Grade Project'!$G:$G,$A$8,'[1]Grade Project'!$K:$K,H62,'[1]Grade Project'!$F:$F,$A$5)</f>
        <v>0</v>
      </c>
      <c r="J62" t="str">
        <f>IFERROR(AVERAGEIFS('[1]Grade Project'!$N:$N,'[1]Grade Project'!$K:$K,H62,'[1]Grade Project'!$F:$F,$A$5,'[1]Grade Project'!$G:$G,$A$8),"")</f>
        <v/>
      </c>
      <c r="K62" t="str">
        <f>IFERROR(AVERAGEIFS('[1]Grade Project'!$O:$O,'[1]Grade Project'!$K:$K,H62,'[1]Grade Project'!$F:$F,$A$5,'[1]Grade Project'!$G:$G,$A$8),"")</f>
        <v/>
      </c>
      <c r="L62" t="str">
        <f t="shared" si="1"/>
        <v/>
      </c>
      <c r="M62" t="str">
        <f t="shared" si="2"/>
        <v/>
      </c>
      <c r="N62" t="str">
        <f t="shared" si="3"/>
        <v/>
      </c>
    </row>
    <row r="63" spans="2:14" x14ac:dyDescent="0.25">
      <c r="B63" t="s">
        <v>62</v>
      </c>
      <c r="F63" t="str">
        <f>IF(G62=0,"",INDEX('[1]Grade Project'!$G:$G,MATCH($A$5,'[1]Grade Project'!$F:$F,0)+SUM($G$3:G62)))</f>
        <v/>
      </c>
      <c r="G63">
        <f>COUNTIFS('[1]Grade Project'!$F:$F,$A$5,'[1]Grade Project'!$G:$G,F63)</f>
        <v>0</v>
      </c>
      <c r="H63" t="str">
        <f>IF(I62=0,"",INDEX('[1]Grade Project'!$K:$K,MATCH(CONCATENATE($A$5,$A$8),'[1]Grade Project'!$H:$H,0)+SUM($I$3:I62)))</f>
        <v/>
      </c>
      <c r="I63">
        <f>COUNTIFS('[1]Grade Project'!$G:$G,$A$8,'[1]Grade Project'!$K:$K,H63,'[1]Grade Project'!$F:$F,$A$5)</f>
        <v>0</v>
      </c>
      <c r="J63" t="str">
        <f>IFERROR(AVERAGEIFS('[1]Grade Project'!$N:$N,'[1]Grade Project'!$K:$K,H63,'[1]Grade Project'!$F:$F,$A$5,'[1]Grade Project'!$G:$G,$A$8),"")</f>
        <v/>
      </c>
      <c r="K63" t="str">
        <f>IFERROR(AVERAGEIFS('[1]Grade Project'!$O:$O,'[1]Grade Project'!$K:$K,H63,'[1]Grade Project'!$F:$F,$A$5,'[1]Grade Project'!$G:$G,$A$8),"")</f>
        <v/>
      </c>
      <c r="L63" t="str">
        <f t="shared" si="1"/>
        <v/>
      </c>
      <c r="M63" t="str">
        <f t="shared" si="2"/>
        <v/>
      </c>
      <c r="N63" t="str">
        <f t="shared" si="3"/>
        <v/>
      </c>
    </row>
    <row r="64" spans="2:14" x14ac:dyDescent="0.25">
      <c r="B64" t="s">
        <v>63</v>
      </c>
      <c r="F64" t="str">
        <f>IF(G63=0,"",INDEX('[1]Grade Project'!$G:$G,MATCH($A$5,'[1]Grade Project'!$F:$F,0)+SUM($G$3:G63)))</f>
        <v/>
      </c>
      <c r="G64">
        <f>COUNTIFS('[1]Grade Project'!$F:$F,$A$5,'[1]Grade Project'!$G:$G,F64)</f>
        <v>0</v>
      </c>
      <c r="H64" t="str">
        <f>IF(I63=0,"",INDEX('[1]Grade Project'!$K:$K,MATCH(CONCATENATE($A$5,$A$8),'[1]Grade Project'!$H:$H,0)+SUM($I$3:I63)))</f>
        <v/>
      </c>
      <c r="I64">
        <f>COUNTIFS('[1]Grade Project'!$G:$G,$A$8,'[1]Grade Project'!$K:$K,H64,'[1]Grade Project'!$F:$F,$A$5)</f>
        <v>0</v>
      </c>
      <c r="J64" t="str">
        <f>IFERROR(AVERAGEIFS('[1]Grade Project'!$N:$N,'[1]Grade Project'!$K:$K,H64,'[1]Grade Project'!$F:$F,$A$5,'[1]Grade Project'!$G:$G,$A$8),"")</f>
        <v/>
      </c>
      <c r="K64" t="str">
        <f>IFERROR(AVERAGEIFS('[1]Grade Project'!$O:$O,'[1]Grade Project'!$K:$K,H64,'[1]Grade Project'!$F:$F,$A$5,'[1]Grade Project'!$G:$G,$A$8),"")</f>
        <v/>
      </c>
      <c r="L64" t="str">
        <f t="shared" si="1"/>
        <v/>
      </c>
      <c r="M64" t="str">
        <f t="shared" si="2"/>
        <v/>
      </c>
      <c r="N64" t="str">
        <f t="shared" si="3"/>
        <v/>
      </c>
    </row>
    <row r="65" spans="2:14" x14ac:dyDescent="0.25">
      <c r="B65" t="s">
        <v>64</v>
      </c>
      <c r="F65" t="str">
        <f>IF(G64=0,"",INDEX('[1]Grade Project'!$G:$G,MATCH($A$5,'[1]Grade Project'!$F:$F,0)+SUM($G$3:G64)))</f>
        <v/>
      </c>
      <c r="G65">
        <f>COUNTIFS('[1]Grade Project'!$F:$F,$A$5,'[1]Grade Project'!$G:$G,F65)</f>
        <v>0</v>
      </c>
      <c r="H65" t="str">
        <f>IF(I64=0,"",INDEX('[1]Grade Project'!$K:$K,MATCH(CONCATENATE($A$5,$A$8),'[1]Grade Project'!$H:$H,0)+SUM($I$3:I64)))</f>
        <v/>
      </c>
      <c r="I65">
        <f>COUNTIFS('[1]Grade Project'!$G:$G,$A$8,'[1]Grade Project'!$K:$K,H65,'[1]Grade Project'!$F:$F,$A$5)</f>
        <v>0</v>
      </c>
      <c r="J65" t="str">
        <f>IFERROR(AVERAGEIFS('[1]Grade Project'!$N:$N,'[1]Grade Project'!$K:$K,H65,'[1]Grade Project'!$F:$F,$A$5,'[1]Grade Project'!$G:$G,$A$8),"")</f>
        <v/>
      </c>
      <c r="K65" t="str">
        <f>IFERROR(AVERAGEIFS('[1]Grade Project'!$O:$O,'[1]Grade Project'!$K:$K,H65,'[1]Grade Project'!$F:$F,$A$5,'[1]Grade Project'!$G:$G,$A$8),"")</f>
        <v/>
      </c>
      <c r="L65" t="str">
        <f t="shared" si="1"/>
        <v/>
      </c>
      <c r="M65" t="str">
        <f t="shared" si="2"/>
        <v/>
      </c>
      <c r="N65" t="str">
        <f t="shared" si="3"/>
        <v/>
      </c>
    </row>
    <row r="66" spans="2:14" x14ac:dyDescent="0.25">
      <c r="B66" t="s">
        <v>65</v>
      </c>
      <c r="F66" t="str">
        <f>IF(G65=0,"",INDEX('[1]Grade Project'!$G:$G,MATCH($A$5,'[1]Grade Project'!$F:$F,0)+SUM($G$3:G65)))</f>
        <v/>
      </c>
      <c r="G66">
        <f>COUNTIFS('[1]Grade Project'!$F:$F,$A$5,'[1]Grade Project'!$G:$G,F66)</f>
        <v>0</v>
      </c>
      <c r="H66" t="str">
        <f>IF(I65=0,"",INDEX('[1]Grade Project'!$K:$K,MATCH(CONCATENATE($A$5,$A$8),'[1]Grade Project'!$H:$H,0)+SUM($I$3:I65)))</f>
        <v/>
      </c>
      <c r="I66">
        <f>COUNTIFS('[1]Grade Project'!$G:$G,$A$8,'[1]Grade Project'!$K:$K,H66,'[1]Grade Project'!$F:$F,$A$5)</f>
        <v>0</v>
      </c>
      <c r="J66" t="str">
        <f>IFERROR(AVERAGEIFS('[1]Grade Project'!$N:$N,'[1]Grade Project'!$K:$K,H66,'[1]Grade Project'!$F:$F,$A$5,'[1]Grade Project'!$G:$G,$A$8),"")</f>
        <v/>
      </c>
      <c r="K66" t="str">
        <f>IFERROR(AVERAGEIFS('[1]Grade Project'!$O:$O,'[1]Grade Project'!$K:$K,H66,'[1]Grade Project'!$F:$F,$A$5,'[1]Grade Project'!$G:$G,$A$8),"")</f>
        <v/>
      </c>
      <c r="L66" t="str">
        <f t="shared" si="1"/>
        <v/>
      </c>
      <c r="M66" t="str">
        <f t="shared" si="2"/>
        <v/>
      </c>
      <c r="N66" t="str">
        <f t="shared" si="3"/>
        <v/>
      </c>
    </row>
    <row r="67" spans="2:14" x14ac:dyDescent="0.25">
      <c r="B67" t="s">
        <v>66</v>
      </c>
      <c r="F67" t="str">
        <f>IF(G66=0,"",INDEX('[1]Grade Project'!$G:$G,MATCH($A$5,'[1]Grade Project'!$F:$F,0)+SUM($G$3:G66)))</f>
        <v/>
      </c>
      <c r="G67">
        <f>COUNTIFS('[1]Grade Project'!$F:$F,$A$5,'[1]Grade Project'!$G:$G,F67)</f>
        <v>0</v>
      </c>
      <c r="H67" t="str">
        <f>IF(I66=0,"",INDEX('[1]Grade Project'!$K:$K,MATCH(CONCATENATE($A$5,$A$8),'[1]Grade Project'!$H:$H,0)+SUM($I$3:I66)))</f>
        <v/>
      </c>
      <c r="I67">
        <f>COUNTIFS('[1]Grade Project'!$G:$G,$A$8,'[1]Grade Project'!$K:$K,H67,'[1]Grade Project'!$F:$F,$A$5)</f>
        <v>0</v>
      </c>
      <c r="J67" t="str">
        <f>IFERROR(AVERAGEIFS('[1]Grade Project'!$N:$N,'[1]Grade Project'!$K:$K,H67,'[1]Grade Project'!$F:$F,$A$5,'[1]Grade Project'!$G:$G,$A$8),"")</f>
        <v/>
      </c>
      <c r="K67" t="str">
        <f>IFERROR(AVERAGEIFS('[1]Grade Project'!$O:$O,'[1]Grade Project'!$K:$K,H67,'[1]Grade Project'!$F:$F,$A$5,'[1]Grade Project'!$G:$G,$A$8),"")</f>
        <v/>
      </c>
      <c r="L67" t="str">
        <f t="shared" si="1"/>
        <v/>
      </c>
      <c r="M67" t="str">
        <f t="shared" si="2"/>
        <v/>
      </c>
      <c r="N67" t="str">
        <f t="shared" si="3"/>
        <v/>
      </c>
    </row>
    <row r="68" spans="2:14" x14ac:dyDescent="0.25">
      <c r="B68" t="s">
        <v>67</v>
      </c>
      <c r="F68" t="str">
        <f>IF(G67=0,"",INDEX('[1]Grade Project'!$G:$G,MATCH($A$5,'[1]Grade Project'!$F:$F,0)+SUM($G$3:G67)))</f>
        <v/>
      </c>
      <c r="G68">
        <f>COUNTIFS('[1]Grade Project'!$F:$F,$A$5,'[1]Grade Project'!$G:$G,F68)</f>
        <v>0</v>
      </c>
      <c r="H68" t="str">
        <f>IF(I67=0,"",INDEX('[1]Grade Project'!$K:$K,MATCH(CONCATENATE($A$5,$A$8),'[1]Grade Project'!$H:$H,0)+SUM($I$3:I67)))</f>
        <v/>
      </c>
      <c r="I68">
        <f>COUNTIFS('[1]Grade Project'!$G:$G,$A$8,'[1]Grade Project'!$K:$K,H68,'[1]Grade Project'!$F:$F,$A$5)</f>
        <v>0</v>
      </c>
      <c r="J68" t="str">
        <f>IFERROR(AVERAGEIFS('[1]Grade Project'!$N:$N,'[1]Grade Project'!$K:$K,H68,'[1]Grade Project'!$F:$F,$A$5,'[1]Grade Project'!$G:$G,$A$8),"")</f>
        <v/>
      </c>
      <c r="K68" t="str">
        <f>IFERROR(AVERAGEIFS('[1]Grade Project'!$O:$O,'[1]Grade Project'!$K:$K,H68,'[1]Grade Project'!$F:$F,$A$5,'[1]Grade Project'!$G:$G,$A$8),"")</f>
        <v/>
      </c>
      <c r="L68" t="str">
        <f t="shared" ref="L68:L131" si="4">IFERROR(K68/J68,"")</f>
        <v/>
      </c>
      <c r="M68" t="str">
        <f t="shared" ref="M68:M131" si="5">IFERROR(_xlfn.RANK.EQ(L68,L:L),"")</f>
        <v/>
      </c>
      <c r="N68" t="str">
        <f t="shared" ref="N68:N131" si="6">IFERROR(MAX(M:M)-M68+1,"")</f>
        <v/>
      </c>
    </row>
    <row r="69" spans="2:14" x14ac:dyDescent="0.25">
      <c r="B69" t="s">
        <v>68</v>
      </c>
      <c r="F69" t="str">
        <f>IF(G68=0,"",INDEX('[1]Grade Project'!$G:$G,MATCH($A$5,'[1]Grade Project'!$F:$F,0)+SUM($G$3:G68)))</f>
        <v/>
      </c>
      <c r="G69">
        <f>COUNTIFS('[1]Grade Project'!$F:$F,$A$5,'[1]Grade Project'!$G:$G,F69)</f>
        <v>0</v>
      </c>
      <c r="H69" t="str">
        <f>IF(I68=0,"",INDEX('[1]Grade Project'!$K:$K,MATCH(CONCATENATE($A$5,$A$8),'[1]Grade Project'!$H:$H,0)+SUM($I$3:I68)))</f>
        <v/>
      </c>
      <c r="I69">
        <f>COUNTIFS('[1]Grade Project'!$G:$G,$A$8,'[1]Grade Project'!$K:$K,H69,'[1]Grade Project'!$F:$F,$A$5)</f>
        <v>0</v>
      </c>
      <c r="J69" t="str">
        <f>IFERROR(AVERAGEIFS('[1]Grade Project'!$N:$N,'[1]Grade Project'!$K:$K,H69,'[1]Grade Project'!$F:$F,$A$5,'[1]Grade Project'!$G:$G,$A$8),"")</f>
        <v/>
      </c>
      <c r="K69" t="str">
        <f>IFERROR(AVERAGEIFS('[1]Grade Project'!$O:$O,'[1]Grade Project'!$K:$K,H69,'[1]Grade Project'!$F:$F,$A$5,'[1]Grade Project'!$G:$G,$A$8),"")</f>
        <v/>
      </c>
      <c r="L69" t="str">
        <f t="shared" si="4"/>
        <v/>
      </c>
      <c r="M69" t="str">
        <f t="shared" si="5"/>
        <v/>
      </c>
      <c r="N69" t="str">
        <f t="shared" si="6"/>
        <v/>
      </c>
    </row>
    <row r="70" spans="2:14" x14ac:dyDescent="0.25">
      <c r="B70" t="s">
        <v>69</v>
      </c>
      <c r="F70" t="str">
        <f>IF(G69=0,"",INDEX('[1]Grade Project'!$G:$G,MATCH($A$5,'[1]Grade Project'!$F:$F,0)+SUM($G$3:G69)))</f>
        <v/>
      </c>
      <c r="G70">
        <f>COUNTIFS('[1]Grade Project'!$F:$F,$A$5,'[1]Grade Project'!$G:$G,F70)</f>
        <v>0</v>
      </c>
      <c r="H70" t="str">
        <f>IF(I69=0,"",INDEX('[1]Grade Project'!$K:$K,MATCH(CONCATENATE($A$5,$A$8),'[1]Grade Project'!$H:$H,0)+SUM($I$3:I69)))</f>
        <v/>
      </c>
      <c r="I70">
        <f>COUNTIFS('[1]Grade Project'!$G:$G,$A$8,'[1]Grade Project'!$K:$K,H70,'[1]Grade Project'!$F:$F,$A$5)</f>
        <v>0</v>
      </c>
      <c r="J70" t="str">
        <f>IFERROR(AVERAGEIFS('[1]Grade Project'!$N:$N,'[1]Grade Project'!$K:$K,H70,'[1]Grade Project'!$F:$F,$A$5,'[1]Grade Project'!$G:$G,$A$8),"")</f>
        <v/>
      </c>
      <c r="K70" t="str">
        <f>IFERROR(AVERAGEIFS('[1]Grade Project'!$O:$O,'[1]Grade Project'!$K:$K,H70,'[1]Grade Project'!$F:$F,$A$5,'[1]Grade Project'!$G:$G,$A$8),"")</f>
        <v/>
      </c>
      <c r="L70" t="str">
        <f t="shared" si="4"/>
        <v/>
      </c>
      <c r="M70" t="str">
        <f t="shared" si="5"/>
        <v/>
      </c>
      <c r="N70" t="str">
        <f t="shared" si="6"/>
        <v/>
      </c>
    </row>
    <row r="71" spans="2:14" x14ac:dyDescent="0.25">
      <c r="B71" t="s">
        <v>70</v>
      </c>
      <c r="F71" t="str">
        <f>IF(G70=0,"",INDEX('[1]Grade Project'!$G:$G,MATCH($A$5,'[1]Grade Project'!$F:$F,0)+SUM($G$3:G70)))</f>
        <v/>
      </c>
      <c r="G71">
        <f>COUNTIFS('[1]Grade Project'!$F:$F,$A$5,'[1]Grade Project'!$G:$G,F71)</f>
        <v>0</v>
      </c>
      <c r="H71" t="str">
        <f>IF(I70=0,"",INDEX('[1]Grade Project'!$K:$K,MATCH(CONCATENATE($A$5,$A$8),'[1]Grade Project'!$H:$H,0)+SUM($I$3:I70)))</f>
        <v/>
      </c>
      <c r="I71">
        <f>COUNTIFS('[1]Grade Project'!$G:$G,$A$8,'[1]Grade Project'!$K:$K,H71,'[1]Grade Project'!$F:$F,$A$5)</f>
        <v>0</v>
      </c>
      <c r="J71" t="str">
        <f>IFERROR(AVERAGEIFS('[1]Grade Project'!$N:$N,'[1]Grade Project'!$K:$K,H71,'[1]Grade Project'!$F:$F,$A$5,'[1]Grade Project'!$G:$G,$A$8),"")</f>
        <v/>
      </c>
      <c r="K71" t="str">
        <f>IFERROR(AVERAGEIFS('[1]Grade Project'!$O:$O,'[1]Grade Project'!$K:$K,H71,'[1]Grade Project'!$F:$F,$A$5,'[1]Grade Project'!$G:$G,$A$8),"")</f>
        <v/>
      </c>
      <c r="L71" t="str">
        <f t="shared" si="4"/>
        <v/>
      </c>
      <c r="M71" t="str">
        <f t="shared" si="5"/>
        <v/>
      </c>
      <c r="N71" t="str">
        <f t="shared" si="6"/>
        <v/>
      </c>
    </row>
    <row r="72" spans="2:14" x14ac:dyDescent="0.25">
      <c r="B72" t="s">
        <v>71</v>
      </c>
      <c r="F72" t="str">
        <f>IF(G71=0,"",INDEX('[1]Grade Project'!$G:$G,MATCH($A$5,'[1]Grade Project'!$F:$F,0)+SUM($G$3:G71)))</f>
        <v/>
      </c>
      <c r="G72">
        <f>COUNTIFS('[1]Grade Project'!$F:$F,$A$5,'[1]Grade Project'!$G:$G,F72)</f>
        <v>0</v>
      </c>
      <c r="H72" t="str">
        <f>IF(I71=0,"",INDEX('[1]Grade Project'!$K:$K,MATCH(CONCATENATE($A$5,$A$8),'[1]Grade Project'!$H:$H,0)+SUM($I$3:I71)))</f>
        <v/>
      </c>
      <c r="I72">
        <f>COUNTIFS('[1]Grade Project'!$G:$G,$A$8,'[1]Grade Project'!$K:$K,H72,'[1]Grade Project'!$F:$F,$A$5)</f>
        <v>0</v>
      </c>
      <c r="J72" t="str">
        <f>IFERROR(AVERAGEIFS('[1]Grade Project'!$N:$N,'[1]Grade Project'!$K:$K,H72,'[1]Grade Project'!$F:$F,$A$5,'[1]Grade Project'!$G:$G,$A$8),"")</f>
        <v/>
      </c>
      <c r="K72" t="str">
        <f>IFERROR(AVERAGEIFS('[1]Grade Project'!$O:$O,'[1]Grade Project'!$K:$K,H72,'[1]Grade Project'!$F:$F,$A$5,'[1]Grade Project'!$G:$G,$A$8),"")</f>
        <v/>
      </c>
      <c r="L72" t="str">
        <f t="shared" si="4"/>
        <v/>
      </c>
      <c r="M72" t="str">
        <f t="shared" si="5"/>
        <v/>
      </c>
      <c r="N72" t="str">
        <f t="shared" si="6"/>
        <v/>
      </c>
    </row>
    <row r="73" spans="2:14" x14ac:dyDescent="0.25">
      <c r="B73" t="s">
        <v>72</v>
      </c>
      <c r="F73" t="str">
        <f>IF(G72=0,"",INDEX('[1]Grade Project'!$G:$G,MATCH($A$5,'[1]Grade Project'!$F:$F,0)+SUM($G$3:G72)))</f>
        <v/>
      </c>
      <c r="G73">
        <f>COUNTIFS('[1]Grade Project'!$F:$F,$A$5,'[1]Grade Project'!$G:$G,F73)</f>
        <v>0</v>
      </c>
      <c r="H73" t="str">
        <f>IF(I72=0,"",INDEX('[1]Grade Project'!$K:$K,MATCH(CONCATENATE($A$5,$A$8),'[1]Grade Project'!$H:$H,0)+SUM($I$3:I72)))</f>
        <v/>
      </c>
      <c r="I73">
        <f>COUNTIFS('[1]Grade Project'!$G:$G,$A$8,'[1]Grade Project'!$K:$K,H73,'[1]Grade Project'!$F:$F,$A$5)</f>
        <v>0</v>
      </c>
      <c r="J73" t="str">
        <f>IFERROR(AVERAGEIFS('[1]Grade Project'!$N:$N,'[1]Grade Project'!$K:$K,H73,'[1]Grade Project'!$F:$F,$A$5,'[1]Grade Project'!$G:$G,$A$8),"")</f>
        <v/>
      </c>
      <c r="K73" t="str">
        <f>IFERROR(AVERAGEIFS('[1]Grade Project'!$O:$O,'[1]Grade Project'!$K:$K,H73,'[1]Grade Project'!$F:$F,$A$5,'[1]Grade Project'!$G:$G,$A$8),"")</f>
        <v/>
      </c>
      <c r="L73" t="str">
        <f t="shared" si="4"/>
        <v/>
      </c>
      <c r="M73" t="str">
        <f t="shared" si="5"/>
        <v/>
      </c>
      <c r="N73" t="str">
        <f t="shared" si="6"/>
        <v/>
      </c>
    </row>
    <row r="74" spans="2:14" x14ac:dyDescent="0.25">
      <c r="B74" t="s">
        <v>73</v>
      </c>
      <c r="F74" t="str">
        <f>IF(G73=0,"",INDEX('[1]Grade Project'!$G:$G,MATCH($A$5,'[1]Grade Project'!$F:$F,0)+SUM($G$3:G73)))</f>
        <v/>
      </c>
      <c r="G74">
        <f>COUNTIFS('[1]Grade Project'!$F:$F,$A$5,'[1]Grade Project'!$G:$G,F74)</f>
        <v>0</v>
      </c>
      <c r="H74" t="str">
        <f>IF(I73=0,"",INDEX('[1]Grade Project'!$K:$K,MATCH(CONCATENATE($A$5,$A$8),'[1]Grade Project'!$H:$H,0)+SUM($I$3:I73)))</f>
        <v/>
      </c>
      <c r="I74">
        <f>COUNTIFS('[1]Grade Project'!$G:$G,$A$8,'[1]Grade Project'!$K:$K,H74,'[1]Grade Project'!$F:$F,$A$5)</f>
        <v>0</v>
      </c>
      <c r="J74" t="str">
        <f>IFERROR(AVERAGEIFS('[1]Grade Project'!$N:$N,'[1]Grade Project'!$K:$K,H74,'[1]Grade Project'!$F:$F,$A$5,'[1]Grade Project'!$G:$G,$A$8),"")</f>
        <v/>
      </c>
      <c r="K74" t="str">
        <f>IFERROR(AVERAGEIFS('[1]Grade Project'!$O:$O,'[1]Grade Project'!$K:$K,H74,'[1]Grade Project'!$F:$F,$A$5,'[1]Grade Project'!$G:$G,$A$8),"")</f>
        <v/>
      </c>
      <c r="L74" t="str">
        <f t="shared" si="4"/>
        <v/>
      </c>
      <c r="M74" t="str">
        <f t="shared" si="5"/>
        <v/>
      </c>
      <c r="N74" t="str">
        <f t="shared" si="6"/>
        <v/>
      </c>
    </row>
    <row r="75" spans="2:14" x14ac:dyDescent="0.25">
      <c r="B75" t="s">
        <v>74</v>
      </c>
      <c r="F75" t="str">
        <f>IF(G74=0,"",INDEX('[1]Grade Project'!$G:$G,MATCH($A$5,'[1]Grade Project'!$F:$F,0)+SUM($G$3:G74)))</f>
        <v/>
      </c>
      <c r="G75">
        <f>COUNTIFS('[1]Grade Project'!$F:$F,$A$5,'[1]Grade Project'!$G:$G,F75)</f>
        <v>0</v>
      </c>
      <c r="H75" t="str">
        <f>IF(I74=0,"",INDEX('[1]Grade Project'!$K:$K,MATCH(CONCATENATE($A$5,$A$8),'[1]Grade Project'!$H:$H,0)+SUM($I$3:I74)))</f>
        <v/>
      </c>
      <c r="I75">
        <f>COUNTIFS('[1]Grade Project'!$G:$G,$A$8,'[1]Grade Project'!$K:$K,H75,'[1]Grade Project'!$F:$F,$A$5)</f>
        <v>0</v>
      </c>
      <c r="J75" t="str">
        <f>IFERROR(AVERAGEIFS('[1]Grade Project'!$N:$N,'[1]Grade Project'!$K:$K,H75,'[1]Grade Project'!$F:$F,$A$5,'[1]Grade Project'!$G:$G,$A$8),"")</f>
        <v/>
      </c>
      <c r="K75" t="str">
        <f>IFERROR(AVERAGEIFS('[1]Grade Project'!$O:$O,'[1]Grade Project'!$K:$K,H75,'[1]Grade Project'!$F:$F,$A$5,'[1]Grade Project'!$G:$G,$A$8),"")</f>
        <v/>
      </c>
      <c r="L75" t="str">
        <f t="shared" si="4"/>
        <v/>
      </c>
      <c r="M75" t="str">
        <f t="shared" si="5"/>
        <v/>
      </c>
      <c r="N75" t="str">
        <f t="shared" si="6"/>
        <v/>
      </c>
    </row>
    <row r="76" spans="2:14" x14ac:dyDescent="0.25">
      <c r="B76" t="s">
        <v>75</v>
      </c>
      <c r="F76" t="str">
        <f>IF(G75=0,"",INDEX('[1]Grade Project'!$G:$G,MATCH($A$5,'[1]Grade Project'!$F:$F,0)+SUM($G$3:G75)))</f>
        <v/>
      </c>
      <c r="G76">
        <f>COUNTIFS('[1]Grade Project'!$F:$F,$A$5,'[1]Grade Project'!$G:$G,F76)</f>
        <v>0</v>
      </c>
      <c r="H76" t="str">
        <f>IF(I75=0,"",INDEX('[1]Grade Project'!$K:$K,MATCH(CONCATENATE($A$5,$A$8),'[1]Grade Project'!$H:$H,0)+SUM($I$3:I75)))</f>
        <v/>
      </c>
      <c r="I76">
        <f>COUNTIFS('[1]Grade Project'!$G:$G,$A$8,'[1]Grade Project'!$K:$K,H76,'[1]Grade Project'!$F:$F,$A$5)</f>
        <v>0</v>
      </c>
      <c r="J76" t="str">
        <f>IFERROR(AVERAGEIFS('[1]Grade Project'!$N:$N,'[1]Grade Project'!$K:$K,H76,'[1]Grade Project'!$F:$F,$A$5,'[1]Grade Project'!$G:$G,$A$8),"")</f>
        <v/>
      </c>
      <c r="K76" t="str">
        <f>IFERROR(AVERAGEIFS('[1]Grade Project'!$O:$O,'[1]Grade Project'!$K:$K,H76,'[1]Grade Project'!$F:$F,$A$5,'[1]Grade Project'!$G:$G,$A$8),"")</f>
        <v/>
      </c>
      <c r="L76" t="str">
        <f t="shared" si="4"/>
        <v/>
      </c>
      <c r="M76" t="str">
        <f t="shared" si="5"/>
        <v/>
      </c>
      <c r="N76" t="str">
        <f t="shared" si="6"/>
        <v/>
      </c>
    </row>
    <row r="77" spans="2:14" x14ac:dyDescent="0.25">
      <c r="B77" t="s">
        <v>76</v>
      </c>
      <c r="F77" t="str">
        <f>IF(G76=0,"",INDEX('[1]Grade Project'!$G:$G,MATCH($A$5,'[1]Grade Project'!$F:$F,0)+SUM($G$3:G76)))</f>
        <v/>
      </c>
      <c r="G77">
        <f>COUNTIFS('[1]Grade Project'!$F:$F,$A$5,'[1]Grade Project'!$G:$G,F77)</f>
        <v>0</v>
      </c>
      <c r="H77" t="str">
        <f>IF(I76=0,"",INDEX('[1]Grade Project'!$K:$K,MATCH(CONCATENATE($A$5,$A$8),'[1]Grade Project'!$H:$H,0)+SUM($I$3:I76)))</f>
        <v/>
      </c>
      <c r="I77">
        <f>COUNTIFS('[1]Grade Project'!$G:$G,$A$8,'[1]Grade Project'!$K:$K,H77,'[1]Grade Project'!$F:$F,$A$5)</f>
        <v>0</v>
      </c>
      <c r="J77" t="str">
        <f>IFERROR(AVERAGEIFS('[1]Grade Project'!$N:$N,'[1]Grade Project'!$K:$K,H77,'[1]Grade Project'!$F:$F,$A$5,'[1]Grade Project'!$G:$G,$A$8),"")</f>
        <v/>
      </c>
      <c r="K77" t="str">
        <f>IFERROR(AVERAGEIFS('[1]Grade Project'!$O:$O,'[1]Grade Project'!$K:$K,H77,'[1]Grade Project'!$F:$F,$A$5,'[1]Grade Project'!$G:$G,$A$8),"")</f>
        <v/>
      </c>
      <c r="L77" t="str">
        <f t="shared" si="4"/>
        <v/>
      </c>
      <c r="M77" t="str">
        <f t="shared" si="5"/>
        <v/>
      </c>
      <c r="N77" t="str">
        <f t="shared" si="6"/>
        <v/>
      </c>
    </row>
    <row r="78" spans="2:14" x14ac:dyDescent="0.25">
      <c r="B78" t="s">
        <v>77</v>
      </c>
      <c r="F78" t="str">
        <f>IF(G77=0,"",INDEX('[1]Grade Project'!$G:$G,MATCH($A$5,'[1]Grade Project'!$F:$F,0)+SUM($G$3:G77)))</f>
        <v/>
      </c>
      <c r="G78">
        <f>COUNTIFS('[1]Grade Project'!$F:$F,$A$5,'[1]Grade Project'!$G:$G,F78)</f>
        <v>0</v>
      </c>
      <c r="H78" t="str">
        <f>IF(I77=0,"",INDEX('[1]Grade Project'!$K:$K,MATCH(CONCATENATE($A$5,$A$8),'[1]Grade Project'!$H:$H,0)+SUM($I$3:I77)))</f>
        <v/>
      </c>
      <c r="I78">
        <f>COUNTIFS('[1]Grade Project'!$G:$G,$A$8,'[1]Grade Project'!$K:$K,H78,'[1]Grade Project'!$F:$F,$A$5)</f>
        <v>0</v>
      </c>
      <c r="J78" t="str">
        <f>IFERROR(AVERAGEIFS('[1]Grade Project'!$N:$N,'[1]Grade Project'!$K:$K,H78,'[1]Grade Project'!$F:$F,$A$5,'[1]Grade Project'!$G:$G,$A$8),"")</f>
        <v/>
      </c>
      <c r="K78" t="str">
        <f>IFERROR(AVERAGEIFS('[1]Grade Project'!$O:$O,'[1]Grade Project'!$K:$K,H78,'[1]Grade Project'!$F:$F,$A$5,'[1]Grade Project'!$G:$G,$A$8),"")</f>
        <v/>
      </c>
      <c r="L78" t="str">
        <f t="shared" si="4"/>
        <v/>
      </c>
      <c r="M78" t="str">
        <f t="shared" si="5"/>
        <v/>
      </c>
      <c r="N78" t="str">
        <f t="shared" si="6"/>
        <v/>
      </c>
    </row>
    <row r="79" spans="2:14" x14ac:dyDescent="0.25">
      <c r="B79" t="s">
        <v>78</v>
      </c>
      <c r="F79" t="str">
        <f>IF(G78=0,"",INDEX('[1]Grade Project'!$G:$G,MATCH($A$5,'[1]Grade Project'!$F:$F,0)+SUM($G$3:G78)))</f>
        <v/>
      </c>
      <c r="G79">
        <f>COUNTIFS('[1]Grade Project'!$F:$F,$A$5,'[1]Grade Project'!$G:$G,F79)</f>
        <v>0</v>
      </c>
      <c r="H79" t="str">
        <f>IF(I78=0,"",INDEX('[1]Grade Project'!$K:$K,MATCH(CONCATENATE($A$5,$A$8),'[1]Grade Project'!$H:$H,0)+SUM($I$3:I78)))</f>
        <v/>
      </c>
      <c r="I79">
        <f>COUNTIFS('[1]Grade Project'!$G:$G,$A$8,'[1]Grade Project'!$K:$K,H79,'[1]Grade Project'!$F:$F,$A$5)</f>
        <v>0</v>
      </c>
      <c r="J79" t="str">
        <f>IFERROR(AVERAGEIFS('[1]Grade Project'!$N:$N,'[1]Grade Project'!$K:$K,H79,'[1]Grade Project'!$F:$F,$A$5,'[1]Grade Project'!$G:$G,$A$8),"")</f>
        <v/>
      </c>
      <c r="K79" t="str">
        <f>IFERROR(AVERAGEIFS('[1]Grade Project'!$O:$O,'[1]Grade Project'!$K:$K,H79,'[1]Grade Project'!$F:$F,$A$5,'[1]Grade Project'!$G:$G,$A$8),"")</f>
        <v/>
      </c>
      <c r="L79" t="str">
        <f t="shared" si="4"/>
        <v/>
      </c>
      <c r="M79" t="str">
        <f t="shared" si="5"/>
        <v/>
      </c>
      <c r="N79" t="str">
        <f t="shared" si="6"/>
        <v/>
      </c>
    </row>
    <row r="80" spans="2:14" x14ac:dyDescent="0.25">
      <c r="B80" t="s">
        <v>79</v>
      </c>
      <c r="F80" t="str">
        <f>IF(G79=0,"",INDEX('[1]Grade Project'!$G:$G,MATCH($A$5,'[1]Grade Project'!$F:$F,0)+SUM($G$3:G79)))</f>
        <v/>
      </c>
      <c r="G80">
        <f>COUNTIFS('[1]Grade Project'!$F:$F,$A$5,'[1]Grade Project'!$G:$G,F80)</f>
        <v>0</v>
      </c>
      <c r="H80" t="str">
        <f>IF(I79=0,"",INDEX('[1]Grade Project'!$K:$K,MATCH(CONCATENATE($A$5,$A$8),'[1]Grade Project'!$H:$H,0)+SUM($I$3:I79)))</f>
        <v/>
      </c>
      <c r="I80">
        <f>COUNTIFS('[1]Grade Project'!$G:$G,$A$8,'[1]Grade Project'!$K:$K,H80,'[1]Grade Project'!$F:$F,$A$5)</f>
        <v>0</v>
      </c>
      <c r="J80" t="str">
        <f>IFERROR(AVERAGEIFS('[1]Grade Project'!$N:$N,'[1]Grade Project'!$K:$K,H80,'[1]Grade Project'!$F:$F,$A$5,'[1]Grade Project'!$G:$G,$A$8),"")</f>
        <v/>
      </c>
      <c r="K80" t="str">
        <f>IFERROR(AVERAGEIFS('[1]Grade Project'!$O:$O,'[1]Grade Project'!$K:$K,H80,'[1]Grade Project'!$F:$F,$A$5,'[1]Grade Project'!$G:$G,$A$8),"")</f>
        <v/>
      </c>
      <c r="L80" t="str">
        <f t="shared" si="4"/>
        <v/>
      </c>
      <c r="M80" t="str">
        <f t="shared" si="5"/>
        <v/>
      </c>
      <c r="N80" t="str">
        <f t="shared" si="6"/>
        <v/>
      </c>
    </row>
    <row r="81" spans="2:14" x14ac:dyDescent="0.25">
      <c r="B81" t="s">
        <v>80</v>
      </c>
      <c r="F81" t="str">
        <f>IF(G80=0,"",INDEX('[1]Grade Project'!$G:$G,MATCH($A$5,'[1]Grade Project'!$F:$F,0)+SUM($G$3:G80)))</f>
        <v/>
      </c>
      <c r="G81">
        <f>COUNTIFS('[1]Grade Project'!$F:$F,$A$5,'[1]Grade Project'!$G:$G,F81)</f>
        <v>0</v>
      </c>
      <c r="H81" t="str">
        <f>IF(I80=0,"",INDEX('[1]Grade Project'!$K:$K,MATCH(CONCATENATE($A$5,$A$8),'[1]Grade Project'!$H:$H,0)+SUM($I$3:I80)))</f>
        <v/>
      </c>
      <c r="I81">
        <f>COUNTIFS('[1]Grade Project'!$G:$G,$A$8,'[1]Grade Project'!$K:$K,H81,'[1]Grade Project'!$F:$F,$A$5)</f>
        <v>0</v>
      </c>
      <c r="J81" t="str">
        <f>IFERROR(AVERAGEIFS('[1]Grade Project'!$N:$N,'[1]Grade Project'!$K:$K,H81,'[1]Grade Project'!$F:$F,$A$5,'[1]Grade Project'!$G:$G,$A$8),"")</f>
        <v/>
      </c>
      <c r="K81" t="str">
        <f>IFERROR(AVERAGEIFS('[1]Grade Project'!$O:$O,'[1]Grade Project'!$K:$K,H81,'[1]Grade Project'!$F:$F,$A$5,'[1]Grade Project'!$G:$G,$A$8),"")</f>
        <v/>
      </c>
      <c r="L81" t="str">
        <f t="shared" si="4"/>
        <v/>
      </c>
      <c r="M81" t="str">
        <f t="shared" si="5"/>
        <v/>
      </c>
      <c r="N81" t="str">
        <f t="shared" si="6"/>
        <v/>
      </c>
    </row>
    <row r="82" spans="2:14" x14ac:dyDescent="0.25">
      <c r="B82" t="s">
        <v>81</v>
      </c>
      <c r="F82" t="str">
        <f>IF(G81=0,"",INDEX('[1]Grade Project'!$G:$G,MATCH($A$5,'[1]Grade Project'!$F:$F,0)+SUM($G$3:G81)))</f>
        <v/>
      </c>
      <c r="G82">
        <f>COUNTIFS('[1]Grade Project'!$F:$F,$A$5,'[1]Grade Project'!$G:$G,F82)</f>
        <v>0</v>
      </c>
      <c r="H82" t="str">
        <f>IF(I81=0,"",INDEX('[1]Grade Project'!$K:$K,MATCH(CONCATENATE($A$5,$A$8),'[1]Grade Project'!$H:$H,0)+SUM($I$3:I81)))</f>
        <v/>
      </c>
      <c r="I82">
        <f>COUNTIFS('[1]Grade Project'!$G:$G,$A$8,'[1]Grade Project'!$K:$K,H82,'[1]Grade Project'!$F:$F,$A$5)</f>
        <v>0</v>
      </c>
      <c r="J82" t="str">
        <f>IFERROR(AVERAGEIFS('[1]Grade Project'!$N:$N,'[1]Grade Project'!$K:$K,H82,'[1]Grade Project'!$F:$F,$A$5,'[1]Grade Project'!$G:$G,$A$8),"")</f>
        <v/>
      </c>
      <c r="K82" t="str">
        <f>IFERROR(AVERAGEIFS('[1]Grade Project'!$O:$O,'[1]Grade Project'!$K:$K,H82,'[1]Grade Project'!$F:$F,$A$5,'[1]Grade Project'!$G:$G,$A$8),"")</f>
        <v/>
      </c>
      <c r="L82" t="str">
        <f t="shared" si="4"/>
        <v/>
      </c>
      <c r="M82" t="str">
        <f t="shared" si="5"/>
        <v/>
      </c>
      <c r="N82" t="str">
        <f t="shared" si="6"/>
        <v/>
      </c>
    </row>
    <row r="83" spans="2:14" x14ac:dyDescent="0.25">
      <c r="B83" t="s">
        <v>82</v>
      </c>
      <c r="F83" t="str">
        <f>IF(G82=0,"",INDEX('[1]Grade Project'!$G:$G,MATCH($A$5,'[1]Grade Project'!$F:$F,0)+SUM($G$3:G82)))</f>
        <v/>
      </c>
      <c r="G83">
        <f>COUNTIFS('[1]Grade Project'!$F:$F,$A$5,'[1]Grade Project'!$G:$G,F83)</f>
        <v>0</v>
      </c>
      <c r="H83" t="str">
        <f>IF(I82=0,"",INDEX('[1]Grade Project'!$K:$K,MATCH(CONCATENATE($A$5,$A$8),'[1]Grade Project'!$H:$H,0)+SUM($I$3:I82)))</f>
        <v/>
      </c>
      <c r="I83">
        <f>COUNTIFS('[1]Grade Project'!$G:$G,$A$8,'[1]Grade Project'!$K:$K,H83,'[1]Grade Project'!$F:$F,$A$5)</f>
        <v>0</v>
      </c>
      <c r="J83" t="str">
        <f>IFERROR(AVERAGEIFS('[1]Grade Project'!$N:$N,'[1]Grade Project'!$K:$K,H83,'[1]Grade Project'!$F:$F,$A$5,'[1]Grade Project'!$G:$G,$A$8),"")</f>
        <v/>
      </c>
      <c r="K83" t="str">
        <f>IFERROR(AVERAGEIFS('[1]Grade Project'!$O:$O,'[1]Grade Project'!$K:$K,H83,'[1]Grade Project'!$F:$F,$A$5,'[1]Grade Project'!$G:$G,$A$8),"")</f>
        <v/>
      </c>
      <c r="L83" t="str">
        <f t="shared" si="4"/>
        <v/>
      </c>
      <c r="M83" t="str">
        <f t="shared" si="5"/>
        <v/>
      </c>
      <c r="N83" t="str">
        <f t="shared" si="6"/>
        <v/>
      </c>
    </row>
    <row r="84" spans="2:14" x14ac:dyDescent="0.25">
      <c r="B84" t="s">
        <v>83</v>
      </c>
      <c r="F84" t="str">
        <f>IF(G83=0,"",INDEX('[1]Grade Project'!$G:$G,MATCH($A$5,'[1]Grade Project'!$F:$F,0)+SUM($G$3:G83)))</f>
        <v/>
      </c>
      <c r="G84">
        <f>COUNTIFS('[1]Grade Project'!$F:$F,$A$5,'[1]Grade Project'!$G:$G,F84)</f>
        <v>0</v>
      </c>
      <c r="H84" t="str">
        <f>IF(I83=0,"",INDEX('[1]Grade Project'!$K:$K,MATCH(CONCATENATE($A$5,$A$8),'[1]Grade Project'!$H:$H,0)+SUM($I$3:I83)))</f>
        <v/>
      </c>
      <c r="I84">
        <f>COUNTIFS('[1]Grade Project'!$G:$G,$A$8,'[1]Grade Project'!$K:$K,H84,'[1]Grade Project'!$F:$F,$A$5)</f>
        <v>0</v>
      </c>
      <c r="J84" t="str">
        <f>IFERROR(AVERAGEIFS('[1]Grade Project'!$N:$N,'[1]Grade Project'!$K:$K,H84,'[1]Grade Project'!$F:$F,$A$5,'[1]Grade Project'!$G:$G,$A$8),"")</f>
        <v/>
      </c>
      <c r="K84" t="str">
        <f>IFERROR(AVERAGEIFS('[1]Grade Project'!$O:$O,'[1]Grade Project'!$K:$K,H84,'[1]Grade Project'!$F:$F,$A$5,'[1]Grade Project'!$G:$G,$A$8),"")</f>
        <v/>
      </c>
      <c r="L84" t="str">
        <f t="shared" si="4"/>
        <v/>
      </c>
      <c r="M84" t="str">
        <f t="shared" si="5"/>
        <v/>
      </c>
      <c r="N84" t="str">
        <f t="shared" si="6"/>
        <v/>
      </c>
    </row>
    <row r="85" spans="2:14" x14ac:dyDescent="0.25">
      <c r="B85" t="s">
        <v>84</v>
      </c>
      <c r="F85" t="str">
        <f>IF(G84=0,"",INDEX('[1]Grade Project'!$G:$G,MATCH($A$5,'[1]Grade Project'!$F:$F,0)+SUM($G$3:G84)))</f>
        <v/>
      </c>
      <c r="G85">
        <f>COUNTIFS('[1]Grade Project'!$F:$F,$A$5,'[1]Grade Project'!$G:$G,F85)</f>
        <v>0</v>
      </c>
      <c r="H85" t="str">
        <f>IF(I84=0,"",INDEX('[1]Grade Project'!$K:$K,MATCH(CONCATENATE($A$5,$A$8),'[1]Grade Project'!$H:$H,0)+SUM($I$3:I84)))</f>
        <v/>
      </c>
      <c r="I85">
        <f>COUNTIFS('[1]Grade Project'!$G:$G,$A$8,'[1]Grade Project'!$K:$K,H85,'[1]Grade Project'!$F:$F,$A$5)</f>
        <v>0</v>
      </c>
      <c r="J85" t="str">
        <f>IFERROR(AVERAGEIFS('[1]Grade Project'!$N:$N,'[1]Grade Project'!$K:$K,H85,'[1]Grade Project'!$F:$F,$A$5,'[1]Grade Project'!$G:$G,$A$8),"")</f>
        <v/>
      </c>
      <c r="K85" t="str">
        <f>IFERROR(AVERAGEIFS('[1]Grade Project'!$O:$O,'[1]Grade Project'!$K:$K,H85,'[1]Grade Project'!$F:$F,$A$5,'[1]Grade Project'!$G:$G,$A$8),"")</f>
        <v/>
      </c>
      <c r="L85" t="str">
        <f t="shared" si="4"/>
        <v/>
      </c>
      <c r="M85" t="str">
        <f t="shared" si="5"/>
        <v/>
      </c>
      <c r="N85" t="str">
        <f t="shared" si="6"/>
        <v/>
      </c>
    </row>
    <row r="86" spans="2:14" x14ac:dyDescent="0.25">
      <c r="B86" t="s">
        <v>85</v>
      </c>
      <c r="F86" t="str">
        <f>IF(G85=0,"",INDEX('[1]Grade Project'!$G:$G,MATCH($A$5,'[1]Grade Project'!$F:$F,0)+SUM($G$3:G85)))</f>
        <v/>
      </c>
      <c r="G86">
        <f>COUNTIFS('[1]Grade Project'!$F:$F,$A$5,'[1]Grade Project'!$G:$G,F86)</f>
        <v>0</v>
      </c>
      <c r="H86" t="str">
        <f>IF(I85=0,"",INDEX('[1]Grade Project'!$K:$K,MATCH(CONCATENATE($A$5,$A$8),'[1]Grade Project'!$H:$H,0)+SUM($I$3:I85)))</f>
        <v/>
      </c>
      <c r="I86">
        <f>COUNTIFS('[1]Grade Project'!$G:$G,$A$8,'[1]Grade Project'!$K:$K,H86,'[1]Grade Project'!$F:$F,$A$5)</f>
        <v>0</v>
      </c>
      <c r="J86" t="str">
        <f>IFERROR(AVERAGEIFS('[1]Grade Project'!$N:$N,'[1]Grade Project'!$K:$K,H86,'[1]Grade Project'!$F:$F,$A$5,'[1]Grade Project'!$G:$G,$A$8),"")</f>
        <v/>
      </c>
      <c r="K86" t="str">
        <f>IFERROR(AVERAGEIFS('[1]Grade Project'!$O:$O,'[1]Grade Project'!$K:$K,H86,'[1]Grade Project'!$F:$F,$A$5,'[1]Grade Project'!$G:$G,$A$8),"")</f>
        <v/>
      </c>
      <c r="L86" t="str">
        <f t="shared" si="4"/>
        <v/>
      </c>
      <c r="M86" t="str">
        <f t="shared" si="5"/>
        <v/>
      </c>
      <c r="N86" t="str">
        <f t="shared" si="6"/>
        <v/>
      </c>
    </row>
    <row r="87" spans="2:14" x14ac:dyDescent="0.25">
      <c r="B87" t="s">
        <v>86</v>
      </c>
      <c r="F87" t="str">
        <f>IF(G86=0,"",INDEX('[1]Grade Project'!$G:$G,MATCH($A$5,'[1]Grade Project'!$F:$F,0)+SUM($G$3:G86)))</f>
        <v/>
      </c>
      <c r="G87">
        <f>COUNTIFS('[1]Grade Project'!$F:$F,$A$5,'[1]Grade Project'!$G:$G,F87)</f>
        <v>0</v>
      </c>
      <c r="H87" t="str">
        <f>IF(I86=0,"",INDEX('[1]Grade Project'!$K:$K,MATCH(CONCATENATE($A$5,$A$8),'[1]Grade Project'!$H:$H,0)+SUM($I$3:I86)))</f>
        <v/>
      </c>
      <c r="I87">
        <f>COUNTIFS('[1]Grade Project'!$G:$G,$A$8,'[1]Grade Project'!$K:$K,H87,'[1]Grade Project'!$F:$F,$A$5)</f>
        <v>0</v>
      </c>
      <c r="J87" t="str">
        <f>IFERROR(AVERAGEIFS('[1]Grade Project'!$N:$N,'[1]Grade Project'!$K:$K,H87,'[1]Grade Project'!$F:$F,$A$5,'[1]Grade Project'!$G:$G,$A$8),"")</f>
        <v/>
      </c>
      <c r="K87" t="str">
        <f>IFERROR(AVERAGEIFS('[1]Grade Project'!$O:$O,'[1]Grade Project'!$K:$K,H87,'[1]Grade Project'!$F:$F,$A$5,'[1]Grade Project'!$G:$G,$A$8),"")</f>
        <v/>
      </c>
      <c r="L87" t="str">
        <f t="shared" si="4"/>
        <v/>
      </c>
      <c r="M87" t="str">
        <f t="shared" si="5"/>
        <v/>
      </c>
      <c r="N87" t="str">
        <f t="shared" si="6"/>
        <v/>
      </c>
    </row>
    <row r="88" spans="2:14" x14ac:dyDescent="0.25">
      <c r="B88" t="s">
        <v>87</v>
      </c>
      <c r="F88" t="str">
        <f>IF(G87=0,"",INDEX('[1]Grade Project'!$G:$G,MATCH($A$5,'[1]Grade Project'!$F:$F,0)+SUM($G$3:G87)))</f>
        <v/>
      </c>
      <c r="G88">
        <f>COUNTIFS('[1]Grade Project'!$F:$F,$A$5,'[1]Grade Project'!$G:$G,F88)</f>
        <v>0</v>
      </c>
      <c r="H88" t="str">
        <f>IF(I87=0,"",INDEX('[1]Grade Project'!$K:$K,MATCH(CONCATENATE($A$5,$A$8),'[1]Grade Project'!$H:$H,0)+SUM($I$3:I87)))</f>
        <v/>
      </c>
      <c r="I88">
        <f>COUNTIFS('[1]Grade Project'!$G:$G,$A$8,'[1]Grade Project'!$K:$K,H88,'[1]Grade Project'!$F:$F,$A$5)</f>
        <v>0</v>
      </c>
      <c r="J88" t="str">
        <f>IFERROR(AVERAGEIFS('[1]Grade Project'!$N:$N,'[1]Grade Project'!$K:$K,H88,'[1]Grade Project'!$F:$F,$A$5,'[1]Grade Project'!$G:$G,$A$8),"")</f>
        <v/>
      </c>
      <c r="K88" t="str">
        <f>IFERROR(AVERAGEIFS('[1]Grade Project'!$O:$O,'[1]Grade Project'!$K:$K,H88,'[1]Grade Project'!$F:$F,$A$5,'[1]Grade Project'!$G:$G,$A$8),"")</f>
        <v/>
      </c>
      <c r="L88" t="str">
        <f t="shared" si="4"/>
        <v/>
      </c>
      <c r="M88" t="str">
        <f t="shared" si="5"/>
        <v/>
      </c>
      <c r="N88" t="str">
        <f t="shared" si="6"/>
        <v/>
      </c>
    </row>
    <row r="89" spans="2:14" x14ac:dyDescent="0.25">
      <c r="B89" t="s">
        <v>88</v>
      </c>
      <c r="F89" t="str">
        <f>IF(G88=0,"",INDEX('[1]Grade Project'!$G:$G,MATCH($A$5,'[1]Grade Project'!$F:$F,0)+SUM($G$3:G88)))</f>
        <v/>
      </c>
      <c r="G89">
        <f>COUNTIFS('[1]Grade Project'!$F:$F,$A$5,'[1]Grade Project'!$G:$G,F89)</f>
        <v>0</v>
      </c>
      <c r="H89" t="str">
        <f>IF(I88=0,"",INDEX('[1]Grade Project'!$K:$K,MATCH(CONCATENATE($A$5,$A$8),'[1]Grade Project'!$H:$H,0)+SUM($I$3:I88)))</f>
        <v/>
      </c>
      <c r="I89">
        <f>COUNTIFS('[1]Grade Project'!$G:$G,$A$8,'[1]Grade Project'!$K:$K,H89,'[1]Grade Project'!$F:$F,$A$5)</f>
        <v>0</v>
      </c>
      <c r="J89" t="str">
        <f>IFERROR(AVERAGEIFS('[1]Grade Project'!$N:$N,'[1]Grade Project'!$K:$K,H89,'[1]Grade Project'!$F:$F,$A$5,'[1]Grade Project'!$G:$G,$A$8),"")</f>
        <v/>
      </c>
      <c r="K89" t="str">
        <f>IFERROR(AVERAGEIFS('[1]Grade Project'!$O:$O,'[1]Grade Project'!$K:$K,H89,'[1]Grade Project'!$F:$F,$A$5,'[1]Grade Project'!$G:$G,$A$8),"")</f>
        <v/>
      </c>
      <c r="L89" t="str">
        <f t="shared" si="4"/>
        <v/>
      </c>
      <c r="M89" t="str">
        <f t="shared" si="5"/>
        <v/>
      </c>
      <c r="N89" t="str">
        <f t="shared" si="6"/>
        <v/>
      </c>
    </row>
    <row r="90" spans="2:14" x14ac:dyDescent="0.25">
      <c r="B90" t="s">
        <v>89</v>
      </c>
      <c r="F90" t="str">
        <f>IF(G89=0,"",INDEX('[1]Grade Project'!$G:$G,MATCH($A$5,'[1]Grade Project'!$F:$F,0)+SUM($G$3:G89)))</f>
        <v/>
      </c>
      <c r="G90">
        <f>COUNTIFS('[1]Grade Project'!$F:$F,$A$5,'[1]Grade Project'!$G:$G,F90)</f>
        <v>0</v>
      </c>
      <c r="H90" t="str">
        <f>IF(I89=0,"",INDEX('[1]Grade Project'!$K:$K,MATCH(CONCATENATE($A$5,$A$8),'[1]Grade Project'!$H:$H,0)+SUM($I$3:I89)))</f>
        <v/>
      </c>
      <c r="I90">
        <f>COUNTIFS('[1]Grade Project'!$G:$G,$A$8,'[1]Grade Project'!$K:$K,H90,'[1]Grade Project'!$F:$F,$A$5)</f>
        <v>0</v>
      </c>
      <c r="J90" t="str">
        <f>IFERROR(AVERAGEIFS('[1]Grade Project'!$N:$N,'[1]Grade Project'!$K:$K,H90,'[1]Grade Project'!$F:$F,$A$5,'[1]Grade Project'!$G:$G,$A$8),"")</f>
        <v/>
      </c>
      <c r="K90" t="str">
        <f>IFERROR(AVERAGEIFS('[1]Grade Project'!$O:$O,'[1]Grade Project'!$K:$K,H90,'[1]Grade Project'!$F:$F,$A$5,'[1]Grade Project'!$G:$G,$A$8),"")</f>
        <v/>
      </c>
      <c r="L90" t="str">
        <f t="shared" si="4"/>
        <v/>
      </c>
      <c r="M90" t="str">
        <f t="shared" si="5"/>
        <v/>
      </c>
      <c r="N90" t="str">
        <f t="shared" si="6"/>
        <v/>
      </c>
    </row>
    <row r="91" spans="2:14" x14ac:dyDescent="0.25">
      <c r="B91" t="s">
        <v>90</v>
      </c>
      <c r="F91" t="str">
        <f>IF(G90=0,"",INDEX('[1]Grade Project'!$G:$G,MATCH($A$5,'[1]Grade Project'!$F:$F,0)+SUM($G$3:G90)))</f>
        <v/>
      </c>
      <c r="G91">
        <f>COUNTIFS('[1]Grade Project'!$F:$F,$A$5,'[1]Grade Project'!$G:$G,F91)</f>
        <v>0</v>
      </c>
      <c r="H91" t="str">
        <f>IF(I90=0,"",INDEX('[1]Grade Project'!$K:$K,MATCH(CONCATENATE($A$5,$A$8),'[1]Grade Project'!$H:$H,0)+SUM($I$3:I90)))</f>
        <v/>
      </c>
      <c r="I91">
        <f>COUNTIFS('[1]Grade Project'!$G:$G,$A$8,'[1]Grade Project'!$K:$K,H91,'[1]Grade Project'!$F:$F,$A$5)</f>
        <v>0</v>
      </c>
      <c r="J91" t="str">
        <f>IFERROR(AVERAGEIFS('[1]Grade Project'!$N:$N,'[1]Grade Project'!$K:$K,H91,'[1]Grade Project'!$F:$F,$A$5,'[1]Grade Project'!$G:$G,$A$8),"")</f>
        <v/>
      </c>
      <c r="K91" t="str">
        <f>IFERROR(AVERAGEIFS('[1]Grade Project'!$O:$O,'[1]Grade Project'!$K:$K,H91,'[1]Grade Project'!$F:$F,$A$5,'[1]Grade Project'!$G:$G,$A$8),"")</f>
        <v/>
      </c>
      <c r="L91" t="str">
        <f t="shared" si="4"/>
        <v/>
      </c>
      <c r="M91" t="str">
        <f t="shared" si="5"/>
        <v/>
      </c>
      <c r="N91" t="str">
        <f t="shared" si="6"/>
        <v/>
      </c>
    </row>
    <row r="92" spans="2:14" x14ac:dyDescent="0.25">
      <c r="B92" t="s">
        <v>91</v>
      </c>
      <c r="F92" t="str">
        <f>IF(G91=0,"",INDEX('[1]Grade Project'!$G:$G,MATCH($A$5,'[1]Grade Project'!$F:$F,0)+SUM($G$3:G91)))</f>
        <v/>
      </c>
      <c r="G92">
        <f>COUNTIFS('[1]Grade Project'!$F:$F,$A$5,'[1]Grade Project'!$G:$G,F92)</f>
        <v>0</v>
      </c>
      <c r="H92" t="str">
        <f>IF(I91=0,"",INDEX('[1]Grade Project'!$K:$K,MATCH(CONCATENATE($A$5,$A$8),'[1]Grade Project'!$H:$H,0)+SUM($I$3:I91)))</f>
        <v/>
      </c>
      <c r="I92">
        <f>COUNTIFS('[1]Grade Project'!$G:$G,$A$8,'[1]Grade Project'!$K:$K,H92,'[1]Grade Project'!$F:$F,$A$5)</f>
        <v>0</v>
      </c>
      <c r="J92" t="str">
        <f>IFERROR(AVERAGEIFS('[1]Grade Project'!$N:$N,'[1]Grade Project'!$K:$K,H92,'[1]Grade Project'!$F:$F,$A$5,'[1]Grade Project'!$G:$G,$A$8),"")</f>
        <v/>
      </c>
      <c r="K92" t="str">
        <f>IFERROR(AVERAGEIFS('[1]Grade Project'!$O:$O,'[1]Grade Project'!$K:$K,H92,'[1]Grade Project'!$F:$F,$A$5,'[1]Grade Project'!$G:$G,$A$8),"")</f>
        <v/>
      </c>
      <c r="L92" t="str">
        <f t="shared" si="4"/>
        <v/>
      </c>
      <c r="M92" t="str">
        <f t="shared" si="5"/>
        <v/>
      </c>
      <c r="N92" t="str">
        <f t="shared" si="6"/>
        <v/>
      </c>
    </row>
    <row r="93" spans="2:14" x14ac:dyDescent="0.25">
      <c r="B93" t="s">
        <v>92</v>
      </c>
      <c r="F93" t="str">
        <f>IF(G92=0,"",INDEX('[1]Grade Project'!$G:$G,MATCH($A$5,'[1]Grade Project'!$F:$F,0)+SUM($G$3:G92)))</f>
        <v/>
      </c>
      <c r="G93">
        <f>COUNTIFS('[1]Grade Project'!$F:$F,$A$5,'[1]Grade Project'!$G:$G,F93)</f>
        <v>0</v>
      </c>
      <c r="H93" t="str">
        <f>IF(I92=0,"",INDEX('[1]Grade Project'!$K:$K,MATCH(CONCATENATE($A$5,$A$8),'[1]Grade Project'!$H:$H,0)+SUM($I$3:I92)))</f>
        <v/>
      </c>
      <c r="I93">
        <f>COUNTIFS('[1]Grade Project'!$G:$G,$A$8,'[1]Grade Project'!$K:$K,H93,'[1]Grade Project'!$F:$F,$A$5)</f>
        <v>0</v>
      </c>
      <c r="J93" t="str">
        <f>IFERROR(AVERAGEIFS('[1]Grade Project'!$N:$N,'[1]Grade Project'!$K:$K,H93,'[1]Grade Project'!$F:$F,$A$5,'[1]Grade Project'!$G:$G,$A$8),"")</f>
        <v/>
      </c>
      <c r="K93" t="str">
        <f>IFERROR(AVERAGEIFS('[1]Grade Project'!$O:$O,'[1]Grade Project'!$K:$K,H93,'[1]Grade Project'!$F:$F,$A$5,'[1]Grade Project'!$G:$G,$A$8),"")</f>
        <v/>
      </c>
      <c r="L93" t="str">
        <f t="shared" si="4"/>
        <v/>
      </c>
      <c r="M93" t="str">
        <f t="shared" si="5"/>
        <v/>
      </c>
      <c r="N93" t="str">
        <f t="shared" si="6"/>
        <v/>
      </c>
    </row>
    <row r="94" spans="2:14" x14ac:dyDescent="0.25">
      <c r="B94" t="s">
        <v>93</v>
      </c>
      <c r="F94" t="str">
        <f>IF(G93=0,"",INDEX('[1]Grade Project'!$G:$G,MATCH($A$5,'[1]Grade Project'!$F:$F,0)+SUM($G$3:G93)))</f>
        <v/>
      </c>
      <c r="G94">
        <f>COUNTIFS('[1]Grade Project'!$F:$F,$A$5,'[1]Grade Project'!$G:$G,F94)</f>
        <v>0</v>
      </c>
      <c r="H94" t="str">
        <f>IF(I93=0,"",INDEX('[1]Grade Project'!$K:$K,MATCH(CONCATENATE($A$5,$A$8),'[1]Grade Project'!$H:$H,0)+SUM($I$3:I93)))</f>
        <v/>
      </c>
      <c r="I94">
        <f>COUNTIFS('[1]Grade Project'!$G:$G,$A$8,'[1]Grade Project'!$K:$K,H94,'[1]Grade Project'!$F:$F,$A$5)</f>
        <v>0</v>
      </c>
      <c r="J94" t="str">
        <f>IFERROR(AVERAGEIFS('[1]Grade Project'!$N:$N,'[1]Grade Project'!$K:$K,H94,'[1]Grade Project'!$F:$F,$A$5,'[1]Grade Project'!$G:$G,$A$8),"")</f>
        <v/>
      </c>
      <c r="K94" t="str">
        <f>IFERROR(AVERAGEIFS('[1]Grade Project'!$O:$O,'[1]Grade Project'!$K:$K,H94,'[1]Grade Project'!$F:$F,$A$5,'[1]Grade Project'!$G:$G,$A$8),"")</f>
        <v/>
      </c>
      <c r="L94" t="str">
        <f t="shared" si="4"/>
        <v/>
      </c>
      <c r="M94" t="str">
        <f t="shared" si="5"/>
        <v/>
      </c>
      <c r="N94" t="str">
        <f t="shared" si="6"/>
        <v/>
      </c>
    </row>
    <row r="95" spans="2:14" x14ac:dyDescent="0.25">
      <c r="B95" t="s">
        <v>94</v>
      </c>
      <c r="F95" t="str">
        <f>IF(G94=0,"",INDEX('[1]Grade Project'!$G:$G,MATCH($A$5,'[1]Grade Project'!$F:$F,0)+SUM($G$3:G94)))</f>
        <v/>
      </c>
      <c r="G95">
        <f>COUNTIFS('[1]Grade Project'!$F:$F,$A$5,'[1]Grade Project'!$G:$G,F95)</f>
        <v>0</v>
      </c>
      <c r="H95" t="str">
        <f>IF(I94=0,"",INDEX('[1]Grade Project'!$K:$K,MATCH(CONCATENATE($A$5,$A$8),'[1]Grade Project'!$H:$H,0)+SUM($I$3:I94)))</f>
        <v/>
      </c>
      <c r="I95">
        <f>COUNTIFS('[1]Grade Project'!$G:$G,$A$8,'[1]Grade Project'!$K:$K,H95,'[1]Grade Project'!$F:$F,$A$5)</f>
        <v>0</v>
      </c>
      <c r="J95" t="str">
        <f>IFERROR(AVERAGEIFS('[1]Grade Project'!$N:$N,'[1]Grade Project'!$K:$K,H95,'[1]Grade Project'!$F:$F,$A$5,'[1]Grade Project'!$G:$G,$A$8),"")</f>
        <v/>
      </c>
      <c r="K95" t="str">
        <f>IFERROR(AVERAGEIFS('[1]Grade Project'!$O:$O,'[1]Grade Project'!$K:$K,H95,'[1]Grade Project'!$F:$F,$A$5,'[1]Grade Project'!$G:$G,$A$8),"")</f>
        <v/>
      </c>
      <c r="L95" t="str">
        <f t="shared" si="4"/>
        <v/>
      </c>
      <c r="M95" t="str">
        <f t="shared" si="5"/>
        <v/>
      </c>
      <c r="N95" t="str">
        <f t="shared" si="6"/>
        <v/>
      </c>
    </row>
    <row r="96" spans="2:14" x14ac:dyDescent="0.25">
      <c r="B96" t="s">
        <v>95</v>
      </c>
      <c r="F96" t="str">
        <f>IF(G95=0,"",INDEX('[1]Grade Project'!$G:$G,MATCH($A$5,'[1]Grade Project'!$F:$F,0)+SUM($G$3:G95)))</f>
        <v/>
      </c>
      <c r="G96">
        <f>COUNTIFS('[1]Grade Project'!$F:$F,$A$5,'[1]Grade Project'!$G:$G,F96)</f>
        <v>0</v>
      </c>
      <c r="H96" t="str">
        <f>IF(I95=0,"",INDEX('[1]Grade Project'!$K:$K,MATCH(CONCATENATE($A$5,$A$8),'[1]Grade Project'!$H:$H,0)+SUM($I$3:I95)))</f>
        <v/>
      </c>
      <c r="I96">
        <f>COUNTIFS('[1]Grade Project'!$G:$G,$A$8,'[1]Grade Project'!$K:$K,H96,'[1]Grade Project'!$F:$F,$A$5)</f>
        <v>0</v>
      </c>
      <c r="J96" t="str">
        <f>IFERROR(AVERAGEIFS('[1]Grade Project'!$N:$N,'[1]Grade Project'!$K:$K,H96,'[1]Grade Project'!$F:$F,$A$5,'[1]Grade Project'!$G:$G,$A$8),"")</f>
        <v/>
      </c>
      <c r="K96" t="str">
        <f>IFERROR(AVERAGEIFS('[1]Grade Project'!$O:$O,'[1]Grade Project'!$K:$K,H96,'[1]Grade Project'!$F:$F,$A$5,'[1]Grade Project'!$G:$G,$A$8),"")</f>
        <v/>
      </c>
      <c r="L96" t="str">
        <f t="shared" si="4"/>
        <v/>
      </c>
      <c r="M96" t="str">
        <f t="shared" si="5"/>
        <v/>
      </c>
      <c r="N96" t="str">
        <f t="shared" si="6"/>
        <v/>
      </c>
    </row>
    <row r="97" spans="2:14" x14ac:dyDescent="0.25">
      <c r="B97" t="s">
        <v>96</v>
      </c>
      <c r="H97" t="str">
        <f>IF(I96=0,"",INDEX('[1]Grade Project'!$K:$K,MATCH(CONCATENATE($A$5,$A$8),'[1]Grade Project'!$H:$H,0)+SUM($I$3:I96)))</f>
        <v/>
      </c>
      <c r="I97">
        <f>COUNTIFS('[1]Grade Project'!$G:$G,$A$8,'[1]Grade Project'!$K:$K,H97,'[1]Grade Project'!$F:$F,$A$5)</f>
        <v>0</v>
      </c>
      <c r="J97" t="str">
        <f>IFERROR(AVERAGEIFS('[1]Grade Project'!$N:$N,'[1]Grade Project'!$K:$K,H97,'[1]Grade Project'!$F:$F,$A$5,'[1]Grade Project'!$G:$G,$A$8),"")</f>
        <v/>
      </c>
      <c r="K97" t="str">
        <f>IFERROR(AVERAGEIFS('[1]Grade Project'!$O:$O,'[1]Grade Project'!$K:$K,H97,'[1]Grade Project'!$F:$F,$A$5,'[1]Grade Project'!$G:$G,$A$8),"")</f>
        <v/>
      </c>
      <c r="L97" t="str">
        <f t="shared" si="4"/>
        <v/>
      </c>
      <c r="M97" t="str">
        <f t="shared" si="5"/>
        <v/>
      </c>
      <c r="N97" t="str">
        <f t="shared" si="6"/>
        <v/>
      </c>
    </row>
    <row r="98" spans="2:14" x14ac:dyDescent="0.25">
      <c r="B98" t="s">
        <v>97</v>
      </c>
      <c r="H98" t="str">
        <f>IF(I97=0,"",INDEX('[1]Grade Project'!$K:$K,MATCH(CONCATENATE($A$5,$A$8),'[1]Grade Project'!$H:$H,0)+SUM($I$3:I97)))</f>
        <v/>
      </c>
      <c r="I98">
        <f>COUNTIFS('[1]Grade Project'!$G:$G,$A$8,'[1]Grade Project'!$K:$K,H98,'[1]Grade Project'!$F:$F,$A$5)</f>
        <v>0</v>
      </c>
      <c r="J98" t="str">
        <f>IFERROR(AVERAGEIFS('[1]Grade Project'!$N:$N,'[1]Grade Project'!$K:$K,H98,'[1]Grade Project'!$F:$F,$A$5,'[1]Grade Project'!$G:$G,$A$8),"")</f>
        <v/>
      </c>
      <c r="K98" t="str">
        <f>IFERROR(AVERAGEIFS('[1]Grade Project'!$O:$O,'[1]Grade Project'!$K:$K,H98,'[1]Grade Project'!$F:$F,$A$5,'[1]Grade Project'!$G:$G,$A$8),"")</f>
        <v/>
      </c>
      <c r="L98" t="str">
        <f t="shared" si="4"/>
        <v/>
      </c>
      <c r="M98" t="str">
        <f t="shared" si="5"/>
        <v/>
      </c>
      <c r="N98" t="str">
        <f t="shared" si="6"/>
        <v/>
      </c>
    </row>
    <row r="99" spans="2:14" x14ac:dyDescent="0.25">
      <c r="B99" t="s">
        <v>98</v>
      </c>
      <c r="H99" t="str">
        <f>IF(I98=0,"",INDEX('[1]Grade Project'!$K:$K,MATCH(CONCATENATE($A$5,$A$8),'[1]Grade Project'!$H:$H,0)+SUM($I$3:I98)))</f>
        <v/>
      </c>
      <c r="I99">
        <f>COUNTIFS('[1]Grade Project'!$G:$G,$A$8,'[1]Grade Project'!$K:$K,H99,'[1]Grade Project'!$F:$F,$A$5)</f>
        <v>0</v>
      </c>
      <c r="J99" t="str">
        <f>IFERROR(AVERAGEIFS('[1]Grade Project'!$N:$N,'[1]Grade Project'!$K:$K,H99,'[1]Grade Project'!$F:$F,$A$5,'[1]Grade Project'!$G:$G,$A$8),"")</f>
        <v/>
      </c>
      <c r="K99" t="str">
        <f>IFERROR(AVERAGEIFS('[1]Grade Project'!$O:$O,'[1]Grade Project'!$K:$K,H99,'[1]Grade Project'!$F:$F,$A$5,'[1]Grade Project'!$G:$G,$A$8),"")</f>
        <v/>
      </c>
      <c r="L99" t="str">
        <f t="shared" si="4"/>
        <v/>
      </c>
      <c r="M99" t="str">
        <f t="shared" si="5"/>
        <v/>
      </c>
      <c r="N99" t="str">
        <f t="shared" si="6"/>
        <v/>
      </c>
    </row>
    <row r="100" spans="2:14" x14ac:dyDescent="0.25">
      <c r="B100" t="s">
        <v>99</v>
      </c>
      <c r="H100" t="str">
        <f>IF(I99=0,"",INDEX('[1]Grade Project'!$K:$K,MATCH(CONCATENATE($A$5,$A$8),'[1]Grade Project'!$H:$H,0)+SUM($I$3:I99)))</f>
        <v/>
      </c>
      <c r="I100">
        <f>COUNTIFS('[1]Grade Project'!$G:$G,$A$8,'[1]Grade Project'!$K:$K,H100,'[1]Grade Project'!$F:$F,$A$5)</f>
        <v>0</v>
      </c>
      <c r="J100" t="str">
        <f>IFERROR(AVERAGEIFS('[1]Grade Project'!$N:$N,'[1]Grade Project'!$K:$K,H100,'[1]Grade Project'!$F:$F,$A$5,'[1]Grade Project'!$G:$G,$A$8),"")</f>
        <v/>
      </c>
      <c r="K100" t="str">
        <f>IFERROR(AVERAGEIFS('[1]Grade Project'!$O:$O,'[1]Grade Project'!$K:$K,H100,'[1]Grade Project'!$F:$F,$A$5,'[1]Grade Project'!$G:$G,$A$8),"")</f>
        <v/>
      </c>
      <c r="L100" t="str">
        <f t="shared" si="4"/>
        <v/>
      </c>
      <c r="M100" t="str">
        <f t="shared" si="5"/>
        <v/>
      </c>
      <c r="N100" t="str">
        <f t="shared" si="6"/>
        <v/>
      </c>
    </row>
    <row r="101" spans="2:14" x14ac:dyDescent="0.25">
      <c r="H101" t="str">
        <f>IF(I100=0,"",INDEX('[1]Grade Project'!$K:$K,MATCH(CONCATENATE($A$5,$A$8),'[1]Grade Project'!$H:$H,0)+SUM($I$3:I100)))</f>
        <v/>
      </c>
      <c r="I101">
        <f>COUNTIFS('[1]Grade Project'!$G:$G,$A$8,'[1]Grade Project'!$K:$K,H101,'[1]Grade Project'!$F:$F,$A$5)</f>
        <v>0</v>
      </c>
      <c r="J101" t="str">
        <f>IFERROR(AVERAGEIFS('[1]Grade Project'!$N:$N,'[1]Grade Project'!$K:$K,H101,'[1]Grade Project'!$F:$F,$A$5,'[1]Grade Project'!$G:$G,$A$8),"")</f>
        <v/>
      </c>
      <c r="K101" t="str">
        <f>IFERROR(AVERAGEIFS('[1]Grade Project'!$O:$O,'[1]Grade Project'!$K:$K,H101,'[1]Grade Project'!$F:$F,$A$5,'[1]Grade Project'!$G:$G,$A$8),"")</f>
        <v/>
      </c>
      <c r="L101" t="str">
        <f t="shared" si="4"/>
        <v/>
      </c>
      <c r="M101" t="str">
        <f t="shared" si="5"/>
        <v/>
      </c>
      <c r="N101" t="str">
        <f t="shared" si="6"/>
        <v/>
      </c>
    </row>
    <row r="102" spans="2:14" x14ac:dyDescent="0.25">
      <c r="H102" t="str">
        <f>IF(I101=0,"",INDEX('[1]Grade Project'!$K:$K,MATCH(CONCATENATE($A$5,$A$8),'[1]Grade Project'!$H:$H,0)+SUM($I$3:I101)))</f>
        <v/>
      </c>
      <c r="I102">
        <f>COUNTIFS('[1]Grade Project'!$G:$G,$A$8,'[1]Grade Project'!$K:$K,H102,'[1]Grade Project'!$F:$F,$A$5)</f>
        <v>0</v>
      </c>
      <c r="J102" t="str">
        <f>IFERROR(AVERAGEIFS('[1]Grade Project'!$N:$N,'[1]Grade Project'!$K:$K,H102,'[1]Grade Project'!$F:$F,$A$5,'[1]Grade Project'!$G:$G,$A$8),"")</f>
        <v/>
      </c>
      <c r="K102" t="str">
        <f>IFERROR(AVERAGEIFS('[1]Grade Project'!$O:$O,'[1]Grade Project'!$K:$K,H102,'[1]Grade Project'!$F:$F,$A$5,'[1]Grade Project'!$G:$G,$A$8),"")</f>
        <v/>
      </c>
      <c r="L102" t="str">
        <f t="shared" si="4"/>
        <v/>
      </c>
      <c r="M102" t="str">
        <f t="shared" si="5"/>
        <v/>
      </c>
      <c r="N102" t="str">
        <f t="shared" si="6"/>
        <v/>
      </c>
    </row>
    <row r="103" spans="2:14" x14ac:dyDescent="0.25">
      <c r="H103" t="str">
        <f>IF(I102=0,"",INDEX('[1]Grade Project'!$K:$K,MATCH(CONCATENATE($A$5,$A$8),'[1]Grade Project'!$H:$H,0)+SUM($I$3:I102)))</f>
        <v/>
      </c>
      <c r="I103">
        <f>COUNTIFS('[1]Grade Project'!$G:$G,$A$8,'[1]Grade Project'!$K:$K,H103,'[1]Grade Project'!$F:$F,$A$5)</f>
        <v>0</v>
      </c>
      <c r="J103" t="str">
        <f>IFERROR(AVERAGEIFS('[1]Grade Project'!$N:$N,'[1]Grade Project'!$K:$K,H103,'[1]Grade Project'!$F:$F,$A$5,'[1]Grade Project'!$G:$G,$A$8),"")</f>
        <v/>
      </c>
      <c r="K103" t="str">
        <f>IFERROR(AVERAGEIFS('[1]Grade Project'!$O:$O,'[1]Grade Project'!$K:$K,H103,'[1]Grade Project'!$F:$F,$A$5,'[1]Grade Project'!$G:$G,$A$8),"")</f>
        <v/>
      </c>
      <c r="L103" t="str">
        <f t="shared" si="4"/>
        <v/>
      </c>
      <c r="M103" t="str">
        <f t="shared" si="5"/>
        <v/>
      </c>
      <c r="N103" t="str">
        <f t="shared" si="6"/>
        <v/>
      </c>
    </row>
    <row r="104" spans="2:14" x14ac:dyDescent="0.25">
      <c r="H104" t="str">
        <f>IF(I103=0,"",INDEX('[1]Grade Project'!$K:$K,MATCH(CONCATENATE($A$5,$A$8),'[1]Grade Project'!$H:$H,0)+SUM($I$3:I103)))</f>
        <v/>
      </c>
      <c r="I104">
        <f>COUNTIFS('[1]Grade Project'!$G:$G,$A$8,'[1]Grade Project'!$K:$K,H104,'[1]Grade Project'!$F:$F,$A$5)</f>
        <v>0</v>
      </c>
      <c r="J104" t="str">
        <f>IFERROR(AVERAGEIFS('[1]Grade Project'!$N:$N,'[1]Grade Project'!$K:$K,H104,'[1]Grade Project'!$F:$F,$A$5,'[1]Grade Project'!$G:$G,$A$8),"")</f>
        <v/>
      </c>
      <c r="K104" t="str">
        <f>IFERROR(AVERAGEIFS('[1]Grade Project'!$O:$O,'[1]Grade Project'!$K:$K,H104,'[1]Grade Project'!$F:$F,$A$5,'[1]Grade Project'!$G:$G,$A$8),"")</f>
        <v/>
      </c>
      <c r="L104" t="str">
        <f t="shared" si="4"/>
        <v/>
      </c>
      <c r="M104" t="str">
        <f t="shared" si="5"/>
        <v/>
      </c>
      <c r="N104" t="str">
        <f t="shared" si="6"/>
        <v/>
      </c>
    </row>
    <row r="105" spans="2:14" x14ac:dyDescent="0.25">
      <c r="H105" t="str">
        <f>IF(I104=0,"",INDEX('[1]Grade Project'!$K:$K,MATCH(CONCATENATE($A$5,$A$8),'[1]Grade Project'!$H:$H,0)+SUM($I$3:I104)))</f>
        <v/>
      </c>
      <c r="I105">
        <f>COUNTIFS('[1]Grade Project'!$G:$G,$A$8,'[1]Grade Project'!$K:$K,H105,'[1]Grade Project'!$F:$F,$A$5)</f>
        <v>0</v>
      </c>
      <c r="J105" t="str">
        <f>IFERROR(AVERAGEIFS('[1]Grade Project'!$N:$N,'[1]Grade Project'!$K:$K,H105,'[1]Grade Project'!$F:$F,$A$5,'[1]Grade Project'!$G:$G,$A$8),"")</f>
        <v/>
      </c>
      <c r="K105" t="str">
        <f>IFERROR(AVERAGEIFS('[1]Grade Project'!$O:$O,'[1]Grade Project'!$K:$K,H105,'[1]Grade Project'!$F:$F,$A$5,'[1]Grade Project'!$G:$G,$A$8),"")</f>
        <v/>
      </c>
      <c r="L105" t="str">
        <f t="shared" si="4"/>
        <v/>
      </c>
      <c r="M105" t="str">
        <f t="shared" si="5"/>
        <v/>
      </c>
      <c r="N105" t="str">
        <f t="shared" si="6"/>
        <v/>
      </c>
    </row>
    <row r="106" spans="2:14" x14ac:dyDescent="0.25">
      <c r="H106" t="str">
        <f>IF(I105=0,"",INDEX('[1]Grade Project'!$K:$K,MATCH(CONCATENATE($A$5,$A$8),'[1]Grade Project'!$H:$H,0)+SUM($I$3:I105)))</f>
        <v/>
      </c>
      <c r="I106">
        <f>COUNTIFS('[1]Grade Project'!$G:$G,$A$8,'[1]Grade Project'!$K:$K,H106,'[1]Grade Project'!$F:$F,$A$5)</f>
        <v>0</v>
      </c>
      <c r="J106" t="str">
        <f>IFERROR(AVERAGEIFS('[1]Grade Project'!$N:$N,'[1]Grade Project'!$K:$K,H106,'[1]Grade Project'!$F:$F,$A$5,'[1]Grade Project'!$G:$G,$A$8),"")</f>
        <v/>
      </c>
      <c r="K106" t="str">
        <f>IFERROR(AVERAGEIFS('[1]Grade Project'!$O:$O,'[1]Grade Project'!$K:$K,H106,'[1]Grade Project'!$F:$F,$A$5,'[1]Grade Project'!$G:$G,$A$8),"")</f>
        <v/>
      </c>
      <c r="L106" t="str">
        <f t="shared" si="4"/>
        <v/>
      </c>
      <c r="M106" t="str">
        <f t="shared" si="5"/>
        <v/>
      </c>
      <c r="N106" t="str">
        <f t="shared" si="6"/>
        <v/>
      </c>
    </row>
    <row r="107" spans="2:14" x14ac:dyDescent="0.25">
      <c r="H107" t="str">
        <f>IF(I106=0,"",INDEX('[1]Grade Project'!$K:$K,MATCH(CONCATENATE($A$5,$A$8),'[1]Grade Project'!$H:$H,0)+SUM($I$3:I106)))</f>
        <v/>
      </c>
      <c r="I107">
        <f>COUNTIFS('[1]Grade Project'!$G:$G,$A$8,'[1]Grade Project'!$K:$K,H107,'[1]Grade Project'!$F:$F,$A$5)</f>
        <v>0</v>
      </c>
      <c r="J107" t="str">
        <f>IFERROR(AVERAGEIFS('[1]Grade Project'!$N:$N,'[1]Grade Project'!$K:$K,H107,'[1]Grade Project'!$F:$F,$A$5,'[1]Grade Project'!$G:$G,$A$8),"")</f>
        <v/>
      </c>
      <c r="K107" t="str">
        <f>IFERROR(AVERAGEIFS('[1]Grade Project'!$O:$O,'[1]Grade Project'!$K:$K,H107,'[1]Grade Project'!$F:$F,$A$5,'[1]Grade Project'!$G:$G,$A$8),"")</f>
        <v/>
      </c>
      <c r="L107" t="str">
        <f t="shared" si="4"/>
        <v/>
      </c>
      <c r="M107" t="str">
        <f t="shared" si="5"/>
        <v/>
      </c>
      <c r="N107" t="str">
        <f t="shared" si="6"/>
        <v/>
      </c>
    </row>
    <row r="108" spans="2:14" x14ac:dyDescent="0.25">
      <c r="H108" t="str">
        <f>IF(I107=0,"",INDEX('[1]Grade Project'!$K:$K,MATCH(CONCATENATE($A$5,$A$8),'[1]Grade Project'!$H:$H,0)+SUM($I$3:I107)))</f>
        <v/>
      </c>
      <c r="I108">
        <f>COUNTIFS('[1]Grade Project'!$G:$G,$A$8,'[1]Grade Project'!$K:$K,H108,'[1]Grade Project'!$F:$F,$A$5)</f>
        <v>0</v>
      </c>
      <c r="J108" t="str">
        <f>IFERROR(AVERAGEIFS('[1]Grade Project'!$N:$N,'[1]Grade Project'!$K:$K,H108,'[1]Grade Project'!$F:$F,$A$5,'[1]Grade Project'!$G:$G,$A$8),"")</f>
        <v/>
      </c>
      <c r="K108" t="str">
        <f>IFERROR(AVERAGEIFS('[1]Grade Project'!$O:$O,'[1]Grade Project'!$K:$K,H108,'[1]Grade Project'!$F:$F,$A$5,'[1]Grade Project'!$G:$G,$A$8),"")</f>
        <v/>
      </c>
      <c r="L108" t="str">
        <f t="shared" si="4"/>
        <v/>
      </c>
      <c r="M108" t="str">
        <f t="shared" si="5"/>
        <v/>
      </c>
      <c r="N108" t="str">
        <f t="shared" si="6"/>
        <v/>
      </c>
    </row>
    <row r="109" spans="2:14" x14ac:dyDescent="0.25">
      <c r="H109" t="str">
        <f>IF(I108=0,"",INDEX('[1]Grade Project'!$K:$K,MATCH(CONCATENATE($A$5,$A$8),'[1]Grade Project'!$H:$H,0)+SUM($I$3:I108)))</f>
        <v/>
      </c>
      <c r="I109">
        <f>COUNTIFS('[1]Grade Project'!$G:$G,$A$8,'[1]Grade Project'!$K:$K,H109,'[1]Grade Project'!$F:$F,$A$5)</f>
        <v>0</v>
      </c>
      <c r="J109" t="str">
        <f>IFERROR(AVERAGEIFS('[1]Grade Project'!$N:$N,'[1]Grade Project'!$K:$K,H109,'[1]Grade Project'!$F:$F,$A$5,'[1]Grade Project'!$G:$G,$A$8),"")</f>
        <v/>
      </c>
      <c r="K109" t="str">
        <f>IFERROR(AVERAGEIFS('[1]Grade Project'!$O:$O,'[1]Grade Project'!$K:$K,H109,'[1]Grade Project'!$F:$F,$A$5,'[1]Grade Project'!$G:$G,$A$8),"")</f>
        <v/>
      </c>
      <c r="L109" t="str">
        <f t="shared" si="4"/>
        <v/>
      </c>
      <c r="M109" t="str">
        <f t="shared" si="5"/>
        <v/>
      </c>
      <c r="N109" t="str">
        <f t="shared" si="6"/>
        <v/>
      </c>
    </row>
    <row r="110" spans="2:14" x14ac:dyDescent="0.25">
      <c r="H110" t="str">
        <f>IF(I109=0,"",INDEX('[1]Grade Project'!$K:$K,MATCH(CONCATENATE($A$5,$A$8),'[1]Grade Project'!$H:$H,0)+SUM($I$3:I109)))</f>
        <v/>
      </c>
      <c r="I110">
        <f>COUNTIFS('[1]Grade Project'!$G:$G,$A$8,'[1]Grade Project'!$K:$K,H110,'[1]Grade Project'!$F:$F,$A$5)</f>
        <v>0</v>
      </c>
      <c r="J110" t="str">
        <f>IFERROR(AVERAGEIFS('[1]Grade Project'!$N:$N,'[1]Grade Project'!$K:$K,H110,'[1]Grade Project'!$F:$F,$A$5,'[1]Grade Project'!$G:$G,$A$8),"")</f>
        <v/>
      </c>
      <c r="K110" t="str">
        <f>IFERROR(AVERAGEIFS('[1]Grade Project'!$O:$O,'[1]Grade Project'!$K:$K,H110,'[1]Grade Project'!$F:$F,$A$5,'[1]Grade Project'!$G:$G,$A$8),"")</f>
        <v/>
      </c>
      <c r="L110" t="str">
        <f t="shared" si="4"/>
        <v/>
      </c>
      <c r="M110" t="str">
        <f t="shared" si="5"/>
        <v/>
      </c>
      <c r="N110" t="str">
        <f t="shared" si="6"/>
        <v/>
      </c>
    </row>
    <row r="111" spans="2:14" x14ac:dyDescent="0.25">
      <c r="H111" t="str">
        <f>IF(I110=0,"",INDEX('[1]Grade Project'!$K:$K,MATCH(CONCATENATE($A$5,$A$8),'[1]Grade Project'!$H:$H,0)+SUM($I$3:I110)))</f>
        <v/>
      </c>
      <c r="I111">
        <f>COUNTIFS('[1]Grade Project'!$G:$G,$A$8,'[1]Grade Project'!$K:$K,H111,'[1]Grade Project'!$F:$F,$A$5)</f>
        <v>0</v>
      </c>
      <c r="J111" t="str">
        <f>IFERROR(AVERAGEIFS('[1]Grade Project'!$N:$N,'[1]Grade Project'!$K:$K,H111,'[1]Grade Project'!$F:$F,$A$5,'[1]Grade Project'!$G:$G,$A$8),"")</f>
        <v/>
      </c>
      <c r="K111" t="str">
        <f>IFERROR(AVERAGEIFS('[1]Grade Project'!$O:$O,'[1]Grade Project'!$K:$K,H111,'[1]Grade Project'!$F:$F,$A$5,'[1]Grade Project'!$G:$G,$A$8),"")</f>
        <v/>
      </c>
      <c r="L111" t="str">
        <f t="shared" si="4"/>
        <v/>
      </c>
      <c r="M111" t="str">
        <f t="shared" si="5"/>
        <v/>
      </c>
      <c r="N111" t="str">
        <f t="shared" si="6"/>
        <v/>
      </c>
    </row>
    <row r="112" spans="2:14" x14ac:dyDescent="0.25">
      <c r="H112" t="str">
        <f>IF(I111=0,"",INDEX('[1]Grade Project'!$K:$K,MATCH(CONCATENATE($A$5,$A$8),'[1]Grade Project'!$H:$H,0)+SUM($I$3:I111)))</f>
        <v/>
      </c>
      <c r="I112">
        <f>COUNTIFS('[1]Grade Project'!$G:$G,$A$8,'[1]Grade Project'!$K:$K,H112,'[1]Grade Project'!$F:$F,$A$5)</f>
        <v>0</v>
      </c>
      <c r="J112" t="str">
        <f>IFERROR(AVERAGEIFS('[1]Grade Project'!$N:$N,'[1]Grade Project'!$K:$K,H112,'[1]Grade Project'!$F:$F,$A$5,'[1]Grade Project'!$G:$G,$A$8),"")</f>
        <v/>
      </c>
      <c r="K112" t="str">
        <f>IFERROR(AVERAGEIFS('[1]Grade Project'!$O:$O,'[1]Grade Project'!$K:$K,H112,'[1]Grade Project'!$F:$F,$A$5,'[1]Grade Project'!$G:$G,$A$8),"")</f>
        <v/>
      </c>
      <c r="L112" t="str">
        <f t="shared" si="4"/>
        <v/>
      </c>
      <c r="M112" t="str">
        <f t="shared" si="5"/>
        <v/>
      </c>
      <c r="N112" t="str">
        <f t="shared" si="6"/>
        <v/>
      </c>
    </row>
    <row r="113" spans="8:14" x14ac:dyDescent="0.25">
      <c r="H113" t="str">
        <f>IF(I112=0,"",INDEX('[1]Grade Project'!$K:$K,MATCH(CONCATENATE($A$5,$A$8),'[1]Grade Project'!$H:$H,0)+SUM($I$3:I112)))</f>
        <v/>
      </c>
      <c r="I113">
        <f>COUNTIFS('[1]Grade Project'!$G:$G,$A$8,'[1]Grade Project'!$K:$K,H113,'[1]Grade Project'!$F:$F,$A$5)</f>
        <v>0</v>
      </c>
      <c r="J113" t="str">
        <f>IFERROR(AVERAGEIFS('[1]Grade Project'!$N:$N,'[1]Grade Project'!$K:$K,H113,'[1]Grade Project'!$F:$F,$A$5,'[1]Grade Project'!$G:$G,$A$8),"")</f>
        <v/>
      </c>
      <c r="K113" t="str">
        <f>IFERROR(AVERAGEIFS('[1]Grade Project'!$O:$O,'[1]Grade Project'!$K:$K,H113,'[1]Grade Project'!$F:$F,$A$5,'[1]Grade Project'!$G:$G,$A$8),"")</f>
        <v/>
      </c>
      <c r="L113" t="str">
        <f t="shared" si="4"/>
        <v/>
      </c>
      <c r="M113" t="str">
        <f t="shared" si="5"/>
        <v/>
      </c>
      <c r="N113" t="str">
        <f t="shared" si="6"/>
        <v/>
      </c>
    </row>
    <row r="114" spans="8:14" x14ac:dyDescent="0.25">
      <c r="H114" t="str">
        <f>IF(I113=0,"",INDEX('[1]Grade Project'!$K:$K,MATCH(CONCATENATE($A$5,$A$8),'[1]Grade Project'!$H:$H,0)+SUM($I$3:I113)))</f>
        <v/>
      </c>
      <c r="I114">
        <f>COUNTIFS('[1]Grade Project'!$G:$G,$A$8,'[1]Grade Project'!$K:$K,H114,'[1]Grade Project'!$F:$F,$A$5)</f>
        <v>0</v>
      </c>
      <c r="J114" t="str">
        <f>IFERROR(AVERAGEIFS('[1]Grade Project'!$N:$N,'[1]Grade Project'!$K:$K,H114,'[1]Grade Project'!$F:$F,$A$5,'[1]Grade Project'!$G:$G,$A$8),"")</f>
        <v/>
      </c>
      <c r="K114" t="str">
        <f>IFERROR(AVERAGEIFS('[1]Grade Project'!$O:$O,'[1]Grade Project'!$K:$K,H114,'[1]Grade Project'!$F:$F,$A$5,'[1]Grade Project'!$G:$G,$A$8),"")</f>
        <v/>
      </c>
      <c r="L114" t="str">
        <f t="shared" si="4"/>
        <v/>
      </c>
      <c r="M114" t="str">
        <f t="shared" si="5"/>
        <v/>
      </c>
      <c r="N114" t="str">
        <f t="shared" si="6"/>
        <v/>
      </c>
    </row>
    <row r="115" spans="8:14" x14ac:dyDescent="0.25">
      <c r="H115" t="str">
        <f>IF(I114=0,"",INDEX('[1]Grade Project'!$K:$K,MATCH(CONCATENATE($A$5,$A$8),'[1]Grade Project'!$H:$H,0)+SUM($I$3:I114)))</f>
        <v/>
      </c>
      <c r="I115">
        <f>COUNTIFS('[1]Grade Project'!$G:$G,$A$8,'[1]Grade Project'!$K:$K,H115,'[1]Grade Project'!$F:$F,$A$5)</f>
        <v>0</v>
      </c>
      <c r="J115" t="str">
        <f>IFERROR(AVERAGEIFS('[1]Grade Project'!$N:$N,'[1]Grade Project'!$K:$K,H115,'[1]Grade Project'!$F:$F,$A$5,'[1]Grade Project'!$G:$G,$A$8),"")</f>
        <v/>
      </c>
      <c r="K115" t="str">
        <f>IFERROR(AVERAGEIFS('[1]Grade Project'!$O:$O,'[1]Grade Project'!$K:$K,H115,'[1]Grade Project'!$F:$F,$A$5,'[1]Grade Project'!$G:$G,$A$8),"")</f>
        <v/>
      </c>
      <c r="L115" t="str">
        <f t="shared" si="4"/>
        <v/>
      </c>
      <c r="M115" t="str">
        <f t="shared" si="5"/>
        <v/>
      </c>
      <c r="N115" t="str">
        <f t="shared" si="6"/>
        <v/>
      </c>
    </row>
    <row r="116" spans="8:14" x14ac:dyDescent="0.25">
      <c r="H116" t="str">
        <f>IF(I115=0,"",INDEX('[1]Grade Project'!$K:$K,MATCH(CONCATENATE($A$5,$A$8),'[1]Grade Project'!$H:$H,0)+SUM($I$3:I115)))</f>
        <v/>
      </c>
      <c r="I116">
        <f>COUNTIFS('[1]Grade Project'!$G:$G,$A$8,'[1]Grade Project'!$K:$K,H116,'[1]Grade Project'!$F:$F,$A$5)</f>
        <v>0</v>
      </c>
      <c r="J116" t="str">
        <f>IFERROR(AVERAGEIFS('[1]Grade Project'!$N:$N,'[1]Grade Project'!$K:$K,H116,'[1]Grade Project'!$F:$F,$A$5,'[1]Grade Project'!$G:$G,$A$8),"")</f>
        <v/>
      </c>
      <c r="K116" t="str">
        <f>IFERROR(AVERAGEIFS('[1]Grade Project'!$O:$O,'[1]Grade Project'!$K:$K,H116,'[1]Grade Project'!$F:$F,$A$5,'[1]Grade Project'!$G:$G,$A$8),"")</f>
        <v/>
      </c>
      <c r="L116" t="str">
        <f t="shared" si="4"/>
        <v/>
      </c>
      <c r="M116" t="str">
        <f t="shared" si="5"/>
        <v/>
      </c>
      <c r="N116" t="str">
        <f t="shared" si="6"/>
        <v/>
      </c>
    </row>
    <row r="117" spans="8:14" x14ac:dyDescent="0.25">
      <c r="H117" t="str">
        <f>IF(I116=0,"",INDEX('[1]Grade Project'!$K:$K,MATCH(CONCATENATE($A$5,$A$8),'[1]Grade Project'!$H:$H,0)+SUM($I$3:I116)))</f>
        <v/>
      </c>
      <c r="I117">
        <f>COUNTIFS('[1]Grade Project'!$G:$G,$A$8,'[1]Grade Project'!$K:$K,H117,'[1]Grade Project'!$F:$F,$A$5)</f>
        <v>0</v>
      </c>
      <c r="J117" t="str">
        <f>IFERROR(AVERAGEIFS('[1]Grade Project'!$N:$N,'[1]Grade Project'!$K:$K,H117,'[1]Grade Project'!$F:$F,$A$5,'[1]Grade Project'!$G:$G,$A$8),"")</f>
        <v/>
      </c>
      <c r="K117" t="str">
        <f>IFERROR(AVERAGEIFS('[1]Grade Project'!$O:$O,'[1]Grade Project'!$K:$K,H117,'[1]Grade Project'!$F:$F,$A$5,'[1]Grade Project'!$G:$G,$A$8),"")</f>
        <v/>
      </c>
      <c r="L117" t="str">
        <f t="shared" si="4"/>
        <v/>
      </c>
      <c r="M117" t="str">
        <f t="shared" si="5"/>
        <v/>
      </c>
      <c r="N117" t="str">
        <f t="shared" si="6"/>
        <v/>
      </c>
    </row>
    <row r="118" spans="8:14" x14ac:dyDescent="0.25">
      <c r="H118" t="str">
        <f>IF(I117=0,"",INDEX('[1]Grade Project'!$K:$K,MATCH(CONCATENATE($A$5,$A$8),'[1]Grade Project'!$H:$H,0)+SUM($I$3:I117)))</f>
        <v/>
      </c>
      <c r="I118">
        <f>COUNTIFS('[1]Grade Project'!$G:$G,$A$8,'[1]Grade Project'!$K:$K,H118,'[1]Grade Project'!$F:$F,$A$5)</f>
        <v>0</v>
      </c>
      <c r="J118" t="str">
        <f>IFERROR(AVERAGEIFS('[1]Grade Project'!$N:$N,'[1]Grade Project'!$K:$K,H118,'[1]Grade Project'!$F:$F,$A$5,'[1]Grade Project'!$G:$G,$A$8),"")</f>
        <v/>
      </c>
      <c r="K118" t="str">
        <f>IFERROR(AVERAGEIFS('[1]Grade Project'!$O:$O,'[1]Grade Project'!$K:$K,H118,'[1]Grade Project'!$F:$F,$A$5,'[1]Grade Project'!$G:$G,$A$8),"")</f>
        <v/>
      </c>
      <c r="L118" t="str">
        <f t="shared" si="4"/>
        <v/>
      </c>
      <c r="M118" t="str">
        <f t="shared" si="5"/>
        <v/>
      </c>
      <c r="N118" t="str">
        <f t="shared" si="6"/>
        <v/>
      </c>
    </row>
    <row r="119" spans="8:14" x14ac:dyDescent="0.25">
      <c r="H119" t="str">
        <f>IF(I118=0,"",INDEX('[1]Grade Project'!$K:$K,MATCH(CONCATENATE($A$5,$A$8),'[1]Grade Project'!$H:$H,0)+SUM($I$3:I118)))</f>
        <v/>
      </c>
      <c r="I119">
        <f>COUNTIFS('[1]Grade Project'!$G:$G,$A$8,'[1]Grade Project'!$K:$K,H119,'[1]Grade Project'!$F:$F,$A$5)</f>
        <v>0</v>
      </c>
      <c r="J119" t="str">
        <f>IFERROR(AVERAGEIFS('[1]Grade Project'!$N:$N,'[1]Grade Project'!$K:$K,H119,'[1]Grade Project'!$F:$F,$A$5,'[1]Grade Project'!$G:$G,$A$8),"")</f>
        <v/>
      </c>
      <c r="K119" t="str">
        <f>IFERROR(AVERAGEIFS('[1]Grade Project'!$O:$O,'[1]Grade Project'!$K:$K,H119,'[1]Grade Project'!$F:$F,$A$5,'[1]Grade Project'!$G:$G,$A$8),"")</f>
        <v/>
      </c>
      <c r="L119" t="str">
        <f t="shared" si="4"/>
        <v/>
      </c>
      <c r="M119" t="str">
        <f t="shared" si="5"/>
        <v/>
      </c>
      <c r="N119" t="str">
        <f t="shared" si="6"/>
        <v/>
      </c>
    </row>
    <row r="120" spans="8:14" x14ac:dyDescent="0.25">
      <c r="H120" t="str">
        <f>IF(I119=0,"",INDEX('[1]Grade Project'!$K:$K,MATCH(CONCATENATE($A$5,$A$8),'[1]Grade Project'!$H:$H,0)+SUM($I$3:I119)))</f>
        <v/>
      </c>
      <c r="I120">
        <f>COUNTIFS('[1]Grade Project'!$G:$G,$A$8,'[1]Grade Project'!$K:$K,H120,'[1]Grade Project'!$F:$F,$A$5)</f>
        <v>0</v>
      </c>
      <c r="J120" t="str">
        <f>IFERROR(AVERAGEIFS('[1]Grade Project'!$N:$N,'[1]Grade Project'!$K:$K,H120,'[1]Grade Project'!$F:$F,$A$5,'[1]Grade Project'!$G:$G,$A$8),"")</f>
        <v/>
      </c>
      <c r="K120" t="str">
        <f>IFERROR(AVERAGEIFS('[1]Grade Project'!$O:$O,'[1]Grade Project'!$K:$K,H120,'[1]Grade Project'!$F:$F,$A$5,'[1]Grade Project'!$G:$G,$A$8),"")</f>
        <v/>
      </c>
      <c r="L120" t="str">
        <f t="shared" si="4"/>
        <v/>
      </c>
      <c r="M120" t="str">
        <f t="shared" si="5"/>
        <v/>
      </c>
      <c r="N120" t="str">
        <f t="shared" si="6"/>
        <v/>
      </c>
    </row>
    <row r="121" spans="8:14" x14ac:dyDescent="0.25">
      <c r="H121" t="str">
        <f>IF(I120=0,"",INDEX('[1]Grade Project'!$K:$K,MATCH(CONCATENATE($A$5,$A$8),'[1]Grade Project'!$H:$H,0)+SUM($I$3:I120)))</f>
        <v/>
      </c>
      <c r="I121">
        <f>COUNTIFS('[1]Grade Project'!$G:$G,$A$8,'[1]Grade Project'!$K:$K,H121,'[1]Grade Project'!$F:$F,$A$5)</f>
        <v>0</v>
      </c>
      <c r="J121" t="str">
        <f>IFERROR(AVERAGEIFS('[1]Grade Project'!$N:$N,'[1]Grade Project'!$K:$K,H121,'[1]Grade Project'!$F:$F,$A$5,'[1]Grade Project'!$G:$G,$A$8),"")</f>
        <v/>
      </c>
      <c r="K121" t="str">
        <f>IFERROR(AVERAGEIFS('[1]Grade Project'!$O:$O,'[1]Grade Project'!$K:$K,H121,'[1]Grade Project'!$F:$F,$A$5,'[1]Grade Project'!$G:$G,$A$8),"")</f>
        <v/>
      </c>
      <c r="L121" t="str">
        <f t="shared" si="4"/>
        <v/>
      </c>
      <c r="M121" t="str">
        <f t="shared" si="5"/>
        <v/>
      </c>
      <c r="N121" t="str">
        <f t="shared" si="6"/>
        <v/>
      </c>
    </row>
    <row r="122" spans="8:14" x14ac:dyDescent="0.25">
      <c r="H122" t="str">
        <f>IF(I121=0,"",INDEX('[1]Grade Project'!$K:$K,MATCH(CONCATENATE($A$5,$A$8),'[1]Grade Project'!$H:$H,0)+SUM($I$3:I121)))</f>
        <v/>
      </c>
      <c r="I122">
        <f>COUNTIFS('[1]Grade Project'!$G:$G,$A$8,'[1]Grade Project'!$K:$K,H122,'[1]Grade Project'!$F:$F,$A$5)</f>
        <v>0</v>
      </c>
      <c r="J122" t="str">
        <f>IFERROR(AVERAGEIFS('[1]Grade Project'!$N:$N,'[1]Grade Project'!$K:$K,H122,'[1]Grade Project'!$F:$F,$A$5,'[1]Grade Project'!$G:$G,$A$8),"")</f>
        <v/>
      </c>
      <c r="K122" t="str">
        <f>IFERROR(AVERAGEIFS('[1]Grade Project'!$O:$O,'[1]Grade Project'!$K:$K,H122,'[1]Grade Project'!$F:$F,$A$5,'[1]Grade Project'!$G:$G,$A$8),"")</f>
        <v/>
      </c>
      <c r="L122" t="str">
        <f t="shared" si="4"/>
        <v/>
      </c>
      <c r="M122" t="str">
        <f t="shared" si="5"/>
        <v/>
      </c>
      <c r="N122" t="str">
        <f t="shared" si="6"/>
        <v/>
      </c>
    </row>
    <row r="123" spans="8:14" x14ac:dyDescent="0.25">
      <c r="H123" t="str">
        <f>IF(I122=0,"",INDEX('[1]Grade Project'!$K:$K,MATCH(CONCATENATE($A$5,$A$8),'[1]Grade Project'!$H:$H,0)+SUM($I$3:I122)))</f>
        <v/>
      </c>
      <c r="I123">
        <f>COUNTIFS('[1]Grade Project'!$G:$G,$A$8,'[1]Grade Project'!$K:$K,H123,'[1]Grade Project'!$F:$F,$A$5)</f>
        <v>0</v>
      </c>
      <c r="J123" t="str">
        <f>IFERROR(AVERAGEIFS('[1]Grade Project'!$N:$N,'[1]Grade Project'!$K:$K,H123,'[1]Grade Project'!$F:$F,$A$5,'[1]Grade Project'!$G:$G,$A$8),"")</f>
        <v/>
      </c>
      <c r="K123" t="str">
        <f>IFERROR(AVERAGEIFS('[1]Grade Project'!$O:$O,'[1]Grade Project'!$K:$K,H123,'[1]Grade Project'!$F:$F,$A$5,'[1]Grade Project'!$G:$G,$A$8),"")</f>
        <v/>
      </c>
      <c r="L123" t="str">
        <f t="shared" si="4"/>
        <v/>
      </c>
      <c r="M123" t="str">
        <f t="shared" si="5"/>
        <v/>
      </c>
      <c r="N123" t="str">
        <f t="shared" si="6"/>
        <v/>
      </c>
    </row>
    <row r="124" spans="8:14" x14ac:dyDescent="0.25">
      <c r="H124" t="str">
        <f>IF(I123=0,"",INDEX('[1]Grade Project'!$K:$K,MATCH(CONCATENATE($A$5,$A$8),'[1]Grade Project'!$H:$H,0)+SUM($I$3:I123)))</f>
        <v/>
      </c>
      <c r="I124">
        <f>COUNTIFS('[1]Grade Project'!$G:$G,$A$8,'[1]Grade Project'!$K:$K,H124,'[1]Grade Project'!$F:$F,$A$5)</f>
        <v>0</v>
      </c>
      <c r="J124" t="str">
        <f>IFERROR(AVERAGEIFS('[1]Grade Project'!$N:$N,'[1]Grade Project'!$K:$K,H124,'[1]Grade Project'!$F:$F,$A$5,'[1]Grade Project'!$G:$G,$A$8),"")</f>
        <v/>
      </c>
      <c r="K124" t="str">
        <f>IFERROR(AVERAGEIFS('[1]Grade Project'!$O:$O,'[1]Grade Project'!$K:$K,H124,'[1]Grade Project'!$F:$F,$A$5,'[1]Grade Project'!$G:$G,$A$8),"")</f>
        <v/>
      </c>
      <c r="L124" t="str">
        <f t="shared" si="4"/>
        <v/>
      </c>
      <c r="M124" t="str">
        <f t="shared" si="5"/>
        <v/>
      </c>
      <c r="N124" t="str">
        <f t="shared" si="6"/>
        <v/>
      </c>
    </row>
    <row r="125" spans="8:14" x14ac:dyDescent="0.25">
      <c r="H125" t="str">
        <f>IF(I124=0,"",INDEX('[1]Grade Project'!$K:$K,MATCH(CONCATENATE($A$5,$A$8),'[1]Grade Project'!$H:$H,0)+SUM($I$3:I124)))</f>
        <v/>
      </c>
      <c r="I125">
        <f>COUNTIFS('[1]Grade Project'!$G:$G,$A$8,'[1]Grade Project'!$K:$K,H125,'[1]Grade Project'!$F:$F,$A$5)</f>
        <v>0</v>
      </c>
      <c r="J125" t="str">
        <f>IFERROR(AVERAGEIFS('[1]Grade Project'!$N:$N,'[1]Grade Project'!$K:$K,H125,'[1]Grade Project'!$F:$F,$A$5,'[1]Grade Project'!$G:$G,$A$8),"")</f>
        <v/>
      </c>
      <c r="K125" t="str">
        <f>IFERROR(AVERAGEIFS('[1]Grade Project'!$O:$O,'[1]Grade Project'!$K:$K,H125,'[1]Grade Project'!$F:$F,$A$5,'[1]Grade Project'!$G:$G,$A$8),"")</f>
        <v/>
      </c>
      <c r="L125" t="str">
        <f t="shared" si="4"/>
        <v/>
      </c>
      <c r="M125" t="str">
        <f t="shared" si="5"/>
        <v/>
      </c>
      <c r="N125" t="str">
        <f t="shared" si="6"/>
        <v/>
      </c>
    </row>
    <row r="126" spans="8:14" x14ac:dyDescent="0.25">
      <c r="H126" t="str">
        <f>IF(I125=0,"",INDEX('[1]Grade Project'!$K:$K,MATCH(CONCATENATE($A$5,$A$8),'[1]Grade Project'!$H:$H,0)+SUM($I$3:I125)))</f>
        <v/>
      </c>
      <c r="I126">
        <f>COUNTIFS('[1]Grade Project'!$G:$G,$A$8,'[1]Grade Project'!$K:$K,H126,'[1]Grade Project'!$F:$F,$A$5)</f>
        <v>0</v>
      </c>
      <c r="J126" t="str">
        <f>IFERROR(AVERAGEIFS('[1]Grade Project'!$N:$N,'[1]Grade Project'!$K:$K,H126,'[1]Grade Project'!$F:$F,$A$5,'[1]Grade Project'!$G:$G,$A$8),"")</f>
        <v/>
      </c>
      <c r="K126" t="str">
        <f>IFERROR(AVERAGEIFS('[1]Grade Project'!$O:$O,'[1]Grade Project'!$K:$K,H126,'[1]Grade Project'!$F:$F,$A$5,'[1]Grade Project'!$G:$G,$A$8),"")</f>
        <v/>
      </c>
      <c r="L126" t="str">
        <f t="shared" si="4"/>
        <v/>
      </c>
      <c r="M126" t="str">
        <f t="shared" si="5"/>
        <v/>
      </c>
      <c r="N126" t="str">
        <f t="shared" si="6"/>
        <v/>
      </c>
    </row>
    <row r="127" spans="8:14" x14ac:dyDescent="0.25">
      <c r="H127" t="str">
        <f>IF(I126=0,"",INDEX('[1]Grade Project'!$K:$K,MATCH(CONCATENATE($A$5,$A$8),'[1]Grade Project'!$H:$H,0)+SUM($I$3:I126)))</f>
        <v/>
      </c>
      <c r="I127">
        <f>COUNTIFS('[1]Grade Project'!$G:$G,$A$8,'[1]Grade Project'!$K:$K,H127,'[1]Grade Project'!$F:$F,$A$5)</f>
        <v>0</v>
      </c>
      <c r="J127" t="str">
        <f>IFERROR(AVERAGEIFS('[1]Grade Project'!$N:$N,'[1]Grade Project'!$K:$K,H127,'[1]Grade Project'!$F:$F,$A$5,'[1]Grade Project'!$G:$G,$A$8),"")</f>
        <v/>
      </c>
      <c r="K127" t="str">
        <f>IFERROR(AVERAGEIFS('[1]Grade Project'!$O:$O,'[1]Grade Project'!$K:$K,H127,'[1]Grade Project'!$F:$F,$A$5,'[1]Grade Project'!$G:$G,$A$8),"")</f>
        <v/>
      </c>
      <c r="L127" t="str">
        <f t="shared" si="4"/>
        <v/>
      </c>
      <c r="M127" t="str">
        <f t="shared" si="5"/>
        <v/>
      </c>
      <c r="N127" t="str">
        <f t="shared" si="6"/>
        <v/>
      </c>
    </row>
    <row r="128" spans="8:14" x14ac:dyDescent="0.25">
      <c r="H128" t="str">
        <f>IF(I127=0,"",INDEX('[1]Grade Project'!$K:$K,MATCH(CONCATENATE($A$5,$A$8),'[1]Grade Project'!$H:$H,0)+SUM($I$3:I127)))</f>
        <v/>
      </c>
      <c r="I128">
        <f>COUNTIFS('[1]Grade Project'!$G:$G,$A$8,'[1]Grade Project'!$K:$K,H128,'[1]Grade Project'!$F:$F,$A$5)</f>
        <v>0</v>
      </c>
      <c r="J128" t="str">
        <f>IFERROR(AVERAGEIFS('[1]Grade Project'!$N:$N,'[1]Grade Project'!$K:$K,H128,'[1]Grade Project'!$F:$F,$A$5,'[1]Grade Project'!$G:$G,$A$8),"")</f>
        <v/>
      </c>
      <c r="K128" t="str">
        <f>IFERROR(AVERAGEIFS('[1]Grade Project'!$O:$O,'[1]Grade Project'!$K:$K,H128,'[1]Grade Project'!$F:$F,$A$5,'[1]Grade Project'!$G:$G,$A$8),"")</f>
        <v/>
      </c>
      <c r="L128" t="str">
        <f t="shared" si="4"/>
        <v/>
      </c>
      <c r="M128" t="str">
        <f t="shared" si="5"/>
        <v/>
      </c>
      <c r="N128" t="str">
        <f t="shared" si="6"/>
        <v/>
      </c>
    </row>
    <row r="129" spans="8:14" x14ac:dyDescent="0.25">
      <c r="H129" t="str">
        <f>IF(I128=0,"",INDEX('[1]Grade Project'!$K:$K,MATCH(CONCATENATE($A$5,$A$8),'[1]Grade Project'!$H:$H,0)+SUM($I$3:I128)))</f>
        <v/>
      </c>
      <c r="I129">
        <f>COUNTIFS('[1]Grade Project'!$G:$G,$A$8,'[1]Grade Project'!$K:$K,H129,'[1]Grade Project'!$F:$F,$A$5)</f>
        <v>0</v>
      </c>
      <c r="J129" t="str">
        <f>IFERROR(AVERAGEIFS('[1]Grade Project'!$N:$N,'[1]Grade Project'!$K:$K,H129,'[1]Grade Project'!$F:$F,$A$5,'[1]Grade Project'!$G:$G,$A$8),"")</f>
        <v/>
      </c>
      <c r="K129" t="str">
        <f>IFERROR(AVERAGEIFS('[1]Grade Project'!$O:$O,'[1]Grade Project'!$K:$K,H129,'[1]Grade Project'!$F:$F,$A$5,'[1]Grade Project'!$G:$G,$A$8),"")</f>
        <v/>
      </c>
      <c r="L129" t="str">
        <f t="shared" si="4"/>
        <v/>
      </c>
      <c r="M129" t="str">
        <f t="shared" si="5"/>
        <v/>
      </c>
      <c r="N129" t="str">
        <f t="shared" si="6"/>
        <v/>
      </c>
    </row>
    <row r="130" spans="8:14" x14ac:dyDescent="0.25">
      <c r="H130" t="str">
        <f>IF(I129=0,"",INDEX('[1]Grade Project'!$K:$K,MATCH(CONCATENATE($A$5,$A$8),'[1]Grade Project'!$H:$H,0)+SUM($I$3:I129)))</f>
        <v/>
      </c>
      <c r="I130">
        <f>COUNTIFS('[1]Grade Project'!$G:$G,$A$8,'[1]Grade Project'!$K:$K,H130,'[1]Grade Project'!$F:$F,$A$5)</f>
        <v>0</v>
      </c>
      <c r="J130" t="str">
        <f>IFERROR(AVERAGEIFS('[1]Grade Project'!$N:$N,'[1]Grade Project'!$K:$K,H130,'[1]Grade Project'!$F:$F,$A$5,'[1]Grade Project'!$G:$G,$A$8),"")</f>
        <v/>
      </c>
      <c r="K130" t="str">
        <f>IFERROR(AVERAGEIFS('[1]Grade Project'!$O:$O,'[1]Grade Project'!$K:$K,H130,'[1]Grade Project'!$F:$F,$A$5,'[1]Grade Project'!$G:$G,$A$8),"")</f>
        <v/>
      </c>
      <c r="L130" t="str">
        <f t="shared" si="4"/>
        <v/>
      </c>
      <c r="M130" t="str">
        <f t="shared" si="5"/>
        <v/>
      </c>
      <c r="N130" t="str">
        <f t="shared" si="6"/>
        <v/>
      </c>
    </row>
    <row r="131" spans="8:14" x14ac:dyDescent="0.25">
      <c r="H131" t="str">
        <f>IF(I130=0,"",INDEX('[1]Grade Project'!$K:$K,MATCH(CONCATENATE($A$5,$A$8),'[1]Grade Project'!$H:$H,0)+SUM($I$3:I130)))</f>
        <v/>
      </c>
      <c r="I131">
        <f>COUNTIFS('[1]Grade Project'!$G:$G,$A$8,'[1]Grade Project'!$K:$K,H131,'[1]Grade Project'!$F:$F,$A$5)</f>
        <v>0</v>
      </c>
      <c r="J131" t="str">
        <f>IFERROR(AVERAGEIFS('[1]Grade Project'!$N:$N,'[1]Grade Project'!$K:$K,H131,'[1]Grade Project'!$F:$F,$A$5,'[1]Grade Project'!$G:$G,$A$8),"")</f>
        <v/>
      </c>
      <c r="K131" t="str">
        <f>IFERROR(AVERAGEIFS('[1]Grade Project'!$O:$O,'[1]Grade Project'!$K:$K,H131,'[1]Grade Project'!$F:$F,$A$5,'[1]Grade Project'!$G:$G,$A$8),"")</f>
        <v/>
      </c>
      <c r="L131" t="str">
        <f t="shared" si="4"/>
        <v/>
      </c>
      <c r="M131" t="str">
        <f t="shared" si="5"/>
        <v/>
      </c>
      <c r="N131" t="str">
        <f t="shared" si="6"/>
        <v/>
      </c>
    </row>
    <row r="132" spans="8:14" x14ac:dyDescent="0.25">
      <c r="H132" t="str">
        <f>IF(I131=0,"",INDEX('[1]Grade Project'!$K:$K,MATCH(CONCATENATE($A$5,$A$8),'[1]Grade Project'!$H:$H,0)+SUM($I$3:I131)))</f>
        <v/>
      </c>
      <c r="I132">
        <f>COUNTIFS('[1]Grade Project'!$G:$G,$A$8,'[1]Grade Project'!$K:$K,H132,'[1]Grade Project'!$F:$F,$A$5)</f>
        <v>0</v>
      </c>
      <c r="J132" t="str">
        <f>IFERROR(AVERAGEIFS('[1]Grade Project'!$N:$N,'[1]Grade Project'!$K:$K,H132,'[1]Grade Project'!$F:$F,$A$5,'[1]Grade Project'!$G:$G,$A$8),"")</f>
        <v/>
      </c>
      <c r="K132" t="str">
        <f>IFERROR(AVERAGEIFS('[1]Grade Project'!$O:$O,'[1]Grade Project'!$K:$K,H132,'[1]Grade Project'!$F:$F,$A$5,'[1]Grade Project'!$G:$G,$A$8),"")</f>
        <v/>
      </c>
      <c r="L132" t="str">
        <f t="shared" ref="L132:L146" si="7">IFERROR(K132/J132,"")</f>
        <v/>
      </c>
      <c r="M132" t="str">
        <f t="shared" ref="M132:M146" si="8">IFERROR(_xlfn.RANK.EQ(L132,L:L),"")</f>
        <v/>
      </c>
      <c r="N132" t="str">
        <f t="shared" ref="N132:N146" si="9">IFERROR(MAX(M:M)-M132+1,"")</f>
        <v/>
      </c>
    </row>
    <row r="133" spans="8:14" x14ac:dyDescent="0.25">
      <c r="H133" t="str">
        <f>IF(I132=0,"",INDEX('[1]Grade Project'!$K:$K,MATCH(CONCATENATE($A$5,$A$8),'[1]Grade Project'!$H:$H,0)+SUM($I$3:I132)))</f>
        <v/>
      </c>
      <c r="I133">
        <f>COUNTIFS('[1]Grade Project'!$G:$G,$A$8,'[1]Grade Project'!$K:$K,H133,'[1]Grade Project'!$F:$F,$A$5)</f>
        <v>0</v>
      </c>
      <c r="J133" t="str">
        <f>IFERROR(AVERAGEIFS('[1]Grade Project'!$N:$N,'[1]Grade Project'!$K:$K,H133,'[1]Grade Project'!$F:$F,$A$5,'[1]Grade Project'!$G:$G,$A$8),"")</f>
        <v/>
      </c>
      <c r="K133" t="str">
        <f>IFERROR(AVERAGEIFS('[1]Grade Project'!$O:$O,'[1]Grade Project'!$K:$K,H133,'[1]Grade Project'!$F:$F,$A$5,'[1]Grade Project'!$G:$G,$A$8),"")</f>
        <v/>
      </c>
      <c r="L133" t="str">
        <f t="shared" si="7"/>
        <v/>
      </c>
      <c r="M133" t="str">
        <f t="shared" si="8"/>
        <v/>
      </c>
      <c r="N133" t="str">
        <f t="shared" si="9"/>
        <v/>
      </c>
    </row>
    <row r="134" spans="8:14" x14ac:dyDescent="0.25">
      <c r="H134" t="str">
        <f>IF(I133=0,"",INDEX('[1]Grade Project'!$K:$K,MATCH(CONCATENATE($A$5,$A$8),'[1]Grade Project'!$H:$H,0)+SUM($I$3:I133)))</f>
        <v/>
      </c>
      <c r="I134">
        <f>COUNTIFS('[1]Grade Project'!$G:$G,$A$8,'[1]Grade Project'!$K:$K,H134,'[1]Grade Project'!$F:$F,$A$5)</f>
        <v>0</v>
      </c>
      <c r="J134" t="str">
        <f>IFERROR(AVERAGEIFS('[1]Grade Project'!$N:$N,'[1]Grade Project'!$K:$K,H134,'[1]Grade Project'!$F:$F,$A$5,'[1]Grade Project'!$G:$G,$A$8),"")</f>
        <v/>
      </c>
      <c r="K134" t="str">
        <f>IFERROR(AVERAGEIFS('[1]Grade Project'!$O:$O,'[1]Grade Project'!$K:$K,H134,'[1]Grade Project'!$F:$F,$A$5,'[1]Grade Project'!$G:$G,$A$8),"")</f>
        <v/>
      </c>
      <c r="L134" t="str">
        <f t="shared" si="7"/>
        <v/>
      </c>
      <c r="M134" t="str">
        <f t="shared" si="8"/>
        <v/>
      </c>
      <c r="N134" t="str">
        <f t="shared" si="9"/>
        <v/>
      </c>
    </row>
    <row r="135" spans="8:14" x14ac:dyDescent="0.25">
      <c r="H135" t="str">
        <f>IF(I134=0,"",INDEX('[1]Grade Project'!$K:$K,MATCH(CONCATENATE($A$5,$A$8),'[1]Grade Project'!$H:$H,0)+SUM($I$3:I134)))</f>
        <v/>
      </c>
      <c r="I135">
        <f>COUNTIFS('[1]Grade Project'!$G:$G,$A$8,'[1]Grade Project'!$K:$K,H135,'[1]Grade Project'!$F:$F,$A$5)</f>
        <v>0</v>
      </c>
      <c r="J135" t="str">
        <f>IFERROR(AVERAGEIFS('[1]Grade Project'!$N:$N,'[1]Grade Project'!$K:$K,H135,'[1]Grade Project'!$F:$F,$A$5,'[1]Grade Project'!$G:$G,$A$8),"")</f>
        <v/>
      </c>
      <c r="K135" t="str">
        <f>IFERROR(AVERAGEIFS('[1]Grade Project'!$O:$O,'[1]Grade Project'!$K:$K,H135,'[1]Grade Project'!$F:$F,$A$5,'[1]Grade Project'!$G:$G,$A$8),"")</f>
        <v/>
      </c>
      <c r="L135" t="str">
        <f t="shared" si="7"/>
        <v/>
      </c>
      <c r="M135" t="str">
        <f t="shared" si="8"/>
        <v/>
      </c>
      <c r="N135" t="str">
        <f t="shared" si="9"/>
        <v/>
      </c>
    </row>
    <row r="136" spans="8:14" x14ac:dyDescent="0.25">
      <c r="H136" t="str">
        <f>IF(I135=0,"",INDEX('[1]Grade Project'!$K:$K,MATCH(CONCATENATE($A$5,$A$8),'[1]Grade Project'!$H:$H,0)+SUM($I$3:I135)))</f>
        <v/>
      </c>
      <c r="I136">
        <f>COUNTIFS('[1]Grade Project'!$G:$G,$A$8,'[1]Grade Project'!$K:$K,H136,'[1]Grade Project'!$F:$F,$A$5)</f>
        <v>0</v>
      </c>
      <c r="J136" t="str">
        <f>IFERROR(AVERAGEIFS('[1]Grade Project'!$N:$N,'[1]Grade Project'!$K:$K,H136,'[1]Grade Project'!$F:$F,$A$5,'[1]Grade Project'!$G:$G,$A$8),"")</f>
        <v/>
      </c>
      <c r="K136" t="str">
        <f>IFERROR(AVERAGEIFS('[1]Grade Project'!$O:$O,'[1]Grade Project'!$K:$K,H136,'[1]Grade Project'!$F:$F,$A$5,'[1]Grade Project'!$G:$G,$A$8),"")</f>
        <v/>
      </c>
      <c r="L136" t="str">
        <f t="shared" si="7"/>
        <v/>
      </c>
      <c r="M136" t="str">
        <f t="shared" si="8"/>
        <v/>
      </c>
      <c r="N136" t="str">
        <f t="shared" si="9"/>
        <v/>
      </c>
    </row>
    <row r="137" spans="8:14" x14ac:dyDescent="0.25">
      <c r="H137" t="str">
        <f>IF(I136=0,"",INDEX('[1]Grade Project'!$K:$K,MATCH(CONCATENATE($A$5,$A$8),'[1]Grade Project'!$H:$H,0)+SUM($I$3:I136)))</f>
        <v/>
      </c>
      <c r="I137">
        <f>COUNTIFS('[1]Grade Project'!$G:$G,$A$8,'[1]Grade Project'!$K:$K,H137,'[1]Grade Project'!$F:$F,$A$5)</f>
        <v>0</v>
      </c>
      <c r="J137" t="str">
        <f>IFERROR(AVERAGEIFS('[1]Grade Project'!$N:$N,'[1]Grade Project'!$K:$K,H137,'[1]Grade Project'!$F:$F,$A$5,'[1]Grade Project'!$G:$G,$A$8),"")</f>
        <v/>
      </c>
      <c r="K137" t="str">
        <f>IFERROR(AVERAGEIFS('[1]Grade Project'!$O:$O,'[1]Grade Project'!$K:$K,H137,'[1]Grade Project'!$F:$F,$A$5,'[1]Grade Project'!$G:$G,$A$8),"")</f>
        <v/>
      </c>
      <c r="L137" t="str">
        <f t="shared" si="7"/>
        <v/>
      </c>
      <c r="M137" t="str">
        <f t="shared" si="8"/>
        <v/>
      </c>
      <c r="N137" t="str">
        <f t="shared" si="9"/>
        <v/>
      </c>
    </row>
    <row r="138" spans="8:14" x14ac:dyDescent="0.25">
      <c r="H138" t="str">
        <f>IF(I137=0,"",INDEX('[1]Grade Project'!$K:$K,MATCH(CONCATENATE($A$5,$A$8),'[1]Grade Project'!$H:$H,0)+SUM($I$3:I137)))</f>
        <v/>
      </c>
      <c r="I138">
        <f>COUNTIFS('[1]Grade Project'!$G:$G,$A$8,'[1]Grade Project'!$K:$K,H138,'[1]Grade Project'!$F:$F,$A$5)</f>
        <v>0</v>
      </c>
      <c r="J138" t="str">
        <f>IFERROR(AVERAGEIFS('[1]Grade Project'!$N:$N,'[1]Grade Project'!$K:$K,H138,'[1]Grade Project'!$F:$F,$A$5,'[1]Grade Project'!$G:$G,$A$8),"")</f>
        <v/>
      </c>
      <c r="K138" t="str">
        <f>IFERROR(AVERAGEIFS('[1]Grade Project'!$O:$O,'[1]Grade Project'!$K:$K,H138,'[1]Grade Project'!$F:$F,$A$5,'[1]Grade Project'!$G:$G,$A$8),"")</f>
        <v/>
      </c>
      <c r="L138" t="str">
        <f t="shared" si="7"/>
        <v/>
      </c>
      <c r="M138" t="str">
        <f t="shared" si="8"/>
        <v/>
      </c>
      <c r="N138" t="str">
        <f t="shared" si="9"/>
        <v/>
      </c>
    </row>
    <row r="139" spans="8:14" x14ac:dyDescent="0.25">
      <c r="H139" t="str">
        <f>IF(I138=0,"",INDEX('[1]Grade Project'!$K:$K,MATCH(CONCATENATE($A$5,$A$8),'[1]Grade Project'!$H:$H,0)+SUM($I$3:I138)))</f>
        <v/>
      </c>
      <c r="I139">
        <f>COUNTIFS('[1]Grade Project'!$G:$G,$A$8,'[1]Grade Project'!$K:$K,H139,'[1]Grade Project'!$F:$F,$A$5)</f>
        <v>0</v>
      </c>
      <c r="J139" t="str">
        <f>IFERROR(AVERAGEIFS('[1]Grade Project'!$N:$N,'[1]Grade Project'!$K:$K,H139,'[1]Grade Project'!$F:$F,$A$5,'[1]Grade Project'!$G:$G,$A$8),"")</f>
        <v/>
      </c>
      <c r="K139" t="str">
        <f>IFERROR(AVERAGEIFS('[1]Grade Project'!$O:$O,'[1]Grade Project'!$K:$K,H139,'[1]Grade Project'!$F:$F,$A$5,'[1]Grade Project'!$G:$G,$A$8),"")</f>
        <v/>
      </c>
      <c r="L139" t="str">
        <f t="shared" si="7"/>
        <v/>
      </c>
      <c r="M139" t="str">
        <f t="shared" si="8"/>
        <v/>
      </c>
      <c r="N139" t="str">
        <f t="shared" si="9"/>
        <v/>
      </c>
    </row>
    <row r="140" spans="8:14" x14ac:dyDescent="0.25">
      <c r="H140" t="str">
        <f>IF(I139=0,"",INDEX('[1]Grade Project'!$K:$K,MATCH(CONCATENATE($A$5,$A$8),'[1]Grade Project'!$H:$H,0)+SUM($I$3:I139)))</f>
        <v/>
      </c>
      <c r="I140">
        <f>COUNTIFS('[1]Grade Project'!$G:$G,$A$8,'[1]Grade Project'!$K:$K,H140,'[1]Grade Project'!$F:$F,$A$5)</f>
        <v>0</v>
      </c>
      <c r="J140" t="str">
        <f>IFERROR(AVERAGEIFS('[1]Grade Project'!$N:$N,'[1]Grade Project'!$K:$K,H140,'[1]Grade Project'!$F:$F,$A$5,'[1]Grade Project'!$G:$G,$A$8),"")</f>
        <v/>
      </c>
      <c r="K140" t="str">
        <f>IFERROR(AVERAGEIFS('[1]Grade Project'!$O:$O,'[1]Grade Project'!$K:$K,H140,'[1]Grade Project'!$F:$F,$A$5,'[1]Grade Project'!$G:$G,$A$8),"")</f>
        <v/>
      </c>
      <c r="L140" t="str">
        <f t="shared" si="7"/>
        <v/>
      </c>
      <c r="M140" t="str">
        <f t="shared" si="8"/>
        <v/>
      </c>
      <c r="N140" t="str">
        <f t="shared" si="9"/>
        <v/>
      </c>
    </row>
    <row r="141" spans="8:14" x14ac:dyDescent="0.25">
      <c r="H141" t="str">
        <f>IF(I140=0,"",INDEX('[1]Grade Project'!$K:$K,MATCH(CONCATENATE($A$5,$A$8),'[1]Grade Project'!$H:$H,0)+SUM($I$3:I140)))</f>
        <v/>
      </c>
      <c r="I141">
        <f>COUNTIFS('[1]Grade Project'!$G:$G,$A$8,'[1]Grade Project'!$K:$K,H141,'[1]Grade Project'!$F:$F,$A$5)</f>
        <v>0</v>
      </c>
      <c r="J141" t="str">
        <f>IFERROR(AVERAGEIFS('[1]Grade Project'!$N:$N,'[1]Grade Project'!$K:$K,H141,'[1]Grade Project'!$F:$F,$A$5,'[1]Grade Project'!$G:$G,$A$8),"")</f>
        <v/>
      </c>
      <c r="K141" t="str">
        <f>IFERROR(AVERAGEIFS('[1]Grade Project'!$O:$O,'[1]Grade Project'!$K:$K,H141,'[1]Grade Project'!$F:$F,$A$5,'[1]Grade Project'!$G:$G,$A$8),"")</f>
        <v/>
      </c>
      <c r="L141" t="str">
        <f t="shared" si="7"/>
        <v/>
      </c>
      <c r="M141" t="str">
        <f t="shared" si="8"/>
        <v/>
      </c>
      <c r="N141" t="str">
        <f t="shared" si="9"/>
        <v/>
      </c>
    </row>
    <row r="142" spans="8:14" x14ac:dyDescent="0.25">
      <c r="H142" t="str">
        <f>IF(I141=0,"",INDEX('[1]Grade Project'!$K:$K,MATCH(CONCATENATE($A$5,$A$8),'[1]Grade Project'!$H:$H,0)+SUM($I$3:I141)))</f>
        <v/>
      </c>
      <c r="I142">
        <f>COUNTIFS('[1]Grade Project'!$G:$G,$A$8,'[1]Grade Project'!$K:$K,H142,'[1]Grade Project'!$F:$F,$A$5)</f>
        <v>0</v>
      </c>
      <c r="J142" t="str">
        <f>IFERROR(AVERAGEIFS('[1]Grade Project'!$N:$N,'[1]Grade Project'!$K:$K,H142,'[1]Grade Project'!$F:$F,$A$5,'[1]Grade Project'!$G:$G,$A$8),"")</f>
        <v/>
      </c>
      <c r="K142" t="str">
        <f>IFERROR(AVERAGEIFS('[1]Grade Project'!$O:$O,'[1]Grade Project'!$K:$K,H142,'[1]Grade Project'!$F:$F,$A$5,'[1]Grade Project'!$G:$G,$A$8),"")</f>
        <v/>
      </c>
      <c r="L142" t="str">
        <f t="shared" si="7"/>
        <v/>
      </c>
      <c r="M142" t="str">
        <f t="shared" si="8"/>
        <v/>
      </c>
      <c r="N142" t="str">
        <f t="shared" si="9"/>
        <v/>
      </c>
    </row>
    <row r="143" spans="8:14" x14ac:dyDescent="0.25">
      <c r="H143" t="str">
        <f>IF(I142=0,"",INDEX('[1]Grade Project'!$K:$K,MATCH(CONCATENATE($A$5,$A$8),'[1]Grade Project'!$H:$H,0)+SUM($I$3:I142)))</f>
        <v/>
      </c>
      <c r="I143">
        <f>COUNTIFS('[1]Grade Project'!$G:$G,$A$8,'[1]Grade Project'!$K:$K,H143,'[1]Grade Project'!$F:$F,$A$5)</f>
        <v>0</v>
      </c>
      <c r="J143" t="str">
        <f>IFERROR(AVERAGEIFS('[1]Grade Project'!$N:$N,'[1]Grade Project'!$K:$K,H143,'[1]Grade Project'!$F:$F,$A$5,'[1]Grade Project'!$G:$G,$A$8),"")</f>
        <v/>
      </c>
      <c r="K143" t="str">
        <f>IFERROR(AVERAGEIFS('[1]Grade Project'!$O:$O,'[1]Grade Project'!$K:$K,H143,'[1]Grade Project'!$F:$F,$A$5,'[1]Grade Project'!$G:$G,$A$8),"")</f>
        <v/>
      </c>
      <c r="L143" t="str">
        <f t="shared" si="7"/>
        <v/>
      </c>
      <c r="M143" t="str">
        <f t="shared" si="8"/>
        <v/>
      </c>
      <c r="N143" t="str">
        <f t="shared" si="9"/>
        <v/>
      </c>
    </row>
    <row r="144" spans="8:14" x14ac:dyDescent="0.25">
      <c r="H144" t="str">
        <f>IF(I143=0,"",INDEX('[1]Grade Project'!$K:$K,MATCH(CONCATENATE($A$5,$A$8),'[1]Grade Project'!$H:$H,0)+SUM($I$3:I143)))</f>
        <v/>
      </c>
      <c r="I144">
        <f>COUNTIFS('[1]Grade Project'!$G:$G,$A$8,'[1]Grade Project'!$K:$K,H144,'[1]Grade Project'!$F:$F,$A$5)</f>
        <v>0</v>
      </c>
      <c r="J144" t="str">
        <f>IFERROR(AVERAGEIFS('[1]Grade Project'!$N:$N,'[1]Grade Project'!$K:$K,H144,'[1]Grade Project'!$F:$F,$A$5,'[1]Grade Project'!$G:$G,$A$8),"")</f>
        <v/>
      </c>
      <c r="K144" t="str">
        <f>IFERROR(AVERAGEIFS('[1]Grade Project'!$O:$O,'[1]Grade Project'!$K:$K,H144,'[1]Grade Project'!$F:$F,$A$5,'[1]Grade Project'!$G:$G,$A$8),"")</f>
        <v/>
      </c>
      <c r="L144" t="str">
        <f t="shared" si="7"/>
        <v/>
      </c>
      <c r="M144" t="str">
        <f t="shared" si="8"/>
        <v/>
      </c>
      <c r="N144" t="str">
        <f t="shared" si="9"/>
        <v/>
      </c>
    </row>
    <row r="145" spans="8:14" x14ac:dyDescent="0.25">
      <c r="H145" t="str">
        <f>IF(I144=0,"",INDEX('[1]Grade Project'!$K:$K,MATCH(CONCATENATE($A$5,$A$8),'[1]Grade Project'!$H:$H,0)+SUM($I$3:I144)))</f>
        <v/>
      </c>
      <c r="I145">
        <f>COUNTIFS('[1]Grade Project'!$G:$G,$A$8,'[1]Grade Project'!$K:$K,H145,'[1]Grade Project'!$F:$F,$A$5)</f>
        <v>0</v>
      </c>
      <c r="J145" t="str">
        <f>IFERROR(AVERAGEIFS('[1]Grade Project'!$N:$N,'[1]Grade Project'!$K:$K,H145,'[1]Grade Project'!$F:$F,$A$5,'[1]Grade Project'!$G:$G,$A$8),"")</f>
        <v/>
      </c>
      <c r="K145" t="str">
        <f>IFERROR(AVERAGEIFS('[1]Grade Project'!$O:$O,'[1]Grade Project'!$K:$K,H145,'[1]Grade Project'!$F:$F,$A$5,'[1]Grade Project'!$G:$G,$A$8),"")</f>
        <v/>
      </c>
      <c r="L145" t="str">
        <f t="shared" si="7"/>
        <v/>
      </c>
      <c r="M145" t="str">
        <f t="shared" si="8"/>
        <v/>
      </c>
      <c r="N145" t="str">
        <f t="shared" si="9"/>
        <v/>
      </c>
    </row>
    <row r="146" spans="8:14" x14ac:dyDescent="0.25">
      <c r="H146" t="str">
        <f>IF(I145=0,"",INDEX('[1]Grade Project'!$K:$K,MATCH(CONCATENATE($A$5,$A$8),'[1]Grade Project'!$H:$H,0)+SUM($I$3:I145)))</f>
        <v/>
      </c>
      <c r="I146">
        <f>COUNTIFS('[1]Grade Project'!$G:$G,$A$8,'[1]Grade Project'!$K:$K,H146,'[1]Grade Project'!$F:$F,$A$5)</f>
        <v>0</v>
      </c>
      <c r="J146" t="str">
        <f>IFERROR(AVERAGEIFS('[1]Grade Project'!$N:$N,'[1]Grade Project'!$K:$K,H146,'[1]Grade Project'!$F:$F,$A$5,'[1]Grade Project'!$G:$G,$A$8),"")</f>
        <v/>
      </c>
      <c r="K146" t="str">
        <f>IFERROR(AVERAGEIFS('[1]Grade Project'!$O:$O,'[1]Grade Project'!$K:$K,H146,'[1]Grade Project'!$F:$F,$A$5,'[1]Grade Project'!$G:$G,$A$8),"")</f>
        <v/>
      </c>
      <c r="L146" t="str">
        <f t="shared" si="7"/>
        <v/>
      </c>
      <c r="M146" t="str">
        <f t="shared" si="8"/>
        <v/>
      </c>
      <c r="N146" t="str">
        <f t="shared" si="9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46"/>
  <sheetViews>
    <sheetView workbookViewId="0">
      <selection activeCell="C15" sqref="C15"/>
    </sheetView>
  </sheetViews>
  <sheetFormatPr defaultRowHeight="15" x14ac:dyDescent="0.25"/>
  <cols>
    <col min="1" max="2" width="12.5703125" bestFit="1" customWidth="1"/>
    <col min="5" max="5" width="13.42578125" bestFit="1" customWidth="1"/>
    <col min="8" max="8" width="22.140625" bestFit="1" customWidth="1"/>
    <col min="10" max="10" width="12.140625" bestFit="1" customWidth="1"/>
    <col min="11" max="11" width="13.140625" bestFit="1" customWidth="1"/>
    <col min="14" max="14" width="13.85546875" bestFit="1" customWidth="1"/>
  </cols>
  <sheetData>
    <row r="1" spans="1:15" x14ac:dyDescent="0.25">
      <c r="B1" t="s">
        <v>100</v>
      </c>
      <c r="C1" t="s">
        <v>103</v>
      </c>
      <c r="D1" t="s">
        <v>104</v>
      </c>
      <c r="E1" t="s">
        <v>107</v>
      </c>
      <c r="F1" t="s">
        <v>105</v>
      </c>
      <c r="G1" t="s">
        <v>106</v>
      </c>
      <c r="H1" t="s">
        <v>108</v>
      </c>
      <c r="I1" t="s">
        <v>109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</row>
    <row r="2" spans="1:15" x14ac:dyDescent="0.25">
      <c r="A2" t="s">
        <v>101</v>
      </c>
      <c r="E2" s="1"/>
    </row>
    <row r="3" spans="1:15" x14ac:dyDescent="0.25">
      <c r="A3">
        <f>Schedule!B8</f>
        <v>0</v>
      </c>
      <c r="B3" t="s">
        <v>3</v>
      </c>
      <c r="C3" t="e">
        <f>INDEX('[1]Grade Project'!$F:$F,MATCH($A$3,'[1]Grade Project'!$E:$E,0))</f>
        <v>#N/A</v>
      </c>
      <c r="D3">
        <f>COUNTIFS('[1]Grade Project'!$E:$E,$A$3,'[1]Grade Project'!$F:$F,C3)</f>
        <v>0</v>
      </c>
      <c r="E3" t="str">
        <f>IFERROR(RIGHT(C3,LEN(C3)-FIND("-",C3)),"")</f>
        <v/>
      </c>
      <c r="F3" t="e">
        <f>INDEX('[1]Grade Project'!$G:$G,MATCH($A$5,'[1]Grade Project'!$F:$F,0))</f>
        <v>#N/A</v>
      </c>
      <c r="G3">
        <f>COUNTIFS('[1]Grade Project'!$F:$F,$A$5,'[1]Grade Project'!$G:$G,F3)</f>
        <v>0</v>
      </c>
      <c r="H3" t="e">
        <f>INDEX('[1]Grade Project'!$K:$K,MATCH(CONCATENATE(A5,A8),'[1]Grade Project'!$H:$H,0))</f>
        <v>#N/A</v>
      </c>
      <c r="I3">
        <f>COUNTIFS('[1]Grade Project'!$G:$G,$A$8,'[1]Grade Project'!$K:$K,H3,'[1]Grade Project'!$F:$F,$A$5)</f>
        <v>0</v>
      </c>
      <c r="J3" t="str">
        <f>IFERROR(AVERAGEIFS('[1]Grade Project'!$N:$N,'[1]Grade Project'!$K:$K,H3,'[1]Grade Project'!$F:$F,$A$5,'[1]Grade Project'!$G:$G,$A$8),"")</f>
        <v/>
      </c>
      <c r="K3" t="str">
        <f>IFERROR(AVERAGEIFS('[1]Grade Project'!$O:$O,'[1]Grade Project'!$K:$K,H3,'[1]Grade Project'!$F:$F,$A$5,'[1]Grade Project'!$G:$G,$A$8),"")</f>
        <v/>
      </c>
      <c r="L3" t="str">
        <f>IFERROR(K3/J3,"")</f>
        <v/>
      </c>
      <c r="M3" t="str">
        <f>IFERROR(_xlfn.RANK.EQ(L3,L:L),"")</f>
        <v/>
      </c>
      <c r="N3" t="str">
        <f>IFERROR(MAX(M:M)-M3+1,"")</f>
        <v/>
      </c>
      <c r="O3">
        <f>COUNT(N:N)</f>
        <v>0</v>
      </c>
    </row>
    <row r="4" spans="1:15" x14ac:dyDescent="0.25">
      <c r="A4" t="s">
        <v>102</v>
      </c>
      <c r="B4" t="s">
        <v>4</v>
      </c>
      <c r="C4" t="e">
        <f>IF(C3="","",IF(C3=INDEX('[1]Grade Project'!$F:$F,MATCH($A$3,'[1]Grade Project'!$E:$E,0)+SUM($D$3:D3)),"",INDEX('[1]Grade Project'!$F:$F,MATCH($A$3,'[1]Grade Project'!$E:$E,0)+SUM($D$3:D3))))</f>
        <v>#N/A</v>
      </c>
      <c r="D4">
        <f>COUNTIFS('[1]Grade Project'!$E:$E,$A$3,'[1]Grade Project'!$F:$F,C4)</f>
        <v>0</v>
      </c>
      <c r="E4" t="str">
        <f t="shared" ref="E4:E36" si="0">IFERROR(RIGHT(C4,LEN(C4)-FIND("-",C4)),"")</f>
        <v/>
      </c>
      <c r="F4" t="str">
        <f>IF(G3=0,"",INDEX('[1]Grade Project'!$G:$G,MATCH($A$5,'[1]Grade Project'!$F:$F,0)+SUM($G$3:G3)))</f>
        <v/>
      </c>
      <c r="G4">
        <f>COUNTIFS('[1]Grade Project'!$F:$F,$A$5,'[1]Grade Project'!$G:$G,F4)</f>
        <v>0</v>
      </c>
      <c r="H4" t="str">
        <f>IF(I3=0,"",INDEX('[1]Grade Project'!$K:$K,MATCH(CONCATENATE($A$5,$A$8),'[1]Grade Project'!$H:$H,0)+SUM($I$3:I3)))</f>
        <v/>
      </c>
      <c r="I4">
        <f>COUNTIFS('[1]Grade Project'!$G:$G,$A$8,'[1]Grade Project'!$K:$K,H4,'[1]Grade Project'!$F:$F,$A$5)</f>
        <v>0</v>
      </c>
      <c r="J4" t="str">
        <f>IFERROR(AVERAGEIFS('[1]Grade Project'!$N:$N,'[1]Grade Project'!$K:$K,H4,'[1]Grade Project'!$F:$F,$A$5,'[1]Grade Project'!$G:$G,$A$8),"")</f>
        <v/>
      </c>
      <c r="K4" t="str">
        <f>IFERROR(AVERAGEIFS('[1]Grade Project'!$O:$O,'[1]Grade Project'!$K:$K,H4,'[1]Grade Project'!$F:$F,$A$5,'[1]Grade Project'!$G:$G,$A$8),"")</f>
        <v/>
      </c>
      <c r="L4" t="str">
        <f t="shared" ref="L4:L67" si="1">IFERROR(K4/J4,"")</f>
        <v/>
      </c>
      <c r="M4" t="str">
        <f t="shared" ref="M4:M67" si="2">IFERROR(_xlfn.RANK.EQ(L4,L:L),"")</f>
        <v/>
      </c>
      <c r="N4" t="str">
        <f t="shared" ref="N4:N67" si="3">IFERROR(MAX(M:M)-M4+1,"")</f>
        <v/>
      </c>
    </row>
    <row r="5" spans="1:15" x14ac:dyDescent="0.25">
      <c r="A5" t="e">
        <f>INDEX(C:C,MATCH(A6,E:E,0))</f>
        <v>#N/A</v>
      </c>
      <c r="B5" t="s">
        <v>5</v>
      </c>
      <c r="C5" t="e">
        <f>IF(C4="","",IF(C4=INDEX('[1]Grade Project'!$F:$F,MATCH($A$3,'[1]Grade Project'!$E:$E,0)+SUM($D$3:D4)),"",INDEX('[1]Grade Project'!$F:$F,MATCH($A$3,'[1]Grade Project'!$E:$E,0)+SUM($D$3:D4))))</f>
        <v>#N/A</v>
      </c>
      <c r="D5">
        <f>COUNTIFS('[1]Grade Project'!$E:$E,$A$3,'[1]Grade Project'!$F:$F,C5)</f>
        <v>0</v>
      </c>
      <c r="E5" t="str">
        <f t="shared" si="0"/>
        <v/>
      </c>
      <c r="F5" t="str">
        <f>IF(G4=0,"",INDEX('[1]Grade Project'!$G:$G,MATCH($A$5,'[1]Grade Project'!$F:$F,0)+SUM($G$3:G4)))</f>
        <v/>
      </c>
      <c r="G5">
        <f>COUNTIFS('[1]Grade Project'!$F:$F,$A$5,'[1]Grade Project'!$G:$G,F5)</f>
        <v>0</v>
      </c>
      <c r="H5" t="str">
        <f>IF(I4=0,"",INDEX('[1]Grade Project'!$K:$K,MATCH(CONCATENATE($A$5,$A$8),'[1]Grade Project'!$H:$H,0)+SUM($I$3:I4)))</f>
        <v/>
      </c>
      <c r="I5">
        <f>COUNTIFS('[1]Grade Project'!$G:$G,$A$8,'[1]Grade Project'!$K:$K,H5,'[1]Grade Project'!$F:$F,$A$5)</f>
        <v>0</v>
      </c>
      <c r="J5" t="str">
        <f>IFERROR(AVERAGEIFS('[1]Grade Project'!$N:$N,'[1]Grade Project'!$K:$K,H5,'[1]Grade Project'!$F:$F,$A$5,'[1]Grade Project'!$G:$G,$A$8),"")</f>
        <v/>
      </c>
      <c r="K5" t="str">
        <f>IFERROR(AVERAGEIFS('[1]Grade Project'!$O:$O,'[1]Grade Project'!$K:$K,H5,'[1]Grade Project'!$F:$F,$A$5,'[1]Grade Project'!$G:$G,$A$8),"")</f>
        <v/>
      </c>
      <c r="L5" t="str">
        <f t="shared" si="1"/>
        <v/>
      </c>
      <c r="M5" t="str">
        <f t="shared" si="2"/>
        <v/>
      </c>
      <c r="N5" t="str">
        <f t="shared" si="3"/>
        <v/>
      </c>
    </row>
    <row r="6" spans="1:15" x14ac:dyDescent="0.25">
      <c r="A6">
        <f>Schedule!C8</f>
        <v>0</v>
      </c>
      <c r="B6" t="s">
        <v>6</v>
      </c>
      <c r="C6" t="e">
        <f>IF(C5="","",IF(C5=INDEX('[1]Grade Project'!$F:$F,MATCH($A$3,'[1]Grade Project'!$E:$E,0)+SUM($D$3:D5)),"",INDEX('[1]Grade Project'!$F:$F,MATCH($A$3,'[1]Grade Project'!$E:$E,0)+SUM($D$3:D5))))</f>
        <v>#N/A</v>
      </c>
      <c r="D6">
        <f>COUNTIFS('[1]Grade Project'!$E:$E,$A$3,'[1]Grade Project'!$F:$F,C6)</f>
        <v>0</v>
      </c>
      <c r="E6" t="str">
        <f t="shared" si="0"/>
        <v/>
      </c>
      <c r="F6" t="str">
        <f>IF(G5=0,"",INDEX('[1]Grade Project'!$G:$G,MATCH($A$5,'[1]Grade Project'!$F:$F,0)+SUM($G$3:G5)))</f>
        <v/>
      </c>
      <c r="G6">
        <f>COUNTIFS('[1]Grade Project'!$F:$F,$A$5,'[1]Grade Project'!$G:$G,F6)</f>
        <v>0</v>
      </c>
      <c r="H6" t="str">
        <f>IF(I5=0,"",INDEX('[1]Grade Project'!$K:$K,MATCH(CONCATENATE($A$5,$A$8),'[1]Grade Project'!$H:$H,0)+SUM($I$3:I5)))</f>
        <v/>
      </c>
      <c r="I6">
        <f>COUNTIFS('[1]Grade Project'!$G:$G,$A$8,'[1]Grade Project'!$K:$K,H6,'[1]Grade Project'!$F:$F,$A$5)</f>
        <v>0</v>
      </c>
      <c r="J6" t="str">
        <f>IFERROR(AVERAGEIFS('[1]Grade Project'!$N:$N,'[1]Grade Project'!$K:$K,H6,'[1]Grade Project'!$F:$F,$A$5,'[1]Grade Project'!$G:$G,$A$8),"")</f>
        <v/>
      </c>
      <c r="K6" t="str">
        <f>IFERROR(AVERAGEIFS('[1]Grade Project'!$O:$O,'[1]Grade Project'!$K:$K,H6,'[1]Grade Project'!$F:$F,$A$5,'[1]Grade Project'!$G:$G,$A$8),"")</f>
        <v/>
      </c>
      <c r="L6" t="str">
        <f t="shared" si="1"/>
        <v/>
      </c>
      <c r="M6" t="str">
        <f t="shared" si="2"/>
        <v/>
      </c>
      <c r="N6" t="str">
        <f t="shared" si="3"/>
        <v/>
      </c>
    </row>
    <row r="7" spans="1:15" x14ac:dyDescent="0.25">
      <c r="A7" t="s">
        <v>0</v>
      </c>
      <c r="B7" t="s">
        <v>7</v>
      </c>
      <c r="C7" t="e">
        <f>IF(C6="","",IF(C6=INDEX('[1]Grade Project'!$F:$F,MATCH($A$3,'[1]Grade Project'!$E:$E,0)+SUM($D$3:D6)),"",INDEX('[1]Grade Project'!$F:$F,MATCH($A$3,'[1]Grade Project'!$E:$E,0)+SUM($D$3:D6))))</f>
        <v>#N/A</v>
      </c>
      <c r="D7">
        <f>COUNTIFS('[1]Grade Project'!$E:$E,$A$3,'[1]Grade Project'!$F:$F,C7)</f>
        <v>0</v>
      </c>
      <c r="E7" t="str">
        <f t="shared" si="0"/>
        <v/>
      </c>
      <c r="F7" t="str">
        <f>IF(G6=0,"",INDEX('[1]Grade Project'!$G:$G,MATCH($A$5,'[1]Grade Project'!$F:$F,0)+SUM($G$3:G6)))</f>
        <v/>
      </c>
      <c r="G7">
        <f>COUNTIFS('[1]Grade Project'!$F:$F,$A$5,'[1]Grade Project'!$G:$G,F7)</f>
        <v>0</v>
      </c>
      <c r="H7" t="str">
        <f>IF(I6=0,"",INDEX('[1]Grade Project'!$K:$K,MATCH(CONCATENATE($A$5,$A$8),'[1]Grade Project'!$H:$H,0)+SUM($I$3:I6)))</f>
        <v/>
      </c>
      <c r="I7">
        <f>COUNTIFS('[1]Grade Project'!$G:$G,$A$8,'[1]Grade Project'!$K:$K,H7,'[1]Grade Project'!$F:$F,$A$5)</f>
        <v>0</v>
      </c>
      <c r="J7" t="str">
        <f>IFERROR(AVERAGEIFS('[1]Grade Project'!$N:$N,'[1]Grade Project'!$K:$K,H7,'[1]Grade Project'!$F:$F,$A$5,'[1]Grade Project'!$G:$G,$A$8),"")</f>
        <v/>
      </c>
      <c r="K7" t="str">
        <f>IFERROR(AVERAGEIFS('[1]Grade Project'!$O:$O,'[1]Grade Project'!$K:$K,H7,'[1]Grade Project'!$F:$F,$A$5,'[1]Grade Project'!$G:$G,$A$8),"")</f>
        <v/>
      </c>
      <c r="L7" t="str">
        <f t="shared" si="1"/>
        <v/>
      </c>
      <c r="M7" t="str">
        <f t="shared" si="2"/>
        <v/>
      </c>
      <c r="N7" t="str">
        <f t="shared" si="3"/>
        <v/>
      </c>
    </row>
    <row r="8" spans="1:15" x14ac:dyDescent="0.25">
      <c r="A8">
        <f>Schedule!D8</f>
        <v>0</v>
      </c>
      <c r="B8" t="s">
        <v>8</v>
      </c>
      <c r="C8" t="e">
        <f>IF(C7="","",IF(C7=INDEX('[1]Grade Project'!$F:$F,MATCH($A$3,'[1]Grade Project'!$E:$E,0)+SUM($D$3:D7)),"",INDEX('[1]Grade Project'!$F:$F,MATCH($A$3,'[1]Grade Project'!$E:$E,0)+SUM($D$3:D7))))</f>
        <v>#N/A</v>
      </c>
      <c r="D8">
        <f>COUNTIFS('[1]Grade Project'!$E:$E,$A$3,'[1]Grade Project'!$F:$F,C8)</f>
        <v>0</v>
      </c>
      <c r="E8" t="str">
        <f t="shared" si="0"/>
        <v/>
      </c>
      <c r="F8" t="str">
        <f>IF(G7=0,"",INDEX('[1]Grade Project'!$G:$G,MATCH($A$5,'[1]Grade Project'!$F:$F,0)+SUM($G$3:G7)))</f>
        <v/>
      </c>
      <c r="G8">
        <f>COUNTIFS('[1]Grade Project'!$F:$F,$A$5,'[1]Grade Project'!$G:$G,F8)</f>
        <v>0</v>
      </c>
      <c r="H8" t="str">
        <f>IF(I7=0,"",INDEX('[1]Grade Project'!$K:$K,MATCH(CONCATENATE($A$5,$A$8),'[1]Grade Project'!$H:$H,0)+SUM($I$3:I7)))</f>
        <v/>
      </c>
      <c r="I8">
        <f>COUNTIFS('[1]Grade Project'!$G:$G,$A$8,'[1]Grade Project'!$K:$K,H8,'[1]Grade Project'!$F:$F,$A$5)</f>
        <v>0</v>
      </c>
      <c r="J8" t="str">
        <f>IFERROR(AVERAGEIFS('[1]Grade Project'!$N:$N,'[1]Grade Project'!$K:$K,H8,'[1]Grade Project'!$F:$F,$A$5,'[1]Grade Project'!$G:$G,$A$8),"")</f>
        <v/>
      </c>
      <c r="K8" t="str">
        <f>IFERROR(AVERAGEIFS('[1]Grade Project'!$O:$O,'[1]Grade Project'!$K:$K,H8,'[1]Grade Project'!$F:$F,$A$5,'[1]Grade Project'!$G:$G,$A$8),"")</f>
        <v/>
      </c>
      <c r="L8" t="str">
        <f t="shared" si="1"/>
        <v/>
      </c>
      <c r="M8" t="str">
        <f t="shared" si="2"/>
        <v/>
      </c>
      <c r="N8" t="str">
        <f t="shared" si="3"/>
        <v/>
      </c>
    </row>
    <row r="9" spans="1:15" x14ac:dyDescent="0.25">
      <c r="A9" t="s">
        <v>108</v>
      </c>
      <c r="B9" t="s">
        <v>9</v>
      </c>
      <c r="C9" t="e">
        <f>IF(C8="","",IF(C8=INDEX('[1]Grade Project'!$F:$F,MATCH($A$3,'[1]Grade Project'!$E:$E,0)+SUM($D$3:D8)),"",INDEX('[1]Grade Project'!$F:$F,MATCH($A$3,'[1]Grade Project'!$E:$E,0)+SUM($D$3:D8))))</f>
        <v>#N/A</v>
      </c>
      <c r="D9">
        <f>COUNTIFS('[1]Grade Project'!$E:$E,$A$3,'[1]Grade Project'!$F:$F,C9)</f>
        <v>0</v>
      </c>
      <c r="E9" t="str">
        <f t="shared" si="0"/>
        <v/>
      </c>
      <c r="F9" t="str">
        <f>IF(G8=0,"",INDEX('[1]Grade Project'!$G:$G,MATCH($A$5,'[1]Grade Project'!$F:$F,0)+SUM($G$3:G8)))</f>
        <v/>
      </c>
      <c r="G9">
        <f>COUNTIFS('[1]Grade Project'!$F:$F,$A$5,'[1]Grade Project'!$G:$G,F9)</f>
        <v>0</v>
      </c>
      <c r="H9" t="str">
        <f>IF(I8=0,"",INDEX('[1]Grade Project'!$K:$K,MATCH(CONCATENATE($A$5,$A$8),'[1]Grade Project'!$H:$H,0)+SUM($I$3:I8)))</f>
        <v/>
      </c>
      <c r="I9">
        <f>COUNTIFS('[1]Grade Project'!$G:$G,$A$8,'[1]Grade Project'!$K:$K,H9,'[1]Grade Project'!$F:$F,$A$5)</f>
        <v>0</v>
      </c>
      <c r="J9" t="str">
        <f>IFERROR(AVERAGEIFS('[1]Grade Project'!$N:$N,'[1]Grade Project'!$K:$K,H9,'[1]Grade Project'!$F:$F,$A$5,'[1]Grade Project'!$G:$G,$A$8),"")</f>
        <v/>
      </c>
      <c r="K9" t="str">
        <f>IFERROR(AVERAGEIFS('[1]Grade Project'!$O:$O,'[1]Grade Project'!$K:$K,H9,'[1]Grade Project'!$F:$F,$A$5,'[1]Grade Project'!$G:$G,$A$8),"")</f>
        <v/>
      </c>
      <c r="L9" t="str">
        <f t="shared" si="1"/>
        <v/>
      </c>
      <c r="M9" t="str">
        <f t="shared" si="2"/>
        <v/>
      </c>
      <c r="N9" t="str">
        <f t="shared" si="3"/>
        <v/>
      </c>
    </row>
    <row r="10" spans="1:15" x14ac:dyDescent="0.25">
      <c r="A10">
        <f>Schedule!E8</f>
        <v>0</v>
      </c>
      <c r="B10" t="s">
        <v>10</v>
      </c>
      <c r="C10" t="e">
        <f>IF(C9="","",IF(C9=INDEX('[1]Grade Project'!$F:$F,MATCH($A$3,'[1]Grade Project'!$E:$E,0)+SUM($D$3:D9)),"",INDEX('[1]Grade Project'!$F:$F,MATCH($A$3,'[1]Grade Project'!$E:$E,0)+SUM($D$3:D9))))</f>
        <v>#N/A</v>
      </c>
      <c r="D10">
        <f>COUNTIFS('[1]Grade Project'!$E:$E,$A$3,'[1]Grade Project'!$F:$F,C10)</f>
        <v>0</v>
      </c>
      <c r="E10" t="str">
        <f t="shared" si="0"/>
        <v/>
      </c>
      <c r="F10" t="str">
        <f>IF(G9=0,"",INDEX('[1]Grade Project'!$G:$G,MATCH($A$5,'[1]Grade Project'!$F:$F,0)+SUM($G$3:G9)))</f>
        <v/>
      </c>
      <c r="G10">
        <f>COUNTIFS('[1]Grade Project'!$F:$F,$A$5,'[1]Grade Project'!$G:$G,F10)</f>
        <v>0</v>
      </c>
      <c r="H10" t="str">
        <f>IF(I9=0,"",INDEX('[1]Grade Project'!$K:$K,MATCH(CONCATENATE($A$5,$A$8),'[1]Grade Project'!$H:$H,0)+SUM($I$3:I9)))</f>
        <v/>
      </c>
      <c r="I10">
        <f>COUNTIFS('[1]Grade Project'!$G:$G,$A$8,'[1]Grade Project'!$K:$K,H10,'[1]Grade Project'!$F:$F,$A$5)</f>
        <v>0</v>
      </c>
      <c r="J10" t="str">
        <f>IFERROR(AVERAGEIFS('[1]Grade Project'!$N:$N,'[1]Grade Project'!$K:$K,H10,'[1]Grade Project'!$F:$F,$A$5,'[1]Grade Project'!$G:$G,$A$8),"")</f>
        <v/>
      </c>
      <c r="K10" t="str">
        <f>IFERROR(AVERAGEIFS('[1]Grade Project'!$O:$O,'[1]Grade Project'!$K:$K,H10,'[1]Grade Project'!$F:$F,$A$5,'[1]Grade Project'!$G:$G,$A$8),"")</f>
        <v/>
      </c>
      <c r="L10" t="str">
        <f t="shared" si="1"/>
        <v/>
      </c>
      <c r="M10" t="str">
        <f t="shared" si="2"/>
        <v/>
      </c>
      <c r="N10" t="str">
        <f t="shared" si="3"/>
        <v/>
      </c>
    </row>
    <row r="11" spans="1:15" x14ac:dyDescent="0.25">
      <c r="A11" t="s">
        <v>111</v>
      </c>
      <c r="B11" t="s">
        <v>11</v>
      </c>
      <c r="C11" t="e">
        <f>IF(C10="","",IF(C10=INDEX('[1]Grade Project'!$F:$F,MATCH($A$3,'[1]Grade Project'!$E:$E,0)+SUM($D$3:D10)),"",INDEX('[1]Grade Project'!$F:$F,MATCH($A$3,'[1]Grade Project'!$E:$E,0)+SUM($D$3:D10))))</f>
        <v>#N/A</v>
      </c>
      <c r="D11">
        <f>COUNTIFS('[1]Grade Project'!$E:$E,$A$3,'[1]Grade Project'!$F:$F,C11)</f>
        <v>0</v>
      </c>
      <c r="E11" t="str">
        <f t="shared" si="0"/>
        <v/>
      </c>
      <c r="F11" t="str">
        <f>IF(G10=0,"",INDEX('[1]Grade Project'!$G:$G,MATCH($A$5,'[1]Grade Project'!$F:$F,0)+SUM($G$3:G10)))</f>
        <v/>
      </c>
      <c r="G11">
        <f>COUNTIFS('[1]Grade Project'!$F:$F,$A$5,'[1]Grade Project'!$G:$G,F11)</f>
        <v>0</v>
      </c>
      <c r="H11" t="str">
        <f>IF(I10=0,"",INDEX('[1]Grade Project'!$K:$K,MATCH(CONCATENATE($A$5,$A$8),'[1]Grade Project'!$H:$H,0)+SUM($I$3:I10)))</f>
        <v/>
      </c>
      <c r="I11">
        <f>COUNTIFS('[1]Grade Project'!$G:$G,$A$8,'[1]Grade Project'!$K:$K,H11,'[1]Grade Project'!$F:$F,$A$5)</f>
        <v>0</v>
      </c>
      <c r="J11" t="str">
        <f>IFERROR(AVERAGEIFS('[1]Grade Project'!$N:$N,'[1]Grade Project'!$K:$K,H11,'[1]Grade Project'!$F:$F,$A$5,'[1]Grade Project'!$G:$G,$A$8),"")</f>
        <v/>
      </c>
      <c r="K11" t="str">
        <f>IFERROR(AVERAGEIFS('[1]Grade Project'!$O:$O,'[1]Grade Project'!$K:$K,H11,'[1]Grade Project'!$F:$F,$A$5,'[1]Grade Project'!$G:$G,$A$8),"")</f>
        <v/>
      </c>
      <c r="L11" t="str">
        <f t="shared" si="1"/>
        <v/>
      </c>
      <c r="M11" t="str">
        <f t="shared" si="2"/>
        <v/>
      </c>
      <c r="N11" t="str">
        <f t="shared" si="3"/>
        <v/>
      </c>
    </row>
    <row r="12" spans="1:15" x14ac:dyDescent="0.25">
      <c r="A12" t="e">
        <f>AVERAGEIFS('[1]Grade Project'!$N:$N,'[1]Grade Project'!$K:$K,$A$10,'[1]Grade Project'!$F:$F,A5,'[1]Grade Project'!$G:$G,$A$8)</f>
        <v>#DIV/0!</v>
      </c>
      <c r="B12" t="s">
        <v>12</v>
      </c>
      <c r="C12" t="e">
        <f>IF(C11="","",IF(C11=INDEX('[1]Grade Project'!$F:$F,MATCH($A$3,'[1]Grade Project'!$E:$E,0)+SUM($D$3:D11)),"",INDEX('[1]Grade Project'!$F:$F,MATCH($A$3,'[1]Grade Project'!$E:$E,0)+SUM($D$3:D11))))</f>
        <v>#N/A</v>
      </c>
      <c r="D12">
        <f>COUNTIFS('[1]Grade Project'!$E:$E,$A$3,'[1]Grade Project'!$F:$F,C12)</f>
        <v>0</v>
      </c>
      <c r="E12" t="str">
        <f t="shared" si="0"/>
        <v/>
      </c>
      <c r="F12" t="str">
        <f>IF(G11=0,"",INDEX('[1]Grade Project'!$G:$G,MATCH($A$5,'[1]Grade Project'!$F:$F,0)+SUM($G$3:G11)))</f>
        <v/>
      </c>
      <c r="G12">
        <f>COUNTIFS('[1]Grade Project'!$F:$F,$A$5,'[1]Grade Project'!$G:$G,F12)</f>
        <v>0</v>
      </c>
      <c r="H12" t="str">
        <f>IF(I11=0,"",INDEX('[1]Grade Project'!$K:$K,MATCH(CONCATENATE($A$5,$A$8),'[1]Grade Project'!$H:$H,0)+SUM($I$3:I11)))</f>
        <v/>
      </c>
      <c r="I12">
        <f>COUNTIFS('[1]Grade Project'!$G:$G,$A$8,'[1]Grade Project'!$K:$K,H12,'[1]Grade Project'!$F:$F,$A$5)</f>
        <v>0</v>
      </c>
      <c r="J12" t="str">
        <f>IFERROR(AVERAGEIFS('[1]Grade Project'!$N:$N,'[1]Grade Project'!$K:$K,H12,'[1]Grade Project'!$F:$F,$A$5,'[1]Grade Project'!$G:$G,$A$8),"")</f>
        <v/>
      </c>
      <c r="K12" t="str">
        <f>IFERROR(AVERAGEIFS('[1]Grade Project'!$O:$O,'[1]Grade Project'!$K:$K,H12,'[1]Grade Project'!$F:$F,$A$5,'[1]Grade Project'!$G:$G,$A$8),"")</f>
        <v/>
      </c>
      <c r="L12" t="str">
        <f t="shared" si="1"/>
        <v/>
      </c>
      <c r="M12" t="str">
        <f t="shared" si="2"/>
        <v/>
      </c>
      <c r="N12" t="str">
        <f t="shared" si="3"/>
        <v/>
      </c>
    </row>
    <row r="13" spans="1:15" x14ac:dyDescent="0.25">
      <c r="A13" t="s">
        <v>112</v>
      </c>
      <c r="B13" t="s">
        <v>13</v>
      </c>
      <c r="C13" t="e">
        <f>IF(C12="","",IF(C12=INDEX('[1]Grade Project'!$F:$F,MATCH($A$3,'[1]Grade Project'!$E:$E,0)+SUM($D$3:D12)),"",INDEX('[1]Grade Project'!$F:$F,MATCH($A$3,'[1]Grade Project'!$E:$E,0)+SUM($D$3:D12))))</f>
        <v>#N/A</v>
      </c>
      <c r="D13">
        <f>COUNTIFS('[1]Grade Project'!$E:$E,$A$3,'[1]Grade Project'!$F:$F,C13)</f>
        <v>0</v>
      </c>
      <c r="E13" t="str">
        <f t="shared" si="0"/>
        <v/>
      </c>
      <c r="F13" t="str">
        <f>IF(G12=0,"",INDEX('[1]Grade Project'!$G:$G,MATCH($A$5,'[1]Grade Project'!$F:$F,0)+SUM($G$3:G12)))</f>
        <v/>
      </c>
      <c r="G13">
        <f>COUNTIFS('[1]Grade Project'!$F:$F,$A$5,'[1]Grade Project'!$G:$G,F13)</f>
        <v>0</v>
      </c>
      <c r="H13" t="str">
        <f>IF(I12=0,"",INDEX('[1]Grade Project'!$K:$K,MATCH(CONCATENATE($A$5,$A$8),'[1]Grade Project'!$H:$H,0)+SUM($I$3:I12)))</f>
        <v/>
      </c>
      <c r="I13">
        <f>COUNTIFS('[1]Grade Project'!$G:$G,$A$8,'[1]Grade Project'!$K:$K,H13,'[1]Grade Project'!$F:$F,$A$5)</f>
        <v>0</v>
      </c>
      <c r="J13" t="str">
        <f>IFERROR(AVERAGEIFS('[1]Grade Project'!$N:$N,'[1]Grade Project'!$K:$K,H13,'[1]Grade Project'!$F:$F,$A$5,'[1]Grade Project'!$G:$G,$A$8),"")</f>
        <v/>
      </c>
      <c r="K13" t="str">
        <f>IFERROR(AVERAGEIFS('[1]Grade Project'!$O:$O,'[1]Grade Project'!$K:$K,H13,'[1]Grade Project'!$F:$F,$A$5,'[1]Grade Project'!$G:$G,$A$8),"")</f>
        <v/>
      </c>
      <c r="L13" t="str">
        <f t="shared" si="1"/>
        <v/>
      </c>
      <c r="M13" t="str">
        <f t="shared" si="2"/>
        <v/>
      </c>
      <c r="N13" t="str">
        <f t="shared" si="3"/>
        <v/>
      </c>
    </row>
    <row r="14" spans="1:15" x14ac:dyDescent="0.25">
      <c r="A14" t="e">
        <f>AVERAGEIFS('[1]Grade Project'!$O:$O,'[1]Grade Project'!$K:$K,$A$10,'[1]Grade Project'!$F:$F,A5,'[1]Grade Project'!$G:$G,$A$8)</f>
        <v>#DIV/0!</v>
      </c>
      <c r="B14" t="s">
        <v>14</v>
      </c>
      <c r="C14" t="e">
        <f>IF(C13="","",IF(C13=INDEX('[1]Grade Project'!$F:$F,MATCH($A$3,'[1]Grade Project'!$E:$E,0)+SUM($D$3:D13)),"",INDEX('[1]Grade Project'!$F:$F,MATCH($A$3,'[1]Grade Project'!$E:$E,0)+SUM($D$3:D13))))</f>
        <v>#N/A</v>
      </c>
      <c r="D14">
        <f>COUNTIFS('[1]Grade Project'!$E:$E,$A$3,'[1]Grade Project'!$F:$F,C14)</f>
        <v>0</v>
      </c>
      <c r="E14" t="str">
        <f t="shared" si="0"/>
        <v/>
      </c>
      <c r="F14" t="str">
        <f>IF(G13=0,"",INDEX('[1]Grade Project'!$G:$G,MATCH($A$5,'[1]Grade Project'!$F:$F,0)+SUM($G$3:G13)))</f>
        <v/>
      </c>
      <c r="G14">
        <f>COUNTIFS('[1]Grade Project'!$F:$F,$A$5,'[1]Grade Project'!$G:$G,F14)</f>
        <v>0</v>
      </c>
      <c r="H14" t="str">
        <f>IF(I13=0,"",INDEX('[1]Grade Project'!$K:$K,MATCH(CONCATENATE($A$5,$A$8),'[1]Grade Project'!$H:$H,0)+SUM($I$3:I13)))</f>
        <v/>
      </c>
      <c r="I14">
        <f>COUNTIFS('[1]Grade Project'!$G:$G,$A$8,'[1]Grade Project'!$K:$K,H14,'[1]Grade Project'!$F:$F,$A$5)</f>
        <v>0</v>
      </c>
      <c r="J14" t="str">
        <f>IFERROR(AVERAGEIFS('[1]Grade Project'!$N:$N,'[1]Grade Project'!$K:$K,H14,'[1]Grade Project'!$F:$F,$A$5,'[1]Grade Project'!$G:$G,$A$8),"")</f>
        <v/>
      </c>
      <c r="K14" t="str">
        <f>IFERROR(AVERAGEIFS('[1]Grade Project'!$O:$O,'[1]Grade Project'!$K:$K,H14,'[1]Grade Project'!$F:$F,$A$5,'[1]Grade Project'!$G:$G,$A$8),"")</f>
        <v/>
      </c>
      <c r="L14" t="str">
        <f t="shared" si="1"/>
        <v/>
      </c>
      <c r="M14" t="str">
        <f t="shared" si="2"/>
        <v/>
      </c>
      <c r="N14" t="str">
        <f t="shared" si="3"/>
        <v/>
      </c>
    </row>
    <row r="15" spans="1:15" x14ac:dyDescent="0.25">
      <c r="A15" t="s">
        <v>118</v>
      </c>
      <c r="B15" t="s">
        <v>15</v>
      </c>
      <c r="C15" t="e">
        <f>IF(C14="","",IF(C14=INDEX('[1]Grade Project'!$F:$F,MATCH($A$3,'[1]Grade Project'!$E:$E,0)+SUM($D$3:D14)),"",INDEX('[1]Grade Project'!$F:$F,MATCH($A$3,'[1]Grade Project'!$E:$E,0)+SUM($D$3:D14))))</f>
        <v>#N/A</v>
      </c>
      <c r="D15">
        <f>COUNTIFS('[1]Grade Project'!$E:$E,$A$3,'[1]Grade Project'!$F:$F,C15)</f>
        <v>0</v>
      </c>
      <c r="E15" t="str">
        <f t="shared" si="0"/>
        <v/>
      </c>
      <c r="F15" t="str">
        <f>IF(G14=0,"",INDEX('[1]Grade Project'!$G:$G,MATCH($A$5,'[1]Grade Project'!$F:$F,0)+SUM($G$3:G14)))</f>
        <v/>
      </c>
      <c r="G15">
        <f>COUNTIFS('[1]Grade Project'!$F:$F,$A$5,'[1]Grade Project'!$G:$G,F15)</f>
        <v>0</v>
      </c>
      <c r="H15" t="str">
        <f>IF(I14=0,"",INDEX('[1]Grade Project'!$K:$K,MATCH(CONCATENATE($A$5,$A$8),'[1]Grade Project'!$H:$H,0)+SUM($I$3:I14)))</f>
        <v/>
      </c>
      <c r="I15">
        <f>COUNTIFS('[1]Grade Project'!$G:$G,$A$8,'[1]Grade Project'!$K:$K,H15,'[1]Grade Project'!$F:$F,$A$5)</f>
        <v>0</v>
      </c>
      <c r="J15" t="str">
        <f>IFERROR(AVERAGEIFS('[1]Grade Project'!$N:$N,'[1]Grade Project'!$K:$K,H15,'[1]Grade Project'!$F:$F,$A$5,'[1]Grade Project'!$G:$G,$A$8),"")</f>
        <v/>
      </c>
      <c r="K15" t="str">
        <f>IFERROR(AVERAGEIFS('[1]Grade Project'!$O:$O,'[1]Grade Project'!$K:$K,H15,'[1]Grade Project'!$F:$F,$A$5,'[1]Grade Project'!$G:$G,$A$8),"")</f>
        <v/>
      </c>
      <c r="L15" t="str">
        <f t="shared" si="1"/>
        <v/>
      </c>
      <c r="M15" t="str">
        <f t="shared" si="2"/>
        <v/>
      </c>
      <c r="N15" t="str">
        <f t="shared" si="3"/>
        <v/>
      </c>
    </row>
    <row r="16" spans="1:15" x14ac:dyDescent="0.25">
      <c r="A16" t="e">
        <f>INDEX(Four!N:N,MATCH(A14/A12,Four!L:L,0))&amp;"/"&amp;COUNT(Four!N:N)</f>
        <v>#DIV/0!</v>
      </c>
      <c r="B16" t="s">
        <v>16</v>
      </c>
      <c r="C16" t="e">
        <f>IF(C15="","",IF(C15=INDEX('[1]Grade Project'!$F:$F,MATCH($A$3,'[1]Grade Project'!$E:$E,0)+SUM($D$3:D15)),"",INDEX('[1]Grade Project'!$F:$F,MATCH($A$3,'[1]Grade Project'!$E:$E,0)+SUM($D$3:D15))))</f>
        <v>#N/A</v>
      </c>
      <c r="D16">
        <f>COUNTIFS('[1]Grade Project'!$E:$E,$A$3,'[1]Grade Project'!$F:$F,C16)</f>
        <v>0</v>
      </c>
      <c r="E16" t="str">
        <f t="shared" si="0"/>
        <v/>
      </c>
      <c r="F16" t="str">
        <f>IF(G15=0,"",INDEX('[1]Grade Project'!$G:$G,MATCH($A$5,'[1]Grade Project'!$F:$F,0)+SUM($G$3:G15)))</f>
        <v/>
      </c>
      <c r="G16">
        <f>COUNTIFS('[1]Grade Project'!$F:$F,$A$5,'[1]Grade Project'!$G:$G,F16)</f>
        <v>0</v>
      </c>
      <c r="H16" t="str">
        <f>IF(I15=0,"",INDEX('[1]Grade Project'!$K:$K,MATCH(CONCATENATE($A$5,$A$8),'[1]Grade Project'!$H:$H,0)+SUM($I$3:I15)))</f>
        <v/>
      </c>
      <c r="I16">
        <f>COUNTIFS('[1]Grade Project'!$G:$G,$A$8,'[1]Grade Project'!$K:$K,H16,'[1]Grade Project'!$F:$F,$A$5)</f>
        <v>0</v>
      </c>
      <c r="J16" t="str">
        <f>IFERROR(AVERAGEIFS('[1]Grade Project'!$N:$N,'[1]Grade Project'!$K:$K,H16,'[1]Grade Project'!$F:$F,$A$5,'[1]Grade Project'!$G:$G,$A$8),"")</f>
        <v/>
      </c>
      <c r="K16" t="str">
        <f>IFERROR(AVERAGEIFS('[1]Grade Project'!$O:$O,'[1]Grade Project'!$K:$K,H16,'[1]Grade Project'!$F:$F,$A$5,'[1]Grade Project'!$G:$G,$A$8),"")</f>
        <v/>
      </c>
      <c r="L16" t="str">
        <f t="shared" si="1"/>
        <v/>
      </c>
      <c r="M16" t="str">
        <f t="shared" si="2"/>
        <v/>
      </c>
      <c r="N16" t="str">
        <f t="shared" si="3"/>
        <v/>
      </c>
    </row>
    <row r="17" spans="1:14" x14ac:dyDescent="0.25">
      <c r="A17" t="s">
        <v>113</v>
      </c>
      <c r="B17" t="s">
        <v>17</v>
      </c>
      <c r="C17" t="e">
        <f>IF(C16="","",IF(C16=INDEX('[1]Grade Project'!$F:$F,MATCH($A$3,'[1]Grade Project'!$E:$E,0)+SUM($D$3:D16)),"",INDEX('[1]Grade Project'!$F:$F,MATCH($A$3,'[1]Grade Project'!$E:$E,0)+SUM($D$3:D16))))</f>
        <v>#N/A</v>
      </c>
      <c r="D17">
        <f>COUNTIFS('[1]Grade Project'!$E:$E,$A$3,'[1]Grade Project'!$F:$F,C17)</f>
        <v>0</v>
      </c>
      <c r="E17" t="str">
        <f t="shared" si="0"/>
        <v/>
      </c>
      <c r="F17" t="str">
        <f>IF(G16=0,"",INDEX('[1]Grade Project'!$G:$G,MATCH($A$5,'[1]Grade Project'!$F:$F,0)+SUM($G$3:G16)))</f>
        <v/>
      </c>
      <c r="G17">
        <f>COUNTIFS('[1]Grade Project'!$F:$F,$A$5,'[1]Grade Project'!$G:$G,F17)</f>
        <v>0</v>
      </c>
      <c r="H17" t="str">
        <f>IF(I16=0,"",INDEX('[1]Grade Project'!$K:$K,MATCH(CONCATENATE($A$5,$A$8),'[1]Grade Project'!$H:$H,0)+SUM($I$3:I16)))</f>
        <v/>
      </c>
      <c r="I17">
        <f>COUNTIFS('[1]Grade Project'!$G:$G,$A$8,'[1]Grade Project'!$K:$K,H17,'[1]Grade Project'!$F:$F,$A$5)</f>
        <v>0</v>
      </c>
      <c r="J17" t="str">
        <f>IFERROR(AVERAGEIFS('[1]Grade Project'!$N:$N,'[1]Grade Project'!$K:$K,H17,'[1]Grade Project'!$F:$F,$A$5,'[1]Grade Project'!$G:$G,$A$8),"")</f>
        <v/>
      </c>
      <c r="K17" t="str">
        <f>IFERROR(AVERAGEIFS('[1]Grade Project'!$O:$O,'[1]Grade Project'!$K:$K,H17,'[1]Grade Project'!$F:$F,$A$5,'[1]Grade Project'!$G:$G,$A$8),"")</f>
        <v/>
      </c>
      <c r="L17" t="str">
        <f t="shared" si="1"/>
        <v/>
      </c>
      <c r="M17" t="str">
        <f t="shared" si="2"/>
        <v/>
      </c>
      <c r="N17" t="str">
        <f t="shared" si="3"/>
        <v/>
      </c>
    </row>
    <row r="18" spans="1:14" x14ac:dyDescent="0.25">
      <c r="A18" t="e">
        <f>INDEX(Four!H:H,MATCH(MAX(Four!N:N),Four!N:N,0))</f>
        <v>#N/A</v>
      </c>
      <c r="B18" t="s">
        <v>18</v>
      </c>
      <c r="C18" t="e">
        <f>IF(C17="","",IF(C17=INDEX('[1]Grade Project'!$F:$F,MATCH($A$3,'[1]Grade Project'!$E:$E,0)+SUM($D$3:D17)),"",INDEX('[1]Grade Project'!$F:$F,MATCH($A$3,'[1]Grade Project'!$E:$E,0)+SUM($D$3:D17))))</f>
        <v>#N/A</v>
      </c>
      <c r="D18">
        <f>COUNTIFS('[1]Grade Project'!$E:$E,$A$3,'[1]Grade Project'!$F:$F,C18)</f>
        <v>0</v>
      </c>
      <c r="E18" t="str">
        <f t="shared" si="0"/>
        <v/>
      </c>
      <c r="F18" t="str">
        <f>IF(G17=0,"",INDEX('[1]Grade Project'!$G:$G,MATCH($A$5,'[1]Grade Project'!$F:$F,0)+SUM($G$3:G17)))</f>
        <v/>
      </c>
      <c r="G18">
        <f>COUNTIFS('[1]Grade Project'!$F:$F,$A$5,'[1]Grade Project'!$G:$G,F18)</f>
        <v>0</v>
      </c>
      <c r="H18" t="str">
        <f>IF(I17=0,"",INDEX('[1]Grade Project'!$K:$K,MATCH(CONCATENATE($A$5,$A$8),'[1]Grade Project'!$H:$H,0)+SUM($I$3:I17)))</f>
        <v/>
      </c>
      <c r="I18">
        <f>COUNTIFS('[1]Grade Project'!$G:$G,$A$8,'[1]Grade Project'!$K:$K,H18,'[1]Grade Project'!$F:$F,$A$5)</f>
        <v>0</v>
      </c>
      <c r="J18" t="str">
        <f>IFERROR(AVERAGEIFS('[1]Grade Project'!$N:$N,'[1]Grade Project'!$K:$K,H18,'[1]Grade Project'!$F:$F,$A$5,'[1]Grade Project'!$G:$G,$A$8),"")</f>
        <v/>
      </c>
      <c r="K18" t="str">
        <f>IFERROR(AVERAGEIFS('[1]Grade Project'!$O:$O,'[1]Grade Project'!$K:$K,H18,'[1]Grade Project'!$F:$F,$A$5,'[1]Grade Project'!$G:$G,$A$8),"")</f>
        <v/>
      </c>
      <c r="L18" t="str">
        <f t="shared" si="1"/>
        <v/>
      </c>
      <c r="M18" t="str">
        <f t="shared" si="2"/>
        <v/>
      </c>
      <c r="N18" t="str">
        <f t="shared" si="3"/>
        <v/>
      </c>
    </row>
    <row r="19" spans="1:14" x14ac:dyDescent="0.25">
      <c r="A19" t="s">
        <v>110</v>
      </c>
      <c r="B19" t="s">
        <v>2</v>
      </c>
      <c r="C19" t="e">
        <f>IF(C18="","",IF(C18=INDEX('[1]Grade Project'!$F:$F,MATCH($A$3,'[1]Grade Project'!$E:$E,0)+SUM($D$3:D18)),"",INDEX('[1]Grade Project'!$F:$F,MATCH($A$3,'[1]Grade Project'!$E:$E,0)+SUM($D$3:D18))))</f>
        <v>#N/A</v>
      </c>
      <c r="D19">
        <f>COUNTIFS('[1]Grade Project'!$E:$E,$A$3,'[1]Grade Project'!$F:$F,C19)</f>
        <v>0</v>
      </c>
      <c r="E19" t="str">
        <f t="shared" si="0"/>
        <v/>
      </c>
      <c r="F19" t="str">
        <f>IF(G18=0,"",INDEX('[1]Grade Project'!$G:$G,MATCH($A$5,'[1]Grade Project'!$F:$F,0)+SUM($G$3:G18)))</f>
        <v/>
      </c>
      <c r="G19">
        <f>COUNTIFS('[1]Grade Project'!$F:$F,$A$5,'[1]Grade Project'!$G:$G,F19)</f>
        <v>0</v>
      </c>
      <c r="H19" t="str">
        <f>IF(I18=0,"",INDEX('[1]Grade Project'!$K:$K,MATCH(CONCATENATE($A$5,$A$8),'[1]Grade Project'!$H:$H,0)+SUM($I$3:I18)))</f>
        <v/>
      </c>
      <c r="I19">
        <f>COUNTIFS('[1]Grade Project'!$G:$G,$A$8,'[1]Grade Project'!$K:$K,H19,'[1]Grade Project'!$F:$F,$A$5)</f>
        <v>0</v>
      </c>
      <c r="J19" t="str">
        <f>IFERROR(AVERAGEIFS('[1]Grade Project'!$N:$N,'[1]Grade Project'!$K:$K,H19,'[1]Grade Project'!$F:$F,$A$5,'[1]Grade Project'!$G:$G,$A$8),"")</f>
        <v/>
      </c>
      <c r="K19" t="str">
        <f>IFERROR(AVERAGEIFS('[1]Grade Project'!$O:$O,'[1]Grade Project'!$K:$K,H19,'[1]Grade Project'!$F:$F,$A$5,'[1]Grade Project'!$G:$G,$A$8),"")</f>
        <v/>
      </c>
      <c r="L19" t="str">
        <f t="shared" si="1"/>
        <v/>
      </c>
      <c r="M19" t="str">
        <f t="shared" si="2"/>
        <v/>
      </c>
      <c r="N19" t="str">
        <f t="shared" si="3"/>
        <v/>
      </c>
    </row>
    <row r="20" spans="1:14" x14ac:dyDescent="0.25">
      <c r="A20" t="e">
        <f>INDEX(Four!J:J,MATCH(MAX(Four!N:N),Four!N:N,0))</f>
        <v>#N/A</v>
      </c>
      <c r="B20" t="s">
        <v>19</v>
      </c>
      <c r="C20" t="e">
        <f>IF(C19="","",IF(C19=INDEX('[1]Grade Project'!$F:$F,MATCH($A$3,'[1]Grade Project'!$E:$E,0)+SUM($D$3:D19)),"",INDEX('[1]Grade Project'!$F:$F,MATCH($A$3,'[1]Grade Project'!$E:$E,0)+SUM($D$3:D19))))</f>
        <v>#N/A</v>
      </c>
      <c r="D20">
        <f>COUNTIFS('[1]Grade Project'!$E:$E,$A$3,'[1]Grade Project'!$F:$F,C20)</f>
        <v>0</v>
      </c>
      <c r="E20" t="str">
        <f t="shared" si="0"/>
        <v/>
      </c>
      <c r="F20" t="str">
        <f>IF(G19=0,"",INDEX('[1]Grade Project'!$G:$G,MATCH($A$5,'[1]Grade Project'!$F:$F,0)+SUM($G$3:G19)))</f>
        <v/>
      </c>
      <c r="G20">
        <f>COUNTIFS('[1]Grade Project'!$F:$F,$A$5,'[1]Grade Project'!$G:$G,F20)</f>
        <v>0</v>
      </c>
      <c r="H20" t="str">
        <f>IF(I19=0,"",INDEX('[1]Grade Project'!$K:$K,MATCH(CONCATENATE($A$5,$A$8),'[1]Grade Project'!$H:$H,0)+SUM($I$3:I19)))</f>
        <v/>
      </c>
      <c r="I20">
        <f>COUNTIFS('[1]Grade Project'!$G:$G,$A$8,'[1]Grade Project'!$K:$K,H20,'[1]Grade Project'!$F:$F,$A$5)</f>
        <v>0</v>
      </c>
      <c r="J20" t="str">
        <f>IFERROR(AVERAGEIFS('[1]Grade Project'!$N:$N,'[1]Grade Project'!$K:$K,H20,'[1]Grade Project'!$F:$F,$A$5,'[1]Grade Project'!$G:$G,$A$8),"")</f>
        <v/>
      </c>
      <c r="K20" t="str">
        <f>IFERROR(AVERAGEIFS('[1]Grade Project'!$O:$O,'[1]Grade Project'!$K:$K,H20,'[1]Grade Project'!$F:$F,$A$5,'[1]Grade Project'!$G:$G,$A$8),"")</f>
        <v/>
      </c>
      <c r="L20" t="str">
        <f t="shared" si="1"/>
        <v/>
      </c>
      <c r="M20" t="str">
        <f t="shared" si="2"/>
        <v/>
      </c>
      <c r="N20" t="str">
        <f t="shared" si="3"/>
        <v/>
      </c>
    </row>
    <row r="21" spans="1:14" x14ac:dyDescent="0.25">
      <c r="A21" t="s">
        <v>114</v>
      </c>
      <c r="B21" t="s">
        <v>20</v>
      </c>
      <c r="C21" t="e">
        <f>IF(C20="","",IF(C20=INDEX('[1]Grade Project'!$F:$F,MATCH($A$3,'[1]Grade Project'!$E:$E,0)+SUM($D$3:D20)),"",INDEX('[1]Grade Project'!$F:$F,MATCH($A$3,'[1]Grade Project'!$E:$E,0)+SUM($D$3:D20))))</f>
        <v>#N/A</v>
      </c>
      <c r="D21">
        <f>COUNTIFS('[1]Grade Project'!$E:$E,$A$3,'[1]Grade Project'!$F:$F,C21)</f>
        <v>0</v>
      </c>
      <c r="E21" t="str">
        <f t="shared" si="0"/>
        <v/>
      </c>
      <c r="F21" t="str">
        <f>IF(G20=0,"",INDEX('[1]Grade Project'!$G:$G,MATCH($A$5,'[1]Grade Project'!$F:$F,0)+SUM($G$3:G20)))</f>
        <v/>
      </c>
      <c r="G21">
        <f>COUNTIFS('[1]Grade Project'!$F:$F,$A$5,'[1]Grade Project'!$G:$G,F21)</f>
        <v>0</v>
      </c>
      <c r="H21" t="str">
        <f>IF(I20=0,"",INDEX('[1]Grade Project'!$K:$K,MATCH(CONCATENATE($A$5,$A$8),'[1]Grade Project'!$H:$H,0)+SUM($I$3:I20)))</f>
        <v/>
      </c>
      <c r="I21">
        <f>COUNTIFS('[1]Grade Project'!$G:$G,$A$8,'[1]Grade Project'!$K:$K,H21,'[1]Grade Project'!$F:$F,$A$5)</f>
        <v>0</v>
      </c>
      <c r="J21" t="str">
        <f>IFERROR(AVERAGEIFS('[1]Grade Project'!$N:$N,'[1]Grade Project'!$K:$K,H21,'[1]Grade Project'!$F:$F,$A$5,'[1]Grade Project'!$G:$G,$A$8),"")</f>
        <v/>
      </c>
      <c r="K21" t="str">
        <f>IFERROR(AVERAGEIFS('[1]Grade Project'!$O:$O,'[1]Grade Project'!$K:$K,H21,'[1]Grade Project'!$F:$F,$A$5,'[1]Grade Project'!$G:$G,$A$8),"")</f>
        <v/>
      </c>
      <c r="L21" t="str">
        <f t="shared" si="1"/>
        <v/>
      </c>
      <c r="M21" t="str">
        <f t="shared" si="2"/>
        <v/>
      </c>
      <c r="N21" t="str">
        <f t="shared" si="3"/>
        <v/>
      </c>
    </row>
    <row r="22" spans="1:14" x14ac:dyDescent="0.25">
      <c r="A22" t="e">
        <f>INDEX(Four!H:H,MATCH(MIN(Four!N:N),Four!N:N,0))</f>
        <v>#N/A</v>
      </c>
      <c r="B22" t="s">
        <v>21</v>
      </c>
      <c r="C22" t="e">
        <f>IF(C21="","",IF(C21=INDEX('[1]Grade Project'!$F:$F,MATCH($A$3,'[1]Grade Project'!$E:$E,0)+SUM($D$3:D21)),"",INDEX('[1]Grade Project'!$F:$F,MATCH($A$3,'[1]Grade Project'!$E:$E,0)+SUM($D$3:D21))))</f>
        <v>#N/A</v>
      </c>
      <c r="D22">
        <f>COUNTIFS('[1]Grade Project'!$E:$E,$A$3,'[1]Grade Project'!$F:$F,C22)</f>
        <v>0</v>
      </c>
      <c r="E22" t="str">
        <f t="shared" si="0"/>
        <v/>
      </c>
      <c r="F22" t="str">
        <f>IF(G21=0,"",INDEX('[1]Grade Project'!$G:$G,MATCH($A$5,'[1]Grade Project'!$F:$F,0)+SUM($G$3:G21)))</f>
        <v/>
      </c>
      <c r="G22">
        <f>COUNTIFS('[1]Grade Project'!$F:$F,$A$5,'[1]Grade Project'!$G:$G,F22)</f>
        <v>0</v>
      </c>
      <c r="H22" t="str">
        <f>IF(I21=0,"",INDEX('[1]Grade Project'!$K:$K,MATCH(CONCATENATE($A$5,$A$8),'[1]Grade Project'!$H:$H,0)+SUM($I$3:I21)))</f>
        <v/>
      </c>
      <c r="I22">
        <f>COUNTIFS('[1]Grade Project'!$G:$G,$A$8,'[1]Grade Project'!$K:$K,H22,'[1]Grade Project'!$F:$F,$A$5)</f>
        <v>0</v>
      </c>
      <c r="J22" t="str">
        <f>IFERROR(AVERAGEIFS('[1]Grade Project'!$N:$N,'[1]Grade Project'!$K:$K,H22,'[1]Grade Project'!$F:$F,$A$5,'[1]Grade Project'!$G:$G,$A$8),"")</f>
        <v/>
      </c>
      <c r="K22" t="str">
        <f>IFERROR(AVERAGEIFS('[1]Grade Project'!$O:$O,'[1]Grade Project'!$K:$K,H22,'[1]Grade Project'!$F:$F,$A$5,'[1]Grade Project'!$G:$G,$A$8),"")</f>
        <v/>
      </c>
      <c r="L22" t="str">
        <f t="shared" si="1"/>
        <v/>
      </c>
      <c r="M22" t="str">
        <f t="shared" si="2"/>
        <v/>
      </c>
      <c r="N22" t="str">
        <f t="shared" si="3"/>
        <v/>
      </c>
    </row>
    <row r="23" spans="1:14" x14ac:dyDescent="0.25">
      <c r="A23" t="s">
        <v>110</v>
      </c>
      <c r="B23" t="s">
        <v>22</v>
      </c>
      <c r="C23" t="e">
        <f>IF(C22="","",IF(C22=INDEX('[1]Grade Project'!$F:$F,MATCH($A$3,'[1]Grade Project'!$E:$E,0)+SUM($D$3:D22)),"",INDEX('[1]Grade Project'!$F:$F,MATCH($A$3,'[1]Grade Project'!$E:$E,0)+SUM($D$3:D22))))</f>
        <v>#N/A</v>
      </c>
      <c r="D23">
        <f>COUNTIFS('[1]Grade Project'!$E:$E,$A$3,'[1]Grade Project'!$F:$F,C23)</f>
        <v>0</v>
      </c>
      <c r="E23" t="str">
        <f t="shared" si="0"/>
        <v/>
      </c>
      <c r="F23" t="str">
        <f>IF(G22=0,"",INDEX('[1]Grade Project'!$G:$G,MATCH($A$5,'[1]Grade Project'!$F:$F,0)+SUM($G$3:G22)))</f>
        <v/>
      </c>
      <c r="G23">
        <f>COUNTIFS('[1]Grade Project'!$F:$F,$A$5,'[1]Grade Project'!$G:$G,F23)</f>
        <v>0</v>
      </c>
      <c r="H23" t="str">
        <f>IF(I22=0,"",INDEX('[1]Grade Project'!$K:$K,MATCH(CONCATENATE($A$5,$A$8),'[1]Grade Project'!$H:$H,0)+SUM($I$3:I22)))</f>
        <v/>
      </c>
      <c r="I23">
        <f>COUNTIFS('[1]Grade Project'!$G:$G,$A$8,'[1]Grade Project'!$K:$K,H23,'[1]Grade Project'!$F:$F,$A$5)</f>
        <v>0</v>
      </c>
      <c r="J23" t="str">
        <f>IFERROR(AVERAGEIFS('[1]Grade Project'!$N:$N,'[1]Grade Project'!$K:$K,H23,'[1]Grade Project'!$F:$F,$A$5,'[1]Grade Project'!$G:$G,$A$8),"")</f>
        <v/>
      </c>
      <c r="K23" t="str">
        <f>IFERROR(AVERAGEIFS('[1]Grade Project'!$O:$O,'[1]Grade Project'!$K:$K,H23,'[1]Grade Project'!$F:$F,$A$5,'[1]Grade Project'!$G:$G,$A$8),"")</f>
        <v/>
      </c>
      <c r="L23" t="str">
        <f t="shared" si="1"/>
        <v/>
      </c>
      <c r="M23" t="str">
        <f t="shared" si="2"/>
        <v/>
      </c>
      <c r="N23" t="str">
        <f t="shared" si="3"/>
        <v/>
      </c>
    </row>
    <row r="24" spans="1:14" x14ac:dyDescent="0.25">
      <c r="A24" t="e">
        <f>INDEX(Four!J:J,MATCH(MIN(Four!N:N),Four!N:N,0))</f>
        <v>#N/A</v>
      </c>
      <c r="B24" t="s">
        <v>23</v>
      </c>
      <c r="C24" t="e">
        <f>IF(C23="","",IF(C23=INDEX('[1]Grade Project'!$F:$F,MATCH($A$3,'[1]Grade Project'!$E:$E,0)+SUM($D$3:D23)),"",INDEX('[1]Grade Project'!$F:$F,MATCH($A$3,'[1]Grade Project'!$E:$E,0)+SUM($D$3:D23))))</f>
        <v>#N/A</v>
      </c>
      <c r="E24" t="str">
        <f t="shared" si="0"/>
        <v/>
      </c>
      <c r="F24" t="str">
        <f>IF(G23=0,"",INDEX('[1]Grade Project'!$G:$G,MATCH($A$5,'[1]Grade Project'!$F:$F,0)+SUM($G$3:G23)))</f>
        <v/>
      </c>
      <c r="G24">
        <f>COUNTIFS('[1]Grade Project'!$F:$F,$A$5,'[1]Grade Project'!$G:$G,F24)</f>
        <v>0</v>
      </c>
      <c r="H24" t="str">
        <f>IF(I23=0,"",INDEX('[1]Grade Project'!$K:$K,MATCH(CONCATENATE($A$5,$A$8),'[1]Grade Project'!$H:$H,0)+SUM($I$3:I23)))</f>
        <v/>
      </c>
      <c r="I24">
        <f>COUNTIFS('[1]Grade Project'!$G:$G,$A$8,'[1]Grade Project'!$K:$K,H24,'[1]Grade Project'!$F:$F,$A$5)</f>
        <v>0</v>
      </c>
      <c r="J24" t="str">
        <f>IFERROR(AVERAGEIFS('[1]Grade Project'!$N:$N,'[1]Grade Project'!$K:$K,H24,'[1]Grade Project'!$F:$F,$A$5,'[1]Grade Project'!$G:$G,$A$8),"")</f>
        <v/>
      </c>
      <c r="K24" t="str">
        <f>IFERROR(AVERAGEIFS('[1]Grade Project'!$O:$O,'[1]Grade Project'!$K:$K,H24,'[1]Grade Project'!$F:$F,$A$5,'[1]Grade Project'!$G:$G,$A$8),"")</f>
        <v/>
      </c>
      <c r="L24" t="str">
        <f t="shared" si="1"/>
        <v/>
      </c>
      <c r="M24" t="str">
        <f t="shared" si="2"/>
        <v/>
      </c>
      <c r="N24" t="str">
        <f t="shared" si="3"/>
        <v/>
      </c>
    </row>
    <row r="25" spans="1:14" x14ac:dyDescent="0.25">
      <c r="A25" t="s">
        <v>117</v>
      </c>
      <c r="B25" t="s">
        <v>24</v>
      </c>
      <c r="C25" t="e">
        <f>IF(C24="","",IF(C24=INDEX('[1]Grade Project'!$F:$F,MATCH($A$3,'[1]Grade Project'!$E:$E,0)+SUM($D$3:D24)),"",INDEX('[1]Grade Project'!$F:$F,MATCH($A$3,'[1]Grade Project'!$E:$E,0)+SUM($D$3:D24))))</f>
        <v>#N/A</v>
      </c>
      <c r="E25" t="str">
        <f t="shared" si="0"/>
        <v/>
      </c>
      <c r="F25" t="str">
        <f>IF(G24=0,"",INDEX('[1]Grade Project'!$G:$G,MATCH($A$5,'[1]Grade Project'!$F:$F,0)+SUM($G$3:G24)))</f>
        <v/>
      </c>
      <c r="G25">
        <f>COUNTIFS('[1]Grade Project'!$F:$F,$A$5,'[1]Grade Project'!$G:$G,F25)</f>
        <v>0</v>
      </c>
      <c r="H25" t="str">
        <f>IF(I24=0,"",INDEX('[1]Grade Project'!$K:$K,MATCH(CONCATENATE($A$5,$A$8),'[1]Grade Project'!$H:$H,0)+SUM($I$3:I24)))</f>
        <v/>
      </c>
      <c r="I25">
        <f>COUNTIFS('[1]Grade Project'!$G:$G,$A$8,'[1]Grade Project'!$K:$K,H25,'[1]Grade Project'!$F:$F,$A$5)</f>
        <v>0</v>
      </c>
      <c r="J25" t="str">
        <f>IFERROR(AVERAGEIFS('[1]Grade Project'!$N:$N,'[1]Grade Project'!$K:$K,H25,'[1]Grade Project'!$F:$F,$A$5,'[1]Grade Project'!$G:$G,$A$8),"")</f>
        <v/>
      </c>
      <c r="K25" t="str">
        <f>IFERROR(AVERAGEIFS('[1]Grade Project'!$O:$O,'[1]Grade Project'!$K:$K,H25,'[1]Grade Project'!$F:$F,$A$5,'[1]Grade Project'!$G:$G,$A$8),"")</f>
        <v/>
      </c>
      <c r="L25" t="str">
        <f t="shared" si="1"/>
        <v/>
      </c>
      <c r="M25" t="str">
        <f t="shared" si="2"/>
        <v/>
      </c>
      <c r="N25" t="str">
        <f t="shared" si="3"/>
        <v/>
      </c>
    </row>
    <row r="26" spans="1:14" x14ac:dyDescent="0.25">
      <c r="A26" t="e">
        <f>A12/#REF!</f>
        <v>#DIV/0!</v>
      </c>
      <c r="B26" t="s">
        <v>25</v>
      </c>
      <c r="C26" t="e">
        <f>IF(C25="","",IF(C25=INDEX('[1]Grade Project'!$F:$F,MATCH($A$3,'[1]Grade Project'!$E:$E,0)+SUM($D$3:D25)),"",INDEX('[1]Grade Project'!$F:$F,MATCH($A$3,'[1]Grade Project'!$E:$E,0)+SUM($D$3:D25))))</f>
        <v>#N/A</v>
      </c>
      <c r="E26" t="str">
        <f t="shared" si="0"/>
        <v/>
      </c>
      <c r="F26" t="str">
        <f>IF(G25=0,"",INDEX('[1]Grade Project'!$G:$G,MATCH($A$5,'[1]Grade Project'!$F:$F,0)+SUM($G$3:G25)))</f>
        <v/>
      </c>
      <c r="G26">
        <f>COUNTIFS('[1]Grade Project'!$F:$F,$A$5,'[1]Grade Project'!$G:$G,F26)</f>
        <v>0</v>
      </c>
      <c r="H26" t="str">
        <f>IF(I25=0,"",INDEX('[1]Grade Project'!$K:$K,MATCH(CONCATENATE($A$5,$A$8),'[1]Grade Project'!$H:$H,0)+SUM($I$3:I25)))</f>
        <v/>
      </c>
      <c r="I26">
        <f>COUNTIFS('[1]Grade Project'!$G:$G,$A$8,'[1]Grade Project'!$K:$K,H26,'[1]Grade Project'!$F:$F,$A$5)</f>
        <v>0</v>
      </c>
      <c r="J26" t="str">
        <f>IFERROR(AVERAGEIFS('[1]Grade Project'!$N:$N,'[1]Grade Project'!$K:$K,H26,'[1]Grade Project'!$F:$F,$A$5,'[1]Grade Project'!$G:$G,$A$8),"")</f>
        <v/>
      </c>
      <c r="K26" t="str">
        <f>IFERROR(AVERAGEIFS('[1]Grade Project'!$O:$O,'[1]Grade Project'!$K:$K,H26,'[1]Grade Project'!$F:$F,$A$5,'[1]Grade Project'!$G:$G,$A$8),"")</f>
        <v/>
      </c>
      <c r="L26" t="str">
        <f t="shared" si="1"/>
        <v/>
      </c>
      <c r="M26" t="str">
        <f t="shared" si="2"/>
        <v/>
      </c>
      <c r="N26" t="str">
        <f t="shared" si="3"/>
        <v/>
      </c>
    </row>
    <row r="27" spans="1:14" x14ac:dyDescent="0.25">
      <c r="B27" t="s">
        <v>26</v>
      </c>
      <c r="C27" t="e">
        <f>IF(C26="","",IF(C26=INDEX('[1]Grade Project'!$F:$F,MATCH($A$3,'[1]Grade Project'!$E:$E,0)+SUM($D$3:D26)),"",INDEX('[1]Grade Project'!$F:$F,MATCH($A$3,'[1]Grade Project'!$E:$E,0)+SUM($D$3:D26))))</f>
        <v>#N/A</v>
      </c>
      <c r="E27" t="str">
        <f t="shared" si="0"/>
        <v/>
      </c>
      <c r="F27" t="str">
        <f>IF(G26=0,"",INDEX('[1]Grade Project'!$G:$G,MATCH($A$5,'[1]Grade Project'!$F:$F,0)+SUM($G$3:G26)))</f>
        <v/>
      </c>
      <c r="G27">
        <f>COUNTIFS('[1]Grade Project'!$F:$F,$A$5,'[1]Grade Project'!$G:$G,F27)</f>
        <v>0</v>
      </c>
      <c r="H27" t="str">
        <f>IF(I26=0,"",INDEX('[1]Grade Project'!$K:$K,MATCH(CONCATENATE($A$5,$A$8),'[1]Grade Project'!$H:$H,0)+SUM($I$3:I26)))</f>
        <v/>
      </c>
      <c r="I27">
        <f>COUNTIFS('[1]Grade Project'!$G:$G,$A$8,'[1]Grade Project'!$K:$K,H27,'[1]Grade Project'!$F:$F,$A$5)</f>
        <v>0</v>
      </c>
      <c r="J27" t="str">
        <f>IFERROR(AVERAGEIFS('[1]Grade Project'!$N:$N,'[1]Grade Project'!$K:$K,H27,'[1]Grade Project'!$F:$F,$A$5,'[1]Grade Project'!$G:$G,$A$8),"")</f>
        <v/>
      </c>
      <c r="K27" t="str">
        <f>IFERROR(AVERAGEIFS('[1]Grade Project'!$O:$O,'[1]Grade Project'!$K:$K,H27,'[1]Grade Project'!$F:$F,$A$5,'[1]Grade Project'!$G:$G,$A$8),"")</f>
        <v/>
      </c>
      <c r="L27" t="str">
        <f t="shared" si="1"/>
        <v/>
      </c>
      <c r="M27" t="str">
        <f t="shared" si="2"/>
        <v/>
      </c>
      <c r="N27" t="str">
        <f t="shared" si="3"/>
        <v/>
      </c>
    </row>
    <row r="28" spans="1:14" x14ac:dyDescent="0.25">
      <c r="B28" t="s">
        <v>27</v>
      </c>
      <c r="C28" t="e">
        <f>IF(C27="","",IF(C27=INDEX('[1]Grade Project'!$F:$F,MATCH($A$3,'[1]Grade Project'!$E:$E,0)+SUM($D$3:D27)),"",INDEX('[1]Grade Project'!$F:$F,MATCH($A$3,'[1]Grade Project'!$E:$E,0)+SUM($D$3:D27))))</f>
        <v>#N/A</v>
      </c>
      <c r="E28" t="str">
        <f t="shared" si="0"/>
        <v/>
      </c>
      <c r="F28" t="str">
        <f>IF(G27=0,"",INDEX('[1]Grade Project'!$G:$G,MATCH($A$5,'[1]Grade Project'!$F:$F,0)+SUM($G$3:G27)))</f>
        <v/>
      </c>
      <c r="G28">
        <f>COUNTIFS('[1]Grade Project'!$F:$F,$A$5,'[1]Grade Project'!$G:$G,F28)</f>
        <v>0</v>
      </c>
      <c r="H28" t="str">
        <f>IF(I27=0,"",INDEX('[1]Grade Project'!$K:$K,MATCH(CONCATENATE($A$5,$A$8),'[1]Grade Project'!$H:$H,0)+SUM($I$3:I27)))</f>
        <v/>
      </c>
      <c r="I28">
        <f>COUNTIFS('[1]Grade Project'!$G:$G,$A$8,'[1]Grade Project'!$K:$K,H28,'[1]Grade Project'!$F:$F,$A$5)</f>
        <v>0</v>
      </c>
      <c r="J28" t="str">
        <f>IFERROR(AVERAGEIFS('[1]Grade Project'!$N:$N,'[1]Grade Project'!$K:$K,H28,'[1]Grade Project'!$F:$F,$A$5,'[1]Grade Project'!$G:$G,$A$8),"")</f>
        <v/>
      </c>
      <c r="K28" t="str">
        <f>IFERROR(AVERAGEIFS('[1]Grade Project'!$O:$O,'[1]Grade Project'!$K:$K,H28,'[1]Grade Project'!$F:$F,$A$5,'[1]Grade Project'!$G:$G,$A$8),"")</f>
        <v/>
      </c>
      <c r="L28" t="str">
        <f t="shared" si="1"/>
        <v/>
      </c>
      <c r="M28" t="str">
        <f t="shared" si="2"/>
        <v/>
      </c>
      <c r="N28" t="str">
        <f t="shared" si="3"/>
        <v/>
      </c>
    </row>
    <row r="29" spans="1:14" x14ac:dyDescent="0.25">
      <c r="B29" t="s">
        <v>28</v>
      </c>
      <c r="C29" t="e">
        <f>IF(C28="","",IF(C28=INDEX('[1]Grade Project'!$F:$F,MATCH($A$3,'[1]Grade Project'!$E:$E,0)+SUM($D$3:D28)),"",INDEX('[1]Grade Project'!$F:$F,MATCH($A$3,'[1]Grade Project'!$E:$E,0)+SUM($D$3:D28))))</f>
        <v>#N/A</v>
      </c>
      <c r="E29" t="str">
        <f t="shared" si="0"/>
        <v/>
      </c>
      <c r="F29" t="str">
        <f>IF(G28=0,"",INDEX('[1]Grade Project'!$G:$G,MATCH($A$5,'[1]Grade Project'!$F:$F,0)+SUM($G$3:G28)))</f>
        <v/>
      </c>
      <c r="G29">
        <f>COUNTIFS('[1]Grade Project'!$F:$F,$A$5,'[1]Grade Project'!$G:$G,F29)</f>
        <v>0</v>
      </c>
      <c r="H29" t="str">
        <f>IF(I28=0,"",INDEX('[1]Grade Project'!$K:$K,MATCH(CONCATENATE($A$5,$A$8),'[1]Grade Project'!$H:$H,0)+SUM($I$3:I28)))</f>
        <v/>
      </c>
      <c r="I29">
        <f>COUNTIFS('[1]Grade Project'!$G:$G,$A$8,'[1]Grade Project'!$K:$K,H29,'[1]Grade Project'!$F:$F,$A$5)</f>
        <v>0</v>
      </c>
      <c r="J29" t="str">
        <f>IFERROR(AVERAGEIFS('[1]Grade Project'!$N:$N,'[1]Grade Project'!$K:$K,H29,'[1]Grade Project'!$F:$F,$A$5,'[1]Grade Project'!$G:$G,$A$8),"")</f>
        <v/>
      </c>
      <c r="K29" t="str">
        <f>IFERROR(AVERAGEIFS('[1]Grade Project'!$O:$O,'[1]Grade Project'!$K:$K,H29,'[1]Grade Project'!$F:$F,$A$5,'[1]Grade Project'!$G:$G,$A$8),"")</f>
        <v/>
      </c>
      <c r="L29" t="str">
        <f t="shared" si="1"/>
        <v/>
      </c>
      <c r="M29" t="str">
        <f t="shared" si="2"/>
        <v/>
      </c>
      <c r="N29" t="str">
        <f t="shared" si="3"/>
        <v/>
      </c>
    </row>
    <row r="30" spans="1:14" x14ac:dyDescent="0.25">
      <c r="B30" t="s">
        <v>29</v>
      </c>
      <c r="C30" t="e">
        <f>IF(C29="","",IF(C29=INDEX('[1]Grade Project'!$F:$F,MATCH($A$3,'[1]Grade Project'!$E:$E,0)+SUM($D$3:D29)),"",INDEX('[1]Grade Project'!$F:$F,MATCH($A$3,'[1]Grade Project'!$E:$E,0)+SUM($D$3:D29))))</f>
        <v>#N/A</v>
      </c>
      <c r="E30" t="str">
        <f t="shared" si="0"/>
        <v/>
      </c>
      <c r="F30" t="str">
        <f>IF(G29=0,"",INDEX('[1]Grade Project'!$G:$G,MATCH($A$5,'[1]Grade Project'!$F:$F,0)+SUM($G$3:G29)))</f>
        <v/>
      </c>
      <c r="G30">
        <f>COUNTIFS('[1]Grade Project'!$F:$F,$A$5,'[1]Grade Project'!$G:$G,F30)</f>
        <v>0</v>
      </c>
      <c r="H30" t="str">
        <f>IF(I29=0,"",INDEX('[1]Grade Project'!$K:$K,MATCH(CONCATENATE($A$5,$A$8),'[1]Grade Project'!$H:$H,0)+SUM($I$3:I29)))</f>
        <v/>
      </c>
      <c r="I30">
        <f>COUNTIFS('[1]Grade Project'!$G:$G,$A$8,'[1]Grade Project'!$K:$K,H30,'[1]Grade Project'!$F:$F,$A$5)</f>
        <v>0</v>
      </c>
      <c r="J30" t="str">
        <f>IFERROR(AVERAGEIFS('[1]Grade Project'!$N:$N,'[1]Grade Project'!$K:$K,H30,'[1]Grade Project'!$F:$F,$A$5,'[1]Grade Project'!$G:$G,$A$8),"")</f>
        <v/>
      </c>
      <c r="K30" t="str">
        <f>IFERROR(AVERAGEIFS('[1]Grade Project'!$O:$O,'[1]Grade Project'!$K:$K,H30,'[1]Grade Project'!$F:$F,$A$5,'[1]Grade Project'!$G:$G,$A$8),"")</f>
        <v/>
      </c>
      <c r="L30" t="str">
        <f t="shared" si="1"/>
        <v/>
      </c>
      <c r="M30" t="str">
        <f t="shared" si="2"/>
        <v/>
      </c>
      <c r="N30" t="str">
        <f t="shared" si="3"/>
        <v/>
      </c>
    </row>
    <row r="31" spans="1:14" x14ac:dyDescent="0.25">
      <c r="B31" t="s">
        <v>30</v>
      </c>
      <c r="C31" t="e">
        <f>IF(C30="","",IF(C30=INDEX('[1]Grade Project'!$F:$F,MATCH($A$3,'[1]Grade Project'!$E:$E,0)+SUM($D$3:D30)),"",INDEX('[1]Grade Project'!$F:$F,MATCH($A$3,'[1]Grade Project'!$E:$E,0)+SUM($D$3:D30))))</f>
        <v>#N/A</v>
      </c>
      <c r="E31" t="str">
        <f t="shared" si="0"/>
        <v/>
      </c>
      <c r="F31" t="str">
        <f>IF(G30=0,"",INDEX('[1]Grade Project'!$G:$G,MATCH($A$5,'[1]Grade Project'!$F:$F,0)+SUM($G$3:G30)))</f>
        <v/>
      </c>
      <c r="G31">
        <f>COUNTIFS('[1]Grade Project'!$F:$F,$A$5,'[1]Grade Project'!$G:$G,F31)</f>
        <v>0</v>
      </c>
      <c r="H31" t="str">
        <f>IF(I30=0,"",INDEX('[1]Grade Project'!$K:$K,MATCH(CONCATENATE($A$5,$A$8),'[1]Grade Project'!$H:$H,0)+SUM($I$3:I30)))</f>
        <v/>
      </c>
      <c r="I31">
        <f>COUNTIFS('[1]Grade Project'!$G:$G,$A$8,'[1]Grade Project'!$K:$K,H31,'[1]Grade Project'!$F:$F,$A$5)</f>
        <v>0</v>
      </c>
      <c r="J31" t="str">
        <f>IFERROR(AVERAGEIFS('[1]Grade Project'!$N:$N,'[1]Grade Project'!$K:$K,H31,'[1]Grade Project'!$F:$F,$A$5,'[1]Grade Project'!$G:$G,$A$8),"")</f>
        <v/>
      </c>
      <c r="K31" t="str">
        <f>IFERROR(AVERAGEIFS('[1]Grade Project'!$O:$O,'[1]Grade Project'!$K:$K,H31,'[1]Grade Project'!$F:$F,$A$5,'[1]Grade Project'!$G:$G,$A$8),"")</f>
        <v/>
      </c>
      <c r="L31" t="str">
        <f t="shared" si="1"/>
        <v/>
      </c>
      <c r="M31" t="str">
        <f t="shared" si="2"/>
        <v/>
      </c>
      <c r="N31" t="str">
        <f t="shared" si="3"/>
        <v/>
      </c>
    </row>
    <row r="32" spans="1:14" x14ac:dyDescent="0.25">
      <c r="B32" t="s">
        <v>31</v>
      </c>
      <c r="C32" t="e">
        <f>IF(C31="","",IF(C31=INDEX('[1]Grade Project'!$F:$F,MATCH($A$3,'[1]Grade Project'!$E:$E,0)+SUM($D$3:D31)),"",INDEX('[1]Grade Project'!$F:$F,MATCH($A$3,'[1]Grade Project'!$E:$E,0)+SUM($D$3:D31))))</f>
        <v>#N/A</v>
      </c>
      <c r="E32" t="str">
        <f t="shared" si="0"/>
        <v/>
      </c>
      <c r="F32" t="str">
        <f>IF(G31=0,"",INDEX('[1]Grade Project'!$G:$G,MATCH($A$5,'[1]Grade Project'!$F:$F,0)+SUM($G$3:G31)))</f>
        <v/>
      </c>
      <c r="G32">
        <f>COUNTIFS('[1]Grade Project'!$F:$F,$A$5,'[1]Grade Project'!$G:$G,F32)</f>
        <v>0</v>
      </c>
      <c r="H32" t="str">
        <f>IF(I31=0,"",INDEX('[1]Grade Project'!$K:$K,MATCH(CONCATENATE($A$5,$A$8),'[1]Grade Project'!$H:$H,0)+SUM($I$3:I31)))</f>
        <v/>
      </c>
      <c r="I32">
        <f>COUNTIFS('[1]Grade Project'!$G:$G,$A$8,'[1]Grade Project'!$K:$K,H32,'[1]Grade Project'!$F:$F,$A$5)</f>
        <v>0</v>
      </c>
      <c r="J32" t="str">
        <f>IFERROR(AVERAGEIFS('[1]Grade Project'!$N:$N,'[1]Grade Project'!$K:$K,H32,'[1]Grade Project'!$F:$F,$A$5,'[1]Grade Project'!$G:$G,$A$8),"")</f>
        <v/>
      </c>
      <c r="K32" t="str">
        <f>IFERROR(AVERAGEIFS('[1]Grade Project'!$O:$O,'[1]Grade Project'!$K:$K,H32,'[1]Grade Project'!$F:$F,$A$5,'[1]Grade Project'!$G:$G,$A$8),"")</f>
        <v/>
      </c>
      <c r="L32" t="str">
        <f t="shared" si="1"/>
        <v/>
      </c>
      <c r="M32" t="str">
        <f t="shared" si="2"/>
        <v/>
      </c>
      <c r="N32" t="str">
        <f t="shared" si="3"/>
        <v/>
      </c>
    </row>
    <row r="33" spans="2:14" x14ac:dyDescent="0.25">
      <c r="B33" t="s">
        <v>32</v>
      </c>
      <c r="C33" t="e">
        <f>IF(C32="","",IF(C32=INDEX('[1]Grade Project'!$F:$F,MATCH($A$3,'[1]Grade Project'!$E:$E,0)+SUM($D$3:D32)),"",INDEX('[1]Grade Project'!$F:$F,MATCH($A$3,'[1]Grade Project'!$E:$E,0)+SUM($D$3:D32))))</f>
        <v>#N/A</v>
      </c>
      <c r="E33" t="str">
        <f t="shared" si="0"/>
        <v/>
      </c>
      <c r="F33" t="str">
        <f>IF(G32=0,"",INDEX('[1]Grade Project'!$G:$G,MATCH($A$5,'[1]Grade Project'!$F:$F,0)+SUM($G$3:G32)))</f>
        <v/>
      </c>
      <c r="G33">
        <f>COUNTIFS('[1]Grade Project'!$F:$F,$A$5,'[1]Grade Project'!$G:$G,F33)</f>
        <v>0</v>
      </c>
      <c r="H33" t="str">
        <f>IF(I32=0,"",INDEX('[1]Grade Project'!$K:$K,MATCH(CONCATENATE($A$5,$A$8),'[1]Grade Project'!$H:$H,0)+SUM($I$3:I32)))</f>
        <v/>
      </c>
      <c r="I33">
        <f>COUNTIFS('[1]Grade Project'!$G:$G,$A$8,'[1]Grade Project'!$K:$K,H33,'[1]Grade Project'!$F:$F,$A$5)</f>
        <v>0</v>
      </c>
      <c r="J33" t="str">
        <f>IFERROR(AVERAGEIFS('[1]Grade Project'!$N:$N,'[1]Grade Project'!$K:$K,H33,'[1]Grade Project'!$F:$F,$A$5,'[1]Grade Project'!$G:$G,$A$8),"")</f>
        <v/>
      </c>
      <c r="K33" t="str">
        <f>IFERROR(AVERAGEIFS('[1]Grade Project'!$O:$O,'[1]Grade Project'!$K:$K,H33,'[1]Grade Project'!$F:$F,$A$5,'[1]Grade Project'!$G:$G,$A$8),"")</f>
        <v/>
      </c>
      <c r="L33" t="str">
        <f t="shared" si="1"/>
        <v/>
      </c>
      <c r="M33" t="str">
        <f t="shared" si="2"/>
        <v/>
      </c>
      <c r="N33" t="str">
        <f t="shared" si="3"/>
        <v/>
      </c>
    </row>
    <row r="34" spans="2:14" x14ac:dyDescent="0.25">
      <c r="B34" t="s">
        <v>33</v>
      </c>
      <c r="C34" t="e">
        <f>IF(C33="","",IF(C33=INDEX('[1]Grade Project'!$F:$F,MATCH($A$3,'[1]Grade Project'!$E:$E,0)+SUM($D$3:D33)),"",INDEX('[1]Grade Project'!$F:$F,MATCH($A$3,'[1]Grade Project'!$E:$E,0)+SUM($D$3:D33))))</f>
        <v>#N/A</v>
      </c>
      <c r="E34" t="str">
        <f t="shared" si="0"/>
        <v/>
      </c>
      <c r="F34" t="str">
        <f>IF(G33=0,"",INDEX('[1]Grade Project'!$G:$G,MATCH($A$5,'[1]Grade Project'!$F:$F,0)+SUM($G$3:G33)))</f>
        <v/>
      </c>
      <c r="G34">
        <f>COUNTIFS('[1]Grade Project'!$F:$F,$A$5,'[1]Grade Project'!$G:$G,F34)</f>
        <v>0</v>
      </c>
      <c r="H34" t="str">
        <f>IF(I33=0,"",INDEX('[1]Grade Project'!$K:$K,MATCH(CONCATENATE($A$5,$A$8),'[1]Grade Project'!$H:$H,0)+SUM($I$3:I33)))</f>
        <v/>
      </c>
      <c r="I34">
        <f>COUNTIFS('[1]Grade Project'!$G:$G,$A$8,'[1]Grade Project'!$K:$K,H34,'[1]Grade Project'!$F:$F,$A$5)</f>
        <v>0</v>
      </c>
      <c r="J34" t="str">
        <f>IFERROR(AVERAGEIFS('[1]Grade Project'!$N:$N,'[1]Grade Project'!$K:$K,H34,'[1]Grade Project'!$F:$F,$A$5,'[1]Grade Project'!$G:$G,$A$8),"")</f>
        <v/>
      </c>
      <c r="K34" t="str">
        <f>IFERROR(AVERAGEIFS('[1]Grade Project'!$O:$O,'[1]Grade Project'!$K:$K,H34,'[1]Grade Project'!$F:$F,$A$5,'[1]Grade Project'!$G:$G,$A$8),"")</f>
        <v/>
      </c>
      <c r="L34" t="str">
        <f t="shared" si="1"/>
        <v/>
      </c>
      <c r="M34" t="str">
        <f t="shared" si="2"/>
        <v/>
      </c>
      <c r="N34" t="str">
        <f t="shared" si="3"/>
        <v/>
      </c>
    </row>
    <row r="35" spans="2:14" x14ac:dyDescent="0.25">
      <c r="B35" t="s">
        <v>34</v>
      </c>
      <c r="C35" t="e">
        <f>IF(C34="","",IF(C34=INDEX('[1]Grade Project'!$F:$F,MATCH($A$3,'[1]Grade Project'!$E:$E,0)+SUM($D$3:D34)),"",INDEX('[1]Grade Project'!$F:$F,MATCH($A$3,'[1]Grade Project'!$E:$E,0)+SUM($D$3:D34))))</f>
        <v>#N/A</v>
      </c>
      <c r="E35" t="str">
        <f t="shared" si="0"/>
        <v/>
      </c>
      <c r="F35" t="str">
        <f>IF(G34=0,"",INDEX('[1]Grade Project'!$G:$G,MATCH($A$5,'[1]Grade Project'!$F:$F,0)+SUM($G$3:G34)))</f>
        <v/>
      </c>
      <c r="G35">
        <f>COUNTIFS('[1]Grade Project'!$F:$F,$A$5,'[1]Grade Project'!$G:$G,F35)</f>
        <v>0</v>
      </c>
      <c r="H35" t="str">
        <f>IF(I34=0,"",INDEX('[1]Grade Project'!$K:$K,MATCH(CONCATENATE($A$5,$A$8),'[1]Grade Project'!$H:$H,0)+SUM($I$3:I34)))</f>
        <v/>
      </c>
      <c r="I35">
        <f>COUNTIFS('[1]Grade Project'!$G:$G,$A$8,'[1]Grade Project'!$K:$K,H35,'[1]Grade Project'!$F:$F,$A$5)</f>
        <v>0</v>
      </c>
      <c r="J35" t="str">
        <f>IFERROR(AVERAGEIFS('[1]Grade Project'!$N:$N,'[1]Grade Project'!$K:$K,H35,'[1]Grade Project'!$F:$F,$A$5,'[1]Grade Project'!$G:$G,$A$8),"")</f>
        <v/>
      </c>
      <c r="K35" t="str">
        <f>IFERROR(AVERAGEIFS('[1]Grade Project'!$O:$O,'[1]Grade Project'!$K:$K,H35,'[1]Grade Project'!$F:$F,$A$5,'[1]Grade Project'!$G:$G,$A$8),"")</f>
        <v/>
      </c>
      <c r="L35" t="str">
        <f t="shared" si="1"/>
        <v/>
      </c>
      <c r="M35" t="str">
        <f t="shared" si="2"/>
        <v/>
      </c>
      <c r="N35" t="str">
        <f t="shared" si="3"/>
        <v/>
      </c>
    </row>
    <row r="36" spans="2:14" x14ac:dyDescent="0.25">
      <c r="B36" t="s">
        <v>35</v>
      </c>
      <c r="C36" t="e">
        <f>IF(C35="","",IF(C35=INDEX('[1]Grade Project'!$F:$F,MATCH($A$3,'[1]Grade Project'!$E:$E,0)+SUM($D$3:D35)),"",INDEX('[1]Grade Project'!$F:$F,MATCH($A$3,'[1]Grade Project'!$E:$E,0)+SUM($D$3:D35))))</f>
        <v>#N/A</v>
      </c>
      <c r="E36" t="str">
        <f t="shared" si="0"/>
        <v/>
      </c>
      <c r="F36" t="str">
        <f>IF(G35=0,"",INDEX('[1]Grade Project'!$G:$G,MATCH($A$5,'[1]Grade Project'!$F:$F,0)+SUM($G$3:G35)))</f>
        <v/>
      </c>
      <c r="G36">
        <f>COUNTIFS('[1]Grade Project'!$F:$F,$A$5,'[1]Grade Project'!$G:$G,F36)</f>
        <v>0</v>
      </c>
      <c r="H36" t="str">
        <f>IF(I35=0,"",INDEX('[1]Grade Project'!$K:$K,MATCH(CONCATENATE($A$5,$A$8),'[1]Grade Project'!$H:$H,0)+SUM($I$3:I35)))</f>
        <v/>
      </c>
      <c r="I36">
        <f>COUNTIFS('[1]Grade Project'!$G:$G,$A$8,'[1]Grade Project'!$K:$K,H36,'[1]Grade Project'!$F:$F,$A$5)</f>
        <v>0</v>
      </c>
      <c r="J36" t="str">
        <f>IFERROR(AVERAGEIFS('[1]Grade Project'!$N:$N,'[1]Grade Project'!$K:$K,H36,'[1]Grade Project'!$F:$F,$A$5,'[1]Grade Project'!$G:$G,$A$8),"")</f>
        <v/>
      </c>
      <c r="K36" t="str">
        <f>IFERROR(AVERAGEIFS('[1]Grade Project'!$O:$O,'[1]Grade Project'!$K:$K,H36,'[1]Grade Project'!$F:$F,$A$5,'[1]Grade Project'!$G:$G,$A$8),"")</f>
        <v/>
      </c>
      <c r="L36" t="str">
        <f t="shared" si="1"/>
        <v/>
      </c>
      <c r="M36" t="str">
        <f t="shared" si="2"/>
        <v/>
      </c>
      <c r="N36" t="str">
        <f t="shared" si="3"/>
        <v/>
      </c>
    </row>
    <row r="37" spans="2:14" x14ac:dyDescent="0.25">
      <c r="B37" t="s">
        <v>36</v>
      </c>
      <c r="C37" t="e">
        <f>IF(C36="","",IF(C36=INDEX('[1]Grade Project'!$F:$F,MATCH($A$3,'[1]Grade Project'!$E:$E,0)+SUM($D$3:D36)),"",INDEX('[1]Grade Project'!$F:$F,MATCH($A$3,'[1]Grade Project'!$E:$E,0)+SUM($D$3:D36))))</f>
        <v>#N/A</v>
      </c>
      <c r="F37" t="str">
        <f>IF(G36=0,"",INDEX('[1]Grade Project'!$G:$G,MATCH($A$5,'[1]Grade Project'!$F:$F,0)+SUM($G$3:G36)))</f>
        <v/>
      </c>
      <c r="G37">
        <f>COUNTIFS('[1]Grade Project'!$F:$F,$A$5,'[1]Grade Project'!$G:$G,F37)</f>
        <v>0</v>
      </c>
      <c r="H37" t="str">
        <f>IF(I36=0,"",INDEX('[1]Grade Project'!$K:$K,MATCH(CONCATENATE($A$5,$A$8),'[1]Grade Project'!$H:$H,0)+SUM($I$3:I36)))</f>
        <v/>
      </c>
      <c r="I37">
        <f>COUNTIFS('[1]Grade Project'!$G:$G,$A$8,'[1]Grade Project'!$K:$K,H37,'[1]Grade Project'!$F:$F,$A$5)</f>
        <v>0</v>
      </c>
      <c r="J37" t="str">
        <f>IFERROR(AVERAGEIFS('[1]Grade Project'!$N:$N,'[1]Grade Project'!$K:$K,H37,'[1]Grade Project'!$F:$F,$A$5,'[1]Grade Project'!$G:$G,$A$8),"")</f>
        <v/>
      </c>
      <c r="K37" t="str">
        <f>IFERROR(AVERAGEIFS('[1]Grade Project'!$O:$O,'[1]Grade Project'!$K:$K,H37,'[1]Grade Project'!$F:$F,$A$5,'[1]Grade Project'!$G:$G,$A$8),"")</f>
        <v/>
      </c>
      <c r="L37" t="str">
        <f t="shared" si="1"/>
        <v/>
      </c>
      <c r="M37" t="str">
        <f t="shared" si="2"/>
        <v/>
      </c>
      <c r="N37" t="str">
        <f t="shared" si="3"/>
        <v/>
      </c>
    </row>
    <row r="38" spans="2:14" x14ac:dyDescent="0.25">
      <c r="B38" t="s">
        <v>37</v>
      </c>
      <c r="C38" t="e">
        <f>IF(C37="","",IF(C37=INDEX('[1]Grade Project'!$F:$F,MATCH($A$3,'[1]Grade Project'!$E:$E,0)+SUM($D$3:D37)),"",INDEX('[1]Grade Project'!$F:$F,MATCH($A$3,'[1]Grade Project'!$E:$E,0)+SUM($D$3:D37))))</f>
        <v>#N/A</v>
      </c>
      <c r="F38" t="str">
        <f>IF(G37=0,"",INDEX('[1]Grade Project'!$G:$G,MATCH($A$5,'[1]Grade Project'!$F:$F,0)+SUM($G$3:G37)))</f>
        <v/>
      </c>
      <c r="G38">
        <f>COUNTIFS('[1]Grade Project'!$F:$F,$A$5,'[1]Grade Project'!$G:$G,F38)</f>
        <v>0</v>
      </c>
      <c r="H38" t="str">
        <f>IF(I37=0,"",INDEX('[1]Grade Project'!$K:$K,MATCH(CONCATENATE($A$5,$A$8),'[1]Grade Project'!$H:$H,0)+SUM($I$3:I37)))</f>
        <v/>
      </c>
      <c r="I38">
        <f>COUNTIFS('[1]Grade Project'!$G:$G,$A$8,'[1]Grade Project'!$K:$K,H38,'[1]Grade Project'!$F:$F,$A$5)</f>
        <v>0</v>
      </c>
      <c r="J38" t="str">
        <f>IFERROR(AVERAGEIFS('[1]Grade Project'!$N:$N,'[1]Grade Project'!$K:$K,H38,'[1]Grade Project'!$F:$F,$A$5,'[1]Grade Project'!$G:$G,$A$8),"")</f>
        <v/>
      </c>
      <c r="K38" t="str">
        <f>IFERROR(AVERAGEIFS('[1]Grade Project'!$O:$O,'[1]Grade Project'!$K:$K,H38,'[1]Grade Project'!$F:$F,$A$5,'[1]Grade Project'!$G:$G,$A$8),"")</f>
        <v/>
      </c>
      <c r="L38" t="str">
        <f t="shared" si="1"/>
        <v/>
      </c>
      <c r="M38" t="str">
        <f t="shared" si="2"/>
        <v/>
      </c>
      <c r="N38" t="str">
        <f t="shared" si="3"/>
        <v/>
      </c>
    </row>
    <row r="39" spans="2:14" x14ac:dyDescent="0.25">
      <c r="B39" t="s">
        <v>38</v>
      </c>
      <c r="C39" t="e">
        <f>IF(C38="","",IF(C38=INDEX('[1]Grade Project'!$F:$F,MATCH($A$3,'[1]Grade Project'!$E:$E,0)+SUM($D$3:D38)),"",INDEX('[1]Grade Project'!$F:$F,MATCH($A$3,'[1]Grade Project'!$E:$E,0)+SUM($D$3:D38))))</f>
        <v>#N/A</v>
      </c>
      <c r="F39" t="str">
        <f>IF(G38=0,"",INDEX('[1]Grade Project'!$G:$G,MATCH($A$5,'[1]Grade Project'!$F:$F,0)+SUM($G$3:G38)))</f>
        <v/>
      </c>
      <c r="G39">
        <f>COUNTIFS('[1]Grade Project'!$F:$F,$A$5,'[1]Grade Project'!$G:$G,F39)</f>
        <v>0</v>
      </c>
      <c r="H39" t="str">
        <f>IF(I38=0,"",INDEX('[1]Grade Project'!$K:$K,MATCH(CONCATENATE($A$5,$A$8),'[1]Grade Project'!$H:$H,0)+SUM($I$3:I38)))</f>
        <v/>
      </c>
      <c r="I39">
        <f>COUNTIFS('[1]Grade Project'!$G:$G,$A$8,'[1]Grade Project'!$K:$K,H39,'[1]Grade Project'!$F:$F,$A$5)</f>
        <v>0</v>
      </c>
      <c r="J39" t="str">
        <f>IFERROR(AVERAGEIFS('[1]Grade Project'!$N:$N,'[1]Grade Project'!$K:$K,H39,'[1]Grade Project'!$F:$F,$A$5,'[1]Grade Project'!$G:$G,$A$8),"")</f>
        <v/>
      </c>
      <c r="K39" t="str">
        <f>IFERROR(AVERAGEIFS('[1]Grade Project'!$O:$O,'[1]Grade Project'!$K:$K,H39,'[1]Grade Project'!$F:$F,$A$5,'[1]Grade Project'!$G:$G,$A$8),"")</f>
        <v/>
      </c>
      <c r="L39" t="str">
        <f t="shared" si="1"/>
        <v/>
      </c>
      <c r="M39" t="str">
        <f t="shared" si="2"/>
        <v/>
      </c>
      <c r="N39" t="str">
        <f t="shared" si="3"/>
        <v/>
      </c>
    </row>
    <row r="40" spans="2:14" x14ac:dyDescent="0.25">
      <c r="B40" t="s">
        <v>39</v>
      </c>
      <c r="C40" t="e">
        <f>IF(C39="","",IF(C39=INDEX('[1]Grade Project'!$F:$F,MATCH($A$3,'[1]Grade Project'!$E:$E,0)+SUM($D$3:D39)),"",INDEX('[1]Grade Project'!$F:$F,MATCH($A$3,'[1]Grade Project'!$E:$E,0)+SUM($D$3:D39))))</f>
        <v>#N/A</v>
      </c>
      <c r="F40" t="str">
        <f>IF(G39=0,"",INDEX('[1]Grade Project'!$G:$G,MATCH($A$5,'[1]Grade Project'!$F:$F,0)+SUM($G$3:G39)))</f>
        <v/>
      </c>
      <c r="G40">
        <f>COUNTIFS('[1]Grade Project'!$F:$F,$A$5,'[1]Grade Project'!$G:$G,F40)</f>
        <v>0</v>
      </c>
      <c r="H40" t="str">
        <f>IF(I39=0,"",INDEX('[1]Grade Project'!$K:$K,MATCH(CONCATENATE($A$5,$A$8),'[1]Grade Project'!$H:$H,0)+SUM($I$3:I39)))</f>
        <v/>
      </c>
      <c r="I40">
        <f>COUNTIFS('[1]Grade Project'!$G:$G,$A$8,'[1]Grade Project'!$K:$K,H40,'[1]Grade Project'!$F:$F,$A$5)</f>
        <v>0</v>
      </c>
      <c r="J40" t="str">
        <f>IFERROR(AVERAGEIFS('[1]Grade Project'!$N:$N,'[1]Grade Project'!$K:$K,H40,'[1]Grade Project'!$F:$F,$A$5,'[1]Grade Project'!$G:$G,$A$8),"")</f>
        <v/>
      </c>
      <c r="K40" t="str">
        <f>IFERROR(AVERAGEIFS('[1]Grade Project'!$O:$O,'[1]Grade Project'!$K:$K,H40,'[1]Grade Project'!$F:$F,$A$5,'[1]Grade Project'!$G:$G,$A$8),"")</f>
        <v/>
      </c>
      <c r="L40" t="str">
        <f t="shared" si="1"/>
        <v/>
      </c>
      <c r="M40" t="str">
        <f t="shared" si="2"/>
        <v/>
      </c>
      <c r="N40" t="str">
        <f t="shared" si="3"/>
        <v/>
      </c>
    </row>
    <row r="41" spans="2:14" x14ac:dyDescent="0.25">
      <c r="B41" t="s">
        <v>40</v>
      </c>
      <c r="C41" t="e">
        <f>IF(C40="","",IF(C40=INDEX('[1]Grade Project'!$F:$F,MATCH($A$3,'[1]Grade Project'!$E:$E,0)+SUM($D$3:D40)),"",INDEX('[1]Grade Project'!$F:$F,MATCH($A$3,'[1]Grade Project'!$E:$E,0)+SUM($D$3:D40))))</f>
        <v>#N/A</v>
      </c>
      <c r="F41" t="str">
        <f>IF(G40=0,"",INDEX('[1]Grade Project'!$G:$G,MATCH($A$5,'[1]Grade Project'!$F:$F,0)+SUM($G$3:G40)))</f>
        <v/>
      </c>
      <c r="G41">
        <f>COUNTIFS('[1]Grade Project'!$F:$F,$A$5,'[1]Grade Project'!$G:$G,F41)</f>
        <v>0</v>
      </c>
      <c r="H41" t="str">
        <f>IF(I40=0,"",INDEX('[1]Grade Project'!$K:$K,MATCH(CONCATENATE($A$5,$A$8),'[1]Grade Project'!$H:$H,0)+SUM($I$3:I40)))</f>
        <v/>
      </c>
      <c r="I41">
        <f>COUNTIFS('[1]Grade Project'!$G:$G,$A$8,'[1]Grade Project'!$K:$K,H41,'[1]Grade Project'!$F:$F,$A$5)</f>
        <v>0</v>
      </c>
      <c r="J41" t="str">
        <f>IFERROR(AVERAGEIFS('[1]Grade Project'!$N:$N,'[1]Grade Project'!$K:$K,H41,'[1]Grade Project'!$F:$F,$A$5,'[1]Grade Project'!$G:$G,$A$8),"")</f>
        <v/>
      </c>
      <c r="K41" t="str">
        <f>IFERROR(AVERAGEIFS('[1]Grade Project'!$O:$O,'[1]Grade Project'!$K:$K,H41,'[1]Grade Project'!$F:$F,$A$5,'[1]Grade Project'!$G:$G,$A$8),"")</f>
        <v/>
      </c>
      <c r="L41" t="str">
        <f t="shared" si="1"/>
        <v/>
      </c>
      <c r="M41" t="str">
        <f t="shared" si="2"/>
        <v/>
      </c>
      <c r="N41" t="str">
        <f t="shared" si="3"/>
        <v/>
      </c>
    </row>
    <row r="42" spans="2:14" x14ac:dyDescent="0.25">
      <c r="B42" t="s">
        <v>41</v>
      </c>
      <c r="C42" t="e">
        <f>IF(C41="","",IF(C41=INDEX('[1]Grade Project'!$F:$F,MATCH($A$3,'[1]Grade Project'!$E:$E,0)+SUM($D$3:D41)),"",INDEX('[1]Grade Project'!$F:$F,MATCH($A$3,'[1]Grade Project'!$E:$E,0)+SUM($D$3:D41))))</f>
        <v>#N/A</v>
      </c>
      <c r="F42" t="str">
        <f>IF(G41=0,"",INDEX('[1]Grade Project'!$G:$G,MATCH($A$5,'[1]Grade Project'!$F:$F,0)+SUM($G$3:G41)))</f>
        <v/>
      </c>
      <c r="G42">
        <f>COUNTIFS('[1]Grade Project'!$F:$F,$A$5,'[1]Grade Project'!$G:$G,F42)</f>
        <v>0</v>
      </c>
      <c r="H42" t="str">
        <f>IF(I41=0,"",INDEX('[1]Grade Project'!$K:$K,MATCH(CONCATENATE($A$5,$A$8),'[1]Grade Project'!$H:$H,0)+SUM($I$3:I41)))</f>
        <v/>
      </c>
      <c r="I42">
        <f>COUNTIFS('[1]Grade Project'!$G:$G,$A$8,'[1]Grade Project'!$K:$K,H42,'[1]Grade Project'!$F:$F,$A$5)</f>
        <v>0</v>
      </c>
      <c r="J42" t="str">
        <f>IFERROR(AVERAGEIFS('[1]Grade Project'!$N:$N,'[1]Grade Project'!$K:$K,H42,'[1]Grade Project'!$F:$F,$A$5,'[1]Grade Project'!$G:$G,$A$8),"")</f>
        <v/>
      </c>
      <c r="K42" t="str">
        <f>IFERROR(AVERAGEIFS('[1]Grade Project'!$O:$O,'[1]Grade Project'!$K:$K,H42,'[1]Grade Project'!$F:$F,$A$5,'[1]Grade Project'!$G:$G,$A$8),"")</f>
        <v/>
      </c>
      <c r="L42" t="str">
        <f t="shared" si="1"/>
        <v/>
      </c>
      <c r="M42" t="str">
        <f t="shared" si="2"/>
        <v/>
      </c>
      <c r="N42" t="str">
        <f t="shared" si="3"/>
        <v/>
      </c>
    </row>
    <row r="43" spans="2:14" x14ac:dyDescent="0.25">
      <c r="B43" t="s">
        <v>42</v>
      </c>
      <c r="C43" t="e">
        <f>IF(C42="","",IF(C42=INDEX('[1]Grade Project'!$F:$F,MATCH($A$3,'[1]Grade Project'!$E:$E,0)+SUM($D$3:D42)),"",INDEX('[1]Grade Project'!$F:$F,MATCH($A$3,'[1]Grade Project'!$E:$E,0)+SUM($D$3:D42))))</f>
        <v>#N/A</v>
      </c>
      <c r="F43" t="str">
        <f>IF(G42=0,"",INDEX('[1]Grade Project'!$G:$G,MATCH($A$5,'[1]Grade Project'!$F:$F,0)+SUM($G$3:G42)))</f>
        <v/>
      </c>
      <c r="G43">
        <f>COUNTIFS('[1]Grade Project'!$F:$F,$A$5,'[1]Grade Project'!$G:$G,F43)</f>
        <v>0</v>
      </c>
      <c r="H43" t="str">
        <f>IF(I42=0,"",INDEX('[1]Grade Project'!$K:$K,MATCH(CONCATENATE($A$5,$A$8),'[1]Grade Project'!$H:$H,0)+SUM($I$3:I42)))</f>
        <v/>
      </c>
      <c r="I43">
        <f>COUNTIFS('[1]Grade Project'!$G:$G,$A$8,'[1]Grade Project'!$K:$K,H43,'[1]Grade Project'!$F:$F,$A$5)</f>
        <v>0</v>
      </c>
      <c r="J43" t="str">
        <f>IFERROR(AVERAGEIFS('[1]Grade Project'!$N:$N,'[1]Grade Project'!$K:$K,H43,'[1]Grade Project'!$F:$F,$A$5,'[1]Grade Project'!$G:$G,$A$8),"")</f>
        <v/>
      </c>
      <c r="K43" t="str">
        <f>IFERROR(AVERAGEIFS('[1]Grade Project'!$O:$O,'[1]Grade Project'!$K:$K,H43,'[1]Grade Project'!$F:$F,$A$5,'[1]Grade Project'!$G:$G,$A$8),"")</f>
        <v/>
      </c>
      <c r="L43" t="str">
        <f t="shared" si="1"/>
        <v/>
      </c>
      <c r="M43" t="str">
        <f t="shared" si="2"/>
        <v/>
      </c>
      <c r="N43" t="str">
        <f t="shared" si="3"/>
        <v/>
      </c>
    </row>
    <row r="44" spans="2:14" x14ac:dyDescent="0.25">
      <c r="B44" t="s">
        <v>43</v>
      </c>
      <c r="C44" t="e">
        <f>IF(C43="","",IF(C43=INDEX('[1]Grade Project'!$F:$F,MATCH($A$3,'[1]Grade Project'!$E:$E,0)+SUM($D$3:D43)),"",INDEX('[1]Grade Project'!$F:$F,MATCH($A$3,'[1]Grade Project'!$E:$E,0)+SUM($D$3:D43))))</f>
        <v>#N/A</v>
      </c>
      <c r="F44" t="str">
        <f>IF(G43=0,"",INDEX('[1]Grade Project'!$G:$G,MATCH($A$5,'[1]Grade Project'!$F:$F,0)+SUM($G$3:G43)))</f>
        <v/>
      </c>
      <c r="G44">
        <f>COUNTIFS('[1]Grade Project'!$F:$F,$A$5,'[1]Grade Project'!$G:$G,F44)</f>
        <v>0</v>
      </c>
      <c r="H44" t="str">
        <f>IF(I43=0,"",INDEX('[1]Grade Project'!$K:$K,MATCH(CONCATENATE($A$5,$A$8),'[1]Grade Project'!$H:$H,0)+SUM($I$3:I43)))</f>
        <v/>
      </c>
      <c r="I44">
        <f>COUNTIFS('[1]Grade Project'!$G:$G,$A$8,'[1]Grade Project'!$K:$K,H44,'[1]Grade Project'!$F:$F,$A$5)</f>
        <v>0</v>
      </c>
      <c r="J44" t="str">
        <f>IFERROR(AVERAGEIFS('[1]Grade Project'!$N:$N,'[1]Grade Project'!$K:$K,H44,'[1]Grade Project'!$F:$F,$A$5,'[1]Grade Project'!$G:$G,$A$8),"")</f>
        <v/>
      </c>
      <c r="K44" t="str">
        <f>IFERROR(AVERAGEIFS('[1]Grade Project'!$O:$O,'[1]Grade Project'!$K:$K,H44,'[1]Grade Project'!$F:$F,$A$5,'[1]Grade Project'!$G:$G,$A$8),"")</f>
        <v/>
      </c>
      <c r="L44" t="str">
        <f t="shared" si="1"/>
        <v/>
      </c>
      <c r="M44" t="str">
        <f t="shared" si="2"/>
        <v/>
      </c>
      <c r="N44" t="str">
        <f t="shared" si="3"/>
        <v/>
      </c>
    </row>
    <row r="45" spans="2:14" x14ac:dyDescent="0.25">
      <c r="B45" t="s">
        <v>44</v>
      </c>
      <c r="C45" t="e">
        <f>IF(C44="","",IF(C44=INDEX('[1]Grade Project'!$F:$F,MATCH($A$3,'[1]Grade Project'!$E:$E,0)+SUM($D$3:D44)),"",INDEX('[1]Grade Project'!$F:$F,MATCH($A$3,'[1]Grade Project'!$E:$E,0)+SUM($D$3:D44))))</f>
        <v>#N/A</v>
      </c>
      <c r="F45" t="str">
        <f>IF(G44=0,"",INDEX('[1]Grade Project'!$G:$G,MATCH($A$5,'[1]Grade Project'!$F:$F,0)+SUM($G$3:G44)))</f>
        <v/>
      </c>
      <c r="G45">
        <f>COUNTIFS('[1]Grade Project'!$F:$F,$A$5,'[1]Grade Project'!$G:$G,F45)</f>
        <v>0</v>
      </c>
      <c r="H45" t="str">
        <f>IF(I44=0,"",INDEX('[1]Grade Project'!$K:$K,MATCH(CONCATENATE($A$5,$A$8),'[1]Grade Project'!$H:$H,0)+SUM($I$3:I44)))</f>
        <v/>
      </c>
      <c r="I45">
        <f>COUNTIFS('[1]Grade Project'!$G:$G,$A$8,'[1]Grade Project'!$K:$K,H45,'[1]Grade Project'!$F:$F,$A$5)</f>
        <v>0</v>
      </c>
      <c r="J45" t="str">
        <f>IFERROR(AVERAGEIFS('[1]Grade Project'!$N:$N,'[1]Grade Project'!$K:$K,H45,'[1]Grade Project'!$F:$F,$A$5,'[1]Grade Project'!$G:$G,$A$8),"")</f>
        <v/>
      </c>
      <c r="K45" t="str">
        <f>IFERROR(AVERAGEIFS('[1]Grade Project'!$O:$O,'[1]Grade Project'!$K:$K,H45,'[1]Grade Project'!$F:$F,$A$5,'[1]Grade Project'!$G:$G,$A$8),"")</f>
        <v/>
      </c>
      <c r="L45" t="str">
        <f t="shared" si="1"/>
        <v/>
      </c>
      <c r="M45" t="str">
        <f t="shared" si="2"/>
        <v/>
      </c>
      <c r="N45" t="str">
        <f t="shared" si="3"/>
        <v/>
      </c>
    </row>
    <row r="46" spans="2:14" x14ac:dyDescent="0.25">
      <c r="B46" t="s">
        <v>45</v>
      </c>
      <c r="C46" t="e">
        <f>IF(C45="","",IF(C45=INDEX('[1]Grade Project'!$F:$F,MATCH($A$3,'[1]Grade Project'!$E:$E,0)+SUM($D$3:D45)),"",INDEX('[1]Grade Project'!$F:$F,MATCH($A$3,'[1]Grade Project'!$E:$E,0)+SUM($D$3:D45))))</f>
        <v>#N/A</v>
      </c>
      <c r="F46" t="str">
        <f>IF(G45=0,"",INDEX('[1]Grade Project'!$G:$G,MATCH($A$5,'[1]Grade Project'!$F:$F,0)+SUM($G$3:G45)))</f>
        <v/>
      </c>
      <c r="G46">
        <f>COUNTIFS('[1]Grade Project'!$F:$F,$A$5,'[1]Grade Project'!$G:$G,F46)</f>
        <v>0</v>
      </c>
      <c r="H46" t="str">
        <f>IF(I45=0,"",INDEX('[1]Grade Project'!$K:$K,MATCH(CONCATENATE($A$5,$A$8),'[1]Grade Project'!$H:$H,0)+SUM($I$3:I45)))</f>
        <v/>
      </c>
      <c r="I46">
        <f>COUNTIFS('[1]Grade Project'!$G:$G,$A$8,'[1]Grade Project'!$K:$K,H46,'[1]Grade Project'!$F:$F,$A$5)</f>
        <v>0</v>
      </c>
      <c r="J46" t="str">
        <f>IFERROR(AVERAGEIFS('[1]Grade Project'!$N:$N,'[1]Grade Project'!$K:$K,H46,'[1]Grade Project'!$F:$F,$A$5,'[1]Grade Project'!$G:$G,$A$8),"")</f>
        <v/>
      </c>
      <c r="K46" t="str">
        <f>IFERROR(AVERAGEIFS('[1]Grade Project'!$O:$O,'[1]Grade Project'!$K:$K,H46,'[1]Grade Project'!$F:$F,$A$5,'[1]Grade Project'!$G:$G,$A$8),"")</f>
        <v/>
      </c>
      <c r="L46" t="str">
        <f t="shared" si="1"/>
        <v/>
      </c>
      <c r="M46" t="str">
        <f t="shared" si="2"/>
        <v/>
      </c>
      <c r="N46" t="str">
        <f t="shared" si="3"/>
        <v/>
      </c>
    </row>
    <row r="47" spans="2:14" x14ac:dyDescent="0.25">
      <c r="B47" t="s">
        <v>46</v>
      </c>
      <c r="C47" t="e">
        <f>IF(C46="","",IF(C46=INDEX('[1]Grade Project'!$F:$F,MATCH($A$3,'[1]Grade Project'!$E:$E,0)+SUM($D$3:D46)),"",INDEX('[1]Grade Project'!$F:$F,MATCH($A$3,'[1]Grade Project'!$E:$E,0)+SUM($D$3:D46))))</f>
        <v>#N/A</v>
      </c>
      <c r="F47" t="str">
        <f>IF(G46=0,"",INDEX('[1]Grade Project'!$G:$G,MATCH($A$5,'[1]Grade Project'!$F:$F,0)+SUM($G$3:G46)))</f>
        <v/>
      </c>
      <c r="G47">
        <f>COUNTIFS('[1]Grade Project'!$F:$F,$A$5,'[1]Grade Project'!$G:$G,F47)</f>
        <v>0</v>
      </c>
      <c r="H47" t="str">
        <f>IF(I46=0,"",INDEX('[1]Grade Project'!$K:$K,MATCH(CONCATENATE($A$5,$A$8),'[1]Grade Project'!$H:$H,0)+SUM($I$3:I46)))</f>
        <v/>
      </c>
      <c r="I47">
        <f>COUNTIFS('[1]Grade Project'!$G:$G,$A$8,'[1]Grade Project'!$K:$K,H47,'[1]Grade Project'!$F:$F,$A$5)</f>
        <v>0</v>
      </c>
      <c r="J47" t="str">
        <f>IFERROR(AVERAGEIFS('[1]Grade Project'!$N:$N,'[1]Grade Project'!$K:$K,H47,'[1]Grade Project'!$F:$F,$A$5,'[1]Grade Project'!$G:$G,$A$8),"")</f>
        <v/>
      </c>
      <c r="K47" t="str">
        <f>IFERROR(AVERAGEIFS('[1]Grade Project'!$O:$O,'[1]Grade Project'!$K:$K,H47,'[1]Grade Project'!$F:$F,$A$5,'[1]Grade Project'!$G:$G,$A$8),"")</f>
        <v/>
      </c>
      <c r="L47" t="str">
        <f t="shared" si="1"/>
        <v/>
      </c>
      <c r="M47" t="str">
        <f t="shared" si="2"/>
        <v/>
      </c>
      <c r="N47" t="str">
        <f t="shared" si="3"/>
        <v/>
      </c>
    </row>
    <row r="48" spans="2:14" x14ac:dyDescent="0.25">
      <c r="B48" t="s">
        <v>47</v>
      </c>
      <c r="C48" t="e">
        <f>IF(C47="","",IF(C47=INDEX('[1]Grade Project'!$F:$F,MATCH($A$3,'[1]Grade Project'!$E:$E,0)+SUM($D$3:D47)),"",INDEX('[1]Grade Project'!$F:$F,MATCH($A$3,'[1]Grade Project'!$E:$E,0)+SUM($D$3:D47))))</f>
        <v>#N/A</v>
      </c>
      <c r="F48" t="str">
        <f>IF(G47=0,"",INDEX('[1]Grade Project'!$G:$G,MATCH($A$5,'[1]Grade Project'!$F:$F,0)+SUM($G$3:G47)))</f>
        <v/>
      </c>
      <c r="G48">
        <f>COUNTIFS('[1]Grade Project'!$F:$F,$A$5,'[1]Grade Project'!$G:$G,F48)</f>
        <v>0</v>
      </c>
      <c r="H48" t="str">
        <f>IF(I47=0,"",INDEX('[1]Grade Project'!$K:$K,MATCH(CONCATENATE($A$5,$A$8),'[1]Grade Project'!$H:$H,0)+SUM($I$3:I47)))</f>
        <v/>
      </c>
      <c r="I48">
        <f>COUNTIFS('[1]Grade Project'!$G:$G,$A$8,'[1]Grade Project'!$K:$K,H48,'[1]Grade Project'!$F:$F,$A$5)</f>
        <v>0</v>
      </c>
      <c r="J48" t="str">
        <f>IFERROR(AVERAGEIFS('[1]Grade Project'!$N:$N,'[1]Grade Project'!$K:$K,H48,'[1]Grade Project'!$F:$F,$A$5,'[1]Grade Project'!$G:$G,$A$8),"")</f>
        <v/>
      </c>
      <c r="K48" t="str">
        <f>IFERROR(AVERAGEIFS('[1]Grade Project'!$O:$O,'[1]Grade Project'!$K:$K,H48,'[1]Grade Project'!$F:$F,$A$5,'[1]Grade Project'!$G:$G,$A$8),"")</f>
        <v/>
      </c>
      <c r="L48" t="str">
        <f t="shared" si="1"/>
        <v/>
      </c>
      <c r="M48" t="str">
        <f t="shared" si="2"/>
        <v/>
      </c>
      <c r="N48" t="str">
        <f t="shared" si="3"/>
        <v/>
      </c>
    </row>
    <row r="49" spans="2:14" x14ac:dyDescent="0.25">
      <c r="B49" t="s">
        <v>48</v>
      </c>
      <c r="C49" t="e">
        <f>IF(C48="","",IF(C48=INDEX('[1]Grade Project'!$F:$F,MATCH($A$3,'[1]Grade Project'!$E:$E,0)+SUM($D$3:D48)),"",INDEX('[1]Grade Project'!$F:$F,MATCH($A$3,'[1]Grade Project'!$E:$E,0)+SUM($D$3:D48))))</f>
        <v>#N/A</v>
      </c>
      <c r="F49" t="str">
        <f>IF(G48=0,"",INDEX('[1]Grade Project'!$G:$G,MATCH($A$5,'[1]Grade Project'!$F:$F,0)+SUM($G$3:G48)))</f>
        <v/>
      </c>
      <c r="G49">
        <f>COUNTIFS('[1]Grade Project'!$F:$F,$A$5,'[1]Grade Project'!$G:$G,F49)</f>
        <v>0</v>
      </c>
      <c r="H49" t="str">
        <f>IF(I48=0,"",INDEX('[1]Grade Project'!$K:$K,MATCH(CONCATENATE($A$5,$A$8),'[1]Grade Project'!$H:$H,0)+SUM($I$3:I48)))</f>
        <v/>
      </c>
      <c r="I49">
        <f>COUNTIFS('[1]Grade Project'!$G:$G,$A$8,'[1]Grade Project'!$K:$K,H49,'[1]Grade Project'!$F:$F,$A$5)</f>
        <v>0</v>
      </c>
      <c r="J49" t="str">
        <f>IFERROR(AVERAGEIFS('[1]Grade Project'!$N:$N,'[1]Grade Project'!$K:$K,H49,'[1]Grade Project'!$F:$F,$A$5,'[1]Grade Project'!$G:$G,$A$8),"")</f>
        <v/>
      </c>
      <c r="K49" t="str">
        <f>IFERROR(AVERAGEIFS('[1]Grade Project'!$O:$O,'[1]Grade Project'!$K:$K,H49,'[1]Grade Project'!$F:$F,$A$5,'[1]Grade Project'!$G:$G,$A$8),"")</f>
        <v/>
      </c>
      <c r="L49" t="str">
        <f t="shared" si="1"/>
        <v/>
      </c>
      <c r="M49" t="str">
        <f t="shared" si="2"/>
        <v/>
      </c>
      <c r="N49" t="str">
        <f t="shared" si="3"/>
        <v/>
      </c>
    </row>
    <row r="50" spans="2:14" x14ac:dyDescent="0.25">
      <c r="B50" t="s">
        <v>49</v>
      </c>
      <c r="C50" t="e">
        <f>IF(C49="","",IF(C49=INDEX('[1]Grade Project'!$F:$F,MATCH($A$3,'[1]Grade Project'!$E:$E,0)+SUM($D$3:D49)),"",INDEX('[1]Grade Project'!$F:$F,MATCH($A$3,'[1]Grade Project'!$E:$E,0)+SUM($D$3:D49))))</f>
        <v>#N/A</v>
      </c>
      <c r="F50" t="str">
        <f>IF(G49=0,"",INDEX('[1]Grade Project'!$G:$G,MATCH($A$5,'[1]Grade Project'!$F:$F,0)+SUM($G$3:G49)))</f>
        <v/>
      </c>
      <c r="G50">
        <f>COUNTIFS('[1]Grade Project'!$F:$F,$A$5,'[1]Grade Project'!$G:$G,F50)</f>
        <v>0</v>
      </c>
      <c r="H50" t="str">
        <f>IF(I49=0,"",INDEX('[1]Grade Project'!$K:$K,MATCH(CONCATENATE($A$5,$A$8),'[1]Grade Project'!$H:$H,0)+SUM($I$3:I49)))</f>
        <v/>
      </c>
      <c r="I50">
        <f>COUNTIFS('[1]Grade Project'!$G:$G,$A$8,'[1]Grade Project'!$K:$K,H50,'[1]Grade Project'!$F:$F,$A$5)</f>
        <v>0</v>
      </c>
      <c r="J50" t="str">
        <f>IFERROR(AVERAGEIFS('[1]Grade Project'!$N:$N,'[1]Grade Project'!$K:$K,H50,'[1]Grade Project'!$F:$F,$A$5,'[1]Grade Project'!$G:$G,$A$8),"")</f>
        <v/>
      </c>
      <c r="K50" t="str">
        <f>IFERROR(AVERAGEIFS('[1]Grade Project'!$O:$O,'[1]Grade Project'!$K:$K,H50,'[1]Grade Project'!$F:$F,$A$5,'[1]Grade Project'!$G:$G,$A$8),"")</f>
        <v/>
      </c>
      <c r="L50" t="str">
        <f t="shared" si="1"/>
        <v/>
      </c>
      <c r="M50" t="str">
        <f t="shared" si="2"/>
        <v/>
      </c>
      <c r="N50" t="str">
        <f t="shared" si="3"/>
        <v/>
      </c>
    </row>
    <row r="51" spans="2:14" x14ac:dyDescent="0.25">
      <c r="B51" t="s">
        <v>50</v>
      </c>
      <c r="C51" t="e">
        <f>IF(C50="","",IF(C50=INDEX('[1]Grade Project'!$F:$F,MATCH($A$3,'[1]Grade Project'!$E:$E,0)+SUM($D$3:D50)),"",INDEX('[1]Grade Project'!$F:$F,MATCH($A$3,'[1]Grade Project'!$E:$E,0)+SUM($D$3:D50))))</f>
        <v>#N/A</v>
      </c>
      <c r="F51" t="str">
        <f>IF(G50=0,"",INDEX('[1]Grade Project'!$G:$G,MATCH($A$5,'[1]Grade Project'!$F:$F,0)+SUM($G$3:G50)))</f>
        <v/>
      </c>
      <c r="G51">
        <f>COUNTIFS('[1]Grade Project'!$F:$F,$A$5,'[1]Grade Project'!$G:$G,F51)</f>
        <v>0</v>
      </c>
      <c r="H51" t="str">
        <f>IF(I50=0,"",INDEX('[1]Grade Project'!$K:$K,MATCH(CONCATENATE($A$5,$A$8),'[1]Grade Project'!$H:$H,0)+SUM($I$3:I50)))</f>
        <v/>
      </c>
      <c r="I51">
        <f>COUNTIFS('[1]Grade Project'!$G:$G,$A$8,'[1]Grade Project'!$K:$K,H51,'[1]Grade Project'!$F:$F,$A$5)</f>
        <v>0</v>
      </c>
      <c r="J51" t="str">
        <f>IFERROR(AVERAGEIFS('[1]Grade Project'!$N:$N,'[1]Grade Project'!$K:$K,H51,'[1]Grade Project'!$F:$F,$A$5,'[1]Grade Project'!$G:$G,$A$8),"")</f>
        <v/>
      </c>
      <c r="K51" t="str">
        <f>IFERROR(AVERAGEIFS('[1]Grade Project'!$O:$O,'[1]Grade Project'!$K:$K,H51,'[1]Grade Project'!$F:$F,$A$5,'[1]Grade Project'!$G:$G,$A$8),"")</f>
        <v/>
      </c>
      <c r="L51" t="str">
        <f t="shared" si="1"/>
        <v/>
      </c>
      <c r="M51" t="str">
        <f t="shared" si="2"/>
        <v/>
      </c>
      <c r="N51" t="str">
        <f t="shared" si="3"/>
        <v/>
      </c>
    </row>
    <row r="52" spans="2:14" x14ac:dyDescent="0.25">
      <c r="B52" t="s">
        <v>51</v>
      </c>
      <c r="C52" t="e">
        <f>IF(C51="","",IF(C51=INDEX('[1]Grade Project'!$F:$F,MATCH($A$3,'[1]Grade Project'!$E:$E,0)+SUM($D$3:D51)),"",INDEX('[1]Grade Project'!$F:$F,MATCH($A$3,'[1]Grade Project'!$E:$E,0)+SUM($D$3:D51))))</f>
        <v>#N/A</v>
      </c>
      <c r="F52" t="str">
        <f>IF(G51=0,"",INDEX('[1]Grade Project'!$G:$G,MATCH($A$5,'[1]Grade Project'!$F:$F,0)+SUM($G$3:G51)))</f>
        <v/>
      </c>
      <c r="G52">
        <f>COUNTIFS('[1]Grade Project'!$F:$F,$A$5,'[1]Grade Project'!$G:$G,F52)</f>
        <v>0</v>
      </c>
      <c r="H52" t="str">
        <f>IF(I51=0,"",INDEX('[1]Grade Project'!$K:$K,MATCH(CONCATENATE($A$5,$A$8),'[1]Grade Project'!$H:$H,0)+SUM($I$3:I51)))</f>
        <v/>
      </c>
      <c r="I52">
        <f>COUNTIFS('[1]Grade Project'!$G:$G,$A$8,'[1]Grade Project'!$K:$K,H52,'[1]Grade Project'!$F:$F,$A$5)</f>
        <v>0</v>
      </c>
      <c r="J52" t="str">
        <f>IFERROR(AVERAGEIFS('[1]Grade Project'!$N:$N,'[1]Grade Project'!$K:$K,H52,'[1]Grade Project'!$F:$F,$A$5,'[1]Grade Project'!$G:$G,$A$8),"")</f>
        <v/>
      </c>
      <c r="K52" t="str">
        <f>IFERROR(AVERAGEIFS('[1]Grade Project'!$O:$O,'[1]Grade Project'!$K:$K,H52,'[1]Grade Project'!$F:$F,$A$5,'[1]Grade Project'!$G:$G,$A$8),"")</f>
        <v/>
      </c>
      <c r="L52" t="str">
        <f t="shared" si="1"/>
        <v/>
      </c>
      <c r="M52" t="str">
        <f t="shared" si="2"/>
        <v/>
      </c>
      <c r="N52" t="str">
        <f t="shared" si="3"/>
        <v/>
      </c>
    </row>
    <row r="53" spans="2:14" x14ac:dyDescent="0.25">
      <c r="B53" t="s">
        <v>52</v>
      </c>
      <c r="C53" t="e">
        <f>IF(C52="","",IF(C52=INDEX('[1]Grade Project'!$F:$F,MATCH($A$3,'[1]Grade Project'!$E:$E,0)+SUM($D$3:D52)),"",INDEX('[1]Grade Project'!$F:$F,MATCH($A$3,'[1]Grade Project'!$E:$E,0)+SUM($D$3:D52))))</f>
        <v>#N/A</v>
      </c>
      <c r="F53" t="str">
        <f>IF(G52=0,"",INDEX('[1]Grade Project'!$G:$G,MATCH($A$5,'[1]Grade Project'!$F:$F,0)+SUM($G$3:G52)))</f>
        <v/>
      </c>
      <c r="G53">
        <f>COUNTIFS('[1]Grade Project'!$F:$F,$A$5,'[1]Grade Project'!$G:$G,F53)</f>
        <v>0</v>
      </c>
      <c r="H53" t="str">
        <f>IF(I52=0,"",INDEX('[1]Grade Project'!$K:$K,MATCH(CONCATENATE($A$5,$A$8),'[1]Grade Project'!$H:$H,0)+SUM($I$3:I52)))</f>
        <v/>
      </c>
      <c r="I53">
        <f>COUNTIFS('[1]Grade Project'!$G:$G,$A$8,'[1]Grade Project'!$K:$K,H53,'[1]Grade Project'!$F:$F,$A$5)</f>
        <v>0</v>
      </c>
      <c r="J53" t="str">
        <f>IFERROR(AVERAGEIFS('[1]Grade Project'!$N:$N,'[1]Grade Project'!$K:$K,H53,'[1]Grade Project'!$F:$F,$A$5,'[1]Grade Project'!$G:$G,$A$8),"")</f>
        <v/>
      </c>
      <c r="K53" t="str">
        <f>IFERROR(AVERAGEIFS('[1]Grade Project'!$O:$O,'[1]Grade Project'!$K:$K,H53,'[1]Grade Project'!$F:$F,$A$5,'[1]Grade Project'!$G:$G,$A$8),"")</f>
        <v/>
      </c>
      <c r="L53" t="str">
        <f t="shared" si="1"/>
        <v/>
      </c>
      <c r="M53" t="str">
        <f t="shared" si="2"/>
        <v/>
      </c>
      <c r="N53" t="str">
        <f t="shared" si="3"/>
        <v/>
      </c>
    </row>
    <row r="54" spans="2:14" x14ac:dyDescent="0.25">
      <c r="B54" t="s">
        <v>53</v>
      </c>
      <c r="C54" t="e">
        <f>IF(C53="","",IF(C53=INDEX('[1]Grade Project'!$F:$F,MATCH($A$3,'[1]Grade Project'!$E:$E,0)+SUM($D$3:D53)),"",INDEX('[1]Grade Project'!$F:$F,MATCH($A$3,'[1]Grade Project'!$E:$E,0)+SUM($D$3:D53))))</f>
        <v>#N/A</v>
      </c>
      <c r="F54" t="str">
        <f>IF(G53=0,"",INDEX('[1]Grade Project'!$G:$G,MATCH($A$5,'[1]Grade Project'!$F:$F,0)+SUM($G$3:G53)))</f>
        <v/>
      </c>
      <c r="G54">
        <f>COUNTIFS('[1]Grade Project'!$F:$F,$A$5,'[1]Grade Project'!$G:$G,F54)</f>
        <v>0</v>
      </c>
      <c r="H54" t="str">
        <f>IF(I53=0,"",INDEX('[1]Grade Project'!$K:$K,MATCH(CONCATENATE($A$5,$A$8),'[1]Grade Project'!$H:$H,0)+SUM($I$3:I53)))</f>
        <v/>
      </c>
      <c r="I54">
        <f>COUNTIFS('[1]Grade Project'!$G:$G,$A$8,'[1]Grade Project'!$K:$K,H54,'[1]Grade Project'!$F:$F,$A$5)</f>
        <v>0</v>
      </c>
      <c r="J54" t="str">
        <f>IFERROR(AVERAGEIFS('[1]Grade Project'!$N:$N,'[1]Grade Project'!$K:$K,H54,'[1]Grade Project'!$F:$F,$A$5,'[1]Grade Project'!$G:$G,$A$8),"")</f>
        <v/>
      </c>
      <c r="K54" t="str">
        <f>IFERROR(AVERAGEIFS('[1]Grade Project'!$O:$O,'[1]Grade Project'!$K:$K,H54,'[1]Grade Project'!$F:$F,$A$5,'[1]Grade Project'!$G:$G,$A$8),"")</f>
        <v/>
      </c>
      <c r="L54" t="str">
        <f t="shared" si="1"/>
        <v/>
      </c>
      <c r="M54" t="str">
        <f t="shared" si="2"/>
        <v/>
      </c>
      <c r="N54" t="str">
        <f t="shared" si="3"/>
        <v/>
      </c>
    </row>
    <row r="55" spans="2:14" x14ac:dyDescent="0.25">
      <c r="B55" t="s">
        <v>54</v>
      </c>
      <c r="F55" t="str">
        <f>IF(G54=0,"",INDEX('[1]Grade Project'!$G:$G,MATCH($A$5,'[1]Grade Project'!$F:$F,0)+SUM($G$3:G54)))</f>
        <v/>
      </c>
      <c r="G55">
        <f>COUNTIFS('[1]Grade Project'!$F:$F,$A$5,'[1]Grade Project'!$G:$G,F55)</f>
        <v>0</v>
      </c>
      <c r="H55" t="str">
        <f>IF(I54=0,"",INDEX('[1]Grade Project'!$K:$K,MATCH(CONCATENATE($A$5,$A$8),'[1]Grade Project'!$H:$H,0)+SUM($I$3:I54)))</f>
        <v/>
      </c>
      <c r="I55">
        <f>COUNTIFS('[1]Grade Project'!$G:$G,$A$8,'[1]Grade Project'!$K:$K,H55,'[1]Grade Project'!$F:$F,$A$5)</f>
        <v>0</v>
      </c>
      <c r="J55" t="str">
        <f>IFERROR(AVERAGEIFS('[1]Grade Project'!$N:$N,'[1]Grade Project'!$K:$K,H55,'[1]Grade Project'!$F:$F,$A$5,'[1]Grade Project'!$G:$G,$A$8),"")</f>
        <v/>
      </c>
      <c r="K55" t="str">
        <f>IFERROR(AVERAGEIFS('[1]Grade Project'!$O:$O,'[1]Grade Project'!$K:$K,H55,'[1]Grade Project'!$F:$F,$A$5,'[1]Grade Project'!$G:$G,$A$8),"")</f>
        <v/>
      </c>
      <c r="L55" t="str">
        <f t="shared" si="1"/>
        <v/>
      </c>
      <c r="M55" t="str">
        <f t="shared" si="2"/>
        <v/>
      </c>
      <c r="N55" t="str">
        <f t="shared" si="3"/>
        <v/>
      </c>
    </row>
    <row r="56" spans="2:14" x14ac:dyDescent="0.25">
      <c r="B56" t="s">
        <v>55</v>
      </c>
      <c r="F56" t="str">
        <f>IF(G55=0,"",INDEX('[1]Grade Project'!$G:$G,MATCH($A$5,'[1]Grade Project'!$F:$F,0)+SUM($G$3:G55)))</f>
        <v/>
      </c>
      <c r="G56">
        <f>COUNTIFS('[1]Grade Project'!$F:$F,$A$5,'[1]Grade Project'!$G:$G,F56)</f>
        <v>0</v>
      </c>
      <c r="H56" t="str">
        <f>IF(I55=0,"",INDEX('[1]Grade Project'!$K:$K,MATCH(CONCATENATE($A$5,$A$8),'[1]Grade Project'!$H:$H,0)+SUM($I$3:I55)))</f>
        <v/>
      </c>
      <c r="I56">
        <f>COUNTIFS('[1]Grade Project'!$G:$G,$A$8,'[1]Grade Project'!$K:$K,H56,'[1]Grade Project'!$F:$F,$A$5)</f>
        <v>0</v>
      </c>
      <c r="J56" t="str">
        <f>IFERROR(AVERAGEIFS('[1]Grade Project'!$N:$N,'[1]Grade Project'!$K:$K,H56,'[1]Grade Project'!$F:$F,$A$5,'[1]Grade Project'!$G:$G,$A$8),"")</f>
        <v/>
      </c>
      <c r="K56" t="str">
        <f>IFERROR(AVERAGEIFS('[1]Grade Project'!$O:$O,'[1]Grade Project'!$K:$K,H56,'[1]Grade Project'!$F:$F,$A$5,'[1]Grade Project'!$G:$G,$A$8),"")</f>
        <v/>
      </c>
      <c r="L56" t="str">
        <f t="shared" si="1"/>
        <v/>
      </c>
      <c r="M56" t="str">
        <f t="shared" si="2"/>
        <v/>
      </c>
      <c r="N56" t="str">
        <f t="shared" si="3"/>
        <v/>
      </c>
    </row>
    <row r="57" spans="2:14" x14ac:dyDescent="0.25">
      <c r="B57" t="s">
        <v>56</v>
      </c>
      <c r="F57" t="str">
        <f>IF(G56=0,"",INDEX('[1]Grade Project'!$G:$G,MATCH($A$5,'[1]Grade Project'!$F:$F,0)+SUM($G$3:G56)))</f>
        <v/>
      </c>
      <c r="G57">
        <f>COUNTIFS('[1]Grade Project'!$F:$F,$A$5,'[1]Grade Project'!$G:$G,F57)</f>
        <v>0</v>
      </c>
      <c r="H57" t="str">
        <f>IF(I56=0,"",INDEX('[1]Grade Project'!$K:$K,MATCH(CONCATENATE($A$5,$A$8),'[1]Grade Project'!$H:$H,0)+SUM($I$3:I56)))</f>
        <v/>
      </c>
      <c r="I57">
        <f>COUNTIFS('[1]Grade Project'!$G:$G,$A$8,'[1]Grade Project'!$K:$K,H57,'[1]Grade Project'!$F:$F,$A$5)</f>
        <v>0</v>
      </c>
      <c r="J57" t="str">
        <f>IFERROR(AVERAGEIFS('[1]Grade Project'!$N:$N,'[1]Grade Project'!$K:$K,H57,'[1]Grade Project'!$F:$F,$A$5,'[1]Grade Project'!$G:$G,$A$8),"")</f>
        <v/>
      </c>
      <c r="K57" t="str">
        <f>IFERROR(AVERAGEIFS('[1]Grade Project'!$O:$O,'[1]Grade Project'!$K:$K,H57,'[1]Grade Project'!$F:$F,$A$5,'[1]Grade Project'!$G:$G,$A$8),"")</f>
        <v/>
      </c>
      <c r="L57" t="str">
        <f t="shared" si="1"/>
        <v/>
      </c>
      <c r="M57" t="str">
        <f t="shared" si="2"/>
        <v/>
      </c>
      <c r="N57" t="str">
        <f t="shared" si="3"/>
        <v/>
      </c>
    </row>
    <row r="58" spans="2:14" x14ac:dyDescent="0.25">
      <c r="B58" t="s">
        <v>57</v>
      </c>
      <c r="F58" t="str">
        <f>IF(G57=0,"",INDEX('[1]Grade Project'!$G:$G,MATCH($A$5,'[1]Grade Project'!$F:$F,0)+SUM($G$3:G57)))</f>
        <v/>
      </c>
      <c r="G58">
        <f>COUNTIFS('[1]Grade Project'!$F:$F,$A$5,'[1]Grade Project'!$G:$G,F58)</f>
        <v>0</v>
      </c>
      <c r="H58" t="str">
        <f>IF(I57=0,"",INDEX('[1]Grade Project'!$K:$K,MATCH(CONCATENATE($A$5,$A$8),'[1]Grade Project'!$H:$H,0)+SUM($I$3:I57)))</f>
        <v/>
      </c>
      <c r="I58">
        <f>COUNTIFS('[1]Grade Project'!$G:$G,$A$8,'[1]Grade Project'!$K:$K,H58,'[1]Grade Project'!$F:$F,$A$5)</f>
        <v>0</v>
      </c>
      <c r="J58" t="str">
        <f>IFERROR(AVERAGEIFS('[1]Grade Project'!$N:$N,'[1]Grade Project'!$K:$K,H58,'[1]Grade Project'!$F:$F,$A$5,'[1]Grade Project'!$G:$G,$A$8),"")</f>
        <v/>
      </c>
      <c r="K58" t="str">
        <f>IFERROR(AVERAGEIFS('[1]Grade Project'!$O:$O,'[1]Grade Project'!$K:$K,H58,'[1]Grade Project'!$F:$F,$A$5,'[1]Grade Project'!$G:$G,$A$8),"")</f>
        <v/>
      </c>
      <c r="L58" t="str">
        <f t="shared" si="1"/>
        <v/>
      </c>
      <c r="M58" t="str">
        <f t="shared" si="2"/>
        <v/>
      </c>
      <c r="N58" t="str">
        <f t="shared" si="3"/>
        <v/>
      </c>
    </row>
    <row r="59" spans="2:14" x14ac:dyDescent="0.25">
      <c r="B59" t="s">
        <v>58</v>
      </c>
      <c r="F59" t="str">
        <f>IF(G58=0,"",INDEX('[1]Grade Project'!$G:$G,MATCH($A$5,'[1]Grade Project'!$F:$F,0)+SUM($G$3:G58)))</f>
        <v/>
      </c>
      <c r="G59">
        <f>COUNTIFS('[1]Grade Project'!$F:$F,$A$5,'[1]Grade Project'!$G:$G,F59)</f>
        <v>0</v>
      </c>
      <c r="H59" t="str">
        <f>IF(I58=0,"",INDEX('[1]Grade Project'!$K:$K,MATCH(CONCATENATE($A$5,$A$8),'[1]Grade Project'!$H:$H,0)+SUM($I$3:I58)))</f>
        <v/>
      </c>
      <c r="I59">
        <f>COUNTIFS('[1]Grade Project'!$G:$G,$A$8,'[1]Grade Project'!$K:$K,H59,'[1]Grade Project'!$F:$F,$A$5)</f>
        <v>0</v>
      </c>
      <c r="J59" t="str">
        <f>IFERROR(AVERAGEIFS('[1]Grade Project'!$N:$N,'[1]Grade Project'!$K:$K,H59,'[1]Grade Project'!$F:$F,$A$5,'[1]Grade Project'!$G:$G,$A$8),"")</f>
        <v/>
      </c>
      <c r="K59" t="str">
        <f>IFERROR(AVERAGEIFS('[1]Grade Project'!$O:$O,'[1]Grade Project'!$K:$K,H59,'[1]Grade Project'!$F:$F,$A$5,'[1]Grade Project'!$G:$G,$A$8),"")</f>
        <v/>
      </c>
      <c r="L59" t="str">
        <f t="shared" si="1"/>
        <v/>
      </c>
      <c r="M59" t="str">
        <f t="shared" si="2"/>
        <v/>
      </c>
      <c r="N59" t="str">
        <f t="shared" si="3"/>
        <v/>
      </c>
    </row>
    <row r="60" spans="2:14" x14ac:dyDescent="0.25">
      <c r="B60" t="s">
        <v>59</v>
      </c>
      <c r="F60" t="str">
        <f>IF(G59=0,"",INDEX('[1]Grade Project'!$G:$G,MATCH($A$5,'[1]Grade Project'!$F:$F,0)+SUM($G$3:G59)))</f>
        <v/>
      </c>
      <c r="G60">
        <f>COUNTIFS('[1]Grade Project'!$F:$F,$A$5,'[1]Grade Project'!$G:$G,F60)</f>
        <v>0</v>
      </c>
      <c r="H60" t="str">
        <f>IF(I59=0,"",INDEX('[1]Grade Project'!$K:$K,MATCH(CONCATENATE($A$5,$A$8),'[1]Grade Project'!$H:$H,0)+SUM($I$3:I59)))</f>
        <v/>
      </c>
      <c r="I60">
        <f>COUNTIFS('[1]Grade Project'!$G:$G,$A$8,'[1]Grade Project'!$K:$K,H60,'[1]Grade Project'!$F:$F,$A$5)</f>
        <v>0</v>
      </c>
      <c r="J60" t="str">
        <f>IFERROR(AVERAGEIFS('[1]Grade Project'!$N:$N,'[1]Grade Project'!$K:$K,H60,'[1]Grade Project'!$F:$F,$A$5,'[1]Grade Project'!$G:$G,$A$8),"")</f>
        <v/>
      </c>
      <c r="K60" t="str">
        <f>IFERROR(AVERAGEIFS('[1]Grade Project'!$O:$O,'[1]Grade Project'!$K:$K,H60,'[1]Grade Project'!$F:$F,$A$5,'[1]Grade Project'!$G:$G,$A$8),"")</f>
        <v/>
      </c>
      <c r="L60" t="str">
        <f t="shared" si="1"/>
        <v/>
      </c>
      <c r="M60" t="str">
        <f t="shared" si="2"/>
        <v/>
      </c>
      <c r="N60" t="str">
        <f t="shared" si="3"/>
        <v/>
      </c>
    </row>
    <row r="61" spans="2:14" x14ac:dyDescent="0.25">
      <c r="B61" t="s">
        <v>60</v>
      </c>
      <c r="F61" t="str">
        <f>IF(G60=0,"",INDEX('[1]Grade Project'!$G:$G,MATCH($A$5,'[1]Grade Project'!$F:$F,0)+SUM($G$3:G60)))</f>
        <v/>
      </c>
      <c r="G61">
        <f>COUNTIFS('[1]Grade Project'!$F:$F,$A$5,'[1]Grade Project'!$G:$G,F61)</f>
        <v>0</v>
      </c>
      <c r="H61" t="str">
        <f>IF(I60=0,"",INDEX('[1]Grade Project'!$K:$K,MATCH(CONCATENATE($A$5,$A$8),'[1]Grade Project'!$H:$H,0)+SUM($I$3:I60)))</f>
        <v/>
      </c>
      <c r="I61">
        <f>COUNTIFS('[1]Grade Project'!$G:$G,$A$8,'[1]Grade Project'!$K:$K,H61,'[1]Grade Project'!$F:$F,$A$5)</f>
        <v>0</v>
      </c>
      <c r="J61" t="str">
        <f>IFERROR(AVERAGEIFS('[1]Grade Project'!$N:$N,'[1]Grade Project'!$K:$K,H61,'[1]Grade Project'!$F:$F,$A$5,'[1]Grade Project'!$G:$G,$A$8),"")</f>
        <v/>
      </c>
      <c r="K61" t="str">
        <f>IFERROR(AVERAGEIFS('[1]Grade Project'!$O:$O,'[1]Grade Project'!$K:$K,H61,'[1]Grade Project'!$F:$F,$A$5,'[1]Grade Project'!$G:$G,$A$8),"")</f>
        <v/>
      </c>
      <c r="L61" t="str">
        <f t="shared" si="1"/>
        <v/>
      </c>
      <c r="M61" t="str">
        <f t="shared" si="2"/>
        <v/>
      </c>
      <c r="N61" t="str">
        <f t="shared" si="3"/>
        <v/>
      </c>
    </row>
    <row r="62" spans="2:14" x14ac:dyDescent="0.25">
      <c r="B62" t="s">
        <v>61</v>
      </c>
      <c r="F62" t="str">
        <f>IF(G61=0,"",INDEX('[1]Grade Project'!$G:$G,MATCH($A$5,'[1]Grade Project'!$F:$F,0)+SUM($G$3:G61)))</f>
        <v/>
      </c>
      <c r="G62">
        <f>COUNTIFS('[1]Grade Project'!$F:$F,$A$5,'[1]Grade Project'!$G:$G,F62)</f>
        <v>0</v>
      </c>
      <c r="H62" t="str">
        <f>IF(I61=0,"",INDEX('[1]Grade Project'!$K:$K,MATCH(CONCATENATE($A$5,$A$8),'[1]Grade Project'!$H:$H,0)+SUM($I$3:I61)))</f>
        <v/>
      </c>
      <c r="I62">
        <f>COUNTIFS('[1]Grade Project'!$G:$G,$A$8,'[1]Grade Project'!$K:$K,H62,'[1]Grade Project'!$F:$F,$A$5)</f>
        <v>0</v>
      </c>
      <c r="J62" t="str">
        <f>IFERROR(AVERAGEIFS('[1]Grade Project'!$N:$N,'[1]Grade Project'!$K:$K,H62,'[1]Grade Project'!$F:$F,$A$5,'[1]Grade Project'!$G:$G,$A$8),"")</f>
        <v/>
      </c>
      <c r="K62" t="str">
        <f>IFERROR(AVERAGEIFS('[1]Grade Project'!$O:$O,'[1]Grade Project'!$K:$K,H62,'[1]Grade Project'!$F:$F,$A$5,'[1]Grade Project'!$G:$G,$A$8),"")</f>
        <v/>
      </c>
      <c r="L62" t="str">
        <f t="shared" si="1"/>
        <v/>
      </c>
      <c r="M62" t="str">
        <f t="shared" si="2"/>
        <v/>
      </c>
      <c r="N62" t="str">
        <f t="shared" si="3"/>
        <v/>
      </c>
    </row>
    <row r="63" spans="2:14" x14ac:dyDescent="0.25">
      <c r="B63" t="s">
        <v>62</v>
      </c>
      <c r="F63" t="str">
        <f>IF(G62=0,"",INDEX('[1]Grade Project'!$G:$G,MATCH($A$5,'[1]Grade Project'!$F:$F,0)+SUM($G$3:G62)))</f>
        <v/>
      </c>
      <c r="G63">
        <f>COUNTIFS('[1]Grade Project'!$F:$F,$A$5,'[1]Grade Project'!$G:$G,F63)</f>
        <v>0</v>
      </c>
      <c r="H63" t="str">
        <f>IF(I62=0,"",INDEX('[1]Grade Project'!$K:$K,MATCH(CONCATENATE($A$5,$A$8),'[1]Grade Project'!$H:$H,0)+SUM($I$3:I62)))</f>
        <v/>
      </c>
      <c r="I63">
        <f>COUNTIFS('[1]Grade Project'!$G:$G,$A$8,'[1]Grade Project'!$K:$K,H63,'[1]Grade Project'!$F:$F,$A$5)</f>
        <v>0</v>
      </c>
      <c r="J63" t="str">
        <f>IFERROR(AVERAGEIFS('[1]Grade Project'!$N:$N,'[1]Grade Project'!$K:$K,H63,'[1]Grade Project'!$F:$F,$A$5,'[1]Grade Project'!$G:$G,$A$8),"")</f>
        <v/>
      </c>
      <c r="K63" t="str">
        <f>IFERROR(AVERAGEIFS('[1]Grade Project'!$O:$O,'[1]Grade Project'!$K:$K,H63,'[1]Grade Project'!$F:$F,$A$5,'[1]Grade Project'!$G:$G,$A$8),"")</f>
        <v/>
      </c>
      <c r="L63" t="str">
        <f t="shared" si="1"/>
        <v/>
      </c>
      <c r="M63" t="str">
        <f t="shared" si="2"/>
        <v/>
      </c>
      <c r="N63" t="str">
        <f t="shared" si="3"/>
        <v/>
      </c>
    </row>
    <row r="64" spans="2:14" x14ac:dyDescent="0.25">
      <c r="B64" t="s">
        <v>63</v>
      </c>
      <c r="F64" t="str">
        <f>IF(G63=0,"",INDEX('[1]Grade Project'!$G:$G,MATCH($A$5,'[1]Grade Project'!$F:$F,0)+SUM($G$3:G63)))</f>
        <v/>
      </c>
      <c r="G64">
        <f>COUNTIFS('[1]Grade Project'!$F:$F,$A$5,'[1]Grade Project'!$G:$G,F64)</f>
        <v>0</v>
      </c>
      <c r="H64" t="str">
        <f>IF(I63=0,"",INDEX('[1]Grade Project'!$K:$K,MATCH(CONCATENATE($A$5,$A$8),'[1]Grade Project'!$H:$H,0)+SUM($I$3:I63)))</f>
        <v/>
      </c>
      <c r="I64">
        <f>COUNTIFS('[1]Grade Project'!$G:$G,$A$8,'[1]Grade Project'!$K:$K,H64,'[1]Grade Project'!$F:$F,$A$5)</f>
        <v>0</v>
      </c>
      <c r="J64" t="str">
        <f>IFERROR(AVERAGEIFS('[1]Grade Project'!$N:$N,'[1]Grade Project'!$K:$K,H64,'[1]Grade Project'!$F:$F,$A$5,'[1]Grade Project'!$G:$G,$A$8),"")</f>
        <v/>
      </c>
      <c r="K64" t="str">
        <f>IFERROR(AVERAGEIFS('[1]Grade Project'!$O:$O,'[1]Grade Project'!$K:$K,H64,'[1]Grade Project'!$F:$F,$A$5,'[1]Grade Project'!$G:$G,$A$8),"")</f>
        <v/>
      </c>
      <c r="L64" t="str">
        <f t="shared" si="1"/>
        <v/>
      </c>
      <c r="M64" t="str">
        <f t="shared" si="2"/>
        <v/>
      </c>
      <c r="N64" t="str">
        <f t="shared" si="3"/>
        <v/>
      </c>
    </row>
    <row r="65" spans="2:14" x14ac:dyDescent="0.25">
      <c r="B65" t="s">
        <v>64</v>
      </c>
      <c r="F65" t="str">
        <f>IF(G64=0,"",INDEX('[1]Grade Project'!$G:$G,MATCH($A$5,'[1]Grade Project'!$F:$F,0)+SUM($G$3:G64)))</f>
        <v/>
      </c>
      <c r="G65">
        <f>COUNTIFS('[1]Grade Project'!$F:$F,$A$5,'[1]Grade Project'!$G:$G,F65)</f>
        <v>0</v>
      </c>
      <c r="H65" t="str">
        <f>IF(I64=0,"",INDEX('[1]Grade Project'!$K:$K,MATCH(CONCATENATE($A$5,$A$8),'[1]Grade Project'!$H:$H,0)+SUM($I$3:I64)))</f>
        <v/>
      </c>
      <c r="I65">
        <f>COUNTIFS('[1]Grade Project'!$G:$G,$A$8,'[1]Grade Project'!$K:$K,H65,'[1]Grade Project'!$F:$F,$A$5)</f>
        <v>0</v>
      </c>
      <c r="J65" t="str">
        <f>IFERROR(AVERAGEIFS('[1]Grade Project'!$N:$N,'[1]Grade Project'!$K:$K,H65,'[1]Grade Project'!$F:$F,$A$5,'[1]Grade Project'!$G:$G,$A$8),"")</f>
        <v/>
      </c>
      <c r="K65" t="str">
        <f>IFERROR(AVERAGEIFS('[1]Grade Project'!$O:$O,'[1]Grade Project'!$K:$K,H65,'[1]Grade Project'!$F:$F,$A$5,'[1]Grade Project'!$G:$G,$A$8),"")</f>
        <v/>
      </c>
      <c r="L65" t="str">
        <f t="shared" si="1"/>
        <v/>
      </c>
      <c r="M65" t="str">
        <f t="shared" si="2"/>
        <v/>
      </c>
      <c r="N65" t="str">
        <f t="shared" si="3"/>
        <v/>
      </c>
    </row>
    <row r="66" spans="2:14" x14ac:dyDescent="0.25">
      <c r="B66" t="s">
        <v>65</v>
      </c>
      <c r="F66" t="str">
        <f>IF(G65=0,"",INDEX('[1]Grade Project'!$G:$G,MATCH($A$5,'[1]Grade Project'!$F:$F,0)+SUM($G$3:G65)))</f>
        <v/>
      </c>
      <c r="G66">
        <f>COUNTIFS('[1]Grade Project'!$F:$F,$A$5,'[1]Grade Project'!$G:$G,F66)</f>
        <v>0</v>
      </c>
      <c r="H66" t="str">
        <f>IF(I65=0,"",INDEX('[1]Grade Project'!$K:$K,MATCH(CONCATENATE($A$5,$A$8),'[1]Grade Project'!$H:$H,0)+SUM($I$3:I65)))</f>
        <v/>
      </c>
      <c r="I66">
        <f>COUNTIFS('[1]Grade Project'!$G:$G,$A$8,'[1]Grade Project'!$K:$K,H66,'[1]Grade Project'!$F:$F,$A$5)</f>
        <v>0</v>
      </c>
      <c r="J66" t="str">
        <f>IFERROR(AVERAGEIFS('[1]Grade Project'!$N:$N,'[1]Grade Project'!$K:$K,H66,'[1]Grade Project'!$F:$F,$A$5,'[1]Grade Project'!$G:$G,$A$8),"")</f>
        <v/>
      </c>
      <c r="K66" t="str">
        <f>IFERROR(AVERAGEIFS('[1]Grade Project'!$O:$O,'[1]Grade Project'!$K:$K,H66,'[1]Grade Project'!$F:$F,$A$5,'[1]Grade Project'!$G:$G,$A$8),"")</f>
        <v/>
      </c>
      <c r="L66" t="str">
        <f t="shared" si="1"/>
        <v/>
      </c>
      <c r="M66" t="str">
        <f t="shared" si="2"/>
        <v/>
      </c>
      <c r="N66" t="str">
        <f t="shared" si="3"/>
        <v/>
      </c>
    </row>
    <row r="67" spans="2:14" x14ac:dyDescent="0.25">
      <c r="B67" t="s">
        <v>66</v>
      </c>
      <c r="F67" t="str">
        <f>IF(G66=0,"",INDEX('[1]Grade Project'!$G:$G,MATCH($A$5,'[1]Grade Project'!$F:$F,0)+SUM($G$3:G66)))</f>
        <v/>
      </c>
      <c r="G67">
        <f>COUNTIFS('[1]Grade Project'!$F:$F,$A$5,'[1]Grade Project'!$G:$G,F67)</f>
        <v>0</v>
      </c>
      <c r="H67" t="str">
        <f>IF(I66=0,"",INDEX('[1]Grade Project'!$K:$K,MATCH(CONCATENATE($A$5,$A$8),'[1]Grade Project'!$H:$H,0)+SUM($I$3:I66)))</f>
        <v/>
      </c>
      <c r="I67">
        <f>COUNTIFS('[1]Grade Project'!$G:$G,$A$8,'[1]Grade Project'!$K:$K,H67,'[1]Grade Project'!$F:$F,$A$5)</f>
        <v>0</v>
      </c>
      <c r="J67" t="str">
        <f>IFERROR(AVERAGEIFS('[1]Grade Project'!$N:$N,'[1]Grade Project'!$K:$K,H67,'[1]Grade Project'!$F:$F,$A$5,'[1]Grade Project'!$G:$G,$A$8),"")</f>
        <v/>
      </c>
      <c r="K67" t="str">
        <f>IFERROR(AVERAGEIFS('[1]Grade Project'!$O:$O,'[1]Grade Project'!$K:$K,H67,'[1]Grade Project'!$F:$F,$A$5,'[1]Grade Project'!$G:$G,$A$8),"")</f>
        <v/>
      </c>
      <c r="L67" t="str">
        <f t="shared" si="1"/>
        <v/>
      </c>
      <c r="M67" t="str">
        <f t="shared" si="2"/>
        <v/>
      </c>
      <c r="N67" t="str">
        <f t="shared" si="3"/>
        <v/>
      </c>
    </row>
    <row r="68" spans="2:14" x14ac:dyDescent="0.25">
      <c r="B68" t="s">
        <v>67</v>
      </c>
      <c r="F68" t="str">
        <f>IF(G67=0,"",INDEX('[1]Grade Project'!$G:$G,MATCH($A$5,'[1]Grade Project'!$F:$F,0)+SUM($G$3:G67)))</f>
        <v/>
      </c>
      <c r="G68">
        <f>COUNTIFS('[1]Grade Project'!$F:$F,$A$5,'[1]Grade Project'!$G:$G,F68)</f>
        <v>0</v>
      </c>
      <c r="H68" t="str">
        <f>IF(I67=0,"",INDEX('[1]Grade Project'!$K:$K,MATCH(CONCATENATE($A$5,$A$8),'[1]Grade Project'!$H:$H,0)+SUM($I$3:I67)))</f>
        <v/>
      </c>
      <c r="I68">
        <f>COUNTIFS('[1]Grade Project'!$G:$G,$A$8,'[1]Grade Project'!$K:$K,H68,'[1]Grade Project'!$F:$F,$A$5)</f>
        <v>0</v>
      </c>
      <c r="J68" t="str">
        <f>IFERROR(AVERAGEIFS('[1]Grade Project'!$N:$N,'[1]Grade Project'!$K:$K,H68,'[1]Grade Project'!$F:$F,$A$5,'[1]Grade Project'!$G:$G,$A$8),"")</f>
        <v/>
      </c>
      <c r="K68" t="str">
        <f>IFERROR(AVERAGEIFS('[1]Grade Project'!$O:$O,'[1]Grade Project'!$K:$K,H68,'[1]Grade Project'!$F:$F,$A$5,'[1]Grade Project'!$G:$G,$A$8),"")</f>
        <v/>
      </c>
      <c r="L68" t="str">
        <f t="shared" ref="L68:L131" si="4">IFERROR(K68/J68,"")</f>
        <v/>
      </c>
      <c r="M68" t="str">
        <f t="shared" ref="M68:M131" si="5">IFERROR(_xlfn.RANK.EQ(L68,L:L),"")</f>
        <v/>
      </c>
      <c r="N68" t="str">
        <f t="shared" ref="N68:N131" si="6">IFERROR(MAX(M:M)-M68+1,"")</f>
        <v/>
      </c>
    </row>
    <row r="69" spans="2:14" x14ac:dyDescent="0.25">
      <c r="B69" t="s">
        <v>68</v>
      </c>
      <c r="F69" t="str">
        <f>IF(G68=0,"",INDEX('[1]Grade Project'!$G:$G,MATCH($A$5,'[1]Grade Project'!$F:$F,0)+SUM($G$3:G68)))</f>
        <v/>
      </c>
      <c r="G69">
        <f>COUNTIFS('[1]Grade Project'!$F:$F,$A$5,'[1]Grade Project'!$G:$G,F69)</f>
        <v>0</v>
      </c>
      <c r="H69" t="str">
        <f>IF(I68=0,"",INDEX('[1]Grade Project'!$K:$K,MATCH(CONCATENATE($A$5,$A$8),'[1]Grade Project'!$H:$H,0)+SUM($I$3:I68)))</f>
        <v/>
      </c>
      <c r="I69">
        <f>COUNTIFS('[1]Grade Project'!$G:$G,$A$8,'[1]Grade Project'!$K:$K,H69,'[1]Grade Project'!$F:$F,$A$5)</f>
        <v>0</v>
      </c>
      <c r="J69" t="str">
        <f>IFERROR(AVERAGEIFS('[1]Grade Project'!$N:$N,'[1]Grade Project'!$K:$K,H69,'[1]Grade Project'!$F:$F,$A$5,'[1]Grade Project'!$G:$G,$A$8),"")</f>
        <v/>
      </c>
      <c r="K69" t="str">
        <f>IFERROR(AVERAGEIFS('[1]Grade Project'!$O:$O,'[1]Grade Project'!$K:$K,H69,'[1]Grade Project'!$F:$F,$A$5,'[1]Grade Project'!$G:$G,$A$8),"")</f>
        <v/>
      </c>
      <c r="L69" t="str">
        <f t="shared" si="4"/>
        <v/>
      </c>
      <c r="M69" t="str">
        <f t="shared" si="5"/>
        <v/>
      </c>
      <c r="N69" t="str">
        <f t="shared" si="6"/>
        <v/>
      </c>
    </row>
    <row r="70" spans="2:14" x14ac:dyDescent="0.25">
      <c r="B70" t="s">
        <v>69</v>
      </c>
      <c r="F70" t="str">
        <f>IF(G69=0,"",INDEX('[1]Grade Project'!$G:$G,MATCH($A$5,'[1]Grade Project'!$F:$F,0)+SUM($G$3:G69)))</f>
        <v/>
      </c>
      <c r="G70">
        <f>COUNTIFS('[1]Grade Project'!$F:$F,$A$5,'[1]Grade Project'!$G:$G,F70)</f>
        <v>0</v>
      </c>
      <c r="H70" t="str">
        <f>IF(I69=0,"",INDEX('[1]Grade Project'!$K:$K,MATCH(CONCATENATE($A$5,$A$8),'[1]Grade Project'!$H:$H,0)+SUM($I$3:I69)))</f>
        <v/>
      </c>
      <c r="I70">
        <f>COUNTIFS('[1]Grade Project'!$G:$G,$A$8,'[1]Grade Project'!$K:$K,H70,'[1]Grade Project'!$F:$F,$A$5)</f>
        <v>0</v>
      </c>
      <c r="J70" t="str">
        <f>IFERROR(AVERAGEIFS('[1]Grade Project'!$N:$N,'[1]Grade Project'!$K:$K,H70,'[1]Grade Project'!$F:$F,$A$5,'[1]Grade Project'!$G:$G,$A$8),"")</f>
        <v/>
      </c>
      <c r="K70" t="str">
        <f>IFERROR(AVERAGEIFS('[1]Grade Project'!$O:$O,'[1]Grade Project'!$K:$K,H70,'[1]Grade Project'!$F:$F,$A$5,'[1]Grade Project'!$G:$G,$A$8),"")</f>
        <v/>
      </c>
      <c r="L70" t="str">
        <f t="shared" si="4"/>
        <v/>
      </c>
      <c r="M70" t="str">
        <f t="shared" si="5"/>
        <v/>
      </c>
      <c r="N70" t="str">
        <f t="shared" si="6"/>
        <v/>
      </c>
    </row>
    <row r="71" spans="2:14" x14ac:dyDescent="0.25">
      <c r="B71" t="s">
        <v>70</v>
      </c>
      <c r="F71" t="str">
        <f>IF(G70=0,"",INDEX('[1]Grade Project'!$G:$G,MATCH($A$5,'[1]Grade Project'!$F:$F,0)+SUM($G$3:G70)))</f>
        <v/>
      </c>
      <c r="G71">
        <f>COUNTIFS('[1]Grade Project'!$F:$F,$A$5,'[1]Grade Project'!$G:$G,F71)</f>
        <v>0</v>
      </c>
      <c r="H71" t="str">
        <f>IF(I70=0,"",INDEX('[1]Grade Project'!$K:$K,MATCH(CONCATENATE($A$5,$A$8),'[1]Grade Project'!$H:$H,0)+SUM($I$3:I70)))</f>
        <v/>
      </c>
      <c r="I71">
        <f>COUNTIFS('[1]Grade Project'!$G:$G,$A$8,'[1]Grade Project'!$K:$K,H71,'[1]Grade Project'!$F:$F,$A$5)</f>
        <v>0</v>
      </c>
      <c r="J71" t="str">
        <f>IFERROR(AVERAGEIFS('[1]Grade Project'!$N:$N,'[1]Grade Project'!$K:$K,H71,'[1]Grade Project'!$F:$F,$A$5,'[1]Grade Project'!$G:$G,$A$8),"")</f>
        <v/>
      </c>
      <c r="K71" t="str">
        <f>IFERROR(AVERAGEIFS('[1]Grade Project'!$O:$O,'[1]Grade Project'!$K:$K,H71,'[1]Grade Project'!$F:$F,$A$5,'[1]Grade Project'!$G:$G,$A$8),"")</f>
        <v/>
      </c>
      <c r="L71" t="str">
        <f t="shared" si="4"/>
        <v/>
      </c>
      <c r="M71" t="str">
        <f t="shared" si="5"/>
        <v/>
      </c>
      <c r="N71" t="str">
        <f t="shared" si="6"/>
        <v/>
      </c>
    </row>
    <row r="72" spans="2:14" x14ac:dyDescent="0.25">
      <c r="B72" t="s">
        <v>71</v>
      </c>
      <c r="F72" t="str">
        <f>IF(G71=0,"",INDEX('[1]Grade Project'!$G:$G,MATCH($A$5,'[1]Grade Project'!$F:$F,0)+SUM($G$3:G71)))</f>
        <v/>
      </c>
      <c r="G72">
        <f>COUNTIFS('[1]Grade Project'!$F:$F,$A$5,'[1]Grade Project'!$G:$G,F72)</f>
        <v>0</v>
      </c>
      <c r="H72" t="str">
        <f>IF(I71=0,"",INDEX('[1]Grade Project'!$K:$K,MATCH(CONCATENATE($A$5,$A$8),'[1]Grade Project'!$H:$H,0)+SUM($I$3:I71)))</f>
        <v/>
      </c>
      <c r="I72">
        <f>COUNTIFS('[1]Grade Project'!$G:$G,$A$8,'[1]Grade Project'!$K:$K,H72,'[1]Grade Project'!$F:$F,$A$5)</f>
        <v>0</v>
      </c>
      <c r="J72" t="str">
        <f>IFERROR(AVERAGEIFS('[1]Grade Project'!$N:$N,'[1]Grade Project'!$K:$K,H72,'[1]Grade Project'!$F:$F,$A$5,'[1]Grade Project'!$G:$G,$A$8),"")</f>
        <v/>
      </c>
      <c r="K72" t="str">
        <f>IFERROR(AVERAGEIFS('[1]Grade Project'!$O:$O,'[1]Grade Project'!$K:$K,H72,'[1]Grade Project'!$F:$F,$A$5,'[1]Grade Project'!$G:$G,$A$8),"")</f>
        <v/>
      </c>
      <c r="L72" t="str">
        <f t="shared" si="4"/>
        <v/>
      </c>
      <c r="M72" t="str">
        <f t="shared" si="5"/>
        <v/>
      </c>
      <c r="N72" t="str">
        <f t="shared" si="6"/>
        <v/>
      </c>
    </row>
    <row r="73" spans="2:14" x14ac:dyDescent="0.25">
      <c r="B73" t="s">
        <v>72</v>
      </c>
      <c r="F73" t="str">
        <f>IF(G72=0,"",INDEX('[1]Grade Project'!$G:$G,MATCH($A$5,'[1]Grade Project'!$F:$F,0)+SUM($G$3:G72)))</f>
        <v/>
      </c>
      <c r="G73">
        <f>COUNTIFS('[1]Grade Project'!$F:$F,$A$5,'[1]Grade Project'!$G:$G,F73)</f>
        <v>0</v>
      </c>
      <c r="H73" t="str">
        <f>IF(I72=0,"",INDEX('[1]Grade Project'!$K:$K,MATCH(CONCATENATE($A$5,$A$8),'[1]Grade Project'!$H:$H,0)+SUM($I$3:I72)))</f>
        <v/>
      </c>
      <c r="I73">
        <f>COUNTIFS('[1]Grade Project'!$G:$G,$A$8,'[1]Grade Project'!$K:$K,H73,'[1]Grade Project'!$F:$F,$A$5)</f>
        <v>0</v>
      </c>
      <c r="J73" t="str">
        <f>IFERROR(AVERAGEIFS('[1]Grade Project'!$N:$N,'[1]Grade Project'!$K:$K,H73,'[1]Grade Project'!$F:$F,$A$5,'[1]Grade Project'!$G:$G,$A$8),"")</f>
        <v/>
      </c>
      <c r="K73" t="str">
        <f>IFERROR(AVERAGEIFS('[1]Grade Project'!$O:$O,'[1]Grade Project'!$K:$K,H73,'[1]Grade Project'!$F:$F,$A$5,'[1]Grade Project'!$G:$G,$A$8),"")</f>
        <v/>
      </c>
      <c r="L73" t="str">
        <f t="shared" si="4"/>
        <v/>
      </c>
      <c r="M73" t="str">
        <f t="shared" si="5"/>
        <v/>
      </c>
      <c r="N73" t="str">
        <f t="shared" si="6"/>
        <v/>
      </c>
    </row>
    <row r="74" spans="2:14" x14ac:dyDescent="0.25">
      <c r="B74" t="s">
        <v>73</v>
      </c>
      <c r="F74" t="str">
        <f>IF(G73=0,"",INDEX('[1]Grade Project'!$G:$G,MATCH($A$5,'[1]Grade Project'!$F:$F,0)+SUM($G$3:G73)))</f>
        <v/>
      </c>
      <c r="G74">
        <f>COUNTIFS('[1]Grade Project'!$F:$F,$A$5,'[1]Grade Project'!$G:$G,F74)</f>
        <v>0</v>
      </c>
      <c r="H74" t="str">
        <f>IF(I73=0,"",INDEX('[1]Grade Project'!$K:$K,MATCH(CONCATENATE($A$5,$A$8),'[1]Grade Project'!$H:$H,0)+SUM($I$3:I73)))</f>
        <v/>
      </c>
      <c r="I74">
        <f>COUNTIFS('[1]Grade Project'!$G:$G,$A$8,'[1]Grade Project'!$K:$K,H74,'[1]Grade Project'!$F:$F,$A$5)</f>
        <v>0</v>
      </c>
      <c r="J74" t="str">
        <f>IFERROR(AVERAGEIFS('[1]Grade Project'!$N:$N,'[1]Grade Project'!$K:$K,H74,'[1]Grade Project'!$F:$F,$A$5,'[1]Grade Project'!$G:$G,$A$8),"")</f>
        <v/>
      </c>
      <c r="K74" t="str">
        <f>IFERROR(AVERAGEIFS('[1]Grade Project'!$O:$O,'[1]Grade Project'!$K:$K,H74,'[1]Grade Project'!$F:$F,$A$5,'[1]Grade Project'!$G:$G,$A$8),"")</f>
        <v/>
      </c>
      <c r="L74" t="str">
        <f t="shared" si="4"/>
        <v/>
      </c>
      <c r="M74" t="str">
        <f t="shared" si="5"/>
        <v/>
      </c>
      <c r="N74" t="str">
        <f t="shared" si="6"/>
        <v/>
      </c>
    </row>
    <row r="75" spans="2:14" x14ac:dyDescent="0.25">
      <c r="B75" t="s">
        <v>74</v>
      </c>
      <c r="F75" t="str">
        <f>IF(G74=0,"",INDEX('[1]Grade Project'!$G:$G,MATCH($A$5,'[1]Grade Project'!$F:$F,0)+SUM($G$3:G74)))</f>
        <v/>
      </c>
      <c r="G75">
        <f>COUNTIFS('[1]Grade Project'!$F:$F,$A$5,'[1]Grade Project'!$G:$G,F75)</f>
        <v>0</v>
      </c>
      <c r="H75" t="str">
        <f>IF(I74=0,"",INDEX('[1]Grade Project'!$K:$K,MATCH(CONCATENATE($A$5,$A$8),'[1]Grade Project'!$H:$H,0)+SUM($I$3:I74)))</f>
        <v/>
      </c>
      <c r="I75">
        <f>COUNTIFS('[1]Grade Project'!$G:$G,$A$8,'[1]Grade Project'!$K:$K,H75,'[1]Grade Project'!$F:$F,$A$5)</f>
        <v>0</v>
      </c>
      <c r="J75" t="str">
        <f>IFERROR(AVERAGEIFS('[1]Grade Project'!$N:$N,'[1]Grade Project'!$K:$K,H75,'[1]Grade Project'!$F:$F,$A$5,'[1]Grade Project'!$G:$G,$A$8),"")</f>
        <v/>
      </c>
      <c r="K75" t="str">
        <f>IFERROR(AVERAGEIFS('[1]Grade Project'!$O:$O,'[1]Grade Project'!$K:$K,H75,'[1]Grade Project'!$F:$F,$A$5,'[1]Grade Project'!$G:$G,$A$8),"")</f>
        <v/>
      </c>
      <c r="L75" t="str">
        <f t="shared" si="4"/>
        <v/>
      </c>
      <c r="M75" t="str">
        <f t="shared" si="5"/>
        <v/>
      </c>
      <c r="N75" t="str">
        <f t="shared" si="6"/>
        <v/>
      </c>
    </row>
    <row r="76" spans="2:14" x14ac:dyDescent="0.25">
      <c r="B76" t="s">
        <v>75</v>
      </c>
      <c r="F76" t="str">
        <f>IF(G75=0,"",INDEX('[1]Grade Project'!$G:$G,MATCH($A$5,'[1]Grade Project'!$F:$F,0)+SUM($G$3:G75)))</f>
        <v/>
      </c>
      <c r="G76">
        <f>COUNTIFS('[1]Grade Project'!$F:$F,$A$5,'[1]Grade Project'!$G:$G,F76)</f>
        <v>0</v>
      </c>
      <c r="H76" t="str">
        <f>IF(I75=0,"",INDEX('[1]Grade Project'!$K:$K,MATCH(CONCATENATE($A$5,$A$8),'[1]Grade Project'!$H:$H,0)+SUM($I$3:I75)))</f>
        <v/>
      </c>
      <c r="I76">
        <f>COUNTIFS('[1]Grade Project'!$G:$G,$A$8,'[1]Grade Project'!$K:$K,H76,'[1]Grade Project'!$F:$F,$A$5)</f>
        <v>0</v>
      </c>
      <c r="J76" t="str">
        <f>IFERROR(AVERAGEIFS('[1]Grade Project'!$N:$N,'[1]Grade Project'!$K:$K,H76,'[1]Grade Project'!$F:$F,$A$5,'[1]Grade Project'!$G:$G,$A$8),"")</f>
        <v/>
      </c>
      <c r="K76" t="str">
        <f>IFERROR(AVERAGEIFS('[1]Grade Project'!$O:$O,'[1]Grade Project'!$K:$K,H76,'[1]Grade Project'!$F:$F,$A$5,'[1]Grade Project'!$G:$G,$A$8),"")</f>
        <v/>
      </c>
      <c r="L76" t="str">
        <f t="shared" si="4"/>
        <v/>
      </c>
      <c r="M76" t="str">
        <f t="shared" si="5"/>
        <v/>
      </c>
      <c r="N76" t="str">
        <f t="shared" si="6"/>
        <v/>
      </c>
    </row>
    <row r="77" spans="2:14" x14ac:dyDescent="0.25">
      <c r="B77" t="s">
        <v>76</v>
      </c>
      <c r="F77" t="str">
        <f>IF(G76=0,"",INDEX('[1]Grade Project'!$G:$G,MATCH($A$5,'[1]Grade Project'!$F:$F,0)+SUM($G$3:G76)))</f>
        <v/>
      </c>
      <c r="G77">
        <f>COUNTIFS('[1]Grade Project'!$F:$F,$A$5,'[1]Grade Project'!$G:$G,F77)</f>
        <v>0</v>
      </c>
      <c r="H77" t="str">
        <f>IF(I76=0,"",INDEX('[1]Grade Project'!$K:$K,MATCH(CONCATENATE($A$5,$A$8),'[1]Grade Project'!$H:$H,0)+SUM($I$3:I76)))</f>
        <v/>
      </c>
      <c r="I77">
        <f>COUNTIFS('[1]Grade Project'!$G:$G,$A$8,'[1]Grade Project'!$K:$K,H77,'[1]Grade Project'!$F:$F,$A$5)</f>
        <v>0</v>
      </c>
      <c r="J77" t="str">
        <f>IFERROR(AVERAGEIFS('[1]Grade Project'!$N:$N,'[1]Grade Project'!$K:$K,H77,'[1]Grade Project'!$F:$F,$A$5,'[1]Grade Project'!$G:$G,$A$8),"")</f>
        <v/>
      </c>
      <c r="K77" t="str">
        <f>IFERROR(AVERAGEIFS('[1]Grade Project'!$O:$O,'[1]Grade Project'!$K:$K,H77,'[1]Grade Project'!$F:$F,$A$5,'[1]Grade Project'!$G:$G,$A$8),"")</f>
        <v/>
      </c>
      <c r="L77" t="str">
        <f t="shared" si="4"/>
        <v/>
      </c>
      <c r="M77" t="str">
        <f t="shared" si="5"/>
        <v/>
      </c>
      <c r="N77" t="str">
        <f t="shared" si="6"/>
        <v/>
      </c>
    </row>
    <row r="78" spans="2:14" x14ac:dyDescent="0.25">
      <c r="B78" t="s">
        <v>77</v>
      </c>
      <c r="F78" t="str">
        <f>IF(G77=0,"",INDEX('[1]Grade Project'!$G:$G,MATCH($A$5,'[1]Grade Project'!$F:$F,0)+SUM($G$3:G77)))</f>
        <v/>
      </c>
      <c r="G78">
        <f>COUNTIFS('[1]Grade Project'!$F:$F,$A$5,'[1]Grade Project'!$G:$G,F78)</f>
        <v>0</v>
      </c>
      <c r="H78" t="str">
        <f>IF(I77=0,"",INDEX('[1]Grade Project'!$K:$K,MATCH(CONCATENATE($A$5,$A$8),'[1]Grade Project'!$H:$H,0)+SUM($I$3:I77)))</f>
        <v/>
      </c>
      <c r="I78">
        <f>COUNTIFS('[1]Grade Project'!$G:$G,$A$8,'[1]Grade Project'!$K:$K,H78,'[1]Grade Project'!$F:$F,$A$5)</f>
        <v>0</v>
      </c>
      <c r="J78" t="str">
        <f>IFERROR(AVERAGEIFS('[1]Grade Project'!$N:$N,'[1]Grade Project'!$K:$K,H78,'[1]Grade Project'!$F:$F,$A$5,'[1]Grade Project'!$G:$G,$A$8),"")</f>
        <v/>
      </c>
      <c r="K78" t="str">
        <f>IFERROR(AVERAGEIFS('[1]Grade Project'!$O:$O,'[1]Grade Project'!$K:$K,H78,'[1]Grade Project'!$F:$F,$A$5,'[1]Grade Project'!$G:$G,$A$8),"")</f>
        <v/>
      </c>
      <c r="L78" t="str">
        <f t="shared" si="4"/>
        <v/>
      </c>
      <c r="M78" t="str">
        <f t="shared" si="5"/>
        <v/>
      </c>
      <c r="N78" t="str">
        <f t="shared" si="6"/>
        <v/>
      </c>
    </row>
    <row r="79" spans="2:14" x14ac:dyDescent="0.25">
      <c r="B79" t="s">
        <v>78</v>
      </c>
      <c r="F79" t="str">
        <f>IF(G78=0,"",INDEX('[1]Grade Project'!$G:$G,MATCH($A$5,'[1]Grade Project'!$F:$F,0)+SUM($G$3:G78)))</f>
        <v/>
      </c>
      <c r="G79">
        <f>COUNTIFS('[1]Grade Project'!$F:$F,$A$5,'[1]Grade Project'!$G:$G,F79)</f>
        <v>0</v>
      </c>
      <c r="H79" t="str">
        <f>IF(I78=0,"",INDEX('[1]Grade Project'!$K:$K,MATCH(CONCATENATE($A$5,$A$8),'[1]Grade Project'!$H:$H,0)+SUM($I$3:I78)))</f>
        <v/>
      </c>
      <c r="I79">
        <f>COUNTIFS('[1]Grade Project'!$G:$G,$A$8,'[1]Grade Project'!$K:$K,H79,'[1]Grade Project'!$F:$F,$A$5)</f>
        <v>0</v>
      </c>
      <c r="J79" t="str">
        <f>IFERROR(AVERAGEIFS('[1]Grade Project'!$N:$N,'[1]Grade Project'!$K:$K,H79,'[1]Grade Project'!$F:$F,$A$5,'[1]Grade Project'!$G:$G,$A$8),"")</f>
        <v/>
      </c>
      <c r="K79" t="str">
        <f>IFERROR(AVERAGEIFS('[1]Grade Project'!$O:$O,'[1]Grade Project'!$K:$K,H79,'[1]Grade Project'!$F:$F,$A$5,'[1]Grade Project'!$G:$G,$A$8),"")</f>
        <v/>
      </c>
      <c r="L79" t="str">
        <f t="shared" si="4"/>
        <v/>
      </c>
      <c r="M79" t="str">
        <f t="shared" si="5"/>
        <v/>
      </c>
      <c r="N79" t="str">
        <f t="shared" si="6"/>
        <v/>
      </c>
    </row>
    <row r="80" spans="2:14" x14ac:dyDescent="0.25">
      <c r="B80" t="s">
        <v>79</v>
      </c>
      <c r="F80" t="str">
        <f>IF(G79=0,"",INDEX('[1]Grade Project'!$G:$G,MATCH($A$5,'[1]Grade Project'!$F:$F,0)+SUM($G$3:G79)))</f>
        <v/>
      </c>
      <c r="G80">
        <f>COUNTIFS('[1]Grade Project'!$F:$F,$A$5,'[1]Grade Project'!$G:$G,F80)</f>
        <v>0</v>
      </c>
      <c r="H80" t="str">
        <f>IF(I79=0,"",INDEX('[1]Grade Project'!$K:$K,MATCH(CONCATENATE($A$5,$A$8),'[1]Grade Project'!$H:$H,0)+SUM($I$3:I79)))</f>
        <v/>
      </c>
      <c r="I80">
        <f>COUNTIFS('[1]Grade Project'!$G:$G,$A$8,'[1]Grade Project'!$K:$K,H80,'[1]Grade Project'!$F:$F,$A$5)</f>
        <v>0</v>
      </c>
      <c r="J80" t="str">
        <f>IFERROR(AVERAGEIFS('[1]Grade Project'!$N:$N,'[1]Grade Project'!$K:$K,H80,'[1]Grade Project'!$F:$F,$A$5,'[1]Grade Project'!$G:$G,$A$8),"")</f>
        <v/>
      </c>
      <c r="K80" t="str">
        <f>IFERROR(AVERAGEIFS('[1]Grade Project'!$O:$O,'[1]Grade Project'!$K:$K,H80,'[1]Grade Project'!$F:$F,$A$5,'[1]Grade Project'!$G:$G,$A$8),"")</f>
        <v/>
      </c>
      <c r="L80" t="str">
        <f t="shared" si="4"/>
        <v/>
      </c>
      <c r="M80" t="str">
        <f t="shared" si="5"/>
        <v/>
      </c>
      <c r="N80" t="str">
        <f t="shared" si="6"/>
        <v/>
      </c>
    </row>
    <row r="81" spans="2:14" x14ac:dyDescent="0.25">
      <c r="B81" t="s">
        <v>80</v>
      </c>
      <c r="F81" t="str">
        <f>IF(G80=0,"",INDEX('[1]Grade Project'!$G:$G,MATCH($A$5,'[1]Grade Project'!$F:$F,0)+SUM($G$3:G80)))</f>
        <v/>
      </c>
      <c r="G81">
        <f>COUNTIFS('[1]Grade Project'!$F:$F,$A$5,'[1]Grade Project'!$G:$G,F81)</f>
        <v>0</v>
      </c>
      <c r="H81" t="str">
        <f>IF(I80=0,"",INDEX('[1]Grade Project'!$K:$K,MATCH(CONCATENATE($A$5,$A$8),'[1]Grade Project'!$H:$H,0)+SUM($I$3:I80)))</f>
        <v/>
      </c>
      <c r="I81">
        <f>COUNTIFS('[1]Grade Project'!$G:$G,$A$8,'[1]Grade Project'!$K:$K,H81,'[1]Grade Project'!$F:$F,$A$5)</f>
        <v>0</v>
      </c>
      <c r="J81" t="str">
        <f>IFERROR(AVERAGEIFS('[1]Grade Project'!$N:$N,'[1]Grade Project'!$K:$K,H81,'[1]Grade Project'!$F:$F,$A$5,'[1]Grade Project'!$G:$G,$A$8),"")</f>
        <v/>
      </c>
      <c r="K81" t="str">
        <f>IFERROR(AVERAGEIFS('[1]Grade Project'!$O:$O,'[1]Grade Project'!$K:$K,H81,'[1]Grade Project'!$F:$F,$A$5,'[1]Grade Project'!$G:$G,$A$8),"")</f>
        <v/>
      </c>
      <c r="L81" t="str">
        <f t="shared" si="4"/>
        <v/>
      </c>
      <c r="M81" t="str">
        <f t="shared" si="5"/>
        <v/>
      </c>
      <c r="N81" t="str">
        <f t="shared" si="6"/>
        <v/>
      </c>
    </row>
    <row r="82" spans="2:14" x14ac:dyDescent="0.25">
      <c r="B82" t="s">
        <v>81</v>
      </c>
      <c r="F82" t="str">
        <f>IF(G81=0,"",INDEX('[1]Grade Project'!$G:$G,MATCH($A$5,'[1]Grade Project'!$F:$F,0)+SUM($G$3:G81)))</f>
        <v/>
      </c>
      <c r="G82">
        <f>COUNTIFS('[1]Grade Project'!$F:$F,$A$5,'[1]Grade Project'!$G:$G,F82)</f>
        <v>0</v>
      </c>
      <c r="H82" t="str">
        <f>IF(I81=0,"",INDEX('[1]Grade Project'!$K:$K,MATCH(CONCATENATE($A$5,$A$8),'[1]Grade Project'!$H:$H,0)+SUM($I$3:I81)))</f>
        <v/>
      </c>
      <c r="I82">
        <f>COUNTIFS('[1]Grade Project'!$G:$G,$A$8,'[1]Grade Project'!$K:$K,H82,'[1]Grade Project'!$F:$F,$A$5)</f>
        <v>0</v>
      </c>
      <c r="J82" t="str">
        <f>IFERROR(AVERAGEIFS('[1]Grade Project'!$N:$N,'[1]Grade Project'!$K:$K,H82,'[1]Grade Project'!$F:$F,$A$5,'[1]Grade Project'!$G:$G,$A$8),"")</f>
        <v/>
      </c>
      <c r="K82" t="str">
        <f>IFERROR(AVERAGEIFS('[1]Grade Project'!$O:$O,'[1]Grade Project'!$K:$K,H82,'[1]Grade Project'!$F:$F,$A$5,'[1]Grade Project'!$G:$G,$A$8),"")</f>
        <v/>
      </c>
      <c r="L82" t="str">
        <f t="shared" si="4"/>
        <v/>
      </c>
      <c r="M82" t="str">
        <f t="shared" si="5"/>
        <v/>
      </c>
      <c r="N82" t="str">
        <f t="shared" si="6"/>
        <v/>
      </c>
    </row>
    <row r="83" spans="2:14" x14ac:dyDescent="0.25">
      <c r="B83" t="s">
        <v>82</v>
      </c>
      <c r="F83" t="str">
        <f>IF(G82=0,"",INDEX('[1]Grade Project'!$G:$G,MATCH($A$5,'[1]Grade Project'!$F:$F,0)+SUM($G$3:G82)))</f>
        <v/>
      </c>
      <c r="G83">
        <f>COUNTIFS('[1]Grade Project'!$F:$F,$A$5,'[1]Grade Project'!$G:$G,F83)</f>
        <v>0</v>
      </c>
      <c r="H83" t="str">
        <f>IF(I82=0,"",INDEX('[1]Grade Project'!$K:$K,MATCH(CONCATENATE($A$5,$A$8),'[1]Grade Project'!$H:$H,0)+SUM($I$3:I82)))</f>
        <v/>
      </c>
      <c r="I83">
        <f>COUNTIFS('[1]Grade Project'!$G:$G,$A$8,'[1]Grade Project'!$K:$K,H83,'[1]Grade Project'!$F:$F,$A$5)</f>
        <v>0</v>
      </c>
      <c r="J83" t="str">
        <f>IFERROR(AVERAGEIFS('[1]Grade Project'!$N:$N,'[1]Grade Project'!$K:$K,H83,'[1]Grade Project'!$F:$F,$A$5,'[1]Grade Project'!$G:$G,$A$8),"")</f>
        <v/>
      </c>
      <c r="K83" t="str">
        <f>IFERROR(AVERAGEIFS('[1]Grade Project'!$O:$O,'[1]Grade Project'!$K:$K,H83,'[1]Grade Project'!$F:$F,$A$5,'[1]Grade Project'!$G:$G,$A$8),"")</f>
        <v/>
      </c>
      <c r="L83" t="str">
        <f t="shared" si="4"/>
        <v/>
      </c>
      <c r="M83" t="str">
        <f t="shared" si="5"/>
        <v/>
      </c>
      <c r="N83" t="str">
        <f t="shared" si="6"/>
        <v/>
      </c>
    </row>
    <row r="84" spans="2:14" x14ac:dyDescent="0.25">
      <c r="B84" t="s">
        <v>83</v>
      </c>
      <c r="F84" t="str">
        <f>IF(G83=0,"",INDEX('[1]Grade Project'!$G:$G,MATCH($A$5,'[1]Grade Project'!$F:$F,0)+SUM($G$3:G83)))</f>
        <v/>
      </c>
      <c r="G84">
        <f>COUNTIFS('[1]Grade Project'!$F:$F,$A$5,'[1]Grade Project'!$G:$G,F84)</f>
        <v>0</v>
      </c>
      <c r="H84" t="str">
        <f>IF(I83=0,"",INDEX('[1]Grade Project'!$K:$K,MATCH(CONCATENATE($A$5,$A$8),'[1]Grade Project'!$H:$H,0)+SUM($I$3:I83)))</f>
        <v/>
      </c>
      <c r="I84">
        <f>COUNTIFS('[1]Grade Project'!$G:$G,$A$8,'[1]Grade Project'!$K:$K,H84,'[1]Grade Project'!$F:$F,$A$5)</f>
        <v>0</v>
      </c>
      <c r="J84" t="str">
        <f>IFERROR(AVERAGEIFS('[1]Grade Project'!$N:$N,'[1]Grade Project'!$K:$K,H84,'[1]Grade Project'!$F:$F,$A$5,'[1]Grade Project'!$G:$G,$A$8),"")</f>
        <v/>
      </c>
      <c r="K84" t="str">
        <f>IFERROR(AVERAGEIFS('[1]Grade Project'!$O:$O,'[1]Grade Project'!$K:$K,H84,'[1]Grade Project'!$F:$F,$A$5,'[1]Grade Project'!$G:$G,$A$8),"")</f>
        <v/>
      </c>
      <c r="L84" t="str">
        <f t="shared" si="4"/>
        <v/>
      </c>
      <c r="M84" t="str">
        <f t="shared" si="5"/>
        <v/>
      </c>
      <c r="N84" t="str">
        <f t="shared" si="6"/>
        <v/>
      </c>
    </row>
    <row r="85" spans="2:14" x14ac:dyDescent="0.25">
      <c r="B85" t="s">
        <v>84</v>
      </c>
      <c r="F85" t="str">
        <f>IF(G84=0,"",INDEX('[1]Grade Project'!$G:$G,MATCH($A$5,'[1]Grade Project'!$F:$F,0)+SUM($G$3:G84)))</f>
        <v/>
      </c>
      <c r="G85">
        <f>COUNTIFS('[1]Grade Project'!$F:$F,$A$5,'[1]Grade Project'!$G:$G,F85)</f>
        <v>0</v>
      </c>
      <c r="H85" t="str">
        <f>IF(I84=0,"",INDEX('[1]Grade Project'!$K:$K,MATCH(CONCATENATE($A$5,$A$8),'[1]Grade Project'!$H:$H,0)+SUM($I$3:I84)))</f>
        <v/>
      </c>
      <c r="I85">
        <f>COUNTIFS('[1]Grade Project'!$G:$G,$A$8,'[1]Grade Project'!$K:$K,H85,'[1]Grade Project'!$F:$F,$A$5)</f>
        <v>0</v>
      </c>
      <c r="J85" t="str">
        <f>IFERROR(AVERAGEIFS('[1]Grade Project'!$N:$N,'[1]Grade Project'!$K:$K,H85,'[1]Grade Project'!$F:$F,$A$5,'[1]Grade Project'!$G:$G,$A$8),"")</f>
        <v/>
      </c>
      <c r="K85" t="str">
        <f>IFERROR(AVERAGEIFS('[1]Grade Project'!$O:$O,'[1]Grade Project'!$K:$K,H85,'[1]Grade Project'!$F:$F,$A$5,'[1]Grade Project'!$G:$G,$A$8),"")</f>
        <v/>
      </c>
      <c r="L85" t="str">
        <f t="shared" si="4"/>
        <v/>
      </c>
      <c r="M85" t="str">
        <f t="shared" si="5"/>
        <v/>
      </c>
      <c r="N85" t="str">
        <f t="shared" si="6"/>
        <v/>
      </c>
    </row>
    <row r="86" spans="2:14" x14ac:dyDescent="0.25">
      <c r="B86" t="s">
        <v>85</v>
      </c>
      <c r="F86" t="str">
        <f>IF(G85=0,"",INDEX('[1]Grade Project'!$G:$G,MATCH($A$5,'[1]Grade Project'!$F:$F,0)+SUM($G$3:G85)))</f>
        <v/>
      </c>
      <c r="G86">
        <f>COUNTIFS('[1]Grade Project'!$F:$F,$A$5,'[1]Grade Project'!$G:$G,F86)</f>
        <v>0</v>
      </c>
      <c r="H86" t="str">
        <f>IF(I85=0,"",INDEX('[1]Grade Project'!$K:$K,MATCH(CONCATENATE($A$5,$A$8),'[1]Grade Project'!$H:$H,0)+SUM($I$3:I85)))</f>
        <v/>
      </c>
      <c r="I86">
        <f>COUNTIFS('[1]Grade Project'!$G:$G,$A$8,'[1]Grade Project'!$K:$K,H86,'[1]Grade Project'!$F:$F,$A$5)</f>
        <v>0</v>
      </c>
      <c r="J86" t="str">
        <f>IFERROR(AVERAGEIFS('[1]Grade Project'!$N:$N,'[1]Grade Project'!$K:$K,H86,'[1]Grade Project'!$F:$F,$A$5,'[1]Grade Project'!$G:$G,$A$8),"")</f>
        <v/>
      </c>
      <c r="K86" t="str">
        <f>IFERROR(AVERAGEIFS('[1]Grade Project'!$O:$O,'[1]Grade Project'!$K:$K,H86,'[1]Grade Project'!$F:$F,$A$5,'[1]Grade Project'!$G:$G,$A$8),"")</f>
        <v/>
      </c>
      <c r="L86" t="str">
        <f t="shared" si="4"/>
        <v/>
      </c>
      <c r="M86" t="str">
        <f t="shared" si="5"/>
        <v/>
      </c>
      <c r="N86" t="str">
        <f t="shared" si="6"/>
        <v/>
      </c>
    </row>
    <row r="87" spans="2:14" x14ac:dyDescent="0.25">
      <c r="B87" t="s">
        <v>86</v>
      </c>
      <c r="F87" t="str">
        <f>IF(G86=0,"",INDEX('[1]Grade Project'!$G:$G,MATCH($A$5,'[1]Grade Project'!$F:$F,0)+SUM($G$3:G86)))</f>
        <v/>
      </c>
      <c r="G87">
        <f>COUNTIFS('[1]Grade Project'!$F:$F,$A$5,'[1]Grade Project'!$G:$G,F87)</f>
        <v>0</v>
      </c>
      <c r="H87" t="str">
        <f>IF(I86=0,"",INDEX('[1]Grade Project'!$K:$K,MATCH(CONCATENATE($A$5,$A$8),'[1]Grade Project'!$H:$H,0)+SUM($I$3:I86)))</f>
        <v/>
      </c>
      <c r="I87">
        <f>COUNTIFS('[1]Grade Project'!$G:$G,$A$8,'[1]Grade Project'!$K:$K,H87,'[1]Grade Project'!$F:$F,$A$5)</f>
        <v>0</v>
      </c>
      <c r="J87" t="str">
        <f>IFERROR(AVERAGEIFS('[1]Grade Project'!$N:$N,'[1]Grade Project'!$K:$K,H87,'[1]Grade Project'!$F:$F,$A$5,'[1]Grade Project'!$G:$G,$A$8),"")</f>
        <v/>
      </c>
      <c r="K87" t="str">
        <f>IFERROR(AVERAGEIFS('[1]Grade Project'!$O:$O,'[1]Grade Project'!$K:$K,H87,'[1]Grade Project'!$F:$F,$A$5,'[1]Grade Project'!$G:$G,$A$8),"")</f>
        <v/>
      </c>
      <c r="L87" t="str">
        <f t="shared" si="4"/>
        <v/>
      </c>
      <c r="M87" t="str">
        <f t="shared" si="5"/>
        <v/>
      </c>
      <c r="N87" t="str">
        <f t="shared" si="6"/>
        <v/>
      </c>
    </row>
    <row r="88" spans="2:14" x14ac:dyDescent="0.25">
      <c r="B88" t="s">
        <v>87</v>
      </c>
      <c r="F88" t="str">
        <f>IF(G87=0,"",INDEX('[1]Grade Project'!$G:$G,MATCH($A$5,'[1]Grade Project'!$F:$F,0)+SUM($G$3:G87)))</f>
        <v/>
      </c>
      <c r="G88">
        <f>COUNTIFS('[1]Grade Project'!$F:$F,$A$5,'[1]Grade Project'!$G:$G,F88)</f>
        <v>0</v>
      </c>
      <c r="H88" t="str">
        <f>IF(I87=0,"",INDEX('[1]Grade Project'!$K:$K,MATCH(CONCATENATE($A$5,$A$8),'[1]Grade Project'!$H:$H,0)+SUM($I$3:I87)))</f>
        <v/>
      </c>
      <c r="I88">
        <f>COUNTIFS('[1]Grade Project'!$G:$G,$A$8,'[1]Grade Project'!$K:$K,H88,'[1]Grade Project'!$F:$F,$A$5)</f>
        <v>0</v>
      </c>
      <c r="J88" t="str">
        <f>IFERROR(AVERAGEIFS('[1]Grade Project'!$N:$N,'[1]Grade Project'!$K:$K,H88,'[1]Grade Project'!$F:$F,$A$5,'[1]Grade Project'!$G:$G,$A$8),"")</f>
        <v/>
      </c>
      <c r="K88" t="str">
        <f>IFERROR(AVERAGEIFS('[1]Grade Project'!$O:$O,'[1]Grade Project'!$K:$K,H88,'[1]Grade Project'!$F:$F,$A$5,'[1]Grade Project'!$G:$G,$A$8),"")</f>
        <v/>
      </c>
      <c r="L88" t="str">
        <f t="shared" si="4"/>
        <v/>
      </c>
      <c r="M88" t="str">
        <f t="shared" si="5"/>
        <v/>
      </c>
      <c r="N88" t="str">
        <f t="shared" si="6"/>
        <v/>
      </c>
    </row>
    <row r="89" spans="2:14" x14ac:dyDescent="0.25">
      <c r="B89" t="s">
        <v>88</v>
      </c>
      <c r="F89" t="str">
        <f>IF(G88=0,"",INDEX('[1]Grade Project'!$G:$G,MATCH($A$5,'[1]Grade Project'!$F:$F,0)+SUM($G$3:G88)))</f>
        <v/>
      </c>
      <c r="G89">
        <f>COUNTIFS('[1]Grade Project'!$F:$F,$A$5,'[1]Grade Project'!$G:$G,F89)</f>
        <v>0</v>
      </c>
      <c r="H89" t="str">
        <f>IF(I88=0,"",INDEX('[1]Grade Project'!$K:$K,MATCH(CONCATENATE($A$5,$A$8),'[1]Grade Project'!$H:$H,0)+SUM($I$3:I88)))</f>
        <v/>
      </c>
      <c r="I89">
        <f>COUNTIFS('[1]Grade Project'!$G:$G,$A$8,'[1]Grade Project'!$K:$K,H89,'[1]Grade Project'!$F:$F,$A$5)</f>
        <v>0</v>
      </c>
      <c r="J89" t="str">
        <f>IFERROR(AVERAGEIFS('[1]Grade Project'!$N:$N,'[1]Grade Project'!$K:$K,H89,'[1]Grade Project'!$F:$F,$A$5,'[1]Grade Project'!$G:$G,$A$8),"")</f>
        <v/>
      </c>
      <c r="K89" t="str">
        <f>IFERROR(AVERAGEIFS('[1]Grade Project'!$O:$O,'[1]Grade Project'!$K:$K,H89,'[1]Grade Project'!$F:$F,$A$5,'[1]Grade Project'!$G:$G,$A$8),"")</f>
        <v/>
      </c>
      <c r="L89" t="str">
        <f t="shared" si="4"/>
        <v/>
      </c>
      <c r="M89" t="str">
        <f t="shared" si="5"/>
        <v/>
      </c>
      <c r="N89" t="str">
        <f t="shared" si="6"/>
        <v/>
      </c>
    </row>
    <row r="90" spans="2:14" x14ac:dyDescent="0.25">
      <c r="B90" t="s">
        <v>89</v>
      </c>
      <c r="F90" t="str">
        <f>IF(G89=0,"",INDEX('[1]Grade Project'!$G:$G,MATCH($A$5,'[1]Grade Project'!$F:$F,0)+SUM($G$3:G89)))</f>
        <v/>
      </c>
      <c r="G90">
        <f>COUNTIFS('[1]Grade Project'!$F:$F,$A$5,'[1]Grade Project'!$G:$G,F90)</f>
        <v>0</v>
      </c>
      <c r="H90" t="str">
        <f>IF(I89=0,"",INDEX('[1]Grade Project'!$K:$K,MATCH(CONCATENATE($A$5,$A$8),'[1]Grade Project'!$H:$H,0)+SUM($I$3:I89)))</f>
        <v/>
      </c>
      <c r="I90">
        <f>COUNTIFS('[1]Grade Project'!$G:$G,$A$8,'[1]Grade Project'!$K:$K,H90,'[1]Grade Project'!$F:$F,$A$5)</f>
        <v>0</v>
      </c>
      <c r="J90" t="str">
        <f>IFERROR(AVERAGEIFS('[1]Grade Project'!$N:$N,'[1]Grade Project'!$K:$K,H90,'[1]Grade Project'!$F:$F,$A$5,'[1]Grade Project'!$G:$G,$A$8),"")</f>
        <v/>
      </c>
      <c r="K90" t="str">
        <f>IFERROR(AVERAGEIFS('[1]Grade Project'!$O:$O,'[1]Grade Project'!$K:$K,H90,'[1]Grade Project'!$F:$F,$A$5,'[1]Grade Project'!$G:$G,$A$8),"")</f>
        <v/>
      </c>
      <c r="L90" t="str">
        <f t="shared" si="4"/>
        <v/>
      </c>
      <c r="M90" t="str">
        <f t="shared" si="5"/>
        <v/>
      </c>
      <c r="N90" t="str">
        <f t="shared" si="6"/>
        <v/>
      </c>
    </row>
    <row r="91" spans="2:14" x14ac:dyDescent="0.25">
      <c r="B91" t="s">
        <v>90</v>
      </c>
      <c r="F91" t="str">
        <f>IF(G90=0,"",INDEX('[1]Grade Project'!$G:$G,MATCH($A$5,'[1]Grade Project'!$F:$F,0)+SUM($G$3:G90)))</f>
        <v/>
      </c>
      <c r="G91">
        <f>COUNTIFS('[1]Grade Project'!$F:$F,$A$5,'[1]Grade Project'!$G:$G,F91)</f>
        <v>0</v>
      </c>
      <c r="H91" t="str">
        <f>IF(I90=0,"",INDEX('[1]Grade Project'!$K:$K,MATCH(CONCATENATE($A$5,$A$8),'[1]Grade Project'!$H:$H,0)+SUM($I$3:I90)))</f>
        <v/>
      </c>
      <c r="I91">
        <f>COUNTIFS('[1]Grade Project'!$G:$G,$A$8,'[1]Grade Project'!$K:$K,H91,'[1]Grade Project'!$F:$F,$A$5)</f>
        <v>0</v>
      </c>
      <c r="J91" t="str">
        <f>IFERROR(AVERAGEIFS('[1]Grade Project'!$N:$N,'[1]Grade Project'!$K:$K,H91,'[1]Grade Project'!$F:$F,$A$5,'[1]Grade Project'!$G:$G,$A$8),"")</f>
        <v/>
      </c>
      <c r="K91" t="str">
        <f>IFERROR(AVERAGEIFS('[1]Grade Project'!$O:$O,'[1]Grade Project'!$K:$K,H91,'[1]Grade Project'!$F:$F,$A$5,'[1]Grade Project'!$G:$G,$A$8),"")</f>
        <v/>
      </c>
      <c r="L91" t="str">
        <f t="shared" si="4"/>
        <v/>
      </c>
      <c r="M91" t="str">
        <f t="shared" si="5"/>
        <v/>
      </c>
      <c r="N91" t="str">
        <f t="shared" si="6"/>
        <v/>
      </c>
    </row>
    <row r="92" spans="2:14" x14ac:dyDescent="0.25">
      <c r="B92" t="s">
        <v>91</v>
      </c>
      <c r="F92" t="str">
        <f>IF(G91=0,"",INDEX('[1]Grade Project'!$G:$G,MATCH($A$5,'[1]Grade Project'!$F:$F,0)+SUM($G$3:G91)))</f>
        <v/>
      </c>
      <c r="G92">
        <f>COUNTIFS('[1]Grade Project'!$F:$F,$A$5,'[1]Grade Project'!$G:$G,F92)</f>
        <v>0</v>
      </c>
      <c r="H92" t="str">
        <f>IF(I91=0,"",INDEX('[1]Grade Project'!$K:$K,MATCH(CONCATENATE($A$5,$A$8),'[1]Grade Project'!$H:$H,0)+SUM($I$3:I91)))</f>
        <v/>
      </c>
      <c r="I92">
        <f>COUNTIFS('[1]Grade Project'!$G:$G,$A$8,'[1]Grade Project'!$K:$K,H92,'[1]Grade Project'!$F:$F,$A$5)</f>
        <v>0</v>
      </c>
      <c r="J92" t="str">
        <f>IFERROR(AVERAGEIFS('[1]Grade Project'!$N:$N,'[1]Grade Project'!$K:$K,H92,'[1]Grade Project'!$F:$F,$A$5,'[1]Grade Project'!$G:$G,$A$8),"")</f>
        <v/>
      </c>
      <c r="K92" t="str">
        <f>IFERROR(AVERAGEIFS('[1]Grade Project'!$O:$O,'[1]Grade Project'!$K:$K,H92,'[1]Grade Project'!$F:$F,$A$5,'[1]Grade Project'!$G:$G,$A$8),"")</f>
        <v/>
      </c>
      <c r="L92" t="str">
        <f t="shared" si="4"/>
        <v/>
      </c>
      <c r="M92" t="str">
        <f t="shared" si="5"/>
        <v/>
      </c>
      <c r="N92" t="str">
        <f t="shared" si="6"/>
        <v/>
      </c>
    </row>
    <row r="93" spans="2:14" x14ac:dyDescent="0.25">
      <c r="B93" t="s">
        <v>92</v>
      </c>
      <c r="F93" t="str">
        <f>IF(G92=0,"",INDEX('[1]Grade Project'!$G:$G,MATCH($A$5,'[1]Grade Project'!$F:$F,0)+SUM($G$3:G92)))</f>
        <v/>
      </c>
      <c r="G93">
        <f>COUNTIFS('[1]Grade Project'!$F:$F,$A$5,'[1]Grade Project'!$G:$G,F93)</f>
        <v>0</v>
      </c>
      <c r="H93" t="str">
        <f>IF(I92=0,"",INDEX('[1]Grade Project'!$K:$K,MATCH(CONCATENATE($A$5,$A$8),'[1]Grade Project'!$H:$H,0)+SUM($I$3:I92)))</f>
        <v/>
      </c>
      <c r="I93">
        <f>COUNTIFS('[1]Grade Project'!$G:$G,$A$8,'[1]Grade Project'!$K:$K,H93,'[1]Grade Project'!$F:$F,$A$5)</f>
        <v>0</v>
      </c>
      <c r="J93" t="str">
        <f>IFERROR(AVERAGEIFS('[1]Grade Project'!$N:$N,'[1]Grade Project'!$K:$K,H93,'[1]Grade Project'!$F:$F,$A$5,'[1]Grade Project'!$G:$G,$A$8),"")</f>
        <v/>
      </c>
      <c r="K93" t="str">
        <f>IFERROR(AVERAGEIFS('[1]Grade Project'!$O:$O,'[1]Grade Project'!$K:$K,H93,'[1]Grade Project'!$F:$F,$A$5,'[1]Grade Project'!$G:$G,$A$8),"")</f>
        <v/>
      </c>
      <c r="L93" t="str">
        <f t="shared" si="4"/>
        <v/>
      </c>
      <c r="M93" t="str">
        <f t="shared" si="5"/>
        <v/>
      </c>
      <c r="N93" t="str">
        <f t="shared" si="6"/>
        <v/>
      </c>
    </row>
    <row r="94" spans="2:14" x14ac:dyDescent="0.25">
      <c r="B94" t="s">
        <v>93</v>
      </c>
      <c r="F94" t="str">
        <f>IF(G93=0,"",INDEX('[1]Grade Project'!$G:$G,MATCH($A$5,'[1]Grade Project'!$F:$F,0)+SUM($G$3:G93)))</f>
        <v/>
      </c>
      <c r="G94">
        <f>COUNTIFS('[1]Grade Project'!$F:$F,$A$5,'[1]Grade Project'!$G:$G,F94)</f>
        <v>0</v>
      </c>
      <c r="H94" t="str">
        <f>IF(I93=0,"",INDEX('[1]Grade Project'!$K:$K,MATCH(CONCATENATE($A$5,$A$8),'[1]Grade Project'!$H:$H,0)+SUM($I$3:I93)))</f>
        <v/>
      </c>
      <c r="I94">
        <f>COUNTIFS('[1]Grade Project'!$G:$G,$A$8,'[1]Grade Project'!$K:$K,H94,'[1]Grade Project'!$F:$F,$A$5)</f>
        <v>0</v>
      </c>
      <c r="J94" t="str">
        <f>IFERROR(AVERAGEIFS('[1]Grade Project'!$N:$N,'[1]Grade Project'!$K:$K,H94,'[1]Grade Project'!$F:$F,$A$5,'[1]Grade Project'!$G:$G,$A$8),"")</f>
        <v/>
      </c>
      <c r="K94" t="str">
        <f>IFERROR(AVERAGEIFS('[1]Grade Project'!$O:$O,'[1]Grade Project'!$K:$K,H94,'[1]Grade Project'!$F:$F,$A$5,'[1]Grade Project'!$G:$G,$A$8),"")</f>
        <v/>
      </c>
      <c r="L94" t="str">
        <f t="shared" si="4"/>
        <v/>
      </c>
      <c r="M94" t="str">
        <f t="shared" si="5"/>
        <v/>
      </c>
      <c r="N94" t="str">
        <f t="shared" si="6"/>
        <v/>
      </c>
    </row>
    <row r="95" spans="2:14" x14ac:dyDescent="0.25">
      <c r="B95" t="s">
        <v>94</v>
      </c>
      <c r="F95" t="str">
        <f>IF(G94=0,"",INDEX('[1]Grade Project'!$G:$G,MATCH($A$5,'[1]Grade Project'!$F:$F,0)+SUM($G$3:G94)))</f>
        <v/>
      </c>
      <c r="G95">
        <f>COUNTIFS('[1]Grade Project'!$F:$F,$A$5,'[1]Grade Project'!$G:$G,F95)</f>
        <v>0</v>
      </c>
      <c r="H95" t="str">
        <f>IF(I94=0,"",INDEX('[1]Grade Project'!$K:$K,MATCH(CONCATENATE($A$5,$A$8),'[1]Grade Project'!$H:$H,0)+SUM($I$3:I94)))</f>
        <v/>
      </c>
      <c r="I95">
        <f>COUNTIFS('[1]Grade Project'!$G:$G,$A$8,'[1]Grade Project'!$K:$K,H95,'[1]Grade Project'!$F:$F,$A$5)</f>
        <v>0</v>
      </c>
      <c r="J95" t="str">
        <f>IFERROR(AVERAGEIFS('[1]Grade Project'!$N:$N,'[1]Grade Project'!$K:$K,H95,'[1]Grade Project'!$F:$F,$A$5,'[1]Grade Project'!$G:$G,$A$8),"")</f>
        <v/>
      </c>
      <c r="K95" t="str">
        <f>IFERROR(AVERAGEIFS('[1]Grade Project'!$O:$O,'[1]Grade Project'!$K:$K,H95,'[1]Grade Project'!$F:$F,$A$5,'[1]Grade Project'!$G:$G,$A$8),"")</f>
        <v/>
      </c>
      <c r="L95" t="str">
        <f t="shared" si="4"/>
        <v/>
      </c>
      <c r="M95" t="str">
        <f t="shared" si="5"/>
        <v/>
      </c>
      <c r="N95" t="str">
        <f t="shared" si="6"/>
        <v/>
      </c>
    </row>
    <row r="96" spans="2:14" x14ac:dyDescent="0.25">
      <c r="B96" t="s">
        <v>95</v>
      </c>
      <c r="F96" t="str">
        <f>IF(G95=0,"",INDEX('[1]Grade Project'!$G:$G,MATCH($A$5,'[1]Grade Project'!$F:$F,0)+SUM($G$3:G95)))</f>
        <v/>
      </c>
      <c r="G96">
        <f>COUNTIFS('[1]Grade Project'!$F:$F,$A$5,'[1]Grade Project'!$G:$G,F96)</f>
        <v>0</v>
      </c>
      <c r="H96" t="str">
        <f>IF(I95=0,"",INDEX('[1]Grade Project'!$K:$K,MATCH(CONCATENATE($A$5,$A$8),'[1]Grade Project'!$H:$H,0)+SUM($I$3:I95)))</f>
        <v/>
      </c>
      <c r="I96">
        <f>COUNTIFS('[1]Grade Project'!$G:$G,$A$8,'[1]Grade Project'!$K:$K,H96,'[1]Grade Project'!$F:$F,$A$5)</f>
        <v>0</v>
      </c>
      <c r="J96" t="str">
        <f>IFERROR(AVERAGEIFS('[1]Grade Project'!$N:$N,'[1]Grade Project'!$K:$K,H96,'[1]Grade Project'!$F:$F,$A$5,'[1]Grade Project'!$G:$G,$A$8),"")</f>
        <v/>
      </c>
      <c r="K96" t="str">
        <f>IFERROR(AVERAGEIFS('[1]Grade Project'!$O:$O,'[1]Grade Project'!$K:$K,H96,'[1]Grade Project'!$F:$F,$A$5,'[1]Grade Project'!$G:$G,$A$8),"")</f>
        <v/>
      </c>
      <c r="L96" t="str">
        <f t="shared" si="4"/>
        <v/>
      </c>
      <c r="M96" t="str">
        <f t="shared" si="5"/>
        <v/>
      </c>
      <c r="N96" t="str">
        <f t="shared" si="6"/>
        <v/>
      </c>
    </row>
    <row r="97" spans="2:14" x14ac:dyDescent="0.25">
      <c r="B97" t="s">
        <v>96</v>
      </c>
      <c r="H97" t="str">
        <f>IF(I96=0,"",INDEX('[1]Grade Project'!$K:$K,MATCH(CONCATENATE($A$5,$A$8),'[1]Grade Project'!$H:$H,0)+SUM($I$3:I96)))</f>
        <v/>
      </c>
      <c r="I97">
        <f>COUNTIFS('[1]Grade Project'!$G:$G,$A$8,'[1]Grade Project'!$K:$K,H97,'[1]Grade Project'!$F:$F,$A$5)</f>
        <v>0</v>
      </c>
      <c r="J97" t="str">
        <f>IFERROR(AVERAGEIFS('[1]Grade Project'!$N:$N,'[1]Grade Project'!$K:$K,H97,'[1]Grade Project'!$F:$F,$A$5,'[1]Grade Project'!$G:$G,$A$8),"")</f>
        <v/>
      </c>
      <c r="K97" t="str">
        <f>IFERROR(AVERAGEIFS('[1]Grade Project'!$O:$O,'[1]Grade Project'!$K:$K,H97,'[1]Grade Project'!$F:$F,$A$5,'[1]Grade Project'!$G:$G,$A$8),"")</f>
        <v/>
      </c>
      <c r="L97" t="str">
        <f t="shared" si="4"/>
        <v/>
      </c>
      <c r="M97" t="str">
        <f t="shared" si="5"/>
        <v/>
      </c>
      <c r="N97" t="str">
        <f t="shared" si="6"/>
        <v/>
      </c>
    </row>
    <row r="98" spans="2:14" x14ac:dyDescent="0.25">
      <c r="B98" t="s">
        <v>97</v>
      </c>
      <c r="H98" t="str">
        <f>IF(I97=0,"",INDEX('[1]Grade Project'!$K:$K,MATCH(CONCATENATE($A$5,$A$8),'[1]Grade Project'!$H:$H,0)+SUM($I$3:I97)))</f>
        <v/>
      </c>
      <c r="I98">
        <f>COUNTIFS('[1]Grade Project'!$G:$G,$A$8,'[1]Grade Project'!$K:$K,H98,'[1]Grade Project'!$F:$F,$A$5)</f>
        <v>0</v>
      </c>
      <c r="J98" t="str">
        <f>IFERROR(AVERAGEIFS('[1]Grade Project'!$N:$N,'[1]Grade Project'!$K:$K,H98,'[1]Grade Project'!$F:$F,$A$5,'[1]Grade Project'!$G:$G,$A$8),"")</f>
        <v/>
      </c>
      <c r="K98" t="str">
        <f>IFERROR(AVERAGEIFS('[1]Grade Project'!$O:$O,'[1]Grade Project'!$K:$K,H98,'[1]Grade Project'!$F:$F,$A$5,'[1]Grade Project'!$G:$G,$A$8),"")</f>
        <v/>
      </c>
      <c r="L98" t="str">
        <f t="shared" si="4"/>
        <v/>
      </c>
      <c r="M98" t="str">
        <f t="shared" si="5"/>
        <v/>
      </c>
      <c r="N98" t="str">
        <f t="shared" si="6"/>
        <v/>
      </c>
    </row>
    <row r="99" spans="2:14" x14ac:dyDescent="0.25">
      <c r="B99" t="s">
        <v>98</v>
      </c>
      <c r="H99" t="str">
        <f>IF(I98=0,"",INDEX('[1]Grade Project'!$K:$K,MATCH(CONCATENATE($A$5,$A$8),'[1]Grade Project'!$H:$H,0)+SUM($I$3:I98)))</f>
        <v/>
      </c>
      <c r="I99">
        <f>COUNTIFS('[1]Grade Project'!$G:$G,$A$8,'[1]Grade Project'!$K:$K,H99,'[1]Grade Project'!$F:$F,$A$5)</f>
        <v>0</v>
      </c>
      <c r="J99" t="str">
        <f>IFERROR(AVERAGEIFS('[1]Grade Project'!$N:$N,'[1]Grade Project'!$K:$K,H99,'[1]Grade Project'!$F:$F,$A$5,'[1]Grade Project'!$G:$G,$A$8),"")</f>
        <v/>
      </c>
      <c r="K99" t="str">
        <f>IFERROR(AVERAGEIFS('[1]Grade Project'!$O:$O,'[1]Grade Project'!$K:$K,H99,'[1]Grade Project'!$F:$F,$A$5,'[1]Grade Project'!$G:$G,$A$8),"")</f>
        <v/>
      </c>
      <c r="L99" t="str">
        <f t="shared" si="4"/>
        <v/>
      </c>
      <c r="M99" t="str">
        <f t="shared" si="5"/>
        <v/>
      </c>
      <c r="N99" t="str">
        <f t="shared" si="6"/>
        <v/>
      </c>
    </row>
    <row r="100" spans="2:14" x14ac:dyDescent="0.25">
      <c r="B100" t="s">
        <v>99</v>
      </c>
      <c r="H100" t="str">
        <f>IF(I99=0,"",INDEX('[1]Grade Project'!$K:$K,MATCH(CONCATENATE($A$5,$A$8),'[1]Grade Project'!$H:$H,0)+SUM($I$3:I99)))</f>
        <v/>
      </c>
      <c r="I100">
        <f>COUNTIFS('[1]Grade Project'!$G:$G,$A$8,'[1]Grade Project'!$K:$K,H100,'[1]Grade Project'!$F:$F,$A$5)</f>
        <v>0</v>
      </c>
      <c r="J100" t="str">
        <f>IFERROR(AVERAGEIFS('[1]Grade Project'!$N:$N,'[1]Grade Project'!$K:$K,H100,'[1]Grade Project'!$F:$F,$A$5,'[1]Grade Project'!$G:$G,$A$8),"")</f>
        <v/>
      </c>
      <c r="K100" t="str">
        <f>IFERROR(AVERAGEIFS('[1]Grade Project'!$O:$O,'[1]Grade Project'!$K:$K,H100,'[1]Grade Project'!$F:$F,$A$5,'[1]Grade Project'!$G:$G,$A$8),"")</f>
        <v/>
      </c>
      <c r="L100" t="str">
        <f t="shared" si="4"/>
        <v/>
      </c>
      <c r="M100" t="str">
        <f t="shared" si="5"/>
        <v/>
      </c>
      <c r="N100" t="str">
        <f t="shared" si="6"/>
        <v/>
      </c>
    </row>
    <row r="101" spans="2:14" x14ac:dyDescent="0.25">
      <c r="H101" t="str">
        <f>IF(I100=0,"",INDEX('[1]Grade Project'!$K:$K,MATCH(CONCATENATE($A$5,$A$8),'[1]Grade Project'!$H:$H,0)+SUM($I$3:I100)))</f>
        <v/>
      </c>
      <c r="I101">
        <f>COUNTIFS('[1]Grade Project'!$G:$G,$A$8,'[1]Grade Project'!$K:$K,H101,'[1]Grade Project'!$F:$F,$A$5)</f>
        <v>0</v>
      </c>
      <c r="J101" t="str">
        <f>IFERROR(AVERAGEIFS('[1]Grade Project'!$N:$N,'[1]Grade Project'!$K:$K,H101,'[1]Grade Project'!$F:$F,$A$5,'[1]Grade Project'!$G:$G,$A$8),"")</f>
        <v/>
      </c>
      <c r="K101" t="str">
        <f>IFERROR(AVERAGEIFS('[1]Grade Project'!$O:$O,'[1]Grade Project'!$K:$K,H101,'[1]Grade Project'!$F:$F,$A$5,'[1]Grade Project'!$G:$G,$A$8),"")</f>
        <v/>
      </c>
      <c r="L101" t="str">
        <f t="shared" si="4"/>
        <v/>
      </c>
      <c r="M101" t="str">
        <f t="shared" si="5"/>
        <v/>
      </c>
      <c r="N101" t="str">
        <f t="shared" si="6"/>
        <v/>
      </c>
    </row>
    <row r="102" spans="2:14" x14ac:dyDescent="0.25">
      <c r="H102" t="str">
        <f>IF(I101=0,"",INDEX('[1]Grade Project'!$K:$K,MATCH(CONCATENATE($A$5,$A$8),'[1]Grade Project'!$H:$H,0)+SUM($I$3:I101)))</f>
        <v/>
      </c>
      <c r="I102">
        <f>COUNTIFS('[1]Grade Project'!$G:$G,$A$8,'[1]Grade Project'!$K:$K,H102,'[1]Grade Project'!$F:$F,$A$5)</f>
        <v>0</v>
      </c>
      <c r="J102" t="str">
        <f>IFERROR(AVERAGEIFS('[1]Grade Project'!$N:$N,'[1]Grade Project'!$K:$K,H102,'[1]Grade Project'!$F:$F,$A$5,'[1]Grade Project'!$G:$G,$A$8),"")</f>
        <v/>
      </c>
      <c r="K102" t="str">
        <f>IFERROR(AVERAGEIFS('[1]Grade Project'!$O:$O,'[1]Grade Project'!$K:$K,H102,'[1]Grade Project'!$F:$F,$A$5,'[1]Grade Project'!$G:$G,$A$8),"")</f>
        <v/>
      </c>
      <c r="L102" t="str">
        <f t="shared" si="4"/>
        <v/>
      </c>
      <c r="M102" t="str">
        <f t="shared" si="5"/>
        <v/>
      </c>
      <c r="N102" t="str">
        <f t="shared" si="6"/>
        <v/>
      </c>
    </row>
    <row r="103" spans="2:14" x14ac:dyDescent="0.25">
      <c r="H103" t="str">
        <f>IF(I102=0,"",INDEX('[1]Grade Project'!$K:$K,MATCH(CONCATENATE($A$5,$A$8),'[1]Grade Project'!$H:$H,0)+SUM($I$3:I102)))</f>
        <v/>
      </c>
      <c r="I103">
        <f>COUNTIFS('[1]Grade Project'!$G:$G,$A$8,'[1]Grade Project'!$K:$K,H103,'[1]Grade Project'!$F:$F,$A$5)</f>
        <v>0</v>
      </c>
      <c r="J103" t="str">
        <f>IFERROR(AVERAGEIFS('[1]Grade Project'!$N:$N,'[1]Grade Project'!$K:$K,H103,'[1]Grade Project'!$F:$F,$A$5,'[1]Grade Project'!$G:$G,$A$8),"")</f>
        <v/>
      </c>
      <c r="K103" t="str">
        <f>IFERROR(AVERAGEIFS('[1]Grade Project'!$O:$O,'[1]Grade Project'!$K:$K,H103,'[1]Grade Project'!$F:$F,$A$5,'[1]Grade Project'!$G:$G,$A$8),"")</f>
        <v/>
      </c>
      <c r="L103" t="str">
        <f t="shared" si="4"/>
        <v/>
      </c>
      <c r="M103" t="str">
        <f t="shared" si="5"/>
        <v/>
      </c>
      <c r="N103" t="str">
        <f t="shared" si="6"/>
        <v/>
      </c>
    </row>
    <row r="104" spans="2:14" x14ac:dyDescent="0.25">
      <c r="H104" t="str">
        <f>IF(I103=0,"",INDEX('[1]Grade Project'!$K:$K,MATCH(CONCATENATE($A$5,$A$8),'[1]Grade Project'!$H:$H,0)+SUM($I$3:I103)))</f>
        <v/>
      </c>
      <c r="I104">
        <f>COUNTIFS('[1]Grade Project'!$G:$G,$A$8,'[1]Grade Project'!$K:$K,H104,'[1]Grade Project'!$F:$F,$A$5)</f>
        <v>0</v>
      </c>
      <c r="J104" t="str">
        <f>IFERROR(AVERAGEIFS('[1]Grade Project'!$N:$N,'[1]Grade Project'!$K:$K,H104,'[1]Grade Project'!$F:$F,$A$5,'[1]Grade Project'!$G:$G,$A$8),"")</f>
        <v/>
      </c>
      <c r="K104" t="str">
        <f>IFERROR(AVERAGEIFS('[1]Grade Project'!$O:$O,'[1]Grade Project'!$K:$K,H104,'[1]Grade Project'!$F:$F,$A$5,'[1]Grade Project'!$G:$G,$A$8),"")</f>
        <v/>
      </c>
      <c r="L104" t="str">
        <f t="shared" si="4"/>
        <v/>
      </c>
      <c r="M104" t="str">
        <f t="shared" si="5"/>
        <v/>
      </c>
      <c r="N104" t="str">
        <f t="shared" si="6"/>
        <v/>
      </c>
    </row>
    <row r="105" spans="2:14" x14ac:dyDescent="0.25">
      <c r="H105" t="str">
        <f>IF(I104=0,"",INDEX('[1]Grade Project'!$K:$K,MATCH(CONCATENATE($A$5,$A$8),'[1]Grade Project'!$H:$H,0)+SUM($I$3:I104)))</f>
        <v/>
      </c>
      <c r="I105">
        <f>COUNTIFS('[1]Grade Project'!$G:$G,$A$8,'[1]Grade Project'!$K:$K,H105,'[1]Grade Project'!$F:$F,$A$5)</f>
        <v>0</v>
      </c>
      <c r="J105" t="str">
        <f>IFERROR(AVERAGEIFS('[1]Grade Project'!$N:$N,'[1]Grade Project'!$K:$K,H105,'[1]Grade Project'!$F:$F,$A$5,'[1]Grade Project'!$G:$G,$A$8),"")</f>
        <v/>
      </c>
      <c r="K105" t="str">
        <f>IFERROR(AVERAGEIFS('[1]Grade Project'!$O:$O,'[1]Grade Project'!$K:$K,H105,'[1]Grade Project'!$F:$F,$A$5,'[1]Grade Project'!$G:$G,$A$8),"")</f>
        <v/>
      </c>
      <c r="L105" t="str">
        <f t="shared" si="4"/>
        <v/>
      </c>
      <c r="M105" t="str">
        <f t="shared" si="5"/>
        <v/>
      </c>
      <c r="N105" t="str">
        <f t="shared" si="6"/>
        <v/>
      </c>
    </row>
    <row r="106" spans="2:14" x14ac:dyDescent="0.25">
      <c r="H106" t="str">
        <f>IF(I105=0,"",INDEX('[1]Grade Project'!$K:$K,MATCH(CONCATENATE($A$5,$A$8),'[1]Grade Project'!$H:$H,0)+SUM($I$3:I105)))</f>
        <v/>
      </c>
      <c r="I106">
        <f>COUNTIFS('[1]Grade Project'!$G:$G,$A$8,'[1]Grade Project'!$K:$K,H106,'[1]Grade Project'!$F:$F,$A$5)</f>
        <v>0</v>
      </c>
      <c r="J106" t="str">
        <f>IFERROR(AVERAGEIFS('[1]Grade Project'!$N:$N,'[1]Grade Project'!$K:$K,H106,'[1]Grade Project'!$F:$F,$A$5,'[1]Grade Project'!$G:$G,$A$8),"")</f>
        <v/>
      </c>
      <c r="K106" t="str">
        <f>IFERROR(AVERAGEIFS('[1]Grade Project'!$O:$O,'[1]Grade Project'!$K:$K,H106,'[1]Grade Project'!$F:$F,$A$5,'[1]Grade Project'!$G:$G,$A$8),"")</f>
        <v/>
      </c>
      <c r="L106" t="str">
        <f t="shared" si="4"/>
        <v/>
      </c>
      <c r="M106" t="str">
        <f t="shared" si="5"/>
        <v/>
      </c>
      <c r="N106" t="str">
        <f t="shared" si="6"/>
        <v/>
      </c>
    </row>
    <row r="107" spans="2:14" x14ac:dyDescent="0.25">
      <c r="H107" t="str">
        <f>IF(I106=0,"",INDEX('[1]Grade Project'!$K:$K,MATCH(CONCATENATE($A$5,$A$8),'[1]Grade Project'!$H:$H,0)+SUM($I$3:I106)))</f>
        <v/>
      </c>
      <c r="I107">
        <f>COUNTIFS('[1]Grade Project'!$G:$G,$A$8,'[1]Grade Project'!$K:$K,H107,'[1]Grade Project'!$F:$F,$A$5)</f>
        <v>0</v>
      </c>
      <c r="J107" t="str">
        <f>IFERROR(AVERAGEIFS('[1]Grade Project'!$N:$N,'[1]Grade Project'!$K:$K,H107,'[1]Grade Project'!$F:$F,$A$5,'[1]Grade Project'!$G:$G,$A$8),"")</f>
        <v/>
      </c>
      <c r="K107" t="str">
        <f>IFERROR(AVERAGEIFS('[1]Grade Project'!$O:$O,'[1]Grade Project'!$K:$K,H107,'[1]Grade Project'!$F:$F,$A$5,'[1]Grade Project'!$G:$G,$A$8),"")</f>
        <v/>
      </c>
      <c r="L107" t="str">
        <f t="shared" si="4"/>
        <v/>
      </c>
      <c r="M107" t="str">
        <f t="shared" si="5"/>
        <v/>
      </c>
      <c r="N107" t="str">
        <f t="shared" si="6"/>
        <v/>
      </c>
    </row>
    <row r="108" spans="2:14" x14ac:dyDescent="0.25">
      <c r="H108" t="str">
        <f>IF(I107=0,"",INDEX('[1]Grade Project'!$K:$K,MATCH(CONCATENATE($A$5,$A$8),'[1]Grade Project'!$H:$H,0)+SUM($I$3:I107)))</f>
        <v/>
      </c>
      <c r="I108">
        <f>COUNTIFS('[1]Grade Project'!$G:$G,$A$8,'[1]Grade Project'!$K:$K,H108,'[1]Grade Project'!$F:$F,$A$5)</f>
        <v>0</v>
      </c>
      <c r="J108" t="str">
        <f>IFERROR(AVERAGEIFS('[1]Grade Project'!$N:$N,'[1]Grade Project'!$K:$K,H108,'[1]Grade Project'!$F:$F,$A$5,'[1]Grade Project'!$G:$G,$A$8),"")</f>
        <v/>
      </c>
      <c r="K108" t="str">
        <f>IFERROR(AVERAGEIFS('[1]Grade Project'!$O:$O,'[1]Grade Project'!$K:$K,H108,'[1]Grade Project'!$F:$F,$A$5,'[1]Grade Project'!$G:$G,$A$8),"")</f>
        <v/>
      </c>
      <c r="L108" t="str">
        <f t="shared" si="4"/>
        <v/>
      </c>
      <c r="M108" t="str">
        <f t="shared" si="5"/>
        <v/>
      </c>
      <c r="N108" t="str">
        <f t="shared" si="6"/>
        <v/>
      </c>
    </row>
    <row r="109" spans="2:14" x14ac:dyDescent="0.25">
      <c r="H109" t="str">
        <f>IF(I108=0,"",INDEX('[1]Grade Project'!$K:$K,MATCH(CONCATENATE($A$5,$A$8),'[1]Grade Project'!$H:$H,0)+SUM($I$3:I108)))</f>
        <v/>
      </c>
      <c r="I109">
        <f>COUNTIFS('[1]Grade Project'!$G:$G,$A$8,'[1]Grade Project'!$K:$K,H109,'[1]Grade Project'!$F:$F,$A$5)</f>
        <v>0</v>
      </c>
      <c r="J109" t="str">
        <f>IFERROR(AVERAGEIFS('[1]Grade Project'!$N:$N,'[1]Grade Project'!$K:$K,H109,'[1]Grade Project'!$F:$F,$A$5,'[1]Grade Project'!$G:$G,$A$8),"")</f>
        <v/>
      </c>
      <c r="K109" t="str">
        <f>IFERROR(AVERAGEIFS('[1]Grade Project'!$O:$O,'[1]Grade Project'!$K:$K,H109,'[1]Grade Project'!$F:$F,$A$5,'[1]Grade Project'!$G:$G,$A$8),"")</f>
        <v/>
      </c>
      <c r="L109" t="str">
        <f t="shared" si="4"/>
        <v/>
      </c>
      <c r="M109" t="str">
        <f t="shared" si="5"/>
        <v/>
      </c>
      <c r="N109" t="str">
        <f t="shared" si="6"/>
        <v/>
      </c>
    </row>
    <row r="110" spans="2:14" x14ac:dyDescent="0.25">
      <c r="H110" t="str">
        <f>IF(I109=0,"",INDEX('[1]Grade Project'!$K:$K,MATCH(CONCATENATE($A$5,$A$8),'[1]Grade Project'!$H:$H,0)+SUM($I$3:I109)))</f>
        <v/>
      </c>
      <c r="I110">
        <f>COUNTIFS('[1]Grade Project'!$G:$G,$A$8,'[1]Grade Project'!$K:$K,H110,'[1]Grade Project'!$F:$F,$A$5)</f>
        <v>0</v>
      </c>
      <c r="J110" t="str">
        <f>IFERROR(AVERAGEIFS('[1]Grade Project'!$N:$N,'[1]Grade Project'!$K:$K,H110,'[1]Grade Project'!$F:$F,$A$5,'[1]Grade Project'!$G:$G,$A$8),"")</f>
        <v/>
      </c>
      <c r="K110" t="str">
        <f>IFERROR(AVERAGEIFS('[1]Grade Project'!$O:$O,'[1]Grade Project'!$K:$K,H110,'[1]Grade Project'!$F:$F,$A$5,'[1]Grade Project'!$G:$G,$A$8),"")</f>
        <v/>
      </c>
      <c r="L110" t="str">
        <f t="shared" si="4"/>
        <v/>
      </c>
      <c r="M110" t="str">
        <f t="shared" si="5"/>
        <v/>
      </c>
      <c r="N110" t="str">
        <f t="shared" si="6"/>
        <v/>
      </c>
    </row>
    <row r="111" spans="2:14" x14ac:dyDescent="0.25">
      <c r="H111" t="str">
        <f>IF(I110=0,"",INDEX('[1]Grade Project'!$K:$K,MATCH(CONCATENATE($A$5,$A$8),'[1]Grade Project'!$H:$H,0)+SUM($I$3:I110)))</f>
        <v/>
      </c>
      <c r="I111">
        <f>COUNTIFS('[1]Grade Project'!$G:$G,$A$8,'[1]Grade Project'!$K:$K,H111,'[1]Grade Project'!$F:$F,$A$5)</f>
        <v>0</v>
      </c>
      <c r="J111" t="str">
        <f>IFERROR(AVERAGEIFS('[1]Grade Project'!$N:$N,'[1]Grade Project'!$K:$K,H111,'[1]Grade Project'!$F:$F,$A$5,'[1]Grade Project'!$G:$G,$A$8),"")</f>
        <v/>
      </c>
      <c r="K111" t="str">
        <f>IFERROR(AVERAGEIFS('[1]Grade Project'!$O:$O,'[1]Grade Project'!$K:$K,H111,'[1]Grade Project'!$F:$F,$A$5,'[1]Grade Project'!$G:$G,$A$8),"")</f>
        <v/>
      </c>
      <c r="L111" t="str">
        <f t="shared" si="4"/>
        <v/>
      </c>
      <c r="M111" t="str">
        <f t="shared" si="5"/>
        <v/>
      </c>
      <c r="N111" t="str">
        <f t="shared" si="6"/>
        <v/>
      </c>
    </row>
    <row r="112" spans="2:14" x14ac:dyDescent="0.25">
      <c r="H112" t="str">
        <f>IF(I111=0,"",INDEX('[1]Grade Project'!$K:$K,MATCH(CONCATENATE($A$5,$A$8),'[1]Grade Project'!$H:$H,0)+SUM($I$3:I111)))</f>
        <v/>
      </c>
      <c r="I112">
        <f>COUNTIFS('[1]Grade Project'!$G:$G,$A$8,'[1]Grade Project'!$K:$K,H112,'[1]Grade Project'!$F:$F,$A$5)</f>
        <v>0</v>
      </c>
      <c r="J112" t="str">
        <f>IFERROR(AVERAGEIFS('[1]Grade Project'!$N:$N,'[1]Grade Project'!$K:$K,H112,'[1]Grade Project'!$F:$F,$A$5,'[1]Grade Project'!$G:$G,$A$8),"")</f>
        <v/>
      </c>
      <c r="K112" t="str">
        <f>IFERROR(AVERAGEIFS('[1]Grade Project'!$O:$O,'[1]Grade Project'!$K:$K,H112,'[1]Grade Project'!$F:$F,$A$5,'[1]Grade Project'!$G:$G,$A$8),"")</f>
        <v/>
      </c>
      <c r="L112" t="str">
        <f t="shared" si="4"/>
        <v/>
      </c>
      <c r="M112" t="str">
        <f t="shared" si="5"/>
        <v/>
      </c>
      <c r="N112" t="str">
        <f t="shared" si="6"/>
        <v/>
      </c>
    </row>
    <row r="113" spans="8:14" x14ac:dyDescent="0.25">
      <c r="H113" t="str">
        <f>IF(I112=0,"",INDEX('[1]Grade Project'!$K:$K,MATCH(CONCATENATE($A$5,$A$8),'[1]Grade Project'!$H:$H,0)+SUM($I$3:I112)))</f>
        <v/>
      </c>
      <c r="I113">
        <f>COUNTIFS('[1]Grade Project'!$G:$G,$A$8,'[1]Grade Project'!$K:$K,H113,'[1]Grade Project'!$F:$F,$A$5)</f>
        <v>0</v>
      </c>
      <c r="J113" t="str">
        <f>IFERROR(AVERAGEIFS('[1]Grade Project'!$N:$N,'[1]Grade Project'!$K:$K,H113,'[1]Grade Project'!$F:$F,$A$5,'[1]Grade Project'!$G:$G,$A$8),"")</f>
        <v/>
      </c>
      <c r="K113" t="str">
        <f>IFERROR(AVERAGEIFS('[1]Grade Project'!$O:$O,'[1]Grade Project'!$K:$K,H113,'[1]Grade Project'!$F:$F,$A$5,'[1]Grade Project'!$G:$G,$A$8),"")</f>
        <v/>
      </c>
      <c r="L113" t="str">
        <f t="shared" si="4"/>
        <v/>
      </c>
      <c r="M113" t="str">
        <f t="shared" si="5"/>
        <v/>
      </c>
      <c r="N113" t="str">
        <f t="shared" si="6"/>
        <v/>
      </c>
    </row>
    <row r="114" spans="8:14" x14ac:dyDescent="0.25">
      <c r="H114" t="str">
        <f>IF(I113=0,"",INDEX('[1]Grade Project'!$K:$K,MATCH(CONCATENATE($A$5,$A$8),'[1]Grade Project'!$H:$H,0)+SUM($I$3:I113)))</f>
        <v/>
      </c>
      <c r="I114">
        <f>COUNTIFS('[1]Grade Project'!$G:$G,$A$8,'[1]Grade Project'!$K:$K,H114,'[1]Grade Project'!$F:$F,$A$5)</f>
        <v>0</v>
      </c>
      <c r="J114" t="str">
        <f>IFERROR(AVERAGEIFS('[1]Grade Project'!$N:$N,'[1]Grade Project'!$K:$K,H114,'[1]Grade Project'!$F:$F,$A$5,'[1]Grade Project'!$G:$G,$A$8),"")</f>
        <v/>
      </c>
      <c r="K114" t="str">
        <f>IFERROR(AVERAGEIFS('[1]Grade Project'!$O:$O,'[1]Grade Project'!$K:$K,H114,'[1]Grade Project'!$F:$F,$A$5,'[1]Grade Project'!$G:$G,$A$8),"")</f>
        <v/>
      </c>
      <c r="L114" t="str">
        <f t="shared" si="4"/>
        <v/>
      </c>
      <c r="M114" t="str">
        <f t="shared" si="5"/>
        <v/>
      </c>
      <c r="N114" t="str">
        <f t="shared" si="6"/>
        <v/>
      </c>
    </row>
    <row r="115" spans="8:14" x14ac:dyDescent="0.25">
      <c r="H115" t="str">
        <f>IF(I114=0,"",INDEX('[1]Grade Project'!$K:$K,MATCH(CONCATENATE($A$5,$A$8),'[1]Grade Project'!$H:$H,0)+SUM($I$3:I114)))</f>
        <v/>
      </c>
      <c r="I115">
        <f>COUNTIFS('[1]Grade Project'!$G:$G,$A$8,'[1]Grade Project'!$K:$K,H115,'[1]Grade Project'!$F:$F,$A$5)</f>
        <v>0</v>
      </c>
      <c r="J115" t="str">
        <f>IFERROR(AVERAGEIFS('[1]Grade Project'!$N:$N,'[1]Grade Project'!$K:$K,H115,'[1]Grade Project'!$F:$F,$A$5,'[1]Grade Project'!$G:$G,$A$8),"")</f>
        <v/>
      </c>
      <c r="K115" t="str">
        <f>IFERROR(AVERAGEIFS('[1]Grade Project'!$O:$O,'[1]Grade Project'!$K:$K,H115,'[1]Grade Project'!$F:$F,$A$5,'[1]Grade Project'!$G:$G,$A$8),"")</f>
        <v/>
      </c>
      <c r="L115" t="str">
        <f t="shared" si="4"/>
        <v/>
      </c>
      <c r="M115" t="str">
        <f t="shared" si="5"/>
        <v/>
      </c>
      <c r="N115" t="str">
        <f t="shared" si="6"/>
        <v/>
      </c>
    </row>
    <row r="116" spans="8:14" x14ac:dyDescent="0.25">
      <c r="H116" t="str">
        <f>IF(I115=0,"",INDEX('[1]Grade Project'!$K:$K,MATCH(CONCATENATE($A$5,$A$8),'[1]Grade Project'!$H:$H,0)+SUM($I$3:I115)))</f>
        <v/>
      </c>
      <c r="I116">
        <f>COUNTIFS('[1]Grade Project'!$G:$G,$A$8,'[1]Grade Project'!$K:$K,H116,'[1]Grade Project'!$F:$F,$A$5)</f>
        <v>0</v>
      </c>
      <c r="J116" t="str">
        <f>IFERROR(AVERAGEIFS('[1]Grade Project'!$N:$N,'[1]Grade Project'!$K:$K,H116,'[1]Grade Project'!$F:$F,$A$5,'[1]Grade Project'!$G:$G,$A$8),"")</f>
        <v/>
      </c>
      <c r="K116" t="str">
        <f>IFERROR(AVERAGEIFS('[1]Grade Project'!$O:$O,'[1]Grade Project'!$K:$K,H116,'[1]Grade Project'!$F:$F,$A$5,'[1]Grade Project'!$G:$G,$A$8),"")</f>
        <v/>
      </c>
      <c r="L116" t="str">
        <f t="shared" si="4"/>
        <v/>
      </c>
      <c r="M116" t="str">
        <f t="shared" si="5"/>
        <v/>
      </c>
      <c r="N116" t="str">
        <f t="shared" si="6"/>
        <v/>
      </c>
    </row>
    <row r="117" spans="8:14" x14ac:dyDescent="0.25">
      <c r="H117" t="str">
        <f>IF(I116=0,"",INDEX('[1]Grade Project'!$K:$K,MATCH(CONCATENATE($A$5,$A$8),'[1]Grade Project'!$H:$H,0)+SUM($I$3:I116)))</f>
        <v/>
      </c>
      <c r="I117">
        <f>COUNTIFS('[1]Grade Project'!$G:$G,$A$8,'[1]Grade Project'!$K:$K,H117,'[1]Grade Project'!$F:$F,$A$5)</f>
        <v>0</v>
      </c>
      <c r="J117" t="str">
        <f>IFERROR(AVERAGEIFS('[1]Grade Project'!$N:$N,'[1]Grade Project'!$K:$K,H117,'[1]Grade Project'!$F:$F,$A$5,'[1]Grade Project'!$G:$G,$A$8),"")</f>
        <v/>
      </c>
      <c r="K117" t="str">
        <f>IFERROR(AVERAGEIFS('[1]Grade Project'!$O:$O,'[1]Grade Project'!$K:$K,H117,'[1]Grade Project'!$F:$F,$A$5,'[1]Grade Project'!$G:$G,$A$8),"")</f>
        <v/>
      </c>
      <c r="L117" t="str">
        <f t="shared" si="4"/>
        <v/>
      </c>
      <c r="M117" t="str">
        <f t="shared" si="5"/>
        <v/>
      </c>
      <c r="N117" t="str">
        <f t="shared" si="6"/>
        <v/>
      </c>
    </row>
    <row r="118" spans="8:14" x14ac:dyDescent="0.25">
      <c r="H118" t="str">
        <f>IF(I117=0,"",INDEX('[1]Grade Project'!$K:$K,MATCH(CONCATENATE($A$5,$A$8),'[1]Grade Project'!$H:$H,0)+SUM($I$3:I117)))</f>
        <v/>
      </c>
      <c r="I118">
        <f>COUNTIFS('[1]Grade Project'!$G:$G,$A$8,'[1]Grade Project'!$K:$K,H118,'[1]Grade Project'!$F:$F,$A$5)</f>
        <v>0</v>
      </c>
      <c r="J118" t="str">
        <f>IFERROR(AVERAGEIFS('[1]Grade Project'!$N:$N,'[1]Grade Project'!$K:$K,H118,'[1]Grade Project'!$F:$F,$A$5,'[1]Grade Project'!$G:$G,$A$8),"")</f>
        <v/>
      </c>
      <c r="K118" t="str">
        <f>IFERROR(AVERAGEIFS('[1]Grade Project'!$O:$O,'[1]Grade Project'!$K:$K,H118,'[1]Grade Project'!$F:$F,$A$5,'[1]Grade Project'!$G:$G,$A$8),"")</f>
        <v/>
      </c>
      <c r="L118" t="str">
        <f t="shared" si="4"/>
        <v/>
      </c>
      <c r="M118" t="str">
        <f t="shared" si="5"/>
        <v/>
      </c>
      <c r="N118" t="str">
        <f t="shared" si="6"/>
        <v/>
      </c>
    </row>
    <row r="119" spans="8:14" x14ac:dyDescent="0.25">
      <c r="H119" t="str">
        <f>IF(I118=0,"",INDEX('[1]Grade Project'!$K:$K,MATCH(CONCATENATE($A$5,$A$8),'[1]Grade Project'!$H:$H,0)+SUM($I$3:I118)))</f>
        <v/>
      </c>
      <c r="I119">
        <f>COUNTIFS('[1]Grade Project'!$G:$G,$A$8,'[1]Grade Project'!$K:$K,H119,'[1]Grade Project'!$F:$F,$A$5)</f>
        <v>0</v>
      </c>
      <c r="J119" t="str">
        <f>IFERROR(AVERAGEIFS('[1]Grade Project'!$N:$N,'[1]Grade Project'!$K:$K,H119,'[1]Grade Project'!$F:$F,$A$5,'[1]Grade Project'!$G:$G,$A$8),"")</f>
        <v/>
      </c>
      <c r="K119" t="str">
        <f>IFERROR(AVERAGEIFS('[1]Grade Project'!$O:$O,'[1]Grade Project'!$K:$K,H119,'[1]Grade Project'!$F:$F,$A$5,'[1]Grade Project'!$G:$G,$A$8),"")</f>
        <v/>
      </c>
      <c r="L119" t="str">
        <f t="shared" si="4"/>
        <v/>
      </c>
      <c r="M119" t="str">
        <f t="shared" si="5"/>
        <v/>
      </c>
      <c r="N119" t="str">
        <f t="shared" si="6"/>
        <v/>
      </c>
    </row>
    <row r="120" spans="8:14" x14ac:dyDescent="0.25">
      <c r="H120" t="str">
        <f>IF(I119=0,"",INDEX('[1]Grade Project'!$K:$K,MATCH(CONCATENATE($A$5,$A$8),'[1]Grade Project'!$H:$H,0)+SUM($I$3:I119)))</f>
        <v/>
      </c>
      <c r="I120">
        <f>COUNTIFS('[1]Grade Project'!$G:$G,$A$8,'[1]Grade Project'!$K:$K,H120,'[1]Grade Project'!$F:$F,$A$5)</f>
        <v>0</v>
      </c>
      <c r="J120" t="str">
        <f>IFERROR(AVERAGEIFS('[1]Grade Project'!$N:$N,'[1]Grade Project'!$K:$K,H120,'[1]Grade Project'!$F:$F,$A$5,'[1]Grade Project'!$G:$G,$A$8),"")</f>
        <v/>
      </c>
      <c r="K120" t="str">
        <f>IFERROR(AVERAGEIFS('[1]Grade Project'!$O:$O,'[1]Grade Project'!$K:$K,H120,'[1]Grade Project'!$F:$F,$A$5,'[1]Grade Project'!$G:$G,$A$8),"")</f>
        <v/>
      </c>
      <c r="L120" t="str">
        <f t="shared" si="4"/>
        <v/>
      </c>
      <c r="M120" t="str">
        <f t="shared" si="5"/>
        <v/>
      </c>
      <c r="N120" t="str">
        <f t="shared" si="6"/>
        <v/>
      </c>
    </row>
    <row r="121" spans="8:14" x14ac:dyDescent="0.25">
      <c r="H121" t="str">
        <f>IF(I120=0,"",INDEX('[1]Grade Project'!$K:$K,MATCH(CONCATENATE($A$5,$A$8),'[1]Grade Project'!$H:$H,0)+SUM($I$3:I120)))</f>
        <v/>
      </c>
      <c r="I121">
        <f>COUNTIFS('[1]Grade Project'!$G:$G,$A$8,'[1]Grade Project'!$K:$K,H121,'[1]Grade Project'!$F:$F,$A$5)</f>
        <v>0</v>
      </c>
      <c r="J121" t="str">
        <f>IFERROR(AVERAGEIFS('[1]Grade Project'!$N:$N,'[1]Grade Project'!$K:$K,H121,'[1]Grade Project'!$F:$F,$A$5,'[1]Grade Project'!$G:$G,$A$8),"")</f>
        <v/>
      </c>
      <c r="K121" t="str">
        <f>IFERROR(AVERAGEIFS('[1]Grade Project'!$O:$O,'[1]Grade Project'!$K:$K,H121,'[1]Grade Project'!$F:$F,$A$5,'[1]Grade Project'!$G:$G,$A$8),"")</f>
        <v/>
      </c>
      <c r="L121" t="str">
        <f t="shared" si="4"/>
        <v/>
      </c>
      <c r="M121" t="str">
        <f t="shared" si="5"/>
        <v/>
      </c>
      <c r="N121" t="str">
        <f t="shared" si="6"/>
        <v/>
      </c>
    </row>
    <row r="122" spans="8:14" x14ac:dyDescent="0.25">
      <c r="H122" t="str">
        <f>IF(I121=0,"",INDEX('[1]Grade Project'!$K:$K,MATCH(CONCATENATE($A$5,$A$8),'[1]Grade Project'!$H:$H,0)+SUM($I$3:I121)))</f>
        <v/>
      </c>
      <c r="I122">
        <f>COUNTIFS('[1]Grade Project'!$G:$G,$A$8,'[1]Grade Project'!$K:$K,H122,'[1]Grade Project'!$F:$F,$A$5)</f>
        <v>0</v>
      </c>
      <c r="J122" t="str">
        <f>IFERROR(AVERAGEIFS('[1]Grade Project'!$N:$N,'[1]Grade Project'!$K:$K,H122,'[1]Grade Project'!$F:$F,$A$5,'[1]Grade Project'!$G:$G,$A$8),"")</f>
        <v/>
      </c>
      <c r="K122" t="str">
        <f>IFERROR(AVERAGEIFS('[1]Grade Project'!$O:$O,'[1]Grade Project'!$K:$K,H122,'[1]Grade Project'!$F:$F,$A$5,'[1]Grade Project'!$G:$G,$A$8),"")</f>
        <v/>
      </c>
      <c r="L122" t="str">
        <f t="shared" si="4"/>
        <v/>
      </c>
      <c r="M122" t="str">
        <f t="shared" si="5"/>
        <v/>
      </c>
      <c r="N122" t="str">
        <f t="shared" si="6"/>
        <v/>
      </c>
    </row>
    <row r="123" spans="8:14" x14ac:dyDescent="0.25">
      <c r="H123" t="str">
        <f>IF(I122=0,"",INDEX('[1]Grade Project'!$K:$K,MATCH(CONCATENATE($A$5,$A$8),'[1]Grade Project'!$H:$H,0)+SUM($I$3:I122)))</f>
        <v/>
      </c>
      <c r="I123">
        <f>COUNTIFS('[1]Grade Project'!$G:$G,$A$8,'[1]Grade Project'!$K:$K,H123,'[1]Grade Project'!$F:$F,$A$5)</f>
        <v>0</v>
      </c>
      <c r="J123" t="str">
        <f>IFERROR(AVERAGEIFS('[1]Grade Project'!$N:$N,'[1]Grade Project'!$K:$K,H123,'[1]Grade Project'!$F:$F,$A$5,'[1]Grade Project'!$G:$G,$A$8),"")</f>
        <v/>
      </c>
      <c r="K123" t="str">
        <f>IFERROR(AVERAGEIFS('[1]Grade Project'!$O:$O,'[1]Grade Project'!$K:$K,H123,'[1]Grade Project'!$F:$F,$A$5,'[1]Grade Project'!$G:$G,$A$8),"")</f>
        <v/>
      </c>
      <c r="L123" t="str">
        <f t="shared" si="4"/>
        <v/>
      </c>
      <c r="M123" t="str">
        <f t="shared" si="5"/>
        <v/>
      </c>
      <c r="N123" t="str">
        <f t="shared" si="6"/>
        <v/>
      </c>
    </row>
    <row r="124" spans="8:14" x14ac:dyDescent="0.25">
      <c r="H124" t="str">
        <f>IF(I123=0,"",INDEX('[1]Grade Project'!$K:$K,MATCH(CONCATENATE($A$5,$A$8),'[1]Grade Project'!$H:$H,0)+SUM($I$3:I123)))</f>
        <v/>
      </c>
      <c r="I124">
        <f>COUNTIFS('[1]Grade Project'!$G:$G,$A$8,'[1]Grade Project'!$K:$K,H124,'[1]Grade Project'!$F:$F,$A$5)</f>
        <v>0</v>
      </c>
      <c r="J124" t="str">
        <f>IFERROR(AVERAGEIFS('[1]Grade Project'!$N:$N,'[1]Grade Project'!$K:$K,H124,'[1]Grade Project'!$F:$F,$A$5,'[1]Grade Project'!$G:$G,$A$8),"")</f>
        <v/>
      </c>
      <c r="K124" t="str">
        <f>IFERROR(AVERAGEIFS('[1]Grade Project'!$O:$O,'[1]Grade Project'!$K:$K,H124,'[1]Grade Project'!$F:$F,$A$5,'[1]Grade Project'!$G:$G,$A$8),"")</f>
        <v/>
      </c>
      <c r="L124" t="str">
        <f t="shared" si="4"/>
        <v/>
      </c>
      <c r="M124" t="str">
        <f t="shared" si="5"/>
        <v/>
      </c>
      <c r="N124" t="str">
        <f t="shared" si="6"/>
        <v/>
      </c>
    </row>
    <row r="125" spans="8:14" x14ac:dyDescent="0.25">
      <c r="H125" t="str">
        <f>IF(I124=0,"",INDEX('[1]Grade Project'!$K:$K,MATCH(CONCATENATE($A$5,$A$8),'[1]Grade Project'!$H:$H,0)+SUM($I$3:I124)))</f>
        <v/>
      </c>
      <c r="I125">
        <f>COUNTIFS('[1]Grade Project'!$G:$G,$A$8,'[1]Grade Project'!$K:$K,H125,'[1]Grade Project'!$F:$F,$A$5)</f>
        <v>0</v>
      </c>
      <c r="J125" t="str">
        <f>IFERROR(AVERAGEIFS('[1]Grade Project'!$N:$N,'[1]Grade Project'!$K:$K,H125,'[1]Grade Project'!$F:$F,$A$5,'[1]Grade Project'!$G:$G,$A$8),"")</f>
        <v/>
      </c>
      <c r="K125" t="str">
        <f>IFERROR(AVERAGEIFS('[1]Grade Project'!$O:$O,'[1]Grade Project'!$K:$K,H125,'[1]Grade Project'!$F:$F,$A$5,'[1]Grade Project'!$G:$G,$A$8),"")</f>
        <v/>
      </c>
      <c r="L125" t="str">
        <f t="shared" si="4"/>
        <v/>
      </c>
      <c r="M125" t="str">
        <f t="shared" si="5"/>
        <v/>
      </c>
      <c r="N125" t="str">
        <f t="shared" si="6"/>
        <v/>
      </c>
    </row>
    <row r="126" spans="8:14" x14ac:dyDescent="0.25">
      <c r="H126" t="str">
        <f>IF(I125=0,"",INDEX('[1]Grade Project'!$K:$K,MATCH(CONCATENATE($A$5,$A$8),'[1]Grade Project'!$H:$H,0)+SUM($I$3:I125)))</f>
        <v/>
      </c>
      <c r="I126">
        <f>COUNTIFS('[1]Grade Project'!$G:$G,$A$8,'[1]Grade Project'!$K:$K,H126,'[1]Grade Project'!$F:$F,$A$5)</f>
        <v>0</v>
      </c>
      <c r="J126" t="str">
        <f>IFERROR(AVERAGEIFS('[1]Grade Project'!$N:$N,'[1]Grade Project'!$K:$K,H126,'[1]Grade Project'!$F:$F,$A$5,'[1]Grade Project'!$G:$G,$A$8),"")</f>
        <v/>
      </c>
      <c r="K126" t="str">
        <f>IFERROR(AVERAGEIFS('[1]Grade Project'!$O:$O,'[1]Grade Project'!$K:$K,H126,'[1]Grade Project'!$F:$F,$A$5,'[1]Grade Project'!$G:$G,$A$8),"")</f>
        <v/>
      </c>
      <c r="L126" t="str">
        <f t="shared" si="4"/>
        <v/>
      </c>
      <c r="M126" t="str">
        <f t="shared" si="5"/>
        <v/>
      </c>
      <c r="N126" t="str">
        <f t="shared" si="6"/>
        <v/>
      </c>
    </row>
    <row r="127" spans="8:14" x14ac:dyDescent="0.25">
      <c r="H127" t="str">
        <f>IF(I126=0,"",INDEX('[1]Grade Project'!$K:$K,MATCH(CONCATENATE($A$5,$A$8),'[1]Grade Project'!$H:$H,0)+SUM($I$3:I126)))</f>
        <v/>
      </c>
      <c r="I127">
        <f>COUNTIFS('[1]Grade Project'!$G:$G,$A$8,'[1]Grade Project'!$K:$K,H127,'[1]Grade Project'!$F:$F,$A$5)</f>
        <v>0</v>
      </c>
      <c r="J127" t="str">
        <f>IFERROR(AVERAGEIFS('[1]Grade Project'!$N:$N,'[1]Grade Project'!$K:$K,H127,'[1]Grade Project'!$F:$F,$A$5,'[1]Grade Project'!$G:$G,$A$8),"")</f>
        <v/>
      </c>
      <c r="K127" t="str">
        <f>IFERROR(AVERAGEIFS('[1]Grade Project'!$O:$O,'[1]Grade Project'!$K:$K,H127,'[1]Grade Project'!$F:$F,$A$5,'[1]Grade Project'!$G:$G,$A$8),"")</f>
        <v/>
      </c>
      <c r="L127" t="str">
        <f t="shared" si="4"/>
        <v/>
      </c>
      <c r="M127" t="str">
        <f t="shared" si="5"/>
        <v/>
      </c>
      <c r="N127" t="str">
        <f t="shared" si="6"/>
        <v/>
      </c>
    </row>
    <row r="128" spans="8:14" x14ac:dyDescent="0.25">
      <c r="H128" t="str">
        <f>IF(I127=0,"",INDEX('[1]Grade Project'!$K:$K,MATCH(CONCATENATE($A$5,$A$8),'[1]Grade Project'!$H:$H,0)+SUM($I$3:I127)))</f>
        <v/>
      </c>
      <c r="I128">
        <f>COUNTIFS('[1]Grade Project'!$G:$G,$A$8,'[1]Grade Project'!$K:$K,H128,'[1]Grade Project'!$F:$F,$A$5)</f>
        <v>0</v>
      </c>
      <c r="J128" t="str">
        <f>IFERROR(AVERAGEIFS('[1]Grade Project'!$N:$N,'[1]Grade Project'!$K:$K,H128,'[1]Grade Project'!$F:$F,$A$5,'[1]Grade Project'!$G:$G,$A$8),"")</f>
        <v/>
      </c>
      <c r="K128" t="str">
        <f>IFERROR(AVERAGEIFS('[1]Grade Project'!$O:$O,'[1]Grade Project'!$K:$K,H128,'[1]Grade Project'!$F:$F,$A$5,'[1]Grade Project'!$G:$G,$A$8),"")</f>
        <v/>
      </c>
      <c r="L128" t="str">
        <f t="shared" si="4"/>
        <v/>
      </c>
      <c r="M128" t="str">
        <f t="shared" si="5"/>
        <v/>
      </c>
      <c r="N128" t="str">
        <f t="shared" si="6"/>
        <v/>
      </c>
    </row>
    <row r="129" spans="8:14" x14ac:dyDescent="0.25">
      <c r="H129" t="str">
        <f>IF(I128=0,"",INDEX('[1]Grade Project'!$K:$K,MATCH(CONCATENATE($A$5,$A$8),'[1]Grade Project'!$H:$H,0)+SUM($I$3:I128)))</f>
        <v/>
      </c>
      <c r="I129">
        <f>COUNTIFS('[1]Grade Project'!$G:$G,$A$8,'[1]Grade Project'!$K:$K,H129,'[1]Grade Project'!$F:$F,$A$5)</f>
        <v>0</v>
      </c>
      <c r="J129" t="str">
        <f>IFERROR(AVERAGEIFS('[1]Grade Project'!$N:$N,'[1]Grade Project'!$K:$K,H129,'[1]Grade Project'!$F:$F,$A$5,'[1]Grade Project'!$G:$G,$A$8),"")</f>
        <v/>
      </c>
      <c r="K129" t="str">
        <f>IFERROR(AVERAGEIFS('[1]Grade Project'!$O:$O,'[1]Grade Project'!$K:$K,H129,'[1]Grade Project'!$F:$F,$A$5,'[1]Grade Project'!$G:$G,$A$8),"")</f>
        <v/>
      </c>
      <c r="L129" t="str">
        <f t="shared" si="4"/>
        <v/>
      </c>
      <c r="M129" t="str">
        <f t="shared" si="5"/>
        <v/>
      </c>
      <c r="N129" t="str">
        <f t="shared" si="6"/>
        <v/>
      </c>
    </row>
    <row r="130" spans="8:14" x14ac:dyDescent="0.25">
      <c r="H130" t="str">
        <f>IF(I129=0,"",INDEX('[1]Grade Project'!$K:$K,MATCH(CONCATENATE($A$5,$A$8),'[1]Grade Project'!$H:$H,0)+SUM($I$3:I129)))</f>
        <v/>
      </c>
      <c r="I130">
        <f>COUNTIFS('[1]Grade Project'!$G:$G,$A$8,'[1]Grade Project'!$K:$K,H130,'[1]Grade Project'!$F:$F,$A$5)</f>
        <v>0</v>
      </c>
      <c r="J130" t="str">
        <f>IFERROR(AVERAGEIFS('[1]Grade Project'!$N:$N,'[1]Grade Project'!$K:$K,H130,'[1]Grade Project'!$F:$F,$A$5,'[1]Grade Project'!$G:$G,$A$8),"")</f>
        <v/>
      </c>
      <c r="K130" t="str">
        <f>IFERROR(AVERAGEIFS('[1]Grade Project'!$O:$O,'[1]Grade Project'!$K:$K,H130,'[1]Grade Project'!$F:$F,$A$5,'[1]Grade Project'!$G:$G,$A$8),"")</f>
        <v/>
      </c>
      <c r="L130" t="str">
        <f t="shared" si="4"/>
        <v/>
      </c>
      <c r="M130" t="str">
        <f t="shared" si="5"/>
        <v/>
      </c>
      <c r="N130" t="str">
        <f t="shared" si="6"/>
        <v/>
      </c>
    </row>
    <row r="131" spans="8:14" x14ac:dyDescent="0.25">
      <c r="H131" t="str">
        <f>IF(I130=0,"",INDEX('[1]Grade Project'!$K:$K,MATCH(CONCATENATE($A$5,$A$8),'[1]Grade Project'!$H:$H,0)+SUM($I$3:I130)))</f>
        <v/>
      </c>
      <c r="I131">
        <f>COUNTIFS('[1]Grade Project'!$G:$G,$A$8,'[1]Grade Project'!$K:$K,H131,'[1]Grade Project'!$F:$F,$A$5)</f>
        <v>0</v>
      </c>
      <c r="J131" t="str">
        <f>IFERROR(AVERAGEIFS('[1]Grade Project'!$N:$N,'[1]Grade Project'!$K:$K,H131,'[1]Grade Project'!$F:$F,$A$5,'[1]Grade Project'!$G:$G,$A$8),"")</f>
        <v/>
      </c>
      <c r="K131" t="str">
        <f>IFERROR(AVERAGEIFS('[1]Grade Project'!$O:$O,'[1]Grade Project'!$K:$K,H131,'[1]Grade Project'!$F:$F,$A$5,'[1]Grade Project'!$G:$G,$A$8),"")</f>
        <v/>
      </c>
      <c r="L131" t="str">
        <f t="shared" si="4"/>
        <v/>
      </c>
      <c r="M131" t="str">
        <f t="shared" si="5"/>
        <v/>
      </c>
      <c r="N131" t="str">
        <f t="shared" si="6"/>
        <v/>
      </c>
    </row>
    <row r="132" spans="8:14" x14ac:dyDescent="0.25">
      <c r="H132" t="str">
        <f>IF(I131=0,"",INDEX('[1]Grade Project'!$K:$K,MATCH(CONCATENATE($A$5,$A$8),'[1]Grade Project'!$H:$H,0)+SUM($I$3:I131)))</f>
        <v/>
      </c>
      <c r="I132">
        <f>COUNTIFS('[1]Grade Project'!$G:$G,$A$8,'[1]Grade Project'!$K:$K,H132,'[1]Grade Project'!$F:$F,$A$5)</f>
        <v>0</v>
      </c>
      <c r="J132" t="str">
        <f>IFERROR(AVERAGEIFS('[1]Grade Project'!$N:$N,'[1]Grade Project'!$K:$K,H132,'[1]Grade Project'!$F:$F,$A$5,'[1]Grade Project'!$G:$G,$A$8),"")</f>
        <v/>
      </c>
      <c r="K132" t="str">
        <f>IFERROR(AVERAGEIFS('[1]Grade Project'!$O:$O,'[1]Grade Project'!$K:$K,H132,'[1]Grade Project'!$F:$F,$A$5,'[1]Grade Project'!$G:$G,$A$8),"")</f>
        <v/>
      </c>
      <c r="L132" t="str">
        <f t="shared" ref="L132:L146" si="7">IFERROR(K132/J132,"")</f>
        <v/>
      </c>
      <c r="M132" t="str">
        <f t="shared" ref="M132:M146" si="8">IFERROR(_xlfn.RANK.EQ(L132,L:L),"")</f>
        <v/>
      </c>
      <c r="N132" t="str">
        <f t="shared" ref="N132:N146" si="9">IFERROR(MAX(M:M)-M132+1,"")</f>
        <v/>
      </c>
    </row>
    <row r="133" spans="8:14" x14ac:dyDescent="0.25">
      <c r="H133" t="str">
        <f>IF(I132=0,"",INDEX('[1]Grade Project'!$K:$K,MATCH(CONCATENATE($A$5,$A$8),'[1]Grade Project'!$H:$H,0)+SUM($I$3:I132)))</f>
        <v/>
      </c>
      <c r="I133">
        <f>COUNTIFS('[1]Grade Project'!$G:$G,$A$8,'[1]Grade Project'!$K:$K,H133,'[1]Grade Project'!$F:$F,$A$5)</f>
        <v>0</v>
      </c>
      <c r="J133" t="str">
        <f>IFERROR(AVERAGEIFS('[1]Grade Project'!$N:$N,'[1]Grade Project'!$K:$K,H133,'[1]Grade Project'!$F:$F,$A$5,'[1]Grade Project'!$G:$G,$A$8),"")</f>
        <v/>
      </c>
      <c r="K133" t="str">
        <f>IFERROR(AVERAGEIFS('[1]Grade Project'!$O:$O,'[1]Grade Project'!$K:$K,H133,'[1]Grade Project'!$F:$F,$A$5,'[1]Grade Project'!$G:$G,$A$8),"")</f>
        <v/>
      </c>
      <c r="L133" t="str">
        <f t="shared" si="7"/>
        <v/>
      </c>
      <c r="M133" t="str">
        <f t="shared" si="8"/>
        <v/>
      </c>
      <c r="N133" t="str">
        <f t="shared" si="9"/>
        <v/>
      </c>
    </row>
    <row r="134" spans="8:14" x14ac:dyDescent="0.25">
      <c r="H134" t="str">
        <f>IF(I133=0,"",INDEX('[1]Grade Project'!$K:$K,MATCH(CONCATENATE($A$5,$A$8),'[1]Grade Project'!$H:$H,0)+SUM($I$3:I133)))</f>
        <v/>
      </c>
      <c r="I134">
        <f>COUNTIFS('[1]Grade Project'!$G:$G,$A$8,'[1]Grade Project'!$K:$K,H134,'[1]Grade Project'!$F:$F,$A$5)</f>
        <v>0</v>
      </c>
      <c r="J134" t="str">
        <f>IFERROR(AVERAGEIFS('[1]Grade Project'!$N:$N,'[1]Grade Project'!$K:$K,H134,'[1]Grade Project'!$F:$F,$A$5,'[1]Grade Project'!$G:$G,$A$8),"")</f>
        <v/>
      </c>
      <c r="K134" t="str">
        <f>IFERROR(AVERAGEIFS('[1]Grade Project'!$O:$O,'[1]Grade Project'!$K:$K,H134,'[1]Grade Project'!$F:$F,$A$5,'[1]Grade Project'!$G:$G,$A$8),"")</f>
        <v/>
      </c>
      <c r="L134" t="str">
        <f t="shared" si="7"/>
        <v/>
      </c>
      <c r="M134" t="str">
        <f t="shared" si="8"/>
        <v/>
      </c>
      <c r="N134" t="str">
        <f t="shared" si="9"/>
        <v/>
      </c>
    </row>
    <row r="135" spans="8:14" x14ac:dyDescent="0.25">
      <c r="H135" t="str">
        <f>IF(I134=0,"",INDEX('[1]Grade Project'!$K:$K,MATCH(CONCATENATE($A$5,$A$8),'[1]Grade Project'!$H:$H,0)+SUM($I$3:I134)))</f>
        <v/>
      </c>
      <c r="I135">
        <f>COUNTIFS('[1]Grade Project'!$G:$G,$A$8,'[1]Grade Project'!$K:$K,H135,'[1]Grade Project'!$F:$F,$A$5)</f>
        <v>0</v>
      </c>
      <c r="J135" t="str">
        <f>IFERROR(AVERAGEIFS('[1]Grade Project'!$N:$N,'[1]Grade Project'!$K:$K,H135,'[1]Grade Project'!$F:$F,$A$5,'[1]Grade Project'!$G:$G,$A$8),"")</f>
        <v/>
      </c>
      <c r="K135" t="str">
        <f>IFERROR(AVERAGEIFS('[1]Grade Project'!$O:$O,'[1]Grade Project'!$K:$K,H135,'[1]Grade Project'!$F:$F,$A$5,'[1]Grade Project'!$G:$G,$A$8),"")</f>
        <v/>
      </c>
      <c r="L135" t="str">
        <f t="shared" si="7"/>
        <v/>
      </c>
      <c r="M135" t="str">
        <f t="shared" si="8"/>
        <v/>
      </c>
      <c r="N135" t="str">
        <f t="shared" si="9"/>
        <v/>
      </c>
    </row>
    <row r="136" spans="8:14" x14ac:dyDescent="0.25">
      <c r="H136" t="str">
        <f>IF(I135=0,"",INDEX('[1]Grade Project'!$K:$K,MATCH(CONCATENATE($A$5,$A$8),'[1]Grade Project'!$H:$H,0)+SUM($I$3:I135)))</f>
        <v/>
      </c>
      <c r="I136">
        <f>COUNTIFS('[1]Grade Project'!$G:$G,$A$8,'[1]Grade Project'!$K:$K,H136,'[1]Grade Project'!$F:$F,$A$5)</f>
        <v>0</v>
      </c>
      <c r="J136" t="str">
        <f>IFERROR(AVERAGEIFS('[1]Grade Project'!$N:$N,'[1]Grade Project'!$K:$K,H136,'[1]Grade Project'!$F:$F,$A$5,'[1]Grade Project'!$G:$G,$A$8),"")</f>
        <v/>
      </c>
      <c r="K136" t="str">
        <f>IFERROR(AVERAGEIFS('[1]Grade Project'!$O:$O,'[1]Grade Project'!$K:$K,H136,'[1]Grade Project'!$F:$F,$A$5,'[1]Grade Project'!$G:$G,$A$8),"")</f>
        <v/>
      </c>
      <c r="L136" t="str">
        <f t="shared" si="7"/>
        <v/>
      </c>
      <c r="M136" t="str">
        <f t="shared" si="8"/>
        <v/>
      </c>
      <c r="N136" t="str">
        <f t="shared" si="9"/>
        <v/>
      </c>
    </row>
    <row r="137" spans="8:14" x14ac:dyDescent="0.25">
      <c r="H137" t="str">
        <f>IF(I136=0,"",INDEX('[1]Grade Project'!$K:$K,MATCH(CONCATENATE($A$5,$A$8),'[1]Grade Project'!$H:$H,0)+SUM($I$3:I136)))</f>
        <v/>
      </c>
      <c r="I137">
        <f>COUNTIFS('[1]Grade Project'!$G:$G,$A$8,'[1]Grade Project'!$K:$K,H137,'[1]Grade Project'!$F:$F,$A$5)</f>
        <v>0</v>
      </c>
      <c r="J137" t="str">
        <f>IFERROR(AVERAGEIFS('[1]Grade Project'!$N:$N,'[1]Grade Project'!$K:$K,H137,'[1]Grade Project'!$F:$F,$A$5,'[1]Grade Project'!$G:$G,$A$8),"")</f>
        <v/>
      </c>
      <c r="K137" t="str">
        <f>IFERROR(AVERAGEIFS('[1]Grade Project'!$O:$O,'[1]Grade Project'!$K:$K,H137,'[1]Grade Project'!$F:$F,$A$5,'[1]Grade Project'!$G:$G,$A$8),"")</f>
        <v/>
      </c>
      <c r="L137" t="str">
        <f t="shared" si="7"/>
        <v/>
      </c>
      <c r="M137" t="str">
        <f t="shared" si="8"/>
        <v/>
      </c>
      <c r="N137" t="str">
        <f t="shared" si="9"/>
        <v/>
      </c>
    </row>
    <row r="138" spans="8:14" x14ac:dyDescent="0.25">
      <c r="H138" t="str">
        <f>IF(I137=0,"",INDEX('[1]Grade Project'!$K:$K,MATCH(CONCATENATE($A$5,$A$8),'[1]Grade Project'!$H:$H,0)+SUM($I$3:I137)))</f>
        <v/>
      </c>
      <c r="I138">
        <f>COUNTIFS('[1]Grade Project'!$G:$G,$A$8,'[1]Grade Project'!$K:$K,H138,'[1]Grade Project'!$F:$F,$A$5)</f>
        <v>0</v>
      </c>
      <c r="J138" t="str">
        <f>IFERROR(AVERAGEIFS('[1]Grade Project'!$N:$N,'[1]Grade Project'!$K:$K,H138,'[1]Grade Project'!$F:$F,$A$5,'[1]Grade Project'!$G:$G,$A$8),"")</f>
        <v/>
      </c>
      <c r="K138" t="str">
        <f>IFERROR(AVERAGEIFS('[1]Grade Project'!$O:$O,'[1]Grade Project'!$K:$K,H138,'[1]Grade Project'!$F:$F,$A$5,'[1]Grade Project'!$G:$G,$A$8),"")</f>
        <v/>
      </c>
      <c r="L138" t="str">
        <f t="shared" si="7"/>
        <v/>
      </c>
      <c r="M138" t="str">
        <f t="shared" si="8"/>
        <v/>
      </c>
      <c r="N138" t="str">
        <f t="shared" si="9"/>
        <v/>
      </c>
    </row>
    <row r="139" spans="8:14" x14ac:dyDescent="0.25">
      <c r="H139" t="str">
        <f>IF(I138=0,"",INDEX('[1]Grade Project'!$K:$K,MATCH(CONCATENATE($A$5,$A$8),'[1]Grade Project'!$H:$H,0)+SUM($I$3:I138)))</f>
        <v/>
      </c>
      <c r="I139">
        <f>COUNTIFS('[1]Grade Project'!$G:$G,$A$8,'[1]Grade Project'!$K:$K,H139,'[1]Grade Project'!$F:$F,$A$5)</f>
        <v>0</v>
      </c>
      <c r="J139" t="str">
        <f>IFERROR(AVERAGEIFS('[1]Grade Project'!$N:$N,'[1]Grade Project'!$K:$K,H139,'[1]Grade Project'!$F:$F,$A$5,'[1]Grade Project'!$G:$G,$A$8),"")</f>
        <v/>
      </c>
      <c r="K139" t="str">
        <f>IFERROR(AVERAGEIFS('[1]Grade Project'!$O:$O,'[1]Grade Project'!$K:$K,H139,'[1]Grade Project'!$F:$F,$A$5,'[1]Grade Project'!$G:$G,$A$8),"")</f>
        <v/>
      </c>
      <c r="L139" t="str">
        <f t="shared" si="7"/>
        <v/>
      </c>
      <c r="M139" t="str">
        <f t="shared" si="8"/>
        <v/>
      </c>
      <c r="N139" t="str">
        <f t="shared" si="9"/>
        <v/>
      </c>
    </row>
    <row r="140" spans="8:14" x14ac:dyDescent="0.25">
      <c r="H140" t="str">
        <f>IF(I139=0,"",INDEX('[1]Grade Project'!$K:$K,MATCH(CONCATENATE($A$5,$A$8),'[1]Grade Project'!$H:$H,0)+SUM($I$3:I139)))</f>
        <v/>
      </c>
      <c r="I140">
        <f>COUNTIFS('[1]Grade Project'!$G:$G,$A$8,'[1]Grade Project'!$K:$K,H140,'[1]Grade Project'!$F:$F,$A$5)</f>
        <v>0</v>
      </c>
      <c r="J140" t="str">
        <f>IFERROR(AVERAGEIFS('[1]Grade Project'!$N:$N,'[1]Grade Project'!$K:$K,H140,'[1]Grade Project'!$F:$F,$A$5,'[1]Grade Project'!$G:$G,$A$8),"")</f>
        <v/>
      </c>
      <c r="K140" t="str">
        <f>IFERROR(AVERAGEIFS('[1]Grade Project'!$O:$O,'[1]Grade Project'!$K:$K,H140,'[1]Grade Project'!$F:$F,$A$5,'[1]Grade Project'!$G:$G,$A$8),"")</f>
        <v/>
      </c>
      <c r="L140" t="str">
        <f t="shared" si="7"/>
        <v/>
      </c>
      <c r="M140" t="str">
        <f t="shared" si="8"/>
        <v/>
      </c>
      <c r="N140" t="str">
        <f t="shared" si="9"/>
        <v/>
      </c>
    </row>
    <row r="141" spans="8:14" x14ac:dyDescent="0.25">
      <c r="H141" t="str">
        <f>IF(I140=0,"",INDEX('[1]Grade Project'!$K:$K,MATCH(CONCATENATE($A$5,$A$8),'[1]Grade Project'!$H:$H,0)+SUM($I$3:I140)))</f>
        <v/>
      </c>
      <c r="I141">
        <f>COUNTIFS('[1]Grade Project'!$G:$G,$A$8,'[1]Grade Project'!$K:$K,H141,'[1]Grade Project'!$F:$F,$A$5)</f>
        <v>0</v>
      </c>
      <c r="J141" t="str">
        <f>IFERROR(AVERAGEIFS('[1]Grade Project'!$N:$N,'[1]Grade Project'!$K:$K,H141,'[1]Grade Project'!$F:$F,$A$5,'[1]Grade Project'!$G:$G,$A$8),"")</f>
        <v/>
      </c>
      <c r="K141" t="str">
        <f>IFERROR(AVERAGEIFS('[1]Grade Project'!$O:$O,'[1]Grade Project'!$K:$K,H141,'[1]Grade Project'!$F:$F,$A$5,'[1]Grade Project'!$G:$G,$A$8),"")</f>
        <v/>
      </c>
      <c r="L141" t="str">
        <f t="shared" si="7"/>
        <v/>
      </c>
      <c r="M141" t="str">
        <f t="shared" si="8"/>
        <v/>
      </c>
      <c r="N141" t="str">
        <f t="shared" si="9"/>
        <v/>
      </c>
    </row>
    <row r="142" spans="8:14" x14ac:dyDescent="0.25">
      <c r="H142" t="str">
        <f>IF(I141=0,"",INDEX('[1]Grade Project'!$K:$K,MATCH(CONCATENATE($A$5,$A$8),'[1]Grade Project'!$H:$H,0)+SUM($I$3:I141)))</f>
        <v/>
      </c>
      <c r="I142">
        <f>COUNTIFS('[1]Grade Project'!$G:$G,$A$8,'[1]Grade Project'!$K:$K,H142,'[1]Grade Project'!$F:$F,$A$5)</f>
        <v>0</v>
      </c>
      <c r="J142" t="str">
        <f>IFERROR(AVERAGEIFS('[1]Grade Project'!$N:$N,'[1]Grade Project'!$K:$K,H142,'[1]Grade Project'!$F:$F,$A$5,'[1]Grade Project'!$G:$G,$A$8),"")</f>
        <v/>
      </c>
      <c r="K142" t="str">
        <f>IFERROR(AVERAGEIFS('[1]Grade Project'!$O:$O,'[1]Grade Project'!$K:$K,H142,'[1]Grade Project'!$F:$F,$A$5,'[1]Grade Project'!$G:$G,$A$8),"")</f>
        <v/>
      </c>
      <c r="L142" t="str">
        <f t="shared" si="7"/>
        <v/>
      </c>
      <c r="M142" t="str">
        <f t="shared" si="8"/>
        <v/>
      </c>
      <c r="N142" t="str">
        <f t="shared" si="9"/>
        <v/>
      </c>
    </row>
    <row r="143" spans="8:14" x14ac:dyDescent="0.25">
      <c r="H143" t="str">
        <f>IF(I142=0,"",INDEX('[1]Grade Project'!$K:$K,MATCH(CONCATENATE($A$5,$A$8),'[1]Grade Project'!$H:$H,0)+SUM($I$3:I142)))</f>
        <v/>
      </c>
      <c r="I143">
        <f>COUNTIFS('[1]Grade Project'!$G:$G,$A$8,'[1]Grade Project'!$K:$K,H143,'[1]Grade Project'!$F:$F,$A$5)</f>
        <v>0</v>
      </c>
      <c r="J143" t="str">
        <f>IFERROR(AVERAGEIFS('[1]Grade Project'!$N:$N,'[1]Grade Project'!$K:$K,H143,'[1]Grade Project'!$F:$F,$A$5,'[1]Grade Project'!$G:$G,$A$8),"")</f>
        <v/>
      </c>
      <c r="K143" t="str">
        <f>IFERROR(AVERAGEIFS('[1]Grade Project'!$O:$O,'[1]Grade Project'!$K:$K,H143,'[1]Grade Project'!$F:$F,$A$5,'[1]Grade Project'!$G:$G,$A$8),"")</f>
        <v/>
      </c>
      <c r="L143" t="str">
        <f t="shared" si="7"/>
        <v/>
      </c>
      <c r="M143" t="str">
        <f t="shared" si="8"/>
        <v/>
      </c>
      <c r="N143" t="str">
        <f t="shared" si="9"/>
        <v/>
      </c>
    </row>
    <row r="144" spans="8:14" x14ac:dyDescent="0.25">
      <c r="H144" t="str">
        <f>IF(I143=0,"",INDEX('[1]Grade Project'!$K:$K,MATCH(CONCATENATE($A$5,$A$8),'[1]Grade Project'!$H:$H,0)+SUM($I$3:I143)))</f>
        <v/>
      </c>
      <c r="I144">
        <f>COUNTIFS('[1]Grade Project'!$G:$G,$A$8,'[1]Grade Project'!$K:$K,H144,'[1]Grade Project'!$F:$F,$A$5)</f>
        <v>0</v>
      </c>
      <c r="J144" t="str">
        <f>IFERROR(AVERAGEIFS('[1]Grade Project'!$N:$N,'[1]Grade Project'!$K:$K,H144,'[1]Grade Project'!$F:$F,$A$5,'[1]Grade Project'!$G:$G,$A$8),"")</f>
        <v/>
      </c>
      <c r="K144" t="str">
        <f>IFERROR(AVERAGEIFS('[1]Grade Project'!$O:$O,'[1]Grade Project'!$K:$K,H144,'[1]Grade Project'!$F:$F,$A$5,'[1]Grade Project'!$G:$G,$A$8),"")</f>
        <v/>
      </c>
      <c r="L144" t="str">
        <f t="shared" si="7"/>
        <v/>
      </c>
      <c r="M144" t="str">
        <f t="shared" si="8"/>
        <v/>
      </c>
      <c r="N144" t="str">
        <f t="shared" si="9"/>
        <v/>
      </c>
    </row>
    <row r="145" spans="8:14" x14ac:dyDescent="0.25">
      <c r="H145" t="str">
        <f>IF(I144=0,"",INDEX('[1]Grade Project'!$K:$K,MATCH(CONCATENATE($A$5,$A$8),'[1]Grade Project'!$H:$H,0)+SUM($I$3:I144)))</f>
        <v/>
      </c>
      <c r="I145">
        <f>COUNTIFS('[1]Grade Project'!$G:$G,$A$8,'[1]Grade Project'!$K:$K,H145,'[1]Grade Project'!$F:$F,$A$5)</f>
        <v>0</v>
      </c>
      <c r="J145" t="str">
        <f>IFERROR(AVERAGEIFS('[1]Grade Project'!$N:$N,'[1]Grade Project'!$K:$K,H145,'[1]Grade Project'!$F:$F,$A$5,'[1]Grade Project'!$G:$G,$A$8),"")</f>
        <v/>
      </c>
      <c r="K145" t="str">
        <f>IFERROR(AVERAGEIFS('[1]Grade Project'!$O:$O,'[1]Grade Project'!$K:$K,H145,'[1]Grade Project'!$F:$F,$A$5,'[1]Grade Project'!$G:$G,$A$8),"")</f>
        <v/>
      </c>
      <c r="L145" t="str">
        <f t="shared" si="7"/>
        <v/>
      </c>
      <c r="M145" t="str">
        <f t="shared" si="8"/>
        <v/>
      </c>
      <c r="N145" t="str">
        <f t="shared" si="9"/>
        <v/>
      </c>
    </row>
    <row r="146" spans="8:14" x14ac:dyDescent="0.25">
      <c r="H146" t="str">
        <f>IF(I145=0,"",INDEX('[1]Grade Project'!$K:$K,MATCH(CONCATENATE($A$5,$A$8),'[1]Grade Project'!$H:$H,0)+SUM($I$3:I145)))</f>
        <v/>
      </c>
      <c r="I146">
        <f>COUNTIFS('[1]Grade Project'!$G:$G,$A$8,'[1]Grade Project'!$K:$K,H146,'[1]Grade Project'!$F:$F,$A$5)</f>
        <v>0</v>
      </c>
      <c r="J146" t="str">
        <f>IFERROR(AVERAGEIFS('[1]Grade Project'!$N:$N,'[1]Grade Project'!$K:$K,H146,'[1]Grade Project'!$F:$F,$A$5,'[1]Grade Project'!$G:$G,$A$8),"")</f>
        <v/>
      </c>
      <c r="K146" t="str">
        <f>IFERROR(AVERAGEIFS('[1]Grade Project'!$O:$O,'[1]Grade Project'!$K:$K,H146,'[1]Grade Project'!$F:$F,$A$5,'[1]Grade Project'!$G:$G,$A$8),"")</f>
        <v/>
      </c>
      <c r="L146" t="str">
        <f t="shared" si="7"/>
        <v/>
      </c>
      <c r="M146" t="str">
        <f t="shared" si="8"/>
        <v/>
      </c>
      <c r="N146" t="str">
        <f t="shared" si="9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6"/>
  <sheetViews>
    <sheetView topLeftCell="A2" workbookViewId="0">
      <selection activeCell="C15" sqref="C15"/>
    </sheetView>
  </sheetViews>
  <sheetFormatPr defaultRowHeight="15" x14ac:dyDescent="0.25"/>
  <cols>
    <col min="1" max="2" width="12.5703125" bestFit="1" customWidth="1"/>
    <col min="5" max="5" width="13.42578125" bestFit="1" customWidth="1"/>
    <col min="8" max="8" width="22.140625" bestFit="1" customWidth="1"/>
    <col min="10" max="10" width="12.140625" bestFit="1" customWidth="1"/>
    <col min="11" max="11" width="13.140625" bestFit="1" customWidth="1"/>
    <col min="14" max="14" width="13.85546875" bestFit="1" customWidth="1"/>
  </cols>
  <sheetData>
    <row r="1" spans="1:15" x14ac:dyDescent="0.25">
      <c r="B1" t="s">
        <v>100</v>
      </c>
      <c r="C1" t="s">
        <v>103</v>
      </c>
      <c r="D1" t="s">
        <v>104</v>
      </c>
      <c r="E1" t="s">
        <v>107</v>
      </c>
      <c r="F1" t="s">
        <v>105</v>
      </c>
      <c r="G1" t="s">
        <v>106</v>
      </c>
      <c r="H1" t="s">
        <v>108</v>
      </c>
      <c r="I1" t="s">
        <v>109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</row>
    <row r="2" spans="1:15" x14ac:dyDescent="0.25">
      <c r="A2" t="s">
        <v>101</v>
      </c>
      <c r="E2" s="1"/>
    </row>
    <row r="3" spans="1:15" x14ac:dyDescent="0.25">
      <c r="A3">
        <f>Schedule!B9</f>
        <v>0</v>
      </c>
      <c r="B3" t="s">
        <v>3</v>
      </c>
      <c r="C3" t="e">
        <f>INDEX('[1]Grade Project'!$F:$F,MATCH($A$3,'[1]Grade Project'!$E:$E,0))</f>
        <v>#N/A</v>
      </c>
      <c r="D3">
        <f>COUNTIFS('[1]Grade Project'!$E:$E,$A$3,'[1]Grade Project'!$F:$F,C3)</f>
        <v>0</v>
      </c>
      <c r="E3" t="str">
        <f>IFERROR(RIGHT(C3,LEN(C3)-FIND("-",C3)),"")</f>
        <v/>
      </c>
      <c r="F3" t="e">
        <f>INDEX('[1]Grade Project'!$G:$G,MATCH($A$5,'[1]Grade Project'!$F:$F,0))</f>
        <v>#N/A</v>
      </c>
      <c r="G3">
        <f>COUNTIFS('[1]Grade Project'!$F:$F,$A$5,'[1]Grade Project'!$G:$G,F3)</f>
        <v>0</v>
      </c>
      <c r="H3" t="e">
        <f>INDEX('[1]Grade Project'!$K:$K,MATCH(CONCATENATE(A5,A8),'[1]Grade Project'!$H:$H,0))</f>
        <v>#N/A</v>
      </c>
      <c r="I3">
        <f>COUNTIFS('[1]Grade Project'!$G:$G,$A$8,'[1]Grade Project'!$K:$K,H3,'[1]Grade Project'!$F:$F,$A$5)</f>
        <v>0</v>
      </c>
      <c r="J3" t="str">
        <f>IFERROR(AVERAGEIFS('[1]Grade Project'!$N:$N,'[1]Grade Project'!$K:$K,H3,'[1]Grade Project'!$F:$F,$A$5,'[1]Grade Project'!$G:$G,$A$8),"")</f>
        <v/>
      </c>
      <c r="K3" t="str">
        <f>IFERROR(AVERAGEIFS('[1]Grade Project'!$O:$O,'[1]Grade Project'!$K:$K,H3,'[1]Grade Project'!$F:$F,$A$5,'[1]Grade Project'!$G:$G,$A$8),"")</f>
        <v/>
      </c>
      <c r="L3" t="str">
        <f>IFERROR(K3/J3,"")</f>
        <v/>
      </c>
      <c r="M3" t="str">
        <f>IFERROR(_xlfn.RANK.EQ(L3,L:L),"")</f>
        <v/>
      </c>
      <c r="N3" t="str">
        <f>IFERROR(MAX(M:M)-M3+1,"")</f>
        <v/>
      </c>
      <c r="O3">
        <f>COUNT(N:N)</f>
        <v>0</v>
      </c>
    </row>
    <row r="4" spans="1:15" x14ac:dyDescent="0.25">
      <c r="A4" t="s">
        <v>102</v>
      </c>
      <c r="B4" t="s">
        <v>4</v>
      </c>
      <c r="C4" t="e">
        <f>IF(C3="","",IF(C3=INDEX('[1]Grade Project'!$F:$F,MATCH($A$3,'[1]Grade Project'!$E:$E,0)+SUM($D$3:D3)),"",INDEX('[1]Grade Project'!$F:$F,MATCH($A$3,'[1]Grade Project'!$E:$E,0)+SUM($D$3:D3))))</f>
        <v>#N/A</v>
      </c>
      <c r="D4">
        <f>COUNTIFS('[1]Grade Project'!$E:$E,$A$3,'[1]Grade Project'!$F:$F,C4)</f>
        <v>0</v>
      </c>
      <c r="E4" t="str">
        <f t="shared" ref="E4:E36" si="0">IFERROR(RIGHT(C4,LEN(C4)-FIND("-",C4)),"")</f>
        <v/>
      </c>
      <c r="F4" t="str">
        <f>IF(G3=0,"",INDEX('[1]Grade Project'!$G:$G,MATCH($A$5,'[1]Grade Project'!$F:$F,0)+SUM($G$3:G3)))</f>
        <v/>
      </c>
      <c r="G4">
        <f>COUNTIFS('[1]Grade Project'!$F:$F,$A$5,'[1]Grade Project'!$G:$G,F4)</f>
        <v>0</v>
      </c>
      <c r="H4" t="str">
        <f>IF(I3=0,"",INDEX('[1]Grade Project'!$K:$K,MATCH(CONCATENATE($A$5,$A$8),'[1]Grade Project'!$H:$H,0)+SUM($I$3:I3)))</f>
        <v/>
      </c>
      <c r="I4">
        <f>COUNTIFS('[1]Grade Project'!$G:$G,$A$8,'[1]Grade Project'!$K:$K,H4,'[1]Grade Project'!$F:$F,$A$5)</f>
        <v>0</v>
      </c>
      <c r="J4" t="str">
        <f>IFERROR(AVERAGEIFS('[1]Grade Project'!$N:$N,'[1]Grade Project'!$K:$K,H4,'[1]Grade Project'!$F:$F,$A$5,'[1]Grade Project'!$G:$G,$A$8),"")</f>
        <v/>
      </c>
      <c r="K4" t="str">
        <f>IFERROR(AVERAGEIFS('[1]Grade Project'!$O:$O,'[1]Grade Project'!$K:$K,H4,'[1]Grade Project'!$F:$F,$A$5,'[1]Grade Project'!$G:$G,$A$8),"")</f>
        <v/>
      </c>
      <c r="L4" t="str">
        <f t="shared" ref="L4:L67" si="1">IFERROR(K4/J4,"")</f>
        <v/>
      </c>
      <c r="M4" t="str">
        <f t="shared" ref="M4:M67" si="2">IFERROR(_xlfn.RANK.EQ(L4,L:L),"")</f>
        <v/>
      </c>
      <c r="N4" t="str">
        <f t="shared" ref="N4:N67" si="3">IFERROR(MAX(M:M)-M4+1,"")</f>
        <v/>
      </c>
    </row>
    <row r="5" spans="1:15" x14ac:dyDescent="0.25">
      <c r="A5" t="e">
        <f>INDEX(C:C,MATCH(A6,E:E,0))</f>
        <v>#N/A</v>
      </c>
      <c r="B5" t="s">
        <v>5</v>
      </c>
      <c r="C5" t="e">
        <f>IF(C4="","",IF(C4=INDEX('[1]Grade Project'!$F:$F,MATCH($A$3,'[1]Grade Project'!$E:$E,0)+SUM($D$3:D4)),"",INDEX('[1]Grade Project'!$F:$F,MATCH($A$3,'[1]Grade Project'!$E:$E,0)+SUM($D$3:D4))))</f>
        <v>#N/A</v>
      </c>
      <c r="D5">
        <f>COUNTIFS('[1]Grade Project'!$E:$E,$A$3,'[1]Grade Project'!$F:$F,C5)</f>
        <v>0</v>
      </c>
      <c r="E5" t="str">
        <f t="shared" si="0"/>
        <v/>
      </c>
      <c r="F5" t="str">
        <f>IF(G4=0,"",INDEX('[1]Grade Project'!$G:$G,MATCH($A$5,'[1]Grade Project'!$F:$F,0)+SUM($G$3:G4)))</f>
        <v/>
      </c>
      <c r="G5">
        <f>COUNTIFS('[1]Grade Project'!$F:$F,$A$5,'[1]Grade Project'!$G:$G,F5)</f>
        <v>0</v>
      </c>
      <c r="H5" t="str">
        <f>IF(I4=0,"",INDEX('[1]Grade Project'!$K:$K,MATCH(CONCATENATE($A$5,$A$8),'[1]Grade Project'!$H:$H,0)+SUM($I$3:I4)))</f>
        <v/>
      </c>
      <c r="I5">
        <f>COUNTIFS('[1]Grade Project'!$G:$G,$A$8,'[1]Grade Project'!$K:$K,H5,'[1]Grade Project'!$F:$F,$A$5)</f>
        <v>0</v>
      </c>
      <c r="J5" t="str">
        <f>IFERROR(AVERAGEIFS('[1]Grade Project'!$N:$N,'[1]Grade Project'!$K:$K,H5,'[1]Grade Project'!$F:$F,$A$5,'[1]Grade Project'!$G:$G,$A$8),"")</f>
        <v/>
      </c>
      <c r="K5" t="str">
        <f>IFERROR(AVERAGEIFS('[1]Grade Project'!$O:$O,'[1]Grade Project'!$K:$K,H5,'[1]Grade Project'!$F:$F,$A$5,'[1]Grade Project'!$G:$G,$A$8),"")</f>
        <v/>
      </c>
      <c r="L5" t="str">
        <f t="shared" si="1"/>
        <v/>
      </c>
      <c r="M5" t="str">
        <f t="shared" si="2"/>
        <v/>
      </c>
      <c r="N5" t="str">
        <f t="shared" si="3"/>
        <v/>
      </c>
    </row>
    <row r="6" spans="1:15" x14ac:dyDescent="0.25">
      <c r="A6">
        <f>Schedule!C9</f>
        <v>0</v>
      </c>
      <c r="B6" t="s">
        <v>6</v>
      </c>
      <c r="C6" t="e">
        <f>IF(C5="","",IF(C5=INDEX('[1]Grade Project'!$F:$F,MATCH($A$3,'[1]Grade Project'!$E:$E,0)+SUM($D$3:D5)),"",INDEX('[1]Grade Project'!$F:$F,MATCH($A$3,'[1]Grade Project'!$E:$E,0)+SUM($D$3:D5))))</f>
        <v>#N/A</v>
      </c>
      <c r="D6">
        <f>COUNTIFS('[1]Grade Project'!$E:$E,$A$3,'[1]Grade Project'!$F:$F,C6)</f>
        <v>0</v>
      </c>
      <c r="E6" t="str">
        <f t="shared" si="0"/>
        <v/>
      </c>
      <c r="F6" t="str">
        <f>IF(G5=0,"",INDEX('[1]Grade Project'!$G:$G,MATCH($A$5,'[1]Grade Project'!$F:$F,0)+SUM($G$3:G5)))</f>
        <v/>
      </c>
      <c r="G6">
        <f>COUNTIFS('[1]Grade Project'!$F:$F,$A$5,'[1]Grade Project'!$G:$G,F6)</f>
        <v>0</v>
      </c>
      <c r="H6" t="str">
        <f>IF(I5=0,"",INDEX('[1]Grade Project'!$K:$K,MATCH(CONCATENATE($A$5,$A$8),'[1]Grade Project'!$H:$H,0)+SUM($I$3:I5)))</f>
        <v/>
      </c>
      <c r="I6">
        <f>COUNTIFS('[1]Grade Project'!$G:$G,$A$8,'[1]Grade Project'!$K:$K,H6,'[1]Grade Project'!$F:$F,$A$5)</f>
        <v>0</v>
      </c>
      <c r="J6" t="str">
        <f>IFERROR(AVERAGEIFS('[1]Grade Project'!$N:$N,'[1]Grade Project'!$K:$K,H6,'[1]Grade Project'!$F:$F,$A$5,'[1]Grade Project'!$G:$G,$A$8),"")</f>
        <v/>
      </c>
      <c r="K6" t="str">
        <f>IFERROR(AVERAGEIFS('[1]Grade Project'!$O:$O,'[1]Grade Project'!$K:$K,H6,'[1]Grade Project'!$F:$F,$A$5,'[1]Grade Project'!$G:$G,$A$8),"")</f>
        <v/>
      </c>
      <c r="L6" t="str">
        <f t="shared" si="1"/>
        <v/>
      </c>
      <c r="M6" t="str">
        <f t="shared" si="2"/>
        <v/>
      </c>
      <c r="N6" t="str">
        <f t="shared" si="3"/>
        <v/>
      </c>
    </row>
    <row r="7" spans="1:15" x14ac:dyDescent="0.25">
      <c r="A7" t="s">
        <v>0</v>
      </c>
      <c r="B7" t="s">
        <v>7</v>
      </c>
      <c r="C7" t="e">
        <f>IF(C6="","",IF(C6=INDEX('[1]Grade Project'!$F:$F,MATCH($A$3,'[1]Grade Project'!$E:$E,0)+SUM($D$3:D6)),"",INDEX('[1]Grade Project'!$F:$F,MATCH($A$3,'[1]Grade Project'!$E:$E,0)+SUM($D$3:D6))))</f>
        <v>#N/A</v>
      </c>
      <c r="D7">
        <f>COUNTIFS('[1]Grade Project'!$E:$E,$A$3,'[1]Grade Project'!$F:$F,C7)</f>
        <v>0</v>
      </c>
      <c r="E7" t="str">
        <f t="shared" si="0"/>
        <v/>
      </c>
      <c r="F7" t="str">
        <f>IF(G6=0,"",INDEX('[1]Grade Project'!$G:$G,MATCH($A$5,'[1]Grade Project'!$F:$F,0)+SUM($G$3:G6)))</f>
        <v/>
      </c>
      <c r="G7">
        <f>COUNTIFS('[1]Grade Project'!$F:$F,$A$5,'[1]Grade Project'!$G:$G,F7)</f>
        <v>0</v>
      </c>
      <c r="H7" t="str">
        <f>IF(I6=0,"",INDEX('[1]Grade Project'!$K:$K,MATCH(CONCATENATE($A$5,$A$8),'[1]Grade Project'!$H:$H,0)+SUM($I$3:I6)))</f>
        <v/>
      </c>
      <c r="I7">
        <f>COUNTIFS('[1]Grade Project'!$G:$G,$A$8,'[1]Grade Project'!$K:$K,H7,'[1]Grade Project'!$F:$F,$A$5)</f>
        <v>0</v>
      </c>
      <c r="J7" t="str">
        <f>IFERROR(AVERAGEIFS('[1]Grade Project'!$N:$N,'[1]Grade Project'!$K:$K,H7,'[1]Grade Project'!$F:$F,$A$5,'[1]Grade Project'!$G:$G,$A$8),"")</f>
        <v/>
      </c>
      <c r="K7" t="str">
        <f>IFERROR(AVERAGEIFS('[1]Grade Project'!$O:$O,'[1]Grade Project'!$K:$K,H7,'[1]Grade Project'!$F:$F,$A$5,'[1]Grade Project'!$G:$G,$A$8),"")</f>
        <v/>
      </c>
      <c r="L7" t="str">
        <f t="shared" si="1"/>
        <v/>
      </c>
      <c r="M7" t="str">
        <f t="shared" si="2"/>
        <v/>
      </c>
      <c r="N7" t="str">
        <f t="shared" si="3"/>
        <v/>
      </c>
    </row>
    <row r="8" spans="1:15" x14ac:dyDescent="0.25">
      <c r="A8">
        <f>Schedule!D9</f>
        <v>0</v>
      </c>
      <c r="B8" t="s">
        <v>8</v>
      </c>
      <c r="C8" t="e">
        <f>IF(C7="","",IF(C7=INDEX('[1]Grade Project'!$F:$F,MATCH($A$3,'[1]Grade Project'!$E:$E,0)+SUM($D$3:D7)),"",INDEX('[1]Grade Project'!$F:$F,MATCH($A$3,'[1]Grade Project'!$E:$E,0)+SUM($D$3:D7))))</f>
        <v>#N/A</v>
      </c>
      <c r="D8">
        <f>COUNTIFS('[1]Grade Project'!$E:$E,$A$3,'[1]Grade Project'!$F:$F,C8)</f>
        <v>0</v>
      </c>
      <c r="E8" t="str">
        <f t="shared" si="0"/>
        <v/>
      </c>
      <c r="F8" t="str">
        <f>IF(G7=0,"",INDEX('[1]Grade Project'!$G:$G,MATCH($A$5,'[1]Grade Project'!$F:$F,0)+SUM($G$3:G7)))</f>
        <v/>
      </c>
      <c r="G8">
        <f>COUNTIFS('[1]Grade Project'!$F:$F,$A$5,'[1]Grade Project'!$G:$G,F8)</f>
        <v>0</v>
      </c>
      <c r="H8" t="str">
        <f>IF(I7=0,"",INDEX('[1]Grade Project'!$K:$K,MATCH(CONCATENATE($A$5,$A$8),'[1]Grade Project'!$H:$H,0)+SUM($I$3:I7)))</f>
        <v/>
      </c>
      <c r="I8">
        <f>COUNTIFS('[1]Grade Project'!$G:$G,$A$8,'[1]Grade Project'!$K:$K,H8,'[1]Grade Project'!$F:$F,$A$5)</f>
        <v>0</v>
      </c>
      <c r="J8" t="str">
        <f>IFERROR(AVERAGEIFS('[1]Grade Project'!$N:$N,'[1]Grade Project'!$K:$K,H8,'[1]Grade Project'!$F:$F,$A$5,'[1]Grade Project'!$G:$G,$A$8),"")</f>
        <v/>
      </c>
      <c r="K8" t="str">
        <f>IFERROR(AVERAGEIFS('[1]Grade Project'!$O:$O,'[1]Grade Project'!$K:$K,H8,'[1]Grade Project'!$F:$F,$A$5,'[1]Grade Project'!$G:$G,$A$8),"")</f>
        <v/>
      </c>
      <c r="L8" t="str">
        <f t="shared" si="1"/>
        <v/>
      </c>
      <c r="M8" t="str">
        <f t="shared" si="2"/>
        <v/>
      </c>
      <c r="N8" t="str">
        <f t="shared" si="3"/>
        <v/>
      </c>
    </row>
    <row r="9" spans="1:15" x14ac:dyDescent="0.25">
      <c r="A9" t="s">
        <v>108</v>
      </c>
      <c r="B9" t="s">
        <v>9</v>
      </c>
      <c r="C9" t="e">
        <f>IF(C8="","",IF(C8=INDEX('[1]Grade Project'!$F:$F,MATCH($A$3,'[1]Grade Project'!$E:$E,0)+SUM($D$3:D8)),"",INDEX('[1]Grade Project'!$F:$F,MATCH($A$3,'[1]Grade Project'!$E:$E,0)+SUM($D$3:D8))))</f>
        <v>#N/A</v>
      </c>
      <c r="D9">
        <f>COUNTIFS('[1]Grade Project'!$E:$E,$A$3,'[1]Grade Project'!$F:$F,C9)</f>
        <v>0</v>
      </c>
      <c r="E9" t="str">
        <f t="shared" si="0"/>
        <v/>
      </c>
      <c r="F9" t="str">
        <f>IF(G8=0,"",INDEX('[1]Grade Project'!$G:$G,MATCH($A$5,'[1]Grade Project'!$F:$F,0)+SUM($G$3:G8)))</f>
        <v/>
      </c>
      <c r="G9">
        <f>COUNTIFS('[1]Grade Project'!$F:$F,$A$5,'[1]Grade Project'!$G:$G,F9)</f>
        <v>0</v>
      </c>
      <c r="H9" t="str">
        <f>IF(I8=0,"",INDEX('[1]Grade Project'!$K:$K,MATCH(CONCATENATE($A$5,$A$8),'[1]Grade Project'!$H:$H,0)+SUM($I$3:I8)))</f>
        <v/>
      </c>
      <c r="I9">
        <f>COUNTIFS('[1]Grade Project'!$G:$G,$A$8,'[1]Grade Project'!$K:$K,H9,'[1]Grade Project'!$F:$F,$A$5)</f>
        <v>0</v>
      </c>
      <c r="J9" t="str">
        <f>IFERROR(AVERAGEIFS('[1]Grade Project'!$N:$N,'[1]Grade Project'!$K:$K,H9,'[1]Grade Project'!$F:$F,$A$5,'[1]Grade Project'!$G:$G,$A$8),"")</f>
        <v/>
      </c>
      <c r="K9" t="str">
        <f>IFERROR(AVERAGEIFS('[1]Grade Project'!$O:$O,'[1]Grade Project'!$K:$K,H9,'[1]Grade Project'!$F:$F,$A$5,'[1]Grade Project'!$G:$G,$A$8),"")</f>
        <v/>
      </c>
      <c r="L9" t="str">
        <f t="shared" si="1"/>
        <v/>
      </c>
      <c r="M9" t="str">
        <f t="shared" si="2"/>
        <v/>
      </c>
      <c r="N9" t="str">
        <f t="shared" si="3"/>
        <v/>
      </c>
    </row>
    <row r="10" spans="1:15" x14ac:dyDescent="0.25">
      <c r="A10">
        <f>Schedule!E9</f>
        <v>0</v>
      </c>
      <c r="B10" t="s">
        <v>10</v>
      </c>
      <c r="C10" t="e">
        <f>IF(C9="","",IF(C9=INDEX('[1]Grade Project'!$F:$F,MATCH($A$3,'[1]Grade Project'!$E:$E,0)+SUM($D$3:D9)),"",INDEX('[1]Grade Project'!$F:$F,MATCH($A$3,'[1]Grade Project'!$E:$E,0)+SUM($D$3:D9))))</f>
        <v>#N/A</v>
      </c>
      <c r="D10">
        <f>COUNTIFS('[1]Grade Project'!$E:$E,$A$3,'[1]Grade Project'!$F:$F,C10)</f>
        <v>0</v>
      </c>
      <c r="E10" t="str">
        <f t="shared" si="0"/>
        <v/>
      </c>
      <c r="F10" t="str">
        <f>IF(G9=0,"",INDEX('[1]Grade Project'!$G:$G,MATCH($A$5,'[1]Grade Project'!$F:$F,0)+SUM($G$3:G9)))</f>
        <v/>
      </c>
      <c r="G10">
        <f>COUNTIFS('[1]Grade Project'!$F:$F,$A$5,'[1]Grade Project'!$G:$G,F10)</f>
        <v>0</v>
      </c>
      <c r="H10" t="str">
        <f>IF(I9=0,"",INDEX('[1]Grade Project'!$K:$K,MATCH(CONCATENATE($A$5,$A$8),'[1]Grade Project'!$H:$H,0)+SUM($I$3:I9)))</f>
        <v/>
      </c>
      <c r="I10">
        <f>COUNTIFS('[1]Grade Project'!$G:$G,$A$8,'[1]Grade Project'!$K:$K,H10,'[1]Grade Project'!$F:$F,$A$5)</f>
        <v>0</v>
      </c>
      <c r="J10" t="str">
        <f>IFERROR(AVERAGEIFS('[1]Grade Project'!$N:$N,'[1]Grade Project'!$K:$K,H10,'[1]Grade Project'!$F:$F,$A$5,'[1]Grade Project'!$G:$G,$A$8),"")</f>
        <v/>
      </c>
      <c r="K10" t="str">
        <f>IFERROR(AVERAGEIFS('[1]Grade Project'!$O:$O,'[1]Grade Project'!$K:$K,H10,'[1]Grade Project'!$F:$F,$A$5,'[1]Grade Project'!$G:$G,$A$8),"")</f>
        <v/>
      </c>
      <c r="L10" t="str">
        <f t="shared" si="1"/>
        <v/>
      </c>
      <c r="M10" t="str">
        <f t="shared" si="2"/>
        <v/>
      </c>
      <c r="N10" t="str">
        <f t="shared" si="3"/>
        <v/>
      </c>
    </row>
    <row r="11" spans="1:15" x14ac:dyDescent="0.25">
      <c r="A11" t="s">
        <v>111</v>
      </c>
      <c r="B11" t="s">
        <v>11</v>
      </c>
      <c r="C11" t="e">
        <f>IF(C10="","",IF(C10=INDEX('[1]Grade Project'!$F:$F,MATCH($A$3,'[1]Grade Project'!$E:$E,0)+SUM($D$3:D10)),"",INDEX('[1]Grade Project'!$F:$F,MATCH($A$3,'[1]Grade Project'!$E:$E,0)+SUM($D$3:D10))))</f>
        <v>#N/A</v>
      </c>
      <c r="D11">
        <f>COUNTIFS('[1]Grade Project'!$E:$E,$A$3,'[1]Grade Project'!$F:$F,C11)</f>
        <v>0</v>
      </c>
      <c r="E11" t="str">
        <f t="shared" si="0"/>
        <v/>
      </c>
      <c r="F11" t="str">
        <f>IF(G10=0,"",INDEX('[1]Grade Project'!$G:$G,MATCH($A$5,'[1]Grade Project'!$F:$F,0)+SUM($G$3:G10)))</f>
        <v/>
      </c>
      <c r="G11">
        <f>COUNTIFS('[1]Grade Project'!$F:$F,$A$5,'[1]Grade Project'!$G:$G,F11)</f>
        <v>0</v>
      </c>
      <c r="H11" t="str">
        <f>IF(I10=0,"",INDEX('[1]Grade Project'!$K:$K,MATCH(CONCATENATE($A$5,$A$8),'[1]Grade Project'!$H:$H,0)+SUM($I$3:I10)))</f>
        <v/>
      </c>
      <c r="I11">
        <f>COUNTIFS('[1]Grade Project'!$G:$G,$A$8,'[1]Grade Project'!$K:$K,H11,'[1]Grade Project'!$F:$F,$A$5)</f>
        <v>0</v>
      </c>
      <c r="J11" t="str">
        <f>IFERROR(AVERAGEIFS('[1]Grade Project'!$N:$N,'[1]Grade Project'!$K:$K,H11,'[1]Grade Project'!$F:$F,$A$5,'[1]Grade Project'!$G:$G,$A$8),"")</f>
        <v/>
      </c>
      <c r="K11" t="str">
        <f>IFERROR(AVERAGEIFS('[1]Grade Project'!$O:$O,'[1]Grade Project'!$K:$K,H11,'[1]Grade Project'!$F:$F,$A$5,'[1]Grade Project'!$G:$G,$A$8),"")</f>
        <v/>
      </c>
      <c r="L11" t="str">
        <f t="shared" si="1"/>
        <v/>
      </c>
      <c r="M11" t="str">
        <f t="shared" si="2"/>
        <v/>
      </c>
      <c r="N11" t="str">
        <f t="shared" si="3"/>
        <v/>
      </c>
    </row>
    <row r="12" spans="1:15" x14ac:dyDescent="0.25">
      <c r="A12" t="e">
        <f>AVERAGEIFS('[1]Grade Project'!$N:$N,'[1]Grade Project'!$K:$K,$A$10,'[1]Grade Project'!$F:$F,A5,'[1]Grade Project'!$G:$G,$A$8)</f>
        <v>#DIV/0!</v>
      </c>
      <c r="B12" t="s">
        <v>12</v>
      </c>
      <c r="C12" t="e">
        <f>IF(C11="","",IF(C11=INDEX('[1]Grade Project'!$F:$F,MATCH($A$3,'[1]Grade Project'!$E:$E,0)+SUM($D$3:D11)),"",INDEX('[1]Grade Project'!$F:$F,MATCH($A$3,'[1]Grade Project'!$E:$E,0)+SUM($D$3:D11))))</f>
        <v>#N/A</v>
      </c>
      <c r="D12">
        <f>COUNTIFS('[1]Grade Project'!$E:$E,$A$3,'[1]Grade Project'!$F:$F,C12)</f>
        <v>0</v>
      </c>
      <c r="E12" t="str">
        <f t="shared" si="0"/>
        <v/>
      </c>
      <c r="F12" t="str">
        <f>IF(G11=0,"",INDEX('[1]Grade Project'!$G:$G,MATCH($A$5,'[1]Grade Project'!$F:$F,0)+SUM($G$3:G11)))</f>
        <v/>
      </c>
      <c r="G12">
        <f>COUNTIFS('[1]Grade Project'!$F:$F,$A$5,'[1]Grade Project'!$G:$G,F12)</f>
        <v>0</v>
      </c>
      <c r="H12" t="str">
        <f>IF(I11=0,"",INDEX('[1]Grade Project'!$K:$K,MATCH(CONCATENATE($A$5,$A$8),'[1]Grade Project'!$H:$H,0)+SUM($I$3:I11)))</f>
        <v/>
      </c>
      <c r="I12">
        <f>COUNTIFS('[1]Grade Project'!$G:$G,$A$8,'[1]Grade Project'!$K:$K,H12,'[1]Grade Project'!$F:$F,$A$5)</f>
        <v>0</v>
      </c>
      <c r="J12" t="str">
        <f>IFERROR(AVERAGEIFS('[1]Grade Project'!$N:$N,'[1]Grade Project'!$K:$K,H12,'[1]Grade Project'!$F:$F,$A$5,'[1]Grade Project'!$G:$G,$A$8),"")</f>
        <v/>
      </c>
      <c r="K12" t="str">
        <f>IFERROR(AVERAGEIFS('[1]Grade Project'!$O:$O,'[1]Grade Project'!$K:$K,H12,'[1]Grade Project'!$F:$F,$A$5,'[1]Grade Project'!$G:$G,$A$8),"")</f>
        <v/>
      </c>
      <c r="L12" t="str">
        <f t="shared" si="1"/>
        <v/>
      </c>
      <c r="M12" t="str">
        <f t="shared" si="2"/>
        <v/>
      </c>
      <c r="N12" t="str">
        <f t="shared" si="3"/>
        <v/>
      </c>
    </row>
    <row r="13" spans="1:15" x14ac:dyDescent="0.25">
      <c r="A13" t="s">
        <v>112</v>
      </c>
      <c r="B13" t="s">
        <v>13</v>
      </c>
      <c r="C13" t="e">
        <f>IF(C12="","",IF(C12=INDEX('[1]Grade Project'!$F:$F,MATCH($A$3,'[1]Grade Project'!$E:$E,0)+SUM($D$3:D12)),"",INDEX('[1]Grade Project'!$F:$F,MATCH($A$3,'[1]Grade Project'!$E:$E,0)+SUM($D$3:D12))))</f>
        <v>#N/A</v>
      </c>
      <c r="D13">
        <f>COUNTIFS('[1]Grade Project'!$E:$E,$A$3,'[1]Grade Project'!$F:$F,C13)</f>
        <v>0</v>
      </c>
      <c r="E13" t="str">
        <f t="shared" si="0"/>
        <v/>
      </c>
      <c r="F13" t="str">
        <f>IF(G12=0,"",INDEX('[1]Grade Project'!$G:$G,MATCH($A$5,'[1]Grade Project'!$F:$F,0)+SUM($G$3:G12)))</f>
        <v/>
      </c>
      <c r="G13">
        <f>COUNTIFS('[1]Grade Project'!$F:$F,$A$5,'[1]Grade Project'!$G:$G,F13)</f>
        <v>0</v>
      </c>
      <c r="H13" t="str">
        <f>IF(I12=0,"",INDEX('[1]Grade Project'!$K:$K,MATCH(CONCATENATE($A$5,$A$8),'[1]Grade Project'!$H:$H,0)+SUM($I$3:I12)))</f>
        <v/>
      </c>
      <c r="I13">
        <f>COUNTIFS('[1]Grade Project'!$G:$G,$A$8,'[1]Grade Project'!$K:$K,H13,'[1]Grade Project'!$F:$F,$A$5)</f>
        <v>0</v>
      </c>
      <c r="J13" t="str">
        <f>IFERROR(AVERAGEIFS('[1]Grade Project'!$N:$N,'[1]Grade Project'!$K:$K,H13,'[1]Grade Project'!$F:$F,$A$5,'[1]Grade Project'!$G:$G,$A$8),"")</f>
        <v/>
      </c>
      <c r="K13" t="str">
        <f>IFERROR(AVERAGEIFS('[1]Grade Project'!$O:$O,'[1]Grade Project'!$K:$K,H13,'[1]Grade Project'!$F:$F,$A$5,'[1]Grade Project'!$G:$G,$A$8),"")</f>
        <v/>
      </c>
      <c r="L13" t="str">
        <f t="shared" si="1"/>
        <v/>
      </c>
      <c r="M13" t="str">
        <f t="shared" si="2"/>
        <v/>
      </c>
      <c r="N13" t="str">
        <f t="shared" si="3"/>
        <v/>
      </c>
    </row>
    <row r="14" spans="1:15" x14ac:dyDescent="0.25">
      <c r="A14" t="e">
        <f>AVERAGEIFS('[1]Grade Project'!$O:$O,'[1]Grade Project'!$K:$K,$A$10,'[1]Grade Project'!$F:$F,A5,'[1]Grade Project'!$G:$G,$A$8)</f>
        <v>#DIV/0!</v>
      </c>
      <c r="B14" t="s">
        <v>14</v>
      </c>
      <c r="C14" t="e">
        <f>IF(C13="","",IF(C13=INDEX('[1]Grade Project'!$F:$F,MATCH($A$3,'[1]Grade Project'!$E:$E,0)+SUM($D$3:D13)),"",INDEX('[1]Grade Project'!$F:$F,MATCH($A$3,'[1]Grade Project'!$E:$E,0)+SUM($D$3:D13))))</f>
        <v>#N/A</v>
      </c>
      <c r="D14">
        <f>COUNTIFS('[1]Grade Project'!$E:$E,$A$3,'[1]Grade Project'!$F:$F,C14)</f>
        <v>0</v>
      </c>
      <c r="E14" t="str">
        <f t="shared" si="0"/>
        <v/>
      </c>
      <c r="F14" t="str">
        <f>IF(G13=0,"",INDEX('[1]Grade Project'!$G:$G,MATCH($A$5,'[1]Grade Project'!$F:$F,0)+SUM($G$3:G13)))</f>
        <v/>
      </c>
      <c r="G14">
        <f>COUNTIFS('[1]Grade Project'!$F:$F,$A$5,'[1]Grade Project'!$G:$G,F14)</f>
        <v>0</v>
      </c>
      <c r="H14" t="str">
        <f>IF(I13=0,"",INDEX('[1]Grade Project'!$K:$K,MATCH(CONCATENATE($A$5,$A$8),'[1]Grade Project'!$H:$H,0)+SUM($I$3:I13)))</f>
        <v/>
      </c>
      <c r="I14">
        <f>COUNTIFS('[1]Grade Project'!$G:$G,$A$8,'[1]Grade Project'!$K:$K,H14,'[1]Grade Project'!$F:$F,$A$5)</f>
        <v>0</v>
      </c>
      <c r="J14" t="str">
        <f>IFERROR(AVERAGEIFS('[1]Grade Project'!$N:$N,'[1]Grade Project'!$K:$K,H14,'[1]Grade Project'!$F:$F,$A$5,'[1]Grade Project'!$G:$G,$A$8),"")</f>
        <v/>
      </c>
      <c r="K14" t="str">
        <f>IFERROR(AVERAGEIFS('[1]Grade Project'!$O:$O,'[1]Grade Project'!$K:$K,H14,'[1]Grade Project'!$F:$F,$A$5,'[1]Grade Project'!$G:$G,$A$8),"")</f>
        <v/>
      </c>
      <c r="L14" t="str">
        <f t="shared" si="1"/>
        <v/>
      </c>
      <c r="M14" t="str">
        <f t="shared" si="2"/>
        <v/>
      </c>
      <c r="N14" t="str">
        <f t="shared" si="3"/>
        <v/>
      </c>
    </row>
    <row r="15" spans="1:15" x14ac:dyDescent="0.25">
      <c r="A15" t="s">
        <v>118</v>
      </c>
      <c r="B15" t="s">
        <v>15</v>
      </c>
      <c r="C15" t="e">
        <f>IF(C14="","",IF(C14=INDEX('[1]Grade Project'!$F:$F,MATCH($A$3,'[1]Grade Project'!$E:$E,0)+SUM($D$3:D14)),"",INDEX('[1]Grade Project'!$F:$F,MATCH($A$3,'[1]Grade Project'!$E:$E,0)+SUM($D$3:D14))))</f>
        <v>#N/A</v>
      </c>
      <c r="D15">
        <f>COUNTIFS('[1]Grade Project'!$E:$E,$A$3,'[1]Grade Project'!$F:$F,C15)</f>
        <v>0</v>
      </c>
      <c r="E15" t="str">
        <f t="shared" si="0"/>
        <v/>
      </c>
      <c r="F15" t="str">
        <f>IF(G14=0,"",INDEX('[1]Grade Project'!$G:$G,MATCH($A$5,'[1]Grade Project'!$F:$F,0)+SUM($G$3:G14)))</f>
        <v/>
      </c>
      <c r="G15">
        <f>COUNTIFS('[1]Grade Project'!$F:$F,$A$5,'[1]Grade Project'!$G:$G,F15)</f>
        <v>0</v>
      </c>
      <c r="H15" t="str">
        <f>IF(I14=0,"",INDEX('[1]Grade Project'!$K:$K,MATCH(CONCATENATE($A$5,$A$8),'[1]Grade Project'!$H:$H,0)+SUM($I$3:I14)))</f>
        <v/>
      </c>
      <c r="I15">
        <f>COUNTIFS('[1]Grade Project'!$G:$G,$A$8,'[1]Grade Project'!$K:$K,H15,'[1]Grade Project'!$F:$F,$A$5)</f>
        <v>0</v>
      </c>
      <c r="J15" t="str">
        <f>IFERROR(AVERAGEIFS('[1]Grade Project'!$N:$N,'[1]Grade Project'!$K:$K,H15,'[1]Grade Project'!$F:$F,$A$5,'[1]Grade Project'!$G:$G,$A$8),"")</f>
        <v/>
      </c>
      <c r="K15" t="str">
        <f>IFERROR(AVERAGEIFS('[1]Grade Project'!$O:$O,'[1]Grade Project'!$K:$K,H15,'[1]Grade Project'!$F:$F,$A$5,'[1]Grade Project'!$G:$G,$A$8),"")</f>
        <v/>
      </c>
      <c r="L15" t="str">
        <f t="shared" si="1"/>
        <v/>
      </c>
      <c r="M15" t="str">
        <f t="shared" si="2"/>
        <v/>
      </c>
      <c r="N15" t="str">
        <f t="shared" si="3"/>
        <v/>
      </c>
    </row>
    <row r="16" spans="1:15" x14ac:dyDescent="0.25">
      <c r="A16" t="e">
        <f>INDEX(Five!N:N,MATCH(A14/A12,Five!L:L,0))&amp;"/"&amp;COUNT(Five!N:N)</f>
        <v>#DIV/0!</v>
      </c>
      <c r="B16" t="s">
        <v>16</v>
      </c>
      <c r="C16" t="e">
        <f>IF(C15="","",IF(C15=INDEX('[1]Grade Project'!$F:$F,MATCH($A$3,'[1]Grade Project'!$E:$E,0)+SUM($D$3:D15)),"",INDEX('[1]Grade Project'!$F:$F,MATCH($A$3,'[1]Grade Project'!$E:$E,0)+SUM($D$3:D15))))</f>
        <v>#N/A</v>
      </c>
      <c r="D16">
        <f>COUNTIFS('[1]Grade Project'!$E:$E,$A$3,'[1]Grade Project'!$F:$F,C16)</f>
        <v>0</v>
      </c>
      <c r="E16" t="str">
        <f t="shared" si="0"/>
        <v/>
      </c>
      <c r="F16" t="str">
        <f>IF(G15=0,"",INDEX('[1]Grade Project'!$G:$G,MATCH($A$5,'[1]Grade Project'!$F:$F,0)+SUM($G$3:G15)))</f>
        <v/>
      </c>
      <c r="G16">
        <f>COUNTIFS('[1]Grade Project'!$F:$F,$A$5,'[1]Grade Project'!$G:$G,F16)</f>
        <v>0</v>
      </c>
      <c r="H16" t="str">
        <f>IF(I15=0,"",INDEX('[1]Grade Project'!$K:$K,MATCH(CONCATENATE($A$5,$A$8),'[1]Grade Project'!$H:$H,0)+SUM($I$3:I15)))</f>
        <v/>
      </c>
      <c r="I16">
        <f>COUNTIFS('[1]Grade Project'!$G:$G,$A$8,'[1]Grade Project'!$K:$K,H16,'[1]Grade Project'!$F:$F,$A$5)</f>
        <v>0</v>
      </c>
      <c r="J16" t="str">
        <f>IFERROR(AVERAGEIFS('[1]Grade Project'!$N:$N,'[1]Grade Project'!$K:$K,H16,'[1]Grade Project'!$F:$F,$A$5,'[1]Grade Project'!$G:$G,$A$8),"")</f>
        <v/>
      </c>
      <c r="K16" t="str">
        <f>IFERROR(AVERAGEIFS('[1]Grade Project'!$O:$O,'[1]Grade Project'!$K:$K,H16,'[1]Grade Project'!$F:$F,$A$5,'[1]Grade Project'!$G:$G,$A$8),"")</f>
        <v/>
      </c>
      <c r="L16" t="str">
        <f t="shared" si="1"/>
        <v/>
      </c>
      <c r="M16" t="str">
        <f t="shared" si="2"/>
        <v/>
      </c>
      <c r="N16" t="str">
        <f t="shared" si="3"/>
        <v/>
      </c>
    </row>
    <row r="17" spans="1:14" x14ac:dyDescent="0.25">
      <c r="A17" t="s">
        <v>113</v>
      </c>
      <c r="B17" t="s">
        <v>17</v>
      </c>
      <c r="C17" t="e">
        <f>IF(C16="","",IF(C16=INDEX('[1]Grade Project'!$F:$F,MATCH($A$3,'[1]Grade Project'!$E:$E,0)+SUM($D$3:D16)),"",INDEX('[1]Grade Project'!$F:$F,MATCH($A$3,'[1]Grade Project'!$E:$E,0)+SUM($D$3:D16))))</f>
        <v>#N/A</v>
      </c>
      <c r="D17">
        <f>COUNTIFS('[1]Grade Project'!$E:$E,$A$3,'[1]Grade Project'!$F:$F,C17)</f>
        <v>0</v>
      </c>
      <c r="E17" t="str">
        <f t="shared" si="0"/>
        <v/>
      </c>
      <c r="F17" t="str">
        <f>IF(G16=0,"",INDEX('[1]Grade Project'!$G:$G,MATCH($A$5,'[1]Grade Project'!$F:$F,0)+SUM($G$3:G16)))</f>
        <v/>
      </c>
      <c r="G17">
        <f>COUNTIFS('[1]Grade Project'!$F:$F,$A$5,'[1]Grade Project'!$G:$G,F17)</f>
        <v>0</v>
      </c>
      <c r="H17" t="str">
        <f>IF(I16=0,"",INDEX('[1]Grade Project'!$K:$K,MATCH(CONCATENATE($A$5,$A$8),'[1]Grade Project'!$H:$H,0)+SUM($I$3:I16)))</f>
        <v/>
      </c>
      <c r="I17">
        <f>COUNTIFS('[1]Grade Project'!$G:$G,$A$8,'[1]Grade Project'!$K:$K,H17,'[1]Grade Project'!$F:$F,$A$5)</f>
        <v>0</v>
      </c>
      <c r="J17" t="str">
        <f>IFERROR(AVERAGEIFS('[1]Grade Project'!$N:$N,'[1]Grade Project'!$K:$K,H17,'[1]Grade Project'!$F:$F,$A$5,'[1]Grade Project'!$G:$G,$A$8),"")</f>
        <v/>
      </c>
      <c r="K17" t="str">
        <f>IFERROR(AVERAGEIFS('[1]Grade Project'!$O:$O,'[1]Grade Project'!$K:$K,H17,'[1]Grade Project'!$F:$F,$A$5,'[1]Grade Project'!$G:$G,$A$8),"")</f>
        <v/>
      </c>
      <c r="L17" t="str">
        <f t="shared" si="1"/>
        <v/>
      </c>
      <c r="M17" t="str">
        <f t="shared" si="2"/>
        <v/>
      </c>
      <c r="N17" t="str">
        <f t="shared" si="3"/>
        <v/>
      </c>
    </row>
    <row r="18" spans="1:14" x14ac:dyDescent="0.25">
      <c r="A18" t="e">
        <f>INDEX(Five!H:H,MATCH(MAX(Five!N:N),Five!N:N,0))</f>
        <v>#N/A</v>
      </c>
      <c r="B18" t="s">
        <v>18</v>
      </c>
      <c r="C18" t="e">
        <f>IF(C17="","",IF(C17=INDEX('[1]Grade Project'!$F:$F,MATCH($A$3,'[1]Grade Project'!$E:$E,0)+SUM($D$3:D17)),"",INDEX('[1]Grade Project'!$F:$F,MATCH($A$3,'[1]Grade Project'!$E:$E,0)+SUM($D$3:D17))))</f>
        <v>#N/A</v>
      </c>
      <c r="D18">
        <f>COUNTIFS('[1]Grade Project'!$E:$E,$A$3,'[1]Grade Project'!$F:$F,C18)</f>
        <v>0</v>
      </c>
      <c r="E18" t="str">
        <f t="shared" si="0"/>
        <v/>
      </c>
      <c r="F18" t="str">
        <f>IF(G17=0,"",INDEX('[1]Grade Project'!$G:$G,MATCH($A$5,'[1]Grade Project'!$F:$F,0)+SUM($G$3:G17)))</f>
        <v/>
      </c>
      <c r="G18">
        <f>COUNTIFS('[1]Grade Project'!$F:$F,$A$5,'[1]Grade Project'!$G:$G,F18)</f>
        <v>0</v>
      </c>
      <c r="H18" t="str">
        <f>IF(I17=0,"",INDEX('[1]Grade Project'!$K:$K,MATCH(CONCATENATE($A$5,$A$8),'[1]Grade Project'!$H:$H,0)+SUM($I$3:I17)))</f>
        <v/>
      </c>
      <c r="I18">
        <f>COUNTIFS('[1]Grade Project'!$G:$G,$A$8,'[1]Grade Project'!$K:$K,H18,'[1]Grade Project'!$F:$F,$A$5)</f>
        <v>0</v>
      </c>
      <c r="J18" t="str">
        <f>IFERROR(AVERAGEIFS('[1]Grade Project'!$N:$N,'[1]Grade Project'!$K:$K,H18,'[1]Grade Project'!$F:$F,$A$5,'[1]Grade Project'!$G:$G,$A$8),"")</f>
        <v/>
      </c>
      <c r="K18" t="str">
        <f>IFERROR(AVERAGEIFS('[1]Grade Project'!$O:$O,'[1]Grade Project'!$K:$K,H18,'[1]Grade Project'!$F:$F,$A$5,'[1]Grade Project'!$G:$G,$A$8),"")</f>
        <v/>
      </c>
      <c r="L18" t="str">
        <f t="shared" si="1"/>
        <v/>
      </c>
      <c r="M18" t="str">
        <f t="shared" si="2"/>
        <v/>
      </c>
      <c r="N18" t="str">
        <f t="shared" si="3"/>
        <v/>
      </c>
    </row>
    <row r="19" spans="1:14" x14ac:dyDescent="0.25">
      <c r="A19" t="s">
        <v>110</v>
      </c>
      <c r="B19" t="s">
        <v>2</v>
      </c>
      <c r="C19" t="e">
        <f>IF(C18="","",IF(C18=INDEX('[1]Grade Project'!$F:$F,MATCH($A$3,'[1]Grade Project'!$E:$E,0)+SUM($D$3:D18)),"",INDEX('[1]Grade Project'!$F:$F,MATCH($A$3,'[1]Grade Project'!$E:$E,0)+SUM($D$3:D18))))</f>
        <v>#N/A</v>
      </c>
      <c r="D19">
        <f>COUNTIFS('[1]Grade Project'!$E:$E,$A$3,'[1]Grade Project'!$F:$F,C19)</f>
        <v>0</v>
      </c>
      <c r="E19" t="str">
        <f t="shared" si="0"/>
        <v/>
      </c>
      <c r="F19" t="str">
        <f>IF(G18=0,"",INDEX('[1]Grade Project'!$G:$G,MATCH($A$5,'[1]Grade Project'!$F:$F,0)+SUM($G$3:G18)))</f>
        <v/>
      </c>
      <c r="G19">
        <f>COUNTIFS('[1]Grade Project'!$F:$F,$A$5,'[1]Grade Project'!$G:$G,F19)</f>
        <v>0</v>
      </c>
      <c r="H19" t="str">
        <f>IF(I18=0,"",INDEX('[1]Grade Project'!$K:$K,MATCH(CONCATENATE($A$5,$A$8),'[1]Grade Project'!$H:$H,0)+SUM($I$3:I18)))</f>
        <v/>
      </c>
      <c r="I19">
        <f>COUNTIFS('[1]Grade Project'!$G:$G,$A$8,'[1]Grade Project'!$K:$K,H19,'[1]Grade Project'!$F:$F,$A$5)</f>
        <v>0</v>
      </c>
      <c r="J19" t="str">
        <f>IFERROR(AVERAGEIFS('[1]Grade Project'!$N:$N,'[1]Grade Project'!$K:$K,H19,'[1]Grade Project'!$F:$F,$A$5,'[1]Grade Project'!$G:$G,$A$8),"")</f>
        <v/>
      </c>
      <c r="K19" t="str">
        <f>IFERROR(AVERAGEIFS('[1]Grade Project'!$O:$O,'[1]Grade Project'!$K:$K,H19,'[1]Grade Project'!$F:$F,$A$5,'[1]Grade Project'!$G:$G,$A$8),"")</f>
        <v/>
      </c>
      <c r="L19" t="str">
        <f t="shared" si="1"/>
        <v/>
      </c>
      <c r="M19" t="str">
        <f t="shared" si="2"/>
        <v/>
      </c>
      <c r="N19" t="str">
        <f t="shared" si="3"/>
        <v/>
      </c>
    </row>
    <row r="20" spans="1:14" x14ac:dyDescent="0.25">
      <c r="A20" t="e">
        <f>INDEX(Five!J:J,MATCH(MAX(Five!N:N),Five!N:N,0))</f>
        <v>#N/A</v>
      </c>
      <c r="B20" t="s">
        <v>19</v>
      </c>
      <c r="C20" t="e">
        <f>IF(C19="","",IF(C19=INDEX('[1]Grade Project'!$F:$F,MATCH($A$3,'[1]Grade Project'!$E:$E,0)+SUM($D$3:D19)),"",INDEX('[1]Grade Project'!$F:$F,MATCH($A$3,'[1]Grade Project'!$E:$E,0)+SUM($D$3:D19))))</f>
        <v>#N/A</v>
      </c>
      <c r="D20">
        <f>COUNTIFS('[1]Grade Project'!$E:$E,$A$3,'[1]Grade Project'!$F:$F,C20)</f>
        <v>0</v>
      </c>
      <c r="E20" t="str">
        <f t="shared" si="0"/>
        <v/>
      </c>
      <c r="F20" t="str">
        <f>IF(G19=0,"",INDEX('[1]Grade Project'!$G:$G,MATCH($A$5,'[1]Grade Project'!$F:$F,0)+SUM($G$3:G19)))</f>
        <v/>
      </c>
      <c r="G20">
        <f>COUNTIFS('[1]Grade Project'!$F:$F,$A$5,'[1]Grade Project'!$G:$G,F20)</f>
        <v>0</v>
      </c>
      <c r="H20" t="str">
        <f>IF(I19=0,"",INDEX('[1]Grade Project'!$K:$K,MATCH(CONCATENATE($A$5,$A$8),'[1]Grade Project'!$H:$H,0)+SUM($I$3:I19)))</f>
        <v/>
      </c>
      <c r="I20">
        <f>COUNTIFS('[1]Grade Project'!$G:$G,$A$8,'[1]Grade Project'!$K:$K,H20,'[1]Grade Project'!$F:$F,$A$5)</f>
        <v>0</v>
      </c>
      <c r="J20" t="str">
        <f>IFERROR(AVERAGEIFS('[1]Grade Project'!$N:$N,'[1]Grade Project'!$K:$K,H20,'[1]Grade Project'!$F:$F,$A$5,'[1]Grade Project'!$G:$G,$A$8),"")</f>
        <v/>
      </c>
      <c r="K20" t="str">
        <f>IFERROR(AVERAGEIFS('[1]Grade Project'!$O:$O,'[1]Grade Project'!$K:$K,H20,'[1]Grade Project'!$F:$F,$A$5,'[1]Grade Project'!$G:$G,$A$8),"")</f>
        <v/>
      </c>
      <c r="L20" t="str">
        <f t="shared" si="1"/>
        <v/>
      </c>
      <c r="M20" t="str">
        <f t="shared" si="2"/>
        <v/>
      </c>
      <c r="N20" t="str">
        <f t="shared" si="3"/>
        <v/>
      </c>
    </row>
    <row r="21" spans="1:14" x14ac:dyDescent="0.25">
      <c r="A21" t="s">
        <v>114</v>
      </c>
      <c r="B21" t="s">
        <v>20</v>
      </c>
      <c r="C21" t="e">
        <f>IF(C20="","",IF(C20=INDEX('[1]Grade Project'!$F:$F,MATCH($A$3,'[1]Grade Project'!$E:$E,0)+SUM($D$3:D20)),"",INDEX('[1]Grade Project'!$F:$F,MATCH($A$3,'[1]Grade Project'!$E:$E,0)+SUM($D$3:D20))))</f>
        <v>#N/A</v>
      </c>
      <c r="D21">
        <f>COUNTIFS('[1]Grade Project'!$E:$E,$A$3,'[1]Grade Project'!$F:$F,C21)</f>
        <v>0</v>
      </c>
      <c r="E21" t="str">
        <f t="shared" si="0"/>
        <v/>
      </c>
      <c r="F21" t="str">
        <f>IF(G20=0,"",INDEX('[1]Grade Project'!$G:$G,MATCH($A$5,'[1]Grade Project'!$F:$F,0)+SUM($G$3:G20)))</f>
        <v/>
      </c>
      <c r="G21">
        <f>COUNTIFS('[1]Grade Project'!$F:$F,$A$5,'[1]Grade Project'!$G:$G,F21)</f>
        <v>0</v>
      </c>
      <c r="H21" t="str">
        <f>IF(I20=0,"",INDEX('[1]Grade Project'!$K:$K,MATCH(CONCATENATE($A$5,$A$8),'[1]Grade Project'!$H:$H,0)+SUM($I$3:I20)))</f>
        <v/>
      </c>
      <c r="I21">
        <f>COUNTIFS('[1]Grade Project'!$G:$G,$A$8,'[1]Grade Project'!$K:$K,H21,'[1]Grade Project'!$F:$F,$A$5)</f>
        <v>0</v>
      </c>
      <c r="J21" t="str">
        <f>IFERROR(AVERAGEIFS('[1]Grade Project'!$N:$N,'[1]Grade Project'!$K:$K,H21,'[1]Grade Project'!$F:$F,$A$5,'[1]Grade Project'!$G:$G,$A$8),"")</f>
        <v/>
      </c>
      <c r="K21" t="str">
        <f>IFERROR(AVERAGEIFS('[1]Grade Project'!$O:$O,'[1]Grade Project'!$K:$K,H21,'[1]Grade Project'!$F:$F,$A$5,'[1]Grade Project'!$G:$G,$A$8),"")</f>
        <v/>
      </c>
      <c r="L21" t="str">
        <f t="shared" si="1"/>
        <v/>
      </c>
      <c r="M21" t="str">
        <f t="shared" si="2"/>
        <v/>
      </c>
      <c r="N21" t="str">
        <f t="shared" si="3"/>
        <v/>
      </c>
    </row>
    <row r="22" spans="1:14" x14ac:dyDescent="0.25">
      <c r="A22" t="e">
        <f>INDEX(Five!H:H,MATCH(MIN(Five!N:N),Five!N:N,0))</f>
        <v>#N/A</v>
      </c>
      <c r="B22" t="s">
        <v>21</v>
      </c>
      <c r="C22" t="e">
        <f>IF(C21="","",IF(C21=INDEX('[1]Grade Project'!$F:$F,MATCH($A$3,'[1]Grade Project'!$E:$E,0)+SUM($D$3:D21)),"",INDEX('[1]Grade Project'!$F:$F,MATCH($A$3,'[1]Grade Project'!$E:$E,0)+SUM($D$3:D21))))</f>
        <v>#N/A</v>
      </c>
      <c r="D22">
        <f>COUNTIFS('[1]Grade Project'!$E:$E,$A$3,'[1]Grade Project'!$F:$F,C22)</f>
        <v>0</v>
      </c>
      <c r="E22" t="str">
        <f t="shared" si="0"/>
        <v/>
      </c>
      <c r="F22" t="str">
        <f>IF(G21=0,"",INDEX('[1]Grade Project'!$G:$G,MATCH($A$5,'[1]Grade Project'!$F:$F,0)+SUM($G$3:G21)))</f>
        <v/>
      </c>
      <c r="G22">
        <f>COUNTIFS('[1]Grade Project'!$F:$F,$A$5,'[1]Grade Project'!$G:$G,F22)</f>
        <v>0</v>
      </c>
      <c r="H22" t="str">
        <f>IF(I21=0,"",INDEX('[1]Grade Project'!$K:$K,MATCH(CONCATENATE($A$5,$A$8),'[1]Grade Project'!$H:$H,0)+SUM($I$3:I21)))</f>
        <v/>
      </c>
      <c r="I22">
        <f>COUNTIFS('[1]Grade Project'!$G:$G,$A$8,'[1]Grade Project'!$K:$K,H22,'[1]Grade Project'!$F:$F,$A$5)</f>
        <v>0</v>
      </c>
      <c r="J22" t="str">
        <f>IFERROR(AVERAGEIFS('[1]Grade Project'!$N:$N,'[1]Grade Project'!$K:$K,H22,'[1]Grade Project'!$F:$F,$A$5,'[1]Grade Project'!$G:$G,$A$8),"")</f>
        <v/>
      </c>
      <c r="K22" t="str">
        <f>IFERROR(AVERAGEIFS('[1]Grade Project'!$O:$O,'[1]Grade Project'!$K:$K,H22,'[1]Grade Project'!$F:$F,$A$5,'[1]Grade Project'!$G:$G,$A$8),"")</f>
        <v/>
      </c>
      <c r="L22" t="str">
        <f t="shared" si="1"/>
        <v/>
      </c>
      <c r="M22" t="str">
        <f t="shared" si="2"/>
        <v/>
      </c>
      <c r="N22" t="str">
        <f t="shared" si="3"/>
        <v/>
      </c>
    </row>
    <row r="23" spans="1:14" x14ac:dyDescent="0.25">
      <c r="A23" t="s">
        <v>110</v>
      </c>
      <c r="B23" t="s">
        <v>22</v>
      </c>
      <c r="C23" t="e">
        <f>IF(C22="","",IF(C22=INDEX('[1]Grade Project'!$F:$F,MATCH($A$3,'[1]Grade Project'!$E:$E,0)+SUM($D$3:D22)),"",INDEX('[1]Grade Project'!$F:$F,MATCH($A$3,'[1]Grade Project'!$E:$E,0)+SUM($D$3:D22))))</f>
        <v>#N/A</v>
      </c>
      <c r="D23">
        <f>COUNTIFS('[1]Grade Project'!$E:$E,$A$3,'[1]Grade Project'!$F:$F,C23)</f>
        <v>0</v>
      </c>
      <c r="E23" t="str">
        <f t="shared" si="0"/>
        <v/>
      </c>
      <c r="F23" t="str">
        <f>IF(G22=0,"",INDEX('[1]Grade Project'!$G:$G,MATCH($A$5,'[1]Grade Project'!$F:$F,0)+SUM($G$3:G22)))</f>
        <v/>
      </c>
      <c r="G23">
        <f>COUNTIFS('[1]Grade Project'!$F:$F,$A$5,'[1]Grade Project'!$G:$G,F23)</f>
        <v>0</v>
      </c>
      <c r="H23" t="str">
        <f>IF(I22=0,"",INDEX('[1]Grade Project'!$K:$K,MATCH(CONCATENATE($A$5,$A$8),'[1]Grade Project'!$H:$H,0)+SUM($I$3:I22)))</f>
        <v/>
      </c>
      <c r="I23">
        <f>COUNTIFS('[1]Grade Project'!$G:$G,$A$8,'[1]Grade Project'!$K:$K,H23,'[1]Grade Project'!$F:$F,$A$5)</f>
        <v>0</v>
      </c>
      <c r="J23" t="str">
        <f>IFERROR(AVERAGEIFS('[1]Grade Project'!$N:$N,'[1]Grade Project'!$K:$K,H23,'[1]Grade Project'!$F:$F,$A$5,'[1]Grade Project'!$G:$G,$A$8),"")</f>
        <v/>
      </c>
      <c r="K23" t="str">
        <f>IFERROR(AVERAGEIFS('[1]Grade Project'!$O:$O,'[1]Grade Project'!$K:$K,H23,'[1]Grade Project'!$F:$F,$A$5,'[1]Grade Project'!$G:$G,$A$8),"")</f>
        <v/>
      </c>
      <c r="L23" t="str">
        <f t="shared" si="1"/>
        <v/>
      </c>
      <c r="M23" t="str">
        <f t="shared" si="2"/>
        <v/>
      </c>
      <c r="N23" t="str">
        <f t="shared" si="3"/>
        <v/>
      </c>
    </row>
    <row r="24" spans="1:14" x14ac:dyDescent="0.25">
      <c r="A24" t="e">
        <f>INDEX(Five!J:J,MATCH(MIN(Five!N:N),Five!N:N,0))</f>
        <v>#N/A</v>
      </c>
      <c r="B24" t="s">
        <v>23</v>
      </c>
      <c r="C24" t="e">
        <f>IF(C23="","",IF(C23=INDEX('[1]Grade Project'!$F:$F,MATCH($A$3,'[1]Grade Project'!$E:$E,0)+SUM($D$3:D23)),"",INDEX('[1]Grade Project'!$F:$F,MATCH($A$3,'[1]Grade Project'!$E:$E,0)+SUM($D$3:D23))))</f>
        <v>#N/A</v>
      </c>
      <c r="E24" t="str">
        <f t="shared" si="0"/>
        <v/>
      </c>
      <c r="F24" t="str">
        <f>IF(G23=0,"",INDEX('[1]Grade Project'!$G:$G,MATCH($A$5,'[1]Grade Project'!$F:$F,0)+SUM($G$3:G23)))</f>
        <v/>
      </c>
      <c r="G24">
        <f>COUNTIFS('[1]Grade Project'!$F:$F,$A$5,'[1]Grade Project'!$G:$G,F24)</f>
        <v>0</v>
      </c>
      <c r="H24" t="str">
        <f>IF(I23=0,"",INDEX('[1]Grade Project'!$K:$K,MATCH(CONCATENATE($A$5,$A$8),'[1]Grade Project'!$H:$H,0)+SUM($I$3:I23)))</f>
        <v/>
      </c>
      <c r="I24">
        <f>COUNTIFS('[1]Grade Project'!$G:$G,$A$8,'[1]Grade Project'!$K:$K,H24,'[1]Grade Project'!$F:$F,$A$5)</f>
        <v>0</v>
      </c>
      <c r="J24" t="str">
        <f>IFERROR(AVERAGEIFS('[1]Grade Project'!$N:$N,'[1]Grade Project'!$K:$K,H24,'[1]Grade Project'!$F:$F,$A$5,'[1]Grade Project'!$G:$G,$A$8),"")</f>
        <v/>
      </c>
      <c r="K24" t="str">
        <f>IFERROR(AVERAGEIFS('[1]Grade Project'!$O:$O,'[1]Grade Project'!$K:$K,H24,'[1]Grade Project'!$F:$F,$A$5,'[1]Grade Project'!$G:$G,$A$8),"")</f>
        <v/>
      </c>
      <c r="L24" t="str">
        <f t="shared" si="1"/>
        <v/>
      </c>
      <c r="M24" t="str">
        <f t="shared" si="2"/>
        <v/>
      </c>
      <c r="N24" t="str">
        <f t="shared" si="3"/>
        <v/>
      </c>
    </row>
    <row r="25" spans="1:14" x14ac:dyDescent="0.25">
      <c r="A25" t="s">
        <v>117</v>
      </c>
      <c r="B25" t="s">
        <v>24</v>
      </c>
      <c r="C25" t="e">
        <f>IF(C24="","",IF(C24=INDEX('[1]Grade Project'!$F:$F,MATCH($A$3,'[1]Grade Project'!$E:$E,0)+SUM($D$3:D24)),"",INDEX('[1]Grade Project'!$F:$F,MATCH($A$3,'[1]Grade Project'!$E:$E,0)+SUM($D$3:D24))))</f>
        <v>#N/A</v>
      </c>
      <c r="E25" t="str">
        <f t="shared" si="0"/>
        <v/>
      </c>
      <c r="F25" t="str">
        <f>IF(G24=0,"",INDEX('[1]Grade Project'!$G:$G,MATCH($A$5,'[1]Grade Project'!$F:$F,0)+SUM($G$3:G24)))</f>
        <v/>
      </c>
      <c r="G25">
        <f>COUNTIFS('[1]Grade Project'!$F:$F,$A$5,'[1]Grade Project'!$G:$G,F25)</f>
        <v>0</v>
      </c>
      <c r="H25" t="str">
        <f>IF(I24=0,"",INDEX('[1]Grade Project'!$K:$K,MATCH(CONCATENATE($A$5,$A$8),'[1]Grade Project'!$H:$H,0)+SUM($I$3:I24)))</f>
        <v/>
      </c>
      <c r="I25">
        <f>COUNTIFS('[1]Grade Project'!$G:$G,$A$8,'[1]Grade Project'!$K:$K,H25,'[1]Grade Project'!$F:$F,$A$5)</f>
        <v>0</v>
      </c>
      <c r="J25" t="str">
        <f>IFERROR(AVERAGEIFS('[1]Grade Project'!$N:$N,'[1]Grade Project'!$K:$K,H25,'[1]Grade Project'!$F:$F,$A$5,'[1]Grade Project'!$G:$G,$A$8),"")</f>
        <v/>
      </c>
      <c r="K25" t="str">
        <f>IFERROR(AVERAGEIFS('[1]Grade Project'!$O:$O,'[1]Grade Project'!$K:$K,H25,'[1]Grade Project'!$F:$F,$A$5,'[1]Grade Project'!$G:$G,$A$8),"")</f>
        <v/>
      </c>
      <c r="L25" t="str">
        <f t="shared" si="1"/>
        <v/>
      </c>
      <c r="M25" t="str">
        <f t="shared" si="2"/>
        <v/>
      </c>
      <c r="N25" t="str">
        <f t="shared" si="3"/>
        <v/>
      </c>
    </row>
    <row r="26" spans="1:14" x14ac:dyDescent="0.25">
      <c r="A26" t="e">
        <f>A12/#REF!</f>
        <v>#DIV/0!</v>
      </c>
      <c r="B26" t="s">
        <v>25</v>
      </c>
      <c r="C26" t="e">
        <f>IF(C25="","",IF(C25=INDEX('[1]Grade Project'!$F:$F,MATCH($A$3,'[1]Grade Project'!$E:$E,0)+SUM($D$3:D25)),"",INDEX('[1]Grade Project'!$F:$F,MATCH($A$3,'[1]Grade Project'!$E:$E,0)+SUM($D$3:D25))))</f>
        <v>#N/A</v>
      </c>
      <c r="E26" t="str">
        <f t="shared" si="0"/>
        <v/>
      </c>
      <c r="F26" t="str">
        <f>IF(G25=0,"",INDEX('[1]Grade Project'!$G:$G,MATCH($A$5,'[1]Grade Project'!$F:$F,0)+SUM($G$3:G25)))</f>
        <v/>
      </c>
      <c r="G26">
        <f>COUNTIFS('[1]Grade Project'!$F:$F,$A$5,'[1]Grade Project'!$G:$G,F26)</f>
        <v>0</v>
      </c>
      <c r="H26" t="str">
        <f>IF(I25=0,"",INDEX('[1]Grade Project'!$K:$K,MATCH(CONCATENATE($A$5,$A$8),'[1]Grade Project'!$H:$H,0)+SUM($I$3:I25)))</f>
        <v/>
      </c>
      <c r="I26">
        <f>COUNTIFS('[1]Grade Project'!$G:$G,$A$8,'[1]Grade Project'!$K:$K,H26,'[1]Grade Project'!$F:$F,$A$5)</f>
        <v>0</v>
      </c>
      <c r="J26" t="str">
        <f>IFERROR(AVERAGEIFS('[1]Grade Project'!$N:$N,'[1]Grade Project'!$K:$K,H26,'[1]Grade Project'!$F:$F,$A$5,'[1]Grade Project'!$G:$G,$A$8),"")</f>
        <v/>
      </c>
      <c r="K26" t="str">
        <f>IFERROR(AVERAGEIFS('[1]Grade Project'!$O:$O,'[1]Grade Project'!$K:$K,H26,'[1]Grade Project'!$F:$F,$A$5,'[1]Grade Project'!$G:$G,$A$8),"")</f>
        <v/>
      </c>
      <c r="L26" t="str">
        <f t="shared" si="1"/>
        <v/>
      </c>
      <c r="M26" t="str">
        <f t="shared" si="2"/>
        <v/>
      </c>
      <c r="N26" t="str">
        <f t="shared" si="3"/>
        <v/>
      </c>
    </row>
    <row r="27" spans="1:14" x14ac:dyDescent="0.25">
      <c r="B27" t="s">
        <v>26</v>
      </c>
      <c r="C27" t="e">
        <f>IF(C26="","",IF(C26=INDEX('[1]Grade Project'!$F:$F,MATCH($A$3,'[1]Grade Project'!$E:$E,0)+SUM($D$3:D26)),"",INDEX('[1]Grade Project'!$F:$F,MATCH($A$3,'[1]Grade Project'!$E:$E,0)+SUM($D$3:D26))))</f>
        <v>#N/A</v>
      </c>
      <c r="E27" t="str">
        <f t="shared" si="0"/>
        <v/>
      </c>
      <c r="F27" t="str">
        <f>IF(G26=0,"",INDEX('[1]Grade Project'!$G:$G,MATCH($A$5,'[1]Grade Project'!$F:$F,0)+SUM($G$3:G26)))</f>
        <v/>
      </c>
      <c r="G27">
        <f>COUNTIFS('[1]Grade Project'!$F:$F,$A$5,'[1]Grade Project'!$G:$G,F27)</f>
        <v>0</v>
      </c>
      <c r="H27" t="str">
        <f>IF(I26=0,"",INDEX('[1]Grade Project'!$K:$K,MATCH(CONCATENATE($A$5,$A$8),'[1]Grade Project'!$H:$H,0)+SUM($I$3:I26)))</f>
        <v/>
      </c>
      <c r="I27">
        <f>COUNTIFS('[1]Grade Project'!$G:$G,$A$8,'[1]Grade Project'!$K:$K,H27,'[1]Grade Project'!$F:$F,$A$5)</f>
        <v>0</v>
      </c>
      <c r="J27" t="str">
        <f>IFERROR(AVERAGEIFS('[1]Grade Project'!$N:$N,'[1]Grade Project'!$K:$K,H27,'[1]Grade Project'!$F:$F,$A$5,'[1]Grade Project'!$G:$G,$A$8),"")</f>
        <v/>
      </c>
      <c r="K27" t="str">
        <f>IFERROR(AVERAGEIFS('[1]Grade Project'!$O:$O,'[1]Grade Project'!$K:$K,H27,'[1]Grade Project'!$F:$F,$A$5,'[1]Grade Project'!$G:$G,$A$8),"")</f>
        <v/>
      </c>
      <c r="L27" t="str">
        <f t="shared" si="1"/>
        <v/>
      </c>
      <c r="M27" t="str">
        <f t="shared" si="2"/>
        <v/>
      </c>
      <c r="N27" t="str">
        <f t="shared" si="3"/>
        <v/>
      </c>
    </row>
    <row r="28" spans="1:14" x14ac:dyDescent="0.25">
      <c r="B28" t="s">
        <v>27</v>
      </c>
      <c r="C28" t="e">
        <f>IF(C27="","",IF(C27=INDEX('[1]Grade Project'!$F:$F,MATCH($A$3,'[1]Grade Project'!$E:$E,0)+SUM($D$3:D27)),"",INDEX('[1]Grade Project'!$F:$F,MATCH($A$3,'[1]Grade Project'!$E:$E,0)+SUM($D$3:D27))))</f>
        <v>#N/A</v>
      </c>
      <c r="E28" t="str">
        <f t="shared" si="0"/>
        <v/>
      </c>
      <c r="F28" t="str">
        <f>IF(G27=0,"",INDEX('[1]Grade Project'!$G:$G,MATCH($A$5,'[1]Grade Project'!$F:$F,0)+SUM($G$3:G27)))</f>
        <v/>
      </c>
      <c r="G28">
        <f>COUNTIFS('[1]Grade Project'!$F:$F,$A$5,'[1]Grade Project'!$G:$G,F28)</f>
        <v>0</v>
      </c>
      <c r="H28" t="str">
        <f>IF(I27=0,"",INDEX('[1]Grade Project'!$K:$K,MATCH(CONCATENATE($A$5,$A$8),'[1]Grade Project'!$H:$H,0)+SUM($I$3:I27)))</f>
        <v/>
      </c>
      <c r="I28">
        <f>COUNTIFS('[1]Grade Project'!$G:$G,$A$8,'[1]Grade Project'!$K:$K,H28,'[1]Grade Project'!$F:$F,$A$5)</f>
        <v>0</v>
      </c>
      <c r="J28" t="str">
        <f>IFERROR(AVERAGEIFS('[1]Grade Project'!$N:$N,'[1]Grade Project'!$K:$K,H28,'[1]Grade Project'!$F:$F,$A$5,'[1]Grade Project'!$G:$G,$A$8),"")</f>
        <v/>
      </c>
      <c r="K28" t="str">
        <f>IFERROR(AVERAGEIFS('[1]Grade Project'!$O:$O,'[1]Grade Project'!$K:$K,H28,'[1]Grade Project'!$F:$F,$A$5,'[1]Grade Project'!$G:$G,$A$8),"")</f>
        <v/>
      </c>
      <c r="L28" t="str">
        <f t="shared" si="1"/>
        <v/>
      </c>
      <c r="M28" t="str">
        <f t="shared" si="2"/>
        <v/>
      </c>
      <c r="N28" t="str">
        <f t="shared" si="3"/>
        <v/>
      </c>
    </row>
    <row r="29" spans="1:14" x14ac:dyDescent="0.25">
      <c r="B29" t="s">
        <v>28</v>
      </c>
      <c r="C29" t="e">
        <f>IF(C28="","",IF(C28=INDEX('[1]Grade Project'!$F:$F,MATCH($A$3,'[1]Grade Project'!$E:$E,0)+SUM($D$3:D28)),"",INDEX('[1]Grade Project'!$F:$F,MATCH($A$3,'[1]Grade Project'!$E:$E,0)+SUM($D$3:D28))))</f>
        <v>#N/A</v>
      </c>
      <c r="E29" t="str">
        <f t="shared" si="0"/>
        <v/>
      </c>
      <c r="F29" t="str">
        <f>IF(G28=0,"",INDEX('[1]Grade Project'!$G:$G,MATCH($A$5,'[1]Grade Project'!$F:$F,0)+SUM($G$3:G28)))</f>
        <v/>
      </c>
      <c r="G29">
        <f>COUNTIFS('[1]Grade Project'!$F:$F,$A$5,'[1]Grade Project'!$G:$G,F29)</f>
        <v>0</v>
      </c>
      <c r="H29" t="str">
        <f>IF(I28=0,"",INDEX('[1]Grade Project'!$K:$K,MATCH(CONCATENATE($A$5,$A$8),'[1]Grade Project'!$H:$H,0)+SUM($I$3:I28)))</f>
        <v/>
      </c>
      <c r="I29">
        <f>COUNTIFS('[1]Grade Project'!$G:$G,$A$8,'[1]Grade Project'!$K:$K,H29,'[1]Grade Project'!$F:$F,$A$5)</f>
        <v>0</v>
      </c>
      <c r="J29" t="str">
        <f>IFERROR(AVERAGEIFS('[1]Grade Project'!$N:$N,'[1]Grade Project'!$K:$K,H29,'[1]Grade Project'!$F:$F,$A$5,'[1]Grade Project'!$G:$G,$A$8),"")</f>
        <v/>
      </c>
      <c r="K29" t="str">
        <f>IFERROR(AVERAGEIFS('[1]Grade Project'!$O:$O,'[1]Grade Project'!$K:$K,H29,'[1]Grade Project'!$F:$F,$A$5,'[1]Grade Project'!$G:$G,$A$8),"")</f>
        <v/>
      </c>
      <c r="L29" t="str">
        <f t="shared" si="1"/>
        <v/>
      </c>
      <c r="M29" t="str">
        <f t="shared" si="2"/>
        <v/>
      </c>
      <c r="N29" t="str">
        <f t="shared" si="3"/>
        <v/>
      </c>
    </row>
    <row r="30" spans="1:14" x14ac:dyDescent="0.25">
      <c r="B30" t="s">
        <v>29</v>
      </c>
      <c r="C30" t="e">
        <f>IF(C29="","",IF(C29=INDEX('[1]Grade Project'!$F:$F,MATCH($A$3,'[1]Grade Project'!$E:$E,0)+SUM($D$3:D29)),"",INDEX('[1]Grade Project'!$F:$F,MATCH($A$3,'[1]Grade Project'!$E:$E,0)+SUM($D$3:D29))))</f>
        <v>#N/A</v>
      </c>
      <c r="E30" t="str">
        <f t="shared" si="0"/>
        <v/>
      </c>
      <c r="F30" t="str">
        <f>IF(G29=0,"",INDEX('[1]Grade Project'!$G:$G,MATCH($A$5,'[1]Grade Project'!$F:$F,0)+SUM($G$3:G29)))</f>
        <v/>
      </c>
      <c r="G30">
        <f>COUNTIFS('[1]Grade Project'!$F:$F,$A$5,'[1]Grade Project'!$G:$G,F30)</f>
        <v>0</v>
      </c>
      <c r="H30" t="str">
        <f>IF(I29=0,"",INDEX('[1]Grade Project'!$K:$K,MATCH(CONCATENATE($A$5,$A$8),'[1]Grade Project'!$H:$H,0)+SUM($I$3:I29)))</f>
        <v/>
      </c>
      <c r="I30">
        <f>COUNTIFS('[1]Grade Project'!$G:$G,$A$8,'[1]Grade Project'!$K:$K,H30,'[1]Grade Project'!$F:$F,$A$5)</f>
        <v>0</v>
      </c>
      <c r="J30" t="str">
        <f>IFERROR(AVERAGEIFS('[1]Grade Project'!$N:$N,'[1]Grade Project'!$K:$K,H30,'[1]Grade Project'!$F:$F,$A$5,'[1]Grade Project'!$G:$G,$A$8),"")</f>
        <v/>
      </c>
      <c r="K30" t="str">
        <f>IFERROR(AVERAGEIFS('[1]Grade Project'!$O:$O,'[1]Grade Project'!$K:$K,H30,'[1]Grade Project'!$F:$F,$A$5,'[1]Grade Project'!$G:$G,$A$8),"")</f>
        <v/>
      </c>
      <c r="L30" t="str">
        <f t="shared" si="1"/>
        <v/>
      </c>
      <c r="M30" t="str">
        <f t="shared" si="2"/>
        <v/>
      </c>
      <c r="N30" t="str">
        <f t="shared" si="3"/>
        <v/>
      </c>
    </row>
    <row r="31" spans="1:14" x14ac:dyDescent="0.25">
      <c r="B31" t="s">
        <v>30</v>
      </c>
      <c r="C31" t="e">
        <f>IF(C30="","",IF(C30=INDEX('[1]Grade Project'!$F:$F,MATCH($A$3,'[1]Grade Project'!$E:$E,0)+SUM($D$3:D30)),"",INDEX('[1]Grade Project'!$F:$F,MATCH($A$3,'[1]Grade Project'!$E:$E,0)+SUM($D$3:D30))))</f>
        <v>#N/A</v>
      </c>
      <c r="E31" t="str">
        <f t="shared" si="0"/>
        <v/>
      </c>
      <c r="F31" t="str">
        <f>IF(G30=0,"",INDEX('[1]Grade Project'!$G:$G,MATCH($A$5,'[1]Grade Project'!$F:$F,0)+SUM($G$3:G30)))</f>
        <v/>
      </c>
      <c r="G31">
        <f>COUNTIFS('[1]Grade Project'!$F:$F,$A$5,'[1]Grade Project'!$G:$G,F31)</f>
        <v>0</v>
      </c>
      <c r="H31" t="str">
        <f>IF(I30=0,"",INDEX('[1]Grade Project'!$K:$K,MATCH(CONCATENATE($A$5,$A$8),'[1]Grade Project'!$H:$H,0)+SUM($I$3:I30)))</f>
        <v/>
      </c>
      <c r="I31">
        <f>COUNTIFS('[1]Grade Project'!$G:$G,$A$8,'[1]Grade Project'!$K:$K,H31,'[1]Grade Project'!$F:$F,$A$5)</f>
        <v>0</v>
      </c>
      <c r="J31" t="str">
        <f>IFERROR(AVERAGEIFS('[1]Grade Project'!$N:$N,'[1]Grade Project'!$K:$K,H31,'[1]Grade Project'!$F:$F,$A$5,'[1]Grade Project'!$G:$G,$A$8),"")</f>
        <v/>
      </c>
      <c r="K31" t="str">
        <f>IFERROR(AVERAGEIFS('[1]Grade Project'!$O:$O,'[1]Grade Project'!$K:$K,H31,'[1]Grade Project'!$F:$F,$A$5,'[1]Grade Project'!$G:$G,$A$8),"")</f>
        <v/>
      </c>
      <c r="L31" t="str">
        <f t="shared" si="1"/>
        <v/>
      </c>
      <c r="M31" t="str">
        <f t="shared" si="2"/>
        <v/>
      </c>
      <c r="N31" t="str">
        <f t="shared" si="3"/>
        <v/>
      </c>
    </row>
    <row r="32" spans="1:14" x14ac:dyDescent="0.25">
      <c r="B32" t="s">
        <v>31</v>
      </c>
      <c r="C32" t="e">
        <f>IF(C31="","",IF(C31=INDEX('[1]Grade Project'!$F:$F,MATCH($A$3,'[1]Grade Project'!$E:$E,0)+SUM($D$3:D31)),"",INDEX('[1]Grade Project'!$F:$F,MATCH($A$3,'[1]Grade Project'!$E:$E,0)+SUM($D$3:D31))))</f>
        <v>#N/A</v>
      </c>
      <c r="E32" t="str">
        <f t="shared" si="0"/>
        <v/>
      </c>
      <c r="F32" t="str">
        <f>IF(G31=0,"",INDEX('[1]Grade Project'!$G:$G,MATCH($A$5,'[1]Grade Project'!$F:$F,0)+SUM($G$3:G31)))</f>
        <v/>
      </c>
      <c r="G32">
        <f>COUNTIFS('[1]Grade Project'!$F:$F,$A$5,'[1]Grade Project'!$G:$G,F32)</f>
        <v>0</v>
      </c>
      <c r="H32" t="str">
        <f>IF(I31=0,"",INDEX('[1]Grade Project'!$K:$K,MATCH(CONCATENATE($A$5,$A$8),'[1]Grade Project'!$H:$H,0)+SUM($I$3:I31)))</f>
        <v/>
      </c>
      <c r="I32">
        <f>COUNTIFS('[1]Grade Project'!$G:$G,$A$8,'[1]Grade Project'!$K:$K,H32,'[1]Grade Project'!$F:$F,$A$5)</f>
        <v>0</v>
      </c>
      <c r="J32" t="str">
        <f>IFERROR(AVERAGEIFS('[1]Grade Project'!$N:$N,'[1]Grade Project'!$K:$K,H32,'[1]Grade Project'!$F:$F,$A$5,'[1]Grade Project'!$G:$G,$A$8),"")</f>
        <v/>
      </c>
      <c r="K32" t="str">
        <f>IFERROR(AVERAGEIFS('[1]Grade Project'!$O:$O,'[1]Grade Project'!$K:$K,H32,'[1]Grade Project'!$F:$F,$A$5,'[1]Grade Project'!$G:$G,$A$8),"")</f>
        <v/>
      </c>
      <c r="L32" t="str">
        <f t="shared" si="1"/>
        <v/>
      </c>
      <c r="M32" t="str">
        <f t="shared" si="2"/>
        <v/>
      </c>
      <c r="N32" t="str">
        <f t="shared" si="3"/>
        <v/>
      </c>
    </row>
    <row r="33" spans="2:14" x14ac:dyDescent="0.25">
      <c r="B33" t="s">
        <v>32</v>
      </c>
      <c r="C33" t="e">
        <f>IF(C32="","",IF(C32=INDEX('[1]Grade Project'!$F:$F,MATCH($A$3,'[1]Grade Project'!$E:$E,0)+SUM($D$3:D32)),"",INDEX('[1]Grade Project'!$F:$F,MATCH($A$3,'[1]Grade Project'!$E:$E,0)+SUM($D$3:D32))))</f>
        <v>#N/A</v>
      </c>
      <c r="E33" t="str">
        <f t="shared" si="0"/>
        <v/>
      </c>
      <c r="F33" t="str">
        <f>IF(G32=0,"",INDEX('[1]Grade Project'!$G:$G,MATCH($A$5,'[1]Grade Project'!$F:$F,0)+SUM($G$3:G32)))</f>
        <v/>
      </c>
      <c r="G33">
        <f>COUNTIFS('[1]Grade Project'!$F:$F,$A$5,'[1]Grade Project'!$G:$G,F33)</f>
        <v>0</v>
      </c>
      <c r="H33" t="str">
        <f>IF(I32=0,"",INDEX('[1]Grade Project'!$K:$K,MATCH(CONCATENATE($A$5,$A$8),'[1]Grade Project'!$H:$H,0)+SUM($I$3:I32)))</f>
        <v/>
      </c>
      <c r="I33">
        <f>COUNTIFS('[1]Grade Project'!$G:$G,$A$8,'[1]Grade Project'!$K:$K,H33,'[1]Grade Project'!$F:$F,$A$5)</f>
        <v>0</v>
      </c>
      <c r="J33" t="str">
        <f>IFERROR(AVERAGEIFS('[1]Grade Project'!$N:$N,'[1]Grade Project'!$K:$K,H33,'[1]Grade Project'!$F:$F,$A$5,'[1]Grade Project'!$G:$G,$A$8),"")</f>
        <v/>
      </c>
      <c r="K33" t="str">
        <f>IFERROR(AVERAGEIFS('[1]Grade Project'!$O:$O,'[1]Grade Project'!$K:$K,H33,'[1]Grade Project'!$F:$F,$A$5,'[1]Grade Project'!$G:$G,$A$8),"")</f>
        <v/>
      </c>
      <c r="L33" t="str">
        <f t="shared" si="1"/>
        <v/>
      </c>
      <c r="M33" t="str">
        <f t="shared" si="2"/>
        <v/>
      </c>
      <c r="N33" t="str">
        <f t="shared" si="3"/>
        <v/>
      </c>
    </row>
    <row r="34" spans="2:14" x14ac:dyDescent="0.25">
      <c r="B34" t="s">
        <v>33</v>
      </c>
      <c r="C34" t="e">
        <f>IF(C33="","",IF(C33=INDEX('[1]Grade Project'!$F:$F,MATCH($A$3,'[1]Grade Project'!$E:$E,0)+SUM($D$3:D33)),"",INDEX('[1]Grade Project'!$F:$F,MATCH($A$3,'[1]Grade Project'!$E:$E,0)+SUM($D$3:D33))))</f>
        <v>#N/A</v>
      </c>
      <c r="E34" t="str">
        <f t="shared" si="0"/>
        <v/>
      </c>
      <c r="F34" t="str">
        <f>IF(G33=0,"",INDEX('[1]Grade Project'!$G:$G,MATCH($A$5,'[1]Grade Project'!$F:$F,0)+SUM($G$3:G33)))</f>
        <v/>
      </c>
      <c r="G34">
        <f>COUNTIFS('[1]Grade Project'!$F:$F,$A$5,'[1]Grade Project'!$G:$G,F34)</f>
        <v>0</v>
      </c>
      <c r="H34" t="str">
        <f>IF(I33=0,"",INDEX('[1]Grade Project'!$K:$K,MATCH(CONCATENATE($A$5,$A$8),'[1]Grade Project'!$H:$H,0)+SUM($I$3:I33)))</f>
        <v/>
      </c>
      <c r="I34">
        <f>COUNTIFS('[1]Grade Project'!$G:$G,$A$8,'[1]Grade Project'!$K:$K,H34,'[1]Grade Project'!$F:$F,$A$5)</f>
        <v>0</v>
      </c>
      <c r="J34" t="str">
        <f>IFERROR(AVERAGEIFS('[1]Grade Project'!$N:$N,'[1]Grade Project'!$K:$K,H34,'[1]Grade Project'!$F:$F,$A$5,'[1]Grade Project'!$G:$G,$A$8),"")</f>
        <v/>
      </c>
      <c r="K34" t="str">
        <f>IFERROR(AVERAGEIFS('[1]Grade Project'!$O:$O,'[1]Grade Project'!$K:$K,H34,'[1]Grade Project'!$F:$F,$A$5,'[1]Grade Project'!$G:$G,$A$8),"")</f>
        <v/>
      </c>
      <c r="L34" t="str">
        <f t="shared" si="1"/>
        <v/>
      </c>
      <c r="M34" t="str">
        <f t="shared" si="2"/>
        <v/>
      </c>
      <c r="N34" t="str">
        <f t="shared" si="3"/>
        <v/>
      </c>
    </row>
    <row r="35" spans="2:14" x14ac:dyDescent="0.25">
      <c r="B35" t="s">
        <v>34</v>
      </c>
      <c r="C35" t="e">
        <f>IF(C34="","",IF(C34=INDEX('[1]Grade Project'!$F:$F,MATCH($A$3,'[1]Grade Project'!$E:$E,0)+SUM($D$3:D34)),"",INDEX('[1]Grade Project'!$F:$F,MATCH($A$3,'[1]Grade Project'!$E:$E,0)+SUM($D$3:D34))))</f>
        <v>#N/A</v>
      </c>
      <c r="E35" t="str">
        <f t="shared" si="0"/>
        <v/>
      </c>
      <c r="F35" t="str">
        <f>IF(G34=0,"",INDEX('[1]Grade Project'!$G:$G,MATCH($A$5,'[1]Grade Project'!$F:$F,0)+SUM($G$3:G34)))</f>
        <v/>
      </c>
      <c r="G35">
        <f>COUNTIFS('[1]Grade Project'!$F:$F,$A$5,'[1]Grade Project'!$G:$G,F35)</f>
        <v>0</v>
      </c>
      <c r="H35" t="str">
        <f>IF(I34=0,"",INDEX('[1]Grade Project'!$K:$K,MATCH(CONCATENATE($A$5,$A$8),'[1]Grade Project'!$H:$H,0)+SUM($I$3:I34)))</f>
        <v/>
      </c>
      <c r="I35">
        <f>COUNTIFS('[1]Grade Project'!$G:$G,$A$8,'[1]Grade Project'!$K:$K,H35,'[1]Grade Project'!$F:$F,$A$5)</f>
        <v>0</v>
      </c>
      <c r="J35" t="str">
        <f>IFERROR(AVERAGEIFS('[1]Grade Project'!$N:$N,'[1]Grade Project'!$K:$K,H35,'[1]Grade Project'!$F:$F,$A$5,'[1]Grade Project'!$G:$G,$A$8),"")</f>
        <v/>
      </c>
      <c r="K35" t="str">
        <f>IFERROR(AVERAGEIFS('[1]Grade Project'!$O:$O,'[1]Grade Project'!$K:$K,H35,'[1]Grade Project'!$F:$F,$A$5,'[1]Grade Project'!$G:$G,$A$8),"")</f>
        <v/>
      </c>
      <c r="L35" t="str">
        <f t="shared" si="1"/>
        <v/>
      </c>
      <c r="M35" t="str">
        <f t="shared" si="2"/>
        <v/>
      </c>
      <c r="N35" t="str">
        <f t="shared" si="3"/>
        <v/>
      </c>
    </row>
    <row r="36" spans="2:14" x14ac:dyDescent="0.25">
      <c r="B36" t="s">
        <v>35</v>
      </c>
      <c r="C36" t="e">
        <f>IF(C35="","",IF(C35=INDEX('[1]Grade Project'!$F:$F,MATCH($A$3,'[1]Grade Project'!$E:$E,0)+SUM($D$3:D35)),"",INDEX('[1]Grade Project'!$F:$F,MATCH($A$3,'[1]Grade Project'!$E:$E,0)+SUM($D$3:D35))))</f>
        <v>#N/A</v>
      </c>
      <c r="E36" t="str">
        <f t="shared" si="0"/>
        <v/>
      </c>
      <c r="F36" t="str">
        <f>IF(G35=0,"",INDEX('[1]Grade Project'!$G:$G,MATCH($A$5,'[1]Grade Project'!$F:$F,0)+SUM($G$3:G35)))</f>
        <v/>
      </c>
      <c r="G36">
        <f>COUNTIFS('[1]Grade Project'!$F:$F,$A$5,'[1]Grade Project'!$G:$G,F36)</f>
        <v>0</v>
      </c>
      <c r="H36" t="str">
        <f>IF(I35=0,"",INDEX('[1]Grade Project'!$K:$K,MATCH(CONCATENATE($A$5,$A$8),'[1]Grade Project'!$H:$H,0)+SUM($I$3:I35)))</f>
        <v/>
      </c>
      <c r="I36">
        <f>COUNTIFS('[1]Grade Project'!$G:$G,$A$8,'[1]Grade Project'!$K:$K,H36,'[1]Grade Project'!$F:$F,$A$5)</f>
        <v>0</v>
      </c>
      <c r="J36" t="str">
        <f>IFERROR(AVERAGEIFS('[1]Grade Project'!$N:$N,'[1]Grade Project'!$K:$K,H36,'[1]Grade Project'!$F:$F,$A$5,'[1]Grade Project'!$G:$G,$A$8),"")</f>
        <v/>
      </c>
      <c r="K36" t="str">
        <f>IFERROR(AVERAGEIFS('[1]Grade Project'!$O:$O,'[1]Grade Project'!$K:$K,H36,'[1]Grade Project'!$F:$F,$A$5,'[1]Grade Project'!$G:$G,$A$8),"")</f>
        <v/>
      </c>
      <c r="L36" t="str">
        <f t="shared" si="1"/>
        <v/>
      </c>
      <c r="M36" t="str">
        <f t="shared" si="2"/>
        <v/>
      </c>
      <c r="N36" t="str">
        <f t="shared" si="3"/>
        <v/>
      </c>
    </row>
    <row r="37" spans="2:14" x14ac:dyDescent="0.25">
      <c r="B37" t="s">
        <v>36</v>
      </c>
      <c r="C37" t="e">
        <f>IF(C36="","",IF(C36=INDEX('[1]Grade Project'!$F:$F,MATCH($A$3,'[1]Grade Project'!$E:$E,0)+SUM($D$3:D36)),"",INDEX('[1]Grade Project'!$F:$F,MATCH($A$3,'[1]Grade Project'!$E:$E,0)+SUM($D$3:D36))))</f>
        <v>#N/A</v>
      </c>
      <c r="F37" t="str">
        <f>IF(G36=0,"",INDEX('[1]Grade Project'!$G:$G,MATCH($A$5,'[1]Grade Project'!$F:$F,0)+SUM($G$3:G36)))</f>
        <v/>
      </c>
      <c r="G37">
        <f>COUNTIFS('[1]Grade Project'!$F:$F,$A$5,'[1]Grade Project'!$G:$G,F37)</f>
        <v>0</v>
      </c>
      <c r="H37" t="str">
        <f>IF(I36=0,"",INDEX('[1]Grade Project'!$K:$K,MATCH(CONCATENATE($A$5,$A$8),'[1]Grade Project'!$H:$H,0)+SUM($I$3:I36)))</f>
        <v/>
      </c>
      <c r="I37">
        <f>COUNTIFS('[1]Grade Project'!$G:$G,$A$8,'[1]Grade Project'!$K:$K,H37,'[1]Grade Project'!$F:$F,$A$5)</f>
        <v>0</v>
      </c>
      <c r="J37" t="str">
        <f>IFERROR(AVERAGEIFS('[1]Grade Project'!$N:$N,'[1]Grade Project'!$K:$K,H37,'[1]Grade Project'!$F:$F,$A$5,'[1]Grade Project'!$G:$G,$A$8),"")</f>
        <v/>
      </c>
      <c r="K37" t="str">
        <f>IFERROR(AVERAGEIFS('[1]Grade Project'!$O:$O,'[1]Grade Project'!$K:$K,H37,'[1]Grade Project'!$F:$F,$A$5,'[1]Grade Project'!$G:$G,$A$8),"")</f>
        <v/>
      </c>
      <c r="L37" t="str">
        <f t="shared" si="1"/>
        <v/>
      </c>
      <c r="M37" t="str">
        <f t="shared" si="2"/>
        <v/>
      </c>
      <c r="N37" t="str">
        <f t="shared" si="3"/>
        <v/>
      </c>
    </row>
    <row r="38" spans="2:14" x14ac:dyDescent="0.25">
      <c r="B38" t="s">
        <v>37</v>
      </c>
      <c r="C38" t="e">
        <f>IF(C37="","",IF(C37=INDEX('[1]Grade Project'!$F:$F,MATCH($A$3,'[1]Grade Project'!$E:$E,0)+SUM($D$3:D37)),"",INDEX('[1]Grade Project'!$F:$F,MATCH($A$3,'[1]Grade Project'!$E:$E,0)+SUM($D$3:D37))))</f>
        <v>#N/A</v>
      </c>
      <c r="F38" t="str">
        <f>IF(G37=0,"",INDEX('[1]Grade Project'!$G:$G,MATCH($A$5,'[1]Grade Project'!$F:$F,0)+SUM($G$3:G37)))</f>
        <v/>
      </c>
      <c r="G38">
        <f>COUNTIFS('[1]Grade Project'!$F:$F,$A$5,'[1]Grade Project'!$G:$G,F38)</f>
        <v>0</v>
      </c>
      <c r="H38" t="str">
        <f>IF(I37=0,"",INDEX('[1]Grade Project'!$K:$K,MATCH(CONCATENATE($A$5,$A$8),'[1]Grade Project'!$H:$H,0)+SUM($I$3:I37)))</f>
        <v/>
      </c>
      <c r="I38">
        <f>COUNTIFS('[1]Grade Project'!$G:$G,$A$8,'[1]Grade Project'!$K:$K,H38,'[1]Grade Project'!$F:$F,$A$5)</f>
        <v>0</v>
      </c>
      <c r="J38" t="str">
        <f>IFERROR(AVERAGEIFS('[1]Grade Project'!$N:$N,'[1]Grade Project'!$K:$K,H38,'[1]Grade Project'!$F:$F,$A$5,'[1]Grade Project'!$G:$G,$A$8),"")</f>
        <v/>
      </c>
      <c r="K38" t="str">
        <f>IFERROR(AVERAGEIFS('[1]Grade Project'!$O:$O,'[1]Grade Project'!$K:$K,H38,'[1]Grade Project'!$F:$F,$A$5,'[1]Grade Project'!$G:$G,$A$8),"")</f>
        <v/>
      </c>
      <c r="L38" t="str">
        <f t="shared" si="1"/>
        <v/>
      </c>
      <c r="M38" t="str">
        <f t="shared" si="2"/>
        <v/>
      </c>
      <c r="N38" t="str">
        <f t="shared" si="3"/>
        <v/>
      </c>
    </row>
    <row r="39" spans="2:14" x14ac:dyDescent="0.25">
      <c r="B39" t="s">
        <v>38</v>
      </c>
      <c r="C39" t="e">
        <f>IF(C38="","",IF(C38=INDEX('[1]Grade Project'!$F:$F,MATCH($A$3,'[1]Grade Project'!$E:$E,0)+SUM($D$3:D38)),"",INDEX('[1]Grade Project'!$F:$F,MATCH($A$3,'[1]Grade Project'!$E:$E,0)+SUM($D$3:D38))))</f>
        <v>#N/A</v>
      </c>
      <c r="F39" t="str">
        <f>IF(G38=0,"",INDEX('[1]Grade Project'!$G:$G,MATCH($A$5,'[1]Grade Project'!$F:$F,0)+SUM($G$3:G38)))</f>
        <v/>
      </c>
      <c r="G39">
        <f>COUNTIFS('[1]Grade Project'!$F:$F,$A$5,'[1]Grade Project'!$G:$G,F39)</f>
        <v>0</v>
      </c>
      <c r="H39" t="str">
        <f>IF(I38=0,"",INDEX('[1]Grade Project'!$K:$K,MATCH(CONCATENATE($A$5,$A$8),'[1]Grade Project'!$H:$H,0)+SUM($I$3:I38)))</f>
        <v/>
      </c>
      <c r="I39">
        <f>COUNTIFS('[1]Grade Project'!$G:$G,$A$8,'[1]Grade Project'!$K:$K,H39,'[1]Grade Project'!$F:$F,$A$5)</f>
        <v>0</v>
      </c>
      <c r="J39" t="str">
        <f>IFERROR(AVERAGEIFS('[1]Grade Project'!$N:$N,'[1]Grade Project'!$K:$K,H39,'[1]Grade Project'!$F:$F,$A$5,'[1]Grade Project'!$G:$G,$A$8),"")</f>
        <v/>
      </c>
      <c r="K39" t="str">
        <f>IFERROR(AVERAGEIFS('[1]Grade Project'!$O:$O,'[1]Grade Project'!$K:$K,H39,'[1]Grade Project'!$F:$F,$A$5,'[1]Grade Project'!$G:$G,$A$8),"")</f>
        <v/>
      </c>
      <c r="L39" t="str">
        <f t="shared" si="1"/>
        <v/>
      </c>
      <c r="M39" t="str">
        <f t="shared" si="2"/>
        <v/>
      </c>
      <c r="N39" t="str">
        <f t="shared" si="3"/>
        <v/>
      </c>
    </row>
    <row r="40" spans="2:14" x14ac:dyDescent="0.25">
      <c r="B40" t="s">
        <v>39</v>
      </c>
      <c r="C40" t="e">
        <f>IF(C39="","",IF(C39=INDEX('[1]Grade Project'!$F:$F,MATCH($A$3,'[1]Grade Project'!$E:$E,0)+SUM($D$3:D39)),"",INDEX('[1]Grade Project'!$F:$F,MATCH($A$3,'[1]Grade Project'!$E:$E,0)+SUM($D$3:D39))))</f>
        <v>#N/A</v>
      </c>
      <c r="F40" t="str">
        <f>IF(G39=0,"",INDEX('[1]Grade Project'!$G:$G,MATCH($A$5,'[1]Grade Project'!$F:$F,0)+SUM($G$3:G39)))</f>
        <v/>
      </c>
      <c r="G40">
        <f>COUNTIFS('[1]Grade Project'!$F:$F,$A$5,'[1]Grade Project'!$G:$G,F40)</f>
        <v>0</v>
      </c>
      <c r="H40" t="str">
        <f>IF(I39=0,"",INDEX('[1]Grade Project'!$K:$K,MATCH(CONCATENATE($A$5,$A$8),'[1]Grade Project'!$H:$H,0)+SUM($I$3:I39)))</f>
        <v/>
      </c>
      <c r="I40">
        <f>COUNTIFS('[1]Grade Project'!$G:$G,$A$8,'[1]Grade Project'!$K:$K,H40,'[1]Grade Project'!$F:$F,$A$5)</f>
        <v>0</v>
      </c>
      <c r="J40" t="str">
        <f>IFERROR(AVERAGEIFS('[1]Grade Project'!$N:$N,'[1]Grade Project'!$K:$K,H40,'[1]Grade Project'!$F:$F,$A$5,'[1]Grade Project'!$G:$G,$A$8),"")</f>
        <v/>
      </c>
      <c r="K40" t="str">
        <f>IFERROR(AVERAGEIFS('[1]Grade Project'!$O:$O,'[1]Grade Project'!$K:$K,H40,'[1]Grade Project'!$F:$F,$A$5,'[1]Grade Project'!$G:$G,$A$8),"")</f>
        <v/>
      </c>
      <c r="L40" t="str">
        <f t="shared" si="1"/>
        <v/>
      </c>
      <c r="M40" t="str">
        <f t="shared" si="2"/>
        <v/>
      </c>
      <c r="N40" t="str">
        <f t="shared" si="3"/>
        <v/>
      </c>
    </row>
    <row r="41" spans="2:14" x14ac:dyDescent="0.25">
      <c r="B41" t="s">
        <v>40</v>
      </c>
      <c r="C41" t="e">
        <f>IF(C40="","",IF(C40=INDEX('[1]Grade Project'!$F:$F,MATCH($A$3,'[1]Grade Project'!$E:$E,0)+SUM($D$3:D40)),"",INDEX('[1]Grade Project'!$F:$F,MATCH($A$3,'[1]Grade Project'!$E:$E,0)+SUM($D$3:D40))))</f>
        <v>#N/A</v>
      </c>
      <c r="F41" t="str">
        <f>IF(G40=0,"",INDEX('[1]Grade Project'!$G:$G,MATCH($A$5,'[1]Grade Project'!$F:$F,0)+SUM($G$3:G40)))</f>
        <v/>
      </c>
      <c r="G41">
        <f>COUNTIFS('[1]Grade Project'!$F:$F,$A$5,'[1]Grade Project'!$G:$G,F41)</f>
        <v>0</v>
      </c>
      <c r="H41" t="str">
        <f>IF(I40=0,"",INDEX('[1]Grade Project'!$K:$K,MATCH(CONCATENATE($A$5,$A$8),'[1]Grade Project'!$H:$H,0)+SUM($I$3:I40)))</f>
        <v/>
      </c>
      <c r="I41">
        <f>COUNTIFS('[1]Grade Project'!$G:$G,$A$8,'[1]Grade Project'!$K:$K,H41,'[1]Grade Project'!$F:$F,$A$5)</f>
        <v>0</v>
      </c>
      <c r="J41" t="str">
        <f>IFERROR(AVERAGEIFS('[1]Grade Project'!$N:$N,'[1]Grade Project'!$K:$K,H41,'[1]Grade Project'!$F:$F,$A$5,'[1]Grade Project'!$G:$G,$A$8),"")</f>
        <v/>
      </c>
      <c r="K41" t="str">
        <f>IFERROR(AVERAGEIFS('[1]Grade Project'!$O:$O,'[1]Grade Project'!$K:$K,H41,'[1]Grade Project'!$F:$F,$A$5,'[1]Grade Project'!$G:$G,$A$8),"")</f>
        <v/>
      </c>
      <c r="L41" t="str">
        <f t="shared" si="1"/>
        <v/>
      </c>
      <c r="M41" t="str">
        <f t="shared" si="2"/>
        <v/>
      </c>
      <c r="N41" t="str">
        <f t="shared" si="3"/>
        <v/>
      </c>
    </row>
    <row r="42" spans="2:14" x14ac:dyDescent="0.25">
      <c r="B42" t="s">
        <v>41</v>
      </c>
      <c r="C42" t="e">
        <f>IF(C41="","",IF(C41=INDEX('[1]Grade Project'!$F:$F,MATCH($A$3,'[1]Grade Project'!$E:$E,0)+SUM($D$3:D41)),"",INDEX('[1]Grade Project'!$F:$F,MATCH($A$3,'[1]Grade Project'!$E:$E,0)+SUM($D$3:D41))))</f>
        <v>#N/A</v>
      </c>
      <c r="F42" t="str">
        <f>IF(G41=0,"",INDEX('[1]Grade Project'!$G:$G,MATCH($A$5,'[1]Grade Project'!$F:$F,0)+SUM($G$3:G41)))</f>
        <v/>
      </c>
      <c r="G42">
        <f>COUNTIFS('[1]Grade Project'!$F:$F,$A$5,'[1]Grade Project'!$G:$G,F42)</f>
        <v>0</v>
      </c>
      <c r="H42" t="str">
        <f>IF(I41=0,"",INDEX('[1]Grade Project'!$K:$K,MATCH(CONCATENATE($A$5,$A$8),'[1]Grade Project'!$H:$H,0)+SUM($I$3:I41)))</f>
        <v/>
      </c>
      <c r="I42">
        <f>COUNTIFS('[1]Grade Project'!$G:$G,$A$8,'[1]Grade Project'!$K:$K,H42,'[1]Grade Project'!$F:$F,$A$5)</f>
        <v>0</v>
      </c>
      <c r="J42" t="str">
        <f>IFERROR(AVERAGEIFS('[1]Grade Project'!$N:$N,'[1]Grade Project'!$K:$K,H42,'[1]Grade Project'!$F:$F,$A$5,'[1]Grade Project'!$G:$G,$A$8),"")</f>
        <v/>
      </c>
      <c r="K42" t="str">
        <f>IFERROR(AVERAGEIFS('[1]Grade Project'!$O:$O,'[1]Grade Project'!$K:$K,H42,'[1]Grade Project'!$F:$F,$A$5,'[1]Grade Project'!$G:$G,$A$8),"")</f>
        <v/>
      </c>
      <c r="L42" t="str">
        <f t="shared" si="1"/>
        <v/>
      </c>
      <c r="M42" t="str">
        <f t="shared" si="2"/>
        <v/>
      </c>
      <c r="N42" t="str">
        <f t="shared" si="3"/>
        <v/>
      </c>
    </row>
    <row r="43" spans="2:14" x14ac:dyDescent="0.25">
      <c r="B43" t="s">
        <v>42</v>
      </c>
      <c r="C43" t="e">
        <f>IF(C42="","",IF(C42=INDEX('[1]Grade Project'!$F:$F,MATCH($A$3,'[1]Grade Project'!$E:$E,0)+SUM($D$3:D42)),"",INDEX('[1]Grade Project'!$F:$F,MATCH($A$3,'[1]Grade Project'!$E:$E,0)+SUM($D$3:D42))))</f>
        <v>#N/A</v>
      </c>
      <c r="F43" t="str">
        <f>IF(G42=0,"",INDEX('[1]Grade Project'!$G:$G,MATCH($A$5,'[1]Grade Project'!$F:$F,0)+SUM($G$3:G42)))</f>
        <v/>
      </c>
      <c r="G43">
        <f>COUNTIFS('[1]Grade Project'!$F:$F,$A$5,'[1]Grade Project'!$G:$G,F43)</f>
        <v>0</v>
      </c>
      <c r="H43" t="str">
        <f>IF(I42=0,"",INDEX('[1]Grade Project'!$K:$K,MATCH(CONCATENATE($A$5,$A$8),'[1]Grade Project'!$H:$H,0)+SUM($I$3:I42)))</f>
        <v/>
      </c>
      <c r="I43">
        <f>COUNTIFS('[1]Grade Project'!$G:$G,$A$8,'[1]Grade Project'!$K:$K,H43,'[1]Grade Project'!$F:$F,$A$5)</f>
        <v>0</v>
      </c>
      <c r="J43" t="str">
        <f>IFERROR(AVERAGEIFS('[1]Grade Project'!$N:$N,'[1]Grade Project'!$K:$K,H43,'[1]Grade Project'!$F:$F,$A$5,'[1]Grade Project'!$G:$G,$A$8),"")</f>
        <v/>
      </c>
      <c r="K43" t="str">
        <f>IFERROR(AVERAGEIFS('[1]Grade Project'!$O:$O,'[1]Grade Project'!$K:$K,H43,'[1]Grade Project'!$F:$F,$A$5,'[1]Grade Project'!$G:$G,$A$8),"")</f>
        <v/>
      </c>
      <c r="L43" t="str">
        <f t="shared" si="1"/>
        <v/>
      </c>
      <c r="M43" t="str">
        <f t="shared" si="2"/>
        <v/>
      </c>
      <c r="N43" t="str">
        <f t="shared" si="3"/>
        <v/>
      </c>
    </row>
    <row r="44" spans="2:14" x14ac:dyDescent="0.25">
      <c r="B44" t="s">
        <v>43</v>
      </c>
      <c r="C44" t="e">
        <f>IF(C43="","",IF(C43=INDEX('[1]Grade Project'!$F:$F,MATCH($A$3,'[1]Grade Project'!$E:$E,0)+SUM($D$3:D43)),"",INDEX('[1]Grade Project'!$F:$F,MATCH($A$3,'[1]Grade Project'!$E:$E,0)+SUM($D$3:D43))))</f>
        <v>#N/A</v>
      </c>
      <c r="F44" t="str">
        <f>IF(G43=0,"",INDEX('[1]Grade Project'!$G:$G,MATCH($A$5,'[1]Grade Project'!$F:$F,0)+SUM($G$3:G43)))</f>
        <v/>
      </c>
      <c r="G44">
        <f>COUNTIFS('[1]Grade Project'!$F:$F,$A$5,'[1]Grade Project'!$G:$G,F44)</f>
        <v>0</v>
      </c>
      <c r="H44" t="str">
        <f>IF(I43=0,"",INDEX('[1]Grade Project'!$K:$K,MATCH(CONCATENATE($A$5,$A$8),'[1]Grade Project'!$H:$H,0)+SUM($I$3:I43)))</f>
        <v/>
      </c>
      <c r="I44">
        <f>COUNTIFS('[1]Grade Project'!$G:$G,$A$8,'[1]Grade Project'!$K:$K,H44,'[1]Grade Project'!$F:$F,$A$5)</f>
        <v>0</v>
      </c>
      <c r="J44" t="str">
        <f>IFERROR(AVERAGEIFS('[1]Grade Project'!$N:$N,'[1]Grade Project'!$K:$K,H44,'[1]Grade Project'!$F:$F,$A$5,'[1]Grade Project'!$G:$G,$A$8),"")</f>
        <v/>
      </c>
      <c r="K44" t="str">
        <f>IFERROR(AVERAGEIFS('[1]Grade Project'!$O:$O,'[1]Grade Project'!$K:$K,H44,'[1]Grade Project'!$F:$F,$A$5,'[1]Grade Project'!$G:$G,$A$8),"")</f>
        <v/>
      </c>
      <c r="L44" t="str">
        <f t="shared" si="1"/>
        <v/>
      </c>
      <c r="M44" t="str">
        <f t="shared" si="2"/>
        <v/>
      </c>
      <c r="N44" t="str">
        <f t="shared" si="3"/>
        <v/>
      </c>
    </row>
    <row r="45" spans="2:14" x14ac:dyDescent="0.25">
      <c r="B45" t="s">
        <v>44</v>
      </c>
      <c r="C45" t="e">
        <f>IF(C44="","",IF(C44=INDEX('[1]Grade Project'!$F:$F,MATCH($A$3,'[1]Grade Project'!$E:$E,0)+SUM($D$3:D44)),"",INDEX('[1]Grade Project'!$F:$F,MATCH($A$3,'[1]Grade Project'!$E:$E,0)+SUM($D$3:D44))))</f>
        <v>#N/A</v>
      </c>
      <c r="F45" t="str">
        <f>IF(G44=0,"",INDEX('[1]Grade Project'!$G:$G,MATCH($A$5,'[1]Grade Project'!$F:$F,0)+SUM($G$3:G44)))</f>
        <v/>
      </c>
      <c r="G45">
        <f>COUNTIFS('[1]Grade Project'!$F:$F,$A$5,'[1]Grade Project'!$G:$G,F45)</f>
        <v>0</v>
      </c>
      <c r="H45" t="str">
        <f>IF(I44=0,"",INDEX('[1]Grade Project'!$K:$K,MATCH(CONCATENATE($A$5,$A$8),'[1]Grade Project'!$H:$H,0)+SUM($I$3:I44)))</f>
        <v/>
      </c>
      <c r="I45">
        <f>COUNTIFS('[1]Grade Project'!$G:$G,$A$8,'[1]Grade Project'!$K:$K,H45,'[1]Grade Project'!$F:$F,$A$5)</f>
        <v>0</v>
      </c>
      <c r="J45" t="str">
        <f>IFERROR(AVERAGEIFS('[1]Grade Project'!$N:$N,'[1]Grade Project'!$K:$K,H45,'[1]Grade Project'!$F:$F,$A$5,'[1]Grade Project'!$G:$G,$A$8),"")</f>
        <v/>
      </c>
      <c r="K45" t="str">
        <f>IFERROR(AVERAGEIFS('[1]Grade Project'!$O:$O,'[1]Grade Project'!$K:$K,H45,'[1]Grade Project'!$F:$F,$A$5,'[1]Grade Project'!$G:$G,$A$8),"")</f>
        <v/>
      </c>
      <c r="L45" t="str">
        <f t="shared" si="1"/>
        <v/>
      </c>
      <c r="M45" t="str">
        <f t="shared" si="2"/>
        <v/>
      </c>
      <c r="N45" t="str">
        <f t="shared" si="3"/>
        <v/>
      </c>
    </row>
    <row r="46" spans="2:14" x14ac:dyDescent="0.25">
      <c r="B46" t="s">
        <v>45</v>
      </c>
      <c r="C46" t="e">
        <f>IF(C45="","",IF(C45=INDEX('[1]Grade Project'!$F:$F,MATCH($A$3,'[1]Grade Project'!$E:$E,0)+SUM($D$3:D45)),"",INDEX('[1]Grade Project'!$F:$F,MATCH($A$3,'[1]Grade Project'!$E:$E,0)+SUM($D$3:D45))))</f>
        <v>#N/A</v>
      </c>
      <c r="F46" t="str">
        <f>IF(G45=0,"",INDEX('[1]Grade Project'!$G:$G,MATCH($A$5,'[1]Grade Project'!$F:$F,0)+SUM($G$3:G45)))</f>
        <v/>
      </c>
      <c r="G46">
        <f>COUNTIFS('[1]Grade Project'!$F:$F,$A$5,'[1]Grade Project'!$G:$G,F46)</f>
        <v>0</v>
      </c>
      <c r="H46" t="str">
        <f>IF(I45=0,"",INDEX('[1]Grade Project'!$K:$K,MATCH(CONCATENATE($A$5,$A$8),'[1]Grade Project'!$H:$H,0)+SUM($I$3:I45)))</f>
        <v/>
      </c>
      <c r="I46">
        <f>COUNTIFS('[1]Grade Project'!$G:$G,$A$8,'[1]Grade Project'!$K:$K,H46,'[1]Grade Project'!$F:$F,$A$5)</f>
        <v>0</v>
      </c>
      <c r="J46" t="str">
        <f>IFERROR(AVERAGEIFS('[1]Grade Project'!$N:$N,'[1]Grade Project'!$K:$K,H46,'[1]Grade Project'!$F:$F,$A$5,'[1]Grade Project'!$G:$G,$A$8),"")</f>
        <v/>
      </c>
      <c r="K46" t="str">
        <f>IFERROR(AVERAGEIFS('[1]Grade Project'!$O:$O,'[1]Grade Project'!$K:$K,H46,'[1]Grade Project'!$F:$F,$A$5,'[1]Grade Project'!$G:$G,$A$8),"")</f>
        <v/>
      </c>
      <c r="L46" t="str">
        <f t="shared" si="1"/>
        <v/>
      </c>
      <c r="M46" t="str">
        <f t="shared" si="2"/>
        <v/>
      </c>
      <c r="N46" t="str">
        <f t="shared" si="3"/>
        <v/>
      </c>
    </row>
    <row r="47" spans="2:14" x14ac:dyDescent="0.25">
      <c r="B47" t="s">
        <v>46</v>
      </c>
      <c r="C47" t="e">
        <f>IF(C46="","",IF(C46=INDEX('[1]Grade Project'!$F:$F,MATCH($A$3,'[1]Grade Project'!$E:$E,0)+SUM($D$3:D46)),"",INDEX('[1]Grade Project'!$F:$F,MATCH($A$3,'[1]Grade Project'!$E:$E,0)+SUM($D$3:D46))))</f>
        <v>#N/A</v>
      </c>
      <c r="F47" t="str">
        <f>IF(G46=0,"",INDEX('[1]Grade Project'!$G:$G,MATCH($A$5,'[1]Grade Project'!$F:$F,0)+SUM($G$3:G46)))</f>
        <v/>
      </c>
      <c r="G47">
        <f>COUNTIFS('[1]Grade Project'!$F:$F,$A$5,'[1]Grade Project'!$G:$G,F47)</f>
        <v>0</v>
      </c>
      <c r="H47" t="str">
        <f>IF(I46=0,"",INDEX('[1]Grade Project'!$K:$K,MATCH(CONCATENATE($A$5,$A$8),'[1]Grade Project'!$H:$H,0)+SUM($I$3:I46)))</f>
        <v/>
      </c>
      <c r="I47">
        <f>COUNTIFS('[1]Grade Project'!$G:$G,$A$8,'[1]Grade Project'!$K:$K,H47,'[1]Grade Project'!$F:$F,$A$5)</f>
        <v>0</v>
      </c>
      <c r="J47" t="str">
        <f>IFERROR(AVERAGEIFS('[1]Grade Project'!$N:$N,'[1]Grade Project'!$K:$K,H47,'[1]Grade Project'!$F:$F,$A$5,'[1]Grade Project'!$G:$G,$A$8),"")</f>
        <v/>
      </c>
      <c r="K47" t="str">
        <f>IFERROR(AVERAGEIFS('[1]Grade Project'!$O:$O,'[1]Grade Project'!$K:$K,H47,'[1]Grade Project'!$F:$F,$A$5,'[1]Grade Project'!$G:$G,$A$8),"")</f>
        <v/>
      </c>
      <c r="L47" t="str">
        <f t="shared" si="1"/>
        <v/>
      </c>
      <c r="M47" t="str">
        <f t="shared" si="2"/>
        <v/>
      </c>
      <c r="N47" t="str">
        <f t="shared" si="3"/>
        <v/>
      </c>
    </row>
    <row r="48" spans="2:14" x14ac:dyDescent="0.25">
      <c r="B48" t="s">
        <v>47</v>
      </c>
      <c r="C48" t="e">
        <f>IF(C47="","",IF(C47=INDEX('[1]Grade Project'!$F:$F,MATCH($A$3,'[1]Grade Project'!$E:$E,0)+SUM($D$3:D47)),"",INDEX('[1]Grade Project'!$F:$F,MATCH($A$3,'[1]Grade Project'!$E:$E,0)+SUM($D$3:D47))))</f>
        <v>#N/A</v>
      </c>
      <c r="F48" t="str">
        <f>IF(G47=0,"",INDEX('[1]Grade Project'!$G:$G,MATCH($A$5,'[1]Grade Project'!$F:$F,0)+SUM($G$3:G47)))</f>
        <v/>
      </c>
      <c r="G48">
        <f>COUNTIFS('[1]Grade Project'!$F:$F,$A$5,'[1]Grade Project'!$G:$G,F48)</f>
        <v>0</v>
      </c>
      <c r="H48" t="str">
        <f>IF(I47=0,"",INDEX('[1]Grade Project'!$K:$K,MATCH(CONCATENATE($A$5,$A$8),'[1]Grade Project'!$H:$H,0)+SUM($I$3:I47)))</f>
        <v/>
      </c>
      <c r="I48">
        <f>COUNTIFS('[1]Grade Project'!$G:$G,$A$8,'[1]Grade Project'!$K:$K,H48,'[1]Grade Project'!$F:$F,$A$5)</f>
        <v>0</v>
      </c>
      <c r="J48" t="str">
        <f>IFERROR(AVERAGEIFS('[1]Grade Project'!$N:$N,'[1]Grade Project'!$K:$K,H48,'[1]Grade Project'!$F:$F,$A$5,'[1]Grade Project'!$G:$G,$A$8),"")</f>
        <v/>
      </c>
      <c r="K48" t="str">
        <f>IFERROR(AVERAGEIFS('[1]Grade Project'!$O:$O,'[1]Grade Project'!$K:$K,H48,'[1]Grade Project'!$F:$F,$A$5,'[1]Grade Project'!$G:$G,$A$8),"")</f>
        <v/>
      </c>
      <c r="L48" t="str">
        <f t="shared" si="1"/>
        <v/>
      </c>
      <c r="M48" t="str">
        <f t="shared" si="2"/>
        <v/>
      </c>
      <c r="N48" t="str">
        <f t="shared" si="3"/>
        <v/>
      </c>
    </row>
    <row r="49" spans="2:14" x14ac:dyDescent="0.25">
      <c r="B49" t="s">
        <v>48</v>
      </c>
      <c r="C49" t="e">
        <f>IF(C48="","",IF(C48=INDEX('[1]Grade Project'!$F:$F,MATCH($A$3,'[1]Grade Project'!$E:$E,0)+SUM($D$3:D48)),"",INDEX('[1]Grade Project'!$F:$F,MATCH($A$3,'[1]Grade Project'!$E:$E,0)+SUM($D$3:D48))))</f>
        <v>#N/A</v>
      </c>
      <c r="F49" t="str">
        <f>IF(G48=0,"",INDEX('[1]Grade Project'!$G:$G,MATCH($A$5,'[1]Grade Project'!$F:$F,0)+SUM($G$3:G48)))</f>
        <v/>
      </c>
      <c r="G49">
        <f>COUNTIFS('[1]Grade Project'!$F:$F,$A$5,'[1]Grade Project'!$G:$G,F49)</f>
        <v>0</v>
      </c>
      <c r="H49" t="str">
        <f>IF(I48=0,"",INDEX('[1]Grade Project'!$K:$K,MATCH(CONCATENATE($A$5,$A$8),'[1]Grade Project'!$H:$H,0)+SUM($I$3:I48)))</f>
        <v/>
      </c>
      <c r="I49">
        <f>COUNTIFS('[1]Grade Project'!$G:$G,$A$8,'[1]Grade Project'!$K:$K,H49,'[1]Grade Project'!$F:$F,$A$5)</f>
        <v>0</v>
      </c>
      <c r="J49" t="str">
        <f>IFERROR(AVERAGEIFS('[1]Grade Project'!$N:$N,'[1]Grade Project'!$K:$K,H49,'[1]Grade Project'!$F:$F,$A$5,'[1]Grade Project'!$G:$G,$A$8),"")</f>
        <v/>
      </c>
      <c r="K49" t="str">
        <f>IFERROR(AVERAGEIFS('[1]Grade Project'!$O:$O,'[1]Grade Project'!$K:$K,H49,'[1]Grade Project'!$F:$F,$A$5,'[1]Grade Project'!$G:$G,$A$8),"")</f>
        <v/>
      </c>
      <c r="L49" t="str">
        <f t="shared" si="1"/>
        <v/>
      </c>
      <c r="M49" t="str">
        <f t="shared" si="2"/>
        <v/>
      </c>
      <c r="N49" t="str">
        <f t="shared" si="3"/>
        <v/>
      </c>
    </row>
    <row r="50" spans="2:14" x14ac:dyDescent="0.25">
      <c r="B50" t="s">
        <v>49</v>
      </c>
      <c r="C50" t="e">
        <f>IF(C49="","",IF(C49=INDEX('[1]Grade Project'!$F:$F,MATCH($A$3,'[1]Grade Project'!$E:$E,0)+SUM($D$3:D49)),"",INDEX('[1]Grade Project'!$F:$F,MATCH($A$3,'[1]Grade Project'!$E:$E,0)+SUM($D$3:D49))))</f>
        <v>#N/A</v>
      </c>
      <c r="F50" t="str">
        <f>IF(G49=0,"",INDEX('[1]Grade Project'!$G:$G,MATCH($A$5,'[1]Grade Project'!$F:$F,0)+SUM($G$3:G49)))</f>
        <v/>
      </c>
      <c r="G50">
        <f>COUNTIFS('[1]Grade Project'!$F:$F,$A$5,'[1]Grade Project'!$G:$G,F50)</f>
        <v>0</v>
      </c>
      <c r="H50" t="str">
        <f>IF(I49=0,"",INDEX('[1]Grade Project'!$K:$K,MATCH(CONCATENATE($A$5,$A$8),'[1]Grade Project'!$H:$H,0)+SUM($I$3:I49)))</f>
        <v/>
      </c>
      <c r="I50">
        <f>COUNTIFS('[1]Grade Project'!$G:$G,$A$8,'[1]Grade Project'!$K:$K,H50,'[1]Grade Project'!$F:$F,$A$5)</f>
        <v>0</v>
      </c>
      <c r="J50" t="str">
        <f>IFERROR(AVERAGEIFS('[1]Grade Project'!$N:$N,'[1]Grade Project'!$K:$K,H50,'[1]Grade Project'!$F:$F,$A$5,'[1]Grade Project'!$G:$G,$A$8),"")</f>
        <v/>
      </c>
      <c r="K50" t="str">
        <f>IFERROR(AVERAGEIFS('[1]Grade Project'!$O:$O,'[1]Grade Project'!$K:$K,H50,'[1]Grade Project'!$F:$F,$A$5,'[1]Grade Project'!$G:$G,$A$8),"")</f>
        <v/>
      </c>
      <c r="L50" t="str">
        <f t="shared" si="1"/>
        <v/>
      </c>
      <c r="M50" t="str">
        <f t="shared" si="2"/>
        <v/>
      </c>
      <c r="N50" t="str">
        <f t="shared" si="3"/>
        <v/>
      </c>
    </row>
    <row r="51" spans="2:14" x14ac:dyDescent="0.25">
      <c r="B51" t="s">
        <v>50</v>
      </c>
      <c r="C51" t="e">
        <f>IF(C50="","",IF(C50=INDEX('[1]Grade Project'!$F:$F,MATCH($A$3,'[1]Grade Project'!$E:$E,0)+SUM($D$3:D50)),"",INDEX('[1]Grade Project'!$F:$F,MATCH($A$3,'[1]Grade Project'!$E:$E,0)+SUM($D$3:D50))))</f>
        <v>#N/A</v>
      </c>
      <c r="F51" t="str">
        <f>IF(G50=0,"",INDEX('[1]Grade Project'!$G:$G,MATCH($A$5,'[1]Grade Project'!$F:$F,0)+SUM($G$3:G50)))</f>
        <v/>
      </c>
      <c r="G51">
        <f>COUNTIFS('[1]Grade Project'!$F:$F,$A$5,'[1]Grade Project'!$G:$G,F51)</f>
        <v>0</v>
      </c>
      <c r="H51" t="str">
        <f>IF(I50=0,"",INDEX('[1]Grade Project'!$K:$K,MATCH(CONCATENATE($A$5,$A$8),'[1]Grade Project'!$H:$H,0)+SUM($I$3:I50)))</f>
        <v/>
      </c>
      <c r="I51">
        <f>COUNTIFS('[1]Grade Project'!$G:$G,$A$8,'[1]Grade Project'!$K:$K,H51,'[1]Grade Project'!$F:$F,$A$5)</f>
        <v>0</v>
      </c>
      <c r="J51" t="str">
        <f>IFERROR(AVERAGEIFS('[1]Grade Project'!$N:$N,'[1]Grade Project'!$K:$K,H51,'[1]Grade Project'!$F:$F,$A$5,'[1]Grade Project'!$G:$G,$A$8),"")</f>
        <v/>
      </c>
      <c r="K51" t="str">
        <f>IFERROR(AVERAGEIFS('[1]Grade Project'!$O:$O,'[1]Grade Project'!$K:$K,H51,'[1]Grade Project'!$F:$F,$A$5,'[1]Grade Project'!$G:$G,$A$8),"")</f>
        <v/>
      </c>
      <c r="L51" t="str">
        <f t="shared" si="1"/>
        <v/>
      </c>
      <c r="M51" t="str">
        <f t="shared" si="2"/>
        <v/>
      </c>
      <c r="N51" t="str">
        <f t="shared" si="3"/>
        <v/>
      </c>
    </row>
    <row r="52" spans="2:14" x14ac:dyDescent="0.25">
      <c r="B52" t="s">
        <v>51</v>
      </c>
      <c r="C52" t="e">
        <f>IF(C51="","",IF(C51=INDEX('[1]Grade Project'!$F:$F,MATCH($A$3,'[1]Grade Project'!$E:$E,0)+SUM($D$3:D51)),"",INDEX('[1]Grade Project'!$F:$F,MATCH($A$3,'[1]Grade Project'!$E:$E,0)+SUM($D$3:D51))))</f>
        <v>#N/A</v>
      </c>
      <c r="F52" t="str">
        <f>IF(G51=0,"",INDEX('[1]Grade Project'!$G:$G,MATCH($A$5,'[1]Grade Project'!$F:$F,0)+SUM($G$3:G51)))</f>
        <v/>
      </c>
      <c r="G52">
        <f>COUNTIFS('[1]Grade Project'!$F:$F,$A$5,'[1]Grade Project'!$G:$G,F52)</f>
        <v>0</v>
      </c>
      <c r="H52" t="str">
        <f>IF(I51=0,"",INDEX('[1]Grade Project'!$K:$K,MATCH(CONCATENATE($A$5,$A$8),'[1]Grade Project'!$H:$H,0)+SUM($I$3:I51)))</f>
        <v/>
      </c>
      <c r="I52">
        <f>COUNTIFS('[1]Grade Project'!$G:$G,$A$8,'[1]Grade Project'!$K:$K,H52,'[1]Grade Project'!$F:$F,$A$5)</f>
        <v>0</v>
      </c>
      <c r="J52" t="str">
        <f>IFERROR(AVERAGEIFS('[1]Grade Project'!$N:$N,'[1]Grade Project'!$K:$K,H52,'[1]Grade Project'!$F:$F,$A$5,'[1]Grade Project'!$G:$G,$A$8),"")</f>
        <v/>
      </c>
      <c r="K52" t="str">
        <f>IFERROR(AVERAGEIFS('[1]Grade Project'!$O:$O,'[1]Grade Project'!$K:$K,H52,'[1]Grade Project'!$F:$F,$A$5,'[1]Grade Project'!$G:$G,$A$8),"")</f>
        <v/>
      </c>
      <c r="L52" t="str">
        <f t="shared" si="1"/>
        <v/>
      </c>
      <c r="M52" t="str">
        <f t="shared" si="2"/>
        <v/>
      </c>
      <c r="N52" t="str">
        <f t="shared" si="3"/>
        <v/>
      </c>
    </row>
    <row r="53" spans="2:14" x14ac:dyDescent="0.25">
      <c r="B53" t="s">
        <v>52</v>
      </c>
      <c r="C53" t="e">
        <f>IF(C52="","",IF(C52=INDEX('[1]Grade Project'!$F:$F,MATCH($A$3,'[1]Grade Project'!$E:$E,0)+SUM($D$3:D52)),"",INDEX('[1]Grade Project'!$F:$F,MATCH($A$3,'[1]Grade Project'!$E:$E,0)+SUM($D$3:D52))))</f>
        <v>#N/A</v>
      </c>
      <c r="F53" t="str">
        <f>IF(G52=0,"",INDEX('[1]Grade Project'!$G:$G,MATCH($A$5,'[1]Grade Project'!$F:$F,0)+SUM($G$3:G52)))</f>
        <v/>
      </c>
      <c r="G53">
        <f>COUNTIFS('[1]Grade Project'!$F:$F,$A$5,'[1]Grade Project'!$G:$G,F53)</f>
        <v>0</v>
      </c>
      <c r="H53" t="str">
        <f>IF(I52=0,"",INDEX('[1]Grade Project'!$K:$K,MATCH(CONCATENATE($A$5,$A$8),'[1]Grade Project'!$H:$H,0)+SUM($I$3:I52)))</f>
        <v/>
      </c>
      <c r="I53">
        <f>COUNTIFS('[1]Grade Project'!$G:$G,$A$8,'[1]Grade Project'!$K:$K,H53,'[1]Grade Project'!$F:$F,$A$5)</f>
        <v>0</v>
      </c>
      <c r="J53" t="str">
        <f>IFERROR(AVERAGEIFS('[1]Grade Project'!$N:$N,'[1]Grade Project'!$K:$K,H53,'[1]Grade Project'!$F:$F,$A$5,'[1]Grade Project'!$G:$G,$A$8),"")</f>
        <v/>
      </c>
      <c r="K53" t="str">
        <f>IFERROR(AVERAGEIFS('[1]Grade Project'!$O:$O,'[1]Grade Project'!$K:$K,H53,'[1]Grade Project'!$F:$F,$A$5,'[1]Grade Project'!$G:$G,$A$8),"")</f>
        <v/>
      </c>
      <c r="L53" t="str">
        <f t="shared" si="1"/>
        <v/>
      </c>
      <c r="M53" t="str">
        <f t="shared" si="2"/>
        <v/>
      </c>
      <c r="N53" t="str">
        <f t="shared" si="3"/>
        <v/>
      </c>
    </row>
    <row r="54" spans="2:14" x14ac:dyDescent="0.25">
      <c r="B54" t="s">
        <v>53</v>
      </c>
      <c r="C54" t="e">
        <f>IF(C53="","",IF(C53=INDEX('[1]Grade Project'!$F:$F,MATCH($A$3,'[1]Grade Project'!$E:$E,0)+SUM($D$3:D53)),"",INDEX('[1]Grade Project'!$F:$F,MATCH($A$3,'[1]Grade Project'!$E:$E,0)+SUM($D$3:D53))))</f>
        <v>#N/A</v>
      </c>
      <c r="F54" t="str">
        <f>IF(G53=0,"",INDEX('[1]Grade Project'!$G:$G,MATCH($A$5,'[1]Grade Project'!$F:$F,0)+SUM($G$3:G53)))</f>
        <v/>
      </c>
      <c r="G54">
        <f>COUNTIFS('[1]Grade Project'!$F:$F,$A$5,'[1]Grade Project'!$G:$G,F54)</f>
        <v>0</v>
      </c>
      <c r="H54" t="str">
        <f>IF(I53=0,"",INDEX('[1]Grade Project'!$K:$K,MATCH(CONCATENATE($A$5,$A$8),'[1]Grade Project'!$H:$H,0)+SUM($I$3:I53)))</f>
        <v/>
      </c>
      <c r="I54">
        <f>COUNTIFS('[1]Grade Project'!$G:$G,$A$8,'[1]Grade Project'!$K:$K,H54,'[1]Grade Project'!$F:$F,$A$5)</f>
        <v>0</v>
      </c>
      <c r="J54" t="str">
        <f>IFERROR(AVERAGEIFS('[1]Grade Project'!$N:$N,'[1]Grade Project'!$K:$K,H54,'[1]Grade Project'!$F:$F,$A$5,'[1]Grade Project'!$G:$G,$A$8),"")</f>
        <v/>
      </c>
      <c r="K54" t="str">
        <f>IFERROR(AVERAGEIFS('[1]Grade Project'!$O:$O,'[1]Grade Project'!$K:$K,H54,'[1]Grade Project'!$F:$F,$A$5,'[1]Grade Project'!$G:$G,$A$8),"")</f>
        <v/>
      </c>
      <c r="L54" t="str">
        <f t="shared" si="1"/>
        <v/>
      </c>
      <c r="M54" t="str">
        <f t="shared" si="2"/>
        <v/>
      </c>
      <c r="N54" t="str">
        <f t="shared" si="3"/>
        <v/>
      </c>
    </row>
    <row r="55" spans="2:14" x14ac:dyDescent="0.25">
      <c r="B55" t="s">
        <v>54</v>
      </c>
      <c r="F55" t="str">
        <f>IF(G54=0,"",INDEX('[1]Grade Project'!$G:$G,MATCH($A$5,'[1]Grade Project'!$F:$F,0)+SUM($G$3:G54)))</f>
        <v/>
      </c>
      <c r="G55">
        <f>COUNTIFS('[1]Grade Project'!$F:$F,$A$5,'[1]Grade Project'!$G:$G,F55)</f>
        <v>0</v>
      </c>
      <c r="H55" t="str">
        <f>IF(I54=0,"",INDEX('[1]Grade Project'!$K:$K,MATCH(CONCATENATE($A$5,$A$8),'[1]Grade Project'!$H:$H,0)+SUM($I$3:I54)))</f>
        <v/>
      </c>
      <c r="I55">
        <f>COUNTIFS('[1]Grade Project'!$G:$G,$A$8,'[1]Grade Project'!$K:$K,H55,'[1]Grade Project'!$F:$F,$A$5)</f>
        <v>0</v>
      </c>
      <c r="J55" t="str">
        <f>IFERROR(AVERAGEIFS('[1]Grade Project'!$N:$N,'[1]Grade Project'!$K:$K,H55,'[1]Grade Project'!$F:$F,$A$5,'[1]Grade Project'!$G:$G,$A$8),"")</f>
        <v/>
      </c>
      <c r="K55" t="str">
        <f>IFERROR(AVERAGEIFS('[1]Grade Project'!$O:$O,'[1]Grade Project'!$K:$K,H55,'[1]Grade Project'!$F:$F,$A$5,'[1]Grade Project'!$G:$G,$A$8),"")</f>
        <v/>
      </c>
      <c r="L55" t="str">
        <f t="shared" si="1"/>
        <v/>
      </c>
      <c r="M55" t="str">
        <f t="shared" si="2"/>
        <v/>
      </c>
      <c r="N55" t="str">
        <f t="shared" si="3"/>
        <v/>
      </c>
    </row>
    <row r="56" spans="2:14" x14ac:dyDescent="0.25">
      <c r="B56" t="s">
        <v>55</v>
      </c>
      <c r="F56" t="str">
        <f>IF(G55=0,"",INDEX('[1]Grade Project'!$G:$G,MATCH($A$5,'[1]Grade Project'!$F:$F,0)+SUM($G$3:G55)))</f>
        <v/>
      </c>
      <c r="G56">
        <f>COUNTIFS('[1]Grade Project'!$F:$F,$A$5,'[1]Grade Project'!$G:$G,F56)</f>
        <v>0</v>
      </c>
      <c r="H56" t="str">
        <f>IF(I55=0,"",INDEX('[1]Grade Project'!$K:$K,MATCH(CONCATENATE($A$5,$A$8),'[1]Grade Project'!$H:$H,0)+SUM($I$3:I55)))</f>
        <v/>
      </c>
      <c r="I56">
        <f>COUNTIFS('[1]Grade Project'!$G:$G,$A$8,'[1]Grade Project'!$K:$K,H56,'[1]Grade Project'!$F:$F,$A$5)</f>
        <v>0</v>
      </c>
      <c r="J56" t="str">
        <f>IFERROR(AVERAGEIFS('[1]Grade Project'!$N:$N,'[1]Grade Project'!$K:$K,H56,'[1]Grade Project'!$F:$F,$A$5,'[1]Grade Project'!$G:$G,$A$8),"")</f>
        <v/>
      </c>
      <c r="K56" t="str">
        <f>IFERROR(AVERAGEIFS('[1]Grade Project'!$O:$O,'[1]Grade Project'!$K:$K,H56,'[1]Grade Project'!$F:$F,$A$5,'[1]Grade Project'!$G:$G,$A$8),"")</f>
        <v/>
      </c>
      <c r="L56" t="str">
        <f t="shared" si="1"/>
        <v/>
      </c>
      <c r="M56" t="str">
        <f t="shared" si="2"/>
        <v/>
      </c>
      <c r="N56" t="str">
        <f t="shared" si="3"/>
        <v/>
      </c>
    </row>
    <row r="57" spans="2:14" x14ac:dyDescent="0.25">
      <c r="B57" t="s">
        <v>56</v>
      </c>
      <c r="F57" t="str">
        <f>IF(G56=0,"",INDEX('[1]Grade Project'!$G:$G,MATCH($A$5,'[1]Grade Project'!$F:$F,0)+SUM($G$3:G56)))</f>
        <v/>
      </c>
      <c r="G57">
        <f>COUNTIFS('[1]Grade Project'!$F:$F,$A$5,'[1]Grade Project'!$G:$G,F57)</f>
        <v>0</v>
      </c>
      <c r="H57" t="str">
        <f>IF(I56=0,"",INDEX('[1]Grade Project'!$K:$K,MATCH(CONCATENATE($A$5,$A$8),'[1]Grade Project'!$H:$H,0)+SUM($I$3:I56)))</f>
        <v/>
      </c>
      <c r="I57">
        <f>COUNTIFS('[1]Grade Project'!$G:$G,$A$8,'[1]Grade Project'!$K:$K,H57,'[1]Grade Project'!$F:$F,$A$5)</f>
        <v>0</v>
      </c>
      <c r="J57" t="str">
        <f>IFERROR(AVERAGEIFS('[1]Grade Project'!$N:$N,'[1]Grade Project'!$K:$K,H57,'[1]Grade Project'!$F:$F,$A$5,'[1]Grade Project'!$G:$G,$A$8),"")</f>
        <v/>
      </c>
      <c r="K57" t="str">
        <f>IFERROR(AVERAGEIFS('[1]Grade Project'!$O:$O,'[1]Grade Project'!$K:$K,H57,'[1]Grade Project'!$F:$F,$A$5,'[1]Grade Project'!$G:$G,$A$8),"")</f>
        <v/>
      </c>
      <c r="L57" t="str">
        <f t="shared" si="1"/>
        <v/>
      </c>
      <c r="M57" t="str">
        <f t="shared" si="2"/>
        <v/>
      </c>
      <c r="N57" t="str">
        <f t="shared" si="3"/>
        <v/>
      </c>
    </row>
    <row r="58" spans="2:14" x14ac:dyDescent="0.25">
      <c r="B58" t="s">
        <v>57</v>
      </c>
      <c r="F58" t="str">
        <f>IF(G57=0,"",INDEX('[1]Grade Project'!$G:$G,MATCH($A$5,'[1]Grade Project'!$F:$F,0)+SUM($G$3:G57)))</f>
        <v/>
      </c>
      <c r="G58">
        <f>COUNTIFS('[1]Grade Project'!$F:$F,$A$5,'[1]Grade Project'!$G:$G,F58)</f>
        <v>0</v>
      </c>
      <c r="H58" t="str">
        <f>IF(I57=0,"",INDEX('[1]Grade Project'!$K:$K,MATCH(CONCATENATE($A$5,$A$8),'[1]Grade Project'!$H:$H,0)+SUM($I$3:I57)))</f>
        <v/>
      </c>
      <c r="I58">
        <f>COUNTIFS('[1]Grade Project'!$G:$G,$A$8,'[1]Grade Project'!$K:$K,H58,'[1]Grade Project'!$F:$F,$A$5)</f>
        <v>0</v>
      </c>
      <c r="J58" t="str">
        <f>IFERROR(AVERAGEIFS('[1]Grade Project'!$N:$N,'[1]Grade Project'!$K:$K,H58,'[1]Grade Project'!$F:$F,$A$5,'[1]Grade Project'!$G:$G,$A$8),"")</f>
        <v/>
      </c>
      <c r="K58" t="str">
        <f>IFERROR(AVERAGEIFS('[1]Grade Project'!$O:$O,'[1]Grade Project'!$K:$K,H58,'[1]Grade Project'!$F:$F,$A$5,'[1]Grade Project'!$G:$G,$A$8),"")</f>
        <v/>
      </c>
      <c r="L58" t="str">
        <f t="shared" si="1"/>
        <v/>
      </c>
      <c r="M58" t="str">
        <f t="shared" si="2"/>
        <v/>
      </c>
      <c r="N58" t="str">
        <f t="shared" si="3"/>
        <v/>
      </c>
    </row>
    <row r="59" spans="2:14" x14ac:dyDescent="0.25">
      <c r="B59" t="s">
        <v>58</v>
      </c>
      <c r="F59" t="str">
        <f>IF(G58=0,"",INDEX('[1]Grade Project'!$G:$G,MATCH($A$5,'[1]Grade Project'!$F:$F,0)+SUM($G$3:G58)))</f>
        <v/>
      </c>
      <c r="G59">
        <f>COUNTIFS('[1]Grade Project'!$F:$F,$A$5,'[1]Grade Project'!$G:$G,F59)</f>
        <v>0</v>
      </c>
      <c r="H59" t="str">
        <f>IF(I58=0,"",INDEX('[1]Grade Project'!$K:$K,MATCH(CONCATENATE($A$5,$A$8),'[1]Grade Project'!$H:$H,0)+SUM($I$3:I58)))</f>
        <v/>
      </c>
      <c r="I59">
        <f>COUNTIFS('[1]Grade Project'!$G:$G,$A$8,'[1]Grade Project'!$K:$K,H59,'[1]Grade Project'!$F:$F,$A$5)</f>
        <v>0</v>
      </c>
      <c r="J59" t="str">
        <f>IFERROR(AVERAGEIFS('[1]Grade Project'!$N:$N,'[1]Grade Project'!$K:$K,H59,'[1]Grade Project'!$F:$F,$A$5,'[1]Grade Project'!$G:$G,$A$8),"")</f>
        <v/>
      </c>
      <c r="K59" t="str">
        <f>IFERROR(AVERAGEIFS('[1]Grade Project'!$O:$O,'[1]Grade Project'!$K:$K,H59,'[1]Grade Project'!$F:$F,$A$5,'[1]Grade Project'!$G:$G,$A$8),"")</f>
        <v/>
      </c>
      <c r="L59" t="str">
        <f t="shared" si="1"/>
        <v/>
      </c>
      <c r="M59" t="str">
        <f t="shared" si="2"/>
        <v/>
      </c>
      <c r="N59" t="str">
        <f t="shared" si="3"/>
        <v/>
      </c>
    </row>
    <row r="60" spans="2:14" x14ac:dyDescent="0.25">
      <c r="B60" t="s">
        <v>59</v>
      </c>
      <c r="F60" t="str">
        <f>IF(G59=0,"",INDEX('[1]Grade Project'!$G:$G,MATCH($A$5,'[1]Grade Project'!$F:$F,0)+SUM($G$3:G59)))</f>
        <v/>
      </c>
      <c r="G60">
        <f>COUNTIFS('[1]Grade Project'!$F:$F,$A$5,'[1]Grade Project'!$G:$G,F60)</f>
        <v>0</v>
      </c>
      <c r="H60" t="str">
        <f>IF(I59=0,"",INDEX('[1]Grade Project'!$K:$K,MATCH(CONCATENATE($A$5,$A$8),'[1]Grade Project'!$H:$H,0)+SUM($I$3:I59)))</f>
        <v/>
      </c>
      <c r="I60">
        <f>COUNTIFS('[1]Grade Project'!$G:$G,$A$8,'[1]Grade Project'!$K:$K,H60,'[1]Grade Project'!$F:$F,$A$5)</f>
        <v>0</v>
      </c>
      <c r="J60" t="str">
        <f>IFERROR(AVERAGEIFS('[1]Grade Project'!$N:$N,'[1]Grade Project'!$K:$K,H60,'[1]Grade Project'!$F:$F,$A$5,'[1]Grade Project'!$G:$G,$A$8),"")</f>
        <v/>
      </c>
      <c r="K60" t="str">
        <f>IFERROR(AVERAGEIFS('[1]Grade Project'!$O:$O,'[1]Grade Project'!$K:$K,H60,'[1]Grade Project'!$F:$F,$A$5,'[1]Grade Project'!$G:$G,$A$8),"")</f>
        <v/>
      </c>
      <c r="L60" t="str">
        <f t="shared" si="1"/>
        <v/>
      </c>
      <c r="M60" t="str">
        <f t="shared" si="2"/>
        <v/>
      </c>
      <c r="N60" t="str">
        <f t="shared" si="3"/>
        <v/>
      </c>
    </row>
    <row r="61" spans="2:14" x14ac:dyDescent="0.25">
      <c r="B61" t="s">
        <v>60</v>
      </c>
      <c r="F61" t="str">
        <f>IF(G60=0,"",INDEX('[1]Grade Project'!$G:$G,MATCH($A$5,'[1]Grade Project'!$F:$F,0)+SUM($G$3:G60)))</f>
        <v/>
      </c>
      <c r="G61">
        <f>COUNTIFS('[1]Grade Project'!$F:$F,$A$5,'[1]Grade Project'!$G:$G,F61)</f>
        <v>0</v>
      </c>
      <c r="H61" t="str">
        <f>IF(I60=0,"",INDEX('[1]Grade Project'!$K:$K,MATCH(CONCATENATE($A$5,$A$8),'[1]Grade Project'!$H:$H,0)+SUM($I$3:I60)))</f>
        <v/>
      </c>
      <c r="I61">
        <f>COUNTIFS('[1]Grade Project'!$G:$G,$A$8,'[1]Grade Project'!$K:$K,H61,'[1]Grade Project'!$F:$F,$A$5)</f>
        <v>0</v>
      </c>
      <c r="J61" t="str">
        <f>IFERROR(AVERAGEIFS('[1]Grade Project'!$N:$N,'[1]Grade Project'!$K:$K,H61,'[1]Grade Project'!$F:$F,$A$5,'[1]Grade Project'!$G:$G,$A$8),"")</f>
        <v/>
      </c>
      <c r="K61" t="str">
        <f>IFERROR(AVERAGEIFS('[1]Grade Project'!$O:$O,'[1]Grade Project'!$K:$K,H61,'[1]Grade Project'!$F:$F,$A$5,'[1]Grade Project'!$G:$G,$A$8),"")</f>
        <v/>
      </c>
      <c r="L61" t="str">
        <f t="shared" si="1"/>
        <v/>
      </c>
      <c r="M61" t="str">
        <f t="shared" si="2"/>
        <v/>
      </c>
      <c r="N61" t="str">
        <f t="shared" si="3"/>
        <v/>
      </c>
    </row>
    <row r="62" spans="2:14" x14ac:dyDescent="0.25">
      <c r="B62" t="s">
        <v>61</v>
      </c>
      <c r="F62" t="str">
        <f>IF(G61=0,"",INDEX('[1]Grade Project'!$G:$G,MATCH($A$5,'[1]Grade Project'!$F:$F,0)+SUM($G$3:G61)))</f>
        <v/>
      </c>
      <c r="G62">
        <f>COUNTIFS('[1]Grade Project'!$F:$F,$A$5,'[1]Grade Project'!$G:$G,F62)</f>
        <v>0</v>
      </c>
      <c r="H62" t="str">
        <f>IF(I61=0,"",INDEX('[1]Grade Project'!$K:$K,MATCH(CONCATENATE($A$5,$A$8),'[1]Grade Project'!$H:$H,0)+SUM($I$3:I61)))</f>
        <v/>
      </c>
      <c r="I62">
        <f>COUNTIFS('[1]Grade Project'!$G:$G,$A$8,'[1]Grade Project'!$K:$K,H62,'[1]Grade Project'!$F:$F,$A$5)</f>
        <v>0</v>
      </c>
      <c r="J62" t="str">
        <f>IFERROR(AVERAGEIFS('[1]Grade Project'!$N:$N,'[1]Grade Project'!$K:$K,H62,'[1]Grade Project'!$F:$F,$A$5,'[1]Grade Project'!$G:$G,$A$8),"")</f>
        <v/>
      </c>
      <c r="K62" t="str">
        <f>IFERROR(AVERAGEIFS('[1]Grade Project'!$O:$O,'[1]Grade Project'!$K:$K,H62,'[1]Grade Project'!$F:$F,$A$5,'[1]Grade Project'!$G:$G,$A$8),"")</f>
        <v/>
      </c>
      <c r="L62" t="str">
        <f t="shared" si="1"/>
        <v/>
      </c>
      <c r="M62" t="str">
        <f t="shared" si="2"/>
        <v/>
      </c>
      <c r="N62" t="str">
        <f t="shared" si="3"/>
        <v/>
      </c>
    </row>
    <row r="63" spans="2:14" x14ac:dyDescent="0.25">
      <c r="B63" t="s">
        <v>62</v>
      </c>
      <c r="F63" t="str">
        <f>IF(G62=0,"",INDEX('[1]Grade Project'!$G:$G,MATCH($A$5,'[1]Grade Project'!$F:$F,0)+SUM($G$3:G62)))</f>
        <v/>
      </c>
      <c r="G63">
        <f>COUNTIFS('[1]Grade Project'!$F:$F,$A$5,'[1]Grade Project'!$G:$G,F63)</f>
        <v>0</v>
      </c>
      <c r="H63" t="str">
        <f>IF(I62=0,"",INDEX('[1]Grade Project'!$K:$K,MATCH(CONCATENATE($A$5,$A$8),'[1]Grade Project'!$H:$H,0)+SUM($I$3:I62)))</f>
        <v/>
      </c>
      <c r="I63">
        <f>COUNTIFS('[1]Grade Project'!$G:$G,$A$8,'[1]Grade Project'!$K:$K,H63,'[1]Grade Project'!$F:$F,$A$5)</f>
        <v>0</v>
      </c>
      <c r="J63" t="str">
        <f>IFERROR(AVERAGEIFS('[1]Grade Project'!$N:$N,'[1]Grade Project'!$K:$K,H63,'[1]Grade Project'!$F:$F,$A$5,'[1]Grade Project'!$G:$G,$A$8),"")</f>
        <v/>
      </c>
      <c r="K63" t="str">
        <f>IFERROR(AVERAGEIFS('[1]Grade Project'!$O:$O,'[1]Grade Project'!$K:$K,H63,'[1]Grade Project'!$F:$F,$A$5,'[1]Grade Project'!$G:$G,$A$8),"")</f>
        <v/>
      </c>
      <c r="L63" t="str">
        <f t="shared" si="1"/>
        <v/>
      </c>
      <c r="M63" t="str">
        <f t="shared" si="2"/>
        <v/>
      </c>
      <c r="N63" t="str">
        <f t="shared" si="3"/>
        <v/>
      </c>
    </row>
    <row r="64" spans="2:14" x14ac:dyDescent="0.25">
      <c r="B64" t="s">
        <v>63</v>
      </c>
      <c r="F64" t="str">
        <f>IF(G63=0,"",INDEX('[1]Grade Project'!$G:$G,MATCH($A$5,'[1]Grade Project'!$F:$F,0)+SUM($G$3:G63)))</f>
        <v/>
      </c>
      <c r="G64">
        <f>COUNTIFS('[1]Grade Project'!$F:$F,$A$5,'[1]Grade Project'!$G:$G,F64)</f>
        <v>0</v>
      </c>
      <c r="H64" t="str">
        <f>IF(I63=0,"",INDEX('[1]Grade Project'!$K:$K,MATCH(CONCATENATE($A$5,$A$8),'[1]Grade Project'!$H:$H,0)+SUM($I$3:I63)))</f>
        <v/>
      </c>
      <c r="I64">
        <f>COUNTIFS('[1]Grade Project'!$G:$G,$A$8,'[1]Grade Project'!$K:$K,H64,'[1]Grade Project'!$F:$F,$A$5)</f>
        <v>0</v>
      </c>
      <c r="J64" t="str">
        <f>IFERROR(AVERAGEIFS('[1]Grade Project'!$N:$N,'[1]Grade Project'!$K:$K,H64,'[1]Grade Project'!$F:$F,$A$5,'[1]Grade Project'!$G:$G,$A$8),"")</f>
        <v/>
      </c>
      <c r="K64" t="str">
        <f>IFERROR(AVERAGEIFS('[1]Grade Project'!$O:$O,'[1]Grade Project'!$K:$K,H64,'[1]Grade Project'!$F:$F,$A$5,'[1]Grade Project'!$G:$G,$A$8),"")</f>
        <v/>
      </c>
      <c r="L64" t="str">
        <f t="shared" si="1"/>
        <v/>
      </c>
      <c r="M64" t="str">
        <f t="shared" si="2"/>
        <v/>
      </c>
      <c r="N64" t="str">
        <f t="shared" si="3"/>
        <v/>
      </c>
    </row>
    <row r="65" spans="2:14" x14ac:dyDescent="0.25">
      <c r="B65" t="s">
        <v>64</v>
      </c>
      <c r="F65" t="str">
        <f>IF(G64=0,"",INDEX('[1]Grade Project'!$G:$G,MATCH($A$5,'[1]Grade Project'!$F:$F,0)+SUM($G$3:G64)))</f>
        <v/>
      </c>
      <c r="G65">
        <f>COUNTIFS('[1]Grade Project'!$F:$F,$A$5,'[1]Grade Project'!$G:$G,F65)</f>
        <v>0</v>
      </c>
      <c r="H65" t="str">
        <f>IF(I64=0,"",INDEX('[1]Grade Project'!$K:$K,MATCH(CONCATENATE($A$5,$A$8),'[1]Grade Project'!$H:$H,0)+SUM($I$3:I64)))</f>
        <v/>
      </c>
      <c r="I65">
        <f>COUNTIFS('[1]Grade Project'!$G:$G,$A$8,'[1]Grade Project'!$K:$K,H65,'[1]Grade Project'!$F:$F,$A$5)</f>
        <v>0</v>
      </c>
      <c r="J65" t="str">
        <f>IFERROR(AVERAGEIFS('[1]Grade Project'!$N:$N,'[1]Grade Project'!$K:$K,H65,'[1]Grade Project'!$F:$F,$A$5,'[1]Grade Project'!$G:$G,$A$8),"")</f>
        <v/>
      </c>
      <c r="K65" t="str">
        <f>IFERROR(AVERAGEIFS('[1]Grade Project'!$O:$O,'[1]Grade Project'!$K:$K,H65,'[1]Grade Project'!$F:$F,$A$5,'[1]Grade Project'!$G:$G,$A$8),"")</f>
        <v/>
      </c>
      <c r="L65" t="str">
        <f t="shared" si="1"/>
        <v/>
      </c>
      <c r="M65" t="str">
        <f t="shared" si="2"/>
        <v/>
      </c>
      <c r="N65" t="str">
        <f t="shared" si="3"/>
        <v/>
      </c>
    </row>
    <row r="66" spans="2:14" x14ac:dyDescent="0.25">
      <c r="B66" t="s">
        <v>65</v>
      </c>
      <c r="F66" t="str">
        <f>IF(G65=0,"",INDEX('[1]Grade Project'!$G:$G,MATCH($A$5,'[1]Grade Project'!$F:$F,0)+SUM($G$3:G65)))</f>
        <v/>
      </c>
      <c r="G66">
        <f>COUNTIFS('[1]Grade Project'!$F:$F,$A$5,'[1]Grade Project'!$G:$G,F66)</f>
        <v>0</v>
      </c>
      <c r="H66" t="str">
        <f>IF(I65=0,"",INDEX('[1]Grade Project'!$K:$K,MATCH(CONCATENATE($A$5,$A$8),'[1]Grade Project'!$H:$H,0)+SUM($I$3:I65)))</f>
        <v/>
      </c>
      <c r="I66">
        <f>COUNTIFS('[1]Grade Project'!$G:$G,$A$8,'[1]Grade Project'!$K:$K,H66,'[1]Grade Project'!$F:$F,$A$5)</f>
        <v>0</v>
      </c>
      <c r="J66" t="str">
        <f>IFERROR(AVERAGEIFS('[1]Grade Project'!$N:$N,'[1]Grade Project'!$K:$K,H66,'[1]Grade Project'!$F:$F,$A$5,'[1]Grade Project'!$G:$G,$A$8),"")</f>
        <v/>
      </c>
      <c r="K66" t="str">
        <f>IFERROR(AVERAGEIFS('[1]Grade Project'!$O:$O,'[1]Grade Project'!$K:$K,H66,'[1]Grade Project'!$F:$F,$A$5,'[1]Grade Project'!$G:$G,$A$8),"")</f>
        <v/>
      </c>
      <c r="L66" t="str">
        <f t="shared" si="1"/>
        <v/>
      </c>
      <c r="M66" t="str">
        <f t="shared" si="2"/>
        <v/>
      </c>
      <c r="N66" t="str">
        <f t="shared" si="3"/>
        <v/>
      </c>
    </row>
    <row r="67" spans="2:14" x14ac:dyDescent="0.25">
      <c r="B67" t="s">
        <v>66</v>
      </c>
      <c r="F67" t="str">
        <f>IF(G66=0,"",INDEX('[1]Grade Project'!$G:$G,MATCH($A$5,'[1]Grade Project'!$F:$F,0)+SUM($G$3:G66)))</f>
        <v/>
      </c>
      <c r="G67">
        <f>COUNTIFS('[1]Grade Project'!$F:$F,$A$5,'[1]Grade Project'!$G:$G,F67)</f>
        <v>0</v>
      </c>
      <c r="H67" t="str">
        <f>IF(I66=0,"",INDEX('[1]Grade Project'!$K:$K,MATCH(CONCATENATE($A$5,$A$8),'[1]Grade Project'!$H:$H,0)+SUM($I$3:I66)))</f>
        <v/>
      </c>
      <c r="I67">
        <f>COUNTIFS('[1]Grade Project'!$G:$G,$A$8,'[1]Grade Project'!$K:$K,H67,'[1]Grade Project'!$F:$F,$A$5)</f>
        <v>0</v>
      </c>
      <c r="J67" t="str">
        <f>IFERROR(AVERAGEIFS('[1]Grade Project'!$N:$N,'[1]Grade Project'!$K:$K,H67,'[1]Grade Project'!$F:$F,$A$5,'[1]Grade Project'!$G:$G,$A$8),"")</f>
        <v/>
      </c>
      <c r="K67" t="str">
        <f>IFERROR(AVERAGEIFS('[1]Grade Project'!$O:$O,'[1]Grade Project'!$K:$K,H67,'[1]Grade Project'!$F:$F,$A$5,'[1]Grade Project'!$G:$G,$A$8),"")</f>
        <v/>
      </c>
      <c r="L67" t="str">
        <f t="shared" si="1"/>
        <v/>
      </c>
      <c r="M67" t="str">
        <f t="shared" si="2"/>
        <v/>
      </c>
      <c r="N67" t="str">
        <f t="shared" si="3"/>
        <v/>
      </c>
    </row>
    <row r="68" spans="2:14" x14ac:dyDescent="0.25">
      <c r="B68" t="s">
        <v>67</v>
      </c>
      <c r="F68" t="str">
        <f>IF(G67=0,"",INDEX('[1]Grade Project'!$G:$G,MATCH($A$5,'[1]Grade Project'!$F:$F,0)+SUM($G$3:G67)))</f>
        <v/>
      </c>
      <c r="G68">
        <f>COUNTIFS('[1]Grade Project'!$F:$F,$A$5,'[1]Grade Project'!$G:$G,F68)</f>
        <v>0</v>
      </c>
      <c r="H68" t="str">
        <f>IF(I67=0,"",INDEX('[1]Grade Project'!$K:$K,MATCH(CONCATENATE($A$5,$A$8),'[1]Grade Project'!$H:$H,0)+SUM($I$3:I67)))</f>
        <v/>
      </c>
      <c r="I68">
        <f>COUNTIFS('[1]Grade Project'!$G:$G,$A$8,'[1]Grade Project'!$K:$K,H68,'[1]Grade Project'!$F:$F,$A$5)</f>
        <v>0</v>
      </c>
      <c r="J68" t="str">
        <f>IFERROR(AVERAGEIFS('[1]Grade Project'!$N:$N,'[1]Grade Project'!$K:$K,H68,'[1]Grade Project'!$F:$F,$A$5,'[1]Grade Project'!$G:$G,$A$8),"")</f>
        <v/>
      </c>
      <c r="K68" t="str">
        <f>IFERROR(AVERAGEIFS('[1]Grade Project'!$O:$O,'[1]Grade Project'!$K:$K,H68,'[1]Grade Project'!$F:$F,$A$5,'[1]Grade Project'!$G:$G,$A$8),"")</f>
        <v/>
      </c>
      <c r="L68" t="str">
        <f t="shared" ref="L68:L131" si="4">IFERROR(K68/J68,"")</f>
        <v/>
      </c>
      <c r="M68" t="str">
        <f t="shared" ref="M68:M131" si="5">IFERROR(_xlfn.RANK.EQ(L68,L:L),"")</f>
        <v/>
      </c>
      <c r="N68" t="str">
        <f t="shared" ref="N68:N131" si="6">IFERROR(MAX(M:M)-M68+1,"")</f>
        <v/>
      </c>
    </row>
    <row r="69" spans="2:14" x14ac:dyDescent="0.25">
      <c r="B69" t="s">
        <v>68</v>
      </c>
      <c r="F69" t="str">
        <f>IF(G68=0,"",INDEX('[1]Grade Project'!$G:$G,MATCH($A$5,'[1]Grade Project'!$F:$F,0)+SUM($G$3:G68)))</f>
        <v/>
      </c>
      <c r="G69">
        <f>COUNTIFS('[1]Grade Project'!$F:$F,$A$5,'[1]Grade Project'!$G:$G,F69)</f>
        <v>0</v>
      </c>
      <c r="H69" t="str">
        <f>IF(I68=0,"",INDEX('[1]Grade Project'!$K:$K,MATCH(CONCATENATE($A$5,$A$8),'[1]Grade Project'!$H:$H,0)+SUM($I$3:I68)))</f>
        <v/>
      </c>
      <c r="I69">
        <f>COUNTIFS('[1]Grade Project'!$G:$G,$A$8,'[1]Grade Project'!$K:$K,H69,'[1]Grade Project'!$F:$F,$A$5)</f>
        <v>0</v>
      </c>
      <c r="J69" t="str">
        <f>IFERROR(AVERAGEIFS('[1]Grade Project'!$N:$N,'[1]Grade Project'!$K:$K,H69,'[1]Grade Project'!$F:$F,$A$5,'[1]Grade Project'!$G:$G,$A$8),"")</f>
        <v/>
      </c>
      <c r="K69" t="str">
        <f>IFERROR(AVERAGEIFS('[1]Grade Project'!$O:$O,'[1]Grade Project'!$K:$K,H69,'[1]Grade Project'!$F:$F,$A$5,'[1]Grade Project'!$G:$G,$A$8),"")</f>
        <v/>
      </c>
      <c r="L69" t="str">
        <f t="shared" si="4"/>
        <v/>
      </c>
      <c r="M69" t="str">
        <f t="shared" si="5"/>
        <v/>
      </c>
      <c r="N69" t="str">
        <f t="shared" si="6"/>
        <v/>
      </c>
    </row>
    <row r="70" spans="2:14" x14ac:dyDescent="0.25">
      <c r="B70" t="s">
        <v>69</v>
      </c>
      <c r="F70" t="str">
        <f>IF(G69=0,"",INDEX('[1]Grade Project'!$G:$G,MATCH($A$5,'[1]Grade Project'!$F:$F,0)+SUM($G$3:G69)))</f>
        <v/>
      </c>
      <c r="G70">
        <f>COUNTIFS('[1]Grade Project'!$F:$F,$A$5,'[1]Grade Project'!$G:$G,F70)</f>
        <v>0</v>
      </c>
      <c r="H70" t="str">
        <f>IF(I69=0,"",INDEX('[1]Grade Project'!$K:$K,MATCH(CONCATENATE($A$5,$A$8),'[1]Grade Project'!$H:$H,0)+SUM($I$3:I69)))</f>
        <v/>
      </c>
      <c r="I70">
        <f>COUNTIFS('[1]Grade Project'!$G:$G,$A$8,'[1]Grade Project'!$K:$K,H70,'[1]Grade Project'!$F:$F,$A$5)</f>
        <v>0</v>
      </c>
      <c r="J70" t="str">
        <f>IFERROR(AVERAGEIFS('[1]Grade Project'!$N:$N,'[1]Grade Project'!$K:$K,H70,'[1]Grade Project'!$F:$F,$A$5,'[1]Grade Project'!$G:$G,$A$8),"")</f>
        <v/>
      </c>
      <c r="K70" t="str">
        <f>IFERROR(AVERAGEIFS('[1]Grade Project'!$O:$O,'[1]Grade Project'!$K:$K,H70,'[1]Grade Project'!$F:$F,$A$5,'[1]Grade Project'!$G:$G,$A$8),"")</f>
        <v/>
      </c>
      <c r="L70" t="str">
        <f t="shared" si="4"/>
        <v/>
      </c>
      <c r="M70" t="str">
        <f t="shared" si="5"/>
        <v/>
      </c>
      <c r="N70" t="str">
        <f t="shared" si="6"/>
        <v/>
      </c>
    </row>
    <row r="71" spans="2:14" x14ac:dyDescent="0.25">
      <c r="B71" t="s">
        <v>70</v>
      </c>
      <c r="F71" t="str">
        <f>IF(G70=0,"",INDEX('[1]Grade Project'!$G:$G,MATCH($A$5,'[1]Grade Project'!$F:$F,0)+SUM($G$3:G70)))</f>
        <v/>
      </c>
      <c r="G71">
        <f>COUNTIFS('[1]Grade Project'!$F:$F,$A$5,'[1]Grade Project'!$G:$G,F71)</f>
        <v>0</v>
      </c>
      <c r="H71" t="str">
        <f>IF(I70=0,"",INDEX('[1]Grade Project'!$K:$K,MATCH(CONCATENATE($A$5,$A$8),'[1]Grade Project'!$H:$H,0)+SUM($I$3:I70)))</f>
        <v/>
      </c>
      <c r="I71">
        <f>COUNTIFS('[1]Grade Project'!$G:$G,$A$8,'[1]Grade Project'!$K:$K,H71,'[1]Grade Project'!$F:$F,$A$5)</f>
        <v>0</v>
      </c>
      <c r="J71" t="str">
        <f>IFERROR(AVERAGEIFS('[1]Grade Project'!$N:$N,'[1]Grade Project'!$K:$K,H71,'[1]Grade Project'!$F:$F,$A$5,'[1]Grade Project'!$G:$G,$A$8),"")</f>
        <v/>
      </c>
      <c r="K71" t="str">
        <f>IFERROR(AVERAGEIFS('[1]Grade Project'!$O:$O,'[1]Grade Project'!$K:$K,H71,'[1]Grade Project'!$F:$F,$A$5,'[1]Grade Project'!$G:$G,$A$8),"")</f>
        <v/>
      </c>
      <c r="L71" t="str">
        <f t="shared" si="4"/>
        <v/>
      </c>
      <c r="M71" t="str">
        <f t="shared" si="5"/>
        <v/>
      </c>
      <c r="N71" t="str">
        <f t="shared" si="6"/>
        <v/>
      </c>
    </row>
    <row r="72" spans="2:14" x14ac:dyDescent="0.25">
      <c r="B72" t="s">
        <v>71</v>
      </c>
      <c r="F72" t="str">
        <f>IF(G71=0,"",INDEX('[1]Grade Project'!$G:$G,MATCH($A$5,'[1]Grade Project'!$F:$F,0)+SUM($G$3:G71)))</f>
        <v/>
      </c>
      <c r="G72">
        <f>COUNTIFS('[1]Grade Project'!$F:$F,$A$5,'[1]Grade Project'!$G:$G,F72)</f>
        <v>0</v>
      </c>
      <c r="H72" t="str">
        <f>IF(I71=0,"",INDEX('[1]Grade Project'!$K:$K,MATCH(CONCATENATE($A$5,$A$8),'[1]Grade Project'!$H:$H,0)+SUM($I$3:I71)))</f>
        <v/>
      </c>
      <c r="I72">
        <f>COUNTIFS('[1]Grade Project'!$G:$G,$A$8,'[1]Grade Project'!$K:$K,H72,'[1]Grade Project'!$F:$F,$A$5)</f>
        <v>0</v>
      </c>
      <c r="J72" t="str">
        <f>IFERROR(AVERAGEIFS('[1]Grade Project'!$N:$N,'[1]Grade Project'!$K:$K,H72,'[1]Grade Project'!$F:$F,$A$5,'[1]Grade Project'!$G:$G,$A$8),"")</f>
        <v/>
      </c>
      <c r="K72" t="str">
        <f>IFERROR(AVERAGEIFS('[1]Grade Project'!$O:$O,'[1]Grade Project'!$K:$K,H72,'[1]Grade Project'!$F:$F,$A$5,'[1]Grade Project'!$G:$G,$A$8),"")</f>
        <v/>
      </c>
      <c r="L72" t="str">
        <f t="shared" si="4"/>
        <v/>
      </c>
      <c r="M72" t="str">
        <f t="shared" si="5"/>
        <v/>
      </c>
      <c r="N72" t="str">
        <f t="shared" si="6"/>
        <v/>
      </c>
    </row>
    <row r="73" spans="2:14" x14ac:dyDescent="0.25">
      <c r="B73" t="s">
        <v>72</v>
      </c>
      <c r="F73" t="str">
        <f>IF(G72=0,"",INDEX('[1]Grade Project'!$G:$G,MATCH($A$5,'[1]Grade Project'!$F:$F,0)+SUM($G$3:G72)))</f>
        <v/>
      </c>
      <c r="G73">
        <f>COUNTIFS('[1]Grade Project'!$F:$F,$A$5,'[1]Grade Project'!$G:$G,F73)</f>
        <v>0</v>
      </c>
      <c r="H73" t="str">
        <f>IF(I72=0,"",INDEX('[1]Grade Project'!$K:$K,MATCH(CONCATENATE($A$5,$A$8),'[1]Grade Project'!$H:$H,0)+SUM($I$3:I72)))</f>
        <v/>
      </c>
      <c r="I73">
        <f>COUNTIFS('[1]Grade Project'!$G:$G,$A$8,'[1]Grade Project'!$K:$K,H73,'[1]Grade Project'!$F:$F,$A$5)</f>
        <v>0</v>
      </c>
      <c r="J73" t="str">
        <f>IFERROR(AVERAGEIFS('[1]Grade Project'!$N:$N,'[1]Grade Project'!$K:$K,H73,'[1]Grade Project'!$F:$F,$A$5,'[1]Grade Project'!$G:$G,$A$8),"")</f>
        <v/>
      </c>
      <c r="K73" t="str">
        <f>IFERROR(AVERAGEIFS('[1]Grade Project'!$O:$O,'[1]Grade Project'!$K:$K,H73,'[1]Grade Project'!$F:$F,$A$5,'[1]Grade Project'!$G:$G,$A$8),"")</f>
        <v/>
      </c>
      <c r="L73" t="str">
        <f t="shared" si="4"/>
        <v/>
      </c>
      <c r="M73" t="str">
        <f t="shared" si="5"/>
        <v/>
      </c>
      <c r="N73" t="str">
        <f t="shared" si="6"/>
        <v/>
      </c>
    </row>
    <row r="74" spans="2:14" x14ac:dyDescent="0.25">
      <c r="B74" t="s">
        <v>73</v>
      </c>
      <c r="F74" t="str">
        <f>IF(G73=0,"",INDEX('[1]Grade Project'!$G:$G,MATCH($A$5,'[1]Grade Project'!$F:$F,0)+SUM($G$3:G73)))</f>
        <v/>
      </c>
      <c r="G74">
        <f>COUNTIFS('[1]Grade Project'!$F:$F,$A$5,'[1]Grade Project'!$G:$G,F74)</f>
        <v>0</v>
      </c>
      <c r="H74" t="str">
        <f>IF(I73=0,"",INDEX('[1]Grade Project'!$K:$K,MATCH(CONCATENATE($A$5,$A$8),'[1]Grade Project'!$H:$H,0)+SUM($I$3:I73)))</f>
        <v/>
      </c>
      <c r="I74">
        <f>COUNTIFS('[1]Grade Project'!$G:$G,$A$8,'[1]Grade Project'!$K:$K,H74,'[1]Grade Project'!$F:$F,$A$5)</f>
        <v>0</v>
      </c>
      <c r="J74" t="str">
        <f>IFERROR(AVERAGEIFS('[1]Grade Project'!$N:$N,'[1]Grade Project'!$K:$K,H74,'[1]Grade Project'!$F:$F,$A$5,'[1]Grade Project'!$G:$G,$A$8),"")</f>
        <v/>
      </c>
      <c r="K74" t="str">
        <f>IFERROR(AVERAGEIFS('[1]Grade Project'!$O:$O,'[1]Grade Project'!$K:$K,H74,'[1]Grade Project'!$F:$F,$A$5,'[1]Grade Project'!$G:$G,$A$8),"")</f>
        <v/>
      </c>
      <c r="L74" t="str">
        <f t="shared" si="4"/>
        <v/>
      </c>
      <c r="M74" t="str">
        <f t="shared" si="5"/>
        <v/>
      </c>
      <c r="N74" t="str">
        <f t="shared" si="6"/>
        <v/>
      </c>
    </row>
    <row r="75" spans="2:14" x14ac:dyDescent="0.25">
      <c r="B75" t="s">
        <v>74</v>
      </c>
      <c r="F75" t="str">
        <f>IF(G74=0,"",INDEX('[1]Grade Project'!$G:$G,MATCH($A$5,'[1]Grade Project'!$F:$F,0)+SUM($G$3:G74)))</f>
        <v/>
      </c>
      <c r="G75">
        <f>COUNTIFS('[1]Grade Project'!$F:$F,$A$5,'[1]Grade Project'!$G:$G,F75)</f>
        <v>0</v>
      </c>
      <c r="H75" t="str">
        <f>IF(I74=0,"",INDEX('[1]Grade Project'!$K:$K,MATCH(CONCATENATE($A$5,$A$8),'[1]Grade Project'!$H:$H,0)+SUM($I$3:I74)))</f>
        <v/>
      </c>
      <c r="I75">
        <f>COUNTIFS('[1]Grade Project'!$G:$G,$A$8,'[1]Grade Project'!$K:$K,H75,'[1]Grade Project'!$F:$F,$A$5)</f>
        <v>0</v>
      </c>
      <c r="J75" t="str">
        <f>IFERROR(AVERAGEIFS('[1]Grade Project'!$N:$N,'[1]Grade Project'!$K:$K,H75,'[1]Grade Project'!$F:$F,$A$5,'[1]Grade Project'!$G:$G,$A$8),"")</f>
        <v/>
      </c>
      <c r="K75" t="str">
        <f>IFERROR(AVERAGEIFS('[1]Grade Project'!$O:$O,'[1]Grade Project'!$K:$K,H75,'[1]Grade Project'!$F:$F,$A$5,'[1]Grade Project'!$G:$G,$A$8),"")</f>
        <v/>
      </c>
      <c r="L75" t="str">
        <f t="shared" si="4"/>
        <v/>
      </c>
      <c r="M75" t="str">
        <f t="shared" si="5"/>
        <v/>
      </c>
      <c r="N75" t="str">
        <f t="shared" si="6"/>
        <v/>
      </c>
    </row>
    <row r="76" spans="2:14" x14ac:dyDescent="0.25">
      <c r="B76" t="s">
        <v>75</v>
      </c>
      <c r="F76" t="str">
        <f>IF(G75=0,"",INDEX('[1]Grade Project'!$G:$G,MATCH($A$5,'[1]Grade Project'!$F:$F,0)+SUM($G$3:G75)))</f>
        <v/>
      </c>
      <c r="G76">
        <f>COUNTIFS('[1]Grade Project'!$F:$F,$A$5,'[1]Grade Project'!$G:$G,F76)</f>
        <v>0</v>
      </c>
      <c r="H76" t="str">
        <f>IF(I75=0,"",INDEX('[1]Grade Project'!$K:$K,MATCH(CONCATENATE($A$5,$A$8),'[1]Grade Project'!$H:$H,0)+SUM($I$3:I75)))</f>
        <v/>
      </c>
      <c r="I76">
        <f>COUNTIFS('[1]Grade Project'!$G:$G,$A$8,'[1]Grade Project'!$K:$K,H76,'[1]Grade Project'!$F:$F,$A$5)</f>
        <v>0</v>
      </c>
      <c r="J76" t="str">
        <f>IFERROR(AVERAGEIFS('[1]Grade Project'!$N:$N,'[1]Grade Project'!$K:$K,H76,'[1]Grade Project'!$F:$F,$A$5,'[1]Grade Project'!$G:$G,$A$8),"")</f>
        <v/>
      </c>
      <c r="K76" t="str">
        <f>IFERROR(AVERAGEIFS('[1]Grade Project'!$O:$O,'[1]Grade Project'!$K:$K,H76,'[1]Grade Project'!$F:$F,$A$5,'[1]Grade Project'!$G:$G,$A$8),"")</f>
        <v/>
      </c>
      <c r="L76" t="str">
        <f t="shared" si="4"/>
        <v/>
      </c>
      <c r="M76" t="str">
        <f t="shared" si="5"/>
        <v/>
      </c>
      <c r="N76" t="str">
        <f t="shared" si="6"/>
        <v/>
      </c>
    </row>
    <row r="77" spans="2:14" x14ac:dyDescent="0.25">
      <c r="B77" t="s">
        <v>76</v>
      </c>
      <c r="F77" t="str">
        <f>IF(G76=0,"",INDEX('[1]Grade Project'!$G:$G,MATCH($A$5,'[1]Grade Project'!$F:$F,0)+SUM($G$3:G76)))</f>
        <v/>
      </c>
      <c r="G77">
        <f>COUNTIFS('[1]Grade Project'!$F:$F,$A$5,'[1]Grade Project'!$G:$G,F77)</f>
        <v>0</v>
      </c>
      <c r="H77" t="str">
        <f>IF(I76=0,"",INDEX('[1]Grade Project'!$K:$K,MATCH(CONCATENATE($A$5,$A$8),'[1]Grade Project'!$H:$H,0)+SUM($I$3:I76)))</f>
        <v/>
      </c>
      <c r="I77">
        <f>COUNTIFS('[1]Grade Project'!$G:$G,$A$8,'[1]Grade Project'!$K:$K,H77,'[1]Grade Project'!$F:$F,$A$5)</f>
        <v>0</v>
      </c>
      <c r="J77" t="str">
        <f>IFERROR(AVERAGEIFS('[1]Grade Project'!$N:$N,'[1]Grade Project'!$K:$K,H77,'[1]Grade Project'!$F:$F,$A$5,'[1]Grade Project'!$G:$G,$A$8),"")</f>
        <v/>
      </c>
      <c r="K77" t="str">
        <f>IFERROR(AVERAGEIFS('[1]Grade Project'!$O:$O,'[1]Grade Project'!$K:$K,H77,'[1]Grade Project'!$F:$F,$A$5,'[1]Grade Project'!$G:$G,$A$8),"")</f>
        <v/>
      </c>
      <c r="L77" t="str">
        <f t="shared" si="4"/>
        <v/>
      </c>
      <c r="M77" t="str">
        <f t="shared" si="5"/>
        <v/>
      </c>
      <c r="N77" t="str">
        <f t="shared" si="6"/>
        <v/>
      </c>
    </row>
    <row r="78" spans="2:14" x14ac:dyDescent="0.25">
      <c r="B78" t="s">
        <v>77</v>
      </c>
      <c r="F78" t="str">
        <f>IF(G77=0,"",INDEX('[1]Grade Project'!$G:$G,MATCH($A$5,'[1]Grade Project'!$F:$F,0)+SUM($G$3:G77)))</f>
        <v/>
      </c>
      <c r="G78">
        <f>COUNTIFS('[1]Grade Project'!$F:$F,$A$5,'[1]Grade Project'!$G:$G,F78)</f>
        <v>0</v>
      </c>
      <c r="H78" t="str">
        <f>IF(I77=0,"",INDEX('[1]Grade Project'!$K:$K,MATCH(CONCATENATE($A$5,$A$8),'[1]Grade Project'!$H:$H,0)+SUM($I$3:I77)))</f>
        <v/>
      </c>
      <c r="I78">
        <f>COUNTIFS('[1]Grade Project'!$G:$G,$A$8,'[1]Grade Project'!$K:$K,H78,'[1]Grade Project'!$F:$F,$A$5)</f>
        <v>0</v>
      </c>
      <c r="J78" t="str">
        <f>IFERROR(AVERAGEIFS('[1]Grade Project'!$N:$N,'[1]Grade Project'!$K:$K,H78,'[1]Grade Project'!$F:$F,$A$5,'[1]Grade Project'!$G:$G,$A$8),"")</f>
        <v/>
      </c>
      <c r="K78" t="str">
        <f>IFERROR(AVERAGEIFS('[1]Grade Project'!$O:$O,'[1]Grade Project'!$K:$K,H78,'[1]Grade Project'!$F:$F,$A$5,'[1]Grade Project'!$G:$G,$A$8),"")</f>
        <v/>
      </c>
      <c r="L78" t="str">
        <f t="shared" si="4"/>
        <v/>
      </c>
      <c r="M78" t="str">
        <f t="shared" si="5"/>
        <v/>
      </c>
      <c r="N78" t="str">
        <f t="shared" si="6"/>
        <v/>
      </c>
    </row>
    <row r="79" spans="2:14" x14ac:dyDescent="0.25">
      <c r="B79" t="s">
        <v>78</v>
      </c>
      <c r="F79" t="str">
        <f>IF(G78=0,"",INDEX('[1]Grade Project'!$G:$G,MATCH($A$5,'[1]Grade Project'!$F:$F,0)+SUM($G$3:G78)))</f>
        <v/>
      </c>
      <c r="G79">
        <f>COUNTIFS('[1]Grade Project'!$F:$F,$A$5,'[1]Grade Project'!$G:$G,F79)</f>
        <v>0</v>
      </c>
      <c r="H79" t="str">
        <f>IF(I78=0,"",INDEX('[1]Grade Project'!$K:$K,MATCH(CONCATENATE($A$5,$A$8),'[1]Grade Project'!$H:$H,0)+SUM($I$3:I78)))</f>
        <v/>
      </c>
      <c r="I79">
        <f>COUNTIFS('[1]Grade Project'!$G:$G,$A$8,'[1]Grade Project'!$K:$K,H79,'[1]Grade Project'!$F:$F,$A$5)</f>
        <v>0</v>
      </c>
      <c r="J79" t="str">
        <f>IFERROR(AVERAGEIFS('[1]Grade Project'!$N:$N,'[1]Grade Project'!$K:$K,H79,'[1]Grade Project'!$F:$F,$A$5,'[1]Grade Project'!$G:$G,$A$8),"")</f>
        <v/>
      </c>
      <c r="K79" t="str">
        <f>IFERROR(AVERAGEIFS('[1]Grade Project'!$O:$O,'[1]Grade Project'!$K:$K,H79,'[1]Grade Project'!$F:$F,$A$5,'[1]Grade Project'!$G:$G,$A$8),"")</f>
        <v/>
      </c>
      <c r="L79" t="str">
        <f t="shared" si="4"/>
        <v/>
      </c>
      <c r="M79" t="str">
        <f t="shared" si="5"/>
        <v/>
      </c>
      <c r="N79" t="str">
        <f t="shared" si="6"/>
        <v/>
      </c>
    </row>
    <row r="80" spans="2:14" x14ac:dyDescent="0.25">
      <c r="B80" t="s">
        <v>79</v>
      </c>
      <c r="F80" t="str">
        <f>IF(G79=0,"",INDEX('[1]Grade Project'!$G:$G,MATCH($A$5,'[1]Grade Project'!$F:$F,0)+SUM($G$3:G79)))</f>
        <v/>
      </c>
      <c r="G80">
        <f>COUNTIFS('[1]Grade Project'!$F:$F,$A$5,'[1]Grade Project'!$G:$G,F80)</f>
        <v>0</v>
      </c>
      <c r="H80" t="str">
        <f>IF(I79=0,"",INDEX('[1]Grade Project'!$K:$K,MATCH(CONCATENATE($A$5,$A$8),'[1]Grade Project'!$H:$H,0)+SUM($I$3:I79)))</f>
        <v/>
      </c>
      <c r="I80">
        <f>COUNTIFS('[1]Grade Project'!$G:$G,$A$8,'[1]Grade Project'!$K:$K,H80,'[1]Grade Project'!$F:$F,$A$5)</f>
        <v>0</v>
      </c>
      <c r="J80" t="str">
        <f>IFERROR(AVERAGEIFS('[1]Grade Project'!$N:$N,'[1]Grade Project'!$K:$K,H80,'[1]Grade Project'!$F:$F,$A$5,'[1]Grade Project'!$G:$G,$A$8),"")</f>
        <v/>
      </c>
      <c r="K80" t="str">
        <f>IFERROR(AVERAGEIFS('[1]Grade Project'!$O:$O,'[1]Grade Project'!$K:$K,H80,'[1]Grade Project'!$F:$F,$A$5,'[1]Grade Project'!$G:$G,$A$8),"")</f>
        <v/>
      </c>
      <c r="L80" t="str">
        <f t="shared" si="4"/>
        <v/>
      </c>
      <c r="M80" t="str">
        <f t="shared" si="5"/>
        <v/>
      </c>
      <c r="N80" t="str">
        <f t="shared" si="6"/>
        <v/>
      </c>
    </row>
    <row r="81" spans="2:14" x14ac:dyDescent="0.25">
      <c r="B81" t="s">
        <v>80</v>
      </c>
      <c r="F81" t="str">
        <f>IF(G80=0,"",INDEX('[1]Grade Project'!$G:$G,MATCH($A$5,'[1]Grade Project'!$F:$F,0)+SUM($G$3:G80)))</f>
        <v/>
      </c>
      <c r="G81">
        <f>COUNTIFS('[1]Grade Project'!$F:$F,$A$5,'[1]Grade Project'!$G:$G,F81)</f>
        <v>0</v>
      </c>
      <c r="H81" t="str">
        <f>IF(I80=0,"",INDEX('[1]Grade Project'!$K:$K,MATCH(CONCATENATE($A$5,$A$8),'[1]Grade Project'!$H:$H,0)+SUM($I$3:I80)))</f>
        <v/>
      </c>
      <c r="I81">
        <f>COUNTIFS('[1]Grade Project'!$G:$G,$A$8,'[1]Grade Project'!$K:$K,H81,'[1]Grade Project'!$F:$F,$A$5)</f>
        <v>0</v>
      </c>
      <c r="J81" t="str">
        <f>IFERROR(AVERAGEIFS('[1]Grade Project'!$N:$N,'[1]Grade Project'!$K:$K,H81,'[1]Grade Project'!$F:$F,$A$5,'[1]Grade Project'!$G:$G,$A$8),"")</f>
        <v/>
      </c>
      <c r="K81" t="str">
        <f>IFERROR(AVERAGEIFS('[1]Grade Project'!$O:$O,'[1]Grade Project'!$K:$K,H81,'[1]Grade Project'!$F:$F,$A$5,'[1]Grade Project'!$G:$G,$A$8),"")</f>
        <v/>
      </c>
      <c r="L81" t="str">
        <f t="shared" si="4"/>
        <v/>
      </c>
      <c r="M81" t="str">
        <f t="shared" si="5"/>
        <v/>
      </c>
      <c r="N81" t="str">
        <f t="shared" si="6"/>
        <v/>
      </c>
    </row>
    <row r="82" spans="2:14" x14ac:dyDescent="0.25">
      <c r="B82" t="s">
        <v>81</v>
      </c>
      <c r="F82" t="str">
        <f>IF(G81=0,"",INDEX('[1]Grade Project'!$G:$G,MATCH($A$5,'[1]Grade Project'!$F:$F,0)+SUM($G$3:G81)))</f>
        <v/>
      </c>
      <c r="G82">
        <f>COUNTIFS('[1]Grade Project'!$F:$F,$A$5,'[1]Grade Project'!$G:$G,F82)</f>
        <v>0</v>
      </c>
      <c r="H82" t="str">
        <f>IF(I81=0,"",INDEX('[1]Grade Project'!$K:$K,MATCH(CONCATENATE($A$5,$A$8),'[1]Grade Project'!$H:$H,0)+SUM($I$3:I81)))</f>
        <v/>
      </c>
      <c r="I82">
        <f>COUNTIFS('[1]Grade Project'!$G:$G,$A$8,'[1]Grade Project'!$K:$K,H82,'[1]Grade Project'!$F:$F,$A$5)</f>
        <v>0</v>
      </c>
      <c r="J82" t="str">
        <f>IFERROR(AVERAGEIFS('[1]Grade Project'!$N:$N,'[1]Grade Project'!$K:$K,H82,'[1]Grade Project'!$F:$F,$A$5,'[1]Grade Project'!$G:$G,$A$8),"")</f>
        <v/>
      </c>
      <c r="K82" t="str">
        <f>IFERROR(AVERAGEIFS('[1]Grade Project'!$O:$O,'[1]Grade Project'!$K:$K,H82,'[1]Grade Project'!$F:$F,$A$5,'[1]Grade Project'!$G:$G,$A$8),"")</f>
        <v/>
      </c>
      <c r="L82" t="str">
        <f t="shared" si="4"/>
        <v/>
      </c>
      <c r="M82" t="str">
        <f t="shared" si="5"/>
        <v/>
      </c>
      <c r="N82" t="str">
        <f t="shared" si="6"/>
        <v/>
      </c>
    </row>
    <row r="83" spans="2:14" x14ac:dyDescent="0.25">
      <c r="B83" t="s">
        <v>82</v>
      </c>
      <c r="F83" t="str">
        <f>IF(G82=0,"",INDEX('[1]Grade Project'!$G:$G,MATCH($A$5,'[1]Grade Project'!$F:$F,0)+SUM($G$3:G82)))</f>
        <v/>
      </c>
      <c r="G83">
        <f>COUNTIFS('[1]Grade Project'!$F:$F,$A$5,'[1]Grade Project'!$G:$G,F83)</f>
        <v>0</v>
      </c>
      <c r="H83" t="str">
        <f>IF(I82=0,"",INDEX('[1]Grade Project'!$K:$K,MATCH(CONCATENATE($A$5,$A$8),'[1]Grade Project'!$H:$H,0)+SUM($I$3:I82)))</f>
        <v/>
      </c>
      <c r="I83">
        <f>COUNTIFS('[1]Grade Project'!$G:$G,$A$8,'[1]Grade Project'!$K:$K,H83,'[1]Grade Project'!$F:$F,$A$5)</f>
        <v>0</v>
      </c>
      <c r="J83" t="str">
        <f>IFERROR(AVERAGEIFS('[1]Grade Project'!$N:$N,'[1]Grade Project'!$K:$K,H83,'[1]Grade Project'!$F:$F,$A$5,'[1]Grade Project'!$G:$G,$A$8),"")</f>
        <v/>
      </c>
      <c r="K83" t="str">
        <f>IFERROR(AVERAGEIFS('[1]Grade Project'!$O:$O,'[1]Grade Project'!$K:$K,H83,'[1]Grade Project'!$F:$F,$A$5,'[1]Grade Project'!$G:$G,$A$8),"")</f>
        <v/>
      </c>
      <c r="L83" t="str">
        <f t="shared" si="4"/>
        <v/>
      </c>
      <c r="M83" t="str">
        <f t="shared" si="5"/>
        <v/>
      </c>
      <c r="N83" t="str">
        <f t="shared" si="6"/>
        <v/>
      </c>
    </row>
    <row r="84" spans="2:14" x14ac:dyDescent="0.25">
      <c r="B84" t="s">
        <v>83</v>
      </c>
      <c r="F84" t="str">
        <f>IF(G83=0,"",INDEX('[1]Grade Project'!$G:$G,MATCH($A$5,'[1]Grade Project'!$F:$F,0)+SUM($G$3:G83)))</f>
        <v/>
      </c>
      <c r="G84">
        <f>COUNTIFS('[1]Grade Project'!$F:$F,$A$5,'[1]Grade Project'!$G:$G,F84)</f>
        <v>0</v>
      </c>
      <c r="H84" t="str">
        <f>IF(I83=0,"",INDEX('[1]Grade Project'!$K:$K,MATCH(CONCATENATE($A$5,$A$8),'[1]Grade Project'!$H:$H,0)+SUM($I$3:I83)))</f>
        <v/>
      </c>
      <c r="I84">
        <f>COUNTIFS('[1]Grade Project'!$G:$G,$A$8,'[1]Grade Project'!$K:$K,H84,'[1]Grade Project'!$F:$F,$A$5)</f>
        <v>0</v>
      </c>
      <c r="J84" t="str">
        <f>IFERROR(AVERAGEIFS('[1]Grade Project'!$N:$N,'[1]Grade Project'!$K:$K,H84,'[1]Grade Project'!$F:$F,$A$5,'[1]Grade Project'!$G:$G,$A$8),"")</f>
        <v/>
      </c>
      <c r="K84" t="str">
        <f>IFERROR(AVERAGEIFS('[1]Grade Project'!$O:$O,'[1]Grade Project'!$K:$K,H84,'[1]Grade Project'!$F:$F,$A$5,'[1]Grade Project'!$G:$G,$A$8),"")</f>
        <v/>
      </c>
      <c r="L84" t="str">
        <f t="shared" si="4"/>
        <v/>
      </c>
      <c r="M84" t="str">
        <f t="shared" si="5"/>
        <v/>
      </c>
      <c r="N84" t="str">
        <f t="shared" si="6"/>
        <v/>
      </c>
    </row>
    <row r="85" spans="2:14" x14ac:dyDescent="0.25">
      <c r="B85" t="s">
        <v>84</v>
      </c>
      <c r="F85" t="str">
        <f>IF(G84=0,"",INDEX('[1]Grade Project'!$G:$G,MATCH($A$5,'[1]Grade Project'!$F:$F,0)+SUM($G$3:G84)))</f>
        <v/>
      </c>
      <c r="G85">
        <f>COUNTIFS('[1]Grade Project'!$F:$F,$A$5,'[1]Grade Project'!$G:$G,F85)</f>
        <v>0</v>
      </c>
      <c r="H85" t="str">
        <f>IF(I84=0,"",INDEX('[1]Grade Project'!$K:$K,MATCH(CONCATENATE($A$5,$A$8),'[1]Grade Project'!$H:$H,0)+SUM($I$3:I84)))</f>
        <v/>
      </c>
      <c r="I85">
        <f>COUNTIFS('[1]Grade Project'!$G:$G,$A$8,'[1]Grade Project'!$K:$K,H85,'[1]Grade Project'!$F:$F,$A$5)</f>
        <v>0</v>
      </c>
      <c r="J85" t="str">
        <f>IFERROR(AVERAGEIFS('[1]Grade Project'!$N:$N,'[1]Grade Project'!$K:$K,H85,'[1]Grade Project'!$F:$F,$A$5,'[1]Grade Project'!$G:$G,$A$8),"")</f>
        <v/>
      </c>
      <c r="K85" t="str">
        <f>IFERROR(AVERAGEIFS('[1]Grade Project'!$O:$O,'[1]Grade Project'!$K:$K,H85,'[1]Grade Project'!$F:$F,$A$5,'[1]Grade Project'!$G:$G,$A$8),"")</f>
        <v/>
      </c>
      <c r="L85" t="str">
        <f t="shared" si="4"/>
        <v/>
      </c>
      <c r="M85" t="str">
        <f t="shared" si="5"/>
        <v/>
      </c>
      <c r="N85" t="str">
        <f t="shared" si="6"/>
        <v/>
      </c>
    </row>
    <row r="86" spans="2:14" x14ac:dyDescent="0.25">
      <c r="B86" t="s">
        <v>85</v>
      </c>
      <c r="F86" t="str">
        <f>IF(G85=0,"",INDEX('[1]Grade Project'!$G:$G,MATCH($A$5,'[1]Grade Project'!$F:$F,0)+SUM($G$3:G85)))</f>
        <v/>
      </c>
      <c r="G86">
        <f>COUNTIFS('[1]Grade Project'!$F:$F,$A$5,'[1]Grade Project'!$G:$G,F86)</f>
        <v>0</v>
      </c>
      <c r="H86" t="str">
        <f>IF(I85=0,"",INDEX('[1]Grade Project'!$K:$K,MATCH(CONCATENATE($A$5,$A$8),'[1]Grade Project'!$H:$H,0)+SUM($I$3:I85)))</f>
        <v/>
      </c>
      <c r="I86">
        <f>COUNTIFS('[1]Grade Project'!$G:$G,$A$8,'[1]Grade Project'!$K:$K,H86,'[1]Grade Project'!$F:$F,$A$5)</f>
        <v>0</v>
      </c>
      <c r="J86" t="str">
        <f>IFERROR(AVERAGEIFS('[1]Grade Project'!$N:$N,'[1]Grade Project'!$K:$K,H86,'[1]Grade Project'!$F:$F,$A$5,'[1]Grade Project'!$G:$G,$A$8),"")</f>
        <v/>
      </c>
      <c r="K86" t="str">
        <f>IFERROR(AVERAGEIFS('[1]Grade Project'!$O:$O,'[1]Grade Project'!$K:$K,H86,'[1]Grade Project'!$F:$F,$A$5,'[1]Grade Project'!$G:$G,$A$8),"")</f>
        <v/>
      </c>
      <c r="L86" t="str">
        <f t="shared" si="4"/>
        <v/>
      </c>
      <c r="M86" t="str">
        <f t="shared" si="5"/>
        <v/>
      </c>
      <c r="N86" t="str">
        <f t="shared" si="6"/>
        <v/>
      </c>
    </row>
    <row r="87" spans="2:14" x14ac:dyDescent="0.25">
      <c r="B87" t="s">
        <v>86</v>
      </c>
      <c r="F87" t="str">
        <f>IF(G86=0,"",INDEX('[1]Grade Project'!$G:$G,MATCH($A$5,'[1]Grade Project'!$F:$F,0)+SUM($G$3:G86)))</f>
        <v/>
      </c>
      <c r="G87">
        <f>COUNTIFS('[1]Grade Project'!$F:$F,$A$5,'[1]Grade Project'!$G:$G,F87)</f>
        <v>0</v>
      </c>
      <c r="H87" t="str">
        <f>IF(I86=0,"",INDEX('[1]Grade Project'!$K:$K,MATCH(CONCATENATE($A$5,$A$8),'[1]Grade Project'!$H:$H,0)+SUM($I$3:I86)))</f>
        <v/>
      </c>
      <c r="I87">
        <f>COUNTIFS('[1]Grade Project'!$G:$G,$A$8,'[1]Grade Project'!$K:$K,H87,'[1]Grade Project'!$F:$F,$A$5)</f>
        <v>0</v>
      </c>
      <c r="J87" t="str">
        <f>IFERROR(AVERAGEIFS('[1]Grade Project'!$N:$N,'[1]Grade Project'!$K:$K,H87,'[1]Grade Project'!$F:$F,$A$5,'[1]Grade Project'!$G:$G,$A$8),"")</f>
        <v/>
      </c>
      <c r="K87" t="str">
        <f>IFERROR(AVERAGEIFS('[1]Grade Project'!$O:$O,'[1]Grade Project'!$K:$K,H87,'[1]Grade Project'!$F:$F,$A$5,'[1]Grade Project'!$G:$G,$A$8),"")</f>
        <v/>
      </c>
      <c r="L87" t="str">
        <f t="shared" si="4"/>
        <v/>
      </c>
      <c r="M87" t="str">
        <f t="shared" si="5"/>
        <v/>
      </c>
      <c r="N87" t="str">
        <f t="shared" si="6"/>
        <v/>
      </c>
    </row>
    <row r="88" spans="2:14" x14ac:dyDescent="0.25">
      <c r="B88" t="s">
        <v>87</v>
      </c>
      <c r="F88" t="str">
        <f>IF(G87=0,"",INDEX('[1]Grade Project'!$G:$G,MATCH($A$5,'[1]Grade Project'!$F:$F,0)+SUM($G$3:G87)))</f>
        <v/>
      </c>
      <c r="G88">
        <f>COUNTIFS('[1]Grade Project'!$F:$F,$A$5,'[1]Grade Project'!$G:$G,F88)</f>
        <v>0</v>
      </c>
      <c r="H88" t="str">
        <f>IF(I87=0,"",INDEX('[1]Grade Project'!$K:$K,MATCH(CONCATENATE($A$5,$A$8),'[1]Grade Project'!$H:$H,0)+SUM($I$3:I87)))</f>
        <v/>
      </c>
      <c r="I88">
        <f>COUNTIFS('[1]Grade Project'!$G:$G,$A$8,'[1]Grade Project'!$K:$K,H88,'[1]Grade Project'!$F:$F,$A$5)</f>
        <v>0</v>
      </c>
      <c r="J88" t="str">
        <f>IFERROR(AVERAGEIFS('[1]Grade Project'!$N:$N,'[1]Grade Project'!$K:$K,H88,'[1]Grade Project'!$F:$F,$A$5,'[1]Grade Project'!$G:$G,$A$8),"")</f>
        <v/>
      </c>
      <c r="K88" t="str">
        <f>IFERROR(AVERAGEIFS('[1]Grade Project'!$O:$O,'[1]Grade Project'!$K:$K,H88,'[1]Grade Project'!$F:$F,$A$5,'[1]Grade Project'!$G:$G,$A$8),"")</f>
        <v/>
      </c>
      <c r="L88" t="str">
        <f t="shared" si="4"/>
        <v/>
      </c>
      <c r="M88" t="str">
        <f t="shared" si="5"/>
        <v/>
      </c>
      <c r="N88" t="str">
        <f t="shared" si="6"/>
        <v/>
      </c>
    </row>
    <row r="89" spans="2:14" x14ac:dyDescent="0.25">
      <c r="B89" t="s">
        <v>88</v>
      </c>
      <c r="F89" t="str">
        <f>IF(G88=0,"",INDEX('[1]Grade Project'!$G:$G,MATCH($A$5,'[1]Grade Project'!$F:$F,0)+SUM($G$3:G88)))</f>
        <v/>
      </c>
      <c r="G89">
        <f>COUNTIFS('[1]Grade Project'!$F:$F,$A$5,'[1]Grade Project'!$G:$G,F89)</f>
        <v>0</v>
      </c>
      <c r="H89" t="str">
        <f>IF(I88=0,"",INDEX('[1]Grade Project'!$K:$K,MATCH(CONCATENATE($A$5,$A$8),'[1]Grade Project'!$H:$H,0)+SUM($I$3:I88)))</f>
        <v/>
      </c>
      <c r="I89">
        <f>COUNTIFS('[1]Grade Project'!$G:$G,$A$8,'[1]Grade Project'!$K:$K,H89,'[1]Grade Project'!$F:$F,$A$5)</f>
        <v>0</v>
      </c>
      <c r="J89" t="str">
        <f>IFERROR(AVERAGEIFS('[1]Grade Project'!$N:$N,'[1]Grade Project'!$K:$K,H89,'[1]Grade Project'!$F:$F,$A$5,'[1]Grade Project'!$G:$G,$A$8),"")</f>
        <v/>
      </c>
      <c r="K89" t="str">
        <f>IFERROR(AVERAGEIFS('[1]Grade Project'!$O:$O,'[1]Grade Project'!$K:$K,H89,'[1]Grade Project'!$F:$F,$A$5,'[1]Grade Project'!$G:$G,$A$8),"")</f>
        <v/>
      </c>
      <c r="L89" t="str">
        <f t="shared" si="4"/>
        <v/>
      </c>
      <c r="M89" t="str">
        <f t="shared" si="5"/>
        <v/>
      </c>
      <c r="N89" t="str">
        <f t="shared" si="6"/>
        <v/>
      </c>
    </row>
    <row r="90" spans="2:14" x14ac:dyDescent="0.25">
      <c r="B90" t="s">
        <v>89</v>
      </c>
      <c r="F90" t="str">
        <f>IF(G89=0,"",INDEX('[1]Grade Project'!$G:$G,MATCH($A$5,'[1]Grade Project'!$F:$F,0)+SUM($G$3:G89)))</f>
        <v/>
      </c>
      <c r="G90">
        <f>COUNTIFS('[1]Grade Project'!$F:$F,$A$5,'[1]Grade Project'!$G:$G,F90)</f>
        <v>0</v>
      </c>
      <c r="H90" t="str">
        <f>IF(I89=0,"",INDEX('[1]Grade Project'!$K:$K,MATCH(CONCATENATE($A$5,$A$8),'[1]Grade Project'!$H:$H,0)+SUM($I$3:I89)))</f>
        <v/>
      </c>
      <c r="I90">
        <f>COUNTIFS('[1]Grade Project'!$G:$G,$A$8,'[1]Grade Project'!$K:$K,H90,'[1]Grade Project'!$F:$F,$A$5)</f>
        <v>0</v>
      </c>
      <c r="J90" t="str">
        <f>IFERROR(AVERAGEIFS('[1]Grade Project'!$N:$N,'[1]Grade Project'!$K:$K,H90,'[1]Grade Project'!$F:$F,$A$5,'[1]Grade Project'!$G:$G,$A$8),"")</f>
        <v/>
      </c>
      <c r="K90" t="str">
        <f>IFERROR(AVERAGEIFS('[1]Grade Project'!$O:$O,'[1]Grade Project'!$K:$K,H90,'[1]Grade Project'!$F:$F,$A$5,'[1]Grade Project'!$G:$G,$A$8),"")</f>
        <v/>
      </c>
      <c r="L90" t="str">
        <f t="shared" si="4"/>
        <v/>
      </c>
      <c r="M90" t="str">
        <f t="shared" si="5"/>
        <v/>
      </c>
      <c r="N90" t="str">
        <f t="shared" si="6"/>
        <v/>
      </c>
    </row>
    <row r="91" spans="2:14" x14ac:dyDescent="0.25">
      <c r="B91" t="s">
        <v>90</v>
      </c>
      <c r="F91" t="str">
        <f>IF(G90=0,"",INDEX('[1]Grade Project'!$G:$G,MATCH($A$5,'[1]Grade Project'!$F:$F,0)+SUM($G$3:G90)))</f>
        <v/>
      </c>
      <c r="G91">
        <f>COUNTIFS('[1]Grade Project'!$F:$F,$A$5,'[1]Grade Project'!$G:$G,F91)</f>
        <v>0</v>
      </c>
      <c r="H91" t="str">
        <f>IF(I90=0,"",INDEX('[1]Grade Project'!$K:$K,MATCH(CONCATENATE($A$5,$A$8),'[1]Grade Project'!$H:$H,0)+SUM($I$3:I90)))</f>
        <v/>
      </c>
      <c r="I91">
        <f>COUNTIFS('[1]Grade Project'!$G:$G,$A$8,'[1]Grade Project'!$K:$K,H91,'[1]Grade Project'!$F:$F,$A$5)</f>
        <v>0</v>
      </c>
      <c r="J91" t="str">
        <f>IFERROR(AVERAGEIFS('[1]Grade Project'!$N:$N,'[1]Grade Project'!$K:$K,H91,'[1]Grade Project'!$F:$F,$A$5,'[1]Grade Project'!$G:$G,$A$8),"")</f>
        <v/>
      </c>
      <c r="K91" t="str">
        <f>IFERROR(AVERAGEIFS('[1]Grade Project'!$O:$O,'[1]Grade Project'!$K:$K,H91,'[1]Grade Project'!$F:$F,$A$5,'[1]Grade Project'!$G:$G,$A$8),"")</f>
        <v/>
      </c>
      <c r="L91" t="str">
        <f t="shared" si="4"/>
        <v/>
      </c>
      <c r="M91" t="str">
        <f t="shared" si="5"/>
        <v/>
      </c>
      <c r="N91" t="str">
        <f t="shared" si="6"/>
        <v/>
      </c>
    </row>
    <row r="92" spans="2:14" x14ac:dyDescent="0.25">
      <c r="B92" t="s">
        <v>91</v>
      </c>
      <c r="F92" t="str">
        <f>IF(G91=0,"",INDEX('[1]Grade Project'!$G:$G,MATCH($A$5,'[1]Grade Project'!$F:$F,0)+SUM($G$3:G91)))</f>
        <v/>
      </c>
      <c r="G92">
        <f>COUNTIFS('[1]Grade Project'!$F:$F,$A$5,'[1]Grade Project'!$G:$G,F92)</f>
        <v>0</v>
      </c>
      <c r="H92" t="str">
        <f>IF(I91=0,"",INDEX('[1]Grade Project'!$K:$K,MATCH(CONCATENATE($A$5,$A$8),'[1]Grade Project'!$H:$H,0)+SUM($I$3:I91)))</f>
        <v/>
      </c>
      <c r="I92">
        <f>COUNTIFS('[1]Grade Project'!$G:$G,$A$8,'[1]Grade Project'!$K:$K,H92,'[1]Grade Project'!$F:$F,$A$5)</f>
        <v>0</v>
      </c>
      <c r="J92" t="str">
        <f>IFERROR(AVERAGEIFS('[1]Grade Project'!$N:$N,'[1]Grade Project'!$K:$K,H92,'[1]Grade Project'!$F:$F,$A$5,'[1]Grade Project'!$G:$G,$A$8),"")</f>
        <v/>
      </c>
      <c r="K92" t="str">
        <f>IFERROR(AVERAGEIFS('[1]Grade Project'!$O:$O,'[1]Grade Project'!$K:$K,H92,'[1]Grade Project'!$F:$F,$A$5,'[1]Grade Project'!$G:$G,$A$8),"")</f>
        <v/>
      </c>
      <c r="L92" t="str">
        <f t="shared" si="4"/>
        <v/>
      </c>
      <c r="M92" t="str">
        <f t="shared" si="5"/>
        <v/>
      </c>
      <c r="N92" t="str">
        <f t="shared" si="6"/>
        <v/>
      </c>
    </row>
    <row r="93" spans="2:14" x14ac:dyDescent="0.25">
      <c r="B93" t="s">
        <v>92</v>
      </c>
      <c r="F93" t="str">
        <f>IF(G92=0,"",INDEX('[1]Grade Project'!$G:$G,MATCH($A$5,'[1]Grade Project'!$F:$F,0)+SUM($G$3:G92)))</f>
        <v/>
      </c>
      <c r="G93">
        <f>COUNTIFS('[1]Grade Project'!$F:$F,$A$5,'[1]Grade Project'!$G:$G,F93)</f>
        <v>0</v>
      </c>
      <c r="H93" t="str">
        <f>IF(I92=0,"",INDEX('[1]Grade Project'!$K:$K,MATCH(CONCATENATE($A$5,$A$8),'[1]Grade Project'!$H:$H,0)+SUM($I$3:I92)))</f>
        <v/>
      </c>
      <c r="I93">
        <f>COUNTIFS('[1]Grade Project'!$G:$G,$A$8,'[1]Grade Project'!$K:$K,H93,'[1]Grade Project'!$F:$F,$A$5)</f>
        <v>0</v>
      </c>
      <c r="J93" t="str">
        <f>IFERROR(AVERAGEIFS('[1]Grade Project'!$N:$N,'[1]Grade Project'!$K:$K,H93,'[1]Grade Project'!$F:$F,$A$5,'[1]Grade Project'!$G:$G,$A$8),"")</f>
        <v/>
      </c>
      <c r="K93" t="str">
        <f>IFERROR(AVERAGEIFS('[1]Grade Project'!$O:$O,'[1]Grade Project'!$K:$K,H93,'[1]Grade Project'!$F:$F,$A$5,'[1]Grade Project'!$G:$G,$A$8),"")</f>
        <v/>
      </c>
      <c r="L93" t="str">
        <f t="shared" si="4"/>
        <v/>
      </c>
      <c r="M93" t="str">
        <f t="shared" si="5"/>
        <v/>
      </c>
      <c r="N93" t="str">
        <f t="shared" si="6"/>
        <v/>
      </c>
    </row>
    <row r="94" spans="2:14" x14ac:dyDescent="0.25">
      <c r="B94" t="s">
        <v>93</v>
      </c>
      <c r="F94" t="str">
        <f>IF(G93=0,"",INDEX('[1]Grade Project'!$G:$G,MATCH($A$5,'[1]Grade Project'!$F:$F,0)+SUM($G$3:G93)))</f>
        <v/>
      </c>
      <c r="G94">
        <f>COUNTIFS('[1]Grade Project'!$F:$F,$A$5,'[1]Grade Project'!$G:$G,F94)</f>
        <v>0</v>
      </c>
      <c r="H94" t="str">
        <f>IF(I93=0,"",INDEX('[1]Grade Project'!$K:$K,MATCH(CONCATENATE($A$5,$A$8),'[1]Grade Project'!$H:$H,0)+SUM($I$3:I93)))</f>
        <v/>
      </c>
      <c r="I94">
        <f>COUNTIFS('[1]Grade Project'!$G:$G,$A$8,'[1]Grade Project'!$K:$K,H94,'[1]Grade Project'!$F:$F,$A$5)</f>
        <v>0</v>
      </c>
      <c r="J94" t="str">
        <f>IFERROR(AVERAGEIFS('[1]Grade Project'!$N:$N,'[1]Grade Project'!$K:$K,H94,'[1]Grade Project'!$F:$F,$A$5,'[1]Grade Project'!$G:$G,$A$8),"")</f>
        <v/>
      </c>
      <c r="K94" t="str">
        <f>IFERROR(AVERAGEIFS('[1]Grade Project'!$O:$O,'[1]Grade Project'!$K:$K,H94,'[1]Grade Project'!$F:$F,$A$5,'[1]Grade Project'!$G:$G,$A$8),"")</f>
        <v/>
      </c>
      <c r="L94" t="str">
        <f t="shared" si="4"/>
        <v/>
      </c>
      <c r="M94" t="str">
        <f t="shared" si="5"/>
        <v/>
      </c>
      <c r="N94" t="str">
        <f t="shared" si="6"/>
        <v/>
      </c>
    </row>
    <row r="95" spans="2:14" x14ac:dyDescent="0.25">
      <c r="B95" t="s">
        <v>94</v>
      </c>
      <c r="F95" t="str">
        <f>IF(G94=0,"",INDEX('[1]Grade Project'!$G:$G,MATCH($A$5,'[1]Grade Project'!$F:$F,0)+SUM($G$3:G94)))</f>
        <v/>
      </c>
      <c r="G95">
        <f>COUNTIFS('[1]Grade Project'!$F:$F,$A$5,'[1]Grade Project'!$G:$G,F95)</f>
        <v>0</v>
      </c>
      <c r="H95" t="str">
        <f>IF(I94=0,"",INDEX('[1]Grade Project'!$K:$K,MATCH(CONCATENATE($A$5,$A$8),'[1]Grade Project'!$H:$H,0)+SUM($I$3:I94)))</f>
        <v/>
      </c>
      <c r="I95">
        <f>COUNTIFS('[1]Grade Project'!$G:$G,$A$8,'[1]Grade Project'!$K:$K,H95,'[1]Grade Project'!$F:$F,$A$5)</f>
        <v>0</v>
      </c>
      <c r="J95" t="str">
        <f>IFERROR(AVERAGEIFS('[1]Grade Project'!$N:$N,'[1]Grade Project'!$K:$K,H95,'[1]Grade Project'!$F:$F,$A$5,'[1]Grade Project'!$G:$G,$A$8),"")</f>
        <v/>
      </c>
      <c r="K95" t="str">
        <f>IFERROR(AVERAGEIFS('[1]Grade Project'!$O:$O,'[1]Grade Project'!$K:$K,H95,'[1]Grade Project'!$F:$F,$A$5,'[1]Grade Project'!$G:$G,$A$8),"")</f>
        <v/>
      </c>
      <c r="L95" t="str">
        <f t="shared" si="4"/>
        <v/>
      </c>
      <c r="M95" t="str">
        <f t="shared" si="5"/>
        <v/>
      </c>
      <c r="N95" t="str">
        <f t="shared" si="6"/>
        <v/>
      </c>
    </row>
    <row r="96" spans="2:14" x14ac:dyDescent="0.25">
      <c r="B96" t="s">
        <v>95</v>
      </c>
      <c r="F96" t="str">
        <f>IF(G95=0,"",INDEX('[1]Grade Project'!$G:$G,MATCH($A$5,'[1]Grade Project'!$F:$F,0)+SUM($G$3:G95)))</f>
        <v/>
      </c>
      <c r="G96">
        <f>COUNTIFS('[1]Grade Project'!$F:$F,$A$5,'[1]Grade Project'!$G:$G,F96)</f>
        <v>0</v>
      </c>
      <c r="H96" t="str">
        <f>IF(I95=0,"",INDEX('[1]Grade Project'!$K:$K,MATCH(CONCATENATE($A$5,$A$8),'[1]Grade Project'!$H:$H,0)+SUM($I$3:I95)))</f>
        <v/>
      </c>
      <c r="I96">
        <f>COUNTIFS('[1]Grade Project'!$G:$G,$A$8,'[1]Grade Project'!$K:$K,H96,'[1]Grade Project'!$F:$F,$A$5)</f>
        <v>0</v>
      </c>
      <c r="J96" t="str">
        <f>IFERROR(AVERAGEIFS('[1]Grade Project'!$N:$N,'[1]Grade Project'!$K:$K,H96,'[1]Grade Project'!$F:$F,$A$5,'[1]Grade Project'!$G:$G,$A$8),"")</f>
        <v/>
      </c>
      <c r="K96" t="str">
        <f>IFERROR(AVERAGEIFS('[1]Grade Project'!$O:$O,'[1]Grade Project'!$K:$K,H96,'[1]Grade Project'!$F:$F,$A$5,'[1]Grade Project'!$G:$G,$A$8),"")</f>
        <v/>
      </c>
      <c r="L96" t="str">
        <f t="shared" si="4"/>
        <v/>
      </c>
      <c r="M96" t="str">
        <f t="shared" si="5"/>
        <v/>
      </c>
      <c r="N96" t="str">
        <f t="shared" si="6"/>
        <v/>
      </c>
    </row>
    <row r="97" spans="2:14" x14ac:dyDescent="0.25">
      <c r="B97" t="s">
        <v>96</v>
      </c>
      <c r="H97" t="str">
        <f>IF(I96=0,"",INDEX('[1]Grade Project'!$K:$K,MATCH(CONCATENATE($A$5,$A$8),'[1]Grade Project'!$H:$H,0)+SUM($I$3:I96)))</f>
        <v/>
      </c>
      <c r="I97">
        <f>COUNTIFS('[1]Grade Project'!$G:$G,$A$8,'[1]Grade Project'!$K:$K,H97,'[1]Grade Project'!$F:$F,$A$5)</f>
        <v>0</v>
      </c>
      <c r="J97" t="str">
        <f>IFERROR(AVERAGEIFS('[1]Grade Project'!$N:$N,'[1]Grade Project'!$K:$K,H97,'[1]Grade Project'!$F:$F,$A$5,'[1]Grade Project'!$G:$G,$A$8),"")</f>
        <v/>
      </c>
      <c r="K97" t="str">
        <f>IFERROR(AVERAGEIFS('[1]Grade Project'!$O:$O,'[1]Grade Project'!$K:$K,H97,'[1]Grade Project'!$F:$F,$A$5,'[1]Grade Project'!$G:$G,$A$8),"")</f>
        <v/>
      </c>
      <c r="L97" t="str">
        <f t="shared" si="4"/>
        <v/>
      </c>
      <c r="M97" t="str">
        <f t="shared" si="5"/>
        <v/>
      </c>
      <c r="N97" t="str">
        <f t="shared" si="6"/>
        <v/>
      </c>
    </row>
    <row r="98" spans="2:14" x14ac:dyDescent="0.25">
      <c r="B98" t="s">
        <v>97</v>
      </c>
      <c r="H98" t="str">
        <f>IF(I97=0,"",INDEX('[1]Grade Project'!$K:$K,MATCH(CONCATENATE($A$5,$A$8),'[1]Grade Project'!$H:$H,0)+SUM($I$3:I97)))</f>
        <v/>
      </c>
      <c r="I98">
        <f>COUNTIFS('[1]Grade Project'!$G:$G,$A$8,'[1]Grade Project'!$K:$K,H98,'[1]Grade Project'!$F:$F,$A$5)</f>
        <v>0</v>
      </c>
      <c r="J98" t="str">
        <f>IFERROR(AVERAGEIFS('[1]Grade Project'!$N:$N,'[1]Grade Project'!$K:$K,H98,'[1]Grade Project'!$F:$F,$A$5,'[1]Grade Project'!$G:$G,$A$8),"")</f>
        <v/>
      </c>
      <c r="K98" t="str">
        <f>IFERROR(AVERAGEIFS('[1]Grade Project'!$O:$O,'[1]Grade Project'!$K:$K,H98,'[1]Grade Project'!$F:$F,$A$5,'[1]Grade Project'!$G:$G,$A$8),"")</f>
        <v/>
      </c>
      <c r="L98" t="str">
        <f t="shared" si="4"/>
        <v/>
      </c>
      <c r="M98" t="str">
        <f t="shared" si="5"/>
        <v/>
      </c>
      <c r="N98" t="str">
        <f t="shared" si="6"/>
        <v/>
      </c>
    </row>
    <row r="99" spans="2:14" x14ac:dyDescent="0.25">
      <c r="B99" t="s">
        <v>98</v>
      </c>
      <c r="H99" t="str">
        <f>IF(I98=0,"",INDEX('[1]Grade Project'!$K:$K,MATCH(CONCATENATE($A$5,$A$8),'[1]Grade Project'!$H:$H,0)+SUM($I$3:I98)))</f>
        <v/>
      </c>
      <c r="I99">
        <f>COUNTIFS('[1]Grade Project'!$G:$G,$A$8,'[1]Grade Project'!$K:$K,H99,'[1]Grade Project'!$F:$F,$A$5)</f>
        <v>0</v>
      </c>
      <c r="J99" t="str">
        <f>IFERROR(AVERAGEIFS('[1]Grade Project'!$N:$N,'[1]Grade Project'!$K:$K,H99,'[1]Grade Project'!$F:$F,$A$5,'[1]Grade Project'!$G:$G,$A$8),"")</f>
        <v/>
      </c>
      <c r="K99" t="str">
        <f>IFERROR(AVERAGEIFS('[1]Grade Project'!$O:$O,'[1]Grade Project'!$K:$K,H99,'[1]Grade Project'!$F:$F,$A$5,'[1]Grade Project'!$G:$G,$A$8),"")</f>
        <v/>
      </c>
      <c r="L99" t="str">
        <f t="shared" si="4"/>
        <v/>
      </c>
      <c r="M99" t="str">
        <f t="shared" si="5"/>
        <v/>
      </c>
      <c r="N99" t="str">
        <f t="shared" si="6"/>
        <v/>
      </c>
    </row>
    <row r="100" spans="2:14" x14ac:dyDescent="0.25">
      <c r="B100" t="s">
        <v>99</v>
      </c>
      <c r="H100" t="str">
        <f>IF(I99=0,"",INDEX('[1]Grade Project'!$K:$K,MATCH(CONCATENATE($A$5,$A$8),'[1]Grade Project'!$H:$H,0)+SUM($I$3:I99)))</f>
        <v/>
      </c>
      <c r="I100">
        <f>COUNTIFS('[1]Grade Project'!$G:$G,$A$8,'[1]Grade Project'!$K:$K,H100,'[1]Grade Project'!$F:$F,$A$5)</f>
        <v>0</v>
      </c>
      <c r="J100" t="str">
        <f>IFERROR(AVERAGEIFS('[1]Grade Project'!$N:$N,'[1]Grade Project'!$K:$K,H100,'[1]Grade Project'!$F:$F,$A$5,'[1]Grade Project'!$G:$G,$A$8),"")</f>
        <v/>
      </c>
      <c r="K100" t="str">
        <f>IFERROR(AVERAGEIFS('[1]Grade Project'!$O:$O,'[1]Grade Project'!$K:$K,H100,'[1]Grade Project'!$F:$F,$A$5,'[1]Grade Project'!$G:$G,$A$8),"")</f>
        <v/>
      </c>
      <c r="L100" t="str">
        <f t="shared" si="4"/>
        <v/>
      </c>
      <c r="M100" t="str">
        <f t="shared" si="5"/>
        <v/>
      </c>
      <c r="N100" t="str">
        <f t="shared" si="6"/>
        <v/>
      </c>
    </row>
    <row r="101" spans="2:14" x14ac:dyDescent="0.25">
      <c r="H101" t="str">
        <f>IF(I100=0,"",INDEX('[1]Grade Project'!$K:$K,MATCH(CONCATENATE($A$5,$A$8),'[1]Grade Project'!$H:$H,0)+SUM($I$3:I100)))</f>
        <v/>
      </c>
      <c r="I101">
        <f>COUNTIFS('[1]Grade Project'!$G:$G,$A$8,'[1]Grade Project'!$K:$K,H101,'[1]Grade Project'!$F:$F,$A$5)</f>
        <v>0</v>
      </c>
      <c r="J101" t="str">
        <f>IFERROR(AVERAGEIFS('[1]Grade Project'!$N:$N,'[1]Grade Project'!$K:$K,H101,'[1]Grade Project'!$F:$F,$A$5,'[1]Grade Project'!$G:$G,$A$8),"")</f>
        <v/>
      </c>
      <c r="K101" t="str">
        <f>IFERROR(AVERAGEIFS('[1]Grade Project'!$O:$O,'[1]Grade Project'!$K:$K,H101,'[1]Grade Project'!$F:$F,$A$5,'[1]Grade Project'!$G:$G,$A$8),"")</f>
        <v/>
      </c>
      <c r="L101" t="str">
        <f t="shared" si="4"/>
        <v/>
      </c>
      <c r="M101" t="str">
        <f t="shared" si="5"/>
        <v/>
      </c>
      <c r="N101" t="str">
        <f t="shared" si="6"/>
        <v/>
      </c>
    </row>
    <row r="102" spans="2:14" x14ac:dyDescent="0.25">
      <c r="H102" t="str">
        <f>IF(I101=0,"",INDEX('[1]Grade Project'!$K:$K,MATCH(CONCATENATE($A$5,$A$8),'[1]Grade Project'!$H:$H,0)+SUM($I$3:I101)))</f>
        <v/>
      </c>
      <c r="I102">
        <f>COUNTIFS('[1]Grade Project'!$G:$G,$A$8,'[1]Grade Project'!$K:$K,H102,'[1]Grade Project'!$F:$F,$A$5)</f>
        <v>0</v>
      </c>
      <c r="J102" t="str">
        <f>IFERROR(AVERAGEIFS('[1]Grade Project'!$N:$N,'[1]Grade Project'!$K:$K,H102,'[1]Grade Project'!$F:$F,$A$5,'[1]Grade Project'!$G:$G,$A$8),"")</f>
        <v/>
      </c>
      <c r="K102" t="str">
        <f>IFERROR(AVERAGEIFS('[1]Grade Project'!$O:$O,'[1]Grade Project'!$K:$K,H102,'[1]Grade Project'!$F:$F,$A$5,'[1]Grade Project'!$G:$G,$A$8),"")</f>
        <v/>
      </c>
      <c r="L102" t="str">
        <f t="shared" si="4"/>
        <v/>
      </c>
      <c r="M102" t="str">
        <f t="shared" si="5"/>
        <v/>
      </c>
      <c r="N102" t="str">
        <f t="shared" si="6"/>
        <v/>
      </c>
    </row>
    <row r="103" spans="2:14" x14ac:dyDescent="0.25">
      <c r="H103" t="str">
        <f>IF(I102=0,"",INDEX('[1]Grade Project'!$K:$K,MATCH(CONCATENATE($A$5,$A$8),'[1]Grade Project'!$H:$H,0)+SUM($I$3:I102)))</f>
        <v/>
      </c>
      <c r="I103">
        <f>COUNTIFS('[1]Grade Project'!$G:$G,$A$8,'[1]Grade Project'!$K:$K,H103,'[1]Grade Project'!$F:$F,$A$5)</f>
        <v>0</v>
      </c>
      <c r="J103" t="str">
        <f>IFERROR(AVERAGEIFS('[1]Grade Project'!$N:$N,'[1]Grade Project'!$K:$K,H103,'[1]Grade Project'!$F:$F,$A$5,'[1]Grade Project'!$G:$G,$A$8),"")</f>
        <v/>
      </c>
      <c r="K103" t="str">
        <f>IFERROR(AVERAGEIFS('[1]Grade Project'!$O:$O,'[1]Grade Project'!$K:$K,H103,'[1]Grade Project'!$F:$F,$A$5,'[1]Grade Project'!$G:$G,$A$8),"")</f>
        <v/>
      </c>
      <c r="L103" t="str">
        <f t="shared" si="4"/>
        <v/>
      </c>
      <c r="M103" t="str">
        <f t="shared" si="5"/>
        <v/>
      </c>
      <c r="N103" t="str">
        <f t="shared" si="6"/>
        <v/>
      </c>
    </row>
    <row r="104" spans="2:14" x14ac:dyDescent="0.25">
      <c r="H104" t="str">
        <f>IF(I103=0,"",INDEX('[1]Grade Project'!$K:$K,MATCH(CONCATENATE($A$5,$A$8),'[1]Grade Project'!$H:$H,0)+SUM($I$3:I103)))</f>
        <v/>
      </c>
      <c r="I104">
        <f>COUNTIFS('[1]Grade Project'!$G:$G,$A$8,'[1]Grade Project'!$K:$K,H104,'[1]Grade Project'!$F:$F,$A$5)</f>
        <v>0</v>
      </c>
      <c r="J104" t="str">
        <f>IFERROR(AVERAGEIFS('[1]Grade Project'!$N:$N,'[1]Grade Project'!$K:$K,H104,'[1]Grade Project'!$F:$F,$A$5,'[1]Grade Project'!$G:$G,$A$8),"")</f>
        <v/>
      </c>
      <c r="K104" t="str">
        <f>IFERROR(AVERAGEIFS('[1]Grade Project'!$O:$O,'[1]Grade Project'!$K:$K,H104,'[1]Grade Project'!$F:$F,$A$5,'[1]Grade Project'!$G:$G,$A$8),"")</f>
        <v/>
      </c>
      <c r="L104" t="str">
        <f t="shared" si="4"/>
        <v/>
      </c>
      <c r="M104" t="str">
        <f t="shared" si="5"/>
        <v/>
      </c>
      <c r="N104" t="str">
        <f t="shared" si="6"/>
        <v/>
      </c>
    </row>
    <row r="105" spans="2:14" x14ac:dyDescent="0.25">
      <c r="H105" t="str">
        <f>IF(I104=0,"",INDEX('[1]Grade Project'!$K:$K,MATCH(CONCATENATE($A$5,$A$8),'[1]Grade Project'!$H:$H,0)+SUM($I$3:I104)))</f>
        <v/>
      </c>
      <c r="I105">
        <f>COUNTIFS('[1]Grade Project'!$G:$G,$A$8,'[1]Grade Project'!$K:$K,H105,'[1]Grade Project'!$F:$F,$A$5)</f>
        <v>0</v>
      </c>
      <c r="J105" t="str">
        <f>IFERROR(AVERAGEIFS('[1]Grade Project'!$N:$N,'[1]Grade Project'!$K:$K,H105,'[1]Grade Project'!$F:$F,$A$5,'[1]Grade Project'!$G:$G,$A$8),"")</f>
        <v/>
      </c>
      <c r="K105" t="str">
        <f>IFERROR(AVERAGEIFS('[1]Grade Project'!$O:$O,'[1]Grade Project'!$K:$K,H105,'[1]Grade Project'!$F:$F,$A$5,'[1]Grade Project'!$G:$G,$A$8),"")</f>
        <v/>
      </c>
      <c r="L105" t="str">
        <f t="shared" si="4"/>
        <v/>
      </c>
      <c r="M105" t="str">
        <f t="shared" si="5"/>
        <v/>
      </c>
      <c r="N105" t="str">
        <f t="shared" si="6"/>
        <v/>
      </c>
    </row>
    <row r="106" spans="2:14" x14ac:dyDescent="0.25">
      <c r="H106" t="str">
        <f>IF(I105=0,"",INDEX('[1]Grade Project'!$K:$K,MATCH(CONCATENATE($A$5,$A$8),'[1]Grade Project'!$H:$H,0)+SUM($I$3:I105)))</f>
        <v/>
      </c>
      <c r="I106">
        <f>COUNTIFS('[1]Grade Project'!$G:$G,$A$8,'[1]Grade Project'!$K:$K,H106,'[1]Grade Project'!$F:$F,$A$5)</f>
        <v>0</v>
      </c>
      <c r="J106" t="str">
        <f>IFERROR(AVERAGEIFS('[1]Grade Project'!$N:$N,'[1]Grade Project'!$K:$K,H106,'[1]Grade Project'!$F:$F,$A$5,'[1]Grade Project'!$G:$G,$A$8),"")</f>
        <v/>
      </c>
      <c r="K106" t="str">
        <f>IFERROR(AVERAGEIFS('[1]Grade Project'!$O:$O,'[1]Grade Project'!$K:$K,H106,'[1]Grade Project'!$F:$F,$A$5,'[1]Grade Project'!$G:$G,$A$8),"")</f>
        <v/>
      </c>
      <c r="L106" t="str">
        <f t="shared" si="4"/>
        <v/>
      </c>
      <c r="M106" t="str">
        <f t="shared" si="5"/>
        <v/>
      </c>
      <c r="N106" t="str">
        <f t="shared" si="6"/>
        <v/>
      </c>
    </row>
    <row r="107" spans="2:14" x14ac:dyDescent="0.25">
      <c r="H107" t="str">
        <f>IF(I106=0,"",INDEX('[1]Grade Project'!$K:$K,MATCH(CONCATENATE($A$5,$A$8),'[1]Grade Project'!$H:$H,0)+SUM($I$3:I106)))</f>
        <v/>
      </c>
      <c r="I107">
        <f>COUNTIFS('[1]Grade Project'!$G:$G,$A$8,'[1]Grade Project'!$K:$K,H107,'[1]Grade Project'!$F:$F,$A$5)</f>
        <v>0</v>
      </c>
      <c r="J107" t="str">
        <f>IFERROR(AVERAGEIFS('[1]Grade Project'!$N:$N,'[1]Grade Project'!$K:$K,H107,'[1]Grade Project'!$F:$F,$A$5,'[1]Grade Project'!$G:$G,$A$8),"")</f>
        <v/>
      </c>
      <c r="K107" t="str">
        <f>IFERROR(AVERAGEIFS('[1]Grade Project'!$O:$O,'[1]Grade Project'!$K:$K,H107,'[1]Grade Project'!$F:$F,$A$5,'[1]Grade Project'!$G:$G,$A$8),"")</f>
        <v/>
      </c>
      <c r="L107" t="str">
        <f t="shared" si="4"/>
        <v/>
      </c>
      <c r="M107" t="str">
        <f t="shared" si="5"/>
        <v/>
      </c>
      <c r="N107" t="str">
        <f t="shared" si="6"/>
        <v/>
      </c>
    </row>
    <row r="108" spans="2:14" x14ac:dyDescent="0.25">
      <c r="H108" t="str">
        <f>IF(I107=0,"",INDEX('[1]Grade Project'!$K:$K,MATCH(CONCATENATE($A$5,$A$8),'[1]Grade Project'!$H:$H,0)+SUM($I$3:I107)))</f>
        <v/>
      </c>
      <c r="I108">
        <f>COUNTIFS('[1]Grade Project'!$G:$G,$A$8,'[1]Grade Project'!$K:$K,H108,'[1]Grade Project'!$F:$F,$A$5)</f>
        <v>0</v>
      </c>
      <c r="J108" t="str">
        <f>IFERROR(AVERAGEIFS('[1]Grade Project'!$N:$N,'[1]Grade Project'!$K:$K,H108,'[1]Grade Project'!$F:$F,$A$5,'[1]Grade Project'!$G:$G,$A$8),"")</f>
        <v/>
      </c>
      <c r="K108" t="str">
        <f>IFERROR(AVERAGEIFS('[1]Grade Project'!$O:$O,'[1]Grade Project'!$K:$K,H108,'[1]Grade Project'!$F:$F,$A$5,'[1]Grade Project'!$G:$G,$A$8),"")</f>
        <v/>
      </c>
      <c r="L108" t="str">
        <f t="shared" si="4"/>
        <v/>
      </c>
      <c r="M108" t="str">
        <f t="shared" si="5"/>
        <v/>
      </c>
      <c r="N108" t="str">
        <f t="shared" si="6"/>
        <v/>
      </c>
    </row>
    <row r="109" spans="2:14" x14ac:dyDescent="0.25">
      <c r="H109" t="str">
        <f>IF(I108=0,"",INDEX('[1]Grade Project'!$K:$K,MATCH(CONCATENATE($A$5,$A$8),'[1]Grade Project'!$H:$H,0)+SUM($I$3:I108)))</f>
        <v/>
      </c>
      <c r="I109">
        <f>COUNTIFS('[1]Grade Project'!$G:$G,$A$8,'[1]Grade Project'!$K:$K,H109,'[1]Grade Project'!$F:$F,$A$5)</f>
        <v>0</v>
      </c>
      <c r="J109" t="str">
        <f>IFERROR(AVERAGEIFS('[1]Grade Project'!$N:$N,'[1]Grade Project'!$K:$K,H109,'[1]Grade Project'!$F:$F,$A$5,'[1]Grade Project'!$G:$G,$A$8),"")</f>
        <v/>
      </c>
      <c r="K109" t="str">
        <f>IFERROR(AVERAGEIFS('[1]Grade Project'!$O:$O,'[1]Grade Project'!$K:$K,H109,'[1]Grade Project'!$F:$F,$A$5,'[1]Grade Project'!$G:$G,$A$8),"")</f>
        <v/>
      </c>
      <c r="L109" t="str">
        <f t="shared" si="4"/>
        <v/>
      </c>
      <c r="M109" t="str">
        <f t="shared" si="5"/>
        <v/>
      </c>
      <c r="N109" t="str">
        <f t="shared" si="6"/>
        <v/>
      </c>
    </row>
    <row r="110" spans="2:14" x14ac:dyDescent="0.25">
      <c r="H110" t="str">
        <f>IF(I109=0,"",INDEX('[1]Grade Project'!$K:$K,MATCH(CONCATENATE($A$5,$A$8),'[1]Grade Project'!$H:$H,0)+SUM($I$3:I109)))</f>
        <v/>
      </c>
      <c r="I110">
        <f>COUNTIFS('[1]Grade Project'!$G:$G,$A$8,'[1]Grade Project'!$K:$K,H110,'[1]Grade Project'!$F:$F,$A$5)</f>
        <v>0</v>
      </c>
      <c r="J110" t="str">
        <f>IFERROR(AVERAGEIFS('[1]Grade Project'!$N:$N,'[1]Grade Project'!$K:$K,H110,'[1]Grade Project'!$F:$F,$A$5,'[1]Grade Project'!$G:$G,$A$8),"")</f>
        <v/>
      </c>
      <c r="K110" t="str">
        <f>IFERROR(AVERAGEIFS('[1]Grade Project'!$O:$O,'[1]Grade Project'!$K:$K,H110,'[1]Grade Project'!$F:$F,$A$5,'[1]Grade Project'!$G:$G,$A$8),"")</f>
        <v/>
      </c>
      <c r="L110" t="str">
        <f t="shared" si="4"/>
        <v/>
      </c>
      <c r="M110" t="str">
        <f t="shared" si="5"/>
        <v/>
      </c>
      <c r="N110" t="str">
        <f t="shared" si="6"/>
        <v/>
      </c>
    </row>
    <row r="111" spans="2:14" x14ac:dyDescent="0.25">
      <c r="H111" t="str">
        <f>IF(I110=0,"",INDEX('[1]Grade Project'!$K:$K,MATCH(CONCATENATE($A$5,$A$8),'[1]Grade Project'!$H:$H,0)+SUM($I$3:I110)))</f>
        <v/>
      </c>
      <c r="I111">
        <f>COUNTIFS('[1]Grade Project'!$G:$G,$A$8,'[1]Grade Project'!$K:$K,H111,'[1]Grade Project'!$F:$F,$A$5)</f>
        <v>0</v>
      </c>
      <c r="J111" t="str">
        <f>IFERROR(AVERAGEIFS('[1]Grade Project'!$N:$N,'[1]Grade Project'!$K:$K,H111,'[1]Grade Project'!$F:$F,$A$5,'[1]Grade Project'!$G:$G,$A$8),"")</f>
        <v/>
      </c>
      <c r="K111" t="str">
        <f>IFERROR(AVERAGEIFS('[1]Grade Project'!$O:$O,'[1]Grade Project'!$K:$K,H111,'[1]Grade Project'!$F:$F,$A$5,'[1]Grade Project'!$G:$G,$A$8),"")</f>
        <v/>
      </c>
      <c r="L111" t="str">
        <f t="shared" si="4"/>
        <v/>
      </c>
      <c r="M111" t="str">
        <f t="shared" si="5"/>
        <v/>
      </c>
      <c r="N111" t="str">
        <f t="shared" si="6"/>
        <v/>
      </c>
    </row>
    <row r="112" spans="2:14" x14ac:dyDescent="0.25">
      <c r="H112" t="str">
        <f>IF(I111=0,"",INDEX('[1]Grade Project'!$K:$K,MATCH(CONCATENATE($A$5,$A$8),'[1]Grade Project'!$H:$H,0)+SUM($I$3:I111)))</f>
        <v/>
      </c>
      <c r="I112">
        <f>COUNTIFS('[1]Grade Project'!$G:$G,$A$8,'[1]Grade Project'!$K:$K,H112,'[1]Grade Project'!$F:$F,$A$5)</f>
        <v>0</v>
      </c>
      <c r="J112" t="str">
        <f>IFERROR(AVERAGEIFS('[1]Grade Project'!$N:$N,'[1]Grade Project'!$K:$K,H112,'[1]Grade Project'!$F:$F,$A$5,'[1]Grade Project'!$G:$G,$A$8),"")</f>
        <v/>
      </c>
      <c r="K112" t="str">
        <f>IFERROR(AVERAGEIFS('[1]Grade Project'!$O:$O,'[1]Grade Project'!$K:$K,H112,'[1]Grade Project'!$F:$F,$A$5,'[1]Grade Project'!$G:$G,$A$8),"")</f>
        <v/>
      </c>
      <c r="L112" t="str">
        <f t="shared" si="4"/>
        <v/>
      </c>
      <c r="M112" t="str">
        <f t="shared" si="5"/>
        <v/>
      </c>
      <c r="N112" t="str">
        <f t="shared" si="6"/>
        <v/>
      </c>
    </row>
    <row r="113" spans="8:14" x14ac:dyDescent="0.25">
      <c r="H113" t="str">
        <f>IF(I112=0,"",INDEX('[1]Grade Project'!$K:$K,MATCH(CONCATENATE($A$5,$A$8),'[1]Grade Project'!$H:$H,0)+SUM($I$3:I112)))</f>
        <v/>
      </c>
      <c r="I113">
        <f>COUNTIFS('[1]Grade Project'!$G:$G,$A$8,'[1]Grade Project'!$K:$K,H113,'[1]Grade Project'!$F:$F,$A$5)</f>
        <v>0</v>
      </c>
      <c r="J113" t="str">
        <f>IFERROR(AVERAGEIFS('[1]Grade Project'!$N:$N,'[1]Grade Project'!$K:$K,H113,'[1]Grade Project'!$F:$F,$A$5,'[1]Grade Project'!$G:$G,$A$8),"")</f>
        <v/>
      </c>
      <c r="K113" t="str">
        <f>IFERROR(AVERAGEIFS('[1]Grade Project'!$O:$O,'[1]Grade Project'!$K:$K,H113,'[1]Grade Project'!$F:$F,$A$5,'[1]Grade Project'!$G:$G,$A$8),"")</f>
        <v/>
      </c>
      <c r="L113" t="str">
        <f t="shared" si="4"/>
        <v/>
      </c>
      <c r="M113" t="str">
        <f t="shared" si="5"/>
        <v/>
      </c>
      <c r="N113" t="str">
        <f t="shared" si="6"/>
        <v/>
      </c>
    </row>
    <row r="114" spans="8:14" x14ac:dyDescent="0.25">
      <c r="H114" t="str">
        <f>IF(I113=0,"",INDEX('[1]Grade Project'!$K:$K,MATCH(CONCATENATE($A$5,$A$8),'[1]Grade Project'!$H:$H,0)+SUM($I$3:I113)))</f>
        <v/>
      </c>
      <c r="I114">
        <f>COUNTIFS('[1]Grade Project'!$G:$G,$A$8,'[1]Grade Project'!$K:$K,H114,'[1]Grade Project'!$F:$F,$A$5)</f>
        <v>0</v>
      </c>
      <c r="J114" t="str">
        <f>IFERROR(AVERAGEIFS('[1]Grade Project'!$N:$N,'[1]Grade Project'!$K:$K,H114,'[1]Grade Project'!$F:$F,$A$5,'[1]Grade Project'!$G:$G,$A$8),"")</f>
        <v/>
      </c>
      <c r="K114" t="str">
        <f>IFERROR(AVERAGEIFS('[1]Grade Project'!$O:$O,'[1]Grade Project'!$K:$K,H114,'[1]Grade Project'!$F:$F,$A$5,'[1]Grade Project'!$G:$G,$A$8),"")</f>
        <v/>
      </c>
      <c r="L114" t="str">
        <f t="shared" si="4"/>
        <v/>
      </c>
      <c r="M114" t="str">
        <f t="shared" si="5"/>
        <v/>
      </c>
      <c r="N114" t="str">
        <f t="shared" si="6"/>
        <v/>
      </c>
    </row>
    <row r="115" spans="8:14" x14ac:dyDescent="0.25">
      <c r="H115" t="str">
        <f>IF(I114=0,"",INDEX('[1]Grade Project'!$K:$K,MATCH(CONCATENATE($A$5,$A$8),'[1]Grade Project'!$H:$H,0)+SUM($I$3:I114)))</f>
        <v/>
      </c>
      <c r="I115">
        <f>COUNTIFS('[1]Grade Project'!$G:$G,$A$8,'[1]Grade Project'!$K:$K,H115,'[1]Grade Project'!$F:$F,$A$5)</f>
        <v>0</v>
      </c>
      <c r="J115" t="str">
        <f>IFERROR(AVERAGEIFS('[1]Grade Project'!$N:$N,'[1]Grade Project'!$K:$K,H115,'[1]Grade Project'!$F:$F,$A$5,'[1]Grade Project'!$G:$G,$A$8),"")</f>
        <v/>
      </c>
      <c r="K115" t="str">
        <f>IFERROR(AVERAGEIFS('[1]Grade Project'!$O:$O,'[1]Grade Project'!$K:$K,H115,'[1]Grade Project'!$F:$F,$A$5,'[1]Grade Project'!$G:$G,$A$8),"")</f>
        <v/>
      </c>
      <c r="L115" t="str">
        <f t="shared" si="4"/>
        <v/>
      </c>
      <c r="M115" t="str">
        <f t="shared" si="5"/>
        <v/>
      </c>
      <c r="N115" t="str">
        <f t="shared" si="6"/>
        <v/>
      </c>
    </row>
    <row r="116" spans="8:14" x14ac:dyDescent="0.25">
      <c r="H116" t="str">
        <f>IF(I115=0,"",INDEX('[1]Grade Project'!$K:$K,MATCH(CONCATENATE($A$5,$A$8),'[1]Grade Project'!$H:$H,0)+SUM($I$3:I115)))</f>
        <v/>
      </c>
      <c r="I116">
        <f>COUNTIFS('[1]Grade Project'!$G:$G,$A$8,'[1]Grade Project'!$K:$K,H116,'[1]Grade Project'!$F:$F,$A$5)</f>
        <v>0</v>
      </c>
      <c r="J116" t="str">
        <f>IFERROR(AVERAGEIFS('[1]Grade Project'!$N:$N,'[1]Grade Project'!$K:$K,H116,'[1]Grade Project'!$F:$F,$A$5,'[1]Grade Project'!$G:$G,$A$8),"")</f>
        <v/>
      </c>
      <c r="K116" t="str">
        <f>IFERROR(AVERAGEIFS('[1]Grade Project'!$O:$O,'[1]Grade Project'!$K:$K,H116,'[1]Grade Project'!$F:$F,$A$5,'[1]Grade Project'!$G:$G,$A$8),"")</f>
        <v/>
      </c>
      <c r="L116" t="str">
        <f t="shared" si="4"/>
        <v/>
      </c>
      <c r="M116" t="str">
        <f t="shared" si="5"/>
        <v/>
      </c>
      <c r="N116" t="str">
        <f t="shared" si="6"/>
        <v/>
      </c>
    </row>
    <row r="117" spans="8:14" x14ac:dyDescent="0.25">
      <c r="H117" t="str">
        <f>IF(I116=0,"",INDEX('[1]Grade Project'!$K:$K,MATCH(CONCATENATE($A$5,$A$8),'[1]Grade Project'!$H:$H,0)+SUM($I$3:I116)))</f>
        <v/>
      </c>
      <c r="I117">
        <f>COUNTIFS('[1]Grade Project'!$G:$G,$A$8,'[1]Grade Project'!$K:$K,H117,'[1]Grade Project'!$F:$F,$A$5)</f>
        <v>0</v>
      </c>
      <c r="J117" t="str">
        <f>IFERROR(AVERAGEIFS('[1]Grade Project'!$N:$N,'[1]Grade Project'!$K:$K,H117,'[1]Grade Project'!$F:$F,$A$5,'[1]Grade Project'!$G:$G,$A$8),"")</f>
        <v/>
      </c>
      <c r="K117" t="str">
        <f>IFERROR(AVERAGEIFS('[1]Grade Project'!$O:$O,'[1]Grade Project'!$K:$K,H117,'[1]Grade Project'!$F:$F,$A$5,'[1]Grade Project'!$G:$G,$A$8),"")</f>
        <v/>
      </c>
      <c r="L117" t="str">
        <f t="shared" si="4"/>
        <v/>
      </c>
      <c r="M117" t="str">
        <f t="shared" si="5"/>
        <v/>
      </c>
      <c r="N117" t="str">
        <f t="shared" si="6"/>
        <v/>
      </c>
    </row>
    <row r="118" spans="8:14" x14ac:dyDescent="0.25">
      <c r="H118" t="str">
        <f>IF(I117=0,"",INDEX('[1]Grade Project'!$K:$K,MATCH(CONCATENATE($A$5,$A$8),'[1]Grade Project'!$H:$H,0)+SUM($I$3:I117)))</f>
        <v/>
      </c>
      <c r="I118">
        <f>COUNTIFS('[1]Grade Project'!$G:$G,$A$8,'[1]Grade Project'!$K:$K,H118,'[1]Grade Project'!$F:$F,$A$5)</f>
        <v>0</v>
      </c>
      <c r="J118" t="str">
        <f>IFERROR(AVERAGEIFS('[1]Grade Project'!$N:$N,'[1]Grade Project'!$K:$K,H118,'[1]Grade Project'!$F:$F,$A$5,'[1]Grade Project'!$G:$G,$A$8),"")</f>
        <v/>
      </c>
      <c r="K118" t="str">
        <f>IFERROR(AVERAGEIFS('[1]Grade Project'!$O:$O,'[1]Grade Project'!$K:$K,H118,'[1]Grade Project'!$F:$F,$A$5,'[1]Grade Project'!$G:$G,$A$8),"")</f>
        <v/>
      </c>
      <c r="L118" t="str">
        <f t="shared" si="4"/>
        <v/>
      </c>
      <c r="M118" t="str">
        <f t="shared" si="5"/>
        <v/>
      </c>
      <c r="N118" t="str">
        <f t="shared" si="6"/>
        <v/>
      </c>
    </row>
    <row r="119" spans="8:14" x14ac:dyDescent="0.25">
      <c r="H119" t="str">
        <f>IF(I118=0,"",INDEX('[1]Grade Project'!$K:$K,MATCH(CONCATENATE($A$5,$A$8),'[1]Grade Project'!$H:$H,0)+SUM($I$3:I118)))</f>
        <v/>
      </c>
      <c r="I119">
        <f>COUNTIFS('[1]Grade Project'!$G:$G,$A$8,'[1]Grade Project'!$K:$K,H119,'[1]Grade Project'!$F:$F,$A$5)</f>
        <v>0</v>
      </c>
      <c r="J119" t="str">
        <f>IFERROR(AVERAGEIFS('[1]Grade Project'!$N:$N,'[1]Grade Project'!$K:$K,H119,'[1]Grade Project'!$F:$F,$A$5,'[1]Grade Project'!$G:$G,$A$8),"")</f>
        <v/>
      </c>
      <c r="K119" t="str">
        <f>IFERROR(AVERAGEIFS('[1]Grade Project'!$O:$O,'[1]Grade Project'!$K:$K,H119,'[1]Grade Project'!$F:$F,$A$5,'[1]Grade Project'!$G:$G,$A$8),"")</f>
        <v/>
      </c>
      <c r="L119" t="str">
        <f t="shared" si="4"/>
        <v/>
      </c>
      <c r="M119" t="str">
        <f t="shared" si="5"/>
        <v/>
      </c>
      <c r="N119" t="str">
        <f t="shared" si="6"/>
        <v/>
      </c>
    </row>
    <row r="120" spans="8:14" x14ac:dyDescent="0.25">
      <c r="H120" t="str">
        <f>IF(I119=0,"",INDEX('[1]Grade Project'!$K:$K,MATCH(CONCATENATE($A$5,$A$8),'[1]Grade Project'!$H:$H,0)+SUM($I$3:I119)))</f>
        <v/>
      </c>
      <c r="I120">
        <f>COUNTIFS('[1]Grade Project'!$G:$G,$A$8,'[1]Grade Project'!$K:$K,H120,'[1]Grade Project'!$F:$F,$A$5)</f>
        <v>0</v>
      </c>
      <c r="J120" t="str">
        <f>IFERROR(AVERAGEIFS('[1]Grade Project'!$N:$N,'[1]Grade Project'!$K:$K,H120,'[1]Grade Project'!$F:$F,$A$5,'[1]Grade Project'!$G:$G,$A$8),"")</f>
        <v/>
      </c>
      <c r="K120" t="str">
        <f>IFERROR(AVERAGEIFS('[1]Grade Project'!$O:$O,'[1]Grade Project'!$K:$K,H120,'[1]Grade Project'!$F:$F,$A$5,'[1]Grade Project'!$G:$G,$A$8),"")</f>
        <v/>
      </c>
      <c r="L120" t="str">
        <f t="shared" si="4"/>
        <v/>
      </c>
      <c r="M120" t="str">
        <f t="shared" si="5"/>
        <v/>
      </c>
      <c r="N120" t="str">
        <f t="shared" si="6"/>
        <v/>
      </c>
    </row>
    <row r="121" spans="8:14" x14ac:dyDescent="0.25">
      <c r="H121" t="str">
        <f>IF(I120=0,"",INDEX('[1]Grade Project'!$K:$K,MATCH(CONCATENATE($A$5,$A$8),'[1]Grade Project'!$H:$H,0)+SUM($I$3:I120)))</f>
        <v/>
      </c>
      <c r="I121">
        <f>COUNTIFS('[1]Grade Project'!$G:$G,$A$8,'[1]Grade Project'!$K:$K,H121,'[1]Grade Project'!$F:$F,$A$5)</f>
        <v>0</v>
      </c>
      <c r="J121" t="str">
        <f>IFERROR(AVERAGEIFS('[1]Grade Project'!$N:$N,'[1]Grade Project'!$K:$K,H121,'[1]Grade Project'!$F:$F,$A$5,'[1]Grade Project'!$G:$G,$A$8),"")</f>
        <v/>
      </c>
      <c r="K121" t="str">
        <f>IFERROR(AVERAGEIFS('[1]Grade Project'!$O:$O,'[1]Grade Project'!$K:$K,H121,'[1]Grade Project'!$F:$F,$A$5,'[1]Grade Project'!$G:$G,$A$8),"")</f>
        <v/>
      </c>
      <c r="L121" t="str">
        <f t="shared" si="4"/>
        <v/>
      </c>
      <c r="M121" t="str">
        <f t="shared" si="5"/>
        <v/>
      </c>
      <c r="N121" t="str">
        <f t="shared" si="6"/>
        <v/>
      </c>
    </row>
    <row r="122" spans="8:14" x14ac:dyDescent="0.25">
      <c r="H122" t="str">
        <f>IF(I121=0,"",INDEX('[1]Grade Project'!$K:$K,MATCH(CONCATENATE($A$5,$A$8),'[1]Grade Project'!$H:$H,0)+SUM($I$3:I121)))</f>
        <v/>
      </c>
      <c r="I122">
        <f>COUNTIFS('[1]Grade Project'!$G:$G,$A$8,'[1]Grade Project'!$K:$K,H122,'[1]Grade Project'!$F:$F,$A$5)</f>
        <v>0</v>
      </c>
      <c r="J122" t="str">
        <f>IFERROR(AVERAGEIFS('[1]Grade Project'!$N:$N,'[1]Grade Project'!$K:$K,H122,'[1]Grade Project'!$F:$F,$A$5,'[1]Grade Project'!$G:$G,$A$8),"")</f>
        <v/>
      </c>
      <c r="K122" t="str">
        <f>IFERROR(AVERAGEIFS('[1]Grade Project'!$O:$O,'[1]Grade Project'!$K:$K,H122,'[1]Grade Project'!$F:$F,$A$5,'[1]Grade Project'!$G:$G,$A$8),"")</f>
        <v/>
      </c>
      <c r="L122" t="str">
        <f t="shared" si="4"/>
        <v/>
      </c>
      <c r="M122" t="str">
        <f t="shared" si="5"/>
        <v/>
      </c>
      <c r="N122" t="str">
        <f t="shared" si="6"/>
        <v/>
      </c>
    </row>
    <row r="123" spans="8:14" x14ac:dyDescent="0.25">
      <c r="H123" t="str">
        <f>IF(I122=0,"",INDEX('[1]Grade Project'!$K:$K,MATCH(CONCATENATE($A$5,$A$8),'[1]Grade Project'!$H:$H,0)+SUM($I$3:I122)))</f>
        <v/>
      </c>
      <c r="I123">
        <f>COUNTIFS('[1]Grade Project'!$G:$G,$A$8,'[1]Grade Project'!$K:$K,H123,'[1]Grade Project'!$F:$F,$A$5)</f>
        <v>0</v>
      </c>
      <c r="J123" t="str">
        <f>IFERROR(AVERAGEIFS('[1]Grade Project'!$N:$N,'[1]Grade Project'!$K:$K,H123,'[1]Grade Project'!$F:$F,$A$5,'[1]Grade Project'!$G:$G,$A$8),"")</f>
        <v/>
      </c>
      <c r="K123" t="str">
        <f>IFERROR(AVERAGEIFS('[1]Grade Project'!$O:$O,'[1]Grade Project'!$K:$K,H123,'[1]Grade Project'!$F:$F,$A$5,'[1]Grade Project'!$G:$G,$A$8),"")</f>
        <v/>
      </c>
      <c r="L123" t="str">
        <f t="shared" si="4"/>
        <v/>
      </c>
      <c r="M123" t="str">
        <f t="shared" si="5"/>
        <v/>
      </c>
      <c r="N123" t="str">
        <f t="shared" si="6"/>
        <v/>
      </c>
    </row>
    <row r="124" spans="8:14" x14ac:dyDescent="0.25">
      <c r="H124" t="str">
        <f>IF(I123=0,"",INDEX('[1]Grade Project'!$K:$K,MATCH(CONCATENATE($A$5,$A$8),'[1]Grade Project'!$H:$H,0)+SUM($I$3:I123)))</f>
        <v/>
      </c>
      <c r="I124">
        <f>COUNTIFS('[1]Grade Project'!$G:$G,$A$8,'[1]Grade Project'!$K:$K,H124,'[1]Grade Project'!$F:$F,$A$5)</f>
        <v>0</v>
      </c>
      <c r="J124" t="str">
        <f>IFERROR(AVERAGEIFS('[1]Grade Project'!$N:$N,'[1]Grade Project'!$K:$K,H124,'[1]Grade Project'!$F:$F,$A$5,'[1]Grade Project'!$G:$G,$A$8),"")</f>
        <v/>
      </c>
      <c r="K124" t="str">
        <f>IFERROR(AVERAGEIFS('[1]Grade Project'!$O:$O,'[1]Grade Project'!$K:$K,H124,'[1]Grade Project'!$F:$F,$A$5,'[1]Grade Project'!$G:$G,$A$8),"")</f>
        <v/>
      </c>
      <c r="L124" t="str">
        <f t="shared" si="4"/>
        <v/>
      </c>
      <c r="M124" t="str">
        <f t="shared" si="5"/>
        <v/>
      </c>
      <c r="N124" t="str">
        <f t="shared" si="6"/>
        <v/>
      </c>
    </row>
    <row r="125" spans="8:14" x14ac:dyDescent="0.25">
      <c r="H125" t="str">
        <f>IF(I124=0,"",INDEX('[1]Grade Project'!$K:$K,MATCH(CONCATENATE($A$5,$A$8),'[1]Grade Project'!$H:$H,0)+SUM($I$3:I124)))</f>
        <v/>
      </c>
      <c r="I125">
        <f>COUNTIFS('[1]Grade Project'!$G:$G,$A$8,'[1]Grade Project'!$K:$K,H125,'[1]Grade Project'!$F:$F,$A$5)</f>
        <v>0</v>
      </c>
      <c r="J125" t="str">
        <f>IFERROR(AVERAGEIFS('[1]Grade Project'!$N:$N,'[1]Grade Project'!$K:$K,H125,'[1]Grade Project'!$F:$F,$A$5,'[1]Grade Project'!$G:$G,$A$8),"")</f>
        <v/>
      </c>
      <c r="K125" t="str">
        <f>IFERROR(AVERAGEIFS('[1]Grade Project'!$O:$O,'[1]Grade Project'!$K:$K,H125,'[1]Grade Project'!$F:$F,$A$5,'[1]Grade Project'!$G:$G,$A$8),"")</f>
        <v/>
      </c>
      <c r="L125" t="str">
        <f t="shared" si="4"/>
        <v/>
      </c>
      <c r="M125" t="str">
        <f t="shared" si="5"/>
        <v/>
      </c>
      <c r="N125" t="str">
        <f t="shared" si="6"/>
        <v/>
      </c>
    </row>
    <row r="126" spans="8:14" x14ac:dyDescent="0.25">
      <c r="H126" t="str">
        <f>IF(I125=0,"",INDEX('[1]Grade Project'!$K:$K,MATCH(CONCATENATE($A$5,$A$8),'[1]Grade Project'!$H:$H,0)+SUM($I$3:I125)))</f>
        <v/>
      </c>
      <c r="I126">
        <f>COUNTIFS('[1]Grade Project'!$G:$G,$A$8,'[1]Grade Project'!$K:$K,H126,'[1]Grade Project'!$F:$F,$A$5)</f>
        <v>0</v>
      </c>
      <c r="J126" t="str">
        <f>IFERROR(AVERAGEIFS('[1]Grade Project'!$N:$N,'[1]Grade Project'!$K:$K,H126,'[1]Grade Project'!$F:$F,$A$5,'[1]Grade Project'!$G:$G,$A$8),"")</f>
        <v/>
      </c>
      <c r="K126" t="str">
        <f>IFERROR(AVERAGEIFS('[1]Grade Project'!$O:$O,'[1]Grade Project'!$K:$K,H126,'[1]Grade Project'!$F:$F,$A$5,'[1]Grade Project'!$G:$G,$A$8),"")</f>
        <v/>
      </c>
      <c r="L126" t="str">
        <f t="shared" si="4"/>
        <v/>
      </c>
      <c r="M126" t="str">
        <f t="shared" si="5"/>
        <v/>
      </c>
      <c r="N126" t="str">
        <f t="shared" si="6"/>
        <v/>
      </c>
    </row>
    <row r="127" spans="8:14" x14ac:dyDescent="0.25">
      <c r="H127" t="str">
        <f>IF(I126=0,"",INDEX('[1]Grade Project'!$K:$K,MATCH(CONCATENATE($A$5,$A$8),'[1]Grade Project'!$H:$H,0)+SUM($I$3:I126)))</f>
        <v/>
      </c>
      <c r="I127">
        <f>COUNTIFS('[1]Grade Project'!$G:$G,$A$8,'[1]Grade Project'!$K:$K,H127,'[1]Grade Project'!$F:$F,$A$5)</f>
        <v>0</v>
      </c>
      <c r="J127" t="str">
        <f>IFERROR(AVERAGEIFS('[1]Grade Project'!$N:$N,'[1]Grade Project'!$K:$K,H127,'[1]Grade Project'!$F:$F,$A$5,'[1]Grade Project'!$G:$G,$A$8),"")</f>
        <v/>
      </c>
      <c r="K127" t="str">
        <f>IFERROR(AVERAGEIFS('[1]Grade Project'!$O:$O,'[1]Grade Project'!$K:$K,H127,'[1]Grade Project'!$F:$F,$A$5,'[1]Grade Project'!$G:$G,$A$8),"")</f>
        <v/>
      </c>
      <c r="L127" t="str">
        <f t="shared" si="4"/>
        <v/>
      </c>
      <c r="M127" t="str">
        <f t="shared" si="5"/>
        <v/>
      </c>
      <c r="N127" t="str">
        <f t="shared" si="6"/>
        <v/>
      </c>
    </row>
    <row r="128" spans="8:14" x14ac:dyDescent="0.25">
      <c r="H128" t="str">
        <f>IF(I127=0,"",INDEX('[1]Grade Project'!$K:$K,MATCH(CONCATENATE($A$5,$A$8),'[1]Grade Project'!$H:$H,0)+SUM($I$3:I127)))</f>
        <v/>
      </c>
      <c r="I128">
        <f>COUNTIFS('[1]Grade Project'!$G:$G,$A$8,'[1]Grade Project'!$K:$K,H128,'[1]Grade Project'!$F:$F,$A$5)</f>
        <v>0</v>
      </c>
      <c r="J128" t="str">
        <f>IFERROR(AVERAGEIFS('[1]Grade Project'!$N:$N,'[1]Grade Project'!$K:$K,H128,'[1]Grade Project'!$F:$F,$A$5,'[1]Grade Project'!$G:$G,$A$8),"")</f>
        <v/>
      </c>
      <c r="K128" t="str">
        <f>IFERROR(AVERAGEIFS('[1]Grade Project'!$O:$O,'[1]Grade Project'!$K:$K,H128,'[1]Grade Project'!$F:$F,$A$5,'[1]Grade Project'!$G:$G,$A$8),"")</f>
        <v/>
      </c>
      <c r="L128" t="str">
        <f t="shared" si="4"/>
        <v/>
      </c>
      <c r="M128" t="str">
        <f t="shared" si="5"/>
        <v/>
      </c>
      <c r="N128" t="str">
        <f t="shared" si="6"/>
        <v/>
      </c>
    </row>
    <row r="129" spans="8:14" x14ac:dyDescent="0.25">
      <c r="H129" t="str">
        <f>IF(I128=0,"",INDEX('[1]Grade Project'!$K:$K,MATCH(CONCATENATE($A$5,$A$8),'[1]Grade Project'!$H:$H,0)+SUM($I$3:I128)))</f>
        <v/>
      </c>
      <c r="I129">
        <f>COUNTIFS('[1]Grade Project'!$G:$G,$A$8,'[1]Grade Project'!$K:$K,H129,'[1]Grade Project'!$F:$F,$A$5)</f>
        <v>0</v>
      </c>
      <c r="J129" t="str">
        <f>IFERROR(AVERAGEIFS('[1]Grade Project'!$N:$N,'[1]Grade Project'!$K:$K,H129,'[1]Grade Project'!$F:$F,$A$5,'[1]Grade Project'!$G:$G,$A$8),"")</f>
        <v/>
      </c>
      <c r="K129" t="str">
        <f>IFERROR(AVERAGEIFS('[1]Grade Project'!$O:$O,'[1]Grade Project'!$K:$K,H129,'[1]Grade Project'!$F:$F,$A$5,'[1]Grade Project'!$G:$G,$A$8),"")</f>
        <v/>
      </c>
      <c r="L129" t="str">
        <f t="shared" si="4"/>
        <v/>
      </c>
      <c r="M129" t="str">
        <f t="shared" si="5"/>
        <v/>
      </c>
      <c r="N129" t="str">
        <f t="shared" si="6"/>
        <v/>
      </c>
    </row>
    <row r="130" spans="8:14" x14ac:dyDescent="0.25">
      <c r="H130" t="str">
        <f>IF(I129=0,"",INDEX('[1]Grade Project'!$K:$K,MATCH(CONCATENATE($A$5,$A$8),'[1]Grade Project'!$H:$H,0)+SUM($I$3:I129)))</f>
        <v/>
      </c>
      <c r="I130">
        <f>COUNTIFS('[1]Grade Project'!$G:$G,$A$8,'[1]Grade Project'!$K:$K,H130,'[1]Grade Project'!$F:$F,$A$5)</f>
        <v>0</v>
      </c>
      <c r="J130" t="str">
        <f>IFERROR(AVERAGEIFS('[1]Grade Project'!$N:$N,'[1]Grade Project'!$K:$K,H130,'[1]Grade Project'!$F:$F,$A$5,'[1]Grade Project'!$G:$G,$A$8),"")</f>
        <v/>
      </c>
      <c r="K130" t="str">
        <f>IFERROR(AVERAGEIFS('[1]Grade Project'!$O:$O,'[1]Grade Project'!$K:$K,H130,'[1]Grade Project'!$F:$F,$A$5,'[1]Grade Project'!$G:$G,$A$8),"")</f>
        <v/>
      </c>
      <c r="L130" t="str">
        <f t="shared" si="4"/>
        <v/>
      </c>
      <c r="M130" t="str">
        <f t="shared" si="5"/>
        <v/>
      </c>
      <c r="N130" t="str">
        <f t="shared" si="6"/>
        <v/>
      </c>
    </row>
    <row r="131" spans="8:14" x14ac:dyDescent="0.25">
      <c r="H131" t="str">
        <f>IF(I130=0,"",INDEX('[1]Grade Project'!$K:$K,MATCH(CONCATENATE($A$5,$A$8),'[1]Grade Project'!$H:$H,0)+SUM($I$3:I130)))</f>
        <v/>
      </c>
      <c r="I131">
        <f>COUNTIFS('[1]Grade Project'!$G:$G,$A$8,'[1]Grade Project'!$K:$K,H131,'[1]Grade Project'!$F:$F,$A$5)</f>
        <v>0</v>
      </c>
      <c r="J131" t="str">
        <f>IFERROR(AVERAGEIFS('[1]Grade Project'!$N:$N,'[1]Grade Project'!$K:$K,H131,'[1]Grade Project'!$F:$F,$A$5,'[1]Grade Project'!$G:$G,$A$8),"")</f>
        <v/>
      </c>
      <c r="K131" t="str">
        <f>IFERROR(AVERAGEIFS('[1]Grade Project'!$O:$O,'[1]Grade Project'!$K:$K,H131,'[1]Grade Project'!$F:$F,$A$5,'[1]Grade Project'!$G:$G,$A$8),"")</f>
        <v/>
      </c>
      <c r="L131" t="str">
        <f t="shared" si="4"/>
        <v/>
      </c>
      <c r="M131" t="str">
        <f t="shared" si="5"/>
        <v/>
      </c>
      <c r="N131" t="str">
        <f t="shared" si="6"/>
        <v/>
      </c>
    </row>
    <row r="132" spans="8:14" x14ac:dyDescent="0.25">
      <c r="H132" t="str">
        <f>IF(I131=0,"",INDEX('[1]Grade Project'!$K:$K,MATCH(CONCATENATE($A$5,$A$8),'[1]Grade Project'!$H:$H,0)+SUM($I$3:I131)))</f>
        <v/>
      </c>
      <c r="I132">
        <f>COUNTIFS('[1]Grade Project'!$G:$G,$A$8,'[1]Grade Project'!$K:$K,H132,'[1]Grade Project'!$F:$F,$A$5)</f>
        <v>0</v>
      </c>
      <c r="J132" t="str">
        <f>IFERROR(AVERAGEIFS('[1]Grade Project'!$N:$N,'[1]Grade Project'!$K:$K,H132,'[1]Grade Project'!$F:$F,$A$5,'[1]Grade Project'!$G:$G,$A$8),"")</f>
        <v/>
      </c>
      <c r="K132" t="str">
        <f>IFERROR(AVERAGEIFS('[1]Grade Project'!$O:$O,'[1]Grade Project'!$K:$K,H132,'[1]Grade Project'!$F:$F,$A$5,'[1]Grade Project'!$G:$G,$A$8),"")</f>
        <v/>
      </c>
      <c r="L132" t="str">
        <f t="shared" ref="L132:L146" si="7">IFERROR(K132/J132,"")</f>
        <v/>
      </c>
      <c r="M132" t="str">
        <f t="shared" ref="M132:M146" si="8">IFERROR(_xlfn.RANK.EQ(L132,L:L),"")</f>
        <v/>
      </c>
      <c r="N132" t="str">
        <f t="shared" ref="N132:N146" si="9">IFERROR(MAX(M:M)-M132+1,"")</f>
        <v/>
      </c>
    </row>
    <row r="133" spans="8:14" x14ac:dyDescent="0.25">
      <c r="H133" t="str">
        <f>IF(I132=0,"",INDEX('[1]Grade Project'!$K:$K,MATCH(CONCATENATE($A$5,$A$8),'[1]Grade Project'!$H:$H,0)+SUM($I$3:I132)))</f>
        <v/>
      </c>
      <c r="I133">
        <f>COUNTIFS('[1]Grade Project'!$G:$G,$A$8,'[1]Grade Project'!$K:$K,H133,'[1]Grade Project'!$F:$F,$A$5)</f>
        <v>0</v>
      </c>
      <c r="J133" t="str">
        <f>IFERROR(AVERAGEIFS('[1]Grade Project'!$N:$N,'[1]Grade Project'!$K:$K,H133,'[1]Grade Project'!$F:$F,$A$5,'[1]Grade Project'!$G:$G,$A$8),"")</f>
        <v/>
      </c>
      <c r="K133" t="str">
        <f>IFERROR(AVERAGEIFS('[1]Grade Project'!$O:$O,'[1]Grade Project'!$K:$K,H133,'[1]Grade Project'!$F:$F,$A$5,'[1]Grade Project'!$G:$G,$A$8),"")</f>
        <v/>
      </c>
      <c r="L133" t="str">
        <f t="shared" si="7"/>
        <v/>
      </c>
      <c r="M133" t="str">
        <f t="shared" si="8"/>
        <v/>
      </c>
      <c r="N133" t="str">
        <f t="shared" si="9"/>
        <v/>
      </c>
    </row>
    <row r="134" spans="8:14" x14ac:dyDescent="0.25">
      <c r="H134" t="str">
        <f>IF(I133=0,"",INDEX('[1]Grade Project'!$K:$K,MATCH(CONCATENATE($A$5,$A$8),'[1]Grade Project'!$H:$H,0)+SUM($I$3:I133)))</f>
        <v/>
      </c>
      <c r="I134">
        <f>COUNTIFS('[1]Grade Project'!$G:$G,$A$8,'[1]Grade Project'!$K:$K,H134,'[1]Grade Project'!$F:$F,$A$5)</f>
        <v>0</v>
      </c>
      <c r="J134" t="str">
        <f>IFERROR(AVERAGEIFS('[1]Grade Project'!$N:$N,'[1]Grade Project'!$K:$K,H134,'[1]Grade Project'!$F:$F,$A$5,'[1]Grade Project'!$G:$G,$A$8),"")</f>
        <v/>
      </c>
      <c r="K134" t="str">
        <f>IFERROR(AVERAGEIFS('[1]Grade Project'!$O:$O,'[1]Grade Project'!$K:$K,H134,'[1]Grade Project'!$F:$F,$A$5,'[1]Grade Project'!$G:$G,$A$8),"")</f>
        <v/>
      </c>
      <c r="L134" t="str">
        <f t="shared" si="7"/>
        <v/>
      </c>
      <c r="M134" t="str">
        <f t="shared" si="8"/>
        <v/>
      </c>
      <c r="N134" t="str">
        <f t="shared" si="9"/>
        <v/>
      </c>
    </row>
    <row r="135" spans="8:14" x14ac:dyDescent="0.25">
      <c r="H135" t="str">
        <f>IF(I134=0,"",INDEX('[1]Grade Project'!$K:$K,MATCH(CONCATENATE($A$5,$A$8),'[1]Grade Project'!$H:$H,0)+SUM($I$3:I134)))</f>
        <v/>
      </c>
      <c r="I135">
        <f>COUNTIFS('[1]Grade Project'!$G:$G,$A$8,'[1]Grade Project'!$K:$K,H135,'[1]Grade Project'!$F:$F,$A$5)</f>
        <v>0</v>
      </c>
      <c r="J135" t="str">
        <f>IFERROR(AVERAGEIFS('[1]Grade Project'!$N:$N,'[1]Grade Project'!$K:$K,H135,'[1]Grade Project'!$F:$F,$A$5,'[1]Grade Project'!$G:$G,$A$8),"")</f>
        <v/>
      </c>
      <c r="K135" t="str">
        <f>IFERROR(AVERAGEIFS('[1]Grade Project'!$O:$O,'[1]Grade Project'!$K:$K,H135,'[1]Grade Project'!$F:$F,$A$5,'[1]Grade Project'!$G:$G,$A$8),"")</f>
        <v/>
      </c>
      <c r="L135" t="str">
        <f t="shared" si="7"/>
        <v/>
      </c>
      <c r="M135" t="str">
        <f t="shared" si="8"/>
        <v/>
      </c>
      <c r="N135" t="str">
        <f t="shared" si="9"/>
        <v/>
      </c>
    </row>
    <row r="136" spans="8:14" x14ac:dyDescent="0.25">
      <c r="H136" t="str">
        <f>IF(I135=0,"",INDEX('[1]Grade Project'!$K:$K,MATCH(CONCATENATE($A$5,$A$8),'[1]Grade Project'!$H:$H,0)+SUM($I$3:I135)))</f>
        <v/>
      </c>
      <c r="I136">
        <f>COUNTIFS('[1]Grade Project'!$G:$G,$A$8,'[1]Grade Project'!$K:$K,H136,'[1]Grade Project'!$F:$F,$A$5)</f>
        <v>0</v>
      </c>
      <c r="J136" t="str">
        <f>IFERROR(AVERAGEIFS('[1]Grade Project'!$N:$N,'[1]Grade Project'!$K:$K,H136,'[1]Grade Project'!$F:$F,$A$5,'[1]Grade Project'!$G:$G,$A$8),"")</f>
        <v/>
      </c>
      <c r="K136" t="str">
        <f>IFERROR(AVERAGEIFS('[1]Grade Project'!$O:$O,'[1]Grade Project'!$K:$K,H136,'[1]Grade Project'!$F:$F,$A$5,'[1]Grade Project'!$G:$G,$A$8),"")</f>
        <v/>
      </c>
      <c r="L136" t="str">
        <f t="shared" si="7"/>
        <v/>
      </c>
      <c r="M136" t="str">
        <f t="shared" si="8"/>
        <v/>
      </c>
      <c r="N136" t="str">
        <f t="shared" si="9"/>
        <v/>
      </c>
    </row>
    <row r="137" spans="8:14" x14ac:dyDescent="0.25">
      <c r="H137" t="str">
        <f>IF(I136=0,"",INDEX('[1]Grade Project'!$K:$K,MATCH(CONCATENATE($A$5,$A$8),'[1]Grade Project'!$H:$H,0)+SUM($I$3:I136)))</f>
        <v/>
      </c>
      <c r="I137">
        <f>COUNTIFS('[1]Grade Project'!$G:$G,$A$8,'[1]Grade Project'!$K:$K,H137,'[1]Grade Project'!$F:$F,$A$5)</f>
        <v>0</v>
      </c>
      <c r="J137" t="str">
        <f>IFERROR(AVERAGEIFS('[1]Grade Project'!$N:$N,'[1]Grade Project'!$K:$K,H137,'[1]Grade Project'!$F:$F,$A$5,'[1]Grade Project'!$G:$G,$A$8),"")</f>
        <v/>
      </c>
      <c r="K137" t="str">
        <f>IFERROR(AVERAGEIFS('[1]Grade Project'!$O:$O,'[1]Grade Project'!$K:$K,H137,'[1]Grade Project'!$F:$F,$A$5,'[1]Grade Project'!$G:$G,$A$8),"")</f>
        <v/>
      </c>
      <c r="L137" t="str">
        <f t="shared" si="7"/>
        <v/>
      </c>
      <c r="M137" t="str">
        <f t="shared" si="8"/>
        <v/>
      </c>
      <c r="N137" t="str">
        <f t="shared" si="9"/>
        <v/>
      </c>
    </row>
    <row r="138" spans="8:14" x14ac:dyDescent="0.25">
      <c r="H138" t="str">
        <f>IF(I137=0,"",INDEX('[1]Grade Project'!$K:$K,MATCH(CONCATENATE($A$5,$A$8),'[1]Grade Project'!$H:$H,0)+SUM($I$3:I137)))</f>
        <v/>
      </c>
      <c r="I138">
        <f>COUNTIFS('[1]Grade Project'!$G:$G,$A$8,'[1]Grade Project'!$K:$K,H138,'[1]Grade Project'!$F:$F,$A$5)</f>
        <v>0</v>
      </c>
      <c r="J138" t="str">
        <f>IFERROR(AVERAGEIFS('[1]Grade Project'!$N:$N,'[1]Grade Project'!$K:$K,H138,'[1]Grade Project'!$F:$F,$A$5,'[1]Grade Project'!$G:$G,$A$8),"")</f>
        <v/>
      </c>
      <c r="K138" t="str">
        <f>IFERROR(AVERAGEIFS('[1]Grade Project'!$O:$O,'[1]Grade Project'!$K:$K,H138,'[1]Grade Project'!$F:$F,$A$5,'[1]Grade Project'!$G:$G,$A$8),"")</f>
        <v/>
      </c>
      <c r="L138" t="str">
        <f t="shared" si="7"/>
        <v/>
      </c>
      <c r="M138" t="str">
        <f t="shared" si="8"/>
        <v/>
      </c>
      <c r="N138" t="str">
        <f t="shared" si="9"/>
        <v/>
      </c>
    </row>
    <row r="139" spans="8:14" x14ac:dyDescent="0.25">
      <c r="H139" t="str">
        <f>IF(I138=0,"",INDEX('[1]Grade Project'!$K:$K,MATCH(CONCATENATE($A$5,$A$8),'[1]Grade Project'!$H:$H,0)+SUM($I$3:I138)))</f>
        <v/>
      </c>
      <c r="I139">
        <f>COUNTIFS('[1]Grade Project'!$G:$G,$A$8,'[1]Grade Project'!$K:$K,H139,'[1]Grade Project'!$F:$F,$A$5)</f>
        <v>0</v>
      </c>
      <c r="J139" t="str">
        <f>IFERROR(AVERAGEIFS('[1]Grade Project'!$N:$N,'[1]Grade Project'!$K:$K,H139,'[1]Grade Project'!$F:$F,$A$5,'[1]Grade Project'!$G:$G,$A$8),"")</f>
        <v/>
      </c>
      <c r="K139" t="str">
        <f>IFERROR(AVERAGEIFS('[1]Grade Project'!$O:$O,'[1]Grade Project'!$K:$K,H139,'[1]Grade Project'!$F:$F,$A$5,'[1]Grade Project'!$G:$G,$A$8),"")</f>
        <v/>
      </c>
      <c r="L139" t="str">
        <f t="shared" si="7"/>
        <v/>
      </c>
      <c r="M139" t="str">
        <f t="shared" si="8"/>
        <v/>
      </c>
      <c r="N139" t="str">
        <f t="shared" si="9"/>
        <v/>
      </c>
    </row>
    <row r="140" spans="8:14" x14ac:dyDescent="0.25">
      <c r="H140" t="str">
        <f>IF(I139=0,"",INDEX('[1]Grade Project'!$K:$K,MATCH(CONCATENATE($A$5,$A$8),'[1]Grade Project'!$H:$H,0)+SUM($I$3:I139)))</f>
        <v/>
      </c>
      <c r="I140">
        <f>COUNTIFS('[1]Grade Project'!$G:$G,$A$8,'[1]Grade Project'!$K:$K,H140,'[1]Grade Project'!$F:$F,$A$5)</f>
        <v>0</v>
      </c>
      <c r="J140" t="str">
        <f>IFERROR(AVERAGEIFS('[1]Grade Project'!$N:$N,'[1]Grade Project'!$K:$K,H140,'[1]Grade Project'!$F:$F,$A$5,'[1]Grade Project'!$G:$G,$A$8),"")</f>
        <v/>
      </c>
      <c r="K140" t="str">
        <f>IFERROR(AVERAGEIFS('[1]Grade Project'!$O:$O,'[1]Grade Project'!$K:$K,H140,'[1]Grade Project'!$F:$F,$A$5,'[1]Grade Project'!$G:$G,$A$8),"")</f>
        <v/>
      </c>
      <c r="L140" t="str">
        <f t="shared" si="7"/>
        <v/>
      </c>
      <c r="M140" t="str">
        <f t="shared" si="8"/>
        <v/>
      </c>
      <c r="N140" t="str">
        <f t="shared" si="9"/>
        <v/>
      </c>
    </row>
    <row r="141" spans="8:14" x14ac:dyDescent="0.25">
      <c r="H141" t="str">
        <f>IF(I140=0,"",INDEX('[1]Grade Project'!$K:$K,MATCH(CONCATENATE($A$5,$A$8),'[1]Grade Project'!$H:$H,0)+SUM($I$3:I140)))</f>
        <v/>
      </c>
      <c r="I141">
        <f>COUNTIFS('[1]Grade Project'!$G:$G,$A$8,'[1]Grade Project'!$K:$K,H141,'[1]Grade Project'!$F:$F,$A$5)</f>
        <v>0</v>
      </c>
      <c r="J141" t="str">
        <f>IFERROR(AVERAGEIFS('[1]Grade Project'!$N:$N,'[1]Grade Project'!$K:$K,H141,'[1]Grade Project'!$F:$F,$A$5,'[1]Grade Project'!$G:$G,$A$8),"")</f>
        <v/>
      </c>
      <c r="K141" t="str">
        <f>IFERROR(AVERAGEIFS('[1]Grade Project'!$O:$O,'[1]Grade Project'!$K:$K,H141,'[1]Grade Project'!$F:$F,$A$5,'[1]Grade Project'!$G:$G,$A$8),"")</f>
        <v/>
      </c>
      <c r="L141" t="str">
        <f t="shared" si="7"/>
        <v/>
      </c>
      <c r="M141" t="str">
        <f t="shared" si="8"/>
        <v/>
      </c>
      <c r="N141" t="str">
        <f t="shared" si="9"/>
        <v/>
      </c>
    </row>
    <row r="142" spans="8:14" x14ac:dyDescent="0.25">
      <c r="H142" t="str">
        <f>IF(I141=0,"",INDEX('[1]Grade Project'!$K:$K,MATCH(CONCATENATE($A$5,$A$8),'[1]Grade Project'!$H:$H,0)+SUM($I$3:I141)))</f>
        <v/>
      </c>
      <c r="I142">
        <f>COUNTIFS('[1]Grade Project'!$G:$G,$A$8,'[1]Grade Project'!$K:$K,H142,'[1]Grade Project'!$F:$F,$A$5)</f>
        <v>0</v>
      </c>
      <c r="J142" t="str">
        <f>IFERROR(AVERAGEIFS('[1]Grade Project'!$N:$N,'[1]Grade Project'!$K:$K,H142,'[1]Grade Project'!$F:$F,$A$5,'[1]Grade Project'!$G:$G,$A$8),"")</f>
        <v/>
      </c>
      <c r="K142" t="str">
        <f>IFERROR(AVERAGEIFS('[1]Grade Project'!$O:$O,'[1]Grade Project'!$K:$K,H142,'[1]Grade Project'!$F:$F,$A$5,'[1]Grade Project'!$G:$G,$A$8),"")</f>
        <v/>
      </c>
      <c r="L142" t="str">
        <f t="shared" si="7"/>
        <v/>
      </c>
      <c r="M142" t="str">
        <f t="shared" si="8"/>
        <v/>
      </c>
      <c r="N142" t="str">
        <f t="shared" si="9"/>
        <v/>
      </c>
    </row>
    <row r="143" spans="8:14" x14ac:dyDescent="0.25">
      <c r="H143" t="str">
        <f>IF(I142=0,"",INDEX('[1]Grade Project'!$K:$K,MATCH(CONCATENATE($A$5,$A$8),'[1]Grade Project'!$H:$H,0)+SUM($I$3:I142)))</f>
        <v/>
      </c>
      <c r="I143">
        <f>COUNTIFS('[1]Grade Project'!$G:$G,$A$8,'[1]Grade Project'!$K:$K,H143,'[1]Grade Project'!$F:$F,$A$5)</f>
        <v>0</v>
      </c>
      <c r="J143" t="str">
        <f>IFERROR(AVERAGEIFS('[1]Grade Project'!$N:$N,'[1]Grade Project'!$K:$K,H143,'[1]Grade Project'!$F:$F,$A$5,'[1]Grade Project'!$G:$G,$A$8),"")</f>
        <v/>
      </c>
      <c r="K143" t="str">
        <f>IFERROR(AVERAGEIFS('[1]Grade Project'!$O:$O,'[1]Grade Project'!$K:$K,H143,'[1]Grade Project'!$F:$F,$A$5,'[1]Grade Project'!$G:$G,$A$8),"")</f>
        <v/>
      </c>
      <c r="L143" t="str">
        <f t="shared" si="7"/>
        <v/>
      </c>
      <c r="M143" t="str">
        <f t="shared" si="8"/>
        <v/>
      </c>
      <c r="N143" t="str">
        <f t="shared" si="9"/>
        <v/>
      </c>
    </row>
    <row r="144" spans="8:14" x14ac:dyDescent="0.25">
      <c r="H144" t="str">
        <f>IF(I143=0,"",INDEX('[1]Grade Project'!$K:$K,MATCH(CONCATENATE($A$5,$A$8),'[1]Grade Project'!$H:$H,0)+SUM($I$3:I143)))</f>
        <v/>
      </c>
      <c r="I144">
        <f>COUNTIFS('[1]Grade Project'!$G:$G,$A$8,'[1]Grade Project'!$K:$K,H144,'[1]Grade Project'!$F:$F,$A$5)</f>
        <v>0</v>
      </c>
      <c r="J144" t="str">
        <f>IFERROR(AVERAGEIFS('[1]Grade Project'!$N:$N,'[1]Grade Project'!$K:$K,H144,'[1]Grade Project'!$F:$F,$A$5,'[1]Grade Project'!$G:$G,$A$8),"")</f>
        <v/>
      </c>
      <c r="K144" t="str">
        <f>IFERROR(AVERAGEIFS('[1]Grade Project'!$O:$O,'[1]Grade Project'!$K:$K,H144,'[1]Grade Project'!$F:$F,$A$5,'[1]Grade Project'!$G:$G,$A$8),"")</f>
        <v/>
      </c>
      <c r="L144" t="str">
        <f t="shared" si="7"/>
        <v/>
      </c>
      <c r="M144" t="str">
        <f t="shared" si="8"/>
        <v/>
      </c>
      <c r="N144" t="str">
        <f t="shared" si="9"/>
        <v/>
      </c>
    </row>
    <row r="145" spans="8:14" x14ac:dyDescent="0.25">
      <c r="H145" t="str">
        <f>IF(I144=0,"",INDEX('[1]Grade Project'!$K:$K,MATCH(CONCATENATE($A$5,$A$8),'[1]Grade Project'!$H:$H,0)+SUM($I$3:I144)))</f>
        <v/>
      </c>
      <c r="I145">
        <f>COUNTIFS('[1]Grade Project'!$G:$G,$A$8,'[1]Grade Project'!$K:$K,H145,'[1]Grade Project'!$F:$F,$A$5)</f>
        <v>0</v>
      </c>
      <c r="J145" t="str">
        <f>IFERROR(AVERAGEIFS('[1]Grade Project'!$N:$N,'[1]Grade Project'!$K:$K,H145,'[1]Grade Project'!$F:$F,$A$5,'[1]Grade Project'!$G:$G,$A$8),"")</f>
        <v/>
      </c>
      <c r="K145" t="str">
        <f>IFERROR(AVERAGEIFS('[1]Grade Project'!$O:$O,'[1]Grade Project'!$K:$K,H145,'[1]Grade Project'!$F:$F,$A$5,'[1]Grade Project'!$G:$G,$A$8),"")</f>
        <v/>
      </c>
      <c r="L145" t="str">
        <f t="shared" si="7"/>
        <v/>
      </c>
      <c r="M145" t="str">
        <f t="shared" si="8"/>
        <v/>
      </c>
      <c r="N145" t="str">
        <f t="shared" si="9"/>
        <v/>
      </c>
    </row>
    <row r="146" spans="8:14" x14ac:dyDescent="0.25">
      <c r="H146" t="str">
        <f>IF(I145=0,"",INDEX('[1]Grade Project'!$K:$K,MATCH(CONCATENATE($A$5,$A$8),'[1]Grade Project'!$H:$H,0)+SUM($I$3:I145)))</f>
        <v/>
      </c>
      <c r="I146">
        <f>COUNTIFS('[1]Grade Project'!$G:$G,$A$8,'[1]Grade Project'!$K:$K,H146,'[1]Grade Project'!$F:$F,$A$5)</f>
        <v>0</v>
      </c>
      <c r="J146" t="str">
        <f>IFERROR(AVERAGEIFS('[1]Grade Project'!$N:$N,'[1]Grade Project'!$K:$K,H146,'[1]Grade Project'!$F:$F,$A$5,'[1]Grade Project'!$G:$G,$A$8),"")</f>
        <v/>
      </c>
      <c r="K146" t="str">
        <f>IFERROR(AVERAGEIFS('[1]Grade Project'!$O:$O,'[1]Grade Project'!$K:$K,H146,'[1]Grade Project'!$F:$F,$A$5,'[1]Grade Project'!$G:$G,$A$8),"")</f>
        <v/>
      </c>
      <c r="L146" t="str">
        <f t="shared" si="7"/>
        <v/>
      </c>
      <c r="M146" t="str">
        <f t="shared" si="8"/>
        <v/>
      </c>
      <c r="N146" t="str">
        <f t="shared" si="9"/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46"/>
  <sheetViews>
    <sheetView topLeftCell="A2" workbookViewId="0">
      <selection activeCell="C15" sqref="C15"/>
    </sheetView>
  </sheetViews>
  <sheetFormatPr defaultRowHeight="15" x14ac:dyDescent="0.25"/>
  <cols>
    <col min="1" max="2" width="12.5703125" bestFit="1" customWidth="1"/>
    <col min="5" max="5" width="13.42578125" bestFit="1" customWidth="1"/>
    <col min="8" max="8" width="22.140625" bestFit="1" customWidth="1"/>
    <col min="10" max="10" width="12.140625" bestFit="1" customWidth="1"/>
    <col min="11" max="11" width="13.140625" bestFit="1" customWidth="1"/>
    <col min="14" max="14" width="13.85546875" bestFit="1" customWidth="1"/>
  </cols>
  <sheetData>
    <row r="1" spans="1:15" x14ac:dyDescent="0.25">
      <c r="B1" t="s">
        <v>100</v>
      </c>
      <c r="C1" t="s">
        <v>103</v>
      </c>
      <c r="D1" t="s">
        <v>104</v>
      </c>
      <c r="E1" t="s">
        <v>107</v>
      </c>
      <c r="F1" t="s">
        <v>105</v>
      </c>
      <c r="G1" t="s">
        <v>106</v>
      </c>
      <c r="H1" t="s">
        <v>108</v>
      </c>
      <c r="I1" t="s">
        <v>109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</row>
    <row r="2" spans="1:15" x14ac:dyDescent="0.25">
      <c r="A2" t="s">
        <v>101</v>
      </c>
      <c r="E2" s="1"/>
    </row>
    <row r="3" spans="1:15" x14ac:dyDescent="0.25">
      <c r="A3">
        <f>Schedule!B10</f>
        <v>0</v>
      </c>
      <c r="B3" t="s">
        <v>3</v>
      </c>
      <c r="C3" t="e">
        <f>INDEX('[1]Grade Project'!$F:$F,MATCH($A$3,'[1]Grade Project'!$E:$E,0))</f>
        <v>#N/A</v>
      </c>
      <c r="D3">
        <f>COUNTIFS('[1]Grade Project'!$E:$E,$A$3,'[1]Grade Project'!$F:$F,C3)</f>
        <v>0</v>
      </c>
      <c r="E3" t="str">
        <f>IFERROR(RIGHT(C3,LEN(C3)-FIND("-",C3)),"")</f>
        <v/>
      </c>
      <c r="F3" t="e">
        <f>INDEX('[1]Grade Project'!$G:$G,MATCH($A$5,'[1]Grade Project'!$F:$F,0))</f>
        <v>#N/A</v>
      </c>
      <c r="G3">
        <f>COUNTIFS('[1]Grade Project'!$F:$F,$A$5,'[1]Grade Project'!$G:$G,F3)</f>
        <v>0</v>
      </c>
      <c r="H3" t="e">
        <f>INDEX('[1]Grade Project'!$K:$K,MATCH(CONCATENATE(A5,A8),'[1]Grade Project'!$H:$H,0))</f>
        <v>#N/A</v>
      </c>
      <c r="I3">
        <f>COUNTIFS('[1]Grade Project'!$G:$G,$A$8,'[1]Grade Project'!$K:$K,H3,'[1]Grade Project'!$F:$F,$A$5)</f>
        <v>0</v>
      </c>
      <c r="J3" t="str">
        <f>IFERROR(AVERAGEIFS('[1]Grade Project'!$N:$N,'[1]Grade Project'!$K:$K,H3,'[1]Grade Project'!$F:$F,$A$5,'[1]Grade Project'!$G:$G,$A$8),"")</f>
        <v/>
      </c>
      <c r="K3" t="str">
        <f>IFERROR(AVERAGEIFS('[1]Grade Project'!$O:$O,'[1]Grade Project'!$K:$K,H3,'[1]Grade Project'!$F:$F,$A$5,'[1]Grade Project'!$G:$G,$A$8),"")</f>
        <v/>
      </c>
      <c r="L3" t="str">
        <f>IFERROR(K3/J3,"")</f>
        <v/>
      </c>
      <c r="M3" t="str">
        <f>IFERROR(_xlfn.RANK.EQ(L3,L:L),"")</f>
        <v/>
      </c>
      <c r="N3" t="str">
        <f>IFERROR(MAX(M:M)-M3+1,"")</f>
        <v/>
      </c>
      <c r="O3">
        <f>COUNT(N:N)</f>
        <v>0</v>
      </c>
    </row>
    <row r="4" spans="1:15" x14ac:dyDescent="0.25">
      <c r="A4" t="s">
        <v>102</v>
      </c>
      <c r="B4" t="s">
        <v>4</v>
      </c>
      <c r="C4" t="e">
        <f>IF(C3="","",IF(C3=INDEX('[1]Grade Project'!$F:$F,MATCH($A$3,'[1]Grade Project'!$E:$E,0)+SUM($D$3:D3)),"",INDEX('[1]Grade Project'!$F:$F,MATCH($A$3,'[1]Grade Project'!$E:$E,0)+SUM($D$3:D3))))</f>
        <v>#N/A</v>
      </c>
      <c r="D4">
        <f>COUNTIFS('[1]Grade Project'!$E:$E,$A$3,'[1]Grade Project'!$F:$F,C4)</f>
        <v>0</v>
      </c>
      <c r="E4" t="str">
        <f t="shared" ref="E4:E36" si="0">IFERROR(RIGHT(C4,LEN(C4)-FIND("-",C4)),"")</f>
        <v/>
      </c>
      <c r="F4" t="str">
        <f>IF(G3=0,"",INDEX('[1]Grade Project'!$G:$G,MATCH($A$5,'[1]Grade Project'!$F:$F,0)+SUM($G$3:G3)))</f>
        <v/>
      </c>
      <c r="G4">
        <f>COUNTIFS('[1]Grade Project'!$F:$F,$A$5,'[1]Grade Project'!$G:$G,F4)</f>
        <v>0</v>
      </c>
      <c r="H4" t="str">
        <f>IF(I3=0,"",INDEX('[1]Grade Project'!$K:$K,MATCH(CONCATENATE($A$5,$A$8),'[1]Grade Project'!$H:$H,0)+SUM($I$3:I3)))</f>
        <v/>
      </c>
      <c r="I4">
        <f>COUNTIFS('[1]Grade Project'!$G:$G,$A$8,'[1]Grade Project'!$K:$K,H4,'[1]Grade Project'!$F:$F,$A$5)</f>
        <v>0</v>
      </c>
      <c r="J4" t="str">
        <f>IFERROR(AVERAGEIFS('[1]Grade Project'!$N:$N,'[1]Grade Project'!$K:$K,H4,'[1]Grade Project'!$F:$F,$A$5,'[1]Grade Project'!$G:$G,$A$8),"")</f>
        <v/>
      </c>
      <c r="K4" t="str">
        <f>IFERROR(AVERAGEIFS('[1]Grade Project'!$O:$O,'[1]Grade Project'!$K:$K,H4,'[1]Grade Project'!$F:$F,$A$5,'[1]Grade Project'!$G:$G,$A$8),"")</f>
        <v/>
      </c>
      <c r="L4" t="str">
        <f t="shared" ref="L4:L67" si="1">IFERROR(K4/J4,"")</f>
        <v/>
      </c>
      <c r="M4" t="str">
        <f t="shared" ref="M4:M67" si="2">IFERROR(_xlfn.RANK.EQ(L4,L:L),"")</f>
        <v/>
      </c>
      <c r="N4" t="str">
        <f t="shared" ref="N4:N67" si="3">IFERROR(MAX(M:M)-M4+1,"")</f>
        <v/>
      </c>
    </row>
    <row r="5" spans="1:15" x14ac:dyDescent="0.25">
      <c r="A5" t="e">
        <f>INDEX(C:C,MATCH(A6,E:E,0))</f>
        <v>#N/A</v>
      </c>
      <c r="B5" t="s">
        <v>5</v>
      </c>
      <c r="C5" t="e">
        <f>IF(C4="","",IF(C4=INDEX('[1]Grade Project'!$F:$F,MATCH($A$3,'[1]Grade Project'!$E:$E,0)+SUM($D$3:D4)),"",INDEX('[1]Grade Project'!$F:$F,MATCH($A$3,'[1]Grade Project'!$E:$E,0)+SUM($D$3:D4))))</f>
        <v>#N/A</v>
      </c>
      <c r="D5">
        <f>COUNTIFS('[1]Grade Project'!$E:$E,$A$3,'[1]Grade Project'!$F:$F,C5)</f>
        <v>0</v>
      </c>
      <c r="E5" t="str">
        <f t="shared" si="0"/>
        <v/>
      </c>
      <c r="F5" t="str">
        <f>IF(G4=0,"",INDEX('[1]Grade Project'!$G:$G,MATCH($A$5,'[1]Grade Project'!$F:$F,0)+SUM($G$3:G4)))</f>
        <v/>
      </c>
      <c r="G5">
        <f>COUNTIFS('[1]Grade Project'!$F:$F,$A$5,'[1]Grade Project'!$G:$G,F5)</f>
        <v>0</v>
      </c>
      <c r="H5" t="str">
        <f>IF(I4=0,"",INDEX('[1]Grade Project'!$K:$K,MATCH(CONCATENATE($A$5,$A$8),'[1]Grade Project'!$H:$H,0)+SUM($I$3:I4)))</f>
        <v/>
      </c>
      <c r="I5">
        <f>COUNTIFS('[1]Grade Project'!$G:$G,$A$8,'[1]Grade Project'!$K:$K,H5,'[1]Grade Project'!$F:$F,$A$5)</f>
        <v>0</v>
      </c>
      <c r="J5" t="str">
        <f>IFERROR(AVERAGEIFS('[1]Grade Project'!$N:$N,'[1]Grade Project'!$K:$K,H5,'[1]Grade Project'!$F:$F,$A$5,'[1]Grade Project'!$G:$G,$A$8),"")</f>
        <v/>
      </c>
      <c r="K5" t="str">
        <f>IFERROR(AVERAGEIFS('[1]Grade Project'!$O:$O,'[1]Grade Project'!$K:$K,H5,'[1]Grade Project'!$F:$F,$A$5,'[1]Grade Project'!$G:$G,$A$8),"")</f>
        <v/>
      </c>
      <c r="L5" t="str">
        <f t="shared" si="1"/>
        <v/>
      </c>
      <c r="M5" t="str">
        <f t="shared" si="2"/>
        <v/>
      </c>
      <c r="N5" t="str">
        <f t="shared" si="3"/>
        <v/>
      </c>
    </row>
    <row r="6" spans="1:15" x14ac:dyDescent="0.25">
      <c r="A6">
        <f>Schedule!C10</f>
        <v>0</v>
      </c>
      <c r="B6" t="s">
        <v>6</v>
      </c>
      <c r="C6" t="e">
        <f>IF(C5="","",IF(C5=INDEX('[1]Grade Project'!$F:$F,MATCH($A$3,'[1]Grade Project'!$E:$E,0)+SUM($D$3:D5)),"",INDEX('[1]Grade Project'!$F:$F,MATCH($A$3,'[1]Grade Project'!$E:$E,0)+SUM($D$3:D5))))</f>
        <v>#N/A</v>
      </c>
      <c r="D6">
        <f>COUNTIFS('[1]Grade Project'!$E:$E,$A$3,'[1]Grade Project'!$F:$F,C6)</f>
        <v>0</v>
      </c>
      <c r="E6" t="str">
        <f t="shared" si="0"/>
        <v/>
      </c>
      <c r="F6" t="str">
        <f>IF(G5=0,"",INDEX('[1]Grade Project'!$G:$G,MATCH($A$5,'[1]Grade Project'!$F:$F,0)+SUM($G$3:G5)))</f>
        <v/>
      </c>
      <c r="G6">
        <f>COUNTIFS('[1]Grade Project'!$F:$F,$A$5,'[1]Grade Project'!$G:$G,F6)</f>
        <v>0</v>
      </c>
      <c r="H6" t="str">
        <f>IF(I5=0,"",INDEX('[1]Grade Project'!$K:$K,MATCH(CONCATENATE($A$5,$A$8),'[1]Grade Project'!$H:$H,0)+SUM($I$3:I5)))</f>
        <v/>
      </c>
      <c r="I6">
        <f>COUNTIFS('[1]Grade Project'!$G:$G,$A$8,'[1]Grade Project'!$K:$K,H6,'[1]Grade Project'!$F:$F,$A$5)</f>
        <v>0</v>
      </c>
      <c r="J6" t="str">
        <f>IFERROR(AVERAGEIFS('[1]Grade Project'!$N:$N,'[1]Grade Project'!$K:$K,H6,'[1]Grade Project'!$F:$F,$A$5,'[1]Grade Project'!$G:$G,$A$8),"")</f>
        <v/>
      </c>
      <c r="K6" t="str">
        <f>IFERROR(AVERAGEIFS('[1]Grade Project'!$O:$O,'[1]Grade Project'!$K:$K,H6,'[1]Grade Project'!$F:$F,$A$5,'[1]Grade Project'!$G:$G,$A$8),"")</f>
        <v/>
      </c>
      <c r="L6" t="str">
        <f t="shared" si="1"/>
        <v/>
      </c>
      <c r="M6" t="str">
        <f t="shared" si="2"/>
        <v/>
      </c>
      <c r="N6" t="str">
        <f t="shared" si="3"/>
        <v/>
      </c>
    </row>
    <row r="7" spans="1:15" x14ac:dyDescent="0.25">
      <c r="A7" t="s">
        <v>0</v>
      </c>
      <c r="B7" t="s">
        <v>7</v>
      </c>
      <c r="C7" t="e">
        <f>IF(C6="","",IF(C6=INDEX('[1]Grade Project'!$F:$F,MATCH($A$3,'[1]Grade Project'!$E:$E,0)+SUM($D$3:D6)),"",INDEX('[1]Grade Project'!$F:$F,MATCH($A$3,'[1]Grade Project'!$E:$E,0)+SUM($D$3:D6))))</f>
        <v>#N/A</v>
      </c>
      <c r="D7">
        <f>COUNTIFS('[1]Grade Project'!$E:$E,$A$3,'[1]Grade Project'!$F:$F,C7)</f>
        <v>0</v>
      </c>
      <c r="E7" t="str">
        <f t="shared" si="0"/>
        <v/>
      </c>
      <c r="F7" t="str">
        <f>IF(G6=0,"",INDEX('[1]Grade Project'!$G:$G,MATCH($A$5,'[1]Grade Project'!$F:$F,0)+SUM($G$3:G6)))</f>
        <v/>
      </c>
      <c r="G7">
        <f>COUNTIFS('[1]Grade Project'!$F:$F,$A$5,'[1]Grade Project'!$G:$G,F7)</f>
        <v>0</v>
      </c>
      <c r="H7" t="str">
        <f>IF(I6=0,"",INDEX('[1]Grade Project'!$K:$K,MATCH(CONCATENATE($A$5,$A$8),'[1]Grade Project'!$H:$H,0)+SUM($I$3:I6)))</f>
        <v/>
      </c>
      <c r="I7">
        <f>COUNTIFS('[1]Grade Project'!$G:$G,$A$8,'[1]Grade Project'!$K:$K,H7,'[1]Grade Project'!$F:$F,$A$5)</f>
        <v>0</v>
      </c>
      <c r="J7" t="str">
        <f>IFERROR(AVERAGEIFS('[1]Grade Project'!$N:$N,'[1]Grade Project'!$K:$K,H7,'[1]Grade Project'!$F:$F,$A$5,'[1]Grade Project'!$G:$G,$A$8),"")</f>
        <v/>
      </c>
      <c r="K7" t="str">
        <f>IFERROR(AVERAGEIFS('[1]Grade Project'!$O:$O,'[1]Grade Project'!$K:$K,H7,'[1]Grade Project'!$F:$F,$A$5,'[1]Grade Project'!$G:$G,$A$8),"")</f>
        <v/>
      </c>
      <c r="L7" t="str">
        <f t="shared" si="1"/>
        <v/>
      </c>
      <c r="M7" t="str">
        <f t="shared" si="2"/>
        <v/>
      </c>
      <c r="N7" t="str">
        <f t="shared" si="3"/>
        <v/>
      </c>
    </row>
    <row r="8" spans="1:15" x14ac:dyDescent="0.25">
      <c r="A8">
        <f>Schedule!D10</f>
        <v>0</v>
      </c>
      <c r="B8" t="s">
        <v>8</v>
      </c>
      <c r="C8" t="e">
        <f>IF(C7="","",IF(C7=INDEX('[1]Grade Project'!$F:$F,MATCH($A$3,'[1]Grade Project'!$E:$E,0)+SUM($D$3:D7)),"",INDEX('[1]Grade Project'!$F:$F,MATCH($A$3,'[1]Grade Project'!$E:$E,0)+SUM($D$3:D7))))</f>
        <v>#N/A</v>
      </c>
      <c r="D8">
        <f>COUNTIFS('[1]Grade Project'!$E:$E,$A$3,'[1]Grade Project'!$F:$F,C8)</f>
        <v>0</v>
      </c>
      <c r="E8" t="str">
        <f t="shared" si="0"/>
        <v/>
      </c>
      <c r="F8" t="str">
        <f>IF(G7=0,"",INDEX('[1]Grade Project'!$G:$G,MATCH($A$5,'[1]Grade Project'!$F:$F,0)+SUM($G$3:G7)))</f>
        <v/>
      </c>
      <c r="G8">
        <f>COUNTIFS('[1]Grade Project'!$F:$F,$A$5,'[1]Grade Project'!$G:$G,F8)</f>
        <v>0</v>
      </c>
      <c r="H8" t="str">
        <f>IF(I7=0,"",INDEX('[1]Grade Project'!$K:$K,MATCH(CONCATENATE($A$5,$A$8),'[1]Grade Project'!$H:$H,0)+SUM($I$3:I7)))</f>
        <v/>
      </c>
      <c r="I8">
        <f>COUNTIFS('[1]Grade Project'!$G:$G,$A$8,'[1]Grade Project'!$K:$K,H8,'[1]Grade Project'!$F:$F,$A$5)</f>
        <v>0</v>
      </c>
      <c r="J8" t="str">
        <f>IFERROR(AVERAGEIFS('[1]Grade Project'!$N:$N,'[1]Grade Project'!$K:$K,H8,'[1]Grade Project'!$F:$F,$A$5,'[1]Grade Project'!$G:$G,$A$8),"")</f>
        <v/>
      </c>
      <c r="K8" t="str">
        <f>IFERROR(AVERAGEIFS('[1]Grade Project'!$O:$O,'[1]Grade Project'!$K:$K,H8,'[1]Grade Project'!$F:$F,$A$5,'[1]Grade Project'!$G:$G,$A$8),"")</f>
        <v/>
      </c>
      <c r="L8" t="str">
        <f t="shared" si="1"/>
        <v/>
      </c>
      <c r="M8" t="str">
        <f t="shared" si="2"/>
        <v/>
      </c>
      <c r="N8" t="str">
        <f t="shared" si="3"/>
        <v/>
      </c>
    </row>
    <row r="9" spans="1:15" x14ac:dyDescent="0.25">
      <c r="A9" t="s">
        <v>108</v>
      </c>
      <c r="B9" t="s">
        <v>9</v>
      </c>
      <c r="C9" t="e">
        <f>IF(C8="","",IF(C8=INDEX('[1]Grade Project'!$F:$F,MATCH($A$3,'[1]Grade Project'!$E:$E,0)+SUM($D$3:D8)),"",INDEX('[1]Grade Project'!$F:$F,MATCH($A$3,'[1]Grade Project'!$E:$E,0)+SUM($D$3:D8))))</f>
        <v>#N/A</v>
      </c>
      <c r="D9">
        <f>COUNTIFS('[1]Grade Project'!$E:$E,$A$3,'[1]Grade Project'!$F:$F,C9)</f>
        <v>0</v>
      </c>
      <c r="E9" t="str">
        <f t="shared" si="0"/>
        <v/>
      </c>
      <c r="F9" t="str">
        <f>IF(G8=0,"",INDEX('[1]Grade Project'!$G:$G,MATCH($A$5,'[1]Grade Project'!$F:$F,0)+SUM($G$3:G8)))</f>
        <v/>
      </c>
      <c r="G9">
        <f>COUNTIFS('[1]Grade Project'!$F:$F,$A$5,'[1]Grade Project'!$G:$G,F9)</f>
        <v>0</v>
      </c>
      <c r="H9" t="str">
        <f>IF(I8=0,"",INDEX('[1]Grade Project'!$K:$K,MATCH(CONCATENATE($A$5,$A$8),'[1]Grade Project'!$H:$H,0)+SUM($I$3:I8)))</f>
        <v/>
      </c>
      <c r="I9">
        <f>COUNTIFS('[1]Grade Project'!$G:$G,$A$8,'[1]Grade Project'!$K:$K,H9,'[1]Grade Project'!$F:$F,$A$5)</f>
        <v>0</v>
      </c>
      <c r="J9" t="str">
        <f>IFERROR(AVERAGEIFS('[1]Grade Project'!$N:$N,'[1]Grade Project'!$K:$K,H9,'[1]Grade Project'!$F:$F,$A$5,'[1]Grade Project'!$G:$G,$A$8),"")</f>
        <v/>
      </c>
      <c r="K9" t="str">
        <f>IFERROR(AVERAGEIFS('[1]Grade Project'!$O:$O,'[1]Grade Project'!$K:$K,H9,'[1]Grade Project'!$F:$F,$A$5,'[1]Grade Project'!$G:$G,$A$8),"")</f>
        <v/>
      </c>
      <c r="L9" t="str">
        <f t="shared" si="1"/>
        <v/>
      </c>
      <c r="M9" t="str">
        <f t="shared" si="2"/>
        <v/>
      </c>
      <c r="N9" t="str">
        <f t="shared" si="3"/>
        <v/>
      </c>
    </row>
    <row r="10" spans="1:15" x14ac:dyDescent="0.25">
      <c r="A10">
        <f>Schedule!E10</f>
        <v>0</v>
      </c>
      <c r="B10" t="s">
        <v>10</v>
      </c>
      <c r="C10" t="e">
        <f>IF(C9="","",IF(C9=INDEX('[1]Grade Project'!$F:$F,MATCH($A$3,'[1]Grade Project'!$E:$E,0)+SUM($D$3:D9)),"",INDEX('[1]Grade Project'!$F:$F,MATCH($A$3,'[1]Grade Project'!$E:$E,0)+SUM($D$3:D9))))</f>
        <v>#N/A</v>
      </c>
      <c r="D10">
        <f>COUNTIFS('[1]Grade Project'!$E:$E,$A$3,'[1]Grade Project'!$F:$F,C10)</f>
        <v>0</v>
      </c>
      <c r="E10" t="str">
        <f t="shared" si="0"/>
        <v/>
      </c>
      <c r="F10" t="str">
        <f>IF(G9=0,"",INDEX('[1]Grade Project'!$G:$G,MATCH($A$5,'[1]Grade Project'!$F:$F,0)+SUM($G$3:G9)))</f>
        <v/>
      </c>
      <c r="G10">
        <f>COUNTIFS('[1]Grade Project'!$F:$F,$A$5,'[1]Grade Project'!$G:$G,F10)</f>
        <v>0</v>
      </c>
      <c r="H10" t="str">
        <f>IF(I9=0,"",INDEX('[1]Grade Project'!$K:$K,MATCH(CONCATENATE($A$5,$A$8),'[1]Grade Project'!$H:$H,0)+SUM($I$3:I9)))</f>
        <v/>
      </c>
      <c r="I10">
        <f>COUNTIFS('[1]Grade Project'!$G:$G,$A$8,'[1]Grade Project'!$K:$K,H10,'[1]Grade Project'!$F:$F,$A$5)</f>
        <v>0</v>
      </c>
      <c r="J10" t="str">
        <f>IFERROR(AVERAGEIFS('[1]Grade Project'!$N:$N,'[1]Grade Project'!$K:$K,H10,'[1]Grade Project'!$F:$F,$A$5,'[1]Grade Project'!$G:$G,$A$8),"")</f>
        <v/>
      </c>
      <c r="K10" t="str">
        <f>IFERROR(AVERAGEIFS('[1]Grade Project'!$O:$O,'[1]Grade Project'!$K:$K,H10,'[1]Grade Project'!$F:$F,$A$5,'[1]Grade Project'!$G:$G,$A$8),"")</f>
        <v/>
      </c>
      <c r="L10" t="str">
        <f t="shared" si="1"/>
        <v/>
      </c>
      <c r="M10" t="str">
        <f t="shared" si="2"/>
        <v/>
      </c>
      <c r="N10" t="str">
        <f t="shared" si="3"/>
        <v/>
      </c>
    </row>
    <row r="11" spans="1:15" x14ac:dyDescent="0.25">
      <c r="A11" t="s">
        <v>111</v>
      </c>
      <c r="B11" t="s">
        <v>11</v>
      </c>
      <c r="C11" t="e">
        <f>IF(C10="","",IF(C10=INDEX('[1]Grade Project'!$F:$F,MATCH($A$3,'[1]Grade Project'!$E:$E,0)+SUM($D$3:D10)),"",INDEX('[1]Grade Project'!$F:$F,MATCH($A$3,'[1]Grade Project'!$E:$E,0)+SUM($D$3:D10))))</f>
        <v>#N/A</v>
      </c>
      <c r="D11">
        <f>COUNTIFS('[1]Grade Project'!$E:$E,$A$3,'[1]Grade Project'!$F:$F,C11)</f>
        <v>0</v>
      </c>
      <c r="E11" t="str">
        <f t="shared" si="0"/>
        <v/>
      </c>
      <c r="F11" t="str">
        <f>IF(G10=0,"",INDEX('[1]Grade Project'!$G:$G,MATCH($A$5,'[1]Grade Project'!$F:$F,0)+SUM($G$3:G10)))</f>
        <v/>
      </c>
      <c r="G11">
        <f>COUNTIFS('[1]Grade Project'!$F:$F,$A$5,'[1]Grade Project'!$G:$G,F11)</f>
        <v>0</v>
      </c>
      <c r="H11" t="str">
        <f>IF(I10=0,"",INDEX('[1]Grade Project'!$K:$K,MATCH(CONCATENATE($A$5,$A$8),'[1]Grade Project'!$H:$H,0)+SUM($I$3:I10)))</f>
        <v/>
      </c>
      <c r="I11">
        <f>COUNTIFS('[1]Grade Project'!$G:$G,$A$8,'[1]Grade Project'!$K:$K,H11,'[1]Grade Project'!$F:$F,$A$5)</f>
        <v>0</v>
      </c>
      <c r="J11" t="str">
        <f>IFERROR(AVERAGEIFS('[1]Grade Project'!$N:$N,'[1]Grade Project'!$K:$K,H11,'[1]Grade Project'!$F:$F,$A$5,'[1]Grade Project'!$G:$G,$A$8),"")</f>
        <v/>
      </c>
      <c r="K11" t="str">
        <f>IFERROR(AVERAGEIFS('[1]Grade Project'!$O:$O,'[1]Grade Project'!$K:$K,H11,'[1]Grade Project'!$F:$F,$A$5,'[1]Grade Project'!$G:$G,$A$8),"")</f>
        <v/>
      </c>
      <c r="L11" t="str">
        <f t="shared" si="1"/>
        <v/>
      </c>
      <c r="M11" t="str">
        <f t="shared" si="2"/>
        <v/>
      </c>
      <c r="N11" t="str">
        <f t="shared" si="3"/>
        <v/>
      </c>
    </row>
    <row r="12" spans="1:15" x14ac:dyDescent="0.25">
      <c r="A12" t="e">
        <f>AVERAGEIFS('[1]Grade Project'!$N:$N,'[1]Grade Project'!$K:$K,$A$10,'[1]Grade Project'!$F:$F,A5,'[1]Grade Project'!$G:$G,$A$8)</f>
        <v>#DIV/0!</v>
      </c>
      <c r="B12" t="s">
        <v>12</v>
      </c>
      <c r="C12" t="e">
        <f>IF(C11="","",IF(C11=INDEX('[1]Grade Project'!$F:$F,MATCH($A$3,'[1]Grade Project'!$E:$E,0)+SUM($D$3:D11)),"",INDEX('[1]Grade Project'!$F:$F,MATCH($A$3,'[1]Grade Project'!$E:$E,0)+SUM($D$3:D11))))</f>
        <v>#N/A</v>
      </c>
      <c r="D12">
        <f>COUNTIFS('[1]Grade Project'!$E:$E,$A$3,'[1]Grade Project'!$F:$F,C12)</f>
        <v>0</v>
      </c>
      <c r="E12" t="str">
        <f t="shared" si="0"/>
        <v/>
      </c>
      <c r="F12" t="str">
        <f>IF(G11=0,"",INDEX('[1]Grade Project'!$G:$G,MATCH($A$5,'[1]Grade Project'!$F:$F,0)+SUM($G$3:G11)))</f>
        <v/>
      </c>
      <c r="G12">
        <f>COUNTIFS('[1]Grade Project'!$F:$F,$A$5,'[1]Grade Project'!$G:$G,F12)</f>
        <v>0</v>
      </c>
      <c r="H12" t="str">
        <f>IF(I11=0,"",INDEX('[1]Grade Project'!$K:$K,MATCH(CONCATENATE($A$5,$A$8),'[1]Grade Project'!$H:$H,0)+SUM($I$3:I11)))</f>
        <v/>
      </c>
      <c r="I12">
        <f>COUNTIFS('[1]Grade Project'!$G:$G,$A$8,'[1]Grade Project'!$K:$K,H12,'[1]Grade Project'!$F:$F,$A$5)</f>
        <v>0</v>
      </c>
      <c r="J12" t="str">
        <f>IFERROR(AVERAGEIFS('[1]Grade Project'!$N:$N,'[1]Grade Project'!$K:$K,H12,'[1]Grade Project'!$F:$F,$A$5,'[1]Grade Project'!$G:$G,$A$8),"")</f>
        <v/>
      </c>
      <c r="K12" t="str">
        <f>IFERROR(AVERAGEIFS('[1]Grade Project'!$O:$O,'[1]Grade Project'!$K:$K,H12,'[1]Grade Project'!$F:$F,$A$5,'[1]Grade Project'!$G:$G,$A$8),"")</f>
        <v/>
      </c>
      <c r="L12" t="str">
        <f t="shared" si="1"/>
        <v/>
      </c>
      <c r="M12" t="str">
        <f t="shared" si="2"/>
        <v/>
      </c>
      <c r="N12" t="str">
        <f t="shared" si="3"/>
        <v/>
      </c>
    </row>
    <row r="13" spans="1:15" x14ac:dyDescent="0.25">
      <c r="A13" t="s">
        <v>112</v>
      </c>
      <c r="B13" t="s">
        <v>13</v>
      </c>
      <c r="C13" t="e">
        <f>IF(C12="","",IF(C12=INDEX('[1]Grade Project'!$F:$F,MATCH($A$3,'[1]Grade Project'!$E:$E,0)+SUM($D$3:D12)),"",INDEX('[1]Grade Project'!$F:$F,MATCH($A$3,'[1]Grade Project'!$E:$E,0)+SUM($D$3:D12))))</f>
        <v>#N/A</v>
      </c>
      <c r="D13">
        <f>COUNTIFS('[1]Grade Project'!$E:$E,$A$3,'[1]Grade Project'!$F:$F,C13)</f>
        <v>0</v>
      </c>
      <c r="E13" t="str">
        <f t="shared" si="0"/>
        <v/>
      </c>
      <c r="F13" t="str">
        <f>IF(G12=0,"",INDEX('[1]Grade Project'!$G:$G,MATCH($A$5,'[1]Grade Project'!$F:$F,0)+SUM($G$3:G12)))</f>
        <v/>
      </c>
      <c r="G13">
        <f>COUNTIFS('[1]Grade Project'!$F:$F,$A$5,'[1]Grade Project'!$G:$G,F13)</f>
        <v>0</v>
      </c>
      <c r="H13" t="str">
        <f>IF(I12=0,"",INDEX('[1]Grade Project'!$K:$K,MATCH(CONCATENATE($A$5,$A$8),'[1]Grade Project'!$H:$H,0)+SUM($I$3:I12)))</f>
        <v/>
      </c>
      <c r="I13">
        <f>COUNTIFS('[1]Grade Project'!$G:$G,$A$8,'[1]Grade Project'!$K:$K,H13,'[1]Grade Project'!$F:$F,$A$5)</f>
        <v>0</v>
      </c>
      <c r="J13" t="str">
        <f>IFERROR(AVERAGEIFS('[1]Grade Project'!$N:$N,'[1]Grade Project'!$K:$K,H13,'[1]Grade Project'!$F:$F,$A$5,'[1]Grade Project'!$G:$G,$A$8),"")</f>
        <v/>
      </c>
      <c r="K13" t="str">
        <f>IFERROR(AVERAGEIFS('[1]Grade Project'!$O:$O,'[1]Grade Project'!$K:$K,H13,'[1]Grade Project'!$F:$F,$A$5,'[1]Grade Project'!$G:$G,$A$8),"")</f>
        <v/>
      </c>
      <c r="L13" t="str">
        <f t="shared" si="1"/>
        <v/>
      </c>
      <c r="M13" t="str">
        <f t="shared" si="2"/>
        <v/>
      </c>
      <c r="N13" t="str">
        <f t="shared" si="3"/>
        <v/>
      </c>
    </row>
    <row r="14" spans="1:15" x14ac:dyDescent="0.25">
      <c r="A14" t="e">
        <f>AVERAGEIFS('[1]Grade Project'!$O:$O,'[1]Grade Project'!$K:$K,$A$10,'[1]Grade Project'!$F:$F,A5,'[1]Grade Project'!$G:$G,$A$8)</f>
        <v>#DIV/0!</v>
      </c>
      <c r="B14" t="s">
        <v>14</v>
      </c>
      <c r="C14" t="e">
        <f>IF(C13="","",IF(C13=INDEX('[1]Grade Project'!$F:$F,MATCH($A$3,'[1]Grade Project'!$E:$E,0)+SUM($D$3:D13)),"",INDEX('[1]Grade Project'!$F:$F,MATCH($A$3,'[1]Grade Project'!$E:$E,0)+SUM($D$3:D13))))</f>
        <v>#N/A</v>
      </c>
      <c r="D14">
        <f>COUNTIFS('[1]Grade Project'!$E:$E,$A$3,'[1]Grade Project'!$F:$F,C14)</f>
        <v>0</v>
      </c>
      <c r="E14" t="str">
        <f t="shared" si="0"/>
        <v/>
      </c>
      <c r="F14" t="str">
        <f>IF(G13=0,"",INDEX('[1]Grade Project'!$G:$G,MATCH($A$5,'[1]Grade Project'!$F:$F,0)+SUM($G$3:G13)))</f>
        <v/>
      </c>
      <c r="G14">
        <f>COUNTIFS('[1]Grade Project'!$F:$F,$A$5,'[1]Grade Project'!$G:$G,F14)</f>
        <v>0</v>
      </c>
      <c r="H14" t="str">
        <f>IF(I13=0,"",INDEX('[1]Grade Project'!$K:$K,MATCH(CONCATENATE($A$5,$A$8),'[1]Grade Project'!$H:$H,0)+SUM($I$3:I13)))</f>
        <v/>
      </c>
      <c r="I14">
        <f>COUNTIFS('[1]Grade Project'!$G:$G,$A$8,'[1]Grade Project'!$K:$K,H14,'[1]Grade Project'!$F:$F,$A$5)</f>
        <v>0</v>
      </c>
      <c r="J14" t="str">
        <f>IFERROR(AVERAGEIFS('[1]Grade Project'!$N:$N,'[1]Grade Project'!$K:$K,H14,'[1]Grade Project'!$F:$F,$A$5,'[1]Grade Project'!$G:$G,$A$8),"")</f>
        <v/>
      </c>
      <c r="K14" t="str">
        <f>IFERROR(AVERAGEIFS('[1]Grade Project'!$O:$O,'[1]Grade Project'!$K:$K,H14,'[1]Grade Project'!$F:$F,$A$5,'[1]Grade Project'!$G:$G,$A$8),"")</f>
        <v/>
      </c>
      <c r="L14" t="str">
        <f t="shared" si="1"/>
        <v/>
      </c>
      <c r="M14" t="str">
        <f t="shared" si="2"/>
        <v/>
      </c>
      <c r="N14" t="str">
        <f t="shared" si="3"/>
        <v/>
      </c>
    </row>
    <row r="15" spans="1:15" x14ac:dyDescent="0.25">
      <c r="A15" t="s">
        <v>118</v>
      </c>
      <c r="B15" t="s">
        <v>15</v>
      </c>
      <c r="C15" t="e">
        <f>IF(C14="","",IF(C14=INDEX('[1]Grade Project'!$F:$F,MATCH($A$3,'[1]Grade Project'!$E:$E,0)+SUM($D$3:D14)),"",INDEX('[1]Grade Project'!$F:$F,MATCH($A$3,'[1]Grade Project'!$E:$E,0)+SUM($D$3:D14))))</f>
        <v>#N/A</v>
      </c>
      <c r="D15">
        <f>COUNTIFS('[1]Grade Project'!$E:$E,$A$3,'[1]Grade Project'!$F:$F,C15)</f>
        <v>0</v>
      </c>
      <c r="E15" t="str">
        <f t="shared" si="0"/>
        <v/>
      </c>
      <c r="F15" t="str">
        <f>IF(G14=0,"",INDEX('[1]Grade Project'!$G:$G,MATCH($A$5,'[1]Grade Project'!$F:$F,0)+SUM($G$3:G14)))</f>
        <v/>
      </c>
      <c r="G15">
        <f>COUNTIFS('[1]Grade Project'!$F:$F,$A$5,'[1]Grade Project'!$G:$G,F15)</f>
        <v>0</v>
      </c>
      <c r="H15" t="str">
        <f>IF(I14=0,"",INDEX('[1]Grade Project'!$K:$K,MATCH(CONCATENATE($A$5,$A$8),'[1]Grade Project'!$H:$H,0)+SUM($I$3:I14)))</f>
        <v/>
      </c>
      <c r="I15">
        <f>COUNTIFS('[1]Grade Project'!$G:$G,$A$8,'[1]Grade Project'!$K:$K,H15,'[1]Grade Project'!$F:$F,$A$5)</f>
        <v>0</v>
      </c>
      <c r="J15" t="str">
        <f>IFERROR(AVERAGEIFS('[1]Grade Project'!$N:$N,'[1]Grade Project'!$K:$K,H15,'[1]Grade Project'!$F:$F,$A$5,'[1]Grade Project'!$G:$G,$A$8),"")</f>
        <v/>
      </c>
      <c r="K15" t="str">
        <f>IFERROR(AVERAGEIFS('[1]Grade Project'!$O:$O,'[1]Grade Project'!$K:$K,H15,'[1]Grade Project'!$F:$F,$A$5,'[1]Grade Project'!$G:$G,$A$8),"")</f>
        <v/>
      </c>
      <c r="L15" t="str">
        <f t="shared" si="1"/>
        <v/>
      </c>
      <c r="M15" t="str">
        <f t="shared" si="2"/>
        <v/>
      </c>
      <c r="N15" t="str">
        <f t="shared" si="3"/>
        <v/>
      </c>
    </row>
    <row r="16" spans="1:15" x14ac:dyDescent="0.25">
      <c r="A16" t="e">
        <f>INDEX(Six!N:N,MATCH(A14/A12,Six!L:L,0))&amp;"/"&amp;COUNT(Six!N:N)</f>
        <v>#DIV/0!</v>
      </c>
      <c r="B16" t="s">
        <v>16</v>
      </c>
      <c r="C16" t="e">
        <f>IF(C15="","",IF(C15=INDEX('[1]Grade Project'!$F:$F,MATCH($A$3,'[1]Grade Project'!$E:$E,0)+SUM($D$3:D15)),"",INDEX('[1]Grade Project'!$F:$F,MATCH($A$3,'[1]Grade Project'!$E:$E,0)+SUM($D$3:D15))))</f>
        <v>#N/A</v>
      </c>
      <c r="D16">
        <f>COUNTIFS('[1]Grade Project'!$E:$E,$A$3,'[1]Grade Project'!$F:$F,C16)</f>
        <v>0</v>
      </c>
      <c r="E16" t="str">
        <f t="shared" si="0"/>
        <v/>
      </c>
      <c r="F16" t="str">
        <f>IF(G15=0,"",INDEX('[1]Grade Project'!$G:$G,MATCH($A$5,'[1]Grade Project'!$F:$F,0)+SUM($G$3:G15)))</f>
        <v/>
      </c>
      <c r="G16">
        <f>COUNTIFS('[1]Grade Project'!$F:$F,$A$5,'[1]Grade Project'!$G:$G,F16)</f>
        <v>0</v>
      </c>
      <c r="H16" t="str">
        <f>IF(I15=0,"",INDEX('[1]Grade Project'!$K:$K,MATCH(CONCATENATE($A$5,$A$8),'[1]Grade Project'!$H:$H,0)+SUM($I$3:I15)))</f>
        <v/>
      </c>
      <c r="I16">
        <f>COUNTIFS('[1]Grade Project'!$G:$G,$A$8,'[1]Grade Project'!$K:$K,H16,'[1]Grade Project'!$F:$F,$A$5)</f>
        <v>0</v>
      </c>
      <c r="J16" t="str">
        <f>IFERROR(AVERAGEIFS('[1]Grade Project'!$N:$N,'[1]Grade Project'!$K:$K,H16,'[1]Grade Project'!$F:$F,$A$5,'[1]Grade Project'!$G:$G,$A$8),"")</f>
        <v/>
      </c>
      <c r="K16" t="str">
        <f>IFERROR(AVERAGEIFS('[1]Grade Project'!$O:$O,'[1]Grade Project'!$K:$K,H16,'[1]Grade Project'!$F:$F,$A$5,'[1]Grade Project'!$G:$G,$A$8),"")</f>
        <v/>
      </c>
      <c r="L16" t="str">
        <f t="shared" si="1"/>
        <v/>
      </c>
      <c r="M16" t="str">
        <f t="shared" si="2"/>
        <v/>
      </c>
      <c r="N16" t="str">
        <f t="shared" si="3"/>
        <v/>
      </c>
    </row>
    <row r="17" spans="1:14" x14ac:dyDescent="0.25">
      <c r="A17" t="s">
        <v>113</v>
      </c>
      <c r="B17" t="s">
        <v>17</v>
      </c>
      <c r="C17" t="e">
        <f>IF(C16="","",IF(C16=INDEX('[1]Grade Project'!$F:$F,MATCH($A$3,'[1]Grade Project'!$E:$E,0)+SUM($D$3:D16)),"",INDEX('[1]Grade Project'!$F:$F,MATCH($A$3,'[1]Grade Project'!$E:$E,0)+SUM($D$3:D16))))</f>
        <v>#N/A</v>
      </c>
      <c r="D17">
        <f>COUNTIFS('[1]Grade Project'!$E:$E,$A$3,'[1]Grade Project'!$F:$F,C17)</f>
        <v>0</v>
      </c>
      <c r="E17" t="str">
        <f t="shared" si="0"/>
        <v/>
      </c>
      <c r="F17" t="str">
        <f>IF(G16=0,"",INDEX('[1]Grade Project'!$G:$G,MATCH($A$5,'[1]Grade Project'!$F:$F,0)+SUM($G$3:G16)))</f>
        <v/>
      </c>
      <c r="G17">
        <f>COUNTIFS('[1]Grade Project'!$F:$F,$A$5,'[1]Grade Project'!$G:$G,F17)</f>
        <v>0</v>
      </c>
      <c r="H17" t="str">
        <f>IF(I16=0,"",INDEX('[1]Grade Project'!$K:$K,MATCH(CONCATENATE($A$5,$A$8),'[1]Grade Project'!$H:$H,0)+SUM($I$3:I16)))</f>
        <v/>
      </c>
      <c r="I17">
        <f>COUNTIFS('[1]Grade Project'!$G:$G,$A$8,'[1]Grade Project'!$K:$K,H17,'[1]Grade Project'!$F:$F,$A$5)</f>
        <v>0</v>
      </c>
      <c r="J17" t="str">
        <f>IFERROR(AVERAGEIFS('[1]Grade Project'!$N:$N,'[1]Grade Project'!$K:$K,H17,'[1]Grade Project'!$F:$F,$A$5,'[1]Grade Project'!$G:$G,$A$8),"")</f>
        <v/>
      </c>
      <c r="K17" t="str">
        <f>IFERROR(AVERAGEIFS('[1]Grade Project'!$O:$O,'[1]Grade Project'!$K:$K,H17,'[1]Grade Project'!$F:$F,$A$5,'[1]Grade Project'!$G:$G,$A$8),"")</f>
        <v/>
      </c>
      <c r="L17" t="str">
        <f t="shared" si="1"/>
        <v/>
      </c>
      <c r="M17" t="str">
        <f t="shared" si="2"/>
        <v/>
      </c>
      <c r="N17" t="str">
        <f t="shared" si="3"/>
        <v/>
      </c>
    </row>
    <row r="18" spans="1:14" x14ac:dyDescent="0.25">
      <c r="A18" t="e">
        <f>INDEX(Six!H:H,MATCH(MAX(Six!N:N),Six!N:N,0))</f>
        <v>#N/A</v>
      </c>
      <c r="B18" t="s">
        <v>18</v>
      </c>
      <c r="C18" t="e">
        <f>IF(C17="","",IF(C17=INDEX('[1]Grade Project'!$F:$F,MATCH($A$3,'[1]Grade Project'!$E:$E,0)+SUM($D$3:D17)),"",INDEX('[1]Grade Project'!$F:$F,MATCH($A$3,'[1]Grade Project'!$E:$E,0)+SUM($D$3:D17))))</f>
        <v>#N/A</v>
      </c>
      <c r="D18">
        <f>COUNTIFS('[1]Grade Project'!$E:$E,$A$3,'[1]Grade Project'!$F:$F,C18)</f>
        <v>0</v>
      </c>
      <c r="E18" t="str">
        <f t="shared" si="0"/>
        <v/>
      </c>
      <c r="F18" t="str">
        <f>IF(G17=0,"",INDEX('[1]Grade Project'!$G:$G,MATCH($A$5,'[1]Grade Project'!$F:$F,0)+SUM($G$3:G17)))</f>
        <v/>
      </c>
      <c r="G18">
        <f>COUNTIFS('[1]Grade Project'!$F:$F,$A$5,'[1]Grade Project'!$G:$G,F18)</f>
        <v>0</v>
      </c>
      <c r="H18" t="str">
        <f>IF(I17=0,"",INDEX('[1]Grade Project'!$K:$K,MATCH(CONCATENATE($A$5,$A$8),'[1]Grade Project'!$H:$H,0)+SUM($I$3:I17)))</f>
        <v/>
      </c>
      <c r="I18">
        <f>COUNTIFS('[1]Grade Project'!$G:$G,$A$8,'[1]Grade Project'!$K:$K,H18,'[1]Grade Project'!$F:$F,$A$5)</f>
        <v>0</v>
      </c>
      <c r="J18" t="str">
        <f>IFERROR(AVERAGEIFS('[1]Grade Project'!$N:$N,'[1]Grade Project'!$K:$K,H18,'[1]Grade Project'!$F:$F,$A$5,'[1]Grade Project'!$G:$G,$A$8),"")</f>
        <v/>
      </c>
      <c r="K18" t="str">
        <f>IFERROR(AVERAGEIFS('[1]Grade Project'!$O:$O,'[1]Grade Project'!$K:$K,H18,'[1]Grade Project'!$F:$F,$A$5,'[1]Grade Project'!$G:$G,$A$8),"")</f>
        <v/>
      </c>
      <c r="L18" t="str">
        <f t="shared" si="1"/>
        <v/>
      </c>
      <c r="M18" t="str">
        <f t="shared" si="2"/>
        <v/>
      </c>
      <c r="N18" t="str">
        <f t="shared" si="3"/>
        <v/>
      </c>
    </row>
    <row r="19" spans="1:14" x14ac:dyDescent="0.25">
      <c r="A19" t="s">
        <v>110</v>
      </c>
      <c r="B19" t="s">
        <v>2</v>
      </c>
      <c r="C19" t="e">
        <f>IF(C18="","",IF(C18=INDEX('[1]Grade Project'!$F:$F,MATCH($A$3,'[1]Grade Project'!$E:$E,0)+SUM($D$3:D18)),"",INDEX('[1]Grade Project'!$F:$F,MATCH($A$3,'[1]Grade Project'!$E:$E,0)+SUM($D$3:D18))))</f>
        <v>#N/A</v>
      </c>
      <c r="D19">
        <f>COUNTIFS('[1]Grade Project'!$E:$E,$A$3,'[1]Grade Project'!$F:$F,C19)</f>
        <v>0</v>
      </c>
      <c r="E19" t="str">
        <f t="shared" si="0"/>
        <v/>
      </c>
      <c r="F19" t="str">
        <f>IF(G18=0,"",INDEX('[1]Grade Project'!$G:$G,MATCH($A$5,'[1]Grade Project'!$F:$F,0)+SUM($G$3:G18)))</f>
        <v/>
      </c>
      <c r="G19">
        <f>COUNTIFS('[1]Grade Project'!$F:$F,$A$5,'[1]Grade Project'!$G:$G,F19)</f>
        <v>0</v>
      </c>
      <c r="H19" t="str">
        <f>IF(I18=0,"",INDEX('[1]Grade Project'!$K:$K,MATCH(CONCATENATE($A$5,$A$8),'[1]Grade Project'!$H:$H,0)+SUM($I$3:I18)))</f>
        <v/>
      </c>
      <c r="I19">
        <f>COUNTIFS('[1]Grade Project'!$G:$G,$A$8,'[1]Grade Project'!$K:$K,H19,'[1]Grade Project'!$F:$F,$A$5)</f>
        <v>0</v>
      </c>
      <c r="J19" t="str">
        <f>IFERROR(AVERAGEIFS('[1]Grade Project'!$N:$N,'[1]Grade Project'!$K:$K,H19,'[1]Grade Project'!$F:$F,$A$5,'[1]Grade Project'!$G:$G,$A$8),"")</f>
        <v/>
      </c>
      <c r="K19" t="str">
        <f>IFERROR(AVERAGEIFS('[1]Grade Project'!$O:$O,'[1]Grade Project'!$K:$K,H19,'[1]Grade Project'!$F:$F,$A$5,'[1]Grade Project'!$G:$G,$A$8),"")</f>
        <v/>
      </c>
      <c r="L19" t="str">
        <f t="shared" si="1"/>
        <v/>
      </c>
      <c r="M19" t="str">
        <f t="shared" si="2"/>
        <v/>
      </c>
      <c r="N19" t="str">
        <f t="shared" si="3"/>
        <v/>
      </c>
    </row>
    <row r="20" spans="1:14" x14ac:dyDescent="0.25">
      <c r="A20" t="e">
        <f>INDEX(Six!J:J,MATCH(MAX(Six!N:N),Six!N:N,0))</f>
        <v>#N/A</v>
      </c>
      <c r="B20" t="s">
        <v>19</v>
      </c>
      <c r="C20" t="e">
        <f>IF(C19="","",IF(C19=INDEX('[1]Grade Project'!$F:$F,MATCH($A$3,'[1]Grade Project'!$E:$E,0)+SUM($D$3:D19)),"",INDEX('[1]Grade Project'!$F:$F,MATCH($A$3,'[1]Grade Project'!$E:$E,0)+SUM($D$3:D19))))</f>
        <v>#N/A</v>
      </c>
      <c r="D20">
        <f>COUNTIFS('[1]Grade Project'!$E:$E,$A$3,'[1]Grade Project'!$F:$F,C20)</f>
        <v>0</v>
      </c>
      <c r="E20" t="str">
        <f t="shared" si="0"/>
        <v/>
      </c>
      <c r="F20" t="str">
        <f>IF(G19=0,"",INDEX('[1]Grade Project'!$G:$G,MATCH($A$5,'[1]Grade Project'!$F:$F,0)+SUM($G$3:G19)))</f>
        <v/>
      </c>
      <c r="G20">
        <f>COUNTIFS('[1]Grade Project'!$F:$F,$A$5,'[1]Grade Project'!$G:$G,F20)</f>
        <v>0</v>
      </c>
      <c r="H20" t="str">
        <f>IF(I19=0,"",INDEX('[1]Grade Project'!$K:$K,MATCH(CONCATENATE($A$5,$A$8),'[1]Grade Project'!$H:$H,0)+SUM($I$3:I19)))</f>
        <v/>
      </c>
      <c r="I20">
        <f>COUNTIFS('[1]Grade Project'!$G:$G,$A$8,'[1]Grade Project'!$K:$K,H20,'[1]Grade Project'!$F:$F,$A$5)</f>
        <v>0</v>
      </c>
      <c r="J20" t="str">
        <f>IFERROR(AVERAGEIFS('[1]Grade Project'!$N:$N,'[1]Grade Project'!$K:$K,H20,'[1]Grade Project'!$F:$F,$A$5,'[1]Grade Project'!$G:$G,$A$8),"")</f>
        <v/>
      </c>
      <c r="K20" t="str">
        <f>IFERROR(AVERAGEIFS('[1]Grade Project'!$O:$O,'[1]Grade Project'!$K:$K,H20,'[1]Grade Project'!$F:$F,$A$5,'[1]Grade Project'!$G:$G,$A$8),"")</f>
        <v/>
      </c>
      <c r="L20" t="str">
        <f t="shared" si="1"/>
        <v/>
      </c>
      <c r="M20" t="str">
        <f t="shared" si="2"/>
        <v/>
      </c>
      <c r="N20" t="str">
        <f t="shared" si="3"/>
        <v/>
      </c>
    </row>
    <row r="21" spans="1:14" x14ac:dyDescent="0.25">
      <c r="A21" t="s">
        <v>114</v>
      </c>
      <c r="B21" t="s">
        <v>20</v>
      </c>
      <c r="C21" t="e">
        <f>IF(C20="","",IF(C20=INDEX('[1]Grade Project'!$F:$F,MATCH($A$3,'[1]Grade Project'!$E:$E,0)+SUM($D$3:D20)),"",INDEX('[1]Grade Project'!$F:$F,MATCH($A$3,'[1]Grade Project'!$E:$E,0)+SUM($D$3:D20))))</f>
        <v>#N/A</v>
      </c>
      <c r="D21">
        <f>COUNTIFS('[1]Grade Project'!$E:$E,$A$3,'[1]Grade Project'!$F:$F,C21)</f>
        <v>0</v>
      </c>
      <c r="E21" t="str">
        <f t="shared" si="0"/>
        <v/>
      </c>
      <c r="F21" t="str">
        <f>IF(G20=0,"",INDEX('[1]Grade Project'!$G:$G,MATCH($A$5,'[1]Grade Project'!$F:$F,0)+SUM($G$3:G20)))</f>
        <v/>
      </c>
      <c r="G21">
        <f>COUNTIFS('[1]Grade Project'!$F:$F,$A$5,'[1]Grade Project'!$G:$G,F21)</f>
        <v>0</v>
      </c>
      <c r="H21" t="str">
        <f>IF(I20=0,"",INDEX('[1]Grade Project'!$K:$K,MATCH(CONCATENATE($A$5,$A$8),'[1]Grade Project'!$H:$H,0)+SUM($I$3:I20)))</f>
        <v/>
      </c>
      <c r="I21">
        <f>COUNTIFS('[1]Grade Project'!$G:$G,$A$8,'[1]Grade Project'!$K:$K,H21,'[1]Grade Project'!$F:$F,$A$5)</f>
        <v>0</v>
      </c>
      <c r="J21" t="str">
        <f>IFERROR(AVERAGEIFS('[1]Grade Project'!$N:$N,'[1]Grade Project'!$K:$K,H21,'[1]Grade Project'!$F:$F,$A$5,'[1]Grade Project'!$G:$G,$A$8),"")</f>
        <v/>
      </c>
      <c r="K21" t="str">
        <f>IFERROR(AVERAGEIFS('[1]Grade Project'!$O:$O,'[1]Grade Project'!$K:$K,H21,'[1]Grade Project'!$F:$F,$A$5,'[1]Grade Project'!$G:$G,$A$8),"")</f>
        <v/>
      </c>
      <c r="L21" t="str">
        <f t="shared" si="1"/>
        <v/>
      </c>
      <c r="M21" t="str">
        <f t="shared" si="2"/>
        <v/>
      </c>
      <c r="N21" t="str">
        <f t="shared" si="3"/>
        <v/>
      </c>
    </row>
    <row r="22" spans="1:14" x14ac:dyDescent="0.25">
      <c r="A22" t="e">
        <f>INDEX(Six!H:H,MATCH(MIN(Six!N:N),Six!N:N,0))</f>
        <v>#N/A</v>
      </c>
      <c r="B22" t="s">
        <v>21</v>
      </c>
      <c r="C22" t="e">
        <f>IF(C21="","",IF(C21=INDEX('[1]Grade Project'!$F:$F,MATCH($A$3,'[1]Grade Project'!$E:$E,0)+SUM($D$3:D21)),"",INDEX('[1]Grade Project'!$F:$F,MATCH($A$3,'[1]Grade Project'!$E:$E,0)+SUM($D$3:D21))))</f>
        <v>#N/A</v>
      </c>
      <c r="D22">
        <f>COUNTIFS('[1]Grade Project'!$E:$E,$A$3,'[1]Grade Project'!$F:$F,C22)</f>
        <v>0</v>
      </c>
      <c r="E22" t="str">
        <f t="shared" si="0"/>
        <v/>
      </c>
      <c r="F22" t="str">
        <f>IF(G21=0,"",INDEX('[1]Grade Project'!$G:$G,MATCH($A$5,'[1]Grade Project'!$F:$F,0)+SUM($G$3:G21)))</f>
        <v/>
      </c>
      <c r="G22">
        <f>COUNTIFS('[1]Grade Project'!$F:$F,$A$5,'[1]Grade Project'!$G:$G,F22)</f>
        <v>0</v>
      </c>
      <c r="H22" t="str">
        <f>IF(I21=0,"",INDEX('[1]Grade Project'!$K:$K,MATCH(CONCATENATE($A$5,$A$8),'[1]Grade Project'!$H:$H,0)+SUM($I$3:I21)))</f>
        <v/>
      </c>
      <c r="I22">
        <f>COUNTIFS('[1]Grade Project'!$G:$G,$A$8,'[1]Grade Project'!$K:$K,H22,'[1]Grade Project'!$F:$F,$A$5)</f>
        <v>0</v>
      </c>
      <c r="J22" t="str">
        <f>IFERROR(AVERAGEIFS('[1]Grade Project'!$N:$N,'[1]Grade Project'!$K:$K,H22,'[1]Grade Project'!$F:$F,$A$5,'[1]Grade Project'!$G:$G,$A$8),"")</f>
        <v/>
      </c>
      <c r="K22" t="str">
        <f>IFERROR(AVERAGEIFS('[1]Grade Project'!$O:$O,'[1]Grade Project'!$K:$K,H22,'[1]Grade Project'!$F:$F,$A$5,'[1]Grade Project'!$G:$G,$A$8),"")</f>
        <v/>
      </c>
      <c r="L22" t="str">
        <f t="shared" si="1"/>
        <v/>
      </c>
      <c r="M22" t="str">
        <f t="shared" si="2"/>
        <v/>
      </c>
      <c r="N22" t="str">
        <f t="shared" si="3"/>
        <v/>
      </c>
    </row>
    <row r="23" spans="1:14" x14ac:dyDescent="0.25">
      <c r="A23" t="s">
        <v>110</v>
      </c>
      <c r="B23" t="s">
        <v>22</v>
      </c>
      <c r="C23" t="e">
        <f>IF(C22="","",IF(C22=INDEX('[1]Grade Project'!$F:$F,MATCH($A$3,'[1]Grade Project'!$E:$E,0)+SUM($D$3:D22)),"",INDEX('[1]Grade Project'!$F:$F,MATCH($A$3,'[1]Grade Project'!$E:$E,0)+SUM($D$3:D22))))</f>
        <v>#N/A</v>
      </c>
      <c r="D23">
        <f>COUNTIFS('[1]Grade Project'!$E:$E,$A$3,'[1]Grade Project'!$F:$F,C23)</f>
        <v>0</v>
      </c>
      <c r="E23" t="str">
        <f t="shared" si="0"/>
        <v/>
      </c>
      <c r="F23" t="str">
        <f>IF(G22=0,"",INDEX('[1]Grade Project'!$G:$G,MATCH($A$5,'[1]Grade Project'!$F:$F,0)+SUM($G$3:G22)))</f>
        <v/>
      </c>
      <c r="G23">
        <f>COUNTIFS('[1]Grade Project'!$F:$F,$A$5,'[1]Grade Project'!$G:$G,F23)</f>
        <v>0</v>
      </c>
      <c r="H23" t="str">
        <f>IF(I22=0,"",INDEX('[1]Grade Project'!$K:$K,MATCH(CONCATENATE($A$5,$A$8),'[1]Grade Project'!$H:$H,0)+SUM($I$3:I22)))</f>
        <v/>
      </c>
      <c r="I23">
        <f>COUNTIFS('[1]Grade Project'!$G:$G,$A$8,'[1]Grade Project'!$K:$K,H23,'[1]Grade Project'!$F:$F,$A$5)</f>
        <v>0</v>
      </c>
      <c r="J23" t="str">
        <f>IFERROR(AVERAGEIFS('[1]Grade Project'!$N:$N,'[1]Grade Project'!$K:$K,H23,'[1]Grade Project'!$F:$F,$A$5,'[1]Grade Project'!$G:$G,$A$8),"")</f>
        <v/>
      </c>
      <c r="K23" t="str">
        <f>IFERROR(AVERAGEIFS('[1]Grade Project'!$O:$O,'[1]Grade Project'!$K:$K,H23,'[1]Grade Project'!$F:$F,$A$5,'[1]Grade Project'!$G:$G,$A$8),"")</f>
        <v/>
      </c>
      <c r="L23" t="str">
        <f t="shared" si="1"/>
        <v/>
      </c>
      <c r="M23" t="str">
        <f t="shared" si="2"/>
        <v/>
      </c>
      <c r="N23" t="str">
        <f t="shared" si="3"/>
        <v/>
      </c>
    </row>
    <row r="24" spans="1:14" x14ac:dyDescent="0.25">
      <c r="A24" t="e">
        <f>INDEX(Six!J:J,MATCH(MIN(Six!N:N),Six!N:N,0))</f>
        <v>#N/A</v>
      </c>
      <c r="B24" t="s">
        <v>23</v>
      </c>
      <c r="C24" t="e">
        <f>IF(C23="","",IF(C23=INDEX('[1]Grade Project'!$F:$F,MATCH($A$3,'[1]Grade Project'!$E:$E,0)+SUM($D$3:D23)),"",INDEX('[1]Grade Project'!$F:$F,MATCH($A$3,'[1]Grade Project'!$E:$E,0)+SUM($D$3:D23))))</f>
        <v>#N/A</v>
      </c>
      <c r="E24" t="str">
        <f t="shared" si="0"/>
        <v/>
      </c>
      <c r="F24" t="str">
        <f>IF(G23=0,"",INDEX('[1]Grade Project'!$G:$G,MATCH($A$5,'[1]Grade Project'!$F:$F,0)+SUM($G$3:G23)))</f>
        <v/>
      </c>
      <c r="G24">
        <f>COUNTIFS('[1]Grade Project'!$F:$F,$A$5,'[1]Grade Project'!$G:$G,F24)</f>
        <v>0</v>
      </c>
      <c r="H24" t="str">
        <f>IF(I23=0,"",INDEX('[1]Grade Project'!$K:$K,MATCH(CONCATENATE($A$5,$A$8),'[1]Grade Project'!$H:$H,0)+SUM($I$3:I23)))</f>
        <v/>
      </c>
      <c r="I24">
        <f>COUNTIFS('[1]Grade Project'!$G:$G,$A$8,'[1]Grade Project'!$K:$K,H24,'[1]Grade Project'!$F:$F,$A$5)</f>
        <v>0</v>
      </c>
      <c r="J24" t="str">
        <f>IFERROR(AVERAGEIFS('[1]Grade Project'!$N:$N,'[1]Grade Project'!$K:$K,H24,'[1]Grade Project'!$F:$F,$A$5,'[1]Grade Project'!$G:$G,$A$8),"")</f>
        <v/>
      </c>
      <c r="K24" t="str">
        <f>IFERROR(AVERAGEIFS('[1]Grade Project'!$O:$O,'[1]Grade Project'!$K:$K,H24,'[1]Grade Project'!$F:$F,$A$5,'[1]Grade Project'!$G:$G,$A$8),"")</f>
        <v/>
      </c>
      <c r="L24" t="str">
        <f t="shared" si="1"/>
        <v/>
      </c>
      <c r="M24" t="str">
        <f t="shared" si="2"/>
        <v/>
      </c>
      <c r="N24" t="str">
        <f t="shared" si="3"/>
        <v/>
      </c>
    </row>
    <row r="25" spans="1:14" x14ac:dyDescent="0.25">
      <c r="A25" t="s">
        <v>117</v>
      </c>
      <c r="B25" t="s">
        <v>24</v>
      </c>
      <c r="C25" t="e">
        <f>IF(C24="","",IF(C24=INDEX('[1]Grade Project'!$F:$F,MATCH($A$3,'[1]Grade Project'!$E:$E,0)+SUM($D$3:D24)),"",INDEX('[1]Grade Project'!$F:$F,MATCH($A$3,'[1]Grade Project'!$E:$E,0)+SUM($D$3:D24))))</f>
        <v>#N/A</v>
      </c>
      <c r="E25" t="str">
        <f t="shared" si="0"/>
        <v/>
      </c>
      <c r="F25" t="str">
        <f>IF(G24=0,"",INDEX('[1]Grade Project'!$G:$G,MATCH($A$5,'[1]Grade Project'!$F:$F,0)+SUM($G$3:G24)))</f>
        <v/>
      </c>
      <c r="G25">
        <f>COUNTIFS('[1]Grade Project'!$F:$F,$A$5,'[1]Grade Project'!$G:$G,F25)</f>
        <v>0</v>
      </c>
      <c r="H25" t="str">
        <f>IF(I24=0,"",INDEX('[1]Grade Project'!$K:$K,MATCH(CONCATENATE($A$5,$A$8),'[1]Grade Project'!$H:$H,0)+SUM($I$3:I24)))</f>
        <v/>
      </c>
      <c r="I25">
        <f>COUNTIFS('[1]Grade Project'!$G:$G,$A$8,'[1]Grade Project'!$K:$K,H25,'[1]Grade Project'!$F:$F,$A$5)</f>
        <v>0</v>
      </c>
      <c r="J25" t="str">
        <f>IFERROR(AVERAGEIFS('[1]Grade Project'!$N:$N,'[1]Grade Project'!$K:$K,H25,'[1]Grade Project'!$F:$F,$A$5,'[1]Grade Project'!$G:$G,$A$8),"")</f>
        <v/>
      </c>
      <c r="K25" t="str">
        <f>IFERROR(AVERAGEIFS('[1]Grade Project'!$O:$O,'[1]Grade Project'!$K:$K,H25,'[1]Grade Project'!$F:$F,$A$5,'[1]Grade Project'!$G:$G,$A$8),"")</f>
        <v/>
      </c>
      <c r="L25" t="str">
        <f t="shared" si="1"/>
        <v/>
      </c>
      <c r="M25" t="str">
        <f t="shared" si="2"/>
        <v/>
      </c>
      <c r="N25" t="str">
        <f t="shared" si="3"/>
        <v/>
      </c>
    </row>
    <row r="26" spans="1:14" x14ac:dyDescent="0.25">
      <c r="A26" t="e">
        <f>A12/#REF!</f>
        <v>#DIV/0!</v>
      </c>
      <c r="B26" t="s">
        <v>25</v>
      </c>
      <c r="C26" t="e">
        <f>IF(C25="","",IF(C25=INDEX('[1]Grade Project'!$F:$F,MATCH($A$3,'[1]Grade Project'!$E:$E,0)+SUM($D$3:D25)),"",INDEX('[1]Grade Project'!$F:$F,MATCH($A$3,'[1]Grade Project'!$E:$E,0)+SUM($D$3:D25))))</f>
        <v>#N/A</v>
      </c>
      <c r="E26" t="str">
        <f t="shared" si="0"/>
        <v/>
      </c>
      <c r="F26" t="str">
        <f>IF(G25=0,"",INDEX('[1]Grade Project'!$G:$G,MATCH($A$5,'[1]Grade Project'!$F:$F,0)+SUM($G$3:G25)))</f>
        <v/>
      </c>
      <c r="G26">
        <f>COUNTIFS('[1]Grade Project'!$F:$F,$A$5,'[1]Grade Project'!$G:$G,F26)</f>
        <v>0</v>
      </c>
      <c r="H26" t="str">
        <f>IF(I25=0,"",INDEX('[1]Grade Project'!$K:$K,MATCH(CONCATENATE($A$5,$A$8),'[1]Grade Project'!$H:$H,0)+SUM($I$3:I25)))</f>
        <v/>
      </c>
      <c r="I26">
        <f>COUNTIFS('[1]Grade Project'!$G:$G,$A$8,'[1]Grade Project'!$K:$K,H26,'[1]Grade Project'!$F:$F,$A$5)</f>
        <v>0</v>
      </c>
      <c r="J26" t="str">
        <f>IFERROR(AVERAGEIFS('[1]Grade Project'!$N:$N,'[1]Grade Project'!$K:$K,H26,'[1]Grade Project'!$F:$F,$A$5,'[1]Grade Project'!$G:$G,$A$8),"")</f>
        <v/>
      </c>
      <c r="K26" t="str">
        <f>IFERROR(AVERAGEIFS('[1]Grade Project'!$O:$O,'[1]Grade Project'!$K:$K,H26,'[1]Grade Project'!$F:$F,$A$5,'[1]Grade Project'!$G:$G,$A$8),"")</f>
        <v/>
      </c>
      <c r="L26" t="str">
        <f t="shared" si="1"/>
        <v/>
      </c>
      <c r="M26" t="str">
        <f t="shared" si="2"/>
        <v/>
      </c>
      <c r="N26" t="str">
        <f t="shared" si="3"/>
        <v/>
      </c>
    </row>
    <row r="27" spans="1:14" x14ac:dyDescent="0.25">
      <c r="B27" t="s">
        <v>26</v>
      </c>
      <c r="C27" t="e">
        <f>IF(C26="","",IF(C26=INDEX('[1]Grade Project'!$F:$F,MATCH($A$3,'[1]Grade Project'!$E:$E,0)+SUM($D$3:D26)),"",INDEX('[1]Grade Project'!$F:$F,MATCH($A$3,'[1]Grade Project'!$E:$E,0)+SUM($D$3:D26))))</f>
        <v>#N/A</v>
      </c>
      <c r="E27" t="str">
        <f t="shared" si="0"/>
        <v/>
      </c>
      <c r="F27" t="str">
        <f>IF(G26=0,"",INDEX('[1]Grade Project'!$G:$G,MATCH($A$5,'[1]Grade Project'!$F:$F,0)+SUM($G$3:G26)))</f>
        <v/>
      </c>
      <c r="G27">
        <f>COUNTIFS('[1]Grade Project'!$F:$F,$A$5,'[1]Grade Project'!$G:$G,F27)</f>
        <v>0</v>
      </c>
      <c r="H27" t="str">
        <f>IF(I26=0,"",INDEX('[1]Grade Project'!$K:$K,MATCH(CONCATENATE($A$5,$A$8),'[1]Grade Project'!$H:$H,0)+SUM($I$3:I26)))</f>
        <v/>
      </c>
      <c r="I27">
        <f>COUNTIFS('[1]Grade Project'!$G:$G,$A$8,'[1]Grade Project'!$K:$K,H27,'[1]Grade Project'!$F:$F,$A$5)</f>
        <v>0</v>
      </c>
      <c r="J27" t="str">
        <f>IFERROR(AVERAGEIFS('[1]Grade Project'!$N:$N,'[1]Grade Project'!$K:$K,H27,'[1]Grade Project'!$F:$F,$A$5,'[1]Grade Project'!$G:$G,$A$8),"")</f>
        <v/>
      </c>
      <c r="K27" t="str">
        <f>IFERROR(AVERAGEIFS('[1]Grade Project'!$O:$O,'[1]Grade Project'!$K:$K,H27,'[1]Grade Project'!$F:$F,$A$5,'[1]Grade Project'!$G:$G,$A$8),"")</f>
        <v/>
      </c>
      <c r="L27" t="str">
        <f t="shared" si="1"/>
        <v/>
      </c>
      <c r="M27" t="str">
        <f t="shared" si="2"/>
        <v/>
      </c>
      <c r="N27" t="str">
        <f t="shared" si="3"/>
        <v/>
      </c>
    </row>
    <row r="28" spans="1:14" x14ac:dyDescent="0.25">
      <c r="B28" t="s">
        <v>27</v>
      </c>
      <c r="C28" t="e">
        <f>IF(C27="","",IF(C27=INDEX('[1]Grade Project'!$F:$F,MATCH($A$3,'[1]Grade Project'!$E:$E,0)+SUM($D$3:D27)),"",INDEX('[1]Grade Project'!$F:$F,MATCH($A$3,'[1]Grade Project'!$E:$E,0)+SUM($D$3:D27))))</f>
        <v>#N/A</v>
      </c>
      <c r="E28" t="str">
        <f t="shared" si="0"/>
        <v/>
      </c>
      <c r="F28" t="str">
        <f>IF(G27=0,"",INDEX('[1]Grade Project'!$G:$G,MATCH($A$5,'[1]Grade Project'!$F:$F,0)+SUM($G$3:G27)))</f>
        <v/>
      </c>
      <c r="G28">
        <f>COUNTIFS('[1]Grade Project'!$F:$F,$A$5,'[1]Grade Project'!$G:$G,F28)</f>
        <v>0</v>
      </c>
      <c r="H28" t="str">
        <f>IF(I27=0,"",INDEX('[1]Grade Project'!$K:$K,MATCH(CONCATENATE($A$5,$A$8),'[1]Grade Project'!$H:$H,0)+SUM($I$3:I27)))</f>
        <v/>
      </c>
      <c r="I28">
        <f>COUNTIFS('[1]Grade Project'!$G:$G,$A$8,'[1]Grade Project'!$K:$K,H28,'[1]Grade Project'!$F:$F,$A$5)</f>
        <v>0</v>
      </c>
      <c r="J28" t="str">
        <f>IFERROR(AVERAGEIFS('[1]Grade Project'!$N:$N,'[1]Grade Project'!$K:$K,H28,'[1]Grade Project'!$F:$F,$A$5,'[1]Grade Project'!$G:$G,$A$8),"")</f>
        <v/>
      </c>
      <c r="K28" t="str">
        <f>IFERROR(AVERAGEIFS('[1]Grade Project'!$O:$O,'[1]Grade Project'!$K:$K,H28,'[1]Grade Project'!$F:$F,$A$5,'[1]Grade Project'!$G:$G,$A$8),"")</f>
        <v/>
      </c>
      <c r="L28" t="str">
        <f t="shared" si="1"/>
        <v/>
      </c>
      <c r="M28" t="str">
        <f t="shared" si="2"/>
        <v/>
      </c>
      <c r="N28" t="str">
        <f t="shared" si="3"/>
        <v/>
      </c>
    </row>
    <row r="29" spans="1:14" x14ac:dyDescent="0.25">
      <c r="B29" t="s">
        <v>28</v>
      </c>
      <c r="C29" t="e">
        <f>IF(C28="","",IF(C28=INDEX('[1]Grade Project'!$F:$F,MATCH($A$3,'[1]Grade Project'!$E:$E,0)+SUM($D$3:D28)),"",INDEX('[1]Grade Project'!$F:$F,MATCH($A$3,'[1]Grade Project'!$E:$E,0)+SUM($D$3:D28))))</f>
        <v>#N/A</v>
      </c>
      <c r="E29" t="str">
        <f t="shared" si="0"/>
        <v/>
      </c>
      <c r="F29" t="str">
        <f>IF(G28=0,"",INDEX('[1]Grade Project'!$G:$G,MATCH($A$5,'[1]Grade Project'!$F:$F,0)+SUM($G$3:G28)))</f>
        <v/>
      </c>
      <c r="G29">
        <f>COUNTIFS('[1]Grade Project'!$F:$F,$A$5,'[1]Grade Project'!$G:$G,F29)</f>
        <v>0</v>
      </c>
      <c r="H29" t="str">
        <f>IF(I28=0,"",INDEX('[1]Grade Project'!$K:$K,MATCH(CONCATENATE($A$5,$A$8),'[1]Grade Project'!$H:$H,0)+SUM($I$3:I28)))</f>
        <v/>
      </c>
      <c r="I29">
        <f>COUNTIFS('[1]Grade Project'!$G:$G,$A$8,'[1]Grade Project'!$K:$K,H29,'[1]Grade Project'!$F:$F,$A$5)</f>
        <v>0</v>
      </c>
      <c r="J29" t="str">
        <f>IFERROR(AVERAGEIFS('[1]Grade Project'!$N:$N,'[1]Grade Project'!$K:$K,H29,'[1]Grade Project'!$F:$F,$A$5,'[1]Grade Project'!$G:$G,$A$8),"")</f>
        <v/>
      </c>
      <c r="K29" t="str">
        <f>IFERROR(AVERAGEIFS('[1]Grade Project'!$O:$O,'[1]Grade Project'!$K:$K,H29,'[1]Grade Project'!$F:$F,$A$5,'[1]Grade Project'!$G:$G,$A$8),"")</f>
        <v/>
      </c>
      <c r="L29" t="str">
        <f t="shared" si="1"/>
        <v/>
      </c>
      <c r="M29" t="str">
        <f t="shared" si="2"/>
        <v/>
      </c>
      <c r="N29" t="str">
        <f t="shared" si="3"/>
        <v/>
      </c>
    </row>
    <row r="30" spans="1:14" x14ac:dyDescent="0.25">
      <c r="B30" t="s">
        <v>29</v>
      </c>
      <c r="C30" t="e">
        <f>IF(C29="","",IF(C29=INDEX('[1]Grade Project'!$F:$F,MATCH($A$3,'[1]Grade Project'!$E:$E,0)+SUM($D$3:D29)),"",INDEX('[1]Grade Project'!$F:$F,MATCH($A$3,'[1]Grade Project'!$E:$E,0)+SUM($D$3:D29))))</f>
        <v>#N/A</v>
      </c>
      <c r="E30" t="str">
        <f t="shared" si="0"/>
        <v/>
      </c>
      <c r="F30" t="str">
        <f>IF(G29=0,"",INDEX('[1]Grade Project'!$G:$G,MATCH($A$5,'[1]Grade Project'!$F:$F,0)+SUM($G$3:G29)))</f>
        <v/>
      </c>
      <c r="G30">
        <f>COUNTIFS('[1]Grade Project'!$F:$F,$A$5,'[1]Grade Project'!$G:$G,F30)</f>
        <v>0</v>
      </c>
      <c r="H30" t="str">
        <f>IF(I29=0,"",INDEX('[1]Grade Project'!$K:$K,MATCH(CONCATENATE($A$5,$A$8),'[1]Grade Project'!$H:$H,0)+SUM($I$3:I29)))</f>
        <v/>
      </c>
      <c r="I30">
        <f>COUNTIFS('[1]Grade Project'!$G:$G,$A$8,'[1]Grade Project'!$K:$K,H30,'[1]Grade Project'!$F:$F,$A$5)</f>
        <v>0</v>
      </c>
      <c r="J30" t="str">
        <f>IFERROR(AVERAGEIFS('[1]Grade Project'!$N:$N,'[1]Grade Project'!$K:$K,H30,'[1]Grade Project'!$F:$F,$A$5,'[1]Grade Project'!$G:$G,$A$8),"")</f>
        <v/>
      </c>
      <c r="K30" t="str">
        <f>IFERROR(AVERAGEIFS('[1]Grade Project'!$O:$O,'[1]Grade Project'!$K:$K,H30,'[1]Grade Project'!$F:$F,$A$5,'[1]Grade Project'!$G:$G,$A$8),"")</f>
        <v/>
      </c>
      <c r="L30" t="str">
        <f t="shared" si="1"/>
        <v/>
      </c>
      <c r="M30" t="str">
        <f t="shared" si="2"/>
        <v/>
      </c>
      <c r="N30" t="str">
        <f t="shared" si="3"/>
        <v/>
      </c>
    </row>
    <row r="31" spans="1:14" x14ac:dyDescent="0.25">
      <c r="B31" t="s">
        <v>30</v>
      </c>
      <c r="C31" t="e">
        <f>IF(C30="","",IF(C30=INDEX('[1]Grade Project'!$F:$F,MATCH($A$3,'[1]Grade Project'!$E:$E,0)+SUM($D$3:D30)),"",INDEX('[1]Grade Project'!$F:$F,MATCH($A$3,'[1]Grade Project'!$E:$E,0)+SUM($D$3:D30))))</f>
        <v>#N/A</v>
      </c>
      <c r="E31" t="str">
        <f t="shared" si="0"/>
        <v/>
      </c>
      <c r="F31" t="str">
        <f>IF(G30=0,"",INDEX('[1]Grade Project'!$G:$G,MATCH($A$5,'[1]Grade Project'!$F:$F,0)+SUM($G$3:G30)))</f>
        <v/>
      </c>
      <c r="G31">
        <f>COUNTIFS('[1]Grade Project'!$F:$F,$A$5,'[1]Grade Project'!$G:$G,F31)</f>
        <v>0</v>
      </c>
      <c r="H31" t="str">
        <f>IF(I30=0,"",INDEX('[1]Grade Project'!$K:$K,MATCH(CONCATENATE($A$5,$A$8),'[1]Grade Project'!$H:$H,0)+SUM($I$3:I30)))</f>
        <v/>
      </c>
      <c r="I31">
        <f>COUNTIFS('[1]Grade Project'!$G:$G,$A$8,'[1]Grade Project'!$K:$K,H31,'[1]Grade Project'!$F:$F,$A$5)</f>
        <v>0</v>
      </c>
      <c r="J31" t="str">
        <f>IFERROR(AVERAGEIFS('[1]Grade Project'!$N:$N,'[1]Grade Project'!$K:$K,H31,'[1]Grade Project'!$F:$F,$A$5,'[1]Grade Project'!$G:$G,$A$8),"")</f>
        <v/>
      </c>
      <c r="K31" t="str">
        <f>IFERROR(AVERAGEIFS('[1]Grade Project'!$O:$O,'[1]Grade Project'!$K:$K,H31,'[1]Grade Project'!$F:$F,$A$5,'[1]Grade Project'!$G:$G,$A$8),"")</f>
        <v/>
      </c>
      <c r="L31" t="str">
        <f t="shared" si="1"/>
        <v/>
      </c>
      <c r="M31" t="str">
        <f t="shared" si="2"/>
        <v/>
      </c>
      <c r="N31" t="str">
        <f t="shared" si="3"/>
        <v/>
      </c>
    </row>
    <row r="32" spans="1:14" x14ac:dyDescent="0.25">
      <c r="B32" t="s">
        <v>31</v>
      </c>
      <c r="C32" t="e">
        <f>IF(C31="","",IF(C31=INDEX('[1]Grade Project'!$F:$F,MATCH($A$3,'[1]Grade Project'!$E:$E,0)+SUM($D$3:D31)),"",INDEX('[1]Grade Project'!$F:$F,MATCH($A$3,'[1]Grade Project'!$E:$E,0)+SUM($D$3:D31))))</f>
        <v>#N/A</v>
      </c>
      <c r="E32" t="str">
        <f t="shared" si="0"/>
        <v/>
      </c>
      <c r="F32" t="str">
        <f>IF(G31=0,"",INDEX('[1]Grade Project'!$G:$G,MATCH($A$5,'[1]Grade Project'!$F:$F,0)+SUM($G$3:G31)))</f>
        <v/>
      </c>
      <c r="G32">
        <f>COUNTIFS('[1]Grade Project'!$F:$F,$A$5,'[1]Grade Project'!$G:$G,F32)</f>
        <v>0</v>
      </c>
      <c r="H32" t="str">
        <f>IF(I31=0,"",INDEX('[1]Grade Project'!$K:$K,MATCH(CONCATENATE($A$5,$A$8),'[1]Grade Project'!$H:$H,0)+SUM($I$3:I31)))</f>
        <v/>
      </c>
      <c r="I32">
        <f>COUNTIFS('[1]Grade Project'!$G:$G,$A$8,'[1]Grade Project'!$K:$K,H32,'[1]Grade Project'!$F:$F,$A$5)</f>
        <v>0</v>
      </c>
      <c r="J32" t="str">
        <f>IFERROR(AVERAGEIFS('[1]Grade Project'!$N:$N,'[1]Grade Project'!$K:$K,H32,'[1]Grade Project'!$F:$F,$A$5,'[1]Grade Project'!$G:$G,$A$8),"")</f>
        <v/>
      </c>
      <c r="K32" t="str">
        <f>IFERROR(AVERAGEIFS('[1]Grade Project'!$O:$O,'[1]Grade Project'!$K:$K,H32,'[1]Grade Project'!$F:$F,$A$5,'[1]Grade Project'!$G:$G,$A$8),"")</f>
        <v/>
      </c>
      <c r="L32" t="str">
        <f t="shared" si="1"/>
        <v/>
      </c>
      <c r="M32" t="str">
        <f t="shared" si="2"/>
        <v/>
      </c>
      <c r="N32" t="str">
        <f t="shared" si="3"/>
        <v/>
      </c>
    </row>
    <row r="33" spans="2:14" x14ac:dyDescent="0.25">
      <c r="B33" t="s">
        <v>32</v>
      </c>
      <c r="C33" t="e">
        <f>IF(C32="","",IF(C32=INDEX('[1]Grade Project'!$F:$F,MATCH($A$3,'[1]Grade Project'!$E:$E,0)+SUM($D$3:D32)),"",INDEX('[1]Grade Project'!$F:$F,MATCH($A$3,'[1]Grade Project'!$E:$E,0)+SUM($D$3:D32))))</f>
        <v>#N/A</v>
      </c>
      <c r="E33" t="str">
        <f t="shared" si="0"/>
        <v/>
      </c>
      <c r="F33" t="str">
        <f>IF(G32=0,"",INDEX('[1]Grade Project'!$G:$G,MATCH($A$5,'[1]Grade Project'!$F:$F,0)+SUM($G$3:G32)))</f>
        <v/>
      </c>
      <c r="G33">
        <f>COUNTIFS('[1]Grade Project'!$F:$F,$A$5,'[1]Grade Project'!$G:$G,F33)</f>
        <v>0</v>
      </c>
      <c r="H33" t="str">
        <f>IF(I32=0,"",INDEX('[1]Grade Project'!$K:$K,MATCH(CONCATENATE($A$5,$A$8),'[1]Grade Project'!$H:$H,0)+SUM($I$3:I32)))</f>
        <v/>
      </c>
      <c r="I33">
        <f>COUNTIFS('[1]Grade Project'!$G:$G,$A$8,'[1]Grade Project'!$K:$K,H33,'[1]Grade Project'!$F:$F,$A$5)</f>
        <v>0</v>
      </c>
      <c r="J33" t="str">
        <f>IFERROR(AVERAGEIFS('[1]Grade Project'!$N:$N,'[1]Grade Project'!$K:$K,H33,'[1]Grade Project'!$F:$F,$A$5,'[1]Grade Project'!$G:$G,$A$8),"")</f>
        <v/>
      </c>
      <c r="K33" t="str">
        <f>IFERROR(AVERAGEIFS('[1]Grade Project'!$O:$O,'[1]Grade Project'!$K:$K,H33,'[1]Grade Project'!$F:$F,$A$5,'[1]Grade Project'!$G:$G,$A$8),"")</f>
        <v/>
      </c>
      <c r="L33" t="str">
        <f t="shared" si="1"/>
        <v/>
      </c>
      <c r="M33" t="str">
        <f t="shared" si="2"/>
        <v/>
      </c>
      <c r="N33" t="str">
        <f t="shared" si="3"/>
        <v/>
      </c>
    </row>
    <row r="34" spans="2:14" x14ac:dyDescent="0.25">
      <c r="B34" t="s">
        <v>33</v>
      </c>
      <c r="C34" t="e">
        <f>IF(C33="","",IF(C33=INDEX('[1]Grade Project'!$F:$F,MATCH($A$3,'[1]Grade Project'!$E:$E,0)+SUM($D$3:D33)),"",INDEX('[1]Grade Project'!$F:$F,MATCH($A$3,'[1]Grade Project'!$E:$E,0)+SUM($D$3:D33))))</f>
        <v>#N/A</v>
      </c>
      <c r="E34" t="str">
        <f t="shared" si="0"/>
        <v/>
      </c>
      <c r="F34" t="str">
        <f>IF(G33=0,"",INDEX('[1]Grade Project'!$G:$G,MATCH($A$5,'[1]Grade Project'!$F:$F,0)+SUM($G$3:G33)))</f>
        <v/>
      </c>
      <c r="G34">
        <f>COUNTIFS('[1]Grade Project'!$F:$F,$A$5,'[1]Grade Project'!$G:$G,F34)</f>
        <v>0</v>
      </c>
      <c r="H34" t="str">
        <f>IF(I33=0,"",INDEX('[1]Grade Project'!$K:$K,MATCH(CONCATENATE($A$5,$A$8),'[1]Grade Project'!$H:$H,0)+SUM($I$3:I33)))</f>
        <v/>
      </c>
      <c r="I34">
        <f>COUNTIFS('[1]Grade Project'!$G:$G,$A$8,'[1]Grade Project'!$K:$K,H34,'[1]Grade Project'!$F:$F,$A$5)</f>
        <v>0</v>
      </c>
      <c r="J34" t="str">
        <f>IFERROR(AVERAGEIFS('[1]Grade Project'!$N:$N,'[1]Grade Project'!$K:$K,H34,'[1]Grade Project'!$F:$F,$A$5,'[1]Grade Project'!$G:$G,$A$8),"")</f>
        <v/>
      </c>
      <c r="K34" t="str">
        <f>IFERROR(AVERAGEIFS('[1]Grade Project'!$O:$O,'[1]Grade Project'!$K:$K,H34,'[1]Grade Project'!$F:$F,$A$5,'[1]Grade Project'!$G:$G,$A$8),"")</f>
        <v/>
      </c>
      <c r="L34" t="str">
        <f t="shared" si="1"/>
        <v/>
      </c>
      <c r="M34" t="str">
        <f t="shared" si="2"/>
        <v/>
      </c>
      <c r="N34" t="str">
        <f t="shared" si="3"/>
        <v/>
      </c>
    </row>
    <row r="35" spans="2:14" x14ac:dyDescent="0.25">
      <c r="B35" t="s">
        <v>34</v>
      </c>
      <c r="C35" t="e">
        <f>IF(C34="","",IF(C34=INDEX('[1]Grade Project'!$F:$F,MATCH($A$3,'[1]Grade Project'!$E:$E,0)+SUM($D$3:D34)),"",INDEX('[1]Grade Project'!$F:$F,MATCH($A$3,'[1]Grade Project'!$E:$E,0)+SUM($D$3:D34))))</f>
        <v>#N/A</v>
      </c>
      <c r="E35" t="str">
        <f t="shared" si="0"/>
        <v/>
      </c>
      <c r="F35" t="str">
        <f>IF(G34=0,"",INDEX('[1]Grade Project'!$G:$G,MATCH($A$5,'[1]Grade Project'!$F:$F,0)+SUM($G$3:G34)))</f>
        <v/>
      </c>
      <c r="G35">
        <f>COUNTIFS('[1]Grade Project'!$F:$F,$A$5,'[1]Grade Project'!$G:$G,F35)</f>
        <v>0</v>
      </c>
      <c r="H35" t="str">
        <f>IF(I34=0,"",INDEX('[1]Grade Project'!$K:$K,MATCH(CONCATENATE($A$5,$A$8),'[1]Grade Project'!$H:$H,0)+SUM($I$3:I34)))</f>
        <v/>
      </c>
      <c r="I35">
        <f>COUNTIFS('[1]Grade Project'!$G:$G,$A$8,'[1]Grade Project'!$K:$K,H35,'[1]Grade Project'!$F:$F,$A$5)</f>
        <v>0</v>
      </c>
      <c r="J35" t="str">
        <f>IFERROR(AVERAGEIFS('[1]Grade Project'!$N:$N,'[1]Grade Project'!$K:$K,H35,'[1]Grade Project'!$F:$F,$A$5,'[1]Grade Project'!$G:$G,$A$8),"")</f>
        <v/>
      </c>
      <c r="K35" t="str">
        <f>IFERROR(AVERAGEIFS('[1]Grade Project'!$O:$O,'[1]Grade Project'!$K:$K,H35,'[1]Grade Project'!$F:$F,$A$5,'[1]Grade Project'!$G:$G,$A$8),"")</f>
        <v/>
      </c>
      <c r="L35" t="str">
        <f t="shared" si="1"/>
        <v/>
      </c>
      <c r="M35" t="str">
        <f t="shared" si="2"/>
        <v/>
      </c>
      <c r="N35" t="str">
        <f t="shared" si="3"/>
        <v/>
      </c>
    </row>
    <row r="36" spans="2:14" x14ac:dyDescent="0.25">
      <c r="B36" t="s">
        <v>35</v>
      </c>
      <c r="C36" t="e">
        <f>IF(C35="","",IF(C35=INDEX('[1]Grade Project'!$F:$F,MATCH($A$3,'[1]Grade Project'!$E:$E,0)+SUM($D$3:D35)),"",INDEX('[1]Grade Project'!$F:$F,MATCH($A$3,'[1]Grade Project'!$E:$E,0)+SUM($D$3:D35))))</f>
        <v>#N/A</v>
      </c>
      <c r="E36" t="str">
        <f t="shared" si="0"/>
        <v/>
      </c>
      <c r="F36" t="str">
        <f>IF(G35=0,"",INDEX('[1]Grade Project'!$G:$G,MATCH($A$5,'[1]Grade Project'!$F:$F,0)+SUM($G$3:G35)))</f>
        <v/>
      </c>
      <c r="G36">
        <f>COUNTIFS('[1]Grade Project'!$F:$F,$A$5,'[1]Grade Project'!$G:$G,F36)</f>
        <v>0</v>
      </c>
      <c r="H36" t="str">
        <f>IF(I35=0,"",INDEX('[1]Grade Project'!$K:$K,MATCH(CONCATENATE($A$5,$A$8),'[1]Grade Project'!$H:$H,0)+SUM($I$3:I35)))</f>
        <v/>
      </c>
      <c r="I36">
        <f>COUNTIFS('[1]Grade Project'!$G:$G,$A$8,'[1]Grade Project'!$K:$K,H36,'[1]Grade Project'!$F:$F,$A$5)</f>
        <v>0</v>
      </c>
      <c r="J36" t="str">
        <f>IFERROR(AVERAGEIFS('[1]Grade Project'!$N:$N,'[1]Grade Project'!$K:$K,H36,'[1]Grade Project'!$F:$F,$A$5,'[1]Grade Project'!$G:$G,$A$8),"")</f>
        <v/>
      </c>
      <c r="K36" t="str">
        <f>IFERROR(AVERAGEIFS('[1]Grade Project'!$O:$O,'[1]Grade Project'!$K:$K,H36,'[1]Grade Project'!$F:$F,$A$5,'[1]Grade Project'!$G:$G,$A$8),"")</f>
        <v/>
      </c>
      <c r="L36" t="str">
        <f t="shared" si="1"/>
        <v/>
      </c>
      <c r="M36" t="str">
        <f t="shared" si="2"/>
        <v/>
      </c>
      <c r="N36" t="str">
        <f t="shared" si="3"/>
        <v/>
      </c>
    </row>
    <row r="37" spans="2:14" x14ac:dyDescent="0.25">
      <c r="B37" t="s">
        <v>36</v>
      </c>
      <c r="C37" t="e">
        <f>IF(C36="","",IF(C36=INDEX('[1]Grade Project'!$F:$F,MATCH($A$3,'[1]Grade Project'!$E:$E,0)+SUM($D$3:D36)),"",INDEX('[1]Grade Project'!$F:$F,MATCH($A$3,'[1]Grade Project'!$E:$E,0)+SUM($D$3:D36))))</f>
        <v>#N/A</v>
      </c>
      <c r="F37" t="str">
        <f>IF(G36=0,"",INDEX('[1]Grade Project'!$G:$G,MATCH($A$5,'[1]Grade Project'!$F:$F,0)+SUM($G$3:G36)))</f>
        <v/>
      </c>
      <c r="G37">
        <f>COUNTIFS('[1]Grade Project'!$F:$F,$A$5,'[1]Grade Project'!$G:$G,F37)</f>
        <v>0</v>
      </c>
      <c r="H37" t="str">
        <f>IF(I36=0,"",INDEX('[1]Grade Project'!$K:$K,MATCH(CONCATENATE($A$5,$A$8),'[1]Grade Project'!$H:$H,0)+SUM($I$3:I36)))</f>
        <v/>
      </c>
      <c r="I37">
        <f>COUNTIFS('[1]Grade Project'!$G:$G,$A$8,'[1]Grade Project'!$K:$K,H37,'[1]Grade Project'!$F:$F,$A$5)</f>
        <v>0</v>
      </c>
      <c r="J37" t="str">
        <f>IFERROR(AVERAGEIFS('[1]Grade Project'!$N:$N,'[1]Grade Project'!$K:$K,H37,'[1]Grade Project'!$F:$F,$A$5,'[1]Grade Project'!$G:$G,$A$8),"")</f>
        <v/>
      </c>
      <c r="K37" t="str">
        <f>IFERROR(AVERAGEIFS('[1]Grade Project'!$O:$O,'[1]Grade Project'!$K:$K,H37,'[1]Grade Project'!$F:$F,$A$5,'[1]Grade Project'!$G:$G,$A$8),"")</f>
        <v/>
      </c>
      <c r="L37" t="str">
        <f t="shared" si="1"/>
        <v/>
      </c>
      <c r="M37" t="str">
        <f t="shared" si="2"/>
        <v/>
      </c>
      <c r="N37" t="str">
        <f t="shared" si="3"/>
        <v/>
      </c>
    </row>
    <row r="38" spans="2:14" x14ac:dyDescent="0.25">
      <c r="B38" t="s">
        <v>37</v>
      </c>
      <c r="C38" t="e">
        <f>IF(C37="","",IF(C37=INDEX('[1]Grade Project'!$F:$F,MATCH($A$3,'[1]Grade Project'!$E:$E,0)+SUM($D$3:D37)),"",INDEX('[1]Grade Project'!$F:$F,MATCH($A$3,'[1]Grade Project'!$E:$E,0)+SUM($D$3:D37))))</f>
        <v>#N/A</v>
      </c>
      <c r="F38" t="str">
        <f>IF(G37=0,"",INDEX('[1]Grade Project'!$G:$G,MATCH($A$5,'[1]Grade Project'!$F:$F,0)+SUM($G$3:G37)))</f>
        <v/>
      </c>
      <c r="G38">
        <f>COUNTIFS('[1]Grade Project'!$F:$F,$A$5,'[1]Grade Project'!$G:$G,F38)</f>
        <v>0</v>
      </c>
      <c r="H38" t="str">
        <f>IF(I37=0,"",INDEX('[1]Grade Project'!$K:$K,MATCH(CONCATENATE($A$5,$A$8),'[1]Grade Project'!$H:$H,0)+SUM($I$3:I37)))</f>
        <v/>
      </c>
      <c r="I38">
        <f>COUNTIFS('[1]Grade Project'!$G:$G,$A$8,'[1]Grade Project'!$K:$K,H38,'[1]Grade Project'!$F:$F,$A$5)</f>
        <v>0</v>
      </c>
      <c r="J38" t="str">
        <f>IFERROR(AVERAGEIFS('[1]Grade Project'!$N:$N,'[1]Grade Project'!$K:$K,H38,'[1]Grade Project'!$F:$F,$A$5,'[1]Grade Project'!$G:$G,$A$8),"")</f>
        <v/>
      </c>
      <c r="K38" t="str">
        <f>IFERROR(AVERAGEIFS('[1]Grade Project'!$O:$O,'[1]Grade Project'!$K:$K,H38,'[1]Grade Project'!$F:$F,$A$5,'[1]Grade Project'!$G:$G,$A$8),"")</f>
        <v/>
      </c>
      <c r="L38" t="str">
        <f t="shared" si="1"/>
        <v/>
      </c>
      <c r="M38" t="str">
        <f t="shared" si="2"/>
        <v/>
      </c>
      <c r="N38" t="str">
        <f t="shared" si="3"/>
        <v/>
      </c>
    </row>
    <row r="39" spans="2:14" x14ac:dyDescent="0.25">
      <c r="B39" t="s">
        <v>38</v>
      </c>
      <c r="C39" t="e">
        <f>IF(C38="","",IF(C38=INDEX('[1]Grade Project'!$F:$F,MATCH($A$3,'[1]Grade Project'!$E:$E,0)+SUM($D$3:D38)),"",INDEX('[1]Grade Project'!$F:$F,MATCH($A$3,'[1]Grade Project'!$E:$E,0)+SUM($D$3:D38))))</f>
        <v>#N/A</v>
      </c>
      <c r="F39" t="str">
        <f>IF(G38=0,"",INDEX('[1]Grade Project'!$G:$G,MATCH($A$5,'[1]Grade Project'!$F:$F,0)+SUM($G$3:G38)))</f>
        <v/>
      </c>
      <c r="G39">
        <f>COUNTIFS('[1]Grade Project'!$F:$F,$A$5,'[1]Grade Project'!$G:$G,F39)</f>
        <v>0</v>
      </c>
      <c r="H39" t="str">
        <f>IF(I38=0,"",INDEX('[1]Grade Project'!$K:$K,MATCH(CONCATENATE($A$5,$A$8),'[1]Grade Project'!$H:$H,0)+SUM($I$3:I38)))</f>
        <v/>
      </c>
      <c r="I39">
        <f>COUNTIFS('[1]Grade Project'!$G:$G,$A$8,'[1]Grade Project'!$K:$K,H39,'[1]Grade Project'!$F:$F,$A$5)</f>
        <v>0</v>
      </c>
      <c r="J39" t="str">
        <f>IFERROR(AVERAGEIFS('[1]Grade Project'!$N:$N,'[1]Grade Project'!$K:$K,H39,'[1]Grade Project'!$F:$F,$A$5,'[1]Grade Project'!$G:$G,$A$8),"")</f>
        <v/>
      </c>
      <c r="K39" t="str">
        <f>IFERROR(AVERAGEIFS('[1]Grade Project'!$O:$O,'[1]Grade Project'!$K:$K,H39,'[1]Grade Project'!$F:$F,$A$5,'[1]Grade Project'!$G:$G,$A$8),"")</f>
        <v/>
      </c>
      <c r="L39" t="str">
        <f t="shared" si="1"/>
        <v/>
      </c>
      <c r="M39" t="str">
        <f t="shared" si="2"/>
        <v/>
      </c>
      <c r="N39" t="str">
        <f t="shared" si="3"/>
        <v/>
      </c>
    </row>
    <row r="40" spans="2:14" x14ac:dyDescent="0.25">
      <c r="B40" t="s">
        <v>39</v>
      </c>
      <c r="C40" t="e">
        <f>IF(C39="","",IF(C39=INDEX('[1]Grade Project'!$F:$F,MATCH($A$3,'[1]Grade Project'!$E:$E,0)+SUM($D$3:D39)),"",INDEX('[1]Grade Project'!$F:$F,MATCH($A$3,'[1]Grade Project'!$E:$E,0)+SUM($D$3:D39))))</f>
        <v>#N/A</v>
      </c>
      <c r="F40" t="str">
        <f>IF(G39=0,"",INDEX('[1]Grade Project'!$G:$G,MATCH($A$5,'[1]Grade Project'!$F:$F,0)+SUM($G$3:G39)))</f>
        <v/>
      </c>
      <c r="G40">
        <f>COUNTIFS('[1]Grade Project'!$F:$F,$A$5,'[1]Grade Project'!$G:$G,F40)</f>
        <v>0</v>
      </c>
      <c r="H40" t="str">
        <f>IF(I39=0,"",INDEX('[1]Grade Project'!$K:$K,MATCH(CONCATENATE($A$5,$A$8),'[1]Grade Project'!$H:$H,0)+SUM($I$3:I39)))</f>
        <v/>
      </c>
      <c r="I40">
        <f>COUNTIFS('[1]Grade Project'!$G:$G,$A$8,'[1]Grade Project'!$K:$K,H40,'[1]Grade Project'!$F:$F,$A$5)</f>
        <v>0</v>
      </c>
      <c r="J40" t="str">
        <f>IFERROR(AVERAGEIFS('[1]Grade Project'!$N:$N,'[1]Grade Project'!$K:$K,H40,'[1]Grade Project'!$F:$F,$A$5,'[1]Grade Project'!$G:$G,$A$8),"")</f>
        <v/>
      </c>
      <c r="K40" t="str">
        <f>IFERROR(AVERAGEIFS('[1]Grade Project'!$O:$O,'[1]Grade Project'!$K:$K,H40,'[1]Grade Project'!$F:$F,$A$5,'[1]Grade Project'!$G:$G,$A$8),"")</f>
        <v/>
      </c>
      <c r="L40" t="str">
        <f t="shared" si="1"/>
        <v/>
      </c>
      <c r="M40" t="str">
        <f t="shared" si="2"/>
        <v/>
      </c>
      <c r="N40" t="str">
        <f t="shared" si="3"/>
        <v/>
      </c>
    </row>
    <row r="41" spans="2:14" x14ac:dyDescent="0.25">
      <c r="B41" t="s">
        <v>40</v>
      </c>
      <c r="C41" t="e">
        <f>IF(C40="","",IF(C40=INDEX('[1]Grade Project'!$F:$F,MATCH($A$3,'[1]Grade Project'!$E:$E,0)+SUM($D$3:D40)),"",INDEX('[1]Grade Project'!$F:$F,MATCH($A$3,'[1]Grade Project'!$E:$E,0)+SUM($D$3:D40))))</f>
        <v>#N/A</v>
      </c>
      <c r="F41" t="str">
        <f>IF(G40=0,"",INDEX('[1]Grade Project'!$G:$G,MATCH($A$5,'[1]Grade Project'!$F:$F,0)+SUM($G$3:G40)))</f>
        <v/>
      </c>
      <c r="G41">
        <f>COUNTIFS('[1]Grade Project'!$F:$F,$A$5,'[1]Grade Project'!$G:$G,F41)</f>
        <v>0</v>
      </c>
      <c r="H41" t="str">
        <f>IF(I40=0,"",INDEX('[1]Grade Project'!$K:$K,MATCH(CONCATENATE($A$5,$A$8),'[1]Grade Project'!$H:$H,0)+SUM($I$3:I40)))</f>
        <v/>
      </c>
      <c r="I41">
        <f>COUNTIFS('[1]Grade Project'!$G:$G,$A$8,'[1]Grade Project'!$K:$K,H41,'[1]Grade Project'!$F:$F,$A$5)</f>
        <v>0</v>
      </c>
      <c r="J41" t="str">
        <f>IFERROR(AVERAGEIFS('[1]Grade Project'!$N:$N,'[1]Grade Project'!$K:$K,H41,'[1]Grade Project'!$F:$F,$A$5,'[1]Grade Project'!$G:$G,$A$8),"")</f>
        <v/>
      </c>
      <c r="K41" t="str">
        <f>IFERROR(AVERAGEIFS('[1]Grade Project'!$O:$O,'[1]Grade Project'!$K:$K,H41,'[1]Grade Project'!$F:$F,$A$5,'[1]Grade Project'!$G:$G,$A$8),"")</f>
        <v/>
      </c>
      <c r="L41" t="str">
        <f t="shared" si="1"/>
        <v/>
      </c>
      <c r="M41" t="str">
        <f t="shared" si="2"/>
        <v/>
      </c>
      <c r="N41" t="str">
        <f t="shared" si="3"/>
        <v/>
      </c>
    </row>
    <row r="42" spans="2:14" x14ac:dyDescent="0.25">
      <c r="B42" t="s">
        <v>41</v>
      </c>
      <c r="C42" t="e">
        <f>IF(C41="","",IF(C41=INDEX('[1]Grade Project'!$F:$F,MATCH($A$3,'[1]Grade Project'!$E:$E,0)+SUM($D$3:D41)),"",INDEX('[1]Grade Project'!$F:$F,MATCH($A$3,'[1]Grade Project'!$E:$E,0)+SUM($D$3:D41))))</f>
        <v>#N/A</v>
      </c>
      <c r="F42" t="str">
        <f>IF(G41=0,"",INDEX('[1]Grade Project'!$G:$G,MATCH($A$5,'[1]Grade Project'!$F:$F,0)+SUM($G$3:G41)))</f>
        <v/>
      </c>
      <c r="G42">
        <f>COUNTIFS('[1]Grade Project'!$F:$F,$A$5,'[1]Grade Project'!$G:$G,F42)</f>
        <v>0</v>
      </c>
      <c r="H42" t="str">
        <f>IF(I41=0,"",INDEX('[1]Grade Project'!$K:$K,MATCH(CONCATENATE($A$5,$A$8),'[1]Grade Project'!$H:$H,0)+SUM($I$3:I41)))</f>
        <v/>
      </c>
      <c r="I42">
        <f>COUNTIFS('[1]Grade Project'!$G:$G,$A$8,'[1]Grade Project'!$K:$K,H42,'[1]Grade Project'!$F:$F,$A$5)</f>
        <v>0</v>
      </c>
      <c r="J42" t="str">
        <f>IFERROR(AVERAGEIFS('[1]Grade Project'!$N:$N,'[1]Grade Project'!$K:$K,H42,'[1]Grade Project'!$F:$F,$A$5,'[1]Grade Project'!$G:$G,$A$8),"")</f>
        <v/>
      </c>
      <c r="K42" t="str">
        <f>IFERROR(AVERAGEIFS('[1]Grade Project'!$O:$O,'[1]Grade Project'!$K:$K,H42,'[1]Grade Project'!$F:$F,$A$5,'[1]Grade Project'!$G:$G,$A$8),"")</f>
        <v/>
      </c>
      <c r="L42" t="str">
        <f t="shared" si="1"/>
        <v/>
      </c>
      <c r="M42" t="str">
        <f t="shared" si="2"/>
        <v/>
      </c>
      <c r="N42" t="str">
        <f t="shared" si="3"/>
        <v/>
      </c>
    </row>
    <row r="43" spans="2:14" x14ac:dyDescent="0.25">
      <c r="B43" t="s">
        <v>42</v>
      </c>
      <c r="C43" t="e">
        <f>IF(C42="","",IF(C42=INDEX('[1]Grade Project'!$F:$F,MATCH($A$3,'[1]Grade Project'!$E:$E,0)+SUM($D$3:D42)),"",INDEX('[1]Grade Project'!$F:$F,MATCH($A$3,'[1]Grade Project'!$E:$E,0)+SUM($D$3:D42))))</f>
        <v>#N/A</v>
      </c>
      <c r="F43" t="str">
        <f>IF(G42=0,"",INDEX('[1]Grade Project'!$G:$G,MATCH($A$5,'[1]Grade Project'!$F:$F,0)+SUM($G$3:G42)))</f>
        <v/>
      </c>
      <c r="G43">
        <f>COUNTIFS('[1]Grade Project'!$F:$F,$A$5,'[1]Grade Project'!$G:$G,F43)</f>
        <v>0</v>
      </c>
      <c r="H43" t="str">
        <f>IF(I42=0,"",INDEX('[1]Grade Project'!$K:$K,MATCH(CONCATENATE($A$5,$A$8),'[1]Grade Project'!$H:$H,0)+SUM($I$3:I42)))</f>
        <v/>
      </c>
      <c r="I43">
        <f>COUNTIFS('[1]Grade Project'!$G:$G,$A$8,'[1]Grade Project'!$K:$K,H43,'[1]Grade Project'!$F:$F,$A$5)</f>
        <v>0</v>
      </c>
      <c r="J43" t="str">
        <f>IFERROR(AVERAGEIFS('[1]Grade Project'!$N:$N,'[1]Grade Project'!$K:$K,H43,'[1]Grade Project'!$F:$F,$A$5,'[1]Grade Project'!$G:$G,$A$8),"")</f>
        <v/>
      </c>
      <c r="K43" t="str">
        <f>IFERROR(AVERAGEIFS('[1]Grade Project'!$O:$O,'[1]Grade Project'!$K:$K,H43,'[1]Grade Project'!$F:$F,$A$5,'[1]Grade Project'!$G:$G,$A$8),"")</f>
        <v/>
      </c>
      <c r="L43" t="str">
        <f t="shared" si="1"/>
        <v/>
      </c>
      <c r="M43" t="str">
        <f t="shared" si="2"/>
        <v/>
      </c>
      <c r="N43" t="str">
        <f t="shared" si="3"/>
        <v/>
      </c>
    </row>
    <row r="44" spans="2:14" x14ac:dyDescent="0.25">
      <c r="B44" t="s">
        <v>43</v>
      </c>
      <c r="C44" t="e">
        <f>IF(C43="","",IF(C43=INDEX('[1]Grade Project'!$F:$F,MATCH($A$3,'[1]Grade Project'!$E:$E,0)+SUM($D$3:D43)),"",INDEX('[1]Grade Project'!$F:$F,MATCH($A$3,'[1]Grade Project'!$E:$E,0)+SUM($D$3:D43))))</f>
        <v>#N/A</v>
      </c>
      <c r="F44" t="str">
        <f>IF(G43=0,"",INDEX('[1]Grade Project'!$G:$G,MATCH($A$5,'[1]Grade Project'!$F:$F,0)+SUM($G$3:G43)))</f>
        <v/>
      </c>
      <c r="G44">
        <f>COUNTIFS('[1]Grade Project'!$F:$F,$A$5,'[1]Grade Project'!$G:$G,F44)</f>
        <v>0</v>
      </c>
      <c r="H44" t="str">
        <f>IF(I43=0,"",INDEX('[1]Grade Project'!$K:$K,MATCH(CONCATENATE($A$5,$A$8),'[1]Grade Project'!$H:$H,0)+SUM($I$3:I43)))</f>
        <v/>
      </c>
      <c r="I44">
        <f>COUNTIFS('[1]Grade Project'!$G:$G,$A$8,'[1]Grade Project'!$K:$K,H44,'[1]Grade Project'!$F:$F,$A$5)</f>
        <v>0</v>
      </c>
      <c r="J44" t="str">
        <f>IFERROR(AVERAGEIFS('[1]Grade Project'!$N:$N,'[1]Grade Project'!$K:$K,H44,'[1]Grade Project'!$F:$F,$A$5,'[1]Grade Project'!$G:$G,$A$8),"")</f>
        <v/>
      </c>
      <c r="K44" t="str">
        <f>IFERROR(AVERAGEIFS('[1]Grade Project'!$O:$O,'[1]Grade Project'!$K:$K,H44,'[1]Grade Project'!$F:$F,$A$5,'[1]Grade Project'!$G:$G,$A$8),"")</f>
        <v/>
      </c>
      <c r="L44" t="str">
        <f t="shared" si="1"/>
        <v/>
      </c>
      <c r="M44" t="str">
        <f t="shared" si="2"/>
        <v/>
      </c>
      <c r="N44" t="str">
        <f t="shared" si="3"/>
        <v/>
      </c>
    </row>
    <row r="45" spans="2:14" x14ac:dyDescent="0.25">
      <c r="B45" t="s">
        <v>44</v>
      </c>
      <c r="C45" t="e">
        <f>IF(C44="","",IF(C44=INDEX('[1]Grade Project'!$F:$F,MATCH($A$3,'[1]Grade Project'!$E:$E,0)+SUM($D$3:D44)),"",INDEX('[1]Grade Project'!$F:$F,MATCH($A$3,'[1]Grade Project'!$E:$E,0)+SUM($D$3:D44))))</f>
        <v>#N/A</v>
      </c>
      <c r="F45" t="str">
        <f>IF(G44=0,"",INDEX('[1]Grade Project'!$G:$G,MATCH($A$5,'[1]Grade Project'!$F:$F,0)+SUM($G$3:G44)))</f>
        <v/>
      </c>
      <c r="G45">
        <f>COUNTIFS('[1]Grade Project'!$F:$F,$A$5,'[1]Grade Project'!$G:$G,F45)</f>
        <v>0</v>
      </c>
      <c r="H45" t="str">
        <f>IF(I44=0,"",INDEX('[1]Grade Project'!$K:$K,MATCH(CONCATENATE($A$5,$A$8),'[1]Grade Project'!$H:$H,0)+SUM($I$3:I44)))</f>
        <v/>
      </c>
      <c r="I45">
        <f>COUNTIFS('[1]Grade Project'!$G:$G,$A$8,'[1]Grade Project'!$K:$K,H45,'[1]Grade Project'!$F:$F,$A$5)</f>
        <v>0</v>
      </c>
      <c r="J45" t="str">
        <f>IFERROR(AVERAGEIFS('[1]Grade Project'!$N:$N,'[1]Grade Project'!$K:$K,H45,'[1]Grade Project'!$F:$F,$A$5,'[1]Grade Project'!$G:$G,$A$8),"")</f>
        <v/>
      </c>
      <c r="K45" t="str">
        <f>IFERROR(AVERAGEIFS('[1]Grade Project'!$O:$O,'[1]Grade Project'!$K:$K,H45,'[1]Grade Project'!$F:$F,$A$5,'[1]Grade Project'!$G:$G,$A$8),"")</f>
        <v/>
      </c>
      <c r="L45" t="str">
        <f t="shared" si="1"/>
        <v/>
      </c>
      <c r="M45" t="str">
        <f t="shared" si="2"/>
        <v/>
      </c>
      <c r="N45" t="str">
        <f t="shared" si="3"/>
        <v/>
      </c>
    </row>
    <row r="46" spans="2:14" x14ac:dyDescent="0.25">
      <c r="B46" t="s">
        <v>45</v>
      </c>
      <c r="C46" t="e">
        <f>IF(C45="","",IF(C45=INDEX('[1]Grade Project'!$F:$F,MATCH($A$3,'[1]Grade Project'!$E:$E,0)+SUM($D$3:D45)),"",INDEX('[1]Grade Project'!$F:$F,MATCH($A$3,'[1]Grade Project'!$E:$E,0)+SUM($D$3:D45))))</f>
        <v>#N/A</v>
      </c>
      <c r="F46" t="str">
        <f>IF(G45=0,"",INDEX('[1]Grade Project'!$G:$G,MATCH($A$5,'[1]Grade Project'!$F:$F,0)+SUM($G$3:G45)))</f>
        <v/>
      </c>
      <c r="G46">
        <f>COUNTIFS('[1]Grade Project'!$F:$F,$A$5,'[1]Grade Project'!$G:$G,F46)</f>
        <v>0</v>
      </c>
      <c r="H46" t="str">
        <f>IF(I45=0,"",INDEX('[1]Grade Project'!$K:$K,MATCH(CONCATENATE($A$5,$A$8),'[1]Grade Project'!$H:$H,0)+SUM($I$3:I45)))</f>
        <v/>
      </c>
      <c r="I46">
        <f>COUNTIFS('[1]Grade Project'!$G:$G,$A$8,'[1]Grade Project'!$K:$K,H46,'[1]Grade Project'!$F:$F,$A$5)</f>
        <v>0</v>
      </c>
      <c r="J46" t="str">
        <f>IFERROR(AVERAGEIFS('[1]Grade Project'!$N:$N,'[1]Grade Project'!$K:$K,H46,'[1]Grade Project'!$F:$F,$A$5,'[1]Grade Project'!$G:$G,$A$8),"")</f>
        <v/>
      </c>
      <c r="K46" t="str">
        <f>IFERROR(AVERAGEIFS('[1]Grade Project'!$O:$O,'[1]Grade Project'!$K:$K,H46,'[1]Grade Project'!$F:$F,$A$5,'[1]Grade Project'!$G:$G,$A$8),"")</f>
        <v/>
      </c>
      <c r="L46" t="str">
        <f t="shared" si="1"/>
        <v/>
      </c>
      <c r="M46" t="str">
        <f t="shared" si="2"/>
        <v/>
      </c>
      <c r="N46" t="str">
        <f t="shared" si="3"/>
        <v/>
      </c>
    </row>
    <row r="47" spans="2:14" x14ac:dyDescent="0.25">
      <c r="B47" t="s">
        <v>46</v>
      </c>
      <c r="C47" t="e">
        <f>IF(C46="","",IF(C46=INDEX('[1]Grade Project'!$F:$F,MATCH($A$3,'[1]Grade Project'!$E:$E,0)+SUM($D$3:D46)),"",INDEX('[1]Grade Project'!$F:$F,MATCH($A$3,'[1]Grade Project'!$E:$E,0)+SUM($D$3:D46))))</f>
        <v>#N/A</v>
      </c>
      <c r="F47" t="str">
        <f>IF(G46=0,"",INDEX('[1]Grade Project'!$G:$G,MATCH($A$5,'[1]Grade Project'!$F:$F,0)+SUM($G$3:G46)))</f>
        <v/>
      </c>
      <c r="G47">
        <f>COUNTIFS('[1]Grade Project'!$F:$F,$A$5,'[1]Grade Project'!$G:$G,F47)</f>
        <v>0</v>
      </c>
      <c r="H47" t="str">
        <f>IF(I46=0,"",INDEX('[1]Grade Project'!$K:$K,MATCH(CONCATENATE($A$5,$A$8),'[1]Grade Project'!$H:$H,0)+SUM($I$3:I46)))</f>
        <v/>
      </c>
      <c r="I47">
        <f>COUNTIFS('[1]Grade Project'!$G:$G,$A$8,'[1]Grade Project'!$K:$K,H47,'[1]Grade Project'!$F:$F,$A$5)</f>
        <v>0</v>
      </c>
      <c r="J47" t="str">
        <f>IFERROR(AVERAGEIFS('[1]Grade Project'!$N:$N,'[1]Grade Project'!$K:$K,H47,'[1]Grade Project'!$F:$F,$A$5,'[1]Grade Project'!$G:$G,$A$8),"")</f>
        <v/>
      </c>
      <c r="K47" t="str">
        <f>IFERROR(AVERAGEIFS('[1]Grade Project'!$O:$O,'[1]Grade Project'!$K:$K,H47,'[1]Grade Project'!$F:$F,$A$5,'[1]Grade Project'!$G:$G,$A$8),"")</f>
        <v/>
      </c>
      <c r="L47" t="str">
        <f t="shared" si="1"/>
        <v/>
      </c>
      <c r="M47" t="str">
        <f t="shared" si="2"/>
        <v/>
      </c>
      <c r="N47" t="str">
        <f t="shared" si="3"/>
        <v/>
      </c>
    </row>
    <row r="48" spans="2:14" x14ac:dyDescent="0.25">
      <c r="B48" t="s">
        <v>47</v>
      </c>
      <c r="C48" t="e">
        <f>IF(C47="","",IF(C47=INDEX('[1]Grade Project'!$F:$F,MATCH($A$3,'[1]Grade Project'!$E:$E,0)+SUM($D$3:D47)),"",INDEX('[1]Grade Project'!$F:$F,MATCH($A$3,'[1]Grade Project'!$E:$E,0)+SUM($D$3:D47))))</f>
        <v>#N/A</v>
      </c>
      <c r="F48" t="str">
        <f>IF(G47=0,"",INDEX('[1]Grade Project'!$G:$G,MATCH($A$5,'[1]Grade Project'!$F:$F,0)+SUM($G$3:G47)))</f>
        <v/>
      </c>
      <c r="G48">
        <f>COUNTIFS('[1]Grade Project'!$F:$F,$A$5,'[1]Grade Project'!$G:$G,F48)</f>
        <v>0</v>
      </c>
      <c r="H48" t="str">
        <f>IF(I47=0,"",INDEX('[1]Grade Project'!$K:$K,MATCH(CONCATENATE($A$5,$A$8),'[1]Grade Project'!$H:$H,0)+SUM($I$3:I47)))</f>
        <v/>
      </c>
      <c r="I48">
        <f>COUNTIFS('[1]Grade Project'!$G:$G,$A$8,'[1]Grade Project'!$K:$K,H48,'[1]Grade Project'!$F:$F,$A$5)</f>
        <v>0</v>
      </c>
      <c r="J48" t="str">
        <f>IFERROR(AVERAGEIFS('[1]Grade Project'!$N:$N,'[1]Grade Project'!$K:$K,H48,'[1]Grade Project'!$F:$F,$A$5,'[1]Grade Project'!$G:$G,$A$8),"")</f>
        <v/>
      </c>
      <c r="K48" t="str">
        <f>IFERROR(AVERAGEIFS('[1]Grade Project'!$O:$O,'[1]Grade Project'!$K:$K,H48,'[1]Grade Project'!$F:$F,$A$5,'[1]Grade Project'!$G:$G,$A$8),"")</f>
        <v/>
      </c>
      <c r="L48" t="str">
        <f t="shared" si="1"/>
        <v/>
      </c>
      <c r="M48" t="str">
        <f t="shared" si="2"/>
        <v/>
      </c>
      <c r="N48" t="str">
        <f t="shared" si="3"/>
        <v/>
      </c>
    </row>
    <row r="49" spans="2:14" x14ac:dyDescent="0.25">
      <c r="B49" t="s">
        <v>48</v>
      </c>
      <c r="C49" t="e">
        <f>IF(C48="","",IF(C48=INDEX('[1]Grade Project'!$F:$F,MATCH($A$3,'[1]Grade Project'!$E:$E,0)+SUM($D$3:D48)),"",INDEX('[1]Grade Project'!$F:$F,MATCH($A$3,'[1]Grade Project'!$E:$E,0)+SUM($D$3:D48))))</f>
        <v>#N/A</v>
      </c>
      <c r="F49" t="str">
        <f>IF(G48=0,"",INDEX('[1]Grade Project'!$G:$G,MATCH($A$5,'[1]Grade Project'!$F:$F,0)+SUM($G$3:G48)))</f>
        <v/>
      </c>
      <c r="G49">
        <f>COUNTIFS('[1]Grade Project'!$F:$F,$A$5,'[1]Grade Project'!$G:$G,F49)</f>
        <v>0</v>
      </c>
      <c r="H49" t="str">
        <f>IF(I48=0,"",INDEX('[1]Grade Project'!$K:$K,MATCH(CONCATENATE($A$5,$A$8),'[1]Grade Project'!$H:$H,0)+SUM($I$3:I48)))</f>
        <v/>
      </c>
      <c r="I49">
        <f>COUNTIFS('[1]Grade Project'!$G:$G,$A$8,'[1]Grade Project'!$K:$K,H49,'[1]Grade Project'!$F:$F,$A$5)</f>
        <v>0</v>
      </c>
      <c r="J49" t="str">
        <f>IFERROR(AVERAGEIFS('[1]Grade Project'!$N:$N,'[1]Grade Project'!$K:$K,H49,'[1]Grade Project'!$F:$F,$A$5,'[1]Grade Project'!$G:$G,$A$8),"")</f>
        <v/>
      </c>
      <c r="K49" t="str">
        <f>IFERROR(AVERAGEIFS('[1]Grade Project'!$O:$O,'[1]Grade Project'!$K:$K,H49,'[1]Grade Project'!$F:$F,$A$5,'[1]Grade Project'!$G:$G,$A$8),"")</f>
        <v/>
      </c>
      <c r="L49" t="str">
        <f t="shared" si="1"/>
        <v/>
      </c>
      <c r="M49" t="str">
        <f t="shared" si="2"/>
        <v/>
      </c>
      <c r="N49" t="str">
        <f t="shared" si="3"/>
        <v/>
      </c>
    </row>
    <row r="50" spans="2:14" x14ac:dyDescent="0.25">
      <c r="B50" t="s">
        <v>49</v>
      </c>
      <c r="C50" t="e">
        <f>IF(C49="","",IF(C49=INDEX('[1]Grade Project'!$F:$F,MATCH($A$3,'[1]Grade Project'!$E:$E,0)+SUM($D$3:D49)),"",INDEX('[1]Grade Project'!$F:$F,MATCH($A$3,'[1]Grade Project'!$E:$E,0)+SUM($D$3:D49))))</f>
        <v>#N/A</v>
      </c>
      <c r="F50" t="str">
        <f>IF(G49=0,"",INDEX('[1]Grade Project'!$G:$G,MATCH($A$5,'[1]Grade Project'!$F:$F,0)+SUM($G$3:G49)))</f>
        <v/>
      </c>
      <c r="G50">
        <f>COUNTIFS('[1]Grade Project'!$F:$F,$A$5,'[1]Grade Project'!$G:$G,F50)</f>
        <v>0</v>
      </c>
      <c r="H50" t="str">
        <f>IF(I49=0,"",INDEX('[1]Grade Project'!$K:$K,MATCH(CONCATENATE($A$5,$A$8),'[1]Grade Project'!$H:$H,0)+SUM($I$3:I49)))</f>
        <v/>
      </c>
      <c r="I50">
        <f>COUNTIFS('[1]Grade Project'!$G:$G,$A$8,'[1]Grade Project'!$K:$K,H50,'[1]Grade Project'!$F:$F,$A$5)</f>
        <v>0</v>
      </c>
      <c r="J50" t="str">
        <f>IFERROR(AVERAGEIFS('[1]Grade Project'!$N:$N,'[1]Grade Project'!$K:$K,H50,'[1]Grade Project'!$F:$F,$A$5,'[1]Grade Project'!$G:$G,$A$8),"")</f>
        <v/>
      </c>
      <c r="K50" t="str">
        <f>IFERROR(AVERAGEIFS('[1]Grade Project'!$O:$O,'[1]Grade Project'!$K:$K,H50,'[1]Grade Project'!$F:$F,$A$5,'[1]Grade Project'!$G:$G,$A$8),"")</f>
        <v/>
      </c>
      <c r="L50" t="str">
        <f t="shared" si="1"/>
        <v/>
      </c>
      <c r="M50" t="str">
        <f t="shared" si="2"/>
        <v/>
      </c>
      <c r="N50" t="str">
        <f t="shared" si="3"/>
        <v/>
      </c>
    </row>
    <row r="51" spans="2:14" x14ac:dyDescent="0.25">
      <c r="B51" t="s">
        <v>50</v>
      </c>
      <c r="C51" t="e">
        <f>IF(C50="","",IF(C50=INDEX('[1]Grade Project'!$F:$F,MATCH($A$3,'[1]Grade Project'!$E:$E,0)+SUM($D$3:D50)),"",INDEX('[1]Grade Project'!$F:$F,MATCH($A$3,'[1]Grade Project'!$E:$E,0)+SUM($D$3:D50))))</f>
        <v>#N/A</v>
      </c>
      <c r="F51" t="str">
        <f>IF(G50=0,"",INDEX('[1]Grade Project'!$G:$G,MATCH($A$5,'[1]Grade Project'!$F:$F,0)+SUM($G$3:G50)))</f>
        <v/>
      </c>
      <c r="G51">
        <f>COUNTIFS('[1]Grade Project'!$F:$F,$A$5,'[1]Grade Project'!$G:$G,F51)</f>
        <v>0</v>
      </c>
      <c r="H51" t="str">
        <f>IF(I50=0,"",INDEX('[1]Grade Project'!$K:$K,MATCH(CONCATENATE($A$5,$A$8),'[1]Grade Project'!$H:$H,0)+SUM($I$3:I50)))</f>
        <v/>
      </c>
      <c r="I51">
        <f>COUNTIFS('[1]Grade Project'!$G:$G,$A$8,'[1]Grade Project'!$K:$K,H51,'[1]Grade Project'!$F:$F,$A$5)</f>
        <v>0</v>
      </c>
      <c r="J51" t="str">
        <f>IFERROR(AVERAGEIFS('[1]Grade Project'!$N:$N,'[1]Grade Project'!$K:$K,H51,'[1]Grade Project'!$F:$F,$A$5,'[1]Grade Project'!$G:$G,$A$8),"")</f>
        <v/>
      </c>
      <c r="K51" t="str">
        <f>IFERROR(AVERAGEIFS('[1]Grade Project'!$O:$O,'[1]Grade Project'!$K:$K,H51,'[1]Grade Project'!$F:$F,$A$5,'[1]Grade Project'!$G:$G,$A$8),"")</f>
        <v/>
      </c>
      <c r="L51" t="str">
        <f t="shared" si="1"/>
        <v/>
      </c>
      <c r="M51" t="str">
        <f t="shared" si="2"/>
        <v/>
      </c>
      <c r="N51" t="str">
        <f t="shared" si="3"/>
        <v/>
      </c>
    </row>
    <row r="52" spans="2:14" x14ac:dyDescent="0.25">
      <c r="B52" t="s">
        <v>51</v>
      </c>
      <c r="C52" t="e">
        <f>IF(C51="","",IF(C51=INDEX('[1]Grade Project'!$F:$F,MATCH($A$3,'[1]Grade Project'!$E:$E,0)+SUM($D$3:D51)),"",INDEX('[1]Grade Project'!$F:$F,MATCH($A$3,'[1]Grade Project'!$E:$E,0)+SUM($D$3:D51))))</f>
        <v>#N/A</v>
      </c>
      <c r="F52" t="str">
        <f>IF(G51=0,"",INDEX('[1]Grade Project'!$G:$G,MATCH($A$5,'[1]Grade Project'!$F:$F,0)+SUM($G$3:G51)))</f>
        <v/>
      </c>
      <c r="G52">
        <f>COUNTIFS('[1]Grade Project'!$F:$F,$A$5,'[1]Grade Project'!$G:$G,F52)</f>
        <v>0</v>
      </c>
      <c r="H52" t="str">
        <f>IF(I51=0,"",INDEX('[1]Grade Project'!$K:$K,MATCH(CONCATENATE($A$5,$A$8),'[1]Grade Project'!$H:$H,0)+SUM($I$3:I51)))</f>
        <v/>
      </c>
      <c r="I52">
        <f>COUNTIFS('[1]Grade Project'!$G:$G,$A$8,'[1]Grade Project'!$K:$K,H52,'[1]Grade Project'!$F:$F,$A$5)</f>
        <v>0</v>
      </c>
      <c r="J52" t="str">
        <f>IFERROR(AVERAGEIFS('[1]Grade Project'!$N:$N,'[1]Grade Project'!$K:$K,H52,'[1]Grade Project'!$F:$F,$A$5,'[1]Grade Project'!$G:$G,$A$8),"")</f>
        <v/>
      </c>
      <c r="K52" t="str">
        <f>IFERROR(AVERAGEIFS('[1]Grade Project'!$O:$O,'[1]Grade Project'!$K:$K,H52,'[1]Grade Project'!$F:$F,$A$5,'[1]Grade Project'!$G:$G,$A$8),"")</f>
        <v/>
      </c>
      <c r="L52" t="str">
        <f t="shared" si="1"/>
        <v/>
      </c>
      <c r="M52" t="str">
        <f t="shared" si="2"/>
        <v/>
      </c>
      <c r="N52" t="str">
        <f t="shared" si="3"/>
        <v/>
      </c>
    </row>
    <row r="53" spans="2:14" x14ac:dyDescent="0.25">
      <c r="B53" t="s">
        <v>52</v>
      </c>
      <c r="C53" t="e">
        <f>IF(C52="","",IF(C52=INDEX('[1]Grade Project'!$F:$F,MATCH($A$3,'[1]Grade Project'!$E:$E,0)+SUM($D$3:D52)),"",INDEX('[1]Grade Project'!$F:$F,MATCH($A$3,'[1]Grade Project'!$E:$E,0)+SUM($D$3:D52))))</f>
        <v>#N/A</v>
      </c>
      <c r="F53" t="str">
        <f>IF(G52=0,"",INDEX('[1]Grade Project'!$G:$G,MATCH($A$5,'[1]Grade Project'!$F:$F,0)+SUM($G$3:G52)))</f>
        <v/>
      </c>
      <c r="G53">
        <f>COUNTIFS('[1]Grade Project'!$F:$F,$A$5,'[1]Grade Project'!$G:$G,F53)</f>
        <v>0</v>
      </c>
      <c r="H53" t="str">
        <f>IF(I52=0,"",INDEX('[1]Grade Project'!$K:$K,MATCH(CONCATENATE($A$5,$A$8),'[1]Grade Project'!$H:$H,0)+SUM($I$3:I52)))</f>
        <v/>
      </c>
      <c r="I53">
        <f>COUNTIFS('[1]Grade Project'!$G:$G,$A$8,'[1]Grade Project'!$K:$K,H53,'[1]Grade Project'!$F:$F,$A$5)</f>
        <v>0</v>
      </c>
      <c r="J53" t="str">
        <f>IFERROR(AVERAGEIFS('[1]Grade Project'!$N:$N,'[1]Grade Project'!$K:$K,H53,'[1]Grade Project'!$F:$F,$A$5,'[1]Grade Project'!$G:$G,$A$8),"")</f>
        <v/>
      </c>
      <c r="K53" t="str">
        <f>IFERROR(AVERAGEIFS('[1]Grade Project'!$O:$O,'[1]Grade Project'!$K:$K,H53,'[1]Grade Project'!$F:$F,$A$5,'[1]Grade Project'!$G:$G,$A$8),"")</f>
        <v/>
      </c>
      <c r="L53" t="str">
        <f t="shared" si="1"/>
        <v/>
      </c>
      <c r="M53" t="str">
        <f t="shared" si="2"/>
        <v/>
      </c>
      <c r="N53" t="str">
        <f t="shared" si="3"/>
        <v/>
      </c>
    </row>
    <row r="54" spans="2:14" x14ac:dyDescent="0.25">
      <c r="B54" t="s">
        <v>53</v>
      </c>
      <c r="C54" t="e">
        <f>IF(C53="","",IF(C53=INDEX('[1]Grade Project'!$F:$F,MATCH($A$3,'[1]Grade Project'!$E:$E,0)+SUM($D$3:D53)),"",INDEX('[1]Grade Project'!$F:$F,MATCH($A$3,'[1]Grade Project'!$E:$E,0)+SUM($D$3:D53))))</f>
        <v>#N/A</v>
      </c>
      <c r="F54" t="str">
        <f>IF(G53=0,"",INDEX('[1]Grade Project'!$G:$G,MATCH($A$5,'[1]Grade Project'!$F:$F,0)+SUM($G$3:G53)))</f>
        <v/>
      </c>
      <c r="G54">
        <f>COUNTIFS('[1]Grade Project'!$F:$F,$A$5,'[1]Grade Project'!$G:$G,F54)</f>
        <v>0</v>
      </c>
      <c r="H54" t="str">
        <f>IF(I53=0,"",INDEX('[1]Grade Project'!$K:$K,MATCH(CONCATENATE($A$5,$A$8),'[1]Grade Project'!$H:$H,0)+SUM($I$3:I53)))</f>
        <v/>
      </c>
      <c r="I54">
        <f>COUNTIFS('[1]Grade Project'!$G:$G,$A$8,'[1]Grade Project'!$K:$K,H54,'[1]Grade Project'!$F:$F,$A$5)</f>
        <v>0</v>
      </c>
      <c r="J54" t="str">
        <f>IFERROR(AVERAGEIFS('[1]Grade Project'!$N:$N,'[1]Grade Project'!$K:$K,H54,'[1]Grade Project'!$F:$F,$A$5,'[1]Grade Project'!$G:$G,$A$8),"")</f>
        <v/>
      </c>
      <c r="K54" t="str">
        <f>IFERROR(AVERAGEIFS('[1]Grade Project'!$O:$O,'[1]Grade Project'!$K:$K,H54,'[1]Grade Project'!$F:$F,$A$5,'[1]Grade Project'!$G:$G,$A$8),"")</f>
        <v/>
      </c>
      <c r="L54" t="str">
        <f t="shared" si="1"/>
        <v/>
      </c>
      <c r="M54" t="str">
        <f t="shared" si="2"/>
        <v/>
      </c>
      <c r="N54" t="str">
        <f t="shared" si="3"/>
        <v/>
      </c>
    </row>
    <row r="55" spans="2:14" x14ac:dyDescent="0.25">
      <c r="B55" t="s">
        <v>54</v>
      </c>
      <c r="F55" t="str">
        <f>IF(G54=0,"",INDEX('[1]Grade Project'!$G:$G,MATCH($A$5,'[1]Grade Project'!$F:$F,0)+SUM($G$3:G54)))</f>
        <v/>
      </c>
      <c r="G55">
        <f>COUNTIFS('[1]Grade Project'!$F:$F,$A$5,'[1]Grade Project'!$G:$G,F55)</f>
        <v>0</v>
      </c>
      <c r="H55" t="str">
        <f>IF(I54=0,"",INDEX('[1]Grade Project'!$K:$K,MATCH(CONCATENATE($A$5,$A$8),'[1]Grade Project'!$H:$H,0)+SUM($I$3:I54)))</f>
        <v/>
      </c>
      <c r="I55">
        <f>COUNTIFS('[1]Grade Project'!$G:$G,$A$8,'[1]Grade Project'!$K:$K,H55,'[1]Grade Project'!$F:$F,$A$5)</f>
        <v>0</v>
      </c>
      <c r="J55" t="str">
        <f>IFERROR(AVERAGEIFS('[1]Grade Project'!$N:$N,'[1]Grade Project'!$K:$K,H55,'[1]Grade Project'!$F:$F,$A$5,'[1]Grade Project'!$G:$G,$A$8),"")</f>
        <v/>
      </c>
      <c r="K55" t="str">
        <f>IFERROR(AVERAGEIFS('[1]Grade Project'!$O:$O,'[1]Grade Project'!$K:$K,H55,'[1]Grade Project'!$F:$F,$A$5,'[1]Grade Project'!$G:$G,$A$8),"")</f>
        <v/>
      </c>
      <c r="L55" t="str">
        <f t="shared" si="1"/>
        <v/>
      </c>
      <c r="M55" t="str">
        <f t="shared" si="2"/>
        <v/>
      </c>
      <c r="N55" t="str">
        <f t="shared" si="3"/>
        <v/>
      </c>
    </row>
    <row r="56" spans="2:14" x14ac:dyDescent="0.25">
      <c r="B56" t="s">
        <v>55</v>
      </c>
      <c r="F56" t="str">
        <f>IF(G55=0,"",INDEX('[1]Grade Project'!$G:$G,MATCH($A$5,'[1]Grade Project'!$F:$F,0)+SUM($G$3:G55)))</f>
        <v/>
      </c>
      <c r="G56">
        <f>COUNTIFS('[1]Grade Project'!$F:$F,$A$5,'[1]Grade Project'!$G:$G,F56)</f>
        <v>0</v>
      </c>
      <c r="H56" t="str">
        <f>IF(I55=0,"",INDEX('[1]Grade Project'!$K:$K,MATCH(CONCATENATE($A$5,$A$8),'[1]Grade Project'!$H:$H,0)+SUM($I$3:I55)))</f>
        <v/>
      </c>
      <c r="I56">
        <f>COUNTIFS('[1]Grade Project'!$G:$G,$A$8,'[1]Grade Project'!$K:$K,H56,'[1]Grade Project'!$F:$F,$A$5)</f>
        <v>0</v>
      </c>
      <c r="J56" t="str">
        <f>IFERROR(AVERAGEIFS('[1]Grade Project'!$N:$N,'[1]Grade Project'!$K:$K,H56,'[1]Grade Project'!$F:$F,$A$5,'[1]Grade Project'!$G:$G,$A$8),"")</f>
        <v/>
      </c>
      <c r="K56" t="str">
        <f>IFERROR(AVERAGEIFS('[1]Grade Project'!$O:$O,'[1]Grade Project'!$K:$K,H56,'[1]Grade Project'!$F:$F,$A$5,'[1]Grade Project'!$G:$G,$A$8),"")</f>
        <v/>
      </c>
      <c r="L56" t="str">
        <f t="shared" si="1"/>
        <v/>
      </c>
      <c r="M56" t="str">
        <f t="shared" si="2"/>
        <v/>
      </c>
      <c r="N56" t="str">
        <f t="shared" si="3"/>
        <v/>
      </c>
    </row>
    <row r="57" spans="2:14" x14ac:dyDescent="0.25">
      <c r="B57" t="s">
        <v>56</v>
      </c>
      <c r="F57" t="str">
        <f>IF(G56=0,"",INDEX('[1]Grade Project'!$G:$G,MATCH($A$5,'[1]Grade Project'!$F:$F,0)+SUM($G$3:G56)))</f>
        <v/>
      </c>
      <c r="G57">
        <f>COUNTIFS('[1]Grade Project'!$F:$F,$A$5,'[1]Grade Project'!$G:$G,F57)</f>
        <v>0</v>
      </c>
      <c r="H57" t="str">
        <f>IF(I56=0,"",INDEX('[1]Grade Project'!$K:$K,MATCH(CONCATENATE($A$5,$A$8),'[1]Grade Project'!$H:$H,0)+SUM($I$3:I56)))</f>
        <v/>
      </c>
      <c r="I57">
        <f>COUNTIFS('[1]Grade Project'!$G:$G,$A$8,'[1]Grade Project'!$K:$K,H57,'[1]Grade Project'!$F:$F,$A$5)</f>
        <v>0</v>
      </c>
      <c r="J57" t="str">
        <f>IFERROR(AVERAGEIFS('[1]Grade Project'!$N:$N,'[1]Grade Project'!$K:$K,H57,'[1]Grade Project'!$F:$F,$A$5,'[1]Grade Project'!$G:$G,$A$8),"")</f>
        <v/>
      </c>
      <c r="K57" t="str">
        <f>IFERROR(AVERAGEIFS('[1]Grade Project'!$O:$O,'[1]Grade Project'!$K:$K,H57,'[1]Grade Project'!$F:$F,$A$5,'[1]Grade Project'!$G:$G,$A$8),"")</f>
        <v/>
      </c>
      <c r="L57" t="str">
        <f t="shared" si="1"/>
        <v/>
      </c>
      <c r="M57" t="str">
        <f t="shared" si="2"/>
        <v/>
      </c>
      <c r="N57" t="str">
        <f t="shared" si="3"/>
        <v/>
      </c>
    </row>
    <row r="58" spans="2:14" x14ac:dyDescent="0.25">
      <c r="B58" t="s">
        <v>57</v>
      </c>
      <c r="F58" t="str">
        <f>IF(G57=0,"",INDEX('[1]Grade Project'!$G:$G,MATCH($A$5,'[1]Grade Project'!$F:$F,0)+SUM($G$3:G57)))</f>
        <v/>
      </c>
      <c r="G58">
        <f>COUNTIFS('[1]Grade Project'!$F:$F,$A$5,'[1]Grade Project'!$G:$G,F58)</f>
        <v>0</v>
      </c>
      <c r="H58" t="str">
        <f>IF(I57=0,"",INDEX('[1]Grade Project'!$K:$K,MATCH(CONCATENATE($A$5,$A$8),'[1]Grade Project'!$H:$H,0)+SUM($I$3:I57)))</f>
        <v/>
      </c>
      <c r="I58">
        <f>COUNTIFS('[1]Grade Project'!$G:$G,$A$8,'[1]Grade Project'!$K:$K,H58,'[1]Grade Project'!$F:$F,$A$5)</f>
        <v>0</v>
      </c>
      <c r="J58" t="str">
        <f>IFERROR(AVERAGEIFS('[1]Grade Project'!$N:$N,'[1]Grade Project'!$K:$K,H58,'[1]Grade Project'!$F:$F,$A$5,'[1]Grade Project'!$G:$G,$A$8),"")</f>
        <v/>
      </c>
      <c r="K58" t="str">
        <f>IFERROR(AVERAGEIFS('[1]Grade Project'!$O:$O,'[1]Grade Project'!$K:$K,H58,'[1]Grade Project'!$F:$F,$A$5,'[1]Grade Project'!$G:$G,$A$8),"")</f>
        <v/>
      </c>
      <c r="L58" t="str">
        <f t="shared" si="1"/>
        <v/>
      </c>
      <c r="M58" t="str">
        <f t="shared" si="2"/>
        <v/>
      </c>
      <c r="N58" t="str">
        <f t="shared" si="3"/>
        <v/>
      </c>
    </row>
    <row r="59" spans="2:14" x14ac:dyDescent="0.25">
      <c r="B59" t="s">
        <v>58</v>
      </c>
      <c r="F59" t="str">
        <f>IF(G58=0,"",INDEX('[1]Grade Project'!$G:$G,MATCH($A$5,'[1]Grade Project'!$F:$F,0)+SUM($G$3:G58)))</f>
        <v/>
      </c>
      <c r="G59">
        <f>COUNTIFS('[1]Grade Project'!$F:$F,$A$5,'[1]Grade Project'!$G:$G,F59)</f>
        <v>0</v>
      </c>
      <c r="H59" t="str">
        <f>IF(I58=0,"",INDEX('[1]Grade Project'!$K:$K,MATCH(CONCATENATE($A$5,$A$8),'[1]Grade Project'!$H:$H,0)+SUM($I$3:I58)))</f>
        <v/>
      </c>
      <c r="I59">
        <f>COUNTIFS('[1]Grade Project'!$G:$G,$A$8,'[1]Grade Project'!$K:$K,H59,'[1]Grade Project'!$F:$F,$A$5)</f>
        <v>0</v>
      </c>
      <c r="J59" t="str">
        <f>IFERROR(AVERAGEIFS('[1]Grade Project'!$N:$N,'[1]Grade Project'!$K:$K,H59,'[1]Grade Project'!$F:$F,$A$5,'[1]Grade Project'!$G:$G,$A$8),"")</f>
        <v/>
      </c>
      <c r="K59" t="str">
        <f>IFERROR(AVERAGEIFS('[1]Grade Project'!$O:$O,'[1]Grade Project'!$K:$K,H59,'[1]Grade Project'!$F:$F,$A$5,'[1]Grade Project'!$G:$G,$A$8),"")</f>
        <v/>
      </c>
      <c r="L59" t="str">
        <f t="shared" si="1"/>
        <v/>
      </c>
      <c r="M59" t="str">
        <f t="shared" si="2"/>
        <v/>
      </c>
      <c r="N59" t="str">
        <f t="shared" si="3"/>
        <v/>
      </c>
    </row>
    <row r="60" spans="2:14" x14ac:dyDescent="0.25">
      <c r="B60" t="s">
        <v>59</v>
      </c>
      <c r="F60" t="str">
        <f>IF(G59=0,"",INDEX('[1]Grade Project'!$G:$G,MATCH($A$5,'[1]Grade Project'!$F:$F,0)+SUM($G$3:G59)))</f>
        <v/>
      </c>
      <c r="G60">
        <f>COUNTIFS('[1]Grade Project'!$F:$F,$A$5,'[1]Grade Project'!$G:$G,F60)</f>
        <v>0</v>
      </c>
      <c r="H60" t="str">
        <f>IF(I59=0,"",INDEX('[1]Grade Project'!$K:$K,MATCH(CONCATENATE($A$5,$A$8),'[1]Grade Project'!$H:$H,0)+SUM($I$3:I59)))</f>
        <v/>
      </c>
      <c r="I60">
        <f>COUNTIFS('[1]Grade Project'!$G:$G,$A$8,'[1]Grade Project'!$K:$K,H60,'[1]Grade Project'!$F:$F,$A$5)</f>
        <v>0</v>
      </c>
      <c r="J60" t="str">
        <f>IFERROR(AVERAGEIFS('[1]Grade Project'!$N:$N,'[1]Grade Project'!$K:$K,H60,'[1]Grade Project'!$F:$F,$A$5,'[1]Grade Project'!$G:$G,$A$8),"")</f>
        <v/>
      </c>
      <c r="K60" t="str">
        <f>IFERROR(AVERAGEIFS('[1]Grade Project'!$O:$O,'[1]Grade Project'!$K:$K,H60,'[1]Grade Project'!$F:$F,$A$5,'[1]Grade Project'!$G:$G,$A$8),"")</f>
        <v/>
      </c>
      <c r="L60" t="str">
        <f t="shared" si="1"/>
        <v/>
      </c>
      <c r="M60" t="str">
        <f t="shared" si="2"/>
        <v/>
      </c>
      <c r="N60" t="str">
        <f t="shared" si="3"/>
        <v/>
      </c>
    </row>
    <row r="61" spans="2:14" x14ac:dyDescent="0.25">
      <c r="B61" t="s">
        <v>60</v>
      </c>
      <c r="F61" t="str">
        <f>IF(G60=0,"",INDEX('[1]Grade Project'!$G:$G,MATCH($A$5,'[1]Grade Project'!$F:$F,0)+SUM($G$3:G60)))</f>
        <v/>
      </c>
      <c r="G61">
        <f>COUNTIFS('[1]Grade Project'!$F:$F,$A$5,'[1]Grade Project'!$G:$G,F61)</f>
        <v>0</v>
      </c>
      <c r="H61" t="str">
        <f>IF(I60=0,"",INDEX('[1]Grade Project'!$K:$K,MATCH(CONCATENATE($A$5,$A$8),'[1]Grade Project'!$H:$H,0)+SUM($I$3:I60)))</f>
        <v/>
      </c>
      <c r="I61">
        <f>COUNTIFS('[1]Grade Project'!$G:$G,$A$8,'[1]Grade Project'!$K:$K,H61,'[1]Grade Project'!$F:$F,$A$5)</f>
        <v>0</v>
      </c>
      <c r="J61" t="str">
        <f>IFERROR(AVERAGEIFS('[1]Grade Project'!$N:$N,'[1]Grade Project'!$K:$K,H61,'[1]Grade Project'!$F:$F,$A$5,'[1]Grade Project'!$G:$G,$A$8),"")</f>
        <v/>
      </c>
      <c r="K61" t="str">
        <f>IFERROR(AVERAGEIFS('[1]Grade Project'!$O:$O,'[1]Grade Project'!$K:$K,H61,'[1]Grade Project'!$F:$F,$A$5,'[1]Grade Project'!$G:$G,$A$8),"")</f>
        <v/>
      </c>
      <c r="L61" t="str">
        <f t="shared" si="1"/>
        <v/>
      </c>
      <c r="M61" t="str">
        <f t="shared" si="2"/>
        <v/>
      </c>
      <c r="N61" t="str">
        <f t="shared" si="3"/>
        <v/>
      </c>
    </row>
    <row r="62" spans="2:14" x14ac:dyDescent="0.25">
      <c r="B62" t="s">
        <v>61</v>
      </c>
      <c r="F62" t="str">
        <f>IF(G61=0,"",INDEX('[1]Grade Project'!$G:$G,MATCH($A$5,'[1]Grade Project'!$F:$F,0)+SUM($G$3:G61)))</f>
        <v/>
      </c>
      <c r="G62">
        <f>COUNTIFS('[1]Grade Project'!$F:$F,$A$5,'[1]Grade Project'!$G:$G,F62)</f>
        <v>0</v>
      </c>
      <c r="H62" t="str">
        <f>IF(I61=0,"",INDEX('[1]Grade Project'!$K:$K,MATCH(CONCATENATE($A$5,$A$8),'[1]Grade Project'!$H:$H,0)+SUM($I$3:I61)))</f>
        <v/>
      </c>
      <c r="I62">
        <f>COUNTIFS('[1]Grade Project'!$G:$G,$A$8,'[1]Grade Project'!$K:$K,H62,'[1]Grade Project'!$F:$F,$A$5)</f>
        <v>0</v>
      </c>
      <c r="J62" t="str">
        <f>IFERROR(AVERAGEIFS('[1]Grade Project'!$N:$N,'[1]Grade Project'!$K:$K,H62,'[1]Grade Project'!$F:$F,$A$5,'[1]Grade Project'!$G:$G,$A$8),"")</f>
        <v/>
      </c>
      <c r="K62" t="str">
        <f>IFERROR(AVERAGEIFS('[1]Grade Project'!$O:$O,'[1]Grade Project'!$K:$K,H62,'[1]Grade Project'!$F:$F,$A$5,'[1]Grade Project'!$G:$G,$A$8),"")</f>
        <v/>
      </c>
      <c r="L62" t="str">
        <f t="shared" si="1"/>
        <v/>
      </c>
      <c r="M62" t="str">
        <f t="shared" si="2"/>
        <v/>
      </c>
      <c r="N62" t="str">
        <f t="shared" si="3"/>
        <v/>
      </c>
    </row>
    <row r="63" spans="2:14" x14ac:dyDescent="0.25">
      <c r="B63" t="s">
        <v>62</v>
      </c>
      <c r="F63" t="str">
        <f>IF(G62=0,"",INDEX('[1]Grade Project'!$G:$G,MATCH($A$5,'[1]Grade Project'!$F:$F,0)+SUM($G$3:G62)))</f>
        <v/>
      </c>
      <c r="G63">
        <f>COUNTIFS('[1]Grade Project'!$F:$F,$A$5,'[1]Grade Project'!$G:$G,F63)</f>
        <v>0</v>
      </c>
      <c r="H63" t="str">
        <f>IF(I62=0,"",INDEX('[1]Grade Project'!$K:$K,MATCH(CONCATENATE($A$5,$A$8),'[1]Grade Project'!$H:$H,0)+SUM($I$3:I62)))</f>
        <v/>
      </c>
      <c r="I63">
        <f>COUNTIFS('[1]Grade Project'!$G:$G,$A$8,'[1]Grade Project'!$K:$K,H63,'[1]Grade Project'!$F:$F,$A$5)</f>
        <v>0</v>
      </c>
      <c r="J63" t="str">
        <f>IFERROR(AVERAGEIFS('[1]Grade Project'!$N:$N,'[1]Grade Project'!$K:$K,H63,'[1]Grade Project'!$F:$F,$A$5,'[1]Grade Project'!$G:$G,$A$8),"")</f>
        <v/>
      </c>
      <c r="K63" t="str">
        <f>IFERROR(AVERAGEIFS('[1]Grade Project'!$O:$O,'[1]Grade Project'!$K:$K,H63,'[1]Grade Project'!$F:$F,$A$5,'[1]Grade Project'!$G:$G,$A$8),"")</f>
        <v/>
      </c>
      <c r="L63" t="str">
        <f t="shared" si="1"/>
        <v/>
      </c>
      <c r="M63" t="str">
        <f t="shared" si="2"/>
        <v/>
      </c>
      <c r="N63" t="str">
        <f t="shared" si="3"/>
        <v/>
      </c>
    </row>
    <row r="64" spans="2:14" x14ac:dyDescent="0.25">
      <c r="B64" t="s">
        <v>63</v>
      </c>
      <c r="F64" t="str">
        <f>IF(G63=0,"",INDEX('[1]Grade Project'!$G:$G,MATCH($A$5,'[1]Grade Project'!$F:$F,0)+SUM($G$3:G63)))</f>
        <v/>
      </c>
      <c r="G64">
        <f>COUNTIFS('[1]Grade Project'!$F:$F,$A$5,'[1]Grade Project'!$G:$G,F64)</f>
        <v>0</v>
      </c>
      <c r="H64" t="str">
        <f>IF(I63=0,"",INDEX('[1]Grade Project'!$K:$K,MATCH(CONCATENATE($A$5,$A$8),'[1]Grade Project'!$H:$H,0)+SUM($I$3:I63)))</f>
        <v/>
      </c>
      <c r="I64">
        <f>COUNTIFS('[1]Grade Project'!$G:$G,$A$8,'[1]Grade Project'!$K:$K,H64,'[1]Grade Project'!$F:$F,$A$5)</f>
        <v>0</v>
      </c>
      <c r="J64" t="str">
        <f>IFERROR(AVERAGEIFS('[1]Grade Project'!$N:$N,'[1]Grade Project'!$K:$K,H64,'[1]Grade Project'!$F:$F,$A$5,'[1]Grade Project'!$G:$G,$A$8),"")</f>
        <v/>
      </c>
      <c r="K64" t="str">
        <f>IFERROR(AVERAGEIFS('[1]Grade Project'!$O:$O,'[1]Grade Project'!$K:$K,H64,'[1]Grade Project'!$F:$F,$A$5,'[1]Grade Project'!$G:$G,$A$8),"")</f>
        <v/>
      </c>
      <c r="L64" t="str">
        <f t="shared" si="1"/>
        <v/>
      </c>
      <c r="M64" t="str">
        <f t="shared" si="2"/>
        <v/>
      </c>
      <c r="N64" t="str">
        <f t="shared" si="3"/>
        <v/>
      </c>
    </row>
    <row r="65" spans="2:14" x14ac:dyDescent="0.25">
      <c r="B65" t="s">
        <v>64</v>
      </c>
      <c r="F65" t="str">
        <f>IF(G64=0,"",INDEX('[1]Grade Project'!$G:$G,MATCH($A$5,'[1]Grade Project'!$F:$F,0)+SUM($G$3:G64)))</f>
        <v/>
      </c>
      <c r="G65">
        <f>COUNTIFS('[1]Grade Project'!$F:$F,$A$5,'[1]Grade Project'!$G:$G,F65)</f>
        <v>0</v>
      </c>
      <c r="H65" t="str">
        <f>IF(I64=0,"",INDEX('[1]Grade Project'!$K:$K,MATCH(CONCATENATE($A$5,$A$8),'[1]Grade Project'!$H:$H,0)+SUM($I$3:I64)))</f>
        <v/>
      </c>
      <c r="I65">
        <f>COUNTIFS('[1]Grade Project'!$G:$G,$A$8,'[1]Grade Project'!$K:$K,H65,'[1]Grade Project'!$F:$F,$A$5)</f>
        <v>0</v>
      </c>
      <c r="J65" t="str">
        <f>IFERROR(AVERAGEIFS('[1]Grade Project'!$N:$N,'[1]Grade Project'!$K:$K,H65,'[1]Grade Project'!$F:$F,$A$5,'[1]Grade Project'!$G:$G,$A$8),"")</f>
        <v/>
      </c>
      <c r="K65" t="str">
        <f>IFERROR(AVERAGEIFS('[1]Grade Project'!$O:$O,'[1]Grade Project'!$K:$K,H65,'[1]Grade Project'!$F:$F,$A$5,'[1]Grade Project'!$G:$G,$A$8),"")</f>
        <v/>
      </c>
      <c r="L65" t="str">
        <f t="shared" si="1"/>
        <v/>
      </c>
      <c r="M65" t="str">
        <f t="shared" si="2"/>
        <v/>
      </c>
      <c r="N65" t="str">
        <f t="shared" si="3"/>
        <v/>
      </c>
    </row>
    <row r="66" spans="2:14" x14ac:dyDescent="0.25">
      <c r="B66" t="s">
        <v>65</v>
      </c>
      <c r="F66" t="str">
        <f>IF(G65=0,"",INDEX('[1]Grade Project'!$G:$G,MATCH($A$5,'[1]Grade Project'!$F:$F,0)+SUM($G$3:G65)))</f>
        <v/>
      </c>
      <c r="G66">
        <f>COUNTIFS('[1]Grade Project'!$F:$F,$A$5,'[1]Grade Project'!$G:$G,F66)</f>
        <v>0</v>
      </c>
      <c r="H66" t="str">
        <f>IF(I65=0,"",INDEX('[1]Grade Project'!$K:$K,MATCH(CONCATENATE($A$5,$A$8),'[1]Grade Project'!$H:$H,0)+SUM($I$3:I65)))</f>
        <v/>
      </c>
      <c r="I66">
        <f>COUNTIFS('[1]Grade Project'!$G:$G,$A$8,'[1]Grade Project'!$K:$K,H66,'[1]Grade Project'!$F:$F,$A$5)</f>
        <v>0</v>
      </c>
      <c r="J66" t="str">
        <f>IFERROR(AVERAGEIFS('[1]Grade Project'!$N:$N,'[1]Grade Project'!$K:$K,H66,'[1]Grade Project'!$F:$F,$A$5,'[1]Grade Project'!$G:$G,$A$8),"")</f>
        <v/>
      </c>
      <c r="K66" t="str">
        <f>IFERROR(AVERAGEIFS('[1]Grade Project'!$O:$O,'[1]Grade Project'!$K:$K,H66,'[1]Grade Project'!$F:$F,$A$5,'[1]Grade Project'!$G:$G,$A$8),"")</f>
        <v/>
      </c>
      <c r="L66" t="str">
        <f t="shared" si="1"/>
        <v/>
      </c>
      <c r="M66" t="str">
        <f t="shared" si="2"/>
        <v/>
      </c>
      <c r="N66" t="str">
        <f t="shared" si="3"/>
        <v/>
      </c>
    </row>
    <row r="67" spans="2:14" x14ac:dyDescent="0.25">
      <c r="B67" t="s">
        <v>66</v>
      </c>
      <c r="F67" t="str">
        <f>IF(G66=0,"",INDEX('[1]Grade Project'!$G:$G,MATCH($A$5,'[1]Grade Project'!$F:$F,0)+SUM($G$3:G66)))</f>
        <v/>
      </c>
      <c r="G67">
        <f>COUNTIFS('[1]Grade Project'!$F:$F,$A$5,'[1]Grade Project'!$G:$G,F67)</f>
        <v>0</v>
      </c>
      <c r="H67" t="str">
        <f>IF(I66=0,"",INDEX('[1]Grade Project'!$K:$K,MATCH(CONCATENATE($A$5,$A$8),'[1]Grade Project'!$H:$H,0)+SUM($I$3:I66)))</f>
        <v/>
      </c>
      <c r="I67">
        <f>COUNTIFS('[1]Grade Project'!$G:$G,$A$8,'[1]Grade Project'!$K:$K,H67,'[1]Grade Project'!$F:$F,$A$5)</f>
        <v>0</v>
      </c>
      <c r="J67" t="str">
        <f>IFERROR(AVERAGEIFS('[1]Grade Project'!$N:$N,'[1]Grade Project'!$K:$K,H67,'[1]Grade Project'!$F:$F,$A$5,'[1]Grade Project'!$G:$G,$A$8),"")</f>
        <v/>
      </c>
      <c r="K67" t="str">
        <f>IFERROR(AVERAGEIFS('[1]Grade Project'!$O:$O,'[1]Grade Project'!$K:$K,H67,'[1]Grade Project'!$F:$F,$A$5,'[1]Grade Project'!$G:$G,$A$8),"")</f>
        <v/>
      </c>
      <c r="L67" t="str">
        <f t="shared" si="1"/>
        <v/>
      </c>
      <c r="M67" t="str">
        <f t="shared" si="2"/>
        <v/>
      </c>
      <c r="N67" t="str">
        <f t="shared" si="3"/>
        <v/>
      </c>
    </row>
    <row r="68" spans="2:14" x14ac:dyDescent="0.25">
      <c r="B68" t="s">
        <v>67</v>
      </c>
      <c r="F68" t="str">
        <f>IF(G67=0,"",INDEX('[1]Grade Project'!$G:$G,MATCH($A$5,'[1]Grade Project'!$F:$F,0)+SUM($G$3:G67)))</f>
        <v/>
      </c>
      <c r="G68">
        <f>COUNTIFS('[1]Grade Project'!$F:$F,$A$5,'[1]Grade Project'!$G:$G,F68)</f>
        <v>0</v>
      </c>
      <c r="H68" t="str">
        <f>IF(I67=0,"",INDEX('[1]Grade Project'!$K:$K,MATCH(CONCATENATE($A$5,$A$8),'[1]Grade Project'!$H:$H,0)+SUM($I$3:I67)))</f>
        <v/>
      </c>
      <c r="I68">
        <f>COUNTIFS('[1]Grade Project'!$G:$G,$A$8,'[1]Grade Project'!$K:$K,H68,'[1]Grade Project'!$F:$F,$A$5)</f>
        <v>0</v>
      </c>
      <c r="J68" t="str">
        <f>IFERROR(AVERAGEIFS('[1]Grade Project'!$N:$N,'[1]Grade Project'!$K:$K,H68,'[1]Grade Project'!$F:$F,$A$5,'[1]Grade Project'!$G:$G,$A$8),"")</f>
        <v/>
      </c>
      <c r="K68" t="str">
        <f>IFERROR(AVERAGEIFS('[1]Grade Project'!$O:$O,'[1]Grade Project'!$K:$K,H68,'[1]Grade Project'!$F:$F,$A$5,'[1]Grade Project'!$G:$G,$A$8),"")</f>
        <v/>
      </c>
      <c r="L68" t="str">
        <f t="shared" ref="L68:L131" si="4">IFERROR(K68/J68,"")</f>
        <v/>
      </c>
      <c r="M68" t="str">
        <f t="shared" ref="M68:M131" si="5">IFERROR(_xlfn.RANK.EQ(L68,L:L),"")</f>
        <v/>
      </c>
      <c r="N68" t="str">
        <f t="shared" ref="N68:N131" si="6">IFERROR(MAX(M:M)-M68+1,"")</f>
        <v/>
      </c>
    </row>
    <row r="69" spans="2:14" x14ac:dyDescent="0.25">
      <c r="B69" t="s">
        <v>68</v>
      </c>
      <c r="F69" t="str">
        <f>IF(G68=0,"",INDEX('[1]Grade Project'!$G:$G,MATCH($A$5,'[1]Grade Project'!$F:$F,0)+SUM($G$3:G68)))</f>
        <v/>
      </c>
      <c r="G69">
        <f>COUNTIFS('[1]Grade Project'!$F:$F,$A$5,'[1]Grade Project'!$G:$G,F69)</f>
        <v>0</v>
      </c>
      <c r="H69" t="str">
        <f>IF(I68=0,"",INDEX('[1]Grade Project'!$K:$K,MATCH(CONCATENATE($A$5,$A$8),'[1]Grade Project'!$H:$H,0)+SUM($I$3:I68)))</f>
        <v/>
      </c>
      <c r="I69">
        <f>COUNTIFS('[1]Grade Project'!$G:$G,$A$8,'[1]Grade Project'!$K:$K,H69,'[1]Grade Project'!$F:$F,$A$5)</f>
        <v>0</v>
      </c>
      <c r="J69" t="str">
        <f>IFERROR(AVERAGEIFS('[1]Grade Project'!$N:$N,'[1]Grade Project'!$K:$K,H69,'[1]Grade Project'!$F:$F,$A$5,'[1]Grade Project'!$G:$G,$A$8),"")</f>
        <v/>
      </c>
      <c r="K69" t="str">
        <f>IFERROR(AVERAGEIFS('[1]Grade Project'!$O:$O,'[1]Grade Project'!$K:$K,H69,'[1]Grade Project'!$F:$F,$A$5,'[1]Grade Project'!$G:$G,$A$8),"")</f>
        <v/>
      </c>
      <c r="L69" t="str">
        <f t="shared" si="4"/>
        <v/>
      </c>
      <c r="M69" t="str">
        <f t="shared" si="5"/>
        <v/>
      </c>
      <c r="N69" t="str">
        <f t="shared" si="6"/>
        <v/>
      </c>
    </row>
    <row r="70" spans="2:14" x14ac:dyDescent="0.25">
      <c r="B70" t="s">
        <v>69</v>
      </c>
      <c r="F70" t="str">
        <f>IF(G69=0,"",INDEX('[1]Grade Project'!$G:$G,MATCH($A$5,'[1]Grade Project'!$F:$F,0)+SUM($G$3:G69)))</f>
        <v/>
      </c>
      <c r="G70">
        <f>COUNTIFS('[1]Grade Project'!$F:$F,$A$5,'[1]Grade Project'!$G:$G,F70)</f>
        <v>0</v>
      </c>
      <c r="H70" t="str">
        <f>IF(I69=0,"",INDEX('[1]Grade Project'!$K:$K,MATCH(CONCATENATE($A$5,$A$8),'[1]Grade Project'!$H:$H,0)+SUM($I$3:I69)))</f>
        <v/>
      </c>
      <c r="I70">
        <f>COUNTIFS('[1]Grade Project'!$G:$G,$A$8,'[1]Grade Project'!$K:$K,H70,'[1]Grade Project'!$F:$F,$A$5)</f>
        <v>0</v>
      </c>
      <c r="J70" t="str">
        <f>IFERROR(AVERAGEIFS('[1]Grade Project'!$N:$N,'[1]Grade Project'!$K:$K,H70,'[1]Grade Project'!$F:$F,$A$5,'[1]Grade Project'!$G:$G,$A$8),"")</f>
        <v/>
      </c>
      <c r="K70" t="str">
        <f>IFERROR(AVERAGEIFS('[1]Grade Project'!$O:$O,'[1]Grade Project'!$K:$K,H70,'[1]Grade Project'!$F:$F,$A$5,'[1]Grade Project'!$G:$G,$A$8),"")</f>
        <v/>
      </c>
      <c r="L70" t="str">
        <f t="shared" si="4"/>
        <v/>
      </c>
      <c r="M70" t="str">
        <f t="shared" si="5"/>
        <v/>
      </c>
      <c r="N70" t="str">
        <f t="shared" si="6"/>
        <v/>
      </c>
    </row>
    <row r="71" spans="2:14" x14ac:dyDescent="0.25">
      <c r="B71" t="s">
        <v>70</v>
      </c>
      <c r="F71" t="str">
        <f>IF(G70=0,"",INDEX('[1]Grade Project'!$G:$G,MATCH($A$5,'[1]Grade Project'!$F:$F,0)+SUM($G$3:G70)))</f>
        <v/>
      </c>
      <c r="G71">
        <f>COUNTIFS('[1]Grade Project'!$F:$F,$A$5,'[1]Grade Project'!$G:$G,F71)</f>
        <v>0</v>
      </c>
      <c r="H71" t="str">
        <f>IF(I70=0,"",INDEX('[1]Grade Project'!$K:$K,MATCH(CONCATENATE($A$5,$A$8),'[1]Grade Project'!$H:$H,0)+SUM($I$3:I70)))</f>
        <v/>
      </c>
      <c r="I71">
        <f>COUNTIFS('[1]Grade Project'!$G:$G,$A$8,'[1]Grade Project'!$K:$K,H71,'[1]Grade Project'!$F:$F,$A$5)</f>
        <v>0</v>
      </c>
      <c r="J71" t="str">
        <f>IFERROR(AVERAGEIFS('[1]Grade Project'!$N:$N,'[1]Grade Project'!$K:$K,H71,'[1]Grade Project'!$F:$F,$A$5,'[1]Grade Project'!$G:$G,$A$8),"")</f>
        <v/>
      </c>
      <c r="K71" t="str">
        <f>IFERROR(AVERAGEIFS('[1]Grade Project'!$O:$O,'[1]Grade Project'!$K:$K,H71,'[1]Grade Project'!$F:$F,$A$5,'[1]Grade Project'!$G:$G,$A$8),"")</f>
        <v/>
      </c>
      <c r="L71" t="str">
        <f t="shared" si="4"/>
        <v/>
      </c>
      <c r="M71" t="str">
        <f t="shared" si="5"/>
        <v/>
      </c>
      <c r="N71" t="str">
        <f t="shared" si="6"/>
        <v/>
      </c>
    </row>
    <row r="72" spans="2:14" x14ac:dyDescent="0.25">
      <c r="B72" t="s">
        <v>71</v>
      </c>
      <c r="F72" t="str">
        <f>IF(G71=0,"",INDEX('[1]Grade Project'!$G:$G,MATCH($A$5,'[1]Grade Project'!$F:$F,0)+SUM($G$3:G71)))</f>
        <v/>
      </c>
      <c r="G72">
        <f>COUNTIFS('[1]Grade Project'!$F:$F,$A$5,'[1]Grade Project'!$G:$G,F72)</f>
        <v>0</v>
      </c>
      <c r="H72" t="str">
        <f>IF(I71=0,"",INDEX('[1]Grade Project'!$K:$K,MATCH(CONCATENATE($A$5,$A$8),'[1]Grade Project'!$H:$H,0)+SUM($I$3:I71)))</f>
        <v/>
      </c>
      <c r="I72">
        <f>COUNTIFS('[1]Grade Project'!$G:$G,$A$8,'[1]Grade Project'!$K:$K,H72,'[1]Grade Project'!$F:$F,$A$5)</f>
        <v>0</v>
      </c>
      <c r="J72" t="str">
        <f>IFERROR(AVERAGEIFS('[1]Grade Project'!$N:$N,'[1]Grade Project'!$K:$K,H72,'[1]Grade Project'!$F:$F,$A$5,'[1]Grade Project'!$G:$G,$A$8),"")</f>
        <v/>
      </c>
      <c r="K72" t="str">
        <f>IFERROR(AVERAGEIFS('[1]Grade Project'!$O:$O,'[1]Grade Project'!$K:$K,H72,'[1]Grade Project'!$F:$F,$A$5,'[1]Grade Project'!$G:$G,$A$8),"")</f>
        <v/>
      </c>
      <c r="L72" t="str">
        <f t="shared" si="4"/>
        <v/>
      </c>
      <c r="M72" t="str">
        <f t="shared" si="5"/>
        <v/>
      </c>
      <c r="N72" t="str">
        <f t="shared" si="6"/>
        <v/>
      </c>
    </row>
    <row r="73" spans="2:14" x14ac:dyDescent="0.25">
      <c r="B73" t="s">
        <v>72</v>
      </c>
      <c r="F73" t="str">
        <f>IF(G72=0,"",INDEX('[1]Grade Project'!$G:$G,MATCH($A$5,'[1]Grade Project'!$F:$F,0)+SUM($G$3:G72)))</f>
        <v/>
      </c>
      <c r="G73">
        <f>COUNTIFS('[1]Grade Project'!$F:$F,$A$5,'[1]Grade Project'!$G:$G,F73)</f>
        <v>0</v>
      </c>
      <c r="H73" t="str">
        <f>IF(I72=0,"",INDEX('[1]Grade Project'!$K:$K,MATCH(CONCATENATE($A$5,$A$8),'[1]Grade Project'!$H:$H,0)+SUM($I$3:I72)))</f>
        <v/>
      </c>
      <c r="I73">
        <f>COUNTIFS('[1]Grade Project'!$G:$G,$A$8,'[1]Grade Project'!$K:$K,H73,'[1]Grade Project'!$F:$F,$A$5)</f>
        <v>0</v>
      </c>
      <c r="J73" t="str">
        <f>IFERROR(AVERAGEIFS('[1]Grade Project'!$N:$N,'[1]Grade Project'!$K:$K,H73,'[1]Grade Project'!$F:$F,$A$5,'[1]Grade Project'!$G:$G,$A$8),"")</f>
        <v/>
      </c>
      <c r="K73" t="str">
        <f>IFERROR(AVERAGEIFS('[1]Grade Project'!$O:$O,'[1]Grade Project'!$K:$K,H73,'[1]Grade Project'!$F:$F,$A$5,'[1]Grade Project'!$G:$G,$A$8),"")</f>
        <v/>
      </c>
      <c r="L73" t="str">
        <f t="shared" si="4"/>
        <v/>
      </c>
      <c r="M73" t="str">
        <f t="shared" si="5"/>
        <v/>
      </c>
      <c r="N73" t="str">
        <f t="shared" si="6"/>
        <v/>
      </c>
    </row>
    <row r="74" spans="2:14" x14ac:dyDescent="0.25">
      <c r="B74" t="s">
        <v>73</v>
      </c>
      <c r="F74" t="str">
        <f>IF(G73=0,"",INDEX('[1]Grade Project'!$G:$G,MATCH($A$5,'[1]Grade Project'!$F:$F,0)+SUM($G$3:G73)))</f>
        <v/>
      </c>
      <c r="G74">
        <f>COUNTIFS('[1]Grade Project'!$F:$F,$A$5,'[1]Grade Project'!$G:$G,F74)</f>
        <v>0</v>
      </c>
      <c r="H74" t="str">
        <f>IF(I73=0,"",INDEX('[1]Grade Project'!$K:$K,MATCH(CONCATENATE($A$5,$A$8),'[1]Grade Project'!$H:$H,0)+SUM($I$3:I73)))</f>
        <v/>
      </c>
      <c r="I74">
        <f>COUNTIFS('[1]Grade Project'!$G:$G,$A$8,'[1]Grade Project'!$K:$K,H74,'[1]Grade Project'!$F:$F,$A$5)</f>
        <v>0</v>
      </c>
      <c r="J74" t="str">
        <f>IFERROR(AVERAGEIFS('[1]Grade Project'!$N:$N,'[1]Grade Project'!$K:$K,H74,'[1]Grade Project'!$F:$F,$A$5,'[1]Grade Project'!$G:$G,$A$8),"")</f>
        <v/>
      </c>
      <c r="K74" t="str">
        <f>IFERROR(AVERAGEIFS('[1]Grade Project'!$O:$O,'[1]Grade Project'!$K:$K,H74,'[1]Grade Project'!$F:$F,$A$5,'[1]Grade Project'!$G:$G,$A$8),"")</f>
        <v/>
      </c>
      <c r="L74" t="str">
        <f t="shared" si="4"/>
        <v/>
      </c>
      <c r="M74" t="str">
        <f t="shared" si="5"/>
        <v/>
      </c>
      <c r="N74" t="str">
        <f t="shared" si="6"/>
        <v/>
      </c>
    </row>
    <row r="75" spans="2:14" x14ac:dyDescent="0.25">
      <c r="B75" t="s">
        <v>74</v>
      </c>
      <c r="F75" t="str">
        <f>IF(G74=0,"",INDEX('[1]Grade Project'!$G:$G,MATCH($A$5,'[1]Grade Project'!$F:$F,0)+SUM($G$3:G74)))</f>
        <v/>
      </c>
      <c r="G75">
        <f>COUNTIFS('[1]Grade Project'!$F:$F,$A$5,'[1]Grade Project'!$G:$G,F75)</f>
        <v>0</v>
      </c>
      <c r="H75" t="str">
        <f>IF(I74=0,"",INDEX('[1]Grade Project'!$K:$K,MATCH(CONCATENATE($A$5,$A$8),'[1]Grade Project'!$H:$H,0)+SUM($I$3:I74)))</f>
        <v/>
      </c>
      <c r="I75">
        <f>COUNTIFS('[1]Grade Project'!$G:$G,$A$8,'[1]Grade Project'!$K:$K,H75,'[1]Grade Project'!$F:$F,$A$5)</f>
        <v>0</v>
      </c>
      <c r="J75" t="str">
        <f>IFERROR(AVERAGEIFS('[1]Grade Project'!$N:$N,'[1]Grade Project'!$K:$K,H75,'[1]Grade Project'!$F:$F,$A$5,'[1]Grade Project'!$G:$G,$A$8),"")</f>
        <v/>
      </c>
      <c r="K75" t="str">
        <f>IFERROR(AVERAGEIFS('[1]Grade Project'!$O:$O,'[1]Grade Project'!$K:$K,H75,'[1]Grade Project'!$F:$F,$A$5,'[1]Grade Project'!$G:$G,$A$8),"")</f>
        <v/>
      </c>
      <c r="L75" t="str">
        <f t="shared" si="4"/>
        <v/>
      </c>
      <c r="M75" t="str">
        <f t="shared" si="5"/>
        <v/>
      </c>
      <c r="N75" t="str">
        <f t="shared" si="6"/>
        <v/>
      </c>
    </row>
    <row r="76" spans="2:14" x14ac:dyDescent="0.25">
      <c r="B76" t="s">
        <v>75</v>
      </c>
      <c r="F76" t="str">
        <f>IF(G75=0,"",INDEX('[1]Grade Project'!$G:$G,MATCH($A$5,'[1]Grade Project'!$F:$F,0)+SUM($G$3:G75)))</f>
        <v/>
      </c>
      <c r="G76">
        <f>COUNTIFS('[1]Grade Project'!$F:$F,$A$5,'[1]Grade Project'!$G:$G,F76)</f>
        <v>0</v>
      </c>
      <c r="H76" t="str">
        <f>IF(I75=0,"",INDEX('[1]Grade Project'!$K:$K,MATCH(CONCATENATE($A$5,$A$8),'[1]Grade Project'!$H:$H,0)+SUM($I$3:I75)))</f>
        <v/>
      </c>
      <c r="I76">
        <f>COUNTIFS('[1]Grade Project'!$G:$G,$A$8,'[1]Grade Project'!$K:$K,H76,'[1]Grade Project'!$F:$F,$A$5)</f>
        <v>0</v>
      </c>
      <c r="J76" t="str">
        <f>IFERROR(AVERAGEIFS('[1]Grade Project'!$N:$N,'[1]Grade Project'!$K:$K,H76,'[1]Grade Project'!$F:$F,$A$5,'[1]Grade Project'!$G:$G,$A$8),"")</f>
        <v/>
      </c>
      <c r="K76" t="str">
        <f>IFERROR(AVERAGEIFS('[1]Grade Project'!$O:$O,'[1]Grade Project'!$K:$K,H76,'[1]Grade Project'!$F:$F,$A$5,'[1]Grade Project'!$G:$G,$A$8),"")</f>
        <v/>
      </c>
      <c r="L76" t="str">
        <f t="shared" si="4"/>
        <v/>
      </c>
      <c r="M76" t="str">
        <f t="shared" si="5"/>
        <v/>
      </c>
      <c r="N76" t="str">
        <f t="shared" si="6"/>
        <v/>
      </c>
    </row>
    <row r="77" spans="2:14" x14ac:dyDescent="0.25">
      <c r="B77" t="s">
        <v>76</v>
      </c>
      <c r="F77" t="str">
        <f>IF(G76=0,"",INDEX('[1]Grade Project'!$G:$G,MATCH($A$5,'[1]Grade Project'!$F:$F,0)+SUM($G$3:G76)))</f>
        <v/>
      </c>
      <c r="G77">
        <f>COUNTIFS('[1]Grade Project'!$F:$F,$A$5,'[1]Grade Project'!$G:$G,F77)</f>
        <v>0</v>
      </c>
      <c r="H77" t="str">
        <f>IF(I76=0,"",INDEX('[1]Grade Project'!$K:$K,MATCH(CONCATENATE($A$5,$A$8),'[1]Grade Project'!$H:$H,0)+SUM($I$3:I76)))</f>
        <v/>
      </c>
      <c r="I77">
        <f>COUNTIFS('[1]Grade Project'!$G:$G,$A$8,'[1]Grade Project'!$K:$K,H77,'[1]Grade Project'!$F:$F,$A$5)</f>
        <v>0</v>
      </c>
      <c r="J77" t="str">
        <f>IFERROR(AVERAGEIFS('[1]Grade Project'!$N:$N,'[1]Grade Project'!$K:$K,H77,'[1]Grade Project'!$F:$F,$A$5,'[1]Grade Project'!$G:$G,$A$8),"")</f>
        <v/>
      </c>
      <c r="K77" t="str">
        <f>IFERROR(AVERAGEIFS('[1]Grade Project'!$O:$O,'[1]Grade Project'!$K:$K,H77,'[1]Grade Project'!$F:$F,$A$5,'[1]Grade Project'!$G:$G,$A$8),"")</f>
        <v/>
      </c>
      <c r="L77" t="str">
        <f t="shared" si="4"/>
        <v/>
      </c>
      <c r="M77" t="str">
        <f t="shared" si="5"/>
        <v/>
      </c>
      <c r="N77" t="str">
        <f t="shared" si="6"/>
        <v/>
      </c>
    </row>
    <row r="78" spans="2:14" x14ac:dyDescent="0.25">
      <c r="B78" t="s">
        <v>77</v>
      </c>
      <c r="F78" t="str">
        <f>IF(G77=0,"",INDEX('[1]Grade Project'!$G:$G,MATCH($A$5,'[1]Grade Project'!$F:$F,0)+SUM($G$3:G77)))</f>
        <v/>
      </c>
      <c r="G78">
        <f>COUNTIFS('[1]Grade Project'!$F:$F,$A$5,'[1]Grade Project'!$G:$G,F78)</f>
        <v>0</v>
      </c>
      <c r="H78" t="str">
        <f>IF(I77=0,"",INDEX('[1]Grade Project'!$K:$K,MATCH(CONCATENATE($A$5,$A$8),'[1]Grade Project'!$H:$H,0)+SUM($I$3:I77)))</f>
        <v/>
      </c>
      <c r="I78">
        <f>COUNTIFS('[1]Grade Project'!$G:$G,$A$8,'[1]Grade Project'!$K:$K,H78,'[1]Grade Project'!$F:$F,$A$5)</f>
        <v>0</v>
      </c>
      <c r="J78" t="str">
        <f>IFERROR(AVERAGEIFS('[1]Grade Project'!$N:$N,'[1]Grade Project'!$K:$K,H78,'[1]Grade Project'!$F:$F,$A$5,'[1]Grade Project'!$G:$G,$A$8),"")</f>
        <v/>
      </c>
      <c r="K78" t="str">
        <f>IFERROR(AVERAGEIFS('[1]Grade Project'!$O:$O,'[1]Grade Project'!$K:$K,H78,'[1]Grade Project'!$F:$F,$A$5,'[1]Grade Project'!$G:$G,$A$8),"")</f>
        <v/>
      </c>
      <c r="L78" t="str">
        <f t="shared" si="4"/>
        <v/>
      </c>
      <c r="M78" t="str">
        <f t="shared" si="5"/>
        <v/>
      </c>
      <c r="N78" t="str">
        <f t="shared" si="6"/>
        <v/>
      </c>
    </row>
    <row r="79" spans="2:14" x14ac:dyDescent="0.25">
      <c r="B79" t="s">
        <v>78</v>
      </c>
      <c r="F79" t="str">
        <f>IF(G78=0,"",INDEX('[1]Grade Project'!$G:$G,MATCH($A$5,'[1]Grade Project'!$F:$F,0)+SUM($G$3:G78)))</f>
        <v/>
      </c>
      <c r="G79">
        <f>COUNTIFS('[1]Grade Project'!$F:$F,$A$5,'[1]Grade Project'!$G:$G,F79)</f>
        <v>0</v>
      </c>
      <c r="H79" t="str">
        <f>IF(I78=0,"",INDEX('[1]Grade Project'!$K:$K,MATCH(CONCATENATE($A$5,$A$8),'[1]Grade Project'!$H:$H,0)+SUM($I$3:I78)))</f>
        <v/>
      </c>
      <c r="I79">
        <f>COUNTIFS('[1]Grade Project'!$G:$G,$A$8,'[1]Grade Project'!$K:$K,H79,'[1]Grade Project'!$F:$F,$A$5)</f>
        <v>0</v>
      </c>
      <c r="J79" t="str">
        <f>IFERROR(AVERAGEIFS('[1]Grade Project'!$N:$N,'[1]Grade Project'!$K:$K,H79,'[1]Grade Project'!$F:$F,$A$5,'[1]Grade Project'!$G:$G,$A$8),"")</f>
        <v/>
      </c>
      <c r="K79" t="str">
        <f>IFERROR(AVERAGEIFS('[1]Grade Project'!$O:$O,'[1]Grade Project'!$K:$K,H79,'[1]Grade Project'!$F:$F,$A$5,'[1]Grade Project'!$G:$G,$A$8),"")</f>
        <v/>
      </c>
      <c r="L79" t="str">
        <f t="shared" si="4"/>
        <v/>
      </c>
      <c r="M79" t="str">
        <f t="shared" si="5"/>
        <v/>
      </c>
      <c r="N79" t="str">
        <f t="shared" si="6"/>
        <v/>
      </c>
    </row>
    <row r="80" spans="2:14" x14ac:dyDescent="0.25">
      <c r="B80" t="s">
        <v>79</v>
      </c>
      <c r="F80" t="str">
        <f>IF(G79=0,"",INDEX('[1]Grade Project'!$G:$G,MATCH($A$5,'[1]Grade Project'!$F:$F,0)+SUM($G$3:G79)))</f>
        <v/>
      </c>
      <c r="G80">
        <f>COUNTIFS('[1]Grade Project'!$F:$F,$A$5,'[1]Grade Project'!$G:$G,F80)</f>
        <v>0</v>
      </c>
      <c r="H80" t="str">
        <f>IF(I79=0,"",INDEX('[1]Grade Project'!$K:$K,MATCH(CONCATENATE($A$5,$A$8),'[1]Grade Project'!$H:$H,0)+SUM($I$3:I79)))</f>
        <v/>
      </c>
      <c r="I80">
        <f>COUNTIFS('[1]Grade Project'!$G:$G,$A$8,'[1]Grade Project'!$K:$K,H80,'[1]Grade Project'!$F:$F,$A$5)</f>
        <v>0</v>
      </c>
      <c r="J80" t="str">
        <f>IFERROR(AVERAGEIFS('[1]Grade Project'!$N:$N,'[1]Grade Project'!$K:$K,H80,'[1]Grade Project'!$F:$F,$A$5,'[1]Grade Project'!$G:$G,$A$8),"")</f>
        <v/>
      </c>
      <c r="K80" t="str">
        <f>IFERROR(AVERAGEIFS('[1]Grade Project'!$O:$O,'[1]Grade Project'!$K:$K,H80,'[1]Grade Project'!$F:$F,$A$5,'[1]Grade Project'!$G:$G,$A$8),"")</f>
        <v/>
      </c>
      <c r="L80" t="str">
        <f t="shared" si="4"/>
        <v/>
      </c>
      <c r="M80" t="str">
        <f t="shared" si="5"/>
        <v/>
      </c>
      <c r="N80" t="str">
        <f t="shared" si="6"/>
        <v/>
      </c>
    </row>
    <row r="81" spans="2:14" x14ac:dyDescent="0.25">
      <c r="B81" t="s">
        <v>80</v>
      </c>
      <c r="F81" t="str">
        <f>IF(G80=0,"",INDEX('[1]Grade Project'!$G:$G,MATCH($A$5,'[1]Grade Project'!$F:$F,0)+SUM($G$3:G80)))</f>
        <v/>
      </c>
      <c r="G81">
        <f>COUNTIFS('[1]Grade Project'!$F:$F,$A$5,'[1]Grade Project'!$G:$G,F81)</f>
        <v>0</v>
      </c>
      <c r="H81" t="str">
        <f>IF(I80=0,"",INDEX('[1]Grade Project'!$K:$K,MATCH(CONCATENATE($A$5,$A$8),'[1]Grade Project'!$H:$H,0)+SUM($I$3:I80)))</f>
        <v/>
      </c>
      <c r="I81">
        <f>COUNTIFS('[1]Grade Project'!$G:$G,$A$8,'[1]Grade Project'!$K:$K,H81,'[1]Grade Project'!$F:$F,$A$5)</f>
        <v>0</v>
      </c>
      <c r="J81" t="str">
        <f>IFERROR(AVERAGEIFS('[1]Grade Project'!$N:$N,'[1]Grade Project'!$K:$K,H81,'[1]Grade Project'!$F:$F,$A$5,'[1]Grade Project'!$G:$G,$A$8),"")</f>
        <v/>
      </c>
      <c r="K81" t="str">
        <f>IFERROR(AVERAGEIFS('[1]Grade Project'!$O:$O,'[1]Grade Project'!$K:$K,H81,'[1]Grade Project'!$F:$F,$A$5,'[1]Grade Project'!$G:$G,$A$8),"")</f>
        <v/>
      </c>
      <c r="L81" t="str">
        <f t="shared" si="4"/>
        <v/>
      </c>
      <c r="M81" t="str">
        <f t="shared" si="5"/>
        <v/>
      </c>
      <c r="N81" t="str">
        <f t="shared" si="6"/>
        <v/>
      </c>
    </row>
    <row r="82" spans="2:14" x14ac:dyDescent="0.25">
      <c r="B82" t="s">
        <v>81</v>
      </c>
      <c r="F82" t="str">
        <f>IF(G81=0,"",INDEX('[1]Grade Project'!$G:$G,MATCH($A$5,'[1]Grade Project'!$F:$F,0)+SUM($G$3:G81)))</f>
        <v/>
      </c>
      <c r="G82">
        <f>COUNTIFS('[1]Grade Project'!$F:$F,$A$5,'[1]Grade Project'!$G:$G,F82)</f>
        <v>0</v>
      </c>
      <c r="H82" t="str">
        <f>IF(I81=0,"",INDEX('[1]Grade Project'!$K:$K,MATCH(CONCATENATE($A$5,$A$8),'[1]Grade Project'!$H:$H,0)+SUM($I$3:I81)))</f>
        <v/>
      </c>
      <c r="I82">
        <f>COUNTIFS('[1]Grade Project'!$G:$G,$A$8,'[1]Grade Project'!$K:$K,H82,'[1]Grade Project'!$F:$F,$A$5)</f>
        <v>0</v>
      </c>
      <c r="J82" t="str">
        <f>IFERROR(AVERAGEIFS('[1]Grade Project'!$N:$N,'[1]Grade Project'!$K:$K,H82,'[1]Grade Project'!$F:$F,$A$5,'[1]Grade Project'!$G:$G,$A$8),"")</f>
        <v/>
      </c>
      <c r="K82" t="str">
        <f>IFERROR(AVERAGEIFS('[1]Grade Project'!$O:$O,'[1]Grade Project'!$K:$K,H82,'[1]Grade Project'!$F:$F,$A$5,'[1]Grade Project'!$G:$G,$A$8),"")</f>
        <v/>
      </c>
      <c r="L82" t="str">
        <f t="shared" si="4"/>
        <v/>
      </c>
      <c r="M82" t="str">
        <f t="shared" si="5"/>
        <v/>
      </c>
      <c r="N82" t="str">
        <f t="shared" si="6"/>
        <v/>
      </c>
    </row>
    <row r="83" spans="2:14" x14ac:dyDescent="0.25">
      <c r="B83" t="s">
        <v>82</v>
      </c>
      <c r="F83" t="str">
        <f>IF(G82=0,"",INDEX('[1]Grade Project'!$G:$G,MATCH($A$5,'[1]Grade Project'!$F:$F,0)+SUM($G$3:G82)))</f>
        <v/>
      </c>
      <c r="G83">
        <f>COUNTIFS('[1]Grade Project'!$F:$F,$A$5,'[1]Grade Project'!$G:$G,F83)</f>
        <v>0</v>
      </c>
      <c r="H83" t="str">
        <f>IF(I82=0,"",INDEX('[1]Grade Project'!$K:$K,MATCH(CONCATENATE($A$5,$A$8),'[1]Grade Project'!$H:$H,0)+SUM($I$3:I82)))</f>
        <v/>
      </c>
      <c r="I83">
        <f>COUNTIFS('[1]Grade Project'!$G:$G,$A$8,'[1]Grade Project'!$K:$K,H83,'[1]Grade Project'!$F:$F,$A$5)</f>
        <v>0</v>
      </c>
      <c r="J83" t="str">
        <f>IFERROR(AVERAGEIFS('[1]Grade Project'!$N:$N,'[1]Grade Project'!$K:$K,H83,'[1]Grade Project'!$F:$F,$A$5,'[1]Grade Project'!$G:$G,$A$8),"")</f>
        <v/>
      </c>
      <c r="K83" t="str">
        <f>IFERROR(AVERAGEIFS('[1]Grade Project'!$O:$O,'[1]Grade Project'!$K:$K,H83,'[1]Grade Project'!$F:$F,$A$5,'[1]Grade Project'!$G:$G,$A$8),"")</f>
        <v/>
      </c>
      <c r="L83" t="str">
        <f t="shared" si="4"/>
        <v/>
      </c>
      <c r="M83" t="str">
        <f t="shared" si="5"/>
        <v/>
      </c>
      <c r="N83" t="str">
        <f t="shared" si="6"/>
        <v/>
      </c>
    </row>
    <row r="84" spans="2:14" x14ac:dyDescent="0.25">
      <c r="B84" t="s">
        <v>83</v>
      </c>
      <c r="F84" t="str">
        <f>IF(G83=0,"",INDEX('[1]Grade Project'!$G:$G,MATCH($A$5,'[1]Grade Project'!$F:$F,0)+SUM($G$3:G83)))</f>
        <v/>
      </c>
      <c r="G84">
        <f>COUNTIFS('[1]Grade Project'!$F:$F,$A$5,'[1]Grade Project'!$G:$G,F84)</f>
        <v>0</v>
      </c>
      <c r="H84" t="str">
        <f>IF(I83=0,"",INDEX('[1]Grade Project'!$K:$K,MATCH(CONCATENATE($A$5,$A$8),'[1]Grade Project'!$H:$H,0)+SUM($I$3:I83)))</f>
        <v/>
      </c>
      <c r="I84">
        <f>COUNTIFS('[1]Grade Project'!$G:$G,$A$8,'[1]Grade Project'!$K:$K,H84,'[1]Grade Project'!$F:$F,$A$5)</f>
        <v>0</v>
      </c>
      <c r="J84" t="str">
        <f>IFERROR(AVERAGEIFS('[1]Grade Project'!$N:$N,'[1]Grade Project'!$K:$K,H84,'[1]Grade Project'!$F:$F,$A$5,'[1]Grade Project'!$G:$G,$A$8),"")</f>
        <v/>
      </c>
      <c r="K84" t="str">
        <f>IFERROR(AVERAGEIFS('[1]Grade Project'!$O:$O,'[1]Grade Project'!$K:$K,H84,'[1]Grade Project'!$F:$F,$A$5,'[1]Grade Project'!$G:$G,$A$8),"")</f>
        <v/>
      </c>
      <c r="L84" t="str">
        <f t="shared" si="4"/>
        <v/>
      </c>
      <c r="M84" t="str">
        <f t="shared" si="5"/>
        <v/>
      </c>
      <c r="N84" t="str">
        <f t="shared" si="6"/>
        <v/>
      </c>
    </row>
    <row r="85" spans="2:14" x14ac:dyDescent="0.25">
      <c r="B85" t="s">
        <v>84</v>
      </c>
      <c r="F85" t="str">
        <f>IF(G84=0,"",INDEX('[1]Grade Project'!$G:$G,MATCH($A$5,'[1]Grade Project'!$F:$F,0)+SUM($G$3:G84)))</f>
        <v/>
      </c>
      <c r="G85">
        <f>COUNTIFS('[1]Grade Project'!$F:$F,$A$5,'[1]Grade Project'!$G:$G,F85)</f>
        <v>0</v>
      </c>
      <c r="H85" t="str">
        <f>IF(I84=0,"",INDEX('[1]Grade Project'!$K:$K,MATCH(CONCATENATE($A$5,$A$8),'[1]Grade Project'!$H:$H,0)+SUM($I$3:I84)))</f>
        <v/>
      </c>
      <c r="I85">
        <f>COUNTIFS('[1]Grade Project'!$G:$G,$A$8,'[1]Grade Project'!$K:$K,H85,'[1]Grade Project'!$F:$F,$A$5)</f>
        <v>0</v>
      </c>
      <c r="J85" t="str">
        <f>IFERROR(AVERAGEIFS('[1]Grade Project'!$N:$N,'[1]Grade Project'!$K:$K,H85,'[1]Grade Project'!$F:$F,$A$5,'[1]Grade Project'!$G:$G,$A$8),"")</f>
        <v/>
      </c>
      <c r="K85" t="str">
        <f>IFERROR(AVERAGEIFS('[1]Grade Project'!$O:$O,'[1]Grade Project'!$K:$K,H85,'[1]Grade Project'!$F:$F,$A$5,'[1]Grade Project'!$G:$G,$A$8),"")</f>
        <v/>
      </c>
      <c r="L85" t="str">
        <f t="shared" si="4"/>
        <v/>
      </c>
      <c r="M85" t="str">
        <f t="shared" si="5"/>
        <v/>
      </c>
      <c r="N85" t="str">
        <f t="shared" si="6"/>
        <v/>
      </c>
    </row>
    <row r="86" spans="2:14" x14ac:dyDescent="0.25">
      <c r="B86" t="s">
        <v>85</v>
      </c>
      <c r="F86" t="str">
        <f>IF(G85=0,"",INDEX('[1]Grade Project'!$G:$G,MATCH($A$5,'[1]Grade Project'!$F:$F,0)+SUM($G$3:G85)))</f>
        <v/>
      </c>
      <c r="G86">
        <f>COUNTIFS('[1]Grade Project'!$F:$F,$A$5,'[1]Grade Project'!$G:$G,F86)</f>
        <v>0</v>
      </c>
      <c r="H86" t="str">
        <f>IF(I85=0,"",INDEX('[1]Grade Project'!$K:$K,MATCH(CONCATENATE($A$5,$A$8),'[1]Grade Project'!$H:$H,0)+SUM($I$3:I85)))</f>
        <v/>
      </c>
      <c r="I86">
        <f>COUNTIFS('[1]Grade Project'!$G:$G,$A$8,'[1]Grade Project'!$K:$K,H86,'[1]Grade Project'!$F:$F,$A$5)</f>
        <v>0</v>
      </c>
      <c r="J86" t="str">
        <f>IFERROR(AVERAGEIFS('[1]Grade Project'!$N:$N,'[1]Grade Project'!$K:$K,H86,'[1]Grade Project'!$F:$F,$A$5,'[1]Grade Project'!$G:$G,$A$8),"")</f>
        <v/>
      </c>
      <c r="K86" t="str">
        <f>IFERROR(AVERAGEIFS('[1]Grade Project'!$O:$O,'[1]Grade Project'!$K:$K,H86,'[1]Grade Project'!$F:$F,$A$5,'[1]Grade Project'!$G:$G,$A$8),"")</f>
        <v/>
      </c>
      <c r="L86" t="str">
        <f t="shared" si="4"/>
        <v/>
      </c>
      <c r="M86" t="str">
        <f t="shared" si="5"/>
        <v/>
      </c>
      <c r="N86" t="str">
        <f t="shared" si="6"/>
        <v/>
      </c>
    </row>
    <row r="87" spans="2:14" x14ac:dyDescent="0.25">
      <c r="B87" t="s">
        <v>86</v>
      </c>
      <c r="F87" t="str">
        <f>IF(G86=0,"",INDEX('[1]Grade Project'!$G:$G,MATCH($A$5,'[1]Grade Project'!$F:$F,0)+SUM($G$3:G86)))</f>
        <v/>
      </c>
      <c r="G87">
        <f>COUNTIFS('[1]Grade Project'!$F:$F,$A$5,'[1]Grade Project'!$G:$G,F87)</f>
        <v>0</v>
      </c>
      <c r="H87" t="str">
        <f>IF(I86=0,"",INDEX('[1]Grade Project'!$K:$K,MATCH(CONCATENATE($A$5,$A$8),'[1]Grade Project'!$H:$H,0)+SUM($I$3:I86)))</f>
        <v/>
      </c>
      <c r="I87">
        <f>COUNTIFS('[1]Grade Project'!$G:$G,$A$8,'[1]Grade Project'!$K:$K,H87,'[1]Grade Project'!$F:$F,$A$5)</f>
        <v>0</v>
      </c>
      <c r="J87" t="str">
        <f>IFERROR(AVERAGEIFS('[1]Grade Project'!$N:$N,'[1]Grade Project'!$K:$K,H87,'[1]Grade Project'!$F:$F,$A$5,'[1]Grade Project'!$G:$G,$A$8),"")</f>
        <v/>
      </c>
      <c r="K87" t="str">
        <f>IFERROR(AVERAGEIFS('[1]Grade Project'!$O:$O,'[1]Grade Project'!$K:$K,H87,'[1]Grade Project'!$F:$F,$A$5,'[1]Grade Project'!$G:$G,$A$8),"")</f>
        <v/>
      </c>
      <c r="L87" t="str">
        <f t="shared" si="4"/>
        <v/>
      </c>
      <c r="M87" t="str">
        <f t="shared" si="5"/>
        <v/>
      </c>
      <c r="N87" t="str">
        <f t="shared" si="6"/>
        <v/>
      </c>
    </row>
    <row r="88" spans="2:14" x14ac:dyDescent="0.25">
      <c r="B88" t="s">
        <v>87</v>
      </c>
      <c r="F88" t="str">
        <f>IF(G87=0,"",INDEX('[1]Grade Project'!$G:$G,MATCH($A$5,'[1]Grade Project'!$F:$F,0)+SUM($G$3:G87)))</f>
        <v/>
      </c>
      <c r="G88">
        <f>COUNTIFS('[1]Grade Project'!$F:$F,$A$5,'[1]Grade Project'!$G:$G,F88)</f>
        <v>0</v>
      </c>
      <c r="H88" t="str">
        <f>IF(I87=0,"",INDEX('[1]Grade Project'!$K:$K,MATCH(CONCATENATE($A$5,$A$8),'[1]Grade Project'!$H:$H,0)+SUM($I$3:I87)))</f>
        <v/>
      </c>
      <c r="I88">
        <f>COUNTIFS('[1]Grade Project'!$G:$G,$A$8,'[1]Grade Project'!$K:$K,H88,'[1]Grade Project'!$F:$F,$A$5)</f>
        <v>0</v>
      </c>
      <c r="J88" t="str">
        <f>IFERROR(AVERAGEIFS('[1]Grade Project'!$N:$N,'[1]Grade Project'!$K:$K,H88,'[1]Grade Project'!$F:$F,$A$5,'[1]Grade Project'!$G:$G,$A$8),"")</f>
        <v/>
      </c>
      <c r="K88" t="str">
        <f>IFERROR(AVERAGEIFS('[1]Grade Project'!$O:$O,'[1]Grade Project'!$K:$K,H88,'[1]Grade Project'!$F:$F,$A$5,'[1]Grade Project'!$G:$G,$A$8),"")</f>
        <v/>
      </c>
      <c r="L88" t="str">
        <f t="shared" si="4"/>
        <v/>
      </c>
      <c r="M88" t="str">
        <f t="shared" si="5"/>
        <v/>
      </c>
      <c r="N88" t="str">
        <f t="shared" si="6"/>
        <v/>
      </c>
    </row>
    <row r="89" spans="2:14" x14ac:dyDescent="0.25">
      <c r="B89" t="s">
        <v>88</v>
      </c>
      <c r="F89" t="str">
        <f>IF(G88=0,"",INDEX('[1]Grade Project'!$G:$G,MATCH($A$5,'[1]Grade Project'!$F:$F,0)+SUM($G$3:G88)))</f>
        <v/>
      </c>
      <c r="G89">
        <f>COUNTIFS('[1]Grade Project'!$F:$F,$A$5,'[1]Grade Project'!$G:$G,F89)</f>
        <v>0</v>
      </c>
      <c r="H89" t="str">
        <f>IF(I88=0,"",INDEX('[1]Grade Project'!$K:$K,MATCH(CONCATENATE($A$5,$A$8),'[1]Grade Project'!$H:$H,0)+SUM($I$3:I88)))</f>
        <v/>
      </c>
      <c r="I89">
        <f>COUNTIFS('[1]Grade Project'!$G:$G,$A$8,'[1]Grade Project'!$K:$K,H89,'[1]Grade Project'!$F:$F,$A$5)</f>
        <v>0</v>
      </c>
      <c r="J89" t="str">
        <f>IFERROR(AVERAGEIFS('[1]Grade Project'!$N:$N,'[1]Grade Project'!$K:$K,H89,'[1]Grade Project'!$F:$F,$A$5,'[1]Grade Project'!$G:$G,$A$8),"")</f>
        <v/>
      </c>
      <c r="K89" t="str">
        <f>IFERROR(AVERAGEIFS('[1]Grade Project'!$O:$O,'[1]Grade Project'!$K:$K,H89,'[1]Grade Project'!$F:$F,$A$5,'[1]Grade Project'!$G:$G,$A$8),"")</f>
        <v/>
      </c>
      <c r="L89" t="str">
        <f t="shared" si="4"/>
        <v/>
      </c>
      <c r="M89" t="str">
        <f t="shared" si="5"/>
        <v/>
      </c>
      <c r="N89" t="str">
        <f t="shared" si="6"/>
        <v/>
      </c>
    </row>
    <row r="90" spans="2:14" x14ac:dyDescent="0.25">
      <c r="B90" t="s">
        <v>89</v>
      </c>
      <c r="F90" t="str">
        <f>IF(G89=0,"",INDEX('[1]Grade Project'!$G:$G,MATCH($A$5,'[1]Grade Project'!$F:$F,0)+SUM($G$3:G89)))</f>
        <v/>
      </c>
      <c r="G90">
        <f>COUNTIFS('[1]Grade Project'!$F:$F,$A$5,'[1]Grade Project'!$G:$G,F90)</f>
        <v>0</v>
      </c>
      <c r="H90" t="str">
        <f>IF(I89=0,"",INDEX('[1]Grade Project'!$K:$K,MATCH(CONCATENATE($A$5,$A$8),'[1]Grade Project'!$H:$H,0)+SUM($I$3:I89)))</f>
        <v/>
      </c>
      <c r="I90">
        <f>COUNTIFS('[1]Grade Project'!$G:$G,$A$8,'[1]Grade Project'!$K:$K,H90,'[1]Grade Project'!$F:$F,$A$5)</f>
        <v>0</v>
      </c>
      <c r="J90" t="str">
        <f>IFERROR(AVERAGEIFS('[1]Grade Project'!$N:$N,'[1]Grade Project'!$K:$K,H90,'[1]Grade Project'!$F:$F,$A$5,'[1]Grade Project'!$G:$G,$A$8),"")</f>
        <v/>
      </c>
      <c r="K90" t="str">
        <f>IFERROR(AVERAGEIFS('[1]Grade Project'!$O:$O,'[1]Grade Project'!$K:$K,H90,'[1]Grade Project'!$F:$F,$A$5,'[1]Grade Project'!$G:$G,$A$8),"")</f>
        <v/>
      </c>
      <c r="L90" t="str">
        <f t="shared" si="4"/>
        <v/>
      </c>
      <c r="M90" t="str">
        <f t="shared" si="5"/>
        <v/>
      </c>
      <c r="N90" t="str">
        <f t="shared" si="6"/>
        <v/>
      </c>
    </row>
    <row r="91" spans="2:14" x14ac:dyDescent="0.25">
      <c r="B91" t="s">
        <v>90</v>
      </c>
      <c r="F91" t="str">
        <f>IF(G90=0,"",INDEX('[1]Grade Project'!$G:$G,MATCH($A$5,'[1]Grade Project'!$F:$F,0)+SUM($G$3:G90)))</f>
        <v/>
      </c>
      <c r="G91">
        <f>COUNTIFS('[1]Grade Project'!$F:$F,$A$5,'[1]Grade Project'!$G:$G,F91)</f>
        <v>0</v>
      </c>
      <c r="H91" t="str">
        <f>IF(I90=0,"",INDEX('[1]Grade Project'!$K:$K,MATCH(CONCATENATE($A$5,$A$8),'[1]Grade Project'!$H:$H,0)+SUM($I$3:I90)))</f>
        <v/>
      </c>
      <c r="I91">
        <f>COUNTIFS('[1]Grade Project'!$G:$G,$A$8,'[1]Grade Project'!$K:$K,H91,'[1]Grade Project'!$F:$F,$A$5)</f>
        <v>0</v>
      </c>
      <c r="J91" t="str">
        <f>IFERROR(AVERAGEIFS('[1]Grade Project'!$N:$N,'[1]Grade Project'!$K:$K,H91,'[1]Grade Project'!$F:$F,$A$5,'[1]Grade Project'!$G:$G,$A$8),"")</f>
        <v/>
      </c>
      <c r="K91" t="str">
        <f>IFERROR(AVERAGEIFS('[1]Grade Project'!$O:$O,'[1]Grade Project'!$K:$K,H91,'[1]Grade Project'!$F:$F,$A$5,'[1]Grade Project'!$G:$G,$A$8),"")</f>
        <v/>
      </c>
      <c r="L91" t="str">
        <f t="shared" si="4"/>
        <v/>
      </c>
      <c r="M91" t="str">
        <f t="shared" si="5"/>
        <v/>
      </c>
      <c r="N91" t="str">
        <f t="shared" si="6"/>
        <v/>
      </c>
    </row>
    <row r="92" spans="2:14" x14ac:dyDescent="0.25">
      <c r="B92" t="s">
        <v>91</v>
      </c>
      <c r="F92" t="str">
        <f>IF(G91=0,"",INDEX('[1]Grade Project'!$G:$G,MATCH($A$5,'[1]Grade Project'!$F:$F,0)+SUM($G$3:G91)))</f>
        <v/>
      </c>
      <c r="G92">
        <f>COUNTIFS('[1]Grade Project'!$F:$F,$A$5,'[1]Grade Project'!$G:$G,F92)</f>
        <v>0</v>
      </c>
      <c r="H92" t="str">
        <f>IF(I91=0,"",INDEX('[1]Grade Project'!$K:$K,MATCH(CONCATENATE($A$5,$A$8),'[1]Grade Project'!$H:$H,0)+SUM($I$3:I91)))</f>
        <v/>
      </c>
      <c r="I92">
        <f>COUNTIFS('[1]Grade Project'!$G:$G,$A$8,'[1]Grade Project'!$K:$K,H92,'[1]Grade Project'!$F:$F,$A$5)</f>
        <v>0</v>
      </c>
      <c r="J92" t="str">
        <f>IFERROR(AVERAGEIFS('[1]Grade Project'!$N:$N,'[1]Grade Project'!$K:$K,H92,'[1]Grade Project'!$F:$F,$A$5,'[1]Grade Project'!$G:$G,$A$8),"")</f>
        <v/>
      </c>
      <c r="K92" t="str">
        <f>IFERROR(AVERAGEIFS('[1]Grade Project'!$O:$O,'[1]Grade Project'!$K:$K,H92,'[1]Grade Project'!$F:$F,$A$5,'[1]Grade Project'!$G:$G,$A$8),"")</f>
        <v/>
      </c>
      <c r="L92" t="str">
        <f t="shared" si="4"/>
        <v/>
      </c>
      <c r="M92" t="str">
        <f t="shared" si="5"/>
        <v/>
      </c>
      <c r="N92" t="str">
        <f t="shared" si="6"/>
        <v/>
      </c>
    </row>
    <row r="93" spans="2:14" x14ac:dyDescent="0.25">
      <c r="B93" t="s">
        <v>92</v>
      </c>
      <c r="F93" t="str">
        <f>IF(G92=0,"",INDEX('[1]Grade Project'!$G:$G,MATCH($A$5,'[1]Grade Project'!$F:$F,0)+SUM($G$3:G92)))</f>
        <v/>
      </c>
      <c r="G93">
        <f>COUNTIFS('[1]Grade Project'!$F:$F,$A$5,'[1]Grade Project'!$G:$G,F93)</f>
        <v>0</v>
      </c>
      <c r="H93" t="str">
        <f>IF(I92=0,"",INDEX('[1]Grade Project'!$K:$K,MATCH(CONCATENATE($A$5,$A$8),'[1]Grade Project'!$H:$H,0)+SUM($I$3:I92)))</f>
        <v/>
      </c>
      <c r="I93">
        <f>COUNTIFS('[1]Grade Project'!$G:$G,$A$8,'[1]Grade Project'!$K:$K,H93,'[1]Grade Project'!$F:$F,$A$5)</f>
        <v>0</v>
      </c>
      <c r="J93" t="str">
        <f>IFERROR(AVERAGEIFS('[1]Grade Project'!$N:$N,'[1]Grade Project'!$K:$K,H93,'[1]Grade Project'!$F:$F,$A$5,'[1]Grade Project'!$G:$G,$A$8),"")</f>
        <v/>
      </c>
      <c r="K93" t="str">
        <f>IFERROR(AVERAGEIFS('[1]Grade Project'!$O:$O,'[1]Grade Project'!$K:$K,H93,'[1]Grade Project'!$F:$F,$A$5,'[1]Grade Project'!$G:$G,$A$8),"")</f>
        <v/>
      </c>
      <c r="L93" t="str">
        <f t="shared" si="4"/>
        <v/>
      </c>
      <c r="M93" t="str">
        <f t="shared" si="5"/>
        <v/>
      </c>
      <c r="N93" t="str">
        <f t="shared" si="6"/>
        <v/>
      </c>
    </row>
    <row r="94" spans="2:14" x14ac:dyDescent="0.25">
      <c r="B94" t="s">
        <v>93</v>
      </c>
      <c r="F94" t="str">
        <f>IF(G93=0,"",INDEX('[1]Grade Project'!$G:$G,MATCH($A$5,'[1]Grade Project'!$F:$F,0)+SUM($G$3:G93)))</f>
        <v/>
      </c>
      <c r="G94">
        <f>COUNTIFS('[1]Grade Project'!$F:$F,$A$5,'[1]Grade Project'!$G:$G,F94)</f>
        <v>0</v>
      </c>
      <c r="H94" t="str">
        <f>IF(I93=0,"",INDEX('[1]Grade Project'!$K:$K,MATCH(CONCATENATE($A$5,$A$8),'[1]Grade Project'!$H:$H,0)+SUM($I$3:I93)))</f>
        <v/>
      </c>
      <c r="I94">
        <f>COUNTIFS('[1]Grade Project'!$G:$G,$A$8,'[1]Grade Project'!$K:$K,H94,'[1]Grade Project'!$F:$F,$A$5)</f>
        <v>0</v>
      </c>
      <c r="J94" t="str">
        <f>IFERROR(AVERAGEIFS('[1]Grade Project'!$N:$N,'[1]Grade Project'!$K:$K,H94,'[1]Grade Project'!$F:$F,$A$5,'[1]Grade Project'!$G:$G,$A$8),"")</f>
        <v/>
      </c>
      <c r="K94" t="str">
        <f>IFERROR(AVERAGEIFS('[1]Grade Project'!$O:$O,'[1]Grade Project'!$K:$K,H94,'[1]Grade Project'!$F:$F,$A$5,'[1]Grade Project'!$G:$G,$A$8),"")</f>
        <v/>
      </c>
      <c r="L94" t="str">
        <f t="shared" si="4"/>
        <v/>
      </c>
      <c r="M94" t="str">
        <f t="shared" si="5"/>
        <v/>
      </c>
      <c r="N94" t="str">
        <f t="shared" si="6"/>
        <v/>
      </c>
    </row>
    <row r="95" spans="2:14" x14ac:dyDescent="0.25">
      <c r="B95" t="s">
        <v>94</v>
      </c>
      <c r="F95" t="str">
        <f>IF(G94=0,"",INDEX('[1]Grade Project'!$G:$G,MATCH($A$5,'[1]Grade Project'!$F:$F,0)+SUM($G$3:G94)))</f>
        <v/>
      </c>
      <c r="G95">
        <f>COUNTIFS('[1]Grade Project'!$F:$F,$A$5,'[1]Grade Project'!$G:$G,F95)</f>
        <v>0</v>
      </c>
      <c r="H95" t="str">
        <f>IF(I94=0,"",INDEX('[1]Grade Project'!$K:$K,MATCH(CONCATENATE($A$5,$A$8),'[1]Grade Project'!$H:$H,0)+SUM($I$3:I94)))</f>
        <v/>
      </c>
      <c r="I95">
        <f>COUNTIFS('[1]Grade Project'!$G:$G,$A$8,'[1]Grade Project'!$K:$K,H95,'[1]Grade Project'!$F:$F,$A$5)</f>
        <v>0</v>
      </c>
      <c r="J95" t="str">
        <f>IFERROR(AVERAGEIFS('[1]Grade Project'!$N:$N,'[1]Grade Project'!$K:$K,H95,'[1]Grade Project'!$F:$F,$A$5,'[1]Grade Project'!$G:$G,$A$8),"")</f>
        <v/>
      </c>
      <c r="K95" t="str">
        <f>IFERROR(AVERAGEIFS('[1]Grade Project'!$O:$O,'[1]Grade Project'!$K:$K,H95,'[1]Grade Project'!$F:$F,$A$5,'[1]Grade Project'!$G:$G,$A$8),"")</f>
        <v/>
      </c>
      <c r="L95" t="str">
        <f t="shared" si="4"/>
        <v/>
      </c>
      <c r="M95" t="str">
        <f t="shared" si="5"/>
        <v/>
      </c>
      <c r="N95" t="str">
        <f t="shared" si="6"/>
        <v/>
      </c>
    </row>
    <row r="96" spans="2:14" x14ac:dyDescent="0.25">
      <c r="B96" t="s">
        <v>95</v>
      </c>
      <c r="F96" t="str">
        <f>IF(G95=0,"",INDEX('[1]Grade Project'!$G:$G,MATCH($A$5,'[1]Grade Project'!$F:$F,0)+SUM($G$3:G95)))</f>
        <v/>
      </c>
      <c r="G96">
        <f>COUNTIFS('[1]Grade Project'!$F:$F,$A$5,'[1]Grade Project'!$G:$G,F96)</f>
        <v>0</v>
      </c>
      <c r="H96" t="str">
        <f>IF(I95=0,"",INDEX('[1]Grade Project'!$K:$K,MATCH(CONCATENATE($A$5,$A$8),'[1]Grade Project'!$H:$H,0)+SUM($I$3:I95)))</f>
        <v/>
      </c>
      <c r="I96">
        <f>COUNTIFS('[1]Grade Project'!$G:$G,$A$8,'[1]Grade Project'!$K:$K,H96,'[1]Grade Project'!$F:$F,$A$5)</f>
        <v>0</v>
      </c>
      <c r="J96" t="str">
        <f>IFERROR(AVERAGEIFS('[1]Grade Project'!$N:$N,'[1]Grade Project'!$K:$K,H96,'[1]Grade Project'!$F:$F,$A$5,'[1]Grade Project'!$G:$G,$A$8),"")</f>
        <v/>
      </c>
      <c r="K96" t="str">
        <f>IFERROR(AVERAGEIFS('[1]Grade Project'!$O:$O,'[1]Grade Project'!$K:$K,H96,'[1]Grade Project'!$F:$F,$A$5,'[1]Grade Project'!$G:$G,$A$8),"")</f>
        <v/>
      </c>
      <c r="L96" t="str">
        <f t="shared" si="4"/>
        <v/>
      </c>
      <c r="M96" t="str">
        <f t="shared" si="5"/>
        <v/>
      </c>
      <c r="N96" t="str">
        <f t="shared" si="6"/>
        <v/>
      </c>
    </row>
    <row r="97" spans="2:14" x14ac:dyDescent="0.25">
      <c r="B97" t="s">
        <v>96</v>
      </c>
      <c r="H97" t="str">
        <f>IF(I96=0,"",INDEX('[1]Grade Project'!$K:$K,MATCH(CONCATENATE($A$5,$A$8),'[1]Grade Project'!$H:$H,0)+SUM($I$3:I96)))</f>
        <v/>
      </c>
      <c r="I97">
        <f>COUNTIFS('[1]Grade Project'!$G:$G,$A$8,'[1]Grade Project'!$K:$K,H97,'[1]Grade Project'!$F:$F,$A$5)</f>
        <v>0</v>
      </c>
      <c r="J97" t="str">
        <f>IFERROR(AVERAGEIFS('[1]Grade Project'!$N:$N,'[1]Grade Project'!$K:$K,H97,'[1]Grade Project'!$F:$F,$A$5,'[1]Grade Project'!$G:$G,$A$8),"")</f>
        <v/>
      </c>
      <c r="K97" t="str">
        <f>IFERROR(AVERAGEIFS('[1]Grade Project'!$O:$O,'[1]Grade Project'!$K:$K,H97,'[1]Grade Project'!$F:$F,$A$5,'[1]Grade Project'!$G:$G,$A$8),"")</f>
        <v/>
      </c>
      <c r="L97" t="str">
        <f t="shared" si="4"/>
        <v/>
      </c>
      <c r="M97" t="str">
        <f t="shared" si="5"/>
        <v/>
      </c>
      <c r="N97" t="str">
        <f t="shared" si="6"/>
        <v/>
      </c>
    </row>
    <row r="98" spans="2:14" x14ac:dyDescent="0.25">
      <c r="B98" t="s">
        <v>97</v>
      </c>
      <c r="H98" t="str">
        <f>IF(I97=0,"",INDEX('[1]Grade Project'!$K:$K,MATCH(CONCATENATE($A$5,$A$8),'[1]Grade Project'!$H:$H,0)+SUM($I$3:I97)))</f>
        <v/>
      </c>
      <c r="I98">
        <f>COUNTIFS('[1]Grade Project'!$G:$G,$A$8,'[1]Grade Project'!$K:$K,H98,'[1]Grade Project'!$F:$F,$A$5)</f>
        <v>0</v>
      </c>
      <c r="J98" t="str">
        <f>IFERROR(AVERAGEIFS('[1]Grade Project'!$N:$N,'[1]Grade Project'!$K:$K,H98,'[1]Grade Project'!$F:$F,$A$5,'[1]Grade Project'!$G:$G,$A$8),"")</f>
        <v/>
      </c>
      <c r="K98" t="str">
        <f>IFERROR(AVERAGEIFS('[1]Grade Project'!$O:$O,'[1]Grade Project'!$K:$K,H98,'[1]Grade Project'!$F:$F,$A$5,'[1]Grade Project'!$G:$G,$A$8),"")</f>
        <v/>
      </c>
      <c r="L98" t="str">
        <f t="shared" si="4"/>
        <v/>
      </c>
      <c r="M98" t="str">
        <f t="shared" si="5"/>
        <v/>
      </c>
      <c r="N98" t="str">
        <f t="shared" si="6"/>
        <v/>
      </c>
    </row>
    <row r="99" spans="2:14" x14ac:dyDescent="0.25">
      <c r="B99" t="s">
        <v>98</v>
      </c>
      <c r="H99" t="str">
        <f>IF(I98=0,"",INDEX('[1]Grade Project'!$K:$K,MATCH(CONCATENATE($A$5,$A$8),'[1]Grade Project'!$H:$H,0)+SUM($I$3:I98)))</f>
        <v/>
      </c>
      <c r="I99">
        <f>COUNTIFS('[1]Grade Project'!$G:$G,$A$8,'[1]Grade Project'!$K:$K,H99,'[1]Grade Project'!$F:$F,$A$5)</f>
        <v>0</v>
      </c>
      <c r="J99" t="str">
        <f>IFERROR(AVERAGEIFS('[1]Grade Project'!$N:$N,'[1]Grade Project'!$K:$K,H99,'[1]Grade Project'!$F:$F,$A$5,'[1]Grade Project'!$G:$G,$A$8),"")</f>
        <v/>
      </c>
      <c r="K99" t="str">
        <f>IFERROR(AVERAGEIFS('[1]Grade Project'!$O:$O,'[1]Grade Project'!$K:$K,H99,'[1]Grade Project'!$F:$F,$A$5,'[1]Grade Project'!$G:$G,$A$8),"")</f>
        <v/>
      </c>
      <c r="L99" t="str">
        <f t="shared" si="4"/>
        <v/>
      </c>
      <c r="M99" t="str">
        <f t="shared" si="5"/>
        <v/>
      </c>
      <c r="N99" t="str">
        <f t="shared" si="6"/>
        <v/>
      </c>
    </row>
    <row r="100" spans="2:14" x14ac:dyDescent="0.25">
      <c r="B100" t="s">
        <v>99</v>
      </c>
      <c r="H100" t="str">
        <f>IF(I99=0,"",INDEX('[1]Grade Project'!$K:$K,MATCH(CONCATENATE($A$5,$A$8),'[1]Grade Project'!$H:$H,0)+SUM($I$3:I99)))</f>
        <v/>
      </c>
      <c r="I100">
        <f>COUNTIFS('[1]Grade Project'!$G:$G,$A$8,'[1]Grade Project'!$K:$K,H100,'[1]Grade Project'!$F:$F,$A$5)</f>
        <v>0</v>
      </c>
      <c r="J100" t="str">
        <f>IFERROR(AVERAGEIFS('[1]Grade Project'!$N:$N,'[1]Grade Project'!$K:$K,H100,'[1]Grade Project'!$F:$F,$A$5,'[1]Grade Project'!$G:$G,$A$8),"")</f>
        <v/>
      </c>
      <c r="K100" t="str">
        <f>IFERROR(AVERAGEIFS('[1]Grade Project'!$O:$O,'[1]Grade Project'!$K:$K,H100,'[1]Grade Project'!$F:$F,$A$5,'[1]Grade Project'!$G:$G,$A$8),"")</f>
        <v/>
      </c>
      <c r="L100" t="str">
        <f t="shared" si="4"/>
        <v/>
      </c>
      <c r="M100" t="str">
        <f t="shared" si="5"/>
        <v/>
      </c>
      <c r="N100" t="str">
        <f t="shared" si="6"/>
        <v/>
      </c>
    </row>
    <row r="101" spans="2:14" x14ac:dyDescent="0.25">
      <c r="H101" t="str">
        <f>IF(I100=0,"",INDEX('[1]Grade Project'!$K:$K,MATCH(CONCATENATE($A$5,$A$8),'[1]Grade Project'!$H:$H,0)+SUM($I$3:I100)))</f>
        <v/>
      </c>
      <c r="I101">
        <f>COUNTIFS('[1]Grade Project'!$G:$G,$A$8,'[1]Grade Project'!$K:$K,H101,'[1]Grade Project'!$F:$F,$A$5)</f>
        <v>0</v>
      </c>
      <c r="J101" t="str">
        <f>IFERROR(AVERAGEIFS('[1]Grade Project'!$N:$N,'[1]Grade Project'!$K:$K,H101,'[1]Grade Project'!$F:$F,$A$5,'[1]Grade Project'!$G:$G,$A$8),"")</f>
        <v/>
      </c>
      <c r="K101" t="str">
        <f>IFERROR(AVERAGEIFS('[1]Grade Project'!$O:$O,'[1]Grade Project'!$K:$K,H101,'[1]Grade Project'!$F:$F,$A$5,'[1]Grade Project'!$G:$G,$A$8),"")</f>
        <v/>
      </c>
      <c r="L101" t="str">
        <f t="shared" si="4"/>
        <v/>
      </c>
      <c r="M101" t="str">
        <f t="shared" si="5"/>
        <v/>
      </c>
      <c r="N101" t="str">
        <f t="shared" si="6"/>
        <v/>
      </c>
    </row>
    <row r="102" spans="2:14" x14ac:dyDescent="0.25">
      <c r="H102" t="str">
        <f>IF(I101=0,"",INDEX('[1]Grade Project'!$K:$K,MATCH(CONCATENATE($A$5,$A$8),'[1]Grade Project'!$H:$H,0)+SUM($I$3:I101)))</f>
        <v/>
      </c>
      <c r="I102">
        <f>COUNTIFS('[1]Grade Project'!$G:$G,$A$8,'[1]Grade Project'!$K:$K,H102,'[1]Grade Project'!$F:$F,$A$5)</f>
        <v>0</v>
      </c>
      <c r="J102" t="str">
        <f>IFERROR(AVERAGEIFS('[1]Grade Project'!$N:$N,'[1]Grade Project'!$K:$K,H102,'[1]Grade Project'!$F:$F,$A$5,'[1]Grade Project'!$G:$G,$A$8),"")</f>
        <v/>
      </c>
      <c r="K102" t="str">
        <f>IFERROR(AVERAGEIFS('[1]Grade Project'!$O:$O,'[1]Grade Project'!$K:$K,H102,'[1]Grade Project'!$F:$F,$A$5,'[1]Grade Project'!$G:$G,$A$8),"")</f>
        <v/>
      </c>
      <c r="L102" t="str">
        <f t="shared" si="4"/>
        <v/>
      </c>
      <c r="M102" t="str">
        <f t="shared" si="5"/>
        <v/>
      </c>
      <c r="N102" t="str">
        <f t="shared" si="6"/>
        <v/>
      </c>
    </row>
    <row r="103" spans="2:14" x14ac:dyDescent="0.25">
      <c r="H103" t="str">
        <f>IF(I102=0,"",INDEX('[1]Grade Project'!$K:$K,MATCH(CONCATENATE($A$5,$A$8),'[1]Grade Project'!$H:$H,0)+SUM($I$3:I102)))</f>
        <v/>
      </c>
      <c r="I103">
        <f>COUNTIFS('[1]Grade Project'!$G:$G,$A$8,'[1]Grade Project'!$K:$K,H103,'[1]Grade Project'!$F:$F,$A$5)</f>
        <v>0</v>
      </c>
      <c r="J103" t="str">
        <f>IFERROR(AVERAGEIFS('[1]Grade Project'!$N:$N,'[1]Grade Project'!$K:$K,H103,'[1]Grade Project'!$F:$F,$A$5,'[1]Grade Project'!$G:$G,$A$8),"")</f>
        <v/>
      </c>
      <c r="K103" t="str">
        <f>IFERROR(AVERAGEIFS('[1]Grade Project'!$O:$O,'[1]Grade Project'!$K:$K,H103,'[1]Grade Project'!$F:$F,$A$5,'[1]Grade Project'!$G:$G,$A$8),"")</f>
        <v/>
      </c>
      <c r="L103" t="str">
        <f t="shared" si="4"/>
        <v/>
      </c>
      <c r="M103" t="str">
        <f t="shared" si="5"/>
        <v/>
      </c>
      <c r="N103" t="str">
        <f t="shared" si="6"/>
        <v/>
      </c>
    </row>
    <row r="104" spans="2:14" x14ac:dyDescent="0.25">
      <c r="H104" t="str">
        <f>IF(I103=0,"",INDEX('[1]Grade Project'!$K:$K,MATCH(CONCATENATE($A$5,$A$8),'[1]Grade Project'!$H:$H,0)+SUM($I$3:I103)))</f>
        <v/>
      </c>
      <c r="I104">
        <f>COUNTIFS('[1]Grade Project'!$G:$G,$A$8,'[1]Grade Project'!$K:$K,H104,'[1]Grade Project'!$F:$F,$A$5)</f>
        <v>0</v>
      </c>
      <c r="J104" t="str">
        <f>IFERROR(AVERAGEIFS('[1]Grade Project'!$N:$N,'[1]Grade Project'!$K:$K,H104,'[1]Grade Project'!$F:$F,$A$5,'[1]Grade Project'!$G:$G,$A$8),"")</f>
        <v/>
      </c>
      <c r="K104" t="str">
        <f>IFERROR(AVERAGEIFS('[1]Grade Project'!$O:$O,'[1]Grade Project'!$K:$K,H104,'[1]Grade Project'!$F:$F,$A$5,'[1]Grade Project'!$G:$G,$A$8),"")</f>
        <v/>
      </c>
      <c r="L104" t="str">
        <f t="shared" si="4"/>
        <v/>
      </c>
      <c r="M104" t="str">
        <f t="shared" si="5"/>
        <v/>
      </c>
      <c r="N104" t="str">
        <f t="shared" si="6"/>
        <v/>
      </c>
    </row>
    <row r="105" spans="2:14" x14ac:dyDescent="0.25">
      <c r="H105" t="str">
        <f>IF(I104=0,"",INDEX('[1]Grade Project'!$K:$K,MATCH(CONCATENATE($A$5,$A$8),'[1]Grade Project'!$H:$H,0)+SUM($I$3:I104)))</f>
        <v/>
      </c>
      <c r="I105">
        <f>COUNTIFS('[1]Grade Project'!$G:$G,$A$8,'[1]Grade Project'!$K:$K,H105,'[1]Grade Project'!$F:$F,$A$5)</f>
        <v>0</v>
      </c>
      <c r="J105" t="str">
        <f>IFERROR(AVERAGEIFS('[1]Grade Project'!$N:$N,'[1]Grade Project'!$K:$K,H105,'[1]Grade Project'!$F:$F,$A$5,'[1]Grade Project'!$G:$G,$A$8),"")</f>
        <v/>
      </c>
      <c r="K105" t="str">
        <f>IFERROR(AVERAGEIFS('[1]Grade Project'!$O:$O,'[1]Grade Project'!$K:$K,H105,'[1]Grade Project'!$F:$F,$A$5,'[1]Grade Project'!$G:$G,$A$8),"")</f>
        <v/>
      </c>
      <c r="L105" t="str">
        <f t="shared" si="4"/>
        <v/>
      </c>
      <c r="M105" t="str">
        <f t="shared" si="5"/>
        <v/>
      </c>
      <c r="N105" t="str">
        <f t="shared" si="6"/>
        <v/>
      </c>
    </row>
    <row r="106" spans="2:14" x14ac:dyDescent="0.25">
      <c r="H106" t="str">
        <f>IF(I105=0,"",INDEX('[1]Grade Project'!$K:$K,MATCH(CONCATENATE($A$5,$A$8),'[1]Grade Project'!$H:$H,0)+SUM($I$3:I105)))</f>
        <v/>
      </c>
      <c r="I106">
        <f>COUNTIFS('[1]Grade Project'!$G:$G,$A$8,'[1]Grade Project'!$K:$K,H106,'[1]Grade Project'!$F:$F,$A$5)</f>
        <v>0</v>
      </c>
      <c r="J106" t="str">
        <f>IFERROR(AVERAGEIFS('[1]Grade Project'!$N:$N,'[1]Grade Project'!$K:$K,H106,'[1]Grade Project'!$F:$F,$A$5,'[1]Grade Project'!$G:$G,$A$8),"")</f>
        <v/>
      </c>
      <c r="K106" t="str">
        <f>IFERROR(AVERAGEIFS('[1]Grade Project'!$O:$O,'[1]Grade Project'!$K:$K,H106,'[1]Grade Project'!$F:$F,$A$5,'[1]Grade Project'!$G:$G,$A$8),"")</f>
        <v/>
      </c>
      <c r="L106" t="str">
        <f t="shared" si="4"/>
        <v/>
      </c>
      <c r="M106" t="str">
        <f t="shared" si="5"/>
        <v/>
      </c>
      <c r="N106" t="str">
        <f t="shared" si="6"/>
        <v/>
      </c>
    </row>
    <row r="107" spans="2:14" x14ac:dyDescent="0.25">
      <c r="H107" t="str">
        <f>IF(I106=0,"",INDEX('[1]Grade Project'!$K:$K,MATCH(CONCATENATE($A$5,$A$8),'[1]Grade Project'!$H:$H,0)+SUM($I$3:I106)))</f>
        <v/>
      </c>
      <c r="I107">
        <f>COUNTIFS('[1]Grade Project'!$G:$G,$A$8,'[1]Grade Project'!$K:$K,H107,'[1]Grade Project'!$F:$F,$A$5)</f>
        <v>0</v>
      </c>
      <c r="J107" t="str">
        <f>IFERROR(AVERAGEIFS('[1]Grade Project'!$N:$N,'[1]Grade Project'!$K:$K,H107,'[1]Grade Project'!$F:$F,$A$5,'[1]Grade Project'!$G:$G,$A$8),"")</f>
        <v/>
      </c>
      <c r="K107" t="str">
        <f>IFERROR(AVERAGEIFS('[1]Grade Project'!$O:$O,'[1]Grade Project'!$K:$K,H107,'[1]Grade Project'!$F:$F,$A$5,'[1]Grade Project'!$G:$G,$A$8),"")</f>
        <v/>
      </c>
      <c r="L107" t="str">
        <f t="shared" si="4"/>
        <v/>
      </c>
      <c r="M107" t="str">
        <f t="shared" si="5"/>
        <v/>
      </c>
      <c r="N107" t="str">
        <f t="shared" si="6"/>
        <v/>
      </c>
    </row>
    <row r="108" spans="2:14" x14ac:dyDescent="0.25">
      <c r="H108" t="str">
        <f>IF(I107=0,"",INDEX('[1]Grade Project'!$K:$K,MATCH(CONCATENATE($A$5,$A$8),'[1]Grade Project'!$H:$H,0)+SUM($I$3:I107)))</f>
        <v/>
      </c>
      <c r="I108">
        <f>COUNTIFS('[1]Grade Project'!$G:$G,$A$8,'[1]Grade Project'!$K:$K,H108,'[1]Grade Project'!$F:$F,$A$5)</f>
        <v>0</v>
      </c>
      <c r="J108" t="str">
        <f>IFERROR(AVERAGEIFS('[1]Grade Project'!$N:$N,'[1]Grade Project'!$K:$K,H108,'[1]Grade Project'!$F:$F,$A$5,'[1]Grade Project'!$G:$G,$A$8),"")</f>
        <v/>
      </c>
      <c r="K108" t="str">
        <f>IFERROR(AVERAGEIFS('[1]Grade Project'!$O:$O,'[1]Grade Project'!$K:$K,H108,'[1]Grade Project'!$F:$F,$A$5,'[1]Grade Project'!$G:$G,$A$8),"")</f>
        <v/>
      </c>
      <c r="L108" t="str">
        <f t="shared" si="4"/>
        <v/>
      </c>
      <c r="M108" t="str">
        <f t="shared" si="5"/>
        <v/>
      </c>
      <c r="N108" t="str">
        <f t="shared" si="6"/>
        <v/>
      </c>
    </row>
    <row r="109" spans="2:14" x14ac:dyDescent="0.25">
      <c r="H109" t="str">
        <f>IF(I108=0,"",INDEX('[1]Grade Project'!$K:$K,MATCH(CONCATENATE($A$5,$A$8),'[1]Grade Project'!$H:$H,0)+SUM($I$3:I108)))</f>
        <v/>
      </c>
      <c r="I109">
        <f>COUNTIFS('[1]Grade Project'!$G:$G,$A$8,'[1]Grade Project'!$K:$K,H109,'[1]Grade Project'!$F:$F,$A$5)</f>
        <v>0</v>
      </c>
      <c r="J109" t="str">
        <f>IFERROR(AVERAGEIFS('[1]Grade Project'!$N:$N,'[1]Grade Project'!$K:$K,H109,'[1]Grade Project'!$F:$F,$A$5,'[1]Grade Project'!$G:$G,$A$8),"")</f>
        <v/>
      </c>
      <c r="K109" t="str">
        <f>IFERROR(AVERAGEIFS('[1]Grade Project'!$O:$O,'[1]Grade Project'!$K:$K,H109,'[1]Grade Project'!$F:$F,$A$5,'[1]Grade Project'!$G:$G,$A$8),"")</f>
        <v/>
      </c>
      <c r="L109" t="str">
        <f t="shared" si="4"/>
        <v/>
      </c>
      <c r="M109" t="str">
        <f t="shared" si="5"/>
        <v/>
      </c>
      <c r="N109" t="str">
        <f t="shared" si="6"/>
        <v/>
      </c>
    </row>
    <row r="110" spans="2:14" x14ac:dyDescent="0.25">
      <c r="H110" t="str">
        <f>IF(I109=0,"",INDEX('[1]Grade Project'!$K:$K,MATCH(CONCATENATE($A$5,$A$8),'[1]Grade Project'!$H:$H,0)+SUM($I$3:I109)))</f>
        <v/>
      </c>
      <c r="I110">
        <f>COUNTIFS('[1]Grade Project'!$G:$G,$A$8,'[1]Grade Project'!$K:$K,H110,'[1]Grade Project'!$F:$F,$A$5)</f>
        <v>0</v>
      </c>
      <c r="J110" t="str">
        <f>IFERROR(AVERAGEIFS('[1]Grade Project'!$N:$N,'[1]Grade Project'!$K:$K,H110,'[1]Grade Project'!$F:$F,$A$5,'[1]Grade Project'!$G:$G,$A$8),"")</f>
        <v/>
      </c>
      <c r="K110" t="str">
        <f>IFERROR(AVERAGEIFS('[1]Grade Project'!$O:$O,'[1]Grade Project'!$K:$K,H110,'[1]Grade Project'!$F:$F,$A$5,'[1]Grade Project'!$G:$G,$A$8),"")</f>
        <v/>
      </c>
      <c r="L110" t="str">
        <f t="shared" si="4"/>
        <v/>
      </c>
      <c r="M110" t="str">
        <f t="shared" si="5"/>
        <v/>
      </c>
      <c r="N110" t="str">
        <f t="shared" si="6"/>
        <v/>
      </c>
    </row>
    <row r="111" spans="2:14" x14ac:dyDescent="0.25">
      <c r="H111" t="str">
        <f>IF(I110=0,"",INDEX('[1]Grade Project'!$K:$K,MATCH(CONCATENATE($A$5,$A$8),'[1]Grade Project'!$H:$H,0)+SUM($I$3:I110)))</f>
        <v/>
      </c>
      <c r="I111">
        <f>COUNTIFS('[1]Grade Project'!$G:$G,$A$8,'[1]Grade Project'!$K:$K,H111,'[1]Grade Project'!$F:$F,$A$5)</f>
        <v>0</v>
      </c>
      <c r="J111" t="str">
        <f>IFERROR(AVERAGEIFS('[1]Grade Project'!$N:$N,'[1]Grade Project'!$K:$K,H111,'[1]Grade Project'!$F:$F,$A$5,'[1]Grade Project'!$G:$G,$A$8),"")</f>
        <v/>
      </c>
      <c r="K111" t="str">
        <f>IFERROR(AVERAGEIFS('[1]Grade Project'!$O:$O,'[1]Grade Project'!$K:$K,H111,'[1]Grade Project'!$F:$F,$A$5,'[1]Grade Project'!$G:$G,$A$8),"")</f>
        <v/>
      </c>
      <c r="L111" t="str">
        <f t="shared" si="4"/>
        <v/>
      </c>
      <c r="M111" t="str">
        <f t="shared" si="5"/>
        <v/>
      </c>
      <c r="N111" t="str">
        <f t="shared" si="6"/>
        <v/>
      </c>
    </row>
    <row r="112" spans="2:14" x14ac:dyDescent="0.25">
      <c r="H112" t="str">
        <f>IF(I111=0,"",INDEX('[1]Grade Project'!$K:$K,MATCH(CONCATENATE($A$5,$A$8),'[1]Grade Project'!$H:$H,0)+SUM($I$3:I111)))</f>
        <v/>
      </c>
      <c r="I112">
        <f>COUNTIFS('[1]Grade Project'!$G:$G,$A$8,'[1]Grade Project'!$K:$K,H112,'[1]Grade Project'!$F:$F,$A$5)</f>
        <v>0</v>
      </c>
      <c r="J112" t="str">
        <f>IFERROR(AVERAGEIFS('[1]Grade Project'!$N:$N,'[1]Grade Project'!$K:$K,H112,'[1]Grade Project'!$F:$F,$A$5,'[1]Grade Project'!$G:$G,$A$8),"")</f>
        <v/>
      </c>
      <c r="K112" t="str">
        <f>IFERROR(AVERAGEIFS('[1]Grade Project'!$O:$O,'[1]Grade Project'!$K:$K,H112,'[1]Grade Project'!$F:$F,$A$5,'[1]Grade Project'!$G:$G,$A$8),"")</f>
        <v/>
      </c>
      <c r="L112" t="str">
        <f t="shared" si="4"/>
        <v/>
      </c>
      <c r="M112" t="str">
        <f t="shared" si="5"/>
        <v/>
      </c>
      <c r="N112" t="str">
        <f t="shared" si="6"/>
        <v/>
      </c>
    </row>
    <row r="113" spans="8:14" x14ac:dyDescent="0.25">
      <c r="H113" t="str">
        <f>IF(I112=0,"",INDEX('[1]Grade Project'!$K:$K,MATCH(CONCATENATE($A$5,$A$8),'[1]Grade Project'!$H:$H,0)+SUM($I$3:I112)))</f>
        <v/>
      </c>
      <c r="I113">
        <f>COUNTIFS('[1]Grade Project'!$G:$G,$A$8,'[1]Grade Project'!$K:$K,H113,'[1]Grade Project'!$F:$F,$A$5)</f>
        <v>0</v>
      </c>
      <c r="J113" t="str">
        <f>IFERROR(AVERAGEIFS('[1]Grade Project'!$N:$N,'[1]Grade Project'!$K:$K,H113,'[1]Grade Project'!$F:$F,$A$5,'[1]Grade Project'!$G:$G,$A$8),"")</f>
        <v/>
      </c>
      <c r="K113" t="str">
        <f>IFERROR(AVERAGEIFS('[1]Grade Project'!$O:$O,'[1]Grade Project'!$K:$K,H113,'[1]Grade Project'!$F:$F,$A$5,'[1]Grade Project'!$G:$G,$A$8),"")</f>
        <v/>
      </c>
      <c r="L113" t="str">
        <f t="shared" si="4"/>
        <v/>
      </c>
      <c r="M113" t="str">
        <f t="shared" si="5"/>
        <v/>
      </c>
      <c r="N113" t="str">
        <f t="shared" si="6"/>
        <v/>
      </c>
    </row>
    <row r="114" spans="8:14" x14ac:dyDescent="0.25">
      <c r="H114" t="str">
        <f>IF(I113=0,"",INDEX('[1]Grade Project'!$K:$K,MATCH(CONCATENATE($A$5,$A$8),'[1]Grade Project'!$H:$H,0)+SUM($I$3:I113)))</f>
        <v/>
      </c>
      <c r="I114">
        <f>COUNTIFS('[1]Grade Project'!$G:$G,$A$8,'[1]Grade Project'!$K:$K,H114,'[1]Grade Project'!$F:$F,$A$5)</f>
        <v>0</v>
      </c>
      <c r="J114" t="str">
        <f>IFERROR(AVERAGEIFS('[1]Grade Project'!$N:$N,'[1]Grade Project'!$K:$K,H114,'[1]Grade Project'!$F:$F,$A$5,'[1]Grade Project'!$G:$G,$A$8),"")</f>
        <v/>
      </c>
      <c r="K114" t="str">
        <f>IFERROR(AVERAGEIFS('[1]Grade Project'!$O:$O,'[1]Grade Project'!$K:$K,H114,'[1]Grade Project'!$F:$F,$A$5,'[1]Grade Project'!$G:$G,$A$8),"")</f>
        <v/>
      </c>
      <c r="L114" t="str">
        <f t="shared" si="4"/>
        <v/>
      </c>
      <c r="M114" t="str">
        <f t="shared" si="5"/>
        <v/>
      </c>
      <c r="N114" t="str">
        <f t="shared" si="6"/>
        <v/>
      </c>
    </row>
    <row r="115" spans="8:14" x14ac:dyDescent="0.25">
      <c r="H115" t="str">
        <f>IF(I114=0,"",INDEX('[1]Grade Project'!$K:$K,MATCH(CONCATENATE($A$5,$A$8),'[1]Grade Project'!$H:$H,0)+SUM($I$3:I114)))</f>
        <v/>
      </c>
      <c r="I115">
        <f>COUNTIFS('[1]Grade Project'!$G:$G,$A$8,'[1]Grade Project'!$K:$K,H115,'[1]Grade Project'!$F:$F,$A$5)</f>
        <v>0</v>
      </c>
      <c r="J115" t="str">
        <f>IFERROR(AVERAGEIFS('[1]Grade Project'!$N:$N,'[1]Grade Project'!$K:$K,H115,'[1]Grade Project'!$F:$F,$A$5,'[1]Grade Project'!$G:$G,$A$8),"")</f>
        <v/>
      </c>
      <c r="K115" t="str">
        <f>IFERROR(AVERAGEIFS('[1]Grade Project'!$O:$O,'[1]Grade Project'!$K:$K,H115,'[1]Grade Project'!$F:$F,$A$5,'[1]Grade Project'!$G:$G,$A$8),"")</f>
        <v/>
      </c>
      <c r="L115" t="str">
        <f t="shared" si="4"/>
        <v/>
      </c>
      <c r="M115" t="str">
        <f t="shared" si="5"/>
        <v/>
      </c>
      <c r="N115" t="str">
        <f t="shared" si="6"/>
        <v/>
      </c>
    </row>
    <row r="116" spans="8:14" x14ac:dyDescent="0.25">
      <c r="H116" t="str">
        <f>IF(I115=0,"",INDEX('[1]Grade Project'!$K:$K,MATCH(CONCATENATE($A$5,$A$8),'[1]Grade Project'!$H:$H,0)+SUM($I$3:I115)))</f>
        <v/>
      </c>
      <c r="I116">
        <f>COUNTIFS('[1]Grade Project'!$G:$G,$A$8,'[1]Grade Project'!$K:$K,H116,'[1]Grade Project'!$F:$F,$A$5)</f>
        <v>0</v>
      </c>
      <c r="J116" t="str">
        <f>IFERROR(AVERAGEIFS('[1]Grade Project'!$N:$N,'[1]Grade Project'!$K:$K,H116,'[1]Grade Project'!$F:$F,$A$5,'[1]Grade Project'!$G:$G,$A$8),"")</f>
        <v/>
      </c>
      <c r="K116" t="str">
        <f>IFERROR(AVERAGEIFS('[1]Grade Project'!$O:$O,'[1]Grade Project'!$K:$K,H116,'[1]Grade Project'!$F:$F,$A$5,'[1]Grade Project'!$G:$G,$A$8),"")</f>
        <v/>
      </c>
      <c r="L116" t="str">
        <f t="shared" si="4"/>
        <v/>
      </c>
      <c r="M116" t="str">
        <f t="shared" si="5"/>
        <v/>
      </c>
      <c r="N116" t="str">
        <f t="shared" si="6"/>
        <v/>
      </c>
    </row>
    <row r="117" spans="8:14" x14ac:dyDescent="0.25">
      <c r="H117" t="str">
        <f>IF(I116=0,"",INDEX('[1]Grade Project'!$K:$K,MATCH(CONCATENATE($A$5,$A$8),'[1]Grade Project'!$H:$H,0)+SUM($I$3:I116)))</f>
        <v/>
      </c>
      <c r="I117">
        <f>COUNTIFS('[1]Grade Project'!$G:$G,$A$8,'[1]Grade Project'!$K:$K,H117,'[1]Grade Project'!$F:$F,$A$5)</f>
        <v>0</v>
      </c>
      <c r="J117" t="str">
        <f>IFERROR(AVERAGEIFS('[1]Grade Project'!$N:$N,'[1]Grade Project'!$K:$K,H117,'[1]Grade Project'!$F:$F,$A$5,'[1]Grade Project'!$G:$G,$A$8),"")</f>
        <v/>
      </c>
      <c r="K117" t="str">
        <f>IFERROR(AVERAGEIFS('[1]Grade Project'!$O:$O,'[1]Grade Project'!$K:$K,H117,'[1]Grade Project'!$F:$F,$A$5,'[1]Grade Project'!$G:$G,$A$8),"")</f>
        <v/>
      </c>
      <c r="L117" t="str">
        <f t="shared" si="4"/>
        <v/>
      </c>
      <c r="M117" t="str">
        <f t="shared" si="5"/>
        <v/>
      </c>
      <c r="N117" t="str">
        <f t="shared" si="6"/>
        <v/>
      </c>
    </row>
    <row r="118" spans="8:14" x14ac:dyDescent="0.25">
      <c r="H118" t="str">
        <f>IF(I117=0,"",INDEX('[1]Grade Project'!$K:$K,MATCH(CONCATENATE($A$5,$A$8),'[1]Grade Project'!$H:$H,0)+SUM($I$3:I117)))</f>
        <v/>
      </c>
      <c r="I118">
        <f>COUNTIFS('[1]Grade Project'!$G:$G,$A$8,'[1]Grade Project'!$K:$K,H118,'[1]Grade Project'!$F:$F,$A$5)</f>
        <v>0</v>
      </c>
      <c r="J118" t="str">
        <f>IFERROR(AVERAGEIFS('[1]Grade Project'!$N:$N,'[1]Grade Project'!$K:$K,H118,'[1]Grade Project'!$F:$F,$A$5,'[1]Grade Project'!$G:$G,$A$8),"")</f>
        <v/>
      </c>
      <c r="K118" t="str">
        <f>IFERROR(AVERAGEIFS('[1]Grade Project'!$O:$O,'[1]Grade Project'!$K:$K,H118,'[1]Grade Project'!$F:$F,$A$5,'[1]Grade Project'!$G:$G,$A$8),"")</f>
        <v/>
      </c>
      <c r="L118" t="str">
        <f t="shared" si="4"/>
        <v/>
      </c>
      <c r="M118" t="str">
        <f t="shared" si="5"/>
        <v/>
      </c>
      <c r="N118" t="str">
        <f t="shared" si="6"/>
        <v/>
      </c>
    </row>
    <row r="119" spans="8:14" x14ac:dyDescent="0.25">
      <c r="H119" t="str">
        <f>IF(I118=0,"",INDEX('[1]Grade Project'!$K:$K,MATCH(CONCATENATE($A$5,$A$8),'[1]Grade Project'!$H:$H,0)+SUM($I$3:I118)))</f>
        <v/>
      </c>
      <c r="I119">
        <f>COUNTIFS('[1]Grade Project'!$G:$G,$A$8,'[1]Grade Project'!$K:$K,H119,'[1]Grade Project'!$F:$F,$A$5)</f>
        <v>0</v>
      </c>
      <c r="J119" t="str">
        <f>IFERROR(AVERAGEIFS('[1]Grade Project'!$N:$N,'[1]Grade Project'!$K:$K,H119,'[1]Grade Project'!$F:$F,$A$5,'[1]Grade Project'!$G:$G,$A$8),"")</f>
        <v/>
      </c>
      <c r="K119" t="str">
        <f>IFERROR(AVERAGEIFS('[1]Grade Project'!$O:$O,'[1]Grade Project'!$K:$K,H119,'[1]Grade Project'!$F:$F,$A$5,'[1]Grade Project'!$G:$G,$A$8),"")</f>
        <v/>
      </c>
      <c r="L119" t="str">
        <f t="shared" si="4"/>
        <v/>
      </c>
      <c r="M119" t="str">
        <f t="shared" si="5"/>
        <v/>
      </c>
      <c r="N119" t="str">
        <f t="shared" si="6"/>
        <v/>
      </c>
    </row>
    <row r="120" spans="8:14" x14ac:dyDescent="0.25">
      <c r="H120" t="str">
        <f>IF(I119=0,"",INDEX('[1]Grade Project'!$K:$K,MATCH(CONCATENATE($A$5,$A$8),'[1]Grade Project'!$H:$H,0)+SUM($I$3:I119)))</f>
        <v/>
      </c>
      <c r="I120">
        <f>COUNTIFS('[1]Grade Project'!$G:$G,$A$8,'[1]Grade Project'!$K:$K,H120,'[1]Grade Project'!$F:$F,$A$5)</f>
        <v>0</v>
      </c>
      <c r="J120" t="str">
        <f>IFERROR(AVERAGEIFS('[1]Grade Project'!$N:$N,'[1]Grade Project'!$K:$K,H120,'[1]Grade Project'!$F:$F,$A$5,'[1]Grade Project'!$G:$G,$A$8),"")</f>
        <v/>
      </c>
      <c r="K120" t="str">
        <f>IFERROR(AVERAGEIFS('[1]Grade Project'!$O:$O,'[1]Grade Project'!$K:$K,H120,'[1]Grade Project'!$F:$F,$A$5,'[1]Grade Project'!$G:$G,$A$8),"")</f>
        <v/>
      </c>
      <c r="L120" t="str">
        <f t="shared" si="4"/>
        <v/>
      </c>
      <c r="M120" t="str">
        <f t="shared" si="5"/>
        <v/>
      </c>
      <c r="N120" t="str">
        <f t="shared" si="6"/>
        <v/>
      </c>
    </row>
    <row r="121" spans="8:14" x14ac:dyDescent="0.25">
      <c r="H121" t="str">
        <f>IF(I120=0,"",INDEX('[1]Grade Project'!$K:$K,MATCH(CONCATENATE($A$5,$A$8),'[1]Grade Project'!$H:$H,0)+SUM($I$3:I120)))</f>
        <v/>
      </c>
      <c r="I121">
        <f>COUNTIFS('[1]Grade Project'!$G:$G,$A$8,'[1]Grade Project'!$K:$K,H121,'[1]Grade Project'!$F:$F,$A$5)</f>
        <v>0</v>
      </c>
      <c r="J121" t="str">
        <f>IFERROR(AVERAGEIFS('[1]Grade Project'!$N:$N,'[1]Grade Project'!$K:$K,H121,'[1]Grade Project'!$F:$F,$A$5,'[1]Grade Project'!$G:$G,$A$8),"")</f>
        <v/>
      </c>
      <c r="K121" t="str">
        <f>IFERROR(AVERAGEIFS('[1]Grade Project'!$O:$O,'[1]Grade Project'!$K:$K,H121,'[1]Grade Project'!$F:$F,$A$5,'[1]Grade Project'!$G:$G,$A$8),"")</f>
        <v/>
      </c>
      <c r="L121" t="str">
        <f t="shared" si="4"/>
        <v/>
      </c>
      <c r="M121" t="str">
        <f t="shared" si="5"/>
        <v/>
      </c>
      <c r="N121" t="str">
        <f t="shared" si="6"/>
        <v/>
      </c>
    </row>
    <row r="122" spans="8:14" x14ac:dyDescent="0.25">
      <c r="H122" t="str">
        <f>IF(I121=0,"",INDEX('[1]Grade Project'!$K:$K,MATCH(CONCATENATE($A$5,$A$8),'[1]Grade Project'!$H:$H,0)+SUM($I$3:I121)))</f>
        <v/>
      </c>
      <c r="I122">
        <f>COUNTIFS('[1]Grade Project'!$G:$G,$A$8,'[1]Grade Project'!$K:$K,H122,'[1]Grade Project'!$F:$F,$A$5)</f>
        <v>0</v>
      </c>
      <c r="J122" t="str">
        <f>IFERROR(AVERAGEIFS('[1]Grade Project'!$N:$N,'[1]Grade Project'!$K:$K,H122,'[1]Grade Project'!$F:$F,$A$5,'[1]Grade Project'!$G:$G,$A$8),"")</f>
        <v/>
      </c>
      <c r="K122" t="str">
        <f>IFERROR(AVERAGEIFS('[1]Grade Project'!$O:$O,'[1]Grade Project'!$K:$K,H122,'[1]Grade Project'!$F:$F,$A$5,'[1]Grade Project'!$G:$G,$A$8),"")</f>
        <v/>
      </c>
      <c r="L122" t="str">
        <f t="shared" si="4"/>
        <v/>
      </c>
      <c r="M122" t="str">
        <f t="shared" si="5"/>
        <v/>
      </c>
      <c r="N122" t="str">
        <f t="shared" si="6"/>
        <v/>
      </c>
    </row>
    <row r="123" spans="8:14" x14ac:dyDescent="0.25">
      <c r="H123" t="str">
        <f>IF(I122=0,"",INDEX('[1]Grade Project'!$K:$K,MATCH(CONCATENATE($A$5,$A$8),'[1]Grade Project'!$H:$H,0)+SUM($I$3:I122)))</f>
        <v/>
      </c>
      <c r="I123">
        <f>COUNTIFS('[1]Grade Project'!$G:$G,$A$8,'[1]Grade Project'!$K:$K,H123,'[1]Grade Project'!$F:$F,$A$5)</f>
        <v>0</v>
      </c>
      <c r="J123" t="str">
        <f>IFERROR(AVERAGEIFS('[1]Grade Project'!$N:$N,'[1]Grade Project'!$K:$K,H123,'[1]Grade Project'!$F:$F,$A$5,'[1]Grade Project'!$G:$G,$A$8),"")</f>
        <v/>
      </c>
      <c r="K123" t="str">
        <f>IFERROR(AVERAGEIFS('[1]Grade Project'!$O:$O,'[1]Grade Project'!$K:$K,H123,'[1]Grade Project'!$F:$F,$A$5,'[1]Grade Project'!$G:$G,$A$8),"")</f>
        <v/>
      </c>
      <c r="L123" t="str">
        <f t="shared" si="4"/>
        <v/>
      </c>
      <c r="M123" t="str">
        <f t="shared" si="5"/>
        <v/>
      </c>
      <c r="N123" t="str">
        <f t="shared" si="6"/>
        <v/>
      </c>
    </row>
    <row r="124" spans="8:14" x14ac:dyDescent="0.25">
      <c r="H124" t="str">
        <f>IF(I123=0,"",INDEX('[1]Grade Project'!$K:$K,MATCH(CONCATENATE($A$5,$A$8),'[1]Grade Project'!$H:$H,0)+SUM($I$3:I123)))</f>
        <v/>
      </c>
      <c r="I124">
        <f>COUNTIFS('[1]Grade Project'!$G:$G,$A$8,'[1]Grade Project'!$K:$K,H124,'[1]Grade Project'!$F:$F,$A$5)</f>
        <v>0</v>
      </c>
      <c r="J124" t="str">
        <f>IFERROR(AVERAGEIFS('[1]Grade Project'!$N:$N,'[1]Grade Project'!$K:$K,H124,'[1]Grade Project'!$F:$F,$A$5,'[1]Grade Project'!$G:$G,$A$8),"")</f>
        <v/>
      </c>
      <c r="K124" t="str">
        <f>IFERROR(AVERAGEIFS('[1]Grade Project'!$O:$O,'[1]Grade Project'!$K:$K,H124,'[1]Grade Project'!$F:$F,$A$5,'[1]Grade Project'!$G:$G,$A$8),"")</f>
        <v/>
      </c>
      <c r="L124" t="str">
        <f t="shared" si="4"/>
        <v/>
      </c>
      <c r="M124" t="str">
        <f t="shared" si="5"/>
        <v/>
      </c>
      <c r="N124" t="str">
        <f t="shared" si="6"/>
        <v/>
      </c>
    </row>
    <row r="125" spans="8:14" x14ac:dyDescent="0.25">
      <c r="H125" t="str">
        <f>IF(I124=0,"",INDEX('[1]Grade Project'!$K:$K,MATCH(CONCATENATE($A$5,$A$8),'[1]Grade Project'!$H:$H,0)+SUM($I$3:I124)))</f>
        <v/>
      </c>
      <c r="I125">
        <f>COUNTIFS('[1]Grade Project'!$G:$G,$A$8,'[1]Grade Project'!$K:$K,H125,'[1]Grade Project'!$F:$F,$A$5)</f>
        <v>0</v>
      </c>
      <c r="J125" t="str">
        <f>IFERROR(AVERAGEIFS('[1]Grade Project'!$N:$N,'[1]Grade Project'!$K:$K,H125,'[1]Grade Project'!$F:$F,$A$5,'[1]Grade Project'!$G:$G,$A$8),"")</f>
        <v/>
      </c>
      <c r="K125" t="str">
        <f>IFERROR(AVERAGEIFS('[1]Grade Project'!$O:$O,'[1]Grade Project'!$K:$K,H125,'[1]Grade Project'!$F:$F,$A$5,'[1]Grade Project'!$G:$G,$A$8),"")</f>
        <v/>
      </c>
      <c r="L125" t="str">
        <f t="shared" si="4"/>
        <v/>
      </c>
      <c r="M125" t="str">
        <f t="shared" si="5"/>
        <v/>
      </c>
      <c r="N125" t="str">
        <f t="shared" si="6"/>
        <v/>
      </c>
    </row>
    <row r="126" spans="8:14" x14ac:dyDescent="0.25">
      <c r="H126" t="str">
        <f>IF(I125=0,"",INDEX('[1]Grade Project'!$K:$K,MATCH(CONCATENATE($A$5,$A$8),'[1]Grade Project'!$H:$H,0)+SUM($I$3:I125)))</f>
        <v/>
      </c>
      <c r="I126">
        <f>COUNTIFS('[1]Grade Project'!$G:$G,$A$8,'[1]Grade Project'!$K:$K,H126,'[1]Grade Project'!$F:$F,$A$5)</f>
        <v>0</v>
      </c>
      <c r="J126" t="str">
        <f>IFERROR(AVERAGEIFS('[1]Grade Project'!$N:$N,'[1]Grade Project'!$K:$K,H126,'[1]Grade Project'!$F:$F,$A$5,'[1]Grade Project'!$G:$G,$A$8),"")</f>
        <v/>
      </c>
      <c r="K126" t="str">
        <f>IFERROR(AVERAGEIFS('[1]Grade Project'!$O:$O,'[1]Grade Project'!$K:$K,H126,'[1]Grade Project'!$F:$F,$A$5,'[1]Grade Project'!$G:$G,$A$8),"")</f>
        <v/>
      </c>
      <c r="L126" t="str">
        <f t="shared" si="4"/>
        <v/>
      </c>
      <c r="M126" t="str">
        <f t="shared" si="5"/>
        <v/>
      </c>
      <c r="N126" t="str">
        <f t="shared" si="6"/>
        <v/>
      </c>
    </row>
    <row r="127" spans="8:14" x14ac:dyDescent="0.25">
      <c r="H127" t="str">
        <f>IF(I126=0,"",INDEX('[1]Grade Project'!$K:$K,MATCH(CONCATENATE($A$5,$A$8),'[1]Grade Project'!$H:$H,0)+SUM($I$3:I126)))</f>
        <v/>
      </c>
      <c r="I127">
        <f>COUNTIFS('[1]Grade Project'!$G:$G,$A$8,'[1]Grade Project'!$K:$K,H127,'[1]Grade Project'!$F:$F,$A$5)</f>
        <v>0</v>
      </c>
      <c r="J127" t="str">
        <f>IFERROR(AVERAGEIFS('[1]Grade Project'!$N:$N,'[1]Grade Project'!$K:$K,H127,'[1]Grade Project'!$F:$F,$A$5,'[1]Grade Project'!$G:$G,$A$8),"")</f>
        <v/>
      </c>
      <c r="K127" t="str">
        <f>IFERROR(AVERAGEIFS('[1]Grade Project'!$O:$O,'[1]Grade Project'!$K:$K,H127,'[1]Grade Project'!$F:$F,$A$5,'[1]Grade Project'!$G:$G,$A$8),"")</f>
        <v/>
      </c>
      <c r="L127" t="str">
        <f t="shared" si="4"/>
        <v/>
      </c>
      <c r="M127" t="str">
        <f t="shared" si="5"/>
        <v/>
      </c>
      <c r="N127" t="str">
        <f t="shared" si="6"/>
        <v/>
      </c>
    </row>
    <row r="128" spans="8:14" x14ac:dyDescent="0.25">
      <c r="H128" t="str">
        <f>IF(I127=0,"",INDEX('[1]Grade Project'!$K:$K,MATCH(CONCATENATE($A$5,$A$8),'[1]Grade Project'!$H:$H,0)+SUM($I$3:I127)))</f>
        <v/>
      </c>
      <c r="I128">
        <f>COUNTIFS('[1]Grade Project'!$G:$G,$A$8,'[1]Grade Project'!$K:$K,H128,'[1]Grade Project'!$F:$F,$A$5)</f>
        <v>0</v>
      </c>
      <c r="J128" t="str">
        <f>IFERROR(AVERAGEIFS('[1]Grade Project'!$N:$N,'[1]Grade Project'!$K:$K,H128,'[1]Grade Project'!$F:$F,$A$5,'[1]Grade Project'!$G:$G,$A$8),"")</f>
        <v/>
      </c>
      <c r="K128" t="str">
        <f>IFERROR(AVERAGEIFS('[1]Grade Project'!$O:$O,'[1]Grade Project'!$K:$K,H128,'[1]Grade Project'!$F:$F,$A$5,'[1]Grade Project'!$G:$G,$A$8),"")</f>
        <v/>
      </c>
      <c r="L128" t="str">
        <f t="shared" si="4"/>
        <v/>
      </c>
      <c r="M128" t="str">
        <f t="shared" si="5"/>
        <v/>
      </c>
      <c r="N128" t="str">
        <f t="shared" si="6"/>
        <v/>
      </c>
    </row>
    <row r="129" spans="8:14" x14ac:dyDescent="0.25">
      <c r="H129" t="str">
        <f>IF(I128=0,"",INDEX('[1]Grade Project'!$K:$K,MATCH(CONCATENATE($A$5,$A$8),'[1]Grade Project'!$H:$H,0)+SUM($I$3:I128)))</f>
        <v/>
      </c>
      <c r="I129">
        <f>COUNTIFS('[1]Grade Project'!$G:$G,$A$8,'[1]Grade Project'!$K:$K,H129,'[1]Grade Project'!$F:$F,$A$5)</f>
        <v>0</v>
      </c>
      <c r="J129" t="str">
        <f>IFERROR(AVERAGEIFS('[1]Grade Project'!$N:$N,'[1]Grade Project'!$K:$K,H129,'[1]Grade Project'!$F:$F,$A$5,'[1]Grade Project'!$G:$G,$A$8),"")</f>
        <v/>
      </c>
      <c r="K129" t="str">
        <f>IFERROR(AVERAGEIFS('[1]Grade Project'!$O:$O,'[1]Grade Project'!$K:$K,H129,'[1]Grade Project'!$F:$F,$A$5,'[1]Grade Project'!$G:$G,$A$8),"")</f>
        <v/>
      </c>
      <c r="L129" t="str">
        <f t="shared" si="4"/>
        <v/>
      </c>
      <c r="M129" t="str">
        <f t="shared" si="5"/>
        <v/>
      </c>
      <c r="N129" t="str">
        <f t="shared" si="6"/>
        <v/>
      </c>
    </row>
    <row r="130" spans="8:14" x14ac:dyDescent="0.25">
      <c r="H130" t="str">
        <f>IF(I129=0,"",INDEX('[1]Grade Project'!$K:$K,MATCH(CONCATENATE($A$5,$A$8),'[1]Grade Project'!$H:$H,0)+SUM($I$3:I129)))</f>
        <v/>
      </c>
      <c r="I130">
        <f>COUNTIFS('[1]Grade Project'!$G:$G,$A$8,'[1]Grade Project'!$K:$K,H130,'[1]Grade Project'!$F:$F,$A$5)</f>
        <v>0</v>
      </c>
      <c r="J130" t="str">
        <f>IFERROR(AVERAGEIFS('[1]Grade Project'!$N:$N,'[1]Grade Project'!$K:$K,H130,'[1]Grade Project'!$F:$F,$A$5,'[1]Grade Project'!$G:$G,$A$8),"")</f>
        <v/>
      </c>
      <c r="K130" t="str">
        <f>IFERROR(AVERAGEIFS('[1]Grade Project'!$O:$O,'[1]Grade Project'!$K:$K,H130,'[1]Grade Project'!$F:$F,$A$5,'[1]Grade Project'!$G:$G,$A$8),"")</f>
        <v/>
      </c>
      <c r="L130" t="str">
        <f t="shared" si="4"/>
        <v/>
      </c>
      <c r="M130" t="str">
        <f t="shared" si="5"/>
        <v/>
      </c>
      <c r="N130" t="str">
        <f t="shared" si="6"/>
        <v/>
      </c>
    </row>
    <row r="131" spans="8:14" x14ac:dyDescent="0.25">
      <c r="H131" t="str">
        <f>IF(I130=0,"",INDEX('[1]Grade Project'!$K:$K,MATCH(CONCATENATE($A$5,$A$8),'[1]Grade Project'!$H:$H,0)+SUM($I$3:I130)))</f>
        <v/>
      </c>
      <c r="I131">
        <f>COUNTIFS('[1]Grade Project'!$G:$G,$A$8,'[1]Grade Project'!$K:$K,H131,'[1]Grade Project'!$F:$F,$A$5)</f>
        <v>0</v>
      </c>
      <c r="J131" t="str">
        <f>IFERROR(AVERAGEIFS('[1]Grade Project'!$N:$N,'[1]Grade Project'!$K:$K,H131,'[1]Grade Project'!$F:$F,$A$5,'[1]Grade Project'!$G:$G,$A$8),"")</f>
        <v/>
      </c>
      <c r="K131" t="str">
        <f>IFERROR(AVERAGEIFS('[1]Grade Project'!$O:$O,'[1]Grade Project'!$K:$K,H131,'[1]Grade Project'!$F:$F,$A$5,'[1]Grade Project'!$G:$G,$A$8),"")</f>
        <v/>
      </c>
      <c r="L131" t="str">
        <f t="shared" si="4"/>
        <v/>
      </c>
      <c r="M131" t="str">
        <f t="shared" si="5"/>
        <v/>
      </c>
      <c r="N131" t="str">
        <f t="shared" si="6"/>
        <v/>
      </c>
    </row>
    <row r="132" spans="8:14" x14ac:dyDescent="0.25">
      <c r="H132" t="str">
        <f>IF(I131=0,"",INDEX('[1]Grade Project'!$K:$K,MATCH(CONCATENATE($A$5,$A$8),'[1]Grade Project'!$H:$H,0)+SUM($I$3:I131)))</f>
        <v/>
      </c>
      <c r="I132">
        <f>COUNTIFS('[1]Grade Project'!$G:$G,$A$8,'[1]Grade Project'!$K:$K,H132,'[1]Grade Project'!$F:$F,$A$5)</f>
        <v>0</v>
      </c>
      <c r="J132" t="str">
        <f>IFERROR(AVERAGEIFS('[1]Grade Project'!$N:$N,'[1]Grade Project'!$K:$K,H132,'[1]Grade Project'!$F:$F,$A$5,'[1]Grade Project'!$G:$G,$A$8),"")</f>
        <v/>
      </c>
      <c r="K132" t="str">
        <f>IFERROR(AVERAGEIFS('[1]Grade Project'!$O:$O,'[1]Grade Project'!$K:$K,H132,'[1]Grade Project'!$F:$F,$A$5,'[1]Grade Project'!$G:$G,$A$8),"")</f>
        <v/>
      </c>
      <c r="L132" t="str">
        <f t="shared" ref="L132:L146" si="7">IFERROR(K132/J132,"")</f>
        <v/>
      </c>
      <c r="M132" t="str">
        <f t="shared" ref="M132:M146" si="8">IFERROR(_xlfn.RANK.EQ(L132,L:L),"")</f>
        <v/>
      </c>
      <c r="N132" t="str">
        <f t="shared" ref="N132:N146" si="9">IFERROR(MAX(M:M)-M132+1,"")</f>
        <v/>
      </c>
    </row>
    <row r="133" spans="8:14" x14ac:dyDescent="0.25">
      <c r="H133" t="str">
        <f>IF(I132=0,"",INDEX('[1]Grade Project'!$K:$K,MATCH(CONCATENATE($A$5,$A$8),'[1]Grade Project'!$H:$H,0)+SUM($I$3:I132)))</f>
        <v/>
      </c>
      <c r="I133">
        <f>COUNTIFS('[1]Grade Project'!$G:$G,$A$8,'[1]Grade Project'!$K:$K,H133,'[1]Grade Project'!$F:$F,$A$5)</f>
        <v>0</v>
      </c>
      <c r="J133" t="str">
        <f>IFERROR(AVERAGEIFS('[1]Grade Project'!$N:$N,'[1]Grade Project'!$K:$K,H133,'[1]Grade Project'!$F:$F,$A$5,'[1]Grade Project'!$G:$G,$A$8),"")</f>
        <v/>
      </c>
      <c r="K133" t="str">
        <f>IFERROR(AVERAGEIFS('[1]Grade Project'!$O:$O,'[1]Grade Project'!$K:$K,H133,'[1]Grade Project'!$F:$F,$A$5,'[1]Grade Project'!$G:$G,$A$8),"")</f>
        <v/>
      </c>
      <c r="L133" t="str">
        <f t="shared" si="7"/>
        <v/>
      </c>
      <c r="M133" t="str">
        <f t="shared" si="8"/>
        <v/>
      </c>
      <c r="N133" t="str">
        <f t="shared" si="9"/>
        <v/>
      </c>
    </row>
    <row r="134" spans="8:14" x14ac:dyDescent="0.25">
      <c r="H134" t="str">
        <f>IF(I133=0,"",INDEX('[1]Grade Project'!$K:$K,MATCH(CONCATENATE($A$5,$A$8),'[1]Grade Project'!$H:$H,0)+SUM($I$3:I133)))</f>
        <v/>
      </c>
      <c r="I134">
        <f>COUNTIFS('[1]Grade Project'!$G:$G,$A$8,'[1]Grade Project'!$K:$K,H134,'[1]Grade Project'!$F:$F,$A$5)</f>
        <v>0</v>
      </c>
      <c r="J134" t="str">
        <f>IFERROR(AVERAGEIFS('[1]Grade Project'!$N:$N,'[1]Grade Project'!$K:$K,H134,'[1]Grade Project'!$F:$F,$A$5,'[1]Grade Project'!$G:$G,$A$8),"")</f>
        <v/>
      </c>
      <c r="K134" t="str">
        <f>IFERROR(AVERAGEIFS('[1]Grade Project'!$O:$O,'[1]Grade Project'!$K:$K,H134,'[1]Grade Project'!$F:$F,$A$5,'[1]Grade Project'!$G:$G,$A$8),"")</f>
        <v/>
      </c>
      <c r="L134" t="str">
        <f t="shared" si="7"/>
        <v/>
      </c>
      <c r="M134" t="str">
        <f t="shared" si="8"/>
        <v/>
      </c>
      <c r="N134" t="str">
        <f t="shared" si="9"/>
        <v/>
      </c>
    </row>
    <row r="135" spans="8:14" x14ac:dyDescent="0.25">
      <c r="H135" t="str">
        <f>IF(I134=0,"",INDEX('[1]Grade Project'!$K:$K,MATCH(CONCATENATE($A$5,$A$8),'[1]Grade Project'!$H:$H,0)+SUM($I$3:I134)))</f>
        <v/>
      </c>
      <c r="I135">
        <f>COUNTIFS('[1]Grade Project'!$G:$G,$A$8,'[1]Grade Project'!$K:$K,H135,'[1]Grade Project'!$F:$F,$A$5)</f>
        <v>0</v>
      </c>
      <c r="J135" t="str">
        <f>IFERROR(AVERAGEIFS('[1]Grade Project'!$N:$N,'[1]Grade Project'!$K:$K,H135,'[1]Grade Project'!$F:$F,$A$5,'[1]Grade Project'!$G:$G,$A$8),"")</f>
        <v/>
      </c>
      <c r="K135" t="str">
        <f>IFERROR(AVERAGEIFS('[1]Grade Project'!$O:$O,'[1]Grade Project'!$K:$K,H135,'[1]Grade Project'!$F:$F,$A$5,'[1]Grade Project'!$G:$G,$A$8),"")</f>
        <v/>
      </c>
      <c r="L135" t="str">
        <f t="shared" si="7"/>
        <v/>
      </c>
      <c r="M135" t="str">
        <f t="shared" si="8"/>
        <v/>
      </c>
      <c r="N135" t="str">
        <f t="shared" si="9"/>
        <v/>
      </c>
    </row>
    <row r="136" spans="8:14" x14ac:dyDescent="0.25">
      <c r="H136" t="str">
        <f>IF(I135=0,"",INDEX('[1]Grade Project'!$K:$K,MATCH(CONCATENATE($A$5,$A$8),'[1]Grade Project'!$H:$H,0)+SUM($I$3:I135)))</f>
        <v/>
      </c>
      <c r="I136">
        <f>COUNTIFS('[1]Grade Project'!$G:$G,$A$8,'[1]Grade Project'!$K:$K,H136,'[1]Grade Project'!$F:$F,$A$5)</f>
        <v>0</v>
      </c>
      <c r="J136" t="str">
        <f>IFERROR(AVERAGEIFS('[1]Grade Project'!$N:$N,'[1]Grade Project'!$K:$K,H136,'[1]Grade Project'!$F:$F,$A$5,'[1]Grade Project'!$G:$G,$A$8),"")</f>
        <v/>
      </c>
      <c r="K136" t="str">
        <f>IFERROR(AVERAGEIFS('[1]Grade Project'!$O:$O,'[1]Grade Project'!$K:$K,H136,'[1]Grade Project'!$F:$F,$A$5,'[1]Grade Project'!$G:$G,$A$8),"")</f>
        <v/>
      </c>
      <c r="L136" t="str">
        <f t="shared" si="7"/>
        <v/>
      </c>
      <c r="M136" t="str">
        <f t="shared" si="8"/>
        <v/>
      </c>
      <c r="N136" t="str">
        <f t="shared" si="9"/>
        <v/>
      </c>
    </row>
    <row r="137" spans="8:14" x14ac:dyDescent="0.25">
      <c r="H137" t="str">
        <f>IF(I136=0,"",INDEX('[1]Grade Project'!$K:$K,MATCH(CONCATENATE($A$5,$A$8),'[1]Grade Project'!$H:$H,0)+SUM($I$3:I136)))</f>
        <v/>
      </c>
      <c r="I137">
        <f>COUNTIFS('[1]Grade Project'!$G:$G,$A$8,'[1]Grade Project'!$K:$K,H137,'[1]Grade Project'!$F:$F,$A$5)</f>
        <v>0</v>
      </c>
      <c r="J137" t="str">
        <f>IFERROR(AVERAGEIFS('[1]Grade Project'!$N:$N,'[1]Grade Project'!$K:$K,H137,'[1]Grade Project'!$F:$F,$A$5,'[1]Grade Project'!$G:$G,$A$8),"")</f>
        <v/>
      </c>
      <c r="K137" t="str">
        <f>IFERROR(AVERAGEIFS('[1]Grade Project'!$O:$O,'[1]Grade Project'!$K:$K,H137,'[1]Grade Project'!$F:$F,$A$5,'[1]Grade Project'!$G:$G,$A$8),"")</f>
        <v/>
      </c>
      <c r="L137" t="str">
        <f t="shared" si="7"/>
        <v/>
      </c>
      <c r="M137" t="str">
        <f t="shared" si="8"/>
        <v/>
      </c>
      <c r="N137" t="str">
        <f t="shared" si="9"/>
        <v/>
      </c>
    </row>
    <row r="138" spans="8:14" x14ac:dyDescent="0.25">
      <c r="H138" t="str">
        <f>IF(I137=0,"",INDEX('[1]Grade Project'!$K:$K,MATCH(CONCATENATE($A$5,$A$8),'[1]Grade Project'!$H:$H,0)+SUM($I$3:I137)))</f>
        <v/>
      </c>
      <c r="I138">
        <f>COUNTIFS('[1]Grade Project'!$G:$G,$A$8,'[1]Grade Project'!$K:$K,H138,'[1]Grade Project'!$F:$F,$A$5)</f>
        <v>0</v>
      </c>
      <c r="J138" t="str">
        <f>IFERROR(AVERAGEIFS('[1]Grade Project'!$N:$N,'[1]Grade Project'!$K:$K,H138,'[1]Grade Project'!$F:$F,$A$5,'[1]Grade Project'!$G:$G,$A$8),"")</f>
        <v/>
      </c>
      <c r="K138" t="str">
        <f>IFERROR(AVERAGEIFS('[1]Grade Project'!$O:$O,'[1]Grade Project'!$K:$K,H138,'[1]Grade Project'!$F:$F,$A$5,'[1]Grade Project'!$G:$G,$A$8),"")</f>
        <v/>
      </c>
      <c r="L138" t="str">
        <f t="shared" si="7"/>
        <v/>
      </c>
      <c r="M138" t="str">
        <f t="shared" si="8"/>
        <v/>
      </c>
      <c r="N138" t="str">
        <f t="shared" si="9"/>
        <v/>
      </c>
    </row>
    <row r="139" spans="8:14" x14ac:dyDescent="0.25">
      <c r="H139" t="str">
        <f>IF(I138=0,"",INDEX('[1]Grade Project'!$K:$K,MATCH(CONCATENATE($A$5,$A$8),'[1]Grade Project'!$H:$H,0)+SUM($I$3:I138)))</f>
        <v/>
      </c>
      <c r="I139">
        <f>COUNTIFS('[1]Grade Project'!$G:$G,$A$8,'[1]Grade Project'!$K:$K,H139,'[1]Grade Project'!$F:$F,$A$5)</f>
        <v>0</v>
      </c>
      <c r="J139" t="str">
        <f>IFERROR(AVERAGEIFS('[1]Grade Project'!$N:$N,'[1]Grade Project'!$K:$K,H139,'[1]Grade Project'!$F:$F,$A$5,'[1]Grade Project'!$G:$G,$A$8),"")</f>
        <v/>
      </c>
      <c r="K139" t="str">
        <f>IFERROR(AVERAGEIFS('[1]Grade Project'!$O:$O,'[1]Grade Project'!$K:$K,H139,'[1]Grade Project'!$F:$F,$A$5,'[1]Grade Project'!$G:$G,$A$8),"")</f>
        <v/>
      </c>
      <c r="L139" t="str">
        <f t="shared" si="7"/>
        <v/>
      </c>
      <c r="M139" t="str">
        <f t="shared" si="8"/>
        <v/>
      </c>
      <c r="N139" t="str">
        <f t="shared" si="9"/>
        <v/>
      </c>
    </row>
    <row r="140" spans="8:14" x14ac:dyDescent="0.25">
      <c r="H140" t="str">
        <f>IF(I139=0,"",INDEX('[1]Grade Project'!$K:$K,MATCH(CONCATENATE($A$5,$A$8),'[1]Grade Project'!$H:$H,0)+SUM($I$3:I139)))</f>
        <v/>
      </c>
      <c r="I140">
        <f>COUNTIFS('[1]Grade Project'!$G:$G,$A$8,'[1]Grade Project'!$K:$K,H140,'[1]Grade Project'!$F:$F,$A$5)</f>
        <v>0</v>
      </c>
      <c r="J140" t="str">
        <f>IFERROR(AVERAGEIFS('[1]Grade Project'!$N:$N,'[1]Grade Project'!$K:$K,H140,'[1]Grade Project'!$F:$F,$A$5,'[1]Grade Project'!$G:$G,$A$8),"")</f>
        <v/>
      </c>
      <c r="K140" t="str">
        <f>IFERROR(AVERAGEIFS('[1]Grade Project'!$O:$O,'[1]Grade Project'!$K:$K,H140,'[1]Grade Project'!$F:$F,$A$5,'[1]Grade Project'!$G:$G,$A$8),"")</f>
        <v/>
      </c>
      <c r="L140" t="str">
        <f t="shared" si="7"/>
        <v/>
      </c>
      <c r="M140" t="str">
        <f t="shared" si="8"/>
        <v/>
      </c>
      <c r="N140" t="str">
        <f t="shared" si="9"/>
        <v/>
      </c>
    </row>
    <row r="141" spans="8:14" x14ac:dyDescent="0.25">
      <c r="H141" t="str">
        <f>IF(I140=0,"",INDEX('[1]Grade Project'!$K:$K,MATCH(CONCATENATE($A$5,$A$8),'[1]Grade Project'!$H:$H,0)+SUM($I$3:I140)))</f>
        <v/>
      </c>
      <c r="I141">
        <f>COUNTIFS('[1]Grade Project'!$G:$G,$A$8,'[1]Grade Project'!$K:$K,H141,'[1]Grade Project'!$F:$F,$A$5)</f>
        <v>0</v>
      </c>
      <c r="J141" t="str">
        <f>IFERROR(AVERAGEIFS('[1]Grade Project'!$N:$N,'[1]Grade Project'!$K:$K,H141,'[1]Grade Project'!$F:$F,$A$5,'[1]Grade Project'!$G:$G,$A$8),"")</f>
        <v/>
      </c>
      <c r="K141" t="str">
        <f>IFERROR(AVERAGEIFS('[1]Grade Project'!$O:$O,'[1]Grade Project'!$K:$K,H141,'[1]Grade Project'!$F:$F,$A$5,'[1]Grade Project'!$G:$G,$A$8),"")</f>
        <v/>
      </c>
      <c r="L141" t="str">
        <f t="shared" si="7"/>
        <v/>
      </c>
      <c r="M141" t="str">
        <f t="shared" si="8"/>
        <v/>
      </c>
      <c r="N141" t="str">
        <f t="shared" si="9"/>
        <v/>
      </c>
    </row>
    <row r="142" spans="8:14" x14ac:dyDescent="0.25">
      <c r="H142" t="str">
        <f>IF(I141=0,"",INDEX('[1]Grade Project'!$K:$K,MATCH(CONCATENATE($A$5,$A$8),'[1]Grade Project'!$H:$H,0)+SUM($I$3:I141)))</f>
        <v/>
      </c>
      <c r="I142">
        <f>COUNTIFS('[1]Grade Project'!$G:$G,$A$8,'[1]Grade Project'!$K:$K,H142,'[1]Grade Project'!$F:$F,$A$5)</f>
        <v>0</v>
      </c>
      <c r="J142" t="str">
        <f>IFERROR(AVERAGEIFS('[1]Grade Project'!$N:$N,'[1]Grade Project'!$K:$K,H142,'[1]Grade Project'!$F:$F,$A$5,'[1]Grade Project'!$G:$G,$A$8),"")</f>
        <v/>
      </c>
      <c r="K142" t="str">
        <f>IFERROR(AVERAGEIFS('[1]Grade Project'!$O:$O,'[1]Grade Project'!$K:$K,H142,'[1]Grade Project'!$F:$F,$A$5,'[1]Grade Project'!$G:$G,$A$8),"")</f>
        <v/>
      </c>
      <c r="L142" t="str">
        <f t="shared" si="7"/>
        <v/>
      </c>
      <c r="M142" t="str">
        <f t="shared" si="8"/>
        <v/>
      </c>
      <c r="N142" t="str">
        <f t="shared" si="9"/>
        <v/>
      </c>
    </row>
    <row r="143" spans="8:14" x14ac:dyDescent="0.25">
      <c r="H143" t="str">
        <f>IF(I142=0,"",INDEX('[1]Grade Project'!$K:$K,MATCH(CONCATENATE($A$5,$A$8),'[1]Grade Project'!$H:$H,0)+SUM($I$3:I142)))</f>
        <v/>
      </c>
      <c r="I143">
        <f>COUNTIFS('[1]Grade Project'!$G:$G,$A$8,'[1]Grade Project'!$K:$K,H143,'[1]Grade Project'!$F:$F,$A$5)</f>
        <v>0</v>
      </c>
      <c r="J143" t="str">
        <f>IFERROR(AVERAGEIFS('[1]Grade Project'!$N:$N,'[1]Grade Project'!$K:$K,H143,'[1]Grade Project'!$F:$F,$A$5,'[1]Grade Project'!$G:$G,$A$8),"")</f>
        <v/>
      </c>
      <c r="K143" t="str">
        <f>IFERROR(AVERAGEIFS('[1]Grade Project'!$O:$O,'[1]Grade Project'!$K:$K,H143,'[1]Grade Project'!$F:$F,$A$5,'[1]Grade Project'!$G:$G,$A$8),"")</f>
        <v/>
      </c>
      <c r="L143" t="str">
        <f t="shared" si="7"/>
        <v/>
      </c>
      <c r="M143" t="str">
        <f t="shared" si="8"/>
        <v/>
      </c>
      <c r="N143" t="str">
        <f t="shared" si="9"/>
        <v/>
      </c>
    </row>
    <row r="144" spans="8:14" x14ac:dyDescent="0.25">
      <c r="H144" t="str">
        <f>IF(I143=0,"",INDEX('[1]Grade Project'!$K:$K,MATCH(CONCATENATE($A$5,$A$8),'[1]Grade Project'!$H:$H,0)+SUM($I$3:I143)))</f>
        <v/>
      </c>
      <c r="I144">
        <f>COUNTIFS('[1]Grade Project'!$G:$G,$A$8,'[1]Grade Project'!$K:$K,H144,'[1]Grade Project'!$F:$F,$A$5)</f>
        <v>0</v>
      </c>
      <c r="J144" t="str">
        <f>IFERROR(AVERAGEIFS('[1]Grade Project'!$N:$N,'[1]Grade Project'!$K:$K,H144,'[1]Grade Project'!$F:$F,$A$5,'[1]Grade Project'!$G:$G,$A$8),"")</f>
        <v/>
      </c>
      <c r="K144" t="str">
        <f>IFERROR(AVERAGEIFS('[1]Grade Project'!$O:$O,'[1]Grade Project'!$K:$K,H144,'[1]Grade Project'!$F:$F,$A$5,'[1]Grade Project'!$G:$G,$A$8),"")</f>
        <v/>
      </c>
      <c r="L144" t="str">
        <f t="shared" si="7"/>
        <v/>
      </c>
      <c r="M144" t="str">
        <f t="shared" si="8"/>
        <v/>
      </c>
      <c r="N144" t="str">
        <f t="shared" si="9"/>
        <v/>
      </c>
    </row>
    <row r="145" spans="8:14" x14ac:dyDescent="0.25">
      <c r="H145" t="str">
        <f>IF(I144=0,"",INDEX('[1]Grade Project'!$K:$K,MATCH(CONCATENATE($A$5,$A$8),'[1]Grade Project'!$H:$H,0)+SUM($I$3:I144)))</f>
        <v/>
      </c>
      <c r="I145">
        <f>COUNTIFS('[1]Grade Project'!$G:$G,$A$8,'[1]Grade Project'!$K:$K,H145,'[1]Grade Project'!$F:$F,$A$5)</f>
        <v>0</v>
      </c>
      <c r="J145" t="str">
        <f>IFERROR(AVERAGEIFS('[1]Grade Project'!$N:$N,'[1]Grade Project'!$K:$K,H145,'[1]Grade Project'!$F:$F,$A$5,'[1]Grade Project'!$G:$G,$A$8),"")</f>
        <v/>
      </c>
      <c r="K145" t="str">
        <f>IFERROR(AVERAGEIFS('[1]Grade Project'!$O:$O,'[1]Grade Project'!$K:$K,H145,'[1]Grade Project'!$F:$F,$A$5,'[1]Grade Project'!$G:$G,$A$8),"")</f>
        <v/>
      </c>
      <c r="L145" t="str">
        <f t="shared" si="7"/>
        <v/>
      </c>
      <c r="M145" t="str">
        <f t="shared" si="8"/>
        <v/>
      </c>
      <c r="N145" t="str">
        <f t="shared" si="9"/>
        <v/>
      </c>
    </row>
    <row r="146" spans="8:14" x14ac:dyDescent="0.25">
      <c r="H146" t="str">
        <f>IF(I145=0,"",INDEX('[1]Grade Project'!$K:$K,MATCH(CONCATENATE($A$5,$A$8),'[1]Grade Project'!$H:$H,0)+SUM($I$3:I145)))</f>
        <v/>
      </c>
      <c r="I146">
        <f>COUNTIFS('[1]Grade Project'!$G:$G,$A$8,'[1]Grade Project'!$K:$K,H146,'[1]Grade Project'!$F:$F,$A$5)</f>
        <v>0</v>
      </c>
      <c r="J146" t="str">
        <f>IFERROR(AVERAGEIFS('[1]Grade Project'!$N:$N,'[1]Grade Project'!$K:$K,H146,'[1]Grade Project'!$F:$F,$A$5,'[1]Grade Project'!$G:$G,$A$8),"")</f>
        <v/>
      </c>
      <c r="K146" t="str">
        <f>IFERROR(AVERAGEIFS('[1]Grade Project'!$O:$O,'[1]Grade Project'!$K:$K,H146,'[1]Grade Project'!$F:$F,$A$5,'[1]Grade Project'!$G:$G,$A$8),"")</f>
        <v/>
      </c>
      <c r="L146" t="str">
        <f t="shared" si="7"/>
        <v/>
      </c>
      <c r="M146" t="str">
        <f t="shared" si="8"/>
        <v/>
      </c>
      <c r="N146" t="str">
        <f t="shared" si="9"/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46"/>
  <sheetViews>
    <sheetView topLeftCell="A2" workbookViewId="0">
      <selection activeCell="C15" sqref="C15"/>
    </sheetView>
  </sheetViews>
  <sheetFormatPr defaultRowHeight="15" x14ac:dyDescent="0.25"/>
  <cols>
    <col min="1" max="2" width="12.5703125" bestFit="1" customWidth="1"/>
    <col min="5" max="5" width="13.42578125" bestFit="1" customWidth="1"/>
    <col min="8" max="8" width="22.140625" bestFit="1" customWidth="1"/>
    <col min="10" max="10" width="12.140625" bestFit="1" customWidth="1"/>
    <col min="11" max="11" width="13.140625" bestFit="1" customWidth="1"/>
    <col min="14" max="14" width="13.85546875" bestFit="1" customWidth="1"/>
  </cols>
  <sheetData>
    <row r="1" spans="1:15" x14ac:dyDescent="0.25">
      <c r="B1" t="s">
        <v>100</v>
      </c>
      <c r="C1" t="s">
        <v>103</v>
      </c>
      <c r="D1" t="s">
        <v>104</v>
      </c>
      <c r="E1" t="s">
        <v>107</v>
      </c>
      <c r="F1" t="s">
        <v>105</v>
      </c>
      <c r="G1" t="s">
        <v>106</v>
      </c>
      <c r="H1" t="s">
        <v>108</v>
      </c>
      <c r="I1" t="s">
        <v>109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</row>
    <row r="2" spans="1:15" x14ac:dyDescent="0.25">
      <c r="A2" t="s">
        <v>101</v>
      </c>
      <c r="E2" s="1"/>
    </row>
    <row r="3" spans="1:15" x14ac:dyDescent="0.25">
      <c r="A3">
        <f>Schedule!B11</f>
        <v>0</v>
      </c>
      <c r="B3" t="s">
        <v>3</v>
      </c>
      <c r="C3" t="e">
        <f>INDEX('[1]Grade Project'!$F:$F,MATCH($A$3,'[1]Grade Project'!$E:$E,0))</f>
        <v>#N/A</v>
      </c>
      <c r="D3">
        <f>COUNTIFS('[1]Grade Project'!$E:$E,$A$3,'[1]Grade Project'!$F:$F,C3)</f>
        <v>0</v>
      </c>
      <c r="E3" t="str">
        <f>IFERROR(RIGHT(C3,LEN(C3)-FIND("-",C3)),"")</f>
        <v/>
      </c>
      <c r="F3" t="e">
        <f>INDEX('[1]Grade Project'!$G:$G,MATCH($A$5,'[1]Grade Project'!$F:$F,0))</f>
        <v>#N/A</v>
      </c>
      <c r="G3">
        <f>COUNTIFS('[1]Grade Project'!$F:$F,$A$5,'[1]Grade Project'!$G:$G,F3)</f>
        <v>0</v>
      </c>
      <c r="H3" t="e">
        <f>INDEX('[1]Grade Project'!$K:$K,MATCH(CONCATENATE(A5,A8),'[1]Grade Project'!$H:$H,0))</f>
        <v>#N/A</v>
      </c>
      <c r="I3">
        <f>COUNTIFS('[1]Grade Project'!$G:$G,$A$8,'[1]Grade Project'!$K:$K,H3,'[1]Grade Project'!$F:$F,$A$5)</f>
        <v>0</v>
      </c>
      <c r="J3" t="str">
        <f>IFERROR(AVERAGEIFS('[1]Grade Project'!$N:$N,'[1]Grade Project'!$K:$K,H3,'[1]Grade Project'!$F:$F,$A$5,'[1]Grade Project'!$G:$G,$A$8),"")</f>
        <v/>
      </c>
      <c r="K3" t="str">
        <f>IFERROR(AVERAGEIFS('[1]Grade Project'!$O:$O,'[1]Grade Project'!$K:$K,H3,'[1]Grade Project'!$F:$F,$A$5,'[1]Grade Project'!$G:$G,$A$8),"")</f>
        <v/>
      </c>
      <c r="L3" t="str">
        <f>IFERROR(K3/J3,"")</f>
        <v/>
      </c>
      <c r="M3" t="str">
        <f>IFERROR(_xlfn.RANK.EQ(L3,L:L),"")</f>
        <v/>
      </c>
      <c r="N3" t="str">
        <f>IFERROR(MAX(M:M)-M3+1,"")</f>
        <v/>
      </c>
      <c r="O3">
        <f>COUNT(N:N)</f>
        <v>0</v>
      </c>
    </row>
    <row r="4" spans="1:15" x14ac:dyDescent="0.25">
      <c r="A4" t="s">
        <v>102</v>
      </c>
      <c r="B4" t="s">
        <v>4</v>
      </c>
      <c r="C4" t="e">
        <f>IF(C3="","",IF(C3=INDEX('[1]Grade Project'!$F:$F,MATCH($A$3,'[1]Grade Project'!$E:$E,0)+SUM($D$3:D3)),"",INDEX('[1]Grade Project'!$F:$F,MATCH($A$3,'[1]Grade Project'!$E:$E,0)+SUM($D$3:D3))))</f>
        <v>#N/A</v>
      </c>
      <c r="D4">
        <f>COUNTIFS('[1]Grade Project'!$E:$E,$A$3,'[1]Grade Project'!$F:$F,C4)</f>
        <v>0</v>
      </c>
      <c r="E4" t="str">
        <f t="shared" ref="E4:E36" si="0">IFERROR(RIGHT(C4,LEN(C4)-FIND("-",C4)),"")</f>
        <v/>
      </c>
      <c r="F4" t="str">
        <f>IF(G3=0,"",INDEX('[1]Grade Project'!$G:$G,MATCH($A$5,'[1]Grade Project'!$F:$F,0)+SUM($G$3:G3)))</f>
        <v/>
      </c>
      <c r="G4">
        <f>COUNTIFS('[1]Grade Project'!$F:$F,$A$5,'[1]Grade Project'!$G:$G,F4)</f>
        <v>0</v>
      </c>
      <c r="H4" t="str">
        <f>IF(I3=0,"",INDEX('[1]Grade Project'!$K:$K,MATCH(CONCATENATE($A$5,$A$8),'[1]Grade Project'!$H:$H,0)+SUM($I$3:I3)))</f>
        <v/>
      </c>
      <c r="I4">
        <f>COUNTIFS('[1]Grade Project'!$G:$G,$A$8,'[1]Grade Project'!$K:$K,H4,'[1]Grade Project'!$F:$F,$A$5)</f>
        <v>0</v>
      </c>
      <c r="J4" t="str">
        <f>IFERROR(AVERAGEIFS('[1]Grade Project'!$N:$N,'[1]Grade Project'!$K:$K,H4,'[1]Grade Project'!$F:$F,$A$5,'[1]Grade Project'!$G:$G,$A$8),"")</f>
        <v/>
      </c>
      <c r="K4" t="str">
        <f>IFERROR(AVERAGEIFS('[1]Grade Project'!$O:$O,'[1]Grade Project'!$K:$K,H4,'[1]Grade Project'!$F:$F,$A$5,'[1]Grade Project'!$G:$G,$A$8),"")</f>
        <v/>
      </c>
      <c r="L4" t="str">
        <f t="shared" ref="L4:L67" si="1">IFERROR(K4/J4,"")</f>
        <v/>
      </c>
      <c r="M4" t="str">
        <f t="shared" ref="M4:M67" si="2">IFERROR(_xlfn.RANK.EQ(L4,L:L),"")</f>
        <v/>
      </c>
      <c r="N4" t="str">
        <f t="shared" ref="N4:N67" si="3">IFERROR(MAX(M:M)-M4+1,"")</f>
        <v/>
      </c>
    </row>
    <row r="5" spans="1:15" x14ac:dyDescent="0.25">
      <c r="A5" t="e">
        <f>INDEX(C:C,MATCH(A6,E:E,0))</f>
        <v>#N/A</v>
      </c>
      <c r="B5" t="s">
        <v>5</v>
      </c>
      <c r="C5" t="e">
        <f>IF(C4="","",IF(C4=INDEX('[1]Grade Project'!$F:$F,MATCH($A$3,'[1]Grade Project'!$E:$E,0)+SUM($D$3:D4)),"",INDEX('[1]Grade Project'!$F:$F,MATCH($A$3,'[1]Grade Project'!$E:$E,0)+SUM($D$3:D4))))</f>
        <v>#N/A</v>
      </c>
      <c r="D5">
        <f>COUNTIFS('[1]Grade Project'!$E:$E,$A$3,'[1]Grade Project'!$F:$F,C5)</f>
        <v>0</v>
      </c>
      <c r="E5" t="str">
        <f t="shared" si="0"/>
        <v/>
      </c>
      <c r="F5" t="str">
        <f>IF(G4=0,"",INDEX('[1]Grade Project'!$G:$G,MATCH($A$5,'[1]Grade Project'!$F:$F,0)+SUM($G$3:G4)))</f>
        <v/>
      </c>
      <c r="G5">
        <f>COUNTIFS('[1]Grade Project'!$F:$F,$A$5,'[1]Grade Project'!$G:$G,F5)</f>
        <v>0</v>
      </c>
      <c r="H5" t="str">
        <f>IF(I4=0,"",INDEX('[1]Grade Project'!$K:$K,MATCH(CONCATENATE($A$5,$A$8),'[1]Grade Project'!$H:$H,0)+SUM($I$3:I4)))</f>
        <v/>
      </c>
      <c r="I5">
        <f>COUNTIFS('[1]Grade Project'!$G:$G,$A$8,'[1]Grade Project'!$K:$K,H5,'[1]Grade Project'!$F:$F,$A$5)</f>
        <v>0</v>
      </c>
      <c r="J5" t="str">
        <f>IFERROR(AVERAGEIFS('[1]Grade Project'!$N:$N,'[1]Grade Project'!$K:$K,H5,'[1]Grade Project'!$F:$F,$A$5,'[1]Grade Project'!$G:$G,$A$8),"")</f>
        <v/>
      </c>
      <c r="K5" t="str">
        <f>IFERROR(AVERAGEIFS('[1]Grade Project'!$O:$O,'[1]Grade Project'!$K:$K,H5,'[1]Grade Project'!$F:$F,$A$5,'[1]Grade Project'!$G:$G,$A$8),"")</f>
        <v/>
      </c>
      <c r="L5" t="str">
        <f t="shared" si="1"/>
        <v/>
      </c>
      <c r="M5" t="str">
        <f t="shared" si="2"/>
        <v/>
      </c>
      <c r="N5" t="str">
        <f t="shared" si="3"/>
        <v/>
      </c>
    </row>
    <row r="6" spans="1:15" x14ac:dyDescent="0.25">
      <c r="A6">
        <f>Schedule!C11</f>
        <v>0</v>
      </c>
      <c r="B6" t="s">
        <v>6</v>
      </c>
      <c r="C6" t="e">
        <f>IF(C5="","",IF(C5=INDEX('[1]Grade Project'!$F:$F,MATCH($A$3,'[1]Grade Project'!$E:$E,0)+SUM($D$3:D5)),"",INDEX('[1]Grade Project'!$F:$F,MATCH($A$3,'[1]Grade Project'!$E:$E,0)+SUM($D$3:D5))))</f>
        <v>#N/A</v>
      </c>
      <c r="D6">
        <f>COUNTIFS('[1]Grade Project'!$E:$E,$A$3,'[1]Grade Project'!$F:$F,C6)</f>
        <v>0</v>
      </c>
      <c r="E6" t="str">
        <f t="shared" si="0"/>
        <v/>
      </c>
      <c r="F6" t="str">
        <f>IF(G5=0,"",INDEX('[1]Grade Project'!$G:$G,MATCH($A$5,'[1]Grade Project'!$F:$F,0)+SUM($G$3:G5)))</f>
        <v/>
      </c>
      <c r="G6">
        <f>COUNTIFS('[1]Grade Project'!$F:$F,$A$5,'[1]Grade Project'!$G:$G,F6)</f>
        <v>0</v>
      </c>
      <c r="H6" t="str">
        <f>IF(I5=0,"",INDEX('[1]Grade Project'!$K:$K,MATCH(CONCATENATE($A$5,$A$8),'[1]Grade Project'!$H:$H,0)+SUM($I$3:I5)))</f>
        <v/>
      </c>
      <c r="I6">
        <f>COUNTIFS('[1]Grade Project'!$G:$G,$A$8,'[1]Grade Project'!$K:$K,H6,'[1]Grade Project'!$F:$F,$A$5)</f>
        <v>0</v>
      </c>
      <c r="J6" t="str">
        <f>IFERROR(AVERAGEIFS('[1]Grade Project'!$N:$N,'[1]Grade Project'!$K:$K,H6,'[1]Grade Project'!$F:$F,$A$5,'[1]Grade Project'!$G:$G,$A$8),"")</f>
        <v/>
      </c>
      <c r="K6" t="str">
        <f>IFERROR(AVERAGEIFS('[1]Grade Project'!$O:$O,'[1]Grade Project'!$K:$K,H6,'[1]Grade Project'!$F:$F,$A$5,'[1]Grade Project'!$G:$G,$A$8),"")</f>
        <v/>
      </c>
      <c r="L6" t="str">
        <f t="shared" si="1"/>
        <v/>
      </c>
      <c r="M6" t="str">
        <f t="shared" si="2"/>
        <v/>
      </c>
      <c r="N6" t="str">
        <f t="shared" si="3"/>
        <v/>
      </c>
    </row>
    <row r="7" spans="1:15" x14ac:dyDescent="0.25">
      <c r="A7" t="s">
        <v>0</v>
      </c>
      <c r="B7" t="s">
        <v>7</v>
      </c>
      <c r="C7" t="e">
        <f>IF(C6="","",IF(C6=INDEX('[1]Grade Project'!$F:$F,MATCH($A$3,'[1]Grade Project'!$E:$E,0)+SUM($D$3:D6)),"",INDEX('[1]Grade Project'!$F:$F,MATCH($A$3,'[1]Grade Project'!$E:$E,0)+SUM($D$3:D6))))</f>
        <v>#N/A</v>
      </c>
      <c r="D7">
        <f>COUNTIFS('[1]Grade Project'!$E:$E,$A$3,'[1]Grade Project'!$F:$F,C7)</f>
        <v>0</v>
      </c>
      <c r="E7" t="str">
        <f t="shared" si="0"/>
        <v/>
      </c>
      <c r="F7" t="str">
        <f>IF(G6=0,"",INDEX('[1]Grade Project'!$G:$G,MATCH($A$5,'[1]Grade Project'!$F:$F,0)+SUM($G$3:G6)))</f>
        <v/>
      </c>
      <c r="G7">
        <f>COUNTIFS('[1]Grade Project'!$F:$F,$A$5,'[1]Grade Project'!$G:$G,F7)</f>
        <v>0</v>
      </c>
      <c r="H7" t="str">
        <f>IF(I6=0,"",INDEX('[1]Grade Project'!$K:$K,MATCH(CONCATENATE($A$5,$A$8),'[1]Grade Project'!$H:$H,0)+SUM($I$3:I6)))</f>
        <v/>
      </c>
      <c r="I7">
        <f>COUNTIFS('[1]Grade Project'!$G:$G,$A$8,'[1]Grade Project'!$K:$K,H7,'[1]Grade Project'!$F:$F,$A$5)</f>
        <v>0</v>
      </c>
      <c r="J7" t="str">
        <f>IFERROR(AVERAGEIFS('[1]Grade Project'!$N:$N,'[1]Grade Project'!$K:$K,H7,'[1]Grade Project'!$F:$F,$A$5,'[1]Grade Project'!$G:$G,$A$8),"")</f>
        <v/>
      </c>
      <c r="K7" t="str">
        <f>IFERROR(AVERAGEIFS('[1]Grade Project'!$O:$O,'[1]Grade Project'!$K:$K,H7,'[1]Grade Project'!$F:$F,$A$5,'[1]Grade Project'!$G:$G,$A$8),"")</f>
        <v/>
      </c>
      <c r="L7" t="str">
        <f t="shared" si="1"/>
        <v/>
      </c>
      <c r="M7" t="str">
        <f t="shared" si="2"/>
        <v/>
      </c>
      <c r="N7" t="str">
        <f t="shared" si="3"/>
        <v/>
      </c>
    </row>
    <row r="8" spans="1:15" x14ac:dyDescent="0.25">
      <c r="A8">
        <f>Schedule!D11</f>
        <v>0</v>
      </c>
      <c r="B8" t="s">
        <v>8</v>
      </c>
      <c r="C8" t="e">
        <f>IF(C7="","",IF(C7=INDEX('[1]Grade Project'!$F:$F,MATCH($A$3,'[1]Grade Project'!$E:$E,0)+SUM($D$3:D7)),"",INDEX('[1]Grade Project'!$F:$F,MATCH($A$3,'[1]Grade Project'!$E:$E,0)+SUM($D$3:D7))))</f>
        <v>#N/A</v>
      </c>
      <c r="D8">
        <f>COUNTIFS('[1]Grade Project'!$E:$E,$A$3,'[1]Grade Project'!$F:$F,C8)</f>
        <v>0</v>
      </c>
      <c r="E8" t="str">
        <f t="shared" si="0"/>
        <v/>
      </c>
      <c r="F8" t="str">
        <f>IF(G7=0,"",INDEX('[1]Grade Project'!$G:$G,MATCH($A$5,'[1]Grade Project'!$F:$F,0)+SUM($G$3:G7)))</f>
        <v/>
      </c>
      <c r="G8">
        <f>COUNTIFS('[1]Grade Project'!$F:$F,$A$5,'[1]Grade Project'!$G:$G,F8)</f>
        <v>0</v>
      </c>
      <c r="H8" t="str">
        <f>IF(I7=0,"",INDEX('[1]Grade Project'!$K:$K,MATCH(CONCATENATE($A$5,$A$8),'[1]Grade Project'!$H:$H,0)+SUM($I$3:I7)))</f>
        <v/>
      </c>
      <c r="I8">
        <f>COUNTIFS('[1]Grade Project'!$G:$G,$A$8,'[1]Grade Project'!$K:$K,H8,'[1]Grade Project'!$F:$F,$A$5)</f>
        <v>0</v>
      </c>
      <c r="J8" t="str">
        <f>IFERROR(AVERAGEIFS('[1]Grade Project'!$N:$N,'[1]Grade Project'!$K:$K,H8,'[1]Grade Project'!$F:$F,$A$5,'[1]Grade Project'!$G:$G,$A$8),"")</f>
        <v/>
      </c>
      <c r="K8" t="str">
        <f>IFERROR(AVERAGEIFS('[1]Grade Project'!$O:$O,'[1]Grade Project'!$K:$K,H8,'[1]Grade Project'!$F:$F,$A$5,'[1]Grade Project'!$G:$G,$A$8),"")</f>
        <v/>
      </c>
      <c r="L8" t="str">
        <f t="shared" si="1"/>
        <v/>
      </c>
      <c r="M8" t="str">
        <f t="shared" si="2"/>
        <v/>
      </c>
      <c r="N8" t="str">
        <f t="shared" si="3"/>
        <v/>
      </c>
    </row>
    <row r="9" spans="1:15" x14ac:dyDescent="0.25">
      <c r="A9" t="s">
        <v>108</v>
      </c>
      <c r="B9" t="s">
        <v>9</v>
      </c>
      <c r="C9" t="e">
        <f>IF(C8="","",IF(C8=INDEX('[1]Grade Project'!$F:$F,MATCH($A$3,'[1]Grade Project'!$E:$E,0)+SUM($D$3:D8)),"",INDEX('[1]Grade Project'!$F:$F,MATCH($A$3,'[1]Grade Project'!$E:$E,0)+SUM($D$3:D8))))</f>
        <v>#N/A</v>
      </c>
      <c r="D9">
        <f>COUNTIFS('[1]Grade Project'!$E:$E,$A$3,'[1]Grade Project'!$F:$F,C9)</f>
        <v>0</v>
      </c>
      <c r="E9" t="str">
        <f t="shared" si="0"/>
        <v/>
      </c>
      <c r="F9" t="str">
        <f>IF(G8=0,"",INDEX('[1]Grade Project'!$G:$G,MATCH($A$5,'[1]Grade Project'!$F:$F,0)+SUM($G$3:G8)))</f>
        <v/>
      </c>
      <c r="G9">
        <f>COUNTIFS('[1]Grade Project'!$F:$F,$A$5,'[1]Grade Project'!$G:$G,F9)</f>
        <v>0</v>
      </c>
      <c r="H9" t="str">
        <f>IF(I8=0,"",INDEX('[1]Grade Project'!$K:$K,MATCH(CONCATENATE($A$5,$A$8),'[1]Grade Project'!$H:$H,0)+SUM($I$3:I8)))</f>
        <v/>
      </c>
      <c r="I9">
        <f>COUNTIFS('[1]Grade Project'!$G:$G,$A$8,'[1]Grade Project'!$K:$K,H9,'[1]Grade Project'!$F:$F,$A$5)</f>
        <v>0</v>
      </c>
      <c r="J9" t="str">
        <f>IFERROR(AVERAGEIFS('[1]Grade Project'!$N:$N,'[1]Grade Project'!$K:$K,H9,'[1]Grade Project'!$F:$F,$A$5,'[1]Grade Project'!$G:$G,$A$8),"")</f>
        <v/>
      </c>
      <c r="K9" t="str">
        <f>IFERROR(AVERAGEIFS('[1]Grade Project'!$O:$O,'[1]Grade Project'!$K:$K,H9,'[1]Grade Project'!$F:$F,$A$5,'[1]Grade Project'!$G:$G,$A$8),"")</f>
        <v/>
      </c>
      <c r="L9" t="str">
        <f t="shared" si="1"/>
        <v/>
      </c>
      <c r="M9" t="str">
        <f t="shared" si="2"/>
        <v/>
      </c>
      <c r="N9" t="str">
        <f t="shared" si="3"/>
        <v/>
      </c>
    </row>
    <row r="10" spans="1:15" x14ac:dyDescent="0.25">
      <c r="A10">
        <f>Schedule!E11</f>
        <v>0</v>
      </c>
      <c r="B10" t="s">
        <v>10</v>
      </c>
      <c r="C10" t="e">
        <f>IF(C9="","",IF(C9=INDEX('[1]Grade Project'!$F:$F,MATCH($A$3,'[1]Grade Project'!$E:$E,0)+SUM($D$3:D9)),"",INDEX('[1]Grade Project'!$F:$F,MATCH($A$3,'[1]Grade Project'!$E:$E,0)+SUM($D$3:D9))))</f>
        <v>#N/A</v>
      </c>
      <c r="D10">
        <f>COUNTIFS('[1]Grade Project'!$E:$E,$A$3,'[1]Grade Project'!$F:$F,C10)</f>
        <v>0</v>
      </c>
      <c r="E10" t="str">
        <f t="shared" si="0"/>
        <v/>
      </c>
      <c r="F10" t="str">
        <f>IF(G9=0,"",INDEX('[1]Grade Project'!$G:$G,MATCH($A$5,'[1]Grade Project'!$F:$F,0)+SUM($G$3:G9)))</f>
        <v/>
      </c>
      <c r="G10">
        <f>COUNTIFS('[1]Grade Project'!$F:$F,$A$5,'[1]Grade Project'!$G:$G,F10)</f>
        <v>0</v>
      </c>
      <c r="H10" t="str">
        <f>IF(I9=0,"",INDEX('[1]Grade Project'!$K:$K,MATCH(CONCATENATE($A$5,$A$8),'[1]Grade Project'!$H:$H,0)+SUM($I$3:I9)))</f>
        <v/>
      </c>
      <c r="I10">
        <f>COUNTIFS('[1]Grade Project'!$G:$G,$A$8,'[1]Grade Project'!$K:$K,H10,'[1]Grade Project'!$F:$F,$A$5)</f>
        <v>0</v>
      </c>
      <c r="J10" t="str">
        <f>IFERROR(AVERAGEIFS('[1]Grade Project'!$N:$N,'[1]Grade Project'!$K:$K,H10,'[1]Grade Project'!$F:$F,$A$5,'[1]Grade Project'!$G:$G,$A$8),"")</f>
        <v/>
      </c>
      <c r="K10" t="str">
        <f>IFERROR(AVERAGEIFS('[1]Grade Project'!$O:$O,'[1]Grade Project'!$K:$K,H10,'[1]Grade Project'!$F:$F,$A$5,'[1]Grade Project'!$G:$G,$A$8),"")</f>
        <v/>
      </c>
      <c r="L10" t="str">
        <f t="shared" si="1"/>
        <v/>
      </c>
      <c r="M10" t="str">
        <f t="shared" si="2"/>
        <v/>
      </c>
      <c r="N10" t="str">
        <f t="shared" si="3"/>
        <v/>
      </c>
    </row>
    <row r="11" spans="1:15" x14ac:dyDescent="0.25">
      <c r="A11" t="s">
        <v>111</v>
      </c>
      <c r="B11" t="s">
        <v>11</v>
      </c>
      <c r="C11" t="e">
        <f>IF(C10="","",IF(C10=INDEX('[1]Grade Project'!$F:$F,MATCH($A$3,'[1]Grade Project'!$E:$E,0)+SUM($D$3:D10)),"",INDEX('[1]Grade Project'!$F:$F,MATCH($A$3,'[1]Grade Project'!$E:$E,0)+SUM($D$3:D10))))</f>
        <v>#N/A</v>
      </c>
      <c r="D11">
        <f>COUNTIFS('[1]Grade Project'!$E:$E,$A$3,'[1]Grade Project'!$F:$F,C11)</f>
        <v>0</v>
      </c>
      <c r="E11" t="str">
        <f t="shared" si="0"/>
        <v/>
      </c>
      <c r="F11" t="str">
        <f>IF(G10=0,"",INDEX('[1]Grade Project'!$G:$G,MATCH($A$5,'[1]Grade Project'!$F:$F,0)+SUM($G$3:G10)))</f>
        <v/>
      </c>
      <c r="G11">
        <f>COUNTIFS('[1]Grade Project'!$F:$F,$A$5,'[1]Grade Project'!$G:$G,F11)</f>
        <v>0</v>
      </c>
      <c r="H11" t="str">
        <f>IF(I10=0,"",INDEX('[1]Grade Project'!$K:$K,MATCH(CONCATENATE($A$5,$A$8),'[1]Grade Project'!$H:$H,0)+SUM($I$3:I10)))</f>
        <v/>
      </c>
      <c r="I11">
        <f>COUNTIFS('[1]Grade Project'!$G:$G,$A$8,'[1]Grade Project'!$K:$K,H11,'[1]Grade Project'!$F:$F,$A$5)</f>
        <v>0</v>
      </c>
      <c r="J11" t="str">
        <f>IFERROR(AVERAGEIFS('[1]Grade Project'!$N:$N,'[1]Grade Project'!$K:$K,H11,'[1]Grade Project'!$F:$F,$A$5,'[1]Grade Project'!$G:$G,$A$8),"")</f>
        <v/>
      </c>
      <c r="K11" t="str">
        <f>IFERROR(AVERAGEIFS('[1]Grade Project'!$O:$O,'[1]Grade Project'!$K:$K,H11,'[1]Grade Project'!$F:$F,$A$5,'[1]Grade Project'!$G:$G,$A$8),"")</f>
        <v/>
      </c>
      <c r="L11" t="str">
        <f t="shared" si="1"/>
        <v/>
      </c>
      <c r="M11" t="str">
        <f t="shared" si="2"/>
        <v/>
      </c>
      <c r="N11" t="str">
        <f t="shared" si="3"/>
        <v/>
      </c>
    </row>
    <row r="12" spans="1:15" x14ac:dyDescent="0.25">
      <c r="A12" t="e">
        <f>AVERAGEIFS('[1]Grade Project'!$N:$N,'[1]Grade Project'!$K:$K,$A$10,'[1]Grade Project'!$F:$F,A5,'[1]Grade Project'!$G:$G,$A$8)</f>
        <v>#DIV/0!</v>
      </c>
      <c r="B12" t="s">
        <v>12</v>
      </c>
      <c r="C12" t="e">
        <f>IF(C11="","",IF(C11=INDEX('[1]Grade Project'!$F:$F,MATCH($A$3,'[1]Grade Project'!$E:$E,0)+SUM($D$3:D11)),"",INDEX('[1]Grade Project'!$F:$F,MATCH($A$3,'[1]Grade Project'!$E:$E,0)+SUM($D$3:D11))))</f>
        <v>#N/A</v>
      </c>
      <c r="D12">
        <f>COUNTIFS('[1]Grade Project'!$E:$E,$A$3,'[1]Grade Project'!$F:$F,C12)</f>
        <v>0</v>
      </c>
      <c r="E12" t="str">
        <f t="shared" si="0"/>
        <v/>
      </c>
      <c r="F12" t="str">
        <f>IF(G11=0,"",INDEX('[1]Grade Project'!$G:$G,MATCH($A$5,'[1]Grade Project'!$F:$F,0)+SUM($G$3:G11)))</f>
        <v/>
      </c>
      <c r="G12">
        <f>COUNTIFS('[1]Grade Project'!$F:$F,$A$5,'[1]Grade Project'!$G:$G,F12)</f>
        <v>0</v>
      </c>
      <c r="H12" t="str">
        <f>IF(I11=0,"",INDEX('[1]Grade Project'!$K:$K,MATCH(CONCATENATE($A$5,$A$8),'[1]Grade Project'!$H:$H,0)+SUM($I$3:I11)))</f>
        <v/>
      </c>
      <c r="I12">
        <f>COUNTIFS('[1]Grade Project'!$G:$G,$A$8,'[1]Grade Project'!$K:$K,H12,'[1]Grade Project'!$F:$F,$A$5)</f>
        <v>0</v>
      </c>
      <c r="J12" t="str">
        <f>IFERROR(AVERAGEIFS('[1]Grade Project'!$N:$N,'[1]Grade Project'!$K:$K,H12,'[1]Grade Project'!$F:$F,$A$5,'[1]Grade Project'!$G:$G,$A$8),"")</f>
        <v/>
      </c>
      <c r="K12" t="str">
        <f>IFERROR(AVERAGEIFS('[1]Grade Project'!$O:$O,'[1]Grade Project'!$K:$K,H12,'[1]Grade Project'!$F:$F,$A$5,'[1]Grade Project'!$G:$G,$A$8),"")</f>
        <v/>
      </c>
      <c r="L12" t="str">
        <f t="shared" si="1"/>
        <v/>
      </c>
      <c r="M12" t="str">
        <f t="shared" si="2"/>
        <v/>
      </c>
      <c r="N12" t="str">
        <f t="shared" si="3"/>
        <v/>
      </c>
    </row>
    <row r="13" spans="1:15" x14ac:dyDescent="0.25">
      <c r="A13" t="s">
        <v>112</v>
      </c>
      <c r="B13" t="s">
        <v>13</v>
      </c>
      <c r="C13" t="e">
        <f>IF(C12="","",IF(C12=INDEX('[1]Grade Project'!$F:$F,MATCH($A$3,'[1]Grade Project'!$E:$E,0)+SUM($D$3:D12)),"",INDEX('[1]Grade Project'!$F:$F,MATCH($A$3,'[1]Grade Project'!$E:$E,0)+SUM($D$3:D12))))</f>
        <v>#N/A</v>
      </c>
      <c r="D13">
        <f>COUNTIFS('[1]Grade Project'!$E:$E,$A$3,'[1]Grade Project'!$F:$F,C13)</f>
        <v>0</v>
      </c>
      <c r="E13" t="str">
        <f t="shared" si="0"/>
        <v/>
      </c>
      <c r="F13" t="str">
        <f>IF(G12=0,"",INDEX('[1]Grade Project'!$G:$G,MATCH($A$5,'[1]Grade Project'!$F:$F,0)+SUM($G$3:G12)))</f>
        <v/>
      </c>
      <c r="G13">
        <f>COUNTIFS('[1]Grade Project'!$F:$F,$A$5,'[1]Grade Project'!$G:$G,F13)</f>
        <v>0</v>
      </c>
      <c r="H13" t="str">
        <f>IF(I12=0,"",INDEX('[1]Grade Project'!$K:$K,MATCH(CONCATENATE($A$5,$A$8),'[1]Grade Project'!$H:$H,0)+SUM($I$3:I12)))</f>
        <v/>
      </c>
      <c r="I13">
        <f>COUNTIFS('[1]Grade Project'!$G:$G,$A$8,'[1]Grade Project'!$K:$K,H13,'[1]Grade Project'!$F:$F,$A$5)</f>
        <v>0</v>
      </c>
      <c r="J13" t="str">
        <f>IFERROR(AVERAGEIFS('[1]Grade Project'!$N:$N,'[1]Grade Project'!$K:$K,H13,'[1]Grade Project'!$F:$F,$A$5,'[1]Grade Project'!$G:$G,$A$8),"")</f>
        <v/>
      </c>
      <c r="K13" t="str">
        <f>IFERROR(AVERAGEIFS('[1]Grade Project'!$O:$O,'[1]Grade Project'!$K:$K,H13,'[1]Grade Project'!$F:$F,$A$5,'[1]Grade Project'!$G:$G,$A$8),"")</f>
        <v/>
      </c>
      <c r="L13" t="str">
        <f t="shared" si="1"/>
        <v/>
      </c>
      <c r="M13" t="str">
        <f t="shared" si="2"/>
        <v/>
      </c>
      <c r="N13" t="str">
        <f t="shared" si="3"/>
        <v/>
      </c>
    </row>
    <row r="14" spans="1:15" x14ac:dyDescent="0.25">
      <c r="A14" t="e">
        <f>AVERAGEIFS('[1]Grade Project'!$O:$O,'[1]Grade Project'!$K:$K,$A$10,'[1]Grade Project'!$F:$F,A5,'[1]Grade Project'!$G:$G,$A$8)</f>
        <v>#DIV/0!</v>
      </c>
      <c r="B14" t="s">
        <v>14</v>
      </c>
      <c r="C14" t="e">
        <f>IF(C13="","",IF(C13=INDEX('[1]Grade Project'!$F:$F,MATCH($A$3,'[1]Grade Project'!$E:$E,0)+SUM($D$3:D13)),"",INDEX('[1]Grade Project'!$F:$F,MATCH($A$3,'[1]Grade Project'!$E:$E,0)+SUM($D$3:D13))))</f>
        <v>#N/A</v>
      </c>
      <c r="D14">
        <f>COUNTIFS('[1]Grade Project'!$E:$E,$A$3,'[1]Grade Project'!$F:$F,C14)</f>
        <v>0</v>
      </c>
      <c r="E14" t="str">
        <f t="shared" si="0"/>
        <v/>
      </c>
      <c r="F14" t="str">
        <f>IF(G13=0,"",INDEX('[1]Grade Project'!$G:$G,MATCH($A$5,'[1]Grade Project'!$F:$F,0)+SUM($G$3:G13)))</f>
        <v/>
      </c>
      <c r="G14">
        <f>COUNTIFS('[1]Grade Project'!$F:$F,$A$5,'[1]Grade Project'!$G:$G,F14)</f>
        <v>0</v>
      </c>
      <c r="H14" t="str">
        <f>IF(I13=0,"",INDEX('[1]Grade Project'!$K:$K,MATCH(CONCATENATE($A$5,$A$8),'[1]Grade Project'!$H:$H,0)+SUM($I$3:I13)))</f>
        <v/>
      </c>
      <c r="I14">
        <f>COUNTIFS('[1]Grade Project'!$G:$G,$A$8,'[1]Grade Project'!$K:$K,H14,'[1]Grade Project'!$F:$F,$A$5)</f>
        <v>0</v>
      </c>
      <c r="J14" t="str">
        <f>IFERROR(AVERAGEIFS('[1]Grade Project'!$N:$N,'[1]Grade Project'!$K:$K,H14,'[1]Grade Project'!$F:$F,$A$5,'[1]Grade Project'!$G:$G,$A$8),"")</f>
        <v/>
      </c>
      <c r="K14" t="str">
        <f>IFERROR(AVERAGEIFS('[1]Grade Project'!$O:$O,'[1]Grade Project'!$K:$K,H14,'[1]Grade Project'!$F:$F,$A$5,'[1]Grade Project'!$G:$G,$A$8),"")</f>
        <v/>
      </c>
      <c r="L14" t="str">
        <f t="shared" si="1"/>
        <v/>
      </c>
      <c r="M14" t="str">
        <f t="shared" si="2"/>
        <v/>
      </c>
      <c r="N14" t="str">
        <f t="shared" si="3"/>
        <v/>
      </c>
    </row>
    <row r="15" spans="1:15" x14ac:dyDescent="0.25">
      <c r="A15" t="s">
        <v>118</v>
      </c>
      <c r="B15" t="s">
        <v>15</v>
      </c>
      <c r="C15" t="e">
        <f>IF(C14="","",IF(C14=INDEX('[1]Grade Project'!$F:$F,MATCH($A$3,'[1]Grade Project'!$E:$E,0)+SUM($D$3:D14)),"",INDEX('[1]Grade Project'!$F:$F,MATCH($A$3,'[1]Grade Project'!$E:$E,0)+SUM($D$3:D14))))</f>
        <v>#N/A</v>
      </c>
      <c r="D15">
        <f>COUNTIFS('[1]Grade Project'!$E:$E,$A$3,'[1]Grade Project'!$F:$F,C15)</f>
        <v>0</v>
      </c>
      <c r="E15" t="str">
        <f t="shared" si="0"/>
        <v/>
      </c>
      <c r="F15" t="str">
        <f>IF(G14=0,"",INDEX('[1]Grade Project'!$G:$G,MATCH($A$5,'[1]Grade Project'!$F:$F,0)+SUM($G$3:G14)))</f>
        <v/>
      </c>
      <c r="G15">
        <f>COUNTIFS('[1]Grade Project'!$F:$F,$A$5,'[1]Grade Project'!$G:$G,F15)</f>
        <v>0</v>
      </c>
      <c r="H15" t="str">
        <f>IF(I14=0,"",INDEX('[1]Grade Project'!$K:$K,MATCH(CONCATENATE($A$5,$A$8),'[1]Grade Project'!$H:$H,0)+SUM($I$3:I14)))</f>
        <v/>
      </c>
      <c r="I15">
        <f>COUNTIFS('[1]Grade Project'!$G:$G,$A$8,'[1]Grade Project'!$K:$K,H15,'[1]Grade Project'!$F:$F,$A$5)</f>
        <v>0</v>
      </c>
      <c r="J15" t="str">
        <f>IFERROR(AVERAGEIFS('[1]Grade Project'!$N:$N,'[1]Grade Project'!$K:$K,H15,'[1]Grade Project'!$F:$F,$A$5,'[1]Grade Project'!$G:$G,$A$8),"")</f>
        <v/>
      </c>
      <c r="K15" t="str">
        <f>IFERROR(AVERAGEIFS('[1]Grade Project'!$O:$O,'[1]Grade Project'!$K:$K,H15,'[1]Grade Project'!$F:$F,$A$5,'[1]Grade Project'!$G:$G,$A$8),"")</f>
        <v/>
      </c>
      <c r="L15" t="str">
        <f t="shared" si="1"/>
        <v/>
      </c>
      <c r="M15" t="str">
        <f t="shared" si="2"/>
        <v/>
      </c>
      <c r="N15" t="str">
        <f t="shared" si="3"/>
        <v/>
      </c>
    </row>
    <row r="16" spans="1:15" x14ac:dyDescent="0.25">
      <c r="A16" t="e">
        <f>INDEX(Seven!N:N,MATCH(A14/A12,Seven!L:L,0))&amp;"/"&amp;COUNT(Seven!N:N)</f>
        <v>#DIV/0!</v>
      </c>
      <c r="B16" t="s">
        <v>16</v>
      </c>
      <c r="C16" t="e">
        <f>IF(C15="","",IF(C15=INDEX('[1]Grade Project'!$F:$F,MATCH($A$3,'[1]Grade Project'!$E:$E,0)+SUM($D$3:D15)),"",INDEX('[1]Grade Project'!$F:$F,MATCH($A$3,'[1]Grade Project'!$E:$E,0)+SUM($D$3:D15))))</f>
        <v>#N/A</v>
      </c>
      <c r="D16">
        <f>COUNTIFS('[1]Grade Project'!$E:$E,$A$3,'[1]Grade Project'!$F:$F,C16)</f>
        <v>0</v>
      </c>
      <c r="E16" t="str">
        <f t="shared" si="0"/>
        <v/>
      </c>
      <c r="F16" t="str">
        <f>IF(G15=0,"",INDEX('[1]Grade Project'!$G:$G,MATCH($A$5,'[1]Grade Project'!$F:$F,0)+SUM($G$3:G15)))</f>
        <v/>
      </c>
      <c r="G16">
        <f>COUNTIFS('[1]Grade Project'!$F:$F,$A$5,'[1]Grade Project'!$G:$G,F16)</f>
        <v>0</v>
      </c>
      <c r="H16" t="str">
        <f>IF(I15=0,"",INDEX('[1]Grade Project'!$K:$K,MATCH(CONCATENATE($A$5,$A$8),'[1]Grade Project'!$H:$H,0)+SUM($I$3:I15)))</f>
        <v/>
      </c>
      <c r="I16">
        <f>COUNTIFS('[1]Grade Project'!$G:$G,$A$8,'[1]Grade Project'!$K:$K,H16,'[1]Grade Project'!$F:$F,$A$5)</f>
        <v>0</v>
      </c>
      <c r="J16" t="str">
        <f>IFERROR(AVERAGEIFS('[1]Grade Project'!$N:$N,'[1]Grade Project'!$K:$K,H16,'[1]Grade Project'!$F:$F,$A$5,'[1]Grade Project'!$G:$G,$A$8),"")</f>
        <v/>
      </c>
      <c r="K16" t="str">
        <f>IFERROR(AVERAGEIFS('[1]Grade Project'!$O:$O,'[1]Grade Project'!$K:$K,H16,'[1]Grade Project'!$F:$F,$A$5,'[1]Grade Project'!$G:$G,$A$8),"")</f>
        <v/>
      </c>
      <c r="L16" t="str">
        <f t="shared" si="1"/>
        <v/>
      </c>
      <c r="M16" t="str">
        <f t="shared" si="2"/>
        <v/>
      </c>
      <c r="N16" t="str">
        <f t="shared" si="3"/>
        <v/>
      </c>
    </row>
    <row r="17" spans="1:14" x14ac:dyDescent="0.25">
      <c r="A17" t="s">
        <v>113</v>
      </c>
      <c r="B17" t="s">
        <v>17</v>
      </c>
      <c r="C17" t="e">
        <f>IF(C16="","",IF(C16=INDEX('[1]Grade Project'!$F:$F,MATCH($A$3,'[1]Grade Project'!$E:$E,0)+SUM($D$3:D16)),"",INDEX('[1]Grade Project'!$F:$F,MATCH($A$3,'[1]Grade Project'!$E:$E,0)+SUM($D$3:D16))))</f>
        <v>#N/A</v>
      </c>
      <c r="D17">
        <f>COUNTIFS('[1]Grade Project'!$E:$E,$A$3,'[1]Grade Project'!$F:$F,C17)</f>
        <v>0</v>
      </c>
      <c r="E17" t="str">
        <f t="shared" si="0"/>
        <v/>
      </c>
      <c r="F17" t="str">
        <f>IF(G16=0,"",INDEX('[1]Grade Project'!$G:$G,MATCH($A$5,'[1]Grade Project'!$F:$F,0)+SUM($G$3:G16)))</f>
        <v/>
      </c>
      <c r="G17">
        <f>COUNTIFS('[1]Grade Project'!$F:$F,$A$5,'[1]Grade Project'!$G:$G,F17)</f>
        <v>0</v>
      </c>
      <c r="H17" t="str">
        <f>IF(I16=0,"",INDEX('[1]Grade Project'!$K:$K,MATCH(CONCATENATE($A$5,$A$8),'[1]Grade Project'!$H:$H,0)+SUM($I$3:I16)))</f>
        <v/>
      </c>
      <c r="I17">
        <f>COUNTIFS('[1]Grade Project'!$G:$G,$A$8,'[1]Grade Project'!$K:$K,H17,'[1]Grade Project'!$F:$F,$A$5)</f>
        <v>0</v>
      </c>
      <c r="J17" t="str">
        <f>IFERROR(AVERAGEIFS('[1]Grade Project'!$N:$N,'[1]Grade Project'!$K:$K,H17,'[1]Grade Project'!$F:$F,$A$5,'[1]Grade Project'!$G:$G,$A$8),"")</f>
        <v/>
      </c>
      <c r="K17" t="str">
        <f>IFERROR(AVERAGEIFS('[1]Grade Project'!$O:$O,'[1]Grade Project'!$K:$K,H17,'[1]Grade Project'!$F:$F,$A$5,'[1]Grade Project'!$G:$G,$A$8),"")</f>
        <v/>
      </c>
      <c r="L17" t="str">
        <f t="shared" si="1"/>
        <v/>
      </c>
      <c r="M17" t="str">
        <f t="shared" si="2"/>
        <v/>
      </c>
      <c r="N17" t="str">
        <f t="shared" si="3"/>
        <v/>
      </c>
    </row>
    <row r="18" spans="1:14" x14ac:dyDescent="0.25">
      <c r="A18" t="e">
        <f>INDEX(Seven!H:H,MATCH(MAX(Seven!N:N),Seven!N:N,0))</f>
        <v>#N/A</v>
      </c>
      <c r="B18" t="s">
        <v>18</v>
      </c>
      <c r="C18" t="e">
        <f>IF(C17="","",IF(C17=INDEX('[1]Grade Project'!$F:$F,MATCH($A$3,'[1]Grade Project'!$E:$E,0)+SUM($D$3:D17)),"",INDEX('[1]Grade Project'!$F:$F,MATCH($A$3,'[1]Grade Project'!$E:$E,0)+SUM($D$3:D17))))</f>
        <v>#N/A</v>
      </c>
      <c r="D18">
        <f>COUNTIFS('[1]Grade Project'!$E:$E,$A$3,'[1]Grade Project'!$F:$F,C18)</f>
        <v>0</v>
      </c>
      <c r="E18" t="str">
        <f t="shared" si="0"/>
        <v/>
      </c>
      <c r="F18" t="str">
        <f>IF(G17=0,"",INDEX('[1]Grade Project'!$G:$G,MATCH($A$5,'[1]Grade Project'!$F:$F,0)+SUM($G$3:G17)))</f>
        <v/>
      </c>
      <c r="G18">
        <f>COUNTIFS('[1]Grade Project'!$F:$F,$A$5,'[1]Grade Project'!$G:$G,F18)</f>
        <v>0</v>
      </c>
      <c r="H18" t="str">
        <f>IF(I17=0,"",INDEX('[1]Grade Project'!$K:$K,MATCH(CONCATENATE($A$5,$A$8),'[1]Grade Project'!$H:$H,0)+SUM($I$3:I17)))</f>
        <v/>
      </c>
      <c r="I18">
        <f>COUNTIFS('[1]Grade Project'!$G:$G,$A$8,'[1]Grade Project'!$K:$K,H18,'[1]Grade Project'!$F:$F,$A$5)</f>
        <v>0</v>
      </c>
      <c r="J18" t="str">
        <f>IFERROR(AVERAGEIFS('[1]Grade Project'!$N:$N,'[1]Grade Project'!$K:$K,H18,'[1]Grade Project'!$F:$F,$A$5,'[1]Grade Project'!$G:$G,$A$8),"")</f>
        <v/>
      </c>
      <c r="K18" t="str">
        <f>IFERROR(AVERAGEIFS('[1]Grade Project'!$O:$O,'[1]Grade Project'!$K:$K,H18,'[1]Grade Project'!$F:$F,$A$5,'[1]Grade Project'!$G:$G,$A$8),"")</f>
        <v/>
      </c>
      <c r="L18" t="str">
        <f t="shared" si="1"/>
        <v/>
      </c>
      <c r="M18" t="str">
        <f t="shared" si="2"/>
        <v/>
      </c>
      <c r="N18" t="str">
        <f t="shared" si="3"/>
        <v/>
      </c>
    </row>
    <row r="19" spans="1:14" x14ac:dyDescent="0.25">
      <c r="A19" t="s">
        <v>110</v>
      </c>
      <c r="B19" t="s">
        <v>2</v>
      </c>
      <c r="C19" t="e">
        <f>IF(C18="","",IF(C18=INDEX('[1]Grade Project'!$F:$F,MATCH($A$3,'[1]Grade Project'!$E:$E,0)+SUM($D$3:D18)),"",INDEX('[1]Grade Project'!$F:$F,MATCH($A$3,'[1]Grade Project'!$E:$E,0)+SUM($D$3:D18))))</f>
        <v>#N/A</v>
      </c>
      <c r="D19">
        <f>COUNTIFS('[1]Grade Project'!$E:$E,$A$3,'[1]Grade Project'!$F:$F,C19)</f>
        <v>0</v>
      </c>
      <c r="E19" t="str">
        <f t="shared" si="0"/>
        <v/>
      </c>
      <c r="F19" t="str">
        <f>IF(G18=0,"",INDEX('[1]Grade Project'!$G:$G,MATCH($A$5,'[1]Grade Project'!$F:$F,0)+SUM($G$3:G18)))</f>
        <v/>
      </c>
      <c r="G19">
        <f>COUNTIFS('[1]Grade Project'!$F:$F,$A$5,'[1]Grade Project'!$G:$G,F19)</f>
        <v>0</v>
      </c>
      <c r="H19" t="str">
        <f>IF(I18=0,"",INDEX('[1]Grade Project'!$K:$K,MATCH(CONCATENATE($A$5,$A$8),'[1]Grade Project'!$H:$H,0)+SUM($I$3:I18)))</f>
        <v/>
      </c>
      <c r="I19">
        <f>COUNTIFS('[1]Grade Project'!$G:$G,$A$8,'[1]Grade Project'!$K:$K,H19,'[1]Grade Project'!$F:$F,$A$5)</f>
        <v>0</v>
      </c>
      <c r="J19" t="str">
        <f>IFERROR(AVERAGEIFS('[1]Grade Project'!$N:$N,'[1]Grade Project'!$K:$K,H19,'[1]Grade Project'!$F:$F,$A$5,'[1]Grade Project'!$G:$G,$A$8),"")</f>
        <v/>
      </c>
      <c r="K19" t="str">
        <f>IFERROR(AVERAGEIFS('[1]Grade Project'!$O:$O,'[1]Grade Project'!$K:$K,H19,'[1]Grade Project'!$F:$F,$A$5,'[1]Grade Project'!$G:$G,$A$8),"")</f>
        <v/>
      </c>
      <c r="L19" t="str">
        <f t="shared" si="1"/>
        <v/>
      </c>
      <c r="M19" t="str">
        <f t="shared" si="2"/>
        <v/>
      </c>
      <c r="N19" t="str">
        <f t="shared" si="3"/>
        <v/>
      </c>
    </row>
    <row r="20" spans="1:14" x14ac:dyDescent="0.25">
      <c r="A20" t="e">
        <f>INDEX(Seven!J:J,MATCH(MAX(Seven!N:N),Seven!N:N,0))</f>
        <v>#N/A</v>
      </c>
      <c r="B20" t="s">
        <v>19</v>
      </c>
      <c r="C20" t="e">
        <f>IF(C19="","",IF(C19=INDEX('[1]Grade Project'!$F:$F,MATCH($A$3,'[1]Grade Project'!$E:$E,0)+SUM($D$3:D19)),"",INDEX('[1]Grade Project'!$F:$F,MATCH($A$3,'[1]Grade Project'!$E:$E,0)+SUM($D$3:D19))))</f>
        <v>#N/A</v>
      </c>
      <c r="D20">
        <f>COUNTIFS('[1]Grade Project'!$E:$E,$A$3,'[1]Grade Project'!$F:$F,C20)</f>
        <v>0</v>
      </c>
      <c r="E20" t="str">
        <f t="shared" si="0"/>
        <v/>
      </c>
      <c r="F20" t="str">
        <f>IF(G19=0,"",INDEX('[1]Grade Project'!$G:$G,MATCH($A$5,'[1]Grade Project'!$F:$F,0)+SUM($G$3:G19)))</f>
        <v/>
      </c>
      <c r="G20">
        <f>COUNTIFS('[1]Grade Project'!$F:$F,$A$5,'[1]Grade Project'!$G:$G,F20)</f>
        <v>0</v>
      </c>
      <c r="H20" t="str">
        <f>IF(I19=0,"",INDEX('[1]Grade Project'!$K:$K,MATCH(CONCATENATE($A$5,$A$8),'[1]Grade Project'!$H:$H,0)+SUM($I$3:I19)))</f>
        <v/>
      </c>
      <c r="I20">
        <f>COUNTIFS('[1]Grade Project'!$G:$G,$A$8,'[1]Grade Project'!$K:$K,H20,'[1]Grade Project'!$F:$F,$A$5)</f>
        <v>0</v>
      </c>
      <c r="J20" t="str">
        <f>IFERROR(AVERAGEIFS('[1]Grade Project'!$N:$N,'[1]Grade Project'!$K:$K,H20,'[1]Grade Project'!$F:$F,$A$5,'[1]Grade Project'!$G:$G,$A$8),"")</f>
        <v/>
      </c>
      <c r="K20" t="str">
        <f>IFERROR(AVERAGEIFS('[1]Grade Project'!$O:$O,'[1]Grade Project'!$K:$K,H20,'[1]Grade Project'!$F:$F,$A$5,'[1]Grade Project'!$G:$G,$A$8),"")</f>
        <v/>
      </c>
      <c r="L20" t="str">
        <f t="shared" si="1"/>
        <v/>
      </c>
      <c r="M20" t="str">
        <f t="shared" si="2"/>
        <v/>
      </c>
      <c r="N20" t="str">
        <f t="shared" si="3"/>
        <v/>
      </c>
    </row>
    <row r="21" spans="1:14" x14ac:dyDescent="0.25">
      <c r="A21" t="s">
        <v>114</v>
      </c>
      <c r="B21" t="s">
        <v>20</v>
      </c>
      <c r="C21" t="e">
        <f>IF(C20="","",IF(C20=INDEX('[1]Grade Project'!$F:$F,MATCH($A$3,'[1]Grade Project'!$E:$E,0)+SUM($D$3:D20)),"",INDEX('[1]Grade Project'!$F:$F,MATCH($A$3,'[1]Grade Project'!$E:$E,0)+SUM($D$3:D20))))</f>
        <v>#N/A</v>
      </c>
      <c r="D21">
        <f>COUNTIFS('[1]Grade Project'!$E:$E,$A$3,'[1]Grade Project'!$F:$F,C21)</f>
        <v>0</v>
      </c>
      <c r="E21" t="str">
        <f t="shared" si="0"/>
        <v/>
      </c>
      <c r="F21" t="str">
        <f>IF(G20=0,"",INDEX('[1]Grade Project'!$G:$G,MATCH($A$5,'[1]Grade Project'!$F:$F,0)+SUM($G$3:G20)))</f>
        <v/>
      </c>
      <c r="G21">
        <f>COUNTIFS('[1]Grade Project'!$F:$F,$A$5,'[1]Grade Project'!$G:$G,F21)</f>
        <v>0</v>
      </c>
      <c r="H21" t="str">
        <f>IF(I20=0,"",INDEX('[1]Grade Project'!$K:$K,MATCH(CONCATENATE($A$5,$A$8),'[1]Grade Project'!$H:$H,0)+SUM($I$3:I20)))</f>
        <v/>
      </c>
      <c r="I21">
        <f>COUNTIFS('[1]Grade Project'!$G:$G,$A$8,'[1]Grade Project'!$K:$K,H21,'[1]Grade Project'!$F:$F,$A$5)</f>
        <v>0</v>
      </c>
      <c r="J21" t="str">
        <f>IFERROR(AVERAGEIFS('[1]Grade Project'!$N:$N,'[1]Grade Project'!$K:$K,H21,'[1]Grade Project'!$F:$F,$A$5,'[1]Grade Project'!$G:$G,$A$8),"")</f>
        <v/>
      </c>
      <c r="K21" t="str">
        <f>IFERROR(AVERAGEIFS('[1]Grade Project'!$O:$O,'[1]Grade Project'!$K:$K,H21,'[1]Grade Project'!$F:$F,$A$5,'[1]Grade Project'!$G:$G,$A$8),"")</f>
        <v/>
      </c>
      <c r="L21" t="str">
        <f t="shared" si="1"/>
        <v/>
      </c>
      <c r="M21" t="str">
        <f t="shared" si="2"/>
        <v/>
      </c>
      <c r="N21" t="str">
        <f t="shared" si="3"/>
        <v/>
      </c>
    </row>
    <row r="22" spans="1:14" x14ac:dyDescent="0.25">
      <c r="A22" t="e">
        <f>INDEX(Seven!H:H,MATCH(MIN(Seven!N:N),Seven!N:N,0))</f>
        <v>#N/A</v>
      </c>
      <c r="B22" t="s">
        <v>21</v>
      </c>
      <c r="C22" t="e">
        <f>IF(C21="","",IF(C21=INDEX('[1]Grade Project'!$F:$F,MATCH($A$3,'[1]Grade Project'!$E:$E,0)+SUM($D$3:D21)),"",INDEX('[1]Grade Project'!$F:$F,MATCH($A$3,'[1]Grade Project'!$E:$E,0)+SUM($D$3:D21))))</f>
        <v>#N/A</v>
      </c>
      <c r="D22">
        <f>COUNTIFS('[1]Grade Project'!$E:$E,$A$3,'[1]Grade Project'!$F:$F,C22)</f>
        <v>0</v>
      </c>
      <c r="E22" t="str">
        <f t="shared" si="0"/>
        <v/>
      </c>
      <c r="F22" t="str">
        <f>IF(G21=0,"",INDEX('[1]Grade Project'!$G:$G,MATCH($A$5,'[1]Grade Project'!$F:$F,0)+SUM($G$3:G21)))</f>
        <v/>
      </c>
      <c r="G22">
        <f>COUNTIFS('[1]Grade Project'!$F:$F,$A$5,'[1]Grade Project'!$G:$G,F22)</f>
        <v>0</v>
      </c>
      <c r="H22" t="str">
        <f>IF(I21=0,"",INDEX('[1]Grade Project'!$K:$K,MATCH(CONCATENATE($A$5,$A$8),'[1]Grade Project'!$H:$H,0)+SUM($I$3:I21)))</f>
        <v/>
      </c>
      <c r="I22">
        <f>COUNTIFS('[1]Grade Project'!$G:$G,$A$8,'[1]Grade Project'!$K:$K,H22,'[1]Grade Project'!$F:$F,$A$5)</f>
        <v>0</v>
      </c>
      <c r="J22" t="str">
        <f>IFERROR(AVERAGEIFS('[1]Grade Project'!$N:$N,'[1]Grade Project'!$K:$K,H22,'[1]Grade Project'!$F:$F,$A$5,'[1]Grade Project'!$G:$G,$A$8),"")</f>
        <v/>
      </c>
      <c r="K22" t="str">
        <f>IFERROR(AVERAGEIFS('[1]Grade Project'!$O:$O,'[1]Grade Project'!$K:$K,H22,'[1]Grade Project'!$F:$F,$A$5,'[1]Grade Project'!$G:$G,$A$8),"")</f>
        <v/>
      </c>
      <c r="L22" t="str">
        <f t="shared" si="1"/>
        <v/>
      </c>
      <c r="M22" t="str">
        <f t="shared" si="2"/>
        <v/>
      </c>
      <c r="N22" t="str">
        <f t="shared" si="3"/>
        <v/>
      </c>
    </row>
    <row r="23" spans="1:14" x14ac:dyDescent="0.25">
      <c r="A23" t="s">
        <v>110</v>
      </c>
      <c r="B23" t="s">
        <v>22</v>
      </c>
      <c r="C23" t="e">
        <f>IF(C22="","",IF(C22=INDEX('[1]Grade Project'!$F:$F,MATCH($A$3,'[1]Grade Project'!$E:$E,0)+SUM($D$3:D22)),"",INDEX('[1]Grade Project'!$F:$F,MATCH($A$3,'[1]Grade Project'!$E:$E,0)+SUM($D$3:D22))))</f>
        <v>#N/A</v>
      </c>
      <c r="D23">
        <f>COUNTIFS('[1]Grade Project'!$E:$E,$A$3,'[1]Grade Project'!$F:$F,C23)</f>
        <v>0</v>
      </c>
      <c r="E23" t="str">
        <f t="shared" si="0"/>
        <v/>
      </c>
      <c r="F23" t="str">
        <f>IF(G22=0,"",INDEX('[1]Grade Project'!$G:$G,MATCH($A$5,'[1]Grade Project'!$F:$F,0)+SUM($G$3:G22)))</f>
        <v/>
      </c>
      <c r="G23">
        <f>COUNTIFS('[1]Grade Project'!$F:$F,$A$5,'[1]Grade Project'!$G:$G,F23)</f>
        <v>0</v>
      </c>
      <c r="H23" t="str">
        <f>IF(I22=0,"",INDEX('[1]Grade Project'!$K:$K,MATCH(CONCATENATE($A$5,$A$8),'[1]Grade Project'!$H:$H,0)+SUM($I$3:I22)))</f>
        <v/>
      </c>
      <c r="I23">
        <f>COUNTIFS('[1]Grade Project'!$G:$G,$A$8,'[1]Grade Project'!$K:$K,H23,'[1]Grade Project'!$F:$F,$A$5)</f>
        <v>0</v>
      </c>
      <c r="J23" t="str">
        <f>IFERROR(AVERAGEIFS('[1]Grade Project'!$N:$N,'[1]Grade Project'!$K:$K,H23,'[1]Grade Project'!$F:$F,$A$5,'[1]Grade Project'!$G:$G,$A$8),"")</f>
        <v/>
      </c>
      <c r="K23" t="str">
        <f>IFERROR(AVERAGEIFS('[1]Grade Project'!$O:$O,'[1]Grade Project'!$K:$K,H23,'[1]Grade Project'!$F:$F,$A$5,'[1]Grade Project'!$G:$G,$A$8),"")</f>
        <v/>
      </c>
      <c r="L23" t="str">
        <f t="shared" si="1"/>
        <v/>
      </c>
      <c r="M23" t="str">
        <f t="shared" si="2"/>
        <v/>
      </c>
      <c r="N23" t="str">
        <f t="shared" si="3"/>
        <v/>
      </c>
    </row>
    <row r="24" spans="1:14" x14ac:dyDescent="0.25">
      <c r="A24" t="e">
        <f>INDEX(Seven!J:J,MATCH(MIN(Seven!N:N),Seven!N:N,0))</f>
        <v>#N/A</v>
      </c>
      <c r="B24" t="s">
        <v>23</v>
      </c>
      <c r="C24" t="e">
        <f>IF(C23="","",IF(C23=INDEX('[1]Grade Project'!$F:$F,MATCH($A$3,'[1]Grade Project'!$E:$E,0)+SUM($D$3:D23)),"",INDEX('[1]Grade Project'!$F:$F,MATCH($A$3,'[1]Grade Project'!$E:$E,0)+SUM($D$3:D23))))</f>
        <v>#N/A</v>
      </c>
      <c r="E24" t="str">
        <f t="shared" si="0"/>
        <v/>
      </c>
      <c r="F24" t="str">
        <f>IF(G23=0,"",INDEX('[1]Grade Project'!$G:$G,MATCH($A$5,'[1]Grade Project'!$F:$F,0)+SUM($G$3:G23)))</f>
        <v/>
      </c>
      <c r="G24">
        <f>COUNTIFS('[1]Grade Project'!$F:$F,$A$5,'[1]Grade Project'!$G:$G,F24)</f>
        <v>0</v>
      </c>
      <c r="H24" t="str">
        <f>IF(I23=0,"",INDEX('[1]Grade Project'!$K:$K,MATCH(CONCATENATE($A$5,$A$8),'[1]Grade Project'!$H:$H,0)+SUM($I$3:I23)))</f>
        <v/>
      </c>
      <c r="I24">
        <f>COUNTIFS('[1]Grade Project'!$G:$G,$A$8,'[1]Grade Project'!$K:$K,H24,'[1]Grade Project'!$F:$F,$A$5)</f>
        <v>0</v>
      </c>
      <c r="J24" t="str">
        <f>IFERROR(AVERAGEIFS('[1]Grade Project'!$N:$N,'[1]Grade Project'!$K:$K,H24,'[1]Grade Project'!$F:$F,$A$5,'[1]Grade Project'!$G:$G,$A$8),"")</f>
        <v/>
      </c>
      <c r="K24" t="str">
        <f>IFERROR(AVERAGEIFS('[1]Grade Project'!$O:$O,'[1]Grade Project'!$K:$K,H24,'[1]Grade Project'!$F:$F,$A$5,'[1]Grade Project'!$G:$G,$A$8),"")</f>
        <v/>
      </c>
      <c r="L24" t="str">
        <f t="shared" si="1"/>
        <v/>
      </c>
      <c r="M24" t="str">
        <f t="shared" si="2"/>
        <v/>
      </c>
      <c r="N24" t="str">
        <f t="shared" si="3"/>
        <v/>
      </c>
    </row>
    <row r="25" spans="1:14" x14ac:dyDescent="0.25">
      <c r="A25" t="s">
        <v>117</v>
      </c>
      <c r="B25" t="s">
        <v>24</v>
      </c>
      <c r="C25" t="e">
        <f>IF(C24="","",IF(C24=INDEX('[1]Grade Project'!$F:$F,MATCH($A$3,'[1]Grade Project'!$E:$E,0)+SUM($D$3:D24)),"",INDEX('[1]Grade Project'!$F:$F,MATCH($A$3,'[1]Grade Project'!$E:$E,0)+SUM($D$3:D24))))</f>
        <v>#N/A</v>
      </c>
      <c r="E25" t="str">
        <f t="shared" si="0"/>
        <v/>
      </c>
      <c r="F25" t="str">
        <f>IF(G24=0,"",INDEX('[1]Grade Project'!$G:$G,MATCH($A$5,'[1]Grade Project'!$F:$F,0)+SUM($G$3:G24)))</f>
        <v/>
      </c>
      <c r="G25">
        <f>COUNTIFS('[1]Grade Project'!$F:$F,$A$5,'[1]Grade Project'!$G:$G,F25)</f>
        <v>0</v>
      </c>
      <c r="H25" t="str">
        <f>IF(I24=0,"",INDEX('[1]Grade Project'!$K:$K,MATCH(CONCATENATE($A$5,$A$8),'[1]Grade Project'!$H:$H,0)+SUM($I$3:I24)))</f>
        <v/>
      </c>
      <c r="I25">
        <f>COUNTIFS('[1]Grade Project'!$G:$G,$A$8,'[1]Grade Project'!$K:$K,H25,'[1]Grade Project'!$F:$F,$A$5)</f>
        <v>0</v>
      </c>
      <c r="J25" t="str">
        <f>IFERROR(AVERAGEIFS('[1]Grade Project'!$N:$N,'[1]Grade Project'!$K:$K,H25,'[1]Grade Project'!$F:$F,$A$5,'[1]Grade Project'!$G:$G,$A$8),"")</f>
        <v/>
      </c>
      <c r="K25" t="str">
        <f>IFERROR(AVERAGEIFS('[1]Grade Project'!$O:$O,'[1]Grade Project'!$K:$K,H25,'[1]Grade Project'!$F:$F,$A$5,'[1]Grade Project'!$G:$G,$A$8),"")</f>
        <v/>
      </c>
      <c r="L25" t="str">
        <f t="shared" si="1"/>
        <v/>
      </c>
      <c r="M25" t="str">
        <f t="shared" si="2"/>
        <v/>
      </c>
      <c r="N25" t="str">
        <f t="shared" si="3"/>
        <v/>
      </c>
    </row>
    <row r="26" spans="1:14" x14ac:dyDescent="0.25">
      <c r="A26" t="e">
        <f>A12/#REF!</f>
        <v>#DIV/0!</v>
      </c>
      <c r="B26" t="s">
        <v>25</v>
      </c>
      <c r="C26" t="e">
        <f>IF(C25="","",IF(C25=INDEX('[1]Grade Project'!$F:$F,MATCH($A$3,'[1]Grade Project'!$E:$E,0)+SUM($D$3:D25)),"",INDEX('[1]Grade Project'!$F:$F,MATCH($A$3,'[1]Grade Project'!$E:$E,0)+SUM($D$3:D25))))</f>
        <v>#N/A</v>
      </c>
      <c r="E26" t="str">
        <f t="shared" si="0"/>
        <v/>
      </c>
      <c r="F26" t="str">
        <f>IF(G25=0,"",INDEX('[1]Grade Project'!$G:$G,MATCH($A$5,'[1]Grade Project'!$F:$F,0)+SUM($G$3:G25)))</f>
        <v/>
      </c>
      <c r="G26">
        <f>COUNTIFS('[1]Grade Project'!$F:$F,$A$5,'[1]Grade Project'!$G:$G,F26)</f>
        <v>0</v>
      </c>
      <c r="H26" t="str">
        <f>IF(I25=0,"",INDEX('[1]Grade Project'!$K:$K,MATCH(CONCATENATE($A$5,$A$8),'[1]Grade Project'!$H:$H,0)+SUM($I$3:I25)))</f>
        <v/>
      </c>
      <c r="I26">
        <f>COUNTIFS('[1]Grade Project'!$G:$G,$A$8,'[1]Grade Project'!$K:$K,H26,'[1]Grade Project'!$F:$F,$A$5)</f>
        <v>0</v>
      </c>
      <c r="J26" t="str">
        <f>IFERROR(AVERAGEIFS('[1]Grade Project'!$N:$N,'[1]Grade Project'!$K:$K,H26,'[1]Grade Project'!$F:$F,$A$5,'[1]Grade Project'!$G:$G,$A$8),"")</f>
        <v/>
      </c>
      <c r="K26" t="str">
        <f>IFERROR(AVERAGEIFS('[1]Grade Project'!$O:$O,'[1]Grade Project'!$K:$K,H26,'[1]Grade Project'!$F:$F,$A$5,'[1]Grade Project'!$G:$G,$A$8),"")</f>
        <v/>
      </c>
      <c r="L26" t="str">
        <f t="shared" si="1"/>
        <v/>
      </c>
      <c r="M26" t="str">
        <f t="shared" si="2"/>
        <v/>
      </c>
      <c r="N26" t="str">
        <f t="shared" si="3"/>
        <v/>
      </c>
    </row>
    <row r="27" spans="1:14" x14ac:dyDescent="0.25">
      <c r="B27" t="s">
        <v>26</v>
      </c>
      <c r="C27" t="e">
        <f>IF(C26="","",IF(C26=INDEX('[1]Grade Project'!$F:$F,MATCH($A$3,'[1]Grade Project'!$E:$E,0)+SUM($D$3:D26)),"",INDEX('[1]Grade Project'!$F:$F,MATCH($A$3,'[1]Grade Project'!$E:$E,0)+SUM($D$3:D26))))</f>
        <v>#N/A</v>
      </c>
      <c r="E27" t="str">
        <f t="shared" si="0"/>
        <v/>
      </c>
      <c r="F27" t="str">
        <f>IF(G26=0,"",INDEX('[1]Grade Project'!$G:$G,MATCH($A$5,'[1]Grade Project'!$F:$F,0)+SUM($G$3:G26)))</f>
        <v/>
      </c>
      <c r="G27">
        <f>COUNTIFS('[1]Grade Project'!$F:$F,$A$5,'[1]Grade Project'!$G:$G,F27)</f>
        <v>0</v>
      </c>
      <c r="H27" t="str">
        <f>IF(I26=0,"",INDEX('[1]Grade Project'!$K:$K,MATCH(CONCATENATE($A$5,$A$8),'[1]Grade Project'!$H:$H,0)+SUM($I$3:I26)))</f>
        <v/>
      </c>
      <c r="I27">
        <f>COUNTIFS('[1]Grade Project'!$G:$G,$A$8,'[1]Grade Project'!$K:$K,H27,'[1]Grade Project'!$F:$F,$A$5)</f>
        <v>0</v>
      </c>
      <c r="J27" t="str">
        <f>IFERROR(AVERAGEIFS('[1]Grade Project'!$N:$N,'[1]Grade Project'!$K:$K,H27,'[1]Grade Project'!$F:$F,$A$5,'[1]Grade Project'!$G:$G,$A$8),"")</f>
        <v/>
      </c>
      <c r="K27" t="str">
        <f>IFERROR(AVERAGEIFS('[1]Grade Project'!$O:$O,'[1]Grade Project'!$K:$K,H27,'[1]Grade Project'!$F:$F,$A$5,'[1]Grade Project'!$G:$G,$A$8),"")</f>
        <v/>
      </c>
      <c r="L27" t="str">
        <f t="shared" si="1"/>
        <v/>
      </c>
      <c r="M27" t="str">
        <f t="shared" si="2"/>
        <v/>
      </c>
      <c r="N27" t="str">
        <f t="shared" si="3"/>
        <v/>
      </c>
    </row>
    <row r="28" spans="1:14" x14ac:dyDescent="0.25">
      <c r="B28" t="s">
        <v>27</v>
      </c>
      <c r="C28" t="e">
        <f>IF(C27="","",IF(C27=INDEX('[1]Grade Project'!$F:$F,MATCH($A$3,'[1]Grade Project'!$E:$E,0)+SUM($D$3:D27)),"",INDEX('[1]Grade Project'!$F:$F,MATCH($A$3,'[1]Grade Project'!$E:$E,0)+SUM($D$3:D27))))</f>
        <v>#N/A</v>
      </c>
      <c r="E28" t="str">
        <f t="shared" si="0"/>
        <v/>
      </c>
      <c r="F28" t="str">
        <f>IF(G27=0,"",INDEX('[1]Grade Project'!$G:$G,MATCH($A$5,'[1]Grade Project'!$F:$F,0)+SUM($G$3:G27)))</f>
        <v/>
      </c>
      <c r="G28">
        <f>COUNTIFS('[1]Grade Project'!$F:$F,$A$5,'[1]Grade Project'!$G:$G,F28)</f>
        <v>0</v>
      </c>
      <c r="H28" t="str">
        <f>IF(I27=0,"",INDEX('[1]Grade Project'!$K:$K,MATCH(CONCATENATE($A$5,$A$8),'[1]Grade Project'!$H:$H,0)+SUM($I$3:I27)))</f>
        <v/>
      </c>
      <c r="I28">
        <f>COUNTIFS('[1]Grade Project'!$G:$G,$A$8,'[1]Grade Project'!$K:$K,H28,'[1]Grade Project'!$F:$F,$A$5)</f>
        <v>0</v>
      </c>
      <c r="J28" t="str">
        <f>IFERROR(AVERAGEIFS('[1]Grade Project'!$N:$N,'[1]Grade Project'!$K:$K,H28,'[1]Grade Project'!$F:$F,$A$5,'[1]Grade Project'!$G:$G,$A$8),"")</f>
        <v/>
      </c>
      <c r="K28" t="str">
        <f>IFERROR(AVERAGEIFS('[1]Grade Project'!$O:$O,'[1]Grade Project'!$K:$K,H28,'[1]Grade Project'!$F:$F,$A$5,'[1]Grade Project'!$G:$G,$A$8),"")</f>
        <v/>
      </c>
      <c r="L28" t="str">
        <f t="shared" si="1"/>
        <v/>
      </c>
      <c r="M28" t="str">
        <f t="shared" si="2"/>
        <v/>
      </c>
      <c r="N28" t="str">
        <f t="shared" si="3"/>
        <v/>
      </c>
    </row>
    <row r="29" spans="1:14" x14ac:dyDescent="0.25">
      <c r="B29" t="s">
        <v>28</v>
      </c>
      <c r="C29" t="e">
        <f>IF(C28="","",IF(C28=INDEX('[1]Grade Project'!$F:$F,MATCH($A$3,'[1]Grade Project'!$E:$E,0)+SUM($D$3:D28)),"",INDEX('[1]Grade Project'!$F:$F,MATCH($A$3,'[1]Grade Project'!$E:$E,0)+SUM($D$3:D28))))</f>
        <v>#N/A</v>
      </c>
      <c r="E29" t="str">
        <f t="shared" si="0"/>
        <v/>
      </c>
      <c r="F29" t="str">
        <f>IF(G28=0,"",INDEX('[1]Grade Project'!$G:$G,MATCH($A$5,'[1]Grade Project'!$F:$F,0)+SUM($G$3:G28)))</f>
        <v/>
      </c>
      <c r="G29">
        <f>COUNTIFS('[1]Grade Project'!$F:$F,$A$5,'[1]Grade Project'!$G:$G,F29)</f>
        <v>0</v>
      </c>
      <c r="H29" t="str">
        <f>IF(I28=0,"",INDEX('[1]Grade Project'!$K:$K,MATCH(CONCATENATE($A$5,$A$8),'[1]Grade Project'!$H:$H,0)+SUM($I$3:I28)))</f>
        <v/>
      </c>
      <c r="I29">
        <f>COUNTIFS('[1]Grade Project'!$G:$G,$A$8,'[1]Grade Project'!$K:$K,H29,'[1]Grade Project'!$F:$F,$A$5)</f>
        <v>0</v>
      </c>
      <c r="J29" t="str">
        <f>IFERROR(AVERAGEIFS('[1]Grade Project'!$N:$N,'[1]Grade Project'!$K:$K,H29,'[1]Grade Project'!$F:$F,$A$5,'[1]Grade Project'!$G:$G,$A$8),"")</f>
        <v/>
      </c>
      <c r="K29" t="str">
        <f>IFERROR(AVERAGEIFS('[1]Grade Project'!$O:$O,'[1]Grade Project'!$K:$K,H29,'[1]Grade Project'!$F:$F,$A$5,'[1]Grade Project'!$G:$G,$A$8),"")</f>
        <v/>
      </c>
      <c r="L29" t="str">
        <f t="shared" si="1"/>
        <v/>
      </c>
      <c r="M29" t="str">
        <f t="shared" si="2"/>
        <v/>
      </c>
      <c r="N29" t="str">
        <f t="shared" si="3"/>
        <v/>
      </c>
    </row>
    <row r="30" spans="1:14" x14ac:dyDescent="0.25">
      <c r="B30" t="s">
        <v>29</v>
      </c>
      <c r="C30" t="e">
        <f>IF(C29="","",IF(C29=INDEX('[1]Grade Project'!$F:$F,MATCH($A$3,'[1]Grade Project'!$E:$E,0)+SUM($D$3:D29)),"",INDEX('[1]Grade Project'!$F:$F,MATCH($A$3,'[1]Grade Project'!$E:$E,0)+SUM($D$3:D29))))</f>
        <v>#N/A</v>
      </c>
      <c r="E30" t="str">
        <f t="shared" si="0"/>
        <v/>
      </c>
      <c r="F30" t="str">
        <f>IF(G29=0,"",INDEX('[1]Grade Project'!$G:$G,MATCH($A$5,'[1]Grade Project'!$F:$F,0)+SUM($G$3:G29)))</f>
        <v/>
      </c>
      <c r="G30">
        <f>COUNTIFS('[1]Grade Project'!$F:$F,$A$5,'[1]Grade Project'!$G:$G,F30)</f>
        <v>0</v>
      </c>
      <c r="H30" t="str">
        <f>IF(I29=0,"",INDEX('[1]Grade Project'!$K:$K,MATCH(CONCATENATE($A$5,$A$8),'[1]Grade Project'!$H:$H,0)+SUM($I$3:I29)))</f>
        <v/>
      </c>
      <c r="I30">
        <f>COUNTIFS('[1]Grade Project'!$G:$G,$A$8,'[1]Grade Project'!$K:$K,H30,'[1]Grade Project'!$F:$F,$A$5)</f>
        <v>0</v>
      </c>
      <c r="J30" t="str">
        <f>IFERROR(AVERAGEIFS('[1]Grade Project'!$N:$N,'[1]Grade Project'!$K:$K,H30,'[1]Grade Project'!$F:$F,$A$5,'[1]Grade Project'!$G:$G,$A$8),"")</f>
        <v/>
      </c>
      <c r="K30" t="str">
        <f>IFERROR(AVERAGEIFS('[1]Grade Project'!$O:$O,'[1]Grade Project'!$K:$K,H30,'[1]Grade Project'!$F:$F,$A$5,'[1]Grade Project'!$G:$G,$A$8),"")</f>
        <v/>
      </c>
      <c r="L30" t="str">
        <f t="shared" si="1"/>
        <v/>
      </c>
      <c r="M30" t="str">
        <f t="shared" si="2"/>
        <v/>
      </c>
      <c r="N30" t="str">
        <f t="shared" si="3"/>
        <v/>
      </c>
    </row>
    <row r="31" spans="1:14" x14ac:dyDescent="0.25">
      <c r="B31" t="s">
        <v>30</v>
      </c>
      <c r="C31" t="e">
        <f>IF(C30="","",IF(C30=INDEX('[1]Grade Project'!$F:$F,MATCH($A$3,'[1]Grade Project'!$E:$E,0)+SUM($D$3:D30)),"",INDEX('[1]Grade Project'!$F:$F,MATCH($A$3,'[1]Grade Project'!$E:$E,0)+SUM($D$3:D30))))</f>
        <v>#N/A</v>
      </c>
      <c r="E31" t="str">
        <f t="shared" si="0"/>
        <v/>
      </c>
      <c r="F31" t="str">
        <f>IF(G30=0,"",INDEX('[1]Grade Project'!$G:$G,MATCH($A$5,'[1]Grade Project'!$F:$F,0)+SUM($G$3:G30)))</f>
        <v/>
      </c>
      <c r="G31">
        <f>COUNTIFS('[1]Grade Project'!$F:$F,$A$5,'[1]Grade Project'!$G:$G,F31)</f>
        <v>0</v>
      </c>
      <c r="H31" t="str">
        <f>IF(I30=0,"",INDEX('[1]Grade Project'!$K:$K,MATCH(CONCATENATE($A$5,$A$8),'[1]Grade Project'!$H:$H,0)+SUM($I$3:I30)))</f>
        <v/>
      </c>
      <c r="I31">
        <f>COUNTIFS('[1]Grade Project'!$G:$G,$A$8,'[1]Grade Project'!$K:$K,H31,'[1]Grade Project'!$F:$F,$A$5)</f>
        <v>0</v>
      </c>
      <c r="J31" t="str">
        <f>IFERROR(AVERAGEIFS('[1]Grade Project'!$N:$N,'[1]Grade Project'!$K:$K,H31,'[1]Grade Project'!$F:$F,$A$5,'[1]Grade Project'!$G:$G,$A$8),"")</f>
        <v/>
      </c>
      <c r="K31" t="str">
        <f>IFERROR(AVERAGEIFS('[1]Grade Project'!$O:$O,'[1]Grade Project'!$K:$K,H31,'[1]Grade Project'!$F:$F,$A$5,'[1]Grade Project'!$G:$G,$A$8),"")</f>
        <v/>
      </c>
      <c r="L31" t="str">
        <f t="shared" si="1"/>
        <v/>
      </c>
      <c r="M31" t="str">
        <f t="shared" si="2"/>
        <v/>
      </c>
      <c r="N31" t="str">
        <f t="shared" si="3"/>
        <v/>
      </c>
    </row>
    <row r="32" spans="1:14" x14ac:dyDescent="0.25">
      <c r="B32" t="s">
        <v>31</v>
      </c>
      <c r="C32" t="e">
        <f>IF(C31="","",IF(C31=INDEX('[1]Grade Project'!$F:$F,MATCH($A$3,'[1]Grade Project'!$E:$E,0)+SUM($D$3:D31)),"",INDEX('[1]Grade Project'!$F:$F,MATCH($A$3,'[1]Grade Project'!$E:$E,0)+SUM($D$3:D31))))</f>
        <v>#N/A</v>
      </c>
      <c r="E32" t="str">
        <f t="shared" si="0"/>
        <v/>
      </c>
      <c r="F32" t="str">
        <f>IF(G31=0,"",INDEX('[1]Grade Project'!$G:$G,MATCH($A$5,'[1]Grade Project'!$F:$F,0)+SUM($G$3:G31)))</f>
        <v/>
      </c>
      <c r="G32">
        <f>COUNTIFS('[1]Grade Project'!$F:$F,$A$5,'[1]Grade Project'!$G:$G,F32)</f>
        <v>0</v>
      </c>
      <c r="H32" t="str">
        <f>IF(I31=0,"",INDEX('[1]Grade Project'!$K:$K,MATCH(CONCATENATE($A$5,$A$8),'[1]Grade Project'!$H:$H,0)+SUM($I$3:I31)))</f>
        <v/>
      </c>
      <c r="I32">
        <f>COUNTIFS('[1]Grade Project'!$G:$G,$A$8,'[1]Grade Project'!$K:$K,H32,'[1]Grade Project'!$F:$F,$A$5)</f>
        <v>0</v>
      </c>
      <c r="J32" t="str">
        <f>IFERROR(AVERAGEIFS('[1]Grade Project'!$N:$N,'[1]Grade Project'!$K:$K,H32,'[1]Grade Project'!$F:$F,$A$5,'[1]Grade Project'!$G:$G,$A$8),"")</f>
        <v/>
      </c>
      <c r="K32" t="str">
        <f>IFERROR(AVERAGEIFS('[1]Grade Project'!$O:$O,'[1]Grade Project'!$K:$K,H32,'[1]Grade Project'!$F:$F,$A$5,'[1]Grade Project'!$G:$G,$A$8),"")</f>
        <v/>
      </c>
      <c r="L32" t="str">
        <f t="shared" si="1"/>
        <v/>
      </c>
      <c r="M32" t="str">
        <f t="shared" si="2"/>
        <v/>
      </c>
      <c r="N32" t="str">
        <f t="shared" si="3"/>
        <v/>
      </c>
    </row>
    <row r="33" spans="2:14" x14ac:dyDescent="0.25">
      <c r="B33" t="s">
        <v>32</v>
      </c>
      <c r="C33" t="e">
        <f>IF(C32="","",IF(C32=INDEX('[1]Grade Project'!$F:$F,MATCH($A$3,'[1]Grade Project'!$E:$E,0)+SUM($D$3:D32)),"",INDEX('[1]Grade Project'!$F:$F,MATCH($A$3,'[1]Grade Project'!$E:$E,0)+SUM($D$3:D32))))</f>
        <v>#N/A</v>
      </c>
      <c r="E33" t="str">
        <f t="shared" si="0"/>
        <v/>
      </c>
      <c r="F33" t="str">
        <f>IF(G32=0,"",INDEX('[1]Grade Project'!$G:$G,MATCH($A$5,'[1]Grade Project'!$F:$F,0)+SUM($G$3:G32)))</f>
        <v/>
      </c>
      <c r="G33">
        <f>COUNTIFS('[1]Grade Project'!$F:$F,$A$5,'[1]Grade Project'!$G:$G,F33)</f>
        <v>0</v>
      </c>
      <c r="H33" t="str">
        <f>IF(I32=0,"",INDEX('[1]Grade Project'!$K:$K,MATCH(CONCATENATE($A$5,$A$8),'[1]Grade Project'!$H:$H,0)+SUM($I$3:I32)))</f>
        <v/>
      </c>
      <c r="I33">
        <f>COUNTIFS('[1]Grade Project'!$G:$G,$A$8,'[1]Grade Project'!$K:$K,H33,'[1]Grade Project'!$F:$F,$A$5)</f>
        <v>0</v>
      </c>
      <c r="J33" t="str">
        <f>IFERROR(AVERAGEIFS('[1]Grade Project'!$N:$N,'[1]Grade Project'!$K:$K,H33,'[1]Grade Project'!$F:$F,$A$5,'[1]Grade Project'!$G:$G,$A$8),"")</f>
        <v/>
      </c>
      <c r="K33" t="str">
        <f>IFERROR(AVERAGEIFS('[1]Grade Project'!$O:$O,'[1]Grade Project'!$K:$K,H33,'[1]Grade Project'!$F:$F,$A$5,'[1]Grade Project'!$G:$G,$A$8),"")</f>
        <v/>
      </c>
      <c r="L33" t="str">
        <f t="shared" si="1"/>
        <v/>
      </c>
      <c r="M33" t="str">
        <f t="shared" si="2"/>
        <v/>
      </c>
      <c r="N33" t="str">
        <f t="shared" si="3"/>
        <v/>
      </c>
    </row>
    <row r="34" spans="2:14" x14ac:dyDescent="0.25">
      <c r="B34" t="s">
        <v>33</v>
      </c>
      <c r="C34" t="e">
        <f>IF(C33="","",IF(C33=INDEX('[1]Grade Project'!$F:$F,MATCH($A$3,'[1]Grade Project'!$E:$E,0)+SUM($D$3:D33)),"",INDEX('[1]Grade Project'!$F:$F,MATCH($A$3,'[1]Grade Project'!$E:$E,0)+SUM($D$3:D33))))</f>
        <v>#N/A</v>
      </c>
      <c r="E34" t="str">
        <f t="shared" si="0"/>
        <v/>
      </c>
      <c r="F34" t="str">
        <f>IF(G33=0,"",INDEX('[1]Grade Project'!$G:$G,MATCH($A$5,'[1]Grade Project'!$F:$F,0)+SUM($G$3:G33)))</f>
        <v/>
      </c>
      <c r="G34">
        <f>COUNTIFS('[1]Grade Project'!$F:$F,$A$5,'[1]Grade Project'!$G:$G,F34)</f>
        <v>0</v>
      </c>
      <c r="H34" t="str">
        <f>IF(I33=0,"",INDEX('[1]Grade Project'!$K:$K,MATCH(CONCATENATE($A$5,$A$8),'[1]Grade Project'!$H:$H,0)+SUM($I$3:I33)))</f>
        <v/>
      </c>
      <c r="I34">
        <f>COUNTIFS('[1]Grade Project'!$G:$G,$A$8,'[1]Grade Project'!$K:$K,H34,'[1]Grade Project'!$F:$F,$A$5)</f>
        <v>0</v>
      </c>
      <c r="J34" t="str">
        <f>IFERROR(AVERAGEIFS('[1]Grade Project'!$N:$N,'[1]Grade Project'!$K:$K,H34,'[1]Grade Project'!$F:$F,$A$5,'[1]Grade Project'!$G:$G,$A$8),"")</f>
        <v/>
      </c>
      <c r="K34" t="str">
        <f>IFERROR(AVERAGEIFS('[1]Grade Project'!$O:$O,'[1]Grade Project'!$K:$K,H34,'[1]Grade Project'!$F:$F,$A$5,'[1]Grade Project'!$G:$G,$A$8),"")</f>
        <v/>
      </c>
      <c r="L34" t="str">
        <f t="shared" si="1"/>
        <v/>
      </c>
      <c r="M34" t="str">
        <f t="shared" si="2"/>
        <v/>
      </c>
      <c r="N34" t="str">
        <f t="shared" si="3"/>
        <v/>
      </c>
    </row>
    <row r="35" spans="2:14" x14ac:dyDescent="0.25">
      <c r="B35" t="s">
        <v>34</v>
      </c>
      <c r="C35" t="e">
        <f>IF(C34="","",IF(C34=INDEX('[1]Grade Project'!$F:$F,MATCH($A$3,'[1]Grade Project'!$E:$E,0)+SUM($D$3:D34)),"",INDEX('[1]Grade Project'!$F:$F,MATCH($A$3,'[1]Grade Project'!$E:$E,0)+SUM($D$3:D34))))</f>
        <v>#N/A</v>
      </c>
      <c r="E35" t="str">
        <f t="shared" si="0"/>
        <v/>
      </c>
      <c r="F35" t="str">
        <f>IF(G34=0,"",INDEX('[1]Grade Project'!$G:$G,MATCH($A$5,'[1]Grade Project'!$F:$F,0)+SUM($G$3:G34)))</f>
        <v/>
      </c>
      <c r="G35">
        <f>COUNTIFS('[1]Grade Project'!$F:$F,$A$5,'[1]Grade Project'!$G:$G,F35)</f>
        <v>0</v>
      </c>
      <c r="H35" t="str">
        <f>IF(I34=0,"",INDEX('[1]Grade Project'!$K:$K,MATCH(CONCATENATE($A$5,$A$8),'[1]Grade Project'!$H:$H,0)+SUM($I$3:I34)))</f>
        <v/>
      </c>
      <c r="I35">
        <f>COUNTIFS('[1]Grade Project'!$G:$G,$A$8,'[1]Grade Project'!$K:$K,H35,'[1]Grade Project'!$F:$F,$A$5)</f>
        <v>0</v>
      </c>
      <c r="J35" t="str">
        <f>IFERROR(AVERAGEIFS('[1]Grade Project'!$N:$N,'[1]Grade Project'!$K:$K,H35,'[1]Grade Project'!$F:$F,$A$5,'[1]Grade Project'!$G:$G,$A$8),"")</f>
        <v/>
      </c>
      <c r="K35" t="str">
        <f>IFERROR(AVERAGEIFS('[1]Grade Project'!$O:$O,'[1]Grade Project'!$K:$K,H35,'[1]Grade Project'!$F:$F,$A$5,'[1]Grade Project'!$G:$G,$A$8),"")</f>
        <v/>
      </c>
      <c r="L35" t="str">
        <f t="shared" si="1"/>
        <v/>
      </c>
      <c r="M35" t="str">
        <f t="shared" si="2"/>
        <v/>
      </c>
      <c r="N35" t="str">
        <f t="shared" si="3"/>
        <v/>
      </c>
    </row>
    <row r="36" spans="2:14" x14ac:dyDescent="0.25">
      <c r="B36" t="s">
        <v>35</v>
      </c>
      <c r="C36" t="e">
        <f>IF(C35="","",IF(C35=INDEX('[1]Grade Project'!$F:$F,MATCH($A$3,'[1]Grade Project'!$E:$E,0)+SUM($D$3:D35)),"",INDEX('[1]Grade Project'!$F:$F,MATCH($A$3,'[1]Grade Project'!$E:$E,0)+SUM($D$3:D35))))</f>
        <v>#N/A</v>
      </c>
      <c r="E36" t="str">
        <f t="shared" si="0"/>
        <v/>
      </c>
      <c r="F36" t="str">
        <f>IF(G35=0,"",INDEX('[1]Grade Project'!$G:$G,MATCH($A$5,'[1]Grade Project'!$F:$F,0)+SUM($G$3:G35)))</f>
        <v/>
      </c>
      <c r="G36">
        <f>COUNTIFS('[1]Grade Project'!$F:$F,$A$5,'[1]Grade Project'!$G:$G,F36)</f>
        <v>0</v>
      </c>
      <c r="H36" t="str">
        <f>IF(I35=0,"",INDEX('[1]Grade Project'!$K:$K,MATCH(CONCATENATE($A$5,$A$8),'[1]Grade Project'!$H:$H,0)+SUM($I$3:I35)))</f>
        <v/>
      </c>
      <c r="I36">
        <f>COUNTIFS('[1]Grade Project'!$G:$G,$A$8,'[1]Grade Project'!$K:$K,H36,'[1]Grade Project'!$F:$F,$A$5)</f>
        <v>0</v>
      </c>
      <c r="J36" t="str">
        <f>IFERROR(AVERAGEIFS('[1]Grade Project'!$N:$N,'[1]Grade Project'!$K:$K,H36,'[1]Grade Project'!$F:$F,$A$5,'[1]Grade Project'!$G:$G,$A$8),"")</f>
        <v/>
      </c>
      <c r="K36" t="str">
        <f>IFERROR(AVERAGEIFS('[1]Grade Project'!$O:$O,'[1]Grade Project'!$K:$K,H36,'[1]Grade Project'!$F:$F,$A$5,'[1]Grade Project'!$G:$G,$A$8),"")</f>
        <v/>
      </c>
      <c r="L36" t="str">
        <f t="shared" si="1"/>
        <v/>
      </c>
      <c r="M36" t="str">
        <f t="shared" si="2"/>
        <v/>
      </c>
      <c r="N36" t="str">
        <f t="shared" si="3"/>
        <v/>
      </c>
    </row>
    <row r="37" spans="2:14" x14ac:dyDescent="0.25">
      <c r="B37" t="s">
        <v>36</v>
      </c>
      <c r="C37" t="e">
        <f>IF(C36="","",IF(C36=INDEX('[1]Grade Project'!$F:$F,MATCH($A$3,'[1]Grade Project'!$E:$E,0)+SUM($D$3:D36)),"",INDEX('[1]Grade Project'!$F:$F,MATCH($A$3,'[1]Grade Project'!$E:$E,0)+SUM($D$3:D36))))</f>
        <v>#N/A</v>
      </c>
      <c r="F37" t="str">
        <f>IF(G36=0,"",INDEX('[1]Grade Project'!$G:$G,MATCH($A$5,'[1]Grade Project'!$F:$F,0)+SUM($G$3:G36)))</f>
        <v/>
      </c>
      <c r="G37">
        <f>COUNTIFS('[1]Grade Project'!$F:$F,$A$5,'[1]Grade Project'!$G:$G,F37)</f>
        <v>0</v>
      </c>
      <c r="H37" t="str">
        <f>IF(I36=0,"",INDEX('[1]Grade Project'!$K:$K,MATCH(CONCATENATE($A$5,$A$8),'[1]Grade Project'!$H:$H,0)+SUM($I$3:I36)))</f>
        <v/>
      </c>
      <c r="I37">
        <f>COUNTIFS('[1]Grade Project'!$G:$G,$A$8,'[1]Grade Project'!$K:$K,H37,'[1]Grade Project'!$F:$F,$A$5)</f>
        <v>0</v>
      </c>
      <c r="J37" t="str">
        <f>IFERROR(AVERAGEIFS('[1]Grade Project'!$N:$N,'[1]Grade Project'!$K:$K,H37,'[1]Grade Project'!$F:$F,$A$5,'[1]Grade Project'!$G:$G,$A$8),"")</f>
        <v/>
      </c>
      <c r="K37" t="str">
        <f>IFERROR(AVERAGEIFS('[1]Grade Project'!$O:$O,'[1]Grade Project'!$K:$K,H37,'[1]Grade Project'!$F:$F,$A$5,'[1]Grade Project'!$G:$G,$A$8),"")</f>
        <v/>
      </c>
      <c r="L37" t="str">
        <f t="shared" si="1"/>
        <v/>
      </c>
      <c r="M37" t="str">
        <f t="shared" si="2"/>
        <v/>
      </c>
      <c r="N37" t="str">
        <f t="shared" si="3"/>
        <v/>
      </c>
    </row>
    <row r="38" spans="2:14" x14ac:dyDescent="0.25">
      <c r="B38" t="s">
        <v>37</v>
      </c>
      <c r="C38" t="e">
        <f>IF(C37="","",IF(C37=INDEX('[1]Grade Project'!$F:$F,MATCH($A$3,'[1]Grade Project'!$E:$E,0)+SUM($D$3:D37)),"",INDEX('[1]Grade Project'!$F:$F,MATCH($A$3,'[1]Grade Project'!$E:$E,0)+SUM($D$3:D37))))</f>
        <v>#N/A</v>
      </c>
      <c r="F38" t="str">
        <f>IF(G37=0,"",INDEX('[1]Grade Project'!$G:$G,MATCH($A$5,'[1]Grade Project'!$F:$F,0)+SUM($G$3:G37)))</f>
        <v/>
      </c>
      <c r="G38">
        <f>COUNTIFS('[1]Grade Project'!$F:$F,$A$5,'[1]Grade Project'!$G:$G,F38)</f>
        <v>0</v>
      </c>
      <c r="H38" t="str">
        <f>IF(I37=0,"",INDEX('[1]Grade Project'!$K:$K,MATCH(CONCATENATE($A$5,$A$8),'[1]Grade Project'!$H:$H,0)+SUM($I$3:I37)))</f>
        <v/>
      </c>
      <c r="I38">
        <f>COUNTIFS('[1]Grade Project'!$G:$G,$A$8,'[1]Grade Project'!$K:$K,H38,'[1]Grade Project'!$F:$F,$A$5)</f>
        <v>0</v>
      </c>
      <c r="J38" t="str">
        <f>IFERROR(AVERAGEIFS('[1]Grade Project'!$N:$N,'[1]Grade Project'!$K:$K,H38,'[1]Grade Project'!$F:$F,$A$5,'[1]Grade Project'!$G:$G,$A$8),"")</f>
        <v/>
      </c>
      <c r="K38" t="str">
        <f>IFERROR(AVERAGEIFS('[1]Grade Project'!$O:$O,'[1]Grade Project'!$K:$K,H38,'[1]Grade Project'!$F:$F,$A$5,'[1]Grade Project'!$G:$G,$A$8),"")</f>
        <v/>
      </c>
      <c r="L38" t="str">
        <f t="shared" si="1"/>
        <v/>
      </c>
      <c r="M38" t="str">
        <f t="shared" si="2"/>
        <v/>
      </c>
      <c r="N38" t="str">
        <f t="shared" si="3"/>
        <v/>
      </c>
    </row>
    <row r="39" spans="2:14" x14ac:dyDescent="0.25">
      <c r="B39" t="s">
        <v>38</v>
      </c>
      <c r="C39" t="e">
        <f>IF(C38="","",IF(C38=INDEX('[1]Grade Project'!$F:$F,MATCH($A$3,'[1]Grade Project'!$E:$E,0)+SUM($D$3:D38)),"",INDEX('[1]Grade Project'!$F:$F,MATCH($A$3,'[1]Grade Project'!$E:$E,0)+SUM($D$3:D38))))</f>
        <v>#N/A</v>
      </c>
      <c r="F39" t="str">
        <f>IF(G38=0,"",INDEX('[1]Grade Project'!$G:$G,MATCH($A$5,'[1]Grade Project'!$F:$F,0)+SUM($G$3:G38)))</f>
        <v/>
      </c>
      <c r="G39">
        <f>COUNTIFS('[1]Grade Project'!$F:$F,$A$5,'[1]Grade Project'!$G:$G,F39)</f>
        <v>0</v>
      </c>
      <c r="H39" t="str">
        <f>IF(I38=0,"",INDEX('[1]Grade Project'!$K:$K,MATCH(CONCATENATE($A$5,$A$8),'[1]Grade Project'!$H:$H,0)+SUM($I$3:I38)))</f>
        <v/>
      </c>
      <c r="I39">
        <f>COUNTIFS('[1]Grade Project'!$G:$G,$A$8,'[1]Grade Project'!$K:$K,H39,'[1]Grade Project'!$F:$F,$A$5)</f>
        <v>0</v>
      </c>
      <c r="J39" t="str">
        <f>IFERROR(AVERAGEIFS('[1]Grade Project'!$N:$N,'[1]Grade Project'!$K:$K,H39,'[1]Grade Project'!$F:$F,$A$5,'[1]Grade Project'!$G:$G,$A$8),"")</f>
        <v/>
      </c>
      <c r="K39" t="str">
        <f>IFERROR(AVERAGEIFS('[1]Grade Project'!$O:$O,'[1]Grade Project'!$K:$K,H39,'[1]Grade Project'!$F:$F,$A$5,'[1]Grade Project'!$G:$G,$A$8),"")</f>
        <v/>
      </c>
      <c r="L39" t="str">
        <f t="shared" si="1"/>
        <v/>
      </c>
      <c r="M39" t="str">
        <f t="shared" si="2"/>
        <v/>
      </c>
      <c r="N39" t="str">
        <f t="shared" si="3"/>
        <v/>
      </c>
    </row>
    <row r="40" spans="2:14" x14ac:dyDescent="0.25">
      <c r="B40" t="s">
        <v>39</v>
      </c>
      <c r="C40" t="e">
        <f>IF(C39="","",IF(C39=INDEX('[1]Grade Project'!$F:$F,MATCH($A$3,'[1]Grade Project'!$E:$E,0)+SUM($D$3:D39)),"",INDEX('[1]Grade Project'!$F:$F,MATCH($A$3,'[1]Grade Project'!$E:$E,0)+SUM($D$3:D39))))</f>
        <v>#N/A</v>
      </c>
      <c r="F40" t="str">
        <f>IF(G39=0,"",INDEX('[1]Grade Project'!$G:$G,MATCH($A$5,'[1]Grade Project'!$F:$F,0)+SUM($G$3:G39)))</f>
        <v/>
      </c>
      <c r="G40">
        <f>COUNTIFS('[1]Grade Project'!$F:$F,$A$5,'[1]Grade Project'!$G:$G,F40)</f>
        <v>0</v>
      </c>
      <c r="H40" t="str">
        <f>IF(I39=0,"",INDEX('[1]Grade Project'!$K:$K,MATCH(CONCATENATE($A$5,$A$8),'[1]Grade Project'!$H:$H,0)+SUM($I$3:I39)))</f>
        <v/>
      </c>
      <c r="I40">
        <f>COUNTIFS('[1]Grade Project'!$G:$G,$A$8,'[1]Grade Project'!$K:$K,H40,'[1]Grade Project'!$F:$F,$A$5)</f>
        <v>0</v>
      </c>
      <c r="J40" t="str">
        <f>IFERROR(AVERAGEIFS('[1]Grade Project'!$N:$N,'[1]Grade Project'!$K:$K,H40,'[1]Grade Project'!$F:$F,$A$5,'[1]Grade Project'!$G:$G,$A$8),"")</f>
        <v/>
      </c>
      <c r="K40" t="str">
        <f>IFERROR(AVERAGEIFS('[1]Grade Project'!$O:$O,'[1]Grade Project'!$K:$K,H40,'[1]Grade Project'!$F:$F,$A$5,'[1]Grade Project'!$G:$G,$A$8),"")</f>
        <v/>
      </c>
      <c r="L40" t="str">
        <f t="shared" si="1"/>
        <v/>
      </c>
      <c r="M40" t="str">
        <f t="shared" si="2"/>
        <v/>
      </c>
      <c r="N40" t="str">
        <f t="shared" si="3"/>
        <v/>
      </c>
    </row>
    <row r="41" spans="2:14" x14ac:dyDescent="0.25">
      <c r="B41" t="s">
        <v>40</v>
      </c>
      <c r="C41" t="e">
        <f>IF(C40="","",IF(C40=INDEX('[1]Grade Project'!$F:$F,MATCH($A$3,'[1]Grade Project'!$E:$E,0)+SUM($D$3:D40)),"",INDEX('[1]Grade Project'!$F:$F,MATCH($A$3,'[1]Grade Project'!$E:$E,0)+SUM($D$3:D40))))</f>
        <v>#N/A</v>
      </c>
      <c r="F41" t="str">
        <f>IF(G40=0,"",INDEX('[1]Grade Project'!$G:$G,MATCH($A$5,'[1]Grade Project'!$F:$F,0)+SUM($G$3:G40)))</f>
        <v/>
      </c>
      <c r="G41">
        <f>COUNTIFS('[1]Grade Project'!$F:$F,$A$5,'[1]Grade Project'!$G:$G,F41)</f>
        <v>0</v>
      </c>
      <c r="H41" t="str">
        <f>IF(I40=0,"",INDEX('[1]Grade Project'!$K:$K,MATCH(CONCATENATE($A$5,$A$8),'[1]Grade Project'!$H:$H,0)+SUM($I$3:I40)))</f>
        <v/>
      </c>
      <c r="I41">
        <f>COUNTIFS('[1]Grade Project'!$G:$G,$A$8,'[1]Grade Project'!$K:$K,H41,'[1]Grade Project'!$F:$F,$A$5)</f>
        <v>0</v>
      </c>
      <c r="J41" t="str">
        <f>IFERROR(AVERAGEIFS('[1]Grade Project'!$N:$N,'[1]Grade Project'!$K:$K,H41,'[1]Grade Project'!$F:$F,$A$5,'[1]Grade Project'!$G:$G,$A$8),"")</f>
        <v/>
      </c>
      <c r="K41" t="str">
        <f>IFERROR(AVERAGEIFS('[1]Grade Project'!$O:$O,'[1]Grade Project'!$K:$K,H41,'[1]Grade Project'!$F:$F,$A$5,'[1]Grade Project'!$G:$G,$A$8),"")</f>
        <v/>
      </c>
      <c r="L41" t="str">
        <f t="shared" si="1"/>
        <v/>
      </c>
      <c r="M41" t="str">
        <f t="shared" si="2"/>
        <v/>
      </c>
      <c r="N41" t="str">
        <f t="shared" si="3"/>
        <v/>
      </c>
    </row>
    <row r="42" spans="2:14" x14ac:dyDescent="0.25">
      <c r="B42" t="s">
        <v>41</v>
      </c>
      <c r="C42" t="e">
        <f>IF(C41="","",IF(C41=INDEX('[1]Grade Project'!$F:$F,MATCH($A$3,'[1]Grade Project'!$E:$E,0)+SUM($D$3:D41)),"",INDEX('[1]Grade Project'!$F:$F,MATCH($A$3,'[1]Grade Project'!$E:$E,0)+SUM($D$3:D41))))</f>
        <v>#N/A</v>
      </c>
      <c r="F42" t="str">
        <f>IF(G41=0,"",INDEX('[1]Grade Project'!$G:$G,MATCH($A$5,'[1]Grade Project'!$F:$F,0)+SUM($G$3:G41)))</f>
        <v/>
      </c>
      <c r="G42">
        <f>COUNTIFS('[1]Grade Project'!$F:$F,$A$5,'[1]Grade Project'!$G:$G,F42)</f>
        <v>0</v>
      </c>
      <c r="H42" t="str">
        <f>IF(I41=0,"",INDEX('[1]Grade Project'!$K:$K,MATCH(CONCATENATE($A$5,$A$8),'[1]Grade Project'!$H:$H,0)+SUM($I$3:I41)))</f>
        <v/>
      </c>
      <c r="I42">
        <f>COUNTIFS('[1]Grade Project'!$G:$G,$A$8,'[1]Grade Project'!$K:$K,H42,'[1]Grade Project'!$F:$F,$A$5)</f>
        <v>0</v>
      </c>
      <c r="J42" t="str">
        <f>IFERROR(AVERAGEIFS('[1]Grade Project'!$N:$N,'[1]Grade Project'!$K:$K,H42,'[1]Grade Project'!$F:$F,$A$5,'[1]Grade Project'!$G:$G,$A$8),"")</f>
        <v/>
      </c>
      <c r="K42" t="str">
        <f>IFERROR(AVERAGEIFS('[1]Grade Project'!$O:$O,'[1]Grade Project'!$K:$K,H42,'[1]Grade Project'!$F:$F,$A$5,'[1]Grade Project'!$G:$G,$A$8),"")</f>
        <v/>
      </c>
      <c r="L42" t="str">
        <f t="shared" si="1"/>
        <v/>
      </c>
      <c r="M42" t="str">
        <f t="shared" si="2"/>
        <v/>
      </c>
      <c r="N42" t="str">
        <f t="shared" si="3"/>
        <v/>
      </c>
    </row>
    <row r="43" spans="2:14" x14ac:dyDescent="0.25">
      <c r="B43" t="s">
        <v>42</v>
      </c>
      <c r="C43" t="e">
        <f>IF(C42="","",IF(C42=INDEX('[1]Grade Project'!$F:$F,MATCH($A$3,'[1]Grade Project'!$E:$E,0)+SUM($D$3:D42)),"",INDEX('[1]Grade Project'!$F:$F,MATCH($A$3,'[1]Grade Project'!$E:$E,0)+SUM($D$3:D42))))</f>
        <v>#N/A</v>
      </c>
      <c r="F43" t="str">
        <f>IF(G42=0,"",INDEX('[1]Grade Project'!$G:$G,MATCH($A$5,'[1]Grade Project'!$F:$F,0)+SUM($G$3:G42)))</f>
        <v/>
      </c>
      <c r="G43">
        <f>COUNTIFS('[1]Grade Project'!$F:$F,$A$5,'[1]Grade Project'!$G:$G,F43)</f>
        <v>0</v>
      </c>
      <c r="H43" t="str">
        <f>IF(I42=0,"",INDEX('[1]Grade Project'!$K:$K,MATCH(CONCATENATE($A$5,$A$8),'[1]Grade Project'!$H:$H,0)+SUM($I$3:I42)))</f>
        <v/>
      </c>
      <c r="I43">
        <f>COUNTIFS('[1]Grade Project'!$G:$G,$A$8,'[1]Grade Project'!$K:$K,H43,'[1]Grade Project'!$F:$F,$A$5)</f>
        <v>0</v>
      </c>
      <c r="J43" t="str">
        <f>IFERROR(AVERAGEIFS('[1]Grade Project'!$N:$N,'[1]Grade Project'!$K:$K,H43,'[1]Grade Project'!$F:$F,$A$5,'[1]Grade Project'!$G:$G,$A$8),"")</f>
        <v/>
      </c>
      <c r="K43" t="str">
        <f>IFERROR(AVERAGEIFS('[1]Grade Project'!$O:$O,'[1]Grade Project'!$K:$K,H43,'[1]Grade Project'!$F:$F,$A$5,'[1]Grade Project'!$G:$G,$A$8),"")</f>
        <v/>
      </c>
      <c r="L43" t="str">
        <f t="shared" si="1"/>
        <v/>
      </c>
      <c r="M43" t="str">
        <f t="shared" si="2"/>
        <v/>
      </c>
      <c r="N43" t="str">
        <f t="shared" si="3"/>
        <v/>
      </c>
    </row>
    <row r="44" spans="2:14" x14ac:dyDescent="0.25">
      <c r="B44" t="s">
        <v>43</v>
      </c>
      <c r="C44" t="e">
        <f>IF(C43="","",IF(C43=INDEX('[1]Grade Project'!$F:$F,MATCH($A$3,'[1]Grade Project'!$E:$E,0)+SUM($D$3:D43)),"",INDEX('[1]Grade Project'!$F:$F,MATCH($A$3,'[1]Grade Project'!$E:$E,0)+SUM($D$3:D43))))</f>
        <v>#N/A</v>
      </c>
      <c r="F44" t="str">
        <f>IF(G43=0,"",INDEX('[1]Grade Project'!$G:$G,MATCH($A$5,'[1]Grade Project'!$F:$F,0)+SUM($G$3:G43)))</f>
        <v/>
      </c>
      <c r="G44">
        <f>COUNTIFS('[1]Grade Project'!$F:$F,$A$5,'[1]Grade Project'!$G:$G,F44)</f>
        <v>0</v>
      </c>
      <c r="H44" t="str">
        <f>IF(I43=0,"",INDEX('[1]Grade Project'!$K:$K,MATCH(CONCATENATE($A$5,$A$8),'[1]Grade Project'!$H:$H,0)+SUM($I$3:I43)))</f>
        <v/>
      </c>
      <c r="I44">
        <f>COUNTIFS('[1]Grade Project'!$G:$G,$A$8,'[1]Grade Project'!$K:$K,H44,'[1]Grade Project'!$F:$F,$A$5)</f>
        <v>0</v>
      </c>
      <c r="J44" t="str">
        <f>IFERROR(AVERAGEIFS('[1]Grade Project'!$N:$N,'[1]Grade Project'!$K:$K,H44,'[1]Grade Project'!$F:$F,$A$5,'[1]Grade Project'!$G:$G,$A$8),"")</f>
        <v/>
      </c>
      <c r="K44" t="str">
        <f>IFERROR(AVERAGEIFS('[1]Grade Project'!$O:$O,'[1]Grade Project'!$K:$K,H44,'[1]Grade Project'!$F:$F,$A$5,'[1]Grade Project'!$G:$G,$A$8),"")</f>
        <v/>
      </c>
      <c r="L44" t="str">
        <f t="shared" si="1"/>
        <v/>
      </c>
      <c r="M44" t="str">
        <f t="shared" si="2"/>
        <v/>
      </c>
      <c r="N44" t="str">
        <f t="shared" si="3"/>
        <v/>
      </c>
    </row>
    <row r="45" spans="2:14" x14ac:dyDescent="0.25">
      <c r="B45" t="s">
        <v>44</v>
      </c>
      <c r="C45" t="e">
        <f>IF(C44="","",IF(C44=INDEX('[1]Grade Project'!$F:$F,MATCH($A$3,'[1]Grade Project'!$E:$E,0)+SUM($D$3:D44)),"",INDEX('[1]Grade Project'!$F:$F,MATCH($A$3,'[1]Grade Project'!$E:$E,0)+SUM($D$3:D44))))</f>
        <v>#N/A</v>
      </c>
      <c r="F45" t="str">
        <f>IF(G44=0,"",INDEX('[1]Grade Project'!$G:$G,MATCH($A$5,'[1]Grade Project'!$F:$F,0)+SUM($G$3:G44)))</f>
        <v/>
      </c>
      <c r="G45">
        <f>COUNTIFS('[1]Grade Project'!$F:$F,$A$5,'[1]Grade Project'!$G:$G,F45)</f>
        <v>0</v>
      </c>
      <c r="H45" t="str">
        <f>IF(I44=0,"",INDEX('[1]Grade Project'!$K:$K,MATCH(CONCATENATE($A$5,$A$8),'[1]Grade Project'!$H:$H,0)+SUM($I$3:I44)))</f>
        <v/>
      </c>
      <c r="I45">
        <f>COUNTIFS('[1]Grade Project'!$G:$G,$A$8,'[1]Grade Project'!$K:$K,H45,'[1]Grade Project'!$F:$F,$A$5)</f>
        <v>0</v>
      </c>
      <c r="J45" t="str">
        <f>IFERROR(AVERAGEIFS('[1]Grade Project'!$N:$N,'[1]Grade Project'!$K:$K,H45,'[1]Grade Project'!$F:$F,$A$5,'[1]Grade Project'!$G:$G,$A$8),"")</f>
        <v/>
      </c>
      <c r="K45" t="str">
        <f>IFERROR(AVERAGEIFS('[1]Grade Project'!$O:$O,'[1]Grade Project'!$K:$K,H45,'[1]Grade Project'!$F:$F,$A$5,'[1]Grade Project'!$G:$G,$A$8),"")</f>
        <v/>
      </c>
      <c r="L45" t="str">
        <f t="shared" si="1"/>
        <v/>
      </c>
      <c r="M45" t="str">
        <f t="shared" si="2"/>
        <v/>
      </c>
      <c r="N45" t="str">
        <f t="shared" si="3"/>
        <v/>
      </c>
    </row>
    <row r="46" spans="2:14" x14ac:dyDescent="0.25">
      <c r="B46" t="s">
        <v>45</v>
      </c>
      <c r="C46" t="e">
        <f>IF(C45="","",IF(C45=INDEX('[1]Grade Project'!$F:$F,MATCH($A$3,'[1]Grade Project'!$E:$E,0)+SUM($D$3:D45)),"",INDEX('[1]Grade Project'!$F:$F,MATCH($A$3,'[1]Grade Project'!$E:$E,0)+SUM($D$3:D45))))</f>
        <v>#N/A</v>
      </c>
      <c r="F46" t="str">
        <f>IF(G45=0,"",INDEX('[1]Grade Project'!$G:$G,MATCH($A$5,'[1]Grade Project'!$F:$F,0)+SUM($G$3:G45)))</f>
        <v/>
      </c>
      <c r="G46">
        <f>COUNTIFS('[1]Grade Project'!$F:$F,$A$5,'[1]Grade Project'!$G:$G,F46)</f>
        <v>0</v>
      </c>
      <c r="H46" t="str">
        <f>IF(I45=0,"",INDEX('[1]Grade Project'!$K:$K,MATCH(CONCATENATE($A$5,$A$8),'[1]Grade Project'!$H:$H,0)+SUM($I$3:I45)))</f>
        <v/>
      </c>
      <c r="I46">
        <f>COUNTIFS('[1]Grade Project'!$G:$G,$A$8,'[1]Grade Project'!$K:$K,H46,'[1]Grade Project'!$F:$F,$A$5)</f>
        <v>0</v>
      </c>
      <c r="J46" t="str">
        <f>IFERROR(AVERAGEIFS('[1]Grade Project'!$N:$N,'[1]Grade Project'!$K:$K,H46,'[1]Grade Project'!$F:$F,$A$5,'[1]Grade Project'!$G:$G,$A$8),"")</f>
        <v/>
      </c>
      <c r="K46" t="str">
        <f>IFERROR(AVERAGEIFS('[1]Grade Project'!$O:$O,'[1]Grade Project'!$K:$K,H46,'[1]Grade Project'!$F:$F,$A$5,'[1]Grade Project'!$G:$G,$A$8),"")</f>
        <v/>
      </c>
      <c r="L46" t="str">
        <f t="shared" si="1"/>
        <v/>
      </c>
      <c r="M46" t="str">
        <f t="shared" si="2"/>
        <v/>
      </c>
      <c r="N46" t="str">
        <f t="shared" si="3"/>
        <v/>
      </c>
    </row>
    <row r="47" spans="2:14" x14ac:dyDescent="0.25">
      <c r="B47" t="s">
        <v>46</v>
      </c>
      <c r="C47" t="e">
        <f>IF(C46="","",IF(C46=INDEX('[1]Grade Project'!$F:$F,MATCH($A$3,'[1]Grade Project'!$E:$E,0)+SUM($D$3:D46)),"",INDEX('[1]Grade Project'!$F:$F,MATCH($A$3,'[1]Grade Project'!$E:$E,0)+SUM($D$3:D46))))</f>
        <v>#N/A</v>
      </c>
      <c r="F47" t="str">
        <f>IF(G46=0,"",INDEX('[1]Grade Project'!$G:$G,MATCH($A$5,'[1]Grade Project'!$F:$F,0)+SUM($G$3:G46)))</f>
        <v/>
      </c>
      <c r="G47">
        <f>COUNTIFS('[1]Grade Project'!$F:$F,$A$5,'[1]Grade Project'!$G:$G,F47)</f>
        <v>0</v>
      </c>
      <c r="H47" t="str">
        <f>IF(I46=0,"",INDEX('[1]Grade Project'!$K:$K,MATCH(CONCATENATE($A$5,$A$8),'[1]Grade Project'!$H:$H,0)+SUM($I$3:I46)))</f>
        <v/>
      </c>
      <c r="I47">
        <f>COUNTIFS('[1]Grade Project'!$G:$G,$A$8,'[1]Grade Project'!$K:$K,H47,'[1]Grade Project'!$F:$F,$A$5)</f>
        <v>0</v>
      </c>
      <c r="J47" t="str">
        <f>IFERROR(AVERAGEIFS('[1]Grade Project'!$N:$N,'[1]Grade Project'!$K:$K,H47,'[1]Grade Project'!$F:$F,$A$5,'[1]Grade Project'!$G:$G,$A$8),"")</f>
        <v/>
      </c>
      <c r="K47" t="str">
        <f>IFERROR(AVERAGEIFS('[1]Grade Project'!$O:$O,'[1]Grade Project'!$K:$K,H47,'[1]Grade Project'!$F:$F,$A$5,'[1]Grade Project'!$G:$G,$A$8),"")</f>
        <v/>
      </c>
      <c r="L47" t="str">
        <f t="shared" si="1"/>
        <v/>
      </c>
      <c r="M47" t="str">
        <f t="shared" si="2"/>
        <v/>
      </c>
      <c r="N47" t="str">
        <f t="shared" si="3"/>
        <v/>
      </c>
    </row>
    <row r="48" spans="2:14" x14ac:dyDescent="0.25">
      <c r="B48" t="s">
        <v>47</v>
      </c>
      <c r="C48" t="e">
        <f>IF(C47="","",IF(C47=INDEX('[1]Grade Project'!$F:$F,MATCH($A$3,'[1]Grade Project'!$E:$E,0)+SUM($D$3:D47)),"",INDEX('[1]Grade Project'!$F:$F,MATCH($A$3,'[1]Grade Project'!$E:$E,0)+SUM($D$3:D47))))</f>
        <v>#N/A</v>
      </c>
      <c r="F48" t="str">
        <f>IF(G47=0,"",INDEX('[1]Grade Project'!$G:$G,MATCH($A$5,'[1]Grade Project'!$F:$F,0)+SUM($G$3:G47)))</f>
        <v/>
      </c>
      <c r="G48">
        <f>COUNTIFS('[1]Grade Project'!$F:$F,$A$5,'[1]Grade Project'!$G:$G,F48)</f>
        <v>0</v>
      </c>
      <c r="H48" t="str">
        <f>IF(I47=0,"",INDEX('[1]Grade Project'!$K:$K,MATCH(CONCATENATE($A$5,$A$8),'[1]Grade Project'!$H:$H,0)+SUM($I$3:I47)))</f>
        <v/>
      </c>
      <c r="I48">
        <f>COUNTIFS('[1]Grade Project'!$G:$G,$A$8,'[1]Grade Project'!$K:$K,H48,'[1]Grade Project'!$F:$F,$A$5)</f>
        <v>0</v>
      </c>
      <c r="J48" t="str">
        <f>IFERROR(AVERAGEIFS('[1]Grade Project'!$N:$N,'[1]Grade Project'!$K:$K,H48,'[1]Grade Project'!$F:$F,$A$5,'[1]Grade Project'!$G:$G,$A$8),"")</f>
        <v/>
      </c>
      <c r="K48" t="str">
        <f>IFERROR(AVERAGEIFS('[1]Grade Project'!$O:$O,'[1]Grade Project'!$K:$K,H48,'[1]Grade Project'!$F:$F,$A$5,'[1]Grade Project'!$G:$G,$A$8),"")</f>
        <v/>
      </c>
      <c r="L48" t="str">
        <f t="shared" si="1"/>
        <v/>
      </c>
      <c r="M48" t="str">
        <f t="shared" si="2"/>
        <v/>
      </c>
      <c r="N48" t="str">
        <f t="shared" si="3"/>
        <v/>
      </c>
    </row>
    <row r="49" spans="2:14" x14ac:dyDescent="0.25">
      <c r="B49" t="s">
        <v>48</v>
      </c>
      <c r="C49" t="e">
        <f>IF(C48="","",IF(C48=INDEX('[1]Grade Project'!$F:$F,MATCH($A$3,'[1]Grade Project'!$E:$E,0)+SUM($D$3:D48)),"",INDEX('[1]Grade Project'!$F:$F,MATCH($A$3,'[1]Grade Project'!$E:$E,0)+SUM($D$3:D48))))</f>
        <v>#N/A</v>
      </c>
      <c r="F49" t="str">
        <f>IF(G48=0,"",INDEX('[1]Grade Project'!$G:$G,MATCH($A$5,'[1]Grade Project'!$F:$F,0)+SUM($G$3:G48)))</f>
        <v/>
      </c>
      <c r="G49">
        <f>COUNTIFS('[1]Grade Project'!$F:$F,$A$5,'[1]Grade Project'!$G:$G,F49)</f>
        <v>0</v>
      </c>
      <c r="H49" t="str">
        <f>IF(I48=0,"",INDEX('[1]Grade Project'!$K:$K,MATCH(CONCATENATE($A$5,$A$8),'[1]Grade Project'!$H:$H,0)+SUM($I$3:I48)))</f>
        <v/>
      </c>
      <c r="I49">
        <f>COUNTIFS('[1]Grade Project'!$G:$G,$A$8,'[1]Grade Project'!$K:$K,H49,'[1]Grade Project'!$F:$F,$A$5)</f>
        <v>0</v>
      </c>
      <c r="J49" t="str">
        <f>IFERROR(AVERAGEIFS('[1]Grade Project'!$N:$N,'[1]Grade Project'!$K:$K,H49,'[1]Grade Project'!$F:$F,$A$5,'[1]Grade Project'!$G:$G,$A$8),"")</f>
        <v/>
      </c>
      <c r="K49" t="str">
        <f>IFERROR(AVERAGEIFS('[1]Grade Project'!$O:$O,'[1]Grade Project'!$K:$K,H49,'[1]Grade Project'!$F:$F,$A$5,'[1]Grade Project'!$G:$G,$A$8),"")</f>
        <v/>
      </c>
      <c r="L49" t="str">
        <f t="shared" si="1"/>
        <v/>
      </c>
      <c r="M49" t="str">
        <f t="shared" si="2"/>
        <v/>
      </c>
      <c r="N49" t="str">
        <f t="shared" si="3"/>
        <v/>
      </c>
    </row>
    <row r="50" spans="2:14" x14ac:dyDescent="0.25">
      <c r="B50" t="s">
        <v>49</v>
      </c>
      <c r="C50" t="e">
        <f>IF(C49="","",IF(C49=INDEX('[1]Grade Project'!$F:$F,MATCH($A$3,'[1]Grade Project'!$E:$E,0)+SUM($D$3:D49)),"",INDEX('[1]Grade Project'!$F:$F,MATCH($A$3,'[1]Grade Project'!$E:$E,0)+SUM($D$3:D49))))</f>
        <v>#N/A</v>
      </c>
      <c r="F50" t="str">
        <f>IF(G49=0,"",INDEX('[1]Grade Project'!$G:$G,MATCH($A$5,'[1]Grade Project'!$F:$F,0)+SUM($G$3:G49)))</f>
        <v/>
      </c>
      <c r="G50">
        <f>COUNTIFS('[1]Grade Project'!$F:$F,$A$5,'[1]Grade Project'!$G:$G,F50)</f>
        <v>0</v>
      </c>
      <c r="H50" t="str">
        <f>IF(I49=0,"",INDEX('[1]Grade Project'!$K:$K,MATCH(CONCATENATE($A$5,$A$8),'[1]Grade Project'!$H:$H,0)+SUM($I$3:I49)))</f>
        <v/>
      </c>
      <c r="I50">
        <f>COUNTIFS('[1]Grade Project'!$G:$G,$A$8,'[1]Grade Project'!$K:$K,H50,'[1]Grade Project'!$F:$F,$A$5)</f>
        <v>0</v>
      </c>
      <c r="J50" t="str">
        <f>IFERROR(AVERAGEIFS('[1]Grade Project'!$N:$N,'[1]Grade Project'!$K:$K,H50,'[1]Grade Project'!$F:$F,$A$5,'[1]Grade Project'!$G:$G,$A$8),"")</f>
        <v/>
      </c>
      <c r="K50" t="str">
        <f>IFERROR(AVERAGEIFS('[1]Grade Project'!$O:$O,'[1]Grade Project'!$K:$K,H50,'[1]Grade Project'!$F:$F,$A$5,'[1]Grade Project'!$G:$G,$A$8),"")</f>
        <v/>
      </c>
      <c r="L50" t="str">
        <f t="shared" si="1"/>
        <v/>
      </c>
      <c r="M50" t="str">
        <f t="shared" si="2"/>
        <v/>
      </c>
      <c r="N50" t="str">
        <f t="shared" si="3"/>
        <v/>
      </c>
    </row>
    <row r="51" spans="2:14" x14ac:dyDescent="0.25">
      <c r="B51" t="s">
        <v>50</v>
      </c>
      <c r="C51" t="e">
        <f>IF(C50="","",IF(C50=INDEX('[1]Grade Project'!$F:$F,MATCH($A$3,'[1]Grade Project'!$E:$E,0)+SUM($D$3:D50)),"",INDEX('[1]Grade Project'!$F:$F,MATCH($A$3,'[1]Grade Project'!$E:$E,0)+SUM($D$3:D50))))</f>
        <v>#N/A</v>
      </c>
      <c r="F51" t="str">
        <f>IF(G50=0,"",INDEX('[1]Grade Project'!$G:$G,MATCH($A$5,'[1]Grade Project'!$F:$F,0)+SUM($G$3:G50)))</f>
        <v/>
      </c>
      <c r="G51">
        <f>COUNTIFS('[1]Grade Project'!$F:$F,$A$5,'[1]Grade Project'!$G:$G,F51)</f>
        <v>0</v>
      </c>
      <c r="H51" t="str">
        <f>IF(I50=0,"",INDEX('[1]Grade Project'!$K:$K,MATCH(CONCATENATE($A$5,$A$8),'[1]Grade Project'!$H:$H,0)+SUM($I$3:I50)))</f>
        <v/>
      </c>
      <c r="I51">
        <f>COUNTIFS('[1]Grade Project'!$G:$G,$A$8,'[1]Grade Project'!$K:$K,H51,'[1]Grade Project'!$F:$F,$A$5)</f>
        <v>0</v>
      </c>
      <c r="J51" t="str">
        <f>IFERROR(AVERAGEIFS('[1]Grade Project'!$N:$N,'[1]Grade Project'!$K:$K,H51,'[1]Grade Project'!$F:$F,$A$5,'[1]Grade Project'!$G:$G,$A$8),"")</f>
        <v/>
      </c>
      <c r="K51" t="str">
        <f>IFERROR(AVERAGEIFS('[1]Grade Project'!$O:$O,'[1]Grade Project'!$K:$K,H51,'[1]Grade Project'!$F:$F,$A$5,'[1]Grade Project'!$G:$G,$A$8),"")</f>
        <v/>
      </c>
      <c r="L51" t="str">
        <f t="shared" si="1"/>
        <v/>
      </c>
      <c r="M51" t="str">
        <f t="shared" si="2"/>
        <v/>
      </c>
      <c r="N51" t="str">
        <f t="shared" si="3"/>
        <v/>
      </c>
    </row>
    <row r="52" spans="2:14" x14ac:dyDescent="0.25">
      <c r="B52" t="s">
        <v>51</v>
      </c>
      <c r="C52" t="e">
        <f>IF(C51="","",IF(C51=INDEX('[1]Grade Project'!$F:$F,MATCH($A$3,'[1]Grade Project'!$E:$E,0)+SUM($D$3:D51)),"",INDEX('[1]Grade Project'!$F:$F,MATCH($A$3,'[1]Grade Project'!$E:$E,0)+SUM($D$3:D51))))</f>
        <v>#N/A</v>
      </c>
      <c r="F52" t="str">
        <f>IF(G51=0,"",INDEX('[1]Grade Project'!$G:$G,MATCH($A$5,'[1]Grade Project'!$F:$F,0)+SUM($G$3:G51)))</f>
        <v/>
      </c>
      <c r="G52">
        <f>COUNTIFS('[1]Grade Project'!$F:$F,$A$5,'[1]Grade Project'!$G:$G,F52)</f>
        <v>0</v>
      </c>
      <c r="H52" t="str">
        <f>IF(I51=0,"",INDEX('[1]Grade Project'!$K:$K,MATCH(CONCATENATE($A$5,$A$8),'[1]Grade Project'!$H:$H,0)+SUM($I$3:I51)))</f>
        <v/>
      </c>
      <c r="I52">
        <f>COUNTIFS('[1]Grade Project'!$G:$G,$A$8,'[1]Grade Project'!$K:$K,H52,'[1]Grade Project'!$F:$F,$A$5)</f>
        <v>0</v>
      </c>
      <c r="J52" t="str">
        <f>IFERROR(AVERAGEIFS('[1]Grade Project'!$N:$N,'[1]Grade Project'!$K:$K,H52,'[1]Grade Project'!$F:$F,$A$5,'[1]Grade Project'!$G:$G,$A$8),"")</f>
        <v/>
      </c>
      <c r="K52" t="str">
        <f>IFERROR(AVERAGEIFS('[1]Grade Project'!$O:$O,'[1]Grade Project'!$K:$K,H52,'[1]Grade Project'!$F:$F,$A$5,'[1]Grade Project'!$G:$G,$A$8),"")</f>
        <v/>
      </c>
      <c r="L52" t="str">
        <f t="shared" si="1"/>
        <v/>
      </c>
      <c r="M52" t="str">
        <f t="shared" si="2"/>
        <v/>
      </c>
      <c r="N52" t="str">
        <f t="shared" si="3"/>
        <v/>
      </c>
    </row>
    <row r="53" spans="2:14" x14ac:dyDescent="0.25">
      <c r="B53" t="s">
        <v>52</v>
      </c>
      <c r="C53" t="e">
        <f>IF(C52="","",IF(C52=INDEX('[1]Grade Project'!$F:$F,MATCH($A$3,'[1]Grade Project'!$E:$E,0)+SUM($D$3:D52)),"",INDEX('[1]Grade Project'!$F:$F,MATCH($A$3,'[1]Grade Project'!$E:$E,0)+SUM($D$3:D52))))</f>
        <v>#N/A</v>
      </c>
      <c r="F53" t="str">
        <f>IF(G52=0,"",INDEX('[1]Grade Project'!$G:$G,MATCH($A$5,'[1]Grade Project'!$F:$F,0)+SUM($G$3:G52)))</f>
        <v/>
      </c>
      <c r="G53">
        <f>COUNTIFS('[1]Grade Project'!$F:$F,$A$5,'[1]Grade Project'!$G:$G,F53)</f>
        <v>0</v>
      </c>
      <c r="H53" t="str">
        <f>IF(I52=0,"",INDEX('[1]Grade Project'!$K:$K,MATCH(CONCATENATE($A$5,$A$8),'[1]Grade Project'!$H:$H,0)+SUM($I$3:I52)))</f>
        <v/>
      </c>
      <c r="I53">
        <f>COUNTIFS('[1]Grade Project'!$G:$G,$A$8,'[1]Grade Project'!$K:$K,H53,'[1]Grade Project'!$F:$F,$A$5)</f>
        <v>0</v>
      </c>
      <c r="J53" t="str">
        <f>IFERROR(AVERAGEIFS('[1]Grade Project'!$N:$N,'[1]Grade Project'!$K:$K,H53,'[1]Grade Project'!$F:$F,$A$5,'[1]Grade Project'!$G:$G,$A$8),"")</f>
        <v/>
      </c>
      <c r="K53" t="str">
        <f>IFERROR(AVERAGEIFS('[1]Grade Project'!$O:$O,'[1]Grade Project'!$K:$K,H53,'[1]Grade Project'!$F:$F,$A$5,'[1]Grade Project'!$G:$G,$A$8),"")</f>
        <v/>
      </c>
      <c r="L53" t="str">
        <f t="shared" si="1"/>
        <v/>
      </c>
      <c r="M53" t="str">
        <f t="shared" si="2"/>
        <v/>
      </c>
      <c r="N53" t="str">
        <f t="shared" si="3"/>
        <v/>
      </c>
    </row>
    <row r="54" spans="2:14" x14ac:dyDescent="0.25">
      <c r="B54" t="s">
        <v>53</v>
      </c>
      <c r="C54" t="e">
        <f>IF(C53="","",IF(C53=INDEX('[1]Grade Project'!$F:$F,MATCH($A$3,'[1]Grade Project'!$E:$E,0)+SUM($D$3:D53)),"",INDEX('[1]Grade Project'!$F:$F,MATCH($A$3,'[1]Grade Project'!$E:$E,0)+SUM($D$3:D53))))</f>
        <v>#N/A</v>
      </c>
      <c r="F54" t="str">
        <f>IF(G53=0,"",INDEX('[1]Grade Project'!$G:$G,MATCH($A$5,'[1]Grade Project'!$F:$F,0)+SUM($G$3:G53)))</f>
        <v/>
      </c>
      <c r="G54">
        <f>COUNTIFS('[1]Grade Project'!$F:$F,$A$5,'[1]Grade Project'!$G:$G,F54)</f>
        <v>0</v>
      </c>
      <c r="H54" t="str">
        <f>IF(I53=0,"",INDEX('[1]Grade Project'!$K:$K,MATCH(CONCATENATE($A$5,$A$8),'[1]Grade Project'!$H:$H,0)+SUM($I$3:I53)))</f>
        <v/>
      </c>
      <c r="I54">
        <f>COUNTIFS('[1]Grade Project'!$G:$G,$A$8,'[1]Grade Project'!$K:$K,H54,'[1]Grade Project'!$F:$F,$A$5)</f>
        <v>0</v>
      </c>
      <c r="J54" t="str">
        <f>IFERROR(AVERAGEIFS('[1]Grade Project'!$N:$N,'[1]Grade Project'!$K:$K,H54,'[1]Grade Project'!$F:$F,$A$5,'[1]Grade Project'!$G:$G,$A$8),"")</f>
        <v/>
      </c>
      <c r="K54" t="str">
        <f>IFERROR(AVERAGEIFS('[1]Grade Project'!$O:$O,'[1]Grade Project'!$K:$K,H54,'[1]Grade Project'!$F:$F,$A$5,'[1]Grade Project'!$G:$G,$A$8),"")</f>
        <v/>
      </c>
      <c r="L54" t="str">
        <f t="shared" si="1"/>
        <v/>
      </c>
      <c r="M54" t="str">
        <f t="shared" si="2"/>
        <v/>
      </c>
      <c r="N54" t="str">
        <f t="shared" si="3"/>
        <v/>
      </c>
    </row>
    <row r="55" spans="2:14" x14ac:dyDescent="0.25">
      <c r="B55" t="s">
        <v>54</v>
      </c>
      <c r="F55" t="str">
        <f>IF(G54=0,"",INDEX('[1]Grade Project'!$G:$G,MATCH($A$5,'[1]Grade Project'!$F:$F,0)+SUM($G$3:G54)))</f>
        <v/>
      </c>
      <c r="G55">
        <f>COUNTIFS('[1]Grade Project'!$F:$F,$A$5,'[1]Grade Project'!$G:$G,F55)</f>
        <v>0</v>
      </c>
      <c r="H55" t="str">
        <f>IF(I54=0,"",INDEX('[1]Grade Project'!$K:$K,MATCH(CONCATENATE($A$5,$A$8),'[1]Grade Project'!$H:$H,0)+SUM($I$3:I54)))</f>
        <v/>
      </c>
      <c r="I55">
        <f>COUNTIFS('[1]Grade Project'!$G:$G,$A$8,'[1]Grade Project'!$K:$K,H55,'[1]Grade Project'!$F:$F,$A$5)</f>
        <v>0</v>
      </c>
      <c r="J55" t="str">
        <f>IFERROR(AVERAGEIFS('[1]Grade Project'!$N:$N,'[1]Grade Project'!$K:$K,H55,'[1]Grade Project'!$F:$F,$A$5,'[1]Grade Project'!$G:$G,$A$8),"")</f>
        <v/>
      </c>
      <c r="K55" t="str">
        <f>IFERROR(AVERAGEIFS('[1]Grade Project'!$O:$O,'[1]Grade Project'!$K:$K,H55,'[1]Grade Project'!$F:$F,$A$5,'[1]Grade Project'!$G:$G,$A$8),"")</f>
        <v/>
      </c>
      <c r="L55" t="str">
        <f t="shared" si="1"/>
        <v/>
      </c>
      <c r="M55" t="str">
        <f t="shared" si="2"/>
        <v/>
      </c>
      <c r="N55" t="str">
        <f t="shared" si="3"/>
        <v/>
      </c>
    </row>
    <row r="56" spans="2:14" x14ac:dyDescent="0.25">
      <c r="B56" t="s">
        <v>55</v>
      </c>
      <c r="F56" t="str">
        <f>IF(G55=0,"",INDEX('[1]Grade Project'!$G:$G,MATCH($A$5,'[1]Grade Project'!$F:$F,0)+SUM($G$3:G55)))</f>
        <v/>
      </c>
      <c r="G56">
        <f>COUNTIFS('[1]Grade Project'!$F:$F,$A$5,'[1]Grade Project'!$G:$G,F56)</f>
        <v>0</v>
      </c>
      <c r="H56" t="str">
        <f>IF(I55=0,"",INDEX('[1]Grade Project'!$K:$K,MATCH(CONCATENATE($A$5,$A$8),'[1]Grade Project'!$H:$H,0)+SUM($I$3:I55)))</f>
        <v/>
      </c>
      <c r="I56">
        <f>COUNTIFS('[1]Grade Project'!$G:$G,$A$8,'[1]Grade Project'!$K:$K,H56,'[1]Grade Project'!$F:$F,$A$5)</f>
        <v>0</v>
      </c>
      <c r="J56" t="str">
        <f>IFERROR(AVERAGEIFS('[1]Grade Project'!$N:$N,'[1]Grade Project'!$K:$K,H56,'[1]Grade Project'!$F:$F,$A$5,'[1]Grade Project'!$G:$G,$A$8),"")</f>
        <v/>
      </c>
      <c r="K56" t="str">
        <f>IFERROR(AVERAGEIFS('[1]Grade Project'!$O:$O,'[1]Grade Project'!$K:$K,H56,'[1]Grade Project'!$F:$F,$A$5,'[1]Grade Project'!$G:$G,$A$8),"")</f>
        <v/>
      </c>
      <c r="L56" t="str">
        <f t="shared" si="1"/>
        <v/>
      </c>
      <c r="M56" t="str">
        <f t="shared" si="2"/>
        <v/>
      </c>
      <c r="N56" t="str">
        <f t="shared" si="3"/>
        <v/>
      </c>
    </row>
    <row r="57" spans="2:14" x14ac:dyDescent="0.25">
      <c r="B57" t="s">
        <v>56</v>
      </c>
      <c r="F57" t="str">
        <f>IF(G56=0,"",INDEX('[1]Grade Project'!$G:$G,MATCH($A$5,'[1]Grade Project'!$F:$F,0)+SUM($G$3:G56)))</f>
        <v/>
      </c>
      <c r="G57">
        <f>COUNTIFS('[1]Grade Project'!$F:$F,$A$5,'[1]Grade Project'!$G:$G,F57)</f>
        <v>0</v>
      </c>
      <c r="H57" t="str">
        <f>IF(I56=0,"",INDEX('[1]Grade Project'!$K:$K,MATCH(CONCATENATE($A$5,$A$8),'[1]Grade Project'!$H:$H,0)+SUM($I$3:I56)))</f>
        <v/>
      </c>
      <c r="I57">
        <f>COUNTIFS('[1]Grade Project'!$G:$G,$A$8,'[1]Grade Project'!$K:$K,H57,'[1]Grade Project'!$F:$F,$A$5)</f>
        <v>0</v>
      </c>
      <c r="J57" t="str">
        <f>IFERROR(AVERAGEIFS('[1]Grade Project'!$N:$N,'[1]Grade Project'!$K:$K,H57,'[1]Grade Project'!$F:$F,$A$5,'[1]Grade Project'!$G:$G,$A$8),"")</f>
        <v/>
      </c>
      <c r="K57" t="str">
        <f>IFERROR(AVERAGEIFS('[1]Grade Project'!$O:$O,'[1]Grade Project'!$K:$K,H57,'[1]Grade Project'!$F:$F,$A$5,'[1]Grade Project'!$G:$G,$A$8),"")</f>
        <v/>
      </c>
      <c r="L57" t="str">
        <f t="shared" si="1"/>
        <v/>
      </c>
      <c r="M57" t="str">
        <f t="shared" si="2"/>
        <v/>
      </c>
      <c r="N57" t="str">
        <f t="shared" si="3"/>
        <v/>
      </c>
    </row>
    <row r="58" spans="2:14" x14ac:dyDescent="0.25">
      <c r="B58" t="s">
        <v>57</v>
      </c>
      <c r="F58" t="str">
        <f>IF(G57=0,"",INDEX('[1]Grade Project'!$G:$G,MATCH($A$5,'[1]Grade Project'!$F:$F,0)+SUM($G$3:G57)))</f>
        <v/>
      </c>
      <c r="G58">
        <f>COUNTIFS('[1]Grade Project'!$F:$F,$A$5,'[1]Grade Project'!$G:$G,F58)</f>
        <v>0</v>
      </c>
      <c r="H58" t="str">
        <f>IF(I57=0,"",INDEX('[1]Grade Project'!$K:$K,MATCH(CONCATENATE($A$5,$A$8),'[1]Grade Project'!$H:$H,0)+SUM($I$3:I57)))</f>
        <v/>
      </c>
      <c r="I58">
        <f>COUNTIFS('[1]Grade Project'!$G:$G,$A$8,'[1]Grade Project'!$K:$K,H58,'[1]Grade Project'!$F:$F,$A$5)</f>
        <v>0</v>
      </c>
      <c r="J58" t="str">
        <f>IFERROR(AVERAGEIFS('[1]Grade Project'!$N:$N,'[1]Grade Project'!$K:$K,H58,'[1]Grade Project'!$F:$F,$A$5,'[1]Grade Project'!$G:$G,$A$8),"")</f>
        <v/>
      </c>
      <c r="K58" t="str">
        <f>IFERROR(AVERAGEIFS('[1]Grade Project'!$O:$O,'[1]Grade Project'!$K:$K,H58,'[1]Grade Project'!$F:$F,$A$5,'[1]Grade Project'!$G:$G,$A$8),"")</f>
        <v/>
      </c>
      <c r="L58" t="str">
        <f t="shared" si="1"/>
        <v/>
      </c>
      <c r="M58" t="str">
        <f t="shared" si="2"/>
        <v/>
      </c>
      <c r="N58" t="str">
        <f t="shared" si="3"/>
        <v/>
      </c>
    </row>
    <row r="59" spans="2:14" x14ac:dyDescent="0.25">
      <c r="B59" t="s">
        <v>58</v>
      </c>
      <c r="F59" t="str">
        <f>IF(G58=0,"",INDEX('[1]Grade Project'!$G:$G,MATCH($A$5,'[1]Grade Project'!$F:$F,0)+SUM($G$3:G58)))</f>
        <v/>
      </c>
      <c r="G59">
        <f>COUNTIFS('[1]Grade Project'!$F:$F,$A$5,'[1]Grade Project'!$G:$G,F59)</f>
        <v>0</v>
      </c>
      <c r="H59" t="str">
        <f>IF(I58=0,"",INDEX('[1]Grade Project'!$K:$K,MATCH(CONCATENATE($A$5,$A$8),'[1]Grade Project'!$H:$H,0)+SUM($I$3:I58)))</f>
        <v/>
      </c>
      <c r="I59">
        <f>COUNTIFS('[1]Grade Project'!$G:$G,$A$8,'[1]Grade Project'!$K:$K,H59,'[1]Grade Project'!$F:$F,$A$5)</f>
        <v>0</v>
      </c>
      <c r="J59" t="str">
        <f>IFERROR(AVERAGEIFS('[1]Grade Project'!$N:$N,'[1]Grade Project'!$K:$K,H59,'[1]Grade Project'!$F:$F,$A$5,'[1]Grade Project'!$G:$G,$A$8),"")</f>
        <v/>
      </c>
      <c r="K59" t="str">
        <f>IFERROR(AVERAGEIFS('[1]Grade Project'!$O:$O,'[1]Grade Project'!$K:$K,H59,'[1]Grade Project'!$F:$F,$A$5,'[1]Grade Project'!$G:$G,$A$8),"")</f>
        <v/>
      </c>
      <c r="L59" t="str">
        <f t="shared" si="1"/>
        <v/>
      </c>
      <c r="M59" t="str">
        <f t="shared" si="2"/>
        <v/>
      </c>
      <c r="N59" t="str">
        <f t="shared" si="3"/>
        <v/>
      </c>
    </row>
    <row r="60" spans="2:14" x14ac:dyDescent="0.25">
      <c r="B60" t="s">
        <v>59</v>
      </c>
      <c r="F60" t="str">
        <f>IF(G59=0,"",INDEX('[1]Grade Project'!$G:$G,MATCH($A$5,'[1]Grade Project'!$F:$F,0)+SUM($G$3:G59)))</f>
        <v/>
      </c>
      <c r="G60">
        <f>COUNTIFS('[1]Grade Project'!$F:$F,$A$5,'[1]Grade Project'!$G:$G,F60)</f>
        <v>0</v>
      </c>
      <c r="H60" t="str">
        <f>IF(I59=0,"",INDEX('[1]Grade Project'!$K:$K,MATCH(CONCATENATE($A$5,$A$8),'[1]Grade Project'!$H:$H,0)+SUM($I$3:I59)))</f>
        <v/>
      </c>
      <c r="I60">
        <f>COUNTIFS('[1]Grade Project'!$G:$G,$A$8,'[1]Grade Project'!$K:$K,H60,'[1]Grade Project'!$F:$F,$A$5)</f>
        <v>0</v>
      </c>
      <c r="J60" t="str">
        <f>IFERROR(AVERAGEIFS('[1]Grade Project'!$N:$N,'[1]Grade Project'!$K:$K,H60,'[1]Grade Project'!$F:$F,$A$5,'[1]Grade Project'!$G:$G,$A$8),"")</f>
        <v/>
      </c>
      <c r="K60" t="str">
        <f>IFERROR(AVERAGEIFS('[1]Grade Project'!$O:$O,'[1]Grade Project'!$K:$K,H60,'[1]Grade Project'!$F:$F,$A$5,'[1]Grade Project'!$G:$G,$A$8),"")</f>
        <v/>
      </c>
      <c r="L60" t="str">
        <f t="shared" si="1"/>
        <v/>
      </c>
      <c r="M60" t="str">
        <f t="shared" si="2"/>
        <v/>
      </c>
      <c r="N60" t="str">
        <f t="shared" si="3"/>
        <v/>
      </c>
    </row>
    <row r="61" spans="2:14" x14ac:dyDescent="0.25">
      <c r="B61" t="s">
        <v>60</v>
      </c>
      <c r="F61" t="str">
        <f>IF(G60=0,"",INDEX('[1]Grade Project'!$G:$G,MATCH($A$5,'[1]Grade Project'!$F:$F,0)+SUM($G$3:G60)))</f>
        <v/>
      </c>
      <c r="G61">
        <f>COUNTIFS('[1]Grade Project'!$F:$F,$A$5,'[1]Grade Project'!$G:$G,F61)</f>
        <v>0</v>
      </c>
      <c r="H61" t="str">
        <f>IF(I60=0,"",INDEX('[1]Grade Project'!$K:$K,MATCH(CONCATENATE($A$5,$A$8),'[1]Grade Project'!$H:$H,0)+SUM($I$3:I60)))</f>
        <v/>
      </c>
      <c r="I61">
        <f>COUNTIFS('[1]Grade Project'!$G:$G,$A$8,'[1]Grade Project'!$K:$K,H61,'[1]Grade Project'!$F:$F,$A$5)</f>
        <v>0</v>
      </c>
      <c r="J61" t="str">
        <f>IFERROR(AVERAGEIFS('[1]Grade Project'!$N:$N,'[1]Grade Project'!$K:$K,H61,'[1]Grade Project'!$F:$F,$A$5,'[1]Grade Project'!$G:$G,$A$8),"")</f>
        <v/>
      </c>
      <c r="K61" t="str">
        <f>IFERROR(AVERAGEIFS('[1]Grade Project'!$O:$O,'[1]Grade Project'!$K:$K,H61,'[1]Grade Project'!$F:$F,$A$5,'[1]Grade Project'!$G:$G,$A$8),"")</f>
        <v/>
      </c>
      <c r="L61" t="str">
        <f t="shared" si="1"/>
        <v/>
      </c>
      <c r="M61" t="str">
        <f t="shared" si="2"/>
        <v/>
      </c>
      <c r="N61" t="str">
        <f t="shared" si="3"/>
        <v/>
      </c>
    </row>
    <row r="62" spans="2:14" x14ac:dyDescent="0.25">
      <c r="B62" t="s">
        <v>61</v>
      </c>
      <c r="F62" t="str">
        <f>IF(G61=0,"",INDEX('[1]Grade Project'!$G:$G,MATCH($A$5,'[1]Grade Project'!$F:$F,0)+SUM($G$3:G61)))</f>
        <v/>
      </c>
      <c r="G62">
        <f>COUNTIFS('[1]Grade Project'!$F:$F,$A$5,'[1]Grade Project'!$G:$G,F62)</f>
        <v>0</v>
      </c>
      <c r="H62" t="str">
        <f>IF(I61=0,"",INDEX('[1]Grade Project'!$K:$K,MATCH(CONCATENATE($A$5,$A$8),'[1]Grade Project'!$H:$H,0)+SUM($I$3:I61)))</f>
        <v/>
      </c>
      <c r="I62">
        <f>COUNTIFS('[1]Grade Project'!$G:$G,$A$8,'[1]Grade Project'!$K:$K,H62,'[1]Grade Project'!$F:$F,$A$5)</f>
        <v>0</v>
      </c>
      <c r="J62" t="str">
        <f>IFERROR(AVERAGEIFS('[1]Grade Project'!$N:$N,'[1]Grade Project'!$K:$K,H62,'[1]Grade Project'!$F:$F,$A$5,'[1]Grade Project'!$G:$G,$A$8),"")</f>
        <v/>
      </c>
      <c r="K62" t="str">
        <f>IFERROR(AVERAGEIFS('[1]Grade Project'!$O:$O,'[1]Grade Project'!$K:$K,H62,'[1]Grade Project'!$F:$F,$A$5,'[1]Grade Project'!$G:$G,$A$8),"")</f>
        <v/>
      </c>
      <c r="L62" t="str">
        <f t="shared" si="1"/>
        <v/>
      </c>
      <c r="M62" t="str">
        <f t="shared" si="2"/>
        <v/>
      </c>
      <c r="N62" t="str">
        <f t="shared" si="3"/>
        <v/>
      </c>
    </row>
    <row r="63" spans="2:14" x14ac:dyDescent="0.25">
      <c r="B63" t="s">
        <v>62</v>
      </c>
      <c r="F63" t="str">
        <f>IF(G62=0,"",INDEX('[1]Grade Project'!$G:$G,MATCH($A$5,'[1]Grade Project'!$F:$F,0)+SUM($G$3:G62)))</f>
        <v/>
      </c>
      <c r="G63">
        <f>COUNTIFS('[1]Grade Project'!$F:$F,$A$5,'[1]Grade Project'!$G:$G,F63)</f>
        <v>0</v>
      </c>
      <c r="H63" t="str">
        <f>IF(I62=0,"",INDEX('[1]Grade Project'!$K:$K,MATCH(CONCATENATE($A$5,$A$8),'[1]Grade Project'!$H:$H,0)+SUM($I$3:I62)))</f>
        <v/>
      </c>
      <c r="I63">
        <f>COUNTIFS('[1]Grade Project'!$G:$G,$A$8,'[1]Grade Project'!$K:$K,H63,'[1]Grade Project'!$F:$F,$A$5)</f>
        <v>0</v>
      </c>
      <c r="J63" t="str">
        <f>IFERROR(AVERAGEIFS('[1]Grade Project'!$N:$N,'[1]Grade Project'!$K:$K,H63,'[1]Grade Project'!$F:$F,$A$5,'[1]Grade Project'!$G:$G,$A$8),"")</f>
        <v/>
      </c>
      <c r="K63" t="str">
        <f>IFERROR(AVERAGEIFS('[1]Grade Project'!$O:$O,'[1]Grade Project'!$K:$K,H63,'[1]Grade Project'!$F:$F,$A$5,'[1]Grade Project'!$G:$G,$A$8),"")</f>
        <v/>
      </c>
      <c r="L63" t="str">
        <f t="shared" si="1"/>
        <v/>
      </c>
      <c r="M63" t="str">
        <f t="shared" si="2"/>
        <v/>
      </c>
      <c r="N63" t="str">
        <f t="shared" si="3"/>
        <v/>
      </c>
    </row>
    <row r="64" spans="2:14" x14ac:dyDescent="0.25">
      <c r="B64" t="s">
        <v>63</v>
      </c>
      <c r="F64" t="str">
        <f>IF(G63=0,"",INDEX('[1]Grade Project'!$G:$G,MATCH($A$5,'[1]Grade Project'!$F:$F,0)+SUM($G$3:G63)))</f>
        <v/>
      </c>
      <c r="G64">
        <f>COUNTIFS('[1]Grade Project'!$F:$F,$A$5,'[1]Grade Project'!$G:$G,F64)</f>
        <v>0</v>
      </c>
      <c r="H64" t="str">
        <f>IF(I63=0,"",INDEX('[1]Grade Project'!$K:$K,MATCH(CONCATENATE($A$5,$A$8),'[1]Grade Project'!$H:$H,0)+SUM($I$3:I63)))</f>
        <v/>
      </c>
      <c r="I64">
        <f>COUNTIFS('[1]Grade Project'!$G:$G,$A$8,'[1]Grade Project'!$K:$K,H64,'[1]Grade Project'!$F:$F,$A$5)</f>
        <v>0</v>
      </c>
      <c r="J64" t="str">
        <f>IFERROR(AVERAGEIFS('[1]Grade Project'!$N:$N,'[1]Grade Project'!$K:$K,H64,'[1]Grade Project'!$F:$F,$A$5,'[1]Grade Project'!$G:$G,$A$8),"")</f>
        <v/>
      </c>
      <c r="K64" t="str">
        <f>IFERROR(AVERAGEIFS('[1]Grade Project'!$O:$O,'[1]Grade Project'!$K:$K,H64,'[1]Grade Project'!$F:$F,$A$5,'[1]Grade Project'!$G:$G,$A$8),"")</f>
        <v/>
      </c>
      <c r="L64" t="str">
        <f t="shared" si="1"/>
        <v/>
      </c>
      <c r="M64" t="str">
        <f t="shared" si="2"/>
        <v/>
      </c>
      <c r="N64" t="str">
        <f t="shared" si="3"/>
        <v/>
      </c>
    </row>
    <row r="65" spans="2:14" x14ac:dyDescent="0.25">
      <c r="B65" t="s">
        <v>64</v>
      </c>
      <c r="F65" t="str">
        <f>IF(G64=0,"",INDEX('[1]Grade Project'!$G:$G,MATCH($A$5,'[1]Grade Project'!$F:$F,0)+SUM($G$3:G64)))</f>
        <v/>
      </c>
      <c r="G65">
        <f>COUNTIFS('[1]Grade Project'!$F:$F,$A$5,'[1]Grade Project'!$G:$G,F65)</f>
        <v>0</v>
      </c>
      <c r="H65" t="str">
        <f>IF(I64=0,"",INDEX('[1]Grade Project'!$K:$K,MATCH(CONCATENATE($A$5,$A$8),'[1]Grade Project'!$H:$H,0)+SUM($I$3:I64)))</f>
        <v/>
      </c>
      <c r="I65">
        <f>COUNTIFS('[1]Grade Project'!$G:$G,$A$8,'[1]Grade Project'!$K:$K,H65,'[1]Grade Project'!$F:$F,$A$5)</f>
        <v>0</v>
      </c>
      <c r="J65" t="str">
        <f>IFERROR(AVERAGEIFS('[1]Grade Project'!$N:$N,'[1]Grade Project'!$K:$K,H65,'[1]Grade Project'!$F:$F,$A$5,'[1]Grade Project'!$G:$G,$A$8),"")</f>
        <v/>
      </c>
      <c r="K65" t="str">
        <f>IFERROR(AVERAGEIFS('[1]Grade Project'!$O:$O,'[1]Grade Project'!$K:$K,H65,'[1]Grade Project'!$F:$F,$A$5,'[1]Grade Project'!$G:$G,$A$8),"")</f>
        <v/>
      </c>
      <c r="L65" t="str">
        <f t="shared" si="1"/>
        <v/>
      </c>
      <c r="M65" t="str">
        <f t="shared" si="2"/>
        <v/>
      </c>
      <c r="N65" t="str">
        <f t="shared" si="3"/>
        <v/>
      </c>
    </row>
    <row r="66" spans="2:14" x14ac:dyDescent="0.25">
      <c r="B66" t="s">
        <v>65</v>
      </c>
      <c r="F66" t="str">
        <f>IF(G65=0,"",INDEX('[1]Grade Project'!$G:$G,MATCH($A$5,'[1]Grade Project'!$F:$F,0)+SUM($G$3:G65)))</f>
        <v/>
      </c>
      <c r="G66">
        <f>COUNTIFS('[1]Grade Project'!$F:$F,$A$5,'[1]Grade Project'!$G:$G,F66)</f>
        <v>0</v>
      </c>
      <c r="H66" t="str">
        <f>IF(I65=0,"",INDEX('[1]Grade Project'!$K:$K,MATCH(CONCATENATE($A$5,$A$8),'[1]Grade Project'!$H:$H,0)+SUM($I$3:I65)))</f>
        <v/>
      </c>
      <c r="I66">
        <f>COUNTIFS('[1]Grade Project'!$G:$G,$A$8,'[1]Grade Project'!$K:$K,H66,'[1]Grade Project'!$F:$F,$A$5)</f>
        <v>0</v>
      </c>
      <c r="J66" t="str">
        <f>IFERROR(AVERAGEIFS('[1]Grade Project'!$N:$N,'[1]Grade Project'!$K:$K,H66,'[1]Grade Project'!$F:$F,$A$5,'[1]Grade Project'!$G:$G,$A$8),"")</f>
        <v/>
      </c>
      <c r="K66" t="str">
        <f>IFERROR(AVERAGEIFS('[1]Grade Project'!$O:$O,'[1]Grade Project'!$K:$K,H66,'[1]Grade Project'!$F:$F,$A$5,'[1]Grade Project'!$G:$G,$A$8),"")</f>
        <v/>
      </c>
      <c r="L66" t="str">
        <f t="shared" si="1"/>
        <v/>
      </c>
      <c r="M66" t="str">
        <f t="shared" si="2"/>
        <v/>
      </c>
      <c r="N66" t="str">
        <f t="shared" si="3"/>
        <v/>
      </c>
    </row>
    <row r="67" spans="2:14" x14ac:dyDescent="0.25">
      <c r="B67" t="s">
        <v>66</v>
      </c>
      <c r="F67" t="str">
        <f>IF(G66=0,"",INDEX('[1]Grade Project'!$G:$G,MATCH($A$5,'[1]Grade Project'!$F:$F,0)+SUM($G$3:G66)))</f>
        <v/>
      </c>
      <c r="G67">
        <f>COUNTIFS('[1]Grade Project'!$F:$F,$A$5,'[1]Grade Project'!$G:$G,F67)</f>
        <v>0</v>
      </c>
      <c r="H67" t="str">
        <f>IF(I66=0,"",INDEX('[1]Grade Project'!$K:$K,MATCH(CONCATENATE($A$5,$A$8),'[1]Grade Project'!$H:$H,0)+SUM($I$3:I66)))</f>
        <v/>
      </c>
      <c r="I67">
        <f>COUNTIFS('[1]Grade Project'!$G:$G,$A$8,'[1]Grade Project'!$K:$K,H67,'[1]Grade Project'!$F:$F,$A$5)</f>
        <v>0</v>
      </c>
      <c r="J67" t="str">
        <f>IFERROR(AVERAGEIFS('[1]Grade Project'!$N:$N,'[1]Grade Project'!$K:$K,H67,'[1]Grade Project'!$F:$F,$A$5,'[1]Grade Project'!$G:$G,$A$8),"")</f>
        <v/>
      </c>
      <c r="K67" t="str">
        <f>IFERROR(AVERAGEIFS('[1]Grade Project'!$O:$O,'[1]Grade Project'!$K:$K,H67,'[1]Grade Project'!$F:$F,$A$5,'[1]Grade Project'!$G:$G,$A$8),"")</f>
        <v/>
      </c>
      <c r="L67" t="str">
        <f t="shared" si="1"/>
        <v/>
      </c>
      <c r="M67" t="str">
        <f t="shared" si="2"/>
        <v/>
      </c>
      <c r="N67" t="str">
        <f t="shared" si="3"/>
        <v/>
      </c>
    </row>
    <row r="68" spans="2:14" x14ac:dyDescent="0.25">
      <c r="B68" t="s">
        <v>67</v>
      </c>
      <c r="F68" t="str">
        <f>IF(G67=0,"",INDEX('[1]Grade Project'!$G:$G,MATCH($A$5,'[1]Grade Project'!$F:$F,0)+SUM($G$3:G67)))</f>
        <v/>
      </c>
      <c r="G68">
        <f>COUNTIFS('[1]Grade Project'!$F:$F,$A$5,'[1]Grade Project'!$G:$G,F68)</f>
        <v>0</v>
      </c>
      <c r="H68" t="str">
        <f>IF(I67=0,"",INDEX('[1]Grade Project'!$K:$K,MATCH(CONCATENATE($A$5,$A$8),'[1]Grade Project'!$H:$H,0)+SUM($I$3:I67)))</f>
        <v/>
      </c>
      <c r="I68">
        <f>COUNTIFS('[1]Grade Project'!$G:$G,$A$8,'[1]Grade Project'!$K:$K,H68,'[1]Grade Project'!$F:$F,$A$5)</f>
        <v>0</v>
      </c>
      <c r="J68" t="str">
        <f>IFERROR(AVERAGEIFS('[1]Grade Project'!$N:$N,'[1]Grade Project'!$K:$K,H68,'[1]Grade Project'!$F:$F,$A$5,'[1]Grade Project'!$G:$G,$A$8),"")</f>
        <v/>
      </c>
      <c r="K68" t="str">
        <f>IFERROR(AVERAGEIFS('[1]Grade Project'!$O:$O,'[1]Grade Project'!$K:$K,H68,'[1]Grade Project'!$F:$F,$A$5,'[1]Grade Project'!$G:$G,$A$8),"")</f>
        <v/>
      </c>
      <c r="L68" t="str">
        <f t="shared" ref="L68:L131" si="4">IFERROR(K68/J68,"")</f>
        <v/>
      </c>
      <c r="M68" t="str">
        <f t="shared" ref="M68:M131" si="5">IFERROR(_xlfn.RANK.EQ(L68,L:L),"")</f>
        <v/>
      </c>
      <c r="N68" t="str">
        <f t="shared" ref="N68:N131" si="6">IFERROR(MAX(M:M)-M68+1,"")</f>
        <v/>
      </c>
    </row>
    <row r="69" spans="2:14" x14ac:dyDescent="0.25">
      <c r="B69" t="s">
        <v>68</v>
      </c>
      <c r="F69" t="str">
        <f>IF(G68=0,"",INDEX('[1]Grade Project'!$G:$G,MATCH($A$5,'[1]Grade Project'!$F:$F,0)+SUM($G$3:G68)))</f>
        <v/>
      </c>
      <c r="G69">
        <f>COUNTIFS('[1]Grade Project'!$F:$F,$A$5,'[1]Grade Project'!$G:$G,F69)</f>
        <v>0</v>
      </c>
      <c r="H69" t="str">
        <f>IF(I68=0,"",INDEX('[1]Grade Project'!$K:$K,MATCH(CONCATENATE($A$5,$A$8),'[1]Grade Project'!$H:$H,0)+SUM($I$3:I68)))</f>
        <v/>
      </c>
      <c r="I69">
        <f>COUNTIFS('[1]Grade Project'!$G:$G,$A$8,'[1]Grade Project'!$K:$K,H69,'[1]Grade Project'!$F:$F,$A$5)</f>
        <v>0</v>
      </c>
      <c r="J69" t="str">
        <f>IFERROR(AVERAGEIFS('[1]Grade Project'!$N:$N,'[1]Grade Project'!$K:$K,H69,'[1]Grade Project'!$F:$F,$A$5,'[1]Grade Project'!$G:$G,$A$8),"")</f>
        <v/>
      </c>
      <c r="K69" t="str">
        <f>IFERROR(AVERAGEIFS('[1]Grade Project'!$O:$O,'[1]Grade Project'!$K:$K,H69,'[1]Grade Project'!$F:$F,$A$5,'[1]Grade Project'!$G:$G,$A$8),"")</f>
        <v/>
      </c>
      <c r="L69" t="str">
        <f t="shared" si="4"/>
        <v/>
      </c>
      <c r="M69" t="str">
        <f t="shared" si="5"/>
        <v/>
      </c>
      <c r="N69" t="str">
        <f t="shared" si="6"/>
        <v/>
      </c>
    </row>
    <row r="70" spans="2:14" x14ac:dyDescent="0.25">
      <c r="B70" t="s">
        <v>69</v>
      </c>
      <c r="F70" t="str">
        <f>IF(G69=0,"",INDEX('[1]Grade Project'!$G:$G,MATCH($A$5,'[1]Grade Project'!$F:$F,0)+SUM($G$3:G69)))</f>
        <v/>
      </c>
      <c r="G70">
        <f>COUNTIFS('[1]Grade Project'!$F:$F,$A$5,'[1]Grade Project'!$G:$G,F70)</f>
        <v>0</v>
      </c>
      <c r="H70" t="str">
        <f>IF(I69=0,"",INDEX('[1]Grade Project'!$K:$K,MATCH(CONCATENATE($A$5,$A$8),'[1]Grade Project'!$H:$H,0)+SUM($I$3:I69)))</f>
        <v/>
      </c>
      <c r="I70">
        <f>COUNTIFS('[1]Grade Project'!$G:$G,$A$8,'[1]Grade Project'!$K:$K,H70,'[1]Grade Project'!$F:$F,$A$5)</f>
        <v>0</v>
      </c>
      <c r="J70" t="str">
        <f>IFERROR(AVERAGEIFS('[1]Grade Project'!$N:$N,'[1]Grade Project'!$K:$K,H70,'[1]Grade Project'!$F:$F,$A$5,'[1]Grade Project'!$G:$G,$A$8),"")</f>
        <v/>
      </c>
      <c r="K70" t="str">
        <f>IFERROR(AVERAGEIFS('[1]Grade Project'!$O:$O,'[1]Grade Project'!$K:$K,H70,'[1]Grade Project'!$F:$F,$A$5,'[1]Grade Project'!$G:$G,$A$8),"")</f>
        <v/>
      </c>
      <c r="L70" t="str">
        <f t="shared" si="4"/>
        <v/>
      </c>
      <c r="M70" t="str">
        <f t="shared" si="5"/>
        <v/>
      </c>
      <c r="N70" t="str">
        <f t="shared" si="6"/>
        <v/>
      </c>
    </row>
    <row r="71" spans="2:14" x14ac:dyDescent="0.25">
      <c r="B71" t="s">
        <v>70</v>
      </c>
      <c r="F71" t="str">
        <f>IF(G70=0,"",INDEX('[1]Grade Project'!$G:$G,MATCH($A$5,'[1]Grade Project'!$F:$F,0)+SUM($G$3:G70)))</f>
        <v/>
      </c>
      <c r="G71">
        <f>COUNTIFS('[1]Grade Project'!$F:$F,$A$5,'[1]Grade Project'!$G:$G,F71)</f>
        <v>0</v>
      </c>
      <c r="H71" t="str">
        <f>IF(I70=0,"",INDEX('[1]Grade Project'!$K:$K,MATCH(CONCATENATE($A$5,$A$8),'[1]Grade Project'!$H:$H,0)+SUM($I$3:I70)))</f>
        <v/>
      </c>
      <c r="I71">
        <f>COUNTIFS('[1]Grade Project'!$G:$G,$A$8,'[1]Grade Project'!$K:$K,H71,'[1]Grade Project'!$F:$F,$A$5)</f>
        <v>0</v>
      </c>
      <c r="J71" t="str">
        <f>IFERROR(AVERAGEIFS('[1]Grade Project'!$N:$N,'[1]Grade Project'!$K:$K,H71,'[1]Grade Project'!$F:$F,$A$5,'[1]Grade Project'!$G:$G,$A$8),"")</f>
        <v/>
      </c>
      <c r="K71" t="str">
        <f>IFERROR(AVERAGEIFS('[1]Grade Project'!$O:$O,'[1]Grade Project'!$K:$K,H71,'[1]Grade Project'!$F:$F,$A$5,'[1]Grade Project'!$G:$G,$A$8),"")</f>
        <v/>
      </c>
      <c r="L71" t="str">
        <f t="shared" si="4"/>
        <v/>
      </c>
      <c r="M71" t="str">
        <f t="shared" si="5"/>
        <v/>
      </c>
      <c r="N71" t="str">
        <f t="shared" si="6"/>
        <v/>
      </c>
    </row>
    <row r="72" spans="2:14" x14ac:dyDescent="0.25">
      <c r="B72" t="s">
        <v>71</v>
      </c>
      <c r="F72" t="str">
        <f>IF(G71=0,"",INDEX('[1]Grade Project'!$G:$G,MATCH($A$5,'[1]Grade Project'!$F:$F,0)+SUM($G$3:G71)))</f>
        <v/>
      </c>
      <c r="G72">
        <f>COUNTIFS('[1]Grade Project'!$F:$F,$A$5,'[1]Grade Project'!$G:$G,F72)</f>
        <v>0</v>
      </c>
      <c r="H72" t="str">
        <f>IF(I71=0,"",INDEX('[1]Grade Project'!$K:$K,MATCH(CONCATENATE($A$5,$A$8),'[1]Grade Project'!$H:$H,0)+SUM($I$3:I71)))</f>
        <v/>
      </c>
      <c r="I72">
        <f>COUNTIFS('[1]Grade Project'!$G:$G,$A$8,'[1]Grade Project'!$K:$K,H72,'[1]Grade Project'!$F:$F,$A$5)</f>
        <v>0</v>
      </c>
      <c r="J72" t="str">
        <f>IFERROR(AVERAGEIFS('[1]Grade Project'!$N:$N,'[1]Grade Project'!$K:$K,H72,'[1]Grade Project'!$F:$F,$A$5,'[1]Grade Project'!$G:$G,$A$8),"")</f>
        <v/>
      </c>
      <c r="K72" t="str">
        <f>IFERROR(AVERAGEIFS('[1]Grade Project'!$O:$O,'[1]Grade Project'!$K:$K,H72,'[1]Grade Project'!$F:$F,$A$5,'[1]Grade Project'!$G:$G,$A$8),"")</f>
        <v/>
      </c>
      <c r="L72" t="str">
        <f t="shared" si="4"/>
        <v/>
      </c>
      <c r="M72" t="str">
        <f t="shared" si="5"/>
        <v/>
      </c>
      <c r="N72" t="str">
        <f t="shared" si="6"/>
        <v/>
      </c>
    </row>
    <row r="73" spans="2:14" x14ac:dyDescent="0.25">
      <c r="B73" t="s">
        <v>72</v>
      </c>
      <c r="F73" t="str">
        <f>IF(G72=0,"",INDEX('[1]Grade Project'!$G:$G,MATCH($A$5,'[1]Grade Project'!$F:$F,0)+SUM($G$3:G72)))</f>
        <v/>
      </c>
      <c r="G73">
        <f>COUNTIFS('[1]Grade Project'!$F:$F,$A$5,'[1]Grade Project'!$G:$G,F73)</f>
        <v>0</v>
      </c>
      <c r="H73" t="str">
        <f>IF(I72=0,"",INDEX('[1]Grade Project'!$K:$K,MATCH(CONCATENATE($A$5,$A$8),'[1]Grade Project'!$H:$H,0)+SUM($I$3:I72)))</f>
        <v/>
      </c>
      <c r="I73">
        <f>COUNTIFS('[1]Grade Project'!$G:$G,$A$8,'[1]Grade Project'!$K:$K,H73,'[1]Grade Project'!$F:$F,$A$5)</f>
        <v>0</v>
      </c>
      <c r="J73" t="str">
        <f>IFERROR(AVERAGEIFS('[1]Grade Project'!$N:$N,'[1]Grade Project'!$K:$K,H73,'[1]Grade Project'!$F:$F,$A$5,'[1]Grade Project'!$G:$G,$A$8),"")</f>
        <v/>
      </c>
      <c r="K73" t="str">
        <f>IFERROR(AVERAGEIFS('[1]Grade Project'!$O:$O,'[1]Grade Project'!$K:$K,H73,'[1]Grade Project'!$F:$F,$A$5,'[1]Grade Project'!$G:$G,$A$8),"")</f>
        <v/>
      </c>
      <c r="L73" t="str">
        <f t="shared" si="4"/>
        <v/>
      </c>
      <c r="M73" t="str">
        <f t="shared" si="5"/>
        <v/>
      </c>
      <c r="N73" t="str">
        <f t="shared" si="6"/>
        <v/>
      </c>
    </row>
    <row r="74" spans="2:14" x14ac:dyDescent="0.25">
      <c r="B74" t="s">
        <v>73</v>
      </c>
      <c r="F74" t="str">
        <f>IF(G73=0,"",INDEX('[1]Grade Project'!$G:$G,MATCH($A$5,'[1]Grade Project'!$F:$F,0)+SUM($G$3:G73)))</f>
        <v/>
      </c>
      <c r="G74">
        <f>COUNTIFS('[1]Grade Project'!$F:$F,$A$5,'[1]Grade Project'!$G:$G,F74)</f>
        <v>0</v>
      </c>
      <c r="H74" t="str">
        <f>IF(I73=0,"",INDEX('[1]Grade Project'!$K:$K,MATCH(CONCATENATE($A$5,$A$8),'[1]Grade Project'!$H:$H,0)+SUM($I$3:I73)))</f>
        <v/>
      </c>
      <c r="I74">
        <f>COUNTIFS('[1]Grade Project'!$G:$G,$A$8,'[1]Grade Project'!$K:$K,H74,'[1]Grade Project'!$F:$F,$A$5)</f>
        <v>0</v>
      </c>
      <c r="J74" t="str">
        <f>IFERROR(AVERAGEIFS('[1]Grade Project'!$N:$N,'[1]Grade Project'!$K:$K,H74,'[1]Grade Project'!$F:$F,$A$5,'[1]Grade Project'!$G:$G,$A$8),"")</f>
        <v/>
      </c>
      <c r="K74" t="str">
        <f>IFERROR(AVERAGEIFS('[1]Grade Project'!$O:$O,'[1]Grade Project'!$K:$K,H74,'[1]Grade Project'!$F:$F,$A$5,'[1]Grade Project'!$G:$G,$A$8),"")</f>
        <v/>
      </c>
      <c r="L74" t="str">
        <f t="shared" si="4"/>
        <v/>
      </c>
      <c r="M74" t="str">
        <f t="shared" si="5"/>
        <v/>
      </c>
      <c r="N74" t="str">
        <f t="shared" si="6"/>
        <v/>
      </c>
    </row>
    <row r="75" spans="2:14" x14ac:dyDescent="0.25">
      <c r="B75" t="s">
        <v>74</v>
      </c>
      <c r="F75" t="str">
        <f>IF(G74=0,"",INDEX('[1]Grade Project'!$G:$G,MATCH($A$5,'[1]Grade Project'!$F:$F,0)+SUM($G$3:G74)))</f>
        <v/>
      </c>
      <c r="G75">
        <f>COUNTIFS('[1]Grade Project'!$F:$F,$A$5,'[1]Grade Project'!$G:$G,F75)</f>
        <v>0</v>
      </c>
      <c r="H75" t="str">
        <f>IF(I74=0,"",INDEX('[1]Grade Project'!$K:$K,MATCH(CONCATENATE($A$5,$A$8),'[1]Grade Project'!$H:$H,0)+SUM($I$3:I74)))</f>
        <v/>
      </c>
      <c r="I75">
        <f>COUNTIFS('[1]Grade Project'!$G:$G,$A$8,'[1]Grade Project'!$K:$K,H75,'[1]Grade Project'!$F:$F,$A$5)</f>
        <v>0</v>
      </c>
      <c r="J75" t="str">
        <f>IFERROR(AVERAGEIFS('[1]Grade Project'!$N:$N,'[1]Grade Project'!$K:$K,H75,'[1]Grade Project'!$F:$F,$A$5,'[1]Grade Project'!$G:$G,$A$8),"")</f>
        <v/>
      </c>
      <c r="K75" t="str">
        <f>IFERROR(AVERAGEIFS('[1]Grade Project'!$O:$O,'[1]Grade Project'!$K:$K,H75,'[1]Grade Project'!$F:$F,$A$5,'[1]Grade Project'!$G:$G,$A$8),"")</f>
        <v/>
      </c>
      <c r="L75" t="str">
        <f t="shared" si="4"/>
        <v/>
      </c>
      <c r="M75" t="str">
        <f t="shared" si="5"/>
        <v/>
      </c>
      <c r="N75" t="str">
        <f t="shared" si="6"/>
        <v/>
      </c>
    </row>
    <row r="76" spans="2:14" x14ac:dyDescent="0.25">
      <c r="B76" t="s">
        <v>75</v>
      </c>
      <c r="F76" t="str">
        <f>IF(G75=0,"",INDEX('[1]Grade Project'!$G:$G,MATCH($A$5,'[1]Grade Project'!$F:$F,0)+SUM($G$3:G75)))</f>
        <v/>
      </c>
      <c r="G76">
        <f>COUNTIFS('[1]Grade Project'!$F:$F,$A$5,'[1]Grade Project'!$G:$G,F76)</f>
        <v>0</v>
      </c>
      <c r="H76" t="str">
        <f>IF(I75=0,"",INDEX('[1]Grade Project'!$K:$K,MATCH(CONCATENATE($A$5,$A$8),'[1]Grade Project'!$H:$H,0)+SUM($I$3:I75)))</f>
        <v/>
      </c>
      <c r="I76">
        <f>COUNTIFS('[1]Grade Project'!$G:$G,$A$8,'[1]Grade Project'!$K:$K,H76,'[1]Grade Project'!$F:$F,$A$5)</f>
        <v>0</v>
      </c>
      <c r="J76" t="str">
        <f>IFERROR(AVERAGEIFS('[1]Grade Project'!$N:$N,'[1]Grade Project'!$K:$K,H76,'[1]Grade Project'!$F:$F,$A$5,'[1]Grade Project'!$G:$G,$A$8),"")</f>
        <v/>
      </c>
      <c r="K76" t="str">
        <f>IFERROR(AVERAGEIFS('[1]Grade Project'!$O:$O,'[1]Grade Project'!$K:$K,H76,'[1]Grade Project'!$F:$F,$A$5,'[1]Grade Project'!$G:$G,$A$8),"")</f>
        <v/>
      </c>
      <c r="L76" t="str">
        <f t="shared" si="4"/>
        <v/>
      </c>
      <c r="M76" t="str">
        <f t="shared" si="5"/>
        <v/>
      </c>
      <c r="N76" t="str">
        <f t="shared" si="6"/>
        <v/>
      </c>
    </row>
    <row r="77" spans="2:14" x14ac:dyDescent="0.25">
      <c r="B77" t="s">
        <v>76</v>
      </c>
      <c r="F77" t="str">
        <f>IF(G76=0,"",INDEX('[1]Grade Project'!$G:$G,MATCH($A$5,'[1]Grade Project'!$F:$F,0)+SUM($G$3:G76)))</f>
        <v/>
      </c>
      <c r="G77">
        <f>COUNTIFS('[1]Grade Project'!$F:$F,$A$5,'[1]Grade Project'!$G:$G,F77)</f>
        <v>0</v>
      </c>
      <c r="H77" t="str">
        <f>IF(I76=0,"",INDEX('[1]Grade Project'!$K:$K,MATCH(CONCATENATE($A$5,$A$8),'[1]Grade Project'!$H:$H,0)+SUM($I$3:I76)))</f>
        <v/>
      </c>
      <c r="I77">
        <f>COUNTIFS('[1]Grade Project'!$G:$G,$A$8,'[1]Grade Project'!$K:$K,H77,'[1]Grade Project'!$F:$F,$A$5)</f>
        <v>0</v>
      </c>
      <c r="J77" t="str">
        <f>IFERROR(AVERAGEIFS('[1]Grade Project'!$N:$N,'[1]Grade Project'!$K:$K,H77,'[1]Grade Project'!$F:$F,$A$5,'[1]Grade Project'!$G:$G,$A$8),"")</f>
        <v/>
      </c>
      <c r="K77" t="str">
        <f>IFERROR(AVERAGEIFS('[1]Grade Project'!$O:$O,'[1]Grade Project'!$K:$K,H77,'[1]Grade Project'!$F:$F,$A$5,'[1]Grade Project'!$G:$G,$A$8),"")</f>
        <v/>
      </c>
      <c r="L77" t="str">
        <f t="shared" si="4"/>
        <v/>
      </c>
      <c r="M77" t="str">
        <f t="shared" si="5"/>
        <v/>
      </c>
      <c r="N77" t="str">
        <f t="shared" si="6"/>
        <v/>
      </c>
    </row>
    <row r="78" spans="2:14" x14ac:dyDescent="0.25">
      <c r="B78" t="s">
        <v>77</v>
      </c>
      <c r="F78" t="str">
        <f>IF(G77=0,"",INDEX('[1]Grade Project'!$G:$G,MATCH($A$5,'[1]Grade Project'!$F:$F,0)+SUM($G$3:G77)))</f>
        <v/>
      </c>
      <c r="G78">
        <f>COUNTIFS('[1]Grade Project'!$F:$F,$A$5,'[1]Grade Project'!$G:$G,F78)</f>
        <v>0</v>
      </c>
      <c r="H78" t="str">
        <f>IF(I77=0,"",INDEX('[1]Grade Project'!$K:$K,MATCH(CONCATENATE($A$5,$A$8),'[1]Grade Project'!$H:$H,0)+SUM($I$3:I77)))</f>
        <v/>
      </c>
      <c r="I78">
        <f>COUNTIFS('[1]Grade Project'!$G:$G,$A$8,'[1]Grade Project'!$K:$K,H78,'[1]Grade Project'!$F:$F,$A$5)</f>
        <v>0</v>
      </c>
      <c r="J78" t="str">
        <f>IFERROR(AVERAGEIFS('[1]Grade Project'!$N:$N,'[1]Grade Project'!$K:$K,H78,'[1]Grade Project'!$F:$F,$A$5,'[1]Grade Project'!$G:$G,$A$8),"")</f>
        <v/>
      </c>
      <c r="K78" t="str">
        <f>IFERROR(AVERAGEIFS('[1]Grade Project'!$O:$O,'[1]Grade Project'!$K:$K,H78,'[1]Grade Project'!$F:$F,$A$5,'[1]Grade Project'!$G:$G,$A$8),"")</f>
        <v/>
      </c>
      <c r="L78" t="str">
        <f t="shared" si="4"/>
        <v/>
      </c>
      <c r="M78" t="str">
        <f t="shared" si="5"/>
        <v/>
      </c>
      <c r="N78" t="str">
        <f t="shared" si="6"/>
        <v/>
      </c>
    </row>
    <row r="79" spans="2:14" x14ac:dyDescent="0.25">
      <c r="B79" t="s">
        <v>78</v>
      </c>
      <c r="F79" t="str">
        <f>IF(G78=0,"",INDEX('[1]Grade Project'!$G:$G,MATCH($A$5,'[1]Grade Project'!$F:$F,0)+SUM($G$3:G78)))</f>
        <v/>
      </c>
      <c r="G79">
        <f>COUNTIFS('[1]Grade Project'!$F:$F,$A$5,'[1]Grade Project'!$G:$G,F79)</f>
        <v>0</v>
      </c>
      <c r="H79" t="str">
        <f>IF(I78=0,"",INDEX('[1]Grade Project'!$K:$K,MATCH(CONCATENATE($A$5,$A$8),'[1]Grade Project'!$H:$H,0)+SUM($I$3:I78)))</f>
        <v/>
      </c>
      <c r="I79">
        <f>COUNTIFS('[1]Grade Project'!$G:$G,$A$8,'[1]Grade Project'!$K:$K,H79,'[1]Grade Project'!$F:$F,$A$5)</f>
        <v>0</v>
      </c>
      <c r="J79" t="str">
        <f>IFERROR(AVERAGEIFS('[1]Grade Project'!$N:$N,'[1]Grade Project'!$K:$K,H79,'[1]Grade Project'!$F:$F,$A$5,'[1]Grade Project'!$G:$G,$A$8),"")</f>
        <v/>
      </c>
      <c r="K79" t="str">
        <f>IFERROR(AVERAGEIFS('[1]Grade Project'!$O:$O,'[1]Grade Project'!$K:$K,H79,'[1]Grade Project'!$F:$F,$A$5,'[1]Grade Project'!$G:$G,$A$8),"")</f>
        <v/>
      </c>
      <c r="L79" t="str">
        <f t="shared" si="4"/>
        <v/>
      </c>
      <c r="M79" t="str">
        <f t="shared" si="5"/>
        <v/>
      </c>
      <c r="N79" t="str">
        <f t="shared" si="6"/>
        <v/>
      </c>
    </row>
    <row r="80" spans="2:14" x14ac:dyDescent="0.25">
      <c r="B80" t="s">
        <v>79</v>
      </c>
      <c r="F80" t="str">
        <f>IF(G79=0,"",INDEX('[1]Grade Project'!$G:$G,MATCH($A$5,'[1]Grade Project'!$F:$F,0)+SUM($G$3:G79)))</f>
        <v/>
      </c>
      <c r="G80">
        <f>COUNTIFS('[1]Grade Project'!$F:$F,$A$5,'[1]Grade Project'!$G:$G,F80)</f>
        <v>0</v>
      </c>
      <c r="H80" t="str">
        <f>IF(I79=0,"",INDEX('[1]Grade Project'!$K:$K,MATCH(CONCATENATE($A$5,$A$8),'[1]Grade Project'!$H:$H,0)+SUM($I$3:I79)))</f>
        <v/>
      </c>
      <c r="I80">
        <f>COUNTIFS('[1]Grade Project'!$G:$G,$A$8,'[1]Grade Project'!$K:$K,H80,'[1]Grade Project'!$F:$F,$A$5)</f>
        <v>0</v>
      </c>
      <c r="J80" t="str">
        <f>IFERROR(AVERAGEIFS('[1]Grade Project'!$N:$N,'[1]Grade Project'!$K:$K,H80,'[1]Grade Project'!$F:$F,$A$5,'[1]Grade Project'!$G:$G,$A$8),"")</f>
        <v/>
      </c>
      <c r="K80" t="str">
        <f>IFERROR(AVERAGEIFS('[1]Grade Project'!$O:$O,'[1]Grade Project'!$K:$K,H80,'[1]Grade Project'!$F:$F,$A$5,'[1]Grade Project'!$G:$G,$A$8),"")</f>
        <v/>
      </c>
      <c r="L80" t="str">
        <f t="shared" si="4"/>
        <v/>
      </c>
      <c r="M80" t="str">
        <f t="shared" si="5"/>
        <v/>
      </c>
      <c r="N80" t="str">
        <f t="shared" si="6"/>
        <v/>
      </c>
    </row>
    <row r="81" spans="2:14" x14ac:dyDescent="0.25">
      <c r="B81" t="s">
        <v>80</v>
      </c>
      <c r="F81" t="str">
        <f>IF(G80=0,"",INDEX('[1]Grade Project'!$G:$G,MATCH($A$5,'[1]Grade Project'!$F:$F,0)+SUM($G$3:G80)))</f>
        <v/>
      </c>
      <c r="G81">
        <f>COUNTIFS('[1]Grade Project'!$F:$F,$A$5,'[1]Grade Project'!$G:$G,F81)</f>
        <v>0</v>
      </c>
      <c r="H81" t="str">
        <f>IF(I80=0,"",INDEX('[1]Grade Project'!$K:$K,MATCH(CONCATENATE($A$5,$A$8),'[1]Grade Project'!$H:$H,0)+SUM($I$3:I80)))</f>
        <v/>
      </c>
      <c r="I81">
        <f>COUNTIFS('[1]Grade Project'!$G:$G,$A$8,'[1]Grade Project'!$K:$K,H81,'[1]Grade Project'!$F:$F,$A$5)</f>
        <v>0</v>
      </c>
      <c r="J81" t="str">
        <f>IFERROR(AVERAGEIFS('[1]Grade Project'!$N:$N,'[1]Grade Project'!$K:$K,H81,'[1]Grade Project'!$F:$F,$A$5,'[1]Grade Project'!$G:$G,$A$8),"")</f>
        <v/>
      </c>
      <c r="K81" t="str">
        <f>IFERROR(AVERAGEIFS('[1]Grade Project'!$O:$O,'[1]Grade Project'!$K:$K,H81,'[1]Grade Project'!$F:$F,$A$5,'[1]Grade Project'!$G:$G,$A$8),"")</f>
        <v/>
      </c>
      <c r="L81" t="str">
        <f t="shared" si="4"/>
        <v/>
      </c>
      <c r="M81" t="str">
        <f t="shared" si="5"/>
        <v/>
      </c>
      <c r="N81" t="str">
        <f t="shared" si="6"/>
        <v/>
      </c>
    </row>
    <row r="82" spans="2:14" x14ac:dyDescent="0.25">
      <c r="B82" t="s">
        <v>81</v>
      </c>
      <c r="F82" t="str">
        <f>IF(G81=0,"",INDEX('[1]Grade Project'!$G:$G,MATCH($A$5,'[1]Grade Project'!$F:$F,0)+SUM($G$3:G81)))</f>
        <v/>
      </c>
      <c r="G82">
        <f>COUNTIFS('[1]Grade Project'!$F:$F,$A$5,'[1]Grade Project'!$G:$G,F82)</f>
        <v>0</v>
      </c>
      <c r="H82" t="str">
        <f>IF(I81=0,"",INDEX('[1]Grade Project'!$K:$K,MATCH(CONCATENATE($A$5,$A$8),'[1]Grade Project'!$H:$H,0)+SUM($I$3:I81)))</f>
        <v/>
      </c>
      <c r="I82">
        <f>COUNTIFS('[1]Grade Project'!$G:$G,$A$8,'[1]Grade Project'!$K:$K,H82,'[1]Grade Project'!$F:$F,$A$5)</f>
        <v>0</v>
      </c>
      <c r="J82" t="str">
        <f>IFERROR(AVERAGEIFS('[1]Grade Project'!$N:$N,'[1]Grade Project'!$K:$K,H82,'[1]Grade Project'!$F:$F,$A$5,'[1]Grade Project'!$G:$G,$A$8),"")</f>
        <v/>
      </c>
      <c r="K82" t="str">
        <f>IFERROR(AVERAGEIFS('[1]Grade Project'!$O:$O,'[1]Grade Project'!$K:$K,H82,'[1]Grade Project'!$F:$F,$A$5,'[1]Grade Project'!$G:$G,$A$8),"")</f>
        <v/>
      </c>
      <c r="L82" t="str">
        <f t="shared" si="4"/>
        <v/>
      </c>
      <c r="M82" t="str">
        <f t="shared" si="5"/>
        <v/>
      </c>
      <c r="N82" t="str">
        <f t="shared" si="6"/>
        <v/>
      </c>
    </row>
    <row r="83" spans="2:14" x14ac:dyDescent="0.25">
      <c r="B83" t="s">
        <v>82</v>
      </c>
      <c r="F83" t="str">
        <f>IF(G82=0,"",INDEX('[1]Grade Project'!$G:$G,MATCH($A$5,'[1]Grade Project'!$F:$F,0)+SUM($G$3:G82)))</f>
        <v/>
      </c>
      <c r="G83">
        <f>COUNTIFS('[1]Grade Project'!$F:$F,$A$5,'[1]Grade Project'!$G:$G,F83)</f>
        <v>0</v>
      </c>
      <c r="H83" t="str">
        <f>IF(I82=0,"",INDEX('[1]Grade Project'!$K:$K,MATCH(CONCATENATE($A$5,$A$8),'[1]Grade Project'!$H:$H,0)+SUM($I$3:I82)))</f>
        <v/>
      </c>
      <c r="I83">
        <f>COUNTIFS('[1]Grade Project'!$G:$G,$A$8,'[1]Grade Project'!$K:$K,H83,'[1]Grade Project'!$F:$F,$A$5)</f>
        <v>0</v>
      </c>
      <c r="J83" t="str">
        <f>IFERROR(AVERAGEIFS('[1]Grade Project'!$N:$N,'[1]Grade Project'!$K:$K,H83,'[1]Grade Project'!$F:$F,$A$5,'[1]Grade Project'!$G:$G,$A$8),"")</f>
        <v/>
      </c>
      <c r="K83" t="str">
        <f>IFERROR(AVERAGEIFS('[1]Grade Project'!$O:$O,'[1]Grade Project'!$K:$K,H83,'[1]Grade Project'!$F:$F,$A$5,'[1]Grade Project'!$G:$G,$A$8),"")</f>
        <v/>
      </c>
      <c r="L83" t="str">
        <f t="shared" si="4"/>
        <v/>
      </c>
      <c r="M83" t="str">
        <f t="shared" si="5"/>
        <v/>
      </c>
      <c r="N83" t="str">
        <f t="shared" si="6"/>
        <v/>
      </c>
    </row>
    <row r="84" spans="2:14" x14ac:dyDescent="0.25">
      <c r="B84" t="s">
        <v>83</v>
      </c>
      <c r="F84" t="str">
        <f>IF(G83=0,"",INDEX('[1]Grade Project'!$G:$G,MATCH($A$5,'[1]Grade Project'!$F:$F,0)+SUM($G$3:G83)))</f>
        <v/>
      </c>
      <c r="G84">
        <f>COUNTIFS('[1]Grade Project'!$F:$F,$A$5,'[1]Grade Project'!$G:$G,F84)</f>
        <v>0</v>
      </c>
      <c r="H84" t="str">
        <f>IF(I83=0,"",INDEX('[1]Grade Project'!$K:$K,MATCH(CONCATENATE($A$5,$A$8),'[1]Grade Project'!$H:$H,0)+SUM($I$3:I83)))</f>
        <v/>
      </c>
      <c r="I84">
        <f>COUNTIFS('[1]Grade Project'!$G:$G,$A$8,'[1]Grade Project'!$K:$K,H84,'[1]Grade Project'!$F:$F,$A$5)</f>
        <v>0</v>
      </c>
      <c r="J84" t="str">
        <f>IFERROR(AVERAGEIFS('[1]Grade Project'!$N:$N,'[1]Grade Project'!$K:$K,H84,'[1]Grade Project'!$F:$F,$A$5,'[1]Grade Project'!$G:$G,$A$8),"")</f>
        <v/>
      </c>
      <c r="K84" t="str">
        <f>IFERROR(AVERAGEIFS('[1]Grade Project'!$O:$O,'[1]Grade Project'!$K:$K,H84,'[1]Grade Project'!$F:$F,$A$5,'[1]Grade Project'!$G:$G,$A$8),"")</f>
        <v/>
      </c>
      <c r="L84" t="str">
        <f t="shared" si="4"/>
        <v/>
      </c>
      <c r="M84" t="str">
        <f t="shared" si="5"/>
        <v/>
      </c>
      <c r="N84" t="str">
        <f t="shared" si="6"/>
        <v/>
      </c>
    </row>
    <row r="85" spans="2:14" x14ac:dyDescent="0.25">
      <c r="B85" t="s">
        <v>84</v>
      </c>
      <c r="F85" t="str">
        <f>IF(G84=0,"",INDEX('[1]Grade Project'!$G:$G,MATCH($A$5,'[1]Grade Project'!$F:$F,0)+SUM($G$3:G84)))</f>
        <v/>
      </c>
      <c r="G85">
        <f>COUNTIFS('[1]Grade Project'!$F:$F,$A$5,'[1]Grade Project'!$G:$G,F85)</f>
        <v>0</v>
      </c>
      <c r="H85" t="str">
        <f>IF(I84=0,"",INDEX('[1]Grade Project'!$K:$K,MATCH(CONCATENATE($A$5,$A$8),'[1]Grade Project'!$H:$H,0)+SUM($I$3:I84)))</f>
        <v/>
      </c>
      <c r="I85">
        <f>COUNTIFS('[1]Grade Project'!$G:$G,$A$8,'[1]Grade Project'!$K:$K,H85,'[1]Grade Project'!$F:$F,$A$5)</f>
        <v>0</v>
      </c>
      <c r="J85" t="str">
        <f>IFERROR(AVERAGEIFS('[1]Grade Project'!$N:$N,'[1]Grade Project'!$K:$K,H85,'[1]Grade Project'!$F:$F,$A$5,'[1]Grade Project'!$G:$G,$A$8),"")</f>
        <v/>
      </c>
      <c r="K85" t="str">
        <f>IFERROR(AVERAGEIFS('[1]Grade Project'!$O:$O,'[1]Grade Project'!$K:$K,H85,'[1]Grade Project'!$F:$F,$A$5,'[1]Grade Project'!$G:$G,$A$8),"")</f>
        <v/>
      </c>
      <c r="L85" t="str">
        <f t="shared" si="4"/>
        <v/>
      </c>
      <c r="M85" t="str">
        <f t="shared" si="5"/>
        <v/>
      </c>
      <c r="N85" t="str">
        <f t="shared" si="6"/>
        <v/>
      </c>
    </row>
    <row r="86" spans="2:14" x14ac:dyDescent="0.25">
      <c r="B86" t="s">
        <v>85</v>
      </c>
      <c r="F86" t="str">
        <f>IF(G85=0,"",INDEX('[1]Grade Project'!$G:$G,MATCH($A$5,'[1]Grade Project'!$F:$F,0)+SUM($G$3:G85)))</f>
        <v/>
      </c>
      <c r="G86">
        <f>COUNTIFS('[1]Grade Project'!$F:$F,$A$5,'[1]Grade Project'!$G:$G,F86)</f>
        <v>0</v>
      </c>
      <c r="H86" t="str">
        <f>IF(I85=0,"",INDEX('[1]Grade Project'!$K:$K,MATCH(CONCATENATE($A$5,$A$8),'[1]Grade Project'!$H:$H,0)+SUM($I$3:I85)))</f>
        <v/>
      </c>
      <c r="I86">
        <f>COUNTIFS('[1]Grade Project'!$G:$G,$A$8,'[1]Grade Project'!$K:$K,H86,'[1]Grade Project'!$F:$F,$A$5)</f>
        <v>0</v>
      </c>
      <c r="J86" t="str">
        <f>IFERROR(AVERAGEIFS('[1]Grade Project'!$N:$N,'[1]Grade Project'!$K:$K,H86,'[1]Grade Project'!$F:$F,$A$5,'[1]Grade Project'!$G:$G,$A$8),"")</f>
        <v/>
      </c>
      <c r="K86" t="str">
        <f>IFERROR(AVERAGEIFS('[1]Grade Project'!$O:$O,'[1]Grade Project'!$K:$K,H86,'[1]Grade Project'!$F:$F,$A$5,'[1]Grade Project'!$G:$G,$A$8),"")</f>
        <v/>
      </c>
      <c r="L86" t="str">
        <f t="shared" si="4"/>
        <v/>
      </c>
      <c r="M86" t="str">
        <f t="shared" si="5"/>
        <v/>
      </c>
      <c r="N86" t="str">
        <f t="shared" si="6"/>
        <v/>
      </c>
    </row>
    <row r="87" spans="2:14" x14ac:dyDescent="0.25">
      <c r="B87" t="s">
        <v>86</v>
      </c>
      <c r="F87" t="str">
        <f>IF(G86=0,"",INDEX('[1]Grade Project'!$G:$G,MATCH($A$5,'[1]Grade Project'!$F:$F,0)+SUM($G$3:G86)))</f>
        <v/>
      </c>
      <c r="G87">
        <f>COUNTIFS('[1]Grade Project'!$F:$F,$A$5,'[1]Grade Project'!$G:$G,F87)</f>
        <v>0</v>
      </c>
      <c r="H87" t="str">
        <f>IF(I86=0,"",INDEX('[1]Grade Project'!$K:$K,MATCH(CONCATENATE($A$5,$A$8),'[1]Grade Project'!$H:$H,0)+SUM($I$3:I86)))</f>
        <v/>
      </c>
      <c r="I87">
        <f>COUNTIFS('[1]Grade Project'!$G:$G,$A$8,'[1]Grade Project'!$K:$K,H87,'[1]Grade Project'!$F:$F,$A$5)</f>
        <v>0</v>
      </c>
      <c r="J87" t="str">
        <f>IFERROR(AVERAGEIFS('[1]Grade Project'!$N:$N,'[1]Grade Project'!$K:$K,H87,'[1]Grade Project'!$F:$F,$A$5,'[1]Grade Project'!$G:$G,$A$8),"")</f>
        <v/>
      </c>
      <c r="K87" t="str">
        <f>IFERROR(AVERAGEIFS('[1]Grade Project'!$O:$O,'[1]Grade Project'!$K:$K,H87,'[1]Grade Project'!$F:$F,$A$5,'[1]Grade Project'!$G:$G,$A$8),"")</f>
        <v/>
      </c>
      <c r="L87" t="str">
        <f t="shared" si="4"/>
        <v/>
      </c>
      <c r="M87" t="str">
        <f t="shared" si="5"/>
        <v/>
      </c>
      <c r="N87" t="str">
        <f t="shared" si="6"/>
        <v/>
      </c>
    </row>
    <row r="88" spans="2:14" x14ac:dyDescent="0.25">
      <c r="B88" t="s">
        <v>87</v>
      </c>
      <c r="F88" t="str">
        <f>IF(G87=0,"",INDEX('[1]Grade Project'!$G:$G,MATCH($A$5,'[1]Grade Project'!$F:$F,0)+SUM($G$3:G87)))</f>
        <v/>
      </c>
      <c r="G88">
        <f>COUNTIFS('[1]Grade Project'!$F:$F,$A$5,'[1]Grade Project'!$G:$G,F88)</f>
        <v>0</v>
      </c>
      <c r="H88" t="str">
        <f>IF(I87=0,"",INDEX('[1]Grade Project'!$K:$K,MATCH(CONCATENATE($A$5,$A$8),'[1]Grade Project'!$H:$H,0)+SUM($I$3:I87)))</f>
        <v/>
      </c>
      <c r="I88">
        <f>COUNTIFS('[1]Grade Project'!$G:$G,$A$8,'[1]Grade Project'!$K:$K,H88,'[1]Grade Project'!$F:$F,$A$5)</f>
        <v>0</v>
      </c>
      <c r="J88" t="str">
        <f>IFERROR(AVERAGEIFS('[1]Grade Project'!$N:$N,'[1]Grade Project'!$K:$K,H88,'[1]Grade Project'!$F:$F,$A$5,'[1]Grade Project'!$G:$G,$A$8),"")</f>
        <v/>
      </c>
      <c r="K88" t="str">
        <f>IFERROR(AVERAGEIFS('[1]Grade Project'!$O:$O,'[1]Grade Project'!$K:$K,H88,'[1]Grade Project'!$F:$F,$A$5,'[1]Grade Project'!$G:$G,$A$8),"")</f>
        <v/>
      </c>
      <c r="L88" t="str">
        <f t="shared" si="4"/>
        <v/>
      </c>
      <c r="M88" t="str">
        <f t="shared" si="5"/>
        <v/>
      </c>
      <c r="N88" t="str">
        <f t="shared" si="6"/>
        <v/>
      </c>
    </row>
    <row r="89" spans="2:14" x14ac:dyDescent="0.25">
      <c r="B89" t="s">
        <v>88</v>
      </c>
      <c r="F89" t="str">
        <f>IF(G88=0,"",INDEX('[1]Grade Project'!$G:$G,MATCH($A$5,'[1]Grade Project'!$F:$F,0)+SUM($G$3:G88)))</f>
        <v/>
      </c>
      <c r="G89">
        <f>COUNTIFS('[1]Grade Project'!$F:$F,$A$5,'[1]Grade Project'!$G:$G,F89)</f>
        <v>0</v>
      </c>
      <c r="H89" t="str">
        <f>IF(I88=0,"",INDEX('[1]Grade Project'!$K:$K,MATCH(CONCATENATE($A$5,$A$8),'[1]Grade Project'!$H:$H,0)+SUM($I$3:I88)))</f>
        <v/>
      </c>
      <c r="I89">
        <f>COUNTIFS('[1]Grade Project'!$G:$G,$A$8,'[1]Grade Project'!$K:$K,H89,'[1]Grade Project'!$F:$F,$A$5)</f>
        <v>0</v>
      </c>
      <c r="J89" t="str">
        <f>IFERROR(AVERAGEIFS('[1]Grade Project'!$N:$N,'[1]Grade Project'!$K:$K,H89,'[1]Grade Project'!$F:$F,$A$5,'[1]Grade Project'!$G:$G,$A$8),"")</f>
        <v/>
      </c>
      <c r="K89" t="str">
        <f>IFERROR(AVERAGEIFS('[1]Grade Project'!$O:$O,'[1]Grade Project'!$K:$K,H89,'[1]Grade Project'!$F:$F,$A$5,'[1]Grade Project'!$G:$G,$A$8),"")</f>
        <v/>
      </c>
      <c r="L89" t="str">
        <f t="shared" si="4"/>
        <v/>
      </c>
      <c r="M89" t="str">
        <f t="shared" si="5"/>
        <v/>
      </c>
      <c r="N89" t="str">
        <f t="shared" si="6"/>
        <v/>
      </c>
    </row>
    <row r="90" spans="2:14" x14ac:dyDescent="0.25">
      <c r="B90" t="s">
        <v>89</v>
      </c>
      <c r="F90" t="str">
        <f>IF(G89=0,"",INDEX('[1]Grade Project'!$G:$G,MATCH($A$5,'[1]Grade Project'!$F:$F,0)+SUM($G$3:G89)))</f>
        <v/>
      </c>
      <c r="G90">
        <f>COUNTIFS('[1]Grade Project'!$F:$F,$A$5,'[1]Grade Project'!$G:$G,F90)</f>
        <v>0</v>
      </c>
      <c r="H90" t="str">
        <f>IF(I89=0,"",INDEX('[1]Grade Project'!$K:$K,MATCH(CONCATENATE($A$5,$A$8),'[1]Grade Project'!$H:$H,0)+SUM($I$3:I89)))</f>
        <v/>
      </c>
      <c r="I90">
        <f>COUNTIFS('[1]Grade Project'!$G:$G,$A$8,'[1]Grade Project'!$K:$K,H90,'[1]Grade Project'!$F:$F,$A$5)</f>
        <v>0</v>
      </c>
      <c r="J90" t="str">
        <f>IFERROR(AVERAGEIFS('[1]Grade Project'!$N:$N,'[1]Grade Project'!$K:$K,H90,'[1]Grade Project'!$F:$F,$A$5,'[1]Grade Project'!$G:$G,$A$8),"")</f>
        <v/>
      </c>
      <c r="K90" t="str">
        <f>IFERROR(AVERAGEIFS('[1]Grade Project'!$O:$O,'[1]Grade Project'!$K:$K,H90,'[1]Grade Project'!$F:$F,$A$5,'[1]Grade Project'!$G:$G,$A$8),"")</f>
        <v/>
      </c>
      <c r="L90" t="str">
        <f t="shared" si="4"/>
        <v/>
      </c>
      <c r="M90" t="str">
        <f t="shared" si="5"/>
        <v/>
      </c>
      <c r="N90" t="str">
        <f t="shared" si="6"/>
        <v/>
      </c>
    </row>
    <row r="91" spans="2:14" x14ac:dyDescent="0.25">
      <c r="B91" t="s">
        <v>90</v>
      </c>
      <c r="F91" t="str">
        <f>IF(G90=0,"",INDEX('[1]Grade Project'!$G:$G,MATCH($A$5,'[1]Grade Project'!$F:$F,0)+SUM($G$3:G90)))</f>
        <v/>
      </c>
      <c r="G91">
        <f>COUNTIFS('[1]Grade Project'!$F:$F,$A$5,'[1]Grade Project'!$G:$G,F91)</f>
        <v>0</v>
      </c>
      <c r="H91" t="str">
        <f>IF(I90=0,"",INDEX('[1]Grade Project'!$K:$K,MATCH(CONCATENATE($A$5,$A$8),'[1]Grade Project'!$H:$H,0)+SUM($I$3:I90)))</f>
        <v/>
      </c>
      <c r="I91">
        <f>COUNTIFS('[1]Grade Project'!$G:$G,$A$8,'[1]Grade Project'!$K:$K,H91,'[1]Grade Project'!$F:$F,$A$5)</f>
        <v>0</v>
      </c>
      <c r="J91" t="str">
        <f>IFERROR(AVERAGEIFS('[1]Grade Project'!$N:$N,'[1]Grade Project'!$K:$K,H91,'[1]Grade Project'!$F:$F,$A$5,'[1]Grade Project'!$G:$G,$A$8),"")</f>
        <v/>
      </c>
      <c r="K91" t="str">
        <f>IFERROR(AVERAGEIFS('[1]Grade Project'!$O:$O,'[1]Grade Project'!$K:$K,H91,'[1]Grade Project'!$F:$F,$A$5,'[1]Grade Project'!$G:$G,$A$8),"")</f>
        <v/>
      </c>
      <c r="L91" t="str">
        <f t="shared" si="4"/>
        <v/>
      </c>
      <c r="M91" t="str">
        <f t="shared" si="5"/>
        <v/>
      </c>
      <c r="N91" t="str">
        <f t="shared" si="6"/>
        <v/>
      </c>
    </row>
    <row r="92" spans="2:14" x14ac:dyDescent="0.25">
      <c r="B92" t="s">
        <v>91</v>
      </c>
      <c r="F92" t="str">
        <f>IF(G91=0,"",INDEX('[1]Grade Project'!$G:$G,MATCH($A$5,'[1]Grade Project'!$F:$F,0)+SUM($G$3:G91)))</f>
        <v/>
      </c>
      <c r="G92">
        <f>COUNTIFS('[1]Grade Project'!$F:$F,$A$5,'[1]Grade Project'!$G:$G,F92)</f>
        <v>0</v>
      </c>
      <c r="H92" t="str">
        <f>IF(I91=0,"",INDEX('[1]Grade Project'!$K:$K,MATCH(CONCATENATE($A$5,$A$8),'[1]Grade Project'!$H:$H,0)+SUM($I$3:I91)))</f>
        <v/>
      </c>
      <c r="I92">
        <f>COUNTIFS('[1]Grade Project'!$G:$G,$A$8,'[1]Grade Project'!$K:$K,H92,'[1]Grade Project'!$F:$F,$A$5)</f>
        <v>0</v>
      </c>
      <c r="J92" t="str">
        <f>IFERROR(AVERAGEIFS('[1]Grade Project'!$N:$N,'[1]Grade Project'!$K:$K,H92,'[1]Grade Project'!$F:$F,$A$5,'[1]Grade Project'!$G:$G,$A$8),"")</f>
        <v/>
      </c>
      <c r="K92" t="str">
        <f>IFERROR(AVERAGEIFS('[1]Grade Project'!$O:$O,'[1]Grade Project'!$K:$K,H92,'[1]Grade Project'!$F:$F,$A$5,'[1]Grade Project'!$G:$G,$A$8),"")</f>
        <v/>
      </c>
      <c r="L92" t="str">
        <f t="shared" si="4"/>
        <v/>
      </c>
      <c r="M92" t="str">
        <f t="shared" si="5"/>
        <v/>
      </c>
      <c r="N92" t="str">
        <f t="shared" si="6"/>
        <v/>
      </c>
    </row>
    <row r="93" spans="2:14" x14ac:dyDescent="0.25">
      <c r="B93" t="s">
        <v>92</v>
      </c>
      <c r="F93" t="str">
        <f>IF(G92=0,"",INDEX('[1]Grade Project'!$G:$G,MATCH($A$5,'[1]Grade Project'!$F:$F,0)+SUM($G$3:G92)))</f>
        <v/>
      </c>
      <c r="G93">
        <f>COUNTIFS('[1]Grade Project'!$F:$F,$A$5,'[1]Grade Project'!$G:$G,F93)</f>
        <v>0</v>
      </c>
      <c r="H93" t="str">
        <f>IF(I92=0,"",INDEX('[1]Grade Project'!$K:$K,MATCH(CONCATENATE($A$5,$A$8),'[1]Grade Project'!$H:$H,0)+SUM($I$3:I92)))</f>
        <v/>
      </c>
      <c r="I93">
        <f>COUNTIFS('[1]Grade Project'!$G:$G,$A$8,'[1]Grade Project'!$K:$K,H93,'[1]Grade Project'!$F:$F,$A$5)</f>
        <v>0</v>
      </c>
      <c r="J93" t="str">
        <f>IFERROR(AVERAGEIFS('[1]Grade Project'!$N:$N,'[1]Grade Project'!$K:$K,H93,'[1]Grade Project'!$F:$F,$A$5,'[1]Grade Project'!$G:$G,$A$8),"")</f>
        <v/>
      </c>
      <c r="K93" t="str">
        <f>IFERROR(AVERAGEIFS('[1]Grade Project'!$O:$O,'[1]Grade Project'!$K:$K,H93,'[1]Grade Project'!$F:$F,$A$5,'[1]Grade Project'!$G:$G,$A$8),"")</f>
        <v/>
      </c>
      <c r="L93" t="str">
        <f t="shared" si="4"/>
        <v/>
      </c>
      <c r="M93" t="str">
        <f t="shared" si="5"/>
        <v/>
      </c>
      <c r="N93" t="str">
        <f t="shared" si="6"/>
        <v/>
      </c>
    </row>
    <row r="94" spans="2:14" x14ac:dyDescent="0.25">
      <c r="B94" t="s">
        <v>93</v>
      </c>
      <c r="F94" t="str">
        <f>IF(G93=0,"",INDEX('[1]Grade Project'!$G:$G,MATCH($A$5,'[1]Grade Project'!$F:$F,0)+SUM($G$3:G93)))</f>
        <v/>
      </c>
      <c r="G94">
        <f>COUNTIFS('[1]Grade Project'!$F:$F,$A$5,'[1]Grade Project'!$G:$G,F94)</f>
        <v>0</v>
      </c>
      <c r="H94" t="str">
        <f>IF(I93=0,"",INDEX('[1]Grade Project'!$K:$K,MATCH(CONCATENATE($A$5,$A$8),'[1]Grade Project'!$H:$H,0)+SUM($I$3:I93)))</f>
        <v/>
      </c>
      <c r="I94">
        <f>COUNTIFS('[1]Grade Project'!$G:$G,$A$8,'[1]Grade Project'!$K:$K,H94,'[1]Grade Project'!$F:$F,$A$5)</f>
        <v>0</v>
      </c>
      <c r="J94" t="str">
        <f>IFERROR(AVERAGEIFS('[1]Grade Project'!$N:$N,'[1]Grade Project'!$K:$K,H94,'[1]Grade Project'!$F:$F,$A$5,'[1]Grade Project'!$G:$G,$A$8),"")</f>
        <v/>
      </c>
      <c r="K94" t="str">
        <f>IFERROR(AVERAGEIFS('[1]Grade Project'!$O:$O,'[1]Grade Project'!$K:$K,H94,'[1]Grade Project'!$F:$F,$A$5,'[1]Grade Project'!$G:$G,$A$8),"")</f>
        <v/>
      </c>
      <c r="L94" t="str">
        <f t="shared" si="4"/>
        <v/>
      </c>
      <c r="M94" t="str">
        <f t="shared" si="5"/>
        <v/>
      </c>
      <c r="N94" t="str">
        <f t="shared" si="6"/>
        <v/>
      </c>
    </row>
    <row r="95" spans="2:14" x14ac:dyDescent="0.25">
      <c r="B95" t="s">
        <v>94</v>
      </c>
      <c r="F95" t="str">
        <f>IF(G94=0,"",INDEX('[1]Grade Project'!$G:$G,MATCH($A$5,'[1]Grade Project'!$F:$F,0)+SUM($G$3:G94)))</f>
        <v/>
      </c>
      <c r="G95">
        <f>COUNTIFS('[1]Grade Project'!$F:$F,$A$5,'[1]Grade Project'!$G:$G,F95)</f>
        <v>0</v>
      </c>
      <c r="H95" t="str">
        <f>IF(I94=0,"",INDEX('[1]Grade Project'!$K:$K,MATCH(CONCATENATE($A$5,$A$8),'[1]Grade Project'!$H:$H,0)+SUM($I$3:I94)))</f>
        <v/>
      </c>
      <c r="I95">
        <f>COUNTIFS('[1]Grade Project'!$G:$G,$A$8,'[1]Grade Project'!$K:$K,H95,'[1]Grade Project'!$F:$F,$A$5)</f>
        <v>0</v>
      </c>
      <c r="J95" t="str">
        <f>IFERROR(AVERAGEIFS('[1]Grade Project'!$N:$N,'[1]Grade Project'!$K:$K,H95,'[1]Grade Project'!$F:$F,$A$5,'[1]Grade Project'!$G:$G,$A$8),"")</f>
        <v/>
      </c>
      <c r="K95" t="str">
        <f>IFERROR(AVERAGEIFS('[1]Grade Project'!$O:$O,'[1]Grade Project'!$K:$K,H95,'[1]Grade Project'!$F:$F,$A$5,'[1]Grade Project'!$G:$G,$A$8),"")</f>
        <v/>
      </c>
      <c r="L95" t="str">
        <f t="shared" si="4"/>
        <v/>
      </c>
      <c r="M95" t="str">
        <f t="shared" si="5"/>
        <v/>
      </c>
      <c r="N95" t="str">
        <f t="shared" si="6"/>
        <v/>
      </c>
    </row>
    <row r="96" spans="2:14" x14ac:dyDescent="0.25">
      <c r="B96" t="s">
        <v>95</v>
      </c>
      <c r="F96" t="str">
        <f>IF(G95=0,"",INDEX('[1]Grade Project'!$G:$G,MATCH($A$5,'[1]Grade Project'!$F:$F,0)+SUM($G$3:G95)))</f>
        <v/>
      </c>
      <c r="G96">
        <f>COUNTIFS('[1]Grade Project'!$F:$F,$A$5,'[1]Grade Project'!$G:$G,F96)</f>
        <v>0</v>
      </c>
      <c r="H96" t="str">
        <f>IF(I95=0,"",INDEX('[1]Grade Project'!$K:$K,MATCH(CONCATENATE($A$5,$A$8),'[1]Grade Project'!$H:$H,0)+SUM($I$3:I95)))</f>
        <v/>
      </c>
      <c r="I96">
        <f>COUNTIFS('[1]Grade Project'!$G:$G,$A$8,'[1]Grade Project'!$K:$K,H96,'[1]Grade Project'!$F:$F,$A$5)</f>
        <v>0</v>
      </c>
      <c r="J96" t="str">
        <f>IFERROR(AVERAGEIFS('[1]Grade Project'!$N:$N,'[1]Grade Project'!$K:$K,H96,'[1]Grade Project'!$F:$F,$A$5,'[1]Grade Project'!$G:$G,$A$8),"")</f>
        <v/>
      </c>
      <c r="K96" t="str">
        <f>IFERROR(AVERAGEIFS('[1]Grade Project'!$O:$O,'[1]Grade Project'!$K:$K,H96,'[1]Grade Project'!$F:$F,$A$5,'[1]Grade Project'!$G:$G,$A$8),"")</f>
        <v/>
      </c>
      <c r="L96" t="str">
        <f t="shared" si="4"/>
        <v/>
      </c>
      <c r="M96" t="str">
        <f t="shared" si="5"/>
        <v/>
      </c>
      <c r="N96" t="str">
        <f t="shared" si="6"/>
        <v/>
      </c>
    </row>
    <row r="97" spans="2:14" x14ac:dyDescent="0.25">
      <c r="B97" t="s">
        <v>96</v>
      </c>
      <c r="H97" t="str">
        <f>IF(I96=0,"",INDEX('[1]Grade Project'!$K:$K,MATCH(CONCATENATE($A$5,$A$8),'[1]Grade Project'!$H:$H,0)+SUM($I$3:I96)))</f>
        <v/>
      </c>
      <c r="I97">
        <f>COUNTIFS('[1]Grade Project'!$G:$G,$A$8,'[1]Grade Project'!$K:$K,H97,'[1]Grade Project'!$F:$F,$A$5)</f>
        <v>0</v>
      </c>
      <c r="J97" t="str">
        <f>IFERROR(AVERAGEIFS('[1]Grade Project'!$N:$N,'[1]Grade Project'!$K:$K,H97,'[1]Grade Project'!$F:$F,$A$5,'[1]Grade Project'!$G:$G,$A$8),"")</f>
        <v/>
      </c>
      <c r="K97" t="str">
        <f>IFERROR(AVERAGEIFS('[1]Grade Project'!$O:$O,'[1]Grade Project'!$K:$K,H97,'[1]Grade Project'!$F:$F,$A$5,'[1]Grade Project'!$G:$G,$A$8),"")</f>
        <v/>
      </c>
      <c r="L97" t="str">
        <f t="shared" si="4"/>
        <v/>
      </c>
      <c r="M97" t="str">
        <f t="shared" si="5"/>
        <v/>
      </c>
      <c r="N97" t="str">
        <f t="shared" si="6"/>
        <v/>
      </c>
    </row>
    <row r="98" spans="2:14" x14ac:dyDescent="0.25">
      <c r="B98" t="s">
        <v>97</v>
      </c>
      <c r="H98" t="str">
        <f>IF(I97=0,"",INDEX('[1]Grade Project'!$K:$K,MATCH(CONCATENATE($A$5,$A$8),'[1]Grade Project'!$H:$H,0)+SUM($I$3:I97)))</f>
        <v/>
      </c>
      <c r="I98">
        <f>COUNTIFS('[1]Grade Project'!$G:$G,$A$8,'[1]Grade Project'!$K:$K,H98,'[1]Grade Project'!$F:$F,$A$5)</f>
        <v>0</v>
      </c>
      <c r="J98" t="str">
        <f>IFERROR(AVERAGEIFS('[1]Grade Project'!$N:$N,'[1]Grade Project'!$K:$K,H98,'[1]Grade Project'!$F:$F,$A$5,'[1]Grade Project'!$G:$G,$A$8),"")</f>
        <v/>
      </c>
      <c r="K98" t="str">
        <f>IFERROR(AVERAGEIFS('[1]Grade Project'!$O:$O,'[1]Grade Project'!$K:$K,H98,'[1]Grade Project'!$F:$F,$A$5,'[1]Grade Project'!$G:$G,$A$8),"")</f>
        <v/>
      </c>
      <c r="L98" t="str">
        <f t="shared" si="4"/>
        <v/>
      </c>
      <c r="M98" t="str">
        <f t="shared" si="5"/>
        <v/>
      </c>
      <c r="N98" t="str">
        <f t="shared" si="6"/>
        <v/>
      </c>
    </row>
    <row r="99" spans="2:14" x14ac:dyDescent="0.25">
      <c r="B99" t="s">
        <v>98</v>
      </c>
      <c r="H99" t="str">
        <f>IF(I98=0,"",INDEX('[1]Grade Project'!$K:$K,MATCH(CONCATENATE($A$5,$A$8),'[1]Grade Project'!$H:$H,0)+SUM($I$3:I98)))</f>
        <v/>
      </c>
      <c r="I99">
        <f>COUNTIFS('[1]Grade Project'!$G:$G,$A$8,'[1]Grade Project'!$K:$K,H99,'[1]Grade Project'!$F:$F,$A$5)</f>
        <v>0</v>
      </c>
      <c r="J99" t="str">
        <f>IFERROR(AVERAGEIFS('[1]Grade Project'!$N:$N,'[1]Grade Project'!$K:$K,H99,'[1]Grade Project'!$F:$F,$A$5,'[1]Grade Project'!$G:$G,$A$8),"")</f>
        <v/>
      </c>
      <c r="K99" t="str">
        <f>IFERROR(AVERAGEIFS('[1]Grade Project'!$O:$O,'[1]Grade Project'!$K:$K,H99,'[1]Grade Project'!$F:$F,$A$5,'[1]Grade Project'!$G:$G,$A$8),"")</f>
        <v/>
      </c>
      <c r="L99" t="str">
        <f t="shared" si="4"/>
        <v/>
      </c>
      <c r="M99" t="str">
        <f t="shared" si="5"/>
        <v/>
      </c>
      <c r="N99" t="str">
        <f t="shared" si="6"/>
        <v/>
      </c>
    </row>
    <row r="100" spans="2:14" x14ac:dyDescent="0.25">
      <c r="B100" t="s">
        <v>99</v>
      </c>
      <c r="H100" t="str">
        <f>IF(I99=0,"",INDEX('[1]Grade Project'!$K:$K,MATCH(CONCATENATE($A$5,$A$8),'[1]Grade Project'!$H:$H,0)+SUM($I$3:I99)))</f>
        <v/>
      </c>
      <c r="I100">
        <f>COUNTIFS('[1]Grade Project'!$G:$G,$A$8,'[1]Grade Project'!$K:$K,H100,'[1]Grade Project'!$F:$F,$A$5)</f>
        <v>0</v>
      </c>
      <c r="J100" t="str">
        <f>IFERROR(AVERAGEIFS('[1]Grade Project'!$N:$N,'[1]Grade Project'!$K:$K,H100,'[1]Grade Project'!$F:$F,$A$5,'[1]Grade Project'!$G:$G,$A$8),"")</f>
        <v/>
      </c>
      <c r="K100" t="str">
        <f>IFERROR(AVERAGEIFS('[1]Grade Project'!$O:$O,'[1]Grade Project'!$K:$K,H100,'[1]Grade Project'!$F:$F,$A$5,'[1]Grade Project'!$G:$G,$A$8),"")</f>
        <v/>
      </c>
      <c r="L100" t="str">
        <f t="shared" si="4"/>
        <v/>
      </c>
      <c r="M100" t="str">
        <f t="shared" si="5"/>
        <v/>
      </c>
      <c r="N100" t="str">
        <f t="shared" si="6"/>
        <v/>
      </c>
    </row>
    <row r="101" spans="2:14" x14ac:dyDescent="0.25">
      <c r="H101" t="str">
        <f>IF(I100=0,"",INDEX('[1]Grade Project'!$K:$K,MATCH(CONCATENATE($A$5,$A$8),'[1]Grade Project'!$H:$H,0)+SUM($I$3:I100)))</f>
        <v/>
      </c>
      <c r="I101">
        <f>COUNTIFS('[1]Grade Project'!$G:$G,$A$8,'[1]Grade Project'!$K:$K,H101,'[1]Grade Project'!$F:$F,$A$5)</f>
        <v>0</v>
      </c>
      <c r="J101" t="str">
        <f>IFERROR(AVERAGEIFS('[1]Grade Project'!$N:$N,'[1]Grade Project'!$K:$K,H101,'[1]Grade Project'!$F:$F,$A$5,'[1]Grade Project'!$G:$G,$A$8),"")</f>
        <v/>
      </c>
      <c r="K101" t="str">
        <f>IFERROR(AVERAGEIFS('[1]Grade Project'!$O:$O,'[1]Grade Project'!$K:$K,H101,'[1]Grade Project'!$F:$F,$A$5,'[1]Grade Project'!$G:$G,$A$8),"")</f>
        <v/>
      </c>
      <c r="L101" t="str">
        <f t="shared" si="4"/>
        <v/>
      </c>
      <c r="M101" t="str">
        <f t="shared" si="5"/>
        <v/>
      </c>
      <c r="N101" t="str">
        <f t="shared" si="6"/>
        <v/>
      </c>
    </row>
    <row r="102" spans="2:14" x14ac:dyDescent="0.25">
      <c r="H102" t="str">
        <f>IF(I101=0,"",INDEX('[1]Grade Project'!$K:$K,MATCH(CONCATENATE($A$5,$A$8),'[1]Grade Project'!$H:$H,0)+SUM($I$3:I101)))</f>
        <v/>
      </c>
      <c r="I102">
        <f>COUNTIFS('[1]Grade Project'!$G:$G,$A$8,'[1]Grade Project'!$K:$K,H102,'[1]Grade Project'!$F:$F,$A$5)</f>
        <v>0</v>
      </c>
      <c r="J102" t="str">
        <f>IFERROR(AVERAGEIFS('[1]Grade Project'!$N:$N,'[1]Grade Project'!$K:$K,H102,'[1]Grade Project'!$F:$F,$A$5,'[1]Grade Project'!$G:$G,$A$8),"")</f>
        <v/>
      </c>
      <c r="K102" t="str">
        <f>IFERROR(AVERAGEIFS('[1]Grade Project'!$O:$O,'[1]Grade Project'!$K:$K,H102,'[1]Grade Project'!$F:$F,$A$5,'[1]Grade Project'!$G:$G,$A$8),"")</f>
        <v/>
      </c>
      <c r="L102" t="str">
        <f t="shared" si="4"/>
        <v/>
      </c>
      <c r="M102" t="str">
        <f t="shared" si="5"/>
        <v/>
      </c>
      <c r="N102" t="str">
        <f t="shared" si="6"/>
        <v/>
      </c>
    </row>
    <row r="103" spans="2:14" x14ac:dyDescent="0.25">
      <c r="H103" t="str">
        <f>IF(I102=0,"",INDEX('[1]Grade Project'!$K:$K,MATCH(CONCATENATE($A$5,$A$8),'[1]Grade Project'!$H:$H,0)+SUM($I$3:I102)))</f>
        <v/>
      </c>
      <c r="I103">
        <f>COUNTIFS('[1]Grade Project'!$G:$G,$A$8,'[1]Grade Project'!$K:$K,H103,'[1]Grade Project'!$F:$F,$A$5)</f>
        <v>0</v>
      </c>
      <c r="J103" t="str">
        <f>IFERROR(AVERAGEIFS('[1]Grade Project'!$N:$N,'[1]Grade Project'!$K:$K,H103,'[1]Grade Project'!$F:$F,$A$5,'[1]Grade Project'!$G:$G,$A$8),"")</f>
        <v/>
      </c>
      <c r="K103" t="str">
        <f>IFERROR(AVERAGEIFS('[1]Grade Project'!$O:$O,'[1]Grade Project'!$K:$K,H103,'[1]Grade Project'!$F:$F,$A$5,'[1]Grade Project'!$G:$G,$A$8),"")</f>
        <v/>
      </c>
      <c r="L103" t="str">
        <f t="shared" si="4"/>
        <v/>
      </c>
      <c r="M103" t="str">
        <f t="shared" si="5"/>
        <v/>
      </c>
      <c r="N103" t="str">
        <f t="shared" si="6"/>
        <v/>
      </c>
    </row>
    <row r="104" spans="2:14" x14ac:dyDescent="0.25">
      <c r="H104" t="str">
        <f>IF(I103=0,"",INDEX('[1]Grade Project'!$K:$K,MATCH(CONCATENATE($A$5,$A$8),'[1]Grade Project'!$H:$H,0)+SUM($I$3:I103)))</f>
        <v/>
      </c>
      <c r="I104">
        <f>COUNTIFS('[1]Grade Project'!$G:$G,$A$8,'[1]Grade Project'!$K:$K,H104,'[1]Grade Project'!$F:$F,$A$5)</f>
        <v>0</v>
      </c>
      <c r="J104" t="str">
        <f>IFERROR(AVERAGEIFS('[1]Grade Project'!$N:$N,'[1]Grade Project'!$K:$K,H104,'[1]Grade Project'!$F:$F,$A$5,'[1]Grade Project'!$G:$G,$A$8),"")</f>
        <v/>
      </c>
      <c r="K104" t="str">
        <f>IFERROR(AVERAGEIFS('[1]Grade Project'!$O:$O,'[1]Grade Project'!$K:$K,H104,'[1]Grade Project'!$F:$F,$A$5,'[1]Grade Project'!$G:$G,$A$8),"")</f>
        <v/>
      </c>
      <c r="L104" t="str">
        <f t="shared" si="4"/>
        <v/>
      </c>
      <c r="M104" t="str">
        <f t="shared" si="5"/>
        <v/>
      </c>
      <c r="N104" t="str">
        <f t="shared" si="6"/>
        <v/>
      </c>
    </row>
    <row r="105" spans="2:14" x14ac:dyDescent="0.25">
      <c r="H105" t="str">
        <f>IF(I104=0,"",INDEX('[1]Grade Project'!$K:$K,MATCH(CONCATENATE($A$5,$A$8),'[1]Grade Project'!$H:$H,0)+SUM($I$3:I104)))</f>
        <v/>
      </c>
      <c r="I105">
        <f>COUNTIFS('[1]Grade Project'!$G:$G,$A$8,'[1]Grade Project'!$K:$K,H105,'[1]Grade Project'!$F:$F,$A$5)</f>
        <v>0</v>
      </c>
      <c r="J105" t="str">
        <f>IFERROR(AVERAGEIFS('[1]Grade Project'!$N:$N,'[1]Grade Project'!$K:$K,H105,'[1]Grade Project'!$F:$F,$A$5,'[1]Grade Project'!$G:$G,$A$8),"")</f>
        <v/>
      </c>
      <c r="K105" t="str">
        <f>IFERROR(AVERAGEIFS('[1]Grade Project'!$O:$O,'[1]Grade Project'!$K:$K,H105,'[1]Grade Project'!$F:$F,$A$5,'[1]Grade Project'!$G:$G,$A$8),"")</f>
        <v/>
      </c>
      <c r="L105" t="str">
        <f t="shared" si="4"/>
        <v/>
      </c>
      <c r="M105" t="str">
        <f t="shared" si="5"/>
        <v/>
      </c>
      <c r="N105" t="str">
        <f t="shared" si="6"/>
        <v/>
      </c>
    </row>
    <row r="106" spans="2:14" x14ac:dyDescent="0.25">
      <c r="H106" t="str">
        <f>IF(I105=0,"",INDEX('[1]Grade Project'!$K:$K,MATCH(CONCATENATE($A$5,$A$8),'[1]Grade Project'!$H:$H,0)+SUM($I$3:I105)))</f>
        <v/>
      </c>
      <c r="I106">
        <f>COUNTIFS('[1]Grade Project'!$G:$G,$A$8,'[1]Grade Project'!$K:$K,H106,'[1]Grade Project'!$F:$F,$A$5)</f>
        <v>0</v>
      </c>
      <c r="J106" t="str">
        <f>IFERROR(AVERAGEIFS('[1]Grade Project'!$N:$N,'[1]Grade Project'!$K:$K,H106,'[1]Grade Project'!$F:$F,$A$5,'[1]Grade Project'!$G:$G,$A$8),"")</f>
        <v/>
      </c>
      <c r="K106" t="str">
        <f>IFERROR(AVERAGEIFS('[1]Grade Project'!$O:$O,'[1]Grade Project'!$K:$K,H106,'[1]Grade Project'!$F:$F,$A$5,'[1]Grade Project'!$G:$G,$A$8),"")</f>
        <v/>
      </c>
      <c r="L106" t="str">
        <f t="shared" si="4"/>
        <v/>
      </c>
      <c r="M106" t="str">
        <f t="shared" si="5"/>
        <v/>
      </c>
      <c r="N106" t="str">
        <f t="shared" si="6"/>
        <v/>
      </c>
    </row>
    <row r="107" spans="2:14" x14ac:dyDescent="0.25">
      <c r="H107" t="str">
        <f>IF(I106=0,"",INDEX('[1]Grade Project'!$K:$K,MATCH(CONCATENATE($A$5,$A$8),'[1]Grade Project'!$H:$H,0)+SUM($I$3:I106)))</f>
        <v/>
      </c>
      <c r="I107">
        <f>COUNTIFS('[1]Grade Project'!$G:$G,$A$8,'[1]Grade Project'!$K:$K,H107,'[1]Grade Project'!$F:$F,$A$5)</f>
        <v>0</v>
      </c>
      <c r="J107" t="str">
        <f>IFERROR(AVERAGEIFS('[1]Grade Project'!$N:$N,'[1]Grade Project'!$K:$K,H107,'[1]Grade Project'!$F:$F,$A$5,'[1]Grade Project'!$G:$G,$A$8),"")</f>
        <v/>
      </c>
      <c r="K107" t="str">
        <f>IFERROR(AVERAGEIFS('[1]Grade Project'!$O:$O,'[1]Grade Project'!$K:$K,H107,'[1]Grade Project'!$F:$F,$A$5,'[1]Grade Project'!$G:$G,$A$8),"")</f>
        <v/>
      </c>
      <c r="L107" t="str">
        <f t="shared" si="4"/>
        <v/>
      </c>
      <c r="M107" t="str">
        <f t="shared" si="5"/>
        <v/>
      </c>
      <c r="N107" t="str">
        <f t="shared" si="6"/>
        <v/>
      </c>
    </row>
    <row r="108" spans="2:14" x14ac:dyDescent="0.25">
      <c r="H108" t="str">
        <f>IF(I107=0,"",INDEX('[1]Grade Project'!$K:$K,MATCH(CONCATENATE($A$5,$A$8),'[1]Grade Project'!$H:$H,0)+SUM($I$3:I107)))</f>
        <v/>
      </c>
      <c r="I108">
        <f>COUNTIFS('[1]Grade Project'!$G:$G,$A$8,'[1]Grade Project'!$K:$K,H108,'[1]Grade Project'!$F:$F,$A$5)</f>
        <v>0</v>
      </c>
      <c r="J108" t="str">
        <f>IFERROR(AVERAGEIFS('[1]Grade Project'!$N:$N,'[1]Grade Project'!$K:$K,H108,'[1]Grade Project'!$F:$F,$A$5,'[1]Grade Project'!$G:$G,$A$8),"")</f>
        <v/>
      </c>
      <c r="K108" t="str">
        <f>IFERROR(AVERAGEIFS('[1]Grade Project'!$O:$O,'[1]Grade Project'!$K:$K,H108,'[1]Grade Project'!$F:$F,$A$5,'[1]Grade Project'!$G:$G,$A$8),"")</f>
        <v/>
      </c>
      <c r="L108" t="str">
        <f t="shared" si="4"/>
        <v/>
      </c>
      <c r="M108" t="str">
        <f t="shared" si="5"/>
        <v/>
      </c>
      <c r="N108" t="str">
        <f t="shared" si="6"/>
        <v/>
      </c>
    </row>
    <row r="109" spans="2:14" x14ac:dyDescent="0.25">
      <c r="H109" t="str">
        <f>IF(I108=0,"",INDEX('[1]Grade Project'!$K:$K,MATCH(CONCATENATE($A$5,$A$8),'[1]Grade Project'!$H:$H,0)+SUM($I$3:I108)))</f>
        <v/>
      </c>
      <c r="I109">
        <f>COUNTIFS('[1]Grade Project'!$G:$G,$A$8,'[1]Grade Project'!$K:$K,H109,'[1]Grade Project'!$F:$F,$A$5)</f>
        <v>0</v>
      </c>
      <c r="J109" t="str">
        <f>IFERROR(AVERAGEIFS('[1]Grade Project'!$N:$N,'[1]Grade Project'!$K:$K,H109,'[1]Grade Project'!$F:$F,$A$5,'[1]Grade Project'!$G:$G,$A$8),"")</f>
        <v/>
      </c>
      <c r="K109" t="str">
        <f>IFERROR(AVERAGEIFS('[1]Grade Project'!$O:$O,'[1]Grade Project'!$K:$K,H109,'[1]Grade Project'!$F:$F,$A$5,'[1]Grade Project'!$G:$G,$A$8),"")</f>
        <v/>
      </c>
      <c r="L109" t="str">
        <f t="shared" si="4"/>
        <v/>
      </c>
      <c r="M109" t="str">
        <f t="shared" si="5"/>
        <v/>
      </c>
      <c r="N109" t="str">
        <f t="shared" si="6"/>
        <v/>
      </c>
    </row>
    <row r="110" spans="2:14" x14ac:dyDescent="0.25">
      <c r="H110" t="str">
        <f>IF(I109=0,"",INDEX('[1]Grade Project'!$K:$K,MATCH(CONCATENATE($A$5,$A$8),'[1]Grade Project'!$H:$H,0)+SUM($I$3:I109)))</f>
        <v/>
      </c>
      <c r="I110">
        <f>COUNTIFS('[1]Grade Project'!$G:$G,$A$8,'[1]Grade Project'!$K:$K,H110,'[1]Grade Project'!$F:$F,$A$5)</f>
        <v>0</v>
      </c>
      <c r="J110" t="str">
        <f>IFERROR(AVERAGEIFS('[1]Grade Project'!$N:$N,'[1]Grade Project'!$K:$K,H110,'[1]Grade Project'!$F:$F,$A$5,'[1]Grade Project'!$G:$G,$A$8),"")</f>
        <v/>
      </c>
      <c r="K110" t="str">
        <f>IFERROR(AVERAGEIFS('[1]Grade Project'!$O:$O,'[1]Grade Project'!$K:$K,H110,'[1]Grade Project'!$F:$F,$A$5,'[1]Grade Project'!$G:$G,$A$8),"")</f>
        <v/>
      </c>
      <c r="L110" t="str">
        <f t="shared" si="4"/>
        <v/>
      </c>
      <c r="M110" t="str">
        <f t="shared" si="5"/>
        <v/>
      </c>
      <c r="N110" t="str">
        <f t="shared" si="6"/>
        <v/>
      </c>
    </row>
    <row r="111" spans="2:14" x14ac:dyDescent="0.25">
      <c r="H111" t="str">
        <f>IF(I110=0,"",INDEX('[1]Grade Project'!$K:$K,MATCH(CONCATENATE($A$5,$A$8),'[1]Grade Project'!$H:$H,0)+SUM($I$3:I110)))</f>
        <v/>
      </c>
      <c r="I111">
        <f>COUNTIFS('[1]Grade Project'!$G:$G,$A$8,'[1]Grade Project'!$K:$K,H111,'[1]Grade Project'!$F:$F,$A$5)</f>
        <v>0</v>
      </c>
      <c r="J111" t="str">
        <f>IFERROR(AVERAGEIFS('[1]Grade Project'!$N:$N,'[1]Grade Project'!$K:$K,H111,'[1]Grade Project'!$F:$F,$A$5,'[1]Grade Project'!$G:$G,$A$8),"")</f>
        <v/>
      </c>
      <c r="K111" t="str">
        <f>IFERROR(AVERAGEIFS('[1]Grade Project'!$O:$O,'[1]Grade Project'!$K:$K,H111,'[1]Grade Project'!$F:$F,$A$5,'[1]Grade Project'!$G:$G,$A$8),"")</f>
        <v/>
      </c>
      <c r="L111" t="str">
        <f t="shared" si="4"/>
        <v/>
      </c>
      <c r="M111" t="str">
        <f t="shared" si="5"/>
        <v/>
      </c>
      <c r="N111" t="str">
        <f t="shared" si="6"/>
        <v/>
      </c>
    </row>
    <row r="112" spans="2:14" x14ac:dyDescent="0.25">
      <c r="H112" t="str">
        <f>IF(I111=0,"",INDEX('[1]Grade Project'!$K:$K,MATCH(CONCATENATE($A$5,$A$8),'[1]Grade Project'!$H:$H,0)+SUM($I$3:I111)))</f>
        <v/>
      </c>
      <c r="I112">
        <f>COUNTIFS('[1]Grade Project'!$G:$G,$A$8,'[1]Grade Project'!$K:$K,H112,'[1]Grade Project'!$F:$F,$A$5)</f>
        <v>0</v>
      </c>
      <c r="J112" t="str">
        <f>IFERROR(AVERAGEIFS('[1]Grade Project'!$N:$N,'[1]Grade Project'!$K:$K,H112,'[1]Grade Project'!$F:$F,$A$5,'[1]Grade Project'!$G:$G,$A$8),"")</f>
        <v/>
      </c>
      <c r="K112" t="str">
        <f>IFERROR(AVERAGEIFS('[1]Grade Project'!$O:$O,'[1]Grade Project'!$K:$K,H112,'[1]Grade Project'!$F:$F,$A$5,'[1]Grade Project'!$G:$G,$A$8),"")</f>
        <v/>
      </c>
      <c r="L112" t="str">
        <f t="shared" si="4"/>
        <v/>
      </c>
      <c r="M112" t="str">
        <f t="shared" si="5"/>
        <v/>
      </c>
      <c r="N112" t="str">
        <f t="shared" si="6"/>
        <v/>
      </c>
    </row>
    <row r="113" spans="8:14" x14ac:dyDescent="0.25">
      <c r="H113" t="str">
        <f>IF(I112=0,"",INDEX('[1]Grade Project'!$K:$K,MATCH(CONCATENATE($A$5,$A$8),'[1]Grade Project'!$H:$H,0)+SUM($I$3:I112)))</f>
        <v/>
      </c>
      <c r="I113">
        <f>COUNTIFS('[1]Grade Project'!$G:$G,$A$8,'[1]Grade Project'!$K:$K,H113,'[1]Grade Project'!$F:$F,$A$5)</f>
        <v>0</v>
      </c>
      <c r="J113" t="str">
        <f>IFERROR(AVERAGEIFS('[1]Grade Project'!$N:$N,'[1]Grade Project'!$K:$K,H113,'[1]Grade Project'!$F:$F,$A$5,'[1]Grade Project'!$G:$G,$A$8),"")</f>
        <v/>
      </c>
      <c r="K113" t="str">
        <f>IFERROR(AVERAGEIFS('[1]Grade Project'!$O:$O,'[1]Grade Project'!$K:$K,H113,'[1]Grade Project'!$F:$F,$A$5,'[1]Grade Project'!$G:$G,$A$8),"")</f>
        <v/>
      </c>
      <c r="L113" t="str">
        <f t="shared" si="4"/>
        <v/>
      </c>
      <c r="M113" t="str">
        <f t="shared" si="5"/>
        <v/>
      </c>
      <c r="N113" t="str">
        <f t="shared" si="6"/>
        <v/>
      </c>
    </row>
    <row r="114" spans="8:14" x14ac:dyDescent="0.25">
      <c r="H114" t="str">
        <f>IF(I113=0,"",INDEX('[1]Grade Project'!$K:$K,MATCH(CONCATENATE($A$5,$A$8),'[1]Grade Project'!$H:$H,0)+SUM($I$3:I113)))</f>
        <v/>
      </c>
      <c r="I114">
        <f>COUNTIFS('[1]Grade Project'!$G:$G,$A$8,'[1]Grade Project'!$K:$K,H114,'[1]Grade Project'!$F:$F,$A$5)</f>
        <v>0</v>
      </c>
      <c r="J114" t="str">
        <f>IFERROR(AVERAGEIFS('[1]Grade Project'!$N:$N,'[1]Grade Project'!$K:$K,H114,'[1]Grade Project'!$F:$F,$A$5,'[1]Grade Project'!$G:$G,$A$8),"")</f>
        <v/>
      </c>
      <c r="K114" t="str">
        <f>IFERROR(AVERAGEIFS('[1]Grade Project'!$O:$O,'[1]Grade Project'!$K:$K,H114,'[1]Grade Project'!$F:$F,$A$5,'[1]Grade Project'!$G:$G,$A$8),"")</f>
        <v/>
      </c>
      <c r="L114" t="str">
        <f t="shared" si="4"/>
        <v/>
      </c>
      <c r="M114" t="str">
        <f t="shared" si="5"/>
        <v/>
      </c>
      <c r="N114" t="str">
        <f t="shared" si="6"/>
        <v/>
      </c>
    </row>
    <row r="115" spans="8:14" x14ac:dyDescent="0.25">
      <c r="H115" t="str">
        <f>IF(I114=0,"",INDEX('[1]Grade Project'!$K:$K,MATCH(CONCATENATE($A$5,$A$8),'[1]Grade Project'!$H:$H,0)+SUM($I$3:I114)))</f>
        <v/>
      </c>
      <c r="I115">
        <f>COUNTIFS('[1]Grade Project'!$G:$G,$A$8,'[1]Grade Project'!$K:$K,H115,'[1]Grade Project'!$F:$F,$A$5)</f>
        <v>0</v>
      </c>
      <c r="J115" t="str">
        <f>IFERROR(AVERAGEIFS('[1]Grade Project'!$N:$N,'[1]Grade Project'!$K:$K,H115,'[1]Grade Project'!$F:$F,$A$5,'[1]Grade Project'!$G:$G,$A$8),"")</f>
        <v/>
      </c>
      <c r="K115" t="str">
        <f>IFERROR(AVERAGEIFS('[1]Grade Project'!$O:$O,'[1]Grade Project'!$K:$K,H115,'[1]Grade Project'!$F:$F,$A$5,'[1]Grade Project'!$G:$G,$A$8),"")</f>
        <v/>
      </c>
      <c r="L115" t="str">
        <f t="shared" si="4"/>
        <v/>
      </c>
      <c r="M115" t="str">
        <f t="shared" si="5"/>
        <v/>
      </c>
      <c r="N115" t="str">
        <f t="shared" si="6"/>
        <v/>
      </c>
    </row>
    <row r="116" spans="8:14" x14ac:dyDescent="0.25">
      <c r="H116" t="str">
        <f>IF(I115=0,"",INDEX('[1]Grade Project'!$K:$K,MATCH(CONCATENATE($A$5,$A$8),'[1]Grade Project'!$H:$H,0)+SUM($I$3:I115)))</f>
        <v/>
      </c>
      <c r="I116">
        <f>COUNTIFS('[1]Grade Project'!$G:$G,$A$8,'[1]Grade Project'!$K:$K,H116,'[1]Grade Project'!$F:$F,$A$5)</f>
        <v>0</v>
      </c>
      <c r="J116" t="str">
        <f>IFERROR(AVERAGEIFS('[1]Grade Project'!$N:$N,'[1]Grade Project'!$K:$K,H116,'[1]Grade Project'!$F:$F,$A$5,'[1]Grade Project'!$G:$G,$A$8),"")</f>
        <v/>
      </c>
      <c r="K116" t="str">
        <f>IFERROR(AVERAGEIFS('[1]Grade Project'!$O:$O,'[1]Grade Project'!$K:$K,H116,'[1]Grade Project'!$F:$F,$A$5,'[1]Grade Project'!$G:$G,$A$8),"")</f>
        <v/>
      </c>
      <c r="L116" t="str">
        <f t="shared" si="4"/>
        <v/>
      </c>
      <c r="M116" t="str">
        <f t="shared" si="5"/>
        <v/>
      </c>
      <c r="N116" t="str">
        <f t="shared" si="6"/>
        <v/>
      </c>
    </row>
    <row r="117" spans="8:14" x14ac:dyDescent="0.25">
      <c r="H117" t="str">
        <f>IF(I116=0,"",INDEX('[1]Grade Project'!$K:$K,MATCH(CONCATENATE($A$5,$A$8),'[1]Grade Project'!$H:$H,0)+SUM($I$3:I116)))</f>
        <v/>
      </c>
      <c r="I117">
        <f>COUNTIFS('[1]Grade Project'!$G:$G,$A$8,'[1]Grade Project'!$K:$K,H117,'[1]Grade Project'!$F:$F,$A$5)</f>
        <v>0</v>
      </c>
      <c r="J117" t="str">
        <f>IFERROR(AVERAGEIFS('[1]Grade Project'!$N:$N,'[1]Grade Project'!$K:$K,H117,'[1]Grade Project'!$F:$F,$A$5,'[1]Grade Project'!$G:$G,$A$8),"")</f>
        <v/>
      </c>
      <c r="K117" t="str">
        <f>IFERROR(AVERAGEIFS('[1]Grade Project'!$O:$O,'[1]Grade Project'!$K:$K,H117,'[1]Grade Project'!$F:$F,$A$5,'[1]Grade Project'!$G:$G,$A$8),"")</f>
        <v/>
      </c>
      <c r="L117" t="str">
        <f t="shared" si="4"/>
        <v/>
      </c>
      <c r="M117" t="str">
        <f t="shared" si="5"/>
        <v/>
      </c>
      <c r="N117" t="str">
        <f t="shared" si="6"/>
        <v/>
      </c>
    </row>
    <row r="118" spans="8:14" x14ac:dyDescent="0.25">
      <c r="H118" t="str">
        <f>IF(I117=0,"",INDEX('[1]Grade Project'!$K:$K,MATCH(CONCATENATE($A$5,$A$8),'[1]Grade Project'!$H:$H,0)+SUM($I$3:I117)))</f>
        <v/>
      </c>
      <c r="I118">
        <f>COUNTIFS('[1]Grade Project'!$G:$G,$A$8,'[1]Grade Project'!$K:$K,H118,'[1]Grade Project'!$F:$F,$A$5)</f>
        <v>0</v>
      </c>
      <c r="J118" t="str">
        <f>IFERROR(AVERAGEIFS('[1]Grade Project'!$N:$N,'[1]Grade Project'!$K:$K,H118,'[1]Grade Project'!$F:$F,$A$5,'[1]Grade Project'!$G:$G,$A$8),"")</f>
        <v/>
      </c>
      <c r="K118" t="str">
        <f>IFERROR(AVERAGEIFS('[1]Grade Project'!$O:$O,'[1]Grade Project'!$K:$K,H118,'[1]Grade Project'!$F:$F,$A$5,'[1]Grade Project'!$G:$G,$A$8),"")</f>
        <v/>
      </c>
      <c r="L118" t="str">
        <f t="shared" si="4"/>
        <v/>
      </c>
      <c r="M118" t="str">
        <f t="shared" si="5"/>
        <v/>
      </c>
      <c r="N118" t="str">
        <f t="shared" si="6"/>
        <v/>
      </c>
    </row>
    <row r="119" spans="8:14" x14ac:dyDescent="0.25">
      <c r="H119" t="str">
        <f>IF(I118=0,"",INDEX('[1]Grade Project'!$K:$K,MATCH(CONCATENATE($A$5,$A$8),'[1]Grade Project'!$H:$H,0)+SUM($I$3:I118)))</f>
        <v/>
      </c>
      <c r="I119">
        <f>COUNTIFS('[1]Grade Project'!$G:$G,$A$8,'[1]Grade Project'!$K:$K,H119,'[1]Grade Project'!$F:$F,$A$5)</f>
        <v>0</v>
      </c>
      <c r="J119" t="str">
        <f>IFERROR(AVERAGEIFS('[1]Grade Project'!$N:$N,'[1]Grade Project'!$K:$K,H119,'[1]Grade Project'!$F:$F,$A$5,'[1]Grade Project'!$G:$G,$A$8),"")</f>
        <v/>
      </c>
      <c r="K119" t="str">
        <f>IFERROR(AVERAGEIFS('[1]Grade Project'!$O:$O,'[1]Grade Project'!$K:$K,H119,'[1]Grade Project'!$F:$F,$A$5,'[1]Grade Project'!$G:$G,$A$8),"")</f>
        <v/>
      </c>
      <c r="L119" t="str">
        <f t="shared" si="4"/>
        <v/>
      </c>
      <c r="M119" t="str">
        <f t="shared" si="5"/>
        <v/>
      </c>
      <c r="N119" t="str">
        <f t="shared" si="6"/>
        <v/>
      </c>
    </row>
    <row r="120" spans="8:14" x14ac:dyDescent="0.25">
      <c r="H120" t="str">
        <f>IF(I119=0,"",INDEX('[1]Grade Project'!$K:$K,MATCH(CONCATENATE($A$5,$A$8),'[1]Grade Project'!$H:$H,0)+SUM($I$3:I119)))</f>
        <v/>
      </c>
      <c r="I120">
        <f>COUNTIFS('[1]Grade Project'!$G:$G,$A$8,'[1]Grade Project'!$K:$K,H120,'[1]Grade Project'!$F:$F,$A$5)</f>
        <v>0</v>
      </c>
      <c r="J120" t="str">
        <f>IFERROR(AVERAGEIFS('[1]Grade Project'!$N:$N,'[1]Grade Project'!$K:$K,H120,'[1]Grade Project'!$F:$F,$A$5,'[1]Grade Project'!$G:$G,$A$8),"")</f>
        <v/>
      </c>
      <c r="K120" t="str">
        <f>IFERROR(AVERAGEIFS('[1]Grade Project'!$O:$O,'[1]Grade Project'!$K:$K,H120,'[1]Grade Project'!$F:$F,$A$5,'[1]Grade Project'!$G:$G,$A$8),"")</f>
        <v/>
      </c>
      <c r="L120" t="str">
        <f t="shared" si="4"/>
        <v/>
      </c>
      <c r="M120" t="str">
        <f t="shared" si="5"/>
        <v/>
      </c>
      <c r="N120" t="str">
        <f t="shared" si="6"/>
        <v/>
      </c>
    </row>
    <row r="121" spans="8:14" x14ac:dyDescent="0.25">
      <c r="H121" t="str">
        <f>IF(I120=0,"",INDEX('[1]Grade Project'!$K:$K,MATCH(CONCATENATE($A$5,$A$8),'[1]Grade Project'!$H:$H,0)+SUM($I$3:I120)))</f>
        <v/>
      </c>
      <c r="I121">
        <f>COUNTIFS('[1]Grade Project'!$G:$G,$A$8,'[1]Grade Project'!$K:$K,H121,'[1]Grade Project'!$F:$F,$A$5)</f>
        <v>0</v>
      </c>
      <c r="J121" t="str">
        <f>IFERROR(AVERAGEIFS('[1]Grade Project'!$N:$N,'[1]Grade Project'!$K:$K,H121,'[1]Grade Project'!$F:$F,$A$5,'[1]Grade Project'!$G:$G,$A$8),"")</f>
        <v/>
      </c>
      <c r="K121" t="str">
        <f>IFERROR(AVERAGEIFS('[1]Grade Project'!$O:$O,'[1]Grade Project'!$K:$K,H121,'[1]Grade Project'!$F:$F,$A$5,'[1]Grade Project'!$G:$G,$A$8),"")</f>
        <v/>
      </c>
      <c r="L121" t="str">
        <f t="shared" si="4"/>
        <v/>
      </c>
      <c r="M121" t="str">
        <f t="shared" si="5"/>
        <v/>
      </c>
      <c r="N121" t="str">
        <f t="shared" si="6"/>
        <v/>
      </c>
    </row>
    <row r="122" spans="8:14" x14ac:dyDescent="0.25">
      <c r="H122" t="str">
        <f>IF(I121=0,"",INDEX('[1]Grade Project'!$K:$K,MATCH(CONCATENATE($A$5,$A$8),'[1]Grade Project'!$H:$H,0)+SUM($I$3:I121)))</f>
        <v/>
      </c>
      <c r="I122">
        <f>COUNTIFS('[1]Grade Project'!$G:$G,$A$8,'[1]Grade Project'!$K:$K,H122,'[1]Grade Project'!$F:$F,$A$5)</f>
        <v>0</v>
      </c>
      <c r="J122" t="str">
        <f>IFERROR(AVERAGEIFS('[1]Grade Project'!$N:$N,'[1]Grade Project'!$K:$K,H122,'[1]Grade Project'!$F:$F,$A$5,'[1]Grade Project'!$G:$G,$A$8),"")</f>
        <v/>
      </c>
      <c r="K122" t="str">
        <f>IFERROR(AVERAGEIFS('[1]Grade Project'!$O:$O,'[1]Grade Project'!$K:$K,H122,'[1]Grade Project'!$F:$F,$A$5,'[1]Grade Project'!$G:$G,$A$8),"")</f>
        <v/>
      </c>
      <c r="L122" t="str">
        <f t="shared" si="4"/>
        <v/>
      </c>
      <c r="M122" t="str">
        <f t="shared" si="5"/>
        <v/>
      </c>
      <c r="N122" t="str">
        <f t="shared" si="6"/>
        <v/>
      </c>
    </row>
    <row r="123" spans="8:14" x14ac:dyDescent="0.25">
      <c r="H123" t="str">
        <f>IF(I122=0,"",INDEX('[1]Grade Project'!$K:$K,MATCH(CONCATENATE($A$5,$A$8),'[1]Grade Project'!$H:$H,0)+SUM($I$3:I122)))</f>
        <v/>
      </c>
      <c r="I123">
        <f>COUNTIFS('[1]Grade Project'!$G:$G,$A$8,'[1]Grade Project'!$K:$K,H123,'[1]Grade Project'!$F:$F,$A$5)</f>
        <v>0</v>
      </c>
      <c r="J123" t="str">
        <f>IFERROR(AVERAGEIFS('[1]Grade Project'!$N:$N,'[1]Grade Project'!$K:$K,H123,'[1]Grade Project'!$F:$F,$A$5,'[1]Grade Project'!$G:$G,$A$8),"")</f>
        <v/>
      </c>
      <c r="K123" t="str">
        <f>IFERROR(AVERAGEIFS('[1]Grade Project'!$O:$O,'[1]Grade Project'!$K:$K,H123,'[1]Grade Project'!$F:$F,$A$5,'[1]Grade Project'!$G:$G,$A$8),"")</f>
        <v/>
      </c>
      <c r="L123" t="str">
        <f t="shared" si="4"/>
        <v/>
      </c>
      <c r="M123" t="str">
        <f t="shared" si="5"/>
        <v/>
      </c>
      <c r="N123" t="str">
        <f t="shared" si="6"/>
        <v/>
      </c>
    </row>
    <row r="124" spans="8:14" x14ac:dyDescent="0.25">
      <c r="H124" t="str">
        <f>IF(I123=0,"",INDEX('[1]Grade Project'!$K:$K,MATCH(CONCATENATE($A$5,$A$8),'[1]Grade Project'!$H:$H,0)+SUM($I$3:I123)))</f>
        <v/>
      </c>
      <c r="I124">
        <f>COUNTIFS('[1]Grade Project'!$G:$G,$A$8,'[1]Grade Project'!$K:$K,H124,'[1]Grade Project'!$F:$F,$A$5)</f>
        <v>0</v>
      </c>
      <c r="J124" t="str">
        <f>IFERROR(AVERAGEIFS('[1]Grade Project'!$N:$N,'[1]Grade Project'!$K:$K,H124,'[1]Grade Project'!$F:$F,$A$5,'[1]Grade Project'!$G:$G,$A$8),"")</f>
        <v/>
      </c>
      <c r="K124" t="str">
        <f>IFERROR(AVERAGEIFS('[1]Grade Project'!$O:$O,'[1]Grade Project'!$K:$K,H124,'[1]Grade Project'!$F:$F,$A$5,'[1]Grade Project'!$G:$G,$A$8),"")</f>
        <v/>
      </c>
      <c r="L124" t="str">
        <f t="shared" si="4"/>
        <v/>
      </c>
      <c r="M124" t="str">
        <f t="shared" si="5"/>
        <v/>
      </c>
      <c r="N124" t="str">
        <f t="shared" si="6"/>
        <v/>
      </c>
    </row>
    <row r="125" spans="8:14" x14ac:dyDescent="0.25">
      <c r="H125" t="str">
        <f>IF(I124=0,"",INDEX('[1]Grade Project'!$K:$K,MATCH(CONCATENATE($A$5,$A$8),'[1]Grade Project'!$H:$H,0)+SUM($I$3:I124)))</f>
        <v/>
      </c>
      <c r="I125">
        <f>COUNTIFS('[1]Grade Project'!$G:$G,$A$8,'[1]Grade Project'!$K:$K,H125,'[1]Grade Project'!$F:$F,$A$5)</f>
        <v>0</v>
      </c>
      <c r="J125" t="str">
        <f>IFERROR(AVERAGEIFS('[1]Grade Project'!$N:$N,'[1]Grade Project'!$K:$K,H125,'[1]Grade Project'!$F:$F,$A$5,'[1]Grade Project'!$G:$G,$A$8),"")</f>
        <v/>
      </c>
      <c r="K125" t="str">
        <f>IFERROR(AVERAGEIFS('[1]Grade Project'!$O:$O,'[1]Grade Project'!$K:$K,H125,'[1]Grade Project'!$F:$F,$A$5,'[1]Grade Project'!$G:$G,$A$8),"")</f>
        <v/>
      </c>
      <c r="L125" t="str">
        <f t="shared" si="4"/>
        <v/>
      </c>
      <c r="M125" t="str">
        <f t="shared" si="5"/>
        <v/>
      </c>
      <c r="N125" t="str">
        <f t="shared" si="6"/>
        <v/>
      </c>
    </row>
    <row r="126" spans="8:14" x14ac:dyDescent="0.25">
      <c r="H126" t="str">
        <f>IF(I125=0,"",INDEX('[1]Grade Project'!$K:$K,MATCH(CONCATENATE($A$5,$A$8),'[1]Grade Project'!$H:$H,0)+SUM($I$3:I125)))</f>
        <v/>
      </c>
      <c r="I126">
        <f>COUNTIFS('[1]Grade Project'!$G:$G,$A$8,'[1]Grade Project'!$K:$K,H126,'[1]Grade Project'!$F:$F,$A$5)</f>
        <v>0</v>
      </c>
      <c r="J126" t="str">
        <f>IFERROR(AVERAGEIFS('[1]Grade Project'!$N:$N,'[1]Grade Project'!$K:$K,H126,'[1]Grade Project'!$F:$F,$A$5,'[1]Grade Project'!$G:$G,$A$8),"")</f>
        <v/>
      </c>
      <c r="K126" t="str">
        <f>IFERROR(AVERAGEIFS('[1]Grade Project'!$O:$O,'[1]Grade Project'!$K:$K,H126,'[1]Grade Project'!$F:$F,$A$5,'[1]Grade Project'!$G:$G,$A$8),"")</f>
        <v/>
      </c>
      <c r="L126" t="str">
        <f t="shared" si="4"/>
        <v/>
      </c>
      <c r="M126" t="str">
        <f t="shared" si="5"/>
        <v/>
      </c>
      <c r="N126" t="str">
        <f t="shared" si="6"/>
        <v/>
      </c>
    </row>
    <row r="127" spans="8:14" x14ac:dyDescent="0.25">
      <c r="H127" t="str">
        <f>IF(I126=0,"",INDEX('[1]Grade Project'!$K:$K,MATCH(CONCATENATE($A$5,$A$8),'[1]Grade Project'!$H:$H,0)+SUM($I$3:I126)))</f>
        <v/>
      </c>
      <c r="I127">
        <f>COUNTIFS('[1]Grade Project'!$G:$G,$A$8,'[1]Grade Project'!$K:$K,H127,'[1]Grade Project'!$F:$F,$A$5)</f>
        <v>0</v>
      </c>
      <c r="J127" t="str">
        <f>IFERROR(AVERAGEIFS('[1]Grade Project'!$N:$N,'[1]Grade Project'!$K:$K,H127,'[1]Grade Project'!$F:$F,$A$5,'[1]Grade Project'!$G:$G,$A$8),"")</f>
        <v/>
      </c>
      <c r="K127" t="str">
        <f>IFERROR(AVERAGEIFS('[1]Grade Project'!$O:$O,'[1]Grade Project'!$K:$K,H127,'[1]Grade Project'!$F:$F,$A$5,'[1]Grade Project'!$G:$G,$A$8),"")</f>
        <v/>
      </c>
      <c r="L127" t="str">
        <f t="shared" si="4"/>
        <v/>
      </c>
      <c r="M127" t="str">
        <f t="shared" si="5"/>
        <v/>
      </c>
      <c r="N127" t="str">
        <f t="shared" si="6"/>
        <v/>
      </c>
    </row>
    <row r="128" spans="8:14" x14ac:dyDescent="0.25">
      <c r="H128" t="str">
        <f>IF(I127=0,"",INDEX('[1]Grade Project'!$K:$K,MATCH(CONCATENATE($A$5,$A$8),'[1]Grade Project'!$H:$H,0)+SUM($I$3:I127)))</f>
        <v/>
      </c>
      <c r="I128">
        <f>COUNTIFS('[1]Grade Project'!$G:$G,$A$8,'[1]Grade Project'!$K:$K,H128,'[1]Grade Project'!$F:$F,$A$5)</f>
        <v>0</v>
      </c>
      <c r="J128" t="str">
        <f>IFERROR(AVERAGEIFS('[1]Grade Project'!$N:$N,'[1]Grade Project'!$K:$K,H128,'[1]Grade Project'!$F:$F,$A$5,'[1]Grade Project'!$G:$G,$A$8),"")</f>
        <v/>
      </c>
      <c r="K128" t="str">
        <f>IFERROR(AVERAGEIFS('[1]Grade Project'!$O:$O,'[1]Grade Project'!$K:$K,H128,'[1]Grade Project'!$F:$F,$A$5,'[1]Grade Project'!$G:$G,$A$8),"")</f>
        <v/>
      </c>
      <c r="L128" t="str">
        <f t="shared" si="4"/>
        <v/>
      </c>
      <c r="M128" t="str">
        <f t="shared" si="5"/>
        <v/>
      </c>
      <c r="N128" t="str">
        <f t="shared" si="6"/>
        <v/>
      </c>
    </row>
    <row r="129" spans="8:14" x14ac:dyDescent="0.25">
      <c r="H129" t="str">
        <f>IF(I128=0,"",INDEX('[1]Grade Project'!$K:$K,MATCH(CONCATENATE($A$5,$A$8),'[1]Grade Project'!$H:$H,0)+SUM($I$3:I128)))</f>
        <v/>
      </c>
      <c r="I129">
        <f>COUNTIFS('[1]Grade Project'!$G:$G,$A$8,'[1]Grade Project'!$K:$K,H129,'[1]Grade Project'!$F:$F,$A$5)</f>
        <v>0</v>
      </c>
      <c r="J129" t="str">
        <f>IFERROR(AVERAGEIFS('[1]Grade Project'!$N:$N,'[1]Grade Project'!$K:$K,H129,'[1]Grade Project'!$F:$F,$A$5,'[1]Grade Project'!$G:$G,$A$8),"")</f>
        <v/>
      </c>
      <c r="K129" t="str">
        <f>IFERROR(AVERAGEIFS('[1]Grade Project'!$O:$O,'[1]Grade Project'!$K:$K,H129,'[1]Grade Project'!$F:$F,$A$5,'[1]Grade Project'!$G:$G,$A$8),"")</f>
        <v/>
      </c>
      <c r="L129" t="str">
        <f t="shared" si="4"/>
        <v/>
      </c>
      <c r="M129" t="str">
        <f t="shared" si="5"/>
        <v/>
      </c>
      <c r="N129" t="str">
        <f t="shared" si="6"/>
        <v/>
      </c>
    </row>
    <row r="130" spans="8:14" x14ac:dyDescent="0.25">
      <c r="H130" t="str">
        <f>IF(I129=0,"",INDEX('[1]Grade Project'!$K:$K,MATCH(CONCATENATE($A$5,$A$8),'[1]Grade Project'!$H:$H,0)+SUM($I$3:I129)))</f>
        <v/>
      </c>
      <c r="I130">
        <f>COUNTIFS('[1]Grade Project'!$G:$G,$A$8,'[1]Grade Project'!$K:$K,H130,'[1]Grade Project'!$F:$F,$A$5)</f>
        <v>0</v>
      </c>
      <c r="J130" t="str">
        <f>IFERROR(AVERAGEIFS('[1]Grade Project'!$N:$N,'[1]Grade Project'!$K:$K,H130,'[1]Grade Project'!$F:$F,$A$5,'[1]Grade Project'!$G:$G,$A$8),"")</f>
        <v/>
      </c>
      <c r="K130" t="str">
        <f>IFERROR(AVERAGEIFS('[1]Grade Project'!$O:$O,'[1]Grade Project'!$K:$K,H130,'[1]Grade Project'!$F:$F,$A$5,'[1]Grade Project'!$G:$G,$A$8),"")</f>
        <v/>
      </c>
      <c r="L130" t="str">
        <f t="shared" si="4"/>
        <v/>
      </c>
      <c r="M130" t="str">
        <f t="shared" si="5"/>
        <v/>
      </c>
      <c r="N130" t="str">
        <f t="shared" si="6"/>
        <v/>
      </c>
    </row>
    <row r="131" spans="8:14" x14ac:dyDescent="0.25">
      <c r="H131" t="str">
        <f>IF(I130=0,"",INDEX('[1]Grade Project'!$K:$K,MATCH(CONCATENATE($A$5,$A$8),'[1]Grade Project'!$H:$H,0)+SUM($I$3:I130)))</f>
        <v/>
      </c>
      <c r="I131">
        <f>COUNTIFS('[1]Grade Project'!$G:$G,$A$8,'[1]Grade Project'!$K:$K,H131,'[1]Grade Project'!$F:$F,$A$5)</f>
        <v>0</v>
      </c>
      <c r="J131" t="str">
        <f>IFERROR(AVERAGEIFS('[1]Grade Project'!$N:$N,'[1]Grade Project'!$K:$K,H131,'[1]Grade Project'!$F:$F,$A$5,'[1]Grade Project'!$G:$G,$A$8),"")</f>
        <v/>
      </c>
      <c r="K131" t="str">
        <f>IFERROR(AVERAGEIFS('[1]Grade Project'!$O:$O,'[1]Grade Project'!$K:$K,H131,'[1]Grade Project'!$F:$F,$A$5,'[1]Grade Project'!$G:$G,$A$8),"")</f>
        <v/>
      </c>
      <c r="L131" t="str">
        <f t="shared" si="4"/>
        <v/>
      </c>
      <c r="M131" t="str">
        <f t="shared" si="5"/>
        <v/>
      </c>
      <c r="N131" t="str">
        <f t="shared" si="6"/>
        <v/>
      </c>
    </row>
    <row r="132" spans="8:14" x14ac:dyDescent="0.25">
      <c r="H132" t="str">
        <f>IF(I131=0,"",INDEX('[1]Grade Project'!$K:$K,MATCH(CONCATENATE($A$5,$A$8),'[1]Grade Project'!$H:$H,0)+SUM($I$3:I131)))</f>
        <v/>
      </c>
      <c r="I132">
        <f>COUNTIFS('[1]Grade Project'!$G:$G,$A$8,'[1]Grade Project'!$K:$K,H132,'[1]Grade Project'!$F:$F,$A$5)</f>
        <v>0</v>
      </c>
      <c r="J132" t="str">
        <f>IFERROR(AVERAGEIFS('[1]Grade Project'!$N:$N,'[1]Grade Project'!$K:$K,H132,'[1]Grade Project'!$F:$F,$A$5,'[1]Grade Project'!$G:$G,$A$8),"")</f>
        <v/>
      </c>
      <c r="K132" t="str">
        <f>IFERROR(AVERAGEIFS('[1]Grade Project'!$O:$O,'[1]Grade Project'!$K:$K,H132,'[1]Grade Project'!$F:$F,$A$5,'[1]Grade Project'!$G:$G,$A$8),"")</f>
        <v/>
      </c>
      <c r="L132" t="str">
        <f t="shared" ref="L132:L146" si="7">IFERROR(K132/J132,"")</f>
        <v/>
      </c>
      <c r="M132" t="str">
        <f t="shared" ref="M132:M146" si="8">IFERROR(_xlfn.RANK.EQ(L132,L:L),"")</f>
        <v/>
      </c>
      <c r="N132" t="str">
        <f t="shared" ref="N132:N146" si="9">IFERROR(MAX(M:M)-M132+1,"")</f>
        <v/>
      </c>
    </row>
    <row r="133" spans="8:14" x14ac:dyDescent="0.25">
      <c r="H133" t="str">
        <f>IF(I132=0,"",INDEX('[1]Grade Project'!$K:$K,MATCH(CONCATENATE($A$5,$A$8),'[1]Grade Project'!$H:$H,0)+SUM($I$3:I132)))</f>
        <v/>
      </c>
      <c r="I133">
        <f>COUNTIFS('[1]Grade Project'!$G:$G,$A$8,'[1]Grade Project'!$K:$K,H133,'[1]Grade Project'!$F:$F,$A$5)</f>
        <v>0</v>
      </c>
      <c r="J133" t="str">
        <f>IFERROR(AVERAGEIFS('[1]Grade Project'!$N:$N,'[1]Grade Project'!$K:$K,H133,'[1]Grade Project'!$F:$F,$A$5,'[1]Grade Project'!$G:$G,$A$8),"")</f>
        <v/>
      </c>
      <c r="K133" t="str">
        <f>IFERROR(AVERAGEIFS('[1]Grade Project'!$O:$O,'[1]Grade Project'!$K:$K,H133,'[1]Grade Project'!$F:$F,$A$5,'[1]Grade Project'!$G:$G,$A$8),"")</f>
        <v/>
      </c>
      <c r="L133" t="str">
        <f t="shared" si="7"/>
        <v/>
      </c>
      <c r="M133" t="str">
        <f t="shared" si="8"/>
        <v/>
      </c>
      <c r="N133" t="str">
        <f t="shared" si="9"/>
        <v/>
      </c>
    </row>
    <row r="134" spans="8:14" x14ac:dyDescent="0.25">
      <c r="H134" t="str">
        <f>IF(I133=0,"",INDEX('[1]Grade Project'!$K:$K,MATCH(CONCATENATE($A$5,$A$8),'[1]Grade Project'!$H:$H,0)+SUM($I$3:I133)))</f>
        <v/>
      </c>
      <c r="I134">
        <f>COUNTIFS('[1]Grade Project'!$G:$G,$A$8,'[1]Grade Project'!$K:$K,H134,'[1]Grade Project'!$F:$F,$A$5)</f>
        <v>0</v>
      </c>
      <c r="J134" t="str">
        <f>IFERROR(AVERAGEIFS('[1]Grade Project'!$N:$N,'[1]Grade Project'!$K:$K,H134,'[1]Grade Project'!$F:$F,$A$5,'[1]Grade Project'!$G:$G,$A$8),"")</f>
        <v/>
      </c>
      <c r="K134" t="str">
        <f>IFERROR(AVERAGEIFS('[1]Grade Project'!$O:$O,'[1]Grade Project'!$K:$K,H134,'[1]Grade Project'!$F:$F,$A$5,'[1]Grade Project'!$G:$G,$A$8),"")</f>
        <v/>
      </c>
      <c r="L134" t="str">
        <f t="shared" si="7"/>
        <v/>
      </c>
      <c r="M134" t="str">
        <f t="shared" si="8"/>
        <v/>
      </c>
      <c r="N134" t="str">
        <f t="shared" si="9"/>
        <v/>
      </c>
    </row>
    <row r="135" spans="8:14" x14ac:dyDescent="0.25">
      <c r="H135" t="str">
        <f>IF(I134=0,"",INDEX('[1]Grade Project'!$K:$K,MATCH(CONCATENATE($A$5,$A$8),'[1]Grade Project'!$H:$H,0)+SUM($I$3:I134)))</f>
        <v/>
      </c>
      <c r="I135">
        <f>COUNTIFS('[1]Grade Project'!$G:$G,$A$8,'[1]Grade Project'!$K:$K,H135,'[1]Grade Project'!$F:$F,$A$5)</f>
        <v>0</v>
      </c>
      <c r="J135" t="str">
        <f>IFERROR(AVERAGEIFS('[1]Grade Project'!$N:$N,'[1]Grade Project'!$K:$K,H135,'[1]Grade Project'!$F:$F,$A$5,'[1]Grade Project'!$G:$G,$A$8),"")</f>
        <v/>
      </c>
      <c r="K135" t="str">
        <f>IFERROR(AVERAGEIFS('[1]Grade Project'!$O:$O,'[1]Grade Project'!$K:$K,H135,'[1]Grade Project'!$F:$F,$A$5,'[1]Grade Project'!$G:$G,$A$8),"")</f>
        <v/>
      </c>
      <c r="L135" t="str">
        <f t="shared" si="7"/>
        <v/>
      </c>
      <c r="M135" t="str">
        <f t="shared" si="8"/>
        <v/>
      </c>
      <c r="N135" t="str">
        <f t="shared" si="9"/>
        <v/>
      </c>
    </row>
    <row r="136" spans="8:14" x14ac:dyDescent="0.25">
      <c r="H136" t="str">
        <f>IF(I135=0,"",INDEX('[1]Grade Project'!$K:$K,MATCH(CONCATENATE($A$5,$A$8),'[1]Grade Project'!$H:$H,0)+SUM($I$3:I135)))</f>
        <v/>
      </c>
      <c r="I136">
        <f>COUNTIFS('[1]Grade Project'!$G:$G,$A$8,'[1]Grade Project'!$K:$K,H136,'[1]Grade Project'!$F:$F,$A$5)</f>
        <v>0</v>
      </c>
      <c r="J136" t="str">
        <f>IFERROR(AVERAGEIFS('[1]Grade Project'!$N:$N,'[1]Grade Project'!$K:$K,H136,'[1]Grade Project'!$F:$F,$A$5,'[1]Grade Project'!$G:$G,$A$8),"")</f>
        <v/>
      </c>
      <c r="K136" t="str">
        <f>IFERROR(AVERAGEIFS('[1]Grade Project'!$O:$O,'[1]Grade Project'!$K:$K,H136,'[1]Grade Project'!$F:$F,$A$5,'[1]Grade Project'!$G:$G,$A$8),"")</f>
        <v/>
      </c>
      <c r="L136" t="str">
        <f t="shared" si="7"/>
        <v/>
      </c>
      <c r="M136" t="str">
        <f t="shared" si="8"/>
        <v/>
      </c>
      <c r="N136" t="str">
        <f t="shared" si="9"/>
        <v/>
      </c>
    </row>
    <row r="137" spans="8:14" x14ac:dyDescent="0.25">
      <c r="H137" t="str">
        <f>IF(I136=0,"",INDEX('[1]Grade Project'!$K:$K,MATCH(CONCATENATE($A$5,$A$8),'[1]Grade Project'!$H:$H,0)+SUM($I$3:I136)))</f>
        <v/>
      </c>
      <c r="I137">
        <f>COUNTIFS('[1]Grade Project'!$G:$G,$A$8,'[1]Grade Project'!$K:$K,H137,'[1]Grade Project'!$F:$F,$A$5)</f>
        <v>0</v>
      </c>
      <c r="J137" t="str">
        <f>IFERROR(AVERAGEIFS('[1]Grade Project'!$N:$N,'[1]Grade Project'!$K:$K,H137,'[1]Grade Project'!$F:$F,$A$5,'[1]Grade Project'!$G:$G,$A$8),"")</f>
        <v/>
      </c>
      <c r="K137" t="str">
        <f>IFERROR(AVERAGEIFS('[1]Grade Project'!$O:$O,'[1]Grade Project'!$K:$K,H137,'[1]Grade Project'!$F:$F,$A$5,'[1]Grade Project'!$G:$G,$A$8),"")</f>
        <v/>
      </c>
      <c r="L137" t="str">
        <f t="shared" si="7"/>
        <v/>
      </c>
      <c r="M137" t="str">
        <f t="shared" si="8"/>
        <v/>
      </c>
      <c r="N137" t="str">
        <f t="shared" si="9"/>
        <v/>
      </c>
    </row>
    <row r="138" spans="8:14" x14ac:dyDescent="0.25">
      <c r="H138" t="str">
        <f>IF(I137=0,"",INDEX('[1]Grade Project'!$K:$K,MATCH(CONCATENATE($A$5,$A$8),'[1]Grade Project'!$H:$H,0)+SUM($I$3:I137)))</f>
        <v/>
      </c>
      <c r="I138">
        <f>COUNTIFS('[1]Grade Project'!$G:$G,$A$8,'[1]Grade Project'!$K:$K,H138,'[1]Grade Project'!$F:$F,$A$5)</f>
        <v>0</v>
      </c>
      <c r="J138" t="str">
        <f>IFERROR(AVERAGEIFS('[1]Grade Project'!$N:$N,'[1]Grade Project'!$K:$K,H138,'[1]Grade Project'!$F:$F,$A$5,'[1]Grade Project'!$G:$G,$A$8),"")</f>
        <v/>
      </c>
      <c r="K138" t="str">
        <f>IFERROR(AVERAGEIFS('[1]Grade Project'!$O:$O,'[1]Grade Project'!$K:$K,H138,'[1]Grade Project'!$F:$F,$A$5,'[1]Grade Project'!$G:$G,$A$8),"")</f>
        <v/>
      </c>
      <c r="L138" t="str">
        <f t="shared" si="7"/>
        <v/>
      </c>
      <c r="M138" t="str">
        <f t="shared" si="8"/>
        <v/>
      </c>
      <c r="N138" t="str">
        <f t="shared" si="9"/>
        <v/>
      </c>
    </row>
    <row r="139" spans="8:14" x14ac:dyDescent="0.25">
      <c r="H139" t="str">
        <f>IF(I138=0,"",INDEX('[1]Grade Project'!$K:$K,MATCH(CONCATENATE($A$5,$A$8),'[1]Grade Project'!$H:$H,0)+SUM($I$3:I138)))</f>
        <v/>
      </c>
      <c r="I139">
        <f>COUNTIFS('[1]Grade Project'!$G:$G,$A$8,'[1]Grade Project'!$K:$K,H139,'[1]Grade Project'!$F:$F,$A$5)</f>
        <v>0</v>
      </c>
      <c r="J139" t="str">
        <f>IFERROR(AVERAGEIFS('[1]Grade Project'!$N:$N,'[1]Grade Project'!$K:$K,H139,'[1]Grade Project'!$F:$F,$A$5,'[1]Grade Project'!$G:$G,$A$8),"")</f>
        <v/>
      </c>
      <c r="K139" t="str">
        <f>IFERROR(AVERAGEIFS('[1]Grade Project'!$O:$O,'[1]Grade Project'!$K:$K,H139,'[1]Grade Project'!$F:$F,$A$5,'[1]Grade Project'!$G:$G,$A$8),"")</f>
        <v/>
      </c>
      <c r="L139" t="str">
        <f t="shared" si="7"/>
        <v/>
      </c>
      <c r="M139" t="str">
        <f t="shared" si="8"/>
        <v/>
      </c>
      <c r="N139" t="str">
        <f t="shared" si="9"/>
        <v/>
      </c>
    </row>
    <row r="140" spans="8:14" x14ac:dyDescent="0.25">
      <c r="H140" t="str">
        <f>IF(I139=0,"",INDEX('[1]Grade Project'!$K:$K,MATCH(CONCATENATE($A$5,$A$8),'[1]Grade Project'!$H:$H,0)+SUM($I$3:I139)))</f>
        <v/>
      </c>
      <c r="I140">
        <f>COUNTIFS('[1]Grade Project'!$G:$G,$A$8,'[1]Grade Project'!$K:$K,H140,'[1]Grade Project'!$F:$F,$A$5)</f>
        <v>0</v>
      </c>
      <c r="J140" t="str">
        <f>IFERROR(AVERAGEIFS('[1]Grade Project'!$N:$N,'[1]Grade Project'!$K:$K,H140,'[1]Grade Project'!$F:$F,$A$5,'[1]Grade Project'!$G:$G,$A$8),"")</f>
        <v/>
      </c>
      <c r="K140" t="str">
        <f>IFERROR(AVERAGEIFS('[1]Grade Project'!$O:$O,'[1]Grade Project'!$K:$K,H140,'[1]Grade Project'!$F:$F,$A$5,'[1]Grade Project'!$G:$G,$A$8),"")</f>
        <v/>
      </c>
      <c r="L140" t="str">
        <f t="shared" si="7"/>
        <v/>
      </c>
      <c r="M140" t="str">
        <f t="shared" si="8"/>
        <v/>
      </c>
      <c r="N140" t="str">
        <f t="shared" si="9"/>
        <v/>
      </c>
    </row>
    <row r="141" spans="8:14" x14ac:dyDescent="0.25">
      <c r="H141" t="str">
        <f>IF(I140=0,"",INDEX('[1]Grade Project'!$K:$K,MATCH(CONCATENATE($A$5,$A$8),'[1]Grade Project'!$H:$H,0)+SUM($I$3:I140)))</f>
        <v/>
      </c>
      <c r="I141">
        <f>COUNTIFS('[1]Grade Project'!$G:$G,$A$8,'[1]Grade Project'!$K:$K,H141,'[1]Grade Project'!$F:$F,$A$5)</f>
        <v>0</v>
      </c>
      <c r="J141" t="str">
        <f>IFERROR(AVERAGEIFS('[1]Grade Project'!$N:$N,'[1]Grade Project'!$K:$K,H141,'[1]Grade Project'!$F:$F,$A$5,'[1]Grade Project'!$G:$G,$A$8),"")</f>
        <v/>
      </c>
      <c r="K141" t="str">
        <f>IFERROR(AVERAGEIFS('[1]Grade Project'!$O:$O,'[1]Grade Project'!$K:$K,H141,'[1]Grade Project'!$F:$F,$A$5,'[1]Grade Project'!$G:$G,$A$8),"")</f>
        <v/>
      </c>
      <c r="L141" t="str">
        <f t="shared" si="7"/>
        <v/>
      </c>
      <c r="M141" t="str">
        <f t="shared" si="8"/>
        <v/>
      </c>
      <c r="N141" t="str">
        <f t="shared" si="9"/>
        <v/>
      </c>
    </row>
    <row r="142" spans="8:14" x14ac:dyDescent="0.25">
      <c r="H142" t="str">
        <f>IF(I141=0,"",INDEX('[1]Grade Project'!$K:$K,MATCH(CONCATENATE($A$5,$A$8),'[1]Grade Project'!$H:$H,0)+SUM($I$3:I141)))</f>
        <v/>
      </c>
      <c r="I142">
        <f>COUNTIFS('[1]Grade Project'!$G:$G,$A$8,'[1]Grade Project'!$K:$K,H142,'[1]Grade Project'!$F:$F,$A$5)</f>
        <v>0</v>
      </c>
      <c r="J142" t="str">
        <f>IFERROR(AVERAGEIFS('[1]Grade Project'!$N:$N,'[1]Grade Project'!$K:$K,H142,'[1]Grade Project'!$F:$F,$A$5,'[1]Grade Project'!$G:$G,$A$8),"")</f>
        <v/>
      </c>
      <c r="K142" t="str">
        <f>IFERROR(AVERAGEIFS('[1]Grade Project'!$O:$O,'[1]Grade Project'!$K:$K,H142,'[1]Grade Project'!$F:$F,$A$5,'[1]Grade Project'!$G:$G,$A$8),"")</f>
        <v/>
      </c>
      <c r="L142" t="str">
        <f t="shared" si="7"/>
        <v/>
      </c>
      <c r="M142" t="str">
        <f t="shared" si="8"/>
        <v/>
      </c>
      <c r="N142" t="str">
        <f t="shared" si="9"/>
        <v/>
      </c>
    </row>
    <row r="143" spans="8:14" x14ac:dyDescent="0.25">
      <c r="H143" t="str">
        <f>IF(I142=0,"",INDEX('[1]Grade Project'!$K:$K,MATCH(CONCATENATE($A$5,$A$8),'[1]Grade Project'!$H:$H,0)+SUM($I$3:I142)))</f>
        <v/>
      </c>
      <c r="I143">
        <f>COUNTIFS('[1]Grade Project'!$G:$G,$A$8,'[1]Grade Project'!$K:$K,H143,'[1]Grade Project'!$F:$F,$A$5)</f>
        <v>0</v>
      </c>
      <c r="J143" t="str">
        <f>IFERROR(AVERAGEIFS('[1]Grade Project'!$N:$N,'[1]Grade Project'!$K:$K,H143,'[1]Grade Project'!$F:$F,$A$5,'[1]Grade Project'!$G:$G,$A$8),"")</f>
        <v/>
      </c>
      <c r="K143" t="str">
        <f>IFERROR(AVERAGEIFS('[1]Grade Project'!$O:$O,'[1]Grade Project'!$K:$K,H143,'[1]Grade Project'!$F:$F,$A$5,'[1]Grade Project'!$G:$G,$A$8),"")</f>
        <v/>
      </c>
      <c r="L143" t="str">
        <f t="shared" si="7"/>
        <v/>
      </c>
      <c r="M143" t="str">
        <f t="shared" si="8"/>
        <v/>
      </c>
      <c r="N143" t="str">
        <f t="shared" si="9"/>
        <v/>
      </c>
    </row>
    <row r="144" spans="8:14" x14ac:dyDescent="0.25">
      <c r="H144" t="str">
        <f>IF(I143=0,"",INDEX('[1]Grade Project'!$K:$K,MATCH(CONCATENATE($A$5,$A$8),'[1]Grade Project'!$H:$H,0)+SUM($I$3:I143)))</f>
        <v/>
      </c>
      <c r="I144">
        <f>COUNTIFS('[1]Grade Project'!$G:$G,$A$8,'[1]Grade Project'!$K:$K,H144,'[1]Grade Project'!$F:$F,$A$5)</f>
        <v>0</v>
      </c>
      <c r="J144" t="str">
        <f>IFERROR(AVERAGEIFS('[1]Grade Project'!$N:$N,'[1]Grade Project'!$K:$K,H144,'[1]Grade Project'!$F:$F,$A$5,'[1]Grade Project'!$G:$G,$A$8),"")</f>
        <v/>
      </c>
      <c r="K144" t="str">
        <f>IFERROR(AVERAGEIFS('[1]Grade Project'!$O:$O,'[1]Grade Project'!$K:$K,H144,'[1]Grade Project'!$F:$F,$A$5,'[1]Grade Project'!$G:$G,$A$8),"")</f>
        <v/>
      </c>
      <c r="L144" t="str">
        <f t="shared" si="7"/>
        <v/>
      </c>
      <c r="M144" t="str">
        <f t="shared" si="8"/>
        <v/>
      </c>
      <c r="N144" t="str">
        <f t="shared" si="9"/>
        <v/>
      </c>
    </row>
    <row r="145" spans="8:14" x14ac:dyDescent="0.25">
      <c r="H145" t="str">
        <f>IF(I144=0,"",INDEX('[1]Grade Project'!$K:$K,MATCH(CONCATENATE($A$5,$A$8),'[1]Grade Project'!$H:$H,0)+SUM($I$3:I144)))</f>
        <v/>
      </c>
      <c r="I145">
        <f>COUNTIFS('[1]Grade Project'!$G:$G,$A$8,'[1]Grade Project'!$K:$K,H145,'[1]Grade Project'!$F:$F,$A$5)</f>
        <v>0</v>
      </c>
      <c r="J145" t="str">
        <f>IFERROR(AVERAGEIFS('[1]Grade Project'!$N:$N,'[1]Grade Project'!$K:$K,H145,'[1]Grade Project'!$F:$F,$A$5,'[1]Grade Project'!$G:$G,$A$8),"")</f>
        <v/>
      </c>
      <c r="K145" t="str">
        <f>IFERROR(AVERAGEIFS('[1]Grade Project'!$O:$O,'[1]Grade Project'!$K:$K,H145,'[1]Grade Project'!$F:$F,$A$5,'[1]Grade Project'!$G:$G,$A$8),"")</f>
        <v/>
      </c>
      <c r="L145" t="str">
        <f t="shared" si="7"/>
        <v/>
      </c>
      <c r="M145" t="str">
        <f t="shared" si="8"/>
        <v/>
      </c>
      <c r="N145" t="str">
        <f t="shared" si="9"/>
        <v/>
      </c>
    </row>
    <row r="146" spans="8:14" x14ac:dyDescent="0.25">
      <c r="H146" t="str">
        <f>IF(I145=0,"",INDEX('[1]Grade Project'!$K:$K,MATCH(CONCATENATE($A$5,$A$8),'[1]Grade Project'!$H:$H,0)+SUM($I$3:I145)))</f>
        <v/>
      </c>
      <c r="I146">
        <f>COUNTIFS('[1]Grade Project'!$G:$G,$A$8,'[1]Grade Project'!$K:$K,H146,'[1]Grade Project'!$F:$F,$A$5)</f>
        <v>0</v>
      </c>
      <c r="J146" t="str">
        <f>IFERROR(AVERAGEIFS('[1]Grade Project'!$N:$N,'[1]Grade Project'!$K:$K,H146,'[1]Grade Project'!$F:$F,$A$5,'[1]Grade Project'!$G:$G,$A$8),"")</f>
        <v/>
      </c>
      <c r="K146" t="str">
        <f>IFERROR(AVERAGEIFS('[1]Grade Project'!$O:$O,'[1]Grade Project'!$K:$K,H146,'[1]Grade Project'!$F:$F,$A$5,'[1]Grade Project'!$G:$G,$A$8),"")</f>
        <v/>
      </c>
      <c r="L146" t="str">
        <f t="shared" si="7"/>
        <v/>
      </c>
      <c r="M146" t="str">
        <f t="shared" si="8"/>
        <v/>
      </c>
      <c r="N146" t="str">
        <f t="shared" si="9"/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6"/>
  <sheetViews>
    <sheetView workbookViewId="0">
      <selection activeCell="C15" sqref="C15"/>
    </sheetView>
  </sheetViews>
  <sheetFormatPr defaultRowHeight="15" x14ac:dyDescent="0.25"/>
  <cols>
    <col min="1" max="2" width="12.5703125" bestFit="1" customWidth="1"/>
    <col min="5" max="5" width="13.42578125" bestFit="1" customWidth="1"/>
    <col min="8" max="8" width="22.140625" bestFit="1" customWidth="1"/>
    <col min="10" max="10" width="12.140625" bestFit="1" customWidth="1"/>
    <col min="11" max="11" width="13.140625" bestFit="1" customWidth="1"/>
    <col min="14" max="14" width="13.85546875" bestFit="1" customWidth="1"/>
  </cols>
  <sheetData>
    <row r="1" spans="1:15" x14ac:dyDescent="0.25">
      <c r="B1" t="s">
        <v>100</v>
      </c>
      <c r="C1" t="s">
        <v>103</v>
      </c>
      <c r="D1" t="s">
        <v>104</v>
      </c>
      <c r="E1" t="s">
        <v>107</v>
      </c>
      <c r="F1" t="s">
        <v>105</v>
      </c>
      <c r="G1" t="s">
        <v>106</v>
      </c>
      <c r="H1" t="s">
        <v>108</v>
      </c>
      <c r="I1" t="s">
        <v>109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</row>
    <row r="2" spans="1:15" x14ac:dyDescent="0.25">
      <c r="A2" t="s">
        <v>101</v>
      </c>
      <c r="E2" s="1"/>
    </row>
    <row r="3" spans="1:15" x14ac:dyDescent="0.25">
      <c r="A3">
        <f>Schedule!B12</f>
        <v>0</v>
      </c>
      <c r="B3" t="s">
        <v>3</v>
      </c>
      <c r="C3" t="e">
        <f>INDEX('[1]Grade Project'!$F:$F,MATCH($A$3,'[1]Grade Project'!$E:$E,0))</f>
        <v>#N/A</v>
      </c>
      <c r="D3">
        <f>COUNTIFS('[1]Grade Project'!$E:$E,$A$3,'[1]Grade Project'!$F:$F,C3)</f>
        <v>0</v>
      </c>
      <c r="E3" t="str">
        <f>IFERROR(RIGHT(C3,LEN(C3)-FIND("-",C3)),"")</f>
        <v/>
      </c>
      <c r="F3" t="e">
        <f>INDEX('[1]Grade Project'!$G:$G,MATCH($A$5,'[1]Grade Project'!$F:$F,0))</f>
        <v>#N/A</v>
      </c>
      <c r="G3">
        <f>COUNTIFS('[1]Grade Project'!$F:$F,$A$5,'[1]Grade Project'!$G:$G,F3)</f>
        <v>0</v>
      </c>
      <c r="H3" t="e">
        <f>INDEX('[1]Grade Project'!$K:$K,MATCH(CONCATENATE(A5,A8),'[1]Grade Project'!$H:$H,0))</f>
        <v>#N/A</v>
      </c>
      <c r="I3">
        <f>COUNTIFS('[1]Grade Project'!$G:$G,$A$8,'[1]Grade Project'!$K:$K,H3,'[1]Grade Project'!$F:$F,$A$5)</f>
        <v>0</v>
      </c>
      <c r="J3" t="str">
        <f>IFERROR(AVERAGEIFS('[1]Grade Project'!$N:$N,'[1]Grade Project'!$K:$K,H3,'[1]Grade Project'!$F:$F,$A$5,'[1]Grade Project'!$G:$G,$A$8),"")</f>
        <v/>
      </c>
      <c r="K3" t="str">
        <f>IFERROR(AVERAGEIFS('[1]Grade Project'!$O:$O,'[1]Grade Project'!$K:$K,H3,'[1]Grade Project'!$F:$F,$A$5,'[1]Grade Project'!$G:$G,$A$8),"")</f>
        <v/>
      </c>
      <c r="L3" t="str">
        <f>IFERROR(K3/J3,"")</f>
        <v/>
      </c>
      <c r="M3" t="str">
        <f>IFERROR(_xlfn.RANK.EQ(L3,L:L),"")</f>
        <v/>
      </c>
      <c r="N3" t="str">
        <f>IFERROR(MAX(M:M)-M3+1,"")</f>
        <v/>
      </c>
      <c r="O3">
        <f>COUNT(N:N)</f>
        <v>0</v>
      </c>
    </row>
    <row r="4" spans="1:15" x14ac:dyDescent="0.25">
      <c r="A4" t="s">
        <v>102</v>
      </c>
      <c r="B4" t="s">
        <v>4</v>
      </c>
      <c r="C4" t="e">
        <f>IF(C3="","",IF(C3=INDEX('[1]Grade Project'!$F:$F,MATCH($A$3,'[1]Grade Project'!$E:$E,0)+SUM($D$3:D3)),"",INDEX('[1]Grade Project'!$F:$F,MATCH($A$3,'[1]Grade Project'!$E:$E,0)+SUM($D$3:D3))))</f>
        <v>#N/A</v>
      </c>
      <c r="D4">
        <f>COUNTIFS('[1]Grade Project'!$E:$E,$A$3,'[1]Grade Project'!$F:$F,C4)</f>
        <v>0</v>
      </c>
      <c r="E4" t="str">
        <f t="shared" ref="E4:E36" si="0">IFERROR(RIGHT(C4,LEN(C4)-FIND("-",C4)),"")</f>
        <v/>
      </c>
      <c r="F4" t="str">
        <f>IF(G3=0,"",INDEX('[1]Grade Project'!$G:$G,MATCH($A$5,'[1]Grade Project'!$F:$F,0)+SUM($G$3:G3)))</f>
        <v/>
      </c>
      <c r="G4">
        <f>COUNTIFS('[1]Grade Project'!$F:$F,$A$5,'[1]Grade Project'!$G:$G,F4)</f>
        <v>0</v>
      </c>
      <c r="H4" t="str">
        <f>IF(I3=0,"",INDEX('[1]Grade Project'!$K:$K,MATCH(CONCATENATE($A$5,$A$8),'[1]Grade Project'!$H:$H,0)+SUM($I$3:I3)))</f>
        <v/>
      </c>
      <c r="I4">
        <f>COUNTIFS('[1]Grade Project'!$G:$G,$A$8,'[1]Grade Project'!$K:$K,H4,'[1]Grade Project'!$F:$F,$A$5)</f>
        <v>0</v>
      </c>
      <c r="J4" t="str">
        <f>IFERROR(AVERAGEIFS('[1]Grade Project'!$N:$N,'[1]Grade Project'!$K:$K,H4,'[1]Grade Project'!$F:$F,$A$5,'[1]Grade Project'!$G:$G,$A$8),"")</f>
        <v/>
      </c>
      <c r="K4" t="str">
        <f>IFERROR(AVERAGEIFS('[1]Grade Project'!$O:$O,'[1]Grade Project'!$K:$K,H4,'[1]Grade Project'!$F:$F,$A$5,'[1]Grade Project'!$G:$G,$A$8),"")</f>
        <v/>
      </c>
      <c r="L4" t="str">
        <f t="shared" ref="L4:L67" si="1">IFERROR(K4/J4,"")</f>
        <v/>
      </c>
      <c r="M4" t="str">
        <f t="shared" ref="M4:M67" si="2">IFERROR(_xlfn.RANK.EQ(L4,L:L),"")</f>
        <v/>
      </c>
      <c r="N4" t="str">
        <f t="shared" ref="N4:N67" si="3">IFERROR(MAX(M:M)-M4+1,"")</f>
        <v/>
      </c>
    </row>
    <row r="5" spans="1:15" x14ac:dyDescent="0.25">
      <c r="A5" t="e">
        <f>INDEX(C:C,MATCH(A6,E:E,0))</f>
        <v>#N/A</v>
      </c>
      <c r="B5" t="s">
        <v>5</v>
      </c>
      <c r="C5" t="e">
        <f>IF(C4="","",IF(C4=INDEX('[1]Grade Project'!$F:$F,MATCH($A$3,'[1]Grade Project'!$E:$E,0)+SUM($D$3:D4)),"",INDEX('[1]Grade Project'!$F:$F,MATCH($A$3,'[1]Grade Project'!$E:$E,0)+SUM($D$3:D4))))</f>
        <v>#N/A</v>
      </c>
      <c r="D5">
        <f>COUNTIFS('[1]Grade Project'!$E:$E,$A$3,'[1]Grade Project'!$F:$F,C5)</f>
        <v>0</v>
      </c>
      <c r="E5" t="str">
        <f t="shared" si="0"/>
        <v/>
      </c>
      <c r="F5" t="str">
        <f>IF(G4=0,"",INDEX('[1]Grade Project'!$G:$G,MATCH($A$5,'[1]Grade Project'!$F:$F,0)+SUM($G$3:G4)))</f>
        <v/>
      </c>
      <c r="G5">
        <f>COUNTIFS('[1]Grade Project'!$F:$F,$A$5,'[1]Grade Project'!$G:$G,F5)</f>
        <v>0</v>
      </c>
      <c r="H5" t="str">
        <f>IF(I4=0,"",INDEX('[1]Grade Project'!$K:$K,MATCH(CONCATENATE($A$5,$A$8),'[1]Grade Project'!$H:$H,0)+SUM($I$3:I4)))</f>
        <v/>
      </c>
      <c r="I5">
        <f>COUNTIFS('[1]Grade Project'!$G:$G,$A$8,'[1]Grade Project'!$K:$K,H5,'[1]Grade Project'!$F:$F,$A$5)</f>
        <v>0</v>
      </c>
      <c r="J5" t="str">
        <f>IFERROR(AVERAGEIFS('[1]Grade Project'!$N:$N,'[1]Grade Project'!$K:$K,H5,'[1]Grade Project'!$F:$F,$A$5,'[1]Grade Project'!$G:$G,$A$8),"")</f>
        <v/>
      </c>
      <c r="K5" t="str">
        <f>IFERROR(AVERAGEIFS('[1]Grade Project'!$O:$O,'[1]Grade Project'!$K:$K,H5,'[1]Grade Project'!$F:$F,$A$5,'[1]Grade Project'!$G:$G,$A$8),"")</f>
        <v/>
      </c>
      <c r="L5" t="str">
        <f t="shared" si="1"/>
        <v/>
      </c>
      <c r="M5" t="str">
        <f t="shared" si="2"/>
        <v/>
      </c>
      <c r="N5" t="str">
        <f t="shared" si="3"/>
        <v/>
      </c>
    </row>
    <row r="6" spans="1:15" x14ac:dyDescent="0.25">
      <c r="A6">
        <f>Schedule!C12</f>
        <v>0</v>
      </c>
      <c r="B6" t="s">
        <v>6</v>
      </c>
      <c r="C6" t="e">
        <f>IF(C5="","",IF(C5=INDEX('[1]Grade Project'!$F:$F,MATCH($A$3,'[1]Grade Project'!$E:$E,0)+SUM($D$3:D5)),"",INDEX('[1]Grade Project'!$F:$F,MATCH($A$3,'[1]Grade Project'!$E:$E,0)+SUM($D$3:D5))))</f>
        <v>#N/A</v>
      </c>
      <c r="D6">
        <f>COUNTIFS('[1]Grade Project'!$E:$E,$A$3,'[1]Grade Project'!$F:$F,C6)</f>
        <v>0</v>
      </c>
      <c r="E6" t="str">
        <f t="shared" si="0"/>
        <v/>
      </c>
      <c r="F6" t="str">
        <f>IF(G5=0,"",INDEX('[1]Grade Project'!$G:$G,MATCH($A$5,'[1]Grade Project'!$F:$F,0)+SUM($G$3:G5)))</f>
        <v/>
      </c>
      <c r="G6">
        <f>COUNTIFS('[1]Grade Project'!$F:$F,$A$5,'[1]Grade Project'!$G:$G,F6)</f>
        <v>0</v>
      </c>
      <c r="H6" t="str">
        <f>IF(I5=0,"",INDEX('[1]Grade Project'!$K:$K,MATCH(CONCATENATE($A$5,$A$8),'[1]Grade Project'!$H:$H,0)+SUM($I$3:I5)))</f>
        <v/>
      </c>
      <c r="I6">
        <f>COUNTIFS('[1]Grade Project'!$G:$G,$A$8,'[1]Grade Project'!$K:$K,H6,'[1]Grade Project'!$F:$F,$A$5)</f>
        <v>0</v>
      </c>
      <c r="J6" t="str">
        <f>IFERROR(AVERAGEIFS('[1]Grade Project'!$N:$N,'[1]Grade Project'!$K:$K,H6,'[1]Grade Project'!$F:$F,$A$5,'[1]Grade Project'!$G:$G,$A$8),"")</f>
        <v/>
      </c>
      <c r="K6" t="str">
        <f>IFERROR(AVERAGEIFS('[1]Grade Project'!$O:$O,'[1]Grade Project'!$K:$K,H6,'[1]Grade Project'!$F:$F,$A$5,'[1]Grade Project'!$G:$G,$A$8),"")</f>
        <v/>
      </c>
      <c r="L6" t="str">
        <f t="shared" si="1"/>
        <v/>
      </c>
      <c r="M6" t="str">
        <f t="shared" si="2"/>
        <v/>
      </c>
      <c r="N6" t="str">
        <f t="shared" si="3"/>
        <v/>
      </c>
    </row>
    <row r="7" spans="1:15" x14ac:dyDescent="0.25">
      <c r="A7" t="s">
        <v>0</v>
      </c>
      <c r="B7" t="s">
        <v>7</v>
      </c>
      <c r="C7" t="e">
        <f>IF(C6="","",IF(C6=INDEX('[1]Grade Project'!$F:$F,MATCH($A$3,'[1]Grade Project'!$E:$E,0)+SUM($D$3:D6)),"",INDEX('[1]Grade Project'!$F:$F,MATCH($A$3,'[1]Grade Project'!$E:$E,0)+SUM($D$3:D6))))</f>
        <v>#N/A</v>
      </c>
      <c r="D7">
        <f>COUNTIFS('[1]Grade Project'!$E:$E,$A$3,'[1]Grade Project'!$F:$F,C7)</f>
        <v>0</v>
      </c>
      <c r="E7" t="str">
        <f t="shared" si="0"/>
        <v/>
      </c>
      <c r="F7" t="str">
        <f>IF(G6=0,"",INDEX('[1]Grade Project'!$G:$G,MATCH($A$5,'[1]Grade Project'!$F:$F,0)+SUM($G$3:G6)))</f>
        <v/>
      </c>
      <c r="G7">
        <f>COUNTIFS('[1]Grade Project'!$F:$F,$A$5,'[1]Grade Project'!$G:$G,F7)</f>
        <v>0</v>
      </c>
      <c r="H7" t="str">
        <f>IF(I6=0,"",INDEX('[1]Grade Project'!$K:$K,MATCH(CONCATENATE($A$5,$A$8),'[1]Grade Project'!$H:$H,0)+SUM($I$3:I6)))</f>
        <v/>
      </c>
      <c r="I7">
        <f>COUNTIFS('[1]Grade Project'!$G:$G,$A$8,'[1]Grade Project'!$K:$K,H7,'[1]Grade Project'!$F:$F,$A$5)</f>
        <v>0</v>
      </c>
      <c r="J7" t="str">
        <f>IFERROR(AVERAGEIFS('[1]Grade Project'!$N:$N,'[1]Grade Project'!$K:$K,H7,'[1]Grade Project'!$F:$F,$A$5,'[1]Grade Project'!$G:$G,$A$8),"")</f>
        <v/>
      </c>
      <c r="K7" t="str">
        <f>IFERROR(AVERAGEIFS('[1]Grade Project'!$O:$O,'[1]Grade Project'!$K:$K,H7,'[1]Grade Project'!$F:$F,$A$5,'[1]Grade Project'!$G:$G,$A$8),"")</f>
        <v/>
      </c>
      <c r="L7" t="str">
        <f t="shared" si="1"/>
        <v/>
      </c>
      <c r="M7" t="str">
        <f t="shared" si="2"/>
        <v/>
      </c>
      <c r="N7" t="str">
        <f t="shared" si="3"/>
        <v/>
      </c>
    </row>
    <row r="8" spans="1:15" x14ac:dyDescent="0.25">
      <c r="A8">
        <f>Schedule!D12</f>
        <v>0</v>
      </c>
      <c r="B8" t="s">
        <v>8</v>
      </c>
      <c r="C8" t="e">
        <f>IF(C7="","",IF(C7=INDEX('[1]Grade Project'!$F:$F,MATCH($A$3,'[1]Grade Project'!$E:$E,0)+SUM($D$3:D7)),"",INDEX('[1]Grade Project'!$F:$F,MATCH($A$3,'[1]Grade Project'!$E:$E,0)+SUM($D$3:D7))))</f>
        <v>#N/A</v>
      </c>
      <c r="D8">
        <f>COUNTIFS('[1]Grade Project'!$E:$E,$A$3,'[1]Grade Project'!$F:$F,C8)</f>
        <v>0</v>
      </c>
      <c r="E8" t="str">
        <f t="shared" si="0"/>
        <v/>
      </c>
      <c r="F8" t="str">
        <f>IF(G7=0,"",INDEX('[1]Grade Project'!$G:$G,MATCH($A$5,'[1]Grade Project'!$F:$F,0)+SUM($G$3:G7)))</f>
        <v/>
      </c>
      <c r="G8">
        <f>COUNTIFS('[1]Grade Project'!$F:$F,$A$5,'[1]Grade Project'!$G:$G,F8)</f>
        <v>0</v>
      </c>
      <c r="H8" t="str">
        <f>IF(I7=0,"",INDEX('[1]Grade Project'!$K:$K,MATCH(CONCATENATE($A$5,$A$8),'[1]Grade Project'!$H:$H,0)+SUM($I$3:I7)))</f>
        <v/>
      </c>
      <c r="I8">
        <f>COUNTIFS('[1]Grade Project'!$G:$G,$A$8,'[1]Grade Project'!$K:$K,H8,'[1]Grade Project'!$F:$F,$A$5)</f>
        <v>0</v>
      </c>
      <c r="J8" t="str">
        <f>IFERROR(AVERAGEIFS('[1]Grade Project'!$N:$N,'[1]Grade Project'!$K:$K,H8,'[1]Grade Project'!$F:$F,$A$5,'[1]Grade Project'!$G:$G,$A$8),"")</f>
        <v/>
      </c>
      <c r="K8" t="str">
        <f>IFERROR(AVERAGEIFS('[1]Grade Project'!$O:$O,'[1]Grade Project'!$K:$K,H8,'[1]Grade Project'!$F:$F,$A$5,'[1]Grade Project'!$G:$G,$A$8),"")</f>
        <v/>
      </c>
      <c r="L8" t="str">
        <f t="shared" si="1"/>
        <v/>
      </c>
      <c r="M8" t="str">
        <f t="shared" si="2"/>
        <v/>
      </c>
      <c r="N8" t="str">
        <f t="shared" si="3"/>
        <v/>
      </c>
    </row>
    <row r="9" spans="1:15" x14ac:dyDescent="0.25">
      <c r="A9" t="s">
        <v>108</v>
      </c>
      <c r="B9" t="s">
        <v>9</v>
      </c>
      <c r="C9" t="e">
        <f>IF(C8="","",IF(C8=INDEX('[1]Grade Project'!$F:$F,MATCH($A$3,'[1]Grade Project'!$E:$E,0)+SUM($D$3:D8)),"",INDEX('[1]Grade Project'!$F:$F,MATCH($A$3,'[1]Grade Project'!$E:$E,0)+SUM($D$3:D8))))</f>
        <v>#N/A</v>
      </c>
      <c r="D9">
        <f>COUNTIFS('[1]Grade Project'!$E:$E,$A$3,'[1]Grade Project'!$F:$F,C9)</f>
        <v>0</v>
      </c>
      <c r="E9" t="str">
        <f t="shared" si="0"/>
        <v/>
      </c>
      <c r="F9" t="str">
        <f>IF(G8=0,"",INDEX('[1]Grade Project'!$G:$G,MATCH($A$5,'[1]Grade Project'!$F:$F,0)+SUM($G$3:G8)))</f>
        <v/>
      </c>
      <c r="G9">
        <f>COUNTIFS('[1]Grade Project'!$F:$F,$A$5,'[1]Grade Project'!$G:$G,F9)</f>
        <v>0</v>
      </c>
      <c r="H9" t="str">
        <f>IF(I8=0,"",INDEX('[1]Grade Project'!$K:$K,MATCH(CONCATENATE($A$5,$A$8),'[1]Grade Project'!$H:$H,0)+SUM($I$3:I8)))</f>
        <v/>
      </c>
      <c r="I9">
        <f>COUNTIFS('[1]Grade Project'!$G:$G,$A$8,'[1]Grade Project'!$K:$K,H9,'[1]Grade Project'!$F:$F,$A$5)</f>
        <v>0</v>
      </c>
      <c r="J9" t="str">
        <f>IFERROR(AVERAGEIFS('[1]Grade Project'!$N:$N,'[1]Grade Project'!$K:$K,H9,'[1]Grade Project'!$F:$F,$A$5,'[1]Grade Project'!$G:$G,$A$8),"")</f>
        <v/>
      </c>
      <c r="K9" t="str">
        <f>IFERROR(AVERAGEIFS('[1]Grade Project'!$O:$O,'[1]Grade Project'!$K:$K,H9,'[1]Grade Project'!$F:$F,$A$5,'[1]Grade Project'!$G:$G,$A$8),"")</f>
        <v/>
      </c>
      <c r="L9" t="str">
        <f t="shared" si="1"/>
        <v/>
      </c>
      <c r="M9" t="str">
        <f t="shared" si="2"/>
        <v/>
      </c>
      <c r="N9" t="str">
        <f t="shared" si="3"/>
        <v/>
      </c>
    </row>
    <row r="10" spans="1:15" x14ac:dyDescent="0.25">
      <c r="A10">
        <f>Schedule!E12</f>
        <v>0</v>
      </c>
      <c r="B10" t="s">
        <v>10</v>
      </c>
      <c r="C10" t="e">
        <f>IF(C9="","",IF(C9=INDEX('[1]Grade Project'!$F:$F,MATCH($A$3,'[1]Grade Project'!$E:$E,0)+SUM($D$3:D9)),"",INDEX('[1]Grade Project'!$F:$F,MATCH($A$3,'[1]Grade Project'!$E:$E,0)+SUM($D$3:D9))))</f>
        <v>#N/A</v>
      </c>
      <c r="D10">
        <f>COUNTIFS('[1]Grade Project'!$E:$E,$A$3,'[1]Grade Project'!$F:$F,C10)</f>
        <v>0</v>
      </c>
      <c r="E10" t="str">
        <f t="shared" si="0"/>
        <v/>
      </c>
      <c r="F10" t="str">
        <f>IF(G9=0,"",INDEX('[1]Grade Project'!$G:$G,MATCH($A$5,'[1]Grade Project'!$F:$F,0)+SUM($G$3:G9)))</f>
        <v/>
      </c>
      <c r="G10">
        <f>COUNTIFS('[1]Grade Project'!$F:$F,$A$5,'[1]Grade Project'!$G:$G,F10)</f>
        <v>0</v>
      </c>
      <c r="H10" t="str">
        <f>IF(I9=0,"",INDEX('[1]Grade Project'!$K:$K,MATCH(CONCATENATE($A$5,$A$8),'[1]Grade Project'!$H:$H,0)+SUM($I$3:I9)))</f>
        <v/>
      </c>
      <c r="I10">
        <f>COUNTIFS('[1]Grade Project'!$G:$G,$A$8,'[1]Grade Project'!$K:$K,H10,'[1]Grade Project'!$F:$F,$A$5)</f>
        <v>0</v>
      </c>
      <c r="J10" t="str">
        <f>IFERROR(AVERAGEIFS('[1]Grade Project'!$N:$N,'[1]Grade Project'!$K:$K,H10,'[1]Grade Project'!$F:$F,$A$5,'[1]Grade Project'!$G:$G,$A$8),"")</f>
        <v/>
      </c>
      <c r="K10" t="str">
        <f>IFERROR(AVERAGEIFS('[1]Grade Project'!$O:$O,'[1]Grade Project'!$K:$K,H10,'[1]Grade Project'!$F:$F,$A$5,'[1]Grade Project'!$G:$G,$A$8),"")</f>
        <v/>
      </c>
      <c r="L10" t="str">
        <f t="shared" si="1"/>
        <v/>
      </c>
      <c r="M10" t="str">
        <f t="shared" si="2"/>
        <v/>
      </c>
      <c r="N10" t="str">
        <f t="shared" si="3"/>
        <v/>
      </c>
    </row>
    <row r="11" spans="1:15" x14ac:dyDescent="0.25">
      <c r="A11" t="s">
        <v>111</v>
      </c>
      <c r="B11" t="s">
        <v>11</v>
      </c>
      <c r="C11" t="e">
        <f>IF(C10="","",IF(C10=INDEX('[1]Grade Project'!$F:$F,MATCH($A$3,'[1]Grade Project'!$E:$E,0)+SUM($D$3:D10)),"",INDEX('[1]Grade Project'!$F:$F,MATCH($A$3,'[1]Grade Project'!$E:$E,0)+SUM($D$3:D10))))</f>
        <v>#N/A</v>
      </c>
      <c r="D11">
        <f>COUNTIFS('[1]Grade Project'!$E:$E,$A$3,'[1]Grade Project'!$F:$F,C11)</f>
        <v>0</v>
      </c>
      <c r="E11" t="str">
        <f t="shared" si="0"/>
        <v/>
      </c>
      <c r="F11" t="str">
        <f>IF(G10=0,"",INDEX('[1]Grade Project'!$G:$G,MATCH($A$5,'[1]Grade Project'!$F:$F,0)+SUM($G$3:G10)))</f>
        <v/>
      </c>
      <c r="G11">
        <f>COUNTIFS('[1]Grade Project'!$F:$F,$A$5,'[1]Grade Project'!$G:$G,F11)</f>
        <v>0</v>
      </c>
      <c r="H11" t="str">
        <f>IF(I10=0,"",INDEX('[1]Grade Project'!$K:$K,MATCH(CONCATENATE($A$5,$A$8),'[1]Grade Project'!$H:$H,0)+SUM($I$3:I10)))</f>
        <v/>
      </c>
      <c r="I11">
        <f>COUNTIFS('[1]Grade Project'!$G:$G,$A$8,'[1]Grade Project'!$K:$K,H11,'[1]Grade Project'!$F:$F,$A$5)</f>
        <v>0</v>
      </c>
      <c r="J11" t="str">
        <f>IFERROR(AVERAGEIFS('[1]Grade Project'!$N:$N,'[1]Grade Project'!$K:$K,H11,'[1]Grade Project'!$F:$F,$A$5,'[1]Grade Project'!$G:$G,$A$8),"")</f>
        <v/>
      </c>
      <c r="K11" t="str">
        <f>IFERROR(AVERAGEIFS('[1]Grade Project'!$O:$O,'[1]Grade Project'!$K:$K,H11,'[1]Grade Project'!$F:$F,$A$5,'[1]Grade Project'!$G:$G,$A$8),"")</f>
        <v/>
      </c>
      <c r="L11" t="str">
        <f t="shared" si="1"/>
        <v/>
      </c>
      <c r="M11" t="str">
        <f t="shared" si="2"/>
        <v/>
      </c>
      <c r="N11" t="str">
        <f t="shared" si="3"/>
        <v/>
      </c>
    </row>
    <row r="12" spans="1:15" x14ac:dyDescent="0.25">
      <c r="A12" t="e">
        <f>AVERAGEIFS('[1]Grade Project'!$N:$N,'[1]Grade Project'!$K:$K,$A$10,'[1]Grade Project'!$F:$F,A5,'[1]Grade Project'!$G:$G,$A$8)</f>
        <v>#DIV/0!</v>
      </c>
      <c r="B12" t="s">
        <v>12</v>
      </c>
      <c r="C12" t="e">
        <f>IF(C11="","",IF(C11=INDEX('[1]Grade Project'!$F:$F,MATCH($A$3,'[1]Grade Project'!$E:$E,0)+SUM($D$3:D11)),"",INDEX('[1]Grade Project'!$F:$F,MATCH($A$3,'[1]Grade Project'!$E:$E,0)+SUM($D$3:D11))))</f>
        <v>#N/A</v>
      </c>
      <c r="D12">
        <f>COUNTIFS('[1]Grade Project'!$E:$E,$A$3,'[1]Grade Project'!$F:$F,C12)</f>
        <v>0</v>
      </c>
      <c r="E12" t="str">
        <f t="shared" si="0"/>
        <v/>
      </c>
      <c r="F12" t="str">
        <f>IF(G11=0,"",INDEX('[1]Grade Project'!$G:$G,MATCH($A$5,'[1]Grade Project'!$F:$F,0)+SUM($G$3:G11)))</f>
        <v/>
      </c>
      <c r="G12">
        <f>COUNTIFS('[1]Grade Project'!$F:$F,$A$5,'[1]Grade Project'!$G:$G,F12)</f>
        <v>0</v>
      </c>
      <c r="H12" t="str">
        <f>IF(I11=0,"",INDEX('[1]Grade Project'!$K:$K,MATCH(CONCATENATE($A$5,$A$8),'[1]Grade Project'!$H:$H,0)+SUM($I$3:I11)))</f>
        <v/>
      </c>
      <c r="I12">
        <f>COUNTIFS('[1]Grade Project'!$G:$G,$A$8,'[1]Grade Project'!$K:$K,H12,'[1]Grade Project'!$F:$F,$A$5)</f>
        <v>0</v>
      </c>
      <c r="J12" t="str">
        <f>IFERROR(AVERAGEIFS('[1]Grade Project'!$N:$N,'[1]Grade Project'!$K:$K,H12,'[1]Grade Project'!$F:$F,$A$5,'[1]Grade Project'!$G:$G,$A$8),"")</f>
        <v/>
      </c>
      <c r="K12" t="str">
        <f>IFERROR(AVERAGEIFS('[1]Grade Project'!$O:$O,'[1]Grade Project'!$K:$K,H12,'[1]Grade Project'!$F:$F,$A$5,'[1]Grade Project'!$G:$G,$A$8),"")</f>
        <v/>
      </c>
      <c r="L12" t="str">
        <f t="shared" si="1"/>
        <v/>
      </c>
      <c r="M12" t="str">
        <f t="shared" si="2"/>
        <v/>
      </c>
      <c r="N12" t="str">
        <f t="shared" si="3"/>
        <v/>
      </c>
    </row>
    <row r="13" spans="1:15" x14ac:dyDescent="0.25">
      <c r="A13" t="s">
        <v>112</v>
      </c>
      <c r="B13" t="s">
        <v>13</v>
      </c>
      <c r="C13" t="e">
        <f>IF(C12="","",IF(C12=INDEX('[1]Grade Project'!$F:$F,MATCH($A$3,'[1]Grade Project'!$E:$E,0)+SUM($D$3:D12)),"",INDEX('[1]Grade Project'!$F:$F,MATCH($A$3,'[1]Grade Project'!$E:$E,0)+SUM($D$3:D12))))</f>
        <v>#N/A</v>
      </c>
      <c r="D13">
        <f>COUNTIFS('[1]Grade Project'!$E:$E,$A$3,'[1]Grade Project'!$F:$F,C13)</f>
        <v>0</v>
      </c>
      <c r="E13" t="str">
        <f t="shared" si="0"/>
        <v/>
      </c>
      <c r="F13" t="str">
        <f>IF(G12=0,"",INDEX('[1]Grade Project'!$G:$G,MATCH($A$5,'[1]Grade Project'!$F:$F,0)+SUM($G$3:G12)))</f>
        <v/>
      </c>
      <c r="G13">
        <f>COUNTIFS('[1]Grade Project'!$F:$F,$A$5,'[1]Grade Project'!$G:$G,F13)</f>
        <v>0</v>
      </c>
      <c r="H13" t="str">
        <f>IF(I12=0,"",INDEX('[1]Grade Project'!$K:$K,MATCH(CONCATENATE($A$5,$A$8),'[1]Grade Project'!$H:$H,0)+SUM($I$3:I12)))</f>
        <v/>
      </c>
      <c r="I13">
        <f>COUNTIFS('[1]Grade Project'!$G:$G,$A$8,'[1]Grade Project'!$K:$K,H13,'[1]Grade Project'!$F:$F,$A$5)</f>
        <v>0</v>
      </c>
      <c r="J13" t="str">
        <f>IFERROR(AVERAGEIFS('[1]Grade Project'!$N:$N,'[1]Grade Project'!$K:$K,H13,'[1]Grade Project'!$F:$F,$A$5,'[1]Grade Project'!$G:$G,$A$8),"")</f>
        <v/>
      </c>
      <c r="K13" t="str">
        <f>IFERROR(AVERAGEIFS('[1]Grade Project'!$O:$O,'[1]Grade Project'!$K:$K,H13,'[1]Grade Project'!$F:$F,$A$5,'[1]Grade Project'!$G:$G,$A$8),"")</f>
        <v/>
      </c>
      <c r="L13" t="str">
        <f t="shared" si="1"/>
        <v/>
      </c>
      <c r="M13" t="str">
        <f t="shared" si="2"/>
        <v/>
      </c>
      <c r="N13" t="str">
        <f t="shared" si="3"/>
        <v/>
      </c>
    </row>
    <row r="14" spans="1:15" x14ac:dyDescent="0.25">
      <c r="A14" t="e">
        <f>AVERAGEIFS('[1]Grade Project'!$O:$O,'[1]Grade Project'!$K:$K,$A$10,'[1]Grade Project'!$F:$F,A5,'[1]Grade Project'!$G:$G,$A$8)</f>
        <v>#DIV/0!</v>
      </c>
      <c r="B14" t="s">
        <v>14</v>
      </c>
      <c r="C14" t="e">
        <f>IF(C13="","",IF(C13=INDEX('[1]Grade Project'!$F:$F,MATCH($A$3,'[1]Grade Project'!$E:$E,0)+SUM($D$3:D13)),"",INDEX('[1]Grade Project'!$F:$F,MATCH($A$3,'[1]Grade Project'!$E:$E,0)+SUM($D$3:D13))))</f>
        <v>#N/A</v>
      </c>
      <c r="D14">
        <f>COUNTIFS('[1]Grade Project'!$E:$E,$A$3,'[1]Grade Project'!$F:$F,C14)</f>
        <v>0</v>
      </c>
      <c r="E14" t="str">
        <f t="shared" si="0"/>
        <v/>
      </c>
      <c r="F14" t="str">
        <f>IF(G13=0,"",INDEX('[1]Grade Project'!$G:$G,MATCH($A$5,'[1]Grade Project'!$F:$F,0)+SUM($G$3:G13)))</f>
        <v/>
      </c>
      <c r="G14">
        <f>COUNTIFS('[1]Grade Project'!$F:$F,$A$5,'[1]Grade Project'!$G:$G,F14)</f>
        <v>0</v>
      </c>
      <c r="H14" t="str">
        <f>IF(I13=0,"",INDEX('[1]Grade Project'!$K:$K,MATCH(CONCATENATE($A$5,$A$8),'[1]Grade Project'!$H:$H,0)+SUM($I$3:I13)))</f>
        <v/>
      </c>
      <c r="I14">
        <f>COUNTIFS('[1]Grade Project'!$G:$G,$A$8,'[1]Grade Project'!$K:$K,H14,'[1]Grade Project'!$F:$F,$A$5)</f>
        <v>0</v>
      </c>
      <c r="J14" t="str">
        <f>IFERROR(AVERAGEIFS('[1]Grade Project'!$N:$N,'[1]Grade Project'!$K:$K,H14,'[1]Grade Project'!$F:$F,$A$5,'[1]Grade Project'!$G:$G,$A$8),"")</f>
        <v/>
      </c>
      <c r="K14" t="str">
        <f>IFERROR(AVERAGEIFS('[1]Grade Project'!$O:$O,'[1]Grade Project'!$K:$K,H14,'[1]Grade Project'!$F:$F,$A$5,'[1]Grade Project'!$G:$G,$A$8),"")</f>
        <v/>
      </c>
      <c r="L14" t="str">
        <f t="shared" si="1"/>
        <v/>
      </c>
      <c r="M14" t="str">
        <f t="shared" si="2"/>
        <v/>
      </c>
      <c r="N14" t="str">
        <f t="shared" si="3"/>
        <v/>
      </c>
    </row>
    <row r="15" spans="1:15" x14ac:dyDescent="0.25">
      <c r="A15" t="s">
        <v>118</v>
      </c>
      <c r="B15" t="s">
        <v>15</v>
      </c>
      <c r="C15" t="e">
        <f>IF(C14="","",IF(C14=INDEX('[1]Grade Project'!$F:$F,MATCH($A$3,'[1]Grade Project'!$E:$E,0)+SUM($D$3:D14)),"",INDEX('[1]Grade Project'!$F:$F,MATCH($A$3,'[1]Grade Project'!$E:$E,0)+SUM($D$3:D14))))</f>
        <v>#N/A</v>
      </c>
      <c r="D15">
        <f>COUNTIFS('[1]Grade Project'!$E:$E,$A$3,'[1]Grade Project'!$F:$F,C15)</f>
        <v>0</v>
      </c>
      <c r="E15" t="str">
        <f t="shared" si="0"/>
        <v/>
      </c>
      <c r="F15" t="str">
        <f>IF(G14=0,"",INDEX('[1]Grade Project'!$G:$G,MATCH($A$5,'[1]Grade Project'!$F:$F,0)+SUM($G$3:G14)))</f>
        <v/>
      </c>
      <c r="G15">
        <f>COUNTIFS('[1]Grade Project'!$F:$F,$A$5,'[1]Grade Project'!$G:$G,F15)</f>
        <v>0</v>
      </c>
      <c r="H15" t="str">
        <f>IF(I14=0,"",INDEX('[1]Grade Project'!$K:$K,MATCH(CONCATENATE($A$5,$A$8),'[1]Grade Project'!$H:$H,0)+SUM($I$3:I14)))</f>
        <v/>
      </c>
      <c r="I15">
        <f>COUNTIFS('[1]Grade Project'!$G:$G,$A$8,'[1]Grade Project'!$K:$K,H15,'[1]Grade Project'!$F:$F,$A$5)</f>
        <v>0</v>
      </c>
      <c r="J15" t="str">
        <f>IFERROR(AVERAGEIFS('[1]Grade Project'!$N:$N,'[1]Grade Project'!$K:$K,H15,'[1]Grade Project'!$F:$F,$A$5,'[1]Grade Project'!$G:$G,$A$8),"")</f>
        <v/>
      </c>
      <c r="K15" t="str">
        <f>IFERROR(AVERAGEIFS('[1]Grade Project'!$O:$O,'[1]Grade Project'!$K:$K,H15,'[1]Grade Project'!$F:$F,$A$5,'[1]Grade Project'!$G:$G,$A$8),"")</f>
        <v/>
      </c>
      <c r="L15" t="str">
        <f t="shared" si="1"/>
        <v/>
      </c>
      <c r="M15" t="str">
        <f t="shared" si="2"/>
        <v/>
      </c>
      <c r="N15" t="str">
        <f t="shared" si="3"/>
        <v/>
      </c>
    </row>
    <row r="16" spans="1:15" x14ac:dyDescent="0.25">
      <c r="A16" t="e">
        <f>INDEX(Eight!N:N,MATCH(A14/A12,Eight!L:L,0))&amp;"/"&amp;COUNT(Eight!N:N)</f>
        <v>#DIV/0!</v>
      </c>
      <c r="B16" t="s">
        <v>16</v>
      </c>
      <c r="C16" t="e">
        <f>IF(C15="","",IF(C15=INDEX('[1]Grade Project'!$F:$F,MATCH($A$3,'[1]Grade Project'!$E:$E,0)+SUM($D$3:D15)),"",INDEX('[1]Grade Project'!$F:$F,MATCH($A$3,'[1]Grade Project'!$E:$E,0)+SUM($D$3:D15))))</f>
        <v>#N/A</v>
      </c>
      <c r="D16">
        <f>COUNTIFS('[1]Grade Project'!$E:$E,$A$3,'[1]Grade Project'!$F:$F,C16)</f>
        <v>0</v>
      </c>
      <c r="E16" t="str">
        <f t="shared" si="0"/>
        <v/>
      </c>
      <c r="F16" t="str">
        <f>IF(G15=0,"",INDEX('[1]Grade Project'!$G:$G,MATCH($A$5,'[1]Grade Project'!$F:$F,0)+SUM($G$3:G15)))</f>
        <v/>
      </c>
      <c r="G16">
        <f>COUNTIFS('[1]Grade Project'!$F:$F,$A$5,'[1]Grade Project'!$G:$G,F16)</f>
        <v>0</v>
      </c>
      <c r="H16" t="str">
        <f>IF(I15=0,"",INDEX('[1]Grade Project'!$K:$K,MATCH(CONCATENATE($A$5,$A$8),'[1]Grade Project'!$H:$H,0)+SUM($I$3:I15)))</f>
        <v/>
      </c>
      <c r="I16">
        <f>COUNTIFS('[1]Grade Project'!$G:$G,$A$8,'[1]Grade Project'!$K:$K,H16,'[1]Grade Project'!$F:$F,$A$5)</f>
        <v>0</v>
      </c>
      <c r="J16" t="str">
        <f>IFERROR(AVERAGEIFS('[1]Grade Project'!$N:$N,'[1]Grade Project'!$K:$K,H16,'[1]Grade Project'!$F:$F,$A$5,'[1]Grade Project'!$G:$G,$A$8),"")</f>
        <v/>
      </c>
      <c r="K16" t="str">
        <f>IFERROR(AVERAGEIFS('[1]Grade Project'!$O:$O,'[1]Grade Project'!$K:$K,H16,'[1]Grade Project'!$F:$F,$A$5,'[1]Grade Project'!$G:$G,$A$8),"")</f>
        <v/>
      </c>
      <c r="L16" t="str">
        <f t="shared" si="1"/>
        <v/>
      </c>
      <c r="M16" t="str">
        <f t="shared" si="2"/>
        <v/>
      </c>
      <c r="N16" t="str">
        <f t="shared" si="3"/>
        <v/>
      </c>
    </row>
    <row r="17" spans="1:14" x14ac:dyDescent="0.25">
      <c r="A17" t="s">
        <v>113</v>
      </c>
      <c r="B17" t="s">
        <v>17</v>
      </c>
      <c r="C17" t="e">
        <f>IF(C16="","",IF(C16=INDEX('[1]Grade Project'!$F:$F,MATCH($A$3,'[1]Grade Project'!$E:$E,0)+SUM($D$3:D16)),"",INDEX('[1]Grade Project'!$F:$F,MATCH($A$3,'[1]Grade Project'!$E:$E,0)+SUM($D$3:D16))))</f>
        <v>#N/A</v>
      </c>
      <c r="D17">
        <f>COUNTIFS('[1]Grade Project'!$E:$E,$A$3,'[1]Grade Project'!$F:$F,C17)</f>
        <v>0</v>
      </c>
      <c r="E17" t="str">
        <f t="shared" si="0"/>
        <v/>
      </c>
      <c r="F17" t="str">
        <f>IF(G16=0,"",INDEX('[1]Grade Project'!$G:$G,MATCH($A$5,'[1]Grade Project'!$F:$F,0)+SUM($G$3:G16)))</f>
        <v/>
      </c>
      <c r="G17">
        <f>COUNTIFS('[1]Grade Project'!$F:$F,$A$5,'[1]Grade Project'!$G:$G,F17)</f>
        <v>0</v>
      </c>
      <c r="H17" t="str">
        <f>IF(I16=0,"",INDEX('[1]Grade Project'!$K:$K,MATCH(CONCATENATE($A$5,$A$8),'[1]Grade Project'!$H:$H,0)+SUM($I$3:I16)))</f>
        <v/>
      </c>
      <c r="I17">
        <f>COUNTIFS('[1]Grade Project'!$G:$G,$A$8,'[1]Grade Project'!$K:$K,H17,'[1]Grade Project'!$F:$F,$A$5)</f>
        <v>0</v>
      </c>
      <c r="J17" t="str">
        <f>IFERROR(AVERAGEIFS('[1]Grade Project'!$N:$N,'[1]Grade Project'!$K:$K,H17,'[1]Grade Project'!$F:$F,$A$5,'[1]Grade Project'!$G:$G,$A$8),"")</f>
        <v/>
      </c>
      <c r="K17" t="str">
        <f>IFERROR(AVERAGEIFS('[1]Grade Project'!$O:$O,'[1]Grade Project'!$K:$K,H17,'[1]Grade Project'!$F:$F,$A$5,'[1]Grade Project'!$G:$G,$A$8),"")</f>
        <v/>
      </c>
      <c r="L17" t="str">
        <f t="shared" si="1"/>
        <v/>
      </c>
      <c r="M17" t="str">
        <f t="shared" si="2"/>
        <v/>
      </c>
      <c r="N17" t="str">
        <f t="shared" si="3"/>
        <v/>
      </c>
    </row>
    <row r="18" spans="1:14" x14ac:dyDescent="0.25">
      <c r="A18" t="e">
        <f>INDEX(Eight!H:H,MATCH(MAX(Eight!N:N),Eight!N:N,0))</f>
        <v>#N/A</v>
      </c>
      <c r="B18" t="s">
        <v>18</v>
      </c>
      <c r="C18" t="e">
        <f>IF(C17="","",IF(C17=INDEX('[1]Grade Project'!$F:$F,MATCH($A$3,'[1]Grade Project'!$E:$E,0)+SUM($D$3:D17)),"",INDEX('[1]Grade Project'!$F:$F,MATCH($A$3,'[1]Grade Project'!$E:$E,0)+SUM($D$3:D17))))</f>
        <v>#N/A</v>
      </c>
      <c r="D18">
        <f>COUNTIFS('[1]Grade Project'!$E:$E,$A$3,'[1]Grade Project'!$F:$F,C18)</f>
        <v>0</v>
      </c>
      <c r="E18" t="str">
        <f t="shared" si="0"/>
        <v/>
      </c>
      <c r="F18" t="str">
        <f>IF(G17=0,"",INDEX('[1]Grade Project'!$G:$G,MATCH($A$5,'[1]Grade Project'!$F:$F,0)+SUM($G$3:G17)))</f>
        <v/>
      </c>
      <c r="G18">
        <f>COUNTIFS('[1]Grade Project'!$F:$F,$A$5,'[1]Grade Project'!$G:$G,F18)</f>
        <v>0</v>
      </c>
      <c r="H18" t="str">
        <f>IF(I17=0,"",INDEX('[1]Grade Project'!$K:$K,MATCH(CONCATENATE($A$5,$A$8),'[1]Grade Project'!$H:$H,0)+SUM($I$3:I17)))</f>
        <v/>
      </c>
      <c r="I18">
        <f>COUNTIFS('[1]Grade Project'!$G:$G,$A$8,'[1]Grade Project'!$K:$K,H18,'[1]Grade Project'!$F:$F,$A$5)</f>
        <v>0</v>
      </c>
      <c r="J18" t="str">
        <f>IFERROR(AVERAGEIFS('[1]Grade Project'!$N:$N,'[1]Grade Project'!$K:$K,H18,'[1]Grade Project'!$F:$F,$A$5,'[1]Grade Project'!$G:$G,$A$8),"")</f>
        <v/>
      </c>
      <c r="K18" t="str">
        <f>IFERROR(AVERAGEIFS('[1]Grade Project'!$O:$O,'[1]Grade Project'!$K:$K,H18,'[1]Grade Project'!$F:$F,$A$5,'[1]Grade Project'!$G:$G,$A$8),"")</f>
        <v/>
      </c>
      <c r="L18" t="str">
        <f t="shared" si="1"/>
        <v/>
      </c>
      <c r="M18" t="str">
        <f t="shared" si="2"/>
        <v/>
      </c>
      <c r="N18" t="str">
        <f t="shared" si="3"/>
        <v/>
      </c>
    </row>
    <row r="19" spans="1:14" x14ac:dyDescent="0.25">
      <c r="A19" t="s">
        <v>110</v>
      </c>
      <c r="B19" t="s">
        <v>2</v>
      </c>
      <c r="C19" t="e">
        <f>IF(C18="","",IF(C18=INDEX('[1]Grade Project'!$F:$F,MATCH($A$3,'[1]Grade Project'!$E:$E,0)+SUM($D$3:D18)),"",INDEX('[1]Grade Project'!$F:$F,MATCH($A$3,'[1]Grade Project'!$E:$E,0)+SUM($D$3:D18))))</f>
        <v>#N/A</v>
      </c>
      <c r="D19">
        <f>COUNTIFS('[1]Grade Project'!$E:$E,$A$3,'[1]Grade Project'!$F:$F,C19)</f>
        <v>0</v>
      </c>
      <c r="E19" t="str">
        <f t="shared" si="0"/>
        <v/>
      </c>
      <c r="F19" t="str">
        <f>IF(G18=0,"",INDEX('[1]Grade Project'!$G:$G,MATCH($A$5,'[1]Grade Project'!$F:$F,0)+SUM($G$3:G18)))</f>
        <v/>
      </c>
      <c r="G19">
        <f>COUNTIFS('[1]Grade Project'!$F:$F,$A$5,'[1]Grade Project'!$G:$G,F19)</f>
        <v>0</v>
      </c>
      <c r="H19" t="str">
        <f>IF(I18=0,"",INDEX('[1]Grade Project'!$K:$K,MATCH(CONCATENATE($A$5,$A$8),'[1]Grade Project'!$H:$H,0)+SUM($I$3:I18)))</f>
        <v/>
      </c>
      <c r="I19">
        <f>COUNTIFS('[1]Grade Project'!$G:$G,$A$8,'[1]Grade Project'!$K:$K,H19,'[1]Grade Project'!$F:$F,$A$5)</f>
        <v>0</v>
      </c>
      <c r="J19" t="str">
        <f>IFERROR(AVERAGEIFS('[1]Grade Project'!$N:$N,'[1]Grade Project'!$K:$K,H19,'[1]Grade Project'!$F:$F,$A$5,'[1]Grade Project'!$G:$G,$A$8),"")</f>
        <v/>
      </c>
      <c r="K19" t="str">
        <f>IFERROR(AVERAGEIFS('[1]Grade Project'!$O:$O,'[1]Grade Project'!$K:$K,H19,'[1]Grade Project'!$F:$F,$A$5,'[1]Grade Project'!$G:$G,$A$8),"")</f>
        <v/>
      </c>
      <c r="L19" t="str">
        <f t="shared" si="1"/>
        <v/>
      </c>
      <c r="M19" t="str">
        <f t="shared" si="2"/>
        <v/>
      </c>
      <c r="N19" t="str">
        <f t="shared" si="3"/>
        <v/>
      </c>
    </row>
    <row r="20" spans="1:14" x14ac:dyDescent="0.25">
      <c r="A20" t="e">
        <f>INDEX(Eight!J:J,MATCH(MAX(Eight!N:N),Eight!N:N,0))</f>
        <v>#N/A</v>
      </c>
      <c r="B20" t="s">
        <v>19</v>
      </c>
      <c r="C20" t="e">
        <f>IF(C19="","",IF(C19=INDEX('[1]Grade Project'!$F:$F,MATCH($A$3,'[1]Grade Project'!$E:$E,0)+SUM($D$3:D19)),"",INDEX('[1]Grade Project'!$F:$F,MATCH($A$3,'[1]Grade Project'!$E:$E,0)+SUM($D$3:D19))))</f>
        <v>#N/A</v>
      </c>
      <c r="D20">
        <f>COUNTIFS('[1]Grade Project'!$E:$E,$A$3,'[1]Grade Project'!$F:$F,C20)</f>
        <v>0</v>
      </c>
      <c r="E20" t="str">
        <f t="shared" si="0"/>
        <v/>
      </c>
      <c r="F20" t="str">
        <f>IF(G19=0,"",INDEX('[1]Grade Project'!$G:$G,MATCH($A$5,'[1]Grade Project'!$F:$F,0)+SUM($G$3:G19)))</f>
        <v/>
      </c>
      <c r="G20">
        <f>COUNTIFS('[1]Grade Project'!$F:$F,$A$5,'[1]Grade Project'!$G:$G,F20)</f>
        <v>0</v>
      </c>
      <c r="H20" t="str">
        <f>IF(I19=0,"",INDEX('[1]Grade Project'!$K:$K,MATCH(CONCATENATE($A$5,$A$8),'[1]Grade Project'!$H:$H,0)+SUM($I$3:I19)))</f>
        <v/>
      </c>
      <c r="I20">
        <f>COUNTIFS('[1]Grade Project'!$G:$G,$A$8,'[1]Grade Project'!$K:$K,H20,'[1]Grade Project'!$F:$F,$A$5)</f>
        <v>0</v>
      </c>
      <c r="J20" t="str">
        <f>IFERROR(AVERAGEIFS('[1]Grade Project'!$N:$N,'[1]Grade Project'!$K:$K,H20,'[1]Grade Project'!$F:$F,$A$5,'[1]Grade Project'!$G:$G,$A$8),"")</f>
        <v/>
      </c>
      <c r="K20" t="str">
        <f>IFERROR(AVERAGEIFS('[1]Grade Project'!$O:$O,'[1]Grade Project'!$K:$K,H20,'[1]Grade Project'!$F:$F,$A$5,'[1]Grade Project'!$G:$G,$A$8),"")</f>
        <v/>
      </c>
      <c r="L20" t="str">
        <f t="shared" si="1"/>
        <v/>
      </c>
      <c r="M20" t="str">
        <f t="shared" si="2"/>
        <v/>
      </c>
      <c r="N20" t="str">
        <f t="shared" si="3"/>
        <v/>
      </c>
    </row>
    <row r="21" spans="1:14" x14ac:dyDescent="0.25">
      <c r="A21" t="s">
        <v>114</v>
      </c>
      <c r="B21" t="s">
        <v>20</v>
      </c>
      <c r="C21" t="e">
        <f>IF(C20="","",IF(C20=INDEX('[1]Grade Project'!$F:$F,MATCH($A$3,'[1]Grade Project'!$E:$E,0)+SUM($D$3:D20)),"",INDEX('[1]Grade Project'!$F:$F,MATCH($A$3,'[1]Grade Project'!$E:$E,0)+SUM($D$3:D20))))</f>
        <v>#N/A</v>
      </c>
      <c r="D21">
        <f>COUNTIFS('[1]Grade Project'!$E:$E,$A$3,'[1]Grade Project'!$F:$F,C21)</f>
        <v>0</v>
      </c>
      <c r="E21" t="str">
        <f t="shared" si="0"/>
        <v/>
      </c>
      <c r="F21" t="str">
        <f>IF(G20=0,"",INDEX('[1]Grade Project'!$G:$G,MATCH($A$5,'[1]Grade Project'!$F:$F,0)+SUM($G$3:G20)))</f>
        <v/>
      </c>
      <c r="G21">
        <f>COUNTIFS('[1]Grade Project'!$F:$F,$A$5,'[1]Grade Project'!$G:$G,F21)</f>
        <v>0</v>
      </c>
      <c r="H21" t="str">
        <f>IF(I20=0,"",INDEX('[1]Grade Project'!$K:$K,MATCH(CONCATENATE($A$5,$A$8),'[1]Grade Project'!$H:$H,0)+SUM($I$3:I20)))</f>
        <v/>
      </c>
      <c r="I21">
        <f>COUNTIFS('[1]Grade Project'!$G:$G,$A$8,'[1]Grade Project'!$K:$K,H21,'[1]Grade Project'!$F:$F,$A$5)</f>
        <v>0</v>
      </c>
      <c r="J21" t="str">
        <f>IFERROR(AVERAGEIFS('[1]Grade Project'!$N:$N,'[1]Grade Project'!$K:$K,H21,'[1]Grade Project'!$F:$F,$A$5,'[1]Grade Project'!$G:$G,$A$8),"")</f>
        <v/>
      </c>
      <c r="K21" t="str">
        <f>IFERROR(AVERAGEIFS('[1]Grade Project'!$O:$O,'[1]Grade Project'!$K:$K,H21,'[1]Grade Project'!$F:$F,$A$5,'[1]Grade Project'!$G:$G,$A$8),"")</f>
        <v/>
      </c>
      <c r="L21" t="str">
        <f t="shared" si="1"/>
        <v/>
      </c>
      <c r="M21" t="str">
        <f t="shared" si="2"/>
        <v/>
      </c>
      <c r="N21" t="str">
        <f t="shared" si="3"/>
        <v/>
      </c>
    </row>
    <row r="22" spans="1:14" x14ac:dyDescent="0.25">
      <c r="A22" t="e">
        <f>INDEX(Eight!H:H,MATCH(MIN(Eight!N:N),Eight!N:N,0))</f>
        <v>#N/A</v>
      </c>
      <c r="B22" t="s">
        <v>21</v>
      </c>
      <c r="C22" t="e">
        <f>IF(C21="","",IF(C21=INDEX('[1]Grade Project'!$F:$F,MATCH($A$3,'[1]Grade Project'!$E:$E,0)+SUM($D$3:D21)),"",INDEX('[1]Grade Project'!$F:$F,MATCH($A$3,'[1]Grade Project'!$E:$E,0)+SUM($D$3:D21))))</f>
        <v>#N/A</v>
      </c>
      <c r="D22">
        <f>COUNTIFS('[1]Grade Project'!$E:$E,$A$3,'[1]Grade Project'!$F:$F,C22)</f>
        <v>0</v>
      </c>
      <c r="E22" t="str">
        <f t="shared" si="0"/>
        <v/>
      </c>
      <c r="F22" t="str">
        <f>IF(G21=0,"",INDEX('[1]Grade Project'!$G:$G,MATCH($A$5,'[1]Grade Project'!$F:$F,0)+SUM($G$3:G21)))</f>
        <v/>
      </c>
      <c r="G22">
        <f>COUNTIFS('[1]Grade Project'!$F:$F,$A$5,'[1]Grade Project'!$G:$G,F22)</f>
        <v>0</v>
      </c>
      <c r="H22" t="str">
        <f>IF(I21=0,"",INDEX('[1]Grade Project'!$K:$K,MATCH(CONCATENATE($A$5,$A$8),'[1]Grade Project'!$H:$H,0)+SUM($I$3:I21)))</f>
        <v/>
      </c>
      <c r="I22">
        <f>COUNTIFS('[1]Grade Project'!$G:$G,$A$8,'[1]Grade Project'!$K:$K,H22,'[1]Grade Project'!$F:$F,$A$5)</f>
        <v>0</v>
      </c>
      <c r="J22" t="str">
        <f>IFERROR(AVERAGEIFS('[1]Grade Project'!$N:$N,'[1]Grade Project'!$K:$K,H22,'[1]Grade Project'!$F:$F,$A$5,'[1]Grade Project'!$G:$G,$A$8),"")</f>
        <v/>
      </c>
      <c r="K22" t="str">
        <f>IFERROR(AVERAGEIFS('[1]Grade Project'!$O:$O,'[1]Grade Project'!$K:$K,H22,'[1]Grade Project'!$F:$F,$A$5,'[1]Grade Project'!$G:$G,$A$8),"")</f>
        <v/>
      </c>
      <c r="L22" t="str">
        <f t="shared" si="1"/>
        <v/>
      </c>
      <c r="M22" t="str">
        <f t="shared" si="2"/>
        <v/>
      </c>
      <c r="N22" t="str">
        <f t="shared" si="3"/>
        <v/>
      </c>
    </row>
    <row r="23" spans="1:14" x14ac:dyDescent="0.25">
      <c r="A23" t="s">
        <v>110</v>
      </c>
      <c r="B23" t="s">
        <v>22</v>
      </c>
      <c r="C23" t="e">
        <f>IF(C22="","",IF(C22=INDEX('[1]Grade Project'!$F:$F,MATCH($A$3,'[1]Grade Project'!$E:$E,0)+SUM($D$3:D22)),"",INDEX('[1]Grade Project'!$F:$F,MATCH($A$3,'[1]Grade Project'!$E:$E,0)+SUM($D$3:D22))))</f>
        <v>#N/A</v>
      </c>
      <c r="D23">
        <f>COUNTIFS('[1]Grade Project'!$E:$E,$A$3,'[1]Grade Project'!$F:$F,C23)</f>
        <v>0</v>
      </c>
      <c r="E23" t="str">
        <f t="shared" si="0"/>
        <v/>
      </c>
      <c r="F23" t="str">
        <f>IF(G22=0,"",INDEX('[1]Grade Project'!$G:$G,MATCH($A$5,'[1]Grade Project'!$F:$F,0)+SUM($G$3:G22)))</f>
        <v/>
      </c>
      <c r="G23">
        <f>COUNTIFS('[1]Grade Project'!$F:$F,$A$5,'[1]Grade Project'!$G:$G,F23)</f>
        <v>0</v>
      </c>
      <c r="H23" t="str">
        <f>IF(I22=0,"",INDEX('[1]Grade Project'!$K:$K,MATCH(CONCATENATE($A$5,$A$8),'[1]Grade Project'!$H:$H,0)+SUM($I$3:I22)))</f>
        <v/>
      </c>
      <c r="I23">
        <f>COUNTIFS('[1]Grade Project'!$G:$G,$A$8,'[1]Grade Project'!$K:$K,H23,'[1]Grade Project'!$F:$F,$A$5)</f>
        <v>0</v>
      </c>
      <c r="J23" t="str">
        <f>IFERROR(AVERAGEIFS('[1]Grade Project'!$N:$N,'[1]Grade Project'!$K:$K,H23,'[1]Grade Project'!$F:$F,$A$5,'[1]Grade Project'!$G:$G,$A$8),"")</f>
        <v/>
      </c>
      <c r="K23" t="str">
        <f>IFERROR(AVERAGEIFS('[1]Grade Project'!$O:$O,'[1]Grade Project'!$K:$K,H23,'[1]Grade Project'!$F:$F,$A$5,'[1]Grade Project'!$G:$G,$A$8),"")</f>
        <v/>
      </c>
      <c r="L23" t="str">
        <f t="shared" si="1"/>
        <v/>
      </c>
      <c r="M23" t="str">
        <f t="shared" si="2"/>
        <v/>
      </c>
      <c r="N23" t="str">
        <f t="shared" si="3"/>
        <v/>
      </c>
    </row>
    <row r="24" spans="1:14" x14ac:dyDescent="0.25">
      <c r="A24" t="e">
        <f>INDEX(Eight!J:J,MATCH(MIN(Eight!N:N),Eight!N:N,0))</f>
        <v>#N/A</v>
      </c>
      <c r="B24" t="s">
        <v>23</v>
      </c>
      <c r="C24" t="e">
        <f>IF(C23="","",IF(C23=INDEX('[1]Grade Project'!$F:$F,MATCH($A$3,'[1]Grade Project'!$E:$E,0)+SUM($D$3:D23)),"",INDEX('[1]Grade Project'!$F:$F,MATCH($A$3,'[1]Grade Project'!$E:$E,0)+SUM($D$3:D23))))</f>
        <v>#N/A</v>
      </c>
      <c r="E24" t="str">
        <f t="shared" si="0"/>
        <v/>
      </c>
      <c r="F24" t="str">
        <f>IF(G23=0,"",INDEX('[1]Grade Project'!$G:$G,MATCH($A$5,'[1]Grade Project'!$F:$F,0)+SUM($G$3:G23)))</f>
        <v/>
      </c>
      <c r="G24">
        <f>COUNTIFS('[1]Grade Project'!$F:$F,$A$5,'[1]Grade Project'!$G:$G,F24)</f>
        <v>0</v>
      </c>
      <c r="H24" t="str">
        <f>IF(I23=0,"",INDEX('[1]Grade Project'!$K:$K,MATCH(CONCATENATE($A$5,$A$8),'[1]Grade Project'!$H:$H,0)+SUM($I$3:I23)))</f>
        <v/>
      </c>
      <c r="I24">
        <f>COUNTIFS('[1]Grade Project'!$G:$G,$A$8,'[1]Grade Project'!$K:$K,H24,'[1]Grade Project'!$F:$F,$A$5)</f>
        <v>0</v>
      </c>
      <c r="J24" t="str">
        <f>IFERROR(AVERAGEIFS('[1]Grade Project'!$N:$N,'[1]Grade Project'!$K:$K,H24,'[1]Grade Project'!$F:$F,$A$5,'[1]Grade Project'!$G:$G,$A$8),"")</f>
        <v/>
      </c>
      <c r="K24" t="str">
        <f>IFERROR(AVERAGEIFS('[1]Grade Project'!$O:$O,'[1]Grade Project'!$K:$K,H24,'[1]Grade Project'!$F:$F,$A$5,'[1]Grade Project'!$G:$G,$A$8),"")</f>
        <v/>
      </c>
      <c r="L24" t="str">
        <f t="shared" si="1"/>
        <v/>
      </c>
      <c r="M24" t="str">
        <f t="shared" si="2"/>
        <v/>
      </c>
      <c r="N24" t="str">
        <f t="shared" si="3"/>
        <v/>
      </c>
    </row>
    <row r="25" spans="1:14" x14ac:dyDescent="0.25">
      <c r="A25" t="s">
        <v>117</v>
      </c>
      <c r="B25" t="s">
        <v>24</v>
      </c>
      <c r="C25" t="e">
        <f>IF(C24="","",IF(C24=INDEX('[1]Grade Project'!$F:$F,MATCH($A$3,'[1]Grade Project'!$E:$E,0)+SUM($D$3:D24)),"",INDEX('[1]Grade Project'!$F:$F,MATCH($A$3,'[1]Grade Project'!$E:$E,0)+SUM($D$3:D24))))</f>
        <v>#N/A</v>
      </c>
      <c r="E25" t="str">
        <f t="shared" si="0"/>
        <v/>
      </c>
      <c r="F25" t="str">
        <f>IF(G24=0,"",INDEX('[1]Grade Project'!$G:$G,MATCH($A$5,'[1]Grade Project'!$F:$F,0)+SUM($G$3:G24)))</f>
        <v/>
      </c>
      <c r="G25">
        <f>COUNTIFS('[1]Grade Project'!$F:$F,$A$5,'[1]Grade Project'!$G:$G,F25)</f>
        <v>0</v>
      </c>
      <c r="H25" t="str">
        <f>IF(I24=0,"",INDEX('[1]Grade Project'!$K:$K,MATCH(CONCATENATE($A$5,$A$8),'[1]Grade Project'!$H:$H,0)+SUM($I$3:I24)))</f>
        <v/>
      </c>
      <c r="I25">
        <f>COUNTIFS('[1]Grade Project'!$G:$G,$A$8,'[1]Grade Project'!$K:$K,H25,'[1]Grade Project'!$F:$F,$A$5)</f>
        <v>0</v>
      </c>
      <c r="J25" t="str">
        <f>IFERROR(AVERAGEIFS('[1]Grade Project'!$N:$N,'[1]Grade Project'!$K:$K,H25,'[1]Grade Project'!$F:$F,$A$5,'[1]Grade Project'!$G:$G,$A$8),"")</f>
        <v/>
      </c>
      <c r="K25" t="str">
        <f>IFERROR(AVERAGEIFS('[1]Grade Project'!$O:$O,'[1]Grade Project'!$K:$K,H25,'[1]Grade Project'!$F:$F,$A$5,'[1]Grade Project'!$G:$G,$A$8),"")</f>
        <v/>
      </c>
      <c r="L25" t="str">
        <f t="shared" si="1"/>
        <v/>
      </c>
      <c r="M25" t="str">
        <f t="shared" si="2"/>
        <v/>
      </c>
      <c r="N25" t="str">
        <f t="shared" si="3"/>
        <v/>
      </c>
    </row>
    <row r="26" spans="1:14" x14ac:dyDescent="0.25">
      <c r="A26" t="e">
        <f>A12/#REF!</f>
        <v>#DIV/0!</v>
      </c>
      <c r="B26" t="s">
        <v>25</v>
      </c>
      <c r="C26" t="e">
        <f>IF(C25="","",IF(C25=INDEX('[1]Grade Project'!$F:$F,MATCH($A$3,'[1]Grade Project'!$E:$E,0)+SUM($D$3:D25)),"",INDEX('[1]Grade Project'!$F:$F,MATCH($A$3,'[1]Grade Project'!$E:$E,0)+SUM($D$3:D25))))</f>
        <v>#N/A</v>
      </c>
      <c r="E26" t="str">
        <f t="shared" si="0"/>
        <v/>
      </c>
      <c r="F26" t="str">
        <f>IF(G25=0,"",INDEX('[1]Grade Project'!$G:$G,MATCH($A$5,'[1]Grade Project'!$F:$F,0)+SUM($G$3:G25)))</f>
        <v/>
      </c>
      <c r="G26">
        <f>COUNTIFS('[1]Grade Project'!$F:$F,$A$5,'[1]Grade Project'!$G:$G,F26)</f>
        <v>0</v>
      </c>
      <c r="H26" t="str">
        <f>IF(I25=0,"",INDEX('[1]Grade Project'!$K:$K,MATCH(CONCATENATE($A$5,$A$8),'[1]Grade Project'!$H:$H,0)+SUM($I$3:I25)))</f>
        <v/>
      </c>
      <c r="I26">
        <f>COUNTIFS('[1]Grade Project'!$G:$G,$A$8,'[1]Grade Project'!$K:$K,H26,'[1]Grade Project'!$F:$F,$A$5)</f>
        <v>0</v>
      </c>
      <c r="J26" t="str">
        <f>IFERROR(AVERAGEIFS('[1]Grade Project'!$N:$N,'[1]Grade Project'!$K:$K,H26,'[1]Grade Project'!$F:$F,$A$5,'[1]Grade Project'!$G:$G,$A$8),"")</f>
        <v/>
      </c>
      <c r="K26" t="str">
        <f>IFERROR(AVERAGEIFS('[1]Grade Project'!$O:$O,'[1]Grade Project'!$K:$K,H26,'[1]Grade Project'!$F:$F,$A$5,'[1]Grade Project'!$G:$G,$A$8),"")</f>
        <v/>
      </c>
      <c r="L26" t="str">
        <f t="shared" si="1"/>
        <v/>
      </c>
      <c r="M26" t="str">
        <f t="shared" si="2"/>
        <v/>
      </c>
      <c r="N26" t="str">
        <f t="shared" si="3"/>
        <v/>
      </c>
    </row>
    <row r="27" spans="1:14" x14ac:dyDescent="0.25">
      <c r="B27" t="s">
        <v>26</v>
      </c>
      <c r="C27" t="e">
        <f>IF(C26="","",IF(C26=INDEX('[1]Grade Project'!$F:$F,MATCH($A$3,'[1]Grade Project'!$E:$E,0)+SUM($D$3:D26)),"",INDEX('[1]Grade Project'!$F:$F,MATCH($A$3,'[1]Grade Project'!$E:$E,0)+SUM($D$3:D26))))</f>
        <v>#N/A</v>
      </c>
      <c r="E27" t="str">
        <f t="shared" si="0"/>
        <v/>
      </c>
      <c r="F27" t="str">
        <f>IF(G26=0,"",INDEX('[1]Grade Project'!$G:$G,MATCH($A$5,'[1]Grade Project'!$F:$F,0)+SUM($G$3:G26)))</f>
        <v/>
      </c>
      <c r="G27">
        <f>COUNTIFS('[1]Grade Project'!$F:$F,$A$5,'[1]Grade Project'!$G:$G,F27)</f>
        <v>0</v>
      </c>
      <c r="H27" t="str">
        <f>IF(I26=0,"",INDEX('[1]Grade Project'!$K:$K,MATCH(CONCATENATE($A$5,$A$8),'[1]Grade Project'!$H:$H,0)+SUM($I$3:I26)))</f>
        <v/>
      </c>
      <c r="I27">
        <f>COUNTIFS('[1]Grade Project'!$G:$G,$A$8,'[1]Grade Project'!$K:$K,H27,'[1]Grade Project'!$F:$F,$A$5)</f>
        <v>0</v>
      </c>
      <c r="J27" t="str">
        <f>IFERROR(AVERAGEIFS('[1]Grade Project'!$N:$N,'[1]Grade Project'!$K:$K,H27,'[1]Grade Project'!$F:$F,$A$5,'[1]Grade Project'!$G:$G,$A$8),"")</f>
        <v/>
      </c>
      <c r="K27" t="str">
        <f>IFERROR(AVERAGEIFS('[1]Grade Project'!$O:$O,'[1]Grade Project'!$K:$K,H27,'[1]Grade Project'!$F:$F,$A$5,'[1]Grade Project'!$G:$G,$A$8),"")</f>
        <v/>
      </c>
      <c r="L27" t="str">
        <f t="shared" si="1"/>
        <v/>
      </c>
      <c r="M27" t="str">
        <f t="shared" si="2"/>
        <v/>
      </c>
      <c r="N27" t="str">
        <f t="shared" si="3"/>
        <v/>
      </c>
    </row>
    <row r="28" spans="1:14" x14ac:dyDescent="0.25">
      <c r="B28" t="s">
        <v>27</v>
      </c>
      <c r="C28" t="e">
        <f>IF(C27="","",IF(C27=INDEX('[1]Grade Project'!$F:$F,MATCH($A$3,'[1]Grade Project'!$E:$E,0)+SUM($D$3:D27)),"",INDEX('[1]Grade Project'!$F:$F,MATCH($A$3,'[1]Grade Project'!$E:$E,0)+SUM($D$3:D27))))</f>
        <v>#N/A</v>
      </c>
      <c r="E28" t="str">
        <f t="shared" si="0"/>
        <v/>
      </c>
      <c r="F28" t="str">
        <f>IF(G27=0,"",INDEX('[1]Grade Project'!$G:$G,MATCH($A$5,'[1]Grade Project'!$F:$F,0)+SUM($G$3:G27)))</f>
        <v/>
      </c>
      <c r="G28">
        <f>COUNTIFS('[1]Grade Project'!$F:$F,$A$5,'[1]Grade Project'!$G:$G,F28)</f>
        <v>0</v>
      </c>
      <c r="H28" t="str">
        <f>IF(I27=0,"",INDEX('[1]Grade Project'!$K:$K,MATCH(CONCATENATE($A$5,$A$8),'[1]Grade Project'!$H:$H,0)+SUM($I$3:I27)))</f>
        <v/>
      </c>
      <c r="I28">
        <f>COUNTIFS('[1]Grade Project'!$G:$G,$A$8,'[1]Grade Project'!$K:$K,H28,'[1]Grade Project'!$F:$F,$A$5)</f>
        <v>0</v>
      </c>
      <c r="J28" t="str">
        <f>IFERROR(AVERAGEIFS('[1]Grade Project'!$N:$N,'[1]Grade Project'!$K:$K,H28,'[1]Grade Project'!$F:$F,$A$5,'[1]Grade Project'!$G:$G,$A$8),"")</f>
        <v/>
      </c>
      <c r="K28" t="str">
        <f>IFERROR(AVERAGEIFS('[1]Grade Project'!$O:$O,'[1]Grade Project'!$K:$K,H28,'[1]Grade Project'!$F:$F,$A$5,'[1]Grade Project'!$G:$G,$A$8),"")</f>
        <v/>
      </c>
      <c r="L28" t="str">
        <f t="shared" si="1"/>
        <v/>
      </c>
      <c r="M28" t="str">
        <f t="shared" si="2"/>
        <v/>
      </c>
      <c r="N28" t="str">
        <f t="shared" si="3"/>
        <v/>
      </c>
    </row>
    <row r="29" spans="1:14" x14ac:dyDescent="0.25">
      <c r="B29" t="s">
        <v>28</v>
      </c>
      <c r="C29" t="e">
        <f>IF(C28="","",IF(C28=INDEX('[1]Grade Project'!$F:$F,MATCH($A$3,'[1]Grade Project'!$E:$E,0)+SUM($D$3:D28)),"",INDEX('[1]Grade Project'!$F:$F,MATCH($A$3,'[1]Grade Project'!$E:$E,0)+SUM($D$3:D28))))</f>
        <v>#N/A</v>
      </c>
      <c r="E29" t="str">
        <f t="shared" si="0"/>
        <v/>
      </c>
      <c r="F29" t="str">
        <f>IF(G28=0,"",INDEX('[1]Grade Project'!$G:$G,MATCH($A$5,'[1]Grade Project'!$F:$F,0)+SUM($G$3:G28)))</f>
        <v/>
      </c>
      <c r="G29">
        <f>COUNTIFS('[1]Grade Project'!$F:$F,$A$5,'[1]Grade Project'!$G:$G,F29)</f>
        <v>0</v>
      </c>
      <c r="H29" t="str">
        <f>IF(I28=0,"",INDEX('[1]Grade Project'!$K:$K,MATCH(CONCATENATE($A$5,$A$8),'[1]Grade Project'!$H:$H,0)+SUM($I$3:I28)))</f>
        <v/>
      </c>
      <c r="I29">
        <f>COUNTIFS('[1]Grade Project'!$G:$G,$A$8,'[1]Grade Project'!$K:$K,H29,'[1]Grade Project'!$F:$F,$A$5)</f>
        <v>0</v>
      </c>
      <c r="J29" t="str">
        <f>IFERROR(AVERAGEIFS('[1]Grade Project'!$N:$N,'[1]Grade Project'!$K:$K,H29,'[1]Grade Project'!$F:$F,$A$5,'[1]Grade Project'!$G:$G,$A$8),"")</f>
        <v/>
      </c>
      <c r="K29" t="str">
        <f>IFERROR(AVERAGEIFS('[1]Grade Project'!$O:$O,'[1]Grade Project'!$K:$K,H29,'[1]Grade Project'!$F:$F,$A$5,'[1]Grade Project'!$G:$G,$A$8),"")</f>
        <v/>
      </c>
      <c r="L29" t="str">
        <f t="shared" si="1"/>
        <v/>
      </c>
      <c r="M29" t="str">
        <f t="shared" si="2"/>
        <v/>
      </c>
      <c r="N29" t="str">
        <f t="shared" si="3"/>
        <v/>
      </c>
    </row>
    <row r="30" spans="1:14" x14ac:dyDescent="0.25">
      <c r="B30" t="s">
        <v>29</v>
      </c>
      <c r="C30" t="e">
        <f>IF(C29="","",IF(C29=INDEX('[1]Grade Project'!$F:$F,MATCH($A$3,'[1]Grade Project'!$E:$E,0)+SUM($D$3:D29)),"",INDEX('[1]Grade Project'!$F:$F,MATCH($A$3,'[1]Grade Project'!$E:$E,0)+SUM($D$3:D29))))</f>
        <v>#N/A</v>
      </c>
      <c r="E30" t="str">
        <f t="shared" si="0"/>
        <v/>
      </c>
      <c r="F30" t="str">
        <f>IF(G29=0,"",INDEX('[1]Grade Project'!$G:$G,MATCH($A$5,'[1]Grade Project'!$F:$F,0)+SUM($G$3:G29)))</f>
        <v/>
      </c>
      <c r="G30">
        <f>COUNTIFS('[1]Grade Project'!$F:$F,$A$5,'[1]Grade Project'!$G:$G,F30)</f>
        <v>0</v>
      </c>
      <c r="H30" t="str">
        <f>IF(I29=0,"",INDEX('[1]Grade Project'!$K:$K,MATCH(CONCATENATE($A$5,$A$8),'[1]Grade Project'!$H:$H,0)+SUM($I$3:I29)))</f>
        <v/>
      </c>
      <c r="I30">
        <f>COUNTIFS('[1]Grade Project'!$G:$G,$A$8,'[1]Grade Project'!$K:$K,H30,'[1]Grade Project'!$F:$F,$A$5)</f>
        <v>0</v>
      </c>
      <c r="J30" t="str">
        <f>IFERROR(AVERAGEIFS('[1]Grade Project'!$N:$N,'[1]Grade Project'!$K:$K,H30,'[1]Grade Project'!$F:$F,$A$5,'[1]Grade Project'!$G:$G,$A$8),"")</f>
        <v/>
      </c>
      <c r="K30" t="str">
        <f>IFERROR(AVERAGEIFS('[1]Grade Project'!$O:$O,'[1]Grade Project'!$K:$K,H30,'[1]Grade Project'!$F:$F,$A$5,'[1]Grade Project'!$G:$G,$A$8),"")</f>
        <v/>
      </c>
      <c r="L30" t="str">
        <f t="shared" si="1"/>
        <v/>
      </c>
      <c r="M30" t="str">
        <f t="shared" si="2"/>
        <v/>
      </c>
      <c r="N30" t="str">
        <f t="shared" si="3"/>
        <v/>
      </c>
    </row>
    <row r="31" spans="1:14" x14ac:dyDescent="0.25">
      <c r="B31" t="s">
        <v>30</v>
      </c>
      <c r="C31" t="e">
        <f>IF(C30="","",IF(C30=INDEX('[1]Grade Project'!$F:$F,MATCH($A$3,'[1]Grade Project'!$E:$E,0)+SUM($D$3:D30)),"",INDEX('[1]Grade Project'!$F:$F,MATCH($A$3,'[1]Grade Project'!$E:$E,0)+SUM($D$3:D30))))</f>
        <v>#N/A</v>
      </c>
      <c r="E31" t="str">
        <f t="shared" si="0"/>
        <v/>
      </c>
      <c r="F31" t="str">
        <f>IF(G30=0,"",INDEX('[1]Grade Project'!$G:$G,MATCH($A$5,'[1]Grade Project'!$F:$F,0)+SUM($G$3:G30)))</f>
        <v/>
      </c>
      <c r="G31">
        <f>COUNTIFS('[1]Grade Project'!$F:$F,$A$5,'[1]Grade Project'!$G:$G,F31)</f>
        <v>0</v>
      </c>
      <c r="H31" t="str">
        <f>IF(I30=0,"",INDEX('[1]Grade Project'!$K:$K,MATCH(CONCATENATE($A$5,$A$8),'[1]Grade Project'!$H:$H,0)+SUM($I$3:I30)))</f>
        <v/>
      </c>
      <c r="I31">
        <f>COUNTIFS('[1]Grade Project'!$G:$G,$A$8,'[1]Grade Project'!$K:$K,H31,'[1]Grade Project'!$F:$F,$A$5)</f>
        <v>0</v>
      </c>
      <c r="J31" t="str">
        <f>IFERROR(AVERAGEIFS('[1]Grade Project'!$N:$N,'[1]Grade Project'!$K:$K,H31,'[1]Grade Project'!$F:$F,$A$5,'[1]Grade Project'!$G:$G,$A$8),"")</f>
        <v/>
      </c>
      <c r="K31" t="str">
        <f>IFERROR(AVERAGEIFS('[1]Grade Project'!$O:$O,'[1]Grade Project'!$K:$K,H31,'[1]Grade Project'!$F:$F,$A$5,'[1]Grade Project'!$G:$G,$A$8),"")</f>
        <v/>
      </c>
      <c r="L31" t="str">
        <f t="shared" si="1"/>
        <v/>
      </c>
      <c r="M31" t="str">
        <f t="shared" si="2"/>
        <v/>
      </c>
      <c r="N31" t="str">
        <f t="shared" si="3"/>
        <v/>
      </c>
    </row>
    <row r="32" spans="1:14" x14ac:dyDescent="0.25">
      <c r="B32" t="s">
        <v>31</v>
      </c>
      <c r="C32" t="e">
        <f>IF(C31="","",IF(C31=INDEX('[1]Grade Project'!$F:$F,MATCH($A$3,'[1]Grade Project'!$E:$E,0)+SUM($D$3:D31)),"",INDEX('[1]Grade Project'!$F:$F,MATCH($A$3,'[1]Grade Project'!$E:$E,0)+SUM($D$3:D31))))</f>
        <v>#N/A</v>
      </c>
      <c r="E32" t="str">
        <f t="shared" si="0"/>
        <v/>
      </c>
      <c r="F32" t="str">
        <f>IF(G31=0,"",INDEX('[1]Grade Project'!$G:$G,MATCH($A$5,'[1]Grade Project'!$F:$F,0)+SUM($G$3:G31)))</f>
        <v/>
      </c>
      <c r="G32">
        <f>COUNTIFS('[1]Grade Project'!$F:$F,$A$5,'[1]Grade Project'!$G:$G,F32)</f>
        <v>0</v>
      </c>
      <c r="H32" t="str">
        <f>IF(I31=0,"",INDEX('[1]Grade Project'!$K:$K,MATCH(CONCATENATE($A$5,$A$8),'[1]Grade Project'!$H:$H,0)+SUM($I$3:I31)))</f>
        <v/>
      </c>
      <c r="I32">
        <f>COUNTIFS('[1]Grade Project'!$G:$G,$A$8,'[1]Grade Project'!$K:$K,H32,'[1]Grade Project'!$F:$F,$A$5)</f>
        <v>0</v>
      </c>
      <c r="J32" t="str">
        <f>IFERROR(AVERAGEIFS('[1]Grade Project'!$N:$N,'[1]Grade Project'!$K:$K,H32,'[1]Grade Project'!$F:$F,$A$5,'[1]Grade Project'!$G:$G,$A$8),"")</f>
        <v/>
      </c>
      <c r="K32" t="str">
        <f>IFERROR(AVERAGEIFS('[1]Grade Project'!$O:$O,'[1]Grade Project'!$K:$K,H32,'[1]Grade Project'!$F:$F,$A$5,'[1]Grade Project'!$G:$G,$A$8),"")</f>
        <v/>
      </c>
      <c r="L32" t="str">
        <f t="shared" si="1"/>
        <v/>
      </c>
      <c r="M32" t="str">
        <f t="shared" si="2"/>
        <v/>
      </c>
      <c r="N32" t="str">
        <f t="shared" si="3"/>
        <v/>
      </c>
    </row>
    <row r="33" spans="2:14" x14ac:dyDescent="0.25">
      <c r="B33" t="s">
        <v>32</v>
      </c>
      <c r="C33" t="e">
        <f>IF(C32="","",IF(C32=INDEX('[1]Grade Project'!$F:$F,MATCH($A$3,'[1]Grade Project'!$E:$E,0)+SUM($D$3:D32)),"",INDEX('[1]Grade Project'!$F:$F,MATCH($A$3,'[1]Grade Project'!$E:$E,0)+SUM($D$3:D32))))</f>
        <v>#N/A</v>
      </c>
      <c r="E33" t="str">
        <f t="shared" si="0"/>
        <v/>
      </c>
      <c r="F33" t="str">
        <f>IF(G32=0,"",INDEX('[1]Grade Project'!$G:$G,MATCH($A$5,'[1]Grade Project'!$F:$F,0)+SUM($G$3:G32)))</f>
        <v/>
      </c>
      <c r="G33">
        <f>COUNTIFS('[1]Grade Project'!$F:$F,$A$5,'[1]Grade Project'!$G:$G,F33)</f>
        <v>0</v>
      </c>
      <c r="H33" t="str">
        <f>IF(I32=0,"",INDEX('[1]Grade Project'!$K:$K,MATCH(CONCATENATE($A$5,$A$8),'[1]Grade Project'!$H:$H,0)+SUM($I$3:I32)))</f>
        <v/>
      </c>
      <c r="I33">
        <f>COUNTIFS('[1]Grade Project'!$G:$G,$A$8,'[1]Grade Project'!$K:$K,H33,'[1]Grade Project'!$F:$F,$A$5)</f>
        <v>0</v>
      </c>
      <c r="J33" t="str">
        <f>IFERROR(AVERAGEIFS('[1]Grade Project'!$N:$N,'[1]Grade Project'!$K:$K,H33,'[1]Grade Project'!$F:$F,$A$5,'[1]Grade Project'!$G:$G,$A$8),"")</f>
        <v/>
      </c>
      <c r="K33" t="str">
        <f>IFERROR(AVERAGEIFS('[1]Grade Project'!$O:$O,'[1]Grade Project'!$K:$K,H33,'[1]Grade Project'!$F:$F,$A$5,'[1]Grade Project'!$G:$G,$A$8),"")</f>
        <v/>
      </c>
      <c r="L33" t="str">
        <f t="shared" si="1"/>
        <v/>
      </c>
      <c r="M33" t="str">
        <f t="shared" si="2"/>
        <v/>
      </c>
      <c r="N33" t="str">
        <f t="shared" si="3"/>
        <v/>
      </c>
    </row>
    <row r="34" spans="2:14" x14ac:dyDescent="0.25">
      <c r="B34" t="s">
        <v>33</v>
      </c>
      <c r="C34" t="e">
        <f>IF(C33="","",IF(C33=INDEX('[1]Grade Project'!$F:$F,MATCH($A$3,'[1]Grade Project'!$E:$E,0)+SUM($D$3:D33)),"",INDEX('[1]Grade Project'!$F:$F,MATCH($A$3,'[1]Grade Project'!$E:$E,0)+SUM($D$3:D33))))</f>
        <v>#N/A</v>
      </c>
      <c r="E34" t="str">
        <f t="shared" si="0"/>
        <v/>
      </c>
      <c r="F34" t="str">
        <f>IF(G33=0,"",INDEX('[1]Grade Project'!$G:$G,MATCH($A$5,'[1]Grade Project'!$F:$F,0)+SUM($G$3:G33)))</f>
        <v/>
      </c>
      <c r="G34">
        <f>COUNTIFS('[1]Grade Project'!$F:$F,$A$5,'[1]Grade Project'!$G:$G,F34)</f>
        <v>0</v>
      </c>
      <c r="H34" t="str">
        <f>IF(I33=0,"",INDEX('[1]Grade Project'!$K:$K,MATCH(CONCATENATE($A$5,$A$8),'[1]Grade Project'!$H:$H,0)+SUM($I$3:I33)))</f>
        <v/>
      </c>
      <c r="I34">
        <f>COUNTIFS('[1]Grade Project'!$G:$G,$A$8,'[1]Grade Project'!$K:$K,H34,'[1]Grade Project'!$F:$F,$A$5)</f>
        <v>0</v>
      </c>
      <c r="J34" t="str">
        <f>IFERROR(AVERAGEIFS('[1]Grade Project'!$N:$N,'[1]Grade Project'!$K:$K,H34,'[1]Grade Project'!$F:$F,$A$5,'[1]Grade Project'!$G:$G,$A$8),"")</f>
        <v/>
      </c>
      <c r="K34" t="str">
        <f>IFERROR(AVERAGEIFS('[1]Grade Project'!$O:$O,'[1]Grade Project'!$K:$K,H34,'[1]Grade Project'!$F:$F,$A$5,'[1]Grade Project'!$G:$G,$A$8),"")</f>
        <v/>
      </c>
      <c r="L34" t="str">
        <f t="shared" si="1"/>
        <v/>
      </c>
      <c r="M34" t="str">
        <f t="shared" si="2"/>
        <v/>
      </c>
      <c r="N34" t="str">
        <f t="shared" si="3"/>
        <v/>
      </c>
    </row>
    <row r="35" spans="2:14" x14ac:dyDescent="0.25">
      <c r="B35" t="s">
        <v>34</v>
      </c>
      <c r="C35" t="e">
        <f>IF(C34="","",IF(C34=INDEX('[1]Grade Project'!$F:$F,MATCH($A$3,'[1]Grade Project'!$E:$E,0)+SUM($D$3:D34)),"",INDEX('[1]Grade Project'!$F:$F,MATCH($A$3,'[1]Grade Project'!$E:$E,0)+SUM($D$3:D34))))</f>
        <v>#N/A</v>
      </c>
      <c r="E35" t="str">
        <f t="shared" si="0"/>
        <v/>
      </c>
      <c r="F35" t="str">
        <f>IF(G34=0,"",INDEX('[1]Grade Project'!$G:$G,MATCH($A$5,'[1]Grade Project'!$F:$F,0)+SUM($G$3:G34)))</f>
        <v/>
      </c>
      <c r="G35">
        <f>COUNTIFS('[1]Grade Project'!$F:$F,$A$5,'[1]Grade Project'!$G:$G,F35)</f>
        <v>0</v>
      </c>
      <c r="H35" t="str">
        <f>IF(I34=0,"",INDEX('[1]Grade Project'!$K:$K,MATCH(CONCATENATE($A$5,$A$8),'[1]Grade Project'!$H:$H,0)+SUM($I$3:I34)))</f>
        <v/>
      </c>
      <c r="I35">
        <f>COUNTIFS('[1]Grade Project'!$G:$G,$A$8,'[1]Grade Project'!$K:$K,H35,'[1]Grade Project'!$F:$F,$A$5)</f>
        <v>0</v>
      </c>
      <c r="J35" t="str">
        <f>IFERROR(AVERAGEIFS('[1]Grade Project'!$N:$N,'[1]Grade Project'!$K:$K,H35,'[1]Grade Project'!$F:$F,$A$5,'[1]Grade Project'!$G:$G,$A$8),"")</f>
        <v/>
      </c>
      <c r="K35" t="str">
        <f>IFERROR(AVERAGEIFS('[1]Grade Project'!$O:$O,'[1]Grade Project'!$K:$K,H35,'[1]Grade Project'!$F:$F,$A$5,'[1]Grade Project'!$G:$G,$A$8),"")</f>
        <v/>
      </c>
      <c r="L35" t="str">
        <f t="shared" si="1"/>
        <v/>
      </c>
      <c r="M35" t="str">
        <f t="shared" si="2"/>
        <v/>
      </c>
      <c r="N35" t="str">
        <f t="shared" si="3"/>
        <v/>
      </c>
    </row>
    <row r="36" spans="2:14" x14ac:dyDescent="0.25">
      <c r="B36" t="s">
        <v>35</v>
      </c>
      <c r="C36" t="e">
        <f>IF(C35="","",IF(C35=INDEX('[1]Grade Project'!$F:$F,MATCH($A$3,'[1]Grade Project'!$E:$E,0)+SUM($D$3:D35)),"",INDEX('[1]Grade Project'!$F:$F,MATCH($A$3,'[1]Grade Project'!$E:$E,0)+SUM($D$3:D35))))</f>
        <v>#N/A</v>
      </c>
      <c r="E36" t="str">
        <f t="shared" si="0"/>
        <v/>
      </c>
      <c r="F36" t="str">
        <f>IF(G35=0,"",INDEX('[1]Grade Project'!$G:$G,MATCH($A$5,'[1]Grade Project'!$F:$F,0)+SUM($G$3:G35)))</f>
        <v/>
      </c>
      <c r="G36">
        <f>COUNTIFS('[1]Grade Project'!$F:$F,$A$5,'[1]Grade Project'!$G:$G,F36)</f>
        <v>0</v>
      </c>
      <c r="H36" t="str">
        <f>IF(I35=0,"",INDEX('[1]Grade Project'!$K:$K,MATCH(CONCATENATE($A$5,$A$8),'[1]Grade Project'!$H:$H,0)+SUM($I$3:I35)))</f>
        <v/>
      </c>
      <c r="I36">
        <f>COUNTIFS('[1]Grade Project'!$G:$G,$A$8,'[1]Grade Project'!$K:$K,H36,'[1]Grade Project'!$F:$F,$A$5)</f>
        <v>0</v>
      </c>
      <c r="J36" t="str">
        <f>IFERROR(AVERAGEIFS('[1]Grade Project'!$N:$N,'[1]Grade Project'!$K:$K,H36,'[1]Grade Project'!$F:$F,$A$5,'[1]Grade Project'!$G:$G,$A$8),"")</f>
        <v/>
      </c>
      <c r="K36" t="str">
        <f>IFERROR(AVERAGEIFS('[1]Grade Project'!$O:$O,'[1]Grade Project'!$K:$K,H36,'[1]Grade Project'!$F:$F,$A$5,'[1]Grade Project'!$G:$G,$A$8),"")</f>
        <v/>
      </c>
      <c r="L36" t="str">
        <f t="shared" si="1"/>
        <v/>
      </c>
      <c r="M36" t="str">
        <f t="shared" si="2"/>
        <v/>
      </c>
      <c r="N36" t="str">
        <f t="shared" si="3"/>
        <v/>
      </c>
    </row>
    <row r="37" spans="2:14" x14ac:dyDescent="0.25">
      <c r="B37" t="s">
        <v>36</v>
      </c>
      <c r="C37" t="e">
        <f>IF(C36="","",IF(C36=INDEX('[1]Grade Project'!$F:$F,MATCH($A$3,'[1]Grade Project'!$E:$E,0)+SUM($D$3:D36)),"",INDEX('[1]Grade Project'!$F:$F,MATCH($A$3,'[1]Grade Project'!$E:$E,0)+SUM($D$3:D36))))</f>
        <v>#N/A</v>
      </c>
      <c r="F37" t="str">
        <f>IF(G36=0,"",INDEX('[1]Grade Project'!$G:$G,MATCH($A$5,'[1]Grade Project'!$F:$F,0)+SUM($G$3:G36)))</f>
        <v/>
      </c>
      <c r="G37">
        <f>COUNTIFS('[1]Grade Project'!$F:$F,$A$5,'[1]Grade Project'!$G:$G,F37)</f>
        <v>0</v>
      </c>
      <c r="H37" t="str">
        <f>IF(I36=0,"",INDEX('[1]Grade Project'!$K:$K,MATCH(CONCATENATE($A$5,$A$8),'[1]Grade Project'!$H:$H,0)+SUM($I$3:I36)))</f>
        <v/>
      </c>
      <c r="I37">
        <f>COUNTIFS('[1]Grade Project'!$G:$G,$A$8,'[1]Grade Project'!$K:$K,H37,'[1]Grade Project'!$F:$F,$A$5)</f>
        <v>0</v>
      </c>
      <c r="J37" t="str">
        <f>IFERROR(AVERAGEIFS('[1]Grade Project'!$N:$N,'[1]Grade Project'!$K:$K,H37,'[1]Grade Project'!$F:$F,$A$5,'[1]Grade Project'!$G:$G,$A$8),"")</f>
        <v/>
      </c>
      <c r="K37" t="str">
        <f>IFERROR(AVERAGEIFS('[1]Grade Project'!$O:$O,'[1]Grade Project'!$K:$K,H37,'[1]Grade Project'!$F:$F,$A$5,'[1]Grade Project'!$G:$G,$A$8),"")</f>
        <v/>
      </c>
      <c r="L37" t="str">
        <f t="shared" si="1"/>
        <v/>
      </c>
      <c r="M37" t="str">
        <f t="shared" si="2"/>
        <v/>
      </c>
      <c r="N37" t="str">
        <f t="shared" si="3"/>
        <v/>
      </c>
    </row>
    <row r="38" spans="2:14" x14ac:dyDescent="0.25">
      <c r="B38" t="s">
        <v>37</v>
      </c>
      <c r="C38" t="e">
        <f>IF(C37="","",IF(C37=INDEX('[1]Grade Project'!$F:$F,MATCH($A$3,'[1]Grade Project'!$E:$E,0)+SUM($D$3:D37)),"",INDEX('[1]Grade Project'!$F:$F,MATCH($A$3,'[1]Grade Project'!$E:$E,0)+SUM($D$3:D37))))</f>
        <v>#N/A</v>
      </c>
      <c r="F38" t="str">
        <f>IF(G37=0,"",INDEX('[1]Grade Project'!$G:$G,MATCH($A$5,'[1]Grade Project'!$F:$F,0)+SUM($G$3:G37)))</f>
        <v/>
      </c>
      <c r="G38">
        <f>COUNTIFS('[1]Grade Project'!$F:$F,$A$5,'[1]Grade Project'!$G:$G,F38)</f>
        <v>0</v>
      </c>
      <c r="H38" t="str">
        <f>IF(I37=0,"",INDEX('[1]Grade Project'!$K:$K,MATCH(CONCATENATE($A$5,$A$8),'[1]Grade Project'!$H:$H,0)+SUM($I$3:I37)))</f>
        <v/>
      </c>
      <c r="I38">
        <f>COUNTIFS('[1]Grade Project'!$G:$G,$A$8,'[1]Grade Project'!$K:$K,H38,'[1]Grade Project'!$F:$F,$A$5)</f>
        <v>0</v>
      </c>
      <c r="J38" t="str">
        <f>IFERROR(AVERAGEIFS('[1]Grade Project'!$N:$N,'[1]Grade Project'!$K:$K,H38,'[1]Grade Project'!$F:$F,$A$5,'[1]Grade Project'!$G:$G,$A$8),"")</f>
        <v/>
      </c>
      <c r="K38" t="str">
        <f>IFERROR(AVERAGEIFS('[1]Grade Project'!$O:$O,'[1]Grade Project'!$K:$K,H38,'[1]Grade Project'!$F:$F,$A$5,'[1]Grade Project'!$G:$G,$A$8),"")</f>
        <v/>
      </c>
      <c r="L38" t="str">
        <f t="shared" si="1"/>
        <v/>
      </c>
      <c r="M38" t="str">
        <f t="shared" si="2"/>
        <v/>
      </c>
      <c r="N38" t="str">
        <f t="shared" si="3"/>
        <v/>
      </c>
    </row>
    <row r="39" spans="2:14" x14ac:dyDescent="0.25">
      <c r="B39" t="s">
        <v>38</v>
      </c>
      <c r="C39" t="e">
        <f>IF(C38="","",IF(C38=INDEX('[1]Grade Project'!$F:$F,MATCH($A$3,'[1]Grade Project'!$E:$E,0)+SUM($D$3:D38)),"",INDEX('[1]Grade Project'!$F:$F,MATCH($A$3,'[1]Grade Project'!$E:$E,0)+SUM($D$3:D38))))</f>
        <v>#N/A</v>
      </c>
      <c r="F39" t="str">
        <f>IF(G38=0,"",INDEX('[1]Grade Project'!$G:$G,MATCH($A$5,'[1]Grade Project'!$F:$F,0)+SUM($G$3:G38)))</f>
        <v/>
      </c>
      <c r="G39">
        <f>COUNTIFS('[1]Grade Project'!$F:$F,$A$5,'[1]Grade Project'!$G:$G,F39)</f>
        <v>0</v>
      </c>
      <c r="H39" t="str">
        <f>IF(I38=0,"",INDEX('[1]Grade Project'!$K:$K,MATCH(CONCATENATE($A$5,$A$8),'[1]Grade Project'!$H:$H,0)+SUM($I$3:I38)))</f>
        <v/>
      </c>
      <c r="I39">
        <f>COUNTIFS('[1]Grade Project'!$G:$G,$A$8,'[1]Grade Project'!$K:$K,H39,'[1]Grade Project'!$F:$F,$A$5)</f>
        <v>0</v>
      </c>
      <c r="J39" t="str">
        <f>IFERROR(AVERAGEIFS('[1]Grade Project'!$N:$N,'[1]Grade Project'!$K:$K,H39,'[1]Grade Project'!$F:$F,$A$5,'[1]Grade Project'!$G:$G,$A$8),"")</f>
        <v/>
      </c>
      <c r="K39" t="str">
        <f>IFERROR(AVERAGEIFS('[1]Grade Project'!$O:$O,'[1]Grade Project'!$K:$K,H39,'[1]Grade Project'!$F:$F,$A$5,'[1]Grade Project'!$G:$G,$A$8),"")</f>
        <v/>
      </c>
      <c r="L39" t="str">
        <f t="shared" si="1"/>
        <v/>
      </c>
      <c r="M39" t="str">
        <f t="shared" si="2"/>
        <v/>
      </c>
      <c r="N39" t="str">
        <f t="shared" si="3"/>
        <v/>
      </c>
    </row>
    <row r="40" spans="2:14" x14ac:dyDescent="0.25">
      <c r="B40" t="s">
        <v>39</v>
      </c>
      <c r="C40" t="e">
        <f>IF(C39="","",IF(C39=INDEX('[1]Grade Project'!$F:$F,MATCH($A$3,'[1]Grade Project'!$E:$E,0)+SUM($D$3:D39)),"",INDEX('[1]Grade Project'!$F:$F,MATCH($A$3,'[1]Grade Project'!$E:$E,0)+SUM($D$3:D39))))</f>
        <v>#N/A</v>
      </c>
      <c r="F40" t="str">
        <f>IF(G39=0,"",INDEX('[1]Grade Project'!$G:$G,MATCH($A$5,'[1]Grade Project'!$F:$F,0)+SUM($G$3:G39)))</f>
        <v/>
      </c>
      <c r="G40">
        <f>COUNTIFS('[1]Grade Project'!$F:$F,$A$5,'[1]Grade Project'!$G:$G,F40)</f>
        <v>0</v>
      </c>
      <c r="H40" t="str">
        <f>IF(I39=0,"",INDEX('[1]Grade Project'!$K:$K,MATCH(CONCATENATE($A$5,$A$8),'[1]Grade Project'!$H:$H,0)+SUM($I$3:I39)))</f>
        <v/>
      </c>
      <c r="I40">
        <f>COUNTIFS('[1]Grade Project'!$G:$G,$A$8,'[1]Grade Project'!$K:$K,H40,'[1]Grade Project'!$F:$F,$A$5)</f>
        <v>0</v>
      </c>
      <c r="J40" t="str">
        <f>IFERROR(AVERAGEIFS('[1]Grade Project'!$N:$N,'[1]Grade Project'!$K:$K,H40,'[1]Grade Project'!$F:$F,$A$5,'[1]Grade Project'!$G:$G,$A$8),"")</f>
        <v/>
      </c>
      <c r="K40" t="str">
        <f>IFERROR(AVERAGEIFS('[1]Grade Project'!$O:$O,'[1]Grade Project'!$K:$K,H40,'[1]Grade Project'!$F:$F,$A$5,'[1]Grade Project'!$G:$G,$A$8),"")</f>
        <v/>
      </c>
      <c r="L40" t="str">
        <f t="shared" si="1"/>
        <v/>
      </c>
      <c r="M40" t="str">
        <f t="shared" si="2"/>
        <v/>
      </c>
      <c r="N40" t="str">
        <f t="shared" si="3"/>
        <v/>
      </c>
    </row>
    <row r="41" spans="2:14" x14ac:dyDescent="0.25">
      <c r="B41" t="s">
        <v>40</v>
      </c>
      <c r="C41" t="e">
        <f>IF(C40="","",IF(C40=INDEX('[1]Grade Project'!$F:$F,MATCH($A$3,'[1]Grade Project'!$E:$E,0)+SUM($D$3:D40)),"",INDEX('[1]Grade Project'!$F:$F,MATCH($A$3,'[1]Grade Project'!$E:$E,0)+SUM($D$3:D40))))</f>
        <v>#N/A</v>
      </c>
      <c r="F41" t="str">
        <f>IF(G40=0,"",INDEX('[1]Grade Project'!$G:$G,MATCH($A$5,'[1]Grade Project'!$F:$F,0)+SUM($G$3:G40)))</f>
        <v/>
      </c>
      <c r="G41">
        <f>COUNTIFS('[1]Grade Project'!$F:$F,$A$5,'[1]Grade Project'!$G:$G,F41)</f>
        <v>0</v>
      </c>
      <c r="H41" t="str">
        <f>IF(I40=0,"",INDEX('[1]Grade Project'!$K:$K,MATCH(CONCATENATE($A$5,$A$8),'[1]Grade Project'!$H:$H,0)+SUM($I$3:I40)))</f>
        <v/>
      </c>
      <c r="I41">
        <f>COUNTIFS('[1]Grade Project'!$G:$G,$A$8,'[1]Grade Project'!$K:$K,H41,'[1]Grade Project'!$F:$F,$A$5)</f>
        <v>0</v>
      </c>
      <c r="J41" t="str">
        <f>IFERROR(AVERAGEIFS('[1]Grade Project'!$N:$N,'[1]Grade Project'!$K:$K,H41,'[1]Grade Project'!$F:$F,$A$5,'[1]Grade Project'!$G:$G,$A$8),"")</f>
        <v/>
      </c>
      <c r="K41" t="str">
        <f>IFERROR(AVERAGEIFS('[1]Grade Project'!$O:$O,'[1]Grade Project'!$K:$K,H41,'[1]Grade Project'!$F:$F,$A$5,'[1]Grade Project'!$G:$G,$A$8),"")</f>
        <v/>
      </c>
      <c r="L41" t="str">
        <f t="shared" si="1"/>
        <v/>
      </c>
      <c r="M41" t="str">
        <f t="shared" si="2"/>
        <v/>
      </c>
      <c r="N41" t="str">
        <f t="shared" si="3"/>
        <v/>
      </c>
    </row>
    <row r="42" spans="2:14" x14ac:dyDescent="0.25">
      <c r="B42" t="s">
        <v>41</v>
      </c>
      <c r="C42" t="e">
        <f>IF(C41="","",IF(C41=INDEX('[1]Grade Project'!$F:$F,MATCH($A$3,'[1]Grade Project'!$E:$E,0)+SUM($D$3:D41)),"",INDEX('[1]Grade Project'!$F:$F,MATCH($A$3,'[1]Grade Project'!$E:$E,0)+SUM($D$3:D41))))</f>
        <v>#N/A</v>
      </c>
      <c r="F42" t="str">
        <f>IF(G41=0,"",INDEX('[1]Grade Project'!$G:$G,MATCH($A$5,'[1]Grade Project'!$F:$F,0)+SUM($G$3:G41)))</f>
        <v/>
      </c>
      <c r="G42">
        <f>COUNTIFS('[1]Grade Project'!$F:$F,$A$5,'[1]Grade Project'!$G:$G,F42)</f>
        <v>0</v>
      </c>
      <c r="H42" t="str">
        <f>IF(I41=0,"",INDEX('[1]Grade Project'!$K:$K,MATCH(CONCATENATE($A$5,$A$8),'[1]Grade Project'!$H:$H,0)+SUM($I$3:I41)))</f>
        <v/>
      </c>
      <c r="I42">
        <f>COUNTIFS('[1]Grade Project'!$G:$G,$A$8,'[1]Grade Project'!$K:$K,H42,'[1]Grade Project'!$F:$F,$A$5)</f>
        <v>0</v>
      </c>
      <c r="J42" t="str">
        <f>IFERROR(AVERAGEIFS('[1]Grade Project'!$N:$N,'[1]Grade Project'!$K:$K,H42,'[1]Grade Project'!$F:$F,$A$5,'[1]Grade Project'!$G:$G,$A$8),"")</f>
        <v/>
      </c>
      <c r="K42" t="str">
        <f>IFERROR(AVERAGEIFS('[1]Grade Project'!$O:$O,'[1]Grade Project'!$K:$K,H42,'[1]Grade Project'!$F:$F,$A$5,'[1]Grade Project'!$G:$G,$A$8),"")</f>
        <v/>
      </c>
      <c r="L42" t="str">
        <f t="shared" si="1"/>
        <v/>
      </c>
      <c r="M42" t="str">
        <f t="shared" si="2"/>
        <v/>
      </c>
      <c r="N42" t="str">
        <f t="shared" si="3"/>
        <v/>
      </c>
    </row>
    <row r="43" spans="2:14" x14ac:dyDescent="0.25">
      <c r="B43" t="s">
        <v>42</v>
      </c>
      <c r="C43" t="e">
        <f>IF(C42="","",IF(C42=INDEX('[1]Grade Project'!$F:$F,MATCH($A$3,'[1]Grade Project'!$E:$E,0)+SUM($D$3:D42)),"",INDEX('[1]Grade Project'!$F:$F,MATCH($A$3,'[1]Grade Project'!$E:$E,0)+SUM($D$3:D42))))</f>
        <v>#N/A</v>
      </c>
      <c r="F43" t="str">
        <f>IF(G42=0,"",INDEX('[1]Grade Project'!$G:$G,MATCH($A$5,'[1]Grade Project'!$F:$F,0)+SUM($G$3:G42)))</f>
        <v/>
      </c>
      <c r="G43">
        <f>COUNTIFS('[1]Grade Project'!$F:$F,$A$5,'[1]Grade Project'!$G:$G,F43)</f>
        <v>0</v>
      </c>
      <c r="H43" t="str">
        <f>IF(I42=0,"",INDEX('[1]Grade Project'!$K:$K,MATCH(CONCATENATE($A$5,$A$8),'[1]Grade Project'!$H:$H,0)+SUM($I$3:I42)))</f>
        <v/>
      </c>
      <c r="I43">
        <f>COUNTIFS('[1]Grade Project'!$G:$G,$A$8,'[1]Grade Project'!$K:$K,H43,'[1]Grade Project'!$F:$F,$A$5)</f>
        <v>0</v>
      </c>
      <c r="J43" t="str">
        <f>IFERROR(AVERAGEIFS('[1]Grade Project'!$N:$N,'[1]Grade Project'!$K:$K,H43,'[1]Grade Project'!$F:$F,$A$5,'[1]Grade Project'!$G:$G,$A$8),"")</f>
        <v/>
      </c>
      <c r="K43" t="str">
        <f>IFERROR(AVERAGEIFS('[1]Grade Project'!$O:$O,'[1]Grade Project'!$K:$K,H43,'[1]Grade Project'!$F:$F,$A$5,'[1]Grade Project'!$G:$G,$A$8),"")</f>
        <v/>
      </c>
      <c r="L43" t="str">
        <f t="shared" si="1"/>
        <v/>
      </c>
      <c r="M43" t="str">
        <f t="shared" si="2"/>
        <v/>
      </c>
      <c r="N43" t="str">
        <f t="shared" si="3"/>
        <v/>
      </c>
    </row>
    <row r="44" spans="2:14" x14ac:dyDescent="0.25">
      <c r="B44" t="s">
        <v>43</v>
      </c>
      <c r="C44" t="e">
        <f>IF(C43="","",IF(C43=INDEX('[1]Grade Project'!$F:$F,MATCH($A$3,'[1]Grade Project'!$E:$E,0)+SUM($D$3:D43)),"",INDEX('[1]Grade Project'!$F:$F,MATCH($A$3,'[1]Grade Project'!$E:$E,0)+SUM($D$3:D43))))</f>
        <v>#N/A</v>
      </c>
      <c r="F44" t="str">
        <f>IF(G43=0,"",INDEX('[1]Grade Project'!$G:$G,MATCH($A$5,'[1]Grade Project'!$F:$F,0)+SUM($G$3:G43)))</f>
        <v/>
      </c>
      <c r="G44">
        <f>COUNTIFS('[1]Grade Project'!$F:$F,$A$5,'[1]Grade Project'!$G:$G,F44)</f>
        <v>0</v>
      </c>
      <c r="H44" t="str">
        <f>IF(I43=0,"",INDEX('[1]Grade Project'!$K:$K,MATCH(CONCATENATE($A$5,$A$8),'[1]Grade Project'!$H:$H,0)+SUM($I$3:I43)))</f>
        <v/>
      </c>
      <c r="I44">
        <f>COUNTIFS('[1]Grade Project'!$G:$G,$A$8,'[1]Grade Project'!$K:$K,H44,'[1]Grade Project'!$F:$F,$A$5)</f>
        <v>0</v>
      </c>
      <c r="J44" t="str">
        <f>IFERROR(AVERAGEIFS('[1]Grade Project'!$N:$N,'[1]Grade Project'!$K:$K,H44,'[1]Grade Project'!$F:$F,$A$5,'[1]Grade Project'!$G:$G,$A$8),"")</f>
        <v/>
      </c>
      <c r="K44" t="str">
        <f>IFERROR(AVERAGEIFS('[1]Grade Project'!$O:$O,'[1]Grade Project'!$K:$K,H44,'[1]Grade Project'!$F:$F,$A$5,'[1]Grade Project'!$G:$G,$A$8),"")</f>
        <v/>
      </c>
      <c r="L44" t="str">
        <f t="shared" si="1"/>
        <v/>
      </c>
      <c r="M44" t="str">
        <f t="shared" si="2"/>
        <v/>
      </c>
      <c r="N44" t="str">
        <f t="shared" si="3"/>
        <v/>
      </c>
    </row>
    <row r="45" spans="2:14" x14ac:dyDescent="0.25">
      <c r="B45" t="s">
        <v>44</v>
      </c>
      <c r="C45" t="e">
        <f>IF(C44="","",IF(C44=INDEX('[1]Grade Project'!$F:$F,MATCH($A$3,'[1]Grade Project'!$E:$E,0)+SUM($D$3:D44)),"",INDEX('[1]Grade Project'!$F:$F,MATCH($A$3,'[1]Grade Project'!$E:$E,0)+SUM($D$3:D44))))</f>
        <v>#N/A</v>
      </c>
      <c r="F45" t="str">
        <f>IF(G44=0,"",INDEX('[1]Grade Project'!$G:$G,MATCH($A$5,'[1]Grade Project'!$F:$F,0)+SUM($G$3:G44)))</f>
        <v/>
      </c>
      <c r="G45">
        <f>COUNTIFS('[1]Grade Project'!$F:$F,$A$5,'[1]Grade Project'!$G:$G,F45)</f>
        <v>0</v>
      </c>
      <c r="H45" t="str">
        <f>IF(I44=0,"",INDEX('[1]Grade Project'!$K:$K,MATCH(CONCATENATE($A$5,$A$8),'[1]Grade Project'!$H:$H,0)+SUM($I$3:I44)))</f>
        <v/>
      </c>
      <c r="I45">
        <f>COUNTIFS('[1]Grade Project'!$G:$G,$A$8,'[1]Grade Project'!$K:$K,H45,'[1]Grade Project'!$F:$F,$A$5)</f>
        <v>0</v>
      </c>
      <c r="J45" t="str">
        <f>IFERROR(AVERAGEIFS('[1]Grade Project'!$N:$N,'[1]Grade Project'!$K:$K,H45,'[1]Grade Project'!$F:$F,$A$5,'[1]Grade Project'!$G:$G,$A$8),"")</f>
        <v/>
      </c>
      <c r="K45" t="str">
        <f>IFERROR(AVERAGEIFS('[1]Grade Project'!$O:$O,'[1]Grade Project'!$K:$K,H45,'[1]Grade Project'!$F:$F,$A$5,'[1]Grade Project'!$G:$G,$A$8),"")</f>
        <v/>
      </c>
      <c r="L45" t="str">
        <f t="shared" si="1"/>
        <v/>
      </c>
      <c r="M45" t="str">
        <f t="shared" si="2"/>
        <v/>
      </c>
      <c r="N45" t="str">
        <f t="shared" si="3"/>
        <v/>
      </c>
    </row>
    <row r="46" spans="2:14" x14ac:dyDescent="0.25">
      <c r="B46" t="s">
        <v>45</v>
      </c>
      <c r="C46" t="e">
        <f>IF(C45="","",IF(C45=INDEX('[1]Grade Project'!$F:$F,MATCH($A$3,'[1]Grade Project'!$E:$E,0)+SUM($D$3:D45)),"",INDEX('[1]Grade Project'!$F:$F,MATCH($A$3,'[1]Grade Project'!$E:$E,0)+SUM($D$3:D45))))</f>
        <v>#N/A</v>
      </c>
      <c r="F46" t="str">
        <f>IF(G45=0,"",INDEX('[1]Grade Project'!$G:$G,MATCH($A$5,'[1]Grade Project'!$F:$F,0)+SUM($G$3:G45)))</f>
        <v/>
      </c>
      <c r="G46">
        <f>COUNTIFS('[1]Grade Project'!$F:$F,$A$5,'[1]Grade Project'!$G:$G,F46)</f>
        <v>0</v>
      </c>
      <c r="H46" t="str">
        <f>IF(I45=0,"",INDEX('[1]Grade Project'!$K:$K,MATCH(CONCATENATE($A$5,$A$8),'[1]Grade Project'!$H:$H,0)+SUM($I$3:I45)))</f>
        <v/>
      </c>
      <c r="I46">
        <f>COUNTIFS('[1]Grade Project'!$G:$G,$A$8,'[1]Grade Project'!$K:$K,H46,'[1]Grade Project'!$F:$F,$A$5)</f>
        <v>0</v>
      </c>
      <c r="J46" t="str">
        <f>IFERROR(AVERAGEIFS('[1]Grade Project'!$N:$N,'[1]Grade Project'!$K:$K,H46,'[1]Grade Project'!$F:$F,$A$5,'[1]Grade Project'!$G:$G,$A$8),"")</f>
        <v/>
      </c>
      <c r="K46" t="str">
        <f>IFERROR(AVERAGEIFS('[1]Grade Project'!$O:$O,'[1]Grade Project'!$K:$K,H46,'[1]Grade Project'!$F:$F,$A$5,'[1]Grade Project'!$G:$G,$A$8),"")</f>
        <v/>
      </c>
      <c r="L46" t="str">
        <f t="shared" si="1"/>
        <v/>
      </c>
      <c r="M46" t="str">
        <f t="shared" si="2"/>
        <v/>
      </c>
      <c r="N46" t="str">
        <f t="shared" si="3"/>
        <v/>
      </c>
    </row>
    <row r="47" spans="2:14" x14ac:dyDescent="0.25">
      <c r="B47" t="s">
        <v>46</v>
      </c>
      <c r="C47" t="e">
        <f>IF(C46="","",IF(C46=INDEX('[1]Grade Project'!$F:$F,MATCH($A$3,'[1]Grade Project'!$E:$E,0)+SUM($D$3:D46)),"",INDEX('[1]Grade Project'!$F:$F,MATCH($A$3,'[1]Grade Project'!$E:$E,0)+SUM($D$3:D46))))</f>
        <v>#N/A</v>
      </c>
      <c r="F47" t="str">
        <f>IF(G46=0,"",INDEX('[1]Grade Project'!$G:$G,MATCH($A$5,'[1]Grade Project'!$F:$F,0)+SUM($G$3:G46)))</f>
        <v/>
      </c>
      <c r="G47">
        <f>COUNTIFS('[1]Grade Project'!$F:$F,$A$5,'[1]Grade Project'!$G:$G,F47)</f>
        <v>0</v>
      </c>
      <c r="H47" t="str">
        <f>IF(I46=0,"",INDEX('[1]Grade Project'!$K:$K,MATCH(CONCATENATE($A$5,$A$8),'[1]Grade Project'!$H:$H,0)+SUM($I$3:I46)))</f>
        <v/>
      </c>
      <c r="I47">
        <f>COUNTIFS('[1]Grade Project'!$G:$G,$A$8,'[1]Grade Project'!$K:$K,H47,'[1]Grade Project'!$F:$F,$A$5)</f>
        <v>0</v>
      </c>
      <c r="J47" t="str">
        <f>IFERROR(AVERAGEIFS('[1]Grade Project'!$N:$N,'[1]Grade Project'!$K:$K,H47,'[1]Grade Project'!$F:$F,$A$5,'[1]Grade Project'!$G:$G,$A$8),"")</f>
        <v/>
      </c>
      <c r="K47" t="str">
        <f>IFERROR(AVERAGEIFS('[1]Grade Project'!$O:$O,'[1]Grade Project'!$K:$K,H47,'[1]Grade Project'!$F:$F,$A$5,'[1]Grade Project'!$G:$G,$A$8),"")</f>
        <v/>
      </c>
      <c r="L47" t="str">
        <f t="shared" si="1"/>
        <v/>
      </c>
      <c r="M47" t="str">
        <f t="shared" si="2"/>
        <v/>
      </c>
      <c r="N47" t="str">
        <f t="shared" si="3"/>
        <v/>
      </c>
    </row>
    <row r="48" spans="2:14" x14ac:dyDescent="0.25">
      <c r="B48" t="s">
        <v>47</v>
      </c>
      <c r="C48" t="e">
        <f>IF(C47="","",IF(C47=INDEX('[1]Grade Project'!$F:$F,MATCH($A$3,'[1]Grade Project'!$E:$E,0)+SUM($D$3:D47)),"",INDEX('[1]Grade Project'!$F:$F,MATCH($A$3,'[1]Grade Project'!$E:$E,0)+SUM($D$3:D47))))</f>
        <v>#N/A</v>
      </c>
      <c r="F48" t="str">
        <f>IF(G47=0,"",INDEX('[1]Grade Project'!$G:$G,MATCH($A$5,'[1]Grade Project'!$F:$F,0)+SUM($G$3:G47)))</f>
        <v/>
      </c>
      <c r="G48">
        <f>COUNTIFS('[1]Grade Project'!$F:$F,$A$5,'[1]Grade Project'!$G:$G,F48)</f>
        <v>0</v>
      </c>
      <c r="H48" t="str">
        <f>IF(I47=0,"",INDEX('[1]Grade Project'!$K:$K,MATCH(CONCATENATE($A$5,$A$8),'[1]Grade Project'!$H:$H,0)+SUM($I$3:I47)))</f>
        <v/>
      </c>
      <c r="I48">
        <f>COUNTIFS('[1]Grade Project'!$G:$G,$A$8,'[1]Grade Project'!$K:$K,H48,'[1]Grade Project'!$F:$F,$A$5)</f>
        <v>0</v>
      </c>
      <c r="J48" t="str">
        <f>IFERROR(AVERAGEIFS('[1]Grade Project'!$N:$N,'[1]Grade Project'!$K:$K,H48,'[1]Grade Project'!$F:$F,$A$5,'[1]Grade Project'!$G:$G,$A$8),"")</f>
        <v/>
      </c>
      <c r="K48" t="str">
        <f>IFERROR(AVERAGEIFS('[1]Grade Project'!$O:$O,'[1]Grade Project'!$K:$K,H48,'[1]Grade Project'!$F:$F,$A$5,'[1]Grade Project'!$G:$G,$A$8),"")</f>
        <v/>
      </c>
      <c r="L48" t="str">
        <f t="shared" si="1"/>
        <v/>
      </c>
      <c r="M48" t="str">
        <f t="shared" si="2"/>
        <v/>
      </c>
      <c r="N48" t="str">
        <f t="shared" si="3"/>
        <v/>
      </c>
    </row>
    <row r="49" spans="2:14" x14ac:dyDescent="0.25">
      <c r="B49" t="s">
        <v>48</v>
      </c>
      <c r="C49" t="e">
        <f>IF(C48="","",IF(C48=INDEX('[1]Grade Project'!$F:$F,MATCH($A$3,'[1]Grade Project'!$E:$E,0)+SUM($D$3:D48)),"",INDEX('[1]Grade Project'!$F:$F,MATCH($A$3,'[1]Grade Project'!$E:$E,0)+SUM($D$3:D48))))</f>
        <v>#N/A</v>
      </c>
      <c r="F49" t="str">
        <f>IF(G48=0,"",INDEX('[1]Grade Project'!$G:$G,MATCH($A$5,'[1]Grade Project'!$F:$F,0)+SUM($G$3:G48)))</f>
        <v/>
      </c>
      <c r="G49">
        <f>COUNTIFS('[1]Grade Project'!$F:$F,$A$5,'[1]Grade Project'!$G:$G,F49)</f>
        <v>0</v>
      </c>
      <c r="H49" t="str">
        <f>IF(I48=0,"",INDEX('[1]Grade Project'!$K:$K,MATCH(CONCATENATE($A$5,$A$8),'[1]Grade Project'!$H:$H,0)+SUM($I$3:I48)))</f>
        <v/>
      </c>
      <c r="I49">
        <f>COUNTIFS('[1]Grade Project'!$G:$G,$A$8,'[1]Grade Project'!$K:$K,H49,'[1]Grade Project'!$F:$F,$A$5)</f>
        <v>0</v>
      </c>
      <c r="J49" t="str">
        <f>IFERROR(AVERAGEIFS('[1]Grade Project'!$N:$N,'[1]Grade Project'!$K:$K,H49,'[1]Grade Project'!$F:$F,$A$5,'[1]Grade Project'!$G:$G,$A$8),"")</f>
        <v/>
      </c>
      <c r="K49" t="str">
        <f>IFERROR(AVERAGEIFS('[1]Grade Project'!$O:$O,'[1]Grade Project'!$K:$K,H49,'[1]Grade Project'!$F:$F,$A$5,'[1]Grade Project'!$G:$G,$A$8),"")</f>
        <v/>
      </c>
      <c r="L49" t="str">
        <f t="shared" si="1"/>
        <v/>
      </c>
      <c r="M49" t="str">
        <f t="shared" si="2"/>
        <v/>
      </c>
      <c r="N49" t="str">
        <f t="shared" si="3"/>
        <v/>
      </c>
    </row>
    <row r="50" spans="2:14" x14ac:dyDescent="0.25">
      <c r="B50" t="s">
        <v>49</v>
      </c>
      <c r="C50" t="e">
        <f>IF(C49="","",IF(C49=INDEX('[1]Grade Project'!$F:$F,MATCH($A$3,'[1]Grade Project'!$E:$E,0)+SUM($D$3:D49)),"",INDEX('[1]Grade Project'!$F:$F,MATCH($A$3,'[1]Grade Project'!$E:$E,0)+SUM($D$3:D49))))</f>
        <v>#N/A</v>
      </c>
      <c r="F50" t="str">
        <f>IF(G49=0,"",INDEX('[1]Grade Project'!$G:$G,MATCH($A$5,'[1]Grade Project'!$F:$F,0)+SUM($G$3:G49)))</f>
        <v/>
      </c>
      <c r="G50">
        <f>COUNTIFS('[1]Grade Project'!$F:$F,$A$5,'[1]Grade Project'!$G:$G,F50)</f>
        <v>0</v>
      </c>
      <c r="H50" t="str">
        <f>IF(I49=0,"",INDEX('[1]Grade Project'!$K:$K,MATCH(CONCATENATE($A$5,$A$8),'[1]Grade Project'!$H:$H,0)+SUM($I$3:I49)))</f>
        <v/>
      </c>
      <c r="I50">
        <f>COUNTIFS('[1]Grade Project'!$G:$G,$A$8,'[1]Grade Project'!$K:$K,H50,'[1]Grade Project'!$F:$F,$A$5)</f>
        <v>0</v>
      </c>
      <c r="J50" t="str">
        <f>IFERROR(AVERAGEIFS('[1]Grade Project'!$N:$N,'[1]Grade Project'!$K:$K,H50,'[1]Grade Project'!$F:$F,$A$5,'[1]Grade Project'!$G:$G,$A$8),"")</f>
        <v/>
      </c>
      <c r="K50" t="str">
        <f>IFERROR(AVERAGEIFS('[1]Grade Project'!$O:$O,'[1]Grade Project'!$K:$K,H50,'[1]Grade Project'!$F:$F,$A$5,'[1]Grade Project'!$G:$G,$A$8),"")</f>
        <v/>
      </c>
      <c r="L50" t="str">
        <f t="shared" si="1"/>
        <v/>
      </c>
      <c r="M50" t="str">
        <f t="shared" si="2"/>
        <v/>
      </c>
      <c r="N50" t="str">
        <f t="shared" si="3"/>
        <v/>
      </c>
    </row>
    <row r="51" spans="2:14" x14ac:dyDescent="0.25">
      <c r="B51" t="s">
        <v>50</v>
      </c>
      <c r="C51" t="e">
        <f>IF(C50="","",IF(C50=INDEX('[1]Grade Project'!$F:$F,MATCH($A$3,'[1]Grade Project'!$E:$E,0)+SUM($D$3:D50)),"",INDEX('[1]Grade Project'!$F:$F,MATCH($A$3,'[1]Grade Project'!$E:$E,0)+SUM($D$3:D50))))</f>
        <v>#N/A</v>
      </c>
      <c r="F51" t="str">
        <f>IF(G50=0,"",INDEX('[1]Grade Project'!$G:$G,MATCH($A$5,'[1]Grade Project'!$F:$F,0)+SUM($G$3:G50)))</f>
        <v/>
      </c>
      <c r="G51">
        <f>COUNTIFS('[1]Grade Project'!$F:$F,$A$5,'[1]Grade Project'!$G:$G,F51)</f>
        <v>0</v>
      </c>
      <c r="H51" t="str">
        <f>IF(I50=0,"",INDEX('[1]Grade Project'!$K:$K,MATCH(CONCATENATE($A$5,$A$8),'[1]Grade Project'!$H:$H,0)+SUM($I$3:I50)))</f>
        <v/>
      </c>
      <c r="I51">
        <f>COUNTIFS('[1]Grade Project'!$G:$G,$A$8,'[1]Grade Project'!$K:$K,H51,'[1]Grade Project'!$F:$F,$A$5)</f>
        <v>0</v>
      </c>
      <c r="J51" t="str">
        <f>IFERROR(AVERAGEIFS('[1]Grade Project'!$N:$N,'[1]Grade Project'!$K:$K,H51,'[1]Grade Project'!$F:$F,$A$5,'[1]Grade Project'!$G:$G,$A$8),"")</f>
        <v/>
      </c>
      <c r="K51" t="str">
        <f>IFERROR(AVERAGEIFS('[1]Grade Project'!$O:$O,'[1]Grade Project'!$K:$K,H51,'[1]Grade Project'!$F:$F,$A$5,'[1]Grade Project'!$G:$G,$A$8),"")</f>
        <v/>
      </c>
      <c r="L51" t="str">
        <f t="shared" si="1"/>
        <v/>
      </c>
      <c r="M51" t="str">
        <f t="shared" si="2"/>
        <v/>
      </c>
      <c r="N51" t="str">
        <f t="shared" si="3"/>
        <v/>
      </c>
    </row>
    <row r="52" spans="2:14" x14ac:dyDescent="0.25">
      <c r="B52" t="s">
        <v>51</v>
      </c>
      <c r="C52" t="e">
        <f>IF(C51="","",IF(C51=INDEX('[1]Grade Project'!$F:$F,MATCH($A$3,'[1]Grade Project'!$E:$E,0)+SUM($D$3:D51)),"",INDEX('[1]Grade Project'!$F:$F,MATCH($A$3,'[1]Grade Project'!$E:$E,0)+SUM($D$3:D51))))</f>
        <v>#N/A</v>
      </c>
      <c r="F52" t="str">
        <f>IF(G51=0,"",INDEX('[1]Grade Project'!$G:$G,MATCH($A$5,'[1]Grade Project'!$F:$F,0)+SUM($G$3:G51)))</f>
        <v/>
      </c>
      <c r="G52">
        <f>COUNTIFS('[1]Grade Project'!$F:$F,$A$5,'[1]Grade Project'!$G:$G,F52)</f>
        <v>0</v>
      </c>
      <c r="H52" t="str">
        <f>IF(I51=0,"",INDEX('[1]Grade Project'!$K:$K,MATCH(CONCATENATE($A$5,$A$8),'[1]Grade Project'!$H:$H,0)+SUM($I$3:I51)))</f>
        <v/>
      </c>
      <c r="I52">
        <f>COUNTIFS('[1]Grade Project'!$G:$G,$A$8,'[1]Grade Project'!$K:$K,H52,'[1]Grade Project'!$F:$F,$A$5)</f>
        <v>0</v>
      </c>
      <c r="J52" t="str">
        <f>IFERROR(AVERAGEIFS('[1]Grade Project'!$N:$N,'[1]Grade Project'!$K:$K,H52,'[1]Grade Project'!$F:$F,$A$5,'[1]Grade Project'!$G:$G,$A$8),"")</f>
        <v/>
      </c>
      <c r="K52" t="str">
        <f>IFERROR(AVERAGEIFS('[1]Grade Project'!$O:$O,'[1]Grade Project'!$K:$K,H52,'[1]Grade Project'!$F:$F,$A$5,'[1]Grade Project'!$G:$G,$A$8),"")</f>
        <v/>
      </c>
      <c r="L52" t="str">
        <f t="shared" si="1"/>
        <v/>
      </c>
      <c r="M52" t="str">
        <f t="shared" si="2"/>
        <v/>
      </c>
      <c r="N52" t="str">
        <f t="shared" si="3"/>
        <v/>
      </c>
    </row>
    <row r="53" spans="2:14" x14ac:dyDescent="0.25">
      <c r="B53" t="s">
        <v>52</v>
      </c>
      <c r="C53" t="e">
        <f>IF(C52="","",IF(C52=INDEX('[1]Grade Project'!$F:$F,MATCH($A$3,'[1]Grade Project'!$E:$E,0)+SUM($D$3:D52)),"",INDEX('[1]Grade Project'!$F:$F,MATCH($A$3,'[1]Grade Project'!$E:$E,0)+SUM($D$3:D52))))</f>
        <v>#N/A</v>
      </c>
      <c r="F53" t="str">
        <f>IF(G52=0,"",INDEX('[1]Grade Project'!$G:$G,MATCH($A$5,'[1]Grade Project'!$F:$F,0)+SUM($G$3:G52)))</f>
        <v/>
      </c>
      <c r="G53">
        <f>COUNTIFS('[1]Grade Project'!$F:$F,$A$5,'[1]Grade Project'!$G:$G,F53)</f>
        <v>0</v>
      </c>
      <c r="H53" t="str">
        <f>IF(I52=0,"",INDEX('[1]Grade Project'!$K:$K,MATCH(CONCATENATE($A$5,$A$8),'[1]Grade Project'!$H:$H,0)+SUM($I$3:I52)))</f>
        <v/>
      </c>
      <c r="I53">
        <f>COUNTIFS('[1]Grade Project'!$G:$G,$A$8,'[1]Grade Project'!$K:$K,H53,'[1]Grade Project'!$F:$F,$A$5)</f>
        <v>0</v>
      </c>
      <c r="J53" t="str">
        <f>IFERROR(AVERAGEIFS('[1]Grade Project'!$N:$N,'[1]Grade Project'!$K:$K,H53,'[1]Grade Project'!$F:$F,$A$5,'[1]Grade Project'!$G:$G,$A$8),"")</f>
        <v/>
      </c>
      <c r="K53" t="str">
        <f>IFERROR(AVERAGEIFS('[1]Grade Project'!$O:$O,'[1]Grade Project'!$K:$K,H53,'[1]Grade Project'!$F:$F,$A$5,'[1]Grade Project'!$G:$G,$A$8),"")</f>
        <v/>
      </c>
      <c r="L53" t="str">
        <f t="shared" si="1"/>
        <v/>
      </c>
      <c r="M53" t="str">
        <f t="shared" si="2"/>
        <v/>
      </c>
      <c r="N53" t="str">
        <f t="shared" si="3"/>
        <v/>
      </c>
    </row>
    <row r="54" spans="2:14" x14ac:dyDescent="0.25">
      <c r="B54" t="s">
        <v>53</v>
      </c>
      <c r="C54" t="e">
        <f>IF(C53="","",IF(C53=INDEX('[1]Grade Project'!$F:$F,MATCH($A$3,'[1]Grade Project'!$E:$E,0)+SUM($D$3:D53)),"",INDEX('[1]Grade Project'!$F:$F,MATCH($A$3,'[1]Grade Project'!$E:$E,0)+SUM($D$3:D53))))</f>
        <v>#N/A</v>
      </c>
      <c r="F54" t="str">
        <f>IF(G53=0,"",INDEX('[1]Grade Project'!$G:$G,MATCH($A$5,'[1]Grade Project'!$F:$F,0)+SUM($G$3:G53)))</f>
        <v/>
      </c>
      <c r="G54">
        <f>COUNTIFS('[1]Grade Project'!$F:$F,$A$5,'[1]Grade Project'!$G:$G,F54)</f>
        <v>0</v>
      </c>
      <c r="H54" t="str">
        <f>IF(I53=0,"",INDEX('[1]Grade Project'!$K:$K,MATCH(CONCATENATE($A$5,$A$8),'[1]Grade Project'!$H:$H,0)+SUM($I$3:I53)))</f>
        <v/>
      </c>
      <c r="I54">
        <f>COUNTIFS('[1]Grade Project'!$G:$G,$A$8,'[1]Grade Project'!$K:$K,H54,'[1]Grade Project'!$F:$F,$A$5)</f>
        <v>0</v>
      </c>
      <c r="J54" t="str">
        <f>IFERROR(AVERAGEIFS('[1]Grade Project'!$N:$N,'[1]Grade Project'!$K:$K,H54,'[1]Grade Project'!$F:$F,$A$5,'[1]Grade Project'!$G:$G,$A$8),"")</f>
        <v/>
      </c>
      <c r="K54" t="str">
        <f>IFERROR(AVERAGEIFS('[1]Grade Project'!$O:$O,'[1]Grade Project'!$K:$K,H54,'[1]Grade Project'!$F:$F,$A$5,'[1]Grade Project'!$G:$G,$A$8),"")</f>
        <v/>
      </c>
      <c r="L54" t="str">
        <f t="shared" si="1"/>
        <v/>
      </c>
      <c r="M54" t="str">
        <f t="shared" si="2"/>
        <v/>
      </c>
      <c r="N54" t="str">
        <f t="shared" si="3"/>
        <v/>
      </c>
    </row>
    <row r="55" spans="2:14" x14ac:dyDescent="0.25">
      <c r="B55" t="s">
        <v>54</v>
      </c>
      <c r="F55" t="str">
        <f>IF(G54=0,"",INDEX('[1]Grade Project'!$G:$G,MATCH($A$5,'[1]Grade Project'!$F:$F,0)+SUM($G$3:G54)))</f>
        <v/>
      </c>
      <c r="G55">
        <f>COUNTIFS('[1]Grade Project'!$F:$F,$A$5,'[1]Grade Project'!$G:$G,F55)</f>
        <v>0</v>
      </c>
      <c r="H55" t="str">
        <f>IF(I54=0,"",INDEX('[1]Grade Project'!$K:$K,MATCH(CONCATENATE($A$5,$A$8),'[1]Grade Project'!$H:$H,0)+SUM($I$3:I54)))</f>
        <v/>
      </c>
      <c r="I55">
        <f>COUNTIFS('[1]Grade Project'!$G:$G,$A$8,'[1]Grade Project'!$K:$K,H55,'[1]Grade Project'!$F:$F,$A$5)</f>
        <v>0</v>
      </c>
      <c r="J55" t="str">
        <f>IFERROR(AVERAGEIFS('[1]Grade Project'!$N:$N,'[1]Grade Project'!$K:$K,H55,'[1]Grade Project'!$F:$F,$A$5,'[1]Grade Project'!$G:$G,$A$8),"")</f>
        <v/>
      </c>
      <c r="K55" t="str">
        <f>IFERROR(AVERAGEIFS('[1]Grade Project'!$O:$O,'[1]Grade Project'!$K:$K,H55,'[1]Grade Project'!$F:$F,$A$5,'[1]Grade Project'!$G:$G,$A$8),"")</f>
        <v/>
      </c>
      <c r="L55" t="str">
        <f t="shared" si="1"/>
        <v/>
      </c>
      <c r="M55" t="str">
        <f t="shared" si="2"/>
        <v/>
      </c>
      <c r="N55" t="str">
        <f t="shared" si="3"/>
        <v/>
      </c>
    </row>
    <row r="56" spans="2:14" x14ac:dyDescent="0.25">
      <c r="B56" t="s">
        <v>55</v>
      </c>
      <c r="F56" t="str">
        <f>IF(G55=0,"",INDEX('[1]Grade Project'!$G:$G,MATCH($A$5,'[1]Grade Project'!$F:$F,0)+SUM($G$3:G55)))</f>
        <v/>
      </c>
      <c r="G56">
        <f>COUNTIFS('[1]Grade Project'!$F:$F,$A$5,'[1]Grade Project'!$G:$G,F56)</f>
        <v>0</v>
      </c>
      <c r="H56" t="str">
        <f>IF(I55=0,"",INDEX('[1]Grade Project'!$K:$K,MATCH(CONCATENATE($A$5,$A$8),'[1]Grade Project'!$H:$H,0)+SUM($I$3:I55)))</f>
        <v/>
      </c>
      <c r="I56">
        <f>COUNTIFS('[1]Grade Project'!$G:$G,$A$8,'[1]Grade Project'!$K:$K,H56,'[1]Grade Project'!$F:$F,$A$5)</f>
        <v>0</v>
      </c>
      <c r="J56" t="str">
        <f>IFERROR(AVERAGEIFS('[1]Grade Project'!$N:$N,'[1]Grade Project'!$K:$K,H56,'[1]Grade Project'!$F:$F,$A$5,'[1]Grade Project'!$G:$G,$A$8),"")</f>
        <v/>
      </c>
      <c r="K56" t="str">
        <f>IFERROR(AVERAGEIFS('[1]Grade Project'!$O:$O,'[1]Grade Project'!$K:$K,H56,'[1]Grade Project'!$F:$F,$A$5,'[1]Grade Project'!$G:$G,$A$8),"")</f>
        <v/>
      </c>
      <c r="L56" t="str">
        <f t="shared" si="1"/>
        <v/>
      </c>
      <c r="M56" t="str">
        <f t="shared" si="2"/>
        <v/>
      </c>
      <c r="N56" t="str">
        <f t="shared" si="3"/>
        <v/>
      </c>
    </row>
    <row r="57" spans="2:14" x14ac:dyDescent="0.25">
      <c r="B57" t="s">
        <v>56</v>
      </c>
      <c r="F57" t="str">
        <f>IF(G56=0,"",INDEX('[1]Grade Project'!$G:$G,MATCH($A$5,'[1]Grade Project'!$F:$F,0)+SUM($G$3:G56)))</f>
        <v/>
      </c>
      <c r="G57">
        <f>COUNTIFS('[1]Grade Project'!$F:$F,$A$5,'[1]Grade Project'!$G:$G,F57)</f>
        <v>0</v>
      </c>
      <c r="H57" t="str">
        <f>IF(I56=0,"",INDEX('[1]Grade Project'!$K:$K,MATCH(CONCATENATE($A$5,$A$8),'[1]Grade Project'!$H:$H,0)+SUM($I$3:I56)))</f>
        <v/>
      </c>
      <c r="I57">
        <f>COUNTIFS('[1]Grade Project'!$G:$G,$A$8,'[1]Grade Project'!$K:$K,H57,'[1]Grade Project'!$F:$F,$A$5)</f>
        <v>0</v>
      </c>
      <c r="J57" t="str">
        <f>IFERROR(AVERAGEIFS('[1]Grade Project'!$N:$N,'[1]Grade Project'!$K:$K,H57,'[1]Grade Project'!$F:$F,$A$5,'[1]Grade Project'!$G:$G,$A$8),"")</f>
        <v/>
      </c>
      <c r="K57" t="str">
        <f>IFERROR(AVERAGEIFS('[1]Grade Project'!$O:$O,'[1]Grade Project'!$K:$K,H57,'[1]Grade Project'!$F:$F,$A$5,'[1]Grade Project'!$G:$G,$A$8),"")</f>
        <v/>
      </c>
      <c r="L57" t="str">
        <f t="shared" si="1"/>
        <v/>
      </c>
      <c r="M57" t="str">
        <f t="shared" si="2"/>
        <v/>
      </c>
      <c r="N57" t="str">
        <f t="shared" si="3"/>
        <v/>
      </c>
    </row>
    <row r="58" spans="2:14" x14ac:dyDescent="0.25">
      <c r="B58" t="s">
        <v>57</v>
      </c>
      <c r="F58" t="str">
        <f>IF(G57=0,"",INDEX('[1]Grade Project'!$G:$G,MATCH($A$5,'[1]Grade Project'!$F:$F,0)+SUM($G$3:G57)))</f>
        <v/>
      </c>
      <c r="G58">
        <f>COUNTIFS('[1]Grade Project'!$F:$F,$A$5,'[1]Grade Project'!$G:$G,F58)</f>
        <v>0</v>
      </c>
      <c r="H58" t="str">
        <f>IF(I57=0,"",INDEX('[1]Grade Project'!$K:$K,MATCH(CONCATENATE($A$5,$A$8),'[1]Grade Project'!$H:$H,0)+SUM($I$3:I57)))</f>
        <v/>
      </c>
      <c r="I58">
        <f>COUNTIFS('[1]Grade Project'!$G:$G,$A$8,'[1]Grade Project'!$K:$K,H58,'[1]Grade Project'!$F:$F,$A$5)</f>
        <v>0</v>
      </c>
      <c r="J58" t="str">
        <f>IFERROR(AVERAGEIFS('[1]Grade Project'!$N:$N,'[1]Grade Project'!$K:$K,H58,'[1]Grade Project'!$F:$F,$A$5,'[1]Grade Project'!$G:$G,$A$8),"")</f>
        <v/>
      </c>
      <c r="K58" t="str">
        <f>IFERROR(AVERAGEIFS('[1]Grade Project'!$O:$O,'[1]Grade Project'!$K:$K,H58,'[1]Grade Project'!$F:$F,$A$5,'[1]Grade Project'!$G:$G,$A$8),"")</f>
        <v/>
      </c>
      <c r="L58" t="str">
        <f t="shared" si="1"/>
        <v/>
      </c>
      <c r="M58" t="str">
        <f t="shared" si="2"/>
        <v/>
      </c>
      <c r="N58" t="str">
        <f t="shared" si="3"/>
        <v/>
      </c>
    </row>
    <row r="59" spans="2:14" x14ac:dyDescent="0.25">
      <c r="B59" t="s">
        <v>58</v>
      </c>
      <c r="F59" t="str">
        <f>IF(G58=0,"",INDEX('[1]Grade Project'!$G:$G,MATCH($A$5,'[1]Grade Project'!$F:$F,0)+SUM($G$3:G58)))</f>
        <v/>
      </c>
      <c r="G59">
        <f>COUNTIFS('[1]Grade Project'!$F:$F,$A$5,'[1]Grade Project'!$G:$G,F59)</f>
        <v>0</v>
      </c>
      <c r="H59" t="str">
        <f>IF(I58=0,"",INDEX('[1]Grade Project'!$K:$K,MATCH(CONCATENATE($A$5,$A$8),'[1]Grade Project'!$H:$H,0)+SUM($I$3:I58)))</f>
        <v/>
      </c>
      <c r="I59">
        <f>COUNTIFS('[1]Grade Project'!$G:$G,$A$8,'[1]Grade Project'!$K:$K,H59,'[1]Grade Project'!$F:$F,$A$5)</f>
        <v>0</v>
      </c>
      <c r="J59" t="str">
        <f>IFERROR(AVERAGEIFS('[1]Grade Project'!$N:$N,'[1]Grade Project'!$K:$K,H59,'[1]Grade Project'!$F:$F,$A$5,'[1]Grade Project'!$G:$G,$A$8),"")</f>
        <v/>
      </c>
      <c r="K59" t="str">
        <f>IFERROR(AVERAGEIFS('[1]Grade Project'!$O:$O,'[1]Grade Project'!$K:$K,H59,'[1]Grade Project'!$F:$F,$A$5,'[1]Grade Project'!$G:$G,$A$8),"")</f>
        <v/>
      </c>
      <c r="L59" t="str">
        <f t="shared" si="1"/>
        <v/>
      </c>
      <c r="M59" t="str">
        <f t="shared" si="2"/>
        <v/>
      </c>
      <c r="N59" t="str">
        <f t="shared" si="3"/>
        <v/>
      </c>
    </row>
    <row r="60" spans="2:14" x14ac:dyDescent="0.25">
      <c r="B60" t="s">
        <v>59</v>
      </c>
      <c r="F60" t="str">
        <f>IF(G59=0,"",INDEX('[1]Grade Project'!$G:$G,MATCH($A$5,'[1]Grade Project'!$F:$F,0)+SUM($G$3:G59)))</f>
        <v/>
      </c>
      <c r="G60">
        <f>COUNTIFS('[1]Grade Project'!$F:$F,$A$5,'[1]Grade Project'!$G:$G,F60)</f>
        <v>0</v>
      </c>
      <c r="H60" t="str">
        <f>IF(I59=0,"",INDEX('[1]Grade Project'!$K:$K,MATCH(CONCATENATE($A$5,$A$8),'[1]Grade Project'!$H:$H,0)+SUM($I$3:I59)))</f>
        <v/>
      </c>
      <c r="I60">
        <f>COUNTIFS('[1]Grade Project'!$G:$G,$A$8,'[1]Grade Project'!$K:$K,H60,'[1]Grade Project'!$F:$F,$A$5)</f>
        <v>0</v>
      </c>
      <c r="J60" t="str">
        <f>IFERROR(AVERAGEIFS('[1]Grade Project'!$N:$N,'[1]Grade Project'!$K:$K,H60,'[1]Grade Project'!$F:$F,$A$5,'[1]Grade Project'!$G:$G,$A$8),"")</f>
        <v/>
      </c>
      <c r="K60" t="str">
        <f>IFERROR(AVERAGEIFS('[1]Grade Project'!$O:$O,'[1]Grade Project'!$K:$K,H60,'[1]Grade Project'!$F:$F,$A$5,'[1]Grade Project'!$G:$G,$A$8),"")</f>
        <v/>
      </c>
      <c r="L60" t="str">
        <f t="shared" si="1"/>
        <v/>
      </c>
      <c r="M60" t="str">
        <f t="shared" si="2"/>
        <v/>
      </c>
      <c r="N60" t="str">
        <f t="shared" si="3"/>
        <v/>
      </c>
    </row>
    <row r="61" spans="2:14" x14ac:dyDescent="0.25">
      <c r="B61" t="s">
        <v>60</v>
      </c>
      <c r="F61" t="str">
        <f>IF(G60=0,"",INDEX('[1]Grade Project'!$G:$G,MATCH($A$5,'[1]Grade Project'!$F:$F,0)+SUM($G$3:G60)))</f>
        <v/>
      </c>
      <c r="G61">
        <f>COUNTIFS('[1]Grade Project'!$F:$F,$A$5,'[1]Grade Project'!$G:$G,F61)</f>
        <v>0</v>
      </c>
      <c r="H61" t="str">
        <f>IF(I60=0,"",INDEX('[1]Grade Project'!$K:$K,MATCH(CONCATENATE($A$5,$A$8),'[1]Grade Project'!$H:$H,0)+SUM($I$3:I60)))</f>
        <v/>
      </c>
      <c r="I61">
        <f>COUNTIFS('[1]Grade Project'!$G:$G,$A$8,'[1]Grade Project'!$K:$K,H61,'[1]Grade Project'!$F:$F,$A$5)</f>
        <v>0</v>
      </c>
      <c r="J61" t="str">
        <f>IFERROR(AVERAGEIFS('[1]Grade Project'!$N:$N,'[1]Grade Project'!$K:$K,H61,'[1]Grade Project'!$F:$F,$A$5,'[1]Grade Project'!$G:$G,$A$8),"")</f>
        <v/>
      </c>
      <c r="K61" t="str">
        <f>IFERROR(AVERAGEIFS('[1]Grade Project'!$O:$O,'[1]Grade Project'!$K:$K,H61,'[1]Grade Project'!$F:$F,$A$5,'[1]Grade Project'!$G:$G,$A$8),"")</f>
        <v/>
      </c>
      <c r="L61" t="str">
        <f t="shared" si="1"/>
        <v/>
      </c>
      <c r="M61" t="str">
        <f t="shared" si="2"/>
        <v/>
      </c>
      <c r="N61" t="str">
        <f t="shared" si="3"/>
        <v/>
      </c>
    </row>
    <row r="62" spans="2:14" x14ac:dyDescent="0.25">
      <c r="B62" t="s">
        <v>61</v>
      </c>
      <c r="F62" t="str">
        <f>IF(G61=0,"",INDEX('[1]Grade Project'!$G:$G,MATCH($A$5,'[1]Grade Project'!$F:$F,0)+SUM($G$3:G61)))</f>
        <v/>
      </c>
      <c r="G62">
        <f>COUNTIFS('[1]Grade Project'!$F:$F,$A$5,'[1]Grade Project'!$G:$G,F62)</f>
        <v>0</v>
      </c>
      <c r="H62" t="str">
        <f>IF(I61=0,"",INDEX('[1]Grade Project'!$K:$K,MATCH(CONCATENATE($A$5,$A$8),'[1]Grade Project'!$H:$H,0)+SUM($I$3:I61)))</f>
        <v/>
      </c>
      <c r="I62">
        <f>COUNTIFS('[1]Grade Project'!$G:$G,$A$8,'[1]Grade Project'!$K:$K,H62,'[1]Grade Project'!$F:$F,$A$5)</f>
        <v>0</v>
      </c>
      <c r="J62" t="str">
        <f>IFERROR(AVERAGEIFS('[1]Grade Project'!$N:$N,'[1]Grade Project'!$K:$K,H62,'[1]Grade Project'!$F:$F,$A$5,'[1]Grade Project'!$G:$G,$A$8),"")</f>
        <v/>
      </c>
      <c r="K62" t="str">
        <f>IFERROR(AVERAGEIFS('[1]Grade Project'!$O:$O,'[1]Grade Project'!$K:$K,H62,'[1]Grade Project'!$F:$F,$A$5,'[1]Grade Project'!$G:$G,$A$8),"")</f>
        <v/>
      </c>
      <c r="L62" t="str">
        <f t="shared" si="1"/>
        <v/>
      </c>
      <c r="M62" t="str">
        <f t="shared" si="2"/>
        <v/>
      </c>
      <c r="N62" t="str">
        <f t="shared" si="3"/>
        <v/>
      </c>
    </row>
    <row r="63" spans="2:14" x14ac:dyDescent="0.25">
      <c r="B63" t="s">
        <v>62</v>
      </c>
      <c r="F63" t="str">
        <f>IF(G62=0,"",INDEX('[1]Grade Project'!$G:$G,MATCH($A$5,'[1]Grade Project'!$F:$F,0)+SUM($G$3:G62)))</f>
        <v/>
      </c>
      <c r="G63">
        <f>COUNTIFS('[1]Grade Project'!$F:$F,$A$5,'[1]Grade Project'!$G:$G,F63)</f>
        <v>0</v>
      </c>
      <c r="H63" t="str">
        <f>IF(I62=0,"",INDEX('[1]Grade Project'!$K:$K,MATCH(CONCATENATE($A$5,$A$8),'[1]Grade Project'!$H:$H,0)+SUM($I$3:I62)))</f>
        <v/>
      </c>
      <c r="I63">
        <f>COUNTIFS('[1]Grade Project'!$G:$G,$A$8,'[1]Grade Project'!$K:$K,H63,'[1]Grade Project'!$F:$F,$A$5)</f>
        <v>0</v>
      </c>
      <c r="J63" t="str">
        <f>IFERROR(AVERAGEIFS('[1]Grade Project'!$N:$N,'[1]Grade Project'!$K:$K,H63,'[1]Grade Project'!$F:$F,$A$5,'[1]Grade Project'!$G:$G,$A$8),"")</f>
        <v/>
      </c>
      <c r="K63" t="str">
        <f>IFERROR(AVERAGEIFS('[1]Grade Project'!$O:$O,'[1]Grade Project'!$K:$K,H63,'[1]Grade Project'!$F:$F,$A$5,'[1]Grade Project'!$G:$G,$A$8),"")</f>
        <v/>
      </c>
      <c r="L63" t="str">
        <f t="shared" si="1"/>
        <v/>
      </c>
      <c r="M63" t="str">
        <f t="shared" si="2"/>
        <v/>
      </c>
      <c r="N63" t="str">
        <f t="shared" si="3"/>
        <v/>
      </c>
    </row>
    <row r="64" spans="2:14" x14ac:dyDescent="0.25">
      <c r="B64" t="s">
        <v>63</v>
      </c>
      <c r="F64" t="str">
        <f>IF(G63=0,"",INDEX('[1]Grade Project'!$G:$G,MATCH($A$5,'[1]Grade Project'!$F:$F,0)+SUM($G$3:G63)))</f>
        <v/>
      </c>
      <c r="G64">
        <f>COUNTIFS('[1]Grade Project'!$F:$F,$A$5,'[1]Grade Project'!$G:$G,F64)</f>
        <v>0</v>
      </c>
      <c r="H64" t="str">
        <f>IF(I63=0,"",INDEX('[1]Grade Project'!$K:$K,MATCH(CONCATENATE($A$5,$A$8),'[1]Grade Project'!$H:$H,0)+SUM($I$3:I63)))</f>
        <v/>
      </c>
      <c r="I64">
        <f>COUNTIFS('[1]Grade Project'!$G:$G,$A$8,'[1]Grade Project'!$K:$K,H64,'[1]Grade Project'!$F:$F,$A$5)</f>
        <v>0</v>
      </c>
      <c r="J64" t="str">
        <f>IFERROR(AVERAGEIFS('[1]Grade Project'!$N:$N,'[1]Grade Project'!$K:$K,H64,'[1]Grade Project'!$F:$F,$A$5,'[1]Grade Project'!$G:$G,$A$8),"")</f>
        <v/>
      </c>
      <c r="K64" t="str">
        <f>IFERROR(AVERAGEIFS('[1]Grade Project'!$O:$O,'[1]Grade Project'!$K:$K,H64,'[1]Grade Project'!$F:$F,$A$5,'[1]Grade Project'!$G:$G,$A$8),"")</f>
        <v/>
      </c>
      <c r="L64" t="str">
        <f t="shared" si="1"/>
        <v/>
      </c>
      <c r="M64" t="str">
        <f t="shared" si="2"/>
        <v/>
      </c>
      <c r="N64" t="str">
        <f t="shared" si="3"/>
        <v/>
      </c>
    </row>
    <row r="65" spans="2:14" x14ac:dyDescent="0.25">
      <c r="B65" t="s">
        <v>64</v>
      </c>
      <c r="F65" t="str">
        <f>IF(G64=0,"",INDEX('[1]Grade Project'!$G:$G,MATCH($A$5,'[1]Grade Project'!$F:$F,0)+SUM($G$3:G64)))</f>
        <v/>
      </c>
      <c r="G65">
        <f>COUNTIFS('[1]Grade Project'!$F:$F,$A$5,'[1]Grade Project'!$G:$G,F65)</f>
        <v>0</v>
      </c>
      <c r="H65" t="str">
        <f>IF(I64=0,"",INDEX('[1]Grade Project'!$K:$K,MATCH(CONCATENATE($A$5,$A$8),'[1]Grade Project'!$H:$H,0)+SUM($I$3:I64)))</f>
        <v/>
      </c>
      <c r="I65">
        <f>COUNTIFS('[1]Grade Project'!$G:$G,$A$8,'[1]Grade Project'!$K:$K,H65,'[1]Grade Project'!$F:$F,$A$5)</f>
        <v>0</v>
      </c>
      <c r="J65" t="str">
        <f>IFERROR(AVERAGEIFS('[1]Grade Project'!$N:$N,'[1]Grade Project'!$K:$K,H65,'[1]Grade Project'!$F:$F,$A$5,'[1]Grade Project'!$G:$G,$A$8),"")</f>
        <v/>
      </c>
      <c r="K65" t="str">
        <f>IFERROR(AVERAGEIFS('[1]Grade Project'!$O:$O,'[1]Grade Project'!$K:$K,H65,'[1]Grade Project'!$F:$F,$A$5,'[1]Grade Project'!$G:$G,$A$8),"")</f>
        <v/>
      </c>
      <c r="L65" t="str">
        <f t="shared" si="1"/>
        <v/>
      </c>
      <c r="M65" t="str">
        <f t="shared" si="2"/>
        <v/>
      </c>
      <c r="N65" t="str">
        <f t="shared" si="3"/>
        <v/>
      </c>
    </row>
    <row r="66" spans="2:14" x14ac:dyDescent="0.25">
      <c r="B66" t="s">
        <v>65</v>
      </c>
      <c r="F66" t="str">
        <f>IF(G65=0,"",INDEX('[1]Grade Project'!$G:$G,MATCH($A$5,'[1]Grade Project'!$F:$F,0)+SUM($G$3:G65)))</f>
        <v/>
      </c>
      <c r="G66">
        <f>COUNTIFS('[1]Grade Project'!$F:$F,$A$5,'[1]Grade Project'!$G:$G,F66)</f>
        <v>0</v>
      </c>
      <c r="H66" t="str">
        <f>IF(I65=0,"",INDEX('[1]Grade Project'!$K:$K,MATCH(CONCATENATE($A$5,$A$8),'[1]Grade Project'!$H:$H,0)+SUM($I$3:I65)))</f>
        <v/>
      </c>
      <c r="I66">
        <f>COUNTIFS('[1]Grade Project'!$G:$G,$A$8,'[1]Grade Project'!$K:$K,H66,'[1]Grade Project'!$F:$F,$A$5)</f>
        <v>0</v>
      </c>
      <c r="J66" t="str">
        <f>IFERROR(AVERAGEIFS('[1]Grade Project'!$N:$N,'[1]Grade Project'!$K:$K,H66,'[1]Grade Project'!$F:$F,$A$5,'[1]Grade Project'!$G:$G,$A$8),"")</f>
        <v/>
      </c>
      <c r="K66" t="str">
        <f>IFERROR(AVERAGEIFS('[1]Grade Project'!$O:$O,'[1]Grade Project'!$K:$K,H66,'[1]Grade Project'!$F:$F,$A$5,'[1]Grade Project'!$G:$G,$A$8),"")</f>
        <v/>
      </c>
      <c r="L66" t="str">
        <f t="shared" si="1"/>
        <v/>
      </c>
      <c r="M66" t="str">
        <f t="shared" si="2"/>
        <v/>
      </c>
      <c r="N66" t="str">
        <f t="shared" si="3"/>
        <v/>
      </c>
    </row>
    <row r="67" spans="2:14" x14ac:dyDescent="0.25">
      <c r="B67" t="s">
        <v>66</v>
      </c>
      <c r="F67" t="str">
        <f>IF(G66=0,"",INDEX('[1]Grade Project'!$G:$G,MATCH($A$5,'[1]Grade Project'!$F:$F,0)+SUM($G$3:G66)))</f>
        <v/>
      </c>
      <c r="G67">
        <f>COUNTIFS('[1]Grade Project'!$F:$F,$A$5,'[1]Grade Project'!$G:$G,F67)</f>
        <v>0</v>
      </c>
      <c r="H67" t="str">
        <f>IF(I66=0,"",INDEX('[1]Grade Project'!$K:$K,MATCH(CONCATENATE($A$5,$A$8),'[1]Grade Project'!$H:$H,0)+SUM($I$3:I66)))</f>
        <v/>
      </c>
      <c r="I67">
        <f>COUNTIFS('[1]Grade Project'!$G:$G,$A$8,'[1]Grade Project'!$K:$K,H67,'[1]Grade Project'!$F:$F,$A$5)</f>
        <v>0</v>
      </c>
      <c r="J67" t="str">
        <f>IFERROR(AVERAGEIFS('[1]Grade Project'!$N:$N,'[1]Grade Project'!$K:$K,H67,'[1]Grade Project'!$F:$F,$A$5,'[1]Grade Project'!$G:$G,$A$8),"")</f>
        <v/>
      </c>
      <c r="K67" t="str">
        <f>IFERROR(AVERAGEIFS('[1]Grade Project'!$O:$O,'[1]Grade Project'!$K:$K,H67,'[1]Grade Project'!$F:$F,$A$5,'[1]Grade Project'!$G:$G,$A$8),"")</f>
        <v/>
      </c>
      <c r="L67" t="str">
        <f t="shared" si="1"/>
        <v/>
      </c>
      <c r="M67" t="str">
        <f t="shared" si="2"/>
        <v/>
      </c>
      <c r="N67" t="str">
        <f t="shared" si="3"/>
        <v/>
      </c>
    </row>
    <row r="68" spans="2:14" x14ac:dyDescent="0.25">
      <c r="B68" t="s">
        <v>67</v>
      </c>
      <c r="F68" t="str">
        <f>IF(G67=0,"",INDEX('[1]Grade Project'!$G:$G,MATCH($A$5,'[1]Grade Project'!$F:$F,0)+SUM($G$3:G67)))</f>
        <v/>
      </c>
      <c r="G68">
        <f>COUNTIFS('[1]Grade Project'!$F:$F,$A$5,'[1]Grade Project'!$G:$G,F68)</f>
        <v>0</v>
      </c>
      <c r="H68" t="str">
        <f>IF(I67=0,"",INDEX('[1]Grade Project'!$K:$K,MATCH(CONCATENATE($A$5,$A$8),'[1]Grade Project'!$H:$H,0)+SUM($I$3:I67)))</f>
        <v/>
      </c>
      <c r="I68">
        <f>COUNTIFS('[1]Grade Project'!$G:$G,$A$8,'[1]Grade Project'!$K:$K,H68,'[1]Grade Project'!$F:$F,$A$5)</f>
        <v>0</v>
      </c>
      <c r="J68" t="str">
        <f>IFERROR(AVERAGEIFS('[1]Grade Project'!$N:$N,'[1]Grade Project'!$K:$K,H68,'[1]Grade Project'!$F:$F,$A$5,'[1]Grade Project'!$G:$G,$A$8),"")</f>
        <v/>
      </c>
      <c r="K68" t="str">
        <f>IFERROR(AVERAGEIFS('[1]Grade Project'!$O:$O,'[1]Grade Project'!$K:$K,H68,'[1]Grade Project'!$F:$F,$A$5,'[1]Grade Project'!$G:$G,$A$8),"")</f>
        <v/>
      </c>
      <c r="L68" t="str">
        <f t="shared" ref="L68:L131" si="4">IFERROR(K68/J68,"")</f>
        <v/>
      </c>
      <c r="M68" t="str">
        <f t="shared" ref="M68:M131" si="5">IFERROR(_xlfn.RANK.EQ(L68,L:L),"")</f>
        <v/>
      </c>
      <c r="N68" t="str">
        <f t="shared" ref="N68:N131" si="6">IFERROR(MAX(M:M)-M68+1,"")</f>
        <v/>
      </c>
    </row>
    <row r="69" spans="2:14" x14ac:dyDescent="0.25">
      <c r="B69" t="s">
        <v>68</v>
      </c>
      <c r="F69" t="str">
        <f>IF(G68=0,"",INDEX('[1]Grade Project'!$G:$G,MATCH($A$5,'[1]Grade Project'!$F:$F,0)+SUM($G$3:G68)))</f>
        <v/>
      </c>
      <c r="G69">
        <f>COUNTIFS('[1]Grade Project'!$F:$F,$A$5,'[1]Grade Project'!$G:$G,F69)</f>
        <v>0</v>
      </c>
      <c r="H69" t="str">
        <f>IF(I68=0,"",INDEX('[1]Grade Project'!$K:$K,MATCH(CONCATENATE($A$5,$A$8),'[1]Grade Project'!$H:$H,0)+SUM($I$3:I68)))</f>
        <v/>
      </c>
      <c r="I69">
        <f>COUNTIFS('[1]Grade Project'!$G:$G,$A$8,'[1]Grade Project'!$K:$K,H69,'[1]Grade Project'!$F:$F,$A$5)</f>
        <v>0</v>
      </c>
      <c r="J69" t="str">
        <f>IFERROR(AVERAGEIFS('[1]Grade Project'!$N:$N,'[1]Grade Project'!$K:$K,H69,'[1]Grade Project'!$F:$F,$A$5,'[1]Grade Project'!$G:$G,$A$8),"")</f>
        <v/>
      </c>
      <c r="K69" t="str">
        <f>IFERROR(AVERAGEIFS('[1]Grade Project'!$O:$O,'[1]Grade Project'!$K:$K,H69,'[1]Grade Project'!$F:$F,$A$5,'[1]Grade Project'!$G:$G,$A$8),"")</f>
        <v/>
      </c>
      <c r="L69" t="str">
        <f t="shared" si="4"/>
        <v/>
      </c>
      <c r="M69" t="str">
        <f t="shared" si="5"/>
        <v/>
      </c>
      <c r="N69" t="str">
        <f t="shared" si="6"/>
        <v/>
      </c>
    </row>
    <row r="70" spans="2:14" x14ac:dyDescent="0.25">
      <c r="B70" t="s">
        <v>69</v>
      </c>
      <c r="F70" t="str">
        <f>IF(G69=0,"",INDEX('[1]Grade Project'!$G:$G,MATCH($A$5,'[1]Grade Project'!$F:$F,0)+SUM($G$3:G69)))</f>
        <v/>
      </c>
      <c r="G70">
        <f>COUNTIFS('[1]Grade Project'!$F:$F,$A$5,'[1]Grade Project'!$G:$G,F70)</f>
        <v>0</v>
      </c>
      <c r="H70" t="str">
        <f>IF(I69=0,"",INDEX('[1]Grade Project'!$K:$K,MATCH(CONCATENATE($A$5,$A$8),'[1]Grade Project'!$H:$H,0)+SUM($I$3:I69)))</f>
        <v/>
      </c>
      <c r="I70">
        <f>COUNTIFS('[1]Grade Project'!$G:$G,$A$8,'[1]Grade Project'!$K:$K,H70,'[1]Grade Project'!$F:$F,$A$5)</f>
        <v>0</v>
      </c>
      <c r="J70" t="str">
        <f>IFERROR(AVERAGEIFS('[1]Grade Project'!$N:$N,'[1]Grade Project'!$K:$K,H70,'[1]Grade Project'!$F:$F,$A$5,'[1]Grade Project'!$G:$G,$A$8),"")</f>
        <v/>
      </c>
      <c r="K70" t="str">
        <f>IFERROR(AVERAGEIFS('[1]Grade Project'!$O:$O,'[1]Grade Project'!$K:$K,H70,'[1]Grade Project'!$F:$F,$A$5,'[1]Grade Project'!$G:$G,$A$8),"")</f>
        <v/>
      </c>
      <c r="L70" t="str">
        <f t="shared" si="4"/>
        <v/>
      </c>
      <c r="M70" t="str">
        <f t="shared" si="5"/>
        <v/>
      </c>
      <c r="N70" t="str">
        <f t="shared" si="6"/>
        <v/>
      </c>
    </row>
    <row r="71" spans="2:14" x14ac:dyDescent="0.25">
      <c r="B71" t="s">
        <v>70</v>
      </c>
      <c r="F71" t="str">
        <f>IF(G70=0,"",INDEX('[1]Grade Project'!$G:$G,MATCH($A$5,'[1]Grade Project'!$F:$F,0)+SUM($G$3:G70)))</f>
        <v/>
      </c>
      <c r="G71">
        <f>COUNTIFS('[1]Grade Project'!$F:$F,$A$5,'[1]Grade Project'!$G:$G,F71)</f>
        <v>0</v>
      </c>
      <c r="H71" t="str">
        <f>IF(I70=0,"",INDEX('[1]Grade Project'!$K:$K,MATCH(CONCATENATE($A$5,$A$8),'[1]Grade Project'!$H:$H,0)+SUM($I$3:I70)))</f>
        <v/>
      </c>
      <c r="I71">
        <f>COUNTIFS('[1]Grade Project'!$G:$G,$A$8,'[1]Grade Project'!$K:$K,H71,'[1]Grade Project'!$F:$F,$A$5)</f>
        <v>0</v>
      </c>
      <c r="J71" t="str">
        <f>IFERROR(AVERAGEIFS('[1]Grade Project'!$N:$N,'[1]Grade Project'!$K:$K,H71,'[1]Grade Project'!$F:$F,$A$5,'[1]Grade Project'!$G:$G,$A$8),"")</f>
        <v/>
      </c>
      <c r="K71" t="str">
        <f>IFERROR(AVERAGEIFS('[1]Grade Project'!$O:$O,'[1]Grade Project'!$K:$K,H71,'[1]Grade Project'!$F:$F,$A$5,'[1]Grade Project'!$G:$G,$A$8),"")</f>
        <v/>
      </c>
      <c r="L71" t="str">
        <f t="shared" si="4"/>
        <v/>
      </c>
      <c r="M71" t="str">
        <f t="shared" si="5"/>
        <v/>
      </c>
      <c r="N71" t="str">
        <f t="shared" si="6"/>
        <v/>
      </c>
    </row>
    <row r="72" spans="2:14" x14ac:dyDescent="0.25">
      <c r="B72" t="s">
        <v>71</v>
      </c>
      <c r="F72" t="str">
        <f>IF(G71=0,"",INDEX('[1]Grade Project'!$G:$G,MATCH($A$5,'[1]Grade Project'!$F:$F,0)+SUM($G$3:G71)))</f>
        <v/>
      </c>
      <c r="G72">
        <f>COUNTIFS('[1]Grade Project'!$F:$F,$A$5,'[1]Grade Project'!$G:$G,F72)</f>
        <v>0</v>
      </c>
      <c r="H72" t="str">
        <f>IF(I71=0,"",INDEX('[1]Grade Project'!$K:$K,MATCH(CONCATENATE($A$5,$A$8),'[1]Grade Project'!$H:$H,0)+SUM($I$3:I71)))</f>
        <v/>
      </c>
      <c r="I72">
        <f>COUNTIFS('[1]Grade Project'!$G:$G,$A$8,'[1]Grade Project'!$K:$K,H72,'[1]Grade Project'!$F:$F,$A$5)</f>
        <v>0</v>
      </c>
      <c r="J72" t="str">
        <f>IFERROR(AVERAGEIFS('[1]Grade Project'!$N:$N,'[1]Grade Project'!$K:$K,H72,'[1]Grade Project'!$F:$F,$A$5,'[1]Grade Project'!$G:$G,$A$8),"")</f>
        <v/>
      </c>
      <c r="K72" t="str">
        <f>IFERROR(AVERAGEIFS('[1]Grade Project'!$O:$O,'[1]Grade Project'!$K:$K,H72,'[1]Grade Project'!$F:$F,$A$5,'[1]Grade Project'!$G:$G,$A$8),"")</f>
        <v/>
      </c>
      <c r="L72" t="str">
        <f t="shared" si="4"/>
        <v/>
      </c>
      <c r="M72" t="str">
        <f t="shared" si="5"/>
        <v/>
      </c>
      <c r="N72" t="str">
        <f t="shared" si="6"/>
        <v/>
      </c>
    </row>
    <row r="73" spans="2:14" x14ac:dyDescent="0.25">
      <c r="B73" t="s">
        <v>72</v>
      </c>
      <c r="F73" t="str">
        <f>IF(G72=0,"",INDEX('[1]Grade Project'!$G:$G,MATCH($A$5,'[1]Grade Project'!$F:$F,0)+SUM($G$3:G72)))</f>
        <v/>
      </c>
      <c r="G73">
        <f>COUNTIFS('[1]Grade Project'!$F:$F,$A$5,'[1]Grade Project'!$G:$G,F73)</f>
        <v>0</v>
      </c>
      <c r="H73" t="str">
        <f>IF(I72=0,"",INDEX('[1]Grade Project'!$K:$K,MATCH(CONCATENATE($A$5,$A$8),'[1]Grade Project'!$H:$H,0)+SUM($I$3:I72)))</f>
        <v/>
      </c>
      <c r="I73">
        <f>COUNTIFS('[1]Grade Project'!$G:$G,$A$8,'[1]Grade Project'!$K:$K,H73,'[1]Grade Project'!$F:$F,$A$5)</f>
        <v>0</v>
      </c>
      <c r="J73" t="str">
        <f>IFERROR(AVERAGEIFS('[1]Grade Project'!$N:$N,'[1]Grade Project'!$K:$K,H73,'[1]Grade Project'!$F:$F,$A$5,'[1]Grade Project'!$G:$G,$A$8),"")</f>
        <v/>
      </c>
      <c r="K73" t="str">
        <f>IFERROR(AVERAGEIFS('[1]Grade Project'!$O:$O,'[1]Grade Project'!$K:$K,H73,'[1]Grade Project'!$F:$F,$A$5,'[1]Grade Project'!$G:$G,$A$8),"")</f>
        <v/>
      </c>
      <c r="L73" t="str">
        <f t="shared" si="4"/>
        <v/>
      </c>
      <c r="M73" t="str">
        <f t="shared" si="5"/>
        <v/>
      </c>
      <c r="N73" t="str">
        <f t="shared" si="6"/>
        <v/>
      </c>
    </row>
    <row r="74" spans="2:14" x14ac:dyDescent="0.25">
      <c r="B74" t="s">
        <v>73</v>
      </c>
      <c r="F74" t="str">
        <f>IF(G73=0,"",INDEX('[1]Grade Project'!$G:$G,MATCH($A$5,'[1]Grade Project'!$F:$F,0)+SUM($G$3:G73)))</f>
        <v/>
      </c>
      <c r="G74">
        <f>COUNTIFS('[1]Grade Project'!$F:$F,$A$5,'[1]Grade Project'!$G:$G,F74)</f>
        <v>0</v>
      </c>
      <c r="H74" t="str">
        <f>IF(I73=0,"",INDEX('[1]Grade Project'!$K:$K,MATCH(CONCATENATE($A$5,$A$8),'[1]Grade Project'!$H:$H,0)+SUM($I$3:I73)))</f>
        <v/>
      </c>
      <c r="I74">
        <f>COUNTIFS('[1]Grade Project'!$G:$G,$A$8,'[1]Grade Project'!$K:$K,H74,'[1]Grade Project'!$F:$F,$A$5)</f>
        <v>0</v>
      </c>
      <c r="J74" t="str">
        <f>IFERROR(AVERAGEIFS('[1]Grade Project'!$N:$N,'[1]Grade Project'!$K:$K,H74,'[1]Grade Project'!$F:$F,$A$5,'[1]Grade Project'!$G:$G,$A$8),"")</f>
        <v/>
      </c>
      <c r="K74" t="str">
        <f>IFERROR(AVERAGEIFS('[1]Grade Project'!$O:$O,'[1]Grade Project'!$K:$K,H74,'[1]Grade Project'!$F:$F,$A$5,'[1]Grade Project'!$G:$G,$A$8),"")</f>
        <v/>
      </c>
      <c r="L74" t="str">
        <f t="shared" si="4"/>
        <v/>
      </c>
      <c r="M74" t="str">
        <f t="shared" si="5"/>
        <v/>
      </c>
      <c r="N74" t="str">
        <f t="shared" si="6"/>
        <v/>
      </c>
    </row>
    <row r="75" spans="2:14" x14ac:dyDescent="0.25">
      <c r="B75" t="s">
        <v>74</v>
      </c>
      <c r="F75" t="str">
        <f>IF(G74=0,"",INDEX('[1]Grade Project'!$G:$G,MATCH($A$5,'[1]Grade Project'!$F:$F,0)+SUM($G$3:G74)))</f>
        <v/>
      </c>
      <c r="G75">
        <f>COUNTIFS('[1]Grade Project'!$F:$F,$A$5,'[1]Grade Project'!$G:$G,F75)</f>
        <v>0</v>
      </c>
      <c r="H75" t="str">
        <f>IF(I74=0,"",INDEX('[1]Grade Project'!$K:$K,MATCH(CONCATENATE($A$5,$A$8),'[1]Grade Project'!$H:$H,0)+SUM($I$3:I74)))</f>
        <v/>
      </c>
      <c r="I75">
        <f>COUNTIFS('[1]Grade Project'!$G:$G,$A$8,'[1]Grade Project'!$K:$K,H75,'[1]Grade Project'!$F:$F,$A$5)</f>
        <v>0</v>
      </c>
      <c r="J75" t="str">
        <f>IFERROR(AVERAGEIFS('[1]Grade Project'!$N:$N,'[1]Grade Project'!$K:$K,H75,'[1]Grade Project'!$F:$F,$A$5,'[1]Grade Project'!$G:$G,$A$8),"")</f>
        <v/>
      </c>
      <c r="K75" t="str">
        <f>IFERROR(AVERAGEIFS('[1]Grade Project'!$O:$O,'[1]Grade Project'!$K:$K,H75,'[1]Grade Project'!$F:$F,$A$5,'[1]Grade Project'!$G:$G,$A$8),"")</f>
        <v/>
      </c>
      <c r="L75" t="str">
        <f t="shared" si="4"/>
        <v/>
      </c>
      <c r="M75" t="str">
        <f t="shared" si="5"/>
        <v/>
      </c>
      <c r="N75" t="str">
        <f t="shared" si="6"/>
        <v/>
      </c>
    </row>
    <row r="76" spans="2:14" x14ac:dyDescent="0.25">
      <c r="B76" t="s">
        <v>75</v>
      </c>
      <c r="F76" t="str">
        <f>IF(G75=0,"",INDEX('[1]Grade Project'!$G:$G,MATCH($A$5,'[1]Grade Project'!$F:$F,0)+SUM($G$3:G75)))</f>
        <v/>
      </c>
      <c r="G76">
        <f>COUNTIFS('[1]Grade Project'!$F:$F,$A$5,'[1]Grade Project'!$G:$G,F76)</f>
        <v>0</v>
      </c>
      <c r="H76" t="str">
        <f>IF(I75=0,"",INDEX('[1]Grade Project'!$K:$K,MATCH(CONCATENATE($A$5,$A$8),'[1]Grade Project'!$H:$H,0)+SUM($I$3:I75)))</f>
        <v/>
      </c>
      <c r="I76">
        <f>COUNTIFS('[1]Grade Project'!$G:$G,$A$8,'[1]Grade Project'!$K:$K,H76,'[1]Grade Project'!$F:$F,$A$5)</f>
        <v>0</v>
      </c>
      <c r="J76" t="str">
        <f>IFERROR(AVERAGEIFS('[1]Grade Project'!$N:$N,'[1]Grade Project'!$K:$K,H76,'[1]Grade Project'!$F:$F,$A$5,'[1]Grade Project'!$G:$G,$A$8),"")</f>
        <v/>
      </c>
      <c r="K76" t="str">
        <f>IFERROR(AVERAGEIFS('[1]Grade Project'!$O:$O,'[1]Grade Project'!$K:$K,H76,'[1]Grade Project'!$F:$F,$A$5,'[1]Grade Project'!$G:$G,$A$8),"")</f>
        <v/>
      </c>
      <c r="L76" t="str">
        <f t="shared" si="4"/>
        <v/>
      </c>
      <c r="M76" t="str">
        <f t="shared" si="5"/>
        <v/>
      </c>
      <c r="N76" t="str">
        <f t="shared" si="6"/>
        <v/>
      </c>
    </row>
    <row r="77" spans="2:14" x14ac:dyDescent="0.25">
      <c r="B77" t="s">
        <v>76</v>
      </c>
      <c r="F77" t="str">
        <f>IF(G76=0,"",INDEX('[1]Grade Project'!$G:$G,MATCH($A$5,'[1]Grade Project'!$F:$F,0)+SUM($G$3:G76)))</f>
        <v/>
      </c>
      <c r="G77">
        <f>COUNTIFS('[1]Grade Project'!$F:$F,$A$5,'[1]Grade Project'!$G:$G,F77)</f>
        <v>0</v>
      </c>
      <c r="H77" t="str">
        <f>IF(I76=0,"",INDEX('[1]Grade Project'!$K:$K,MATCH(CONCATENATE($A$5,$A$8),'[1]Grade Project'!$H:$H,0)+SUM($I$3:I76)))</f>
        <v/>
      </c>
      <c r="I77">
        <f>COUNTIFS('[1]Grade Project'!$G:$G,$A$8,'[1]Grade Project'!$K:$K,H77,'[1]Grade Project'!$F:$F,$A$5)</f>
        <v>0</v>
      </c>
      <c r="J77" t="str">
        <f>IFERROR(AVERAGEIFS('[1]Grade Project'!$N:$N,'[1]Grade Project'!$K:$K,H77,'[1]Grade Project'!$F:$F,$A$5,'[1]Grade Project'!$G:$G,$A$8),"")</f>
        <v/>
      </c>
      <c r="K77" t="str">
        <f>IFERROR(AVERAGEIFS('[1]Grade Project'!$O:$O,'[1]Grade Project'!$K:$K,H77,'[1]Grade Project'!$F:$F,$A$5,'[1]Grade Project'!$G:$G,$A$8),"")</f>
        <v/>
      </c>
      <c r="L77" t="str">
        <f t="shared" si="4"/>
        <v/>
      </c>
      <c r="M77" t="str">
        <f t="shared" si="5"/>
        <v/>
      </c>
      <c r="N77" t="str">
        <f t="shared" si="6"/>
        <v/>
      </c>
    </row>
    <row r="78" spans="2:14" x14ac:dyDescent="0.25">
      <c r="B78" t="s">
        <v>77</v>
      </c>
      <c r="F78" t="str">
        <f>IF(G77=0,"",INDEX('[1]Grade Project'!$G:$G,MATCH($A$5,'[1]Grade Project'!$F:$F,0)+SUM($G$3:G77)))</f>
        <v/>
      </c>
      <c r="G78">
        <f>COUNTIFS('[1]Grade Project'!$F:$F,$A$5,'[1]Grade Project'!$G:$G,F78)</f>
        <v>0</v>
      </c>
      <c r="H78" t="str">
        <f>IF(I77=0,"",INDEX('[1]Grade Project'!$K:$K,MATCH(CONCATENATE($A$5,$A$8),'[1]Grade Project'!$H:$H,0)+SUM($I$3:I77)))</f>
        <v/>
      </c>
      <c r="I78">
        <f>COUNTIFS('[1]Grade Project'!$G:$G,$A$8,'[1]Grade Project'!$K:$K,H78,'[1]Grade Project'!$F:$F,$A$5)</f>
        <v>0</v>
      </c>
      <c r="J78" t="str">
        <f>IFERROR(AVERAGEIFS('[1]Grade Project'!$N:$N,'[1]Grade Project'!$K:$K,H78,'[1]Grade Project'!$F:$F,$A$5,'[1]Grade Project'!$G:$G,$A$8),"")</f>
        <v/>
      </c>
      <c r="K78" t="str">
        <f>IFERROR(AVERAGEIFS('[1]Grade Project'!$O:$O,'[1]Grade Project'!$K:$K,H78,'[1]Grade Project'!$F:$F,$A$5,'[1]Grade Project'!$G:$G,$A$8),"")</f>
        <v/>
      </c>
      <c r="L78" t="str">
        <f t="shared" si="4"/>
        <v/>
      </c>
      <c r="M78" t="str">
        <f t="shared" si="5"/>
        <v/>
      </c>
      <c r="N78" t="str">
        <f t="shared" si="6"/>
        <v/>
      </c>
    </row>
    <row r="79" spans="2:14" x14ac:dyDescent="0.25">
      <c r="B79" t="s">
        <v>78</v>
      </c>
      <c r="F79" t="str">
        <f>IF(G78=0,"",INDEX('[1]Grade Project'!$G:$G,MATCH($A$5,'[1]Grade Project'!$F:$F,0)+SUM($G$3:G78)))</f>
        <v/>
      </c>
      <c r="G79">
        <f>COUNTIFS('[1]Grade Project'!$F:$F,$A$5,'[1]Grade Project'!$G:$G,F79)</f>
        <v>0</v>
      </c>
      <c r="H79" t="str">
        <f>IF(I78=0,"",INDEX('[1]Grade Project'!$K:$K,MATCH(CONCATENATE($A$5,$A$8),'[1]Grade Project'!$H:$H,0)+SUM($I$3:I78)))</f>
        <v/>
      </c>
      <c r="I79">
        <f>COUNTIFS('[1]Grade Project'!$G:$G,$A$8,'[1]Grade Project'!$K:$K,H79,'[1]Grade Project'!$F:$F,$A$5)</f>
        <v>0</v>
      </c>
      <c r="J79" t="str">
        <f>IFERROR(AVERAGEIFS('[1]Grade Project'!$N:$N,'[1]Grade Project'!$K:$K,H79,'[1]Grade Project'!$F:$F,$A$5,'[1]Grade Project'!$G:$G,$A$8),"")</f>
        <v/>
      </c>
      <c r="K79" t="str">
        <f>IFERROR(AVERAGEIFS('[1]Grade Project'!$O:$O,'[1]Grade Project'!$K:$K,H79,'[1]Grade Project'!$F:$F,$A$5,'[1]Grade Project'!$G:$G,$A$8),"")</f>
        <v/>
      </c>
      <c r="L79" t="str">
        <f t="shared" si="4"/>
        <v/>
      </c>
      <c r="M79" t="str">
        <f t="shared" si="5"/>
        <v/>
      </c>
      <c r="N79" t="str">
        <f t="shared" si="6"/>
        <v/>
      </c>
    </row>
    <row r="80" spans="2:14" x14ac:dyDescent="0.25">
      <c r="B80" t="s">
        <v>79</v>
      </c>
      <c r="F80" t="str">
        <f>IF(G79=0,"",INDEX('[1]Grade Project'!$G:$G,MATCH($A$5,'[1]Grade Project'!$F:$F,0)+SUM($G$3:G79)))</f>
        <v/>
      </c>
      <c r="G80">
        <f>COUNTIFS('[1]Grade Project'!$F:$F,$A$5,'[1]Grade Project'!$G:$G,F80)</f>
        <v>0</v>
      </c>
      <c r="H80" t="str">
        <f>IF(I79=0,"",INDEX('[1]Grade Project'!$K:$K,MATCH(CONCATENATE($A$5,$A$8),'[1]Grade Project'!$H:$H,0)+SUM($I$3:I79)))</f>
        <v/>
      </c>
      <c r="I80">
        <f>COUNTIFS('[1]Grade Project'!$G:$G,$A$8,'[1]Grade Project'!$K:$K,H80,'[1]Grade Project'!$F:$F,$A$5)</f>
        <v>0</v>
      </c>
      <c r="J80" t="str">
        <f>IFERROR(AVERAGEIFS('[1]Grade Project'!$N:$N,'[1]Grade Project'!$K:$K,H80,'[1]Grade Project'!$F:$F,$A$5,'[1]Grade Project'!$G:$G,$A$8),"")</f>
        <v/>
      </c>
      <c r="K80" t="str">
        <f>IFERROR(AVERAGEIFS('[1]Grade Project'!$O:$O,'[1]Grade Project'!$K:$K,H80,'[1]Grade Project'!$F:$F,$A$5,'[1]Grade Project'!$G:$G,$A$8),"")</f>
        <v/>
      </c>
      <c r="L80" t="str">
        <f t="shared" si="4"/>
        <v/>
      </c>
      <c r="M80" t="str">
        <f t="shared" si="5"/>
        <v/>
      </c>
      <c r="N80" t="str">
        <f t="shared" si="6"/>
        <v/>
      </c>
    </row>
    <row r="81" spans="2:14" x14ac:dyDescent="0.25">
      <c r="B81" t="s">
        <v>80</v>
      </c>
      <c r="F81" t="str">
        <f>IF(G80=0,"",INDEX('[1]Grade Project'!$G:$G,MATCH($A$5,'[1]Grade Project'!$F:$F,0)+SUM($G$3:G80)))</f>
        <v/>
      </c>
      <c r="G81">
        <f>COUNTIFS('[1]Grade Project'!$F:$F,$A$5,'[1]Grade Project'!$G:$G,F81)</f>
        <v>0</v>
      </c>
      <c r="H81" t="str">
        <f>IF(I80=0,"",INDEX('[1]Grade Project'!$K:$K,MATCH(CONCATENATE($A$5,$A$8),'[1]Grade Project'!$H:$H,0)+SUM($I$3:I80)))</f>
        <v/>
      </c>
      <c r="I81">
        <f>COUNTIFS('[1]Grade Project'!$G:$G,$A$8,'[1]Grade Project'!$K:$K,H81,'[1]Grade Project'!$F:$F,$A$5)</f>
        <v>0</v>
      </c>
      <c r="J81" t="str">
        <f>IFERROR(AVERAGEIFS('[1]Grade Project'!$N:$N,'[1]Grade Project'!$K:$K,H81,'[1]Grade Project'!$F:$F,$A$5,'[1]Grade Project'!$G:$G,$A$8),"")</f>
        <v/>
      </c>
      <c r="K81" t="str">
        <f>IFERROR(AVERAGEIFS('[1]Grade Project'!$O:$O,'[1]Grade Project'!$K:$K,H81,'[1]Grade Project'!$F:$F,$A$5,'[1]Grade Project'!$G:$G,$A$8),"")</f>
        <v/>
      </c>
      <c r="L81" t="str">
        <f t="shared" si="4"/>
        <v/>
      </c>
      <c r="M81" t="str">
        <f t="shared" si="5"/>
        <v/>
      </c>
      <c r="N81" t="str">
        <f t="shared" si="6"/>
        <v/>
      </c>
    </row>
    <row r="82" spans="2:14" x14ac:dyDescent="0.25">
      <c r="B82" t="s">
        <v>81</v>
      </c>
      <c r="F82" t="str">
        <f>IF(G81=0,"",INDEX('[1]Grade Project'!$G:$G,MATCH($A$5,'[1]Grade Project'!$F:$F,0)+SUM($G$3:G81)))</f>
        <v/>
      </c>
      <c r="G82">
        <f>COUNTIFS('[1]Grade Project'!$F:$F,$A$5,'[1]Grade Project'!$G:$G,F82)</f>
        <v>0</v>
      </c>
      <c r="H82" t="str">
        <f>IF(I81=0,"",INDEX('[1]Grade Project'!$K:$K,MATCH(CONCATENATE($A$5,$A$8),'[1]Grade Project'!$H:$H,0)+SUM($I$3:I81)))</f>
        <v/>
      </c>
      <c r="I82">
        <f>COUNTIFS('[1]Grade Project'!$G:$G,$A$8,'[1]Grade Project'!$K:$K,H82,'[1]Grade Project'!$F:$F,$A$5)</f>
        <v>0</v>
      </c>
      <c r="J82" t="str">
        <f>IFERROR(AVERAGEIFS('[1]Grade Project'!$N:$N,'[1]Grade Project'!$K:$K,H82,'[1]Grade Project'!$F:$F,$A$5,'[1]Grade Project'!$G:$G,$A$8),"")</f>
        <v/>
      </c>
      <c r="K82" t="str">
        <f>IFERROR(AVERAGEIFS('[1]Grade Project'!$O:$O,'[1]Grade Project'!$K:$K,H82,'[1]Grade Project'!$F:$F,$A$5,'[1]Grade Project'!$G:$G,$A$8),"")</f>
        <v/>
      </c>
      <c r="L82" t="str">
        <f t="shared" si="4"/>
        <v/>
      </c>
      <c r="M82" t="str">
        <f t="shared" si="5"/>
        <v/>
      </c>
      <c r="N82" t="str">
        <f t="shared" si="6"/>
        <v/>
      </c>
    </row>
    <row r="83" spans="2:14" x14ac:dyDescent="0.25">
      <c r="B83" t="s">
        <v>82</v>
      </c>
      <c r="F83" t="str">
        <f>IF(G82=0,"",INDEX('[1]Grade Project'!$G:$G,MATCH($A$5,'[1]Grade Project'!$F:$F,0)+SUM($G$3:G82)))</f>
        <v/>
      </c>
      <c r="G83">
        <f>COUNTIFS('[1]Grade Project'!$F:$F,$A$5,'[1]Grade Project'!$G:$G,F83)</f>
        <v>0</v>
      </c>
      <c r="H83" t="str">
        <f>IF(I82=0,"",INDEX('[1]Grade Project'!$K:$K,MATCH(CONCATENATE($A$5,$A$8),'[1]Grade Project'!$H:$H,0)+SUM($I$3:I82)))</f>
        <v/>
      </c>
      <c r="I83">
        <f>COUNTIFS('[1]Grade Project'!$G:$G,$A$8,'[1]Grade Project'!$K:$K,H83,'[1]Grade Project'!$F:$F,$A$5)</f>
        <v>0</v>
      </c>
      <c r="J83" t="str">
        <f>IFERROR(AVERAGEIFS('[1]Grade Project'!$N:$N,'[1]Grade Project'!$K:$K,H83,'[1]Grade Project'!$F:$F,$A$5,'[1]Grade Project'!$G:$G,$A$8),"")</f>
        <v/>
      </c>
      <c r="K83" t="str">
        <f>IFERROR(AVERAGEIFS('[1]Grade Project'!$O:$O,'[1]Grade Project'!$K:$K,H83,'[1]Grade Project'!$F:$F,$A$5,'[1]Grade Project'!$G:$G,$A$8),"")</f>
        <v/>
      </c>
      <c r="L83" t="str">
        <f t="shared" si="4"/>
        <v/>
      </c>
      <c r="M83" t="str">
        <f t="shared" si="5"/>
        <v/>
      </c>
      <c r="N83" t="str">
        <f t="shared" si="6"/>
        <v/>
      </c>
    </row>
    <row r="84" spans="2:14" x14ac:dyDescent="0.25">
      <c r="B84" t="s">
        <v>83</v>
      </c>
      <c r="F84" t="str">
        <f>IF(G83=0,"",INDEX('[1]Grade Project'!$G:$G,MATCH($A$5,'[1]Grade Project'!$F:$F,0)+SUM($G$3:G83)))</f>
        <v/>
      </c>
      <c r="G84">
        <f>COUNTIFS('[1]Grade Project'!$F:$F,$A$5,'[1]Grade Project'!$G:$G,F84)</f>
        <v>0</v>
      </c>
      <c r="H84" t="str">
        <f>IF(I83=0,"",INDEX('[1]Grade Project'!$K:$K,MATCH(CONCATENATE($A$5,$A$8),'[1]Grade Project'!$H:$H,0)+SUM($I$3:I83)))</f>
        <v/>
      </c>
      <c r="I84">
        <f>COUNTIFS('[1]Grade Project'!$G:$G,$A$8,'[1]Grade Project'!$K:$K,H84,'[1]Grade Project'!$F:$F,$A$5)</f>
        <v>0</v>
      </c>
      <c r="J84" t="str">
        <f>IFERROR(AVERAGEIFS('[1]Grade Project'!$N:$N,'[1]Grade Project'!$K:$K,H84,'[1]Grade Project'!$F:$F,$A$5,'[1]Grade Project'!$G:$G,$A$8),"")</f>
        <v/>
      </c>
      <c r="K84" t="str">
        <f>IFERROR(AVERAGEIFS('[1]Grade Project'!$O:$O,'[1]Grade Project'!$K:$K,H84,'[1]Grade Project'!$F:$F,$A$5,'[1]Grade Project'!$G:$G,$A$8),"")</f>
        <v/>
      </c>
      <c r="L84" t="str">
        <f t="shared" si="4"/>
        <v/>
      </c>
      <c r="M84" t="str">
        <f t="shared" si="5"/>
        <v/>
      </c>
      <c r="N84" t="str">
        <f t="shared" si="6"/>
        <v/>
      </c>
    </row>
    <row r="85" spans="2:14" x14ac:dyDescent="0.25">
      <c r="B85" t="s">
        <v>84</v>
      </c>
      <c r="F85" t="str">
        <f>IF(G84=0,"",INDEX('[1]Grade Project'!$G:$G,MATCH($A$5,'[1]Grade Project'!$F:$F,0)+SUM($G$3:G84)))</f>
        <v/>
      </c>
      <c r="G85">
        <f>COUNTIFS('[1]Grade Project'!$F:$F,$A$5,'[1]Grade Project'!$G:$G,F85)</f>
        <v>0</v>
      </c>
      <c r="H85" t="str">
        <f>IF(I84=0,"",INDEX('[1]Grade Project'!$K:$K,MATCH(CONCATENATE($A$5,$A$8),'[1]Grade Project'!$H:$H,0)+SUM($I$3:I84)))</f>
        <v/>
      </c>
      <c r="I85">
        <f>COUNTIFS('[1]Grade Project'!$G:$G,$A$8,'[1]Grade Project'!$K:$K,H85,'[1]Grade Project'!$F:$F,$A$5)</f>
        <v>0</v>
      </c>
      <c r="J85" t="str">
        <f>IFERROR(AVERAGEIFS('[1]Grade Project'!$N:$N,'[1]Grade Project'!$K:$K,H85,'[1]Grade Project'!$F:$F,$A$5,'[1]Grade Project'!$G:$G,$A$8),"")</f>
        <v/>
      </c>
      <c r="K85" t="str">
        <f>IFERROR(AVERAGEIFS('[1]Grade Project'!$O:$O,'[1]Grade Project'!$K:$K,H85,'[1]Grade Project'!$F:$F,$A$5,'[1]Grade Project'!$G:$G,$A$8),"")</f>
        <v/>
      </c>
      <c r="L85" t="str">
        <f t="shared" si="4"/>
        <v/>
      </c>
      <c r="M85" t="str">
        <f t="shared" si="5"/>
        <v/>
      </c>
      <c r="N85" t="str">
        <f t="shared" si="6"/>
        <v/>
      </c>
    </row>
    <row r="86" spans="2:14" x14ac:dyDescent="0.25">
      <c r="B86" t="s">
        <v>85</v>
      </c>
      <c r="F86" t="str">
        <f>IF(G85=0,"",INDEX('[1]Grade Project'!$G:$G,MATCH($A$5,'[1]Grade Project'!$F:$F,0)+SUM($G$3:G85)))</f>
        <v/>
      </c>
      <c r="G86">
        <f>COUNTIFS('[1]Grade Project'!$F:$F,$A$5,'[1]Grade Project'!$G:$G,F86)</f>
        <v>0</v>
      </c>
      <c r="H86" t="str">
        <f>IF(I85=0,"",INDEX('[1]Grade Project'!$K:$K,MATCH(CONCATENATE($A$5,$A$8),'[1]Grade Project'!$H:$H,0)+SUM($I$3:I85)))</f>
        <v/>
      </c>
      <c r="I86">
        <f>COUNTIFS('[1]Grade Project'!$G:$G,$A$8,'[1]Grade Project'!$K:$K,H86,'[1]Grade Project'!$F:$F,$A$5)</f>
        <v>0</v>
      </c>
      <c r="J86" t="str">
        <f>IFERROR(AVERAGEIFS('[1]Grade Project'!$N:$N,'[1]Grade Project'!$K:$K,H86,'[1]Grade Project'!$F:$F,$A$5,'[1]Grade Project'!$G:$G,$A$8),"")</f>
        <v/>
      </c>
      <c r="K86" t="str">
        <f>IFERROR(AVERAGEIFS('[1]Grade Project'!$O:$O,'[1]Grade Project'!$K:$K,H86,'[1]Grade Project'!$F:$F,$A$5,'[1]Grade Project'!$G:$G,$A$8),"")</f>
        <v/>
      </c>
      <c r="L86" t="str">
        <f t="shared" si="4"/>
        <v/>
      </c>
      <c r="M86" t="str">
        <f t="shared" si="5"/>
        <v/>
      </c>
      <c r="N86" t="str">
        <f t="shared" si="6"/>
        <v/>
      </c>
    </row>
    <row r="87" spans="2:14" x14ac:dyDescent="0.25">
      <c r="B87" t="s">
        <v>86</v>
      </c>
      <c r="F87" t="str">
        <f>IF(G86=0,"",INDEX('[1]Grade Project'!$G:$G,MATCH($A$5,'[1]Grade Project'!$F:$F,0)+SUM($G$3:G86)))</f>
        <v/>
      </c>
      <c r="G87">
        <f>COUNTIFS('[1]Grade Project'!$F:$F,$A$5,'[1]Grade Project'!$G:$G,F87)</f>
        <v>0</v>
      </c>
      <c r="H87" t="str">
        <f>IF(I86=0,"",INDEX('[1]Grade Project'!$K:$K,MATCH(CONCATENATE($A$5,$A$8),'[1]Grade Project'!$H:$H,0)+SUM($I$3:I86)))</f>
        <v/>
      </c>
      <c r="I87">
        <f>COUNTIFS('[1]Grade Project'!$G:$G,$A$8,'[1]Grade Project'!$K:$K,H87,'[1]Grade Project'!$F:$F,$A$5)</f>
        <v>0</v>
      </c>
      <c r="J87" t="str">
        <f>IFERROR(AVERAGEIFS('[1]Grade Project'!$N:$N,'[1]Grade Project'!$K:$K,H87,'[1]Grade Project'!$F:$F,$A$5,'[1]Grade Project'!$G:$G,$A$8),"")</f>
        <v/>
      </c>
      <c r="K87" t="str">
        <f>IFERROR(AVERAGEIFS('[1]Grade Project'!$O:$O,'[1]Grade Project'!$K:$K,H87,'[1]Grade Project'!$F:$F,$A$5,'[1]Grade Project'!$G:$G,$A$8),"")</f>
        <v/>
      </c>
      <c r="L87" t="str">
        <f t="shared" si="4"/>
        <v/>
      </c>
      <c r="M87" t="str">
        <f t="shared" si="5"/>
        <v/>
      </c>
      <c r="N87" t="str">
        <f t="shared" si="6"/>
        <v/>
      </c>
    </row>
    <row r="88" spans="2:14" x14ac:dyDescent="0.25">
      <c r="B88" t="s">
        <v>87</v>
      </c>
      <c r="F88" t="str">
        <f>IF(G87=0,"",INDEX('[1]Grade Project'!$G:$G,MATCH($A$5,'[1]Grade Project'!$F:$F,0)+SUM($G$3:G87)))</f>
        <v/>
      </c>
      <c r="G88">
        <f>COUNTIFS('[1]Grade Project'!$F:$F,$A$5,'[1]Grade Project'!$G:$G,F88)</f>
        <v>0</v>
      </c>
      <c r="H88" t="str">
        <f>IF(I87=0,"",INDEX('[1]Grade Project'!$K:$K,MATCH(CONCATENATE($A$5,$A$8),'[1]Grade Project'!$H:$H,0)+SUM($I$3:I87)))</f>
        <v/>
      </c>
      <c r="I88">
        <f>COUNTIFS('[1]Grade Project'!$G:$G,$A$8,'[1]Grade Project'!$K:$K,H88,'[1]Grade Project'!$F:$F,$A$5)</f>
        <v>0</v>
      </c>
      <c r="J88" t="str">
        <f>IFERROR(AVERAGEIFS('[1]Grade Project'!$N:$N,'[1]Grade Project'!$K:$K,H88,'[1]Grade Project'!$F:$F,$A$5,'[1]Grade Project'!$G:$G,$A$8),"")</f>
        <v/>
      </c>
      <c r="K88" t="str">
        <f>IFERROR(AVERAGEIFS('[1]Grade Project'!$O:$O,'[1]Grade Project'!$K:$K,H88,'[1]Grade Project'!$F:$F,$A$5,'[1]Grade Project'!$G:$G,$A$8),"")</f>
        <v/>
      </c>
      <c r="L88" t="str">
        <f t="shared" si="4"/>
        <v/>
      </c>
      <c r="M88" t="str">
        <f t="shared" si="5"/>
        <v/>
      </c>
      <c r="N88" t="str">
        <f t="shared" si="6"/>
        <v/>
      </c>
    </row>
    <row r="89" spans="2:14" x14ac:dyDescent="0.25">
      <c r="B89" t="s">
        <v>88</v>
      </c>
      <c r="F89" t="str">
        <f>IF(G88=0,"",INDEX('[1]Grade Project'!$G:$G,MATCH($A$5,'[1]Grade Project'!$F:$F,0)+SUM($G$3:G88)))</f>
        <v/>
      </c>
      <c r="G89">
        <f>COUNTIFS('[1]Grade Project'!$F:$F,$A$5,'[1]Grade Project'!$G:$G,F89)</f>
        <v>0</v>
      </c>
      <c r="H89" t="str">
        <f>IF(I88=0,"",INDEX('[1]Grade Project'!$K:$K,MATCH(CONCATENATE($A$5,$A$8),'[1]Grade Project'!$H:$H,0)+SUM($I$3:I88)))</f>
        <v/>
      </c>
      <c r="I89">
        <f>COUNTIFS('[1]Grade Project'!$G:$G,$A$8,'[1]Grade Project'!$K:$K,H89,'[1]Grade Project'!$F:$F,$A$5)</f>
        <v>0</v>
      </c>
      <c r="J89" t="str">
        <f>IFERROR(AVERAGEIFS('[1]Grade Project'!$N:$N,'[1]Grade Project'!$K:$K,H89,'[1]Grade Project'!$F:$F,$A$5,'[1]Grade Project'!$G:$G,$A$8),"")</f>
        <v/>
      </c>
      <c r="K89" t="str">
        <f>IFERROR(AVERAGEIFS('[1]Grade Project'!$O:$O,'[1]Grade Project'!$K:$K,H89,'[1]Grade Project'!$F:$F,$A$5,'[1]Grade Project'!$G:$G,$A$8),"")</f>
        <v/>
      </c>
      <c r="L89" t="str">
        <f t="shared" si="4"/>
        <v/>
      </c>
      <c r="M89" t="str">
        <f t="shared" si="5"/>
        <v/>
      </c>
      <c r="N89" t="str">
        <f t="shared" si="6"/>
        <v/>
      </c>
    </row>
    <row r="90" spans="2:14" x14ac:dyDescent="0.25">
      <c r="B90" t="s">
        <v>89</v>
      </c>
      <c r="F90" t="str">
        <f>IF(G89=0,"",INDEX('[1]Grade Project'!$G:$G,MATCH($A$5,'[1]Grade Project'!$F:$F,0)+SUM($G$3:G89)))</f>
        <v/>
      </c>
      <c r="G90">
        <f>COUNTIFS('[1]Grade Project'!$F:$F,$A$5,'[1]Grade Project'!$G:$G,F90)</f>
        <v>0</v>
      </c>
      <c r="H90" t="str">
        <f>IF(I89=0,"",INDEX('[1]Grade Project'!$K:$K,MATCH(CONCATENATE($A$5,$A$8),'[1]Grade Project'!$H:$H,0)+SUM($I$3:I89)))</f>
        <v/>
      </c>
      <c r="I90">
        <f>COUNTIFS('[1]Grade Project'!$G:$G,$A$8,'[1]Grade Project'!$K:$K,H90,'[1]Grade Project'!$F:$F,$A$5)</f>
        <v>0</v>
      </c>
      <c r="J90" t="str">
        <f>IFERROR(AVERAGEIFS('[1]Grade Project'!$N:$N,'[1]Grade Project'!$K:$K,H90,'[1]Grade Project'!$F:$F,$A$5,'[1]Grade Project'!$G:$G,$A$8),"")</f>
        <v/>
      </c>
      <c r="K90" t="str">
        <f>IFERROR(AVERAGEIFS('[1]Grade Project'!$O:$O,'[1]Grade Project'!$K:$K,H90,'[1]Grade Project'!$F:$F,$A$5,'[1]Grade Project'!$G:$G,$A$8),"")</f>
        <v/>
      </c>
      <c r="L90" t="str">
        <f t="shared" si="4"/>
        <v/>
      </c>
      <c r="M90" t="str">
        <f t="shared" si="5"/>
        <v/>
      </c>
      <c r="N90" t="str">
        <f t="shared" si="6"/>
        <v/>
      </c>
    </row>
    <row r="91" spans="2:14" x14ac:dyDescent="0.25">
      <c r="B91" t="s">
        <v>90</v>
      </c>
      <c r="F91" t="str">
        <f>IF(G90=0,"",INDEX('[1]Grade Project'!$G:$G,MATCH($A$5,'[1]Grade Project'!$F:$F,0)+SUM($G$3:G90)))</f>
        <v/>
      </c>
      <c r="G91">
        <f>COUNTIFS('[1]Grade Project'!$F:$F,$A$5,'[1]Grade Project'!$G:$G,F91)</f>
        <v>0</v>
      </c>
      <c r="H91" t="str">
        <f>IF(I90=0,"",INDEX('[1]Grade Project'!$K:$K,MATCH(CONCATENATE($A$5,$A$8),'[1]Grade Project'!$H:$H,0)+SUM($I$3:I90)))</f>
        <v/>
      </c>
      <c r="I91">
        <f>COUNTIFS('[1]Grade Project'!$G:$G,$A$8,'[1]Grade Project'!$K:$K,H91,'[1]Grade Project'!$F:$F,$A$5)</f>
        <v>0</v>
      </c>
      <c r="J91" t="str">
        <f>IFERROR(AVERAGEIFS('[1]Grade Project'!$N:$N,'[1]Grade Project'!$K:$K,H91,'[1]Grade Project'!$F:$F,$A$5,'[1]Grade Project'!$G:$G,$A$8),"")</f>
        <v/>
      </c>
      <c r="K91" t="str">
        <f>IFERROR(AVERAGEIFS('[1]Grade Project'!$O:$O,'[1]Grade Project'!$K:$K,H91,'[1]Grade Project'!$F:$F,$A$5,'[1]Grade Project'!$G:$G,$A$8),"")</f>
        <v/>
      </c>
      <c r="L91" t="str">
        <f t="shared" si="4"/>
        <v/>
      </c>
      <c r="M91" t="str">
        <f t="shared" si="5"/>
        <v/>
      </c>
      <c r="N91" t="str">
        <f t="shared" si="6"/>
        <v/>
      </c>
    </row>
    <row r="92" spans="2:14" x14ac:dyDescent="0.25">
      <c r="B92" t="s">
        <v>91</v>
      </c>
      <c r="F92" t="str">
        <f>IF(G91=0,"",INDEX('[1]Grade Project'!$G:$G,MATCH($A$5,'[1]Grade Project'!$F:$F,0)+SUM($G$3:G91)))</f>
        <v/>
      </c>
      <c r="G92">
        <f>COUNTIFS('[1]Grade Project'!$F:$F,$A$5,'[1]Grade Project'!$G:$G,F92)</f>
        <v>0</v>
      </c>
      <c r="H92" t="str">
        <f>IF(I91=0,"",INDEX('[1]Grade Project'!$K:$K,MATCH(CONCATENATE($A$5,$A$8),'[1]Grade Project'!$H:$H,0)+SUM($I$3:I91)))</f>
        <v/>
      </c>
      <c r="I92">
        <f>COUNTIFS('[1]Grade Project'!$G:$G,$A$8,'[1]Grade Project'!$K:$K,H92,'[1]Grade Project'!$F:$F,$A$5)</f>
        <v>0</v>
      </c>
      <c r="J92" t="str">
        <f>IFERROR(AVERAGEIFS('[1]Grade Project'!$N:$N,'[1]Grade Project'!$K:$K,H92,'[1]Grade Project'!$F:$F,$A$5,'[1]Grade Project'!$G:$G,$A$8),"")</f>
        <v/>
      </c>
      <c r="K92" t="str">
        <f>IFERROR(AVERAGEIFS('[1]Grade Project'!$O:$O,'[1]Grade Project'!$K:$K,H92,'[1]Grade Project'!$F:$F,$A$5,'[1]Grade Project'!$G:$G,$A$8),"")</f>
        <v/>
      </c>
      <c r="L92" t="str">
        <f t="shared" si="4"/>
        <v/>
      </c>
      <c r="M92" t="str">
        <f t="shared" si="5"/>
        <v/>
      </c>
      <c r="N92" t="str">
        <f t="shared" si="6"/>
        <v/>
      </c>
    </row>
    <row r="93" spans="2:14" x14ac:dyDescent="0.25">
      <c r="B93" t="s">
        <v>92</v>
      </c>
      <c r="F93" t="str">
        <f>IF(G92=0,"",INDEX('[1]Grade Project'!$G:$G,MATCH($A$5,'[1]Grade Project'!$F:$F,0)+SUM($G$3:G92)))</f>
        <v/>
      </c>
      <c r="G93">
        <f>COUNTIFS('[1]Grade Project'!$F:$F,$A$5,'[1]Grade Project'!$G:$G,F93)</f>
        <v>0</v>
      </c>
      <c r="H93" t="str">
        <f>IF(I92=0,"",INDEX('[1]Grade Project'!$K:$K,MATCH(CONCATENATE($A$5,$A$8),'[1]Grade Project'!$H:$H,0)+SUM($I$3:I92)))</f>
        <v/>
      </c>
      <c r="I93">
        <f>COUNTIFS('[1]Grade Project'!$G:$G,$A$8,'[1]Grade Project'!$K:$K,H93,'[1]Grade Project'!$F:$F,$A$5)</f>
        <v>0</v>
      </c>
      <c r="J93" t="str">
        <f>IFERROR(AVERAGEIFS('[1]Grade Project'!$N:$N,'[1]Grade Project'!$K:$K,H93,'[1]Grade Project'!$F:$F,$A$5,'[1]Grade Project'!$G:$G,$A$8),"")</f>
        <v/>
      </c>
      <c r="K93" t="str">
        <f>IFERROR(AVERAGEIFS('[1]Grade Project'!$O:$O,'[1]Grade Project'!$K:$K,H93,'[1]Grade Project'!$F:$F,$A$5,'[1]Grade Project'!$G:$G,$A$8),"")</f>
        <v/>
      </c>
      <c r="L93" t="str">
        <f t="shared" si="4"/>
        <v/>
      </c>
      <c r="M93" t="str">
        <f t="shared" si="5"/>
        <v/>
      </c>
      <c r="N93" t="str">
        <f t="shared" si="6"/>
        <v/>
      </c>
    </row>
    <row r="94" spans="2:14" x14ac:dyDescent="0.25">
      <c r="B94" t="s">
        <v>93</v>
      </c>
      <c r="F94" t="str">
        <f>IF(G93=0,"",INDEX('[1]Grade Project'!$G:$G,MATCH($A$5,'[1]Grade Project'!$F:$F,0)+SUM($G$3:G93)))</f>
        <v/>
      </c>
      <c r="G94">
        <f>COUNTIFS('[1]Grade Project'!$F:$F,$A$5,'[1]Grade Project'!$G:$G,F94)</f>
        <v>0</v>
      </c>
      <c r="H94" t="str">
        <f>IF(I93=0,"",INDEX('[1]Grade Project'!$K:$K,MATCH(CONCATENATE($A$5,$A$8),'[1]Grade Project'!$H:$H,0)+SUM($I$3:I93)))</f>
        <v/>
      </c>
      <c r="I94">
        <f>COUNTIFS('[1]Grade Project'!$G:$G,$A$8,'[1]Grade Project'!$K:$K,H94,'[1]Grade Project'!$F:$F,$A$5)</f>
        <v>0</v>
      </c>
      <c r="J94" t="str">
        <f>IFERROR(AVERAGEIFS('[1]Grade Project'!$N:$N,'[1]Grade Project'!$K:$K,H94,'[1]Grade Project'!$F:$F,$A$5,'[1]Grade Project'!$G:$G,$A$8),"")</f>
        <v/>
      </c>
      <c r="K94" t="str">
        <f>IFERROR(AVERAGEIFS('[1]Grade Project'!$O:$O,'[1]Grade Project'!$K:$K,H94,'[1]Grade Project'!$F:$F,$A$5,'[1]Grade Project'!$G:$G,$A$8),"")</f>
        <v/>
      </c>
      <c r="L94" t="str">
        <f t="shared" si="4"/>
        <v/>
      </c>
      <c r="M94" t="str">
        <f t="shared" si="5"/>
        <v/>
      </c>
      <c r="N94" t="str">
        <f t="shared" si="6"/>
        <v/>
      </c>
    </row>
    <row r="95" spans="2:14" x14ac:dyDescent="0.25">
      <c r="B95" t="s">
        <v>94</v>
      </c>
      <c r="F95" t="str">
        <f>IF(G94=0,"",INDEX('[1]Grade Project'!$G:$G,MATCH($A$5,'[1]Grade Project'!$F:$F,0)+SUM($G$3:G94)))</f>
        <v/>
      </c>
      <c r="G95">
        <f>COUNTIFS('[1]Grade Project'!$F:$F,$A$5,'[1]Grade Project'!$G:$G,F95)</f>
        <v>0</v>
      </c>
      <c r="H95" t="str">
        <f>IF(I94=0,"",INDEX('[1]Grade Project'!$K:$K,MATCH(CONCATENATE($A$5,$A$8),'[1]Grade Project'!$H:$H,0)+SUM($I$3:I94)))</f>
        <v/>
      </c>
      <c r="I95">
        <f>COUNTIFS('[1]Grade Project'!$G:$G,$A$8,'[1]Grade Project'!$K:$K,H95,'[1]Grade Project'!$F:$F,$A$5)</f>
        <v>0</v>
      </c>
      <c r="J95" t="str">
        <f>IFERROR(AVERAGEIFS('[1]Grade Project'!$N:$N,'[1]Grade Project'!$K:$K,H95,'[1]Grade Project'!$F:$F,$A$5,'[1]Grade Project'!$G:$G,$A$8),"")</f>
        <v/>
      </c>
      <c r="K95" t="str">
        <f>IFERROR(AVERAGEIFS('[1]Grade Project'!$O:$O,'[1]Grade Project'!$K:$K,H95,'[1]Grade Project'!$F:$F,$A$5,'[1]Grade Project'!$G:$G,$A$8),"")</f>
        <v/>
      </c>
      <c r="L95" t="str">
        <f t="shared" si="4"/>
        <v/>
      </c>
      <c r="M95" t="str">
        <f t="shared" si="5"/>
        <v/>
      </c>
      <c r="N95" t="str">
        <f t="shared" si="6"/>
        <v/>
      </c>
    </row>
    <row r="96" spans="2:14" x14ac:dyDescent="0.25">
      <c r="B96" t="s">
        <v>95</v>
      </c>
      <c r="F96" t="str">
        <f>IF(G95=0,"",INDEX('[1]Grade Project'!$G:$G,MATCH($A$5,'[1]Grade Project'!$F:$F,0)+SUM($G$3:G95)))</f>
        <v/>
      </c>
      <c r="G96">
        <f>COUNTIFS('[1]Grade Project'!$F:$F,$A$5,'[1]Grade Project'!$G:$G,F96)</f>
        <v>0</v>
      </c>
      <c r="H96" t="str">
        <f>IF(I95=0,"",INDEX('[1]Grade Project'!$K:$K,MATCH(CONCATENATE($A$5,$A$8),'[1]Grade Project'!$H:$H,0)+SUM($I$3:I95)))</f>
        <v/>
      </c>
      <c r="I96">
        <f>COUNTIFS('[1]Grade Project'!$G:$G,$A$8,'[1]Grade Project'!$K:$K,H96,'[1]Grade Project'!$F:$F,$A$5)</f>
        <v>0</v>
      </c>
      <c r="J96" t="str">
        <f>IFERROR(AVERAGEIFS('[1]Grade Project'!$N:$N,'[1]Grade Project'!$K:$K,H96,'[1]Grade Project'!$F:$F,$A$5,'[1]Grade Project'!$G:$G,$A$8),"")</f>
        <v/>
      </c>
      <c r="K96" t="str">
        <f>IFERROR(AVERAGEIFS('[1]Grade Project'!$O:$O,'[1]Grade Project'!$K:$K,H96,'[1]Grade Project'!$F:$F,$A$5,'[1]Grade Project'!$G:$G,$A$8),"")</f>
        <v/>
      </c>
      <c r="L96" t="str">
        <f t="shared" si="4"/>
        <v/>
      </c>
      <c r="M96" t="str">
        <f t="shared" si="5"/>
        <v/>
      </c>
      <c r="N96" t="str">
        <f t="shared" si="6"/>
        <v/>
      </c>
    </row>
    <row r="97" spans="2:14" x14ac:dyDescent="0.25">
      <c r="B97" t="s">
        <v>96</v>
      </c>
      <c r="H97" t="str">
        <f>IF(I96=0,"",INDEX('[1]Grade Project'!$K:$K,MATCH(CONCATENATE($A$5,$A$8),'[1]Grade Project'!$H:$H,0)+SUM($I$3:I96)))</f>
        <v/>
      </c>
      <c r="I97">
        <f>COUNTIFS('[1]Grade Project'!$G:$G,$A$8,'[1]Grade Project'!$K:$K,H97,'[1]Grade Project'!$F:$F,$A$5)</f>
        <v>0</v>
      </c>
      <c r="J97" t="str">
        <f>IFERROR(AVERAGEIFS('[1]Grade Project'!$N:$N,'[1]Grade Project'!$K:$K,H97,'[1]Grade Project'!$F:$F,$A$5,'[1]Grade Project'!$G:$G,$A$8),"")</f>
        <v/>
      </c>
      <c r="K97" t="str">
        <f>IFERROR(AVERAGEIFS('[1]Grade Project'!$O:$O,'[1]Grade Project'!$K:$K,H97,'[1]Grade Project'!$F:$F,$A$5,'[1]Grade Project'!$G:$G,$A$8),"")</f>
        <v/>
      </c>
      <c r="L97" t="str">
        <f t="shared" si="4"/>
        <v/>
      </c>
      <c r="M97" t="str">
        <f t="shared" si="5"/>
        <v/>
      </c>
      <c r="N97" t="str">
        <f t="shared" si="6"/>
        <v/>
      </c>
    </row>
    <row r="98" spans="2:14" x14ac:dyDescent="0.25">
      <c r="B98" t="s">
        <v>97</v>
      </c>
      <c r="H98" t="str">
        <f>IF(I97=0,"",INDEX('[1]Grade Project'!$K:$K,MATCH(CONCATENATE($A$5,$A$8),'[1]Grade Project'!$H:$H,0)+SUM($I$3:I97)))</f>
        <v/>
      </c>
      <c r="I98">
        <f>COUNTIFS('[1]Grade Project'!$G:$G,$A$8,'[1]Grade Project'!$K:$K,H98,'[1]Grade Project'!$F:$F,$A$5)</f>
        <v>0</v>
      </c>
      <c r="J98" t="str">
        <f>IFERROR(AVERAGEIFS('[1]Grade Project'!$N:$N,'[1]Grade Project'!$K:$K,H98,'[1]Grade Project'!$F:$F,$A$5,'[1]Grade Project'!$G:$G,$A$8),"")</f>
        <v/>
      </c>
      <c r="K98" t="str">
        <f>IFERROR(AVERAGEIFS('[1]Grade Project'!$O:$O,'[1]Grade Project'!$K:$K,H98,'[1]Grade Project'!$F:$F,$A$5,'[1]Grade Project'!$G:$G,$A$8),"")</f>
        <v/>
      </c>
      <c r="L98" t="str">
        <f t="shared" si="4"/>
        <v/>
      </c>
      <c r="M98" t="str">
        <f t="shared" si="5"/>
        <v/>
      </c>
      <c r="N98" t="str">
        <f t="shared" si="6"/>
        <v/>
      </c>
    </row>
    <row r="99" spans="2:14" x14ac:dyDescent="0.25">
      <c r="B99" t="s">
        <v>98</v>
      </c>
      <c r="H99" t="str">
        <f>IF(I98=0,"",INDEX('[1]Grade Project'!$K:$K,MATCH(CONCATENATE($A$5,$A$8),'[1]Grade Project'!$H:$H,0)+SUM($I$3:I98)))</f>
        <v/>
      </c>
      <c r="I99">
        <f>COUNTIFS('[1]Grade Project'!$G:$G,$A$8,'[1]Grade Project'!$K:$K,H99,'[1]Grade Project'!$F:$F,$A$5)</f>
        <v>0</v>
      </c>
      <c r="J99" t="str">
        <f>IFERROR(AVERAGEIFS('[1]Grade Project'!$N:$N,'[1]Grade Project'!$K:$K,H99,'[1]Grade Project'!$F:$F,$A$5,'[1]Grade Project'!$G:$G,$A$8),"")</f>
        <v/>
      </c>
      <c r="K99" t="str">
        <f>IFERROR(AVERAGEIFS('[1]Grade Project'!$O:$O,'[1]Grade Project'!$K:$K,H99,'[1]Grade Project'!$F:$F,$A$5,'[1]Grade Project'!$G:$G,$A$8),"")</f>
        <v/>
      </c>
      <c r="L99" t="str">
        <f t="shared" si="4"/>
        <v/>
      </c>
      <c r="M99" t="str">
        <f t="shared" si="5"/>
        <v/>
      </c>
      <c r="N99" t="str">
        <f t="shared" si="6"/>
        <v/>
      </c>
    </row>
    <row r="100" spans="2:14" x14ac:dyDescent="0.25">
      <c r="B100" t="s">
        <v>99</v>
      </c>
      <c r="H100" t="str">
        <f>IF(I99=0,"",INDEX('[1]Grade Project'!$K:$K,MATCH(CONCATENATE($A$5,$A$8),'[1]Grade Project'!$H:$H,0)+SUM($I$3:I99)))</f>
        <v/>
      </c>
      <c r="I100">
        <f>COUNTIFS('[1]Grade Project'!$G:$G,$A$8,'[1]Grade Project'!$K:$K,H100,'[1]Grade Project'!$F:$F,$A$5)</f>
        <v>0</v>
      </c>
      <c r="J100" t="str">
        <f>IFERROR(AVERAGEIFS('[1]Grade Project'!$N:$N,'[1]Grade Project'!$K:$K,H100,'[1]Grade Project'!$F:$F,$A$5,'[1]Grade Project'!$G:$G,$A$8),"")</f>
        <v/>
      </c>
      <c r="K100" t="str">
        <f>IFERROR(AVERAGEIFS('[1]Grade Project'!$O:$O,'[1]Grade Project'!$K:$K,H100,'[1]Grade Project'!$F:$F,$A$5,'[1]Grade Project'!$G:$G,$A$8),"")</f>
        <v/>
      </c>
      <c r="L100" t="str">
        <f t="shared" si="4"/>
        <v/>
      </c>
      <c r="M100" t="str">
        <f t="shared" si="5"/>
        <v/>
      </c>
      <c r="N100" t="str">
        <f t="shared" si="6"/>
        <v/>
      </c>
    </row>
    <row r="101" spans="2:14" x14ac:dyDescent="0.25">
      <c r="H101" t="str">
        <f>IF(I100=0,"",INDEX('[1]Grade Project'!$K:$K,MATCH(CONCATENATE($A$5,$A$8),'[1]Grade Project'!$H:$H,0)+SUM($I$3:I100)))</f>
        <v/>
      </c>
      <c r="I101">
        <f>COUNTIFS('[1]Grade Project'!$G:$G,$A$8,'[1]Grade Project'!$K:$K,H101,'[1]Grade Project'!$F:$F,$A$5)</f>
        <v>0</v>
      </c>
      <c r="J101" t="str">
        <f>IFERROR(AVERAGEIFS('[1]Grade Project'!$N:$N,'[1]Grade Project'!$K:$K,H101,'[1]Grade Project'!$F:$F,$A$5,'[1]Grade Project'!$G:$G,$A$8),"")</f>
        <v/>
      </c>
      <c r="K101" t="str">
        <f>IFERROR(AVERAGEIFS('[1]Grade Project'!$O:$O,'[1]Grade Project'!$K:$K,H101,'[1]Grade Project'!$F:$F,$A$5,'[1]Grade Project'!$G:$G,$A$8),"")</f>
        <v/>
      </c>
      <c r="L101" t="str">
        <f t="shared" si="4"/>
        <v/>
      </c>
      <c r="M101" t="str">
        <f t="shared" si="5"/>
        <v/>
      </c>
      <c r="N101" t="str">
        <f t="shared" si="6"/>
        <v/>
      </c>
    </row>
    <row r="102" spans="2:14" x14ac:dyDescent="0.25">
      <c r="H102" t="str">
        <f>IF(I101=0,"",INDEX('[1]Grade Project'!$K:$K,MATCH(CONCATENATE($A$5,$A$8),'[1]Grade Project'!$H:$H,0)+SUM($I$3:I101)))</f>
        <v/>
      </c>
      <c r="I102">
        <f>COUNTIFS('[1]Grade Project'!$G:$G,$A$8,'[1]Grade Project'!$K:$K,H102,'[1]Grade Project'!$F:$F,$A$5)</f>
        <v>0</v>
      </c>
      <c r="J102" t="str">
        <f>IFERROR(AVERAGEIFS('[1]Grade Project'!$N:$N,'[1]Grade Project'!$K:$K,H102,'[1]Grade Project'!$F:$F,$A$5,'[1]Grade Project'!$G:$G,$A$8),"")</f>
        <v/>
      </c>
      <c r="K102" t="str">
        <f>IFERROR(AVERAGEIFS('[1]Grade Project'!$O:$O,'[1]Grade Project'!$K:$K,H102,'[1]Grade Project'!$F:$F,$A$5,'[1]Grade Project'!$G:$G,$A$8),"")</f>
        <v/>
      </c>
      <c r="L102" t="str">
        <f t="shared" si="4"/>
        <v/>
      </c>
      <c r="M102" t="str">
        <f t="shared" si="5"/>
        <v/>
      </c>
      <c r="N102" t="str">
        <f t="shared" si="6"/>
        <v/>
      </c>
    </row>
    <row r="103" spans="2:14" x14ac:dyDescent="0.25">
      <c r="H103" t="str">
        <f>IF(I102=0,"",INDEX('[1]Grade Project'!$K:$K,MATCH(CONCATENATE($A$5,$A$8),'[1]Grade Project'!$H:$H,0)+SUM($I$3:I102)))</f>
        <v/>
      </c>
      <c r="I103">
        <f>COUNTIFS('[1]Grade Project'!$G:$G,$A$8,'[1]Grade Project'!$K:$K,H103,'[1]Grade Project'!$F:$F,$A$5)</f>
        <v>0</v>
      </c>
      <c r="J103" t="str">
        <f>IFERROR(AVERAGEIFS('[1]Grade Project'!$N:$N,'[1]Grade Project'!$K:$K,H103,'[1]Grade Project'!$F:$F,$A$5,'[1]Grade Project'!$G:$G,$A$8),"")</f>
        <v/>
      </c>
      <c r="K103" t="str">
        <f>IFERROR(AVERAGEIFS('[1]Grade Project'!$O:$O,'[1]Grade Project'!$K:$K,H103,'[1]Grade Project'!$F:$F,$A$5,'[1]Grade Project'!$G:$G,$A$8),"")</f>
        <v/>
      </c>
      <c r="L103" t="str">
        <f t="shared" si="4"/>
        <v/>
      </c>
      <c r="M103" t="str">
        <f t="shared" si="5"/>
        <v/>
      </c>
      <c r="N103" t="str">
        <f t="shared" si="6"/>
        <v/>
      </c>
    </row>
    <row r="104" spans="2:14" x14ac:dyDescent="0.25">
      <c r="H104" t="str">
        <f>IF(I103=0,"",INDEX('[1]Grade Project'!$K:$K,MATCH(CONCATENATE($A$5,$A$8),'[1]Grade Project'!$H:$H,0)+SUM($I$3:I103)))</f>
        <v/>
      </c>
      <c r="I104">
        <f>COUNTIFS('[1]Grade Project'!$G:$G,$A$8,'[1]Grade Project'!$K:$K,H104,'[1]Grade Project'!$F:$F,$A$5)</f>
        <v>0</v>
      </c>
      <c r="J104" t="str">
        <f>IFERROR(AVERAGEIFS('[1]Grade Project'!$N:$N,'[1]Grade Project'!$K:$K,H104,'[1]Grade Project'!$F:$F,$A$5,'[1]Grade Project'!$G:$G,$A$8),"")</f>
        <v/>
      </c>
      <c r="K104" t="str">
        <f>IFERROR(AVERAGEIFS('[1]Grade Project'!$O:$O,'[1]Grade Project'!$K:$K,H104,'[1]Grade Project'!$F:$F,$A$5,'[1]Grade Project'!$G:$G,$A$8),"")</f>
        <v/>
      </c>
      <c r="L104" t="str">
        <f t="shared" si="4"/>
        <v/>
      </c>
      <c r="M104" t="str">
        <f t="shared" si="5"/>
        <v/>
      </c>
      <c r="N104" t="str">
        <f t="shared" si="6"/>
        <v/>
      </c>
    </row>
    <row r="105" spans="2:14" x14ac:dyDescent="0.25">
      <c r="H105" t="str">
        <f>IF(I104=0,"",INDEX('[1]Grade Project'!$K:$K,MATCH(CONCATENATE($A$5,$A$8),'[1]Grade Project'!$H:$H,0)+SUM($I$3:I104)))</f>
        <v/>
      </c>
      <c r="I105">
        <f>COUNTIFS('[1]Grade Project'!$G:$G,$A$8,'[1]Grade Project'!$K:$K,H105,'[1]Grade Project'!$F:$F,$A$5)</f>
        <v>0</v>
      </c>
      <c r="J105" t="str">
        <f>IFERROR(AVERAGEIFS('[1]Grade Project'!$N:$N,'[1]Grade Project'!$K:$K,H105,'[1]Grade Project'!$F:$F,$A$5,'[1]Grade Project'!$G:$G,$A$8),"")</f>
        <v/>
      </c>
      <c r="K105" t="str">
        <f>IFERROR(AVERAGEIFS('[1]Grade Project'!$O:$O,'[1]Grade Project'!$K:$K,H105,'[1]Grade Project'!$F:$F,$A$5,'[1]Grade Project'!$G:$G,$A$8),"")</f>
        <v/>
      </c>
      <c r="L105" t="str">
        <f t="shared" si="4"/>
        <v/>
      </c>
      <c r="M105" t="str">
        <f t="shared" si="5"/>
        <v/>
      </c>
      <c r="N105" t="str">
        <f t="shared" si="6"/>
        <v/>
      </c>
    </row>
    <row r="106" spans="2:14" x14ac:dyDescent="0.25">
      <c r="H106" t="str">
        <f>IF(I105=0,"",INDEX('[1]Grade Project'!$K:$K,MATCH(CONCATENATE($A$5,$A$8),'[1]Grade Project'!$H:$H,0)+SUM($I$3:I105)))</f>
        <v/>
      </c>
      <c r="I106">
        <f>COUNTIFS('[1]Grade Project'!$G:$G,$A$8,'[1]Grade Project'!$K:$K,H106,'[1]Grade Project'!$F:$F,$A$5)</f>
        <v>0</v>
      </c>
      <c r="J106" t="str">
        <f>IFERROR(AVERAGEIFS('[1]Grade Project'!$N:$N,'[1]Grade Project'!$K:$K,H106,'[1]Grade Project'!$F:$F,$A$5,'[1]Grade Project'!$G:$G,$A$8),"")</f>
        <v/>
      </c>
      <c r="K106" t="str">
        <f>IFERROR(AVERAGEIFS('[1]Grade Project'!$O:$O,'[1]Grade Project'!$K:$K,H106,'[1]Grade Project'!$F:$F,$A$5,'[1]Grade Project'!$G:$G,$A$8),"")</f>
        <v/>
      </c>
      <c r="L106" t="str">
        <f t="shared" si="4"/>
        <v/>
      </c>
      <c r="M106" t="str">
        <f t="shared" si="5"/>
        <v/>
      </c>
      <c r="N106" t="str">
        <f t="shared" si="6"/>
        <v/>
      </c>
    </row>
    <row r="107" spans="2:14" x14ac:dyDescent="0.25">
      <c r="H107" t="str">
        <f>IF(I106=0,"",INDEX('[1]Grade Project'!$K:$K,MATCH(CONCATENATE($A$5,$A$8),'[1]Grade Project'!$H:$H,0)+SUM($I$3:I106)))</f>
        <v/>
      </c>
      <c r="I107">
        <f>COUNTIFS('[1]Grade Project'!$G:$G,$A$8,'[1]Grade Project'!$K:$K,H107,'[1]Grade Project'!$F:$F,$A$5)</f>
        <v>0</v>
      </c>
      <c r="J107" t="str">
        <f>IFERROR(AVERAGEIFS('[1]Grade Project'!$N:$N,'[1]Grade Project'!$K:$K,H107,'[1]Grade Project'!$F:$F,$A$5,'[1]Grade Project'!$G:$G,$A$8),"")</f>
        <v/>
      </c>
      <c r="K107" t="str">
        <f>IFERROR(AVERAGEIFS('[1]Grade Project'!$O:$O,'[1]Grade Project'!$K:$K,H107,'[1]Grade Project'!$F:$F,$A$5,'[1]Grade Project'!$G:$G,$A$8),"")</f>
        <v/>
      </c>
      <c r="L107" t="str">
        <f t="shared" si="4"/>
        <v/>
      </c>
      <c r="M107" t="str">
        <f t="shared" si="5"/>
        <v/>
      </c>
      <c r="N107" t="str">
        <f t="shared" si="6"/>
        <v/>
      </c>
    </row>
    <row r="108" spans="2:14" x14ac:dyDescent="0.25">
      <c r="H108" t="str">
        <f>IF(I107=0,"",INDEX('[1]Grade Project'!$K:$K,MATCH(CONCATENATE($A$5,$A$8),'[1]Grade Project'!$H:$H,0)+SUM($I$3:I107)))</f>
        <v/>
      </c>
      <c r="I108">
        <f>COUNTIFS('[1]Grade Project'!$G:$G,$A$8,'[1]Grade Project'!$K:$K,H108,'[1]Grade Project'!$F:$F,$A$5)</f>
        <v>0</v>
      </c>
      <c r="J108" t="str">
        <f>IFERROR(AVERAGEIFS('[1]Grade Project'!$N:$N,'[1]Grade Project'!$K:$K,H108,'[1]Grade Project'!$F:$F,$A$5,'[1]Grade Project'!$G:$G,$A$8),"")</f>
        <v/>
      </c>
      <c r="K108" t="str">
        <f>IFERROR(AVERAGEIFS('[1]Grade Project'!$O:$O,'[1]Grade Project'!$K:$K,H108,'[1]Grade Project'!$F:$F,$A$5,'[1]Grade Project'!$G:$G,$A$8),"")</f>
        <v/>
      </c>
      <c r="L108" t="str">
        <f t="shared" si="4"/>
        <v/>
      </c>
      <c r="M108" t="str">
        <f t="shared" si="5"/>
        <v/>
      </c>
      <c r="N108" t="str">
        <f t="shared" si="6"/>
        <v/>
      </c>
    </row>
    <row r="109" spans="2:14" x14ac:dyDescent="0.25">
      <c r="H109" t="str">
        <f>IF(I108=0,"",INDEX('[1]Grade Project'!$K:$K,MATCH(CONCATENATE($A$5,$A$8),'[1]Grade Project'!$H:$H,0)+SUM($I$3:I108)))</f>
        <v/>
      </c>
      <c r="I109">
        <f>COUNTIFS('[1]Grade Project'!$G:$G,$A$8,'[1]Grade Project'!$K:$K,H109,'[1]Grade Project'!$F:$F,$A$5)</f>
        <v>0</v>
      </c>
      <c r="J109" t="str">
        <f>IFERROR(AVERAGEIFS('[1]Grade Project'!$N:$N,'[1]Grade Project'!$K:$K,H109,'[1]Grade Project'!$F:$F,$A$5,'[1]Grade Project'!$G:$G,$A$8),"")</f>
        <v/>
      </c>
      <c r="K109" t="str">
        <f>IFERROR(AVERAGEIFS('[1]Grade Project'!$O:$O,'[1]Grade Project'!$K:$K,H109,'[1]Grade Project'!$F:$F,$A$5,'[1]Grade Project'!$G:$G,$A$8),"")</f>
        <v/>
      </c>
      <c r="L109" t="str">
        <f t="shared" si="4"/>
        <v/>
      </c>
      <c r="M109" t="str">
        <f t="shared" si="5"/>
        <v/>
      </c>
      <c r="N109" t="str">
        <f t="shared" si="6"/>
        <v/>
      </c>
    </row>
    <row r="110" spans="2:14" x14ac:dyDescent="0.25">
      <c r="H110" t="str">
        <f>IF(I109=0,"",INDEX('[1]Grade Project'!$K:$K,MATCH(CONCATENATE($A$5,$A$8),'[1]Grade Project'!$H:$H,0)+SUM($I$3:I109)))</f>
        <v/>
      </c>
      <c r="I110">
        <f>COUNTIFS('[1]Grade Project'!$G:$G,$A$8,'[1]Grade Project'!$K:$K,H110,'[1]Grade Project'!$F:$F,$A$5)</f>
        <v>0</v>
      </c>
      <c r="J110" t="str">
        <f>IFERROR(AVERAGEIFS('[1]Grade Project'!$N:$N,'[1]Grade Project'!$K:$K,H110,'[1]Grade Project'!$F:$F,$A$5,'[1]Grade Project'!$G:$G,$A$8),"")</f>
        <v/>
      </c>
      <c r="K110" t="str">
        <f>IFERROR(AVERAGEIFS('[1]Grade Project'!$O:$O,'[1]Grade Project'!$K:$K,H110,'[1]Grade Project'!$F:$F,$A$5,'[1]Grade Project'!$G:$G,$A$8),"")</f>
        <v/>
      </c>
      <c r="L110" t="str">
        <f t="shared" si="4"/>
        <v/>
      </c>
      <c r="M110" t="str">
        <f t="shared" si="5"/>
        <v/>
      </c>
      <c r="N110" t="str">
        <f t="shared" si="6"/>
        <v/>
      </c>
    </row>
    <row r="111" spans="2:14" x14ac:dyDescent="0.25">
      <c r="H111" t="str">
        <f>IF(I110=0,"",INDEX('[1]Grade Project'!$K:$K,MATCH(CONCATENATE($A$5,$A$8),'[1]Grade Project'!$H:$H,0)+SUM($I$3:I110)))</f>
        <v/>
      </c>
      <c r="I111">
        <f>COUNTIFS('[1]Grade Project'!$G:$G,$A$8,'[1]Grade Project'!$K:$K,H111,'[1]Grade Project'!$F:$F,$A$5)</f>
        <v>0</v>
      </c>
      <c r="J111" t="str">
        <f>IFERROR(AVERAGEIFS('[1]Grade Project'!$N:$N,'[1]Grade Project'!$K:$K,H111,'[1]Grade Project'!$F:$F,$A$5,'[1]Grade Project'!$G:$G,$A$8),"")</f>
        <v/>
      </c>
      <c r="K111" t="str">
        <f>IFERROR(AVERAGEIFS('[1]Grade Project'!$O:$O,'[1]Grade Project'!$K:$K,H111,'[1]Grade Project'!$F:$F,$A$5,'[1]Grade Project'!$G:$G,$A$8),"")</f>
        <v/>
      </c>
      <c r="L111" t="str">
        <f t="shared" si="4"/>
        <v/>
      </c>
      <c r="M111" t="str">
        <f t="shared" si="5"/>
        <v/>
      </c>
      <c r="N111" t="str">
        <f t="shared" si="6"/>
        <v/>
      </c>
    </row>
    <row r="112" spans="2:14" x14ac:dyDescent="0.25">
      <c r="H112" t="str">
        <f>IF(I111=0,"",INDEX('[1]Grade Project'!$K:$K,MATCH(CONCATENATE($A$5,$A$8),'[1]Grade Project'!$H:$H,0)+SUM($I$3:I111)))</f>
        <v/>
      </c>
      <c r="I112">
        <f>COUNTIFS('[1]Grade Project'!$G:$G,$A$8,'[1]Grade Project'!$K:$K,H112,'[1]Grade Project'!$F:$F,$A$5)</f>
        <v>0</v>
      </c>
      <c r="J112" t="str">
        <f>IFERROR(AVERAGEIFS('[1]Grade Project'!$N:$N,'[1]Grade Project'!$K:$K,H112,'[1]Grade Project'!$F:$F,$A$5,'[1]Grade Project'!$G:$G,$A$8),"")</f>
        <v/>
      </c>
      <c r="K112" t="str">
        <f>IFERROR(AVERAGEIFS('[1]Grade Project'!$O:$O,'[1]Grade Project'!$K:$K,H112,'[1]Grade Project'!$F:$F,$A$5,'[1]Grade Project'!$G:$G,$A$8),"")</f>
        <v/>
      </c>
      <c r="L112" t="str">
        <f t="shared" si="4"/>
        <v/>
      </c>
      <c r="M112" t="str">
        <f t="shared" si="5"/>
        <v/>
      </c>
      <c r="N112" t="str">
        <f t="shared" si="6"/>
        <v/>
      </c>
    </row>
    <row r="113" spans="8:14" x14ac:dyDescent="0.25">
      <c r="H113" t="str">
        <f>IF(I112=0,"",INDEX('[1]Grade Project'!$K:$K,MATCH(CONCATENATE($A$5,$A$8),'[1]Grade Project'!$H:$H,0)+SUM($I$3:I112)))</f>
        <v/>
      </c>
      <c r="I113">
        <f>COUNTIFS('[1]Grade Project'!$G:$G,$A$8,'[1]Grade Project'!$K:$K,H113,'[1]Grade Project'!$F:$F,$A$5)</f>
        <v>0</v>
      </c>
      <c r="J113" t="str">
        <f>IFERROR(AVERAGEIFS('[1]Grade Project'!$N:$N,'[1]Grade Project'!$K:$K,H113,'[1]Grade Project'!$F:$F,$A$5,'[1]Grade Project'!$G:$G,$A$8),"")</f>
        <v/>
      </c>
      <c r="K113" t="str">
        <f>IFERROR(AVERAGEIFS('[1]Grade Project'!$O:$O,'[1]Grade Project'!$K:$K,H113,'[1]Grade Project'!$F:$F,$A$5,'[1]Grade Project'!$G:$G,$A$8),"")</f>
        <v/>
      </c>
      <c r="L113" t="str">
        <f t="shared" si="4"/>
        <v/>
      </c>
      <c r="M113" t="str">
        <f t="shared" si="5"/>
        <v/>
      </c>
      <c r="N113" t="str">
        <f t="shared" si="6"/>
        <v/>
      </c>
    </row>
    <row r="114" spans="8:14" x14ac:dyDescent="0.25">
      <c r="H114" t="str">
        <f>IF(I113=0,"",INDEX('[1]Grade Project'!$K:$K,MATCH(CONCATENATE($A$5,$A$8),'[1]Grade Project'!$H:$H,0)+SUM($I$3:I113)))</f>
        <v/>
      </c>
      <c r="I114">
        <f>COUNTIFS('[1]Grade Project'!$G:$G,$A$8,'[1]Grade Project'!$K:$K,H114,'[1]Grade Project'!$F:$F,$A$5)</f>
        <v>0</v>
      </c>
      <c r="J114" t="str">
        <f>IFERROR(AVERAGEIFS('[1]Grade Project'!$N:$N,'[1]Grade Project'!$K:$K,H114,'[1]Grade Project'!$F:$F,$A$5,'[1]Grade Project'!$G:$G,$A$8),"")</f>
        <v/>
      </c>
      <c r="K114" t="str">
        <f>IFERROR(AVERAGEIFS('[1]Grade Project'!$O:$O,'[1]Grade Project'!$K:$K,H114,'[1]Grade Project'!$F:$F,$A$5,'[1]Grade Project'!$G:$G,$A$8),"")</f>
        <v/>
      </c>
      <c r="L114" t="str">
        <f t="shared" si="4"/>
        <v/>
      </c>
      <c r="M114" t="str">
        <f t="shared" si="5"/>
        <v/>
      </c>
      <c r="N114" t="str">
        <f t="shared" si="6"/>
        <v/>
      </c>
    </row>
    <row r="115" spans="8:14" x14ac:dyDescent="0.25">
      <c r="H115" t="str">
        <f>IF(I114=0,"",INDEX('[1]Grade Project'!$K:$K,MATCH(CONCATENATE($A$5,$A$8),'[1]Grade Project'!$H:$H,0)+SUM($I$3:I114)))</f>
        <v/>
      </c>
      <c r="I115">
        <f>COUNTIFS('[1]Grade Project'!$G:$G,$A$8,'[1]Grade Project'!$K:$K,H115,'[1]Grade Project'!$F:$F,$A$5)</f>
        <v>0</v>
      </c>
      <c r="J115" t="str">
        <f>IFERROR(AVERAGEIFS('[1]Grade Project'!$N:$N,'[1]Grade Project'!$K:$K,H115,'[1]Grade Project'!$F:$F,$A$5,'[1]Grade Project'!$G:$G,$A$8),"")</f>
        <v/>
      </c>
      <c r="K115" t="str">
        <f>IFERROR(AVERAGEIFS('[1]Grade Project'!$O:$O,'[1]Grade Project'!$K:$K,H115,'[1]Grade Project'!$F:$F,$A$5,'[1]Grade Project'!$G:$G,$A$8),"")</f>
        <v/>
      </c>
      <c r="L115" t="str">
        <f t="shared" si="4"/>
        <v/>
      </c>
      <c r="M115" t="str">
        <f t="shared" si="5"/>
        <v/>
      </c>
      <c r="N115" t="str">
        <f t="shared" si="6"/>
        <v/>
      </c>
    </row>
    <row r="116" spans="8:14" x14ac:dyDescent="0.25">
      <c r="H116" t="str">
        <f>IF(I115=0,"",INDEX('[1]Grade Project'!$K:$K,MATCH(CONCATENATE($A$5,$A$8),'[1]Grade Project'!$H:$H,0)+SUM($I$3:I115)))</f>
        <v/>
      </c>
      <c r="I116">
        <f>COUNTIFS('[1]Grade Project'!$G:$G,$A$8,'[1]Grade Project'!$K:$K,H116,'[1]Grade Project'!$F:$F,$A$5)</f>
        <v>0</v>
      </c>
      <c r="J116" t="str">
        <f>IFERROR(AVERAGEIFS('[1]Grade Project'!$N:$N,'[1]Grade Project'!$K:$K,H116,'[1]Grade Project'!$F:$F,$A$5,'[1]Grade Project'!$G:$G,$A$8),"")</f>
        <v/>
      </c>
      <c r="K116" t="str">
        <f>IFERROR(AVERAGEIFS('[1]Grade Project'!$O:$O,'[1]Grade Project'!$K:$K,H116,'[1]Grade Project'!$F:$F,$A$5,'[1]Grade Project'!$G:$G,$A$8),"")</f>
        <v/>
      </c>
      <c r="L116" t="str">
        <f t="shared" si="4"/>
        <v/>
      </c>
      <c r="M116" t="str">
        <f t="shared" si="5"/>
        <v/>
      </c>
      <c r="N116" t="str">
        <f t="shared" si="6"/>
        <v/>
      </c>
    </row>
    <row r="117" spans="8:14" x14ac:dyDescent="0.25">
      <c r="H117" t="str">
        <f>IF(I116=0,"",INDEX('[1]Grade Project'!$K:$K,MATCH(CONCATENATE($A$5,$A$8),'[1]Grade Project'!$H:$H,0)+SUM($I$3:I116)))</f>
        <v/>
      </c>
      <c r="I117">
        <f>COUNTIFS('[1]Grade Project'!$G:$G,$A$8,'[1]Grade Project'!$K:$K,H117,'[1]Grade Project'!$F:$F,$A$5)</f>
        <v>0</v>
      </c>
      <c r="J117" t="str">
        <f>IFERROR(AVERAGEIFS('[1]Grade Project'!$N:$N,'[1]Grade Project'!$K:$K,H117,'[1]Grade Project'!$F:$F,$A$5,'[1]Grade Project'!$G:$G,$A$8),"")</f>
        <v/>
      </c>
      <c r="K117" t="str">
        <f>IFERROR(AVERAGEIFS('[1]Grade Project'!$O:$O,'[1]Grade Project'!$K:$K,H117,'[1]Grade Project'!$F:$F,$A$5,'[1]Grade Project'!$G:$G,$A$8),"")</f>
        <v/>
      </c>
      <c r="L117" t="str">
        <f t="shared" si="4"/>
        <v/>
      </c>
      <c r="M117" t="str">
        <f t="shared" si="5"/>
        <v/>
      </c>
      <c r="N117" t="str">
        <f t="shared" si="6"/>
        <v/>
      </c>
    </row>
    <row r="118" spans="8:14" x14ac:dyDescent="0.25">
      <c r="H118" t="str">
        <f>IF(I117=0,"",INDEX('[1]Grade Project'!$K:$K,MATCH(CONCATENATE($A$5,$A$8),'[1]Grade Project'!$H:$H,0)+SUM($I$3:I117)))</f>
        <v/>
      </c>
      <c r="I118">
        <f>COUNTIFS('[1]Grade Project'!$G:$G,$A$8,'[1]Grade Project'!$K:$K,H118,'[1]Grade Project'!$F:$F,$A$5)</f>
        <v>0</v>
      </c>
      <c r="J118" t="str">
        <f>IFERROR(AVERAGEIFS('[1]Grade Project'!$N:$N,'[1]Grade Project'!$K:$K,H118,'[1]Grade Project'!$F:$F,$A$5,'[1]Grade Project'!$G:$G,$A$8),"")</f>
        <v/>
      </c>
      <c r="K118" t="str">
        <f>IFERROR(AVERAGEIFS('[1]Grade Project'!$O:$O,'[1]Grade Project'!$K:$K,H118,'[1]Grade Project'!$F:$F,$A$5,'[1]Grade Project'!$G:$G,$A$8),"")</f>
        <v/>
      </c>
      <c r="L118" t="str">
        <f t="shared" si="4"/>
        <v/>
      </c>
      <c r="M118" t="str">
        <f t="shared" si="5"/>
        <v/>
      </c>
      <c r="N118" t="str">
        <f t="shared" si="6"/>
        <v/>
      </c>
    </row>
    <row r="119" spans="8:14" x14ac:dyDescent="0.25">
      <c r="H119" t="str">
        <f>IF(I118=0,"",INDEX('[1]Grade Project'!$K:$K,MATCH(CONCATENATE($A$5,$A$8),'[1]Grade Project'!$H:$H,0)+SUM($I$3:I118)))</f>
        <v/>
      </c>
      <c r="I119">
        <f>COUNTIFS('[1]Grade Project'!$G:$G,$A$8,'[1]Grade Project'!$K:$K,H119,'[1]Grade Project'!$F:$F,$A$5)</f>
        <v>0</v>
      </c>
      <c r="J119" t="str">
        <f>IFERROR(AVERAGEIFS('[1]Grade Project'!$N:$N,'[1]Grade Project'!$K:$K,H119,'[1]Grade Project'!$F:$F,$A$5,'[1]Grade Project'!$G:$G,$A$8),"")</f>
        <v/>
      </c>
      <c r="K119" t="str">
        <f>IFERROR(AVERAGEIFS('[1]Grade Project'!$O:$O,'[1]Grade Project'!$K:$K,H119,'[1]Grade Project'!$F:$F,$A$5,'[1]Grade Project'!$G:$G,$A$8),"")</f>
        <v/>
      </c>
      <c r="L119" t="str">
        <f t="shared" si="4"/>
        <v/>
      </c>
      <c r="M119" t="str">
        <f t="shared" si="5"/>
        <v/>
      </c>
      <c r="N119" t="str">
        <f t="shared" si="6"/>
        <v/>
      </c>
    </row>
    <row r="120" spans="8:14" x14ac:dyDescent="0.25">
      <c r="H120" t="str">
        <f>IF(I119=0,"",INDEX('[1]Grade Project'!$K:$K,MATCH(CONCATENATE($A$5,$A$8),'[1]Grade Project'!$H:$H,0)+SUM($I$3:I119)))</f>
        <v/>
      </c>
      <c r="I120">
        <f>COUNTIFS('[1]Grade Project'!$G:$G,$A$8,'[1]Grade Project'!$K:$K,H120,'[1]Grade Project'!$F:$F,$A$5)</f>
        <v>0</v>
      </c>
      <c r="J120" t="str">
        <f>IFERROR(AVERAGEIFS('[1]Grade Project'!$N:$N,'[1]Grade Project'!$K:$K,H120,'[1]Grade Project'!$F:$F,$A$5,'[1]Grade Project'!$G:$G,$A$8),"")</f>
        <v/>
      </c>
      <c r="K120" t="str">
        <f>IFERROR(AVERAGEIFS('[1]Grade Project'!$O:$O,'[1]Grade Project'!$K:$K,H120,'[1]Grade Project'!$F:$F,$A$5,'[1]Grade Project'!$G:$G,$A$8),"")</f>
        <v/>
      </c>
      <c r="L120" t="str">
        <f t="shared" si="4"/>
        <v/>
      </c>
      <c r="M120" t="str">
        <f t="shared" si="5"/>
        <v/>
      </c>
      <c r="N120" t="str">
        <f t="shared" si="6"/>
        <v/>
      </c>
    </row>
    <row r="121" spans="8:14" x14ac:dyDescent="0.25">
      <c r="H121" t="str">
        <f>IF(I120=0,"",INDEX('[1]Grade Project'!$K:$K,MATCH(CONCATENATE($A$5,$A$8),'[1]Grade Project'!$H:$H,0)+SUM($I$3:I120)))</f>
        <v/>
      </c>
      <c r="I121">
        <f>COUNTIFS('[1]Grade Project'!$G:$G,$A$8,'[1]Grade Project'!$K:$K,H121,'[1]Grade Project'!$F:$F,$A$5)</f>
        <v>0</v>
      </c>
      <c r="J121" t="str">
        <f>IFERROR(AVERAGEIFS('[1]Grade Project'!$N:$N,'[1]Grade Project'!$K:$K,H121,'[1]Grade Project'!$F:$F,$A$5,'[1]Grade Project'!$G:$G,$A$8),"")</f>
        <v/>
      </c>
      <c r="K121" t="str">
        <f>IFERROR(AVERAGEIFS('[1]Grade Project'!$O:$O,'[1]Grade Project'!$K:$K,H121,'[1]Grade Project'!$F:$F,$A$5,'[1]Grade Project'!$G:$G,$A$8),"")</f>
        <v/>
      </c>
      <c r="L121" t="str">
        <f t="shared" si="4"/>
        <v/>
      </c>
      <c r="M121" t="str">
        <f t="shared" si="5"/>
        <v/>
      </c>
      <c r="N121" t="str">
        <f t="shared" si="6"/>
        <v/>
      </c>
    </row>
    <row r="122" spans="8:14" x14ac:dyDescent="0.25">
      <c r="H122" t="str">
        <f>IF(I121=0,"",INDEX('[1]Grade Project'!$K:$K,MATCH(CONCATENATE($A$5,$A$8),'[1]Grade Project'!$H:$H,0)+SUM($I$3:I121)))</f>
        <v/>
      </c>
      <c r="I122">
        <f>COUNTIFS('[1]Grade Project'!$G:$G,$A$8,'[1]Grade Project'!$K:$K,H122,'[1]Grade Project'!$F:$F,$A$5)</f>
        <v>0</v>
      </c>
      <c r="J122" t="str">
        <f>IFERROR(AVERAGEIFS('[1]Grade Project'!$N:$N,'[1]Grade Project'!$K:$K,H122,'[1]Grade Project'!$F:$F,$A$5,'[1]Grade Project'!$G:$G,$A$8),"")</f>
        <v/>
      </c>
      <c r="K122" t="str">
        <f>IFERROR(AVERAGEIFS('[1]Grade Project'!$O:$O,'[1]Grade Project'!$K:$K,H122,'[1]Grade Project'!$F:$F,$A$5,'[1]Grade Project'!$G:$G,$A$8),"")</f>
        <v/>
      </c>
      <c r="L122" t="str">
        <f t="shared" si="4"/>
        <v/>
      </c>
      <c r="M122" t="str">
        <f t="shared" si="5"/>
        <v/>
      </c>
      <c r="N122" t="str">
        <f t="shared" si="6"/>
        <v/>
      </c>
    </row>
    <row r="123" spans="8:14" x14ac:dyDescent="0.25">
      <c r="H123" t="str">
        <f>IF(I122=0,"",INDEX('[1]Grade Project'!$K:$K,MATCH(CONCATENATE($A$5,$A$8),'[1]Grade Project'!$H:$H,0)+SUM($I$3:I122)))</f>
        <v/>
      </c>
      <c r="I123">
        <f>COUNTIFS('[1]Grade Project'!$G:$G,$A$8,'[1]Grade Project'!$K:$K,H123,'[1]Grade Project'!$F:$F,$A$5)</f>
        <v>0</v>
      </c>
      <c r="J123" t="str">
        <f>IFERROR(AVERAGEIFS('[1]Grade Project'!$N:$N,'[1]Grade Project'!$K:$K,H123,'[1]Grade Project'!$F:$F,$A$5,'[1]Grade Project'!$G:$G,$A$8),"")</f>
        <v/>
      </c>
      <c r="K123" t="str">
        <f>IFERROR(AVERAGEIFS('[1]Grade Project'!$O:$O,'[1]Grade Project'!$K:$K,H123,'[1]Grade Project'!$F:$F,$A$5,'[1]Grade Project'!$G:$G,$A$8),"")</f>
        <v/>
      </c>
      <c r="L123" t="str">
        <f t="shared" si="4"/>
        <v/>
      </c>
      <c r="M123" t="str">
        <f t="shared" si="5"/>
        <v/>
      </c>
      <c r="N123" t="str">
        <f t="shared" si="6"/>
        <v/>
      </c>
    </row>
    <row r="124" spans="8:14" x14ac:dyDescent="0.25">
      <c r="H124" t="str">
        <f>IF(I123=0,"",INDEX('[1]Grade Project'!$K:$K,MATCH(CONCATENATE($A$5,$A$8),'[1]Grade Project'!$H:$H,0)+SUM($I$3:I123)))</f>
        <v/>
      </c>
      <c r="I124">
        <f>COUNTIFS('[1]Grade Project'!$G:$G,$A$8,'[1]Grade Project'!$K:$K,H124,'[1]Grade Project'!$F:$F,$A$5)</f>
        <v>0</v>
      </c>
      <c r="J124" t="str">
        <f>IFERROR(AVERAGEIFS('[1]Grade Project'!$N:$N,'[1]Grade Project'!$K:$K,H124,'[1]Grade Project'!$F:$F,$A$5,'[1]Grade Project'!$G:$G,$A$8),"")</f>
        <v/>
      </c>
      <c r="K124" t="str">
        <f>IFERROR(AVERAGEIFS('[1]Grade Project'!$O:$O,'[1]Grade Project'!$K:$K,H124,'[1]Grade Project'!$F:$F,$A$5,'[1]Grade Project'!$G:$G,$A$8),"")</f>
        <v/>
      </c>
      <c r="L124" t="str">
        <f t="shared" si="4"/>
        <v/>
      </c>
      <c r="M124" t="str">
        <f t="shared" si="5"/>
        <v/>
      </c>
      <c r="N124" t="str">
        <f t="shared" si="6"/>
        <v/>
      </c>
    </row>
    <row r="125" spans="8:14" x14ac:dyDescent="0.25">
      <c r="H125" t="str">
        <f>IF(I124=0,"",INDEX('[1]Grade Project'!$K:$K,MATCH(CONCATENATE($A$5,$A$8),'[1]Grade Project'!$H:$H,0)+SUM($I$3:I124)))</f>
        <v/>
      </c>
      <c r="I125">
        <f>COUNTIFS('[1]Grade Project'!$G:$G,$A$8,'[1]Grade Project'!$K:$K,H125,'[1]Grade Project'!$F:$F,$A$5)</f>
        <v>0</v>
      </c>
      <c r="J125" t="str">
        <f>IFERROR(AVERAGEIFS('[1]Grade Project'!$N:$N,'[1]Grade Project'!$K:$K,H125,'[1]Grade Project'!$F:$F,$A$5,'[1]Grade Project'!$G:$G,$A$8),"")</f>
        <v/>
      </c>
      <c r="K125" t="str">
        <f>IFERROR(AVERAGEIFS('[1]Grade Project'!$O:$O,'[1]Grade Project'!$K:$K,H125,'[1]Grade Project'!$F:$F,$A$5,'[1]Grade Project'!$G:$G,$A$8),"")</f>
        <v/>
      </c>
      <c r="L125" t="str">
        <f t="shared" si="4"/>
        <v/>
      </c>
      <c r="M125" t="str">
        <f t="shared" si="5"/>
        <v/>
      </c>
      <c r="N125" t="str">
        <f t="shared" si="6"/>
        <v/>
      </c>
    </row>
    <row r="126" spans="8:14" x14ac:dyDescent="0.25">
      <c r="H126" t="str">
        <f>IF(I125=0,"",INDEX('[1]Grade Project'!$K:$K,MATCH(CONCATENATE($A$5,$A$8),'[1]Grade Project'!$H:$H,0)+SUM($I$3:I125)))</f>
        <v/>
      </c>
      <c r="I126">
        <f>COUNTIFS('[1]Grade Project'!$G:$G,$A$8,'[1]Grade Project'!$K:$K,H126,'[1]Grade Project'!$F:$F,$A$5)</f>
        <v>0</v>
      </c>
      <c r="J126" t="str">
        <f>IFERROR(AVERAGEIFS('[1]Grade Project'!$N:$N,'[1]Grade Project'!$K:$K,H126,'[1]Grade Project'!$F:$F,$A$5,'[1]Grade Project'!$G:$G,$A$8),"")</f>
        <v/>
      </c>
      <c r="K126" t="str">
        <f>IFERROR(AVERAGEIFS('[1]Grade Project'!$O:$O,'[1]Grade Project'!$K:$K,H126,'[1]Grade Project'!$F:$F,$A$5,'[1]Grade Project'!$G:$G,$A$8),"")</f>
        <v/>
      </c>
      <c r="L126" t="str">
        <f t="shared" si="4"/>
        <v/>
      </c>
      <c r="M126" t="str">
        <f t="shared" si="5"/>
        <v/>
      </c>
      <c r="N126" t="str">
        <f t="shared" si="6"/>
        <v/>
      </c>
    </row>
    <row r="127" spans="8:14" x14ac:dyDescent="0.25">
      <c r="H127" t="str">
        <f>IF(I126=0,"",INDEX('[1]Grade Project'!$K:$K,MATCH(CONCATENATE($A$5,$A$8),'[1]Grade Project'!$H:$H,0)+SUM($I$3:I126)))</f>
        <v/>
      </c>
      <c r="I127">
        <f>COUNTIFS('[1]Grade Project'!$G:$G,$A$8,'[1]Grade Project'!$K:$K,H127,'[1]Grade Project'!$F:$F,$A$5)</f>
        <v>0</v>
      </c>
      <c r="J127" t="str">
        <f>IFERROR(AVERAGEIFS('[1]Grade Project'!$N:$N,'[1]Grade Project'!$K:$K,H127,'[1]Grade Project'!$F:$F,$A$5,'[1]Grade Project'!$G:$G,$A$8),"")</f>
        <v/>
      </c>
      <c r="K127" t="str">
        <f>IFERROR(AVERAGEIFS('[1]Grade Project'!$O:$O,'[1]Grade Project'!$K:$K,H127,'[1]Grade Project'!$F:$F,$A$5,'[1]Grade Project'!$G:$G,$A$8),"")</f>
        <v/>
      </c>
      <c r="L127" t="str">
        <f t="shared" si="4"/>
        <v/>
      </c>
      <c r="M127" t="str">
        <f t="shared" si="5"/>
        <v/>
      </c>
      <c r="N127" t="str">
        <f t="shared" si="6"/>
        <v/>
      </c>
    </row>
    <row r="128" spans="8:14" x14ac:dyDescent="0.25">
      <c r="H128" t="str">
        <f>IF(I127=0,"",INDEX('[1]Grade Project'!$K:$K,MATCH(CONCATENATE($A$5,$A$8),'[1]Grade Project'!$H:$H,0)+SUM($I$3:I127)))</f>
        <v/>
      </c>
      <c r="I128">
        <f>COUNTIFS('[1]Grade Project'!$G:$G,$A$8,'[1]Grade Project'!$K:$K,H128,'[1]Grade Project'!$F:$F,$A$5)</f>
        <v>0</v>
      </c>
      <c r="J128" t="str">
        <f>IFERROR(AVERAGEIFS('[1]Grade Project'!$N:$N,'[1]Grade Project'!$K:$K,H128,'[1]Grade Project'!$F:$F,$A$5,'[1]Grade Project'!$G:$G,$A$8),"")</f>
        <v/>
      </c>
      <c r="K128" t="str">
        <f>IFERROR(AVERAGEIFS('[1]Grade Project'!$O:$O,'[1]Grade Project'!$K:$K,H128,'[1]Grade Project'!$F:$F,$A$5,'[1]Grade Project'!$G:$G,$A$8),"")</f>
        <v/>
      </c>
      <c r="L128" t="str">
        <f t="shared" si="4"/>
        <v/>
      </c>
      <c r="M128" t="str">
        <f t="shared" si="5"/>
        <v/>
      </c>
      <c r="N128" t="str">
        <f t="shared" si="6"/>
        <v/>
      </c>
    </row>
    <row r="129" spans="8:14" x14ac:dyDescent="0.25">
      <c r="H129" t="str">
        <f>IF(I128=0,"",INDEX('[1]Grade Project'!$K:$K,MATCH(CONCATENATE($A$5,$A$8),'[1]Grade Project'!$H:$H,0)+SUM($I$3:I128)))</f>
        <v/>
      </c>
      <c r="I129">
        <f>COUNTIFS('[1]Grade Project'!$G:$G,$A$8,'[1]Grade Project'!$K:$K,H129,'[1]Grade Project'!$F:$F,$A$5)</f>
        <v>0</v>
      </c>
      <c r="J129" t="str">
        <f>IFERROR(AVERAGEIFS('[1]Grade Project'!$N:$N,'[1]Grade Project'!$K:$K,H129,'[1]Grade Project'!$F:$F,$A$5,'[1]Grade Project'!$G:$G,$A$8),"")</f>
        <v/>
      </c>
      <c r="K129" t="str">
        <f>IFERROR(AVERAGEIFS('[1]Grade Project'!$O:$O,'[1]Grade Project'!$K:$K,H129,'[1]Grade Project'!$F:$F,$A$5,'[1]Grade Project'!$G:$G,$A$8),"")</f>
        <v/>
      </c>
      <c r="L129" t="str">
        <f t="shared" si="4"/>
        <v/>
      </c>
      <c r="M129" t="str">
        <f t="shared" si="5"/>
        <v/>
      </c>
      <c r="N129" t="str">
        <f t="shared" si="6"/>
        <v/>
      </c>
    </row>
    <row r="130" spans="8:14" x14ac:dyDescent="0.25">
      <c r="H130" t="str">
        <f>IF(I129=0,"",INDEX('[1]Grade Project'!$K:$K,MATCH(CONCATENATE($A$5,$A$8),'[1]Grade Project'!$H:$H,0)+SUM($I$3:I129)))</f>
        <v/>
      </c>
      <c r="I130">
        <f>COUNTIFS('[1]Grade Project'!$G:$G,$A$8,'[1]Grade Project'!$K:$K,H130,'[1]Grade Project'!$F:$F,$A$5)</f>
        <v>0</v>
      </c>
      <c r="J130" t="str">
        <f>IFERROR(AVERAGEIFS('[1]Grade Project'!$N:$N,'[1]Grade Project'!$K:$K,H130,'[1]Grade Project'!$F:$F,$A$5,'[1]Grade Project'!$G:$G,$A$8),"")</f>
        <v/>
      </c>
      <c r="K130" t="str">
        <f>IFERROR(AVERAGEIFS('[1]Grade Project'!$O:$O,'[1]Grade Project'!$K:$K,H130,'[1]Grade Project'!$F:$F,$A$5,'[1]Grade Project'!$G:$G,$A$8),"")</f>
        <v/>
      </c>
      <c r="L130" t="str">
        <f t="shared" si="4"/>
        <v/>
      </c>
      <c r="M130" t="str">
        <f t="shared" si="5"/>
        <v/>
      </c>
      <c r="N130" t="str">
        <f t="shared" si="6"/>
        <v/>
      </c>
    </row>
    <row r="131" spans="8:14" x14ac:dyDescent="0.25">
      <c r="H131" t="str">
        <f>IF(I130=0,"",INDEX('[1]Grade Project'!$K:$K,MATCH(CONCATENATE($A$5,$A$8),'[1]Grade Project'!$H:$H,0)+SUM($I$3:I130)))</f>
        <v/>
      </c>
      <c r="I131">
        <f>COUNTIFS('[1]Grade Project'!$G:$G,$A$8,'[1]Grade Project'!$K:$K,H131,'[1]Grade Project'!$F:$F,$A$5)</f>
        <v>0</v>
      </c>
      <c r="J131" t="str">
        <f>IFERROR(AVERAGEIFS('[1]Grade Project'!$N:$N,'[1]Grade Project'!$K:$K,H131,'[1]Grade Project'!$F:$F,$A$5,'[1]Grade Project'!$G:$G,$A$8),"")</f>
        <v/>
      </c>
      <c r="K131" t="str">
        <f>IFERROR(AVERAGEIFS('[1]Grade Project'!$O:$O,'[1]Grade Project'!$K:$K,H131,'[1]Grade Project'!$F:$F,$A$5,'[1]Grade Project'!$G:$G,$A$8),"")</f>
        <v/>
      </c>
      <c r="L131" t="str">
        <f t="shared" si="4"/>
        <v/>
      </c>
      <c r="M131" t="str">
        <f t="shared" si="5"/>
        <v/>
      </c>
      <c r="N131" t="str">
        <f t="shared" si="6"/>
        <v/>
      </c>
    </row>
    <row r="132" spans="8:14" x14ac:dyDescent="0.25">
      <c r="H132" t="str">
        <f>IF(I131=0,"",INDEX('[1]Grade Project'!$K:$K,MATCH(CONCATENATE($A$5,$A$8),'[1]Grade Project'!$H:$H,0)+SUM($I$3:I131)))</f>
        <v/>
      </c>
      <c r="I132">
        <f>COUNTIFS('[1]Grade Project'!$G:$G,$A$8,'[1]Grade Project'!$K:$K,H132,'[1]Grade Project'!$F:$F,$A$5)</f>
        <v>0</v>
      </c>
      <c r="J132" t="str">
        <f>IFERROR(AVERAGEIFS('[1]Grade Project'!$N:$N,'[1]Grade Project'!$K:$K,H132,'[1]Grade Project'!$F:$F,$A$5,'[1]Grade Project'!$G:$G,$A$8),"")</f>
        <v/>
      </c>
      <c r="K132" t="str">
        <f>IFERROR(AVERAGEIFS('[1]Grade Project'!$O:$O,'[1]Grade Project'!$K:$K,H132,'[1]Grade Project'!$F:$F,$A$5,'[1]Grade Project'!$G:$G,$A$8),"")</f>
        <v/>
      </c>
      <c r="L132" t="str">
        <f t="shared" ref="L132:L146" si="7">IFERROR(K132/J132,"")</f>
        <v/>
      </c>
      <c r="M132" t="str">
        <f t="shared" ref="M132:M146" si="8">IFERROR(_xlfn.RANK.EQ(L132,L:L),"")</f>
        <v/>
      </c>
      <c r="N132" t="str">
        <f t="shared" ref="N132:N146" si="9">IFERROR(MAX(M:M)-M132+1,"")</f>
        <v/>
      </c>
    </row>
    <row r="133" spans="8:14" x14ac:dyDescent="0.25">
      <c r="H133" t="str">
        <f>IF(I132=0,"",INDEX('[1]Grade Project'!$K:$K,MATCH(CONCATENATE($A$5,$A$8),'[1]Grade Project'!$H:$H,0)+SUM($I$3:I132)))</f>
        <v/>
      </c>
      <c r="I133">
        <f>COUNTIFS('[1]Grade Project'!$G:$G,$A$8,'[1]Grade Project'!$K:$K,H133,'[1]Grade Project'!$F:$F,$A$5)</f>
        <v>0</v>
      </c>
      <c r="J133" t="str">
        <f>IFERROR(AVERAGEIFS('[1]Grade Project'!$N:$N,'[1]Grade Project'!$K:$K,H133,'[1]Grade Project'!$F:$F,$A$5,'[1]Grade Project'!$G:$G,$A$8),"")</f>
        <v/>
      </c>
      <c r="K133" t="str">
        <f>IFERROR(AVERAGEIFS('[1]Grade Project'!$O:$O,'[1]Grade Project'!$K:$K,H133,'[1]Grade Project'!$F:$F,$A$5,'[1]Grade Project'!$G:$G,$A$8),"")</f>
        <v/>
      </c>
      <c r="L133" t="str">
        <f t="shared" si="7"/>
        <v/>
      </c>
      <c r="M133" t="str">
        <f t="shared" si="8"/>
        <v/>
      </c>
      <c r="N133" t="str">
        <f t="shared" si="9"/>
        <v/>
      </c>
    </row>
    <row r="134" spans="8:14" x14ac:dyDescent="0.25">
      <c r="H134" t="str">
        <f>IF(I133=0,"",INDEX('[1]Grade Project'!$K:$K,MATCH(CONCATENATE($A$5,$A$8),'[1]Grade Project'!$H:$H,0)+SUM($I$3:I133)))</f>
        <v/>
      </c>
      <c r="I134">
        <f>COUNTIFS('[1]Grade Project'!$G:$G,$A$8,'[1]Grade Project'!$K:$K,H134,'[1]Grade Project'!$F:$F,$A$5)</f>
        <v>0</v>
      </c>
      <c r="J134" t="str">
        <f>IFERROR(AVERAGEIFS('[1]Grade Project'!$N:$N,'[1]Grade Project'!$K:$K,H134,'[1]Grade Project'!$F:$F,$A$5,'[1]Grade Project'!$G:$G,$A$8),"")</f>
        <v/>
      </c>
      <c r="K134" t="str">
        <f>IFERROR(AVERAGEIFS('[1]Grade Project'!$O:$O,'[1]Grade Project'!$K:$K,H134,'[1]Grade Project'!$F:$F,$A$5,'[1]Grade Project'!$G:$G,$A$8),"")</f>
        <v/>
      </c>
      <c r="L134" t="str">
        <f t="shared" si="7"/>
        <v/>
      </c>
      <c r="M134" t="str">
        <f t="shared" si="8"/>
        <v/>
      </c>
      <c r="N134" t="str">
        <f t="shared" si="9"/>
        <v/>
      </c>
    </row>
    <row r="135" spans="8:14" x14ac:dyDescent="0.25">
      <c r="H135" t="str">
        <f>IF(I134=0,"",INDEX('[1]Grade Project'!$K:$K,MATCH(CONCATENATE($A$5,$A$8),'[1]Grade Project'!$H:$H,0)+SUM($I$3:I134)))</f>
        <v/>
      </c>
      <c r="I135">
        <f>COUNTIFS('[1]Grade Project'!$G:$G,$A$8,'[1]Grade Project'!$K:$K,H135,'[1]Grade Project'!$F:$F,$A$5)</f>
        <v>0</v>
      </c>
      <c r="J135" t="str">
        <f>IFERROR(AVERAGEIFS('[1]Grade Project'!$N:$N,'[1]Grade Project'!$K:$K,H135,'[1]Grade Project'!$F:$F,$A$5,'[1]Grade Project'!$G:$G,$A$8),"")</f>
        <v/>
      </c>
      <c r="K135" t="str">
        <f>IFERROR(AVERAGEIFS('[1]Grade Project'!$O:$O,'[1]Grade Project'!$K:$K,H135,'[1]Grade Project'!$F:$F,$A$5,'[1]Grade Project'!$G:$G,$A$8),"")</f>
        <v/>
      </c>
      <c r="L135" t="str">
        <f t="shared" si="7"/>
        <v/>
      </c>
      <c r="M135" t="str">
        <f t="shared" si="8"/>
        <v/>
      </c>
      <c r="N135" t="str">
        <f t="shared" si="9"/>
        <v/>
      </c>
    </row>
    <row r="136" spans="8:14" x14ac:dyDescent="0.25">
      <c r="H136" t="str">
        <f>IF(I135=0,"",INDEX('[1]Grade Project'!$K:$K,MATCH(CONCATENATE($A$5,$A$8),'[1]Grade Project'!$H:$H,0)+SUM($I$3:I135)))</f>
        <v/>
      </c>
      <c r="I136">
        <f>COUNTIFS('[1]Grade Project'!$G:$G,$A$8,'[1]Grade Project'!$K:$K,H136,'[1]Grade Project'!$F:$F,$A$5)</f>
        <v>0</v>
      </c>
      <c r="J136" t="str">
        <f>IFERROR(AVERAGEIFS('[1]Grade Project'!$N:$N,'[1]Grade Project'!$K:$K,H136,'[1]Grade Project'!$F:$F,$A$5,'[1]Grade Project'!$G:$G,$A$8),"")</f>
        <v/>
      </c>
      <c r="K136" t="str">
        <f>IFERROR(AVERAGEIFS('[1]Grade Project'!$O:$O,'[1]Grade Project'!$K:$K,H136,'[1]Grade Project'!$F:$F,$A$5,'[1]Grade Project'!$G:$G,$A$8),"")</f>
        <v/>
      </c>
      <c r="L136" t="str">
        <f t="shared" si="7"/>
        <v/>
      </c>
      <c r="M136" t="str">
        <f t="shared" si="8"/>
        <v/>
      </c>
      <c r="N136" t="str">
        <f t="shared" si="9"/>
        <v/>
      </c>
    </row>
    <row r="137" spans="8:14" x14ac:dyDescent="0.25">
      <c r="H137" t="str">
        <f>IF(I136=0,"",INDEX('[1]Grade Project'!$K:$K,MATCH(CONCATENATE($A$5,$A$8),'[1]Grade Project'!$H:$H,0)+SUM($I$3:I136)))</f>
        <v/>
      </c>
      <c r="I137">
        <f>COUNTIFS('[1]Grade Project'!$G:$G,$A$8,'[1]Grade Project'!$K:$K,H137,'[1]Grade Project'!$F:$F,$A$5)</f>
        <v>0</v>
      </c>
      <c r="J137" t="str">
        <f>IFERROR(AVERAGEIFS('[1]Grade Project'!$N:$N,'[1]Grade Project'!$K:$K,H137,'[1]Grade Project'!$F:$F,$A$5,'[1]Grade Project'!$G:$G,$A$8),"")</f>
        <v/>
      </c>
      <c r="K137" t="str">
        <f>IFERROR(AVERAGEIFS('[1]Grade Project'!$O:$O,'[1]Grade Project'!$K:$K,H137,'[1]Grade Project'!$F:$F,$A$5,'[1]Grade Project'!$G:$G,$A$8),"")</f>
        <v/>
      </c>
      <c r="L137" t="str">
        <f t="shared" si="7"/>
        <v/>
      </c>
      <c r="M137" t="str">
        <f t="shared" si="8"/>
        <v/>
      </c>
      <c r="N137" t="str">
        <f t="shared" si="9"/>
        <v/>
      </c>
    </row>
    <row r="138" spans="8:14" x14ac:dyDescent="0.25">
      <c r="H138" t="str">
        <f>IF(I137=0,"",INDEX('[1]Grade Project'!$K:$K,MATCH(CONCATENATE($A$5,$A$8),'[1]Grade Project'!$H:$H,0)+SUM($I$3:I137)))</f>
        <v/>
      </c>
      <c r="I138">
        <f>COUNTIFS('[1]Grade Project'!$G:$G,$A$8,'[1]Grade Project'!$K:$K,H138,'[1]Grade Project'!$F:$F,$A$5)</f>
        <v>0</v>
      </c>
      <c r="J138" t="str">
        <f>IFERROR(AVERAGEIFS('[1]Grade Project'!$N:$N,'[1]Grade Project'!$K:$K,H138,'[1]Grade Project'!$F:$F,$A$5,'[1]Grade Project'!$G:$G,$A$8),"")</f>
        <v/>
      </c>
      <c r="K138" t="str">
        <f>IFERROR(AVERAGEIFS('[1]Grade Project'!$O:$O,'[1]Grade Project'!$K:$K,H138,'[1]Grade Project'!$F:$F,$A$5,'[1]Grade Project'!$G:$G,$A$8),"")</f>
        <v/>
      </c>
      <c r="L138" t="str">
        <f t="shared" si="7"/>
        <v/>
      </c>
      <c r="M138" t="str">
        <f t="shared" si="8"/>
        <v/>
      </c>
      <c r="N138" t="str">
        <f t="shared" si="9"/>
        <v/>
      </c>
    </row>
    <row r="139" spans="8:14" x14ac:dyDescent="0.25">
      <c r="H139" t="str">
        <f>IF(I138=0,"",INDEX('[1]Grade Project'!$K:$K,MATCH(CONCATENATE($A$5,$A$8),'[1]Grade Project'!$H:$H,0)+SUM($I$3:I138)))</f>
        <v/>
      </c>
      <c r="I139">
        <f>COUNTIFS('[1]Grade Project'!$G:$G,$A$8,'[1]Grade Project'!$K:$K,H139,'[1]Grade Project'!$F:$F,$A$5)</f>
        <v>0</v>
      </c>
      <c r="J139" t="str">
        <f>IFERROR(AVERAGEIFS('[1]Grade Project'!$N:$N,'[1]Grade Project'!$K:$K,H139,'[1]Grade Project'!$F:$F,$A$5,'[1]Grade Project'!$G:$G,$A$8),"")</f>
        <v/>
      </c>
      <c r="K139" t="str">
        <f>IFERROR(AVERAGEIFS('[1]Grade Project'!$O:$O,'[1]Grade Project'!$K:$K,H139,'[1]Grade Project'!$F:$F,$A$5,'[1]Grade Project'!$G:$G,$A$8),"")</f>
        <v/>
      </c>
      <c r="L139" t="str">
        <f t="shared" si="7"/>
        <v/>
      </c>
      <c r="M139" t="str">
        <f t="shared" si="8"/>
        <v/>
      </c>
      <c r="N139" t="str">
        <f t="shared" si="9"/>
        <v/>
      </c>
    </row>
    <row r="140" spans="8:14" x14ac:dyDescent="0.25">
      <c r="H140" t="str">
        <f>IF(I139=0,"",INDEX('[1]Grade Project'!$K:$K,MATCH(CONCATENATE($A$5,$A$8),'[1]Grade Project'!$H:$H,0)+SUM($I$3:I139)))</f>
        <v/>
      </c>
      <c r="I140">
        <f>COUNTIFS('[1]Grade Project'!$G:$G,$A$8,'[1]Grade Project'!$K:$K,H140,'[1]Grade Project'!$F:$F,$A$5)</f>
        <v>0</v>
      </c>
      <c r="J140" t="str">
        <f>IFERROR(AVERAGEIFS('[1]Grade Project'!$N:$N,'[1]Grade Project'!$K:$K,H140,'[1]Grade Project'!$F:$F,$A$5,'[1]Grade Project'!$G:$G,$A$8),"")</f>
        <v/>
      </c>
      <c r="K140" t="str">
        <f>IFERROR(AVERAGEIFS('[1]Grade Project'!$O:$O,'[1]Grade Project'!$K:$K,H140,'[1]Grade Project'!$F:$F,$A$5,'[1]Grade Project'!$G:$G,$A$8),"")</f>
        <v/>
      </c>
      <c r="L140" t="str">
        <f t="shared" si="7"/>
        <v/>
      </c>
      <c r="M140" t="str">
        <f t="shared" si="8"/>
        <v/>
      </c>
      <c r="N140" t="str">
        <f t="shared" si="9"/>
        <v/>
      </c>
    </row>
    <row r="141" spans="8:14" x14ac:dyDescent="0.25">
      <c r="H141" t="str">
        <f>IF(I140=0,"",INDEX('[1]Grade Project'!$K:$K,MATCH(CONCATENATE($A$5,$A$8),'[1]Grade Project'!$H:$H,0)+SUM($I$3:I140)))</f>
        <v/>
      </c>
      <c r="I141">
        <f>COUNTIFS('[1]Grade Project'!$G:$G,$A$8,'[1]Grade Project'!$K:$K,H141,'[1]Grade Project'!$F:$F,$A$5)</f>
        <v>0</v>
      </c>
      <c r="J141" t="str">
        <f>IFERROR(AVERAGEIFS('[1]Grade Project'!$N:$N,'[1]Grade Project'!$K:$K,H141,'[1]Grade Project'!$F:$F,$A$5,'[1]Grade Project'!$G:$G,$A$8),"")</f>
        <v/>
      </c>
      <c r="K141" t="str">
        <f>IFERROR(AVERAGEIFS('[1]Grade Project'!$O:$O,'[1]Grade Project'!$K:$K,H141,'[1]Grade Project'!$F:$F,$A$5,'[1]Grade Project'!$G:$G,$A$8),"")</f>
        <v/>
      </c>
      <c r="L141" t="str">
        <f t="shared" si="7"/>
        <v/>
      </c>
      <c r="M141" t="str">
        <f t="shared" si="8"/>
        <v/>
      </c>
      <c r="N141" t="str">
        <f t="shared" si="9"/>
        <v/>
      </c>
    </row>
    <row r="142" spans="8:14" x14ac:dyDescent="0.25">
      <c r="H142" t="str">
        <f>IF(I141=0,"",INDEX('[1]Grade Project'!$K:$K,MATCH(CONCATENATE($A$5,$A$8),'[1]Grade Project'!$H:$H,0)+SUM($I$3:I141)))</f>
        <v/>
      </c>
      <c r="I142">
        <f>COUNTIFS('[1]Grade Project'!$G:$G,$A$8,'[1]Grade Project'!$K:$K,H142,'[1]Grade Project'!$F:$F,$A$5)</f>
        <v>0</v>
      </c>
      <c r="J142" t="str">
        <f>IFERROR(AVERAGEIFS('[1]Grade Project'!$N:$N,'[1]Grade Project'!$K:$K,H142,'[1]Grade Project'!$F:$F,$A$5,'[1]Grade Project'!$G:$G,$A$8),"")</f>
        <v/>
      </c>
      <c r="K142" t="str">
        <f>IFERROR(AVERAGEIFS('[1]Grade Project'!$O:$O,'[1]Grade Project'!$K:$K,H142,'[1]Grade Project'!$F:$F,$A$5,'[1]Grade Project'!$G:$G,$A$8),"")</f>
        <v/>
      </c>
      <c r="L142" t="str">
        <f t="shared" si="7"/>
        <v/>
      </c>
      <c r="M142" t="str">
        <f t="shared" si="8"/>
        <v/>
      </c>
      <c r="N142" t="str">
        <f t="shared" si="9"/>
        <v/>
      </c>
    </row>
    <row r="143" spans="8:14" x14ac:dyDescent="0.25">
      <c r="H143" t="str">
        <f>IF(I142=0,"",INDEX('[1]Grade Project'!$K:$K,MATCH(CONCATENATE($A$5,$A$8),'[1]Grade Project'!$H:$H,0)+SUM($I$3:I142)))</f>
        <v/>
      </c>
      <c r="I143">
        <f>COUNTIFS('[1]Grade Project'!$G:$G,$A$8,'[1]Grade Project'!$K:$K,H143,'[1]Grade Project'!$F:$F,$A$5)</f>
        <v>0</v>
      </c>
      <c r="J143" t="str">
        <f>IFERROR(AVERAGEIFS('[1]Grade Project'!$N:$N,'[1]Grade Project'!$K:$K,H143,'[1]Grade Project'!$F:$F,$A$5,'[1]Grade Project'!$G:$G,$A$8),"")</f>
        <v/>
      </c>
      <c r="K143" t="str">
        <f>IFERROR(AVERAGEIFS('[1]Grade Project'!$O:$O,'[1]Grade Project'!$K:$K,H143,'[1]Grade Project'!$F:$F,$A$5,'[1]Grade Project'!$G:$G,$A$8),"")</f>
        <v/>
      </c>
      <c r="L143" t="str">
        <f t="shared" si="7"/>
        <v/>
      </c>
      <c r="M143" t="str">
        <f t="shared" si="8"/>
        <v/>
      </c>
      <c r="N143" t="str">
        <f t="shared" si="9"/>
        <v/>
      </c>
    </row>
    <row r="144" spans="8:14" x14ac:dyDescent="0.25">
      <c r="H144" t="str">
        <f>IF(I143=0,"",INDEX('[1]Grade Project'!$K:$K,MATCH(CONCATENATE($A$5,$A$8),'[1]Grade Project'!$H:$H,0)+SUM($I$3:I143)))</f>
        <v/>
      </c>
      <c r="I144">
        <f>COUNTIFS('[1]Grade Project'!$G:$G,$A$8,'[1]Grade Project'!$K:$K,H144,'[1]Grade Project'!$F:$F,$A$5)</f>
        <v>0</v>
      </c>
      <c r="J144" t="str">
        <f>IFERROR(AVERAGEIFS('[1]Grade Project'!$N:$N,'[1]Grade Project'!$K:$K,H144,'[1]Grade Project'!$F:$F,$A$5,'[1]Grade Project'!$G:$G,$A$8),"")</f>
        <v/>
      </c>
      <c r="K144" t="str">
        <f>IFERROR(AVERAGEIFS('[1]Grade Project'!$O:$O,'[1]Grade Project'!$K:$K,H144,'[1]Grade Project'!$F:$F,$A$5,'[1]Grade Project'!$G:$G,$A$8),"")</f>
        <v/>
      </c>
      <c r="L144" t="str">
        <f t="shared" si="7"/>
        <v/>
      </c>
      <c r="M144" t="str">
        <f t="shared" si="8"/>
        <v/>
      </c>
      <c r="N144" t="str">
        <f t="shared" si="9"/>
        <v/>
      </c>
    </row>
    <row r="145" spans="8:14" x14ac:dyDescent="0.25">
      <c r="H145" t="str">
        <f>IF(I144=0,"",INDEX('[1]Grade Project'!$K:$K,MATCH(CONCATENATE($A$5,$A$8),'[1]Grade Project'!$H:$H,0)+SUM($I$3:I144)))</f>
        <v/>
      </c>
      <c r="I145">
        <f>COUNTIFS('[1]Grade Project'!$G:$G,$A$8,'[1]Grade Project'!$K:$K,H145,'[1]Grade Project'!$F:$F,$A$5)</f>
        <v>0</v>
      </c>
      <c r="J145" t="str">
        <f>IFERROR(AVERAGEIFS('[1]Grade Project'!$N:$N,'[1]Grade Project'!$K:$K,H145,'[1]Grade Project'!$F:$F,$A$5,'[1]Grade Project'!$G:$G,$A$8),"")</f>
        <v/>
      </c>
      <c r="K145" t="str">
        <f>IFERROR(AVERAGEIFS('[1]Grade Project'!$O:$O,'[1]Grade Project'!$K:$K,H145,'[1]Grade Project'!$F:$F,$A$5,'[1]Grade Project'!$G:$G,$A$8),"")</f>
        <v/>
      </c>
      <c r="L145" t="str">
        <f t="shared" si="7"/>
        <v/>
      </c>
      <c r="M145" t="str">
        <f t="shared" si="8"/>
        <v/>
      </c>
      <c r="N145" t="str">
        <f t="shared" si="9"/>
        <v/>
      </c>
    </row>
    <row r="146" spans="8:14" x14ac:dyDescent="0.25">
      <c r="H146" t="str">
        <f>IF(I145=0,"",INDEX('[1]Grade Project'!$K:$K,MATCH(CONCATENATE($A$5,$A$8),'[1]Grade Project'!$H:$H,0)+SUM($I$3:I145)))</f>
        <v/>
      </c>
      <c r="I146">
        <f>COUNTIFS('[1]Grade Project'!$G:$G,$A$8,'[1]Grade Project'!$K:$K,H146,'[1]Grade Project'!$F:$F,$A$5)</f>
        <v>0</v>
      </c>
      <c r="J146" t="str">
        <f>IFERROR(AVERAGEIFS('[1]Grade Project'!$N:$N,'[1]Grade Project'!$K:$K,H146,'[1]Grade Project'!$F:$F,$A$5,'[1]Grade Project'!$G:$G,$A$8),"")</f>
        <v/>
      </c>
      <c r="K146" t="str">
        <f>IFERROR(AVERAGEIFS('[1]Grade Project'!$O:$O,'[1]Grade Project'!$K:$K,H146,'[1]Grade Project'!$F:$F,$A$5,'[1]Grade Project'!$G:$G,$A$8),"")</f>
        <v/>
      </c>
      <c r="L146" t="str">
        <f t="shared" si="7"/>
        <v/>
      </c>
      <c r="M146" t="str">
        <f t="shared" si="8"/>
        <v/>
      </c>
      <c r="N146" t="str">
        <f t="shared" si="9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Schedule</vt:lpstr>
      <vt:lpstr>One</vt:lpstr>
      <vt:lpstr>Two</vt:lpstr>
      <vt:lpstr>Three</vt:lpstr>
      <vt:lpstr>Four</vt:lpstr>
      <vt:lpstr>Five</vt:lpstr>
      <vt:lpstr>Six</vt:lpstr>
      <vt:lpstr>Seven</vt:lpstr>
      <vt:lpstr>Eight</vt:lpstr>
      <vt:lpstr>Eight!Departments1</vt:lpstr>
      <vt:lpstr>Five!Departments1</vt:lpstr>
      <vt:lpstr>Four!Departments1</vt:lpstr>
      <vt:lpstr>One!Departments1</vt:lpstr>
      <vt:lpstr>Seven!Departments1</vt:lpstr>
      <vt:lpstr>Six!Departments1</vt:lpstr>
      <vt:lpstr>Three!Departments1</vt:lpstr>
      <vt:lpstr>Two!Departments1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2013-05-01T20:14:22Z</dcterms:modified>
</cp:coreProperties>
</file>